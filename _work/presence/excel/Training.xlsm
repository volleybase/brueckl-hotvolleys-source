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2251FD6-F0CC-4233-83CA-F657DCBB4463}" xr6:coauthVersionLast="44" xr6:coauthVersionMax="44" xr10:uidLastSave="{00000000-0000-0000-0000-000000000000}"/>
  <bookViews>
    <workbookView xWindow="2868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Anwesend!$B$92:$L$94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37" i="3" l="1"/>
  <c r="Q28" i="3"/>
  <c r="Q26" i="3"/>
  <c r="Q25" i="3"/>
  <c r="Q24" i="3"/>
  <c r="Q23" i="3"/>
  <c r="Q22" i="3"/>
  <c r="Q21" i="3"/>
  <c r="Q20" i="3"/>
  <c r="Q19" i="3"/>
  <c r="Q18" i="3"/>
  <c r="Q17" i="3"/>
  <c r="Q16" i="3"/>
  <c r="Q15" i="3"/>
  <c r="Q14" i="3"/>
  <c r="Q13" i="3"/>
  <c r="Q12" i="3"/>
  <c r="Q11" i="3"/>
  <c r="Q10" i="3"/>
  <c r="Q9" i="3"/>
  <c r="Q8" i="3"/>
  <c r="Q7" i="3"/>
  <c r="P36" i="3"/>
  <c r="L92" i="3"/>
  <c r="M37" i="3" l="1"/>
  <c r="Q29" i="3" l="1"/>
  <c r="P60" i="3" l="1"/>
  <c r="P86" i="3"/>
  <c r="FB37" i="3"/>
  <c r="EQ37" i="3" l="1"/>
  <c r="L11" i="3" l="1"/>
  <c r="K11" i="3"/>
  <c r="J11" i="3"/>
  <c r="I11" i="3"/>
  <c r="H11" i="3"/>
  <c r="G11" i="3"/>
  <c r="F11" i="3"/>
  <c r="P11" i="3"/>
  <c r="P78" i="3"/>
  <c r="EI37" i="3" l="1"/>
  <c r="EJ37" i="3"/>
  <c r="ES37" i="3"/>
  <c r="P16" i="3" l="1"/>
  <c r="L16" i="3"/>
  <c r="K16" i="3"/>
  <c r="J16" i="3"/>
  <c r="I16" i="3"/>
  <c r="H16" i="3"/>
  <c r="G16" i="3"/>
  <c r="F16" i="3"/>
  <c r="P46" i="3" l="1"/>
  <c r="L46" i="3"/>
  <c r="K46" i="3"/>
  <c r="J46" i="3"/>
  <c r="I46" i="3"/>
  <c r="H46" i="3"/>
  <c r="G46" i="3"/>
  <c r="F46" i="3"/>
  <c r="P33" i="3" l="1"/>
  <c r="DP37" i="3"/>
  <c r="EA37" i="3"/>
  <c r="P31" i="3" l="1"/>
  <c r="DG37" i="3" l="1"/>
  <c r="DR37" i="3"/>
  <c r="Q88" i="3" l="1"/>
  <c r="Q85" i="3"/>
  <c r="Q84" i="3"/>
  <c r="Q83" i="3"/>
  <c r="Q76" i="3"/>
  <c r="Q71" i="3"/>
  <c r="Q64" i="3"/>
  <c r="Q63" i="3"/>
  <c r="Q62" i="3"/>
  <c r="Q61" i="3"/>
  <c r="Q27" i="3"/>
  <c r="Q35" i="3"/>
  <c r="Q6" i="3"/>
  <c r="CX37" i="3"/>
  <c r="DI37" i="3"/>
  <c r="CZ37" i="3"/>
  <c r="CH37" i="3"/>
  <c r="L94" i="3"/>
  <c r="L93" i="3"/>
  <c r="P37" i="3"/>
  <c r="BY37" i="3"/>
  <c r="CQ37" i="3"/>
  <c r="R37" i="3"/>
  <c r="CO78" i="3" l="1"/>
  <c r="CO66" i="3"/>
  <c r="CO37" i="3"/>
  <c r="CF37" i="3"/>
  <c r="P66" i="3"/>
  <c r="CO79" i="3" l="1"/>
  <c r="BW78" i="3"/>
  <c r="BW79" i="3" s="1"/>
  <c r="BP78" i="3"/>
  <c r="BP66" i="3"/>
  <c r="BW37" i="3"/>
  <c r="BP37" i="3"/>
  <c r="BP79" i="3" l="1"/>
  <c r="P32" i="3"/>
  <c r="MR78" i="3" l="1"/>
  <c r="MQ78" i="3"/>
  <c r="MP78" i="3"/>
  <c r="MO78" i="3"/>
  <c r="MN78" i="3"/>
  <c r="MM78" i="3"/>
  <c r="ML78" i="3"/>
  <c r="MK78" i="3"/>
  <c r="MJ78" i="3"/>
  <c r="MI78" i="3"/>
  <c r="MH78" i="3"/>
  <c r="MG78" i="3"/>
  <c r="MF78" i="3"/>
  <c r="ME78" i="3"/>
  <c r="MD78" i="3"/>
  <c r="MC78" i="3"/>
  <c r="MB78" i="3"/>
  <c r="MA78" i="3"/>
  <c r="LZ78" i="3"/>
  <c r="LY78" i="3"/>
  <c r="LX78" i="3"/>
  <c r="LW78" i="3"/>
  <c r="LV78" i="3"/>
  <c r="LU78" i="3"/>
  <c r="LT78" i="3"/>
  <c r="LS78" i="3"/>
  <c r="LR78" i="3"/>
  <c r="LQ78" i="3"/>
  <c r="LP78" i="3"/>
  <c r="LO78" i="3"/>
  <c r="LN78" i="3"/>
  <c r="LM78" i="3"/>
  <c r="LL78" i="3"/>
  <c r="LK78" i="3"/>
  <c r="LJ78" i="3"/>
  <c r="LI78" i="3"/>
  <c r="LH78" i="3"/>
  <c r="LG78" i="3"/>
  <c r="LF78" i="3"/>
  <c r="LE78" i="3"/>
  <c r="LD78" i="3"/>
  <c r="LC78" i="3"/>
  <c r="LB78" i="3"/>
  <c r="LA78" i="3"/>
  <c r="KZ78" i="3"/>
  <c r="KY78" i="3"/>
  <c r="KX78" i="3"/>
  <c r="KW78" i="3"/>
  <c r="KV78" i="3"/>
  <c r="KU78" i="3"/>
  <c r="KT78" i="3"/>
  <c r="KS78" i="3"/>
  <c r="KR78" i="3"/>
  <c r="KQ78" i="3"/>
  <c r="KP78" i="3"/>
  <c r="KO78" i="3"/>
  <c r="KN78" i="3"/>
  <c r="KM78" i="3"/>
  <c r="KL78" i="3"/>
  <c r="KK78" i="3"/>
  <c r="KJ78" i="3"/>
  <c r="KI78" i="3"/>
  <c r="KH78" i="3"/>
  <c r="KG78" i="3"/>
  <c r="KF78" i="3"/>
  <c r="KE78" i="3"/>
  <c r="KD78" i="3"/>
  <c r="KC78" i="3"/>
  <c r="KB78" i="3"/>
  <c r="KA78" i="3"/>
  <c r="JZ78" i="3"/>
  <c r="JY78" i="3"/>
  <c r="JX78" i="3"/>
  <c r="JW78" i="3"/>
  <c r="JV78" i="3"/>
  <c r="JU78" i="3"/>
  <c r="JT78" i="3"/>
  <c r="JS78" i="3"/>
  <c r="JR78" i="3"/>
  <c r="JQ78" i="3"/>
  <c r="JP78" i="3"/>
  <c r="JO78" i="3"/>
  <c r="JN78" i="3"/>
  <c r="JM78" i="3"/>
  <c r="JL78" i="3"/>
  <c r="JK78" i="3"/>
  <c r="JJ78" i="3"/>
  <c r="JI78" i="3"/>
  <c r="JH78" i="3"/>
  <c r="JG78" i="3"/>
  <c r="JF78" i="3"/>
  <c r="JE78" i="3"/>
  <c r="JD78" i="3"/>
  <c r="JC78" i="3"/>
  <c r="JB78" i="3"/>
  <c r="JA78" i="3"/>
  <c r="IZ78" i="3"/>
  <c r="IY78" i="3"/>
  <c r="IX78" i="3"/>
  <c r="IW78" i="3"/>
  <c r="IV78" i="3"/>
  <c r="IU78" i="3"/>
  <c r="IT78" i="3"/>
  <c r="IS78" i="3"/>
  <c r="IR78" i="3"/>
  <c r="IQ78" i="3"/>
  <c r="IP78" i="3"/>
  <c r="IO78" i="3"/>
  <c r="IN78" i="3"/>
  <c r="IM78" i="3"/>
  <c r="IL78" i="3"/>
  <c r="IK78" i="3"/>
  <c r="IJ78" i="3"/>
  <c r="II78" i="3"/>
  <c r="IH78" i="3"/>
  <c r="IG78" i="3"/>
  <c r="IF78" i="3"/>
  <c r="IE78" i="3"/>
  <c r="ID78" i="3"/>
  <c r="IC78" i="3"/>
  <c r="IB78" i="3"/>
  <c r="IA78" i="3"/>
  <c r="HZ78" i="3"/>
  <c r="HY78" i="3"/>
  <c r="HX78" i="3"/>
  <c r="HW78" i="3"/>
  <c r="HV78" i="3"/>
  <c r="HU78" i="3"/>
  <c r="HT78" i="3"/>
  <c r="HS78" i="3"/>
  <c r="HR78" i="3"/>
  <c r="HQ78" i="3"/>
  <c r="HP78" i="3"/>
  <c r="HO78" i="3"/>
  <c r="HN78" i="3"/>
  <c r="HM78" i="3"/>
  <c r="HL78" i="3"/>
  <c r="HK78" i="3"/>
  <c r="HJ78" i="3"/>
  <c r="HI78" i="3"/>
  <c r="HH78" i="3"/>
  <c r="HG78" i="3"/>
  <c r="HF78" i="3"/>
  <c r="HE78" i="3"/>
  <c r="HD78" i="3"/>
  <c r="HC78" i="3"/>
  <c r="HB78" i="3"/>
  <c r="HA78" i="3"/>
  <c r="GZ78" i="3"/>
  <c r="GY78" i="3"/>
  <c r="GX78" i="3"/>
  <c r="GW78" i="3"/>
  <c r="GV78" i="3"/>
  <c r="GU78" i="3"/>
  <c r="GT78" i="3"/>
  <c r="GS78" i="3"/>
  <c r="GR78" i="3"/>
  <c r="GQ78" i="3"/>
  <c r="GP78" i="3"/>
  <c r="GO78" i="3"/>
  <c r="GN78" i="3"/>
  <c r="GM78" i="3"/>
  <c r="GL78" i="3"/>
  <c r="GK78" i="3"/>
  <c r="GJ78" i="3"/>
  <c r="GI78" i="3"/>
  <c r="GH78" i="3"/>
  <c r="GG78" i="3"/>
  <c r="GF78" i="3"/>
  <c r="GE78" i="3"/>
  <c r="GD78" i="3"/>
  <c r="GC78" i="3"/>
  <c r="GB78" i="3"/>
  <c r="GA78" i="3"/>
  <c r="FZ78" i="3"/>
  <c r="FY78" i="3"/>
  <c r="FX78" i="3"/>
  <c r="FW78" i="3"/>
  <c r="FV78" i="3"/>
  <c r="FU78" i="3"/>
  <c r="FT78" i="3"/>
  <c r="FS78" i="3"/>
  <c r="FR78" i="3"/>
  <c r="FQ78" i="3"/>
  <c r="FP78" i="3"/>
  <c r="FO78" i="3"/>
  <c r="FN78" i="3"/>
  <c r="FM78" i="3"/>
  <c r="FL78" i="3"/>
  <c r="FK78" i="3"/>
  <c r="FH78" i="3"/>
  <c r="FG78" i="3"/>
  <c r="FF78" i="3"/>
  <c r="FE78" i="3"/>
  <c r="FD78" i="3"/>
  <c r="FC78" i="3"/>
  <c r="FB78" i="3"/>
  <c r="EY78" i="3"/>
  <c r="EX78" i="3"/>
  <c r="EW78" i="3"/>
  <c r="EV78" i="3"/>
  <c r="EU78" i="3"/>
  <c r="ET78" i="3"/>
  <c r="ES78" i="3"/>
  <c r="EP78" i="3"/>
  <c r="EO78" i="3"/>
  <c r="EN78" i="3"/>
  <c r="EM78" i="3"/>
  <c r="EL78" i="3"/>
  <c r="EK78" i="3"/>
  <c r="EJ78" i="3"/>
  <c r="EI78" i="3"/>
  <c r="EE78" i="3"/>
  <c r="ED78" i="3"/>
  <c r="EC78" i="3"/>
  <c r="EB78" i="3"/>
  <c r="EA78" i="3"/>
  <c r="DZ78" i="3"/>
  <c r="DW78" i="3"/>
  <c r="DV78" i="3"/>
  <c r="DU78" i="3"/>
  <c r="DT78" i="3"/>
  <c r="DS78" i="3"/>
  <c r="DR78" i="3"/>
  <c r="DO78" i="3"/>
  <c r="DN78" i="3"/>
  <c r="DM78" i="3"/>
  <c r="DL78" i="3"/>
  <c r="DK78" i="3"/>
  <c r="DJ78" i="3"/>
  <c r="DI78" i="3"/>
  <c r="DF78" i="3"/>
  <c r="DE78" i="3"/>
  <c r="DD78" i="3"/>
  <c r="DC78" i="3"/>
  <c r="DB78" i="3"/>
  <c r="DA78" i="3"/>
  <c r="CZ78" i="3"/>
  <c r="CY78" i="3"/>
  <c r="CV78" i="3"/>
  <c r="CU78" i="3"/>
  <c r="CT78" i="3"/>
  <c r="CS78" i="3"/>
  <c r="CR78" i="3"/>
  <c r="CQ78" i="3"/>
  <c r="CN78" i="3"/>
  <c r="CM78" i="3"/>
  <c r="CL78" i="3"/>
  <c r="CK78" i="3"/>
  <c r="CJ78" i="3"/>
  <c r="CI78" i="3"/>
  <c r="CH78" i="3"/>
  <c r="CE78" i="3"/>
  <c r="CD78" i="3"/>
  <c r="CC78" i="3"/>
  <c r="CB78" i="3"/>
  <c r="CA78" i="3"/>
  <c r="BZ78" i="3"/>
  <c r="BY78" i="3"/>
  <c r="BV78" i="3"/>
  <c r="BU78" i="3"/>
  <c r="BT78" i="3"/>
  <c r="BS78" i="3"/>
  <c r="BR78" i="3"/>
  <c r="BQ78" i="3"/>
  <c r="BO78" i="3"/>
  <c r="BN78" i="3"/>
  <c r="BM78" i="3"/>
  <c r="BL78" i="3"/>
  <c r="BK78" i="3"/>
  <c r="BJ78" i="3"/>
  <c r="BI78" i="3"/>
  <c r="BH78" i="3"/>
  <c r="BG78" i="3"/>
  <c r="BF78" i="3"/>
  <c r="BE78" i="3"/>
  <c r="BD78" i="3"/>
  <c r="BC78" i="3"/>
  <c r="P51" i="3" l="1"/>
  <c r="L51" i="3"/>
  <c r="K51" i="3"/>
  <c r="J51" i="3"/>
  <c r="I51" i="3"/>
  <c r="H51" i="3"/>
  <c r="G51" i="3"/>
  <c r="F51" i="3"/>
  <c r="P59" i="3" l="1"/>
  <c r="L59" i="3"/>
  <c r="K59" i="3"/>
  <c r="J59" i="3"/>
  <c r="I59" i="3"/>
  <c r="H59" i="3"/>
  <c r="G59" i="3"/>
  <c r="F59" i="3"/>
  <c r="P55" i="3"/>
  <c r="L55" i="3"/>
  <c r="K55" i="3"/>
  <c r="J55" i="3"/>
  <c r="I55" i="3"/>
  <c r="H55" i="3"/>
  <c r="G55" i="3"/>
  <c r="F55" i="3"/>
  <c r="H75" i="3" l="1"/>
  <c r="G75" i="3"/>
  <c r="H74" i="3"/>
  <c r="G74" i="3"/>
  <c r="H73" i="3"/>
  <c r="G73" i="3"/>
  <c r="H72" i="3"/>
  <c r="G72" i="3"/>
  <c r="L72" i="3"/>
  <c r="K72" i="3"/>
  <c r="J72" i="3"/>
  <c r="I72" i="3"/>
  <c r="F72" i="3"/>
  <c r="P12" i="3"/>
  <c r="L12" i="3"/>
  <c r="K12" i="3"/>
  <c r="J12" i="3"/>
  <c r="I12" i="3"/>
  <c r="H12" i="3"/>
  <c r="G12" i="3"/>
  <c r="F12" i="3"/>
  <c r="P49" i="3"/>
  <c r="L49" i="3"/>
  <c r="K49" i="3"/>
  <c r="J49" i="3"/>
  <c r="I49" i="3"/>
  <c r="H49" i="3"/>
  <c r="G49" i="3"/>
  <c r="F49" i="3"/>
  <c r="S67" i="3" l="1"/>
  <c r="P77" i="3"/>
  <c r="Q73" i="3" s="1"/>
  <c r="BB78" i="3"/>
  <c r="BA78" i="3"/>
  <c r="AZ78" i="3"/>
  <c r="AY78" i="3"/>
  <c r="AX78" i="3"/>
  <c r="AW78" i="3"/>
  <c r="AV78" i="3"/>
  <c r="AU78" i="3"/>
  <c r="AT78" i="3"/>
  <c r="AS78" i="3"/>
  <c r="AR78" i="3"/>
  <c r="AQ78" i="3"/>
  <c r="AP78" i="3"/>
  <c r="AO78" i="3"/>
  <c r="AG78" i="3"/>
  <c r="AF78" i="3"/>
  <c r="AE78" i="3"/>
  <c r="AD78" i="3"/>
  <c r="AC78" i="3"/>
  <c r="AB78" i="3"/>
  <c r="AA78" i="3"/>
  <c r="Z78" i="3"/>
  <c r="Y78" i="3"/>
  <c r="X78" i="3"/>
  <c r="W78" i="3"/>
  <c r="V78" i="3"/>
  <c r="U78" i="3"/>
  <c r="T78" i="3"/>
  <c r="AN78" i="3"/>
  <c r="AM78" i="3"/>
  <c r="AL78" i="3"/>
  <c r="AK78" i="3"/>
  <c r="AJ78" i="3"/>
  <c r="AH78" i="3"/>
  <c r="AI78" i="3"/>
  <c r="L63" i="3"/>
  <c r="K63" i="3"/>
  <c r="J63" i="3"/>
  <c r="I63" i="3"/>
  <c r="H63" i="3"/>
  <c r="G63" i="3"/>
  <c r="F63" i="3"/>
  <c r="L62" i="3"/>
  <c r="K62" i="3"/>
  <c r="J62" i="3"/>
  <c r="I62" i="3"/>
  <c r="H62" i="3"/>
  <c r="G62" i="3"/>
  <c r="F62" i="3"/>
  <c r="L61" i="3"/>
  <c r="K61" i="3"/>
  <c r="J61" i="3"/>
  <c r="I61" i="3"/>
  <c r="H61" i="3"/>
  <c r="G61" i="3"/>
  <c r="F61" i="3"/>
  <c r="L60" i="3"/>
  <c r="K60" i="3"/>
  <c r="J60" i="3"/>
  <c r="I60" i="3"/>
  <c r="H60" i="3"/>
  <c r="G60" i="3"/>
  <c r="F60" i="3"/>
  <c r="MR66" i="3"/>
  <c r="MQ66" i="3"/>
  <c r="MP66" i="3"/>
  <c r="MO66" i="3"/>
  <c r="MN66" i="3"/>
  <c r="MM66" i="3"/>
  <c r="ML66" i="3"/>
  <c r="MK66" i="3"/>
  <c r="MJ66" i="3"/>
  <c r="MI66" i="3"/>
  <c r="MH66" i="3"/>
  <c r="MG66" i="3"/>
  <c r="MF66" i="3"/>
  <c r="ME66" i="3"/>
  <c r="MD66" i="3"/>
  <c r="MC66" i="3"/>
  <c r="MB66" i="3"/>
  <c r="MA66" i="3"/>
  <c r="LZ66" i="3"/>
  <c r="LY66" i="3"/>
  <c r="LX66" i="3"/>
  <c r="LW66" i="3"/>
  <c r="LV66" i="3"/>
  <c r="LU66" i="3"/>
  <c r="LT66" i="3"/>
  <c r="LS66" i="3"/>
  <c r="LR66" i="3"/>
  <c r="LQ66" i="3"/>
  <c r="LP66" i="3"/>
  <c r="LO66" i="3"/>
  <c r="LN66" i="3"/>
  <c r="LM66" i="3"/>
  <c r="LL66" i="3"/>
  <c r="LK66" i="3"/>
  <c r="LJ66" i="3"/>
  <c r="LI66" i="3"/>
  <c r="LH66" i="3"/>
  <c r="LG66" i="3"/>
  <c r="LF66" i="3"/>
  <c r="LE66" i="3"/>
  <c r="LD66" i="3"/>
  <c r="LC66" i="3"/>
  <c r="LB66" i="3"/>
  <c r="LA66" i="3"/>
  <c r="KZ66" i="3"/>
  <c r="KY66" i="3"/>
  <c r="KX66" i="3"/>
  <c r="KW66" i="3"/>
  <c r="KV66" i="3"/>
  <c r="KU66" i="3"/>
  <c r="KT66" i="3"/>
  <c r="KS66" i="3"/>
  <c r="KR66" i="3"/>
  <c r="KQ66" i="3"/>
  <c r="KP66" i="3"/>
  <c r="KO66" i="3"/>
  <c r="KN66" i="3"/>
  <c r="KM66" i="3"/>
  <c r="KL66" i="3"/>
  <c r="KK66" i="3"/>
  <c r="KJ66" i="3"/>
  <c r="KI66" i="3"/>
  <c r="KH66" i="3"/>
  <c r="KG66" i="3"/>
  <c r="KF66" i="3"/>
  <c r="KE66" i="3"/>
  <c r="KD66" i="3"/>
  <c r="KC66" i="3"/>
  <c r="KB66" i="3"/>
  <c r="KA66" i="3"/>
  <c r="JZ66" i="3"/>
  <c r="JY66" i="3"/>
  <c r="JX66" i="3"/>
  <c r="JW66" i="3"/>
  <c r="JV66" i="3"/>
  <c r="JU66" i="3"/>
  <c r="JT66" i="3"/>
  <c r="JS66" i="3"/>
  <c r="JR66" i="3"/>
  <c r="JQ66" i="3"/>
  <c r="JP66" i="3"/>
  <c r="JO66" i="3"/>
  <c r="JN66" i="3"/>
  <c r="JM66" i="3"/>
  <c r="JL66" i="3"/>
  <c r="JK66" i="3"/>
  <c r="JJ66" i="3"/>
  <c r="JI66" i="3"/>
  <c r="JH66" i="3"/>
  <c r="JG66" i="3"/>
  <c r="JF66" i="3"/>
  <c r="JE66" i="3"/>
  <c r="JD66" i="3"/>
  <c r="JC66" i="3"/>
  <c r="JB66" i="3"/>
  <c r="JA66" i="3"/>
  <c r="IZ66" i="3"/>
  <c r="IY66" i="3"/>
  <c r="IX66" i="3"/>
  <c r="IW66" i="3"/>
  <c r="IV66" i="3"/>
  <c r="IU66" i="3"/>
  <c r="IT66" i="3"/>
  <c r="IS66" i="3"/>
  <c r="IR66" i="3"/>
  <c r="IQ66" i="3"/>
  <c r="IP66" i="3"/>
  <c r="IO66" i="3"/>
  <c r="IN66" i="3"/>
  <c r="IM66" i="3"/>
  <c r="IL66" i="3"/>
  <c r="IK66" i="3"/>
  <c r="IJ66" i="3"/>
  <c r="II66" i="3"/>
  <c r="IH66" i="3"/>
  <c r="IG66" i="3"/>
  <c r="IF66" i="3"/>
  <c r="IE66" i="3"/>
  <c r="ID66" i="3"/>
  <c r="IC66" i="3"/>
  <c r="IB66" i="3"/>
  <c r="IA66" i="3"/>
  <c r="HZ66" i="3"/>
  <c r="HY66" i="3"/>
  <c r="HX66" i="3"/>
  <c r="HW66" i="3"/>
  <c r="HV66" i="3"/>
  <c r="HU66" i="3"/>
  <c r="HT66" i="3"/>
  <c r="HS66" i="3"/>
  <c r="HR66" i="3"/>
  <c r="HQ66" i="3"/>
  <c r="HP66" i="3"/>
  <c r="HO66" i="3"/>
  <c r="HN66" i="3"/>
  <c r="HM66" i="3"/>
  <c r="HL66" i="3"/>
  <c r="HK66" i="3"/>
  <c r="HJ66" i="3"/>
  <c r="HI66" i="3"/>
  <c r="HH66" i="3"/>
  <c r="HG66" i="3"/>
  <c r="HF66" i="3"/>
  <c r="HE66" i="3"/>
  <c r="HD66" i="3"/>
  <c r="HC66" i="3"/>
  <c r="HB66" i="3"/>
  <c r="HA66" i="3"/>
  <c r="GZ66" i="3"/>
  <c r="GY66" i="3"/>
  <c r="GX66" i="3"/>
  <c r="GW66" i="3"/>
  <c r="GV66" i="3"/>
  <c r="GU66" i="3"/>
  <c r="GT66" i="3"/>
  <c r="GS66" i="3"/>
  <c r="GR66" i="3"/>
  <c r="GQ66" i="3"/>
  <c r="GP66" i="3"/>
  <c r="GO66" i="3"/>
  <c r="GN66" i="3"/>
  <c r="GM66" i="3"/>
  <c r="GL66" i="3"/>
  <c r="GK66" i="3"/>
  <c r="GJ66" i="3"/>
  <c r="GI66" i="3"/>
  <c r="GH66" i="3"/>
  <c r="GG66" i="3"/>
  <c r="GF66" i="3"/>
  <c r="GE66" i="3"/>
  <c r="GD66" i="3"/>
  <c r="GC66" i="3"/>
  <c r="GB66" i="3"/>
  <c r="GA66" i="3"/>
  <c r="FZ66" i="3"/>
  <c r="FY66" i="3"/>
  <c r="FX66" i="3"/>
  <c r="FW66" i="3"/>
  <c r="FV66" i="3"/>
  <c r="FU66" i="3"/>
  <c r="FT66" i="3"/>
  <c r="FS66" i="3"/>
  <c r="FR66" i="3"/>
  <c r="FQ66" i="3"/>
  <c r="FP66" i="3"/>
  <c r="FO66" i="3"/>
  <c r="FN66" i="3"/>
  <c r="FM66" i="3"/>
  <c r="FL66" i="3"/>
  <c r="FK66" i="3"/>
  <c r="FH66" i="3"/>
  <c r="FG66" i="3"/>
  <c r="FF66" i="3"/>
  <c r="FE66" i="3"/>
  <c r="FD66" i="3"/>
  <c r="FC66" i="3"/>
  <c r="FB66" i="3"/>
  <c r="EY66" i="3"/>
  <c r="EX66" i="3"/>
  <c r="EW66" i="3"/>
  <c r="EV66" i="3"/>
  <c r="EU66" i="3"/>
  <c r="ET66" i="3"/>
  <c r="ES66" i="3"/>
  <c r="EP66" i="3"/>
  <c r="EO66" i="3"/>
  <c r="EN66" i="3"/>
  <c r="EM66" i="3"/>
  <c r="EL66" i="3"/>
  <c r="EK66" i="3"/>
  <c r="EJ66" i="3"/>
  <c r="EI66" i="3"/>
  <c r="EF66" i="3"/>
  <c r="EE66" i="3"/>
  <c r="ED66" i="3"/>
  <c r="EC66" i="3"/>
  <c r="EB66" i="3"/>
  <c r="EA66" i="3"/>
  <c r="DZ66" i="3"/>
  <c r="DW66" i="3"/>
  <c r="DV66" i="3"/>
  <c r="DU66" i="3"/>
  <c r="DT66" i="3"/>
  <c r="DS66" i="3"/>
  <c r="DR66" i="3"/>
  <c r="DO66" i="3"/>
  <c r="DN66" i="3"/>
  <c r="DM66" i="3"/>
  <c r="DL66" i="3"/>
  <c r="DK66" i="3"/>
  <c r="DJ66" i="3"/>
  <c r="DI66" i="3"/>
  <c r="DF66" i="3"/>
  <c r="DE66" i="3"/>
  <c r="DD66" i="3"/>
  <c r="DC66" i="3"/>
  <c r="DB66" i="3"/>
  <c r="DA66" i="3"/>
  <c r="CZ66" i="3"/>
  <c r="CY66" i="3"/>
  <c r="CV66" i="3"/>
  <c r="CU66" i="3"/>
  <c r="CT66" i="3"/>
  <c r="CS66" i="3"/>
  <c r="CR66" i="3"/>
  <c r="CQ66" i="3"/>
  <c r="CN66" i="3"/>
  <c r="CM66" i="3"/>
  <c r="CL66" i="3"/>
  <c r="CK66" i="3"/>
  <c r="CJ66" i="3"/>
  <c r="CI66" i="3"/>
  <c r="CH66" i="3"/>
  <c r="CE66" i="3"/>
  <c r="CD66" i="3"/>
  <c r="CC66" i="3"/>
  <c r="CB66" i="3"/>
  <c r="CA66" i="3"/>
  <c r="BZ66" i="3"/>
  <c r="BY66" i="3"/>
  <c r="BV66" i="3"/>
  <c r="BU66" i="3"/>
  <c r="BT66" i="3"/>
  <c r="BS66" i="3"/>
  <c r="BR66" i="3"/>
  <c r="BQ66" i="3"/>
  <c r="BO66" i="3"/>
  <c r="BN66" i="3"/>
  <c r="BM66" i="3"/>
  <c r="BL66" i="3"/>
  <c r="BK66" i="3"/>
  <c r="BJ66" i="3"/>
  <c r="BI66" i="3"/>
  <c r="BH66" i="3"/>
  <c r="BG66" i="3"/>
  <c r="BF66" i="3"/>
  <c r="BE66" i="3"/>
  <c r="BD66" i="3"/>
  <c r="BC66" i="3"/>
  <c r="BB66" i="3"/>
  <c r="BA66" i="3"/>
  <c r="AZ66" i="3"/>
  <c r="AY66" i="3"/>
  <c r="AY79" i="3" s="1"/>
  <c r="AX66" i="3"/>
  <c r="AW66" i="3"/>
  <c r="AV66" i="3"/>
  <c r="AV79" i="3" s="1"/>
  <c r="AU66" i="3"/>
  <c r="AT66" i="3"/>
  <c r="AS66" i="3"/>
  <c r="AR66" i="3"/>
  <c r="AQ66" i="3"/>
  <c r="AQ79" i="3" s="1"/>
  <c r="AP66" i="3"/>
  <c r="AO66" i="3"/>
  <c r="S66" i="3"/>
  <c r="AG66" i="3"/>
  <c r="AF66" i="3"/>
  <c r="AE66" i="3"/>
  <c r="AD66" i="3"/>
  <c r="AC66" i="3"/>
  <c r="AB66" i="3"/>
  <c r="AB79" i="3" s="1"/>
  <c r="AA66" i="3"/>
  <c r="Z66" i="3"/>
  <c r="Y66" i="3"/>
  <c r="X66" i="3"/>
  <c r="W66" i="3"/>
  <c r="V66" i="3"/>
  <c r="U66" i="3"/>
  <c r="T66" i="3"/>
  <c r="T79" i="3" s="1"/>
  <c r="AN66" i="3"/>
  <c r="AM66" i="3"/>
  <c r="AL66" i="3"/>
  <c r="AK66" i="3"/>
  <c r="AJ66" i="3"/>
  <c r="AH66" i="3"/>
  <c r="AI66" i="3"/>
  <c r="R63" i="3"/>
  <c r="R62" i="3"/>
  <c r="P65" i="3"/>
  <c r="P48" i="3"/>
  <c r="L48" i="3"/>
  <c r="K48" i="3"/>
  <c r="J48" i="3"/>
  <c r="I48" i="3"/>
  <c r="H48" i="3"/>
  <c r="G48" i="3"/>
  <c r="F48" i="3"/>
  <c r="EY37" i="3"/>
  <c r="H64" i="3"/>
  <c r="G64"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8" i="3" s="1"/>
  <c r="Q46" i="3" l="1"/>
  <c r="Q60" i="3"/>
  <c r="AN79" i="3"/>
  <c r="AA79" i="3"/>
  <c r="AG79" i="3"/>
  <c r="AM79" i="3"/>
  <c r="Z79" i="3"/>
  <c r="Q75" i="3"/>
  <c r="Q74" i="3"/>
  <c r="Q72" i="3"/>
  <c r="Q78" i="3"/>
  <c r="Q57" i="3"/>
  <c r="Q49" i="3"/>
  <c r="Q47" i="3"/>
  <c r="Q58" i="3"/>
  <c r="Q56" i="3"/>
  <c r="Q48" i="3"/>
  <c r="Q59" i="3"/>
  <c r="Q55" i="3"/>
  <c r="Q45" i="3"/>
  <c r="Q54" i="3"/>
  <c r="Q51" i="3"/>
  <c r="Q53" i="3"/>
  <c r="Q50" i="3"/>
  <c r="Q52" i="3"/>
  <c r="Q66" i="3"/>
  <c r="AE79" i="3"/>
  <c r="AT79" i="3"/>
  <c r="BB79" i="3"/>
  <c r="W79" i="3"/>
  <c r="AJ79" i="3"/>
  <c r="AH79" i="3"/>
  <c r="V79" i="3"/>
  <c r="AD79" i="3"/>
  <c r="AC79" i="3"/>
  <c r="X79" i="3"/>
  <c r="AF79" i="3"/>
  <c r="AO79" i="3"/>
  <c r="AZ79" i="3"/>
  <c r="AR79" i="3"/>
  <c r="AS79" i="3"/>
  <c r="BA79" i="3"/>
  <c r="AU79" i="3"/>
  <c r="AP79" i="3"/>
  <c r="AX79" i="3"/>
  <c r="U79" i="3"/>
  <c r="AW79" i="3"/>
  <c r="EY79" i="3"/>
  <c r="AL79" i="3"/>
  <c r="Y79" i="3"/>
  <c r="AI79" i="3"/>
  <c r="AK79" i="3"/>
  <c r="R60" i="3"/>
  <c r="R61" i="3"/>
  <c r="S2" i="3"/>
  <c r="GS37" i="3"/>
  <c r="GS79" i="3"/>
  <c r="T1" i="3"/>
  <c r="T2" i="3" l="1"/>
  <c r="T67" i="3"/>
  <c r="U1" i="3"/>
  <c r="T39" i="3"/>
  <c r="T40" i="3" s="1"/>
  <c r="T68" i="3" s="1"/>
  <c r="P6" i="3"/>
  <c r="P8" i="3"/>
  <c r="U39" i="3" l="1"/>
  <c r="U40" i="3" s="1"/>
  <c r="U68" i="3" s="1"/>
  <c r="U67" i="3"/>
  <c r="V1" i="3"/>
  <c r="U2" i="3"/>
  <c r="N37"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7" i="3"/>
  <c r="F7" i="3"/>
  <c r="P7" i="3"/>
  <c r="P9" i="3"/>
  <c r="P10" i="3"/>
  <c r="P13" i="3"/>
  <c r="P14" i="3"/>
  <c r="P15" i="3"/>
  <c r="P17" i="3"/>
  <c r="P18" i="3"/>
  <c r="P19" i="3"/>
  <c r="P20" i="3"/>
  <c r="P21" i="3"/>
  <c r="P22" i="3"/>
  <c r="P23" i="3"/>
  <c r="P24" i="3"/>
  <c r="P25" i="3"/>
  <c r="P26" i="3"/>
  <c r="P27" i="3"/>
  <c r="P28" i="3"/>
  <c r="P29" i="3"/>
  <c r="P30" i="3"/>
  <c r="P35" i="3"/>
  <c r="O37" i="3"/>
  <c r="S37" i="3"/>
  <c r="T37" i="3"/>
  <c r="U37" i="3"/>
  <c r="V37" i="3"/>
  <c r="W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Y37" i="3"/>
  <c r="AZ37" i="3"/>
  <c r="BA37" i="3"/>
  <c r="BB37" i="3"/>
  <c r="BC37" i="3"/>
  <c r="BD37" i="3"/>
  <c r="BE37" i="3"/>
  <c r="BF37" i="3"/>
  <c r="BG37" i="3"/>
  <c r="BH37" i="3"/>
  <c r="BI37" i="3"/>
  <c r="BJ37" i="3"/>
  <c r="BK37" i="3"/>
  <c r="BL37" i="3"/>
  <c r="BM37" i="3"/>
  <c r="BN37" i="3"/>
  <c r="BO37" i="3"/>
  <c r="BQ37" i="3"/>
  <c r="BR37" i="3"/>
  <c r="BS37" i="3"/>
  <c r="BT37" i="3"/>
  <c r="BU37" i="3"/>
  <c r="BV37" i="3"/>
  <c r="BZ37" i="3"/>
  <c r="CA37" i="3"/>
  <c r="CB37" i="3"/>
  <c r="CC37" i="3"/>
  <c r="CD37" i="3"/>
  <c r="CE37" i="3"/>
  <c r="CI37" i="3"/>
  <c r="CJ37" i="3"/>
  <c r="CK37" i="3"/>
  <c r="CL37" i="3"/>
  <c r="CM37" i="3"/>
  <c r="CN37" i="3"/>
  <c r="CR37" i="3"/>
  <c r="CS37" i="3"/>
  <c r="CT37" i="3"/>
  <c r="CU37" i="3"/>
  <c r="CV37" i="3"/>
  <c r="CY37" i="3"/>
  <c r="DA37" i="3"/>
  <c r="DB37" i="3"/>
  <c r="DC37" i="3"/>
  <c r="DD37" i="3"/>
  <c r="DE37" i="3"/>
  <c r="DF37" i="3"/>
  <c r="DJ37" i="3"/>
  <c r="DK37" i="3"/>
  <c r="DL37" i="3"/>
  <c r="DM37" i="3"/>
  <c r="DN37" i="3"/>
  <c r="DO37" i="3"/>
  <c r="DS37" i="3"/>
  <c r="DT37" i="3"/>
  <c r="DU37" i="3"/>
  <c r="DV37" i="3"/>
  <c r="DW37" i="3"/>
  <c r="EB37" i="3"/>
  <c r="EC37" i="3"/>
  <c r="ED37" i="3"/>
  <c r="EE37" i="3"/>
  <c r="EF37" i="3"/>
  <c r="EK37" i="3"/>
  <c r="EL37" i="3"/>
  <c r="EM37" i="3"/>
  <c r="EN37" i="3"/>
  <c r="EO37" i="3"/>
  <c r="EP37" i="3"/>
  <c r="ET37" i="3"/>
  <c r="EU37" i="3"/>
  <c r="EV37" i="3"/>
  <c r="EW37" i="3"/>
  <c r="EX37" i="3"/>
  <c r="FC37" i="3"/>
  <c r="FD37" i="3"/>
  <c r="FE37" i="3"/>
  <c r="FF37" i="3"/>
  <c r="FG37" i="3"/>
  <c r="FH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T37" i="3"/>
  <c r="GU37" i="3"/>
  <c r="GV37" i="3"/>
  <c r="GW37" i="3"/>
  <c r="GX37" i="3"/>
  <c r="GY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JO37" i="3"/>
  <c r="JP37" i="3"/>
  <c r="JQ37" i="3"/>
  <c r="JR37" i="3"/>
  <c r="JS37" i="3"/>
  <c r="JT37" i="3"/>
  <c r="JU37" i="3"/>
  <c r="JV37" i="3"/>
  <c r="JW37" i="3"/>
  <c r="JX37" i="3"/>
  <c r="JY37" i="3"/>
  <c r="JZ37" i="3"/>
  <c r="KA37" i="3"/>
  <c r="KB37" i="3"/>
  <c r="KC37" i="3"/>
  <c r="KD37" i="3"/>
  <c r="KE37" i="3"/>
  <c r="KF37" i="3"/>
  <c r="KG37" i="3"/>
  <c r="KH37" i="3"/>
  <c r="KI37" i="3"/>
  <c r="KJ37" i="3"/>
  <c r="KK37" i="3"/>
  <c r="KL37" i="3"/>
  <c r="KM37" i="3"/>
  <c r="KN37" i="3"/>
  <c r="KO37" i="3"/>
  <c r="KP37" i="3"/>
  <c r="KQ37" i="3"/>
  <c r="KR37" i="3"/>
  <c r="KS37" i="3"/>
  <c r="KT37" i="3"/>
  <c r="KU37" i="3"/>
  <c r="KV37" i="3"/>
  <c r="KW37" i="3"/>
  <c r="KX37" i="3"/>
  <c r="KY37" i="3"/>
  <c r="KZ37" i="3"/>
  <c r="LA37" i="3"/>
  <c r="LB37" i="3"/>
  <c r="LC37" i="3"/>
  <c r="LD37" i="3"/>
  <c r="LE37" i="3"/>
  <c r="LF37" i="3"/>
  <c r="LG37" i="3"/>
  <c r="LH37" i="3"/>
  <c r="LI37" i="3"/>
  <c r="LJ37" i="3"/>
  <c r="LK37" i="3"/>
  <c r="LL37" i="3"/>
  <c r="LM37" i="3"/>
  <c r="LN37" i="3"/>
  <c r="LO37" i="3"/>
  <c r="LP37" i="3"/>
  <c r="LQ37" i="3"/>
  <c r="LR37" i="3"/>
  <c r="LS37" i="3"/>
  <c r="LT37" i="3"/>
  <c r="LU37" i="3"/>
  <c r="LV37" i="3"/>
  <c r="LW37" i="3"/>
  <c r="LX37" i="3"/>
  <c r="LY37" i="3"/>
  <c r="LZ37" i="3"/>
  <c r="MA37" i="3"/>
  <c r="MB37" i="3"/>
  <c r="MC37" i="3"/>
  <c r="MD37" i="3"/>
  <c r="ME37" i="3"/>
  <c r="MF37" i="3"/>
  <c r="MG37" i="3"/>
  <c r="MH37" i="3"/>
  <c r="MI37" i="3"/>
  <c r="MJ37" i="3"/>
  <c r="MK37" i="3"/>
  <c r="ML37" i="3"/>
  <c r="MM37" i="3"/>
  <c r="MN37" i="3"/>
  <c r="MO37" i="3"/>
  <c r="MP37" i="3"/>
  <c r="MQ37" i="3"/>
  <c r="MR37" i="3"/>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1" i="3"/>
  <c r="P62" i="3"/>
  <c r="P63" i="3"/>
  <c r="F64" i="3"/>
  <c r="I64" i="3"/>
  <c r="J64" i="3"/>
  <c r="K64" i="3"/>
  <c r="L64" i="3"/>
  <c r="P64" i="3"/>
  <c r="F70" i="3"/>
  <c r="I70" i="3"/>
  <c r="J70" i="3"/>
  <c r="K70" i="3"/>
  <c r="L70" i="3"/>
  <c r="P70" i="3"/>
  <c r="F71" i="3"/>
  <c r="I71" i="3"/>
  <c r="J71" i="3"/>
  <c r="K71" i="3"/>
  <c r="L71" i="3"/>
  <c r="P71" i="3"/>
  <c r="P72" i="3"/>
  <c r="F73" i="3"/>
  <c r="I73" i="3"/>
  <c r="J73" i="3"/>
  <c r="K73" i="3"/>
  <c r="L73" i="3"/>
  <c r="P73" i="3"/>
  <c r="F74" i="3"/>
  <c r="I74" i="3"/>
  <c r="J74" i="3"/>
  <c r="K74" i="3"/>
  <c r="L74" i="3"/>
  <c r="P74" i="3"/>
  <c r="F75" i="3"/>
  <c r="I75" i="3"/>
  <c r="J75" i="3"/>
  <c r="K75" i="3"/>
  <c r="L75" i="3"/>
  <c r="P75" i="3"/>
  <c r="P76" i="3"/>
  <c r="S78" i="3"/>
  <c r="S79" i="3" s="1"/>
  <c r="BC79" i="3"/>
  <c r="BD79" i="3"/>
  <c r="BE79" i="3"/>
  <c r="BF79" i="3"/>
  <c r="BG79" i="3"/>
  <c r="BH79" i="3"/>
  <c r="BI79" i="3"/>
  <c r="BJ79" i="3"/>
  <c r="BK79" i="3"/>
  <c r="BL79" i="3"/>
  <c r="BM79" i="3"/>
  <c r="BN79" i="3"/>
  <c r="BO79" i="3"/>
  <c r="BQ79" i="3"/>
  <c r="BR79" i="3"/>
  <c r="BS79" i="3"/>
  <c r="BT79" i="3"/>
  <c r="BU79" i="3"/>
  <c r="BV79" i="3"/>
  <c r="BY79" i="3"/>
  <c r="BZ79" i="3"/>
  <c r="CA79" i="3"/>
  <c r="CB79" i="3"/>
  <c r="CC79" i="3"/>
  <c r="CD79" i="3"/>
  <c r="CE79" i="3"/>
  <c r="CH79" i="3"/>
  <c r="CI79" i="3"/>
  <c r="CJ79" i="3"/>
  <c r="CK79" i="3"/>
  <c r="CL79" i="3"/>
  <c r="CM79" i="3"/>
  <c r="CN79" i="3"/>
  <c r="CQ79" i="3"/>
  <c r="CR79" i="3"/>
  <c r="CS79" i="3"/>
  <c r="CT79" i="3"/>
  <c r="CU79" i="3"/>
  <c r="CV79" i="3"/>
  <c r="CY79" i="3"/>
  <c r="CZ79" i="3"/>
  <c r="DA79" i="3"/>
  <c r="DB79" i="3"/>
  <c r="DC79" i="3"/>
  <c r="DD79" i="3"/>
  <c r="DE79" i="3"/>
  <c r="DF79" i="3"/>
  <c r="DI79" i="3"/>
  <c r="DJ79" i="3"/>
  <c r="DK79" i="3"/>
  <c r="DL79" i="3"/>
  <c r="DM79" i="3"/>
  <c r="DN79" i="3"/>
  <c r="DO79" i="3"/>
  <c r="DR79" i="3"/>
  <c r="DS79" i="3"/>
  <c r="DT79" i="3"/>
  <c r="DU79" i="3"/>
  <c r="DV79" i="3"/>
  <c r="DW79" i="3"/>
  <c r="DZ79" i="3"/>
  <c r="EA79" i="3"/>
  <c r="EB79" i="3"/>
  <c r="EC79" i="3"/>
  <c r="ED79" i="3"/>
  <c r="EE79" i="3"/>
  <c r="EF79" i="3"/>
  <c r="EI79" i="3"/>
  <c r="EJ79" i="3"/>
  <c r="EK79" i="3"/>
  <c r="EL79" i="3"/>
  <c r="EM79" i="3"/>
  <c r="EN79" i="3"/>
  <c r="EO79" i="3"/>
  <c r="EP79" i="3"/>
  <c r="ES79" i="3"/>
  <c r="ET79" i="3"/>
  <c r="EU79" i="3"/>
  <c r="EV79" i="3"/>
  <c r="EW79" i="3"/>
  <c r="EX79" i="3"/>
  <c r="FB79" i="3"/>
  <c r="FC79" i="3"/>
  <c r="FD79" i="3"/>
  <c r="FE79" i="3"/>
  <c r="FF79" i="3"/>
  <c r="FG79" i="3"/>
  <c r="FH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M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JO79" i="3"/>
  <c r="JP79" i="3"/>
  <c r="JQ79" i="3"/>
  <c r="JR79" i="3"/>
  <c r="JS79" i="3"/>
  <c r="JT79" i="3"/>
  <c r="JU79" i="3"/>
  <c r="JV79" i="3"/>
  <c r="JW79" i="3"/>
  <c r="JX79" i="3"/>
  <c r="JY79" i="3"/>
  <c r="JZ79" i="3"/>
  <c r="KA79" i="3"/>
  <c r="KB79" i="3"/>
  <c r="KC79" i="3"/>
  <c r="KD79" i="3"/>
  <c r="KE79" i="3"/>
  <c r="KF79" i="3"/>
  <c r="KG79" i="3"/>
  <c r="KH79" i="3"/>
  <c r="KI79" i="3"/>
  <c r="KJ79" i="3"/>
  <c r="KK79" i="3"/>
  <c r="KL79" i="3"/>
  <c r="KM79" i="3"/>
  <c r="KN79" i="3"/>
  <c r="KO79" i="3"/>
  <c r="KP79" i="3"/>
  <c r="KQ79" i="3"/>
  <c r="KR79" i="3"/>
  <c r="KS79" i="3"/>
  <c r="KT79" i="3"/>
  <c r="KU79" i="3"/>
  <c r="KV79" i="3"/>
  <c r="KW79" i="3"/>
  <c r="KX79" i="3"/>
  <c r="KY79" i="3"/>
  <c r="KZ79" i="3"/>
  <c r="LA79" i="3"/>
  <c r="LB79" i="3"/>
  <c r="LC79" i="3"/>
  <c r="LD79" i="3"/>
  <c r="LE79" i="3"/>
  <c r="LF79" i="3"/>
  <c r="LG79" i="3"/>
  <c r="LH79" i="3"/>
  <c r="LI79" i="3"/>
  <c r="LJ79" i="3"/>
  <c r="LK79" i="3"/>
  <c r="LL79" i="3"/>
  <c r="LM79" i="3"/>
  <c r="LN79" i="3"/>
  <c r="LO79" i="3"/>
  <c r="LP79" i="3"/>
  <c r="LQ79" i="3"/>
  <c r="LR79" i="3"/>
  <c r="LS79" i="3"/>
  <c r="LT79" i="3"/>
  <c r="LU79" i="3"/>
  <c r="LV79" i="3"/>
  <c r="LW79" i="3"/>
  <c r="LX79" i="3"/>
  <c r="LY79" i="3"/>
  <c r="LZ79" i="3"/>
  <c r="MA79" i="3"/>
  <c r="MB79" i="3"/>
  <c r="MC79" i="3"/>
  <c r="MD79" i="3"/>
  <c r="ME79" i="3"/>
  <c r="MF79" i="3"/>
  <c r="MG79" i="3"/>
  <c r="MH79" i="3"/>
  <c r="MI79" i="3"/>
  <c r="MJ79" i="3"/>
  <c r="MK79" i="3"/>
  <c r="ML79" i="3"/>
  <c r="MM79" i="3"/>
  <c r="MN79" i="3"/>
  <c r="MO79" i="3"/>
  <c r="MP79" i="3"/>
  <c r="MQ79" i="3"/>
  <c r="MR79" i="3"/>
  <c r="P82" i="3"/>
  <c r="P83" i="3"/>
  <c r="P84" i="3"/>
  <c r="P85" i="3"/>
  <c r="P87" i="3"/>
  <c r="P88" i="3"/>
  <c r="P89" i="3"/>
  <c r="Q86" i="3" s="1"/>
  <c r="Q32" i="3" l="1"/>
  <c r="Q31" i="3"/>
  <c r="Q33" i="3"/>
  <c r="Q30" i="3"/>
  <c r="Q87" i="3"/>
  <c r="Q82" i="3"/>
  <c r="V39" i="3"/>
  <c r="V40" i="3" s="1"/>
  <c r="V68" i="3" s="1"/>
  <c r="V67" i="3"/>
  <c r="V2" i="3"/>
  <c r="W1" i="3"/>
  <c r="H37" i="3"/>
  <c r="G37" i="3"/>
  <c r="K37" i="3"/>
  <c r="L37" i="3"/>
  <c r="I37" i="3"/>
  <c r="F37" i="3"/>
  <c r="J37" i="3"/>
  <c r="W39" i="3" l="1"/>
  <c r="W40" i="3" s="1"/>
  <c r="W68" i="3" s="1"/>
  <c r="W67" i="3"/>
  <c r="W2" i="3"/>
  <c r="X1" i="3"/>
  <c r="X39" i="3" l="1"/>
  <c r="X40" i="3" s="1"/>
  <c r="X68" i="3" s="1"/>
  <c r="X67" i="3"/>
  <c r="X2" i="3"/>
  <c r="Y1" i="3"/>
  <c r="Y2" i="3" s="1"/>
  <c r="Y39" i="3" l="1"/>
  <c r="Y40" i="3" s="1"/>
  <c r="Y68" i="3" s="1"/>
  <c r="Y67" i="3"/>
  <c r="Z1" i="3"/>
  <c r="Z39" i="3" l="1"/>
  <c r="Z40" i="3" s="1"/>
  <c r="Z68" i="3" s="1"/>
  <c r="Z67" i="3"/>
  <c r="Z2" i="3"/>
  <c r="AA1" i="3"/>
  <c r="AA39" i="3" l="1"/>
  <c r="AA40" i="3" s="1"/>
  <c r="AA68" i="3" s="1"/>
  <c r="AA67" i="3"/>
  <c r="AA2" i="3"/>
  <c r="AB1" i="3"/>
  <c r="AB39" i="3" l="1"/>
  <c r="AB40" i="3" s="1"/>
  <c r="AB68" i="3" s="1"/>
  <c r="AB67" i="3"/>
  <c r="AB2" i="3"/>
  <c r="AC1" i="3"/>
  <c r="AC39" i="3" l="1"/>
  <c r="AC40" i="3" s="1"/>
  <c r="AC68" i="3" s="1"/>
  <c r="AC67" i="3"/>
  <c r="AD1" i="3"/>
  <c r="AC2" i="3"/>
  <c r="AD39" i="3" l="1"/>
  <c r="AD40" i="3" s="1"/>
  <c r="AD68" i="3" s="1"/>
  <c r="AD67" i="3"/>
  <c r="AD2" i="3"/>
  <c r="AE1" i="3"/>
  <c r="AE39" i="3" l="1"/>
  <c r="AE40" i="3" s="1"/>
  <c r="AE68" i="3" s="1"/>
  <c r="AE67" i="3"/>
  <c r="AE2" i="3"/>
  <c r="AF1" i="3"/>
  <c r="AF39" i="3" l="1"/>
  <c r="AF40" i="3" s="1"/>
  <c r="AF68" i="3" s="1"/>
  <c r="AF67" i="3"/>
  <c r="AF2" i="3"/>
  <c r="AG1" i="3"/>
  <c r="AG39" i="3" l="1"/>
  <c r="AG40" i="3" s="1"/>
  <c r="AG68" i="3" s="1"/>
  <c r="AG67" i="3"/>
  <c r="AG2" i="3"/>
  <c r="AH1" i="3"/>
  <c r="AH39" i="3" l="1"/>
  <c r="AH40" i="3" s="1"/>
  <c r="AH68" i="3" s="1"/>
  <c r="AH67" i="3"/>
  <c r="AH2" i="3"/>
  <c r="AI1" i="3"/>
  <c r="AI39" i="3" l="1"/>
  <c r="AI40" i="3" s="1"/>
  <c r="AI68" i="3" s="1"/>
  <c r="AI67" i="3"/>
  <c r="AI2" i="3"/>
  <c r="AJ1" i="3"/>
  <c r="AJ39" i="3" l="1"/>
  <c r="AJ40" i="3" s="1"/>
  <c r="AJ68" i="3" s="1"/>
  <c r="AJ67" i="3"/>
  <c r="AJ2" i="3"/>
  <c r="AK1" i="3"/>
  <c r="AK39" i="3" l="1"/>
  <c r="AK40" i="3" s="1"/>
  <c r="AK68" i="3" s="1"/>
  <c r="AK67" i="3"/>
  <c r="AK2" i="3"/>
  <c r="AL1" i="3"/>
  <c r="AL39" i="3" l="1"/>
  <c r="AL40" i="3" s="1"/>
  <c r="AL68" i="3" s="1"/>
  <c r="AL67" i="3"/>
  <c r="AL2" i="3"/>
  <c r="AM1" i="3"/>
  <c r="AM39" i="3" l="1"/>
  <c r="AM40" i="3" s="1"/>
  <c r="AM68" i="3" s="1"/>
  <c r="AM67" i="3"/>
  <c r="AM2" i="3"/>
  <c r="AN1" i="3"/>
  <c r="AN39" i="3" l="1"/>
  <c r="AN40" i="3" s="1"/>
  <c r="AN68" i="3" s="1"/>
  <c r="AN67" i="3"/>
  <c r="AN2" i="3"/>
  <c r="AO1" i="3"/>
  <c r="AO39" i="3" l="1"/>
  <c r="AO40" i="3" s="1"/>
  <c r="AO68" i="3" s="1"/>
  <c r="AO67" i="3"/>
  <c r="AO2" i="3"/>
  <c r="AP1" i="3"/>
  <c r="AQ1" i="3" s="1"/>
  <c r="AP2" i="3" l="1"/>
  <c r="AQ39" i="3"/>
  <c r="AQ40" i="3" s="1"/>
  <c r="AQ68" i="3" s="1"/>
  <c r="AQ67" i="3"/>
  <c r="AP39" i="3"/>
  <c r="AP40" i="3" s="1"/>
  <c r="AP68" i="3" s="1"/>
  <c r="AP67" i="3"/>
  <c r="AR1" i="3"/>
  <c r="AQ2" i="3"/>
  <c r="AR39" i="3" l="1"/>
  <c r="AR40" i="3" s="1"/>
  <c r="AR68" i="3" s="1"/>
  <c r="AR67" i="3"/>
  <c r="AS1" i="3"/>
  <c r="AR2" i="3"/>
  <c r="AS39" i="3" l="1"/>
  <c r="AS40" i="3" s="1"/>
  <c r="AS68" i="3" s="1"/>
  <c r="AS67" i="3"/>
  <c r="AT1" i="3"/>
  <c r="AS2" i="3"/>
  <c r="AT39" i="3" l="1"/>
  <c r="AT40" i="3" s="1"/>
  <c r="AT68" i="3" s="1"/>
  <c r="AT67" i="3"/>
  <c r="AU1" i="3"/>
  <c r="AT2" i="3"/>
  <c r="AU39" i="3" l="1"/>
  <c r="AU40" i="3" s="1"/>
  <c r="AU68" i="3" s="1"/>
  <c r="AU67" i="3"/>
  <c r="AV1" i="3"/>
  <c r="AU2" i="3"/>
  <c r="AV39" i="3" l="1"/>
  <c r="AV40" i="3" s="1"/>
  <c r="AV68" i="3" s="1"/>
  <c r="AV67" i="3"/>
  <c r="AW1" i="3"/>
  <c r="AV2" i="3"/>
  <c r="AW39" i="3" l="1"/>
  <c r="AW40" i="3" s="1"/>
  <c r="AW68" i="3" s="1"/>
  <c r="AW67" i="3"/>
  <c r="AX1" i="3"/>
  <c r="AW2" i="3"/>
  <c r="AX39" i="3" l="1"/>
  <c r="AX40" i="3" s="1"/>
  <c r="AX68" i="3" s="1"/>
  <c r="AX67" i="3"/>
  <c r="AY1" i="3"/>
  <c r="AX2" i="3"/>
  <c r="AY39" i="3" l="1"/>
  <c r="AY40" i="3" s="1"/>
  <c r="AY68" i="3" s="1"/>
  <c r="AY67" i="3"/>
  <c r="AZ1" i="3"/>
  <c r="AY2" i="3"/>
  <c r="AZ39" i="3" l="1"/>
  <c r="AZ40" i="3" s="1"/>
  <c r="AZ68" i="3" s="1"/>
  <c r="AZ67" i="3"/>
  <c r="BA1" i="3"/>
  <c r="AZ2" i="3"/>
  <c r="BA39" i="3" l="1"/>
  <c r="BA40" i="3" s="1"/>
  <c r="BA68" i="3" s="1"/>
  <c r="BA67" i="3"/>
  <c r="BB1" i="3"/>
  <c r="BA2" i="3"/>
  <c r="BB39" i="3" l="1"/>
  <c r="BB40" i="3" s="1"/>
  <c r="BB68" i="3" s="1"/>
  <c r="BB67" i="3"/>
  <c r="BC1" i="3"/>
  <c r="BB2" i="3"/>
  <c r="BC39" i="3" l="1"/>
  <c r="BC40" i="3" s="1"/>
  <c r="BC68" i="3" s="1"/>
  <c r="BC67" i="3"/>
  <c r="BD1" i="3"/>
  <c r="BC2" i="3"/>
  <c r="BD39" i="3" l="1"/>
  <c r="BD40" i="3" s="1"/>
  <c r="BD68" i="3" s="1"/>
  <c r="BD67" i="3"/>
  <c r="BE1" i="3"/>
  <c r="BD2" i="3"/>
  <c r="BE39" i="3" l="1"/>
  <c r="BE40" i="3" s="1"/>
  <c r="BE68" i="3" s="1"/>
  <c r="BE67" i="3"/>
  <c r="BF1" i="3"/>
  <c r="BE2" i="3"/>
  <c r="BF39" i="3" l="1"/>
  <c r="BF40" i="3" s="1"/>
  <c r="BF68" i="3" s="1"/>
  <c r="BF67" i="3"/>
  <c r="BG1" i="3"/>
  <c r="BF2" i="3"/>
  <c r="BG39" i="3" l="1"/>
  <c r="BG40" i="3" s="1"/>
  <c r="BG68" i="3" s="1"/>
  <c r="BG67" i="3"/>
  <c r="BH1" i="3"/>
  <c r="BG2" i="3"/>
  <c r="BH39" i="3" l="1"/>
  <c r="BH40" i="3" s="1"/>
  <c r="BH68" i="3" s="1"/>
  <c r="BH67" i="3"/>
  <c r="BI1" i="3"/>
  <c r="BH2" i="3"/>
  <c r="BI39" i="3" l="1"/>
  <c r="BI40" i="3" s="1"/>
  <c r="BI68" i="3" s="1"/>
  <c r="BI67" i="3"/>
  <c r="BJ1" i="3"/>
  <c r="BI2" i="3"/>
  <c r="BJ39" i="3" l="1"/>
  <c r="BJ40" i="3" s="1"/>
  <c r="BJ68" i="3" s="1"/>
  <c r="BJ67" i="3"/>
  <c r="BK1" i="3"/>
  <c r="BJ2" i="3"/>
  <c r="BK39" i="3" l="1"/>
  <c r="BK40" i="3" s="1"/>
  <c r="BK68" i="3" s="1"/>
  <c r="BK67" i="3"/>
  <c r="BL1" i="3"/>
  <c r="BK2" i="3"/>
  <c r="BL39" i="3" l="1"/>
  <c r="BL40" i="3" s="1"/>
  <c r="BL68" i="3" s="1"/>
  <c r="BL67" i="3"/>
  <c r="BM1" i="3"/>
  <c r="BL2" i="3"/>
  <c r="BM39" i="3" l="1"/>
  <c r="BM40" i="3" s="1"/>
  <c r="BM68" i="3" s="1"/>
  <c r="BM67" i="3"/>
  <c r="BN1" i="3"/>
  <c r="BM2" i="3"/>
  <c r="BN39" i="3" l="1"/>
  <c r="BN40" i="3" s="1"/>
  <c r="BN68" i="3" s="1"/>
  <c r="BN67" i="3"/>
  <c r="BO1" i="3"/>
  <c r="BP1" i="3" s="1"/>
  <c r="BP67" i="3" s="1"/>
  <c r="BN2" i="3"/>
  <c r="BQ1" i="3" l="1"/>
  <c r="BP39" i="3"/>
  <c r="BO39" i="3"/>
  <c r="BO40" i="3" s="1"/>
  <c r="BO68" i="3" s="1"/>
  <c r="BO67" i="3"/>
  <c r="BO2" i="3"/>
  <c r="BQ39" i="3" l="1"/>
  <c r="BQ40" i="3" s="1"/>
  <c r="BQ68" i="3" s="1"/>
  <c r="BQ67" i="3"/>
  <c r="BR1" i="3"/>
  <c r="BQ2" i="3"/>
  <c r="BR39" i="3" l="1"/>
  <c r="BR40" i="3" s="1"/>
  <c r="BR68" i="3" s="1"/>
  <c r="BR67" i="3"/>
  <c r="BS1" i="3"/>
  <c r="BR2" i="3"/>
  <c r="BS39" i="3" l="1"/>
  <c r="BS40" i="3" s="1"/>
  <c r="BS68" i="3" s="1"/>
  <c r="BS67" i="3"/>
  <c r="BT1" i="3"/>
  <c r="BS2" i="3"/>
  <c r="BT39" i="3" l="1"/>
  <c r="BT40" i="3" s="1"/>
  <c r="BT68" i="3" s="1"/>
  <c r="BT67" i="3"/>
  <c r="BU1" i="3"/>
  <c r="BT2" i="3"/>
  <c r="BU39" i="3" l="1"/>
  <c r="BU40" i="3" s="1"/>
  <c r="BU68" i="3" s="1"/>
  <c r="BU67" i="3"/>
  <c r="BV1" i="3"/>
  <c r="BW1" i="3" s="1"/>
  <c r="BU2" i="3"/>
  <c r="BW39" i="3" l="1"/>
  <c r="BW67" i="3"/>
  <c r="BZ1" i="3"/>
  <c r="BW2" i="3"/>
  <c r="BV39" i="3"/>
  <c r="BV40" i="3" s="1"/>
  <c r="BV68" i="3" s="1"/>
  <c r="BV67"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8" i="3" s="1"/>
  <c r="DS67" i="3"/>
  <c r="DT1" i="3"/>
  <c r="DS2" i="3"/>
  <c r="DT39" i="3" l="1"/>
  <c r="DT40" i="3" s="1"/>
  <c r="DT68" i="3" s="1"/>
  <c r="DT67" i="3"/>
  <c r="DU1" i="3"/>
  <c r="DT2" i="3"/>
  <c r="DU39" i="3" l="1"/>
  <c r="DU40" i="3" s="1"/>
  <c r="DU68" i="3" s="1"/>
  <c r="DU67" i="3"/>
  <c r="DV1" i="3"/>
  <c r="DU2" i="3"/>
  <c r="DV39" i="3" l="1"/>
  <c r="DV40" i="3" s="1"/>
  <c r="DV68" i="3" s="1"/>
  <c r="DV67" i="3"/>
  <c r="DW1" i="3"/>
  <c r="DX1" i="3" s="1"/>
  <c r="DV2" i="3"/>
  <c r="DX2" i="3" l="1"/>
  <c r="DX39" i="3"/>
  <c r="DX40" i="3" s="1"/>
  <c r="DX68" i="3" s="1"/>
  <c r="DX67" i="3"/>
  <c r="DY1" i="3"/>
  <c r="DW39" i="3"/>
  <c r="DW40" i="3" s="1"/>
  <c r="DW68" i="3" s="1"/>
  <c r="DW67" i="3"/>
  <c r="DW2" i="3"/>
  <c r="DY67" i="3" l="1"/>
  <c r="DY39" i="3"/>
  <c r="DY40" i="3" s="1"/>
  <c r="DY68" i="3" s="1"/>
  <c r="EB1" i="3"/>
  <c r="EB39" i="3" s="1"/>
  <c r="EB40" i="3" s="1"/>
  <c r="EB68" i="3" s="1"/>
  <c r="DY2" i="3"/>
  <c r="EB2" i="3" l="1"/>
  <c r="EC1" i="3"/>
  <c r="EB67" i="3"/>
  <c r="EC39" i="3"/>
  <c r="EC40" i="3" s="1"/>
  <c r="EC68" i="3" s="1"/>
  <c r="EC67" i="3"/>
  <c r="ED1" i="3"/>
  <c r="EC2" i="3"/>
  <c r="ED39" i="3" l="1"/>
  <c r="ED40" i="3" s="1"/>
  <c r="ED68" i="3" s="1"/>
  <c r="ED67" i="3"/>
  <c r="EE1" i="3"/>
  <c r="ED2" i="3"/>
  <c r="EE39" i="3" l="1"/>
  <c r="EE40" i="3" s="1"/>
  <c r="EE68" i="3" s="1"/>
  <c r="EE67" i="3"/>
  <c r="EF1" i="3"/>
  <c r="EG1" i="3" s="1"/>
  <c r="EG67" i="3" s="1"/>
  <c r="EE2" i="3"/>
  <c r="EG39" i="3" l="1"/>
  <c r="EG40" i="3" s="1"/>
  <c r="EG68" i="3" s="1"/>
  <c r="EH1" i="3"/>
  <c r="EH67" i="3" s="1"/>
  <c r="EG2" i="3"/>
  <c r="EF39" i="3"/>
  <c r="EF40" i="3" s="1"/>
  <c r="EF68" i="3" s="1"/>
  <c r="EF67" i="3"/>
  <c r="EF2" i="3"/>
  <c r="EH39" i="3" l="1"/>
  <c r="EH40" i="3" s="1"/>
  <c r="EH68" i="3" s="1"/>
  <c r="EK1" i="3"/>
  <c r="EH2" i="3"/>
  <c r="EK39" i="3" l="1"/>
  <c r="EK40" i="3" s="1"/>
  <c r="EK68" i="3" s="1"/>
  <c r="EK67" i="3"/>
  <c r="EL1" i="3"/>
  <c r="EK2" i="3"/>
  <c r="EL39" i="3" l="1"/>
  <c r="EL40" i="3" s="1"/>
  <c r="EL68" i="3" s="1"/>
  <c r="EL67" i="3"/>
  <c r="EM1" i="3"/>
  <c r="EL2" i="3"/>
  <c r="EM39" i="3" l="1"/>
  <c r="EM40" i="3" s="1"/>
  <c r="EM68" i="3" s="1"/>
  <c r="EM67" i="3"/>
  <c r="EN1" i="3"/>
  <c r="EM2" i="3"/>
  <c r="EN39" i="3" l="1"/>
  <c r="EN40" i="3" s="1"/>
  <c r="EN68" i="3" s="1"/>
  <c r="EN67" i="3"/>
  <c r="EO1" i="3"/>
  <c r="EN2" i="3"/>
  <c r="EO39" i="3" l="1"/>
  <c r="EO40" i="3" s="1"/>
  <c r="EO68" i="3" s="1"/>
  <c r="EO67" i="3"/>
  <c r="EP1" i="3"/>
  <c r="EQ1" i="3" s="1"/>
  <c r="EO2" i="3"/>
  <c r="ET1" i="3" l="1"/>
  <c r="EQ39" i="3"/>
  <c r="EQ40" i="3" s="1"/>
  <c r="EQ68" i="3" s="1"/>
  <c r="EQ67" i="3"/>
  <c r="EQ2" i="3"/>
  <c r="EP39" i="3"/>
  <c r="EP40" i="3" s="1"/>
  <c r="EP68" i="3" s="1"/>
  <c r="EP67" i="3"/>
  <c r="EP2" i="3"/>
  <c r="ET39" i="3" l="1"/>
  <c r="ET40" i="3" s="1"/>
  <c r="ET68" i="3" s="1"/>
  <c r="ET67" i="3"/>
  <c r="EU1" i="3"/>
  <c r="ET2" i="3"/>
  <c r="EU39" i="3" l="1"/>
  <c r="EU40" i="3" s="1"/>
  <c r="EU68" i="3" s="1"/>
  <c r="EU67" i="3"/>
  <c r="EV1" i="3"/>
  <c r="EU2" i="3"/>
  <c r="EV39" i="3" l="1"/>
  <c r="EV40" i="3" s="1"/>
  <c r="EV68" i="3" s="1"/>
  <c r="EV67" i="3"/>
  <c r="EW1" i="3"/>
  <c r="EW67" i="3" s="1"/>
  <c r="EV2" i="3"/>
  <c r="EW39" i="3" l="1"/>
  <c r="EW40" i="3" s="1"/>
  <c r="EW68" i="3" s="1"/>
  <c r="EX1" i="3"/>
  <c r="EX67" i="3" s="1"/>
  <c r="EW2" i="3"/>
  <c r="EX39" i="3" l="1"/>
  <c r="EX40" i="3" s="1"/>
  <c r="EX68" i="3" s="1"/>
  <c r="EY1" i="3"/>
  <c r="EX2" i="3"/>
  <c r="EY67" i="3" l="1"/>
  <c r="EZ1" i="3"/>
  <c r="EY2" i="3"/>
  <c r="EY39" i="3"/>
  <c r="EY40" i="3" s="1"/>
  <c r="EY68" i="3" s="1"/>
  <c r="EZ2" i="3" l="1"/>
  <c r="EZ67" i="3"/>
  <c r="EZ39" i="3"/>
  <c r="EZ40" i="3" s="1"/>
  <c r="EZ68" i="3" s="1"/>
  <c r="FC1" i="3"/>
  <c r="FC67" i="3" s="1"/>
  <c r="FC2" i="3"/>
  <c r="FD1" i="3" l="1"/>
  <c r="FC39" i="3"/>
  <c r="FC40" i="3" s="1"/>
  <c r="FC68" i="3" s="1"/>
  <c r="FD39" i="3"/>
  <c r="FD40" i="3" s="1"/>
  <c r="FD68" i="3" s="1"/>
  <c r="FD67" i="3"/>
  <c r="FE1" i="3"/>
  <c r="FD2" i="3"/>
  <c r="FE39" i="3" l="1"/>
  <c r="FE40" i="3" s="1"/>
  <c r="FE68" i="3" s="1"/>
  <c r="FE67" i="3"/>
  <c r="FF1" i="3"/>
  <c r="FE2" i="3"/>
  <c r="FF39" i="3" l="1"/>
  <c r="FF40" i="3" s="1"/>
  <c r="FF68" i="3" s="1"/>
  <c r="FF67" i="3"/>
  <c r="FG1" i="3"/>
  <c r="FF2" i="3"/>
  <c r="FG39" i="3" l="1"/>
  <c r="FG40" i="3" s="1"/>
  <c r="FG68" i="3" s="1"/>
  <c r="FG67" i="3"/>
  <c r="FH1" i="3"/>
  <c r="FI1" i="3" s="1"/>
  <c r="FG2" i="3"/>
  <c r="FI2" i="3" l="1"/>
  <c r="FI39" i="3"/>
  <c r="FI40" i="3" s="1"/>
  <c r="FI68" i="3" s="1"/>
  <c r="FL1" i="3"/>
  <c r="FI67" i="3"/>
  <c r="FH39" i="3"/>
  <c r="FH40" i="3" s="1"/>
  <c r="FH68" i="3" s="1"/>
  <c r="FH67" i="3"/>
  <c r="FH2" i="3"/>
  <c r="FL39" i="3" l="1"/>
  <c r="FL40" i="3" s="1"/>
  <c r="FL68" i="3" s="1"/>
  <c r="FL67" i="3"/>
  <c r="FM1" i="3"/>
  <c r="FL2" i="3"/>
  <c r="FM39" i="3" l="1"/>
  <c r="FM40" i="3" s="1"/>
  <c r="FM68" i="3" s="1"/>
  <c r="FM67" i="3"/>
  <c r="FN1" i="3"/>
  <c r="FM2" i="3"/>
  <c r="FN39" i="3" l="1"/>
  <c r="FN40" i="3" s="1"/>
  <c r="FN68" i="3" s="1"/>
  <c r="FN67" i="3"/>
  <c r="FO1" i="3"/>
  <c r="FN2" i="3"/>
  <c r="FO39" i="3" l="1"/>
  <c r="FO40" i="3" s="1"/>
  <c r="FO68" i="3" s="1"/>
  <c r="FO67" i="3"/>
  <c r="FP1" i="3"/>
  <c r="FO2" i="3"/>
  <c r="FP39" i="3" l="1"/>
  <c r="FP40" i="3" s="1"/>
  <c r="FP68" i="3" s="1"/>
  <c r="FP67" i="3"/>
  <c r="FQ1" i="3"/>
  <c r="FP2" i="3"/>
  <c r="FQ39" i="3" l="1"/>
  <c r="FQ40" i="3" s="1"/>
  <c r="FQ68" i="3" s="1"/>
  <c r="FQ67" i="3"/>
  <c r="FR1" i="3"/>
  <c r="FQ2" i="3"/>
  <c r="FR39" i="3" l="1"/>
  <c r="FR40" i="3" s="1"/>
  <c r="FR68" i="3" s="1"/>
  <c r="FR67" i="3"/>
  <c r="FS1" i="3"/>
  <c r="FR2" i="3"/>
  <c r="FS39" i="3" l="1"/>
  <c r="FS40" i="3" s="1"/>
  <c r="FS68" i="3" s="1"/>
  <c r="FS67" i="3"/>
  <c r="FT1" i="3"/>
  <c r="FS2" i="3"/>
  <c r="FT39" i="3" l="1"/>
  <c r="FT40" i="3" s="1"/>
  <c r="FT68" i="3" s="1"/>
  <c r="FT67" i="3"/>
  <c r="FU1" i="3"/>
  <c r="FT2" i="3"/>
  <c r="FU39" i="3" l="1"/>
  <c r="FU40" i="3" s="1"/>
  <c r="FU68" i="3" s="1"/>
  <c r="FU67" i="3"/>
  <c r="FV1" i="3"/>
  <c r="FU2" i="3"/>
  <c r="FV39" i="3" l="1"/>
  <c r="FV40" i="3" s="1"/>
  <c r="FV68" i="3" s="1"/>
  <c r="FV67" i="3"/>
  <c r="FW1" i="3"/>
  <c r="FV2" i="3"/>
  <c r="FW39" i="3" l="1"/>
  <c r="FW40" i="3" s="1"/>
  <c r="FW68" i="3" s="1"/>
  <c r="FW67" i="3"/>
  <c r="FX1" i="3"/>
  <c r="FW2" i="3"/>
  <c r="FX39" i="3" l="1"/>
  <c r="FX40" i="3" s="1"/>
  <c r="FX68" i="3" s="1"/>
  <c r="FX67" i="3"/>
  <c r="FY1" i="3"/>
  <c r="FX2" i="3"/>
  <c r="FY39" i="3" l="1"/>
  <c r="FY40" i="3" s="1"/>
  <c r="FY68" i="3" s="1"/>
  <c r="FY67" i="3"/>
  <c r="FZ1" i="3"/>
  <c r="FY2" i="3"/>
  <c r="FZ39" i="3" l="1"/>
  <c r="FZ40" i="3" s="1"/>
  <c r="FZ68" i="3" s="1"/>
  <c r="FZ67" i="3"/>
  <c r="GA1" i="3"/>
  <c r="FZ2" i="3"/>
  <c r="GA39" i="3" l="1"/>
  <c r="GA40" i="3" s="1"/>
  <c r="GA68" i="3" s="1"/>
  <c r="GA67" i="3"/>
  <c r="GB1" i="3"/>
  <c r="GA2" i="3"/>
  <c r="GB39" i="3" l="1"/>
  <c r="GB40" i="3" s="1"/>
  <c r="GB68" i="3" s="1"/>
  <c r="GB67" i="3"/>
  <c r="GC1" i="3"/>
  <c r="GB2" i="3"/>
  <c r="GC39" i="3" l="1"/>
  <c r="GC40" i="3" s="1"/>
  <c r="GC68" i="3" s="1"/>
  <c r="GC67" i="3"/>
  <c r="GD1" i="3"/>
  <c r="GC2" i="3"/>
  <c r="GD39" i="3" l="1"/>
  <c r="GD40" i="3" s="1"/>
  <c r="GD68" i="3" s="1"/>
  <c r="GD67" i="3"/>
  <c r="GE1" i="3"/>
  <c r="GD2" i="3"/>
  <c r="GE39" i="3" l="1"/>
  <c r="GE40" i="3" s="1"/>
  <c r="GE68" i="3" s="1"/>
  <c r="GE67" i="3"/>
  <c r="GF1" i="3"/>
  <c r="GE2" i="3"/>
  <c r="GF39" i="3" l="1"/>
  <c r="GF40" i="3" s="1"/>
  <c r="GF68" i="3" s="1"/>
  <c r="GF67" i="3"/>
  <c r="GG1" i="3"/>
  <c r="GF2" i="3"/>
  <c r="GG39" i="3" l="1"/>
  <c r="GG40" i="3" s="1"/>
  <c r="GG68" i="3" s="1"/>
  <c r="GG67" i="3"/>
  <c r="GH1" i="3"/>
  <c r="GG2" i="3"/>
  <c r="GH39" i="3" l="1"/>
  <c r="GH40" i="3" s="1"/>
  <c r="GH68" i="3" s="1"/>
  <c r="GH67" i="3"/>
  <c r="GI1" i="3"/>
  <c r="GH2" i="3"/>
  <c r="GI39" i="3" l="1"/>
  <c r="GI40" i="3" s="1"/>
  <c r="GI68" i="3" s="1"/>
  <c r="GI67" i="3"/>
  <c r="GJ1" i="3"/>
  <c r="GI2" i="3"/>
  <c r="GJ39" i="3" l="1"/>
  <c r="GJ40" i="3" s="1"/>
  <c r="GJ68" i="3" s="1"/>
  <c r="GJ67" i="3"/>
  <c r="GK1" i="3"/>
  <c r="GJ2" i="3"/>
  <c r="GK39" i="3" l="1"/>
  <c r="GK40" i="3" s="1"/>
  <c r="GK68" i="3" s="1"/>
  <c r="GK67" i="3"/>
  <c r="GL1" i="3"/>
  <c r="GK2" i="3"/>
  <c r="GL39" i="3" l="1"/>
  <c r="GL40" i="3" s="1"/>
  <c r="GL68" i="3" s="1"/>
  <c r="GL67" i="3"/>
  <c r="GM1" i="3"/>
  <c r="GL2" i="3"/>
  <c r="GM39" i="3" l="1"/>
  <c r="GM40" i="3" s="1"/>
  <c r="GM68" i="3" s="1"/>
  <c r="GM67" i="3"/>
  <c r="GN1" i="3"/>
  <c r="GM2" i="3"/>
  <c r="GN39" i="3" l="1"/>
  <c r="GN40" i="3" s="1"/>
  <c r="GN68" i="3" s="1"/>
  <c r="GN67" i="3"/>
  <c r="GO1" i="3"/>
  <c r="GN2" i="3"/>
  <c r="GO39" i="3" l="1"/>
  <c r="GO40" i="3" s="1"/>
  <c r="GO68" i="3" s="1"/>
  <c r="GO67" i="3"/>
  <c r="GP1" i="3"/>
  <c r="GO2" i="3"/>
  <c r="GP39" i="3" l="1"/>
  <c r="GP40" i="3" s="1"/>
  <c r="GP68" i="3" s="1"/>
  <c r="GP67" i="3"/>
  <c r="GQ1" i="3"/>
  <c r="GP2" i="3"/>
  <c r="GQ39" i="3" l="1"/>
  <c r="GQ40" i="3" s="1"/>
  <c r="GQ68" i="3" s="1"/>
  <c r="GQ67" i="3"/>
  <c r="GR1" i="3"/>
  <c r="GQ2" i="3"/>
  <c r="GR39" i="3" l="1"/>
  <c r="GR40" i="3" s="1"/>
  <c r="GR68" i="3" s="1"/>
  <c r="GR67" i="3"/>
  <c r="GS1" i="3"/>
  <c r="GR2" i="3"/>
  <c r="GS39" i="3" l="1"/>
  <c r="GS40" i="3" s="1"/>
  <c r="GS68" i="3" s="1"/>
  <c r="GS67" i="3"/>
  <c r="GT1" i="3"/>
  <c r="GS2" i="3"/>
  <c r="GT39" i="3" l="1"/>
  <c r="GT40" i="3" s="1"/>
  <c r="GT68" i="3" s="1"/>
  <c r="GT67" i="3"/>
  <c r="GU1" i="3"/>
  <c r="GT2" i="3"/>
  <c r="GU39" i="3" l="1"/>
  <c r="GU40" i="3" s="1"/>
  <c r="GU68" i="3" s="1"/>
  <c r="GU67" i="3"/>
  <c r="GV1" i="3"/>
  <c r="GU2" i="3"/>
  <c r="GV39" i="3" l="1"/>
  <c r="GV40" i="3" s="1"/>
  <c r="GV68" i="3" s="1"/>
  <c r="GV67" i="3"/>
  <c r="GW1" i="3"/>
  <c r="GV2" i="3"/>
  <c r="GW39" i="3" l="1"/>
  <c r="GW40" i="3" s="1"/>
  <c r="GW68" i="3" s="1"/>
  <c r="GW67" i="3"/>
  <c r="GX1" i="3"/>
  <c r="GW2" i="3"/>
  <c r="GX39" i="3" l="1"/>
  <c r="GX40" i="3" s="1"/>
  <c r="GX68" i="3" s="1"/>
  <c r="GX67" i="3"/>
  <c r="GY1" i="3"/>
  <c r="GX2" i="3"/>
  <c r="GY39" i="3" l="1"/>
  <c r="GY40" i="3" s="1"/>
  <c r="GY68" i="3" s="1"/>
  <c r="GY67" i="3"/>
  <c r="GZ1" i="3"/>
  <c r="GY2" i="3"/>
  <c r="GZ39" i="3" l="1"/>
  <c r="GZ40" i="3" s="1"/>
  <c r="GZ68" i="3" s="1"/>
  <c r="GZ67" i="3"/>
  <c r="HA1" i="3"/>
  <c r="GZ2" i="3"/>
  <c r="HA39" i="3" l="1"/>
  <c r="HA40" i="3" s="1"/>
  <c r="HA68" i="3" s="1"/>
  <c r="HA67" i="3"/>
  <c r="HB1" i="3"/>
  <c r="HA2" i="3"/>
  <c r="HB39" i="3" l="1"/>
  <c r="HB40" i="3" s="1"/>
  <c r="HB68" i="3" s="1"/>
  <c r="HB67" i="3"/>
  <c r="HC1" i="3"/>
  <c r="HB2" i="3"/>
  <c r="HC39" i="3" l="1"/>
  <c r="HC40" i="3" s="1"/>
  <c r="HC68" i="3" s="1"/>
  <c r="HC67" i="3"/>
  <c r="HD1" i="3"/>
  <c r="HC2" i="3"/>
  <c r="HD39" i="3" l="1"/>
  <c r="HD40" i="3" s="1"/>
  <c r="HD68" i="3" s="1"/>
  <c r="HD67" i="3"/>
  <c r="HE1" i="3"/>
  <c r="HD2" i="3"/>
  <c r="HE39" i="3" l="1"/>
  <c r="HE40" i="3" s="1"/>
  <c r="HE68" i="3" s="1"/>
  <c r="HE67" i="3"/>
  <c r="HF1" i="3"/>
  <c r="HE2" i="3"/>
  <c r="HF39" i="3" l="1"/>
  <c r="HF40" i="3" s="1"/>
  <c r="HF68" i="3" s="1"/>
  <c r="HF67" i="3"/>
  <c r="HG1" i="3"/>
  <c r="HF2" i="3"/>
  <c r="HG39" i="3" l="1"/>
  <c r="HG40" i="3" s="1"/>
  <c r="HG68" i="3" s="1"/>
  <c r="HG67" i="3"/>
  <c r="HH1" i="3"/>
  <c r="HG2" i="3"/>
  <c r="HH39" i="3" l="1"/>
  <c r="HH40" i="3" s="1"/>
  <c r="HH68" i="3" s="1"/>
  <c r="HH67" i="3"/>
  <c r="HI1" i="3"/>
  <c r="HH2" i="3"/>
  <c r="HI39" i="3" l="1"/>
  <c r="HI40" i="3" s="1"/>
  <c r="HI68" i="3" s="1"/>
  <c r="HI67" i="3"/>
  <c r="HJ1" i="3"/>
  <c r="HI2" i="3"/>
  <c r="HJ39" i="3" l="1"/>
  <c r="HJ40" i="3" s="1"/>
  <c r="HJ68" i="3" s="1"/>
  <c r="HJ67" i="3"/>
  <c r="HK1" i="3"/>
  <c r="HJ2" i="3"/>
  <c r="HK39" i="3" l="1"/>
  <c r="HK40" i="3" s="1"/>
  <c r="HK68" i="3" s="1"/>
  <c r="HK67" i="3"/>
  <c r="HL1" i="3"/>
  <c r="HK2" i="3"/>
  <c r="HL39" i="3" l="1"/>
  <c r="HL40" i="3" s="1"/>
  <c r="HL68" i="3" s="1"/>
  <c r="HL67" i="3"/>
  <c r="HM1" i="3"/>
  <c r="HL2" i="3"/>
  <c r="HM39" i="3" l="1"/>
  <c r="HM40" i="3" s="1"/>
  <c r="HM68" i="3" s="1"/>
  <c r="HM67" i="3"/>
  <c r="HN1" i="3"/>
  <c r="HM2" i="3"/>
  <c r="HN39" i="3" l="1"/>
  <c r="HN40" i="3" s="1"/>
  <c r="HN68" i="3" s="1"/>
  <c r="HN67" i="3"/>
  <c r="HO1" i="3"/>
  <c r="HN2" i="3"/>
  <c r="HO39" i="3" l="1"/>
  <c r="HO40" i="3" s="1"/>
  <c r="HO68" i="3" s="1"/>
  <c r="HO67" i="3"/>
  <c r="HP1" i="3"/>
  <c r="HO2" i="3"/>
  <c r="HP39" i="3" l="1"/>
  <c r="HP40" i="3" s="1"/>
  <c r="HP68" i="3" s="1"/>
  <c r="HP67" i="3"/>
  <c r="HQ1" i="3"/>
  <c r="HP2" i="3"/>
  <c r="HQ39" i="3" l="1"/>
  <c r="HQ40" i="3" s="1"/>
  <c r="HQ68" i="3" s="1"/>
  <c r="HQ67" i="3"/>
  <c r="HR1" i="3"/>
  <c r="HQ2" i="3"/>
  <c r="HR39" i="3" l="1"/>
  <c r="HR40" i="3" s="1"/>
  <c r="HR68" i="3" s="1"/>
  <c r="HR67" i="3"/>
  <c r="HS1" i="3"/>
  <c r="HR2" i="3"/>
  <c r="HS39" i="3" l="1"/>
  <c r="HS40" i="3" s="1"/>
  <c r="HS68" i="3" s="1"/>
  <c r="HS67" i="3"/>
  <c r="HT1" i="3"/>
  <c r="HS2" i="3"/>
  <c r="HT39" i="3" l="1"/>
  <c r="HT40" i="3" s="1"/>
  <c r="HT68" i="3" s="1"/>
  <c r="HT67" i="3"/>
  <c r="HU1" i="3"/>
  <c r="HT2" i="3"/>
  <c r="HU39" i="3" l="1"/>
  <c r="HU40" i="3" s="1"/>
  <c r="HU68" i="3" s="1"/>
  <c r="HU67" i="3"/>
  <c r="HV1" i="3"/>
  <c r="HU2" i="3"/>
  <c r="HV39" i="3" l="1"/>
  <c r="HV40" i="3" s="1"/>
  <c r="HV68" i="3" s="1"/>
  <c r="HV67" i="3"/>
  <c r="HW1" i="3"/>
  <c r="HV2" i="3"/>
  <c r="HW39" i="3" l="1"/>
  <c r="HW40" i="3" s="1"/>
  <c r="HW68" i="3" s="1"/>
  <c r="HW67" i="3"/>
  <c r="HX1" i="3"/>
  <c r="HW2" i="3"/>
  <c r="HX39" i="3" l="1"/>
  <c r="HX40" i="3" s="1"/>
  <c r="HX68" i="3" s="1"/>
  <c r="HX67" i="3"/>
  <c r="HY1" i="3"/>
  <c r="HX2" i="3"/>
  <c r="HY39" i="3" l="1"/>
  <c r="HY40" i="3" s="1"/>
  <c r="HY68" i="3" s="1"/>
  <c r="HY67" i="3"/>
  <c r="HZ1" i="3"/>
  <c r="HY2" i="3"/>
  <c r="HZ39" i="3" l="1"/>
  <c r="HZ40" i="3" s="1"/>
  <c r="HZ68" i="3" s="1"/>
  <c r="HZ67" i="3"/>
  <c r="IA1" i="3"/>
  <c r="HZ2" i="3"/>
  <c r="IA39" i="3" l="1"/>
  <c r="IA40" i="3" s="1"/>
  <c r="IA68" i="3" s="1"/>
  <c r="IA67" i="3"/>
  <c r="IB1" i="3"/>
  <c r="IA2" i="3"/>
  <c r="IB39" i="3" l="1"/>
  <c r="IB40" i="3" s="1"/>
  <c r="IB68" i="3" s="1"/>
  <c r="IB67" i="3"/>
  <c r="IC1" i="3"/>
  <c r="IB2" i="3"/>
  <c r="IC39" i="3" l="1"/>
  <c r="IC40" i="3" s="1"/>
  <c r="IC68" i="3" s="1"/>
  <c r="IC67" i="3"/>
  <c r="ID1" i="3"/>
  <c r="IC2" i="3"/>
  <c r="ID39" i="3" l="1"/>
  <c r="ID40" i="3" s="1"/>
  <c r="ID68" i="3" s="1"/>
  <c r="ID67" i="3"/>
  <c r="IE1" i="3"/>
  <c r="ID2" i="3"/>
  <c r="IE39" i="3" l="1"/>
  <c r="IE40" i="3" s="1"/>
  <c r="IE68" i="3" s="1"/>
  <c r="IE67" i="3"/>
  <c r="IF1" i="3"/>
  <c r="IE2" i="3"/>
  <c r="IF39" i="3" l="1"/>
  <c r="IF40" i="3" s="1"/>
  <c r="IF68" i="3" s="1"/>
  <c r="IF67" i="3"/>
  <c r="IG1" i="3"/>
  <c r="IF2" i="3"/>
  <c r="IG39" i="3" l="1"/>
  <c r="IG40" i="3" s="1"/>
  <c r="IG68" i="3" s="1"/>
  <c r="IG67" i="3"/>
  <c r="IH1" i="3"/>
  <c r="IG2" i="3"/>
  <c r="IH39" i="3" l="1"/>
  <c r="IH40" i="3" s="1"/>
  <c r="IH68" i="3" s="1"/>
  <c r="IH67" i="3"/>
  <c r="II1" i="3"/>
  <c r="IH2" i="3"/>
  <c r="II39" i="3" l="1"/>
  <c r="II40" i="3" s="1"/>
  <c r="II68" i="3" s="1"/>
  <c r="II67" i="3"/>
  <c r="IJ1" i="3"/>
  <c r="II2" i="3"/>
  <c r="IJ39" i="3" l="1"/>
  <c r="IJ40" i="3" s="1"/>
  <c r="IJ68" i="3" s="1"/>
  <c r="IJ67" i="3"/>
  <c r="IK1" i="3"/>
  <c r="IJ2" i="3"/>
  <c r="IK39" i="3" l="1"/>
  <c r="IK40" i="3" s="1"/>
  <c r="IK68" i="3" s="1"/>
  <c r="IK67" i="3"/>
  <c r="IL1" i="3"/>
  <c r="IK2" i="3"/>
  <c r="IL39" i="3" l="1"/>
  <c r="IL40" i="3" s="1"/>
  <c r="IL68" i="3" s="1"/>
  <c r="IL67" i="3"/>
  <c r="IM1" i="3"/>
  <c r="IL2" i="3"/>
  <c r="IM39" i="3" l="1"/>
  <c r="IM40" i="3" s="1"/>
  <c r="IM68" i="3" s="1"/>
  <c r="IM67" i="3"/>
  <c r="IN1" i="3"/>
  <c r="IM2" i="3"/>
  <c r="IN39" i="3" l="1"/>
  <c r="IN40" i="3" s="1"/>
  <c r="IN68" i="3" s="1"/>
  <c r="IN67" i="3"/>
  <c r="IO1" i="3"/>
  <c r="IN2" i="3"/>
  <c r="IO39" i="3" l="1"/>
  <c r="IO40" i="3" s="1"/>
  <c r="IO68" i="3" s="1"/>
  <c r="IO67" i="3"/>
  <c r="IP1" i="3"/>
  <c r="IO2" i="3"/>
  <c r="IP39" i="3" l="1"/>
  <c r="IP40" i="3" s="1"/>
  <c r="IP68" i="3" s="1"/>
  <c r="IP67" i="3"/>
  <c r="IQ1" i="3"/>
  <c r="IP2" i="3"/>
  <c r="IQ39" i="3" l="1"/>
  <c r="IQ40" i="3" s="1"/>
  <c r="IQ68" i="3" s="1"/>
  <c r="IQ67" i="3"/>
  <c r="IR1" i="3"/>
  <c r="IQ2" i="3"/>
  <c r="IR39" i="3" l="1"/>
  <c r="IR40" i="3" s="1"/>
  <c r="IR68" i="3" s="1"/>
  <c r="IR67" i="3"/>
  <c r="IS1" i="3"/>
  <c r="IR2" i="3"/>
  <c r="IS39" i="3" l="1"/>
  <c r="IS40" i="3" s="1"/>
  <c r="IS68" i="3" s="1"/>
  <c r="IS67" i="3"/>
  <c r="IT1" i="3"/>
  <c r="IS2" i="3"/>
  <c r="IT39" i="3" l="1"/>
  <c r="IT40" i="3" s="1"/>
  <c r="IT68" i="3" s="1"/>
  <c r="IT67" i="3"/>
  <c r="IU1" i="3"/>
  <c r="IT2" i="3"/>
  <c r="IU39" i="3" l="1"/>
  <c r="IU40" i="3" s="1"/>
  <c r="IU68" i="3" s="1"/>
  <c r="IU67" i="3"/>
  <c r="IV1" i="3"/>
  <c r="IU2" i="3"/>
  <c r="IV39" i="3" l="1"/>
  <c r="IV40" i="3" s="1"/>
  <c r="IV68" i="3" s="1"/>
  <c r="IV67" i="3"/>
  <c r="IW1" i="3"/>
  <c r="IV2" i="3"/>
  <c r="IW39" i="3" l="1"/>
  <c r="IW40" i="3" s="1"/>
  <c r="IW68" i="3" s="1"/>
  <c r="IW67" i="3"/>
  <c r="IX1" i="3"/>
  <c r="IW2" i="3"/>
  <c r="IX39" i="3" l="1"/>
  <c r="IX40" i="3" s="1"/>
  <c r="IX68" i="3" s="1"/>
  <c r="IX67" i="3"/>
  <c r="IY1" i="3"/>
  <c r="IX2" i="3"/>
  <c r="IY39" i="3" l="1"/>
  <c r="IY40" i="3" s="1"/>
  <c r="IY68" i="3" s="1"/>
  <c r="IY67" i="3"/>
  <c r="IZ1" i="3"/>
  <c r="IY2" i="3"/>
  <c r="IZ39" i="3" l="1"/>
  <c r="IZ40" i="3" s="1"/>
  <c r="IZ68" i="3" s="1"/>
  <c r="IZ67" i="3"/>
  <c r="JA1" i="3"/>
  <c r="IZ2" i="3"/>
  <c r="JA39" i="3" l="1"/>
  <c r="JA40" i="3" s="1"/>
  <c r="JA68" i="3" s="1"/>
  <c r="JA67" i="3"/>
  <c r="JB1" i="3"/>
  <c r="JA2" i="3"/>
  <c r="JB39" i="3" l="1"/>
  <c r="JB40" i="3" s="1"/>
  <c r="JB68" i="3" s="1"/>
  <c r="JB67" i="3"/>
  <c r="JC1" i="3"/>
  <c r="JB2" i="3"/>
  <c r="JC39" i="3" l="1"/>
  <c r="JC40" i="3" s="1"/>
  <c r="JC68" i="3" s="1"/>
  <c r="JC67" i="3"/>
  <c r="JD1" i="3"/>
  <c r="JC2" i="3"/>
  <c r="JD39" i="3" l="1"/>
  <c r="JD40" i="3" s="1"/>
  <c r="JD68" i="3" s="1"/>
  <c r="JD67" i="3"/>
  <c r="JE1" i="3"/>
  <c r="JD2" i="3"/>
  <c r="JE39" i="3" l="1"/>
  <c r="JE40" i="3" s="1"/>
  <c r="JE68" i="3" s="1"/>
  <c r="JE67" i="3"/>
  <c r="JF1" i="3"/>
  <c r="JE2" i="3"/>
  <c r="JF39" i="3" l="1"/>
  <c r="JF40" i="3" s="1"/>
  <c r="JF68" i="3" s="1"/>
  <c r="JF67" i="3"/>
  <c r="JG1" i="3"/>
  <c r="JF2" i="3"/>
  <c r="JG39" i="3" l="1"/>
  <c r="JG40" i="3" s="1"/>
  <c r="JG68" i="3" s="1"/>
  <c r="JG67" i="3"/>
  <c r="JH1" i="3"/>
  <c r="JG2" i="3"/>
  <c r="JH39" i="3" l="1"/>
  <c r="JH40" i="3" s="1"/>
  <c r="JH68" i="3" s="1"/>
  <c r="JH67" i="3"/>
  <c r="JI1" i="3"/>
  <c r="JH2" i="3"/>
  <c r="JI39" i="3" l="1"/>
  <c r="JI40" i="3" s="1"/>
  <c r="JI68" i="3" s="1"/>
  <c r="JI67" i="3"/>
  <c r="JJ1" i="3"/>
  <c r="JI2" i="3"/>
  <c r="JJ39" i="3" l="1"/>
  <c r="JJ40" i="3" s="1"/>
  <c r="JJ68" i="3" s="1"/>
  <c r="JJ67" i="3"/>
  <c r="JK1" i="3"/>
  <c r="JJ2" i="3"/>
  <c r="JK39" i="3" l="1"/>
  <c r="JK40" i="3" s="1"/>
  <c r="JK68" i="3" s="1"/>
  <c r="JK67" i="3"/>
  <c r="JL1" i="3"/>
  <c r="JK2" i="3"/>
  <c r="JL39" i="3" l="1"/>
  <c r="JL40" i="3" s="1"/>
  <c r="JL68" i="3" s="1"/>
  <c r="JL67" i="3"/>
  <c r="JM1" i="3"/>
  <c r="JL2" i="3"/>
  <c r="JM39" i="3" l="1"/>
  <c r="JM40" i="3" s="1"/>
  <c r="JM68" i="3" s="1"/>
  <c r="JM67" i="3"/>
  <c r="JN1" i="3"/>
  <c r="JM2" i="3"/>
  <c r="JN39" i="3" l="1"/>
  <c r="JN40" i="3" s="1"/>
  <c r="JN68" i="3" s="1"/>
  <c r="JN67" i="3"/>
  <c r="JO1" i="3"/>
  <c r="JN2" i="3"/>
  <c r="JO39" i="3" l="1"/>
  <c r="JO40" i="3" s="1"/>
  <c r="JO68" i="3" s="1"/>
  <c r="JO67" i="3"/>
  <c r="JP1" i="3"/>
  <c r="JO2" i="3"/>
  <c r="JP39" i="3" l="1"/>
  <c r="JP40" i="3" s="1"/>
  <c r="JP68" i="3" s="1"/>
  <c r="JP67" i="3"/>
  <c r="JQ1" i="3"/>
  <c r="JP2" i="3"/>
  <c r="JQ39" i="3" l="1"/>
  <c r="JQ40" i="3" s="1"/>
  <c r="JQ68" i="3" s="1"/>
  <c r="JQ67" i="3"/>
  <c r="JR1" i="3"/>
  <c r="JQ2" i="3"/>
  <c r="JR39" i="3" l="1"/>
  <c r="JR40" i="3" s="1"/>
  <c r="JR68" i="3" s="1"/>
  <c r="JR67" i="3"/>
  <c r="JS1" i="3"/>
  <c r="JR2" i="3"/>
  <c r="JS39" i="3" l="1"/>
  <c r="JS40" i="3" s="1"/>
  <c r="JS68" i="3" s="1"/>
  <c r="JS67" i="3"/>
  <c r="JT1" i="3"/>
  <c r="JS2" i="3"/>
  <c r="JT39" i="3" l="1"/>
  <c r="JT40" i="3" s="1"/>
  <c r="JT68" i="3" s="1"/>
  <c r="JT67" i="3"/>
  <c r="JU1" i="3"/>
  <c r="JT2" i="3"/>
  <c r="JU39" i="3" l="1"/>
  <c r="JU40" i="3" s="1"/>
  <c r="JU68" i="3" s="1"/>
  <c r="JU67" i="3"/>
  <c r="JV1" i="3"/>
  <c r="JU2" i="3"/>
  <c r="JV39" i="3" l="1"/>
  <c r="JV40" i="3" s="1"/>
  <c r="JV68" i="3" s="1"/>
  <c r="JV67" i="3"/>
  <c r="JW1" i="3"/>
  <c r="JV2" i="3"/>
  <c r="JW39" i="3" l="1"/>
  <c r="JW40" i="3" s="1"/>
  <c r="JW68" i="3" s="1"/>
  <c r="JW67" i="3"/>
  <c r="JX1" i="3"/>
  <c r="JW2" i="3"/>
  <c r="JX39" i="3" l="1"/>
  <c r="JX40" i="3" s="1"/>
  <c r="JX68" i="3" s="1"/>
  <c r="JX67" i="3"/>
  <c r="JY1" i="3"/>
  <c r="JX2" i="3"/>
  <c r="JY39" i="3" l="1"/>
  <c r="JY40" i="3" s="1"/>
  <c r="JY68" i="3" s="1"/>
  <c r="JY67" i="3"/>
  <c r="JZ1" i="3"/>
  <c r="JY2" i="3"/>
  <c r="JZ39" i="3" l="1"/>
  <c r="JZ40" i="3" s="1"/>
  <c r="JZ68" i="3" s="1"/>
  <c r="JZ67" i="3"/>
  <c r="KA1" i="3"/>
  <c r="JZ2" i="3"/>
  <c r="KA39" i="3" l="1"/>
  <c r="KA40" i="3" s="1"/>
  <c r="KA68" i="3" s="1"/>
  <c r="KA67" i="3"/>
  <c r="KB1" i="3"/>
  <c r="KA2" i="3"/>
  <c r="KB39" i="3" l="1"/>
  <c r="KB40" i="3" s="1"/>
  <c r="KB68" i="3" s="1"/>
  <c r="KB67" i="3"/>
  <c r="KC1" i="3"/>
  <c r="KB2" i="3"/>
  <c r="KC39" i="3" l="1"/>
  <c r="KC40" i="3" s="1"/>
  <c r="KC68" i="3" s="1"/>
  <c r="KC67" i="3"/>
  <c r="KD1" i="3"/>
  <c r="KC2" i="3"/>
  <c r="KD39" i="3" l="1"/>
  <c r="KD40" i="3" s="1"/>
  <c r="KD68" i="3" s="1"/>
  <c r="KD67" i="3"/>
  <c r="KE1" i="3"/>
  <c r="KD2" i="3"/>
  <c r="KE39" i="3" l="1"/>
  <c r="KE40" i="3" s="1"/>
  <c r="KE68" i="3" s="1"/>
  <c r="KE67" i="3"/>
  <c r="KF1" i="3"/>
  <c r="KE2" i="3"/>
  <c r="KF39" i="3" l="1"/>
  <c r="KF40" i="3" s="1"/>
  <c r="KF68" i="3" s="1"/>
  <c r="KF67" i="3"/>
  <c r="KG1" i="3"/>
  <c r="KF2" i="3"/>
  <c r="KG39" i="3" l="1"/>
  <c r="KG40" i="3" s="1"/>
  <c r="KG68" i="3" s="1"/>
  <c r="KG67" i="3"/>
  <c r="KH1" i="3"/>
  <c r="KG2" i="3"/>
  <c r="KH39" i="3" l="1"/>
  <c r="KH40" i="3" s="1"/>
  <c r="KH68" i="3" s="1"/>
  <c r="KH67" i="3"/>
  <c r="KI1" i="3"/>
  <c r="KH2" i="3"/>
  <c r="KI39" i="3" l="1"/>
  <c r="KI40" i="3" s="1"/>
  <c r="KI68" i="3" s="1"/>
  <c r="KI67" i="3"/>
  <c r="KJ1" i="3"/>
  <c r="KI2" i="3"/>
  <c r="KJ39" i="3" l="1"/>
  <c r="KJ40" i="3" s="1"/>
  <c r="KJ68" i="3" s="1"/>
  <c r="KJ67" i="3"/>
  <c r="KK1" i="3"/>
  <c r="KJ2" i="3"/>
  <c r="KK39" i="3" l="1"/>
  <c r="KK40" i="3" s="1"/>
  <c r="KK68" i="3" s="1"/>
  <c r="KK67" i="3"/>
  <c r="KL1" i="3"/>
  <c r="KK2" i="3"/>
  <c r="KL39" i="3" l="1"/>
  <c r="KL40" i="3" s="1"/>
  <c r="KL68" i="3" s="1"/>
  <c r="KL67" i="3"/>
  <c r="KM1" i="3"/>
  <c r="KL2" i="3"/>
  <c r="KM39" i="3" l="1"/>
  <c r="KM40" i="3" s="1"/>
  <c r="KM68" i="3" s="1"/>
  <c r="KM67" i="3"/>
  <c r="KN1" i="3"/>
  <c r="KM2" i="3"/>
  <c r="KN39" i="3" l="1"/>
  <c r="KN40" i="3" s="1"/>
  <c r="KN68" i="3" s="1"/>
  <c r="KN67" i="3"/>
  <c r="KO1" i="3"/>
  <c r="KN2" i="3"/>
  <c r="KO39" i="3" l="1"/>
  <c r="KO40" i="3" s="1"/>
  <c r="KO68" i="3" s="1"/>
  <c r="KO67" i="3"/>
  <c r="KP1" i="3"/>
  <c r="KO2" i="3"/>
  <c r="KP39" i="3" l="1"/>
  <c r="KP40" i="3" s="1"/>
  <c r="KP68" i="3" s="1"/>
  <c r="KP67" i="3"/>
  <c r="KQ1" i="3"/>
  <c r="KP2" i="3"/>
  <c r="KQ39" i="3" l="1"/>
  <c r="KQ40" i="3" s="1"/>
  <c r="KQ68" i="3" s="1"/>
  <c r="KQ67" i="3"/>
  <c r="KR1" i="3"/>
  <c r="KQ2" i="3"/>
  <c r="KR39" i="3" l="1"/>
  <c r="KR40" i="3" s="1"/>
  <c r="KR68" i="3" s="1"/>
  <c r="KR67" i="3"/>
  <c r="KS1" i="3"/>
  <c r="KR2" i="3"/>
  <c r="KS39" i="3" l="1"/>
  <c r="KS40" i="3" s="1"/>
  <c r="KS68" i="3" s="1"/>
  <c r="KS67" i="3"/>
  <c r="KT1" i="3"/>
  <c r="KS2" i="3"/>
  <c r="KT39" i="3" l="1"/>
  <c r="KT40" i="3" s="1"/>
  <c r="KT68" i="3" s="1"/>
  <c r="KT67" i="3"/>
  <c r="KU1" i="3"/>
  <c r="KT2" i="3"/>
  <c r="KU39" i="3" l="1"/>
  <c r="KU40" i="3" s="1"/>
  <c r="KU68" i="3" s="1"/>
  <c r="KU67" i="3"/>
  <c r="KV1" i="3"/>
  <c r="KU2" i="3"/>
  <c r="KV39" i="3" l="1"/>
  <c r="KV40" i="3" s="1"/>
  <c r="KV68" i="3" s="1"/>
  <c r="KV67" i="3"/>
  <c r="KW1" i="3"/>
  <c r="KV2" i="3"/>
  <c r="KW39" i="3" l="1"/>
  <c r="KW40" i="3" s="1"/>
  <c r="KW68" i="3" s="1"/>
  <c r="KW67" i="3"/>
  <c r="KX1" i="3"/>
  <c r="KW2" i="3"/>
  <c r="KX39" i="3" l="1"/>
  <c r="KX40" i="3" s="1"/>
  <c r="KX68" i="3" s="1"/>
  <c r="KX67" i="3"/>
  <c r="KY1" i="3"/>
  <c r="KX2" i="3"/>
  <c r="KY39" i="3" l="1"/>
  <c r="KY40" i="3" s="1"/>
  <c r="KY68" i="3" s="1"/>
  <c r="KY67" i="3"/>
  <c r="KZ1" i="3"/>
  <c r="KY2" i="3"/>
  <c r="KZ39" i="3" l="1"/>
  <c r="KZ40" i="3" s="1"/>
  <c r="KZ68" i="3" s="1"/>
  <c r="KZ67" i="3"/>
  <c r="LA1" i="3"/>
  <c r="KZ2" i="3"/>
  <c r="LA39" i="3" l="1"/>
  <c r="LA40" i="3" s="1"/>
  <c r="LA68" i="3" s="1"/>
  <c r="LA67" i="3"/>
  <c r="LB1" i="3"/>
  <c r="LA2" i="3"/>
  <c r="LB39" i="3" l="1"/>
  <c r="LB40" i="3" s="1"/>
  <c r="LB68" i="3" s="1"/>
  <c r="LB67" i="3"/>
  <c r="LC1" i="3"/>
  <c r="LB2" i="3"/>
  <c r="LC39" i="3" l="1"/>
  <c r="LC40" i="3" s="1"/>
  <c r="LC68" i="3" s="1"/>
  <c r="LC67" i="3"/>
  <c r="LD1" i="3"/>
  <c r="LC2" i="3"/>
  <c r="LD39" i="3" l="1"/>
  <c r="LD40" i="3" s="1"/>
  <c r="LD68" i="3" s="1"/>
  <c r="LD67" i="3"/>
  <c r="LE1" i="3"/>
  <c r="LD2" i="3"/>
  <c r="LE39" i="3" l="1"/>
  <c r="LE40" i="3" s="1"/>
  <c r="LE68" i="3" s="1"/>
  <c r="LE67" i="3"/>
  <c r="LF1" i="3"/>
  <c r="LE2" i="3"/>
  <c r="LF39" i="3" l="1"/>
  <c r="LF40" i="3" s="1"/>
  <c r="LF68" i="3" s="1"/>
  <c r="LF67" i="3"/>
  <c r="LG1" i="3"/>
  <c r="LF2" i="3"/>
  <c r="LG39" i="3" l="1"/>
  <c r="LG40" i="3" s="1"/>
  <c r="LG68" i="3" s="1"/>
  <c r="LG67" i="3"/>
  <c r="LH1" i="3"/>
  <c r="LG2" i="3"/>
  <c r="LH39" i="3" l="1"/>
  <c r="LH40" i="3" s="1"/>
  <c r="LH68" i="3" s="1"/>
  <c r="LH67" i="3"/>
  <c r="LI1" i="3"/>
  <c r="LH2" i="3"/>
  <c r="LI39" i="3" l="1"/>
  <c r="LI40" i="3" s="1"/>
  <c r="LI68" i="3" s="1"/>
  <c r="LI67" i="3"/>
  <c r="LJ1" i="3"/>
  <c r="LI2" i="3"/>
  <c r="LJ39" i="3" l="1"/>
  <c r="LJ40" i="3" s="1"/>
  <c r="LJ68" i="3" s="1"/>
  <c r="LJ67" i="3"/>
  <c r="LK1" i="3"/>
  <c r="LJ2" i="3"/>
  <c r="LK39" i="3" l="1"/>
  <c r="LK40" i="3" s="1"/>
  <c r="LK68" i="3" s="1"/>
  <c r="LK67" i="3"/>
  <c r="LL1" i="3"/>
  <c r="LK2" i="3"/>
  <c r="LL39" i="3" l="1"/>
  <c r="LL40" i="3" s="1"/>
  <c r="LL68" i="3" s="1"/>
  <c r="LL67" i="3"/>
  <c r="LM1" i="3"/>
  <c r="LL2" i="3"/>
  <c r="LM39" i="3" l="1"/>
  <c r="LM40" i="3" s="1"/>
  <c r="LM68" i="3" s="1"/>
  <c r="LM67" i="3"/>
  <c r="LN1" i="3"/>
  <c r="LM2" i="3"/>
  <c r="LN39" i="3" l="1"/>
  <c r="LN40" i="3" s="1"/>
  <c r="LN68" i="3" s="1"/>
  <c r="LN67" i="3"/>
  <c r="LO1" i="3"/>
  <c r="LN2" i="3"/>
  <c r="LO39" i="3" l="1"/>
  <c r="LO40" i="3" s="1"/>
  <c r="LO68" i="3" s="1"/>
  <c r="LO67" i="3"/>
  <c r="LP1" i="3"/>
  <c r="LO2" i="3"/>
  <c r="LP39" i="3" l="1"/>
  <c r="LP40" i="3" s="1"/>
  <c r="LP68" i="3" s="1"/>
  <c r="LP67" i="3"/>
  <c r="LQ1" i="3"/>
  <c r="LP2" i="3"/>
  <c r="LQ39" i="3" l="1"/>
  <c r="LQ40" i="3" s="1"/>
  <c r="LQ68" i="3" s="1"/>
  <c r="LQ67" i="3"/>
  <c r="LR1" i="3"/>
  <c r="LQ2" i="3"/>
  <c r="LR39" i="3" l="1"/>
  <c r="LR40" i="3" s="1"/>
  <c r="LR68" i="3" s="1"/>
  <c r="LR67" i="3"/>
  <c r="LS1" i="3"/>
  <c r="LR2" i="3"/>
  <c r="LS39" i="3" l="1"/>
  <c r="LS40" i="3" s="1"/>
  <c r="LS68" i="3" s="1"/>
  <c r="LS67" i="3"/>
  <c r="LT1" i="3"/>
  <c r="LS2" i="3"/>
  <c r="LT39" i="3" l="1"/>
  <c r="LT40" i="3" s="1"/>
  <c r="LT68" i="3" s="1"/>
  <c r="LT67" i="3"/>
  <c r="LU1" i="3"/>
  <c r="LT2" i="3"/>
  <c r="LU39" i="3" l="1"/>
  <c r="LU40" i="3" s="1"/>
  <c r="LU68" i="3" s="1"/>
  <c r="LU67" i="3"/>
  <c r="LV1" i="3"/>
  <c r="LU2" i="3"/>
  <c r="LV39" i="3" l="1"/>
  <c r="LV40" i="3" s="1"/>
  <c r="LV68" i="3" s="1"/>
  <c r="LV67" i="3"/>
  <c r="LW1" i="3"/>
  <c r="LV2" i="3"/>
  <c r="LW39" i="3" l="1"/>
  <c r="LW40" i="3" s="1"/>
  <c r="LW68" i="3" s="1"/>
  <c r="LW67" i="3"/>
  <c r="LX1" i="3"/>
  <c r="LW2" i="3"/>
  <c r="LX39" i="3" l="1"/>
  <c r="LX40" i="3" s="1"/>
  <c r="LX68" i="3" s="1"/>
  <c r="LX67" i="3"/>
  <c r="LY1" i="3"/>
  <c r="LX2" i="3"/>
  <c r="LY39" i="3" l="1"/>
  <c r="LY40" i="3" s="1"/>
  <c r="LY68" i="3" s="1"/>
  <c r="LY67" i="3"/>
  <c r="LZ1" i="3"/>
  <c r="LY2" i="3"/>
  <c r="LZ39" i="3" l="1"/>
  <c r="LZ40" i="3" s="1"/>
  <c r="LZ68" i="3" s="1"/>
  <c r="LZ67" i="3"/>
  <c r="MA1" i="3"/>
  <c r="LZ2" i="3"/>
  <c r="MA39" i="3" l="1"/>
  <c r="MA40" i="3" s="1"/>
  <c r="MA68" i="3" s="1"/>
  <c r="MA67" i="3"/>
  <c r="MB1" i="3"/>
  <c r="MA2" i="3"/>
  <c r="MB39" i="3" l="1"/>
  <c r="MB40" i="3" s="1"/>
  <c r="MB68" i="3" s="1"/>
  <c r="MB67" i="3"/>
  <c r="MC1" i="3"/>
  <c r="MB2" i="3"/>
  <c r="MC39" i="3" l="1"/>
  <c r="MC40" i="3" s="1"/>
  <c r="MC68" i="3" s="1"/>
  <c r="MC67" i="3"/>
  <c r="MD1" i="3"/>
  <c r="MC2" i="3"/>
  <c r="MD39" i="3" l="1"/>
  <c r="MD40" i="3" s="1"/>
  <c r="MD68" i="3" s="1"/>
  <c r="MD67" i="3"/>
  <c r="ME1" i="3"/>
  <c r="MD2" i="3"/>
  <c r="ME39" i="3" l="1"/>
  <c r="ME40" i="3" s="1"/>
  <c r="ME68" i="3" s="1"/>
  <c r="ME67" i="3"/>
  <c r="MF1" i="3"/>
  <c r="ME2" i="3"/>
  <c r="MF39" i="3" l="1"/>
  <c r="MF40" i="3" s="1"/>
  <c r="MF68" i="3" s="1"/>
  <c r="MF67" i="3"/>
  <c r="MG1" i="3"/>
  <c r="MF2" i="3"/>
  <c r="MG39" i="3" l="1"/>
  <c r="MG40" i="3" s="1"/>
  <c r="MG68" i="3" s="1"/>
  <c r="MG67" i="3"/>
  <c r="MH1" i="3"/>
  <c r="MG2" i="3"/>
  <c r="MH39" i="3" l="1"/>
  <c r="MH40" i="3" s="1"/>
  <c r="MH68" i="3" s="1"/>
  <c r="MH67" i="3"/>
  <c r="MI1" i="3"/>
  <c r="MH2" i="3"/>
  <c r="MI39" i="3" l="1"/>
  <c r="MI40" i="3" s="1"/>
  <c r="MI68" i="3" s="1"/>
  <c r="MI67" i="3"/>
  <c r="MJ1" i="3"/>
  <c r="MI2" i="3"/>
  <c r="MJ39" i="3" l="1"/>
  <c r="MJ40" i="3" s="1"/>
  <c r="MJ68" i="3" s="1"/>
  <c r="MJ67" i="3"/>
  <c r="MK1" i="3"/>
  <c r="MJ2" i="3"/>
  <c r="MK39" i="3" l="1"/>
  <c r="MK40" i="3" s="1"/>
  <c r="MK68" i="3" s="1"/>
  <c r="MK67" i="3"/>
  <c r="ML1" i="3"/>
  <c r="MK2" i="3"/>
  <c r="ML39" i="3" l="1"/>
  <c r="ML40" i="3" s="1"/>
  <c r="ML68" i="3" s="1"/>
  <c r="ML67" i="3"/>
  <c r="MM1" i="3"/>
  <c r="ML2" i="3"/>
  <c r="MM39" i="3" l="1"/>
  <c r="MM40" i="3" s="1"/>
  <c r="MM68" i="3" s="1"/>
  <c r="MM67" i="3"/>
  <c r="MN1" i="3"/>
  <c r="MM2" i="3"/>
  <c r="MN39" i="3" l="1"/>
  <c r="MN40" i="3" s="1"/>
  <c r="MN68" i="3" s="1"/>
  <c r="MN67" i="3"/>
  <c r="MO1" i="3"/>
  <c r="MN2" i="3"/>
  <c r="MO39" i="3" l="1"/>
  <c r="MO40" i="3" s="1"/>
  <c r="MO68" i="3" s="1"/>
  <c r="MO67" i="3"/>
  <c r="MP1" i="3"/>
  <c r="MO2" i="3"/>
  <c r="MP39" i="3" l="1"/>
  <c r="MP40" i="3" s="1"/>
  <c r="MP68" i="3" s="1"/>
  <c r="MP67" i="3"/>
  <c r="MQ1" i="3"/>
  <c r="MP2" i="3"/>
  <c r="MQ39" i="3" l="1"/>
  <c r="MQ40" i="3" s="1"/>
  <c r="MQ68" i="3" s="1"/>
  <c r="MQ67" i="3"/>
  <c r="MR1" i="3"/>
  <c r="MQ2" i="3"/>
  <c r="R15" i="3"/>
  <c r="R33" i="3"/>
  <c r="R23" i="3"/>
  <c r="R14" i="3"/>
  <c r="R24" i="3"/>
  <c r="R20" i="3"/>
  <c r="R32" i="3"/>
  <c r="R22" i="3"/>
  <c r="R28" i="3"/>
  <c r="R17" i="3"/>
  <c r="R16" i="3"/>
  <c r="R27" i="3"/>
  <c r="R12" i="3"/>
  <c r="MR39" i="3" l="1"/>
  <c r="MR40" i="3" s="1"/>
  <c r="MR68" i="3" s="1"/>
  <c r="MR67" i="3"/>
  <c r="MR2" i="3"/>
  <c r="R26" i="3"/>
  <c r="R9" i="3"/>
  <c r="R7" i="3"/>
  <c r="R13" i="3"/>
  <c r="R29" i="3"/>
  <c r="R25" i="3"/>
  <c r="R8" i="3"/>
  <c r="R19" i="3"/>
  <c r="R31" i="3"/>
  <c r="R30" i="3"/>
  <c r="R21" i="3"/>
  <c r="R10" i="3"/>
  <c r="R18" i="3"/>
  <c r="R11" i="3"/>
</calcChain>
</file>

<file path=xl/sharedStrings.xml><?xml version="1.0" encoding="utf-8"?>
<sst xmlns="http://schemas.openxmlformats.org/spreadsheetml/2006/main" count="1500" uniqueCount="531">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</sst>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5">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0" fillId="0" borderId="9" xfId="0" applyBorder="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91</xdr:row>
          <xdr:rowOff>28575</xdr:rowOff>
        </xdr:from>
        <xdr:to>
          <xdr:col>0</xdr:col>
          <xdr:colOff>676275</xdr:colOff>
          <xdr:row>93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95</xdr:row>
          <xdr:rowOff>28575</xdr:rowOff>
        </xdr:from>
        <xdr:to>
          <xdr:col>9</xdr:col>
          <xdr:colOff>47625</xdr:colOff>
          <xdr:row>96</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R114"/>
  <sheetViews>
    <sheetView zoomScaleNormal="100" workbookViewId="0">
      <pane xSplit="18" ySplit="3" topLeftCell="EC47" activePane="bottomRight" state="frozen"/>
      <selection pane="topRight" activeCell="F1" sqref="F1"/>
      <selection pane="bottomLeft" activeCell="A3" sqref="A3"/>
      <selection pane="bottomRight" activeCell="EX93" sqref="EX9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6" width="3.140625" customWidth="1"/>
  </cols>
  <sheetData>
    <row r="1" spans="1:356"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525</v>
      </c>
      <c r="FK1" s="49" t="s">
        <v>526</v>
      </c>
      <c r="FL1" s="47">
        <f>FI1 + 1</f>
        <v>44102</v>
      </c>
      <c r="FM1" s="47">
        <f t="shared" ref="FM1:HX1" si="5">FL1 + 1</f>
        <v>44103</v>
      </c>
      <c r="FN1" s="47">
        <f t="shared" si="5"/>
        <v>44104</v>
      </c>
      <c r="FO1" s="47">
        <f t="shared" si="5"/>
        <v>44105</v>
      </c>
      <c r="FP1" s="47">
        <f t="shared" si="5"/>
        <v>44106</v>
      </c>
      <c r="FQ1" s="47">
        <f t="shared" si="5"/>
        <v>44107</v>
      </c>
      <c r="FR1" s="49">
        <f t="shared" si="5"/>
        <v>44108</v>
      </c>
      <c r="FS1" s="47">
        <f t="shared" si="5"/>
        <v>44109</v>
      </c>
      <c r="FT1" s="47">
        <f t="shared" si="5"/>
        <v>44110</v>
      </c>
      <c r="FU1" s="47">
        <f t="shared" si="5"/>
        <v>44111</v>
      </c>
      <c r="FV1" s="47">
        <f t="shared" si="5"/>
        <v>44112</v>
      </c>
      <c r="FW1" s="47">
        <f t="shared" si="5"/>
        <v>44113</v>
      </c>
      <c r="FX1" s="47">
        <f t="shared" si="5"/>
        <v>44114</v>
      </c>
      <c r="FY1" s="49">
        <f t="shared" si="5"/>
        <v>44115</v>
      </c>
      <c r="FZ1" s="47">
        <f t="shared" si="5"/>
        <v>44116</v>
      </c>
      <c r="GA1" s="47">
        <f t="shared" si="5"/>
        <v>44117</v>
      </c>
      <c r="GB1" s="47">
        <f t="shared" si="5"/>
        <v>44118</v>
      </c>
      <c r="GC1" s="47">
        <f t="shared" si="5"/>
        <v>44119</v>
      </c>
      <c r="GD1" s="47">
        <f t="shared" si="5"/>
        <v>44120</v>
      </c>
      <c r="GE1" s="47">
        <f t="shared" si="5"/>
        <v>44121</v>
      </c>
      <c r="GF1" s="49">
        <f t="shared" si="5"/>
        <v>44122</v>
      </c>
      <c r="GG1" s="47">
        <f t="shared" si="5"/>
        <v>44123</v>
      </c>
      <c r="GH1" s="47">
        <f t="shared" si="5"/>
        <v>44124</v>
      </c>
      <c r="GI1" s="47">
        <f t="shared" si="5"/>
        <v>44125</v>
      </c>
      <c r="GJ1" s="47">
        <f t="shared" si="5"/>
        <v>44126</v>
      </c>
      <c r="GK1" s="47">
        <f t="shared" si="5"/>
        <v>44127</v>
      </c>
      <c r="GL1" s="47">
        <f t="shared" si="5"/>
        <v>44128</v>
      </c>
      <c r="GM1" s="49">
        <f t="shared" si="5"/>
        <v>44129</v>
      </c>
      <c r="GN1" s="47">
        <f t="shared" si="5"/>
        <v>44130</v>
      </c>
      <c r="GO1" s="47">
        <f t="shared" si="5"/>
        <v>44131</v>
      </c>
      <c r="GP1" s="47">
        <f t="shared" si="5"/>
        <v>44132</v>
      </c>
      <c r="GQ1" s="47">
        <f t="shared" si="5"/>
        <v>44133</v>
      </c>
      <c r="GR1" s="47">
        <f t="shared" si="5"/>
        <v>44134</v>
      </c>
      <c r="GS1" s="47">
        <f t="shared" si="5"/>
        <v>44135</v>
      </c>
      <c r="GT1" s="49">
        <f t="shared" si="5"/>
        <v>44136</v>
      </c>
      <c r="GU1" s="47">
        <f t="shared" si="5"/>
        <v>44137</v>
      </c>
      <c r="GV1" s="47">
        <f t="shared" si="5"/>
        <v>44138</v>
      </c>
      <c r="GW1" s="47">
        <f t="shared" si="5"/>
        <v>44139</v>
      </c>
      <c r="GX1" s="47">
        <f t="shared" si="5"/>
        <v>44140</v>
      </c>
      <c r="GY1" s="47">
        <f t="shared" si="5"/>
        <v>44141</v>
      </c>
      <c r="GZ1" s="47">
        <f t="shared" si="5"/>
        <v>44142</v>
      </c>
      <c r="HA1" s="49">
        <f t="shared" si="5"/>
        <v>44143</v>
      </c>
      <c r="HB1" s="47">
        <f t="shared" si="5"/>
        <v>44144</v>
      </c>
      <c r="HC1" s="47">
        <f t="shared" si="5"/>
        <v>44145</v>
      </c>
      <c r="HD1" s="47">
        <f t="shared" si="5"/>
        <v>44146</v>
      </c>
      <c r="HE1" s="47">
        <f t="shared" si="5"/>
        <v>44147</v>
      </c>
      <c r="HF1" s="47">
        <f t="shared" si="5"/>
        <v>44148</v>
      </c>
      <c r="HG1" s="47">
        <f t="shared" si="5"/>
        <v>44149</v>
      </c>
      <c r="HH1" s="49">
        <f t="shared" si="5"/>
        <v>44150</v>
      </c>
      <c r="HI1" s="47">
        <f t="shared" si="5"/>
        <v>44151</v>
      </c>
      <c r="HJ1" s="47">
        <f t="shared" si="5"/>
        <v>44152</v>
      </c>
      <c r="HK1" s="47">
        <f t="shared" si="5"/>
        <v>44153</v>
      </c>
      <c r="HL1" s="47">
        <f t="shared" si="5"/>
        <v>44154</v>
      </c>
      <c r="HM1" s="47">
        <f t="shared" si="5"/>
        <v>44155</v>
      </c>
      <c r="HN1" s="47">
        <f t="shared" si="5"/>
        <v>44156</v>
      </c>
      <c r="HO1" s="49">
        <f t="shared" si="5"/>
        <v>44157</v>
      </c>
      <c r="HP1" s="47">
        <f t="shared" si="5"/>
        <v>44158</v>
      </c>
      <c r="HQ1" s="47">
        <f t="shared" si="5"/>
        <v>44159</v>
      </c>
      <c r="HR1" s="47">
        <f t="shared" si="5"/>
        <v>44160</v>
      </c>
      <c r="HS1" s="47">
        <f t="shared" si="5"/>
        <v>44161</v>
      </c>
      <c r="HT1" s="47">
        <f t="shared" si="5"/>
        <v>44162</v>
      </c>
      <c r="HU1" s="47">
        <f t="shared" si="5"/>
        <v>44163</v>
      </c>
      <c r="HV1" s="49">
        <f t="shared" si="5"/>
        <v>44164</v>
      </c>
      <c r="HW1" s="47">
        <f t="shared" si="5"/>
        <v>44165</v>
      </c>
      <c r="HX1" s="47">
        <f t="shared" si="5"/>
        <v>44166</v>
      </c>
      <c r="HY1" s="47">
        <f t="shared" ref="HY1:KJ1" si="6">HX1 + 1</f>
        <v>44167</v>
      </c>
      <c r="HZ1" s="47">
        <f t="shared" si="6"/>
        <v>44168</v>
      </c>
      <c r="IA1" s="47">
        <f t="shared" si="6"/>
        <v>44169</v>
      </c>
      <c r="IB1" s="47">
        <f t="shared" si="6"/>
        <v>44170</v>
      </c>
      <c r="IC1" s="49">
        <f t="shared" si="6"/>
        <v>44171</v>
      </c>
      <c r="ID1" s="47">
        <f t="shared" si="6"/>
        <v>44172</v>
      </c>
      <c r="IE1" s="47">
        <f t="shared" si="6"/>
        <v>44173</v>
      </c>
      <c r="IF1" s="47">
        <f t="shared" si="6"/>
        <v>44174</v>
      </c>
      <c r="IG1" s="47">
        <f t="shared" si="6"/>
        <v>44175</v>
      </c>
      <c r="IH1" s="47">
        <f t="shared" si="6"/>
        <v>44176</v>
      </c>
      <c r="II1" s="47">
        <f t="shared" si="6"/>
        <v>44177</v>
      </c>
      <c r="IJ1" s="49">
        <f t="shared" si="6"/>
        <v>44178</v>
      </c>
      <c r="IK1" s="47">
        <f t="shared" si="6"/>
        <v>44179</v>
      </c>
      <c r="IL1" s="47">
        <f t="shared" si="6"/>
        <v>44180</v>
      </c>
      <c r="IM1" s="47">
        <f t="shared" si="6"/>
        <v>44181</v>
      </c>
      <c r="IN1" s="47">
        <f t="shared" si="6"/>
        <v>44182</v>
      </c>
      <c r="IO1" s="47">
        <f t="shared" si="6"/>
        <v>44183</v>
      </c>
      <c r="IP1" s="47">
        <f t="shared" si="6"/>
        <v>44184</v>
      </c>
      <c r="IQ1" s="49">
        <f t="shared" si="6"/>
        <v>44185</v>
      </c>
      <c r="IR1" s="47">
        <f t="shared" si="6"/>
        <v>44186</v>
      </c>
      <c r="IS1" s="47">
        <f t="shared" si="6"/>
        <v>44187</v>
      </c>
      <c r="IT1" s="47">
        <f t="shared" si="6"/>
        <v>44188</v>
      </c>
      <c r="IU1" s="47">
        <f t="shared" si="6"/>
        <v>44189</v>
      </c>
      <c r="IV1" s="47">
        <f t="shared" si="6"/>
        <v>44190</v>
      </c>
      <c r="IW1" s="47">
        <f t="shared" si="6"/>
        <v>44191</v>
      </c>
      <c r="IX1" s="49">
        <f t="shared" si="6"/>
        <v>44192</v>
      </c>
      <c r="IY1" s="47">
        <f t="shared" si="6"/>
        <v>44193</v>
      </c>
      <c r="IZ1" s="47">
        <f t="shared" si="6"/>
        <v>44194</v>
      </c>
      <c r="JA1" s="47">
        <f t="shared" si="6"/>
        <v>44195</v>
      </c>
      <c r="JB1" s="47">
        <f t="shared" si="6"/>
        <v>44196</v>
      </c>
      <c r="JC1" s="47">
        <f t="shared" si="6"/>
        <v>44197</v>
      </c>
      <c r="JD1" s="47">
        <f t="shared" si="6"/>
        <v>44198</v>
      </c>
      <c r="JE1" s="49">
        <f t="shared" si="6"/>
        <v>44199</v>
      </c>
      <c r="JF1" s="47">
        <f t="shared" si="6"/>
        <v>44200</v>
      </c>
      <c r="JG1" s="47">
        <f t="shared" si="6"/>
        <v>44201</v>
      </c>
      <c r="JH1" s="47">
        <f t="shared" si="6"/>
        <v>44202</v>
      </c>
      <c r="JI1" s="47">
        <f t="shared" si="6"/>
        <v>44203</v>
      </c>
      <c r="JJ1" s="47">
        <f t="shared" si="6"/>
        <v>44204</v>
      </c>
      <c r="JK1" s="47">
        <f t="shared" si="6"/>
        <v>44205</v>
      </c>
      <c r="JL1" s="49">
        <f t="shared" si="6"/>
        <v>44206</v>
      </c>
      <c r="JM1" s="47">
        <f t="shared" si="6"/>
        <v>44207</v>
      </c>
      <c r="JN1" s="47">
        <f t="shared" si="6"/>
        <v>44208</v>
      </c>
      <c r="JO1" s="47">
        <f t="shared" si="6"/>
        <v>44209</v>
      </c>
      <c r="JP1" s="47">
        <f t="shared" si="6"/>
        <v>44210</v>
      </c>
      <c r="JQ1" s="47">
        <f t="shared" si="6"/>
        <v>44211</v>
      </c>
      <c r="JR1" s="47">
        <f t="shared" si="6"/>
        <v>44212</v>
      </c>
      <c r="JS1" s="49">
        <f t="shared" si="6"/>
        <v>44213</v>
      </c>
      <c r="JT1" s="47">
        <f t="shared" si="6"/>
        <v>44214</v>
      </c>
      <c r="JU1" s="47">
        <f t="shared" si="6"/>
        <v>44215</v>
      </c>
      <c r="JV1" s="47">
        <f t="shared" si="6"/>
        <v>44216</v>
      </c>
      <c r="JW1" s="47">
        <f t="shared" si="6"/>
        <v>44217</v>
      </c>
      <c r="JX1" s="47">
        <f t="shared" si="6"/>
        <v>44218</v>
      </c>
      <c r="JY1" s="47">
        <f t="shared" si="6"/>
        <v>44219</v>
      </c>
      <c r="JZ1" s="49">
        <f t="shared" si="6"/>
        <v>44220</v>
      </c>
      <c r="KA1" s="47">
        <f t="shared" si="6"/>
        <v>44221</v>
      </c>
      <c r="KB1" s="47">
        <f t="shared" si="6"/>
        <v>44222</v>
      </c>
      <c r="KC1" s="47">
        <f t="shared" si="6"/>
        <v>44223</v>
      </c>
      <c r="KD1" s="47">
        <f t="shared" si="6"/>
        <v>44224</v>
      </c>
      <c r="KE1" s="47">
        <f t="shared" si="6"/>
        <v>44225</v>
      </c>
      <c r="KF1" s="47">
        <f t="shared" si="6"/>
        <v>44226</v>
      </c>
      <c r="KG1" s="49">
        <f t="shared" si="6"/>
        <v>44227</v>
      </c>
      <c r="KH1" s="47">
        <f t="shared" si="6"/>
        <v>44228</v>
      </c>
      <c r="KI1" s="47">
        <f t="shared" si="6"/>
        <v>44229</v>
      </c>
      <c r="KJ1" s="47">
        <f t="shared" si="6"/>
        <v>44230</v>
      </c>
      <c r="KK1" s="47">
        <f t="shared" ref="KK1:MR1" si="7">KJ1 + 1</f>
        <v>44231</v>
      </c>
      <c r="KL1" s="47">
        <f t="shared" si="7"/>
        <v>44232</v>
      </c>
      <c r="KM1" s="47">
        <f t="shared" si="7"/>
        <v>44233</v>
      </c>
      <c r="KN1" s="49">
        <f t="shared" si="7"/>
        <v>44234</v>
      </c>
      <c r="KO1" s="47">
        <f t="shared" si="7"/>
        <v>44235</v>
      </c>
      <c r="KP1" s="47">
        <f t="shared" si="7"/>
        <v>44236</v>
      </c>
      <c r="KQ1" s="47">
        <f t="shared" si="7"/>
        <v>44237</v>
      </c>
      <c r="KR1" s="47">
        <f t="shared" si="7"/>
        <v>44238</v>
      </c>
      <c r="KS1" s="47">
        <f t="shared" si="7"/>
        <v>44239</v>
      </c>
      <c r="KT1" s="47">
        <f t="shared" si="7"/>
        <v>44240</v>
      </c>
      <c r="KU1" s="49">
        <f t="shared" si="7"/>
        <v>44241</v>
      </c>
      <c r="KV1" s="47">
        <f t="shared" si="7"/>
        <v>44242</v>
      </c>
      <c r="KW1" s="47">
        <f t="shared" si="7"/>
        <v>44243</v>
      </c>
      <c r="KX1" s="47">
        <f t="shared" si="7"/>
        <v>44244</v>
      </c>
      <c r="KY1" s="47">
        <f t="shared" si="7"/>
        <v>44245</v>
      </c>
      <c r="KZ1" s="47">
        <f t="shared" si="7"/>
        <v>44246</v>
      </c>
      <c r="LA1" s="47">
        <f t="shared" si="7"/>
        <v>44247</v>
      </c>
      <c r="LB1" s="49">
        <f t="shared" si="7"/>
        <v>44248</v>
      </c>
      <c r="LC1" s="47">
        <f t="shared" si="7"/>
        <v>44249</v>
      </c>
      <c r="LD1" s="47">
        <f t="shared" si="7"/>
        <v>44250</v>
      </c>
      <c r="LE1" s="47">
        <f t="shared" si="7"/>
        <v>44251</v>
      </c>
      <c r="LF1" s="47">
        <f t="shared" si="7"/>
        <v>44252</v>
      </c>
      <c r="LG1" s="47">
        <f t="shared" si="7"/>
        <v>44253</v>
      </c>
      <c r="LH1" s="47">
        <f t="shared" si="7"/>
        <v>44254</v>
      </c>
      <c r="LI1" s="49">
        <f t="shared" si="7"/>
        <v>44255</v>
      </c>
      <c r="LJ1" s="47">
        <f t="shared" si="7"/>
        <v>44256</v>
      </c>
      <c r="LK1" s="47">
        <f t="shared" si="7"/>
        <v>44257</v>
      </c>
      <c r="LL1" s="47">
        <f t="shared" si="7"/>
        <v>44258</v>
      </c>
      <c r="LM1" s="47">
        <f t="shared" si="7"/>
        <v>44259</v>
      </c>
      <c r="LN1" s="47">
        <f t="shared" si="7"/>
        <v>44260</v>
      </c>
      <c r="LO1" s="47">
        <f t="shared" si="7"/>
        <v>44261</v>
      </c>
      <c r="LP1" s="49">
        <f t="shared" si="7"/>
        <v>44262</v>
      </c>
      <c r="LQ1" s="47">
        <f t="shared" si="7"/>
        <v>44263</v>
      </c>
      <c r="LR1" s="47">
        <f t="shared" si="7"/>
        <v>44264</v>
      </c>
      <c r="LS1" s="47">
        <f t="shared" si="7"/>
        <v>44265</v>
      </c>
      <c r="LT1" s="47">
        <f t="shared" si="7"/>
        <v>44266</v>
      </c>
      <c r="LU1" s="47">
        <f t="shared" si="7"/>
        <v>44267</v>
      </c>
      <c r="LV1" s="47">
        <f t="shared" si="7"/>
        <v>44268</v>
      </c>
      <c r="LW1" s="49">
        <f t="shared" si="7"/>
        <v>44269</v>
      </c>
      <c r="LX1" s="47">
        <f t="shared" si="7"/>
        <v>44270</v>
      </c>
      <c r="LY1" s="47">
        <f t="shared" si="7"/>
        <v>44271</v>
      </c>
      <c r="LZ1" s="47">
        <f t="shared" si="7"/>
        <v>44272</v>
      </c>
      <c r="MA1" s="47">
        <f t="shared" si="7"/>
        <v>44273</v>
      </c>
      <c r="MB1" s="47">
        <f t="shared" si="7"/>
        <v>44274</v>
      </c>
      <c r="MC1" s="47">
        <f t="shared" si="7"/>
        <v>44275</v>
      </c>
      <c r="MD1" s="49">
        <f t="shared" si="7"/>
        <v>44276</v>
      </c>
      <c r="ME1" s="47">
        <f t="shared" si="7"/>
        <v>44277</v>
      </c>
      <c r="MF1" s="47">
        <f t="shared" si="7"/>
        <v>44278</v>
      </c>
      <c r="MG1" s="47">
        <f t="shared" si="7"/>
        <v>44279</v>
      </c>
      <c r="MH1" s="47">
        <f t="shared" si="7"/>
        <v>44280</v>
      </c>
      <c r="MI1" s="47">
        <f t="shared" si="7"/>
        <v>44281</v>
      </c>
      <c r="MJ1" s="47">
        <f t="shared" si="7"/>
        <v>44282</v>
      </c>
      <c r="MK1" s="49">
        <f t="shared" si="7"/>
        <v>44283</v>
      </c>
      <c r="ML1" s="47">
        <f t="shared" si="7"/>
        <v>44284</v>
      </c>
      <c r="MM1" s="47">
        <f t="shared" si="7"/>
        <v>44285</v>
      </c>
      <c r="MN1" s="47">
        <f t="shared" si="7"/>
        <v>44286</v>
      </c>
      <c r="MO1" s="47">
        <f t="shared" si="7"/>
        <v>44287</v>
      </c>
      <c r="MP1" s="47">
        <f t="shared" si="7"/>
        <v>44288</v>
      </c>
      <c r="MQ1" s="47">
        <f t="shared" si="7"/>
        <v>44289</v>
      </c>
      <c r="MR1" s="49">
        <f t="shared" si="7"/>
        <v>44290</v>
      </c>
    </row>
    <row r="2" spans="1:356" ht="15" customHeight="1" x14ac:dyDescent="0.25">
      <c r="A2" s="150" t="s">
        <v>144</v>
      </c>
      <c r="B2" s="150"/>
      <c r="C2" s="150"/>
      <c r="D2" s="150"/>
      <c r="E2" s="150"/>
      <c r="F2" s="39"/>
      <c r="G2" s="39"/>
      <c r="H2" s="39"/>
      <c r="I2" s="39"/>
      <c r="J2" s="39"/>
      <c r="K2" s="39"/>
      <c r="L2" s="39"/>
      <c r="M2" s="39"/>
      <c r="N2" s="39"/>
      <c r="O2" s="27"/>
      <c r="P2" s="151" t="s">
        <v>49</v>
      </c>
      <c r="Q2" s="146" t="s">
        <v>48</v>
      </c>
      <c r="R2" s="148"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 si="129">FQ1</f>
        <v>44107</v>
      </c>
      <c r="FR2" s="50">
        <f t="shared" ref="FR2" si="130">FR1</f>
        <v>44108</v>
      </c>
      <c r="FS2" s="48">
        <f t="shared" ref="FS2" si="131">FS1</f>
        <v>44109</v>
      </c>
      <c r="FT2" s="48">
        <f t="shared" ref="FT2" si="132">FT1</f>
        <v>44110</v>
      </c>
      <c r="FU2" s="48">
        <f t="shared" ref="FU2" si="133">FU1</f>
        <v>44111</v>
      </c>
      <c r="FV2" s="48">
        <f t="shared" ref="FV2" si="134">FV1</f>
        <v>44112</v>
      </c>
      <c r="FW2" s="48">
        <f t="shared" ref="FW2" si="135">FW1</f>
        <v>44113</v>
      </c>
      <c r="FX2" s="48">
        <f t="shared" ref="FX2" si="136">FX1</f>
        <v>44114</v>
      </c>
      <c r="FY2" s="50">
        <f t="shared" ref="FY2" si="137">FY1</f>
        <v>44115</v>
      </c>
      <c r="FZ2" s="48">
        <f t="shared" ref="FZ2" si="138">FZ1</f>
        <v>44116</v>
      </c>
      <c r="GA2" s="48">
        <f t="shared" ref="GA2" si="139">GA1</f>
        <v>44117</v>
      </c>
      <c r="GB2" s="48">
        <f t="shared" ref="GB2" si="140">GB1</f>
        <v>44118</v>
      </c>
      <c r="GC2" s="48">
        <f t="shared" ref="GC2" si="141">GC1</f>
        <v>44119</v>
      </c>
      <c r="GD2" s="48">
        <f t="shared" ref="GD2" si="142">GD1</f>
        <v>44120</v>
      </c>
      <c r="GE2" s="48">
        <f t="shared" ref="GE2" si="143">GE1</f>
        <v>44121</v>
      </c>
      <c r="GF2" s="50">
        <f t="shared" ref="GF2" si="144">GF1</f>
        <v>44122</v>
      </c>
      <c r="GG2" s="48">
        <f t="shared" ref="GG2" si="145">GG1</f>
        <v>44123</v>
      </c>
      <c r="GH2" s="48">
        <f t="shared" ref="GH2" si="146">GH1</f>
        <v>44124</v>
      </c>
      <c r="GI2" s="48">
        <f t="shared" ref="GI2" si="147">GI1</f>
        <v>44125</v>
      </c>
      <c r="GJ2" s="48">
        <f t="shared" ref="GJ2" si="148">GJ1</f>
        <v>44126</v>
      </c>
      <c r="GK2" s="48">
        <f t="shared" ref="GK2" si="149">GK1</f>
        <v>44127</v>
      </c>
      <c r="GL2" s="48">
        <f t="shared" ref="GL2" si="150">GL1</f>
        <v>44128</v>
      </c>
      <c r="GM2" s="50">
        <f t="shared" ref="GM2" si="151">GM1</f>
        <v>44129</v>
      </c>
      <c r="GN2" s="48">
        <f t="shared" ref="GN2" si="152">GN1</f>
        <v>44130</v>
      </c>
      <c r="GO2" s="48">
        <f t="shared" ref="GO2" si="153">GO1</f>
        <v>44131</v>
      </c>
      <c r="GP2" s="48">
        <f t="shared" ref="GP2" si="154">GP1</f>
        <v>44132</v>
      </c>
      <c r="GQ2" s="48">
        <f t="shared" ref="GQ2" si="155">GQ1</f>
        <v>44133</v>
      </c>
      <c r="GR2" s="48">
        <f t="shared" ref="GR2" si="156">GR1</f>
        <v>44134</v>
      </c>
      <c r="GS2" s="48">
        <f t="shared" ref="GS2" si="157">GS1</f>
        <v>44135</v>
      </c>
      <c r="GT2" s="50">
        <f t="shared" ref="GT2" si="158">GT1</f>
        <v>44136</v>
      </c>
      <c r="GU2" s="48">
        <f t="shared" ref="GU2" si="159">GU1</f>
        <v>44137</v>
      </c>
      <c r="GV2" s="48">
        <f t="shared" ref="GV2" si="160">GV1</f>
        <v>44138</v>
      </c>
      <c r="GW2" s="48">
        <f t="shared" ref="GW2" si="161">GW1</f>
        <v>44139</v>
      </c>
      <c r="GX2" s="48">
        <f t="shared" ref="GX2" si="162">GX1</f>
        <v>44140</v>
      </c>
      <c r="GY2" s="48">
        <f t="shared" ref="GY2" si="163">GY1</f>
        <v>44141</v>
      </c>
      <c r="GZ2" s="48">
        <f t="shared" ref="GZ2" si="164">GZ1</f>
        <v>44142</v>
      </c>
      <c r="HA2" s="50">
        <f t="shared" ref="HA2" si="165">HA1</f>
        <v>44143</v>
      </c>
      <c r="HB2" s="48">
        <f t="shared" ref="HB2" si="166">HB1</f>
        <v>44144</v>
      </c>
      <c r="HC2" s="48">
        <f t="shared" ref="HC2" si="167">HC1</f>
        <v>44145</v>
      </c>
      <c r="HD2" s="48">
        <f t="shared" ref="HD2" si="168">HD1</f>
        <v>44146</v>
      </c>
      <c r="HE2" s="48">
        <f t="shared" ref="HE2" si="169">HE1</f>
        <v>44147</v>
      </c>
      <c r="HF2" s="48">
        <f t="shared" ref="HF2" si="170">HF1</f>
        <v>44148</v>
      </c>
      <c r="HG2" s="48">
        <f t="shared" ref="HG2" si="171">HG1</f>
        <v>44149</v>
      </c>
      <c r="HH2" s="50">
        <f t="shared" ref="HH2" si="172">HH1</f>
        <v>44150</v>
      </c>
      <c r="HI2" s="48">
        <f t="shared" ref="HI2" si="173">HI1</f>
        <v>44151</v>
      </c>
      <c r="HJ2" s="48">
        <f t="shared" ref="HJ2" si="174">HJ1</f>
        <v>44152</v>
      </c>
      <c r="HK2" s="48">
        <f t="shared" ref="HK2" si="175">HK1</f>
        <v>44153</v>
      </c>
      <c r="HL2" s="48">
        <f t="shared" ref="HL2" si="176">HL1</f>
        <v>44154</v>
      </c>
      <c r="HM2" s="48">
        <f t="shared" ref="HM2" si="177">HM1</f>
        <v>44155</v>
      </c>
      <c r="HN2" s="48">
        <f t="shared" ref="HN2" si="178">HN1</f>
        <v>44156</v>
      </c>
      <c r="HO2" s="50">
        <f t="shared" ref="HO2" si="179">HO1</f>
        <v>44157</v>
      </c>
      <c r="HP2" s="48">
        <f t="shared" ref="HP2" si="180">HP1</f>
        <v>44158</v>
      </c>
      <c r="HQ2" s="48">
        <f t="shared" ref="HQ2" si="181">HQ1</f>
        <v>44159</v>
      </c>
      <c r="HR2" s="48">
        <f t="shared" ref="HR2" si="182">HR1</f>
        <v>44160</v>
      </c>
      <c r="HS2" s="48">
        <f t="shared" ref="HS2" si="183">HS1</f>
        <v>44161</v>
      </c>
      <c r="HT2" s="48">
        <f t="shared" ref="HT2" si="184">HT1</f>
        <v>44162</v>
      </c>
      <c r="HU2" s="48">
        <f t="shared" ref="HU2" si="185">HU1</f>
        <v>44163</v>
      </c>
      <c r="HV2" s="50">
        <f t="shared" ref="HV2" si="186">HV1</f>
        <v>44164</v>
      </c>
      <c r="HW2" s="48">
        <f t="shared" ref="HW2" si="187">HW1</f>
        <v>44165</v>
      </c>
      <c r="HX2" s="48">
        <f t="shared" ref="HX2" si="188">HX1</f>
        <v>44166</v>
      </c>
      <c r="HY2" s="48">
        <f t="shared" ref="HY2" si="189">HY1</f>
        <v>44167</v>
      </c>
      <c r="HZ2" s="48">
        <f t="shared" ref="HZ2" si="190">HZ1</f>
        <v>44168</v>
      </c>
      <c r="IA2" s="48">
        <f t="shared" ref="IA2" si="191">IA1</f>
        <v>44169</v>
      </c>
      <c r="IB2" s="48">
        <f t="shared" ref="IB2" si="192">IB1</f>
        <v>44170</v>
      </c>
      <c r="IC2" s="50">
        <f t="shared" ref="IC2" si="193">IC1</f>
        <v>44171</v>
      </c>
      <c r="ID2" s="48">
        <f t="shared" ref="ID2" si="194">ID1</f>
        <v>44172</v>
      </c>
      <c r="IE2" s="48">
        <f t="shared" ref="IE2" si="195">IE1</f>
        <v>44173</v>
      </c>
      <c r="IF2" s="48">
        <f t="shared" ref="IF2" si="196">IF1</f>
        <v>44174</v>
      </c>
      <c r="IG2" s="48">
        <f t="shared" ref="IG2" si="197">IG1</f>
        <v>44175</v>
      </c>
      <c r="IH2" s="48">
        <f t="shared" ref="IH2" si="198">IH1</f>
        <v>44176</v>
      </c>
      <c r="II2" s="48">
        <f t="shared" ref="II2" si="199">II1</f>
        <v>44177</v>
      </c>
      <c r="IJ2" s="50">
        <f t="shared" ref="IJ2" si="200">IJ1</f>
        <v>44178</v>
      </c>
      <c r="IK2" s="48">
        <f t="shared" ref="IK2" si="201">IK1</f>
        <v>44179</v>
      </c>
      <c r="IL2" s="48">
        <f t="shared" ref="IL2" si="202">IL1</f>
        <v>44180</v>
      </c>
      <c r="IM2" s="48">
        <f t="shared" ref="IM2" si="203">IM1</f>
        <v>44181</v>
      </c>
      <c r="IN2" s="48">
        <f t="shared" ref="IN2" si="204">IN1</f>
        <v>44182</v>
      </c>
      <c r="IO2" s="48">
        <f t="shared" ref="IO2" si="205">IO1</f>
        <v>44183</v>
      </c>
      <c r="IP2" s="48">
        <f t="shared" ref="IP2" si="206">IP1</f>
        <v>44184</v>
      </c>
      <c r="IQ2" s="50">
        <f t="shared" ref="IQ2" si="207">IQ1</f>
        <v>44185</v>
      </c>
      <c r="IR2" s="48">
        <f t="shared" ref="IR2" si="208">IR1</f>
        <v>44186</v>
      </c>
      <c r="IS2" s="48">
        <f t="shared" ref="IS2" si="209">IS1</f>
        <v>44187</v>
      </c>
      <c r="IT2" s="48">
        <f t="shared" ref="IT2" si="210">IT1</f>
        <v>44188</v>
      </c>
      <c r="IU2" s="48">
        <f t="shared" ref="IU2" si="211">IU1</f>
        <v>44189</v>
      </c>
      <c r="IV2" s="48">
        <f t="shared" ref="IV2" si="212">IV1</f>
        <v>44190</v>
      </c>
      <c r="IW2" s="48">
        <f t="shared" ref="IW2" si="213">IW1</f>
        <v>44191</v>
      </c>
      <c r="IX2" s="50">
        <f t="shared" ref="IX2" si="214">IX1</f>
        <v>44192</v>
      </c>
      <c r="IY2" s="48">
        <f t="shared" ref="IY2" si="215">IY1</f>
        <v>44193</v>
      </c>
      <c r="IZ2" s="48">
        <f t="shared" ref="IZ2" si="216">IZ1</f>
        <v>44194</v>
      </c>
      <c r="JA2" s="48">
        <f t="shared" ref="JA2" si="217">JA1</f>
        <v>44195</v>
      </c>
      <c r="JB2" s="48">
        <f t="shared" ref="JB2" si="218">JB1</f>
        <v>44196</v>
      </c>
      <c r="JC2" s="48">
        <f t="shared" ref="JC2" si="219">JC1</f>
        <v>44197</v>
      </c>
      <c r="JD2" s="48">
        <f t="shared" ref="JD2" si="220">JD1</f>
        <v>44198</v>
      </c>
      <c r="JE2" s="50">
        <f t="shared" ref="JE2" si="221">JE1</f>
        <v>44199</v>
      </c>
      <c r="JF2" s="48">
        <f t="shared" ref="JF2" si="222">JF1</f>
        <v>44200</v>
      </c>
      <c r="JG2" s="48">
        <f t="shared" ref="JG2" si="223">JG1</f>
        <v>44201</v>
      </c>
      <c r="JH2" s="48">
        <f t="shared" ref="JH2" si="224">JH1</f>
        <v>44202</v>
      </c>
      <c r="JI2" s="48">
        <f t="shared" ref="JI2" si="225">JI1</f>
        <v>44203</v>
      </c>
      <c r="JJ2" s="48">
        <f t="shared" ref="JJ2" si="226">JJ1</f>
        <v>44204</v>
      </c>
      <c r="JK2" s="48">
        <f t="shared" ref="JK2" si="227">JK1</f>
        <v>44205</v>
      </c>
      <c r="JL2" s="50">
        <f t="shared" ref="JL2" si="228">JL1</f>
        <v>44206</v>
      </c>
      <c r="JM2" s="48">
        <f t="shared" ref="JM2" si="229">JM1</f>
        <v>44207</v>
      </c>
      <c r="JN2" s="48">
        <f t="shared" ref="JN2" si="230">JN1</f>
        <v>44208</v>
      </c>
      <c r="JO2" s="48">
        <f t="shared" ref="JO2" si="231">JO1</f>
        <v>44209</v>
      </c>
      <c r="JP2" s="48">
        <f t="shared" ref="JP2" si="232">JP1</f>
        <v>44210</v>
      </c>
      <c r="JQ2" s="48">
        <f t="shared" ref="JQ2" si="233">JQ1</f>
        <v>44211</v>
      </c>
      <c r="JR2" s="48">
        <f t="shared" ref="JR2" si="234">JR1</f>
        <v>44212</v>
      </c>
      <c r="JS2" s="50">
        <f t="shared" ref="JS2" si="235">JS1</f>
        <v>44213</v>
      </c>
      <c r="JT2" s="48">
        <f t="shared" ref="JT2" si="236">JT1</f>
        <v>44214</v>
      </c>
      <c r="JU2" s="48">
        <f t="shared" ref="JU2" si="237">JU1</f>
        <v>44215</v>
      </c>
      <c r="JV2" s="48">
        <f t="shared" ref="JV2" si="238">JV1</f>
        <v>44216</v>
      </c>
      <c r="JW2" s="48">
        <f t="shared" ref="JW2" si="239">JW1</f>
        <v>44217</v>
      </c>
      <c r="JX2" s="48">
        <f t="shared" ref="JX2" si="240">JX1</f>
        <v>44218</v>
      </c>
      <c r="JY2" s="48">
        <f t="shared" ref="JY2" si="241">JY1</f>
        <v>44219</v>
      </c>
      <c r="JZ2" s="50">
        <f t="shared" ref="JZ2" si="242">JZ1</f>
        <v>44220</v>
      </c>
      <c r="KA2" s="48">
        <f t="shared" ref="KA2" si="243">KA1</f>
        <v>44221</v>
      </c>
      <c r="KB2" s="48">
        <f t="shared" ref="KB2" si="244">KB1</f>
        <v>44222</v>
      </c>
      <c r="KC2" s="48">
        <f t="shared" ref="KC2" si="245">KC1</f>
        <v>44223</v>
      </c>
      <c r="KD2" s="48">
        <f t="shared" ref="KD2" si="246">KD1</f>
        <v>44224</v>
      </c>
      <c r="KE2" s="48">
        <f t="shared" ref="KE2" si="247">KE1</f>
        <v>44225</v>
      </c>
      <c r="KF2" s="48">
        <f t="shared" ref="KF2" si="248">KF1</f>
        <v>44226</v>
      </c>
      <c r="KG2" s="50">
        <f t="shared" ref="KG2" si="249">KG1</f>
        <v>44227</v>
      </c>
      <c r="KH2" s="48">
        <f t="shared" ref="KH2" si="250">KH1</f>
        <v>44228</v>
      </c>
      <c r="KI2" s="48">
        <f t="shared" ref="KI2" si="251">KI1</f>
        <v>44229</v>
      </c>
      <c r="KJ2" s="48">
        <f t="shared" ref="KJ2" si="252">KJ1</f>
        <v>44230</v>
      </c>
      <c r="KK2" s="48">
        <f t="shared" ref="KK2" si="253">KK1</f>
        <v>44231</v>
      </c>
      <c r="KL2" s="48">
        <f t="shared" ref="KL2" si="254">KL1</f>
        <v>44232</v>
      </c>
      <c r="KM2" s="48">
        <f t="shared" ref="KM2" si="255">KM1</f>
        <v>44233</v>
      </c>
      <c r="KN2" s="50">
        <f t="shared" ref="KN2" si="256">KN1</f>
        <v>44234</v>
      </c>
      <c r="KO2" s="48">
        <f t="shared" ref="KO2" si="257">KO1</f>
        <v>44235</v>
      </c>
      <c r="KP2" s="48">
        <f t="shared" ref="KP2" si="258">KP1</f>
        <v>44236</v>
      </c>
      <c r="KQ2" s="48">
        <f t="shared" ref="KQ2" si="259">KQ1</f>
        <v>44237</v>
      </c>
      <c r="KR2" s="48">
        <f t="shared" ref="KR2" si="260">KR1</f>
        <v>44238</v>
      </c>
      <c r="KS2" s="48">
        <f t="shared" ref="KS2" si="261">KS1</f>
        <v>44239</v>
      </c>
      <c r="KT2" s="48">
        <f t="shared" ref="KT2" si="262">KT1</f>
        <v>44240</v>
      </c>
      <c r="KU2" s="50">
        <f t="shared" ref="KU2" si="263">KU1</f>
        <v>44241</v>
      </c>
      <c r="KV2" s="48">
        <f t="shared" ref="KV2" si="264">KV1</f>
        <v>44242</v>
      </c>
      <c r="KW2" s="48">
        <f t="shared" ref="KW2" si="265">KW1</f>
        <v>44243</v>
      </c>
      <c r="KX2" s="48">
        <f t="shared" ref="KX2" si="266">KX1</f>
        <v>44244</v>
      </c>
      <c r="KY2" s="48">
        <f t="shared" ref="KY2" si="267">KY1</f>
        <v>44245</v>
      </c>
      <c r="KZ2" s="48">
        <f t="shared" ref="KZ2" si="268">KZ1</f>
        <v>44246</v>
      </c>
      <c r="LA2" s="48">
        <f t="shared" ref="LA2" si="269">LA1</f>
        <v>44247</v>
      </c>
      <c r="LB2" s="50">
        <f t="shared" ref="LB2" si="270">LB1</f>
        <v>44248</v>
      </c>
      <c r="LC2" s="48">
        <f t="shared" ref="LC2" si="271">LC1</f>
        <v>44249</v>
      </c>
      <c r="LD2" s="48">
        <f t="shared" ref="LD2" si="272">LD1</f>
        <v>44250</v>
      </c>
      <c r="LE2" s="48">
        <f t="shared" ref="LE2" si="273">LE1</f>
        <v>44251</v>
      </c>
      <c r="LF2" s="48">
        <f t="shared" ref="LF2" si="274">LF1</f>
        <v>44252</v>
      </c>
      <c r="LG2" s="48">
        <f t="shared" ref="LG2" si="275">LG1</f>
        <v>44253</v>
      </c>
      <c r="LH2" s="48">
        <f t="shared" ref="LH2" si="276">LH1</f>
        <v>44254</v>
      </c>
      <c r="LI2" s="50">
        <f t="shared" ref="LI2" si="277">LI1</f>
        <v>44255</v>
      </c>
      <c r="LJ2" s="48">
        <f t="shared" ref="LJ2" si="278">LJ1</f>
        <v>44256</v>
      </c>
      <c r="LK2" s="48">
        <f t="shared" ref="LK2" si="279">LK1</f>
        <v>44257</v>
      </c>
      <c r="LL2" s="48">
        <f t="shared" ref="LL2" si="280">LL1</f>
        <v>44258</v>
      </c>
      <c r="LM2" s="48">
        <f t="shared" ref="LM2" si="281">LM1</f>
        <v>44259</v>
      </c>
      <c r="LN2" s="48">
        <f t="shared" ref="LN2" si="282">LN1</f>
        <v>44260</v>
      </c>
      <c r="LO2" s="48">
        <f t="shared" ref="LO2" si="283">LO1</f>
        <v>44261</v>
      </c>
      <c r="LP2" s="50">
        <f t="shared" ref="LP2" si="284">LP1</f>
        <v>44262</v>
      </c>
      <c r="LQ2" s="48">
        <f t="shared" ref="LQ2" si="285">LQ1</f>
        <v>44263</v>
      </c>
      <c r="LR2" s="48">
        <f t="shared" ref="LR2" si="286">LR1</f>
        <v>44264</v>
      </c>
      <c r="LS2" s="48">
        <f t="shared" ref="LS2" si="287">LS1</f>
        <v>44265</v>
      </c>
      <c r="LT2" s="48">
        <f t="shared" ref="LT2" si="288">LT1</f>
        <v>44266</v>
      </c>
      <c r="LU2" s="48">
        <f t="shared" ref="LU2" si="289">LU1</f>
        <v>44267</v>
      </c>
      <c r="LV2" s="48">
        <f t="shared" ref="LV2" si="290">LV1</f>
        <v>44268</v>
      </c>
      <c r="LW2" s="50">
        <f t="shared" ref="LW2" si="291">LW1</f>
        <v>44269</v>
      </c>
      <c r="LX2" s="48">
        <f t="shared" ref="LX2" si="292">LX1</f>
        <v>44270</v>
      </c>
      <c r="LY2" s="48">
        <f t="shared" ref="LY2" si="293">LY1</f>
        <v>44271</v>
      </c>
      <c r="LZ2" s="48">
        <f t="shared" ref="LZ2" si="294">LZ1</f>
        <v>44272</v>
      </c>
      <c r="MA2" s="48">
        <f t="shared" ref="MA2" si="295">MA1</f>
        <v>44273</v>
      </c>
      <c r="MB2" s="48">
        <f t="shared" ref="MB2" si="296">MB1</f>
        <v>44274</v>
      </c>
      <c r="MC2" s="48">
        <f t="shared" ref="MC2" si="297">MC1</f>
        <v>44275</v>
      </c>
      <c r="MD2" s="50">
        <f t="shared" ref="MD2" si="298">MD1</f>
        <v>44276</v>
      </c>
      <c r="ME2" s="48">
        <f t="shared" ref="ME2" si="299">ME1</f>
        <v>44277</v>
      </c>
      <c r="MF2" s="48">
        <f t="shared" ref="MF2" si="300">MF1</f>
        <v>44278</v>
      </c>
      <c r="MG2" s="48">
        <f t="shared" ref="MG2" si="301">MG1</f>
        <v>44279</v>
      </c>
      <c r="MH2" s="48">
        <f t="shared" ref="MH2" si="302">MH1</f>
        <v>44280</v>
      </c>
      <c r="MI2" s="48">
        <f t="shared" ref="MI2" si="303">MI1</f>
        <v>44281</v>
      </c>
      <c r="MJ2" s="48">
        <f t="shared" ref="MJ2" si="304">MJ1</f>
        <v>44282</v>
      </c>
      <c r="MK2" s="50">
        <f t="shared" ref="MK2" si="305">MK1</f>
        <v>44283</v>
      </c>
      <c r="ML2" s="48">
        <f t="shared" ref="ML2" si="306">ML1</f>
        <v>44284</v>
      </c>
      <c r="MM2" s="48">
        <f t="shared" ref="MM2" si="307">MM1</f>
        <v>44285</v>
      </c>
      <c r="MN2" s="48">
        <f t="shared" ref="MN2" si="308">MN1</f>
        <v>44286</v>
      </c>
      <c r="MO2" s="48">
        <f t="shared" ref="MO2" si="309">MO1</f>
        <v>44287</v>
      </c>
      <c r="MP2" s="48">
        <f t="shared" ref="MP2" si="310">MP1</f>
        <v>44288</v>
      </c>
      <c r="MQ2" s="48">
        <f t="shared" ref="MQ2" si="311">MQ1</f>
        <v>44289</v>
      </c>
      <c r="MR2" s="50">
        <f t="shared" ref="MR2" si="312">MR1</f>
        <v>44290</v>
      </c>
    </row>
    <row r="3" spans="1:356" ht="15" customHeight="1" x14ac:dyDescent="0.25">
      <c r="A3" s="150"/>
      <c r="B3" s="150"/>
      <c r="C3" s="150"/>
      <c r="D3" s="150"/>
      <c r="E3" s="150"/>
      <c r="F3" s="39"/>
      <c r="G3" s="39"/>
      <c r="H3" s="39"/>
      <c r="I3" s="39"/>
      <c r="J3" s="39"/>
      <c r="K3" s="39"/>
      <c r="L3" s="39"/>
      <c r="M3" s="39"/>
      <c r="N3" s="39"/>
      <c r="O3" s="27"/>
      <c r="P3" s="152"/>
      <c r="Q3" s="147"/>
      <c r="R3" s="149"/>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c r="FE3" s="38" t="s">
        <v>38</v>
      </c>
      <c r="FF3" s="38" t="s">
        <v>38</v>
      </c>
      <c r="FG3" s="38" t="s">
        <v>38</v>
      </c>
      <c r="FH3" s="38" t="s">
        <v>46</v>
      </c>
      <c r="FI3" s="38"/>
      <c r="FJ3" s="38"/>
      <c r="FK3" s="24"/>
      <c r="FL3" s="38" t="s">
        <v>38</v>
      </c>
      <c r="FM3" s="38" t="s">
        <v>38</v>
      </c>
      <c r="FN3" s="38"/>
      <c r="FO3" s="38" t="s">
        <v>38</v>
      </c>
      <c r="FP3" s="38" t="s">
        <v>38</v>
      </c>
      <c r="FQ3" s="38" t="s">
        <v>46</v>
      </c>
      <c r="FR3" s="24"/>
      <c r="FS3" s="38" t="s">
        <v>38</v>
      </c>
      <c r="FT3" s="38" t="s">
        <v>38</v>
      </c>
      <c r="FU3" s="38"/>
      <c r="FV3" s="38" t="s">
        <v>38</v>
      </c>
      <c r="FW3" s="38" t="s">
        <v>38</v>
      </c>
      <c r="FX3" s="38"/>
      <c r="FY3" s="24"/>
      <c r="FZ3" s="38" t="s">
        <v>38</v>
      </c>
      <c r="GA3" s="38" t="s">
        <v>38</v>
      </c>
      <c r="GB3" s="38"/>
      <c r="GC3" s="38" t="s">
        <v>38</v>
      </c>
      <c r="GD3" s="38" t="s">
        <v>38</v>
      </c>
      <c r="GE3" s="38"/>
      <c r="GF3" s="24"/>
      <c r="GG3" s="38" t="s">
        <v>38</v>
      </c>
      <c r="GH3" s="38" t="s">
        <v>38</v>
      </c>
      <c r="GI3" s="38"/>
      <c r="GJ3" s="38" t="s">
        <v>38</v>
      </c>
      <c r="GK3" s="38" t="s">
        <v>38</v>
      </c>
      <c r="GL3" s="38"/>
      <c r="GM3" s="24"/>
      <c r="GN3" s="38" t="s">
        <v>38</v>
      </c>
      <c r="GO3" s="38" t="s">
        <v>38</v>
      </c>
      <c r="GP3" s="38"/>
      <c r="GQ3" s="38" t="s">
        <v>38</v>
      </c>
      <c r="GR3" s="38" t="s">
        <v>38</v>
      </c>
      <c r="GS3" s="38"/>
      <c r="GT3" s="24"/>
      <c r="GU3" s="38"/>
      <c r="GV3" s="38" t="s">
        <v>38</v>
      </c>
      <c r="GW3" s="38"/>
      <c r="GX3" s="38" t="s">
        <v>38</v>
      </c>
      <c r="GY3" s="38" t="s">
        <v>38</v>
      </c>
      <c r="GZ3" s="38"/>
      <c r="HA3" s="24"/>
      <c r="HB3" s="38"/>
      <c r="HC3" s="38" t="s">
        <v>38</v>
      </c>
      <c r="HD3" s="38"/>
      <c r="HE3" s="38" t="s">
        <v>38</v>
      </c>
      <c r="HF3" s="38" t="s">
        <v>38</v>
      </c>
      <c r="HG3" s="38"/>
      <c r="HH3" s="24"/>
      <c r="HI3" s="38"/>
      <c r="HJ3" s="38" t="s">
        <v>38</v>
      </c>
      <c r="HK3" s="38"/>
      <c r="HL3" s="38" t="s">
        <v>38</v>
      </c>
      <c r="HM3" s="38" t="s">
        <v>38</v>
      </c>
      <c r="HN3" s="38"/>
      <c r="HO3" s="24"/>
      <c r="HP3" s="38"/>
      <c r="HQ3" s="38" t="s">
        <v>38</v>
      </c>
      <c r="HR3" s="38"/>
      <c r="HS3" s="38" t="s">
        <v>38</v>
      </c>
      <c r="HT3" s="38" t="s">
        <v>38</v>
      </c>
      <c r="HU3" s="38"/>
      <c r="HV3" s="24"/>
      <c r="HW3" s="38"/>
      <c r="HX3" s="38" t="s">
        <v>38</v>
      </c>
      <c r="HY3" s="38" t="s">
        <v>38</v>
      </c>
      <c r="HZ3" s="38"/>
      <c r="IA3" s="38" t="s">
        <v>38</v>
      </c>
      <c r="IB3" s="38">
        <v>14</v>
      </c>
      <c r="IC3" s="24"/>
      <c r="ID3" s="38"/>
      <c r="IE3" s="38" t="s">
        <v>38</v>
      </c>
      <c r="IF3" s="38"/>
      <c r="IG3" s="38" t="s">
        <v>38</v>
      </c>
      <c r="IH3" s="38" t="s">
        <v>38</v>
      </c>
      <c r="II3" s="38"/>
      <c r="IJ3" s="24"/>
      <c r="IK3" s="38"/>
      <c r="IL3" s="38" t="s">
        <v>38</v>
      </c>
      <c r="IM3" s="38"/>
      <c r="IN3" s="38" t="s">
        <v>38</v>
      </c>
      <c r="IO3" s="38" t="s">
        <v>38</v>
      </c>
      <c r="IP3" s="38">
        <v>10</v>
      </c>
      <c r="IQ3" s="24"/>
      <c r="IR3" s="38"/>
      <c r="IS3" s="38" t="s">
        <v>38</v>
      </c>
      <c r="IT3" s="38"/>
      <c r="IU3" s="38" t="s">
        <v>38</v>
      </c>
      <c r="IV3" s="38" t="s">
        <v>38</v>
      </c>
      <c r="IW3" s="38">
        <v>11</v>
      </c>
      <c r="IX3" s="24" t="s">
        <v>47</v>
      </c>
      <c r="IY3" s="38"/>
      <c r="IZ3" s="38" t="s">
        <v>38</v>
      </c>
      <c r="JA3" s="38" t="s">
        <v>40</v>
      </c>
      <c r="JB3" s="38" t="s">
        <v>38</v>
      </c>
      <c r="JC3" s="38" t="s">
        <v>38</v>
      </c>
      <c r="JD3" s="38">
        <v>11</v>
      </c>
      <c r="JE3" s="24">
        <v>13</v>
      </c>
      <c r="JF3" s="38"/>
      <c r="JG3" s="38" t="s">
        <v>38</v>
      </c>
      <c r="JH3" s="38"/>
      <c r="JI3" s="38" t="s">
        <v>38</v>
      </c>
      <c r="JJ3" s="38" t="s">
        <v>38</v>
      </c>
      <c r="JK3" s="38" t="s">
        <v>40</v>
      </c>
      <c r="JL3" s="24">
        <v>12</v>
      </c>
      <c r="JM3" s="38"/>
      <c r="JN3" s="38" t="s">
        <v>38</v>
      </c>
      <c r="JO3" s="38"/>
      <c r="JP3" s="38" t="s">
        <v>38</v>
      </c>
      <c r="JQ3" s="38"/>
      <c r="JR3" s="38" t="s">
        <v>45</v>
      </c>
      <c r="JS3" s="24" t="s">
        <v>45</v>
      </c>
      <c r="JT3" s="38"/>
      <c r="JU3" s="38"/>
      <c r="JV3" s="38"/>
      <c r="JW3" s="38" t="s">
        <v>38</v>
      </c>
      <c r="JX3" s="38" t="s">
        <v>44</v>
      </c>
      <c r="JY3" s="38" t="s">
        <v>44</v>
      </c>
      <c r="JZ3" s="24"/>
      <c r="KA3" s="38" t="s">
        <v>38</v>
      </c>
      <c r="KB3" s="38" t="s">
        <v>38</v>
      </c>
      <c r="KC3" s="38"/>
      <c r="KD3" s="38" t="s">
        <v>38</v>
      </c>
      <c r="KE3" s="38" t="s">
        <v>38</v>
      </c>
      <c r="KF3" s="38"/>
      <c r="KG3" s="24" t="s">
        <v>43</v>
      </c>
      <c r="KH3" s="38"/>
      <c r="KI3" s="38" t="s">
        <v>38</v>
      </c>
      <c r="KJ3" s="38" t="s">
        <v>43</v>
      </c>
      <c r="KK3" s="38" t="s">
        <v>38</v>
      </c>
      <c r="KL3" s="38" t="s">
        <v>38</v>
      </c>
      <c r="KM3" s="38" t="s">
        <v>43</v>
      </c>
      <c r="KN3" s="24" t="s">
        <v>41</v>
      </c>
      <c r="KO3" s="38" t="s">
        <v>40</v>
      </c>
      <c r="KP3" s="38" t="s">
        <v>38</v>
      </c>
      <c r="KQ3" s="38"/>
      <c r="KR3" s="38" t="s">
        <v>38</v>
      </c>
      <c r="KS3" s="38" t="s">
        <v>38</v>
      </c>
      <c r="KT3" s="38">
        <v>12</v>
      </c>
      <c r="KU3" s="24">
        <v>12</v>
      </c>
      <c r="KV3" s="38"/>
      <c r="KW3" s="38" t="s">
        <v>38</v>
      </c>
      <c r="KX3" s="38"/>
      <c r="KY3" s="38" t="s">
        <v>38</v>
      </c>
      <c r="KZ3" s="38" t="s">
        <v>38</v>
      </c>
      <c r="LA3" s="38" t="s">
        <v>38</v>
      </c>
      <c r="LB3" s="24">
        <v>11</v>
      </c>
      <c r="LC3" s="38"/>
      <c r="LD3" s="38" t="s">
        <v>38</v>
      </c>
      <c r="LE3" s="38"/>
      <c r="LF3" s="38" t="s">
        <v>38</v>
      </c>
      <c r="LG3" s="38" t="s">
        <v>38</v>
      </c>
      <c r="LH3" s="38">
        <v>13</v>
      </c>
      <c r="LI3" s="24">
        <v>13</v>
      </c>
      <c r="LJ3" s="38"/>
      <c r="LK3" s="38" t="s">
        <v>38</v>
      </c>
      <c r="LL3" s="38"/>
      <c r="LM3" s="38">
        <v>10</v>
      </c>
      <c r="LN3" s="38"/>
      <c r="LO3" s="38"/>
      <c r="LP3" s="26" t="s">
        <v>39</v>
      </c>
      <c r="LQ3" s="38"/>
      <c r="LR3" s="38" t="s">
        <v>38</v>
      </c>
      <c r="LS3" s="38"/>
      <c r="LT3" s="38" t="s">
        <v>38</v>
      </c>
      <c r="LU3" s="38" t="s">
        <v>38</v>
      </c>
      <c r="LV3" s="38"/>
      <c r="LW3" s="24"/>
      <c r="LX3" s="38"/>
      <c r="LY3" s="38"/>
      <c r="LZ3" s="38"/>
      <c r="MA3" s="38"/>
      <c r="MB3" s="38"/>
      <c r="MC3" s="38"/>
      <c r="MD3" s="24"/>
      <c r="ME3" s="38"/>
      <c r="MF3" s="38"/>
      <c r="MG3" s="38"/>
      <c r="MH3" s="38"/>
      <c r="MI3" s="38"/>
      <c r="MJ3" s="38"/>
      <c r="MK3" s="24"/>
      <c r="ML3" s="38"/>
      <c r="MM3" s="38"/>
      <c r="MN3" s="38"/>
      <c r="MO3" s="38"/>
      <c r="MP3" s="38"/>
      <c r="MQ3" s="38"/>
      <c r="MR3" s="24"/>
    </row>
    <row r="4" spans="1:356"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c r="LX4" s="11"/>
      <c r="LY4" s="11"/>
      <c r="LZ4" s="11"/>
      <c r="MA4" s="11"/>
      <c r="MB4" s="11"/>
      <c r="MC4" s="11"/>
      <c r="MD4" s="12"/>
      <c r="ME4" s="11"/>
      <c r="MF4" s="11"/>
      <c r="MG4" s="11"/>
      <c r="MH4" s="11"/>
      <c r="MI4" s="11"/>
      <c r="MJ4" s="11"/>
      <c r="MK4" s="12"/>
      <c r="ML4" s="11"/>
      <c r="MM4" s="11"/>
      <c r="MN4" s="11"/>
      <c r="MO4" s="11"/>
      <c r="MP4" s="11"/>
      <c r="MQ4" s="11"/>
      <c r="MR4" s="12"/>
    </row>
    <row r="5" spans="1:35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c r="LX5" s="11"/>
      <c r="LY5" s="11"/>
      <c r="LZ5" s="11"/>
      <c r="MA5" s="11"/>
      <c r="MB5" s="11"/>
      <c r="MC5" s="11"/>
      <c r="MD5" s="12"/>
      <c r="ME5" s="11"/>
      <c r="MF5" s="11"/>
      <c r="MG5" s="11"/>
      <c r="MH5" s="11"/>
      <c r="MI5" s="11"/>
      <c r="MJ5" s="11"/>
      <c r="MK5" s="12"/>
      <c r="ML5" s="11"/>
      <c r="MM5" s="11"/>
      <c r="MN5" s="11"/>
      <c r="MO5" s="11"/>
      <c r="MP5" s="11"/>
      <c r="MQ5" s="11"/>
      <c r="MR5" s="12"/>
    </row>
    <row r="6" spans="1:356" ht="7.5" customHeight="1" x14ac:dyDescent="0.25">
      <c r="A6" s="8"/>
      <c r="B6" s="8"/>
      <c r="C6" s="8"/>
      <c r="D6" s="8"/>
      <c r="E6" s="8"/>
      <c r="F6" s="10"/>
      <c r="G6" s="19"/>
      <c r="H6" s="19"/>
      <c r="I6" s="8"/>
      <c r="J6" s="8"/>
      <c r="K6" s="8"/>
      <c r="L6" s="8"/>
      <c r="M6" s="8"/>
      <c r="N6" s="8"/>
      <c r="O6" s="9"/>
      <c r="P6" s="8" t="str">
        <f t="shared" ref="P6:P33" si="313">IF(SUM(S6:MR6) &gt; 0, SUM(S6:MR6), "")</f>
        <v/>
      </c>
      <c r="Q6" s="109" t="str">
        <f>IF(SUM(R6:XFD6) &gt; 0, SUM(R6:XFD6) /#REF! * 100, "")</f>
        <v/>
      </c>
      <c r="R6" s="84"/>
      <c r="S6" s="7"/>
      <c r="Z6" s="7"/>
      <c r="AG6" s="7"/>
      <c r="AN6" s="7"/>
      <c r="AU6" s="7"/>
      <c r="BB6" s="7"/>
      <c r="BI6" s="7"/>
      <c r="BP6" s="7"/>
      <c r="BY6" s="79"/>
      <c r="CH6" s="7"/>
      <c r="CQ6" s="7"/>
      <c r="CZ6" s="7"/>
      <c r="DI6" s="7"/>
      <c r="DR6" s="7"/>
      <c r="EA6" s="79"/>
      <c r="EJ6" s="7"/>
      <c r="ES6" s="7"/>
      <c r="FB6" s="7"/>
      <c r="FK6" s="7"/>
      <c r="FR6" s="7"/>
      <c r="FY6" s="7"/>
      <c r="GF6" s="7"/>
      <c r="GM6" s="7"/>
      <c r="GT6" s="7"/>
      <c r="HA6" s="7"/>
      <c r="HH6" s="7"/>
      <c r="HO6" s="7"/>
      <c r="HV6" s="7"/>
      <c r="IC6" s="7"/>
      <c r="IJ6" s="7"/>
      <c r="IQ6" s="7"/>
      <c r="IX6" s="7"/>
      <c r="JE6" s="7"/>
      <c r="JL6" s="7"/>
      <c r="JS6" s="7"/>
      <c r="JZ6" s="7"/>
      <c r="KG6" s="7"/>
      <c r="KN6" s="7"/>
      <c r="KU6" s="7"/>
      <c r="LB6" s="7"/>
      <c r="LI6" s="7"/>
      <c r="LP6" s="7"/>
      <c r="LW6" s="7"/>
      <c r="MD6" s="7"/>
      <c r="MK6" s="7"/>
      <c r="MR6" s="7"/>
    </row>
    <row r="7" spans="1:356" ht="15" customHeight="1" x14ac:dyDescent="0.25">
      <c r="A7" s="8" t="s">
        <v>128</v>
      </c>
      <c r="B7" s="8" t="s">
        <v>127</v>
      </c>
      <c r="C7" s="8" t="s">
        <v>157</v>
      </c>
      <c r="D7" s="8" t="s">
        <v>126</v>
      </c>
      <c r="E7" s="18">
        <v>38532</v>
      </c>
      <c r="F7" s="10">
        <f>IF($E7 &gt;= F$5, 1, "")</f>
        <v>1</v>
      </c>
      <c r="G7" s="19">
        <f>IF($E7 &gt;= G$5, 1, "")</f>
        <v>1</v>
      </c>
      <c r="H7" s="19" t="str">
        <f t="shared" ref="H7:L7" si="314">IF($E7 &gt;= H$5, 1, "")</f>
        <v/>
      </c>
      <c r="I7" s="19" t="str">
        <f t="shared" si="314"/>
        <v/>
      </c>
      <c r="J7" s="19" t="str">
        <f t="shared" si="314"/>
        <v/>
      </c>
      <c r="K7" s="19" t="str">
        <f t="shared" si="314"/>
        <v/>
      </c>
      <c r="L7" s="19" t="str">
        <f t="shared" si="314"/>
        <v/>
      </c>
      <c r="M7" s="8"/>
      <c r="N7" s="8">
        <v>1</v>
      </c>
      <c r="O7" s="9">
        <v>1</v>
      </c>
      <c r="P7" s="8">
        <f t="shared" si="313"/>
        <v>50</v>
      </c>
      <c r="Q7" s="109">
        <f t="shared" ref="Q7:Q26" si="315">IF(SUM(S7:XFD7) &gt; 0, SUM(S7:XFD7) /P$36 * 100, "")</f>
        <v>89.285714285714292</v>
      </c>
      <c r="R7" s="129" t="str">
        <f t="shared" ref="R7:R33" si="316">KStateSum(S7:MR7,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J7" s="99" t="s">
        <v>364</v>
      </c>
      <c r="FK7" s="80" t="s">
        <v>366</v>
      </c>
      <c r="FR7" s="7"/>
      <c r="FY7" s="7"/>
      <c r="GF7" s="7"/>
      <c r="GM7" s="7"/>
      <c r="GT7" s="7"/>
      <c r="HA7" s="7"/>
      <c r="HH7" s="7"/>
      <c r="HO7" s="7"/>
      <c r="HV7" s="7"/>
      <c r="IC7" s="7"/>
      <c r="IJ7" s="7"/>
      <c r="IQ7" s="7"/>
      <c r="IX7" s="7"/>
      <c r="JE7" s="7"/>
      <c r="JL7" s="7"/>
      <c r="JS7" s="7"/>
      <c r="JZ7" s="7"/>
      <c r="KG7" s="7"/>
      <c r="KN7" s="7"/>
      <c r="KU7" s="7"/>
      <c r="LB7" s="7"/>
      <c r="LI7" s="7"/>
      <c r="LP7" s="7"/>
      <c r="LW7" s="7"/>
      <c r="MD7" s="7"/>
      <c r="MK7" s="7"/>
      <c r="MR7" s="7"/>
    </row>
    <row r="8" spans="1:356" ht="15" customHeight="1" x14ac:dyDescent="0.25">
      <c r="A8" s="8" t="s">
        <v>151</v>
      </c>
      <c r="B8" s="8" t="s">
        <v>152</v>
      </c>
      <c r="C8" s="8" t="s">
        <v>153</v>
      </c>
      <c r="D8" s="8" t="s">
        <v>154</v>
      </c>
      <c r="E8" s="18">
        <v>36859</v>
      </c>
      <c r="F8" s="10" t="str">
        <f t="shared" ref="F8:L30" si="317">IF($E8 &gt;= F$5, 1, "")</f>
        <v/>
      </c>
      <c r="G8" s="19" t="str">
        <f t="shared" si="317"/>
        <v/>
      </c>
      <c r="H8" s="19" t="str">
        <f t="shared" si="317"/>
        <v/>
      </c>
      <c r="I8" s="19" t="str">
        <f t="shared" si="317"/>
        <v/>
      </c>
      <c r="J8" s="19" t="str">
        <f t="shared" si="317"/>
        <v/>
      </c>
      <c r="K8" s="19" t="str">
        <f t="shared" si="317"/>
        <v/>
      </c>
      <c r="L8" s="19" t="str">
        <f t="shared" si="317"/>
        <v/>
      </c>
      <c r="M8" s="8"/>
      <c r="N8" s="8"/>
      <c r="O8" s="9"/>
      <c r="P8" s="8">
        <f t="shared" si="313"/>
        <v>22</v>
      </c>
      <c r="Q8" s="109">
        <f t="shared" si="315"/>
        <v>39.285714285714285</v>
      </c>
      <c r="R8" s="129" t="str">
        <f t="shared" si="316"/>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J8" s="99" t="s">
        <v>364</v>
      </c>
      <c r="FK8" s="80" t="s">
        <v>366</v>
      </c>
      <c r="FR8" s="7"/>
      <c r="FY8" s="7"/>
      <c r="GF8" s="7"/>
      <c r="GM8" s="7"/>
      <c r="GT8" s="7"/>
      <c r="HA8" s="7"/>
      <c r="HH8" s="7"/>
      <c r="HO8" s="7"/>
      <c r="HV8" s="7"/>
      <c r="IC8" s="7"/>
      <c r="IJ8" s="7"/>
      <c r="IQ8" s="7"/>
      <c r="IX8" s="7"/>
      <c r="JE8" s="7"/>
      <c r="JL8" s="7"/>
      <c r="JS8" s="7"/>
      <c r="JZ8" s="7"/>
      <c r="KG8" s="7"/>
      <c r="KN8" s="7"/>
      <c r="KU8" s="7"/>
      <c r="LB8" s="7"/>
      <c r="LI8" s="7"/>
      <c r="LP8" s="7"/>
      <c r="LW8" s="7"/>
      <c r="MD8" s="7"/>
      <c r="MK8" s="7"/>
      <c r="MR8" s="7"/>
    </row>
    <row r="9" spans="1:356" ht="15" customHeight="1" x14ac:dyDescent="0.25">
      <c r="A9" s="8" t="s">
        <v>20</v>
      </c>
      <c r="B9" s="8"/>
      <c r="C9" s="8" t="s">
        <v>149</v>
      </c>
      <c r="D9" s="8" t="s">
        <v>150</v>
      </c>
      <c r="E9" s="18">
        <v>37414</v>
      </c>
      <c r="F9" s="10">
        <f t="shared" si="317"/>
        <v>1</v>
      </c>
      <c r="G9" s="19" t="str">
        <f t="shared" si="317"/>
        <v/>
      </c>
      <c r="H9" s="19" t="str">
        <f t="shared" si="317"/>
        <v/>
      </c>
      <c r="I9" s="19" t="str">
        <f t="shared" si="317"/>
        <v/>
      </c>
      <c r="J9" s="19" t="str">
        <f t="shared" si="317"/>
        <v/>
      </c>
      <c r="K9" s="19" t="str">
        <f t="shared" si="317"/>
        <v/>
      </c>
      <c r="L9" s="19" t="str">
        <f t="shared" si="317"/>
        <v/>
      </c>
      <c r="M9" s="8"/>
      <c r="N9" s="8">
        <v>1</v>
      </c>
      <c r="O9" s="9">
        <v>1</v>
      </c>
      <c r="P9" s="8">
        <f t="shared" si="313"/>
        <v>51</v>
      </c>
      <c r="Q9" s="109">
        <f t="shared" si="315"/>
        <v>91.071428571428569</v>
      </c>
      <c r="R9" s="129" t="str">
        <f t="shared" si="316"/>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J9" s="99" t="s">
        <v>364</v>
      </c>
      <c r="FK9" s="80" t="s">
        <v>366</v>
      </c>
      <c r="FR9" s="7"/>
      <c r="FY9" s="7"/>
      <c r="GF9" s="7"/>
      <c r="GM9" s="7"/>
      <c r="GT9" s="7"/>
      <c r="HA9" s="7"/>
      <c r="HH9" s="7"/>
      <c r="HO9" s="7"/>
      <c r="HV9" s="7"/>
      <c r="IC9" s="7"/>
      <c r="IJ9" s="7"/>
      <c r="IQ9" s="7"/>
      <c r="IX9" s="7"/>
      <c r="JE9" s="7"/>
      <c r="JL9" s="7"/>
      <c r="JS9" s="7"/>
      <c r="JZ9" s="7"/>
      <c r="KG9" s="7"/>
      <c r="KN9" s="7"/>
      <c r="KU9" s="7"/>
      <c r="LB9" s="7"/>
      <c r="LI9" s="7"/>
      <c r="LP9" s="7"/>
      <c r="LW9" s="7"/>
      <c r="MD9" s="7"/>
      <c r="MK9" s="7"/>
      <c r="MR9" s="7"/>
    </row>
    <row r="10" spans="1:356" ht="15" customHeight="1" x14ac:dyDescent="0.25">
      <c r="A10" s="8" t="s">
        <v>247</v>
      </c>
      <c r="B10" s="8" t="s">
        <v>177</v>
      </c>
      <c r="C10" s="8" t="s">
        <v>178</v>
      </c>
      <c r="D10" s="8" t="s">
        <v>113</v>
      </c>
      <c r="E10" s="18">
        <v>37608</v>
      </c>
      <c r="F10" s="10">
        <f t="shared" si="317"/>
        <v>1</v>
      </c>
      <c r="G10" s="19" t="str">
        <f t="shared" si="317"/>
        <v/>
      </c>
      <c r="H10" s="19" t="str">
        <f t="shared" si="317"/>
        <v/>
      </c>
      <c r="I10" s="19" t="str">
        <f t="shared" si="317"/>
        <v/>
      </c>
      <c r="J10" s="19" t="str">
        <f t="shared" si="317"/>
        <v/>
      </c>
      <c r="K10" s="19" t="str">
        <f t="shared" si="317"/>
        <v/>
      </c>
      <c r="L10" s="19" t="str">
        <f t="shared" si="317"/>
        <v/>
      </c>
      <c r="M10" s="8"/>
      <c r="N10" s="8">
        <v>1</v>
      </c>
      <c r="O10" s="9">
        <v>1</v>
      </c>
      <c r="P10" s="8">
        <f t="shared" si="313"/>
        <v>41</v>
      </c>
      <c r="Q10" s="109">
        <f t="shared" si="315"/>
        <v>73.214285714285708</v>
      </c>
      <c r="R10" s="129" t="str">
        <f t="shared" si="316"/>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J10" s="99" t="s">
        <v>364</v>
      </c>
      <c r="FK10" s="80" t="s">
        <v>366</v>
      </c>
      <c r="FR10" s="7"/>
      <c r="FY10" s="7"/>
      <c r="GF10" s="7"/>
      <c r="GM10" s="7"/>
      <c r="GT10" s="7"/>
      <c r="HA10" s="7"/>
      <c r="HH10" s="7"/>
      <c r="HO10" s="7"/>
      <c r="HV10" s="7"/>
      <c r="IC10" s="7"/>
      <c r="IJ10" s="7"/>
      <c r="IQ10" s="7"/>
      <c r="IX10" s="7"/>
      <c r="JE10" s="7"/>
      <c r="JL10" s="7"/>
      <c r="JS10" s="7"/>
      <c r="JZ10" s="7"/>
      <c r="KG10" s="7"/>
      <c r="KN10" s="7"/>
      <c r="KU10" s="7"/>
      <c r="LB10" s="7"/>
      <c r="LI10" s="7"/>
      <c r="LP10" s="7"/>
      <c r="LW10" s="7"/>
      <c r="MD10" s="7"/>
      <c r="MK10" s="7"/>
      <c r="MR10" s="7"/>
    </row>
    <row r="11" spans="1:356" ht="15" customHeight="1" x14ac:dyDescent="0.25">
      <c r="A11" s="8" t="s">
        <v>387</v>
      </c>
      <c r="B11" s="8"/>
      <c r="C11" s="8" t="s">
        <v>238</v>
      </c>
      <c r="D11" s="8" t="s">
        <v>164</v>
      </c>
      <c r="E11" s="18">
        <v>36672</v>
      </c>
      <c r="F11" s="10" t="str">
        <f t="shared" si="317"/>
        <v/>
      </c>
      <c r="G11" s="19" t="str">
        <f t="shared" si="317"/>
        <v/>
      </c>
      <c r="H11" s="19" t="str">
        <f t="shared" si="317"/>
        <v/>
      </c>
      <c r="I11" s="19" t="str">
        <f t="shared" si="317"/>
        <v/>
      </c>
      <c r="J11" s="19" t="str">
        <f t="shared" si="317"/>
        <v/>
      </c>
      <c r="K11" s="19" t="str">
        <f t="shared" si="317"/>
        <v/>
      </c>
      <c r="L11" s="19" t="str">
        <f t="shared" si="317"/>
        <v/>
      </c>
      <c r="M11" s="8"/>
      <c r="N11" s="8"/>
      <c r="O11" s="9"/>
      <c r="P11" s="8">
        <f t="shared" si="313"/>
        <v>11</v>
      </c>
      <c r="Q11" s="109">
        <f t="shared" si="315"/>
        <v>19.642857142857142</v>
      </c>
      <c r="R11" s="129" t="str">
        <f t="shared" si="316"/>
        <v>-42</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J11" s="99" t="s">
        <v>364</v>
      </c>
      <c r="FK11" s="80" t="s">
        <v>366</v>
      </c>
      <c r="FR11" s="7"/>
      <c r="FY11" s="7"/>
      <c r="GF11" s="7"/>
      <c r="GM11" s="7"/>
      <c r="GT11" s="7"/>
      <c r="HA11" s="7"/>
      <c r="HH11" s="7"/>
      <c r="HO11" s="7"/>
      <c r="HV11" s="7"/>
      <c r="IC11" s="7"/>
      <c r="IJ11" s="7"/>
      <c r="IQ11" s="7"/>
      <c r="IX11" s="7"/>
      <c r="JE11" s="7"/>
      <c r="JL11" s="7"/>
      <c r="JS11" s="7"/>
      <c r="JZ11" s="7"/>
      <c r="KG11" s="7"/>
      <c r="KN11" s="7"/>
      <c r="KU11" s="7"/>
      <c r="LB11" s="7"/>
      <c r="LI11" s="7"/>
      <c r="LP11" s="7"/>
      <c r="LW11" s="7"/>
      <c r="MD11" s="7"/>
      <c r="MK11" s="7"/>
      <c r="MR11" s="7"/>
    </row>
    <row r="12" spans="1:356" x14ac:dyDescent="0.25">
      <c r="A12" s="8" t="s">
        <v>162</v>
      </c>
      <c r="B12" s="8"/>
      <c r="C12" s="8" t="s">
        <v>163</v>
      </c>
      <c r="D12" s="8" t="s">
        <v>164</v>
      </c>
      <c r="E12" s="18">
        <v>37133</v>
      </c>
      <c r="F12" s="10" t="str">
        <f t="shared" si="317"/>
        <v/>
      </c>
      <c r="G12" s="19" t="str">
        <f t="shared" si="317"/>
        <v/>
      </c>
      <c r="H12" s="19" t="str">
        <f t="shared" si="317"/>
        <v/>
      </c>
      <c r="I12" s="19" t="str">
        <f t="shared" si="317"/>
        <v/>
      </c>
      <c r="J12" s="19" t="str">
        <f t="shared" si="317"/>
        <v/>
      </c>
      <c r="K12" s="19" t="str">
        <f t="shared" si="317"/>
        <v/>
      </c>
      <c r="L12" s="19" t="str">
        <f t="shared" si="317"/>
        <v/>
      </c>
      <c r="M12" s="8"/>
      <c r="N12" s="8"/>
      <c r="O12" s="9">
        <v>1</v>
      </c>
      <c r="P12" s="8">
        <f t="shared" si="313"/>
        <v>46</v>
      </c>
      <c r="Q12" s="109">
        <f t="shared" si="315"/>
        <v>82.142857142857139</v>
      </c>
      <c r="R12" s="129" t="str">
        <f t="shared" si="316"/>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J12" s="99" t="s">
        <v>364</v>
      </c>
      <c r="FK12" s="80" t="s">
        <v>366</v>
      </c>
      <c r="FR12" s="7"/>
      <c r="FY12" s="7"/>
      <c r="GF12" s="7"/>
      <c r="GM12" s="7"/>
      <c r="GT12" s="7"/>
      <c r="HA12" s="7"/>
      <c r="HH12" s="7"/>
      <c r="HO12" s="7"/>
      <c r="HV12" s="7"/>
      <c r="IC12" s="7"/>
      <c r="IJ12" s="7"/>
      <c r="IQ12" s="7"/>
      <c r="IX12" s="7"/>
      <c r="JE12" s="7"/>
      <c r="JL12" s="7"/>
      <c r="JS12" s="7"/>
      <c r="JZ12" s="7"/>
      <c r="KG12" s="7"/>
      <c r="KN12" s="7"/>
      <c r="KU12" s="7"/>
      <c r="LB12" s="7"/>
      <c r="LI12" s="7"/>
      <c r="LP12" s="7"/>
      <c r="LW12" s="7"/>
      <c r="MD12" s="7"/>
      <c r="MK12" s="7"/>
      <c r="MR12" s="7"/>
    </row>
    <row r="13" spans="1:356" x14ac:dyDescent="0.25">
      <c r="A13" s="8" t="s">
        <v>120</v>
      </c>
      <c r="B13" s="8" t="s">
        <v>161</v>
      </c>
      <c r="C13" s="8" t="s">
        <v>175</v>
      </c>
      <c r="D13" s="8" t="s">
        <v>176</v>
      </c>
      <c r="E13" s="18">
        <v>37808</v>
      </c>
      <c r="F13" s="10">
        <f t="shared" si="317"/>
        <v>1</v>
      </c>
      <c r="G13" s="19" t="str">
        <f t="shared" si="317"/>
        <v/>
      </c>
      <c r="H13" s="19" t="str">
        <f t="shared" si="317"/>
        <v/>
      </c>
      <c r="I13" s="19" t="str">
        <f t="shared" si="317"/>
        <v/>
      </c>
      <c r="J13" s="19" t="str">
        <f t="shared" si="317"/>
        <v/>
      </c>
      <c r="K13" s="19" t="str">
        <f t="shared" si="317"/>
        <v/>
      </c>
      <c r="L13" s="19" t="str">
        <f t="shared" si="317"/>
        <v/>
      </c>
      <c r="M13" s="8"/>
      <c r="N13" s="8">
        <v>1</v>
      </c>
      <c r="O13" s="9">
        <v>1</v>
      </c>
      <c r="P13" s="8">
        <f t="shared" si="313"/>
        <v>46</v>
      </c>
      <c r="Q13" s="109">
        <f t="shared" si="315"/>
        <v>82.142857142857139</v>
      </c>
      <c r="R13" s="129" t="str">
        <f t="shared" si="316"/>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J13" s="99" t="s">
        <v>364</v>
      </c>
      <c r="FK13" s="80" t="s">
        <v>366</v>
      </c>
      <c r="FR13" s="7"/>
      <c r="FY13" s="7"/>
      <c r="GF13" s="7"/>
      <c r="GM13" s="7"/>
      <c r="GT13" s="7"/>
      <c r="HA13" s="7"/>
      <c r="HH13" s="7"/>
      <c r="HO13" s="7"/>
      <c r="HV13" s="7"/>
      <c r="IC13" s="7"/>
      <c r="IJ13" s="7"/>
      <c r="IQ13" s="7"/>
      <c r="IX13" s="7"/>
      <c r="JE13" s="7"/>
      <c r="JL13" s="7"/>
      <c r="JS13" s="7"/>
      <c r="JZ13" s="7"/>
      <c r="KG13" s="7"/>
      <c r="KN13" s="7"/>
      <c r="KU13" s="7"/>
      <c r="LB13" s="7"/>
      <c r="LI13" s="7"/>
      <c r="LP13" s="7"/>
      <c r="LW13" s="7"/>
      <c r="MD13" s="7"/>
      <c r="MK13" s="7"/>
      <c r="MR13" s="7"/>
    </row>
    <row r="14" spans="1:356" hidden="1" x14ac:dyDescent="0.25">
      <c r="A14" s="8" t="s">
        <v>177</v>
      </c>
      <c r="B14" s="8"/>
      <c r="C14" s="8" t="s">
        <v>179</v>
      </c>
      <c r="D14" s="8" t="s">
        <v>180</v>
      </c>
      <c r="E14" s="18"/>
      <c r="F14" s="10" t="str">
        <f t="shared" si="317"/>
        <v/>
      </c>
      <c r="G14" s="19" t="str">
        <f t="shared" si="317"/>
        <v/>
      </c>
      <c r="H14" s="19" t="str">
        <f t="shared" si="317"/>
        <v/>
      </c>
      <c r="I14" s="19" t="str">
        <f t="shared" si="317"/>
        <v/>
      </c>
      <c r="J14" s="19" t="str">
        <f t="shared" si="317"/>
        <v/>
      </c>
      <c r="K14" s="19" t="str">
        <f t="shared" si="317"/>
        <v/>
      </c>
      <c r="L14" s="19" t="str">
        <f t="shared" si="317"/>
        <v/>
      </c>
      <c r="M14" s="8"/>
      <c r="N14" s="8">
        <v>1</v>
      </c>
      <c r="O14" s="9"/>
      <c r="P14" s="8">
        <f t="shared" si="313"/>
        <v>1</v>
      </c>
      <c r="Q14" s="109">
        <f t="shared" si="315"/>
        <v>1.7857142857142856</v>
      </c>
      <c r="R14" s="129" t="str">
        <f t="shared" si="316"/>
        <v>-7</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366</v>
      </c>
      <c r="FR14" s="7"/>
      <c r="FY14" s="7"/>
      <c r="GF14" s="7"/>
      <c r="GM14" s="7"/>
      <c r="GT14" s="7"/>
      <c r="HA14" s="7"/>
      <c r="HH14" s="7"/>
      <c r="HO14" s="7"/>
      <c r="HV14" s="7"/>
      <c r="IC14" s="7"/>
      <c r="IJ14" s="7"/>
      <c r="IQ14" s="7"/>
      <c r="IX14" s="7"/>
      <c r="JE14" s="7"/>
      <c r="JL14" s="7"/>
      <c r="JS14" s="7"/>
      <c r="JZ14" s="7"/>
      <c r="KG14" s="7"/>
      <c r="KN14" s="7"/>
      <c r="KU14" s="7"/>
      <c r="LB14" s="7"/>
      <c r="LI14" s="7"/>
      <c r="LP14" s="7"/>
      <c r="LW14" s="7"/>
      <c r="MD14" s="7"/>
      <c r="MK14" s="7"/>
      <c r="MR14" s="7"/>
    </row>
    <row r="15" spans="1:356" hidden="1" x14ac:dyDescent="0.25">
      <c r="A15" s="8" t="s">
        <v>171</v>
      </c>
      <c r="B15" s="8" t="s">
        <v>172</v>
      </c>
      <c r="C15" s="8" t="s">
        <v>173</v>
      </c>
      <c r="D15" s="8" t="s">
        <v>174</v>
      </c>
      <c r="E15" s="18">
        <v>36556</v>
      </c>
      <c r="F15" s="10" t="str">
        <f t="shared" si="317"/>
        <v/>
      </c>
      <c r="G15" s="19" t="str">
        <f t="shared" si="317"/>
        <v/>
      </c>
      <c r="H15" s="19" t="str">
        <f t="shared" si="317"/>
        <v/>
      </c>
      <c r="I15" s="19" t="str">
        <f t="shared" si="317"/>
        <v/>
      </c>
      <c r="J15" s="19" t="str">
        <f t="shared" si="317"/>
        <v/>
      </c>
      <c r="K15" s="19" t="str">
        <f t="shared" si="317"/>
        <v/>
      </c>
      <c r="L15" s="19" t="str">
        <f t="shared" si="317"/>
        <v/>
      </c>
      <c r="M15" s="8"/>
      <c r="N15" s="8"/>
      <c r="O15" s="9"/>
      <c r="P15" s="8">
        <f t="shared" si="313"/>
        <v>1</v>
      </c>
      <c r="Q15" s="109">
        <f t="shared" si="315"/>
        <v>1.7857142857142856</v>
      </c>
      <c r="R15" s="129" t="str">
        <f t="shared" si="316"/>
        <v>-7</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366</v>
      </c>
      <c r="FR15" s="7"/>
      <c r="FY15" s="7"/>
      <c r="GF15" s="7"/>
      <c r="GM15" s="7"/>
      <c r="GT15" s="7"/>
      <c r="HA15" s="7"/>
      <c r="HH15" s="7"/>
      <c r="HO15" s="7"/>
      <c r="HV15" s="7"/>
      <c r="IC15" s="7"/>
      <c r="IJ15" s="7"/>
      <c r="IQ15" s="7"/>
      <c r="IX15" s="7"/>
      <c r="JE15" s="7"/>
      <c r="JL15" s="7"/>
      <c r="JS15" s="7"/>
      <c r="JZ15" s="7"/>
      <c r="KG15" s="7"/>
      <c r="KN15" s="7"/>
      <c r="KU15" s="7"/>
      <c r="LB15" s="7"/>
      <c r="LI15" s="7"/>
      <c r="LP15" s="7"/>
      <c r="LW15" s="7"/>
      <c r="MD15" s="7"/>
      <c r="MK15" s="7"/>
      <c r="MR15" s="7"/>
    </row>
    <row r="16" spans="1:356" x14ac:dyDescent="0.25">
      <c r="A16" s="8" t="s">
        <v>457</v>
      </c>
      <c r="B16" s="8" t="s">
        <v>230</v>
      </c>
      <c r="C16" s="8" t="s">
        <v>232</v>
      </c>
      <c r="D16" s="8" t="s">
        <v>231</v>
      </c>
      <c r="E16" s="18">
        <v>38679</v>
      </c>
      <c r="F16" s="10">
        <f t="shared" si="317"/>
        <v>1</v>
      </c>
      <c r="G16" s="19">
        <f t="shared" si="317"/>
        <v>1</v>
      </c>
      <c r="H16" s="19" t="str">
        <f t="shared" si="317"/>
        <v/>
      </c>
      <c r="I16" s="19" t="str">
        <f t="shared" si="317"/>
        <v/>
      </c>
      <c r="J16" s="19" t="str">
        <f t="shared" si="317"/>
        <v/>
      </c>
      <c r="K16" s="19" t="str">
        <f t="shared" si="317"/>
        <v/>
      </c>
      <c r="L16" s="19" t="str">
        <f t="shared" si="317"/>
        <v/>
      </c>
      <c r="M16" s="8">
        <v>1</v>
      </c>
      <c r="N16" s="8">
        <v>1</v>
      </c>
      <c r="O16" s="9"/>
      <c r="P16" s="8">
        <f t="shared" si="313"/>
        <v>14</v>
      </c>
      <c r="Q16" s="109">
        <f t="shared" si="315"/>
        <v>25</v>
      </c>
      <c r="R16" s="129" t="str">
        <f t="shared" si="316"/>
        <v>-43</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J16" s="99" t="s">
        <v>364</v>
      </c>
      <c r="FK16" s="80" t="s">
        <v>366</v>
      </c>
      <c r="FR16" s="7"/>
      <c r="FY16" s="7"/>
      <c r="GF16" s="7"/>
      <c r="GM16" s="7"/>
      <c r="GT16" s="7"/>
      <c r="HA16" s="7"/>
      <c r="HH16" s="7"/>
      <c r="HO16" s="7"/>
      <c r="HV16" s="7"/>
      <c r="IC16" s="7"/>
      <c r="IJ16" s="7"/>
      <c r="IQ16" s="7"/>
      <c r="IX16" s="7"/>
      <c r="JE16" s="7"/>
      <c r="JL16" s="7"/>
      <c r="JS16" s="7"/>
      <c r="JZ16" s="7"/>
      <c r="KG16" s="7"/>
      <c r="KN16" s="7"/>
      <c r="KU16" s="7"/>
      <c r="LB16" s="7"/>
      <c r="LI16" s="7"/>
      <c r="LP16" s="7"/>
      <c r="LW16" s="7"/>
      <c r="MD16" s="7"/>
      <c r="MK16" s="7"/>
      <c r="MR16" s="7"/>
    </row>
    <row r="17" spans="1:356" x14ac:dyDescent="0.25">
      <c r="A17" s="8" t="s">
        <v>125</v>
      </c>
      <c r="B17" s="8" t="s">
        <v>124</v>
      </c>
      <c r="C17" s="8" t="s">
        <v>158</v>
      </c>
      <c r="D17" s="8" t="s">
        <v>123</v>
      </c>
      <c r="E17" s="18">
        <v>38491</v>
      </c>
      <c r="F17" s="10">
        <f t="shared" si="317"/>
        <v>1</v>
      </c>
      <c r="G17" s="19">
        <f t="shared" si="317"/>
        <v>1</v>
      </c>
      <c r="H17" s="19" t="str">
        <f t="shared" si="317"/>
        <v/>
      </c>
      <c r="I17" s="19" t="str">
        <f t="shared" si="317"/>
        <v/>
      </c>
      <c r="J17" s="19" t="str">
        <f t="shared" si="317"/>
        <v/>
      </c>
      <c r="K17" s="19" t="str">
        <f t="shared" si="317"/>
        <v/>
      </c>
      <c r="L17" s="19" t="str">
        <f t="shared" si="317"/>
        <v/>
      </c>
      <c r="M17" s="8"/>
      <c r="N17" s="8">
        <v>1</v>
      </c>
      <c r="O17" s="9">
        <v>1</v>
      </c>
      <c r="P17" s="8">
        <f t="shared" si="313"/>
        <v>43</v>
      </c>
      <c r="Q17" s="109">
        <f t="shared" si="315"/>
        <v>76.785714285714292</v>
      </c>
      <c r="R17" s="129" t="str">
        <f t="shared" si="316"/>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J17" s="99" t="s">
        <v>364</v>
      </c>
      <c r="FK17" s="80" t="s">
        <v>366</v>
      </c>
      <c r="FR17" s="7"/>
      <c r="FY17" s="7"/>
      <c r="GF17" s="7"/>
      <c r="GM17" s="7"/>
      <c r="GT17" s="7"/>
      <c r="HA17" s="7"/>
      <c r="HH17" s="7"/>
      <c r="HO17" s="7"/>
      <c r="HV17" s="7"/>
      <c r="IC17" s="7"/>
      <c r="IJ17" s="7"/>
      <c r="IQ17" s="7"/>
      <c r="IX17" s="7"/>
      <c r="JE17" s="7"/>
      <c r="JL17" s="7"/>
      <c r="JS17" s="7"/>
      <c r="JZ17" s="7"/>
      <c r="KG17" s="7"/>
      <c r="KN17" s="7"/>
      <c r="KU17" s="7"/>
      <c r="LB17" s="7"/>
      <c r="LI17" s="7"/>
      <c r="LP17" s="7"/>
      <c r="LW17" s="7"/>
      <c r="MD17" s="7"/>
      <c r="MK17" s="7"/>
      <c r="MR17" s="7"/>
    </row>
    <row r="18" spans="1:356" x14ac:dyDescent="0.25">
      <c r="A18" s="8" t="s">
        <v>80</v>
      </c>
      <c r="B18" s="8"/>
      <c r="C18" s="8" t="s">
        <v>160</v>
      </c>
      <c r="D18" s="8" t="s">
        <v>122</v>
      </c>
      <c r="E18" s="18">
        <v>38655</v>
      </c>
      <c r="F18" s="10">
        <f t="shared" si="317"/>
        <v>1</v>
      </c>
      <c r="G18" s="19">
        <f t="shared" si="317"/>
        <v>1</v>
      </c>
      <c r="H18" s="19" t="str">
        <f t="shared" si="317"/>
        <v/>
      </c>
      <c r="I18" s="19" t="str">
        <f t="shared" si="317"/>
        <v/>
      </c>
      <c r="J18" s="19" t="str">
        <f t="shared" si="317"/>
        <v/>
      </c>
      <c r="K18" s="19" t="str">
        <f t="shared" si="317"/>
        <v/>
      </c>
      <c r="L18" s="19" t="str">
        <f t="shared" si="317"/>
        <v/>
      </c>
      <c r="M18" s="8"/>
      <c r="N18" s="8">
        <v>1</v>
      </c>
      <c r="O18" s="9">
        <v>1</v>
      </c>
      <c r="P18" s="8">
        <f t="shared" si="313"/>
        <v>44</v>
      </c>
      <c r="Q18" s="109">
        <f t="shared" si="315"/>
        <v>78.571428571428569</v>
      </c>
      <c r="R18" s="129" t="str">
        <f t="shared" si="316"/>
        <v>-9</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J18" s="99" t="s">
        <v>364</v>
      </c>
      <c r="FK18" s="80" t="s">
        <v>366</v>
      </c>
      <c r="FR18" s="7"/>
      <c r="FY18" s="7"/>
      <c r="GF18" s="7"/>
      <c r="GM18" s="7"/>
      <c r="GT18" s="7"/>
      <c r="HA18" s="7"/>
      <c r="HH18" s="7"/>
      <c r="HO18" s="7"/>
      <c r="HV18" s="7"/>
      <c r="IC18" s="7"/>
      <c r="IJ18" s="7"/>
      <c r="IQ18" s="7"/>
      <c r="IX18" s="7"/>
      <c r="JE18" s="7"/>
      <c r="JL18" s="7"/>
      <c r="JS18" s="7"/>
      <c r="JZ18" s="7"/>
      <c r="KG18" s="7"/>
      <c r="KN18" s="7"/>
      <c r="KU18" s="7"/>
      <c r="LB18" s="7"/>
      <c r="LI18" s="7"/>
      <c r="LP18" s="7"/>
      <c r="LW18" s="7"/>
      <c r="MD18" s="7"/>
      <c r="MK18" s="7"/>
      <c r="MR18" s="7"/>
    </row>
    <row r="19" spans="1:356" x14ac:dyDescent="0.25">
      <c r="A19" s="8" t="s">
        <v>155</v>
      </c>
      <c r="B19" s="8"/>
      <c r="C19" s="8" t="s">
        <v>156</v>
      </c>
      <c r="D19" s="8" t="s">
        <v>139</v>
      </c>
      <c r="E19" s="18">
        <v>37863</v>
      </c>
      <c r="F19" s="10">
        <f t="shared" si="317"/>
        <v>1</v>
      </c>
      <c r="G19" s="19" t="str">
        <f t="shared" si="317"/>
        <v/>
      </c>
      <c r="H19" s="19" t="str">
        <f t="shared" si="317"/>
        <v/>
      </c>
      <c r="I19" s="19" t="str">
        <f t="shared" si="317"/>
        <v/>
      </c>
      <c r="J19" s="19" t="str">
        <f t="shared" si="317"/>
        <v/>
      </c>
      <c r="K19" s="19" t="str">
        <f t="shared" si="317"/>
        <v/>
      </c>
      <c r="L19" s="19" t="str">
        <f t="shared" si="317"/>
        <v/>
      </c>
      <c r="M19" s="8"/>
      <c r="N19" s="8">
        <v>1</v>
      </c>
      <c r="O19" s="9">
        <v>1</v>
      </c>
      <c r="P19" s="8">
        <f t="shared" si="313"/>
        <v>45</v>
      </c>
      <c r="Q19" s="109">
        <f t="shared" si="315"/>
        <v>80.357142857142861</v>
      </c>
      <c r="R19" s="129" t="str">
        <f t="shared" si="316"/>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J19" s="99" t="s">
        <v>364</v>
      </c>
      <c r="FK19" s="80" t="s">
        <v>366</v>
      </c>
      <c r="FR19" s="7"/>
      <c r="FY19" s="7"/>
      <c r="GF19" s="7"/>
      <c r="GM19" s="7"/>
      <c r="GT19" s="7"/>
      <c r="HA19" s="7"/>
      <c r="HH19" s="7"/>
      <c r="HO19" s="7"/>
      <c r="HV19" s="7"/>
      <c r="IC19" s="7"/>
      <c r="IJ19" s="7"/>
      <c r="IQ19" s="7"/>
      <c r="IX19" s="7"/>
      <c r="JE19" s="7"/>
      <c r="JL19" s="7"/>
      <c r="JS19" s="7"/>
      <c r="JZ19" s="7"/>
      <c r="KG19" s="7"/>
      <c r="KN19" s="7"/>
      <c r="KU19" s="7"/>
      <c r="LB19" s="7"/>
      <c r="LI19" s="7"/>
      <c r="LP19" s="7"/>
      <c r="LW19" s="7"/>
      <c r="MD19" s="7"/>
      <c r="MK19" s="7"/>
      <c r="MR19" s="7"/>
    </row>
    <row r="20" spans="1:356" x14ac:dyDescent="0.25">
      <c r="A20" s="8" t="s">
        <v>80</v>
      </c>
      <c r="B20" s="8"/>
      <c r="C20" s="8" t="s">
        <v>143</v>
      </c>
      <c r="D20" s="8" t="s">
        <v>139</v>
      </c>
      <c r="E20" s="18">
        <v>37863</v>
      </c>
      <c r="F20" s="10">
        <f t="shared" si="317"/>
        <v>1</v>
      </c>
      <c r="G20" s="19" t="str">
        <f t="shared" si="317"/>
        <v/>
      </c>
      <c r="H20" s="19" t="str">
        <f t="shared" si="317"/>
        <v/>
      </c>
      <c r="I20" s="19" t="str">
        <f t="shared" si="317"/>
        <v/>
      </c>
      <c r="J20" s="19" t="str">
        <f t="shared" si="317"/>
        <v/>
      </c>
      <c r="K20" s="19" t="str">
        <f t="shared" si="317"/>
        <v/>
      </c>
      <c r="L20" s="19" t="str">
        <f t="shared" si="317"/>
        <v/>
      </c>
      <c r="M20" s="8"/>
      <c r="N20" s="8">
        <v>1</v>
      </c>
      <c r="O20" s="9">
        <v>1</v>
      </c>
      <c r="P20" s="8">
        <f t="shared" si="313"/>
        <v>41</v>
      </c>
      <c r="Q20" s="109">
        <f t="shared" si="315"/>
        <v>73.214285714285708</v>
      </c>
      <c r="R20" s="129" t="str">
        <f t="shared" si="316"/>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J20" s="99" t="s">
        <v>364</v>
      </c>
      <c r="FK20" s="80" t="s">
        <v>366</v>
      </c>
      <c r="FR20" s="7"/>
      <c r="FY20" s="7"/>
      <c r="GF20" s="7"/>
      <c r="GM20" s="7"/>
      <c r="GT20" s="7"/>
      <c r="HA20" s="7"/>
      <c r="HH20" s="7"/>
      <c r="HO20" s="7"/>
      <c r="HV20" s="7"/>
      <c r="IC20" s="7"/>
      <c r="IJ20" s="7"/>
      <c r="IQ20" s="7"/>
      <c r="IX20" s="7"/>
      <c r="JE20" s="7"/>
      <c r="JL20" s="7"/>
      <c r="JS20" s="7"/>
      <c r="JZ20" s="7"/>
      <c r="KG20" s="7"/>
      <c r="KN20" s="7"/>
      <c r="KU20" s="7"/>
      <c r="LB20" s="7"/>
      <c r="LI20" s="7"/>
      <c r="LP20" s="7"/>
      <c r="LW20" s="7"/>
      <c r="MD20" s="7"/>
      <c r="MK20" s="7"/>
      <c r="MR20" s="7"/>
    </row>
    <row r="21" spans="1:356" x14ac:dyDescent="0.25">
      <c r="A21" s="8" t="s">
        <v>142</v>
      </c>
      <c r="B21" s="8" t="s">
        <v>141</v>
      </c>
      <c r="C21" s="8" t="s">
        <v>140</v>
      </c>
      <c r="D21" s="8" t="s">
        <v>139</v>
      </c>
      <c r="E21" s="18">
        <v>38954</v>
      </c>
      <c r="F21" s="10">
        <f t="shared" si="317"/>
        <v>1</v>
      </c>
      <c r="G21" s="19">
        <f t="shared" si="317"/>
        <v>1</v>
      </c>
      <c r="H21" s="19">
        <f t="shared" si="317"/>
        <v>1</v>
      </c>
      <c r="I21" s="19" t="str">
        <f t="shared" si="317"/>
        <v/>
      </c>
      <c r="J21" s="19" t="str">
        <f t="shared" si="317"/>
        <v/>
      </c>
      <c r="K21" s="19" t="str">
        <f t="shared" si="317"/>
        <v/>
      </c>
      <c r="L21" s="19" t="str">
        <f t="shared" si="317"/>
        <v/>
      </c>
      <c r="M21" s="8">
        <v>1</v>
      </c>
      <c r="N21" s="8">
        <v>1</v>
      </c>
      <c r="O21" s="9"/>
      <c r="P21" s="8">
        <f t="shared" si="313"/>
        <v>46</v>
      </c>
      <c r="Q21" s="109">
        <f t="shared" si="315"/>
        <v>82.142857142857139</v>
      </c>
      <c r="R21" s="129" t="str">
        <f t="shared" si="316"/>
        <v>-9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364</v>
      </c>
      <c r="FK21" s="80" t="s">
        <v>366</v>
      </c>
      <c r="FR21" s="7"/>
      <c r="FY21" s="7"/>
      <c r="GF21" s="7"/>
      <c r="GM21" s="7"/>
      <c r="GT21" s="7"/>
      <c r="HA21" s="7"/>
      <c r="HH21" s="7"/>
      <c r="HO21" s="7"/>
      <c r="HV21" s="7"/>
      <c r="IC21" s="7"/>
      <c r="IJ21" s="7"/>
      <c r="IQ21" s="7"/>
      <c r="IX21" s="7"/>
      <c r="JE21" s="7"/>
      <c r="JL21" s="7"/>
      <c r="JS21" s="7"/>
      <c r="JZ21" s="7"/>
      <c r="KG21" s="7"/>
      <c r="KN21" s="7"/>
      <c r="KU21" s="7"/>
      <c r="LB21" s="7"/>
      <c r="LI21" s="7"/>
      <c r="LP21" s="7"/>
      <c r="LW21" s="7"/>
      <c r="MD21" s="7"/>
      <c r="MK21" s="7"/>
      <c r="MR21" s="7"/>
    </row>
    <row r="22" spans="1:356" hidden="1" x14ac:dyDescent="0.25">
      <c r="A22" s="8" t="s">
        <v>162</v>
      </c>
      <c r="B22" s="8" t="s">
        <v>184</v>
      </c>
      <c r="C22" s="8" t="s">
        <v>186</v>
      </c>
      <c r="D22" s="8" t="s">
        <v>185</v>
      </c>
      <c r="E22" s="18"/>
      <c r="F22" s="10" t="str">
        <f t="shared" si="317"/>
        <v/>
      </c>
      <c r="G22" s="19" t="str">
        <f t="shared" si="317"/>
        <v/>
      </c>
      <c r="H22" s="19" t="str">
        <f t="shared" si="317"/>
        <v/>
      </c>
      <c r="I22" s="19" t="str">
        <f t="shared" si="317"/>
        <v/>
      </c>
      <c r="J22" s="19" t="str">
        <f t="shared" si="317"/>
        <v/>
      </c>
      <c r="K22" s="19" t="str">
        <f t="shared" si="317"/>
        <v/>
      </c>
      <c r="L22" s="19" t="str">
        <f t="shared" si="317"/>
        <v/>
      </c>
      <c r="M22" s="8"/>
      <c r="N22" s="8">
        <v>1</v>
      </c>
      <c r="O22" s="9"/>
      <c r="P22" s="8">
        <f t="shared" si="313"/>
        <v>1</v>
      </c>
      <c r="Q22" s="109">
        <f t="shared" si="315"/>
        <v>1.7857142857142856</v>
      </c>
      <c r="R22" s="129" t="str">
        <f t="shared" si="316"/>
        <v>-14</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366</v>
      </c>
      <c r="FR22" s="7"/>
      <c r="FY22" s="7"/>
      <c r="GF22" s="7"/>
      <c r="GM22" s="7"/>
      <c r="GT22" s="7"/>
      <c r="HA22" s="7"/>
      <c r="HH22" s="7"/>
      <c r="HO22" s="7"/>
      <c r="HV22" s="7"/>
      <c r="IC22" s="7"/>
      <c r="IJ22" s="7"/>
      <c r="IQ22" s="7"/>
      <c r="IX22" s="7"/>
      <c r="JE22" s="7"/>
      <c r="JL22" s="7"/>
      <c r="JS22" s="7"/>
      <c r="JZ22" s="7"/>
      <c r="KG22" s="7"/>
      <c r="KN22" s="7"/>
      <c r="KU22" s="7"/>
      <c r="LB22" s="7"/>
      <c r="LI22" s="7"/>
      <c r="LP22" s="7"/>
      <c r="LW22" s="7"/>
      <c r="MD22" s="7"/>
      <c r="MK22" s="7"/>
      <c r="MR22" s="7"/>
    </row>
    <row r="23" spans="1:356" x14ac:dyDescent="0.25">
      <c r="A23" s="8" t="s">
        <v>138</v>
      </c>
      <c r="B23" s="8" t="s">
        <v>137</v>
      </c>
      <c r="C23" s="8" t="s">
        <v>136</v>
      </c>
      <c r="D23" s="8" t="s">
        <v>135</v>
      </c>
      <c r="E23" s="18">
        <v>39155</v>
      </c>
      <c r="F23" s="10">
        <f t="shared" si="317"/>
        <v>1</v>
      </c>
      <c r="G23" s="19">
        <f t="shared" si="317"/>
        <v>1</v>
      </c>
      <c r="H23" s="19">
        <f t="shared" si="317"/>
        <v>1</v>
      </c>
      <c r="I23" s="19">
        <f t="shared" si="317"/>
        <v>1</v>
      </c>
      <c r="J23" s="19" t="str">
        <f t="shared" si="317"/>
        <v/>
      </c>
      <c r="K23" s="19" t="str">
        <f t="shared" si="317"/>
        <v/>
      </c>
      <c r="L23" s="19" t="str">
        <f t="shared" si="317"/>
        <v/>
      </c>
      <c r="M23" s="8">
        <v>1</v>
      </c>
      <c r="N23" s="8">
        <v>1</v>
      </c>
      <c r="O23" s="9"/>
      <c r="P23" s="8">
        <f t="shared" si="313"/>
        <v>40</v>
      </c>
      <c r="Q23" s="109">
        <f t="shared" si="315"/>
        <v>71.428571428571431</v>
      </c>
      <c r="R23" s="129" t="str">
        <f t="shared" si="316"/>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J23" s="99" t="s">
        <v>364</v>
      </c>
      <c r="FK23" s="80" t="s">
        <v>366</v>
      </c>
      <c r="FR23" s="7"/>
      <c r="FY23" s="7"/>
      <c r="GF23" s="7"/>
      <c r="GM23" s="7"/>
      <c r="GT23" s="7"/>
      <c r="HA23" s="7"/>
      <c r="HH23" s="7"/>
      <c r="HO23" s="7"/>
      <c r="HV23" s="7"/>
      <c r="IC23" s="7"/>
      <c r="IJ23" s="7"/>
      <c r="IQ23" s="7"/>
      <c r="IX23" s="7"/>
      <c r="JE23" s="7"/>
      <c r="JL23" s="7"/>
      <c r="JS23" s="7"/>
      <c r="JZ23" s="7"/>
      <c r="KG23" s="7"/>
      <c r="KN23" s="7"/>
      <c r="KU23" s="7"/>
      <c r="LB23" s="7"/>
      <c r="LI23" s="7"/>
      <c r="LP23" s="7"/>
      <c r="LW23" s="7"/>
      <c r="MD23" s="7"/>
      <c r="MK23" s="7"/>
      <c r="MR23" s="7"/>
    </row>
    <row r="24" spans="1:356" x14ac:dyDescent="0.25">
      <c r="A24" s="8" t="s">
        <v>134</v>
      </c>
      <c r="B24" s="8" t="s">
        <v>133</v>
      </c>
      <c r="C24" s="8" t="s">
        <v>169</v>
      </c>
      <c r="D24" s="8" t="s">
        <v>170</v>
      </c>
      <c r="E24" s="18">
        <v>37177</v>
      </c>
      <c r="F24" s="10" t="str">
        <f t="shared" si="317"/>
        <v/>
      </c>
      <c r="G24" s="19" t="str">
        <f t="shared" si="317"/>
        <v/>
      </c>
      <c r="H24" s="19" t="str">
        <f t="shared" si="317"/>
        <v/>
      </c>
      <c r="I24" s="19" t="str">
        <f t="shared" si="317"/>
        <v/>
      </c>
      <c r="J24" s="19" t="str">
        <f t="shared" si="317"/>
        <v/>
      </c>
      <c r="K24" s="19" t="str">
        <f t="shared" si="317"/>
        <v/>
      </c>
      <c r="L24" s="19" t="str">
        <f t="shared" si="317"/>
        <v/>
      </c>
      <c r="M24" s="8"/>
      <c r="N24" s="8"/>
      <c r="O24" s="9">
        <v>1</v>
      </c>
      <c r="P24" s="8">
        <f t="shared" si="313"/>
        <v>41</v>
      </c>
      <c r="Q24" s="109">
        <f t="shared" si="315"/>
        <v>73.214285714285708</v>
      </c>
      <c r="R24" s="129" t="str">
        <f t="shared" si="316"/>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J24" s="99" t="s">
        <v>364</v>
      </c>
      <c r="FK24" s="80" t="s">
        <v>366</v>
      </c>
      <c r="FR24" s="7"/>
      <c r="FY24" s="7"/>
      <c r="GF24" s="7"/>
      <c r="GM24" s="7"/>
      <c r="GT24" s="7"/>
      <c r="HA24" s="7"/>
      <c r="HH24" s="7"/>
      <c r="HO24" s="7"/>
      <c r="HV24" s="7"/>
      <c r="IC24" s="7"/>
      <c r="IJ24" s="7"/>
      <c r="IQ24" s="7"/>
      <c r="IX24" s="7"/>
      <c r="JE24" s="7"/>
      <c r="JL24" s="7"/>
      <c r="JS24" s="7"/>
      <c r="JZ24" s="7"/>
      <c r="KG24" s="7"/>
      <c r="KN24" s="7"/>
      <c r="KU24" s="7"/>
      <c r="LB24" s="7"/>
      <c r="LI24" s="7"/>
      <c r="LP24" s="7"/>
      <c r="LW24" s="7"/>
      <c r="MD24" s="7"/>
      <c r="MK24" s="7"/>
      <c r="MR24" s="7"/>
    </row>
    <row r="25" spans="1:356" x14ac:dyDescent="0.25">
      <c r="A25" s="8" t="s">
        <v>125</v>
      </c>
      <c r="B25" s="8" t="s">
        <v>124</v>
      </c>
      <c r="C25" s="8" t="s">
        <v>167</v>
      </c>
      <c r="D25" s="8" t="s">
        <v>168</v>
      </c>
      <c r="E25" s="18">
        <v>36870</v>
      </c>
      <c r="F25" s="10" t="str">
        <f t="shared" si="317"/>
        <v/>
      </c>
      <c r="G25" s="19" t="str">
        <f t="shared" si="317"/>
        <v/>
      </c>
      <c r="H25" s="19" t="str">
        <f t="shared" si="317"/>
        <v/>
      </c>
      <c r="I25" s="19" t="str">
        <f t="shared" si="317"/>
        <v/>
      </c>
      <c r="J25" s="19" t="str">
        <f t="shared" si="317"/>
        <v/>
      </c>
      <c r="K25" s="19" t="str">
        <f t="shared" si="317"/>
        <v/>
      </c>
      <c r="L25" s="19" t="str">
        <f t="shared" si="317"/>
        <v/>
      </c>
      <c r="M25" s="8"/>
      <c r="N25" s="8"/>
      <c r="O25" s="9">
        <v>1</v>
      </c>
      <c r="P25" s="8">
        <f t="shared" si="313"/>
        <v>48</v>
      </c>
      <c r="Q25" s="109">
        <f t="shared" si="315"/>
        <v>85.714285714285708</v>
      </c>
      <c r="R25" s="129" t="str">
        <f t="shared" si="316"/>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J25" s="99" t="s">
        <v>364</v>
      </c>
      <c r="FK25" s="80" t="s">
        <v>366</v>
      </c>
      <c r="FR25" s="7"/>
      <c r="FY25" s="7"/>
      <c r="GF25" s="7"/>
      <c r="GM25" s="7"/>
      <c r="GT25" s="7"/>
      <c r="HA25" s="7"/>
      <c r="HH25" s="7"/>
      <c r="HO25" s="7"/>
      <c r="HV25" s="7"/>
      <c r="IC25" s="7"/>
      <c r="IJ25" s="7"/>
      <c r="IQ25" s="7"/>
      <c r="IX25" s="7"/>
      <c r="JE25" s="7"/>
      <c r="JL25" s="7"/>
      <c r="JS25" s="7"/>
      <c r="JZ25" s="7"/>
      <c r="KG25" s="7"/>
      <c r="KN25" s="7"/>
      <c r="KU25" s="7"/>
      <c r="LB25" s="7"/>
      <c r="LI25" s="7"/>
      <c r="LP25" s="7"/>
      <c r="LW25" s="7"/>
      <c r="MD25" s="7"/>
      <c r="MK25" s="7"/>
      <c r="MR25" s="7"/>
    </row>
    <row r="26" spans="1:356" x14ac:dyDescent="0.25">
      <c r="A26" s="8" t="s">
        <v>181</v>
      </c>
      <c r="B26" s="8" t="s">
        <v>182</v>
      </c>
      <c r="C26" s="8" t="s">
        <v>183</v>
      </c>
      <c r="D26" s="8" t="s">
        <v>81</v>
      </c>
      <c r="E26" s="18">
        <v>38054</v>
      </c>
      <c r="F26" s="10">
        <f t="shared" si="317"/>
        <v>1</v>
      </c>
      <c r="G26" s="19">
        <f t="shared" si="317"/>
        <v>1</v>
      </c>
      <c r="H26" s="19" t="str">
        <f t="shared" si="317"/>
        <v/>
      </c>
      <c r="I26" s="19" t="str">
        <f t="shared" si="317"/>
        <v/>
      </c>
      <c r="J26" s="19" t="str">
        <f t="shared" si="317"/>
        <v/>
      </c>
      <c r="K26" s="19" t="str">
        <f t="shared" si="317"/>
        <v/>
      </c>
      <c r="L26" s="19" t="str">
        <f t="shared" si="317"/>
        <v/>
      </c>
      <c r="M26" s="8"/>
      <c r="N26" s="8">
        <v>1</v>
      </c>
      <c r="O26" s="9">
        <v>1</v>
      </c>
      <c r="P26" s="8">
        <f t="shared" si="313"/>
        <v>53</v>
      </c>
      <c r="Q26" s="109">
        <f t="shared" si="315"/>
        <v>94.642857142857139</v>
      </c>
      <c r="R26" s="129" t="str">
        <f t="shared" si="316"/>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J26" s="99" t="s">
        <v>364</v>
      </c>
      <c r="FK26" s="80" t="s">
        <v>366</v>
      </c>
      <c r="FR26" s="7"/>
      <c r="FY26" s="7"/>
      <c r="GF26" s="7"/>
      <c r="GM26" s="7"/>
      <c r="GT26" s="7"/>
      <c r="HA26" s="7"/>
      <c r="HH26" s="7"/>
      <c r="HO26" s="7"/>
      <c r="HV26" s="7"/>
      <c r="IC26" s="7"/>
      <c r="IJ26" s="7"/>
      <c r="IQ26" s="7"/>
      <c r="IX26" s="7"/>
      <c r="JE26" s="7"/>
      <c r="JL26" s="7"/>
      <c r="JS26" s="7"/>
      <c r="JZ26" s="7"/>
      <c r="KG26" s="7"/>
      <c r="KN26" s="7"/>
      <c r="KU26" s="7"/>
      <c r="LB26" s="7"/>
      <c r="LI26" s="7"/>
      <c r="LP26" s="7"/>
      <c r="LW26" s="7"/>
      <c r="MD26" s="7"/>
      <c r="MK26" s="7"/>
      <c r="MR26" s="7"/>
    </row>
    <row r="27" spans="1:356" hidden="1" x14ac:dyDescent="0.25">
      <c r="A27" s="8" t="s">
        <v>129</v>
      </c>
      <c r="B27" s="8"/>
      <c r="C27" s="8" t="s">
        <v>165</v>
      </c>
      <c r="D27" s="8" t="s">
        <v>166</v>
      </c>
      <c r="E27" s="18">
        <v>36892</v>
      </c>
      <c r="F27" s="10" t="str">
        <f t="shared" si="317"/>
        <v/>
      </c>
      <c r="G27" s="19" t="str">
        <f t="shared" si="317"/>
        <v/>
      </c>
      <c r="H27" s="19" t="str">
        <f t="shared" si="317"/>
        <v/>
      </c>
      <c r="I27" s="19" t="str">
        <f t="shared" si="317"/>
        <v/>
      </c>
      <c r="J27" s="19" t="str">
        <f t="shared" si="317"/>
        <v/>
      </c>
      <c r="K27" s="19" t="str">
        <f t="shared" si="317"/>
        <v/>
      </c>
      <c r="L27" s="19" t="str">
        <f t="shared" si="317"/>
        <v/>
      </c>
      <c r="M27" s="8"/>
      <c r="N27" s="8"/>
      <c r="O27" s="9"/>
      <c r="P27" s="8" t="str">
        <f t="shared" si="313"/>
        <v/>
      </c>
      <c r="Q27" s="109" t="str">
        <f>IF(SUM(S27:XFD27) &gt; 0, SUM(S27:XFD27) /#REF! * 100, "")</f>
        <v/>
      </c>
      <c r="R27" s="129" t="str">
        <f t="shared" si="316"/>
        <v>0</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366</v>
      </c>
      <c r="FR27" s="7"/>
      <c r="FY27" s="7"/>
      <c r="GF27" s="7"/>
      <c r="GM27" s="7"/>
      <c r="GT27" s="7"/>
      <c r="HA27" s="7"/>
      <c r="HH27" s="7"/>
      <c r="HO27" s="7"/>
      <c r="HV27" s="7"/>
      <c r="IC27" s="7"/>
      <c r="IJ27" s="7"/>
      <c r="IQ27" s="7"/>
      <c r="IX27" s="7"/>
      <c r="JE27" s="7"/>
      <c r="JL27" s="7"/>
      <c r="JS27" s="7"/>
      <c r="JZ27" s="7"/>
      <c r="KG27" s="7"/>
      <c r="KN27" s="7"/>
      <c r="KU27" s="7"/>
      <c r="LB27" s="7"/>
      <c r="LI27" s="7"/>
      <c r="LP27" s="7"/>
      <c r="LW27" s="7"/>
      <c r="MD27" s="7"/>
      <c r="MK27" s="7"/>
      <c r="MR27" s="7"/>
    </row>
    <row r="28" spans="1:356" x14ac:dyDescent="0.25">
      <c r="A28" s="88" t="s">
        <v>132</v>
      </c>
      <c r="B28" s="88"/>
      <c r="C28" s="88" t="s">
        <v>131</v>
      </c>
      <c r="D28" s="88" t="s">
        <v>130</v>
      </c>
      <c r="E28" s="89">
        <v>39280</v>
      </c>
      <c r="F28" s="90">
        <f t="shared" si="317"/>
        <v>1</v>
      </c>
      <c r="G28" s="88">
        <f t="shared" si="317"/>
        <v>1</v>
      </c>
      <c r="H28" s="88">
        <f t="shared" si="317"/>
        <v>1</v>
      </c>
      <c r="I28" s="88">
        <f t="shared" si="317"/>
        <v>1</v>
      </c>
      <c r="J28" s="88" t="str">
        <f t="shared" si="317"/>
        <v/>
      </c>
      <c r="K28" s="88" t="str">
        <f t="shared" si="317"/>
        <v/>
      </c>
      <c r="L28" s="88" t="str">
        <f t="shared" si="317"/>
        <v/>
      </c>
      <c r="M28" s="88">
        <v>1</v>
      </c>
      <c r="N28" s="88">
        <v>1</v>
      </c>
      <c r="O28" s="91"/>
      <c r="P28" s="88">
        <f t="shared" si="313"/>
        <v>30</v>
      </c>
      <c r="Q28" s="110">
        <f>IF(SUM(S28:XFD28) &gt; 0, SUM(S28:XFD28) /P$36 * 100, "")</f>
        <v>53.571428571428569</v>
      </c>
      <c r="R28" s="130" t="str">
        <f t="shared" si="316"/>
        <v>-39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366</v>
      </c>
      <c r="FL28" s="93"/>
      <c r="FM28" s="93"/>
      <c r="FN28" s="93"/>
      <c r="FO28" s="93"/>
      <c r="FP28" s="93"/>
      <c r="FQ28" s="93"/>
      <c r="FR28" s="92"/>
      <c r="FS28" s="93"/>
      <c r="FT28" s="93"/>
      <c r="FU28" s="93"/>
      <c r="FV28" s="93"/>
      <c r="FW28" s="93"/>
      <c r="FX28" s="93"/>
      <c r="FY28" s="92"/>
      <c r="FZ28" s="93"/>
      <c r="GA28" s="93"/>
      <c r="GB28" s="93"/>
      <c r="GC28" s="93"/>
      <c r="GD28" s="93"/>
      <c r="GE28" s="93"/>
      <c r="GF28" s="92"/>
      <c r="GG28" s="93"/>
      <c r="GH28" s="93"/>
      <c r="GI28" s="93"/>
      <c r="GJ28" s="93"/>
      <c r="GK28" s="93"/>
      <c r="GL28" s="93"/>
      <c r="GM28" s="92"/>
      <c r="GN28" s="93"/>
      <c r="GO28" s="93"/>
      <c r="GP28" s="93"/>
      <c r="GQ28" s="93"/>
      <c r="GR28" s="93"/>
      <c r="GS28" s="93"/>
      <c r="GT28" s="92"/>
      <c r="GU28" s="93"/>
      <c r="GV28" s="93"/>
      <c r="GW28" s="93"/>
      <c r="GX28" s="93"/>
      <c r="GY28" s="93"/>
      <c r="GZ28" s="93"/>
      <c r="HA28" s="92"/>
      <c r="HB28" s="93"/>
      <c r="HC28" s="93"/>
      <c r="HD28" s="93"/>
      <c r="HE28" s="93"/>
      <c r="HF28" s="93"/>
      <c r="HG28" s="93"/>
      <c r="HH28" s="92"/>
      <c r="HI28" s="93"/>
      <c r="HJ28" s="93"/>
      <c r="HK28" s="93"/>
      <c r="HL28" s="93"/>
      <c r="HM28" s="93"/>
      <c r="HN28" s="93"/>
      <c r="HO28" s="92"/>
      <c r="HP28" s="93"/>
      <c r="HQ28" s="93"/>
      <c r="HR28" s="93"/>
      <c r="HS28" s="93"/>
      <c r="HT28" s="93"/>
      <c r="HU28" s="93"/>
      <c r="HV28" s="92"/>
      <c r="HW28" s="93"/>
      <c r="HX28" s="93"/>
      <c r="HY28" s="93"/>
      <c r="HZ28" s="93"/>
      <c r="IA28" s="93"/>
      <c r="IB28" s="93"/>
      <c r="IC28" s="92"/>
      <c r="ID28" s="93"/>
      <c r="IE28" s="93"/>
      <c r="IF28" s="93"/>
      <c r="IG28" s="93"/>
      <c r="IH28" s="93"/>
      <c r="II28" s="93"/>
      <c r="IJ28" s="92"/>
      <c r="IK28" s="93"/>
      <c r="IL28" s="93"/>
      <c r="IM28" s="93"/>
      <c r="IN28" s="93"/>
      <c r="IO28" s="93"/>
      <c r="IP28" s="93"/>
      <c r="IQ28" s="92"/>
      <c r="IR28" s="93"/>
      <c r="IS28" s="93"/>
      <c r="IT28" s="93"/>
      <c r="IU28" s="93"/>
      <c r="IV28" s="93"/>
      <c r="IW28" s="93"/>
      <c r="IX28" s="92"/>
      <c r="IY28" s="93"/>
      <c r="IZ28" s="93"/>
      <c r="JA28" s="93"/>
      <c r="JB28" s="93"/>
      <c r="JC28" s="93"/>
      <c r="JD28" s="93"/>
      <c r="JE28" s="92"/>
      <c r="JF28" s="93"/>
      <c r="JG28" s="93"/>
      <c r="JH28" s="93"/>
      <c r="JI28" s="93"/>
      <c r="JJ28" s="93"/>
      <c r="JK28" s="93"/>
      <c r="JL28" s="92"/>
      <c r="JM28" s="93"/>
      <c r="JN28" s="93"/>
      <c r="JO28" s="93"/>
      <c r="JP28" s="93"/>
      <c r="JQ28" s="93"/>
      <c r="JR28" s="93"/>
      <c r="JS28" s="92"/>
      <c r="JT28" s="93"/>
      <c r="JU28" s="93"/>
      <c r="JV28" s="93"/>
      <c r="JW28" s="93"/>
      <c r="JX28" s="93"/>
      <c r="JY28" s="93"/>
      <c r="JZ28" s="92"/>
      <c r="KA28" s="93"/>
      <c r="KB28" s="93"/>
      <c r="KC28" s="93"/>
      <c r="KD28" s="93"/>
      <c r="KE28" s="93"/>
      <c r="KF28" s="93"/>
      <c r="KG28" s="92"/>
      <c r="KH28" s="93"/>
      <c r="KI28" s="93"/>
      <c r="KJ28" s="93"/>
      <c r="KK28" s="93"/>
      <c r="KL28" s="93"/>
      <c r="KM28" s="93"/>
      <c r="KN28" s="92"/>
      <c r="KO28" s="93"/>
      <c r="KP28" s="93"/>
      <c r="KQ28" s="93"/>
      <c r="KR28" s="93"/>
      <c r="KS28" s="93"/>
      <c r="KT28" s="93"/>
      <c r="KU28" s="92"/>
      <c r="KV28" s="93"/>
      <c r="KW28" s="93"/>
      <c r="KX28" s="93"/>
      <c r="KY28" s="93"/>
      <c r="KZ28" s="93"/>
      <c r="LA28" s="93"/>
      <c r="LB28" s="92"/>
      <c r="LC28" s="93"/>
      <c r="LD28" s="93"/>
      <c r="LE28" s="93"/>
      <c r="LF28" s="93"/>
      <c r="LG28" s="93"/>
      <c r="LH28" s="93"/>
      <c r="LI28" s="92"/>
      <c r="LJ28" s="93"/>
      <c r="LK28" s="93"/>
      <c r="LL28" s="93"/>
      <c r="LM28" s="93"/>
      <c r="LN28" s="93"/>
      <c r="LO28" s="93"/>
      <c r="LP28" s="92"/>
      <c r="LQ28" s="93"/>
      <c r="LR28" s="93"/>
      <c r="LS28" s="93"/>
      <c r="LT28" s="93"/>
      <c r="LU28" s="93"/>
      <c r="LV28" s="93"/>
      <c r="LW28" s="92"/>
      <c r="LX28" s="93"/>
      <c r="LY28" s="93"/>
      <c r="LZ28" s="93"/>
      <c r="MA28" s="93"/>
      <c r="MB28" s="93"/>
      <c r="MC28" s="93"/>
      <c r="MD28" s="92"/>
      <c r="ME28" s="93"/>
      <c r="MF28" s="93"/>
      <c r="MG28" s="93"/>
      <c r="MH28" s="93"/>
      <c r="MI28" s="93"/>
      <c r="MJ28" s="93"/>
      <c r="MK28" s="92"/>
      <c r="ML28" s="93"/>
      <c r="MM28" s="93"/>
      <c r="MN28" s="93"/>
      <c r="MO28" s="93"/>
      <c r="MP28" s="93"/>
      <c r="MQ28" s="93"/>
      <c r="MR28" s="92"/>
    </row>
    <row r="29" spans="1:356" hidden="1" x14ac:dyDescent="0.25">
      <c r="A29" s="19" t="s">
        <v>92</v>
      </c>
      <c r="B29" s="19"/>
      <c r="C29" s="19" t="s">
        <v>159</v>
      </c>
      <c r="D29" s="19" t="s">
        <v>121</v>
      </c>
      <c r="E29" s="56">
        <v>38544</v>
      </c>
      <c r="F29" s="10">
        <f t="shared" si="317"/>
        <v>1</v>
      </c>
      <c r="G29" s="19">
        <f t="shared" si="317"/>
        <v>1</v>
      </c>
      <c r="H29" s="19" t="str">
        <f t="shared" si="317"/>
        <v/>
      </c>
      <c r="I29" s="19" t="str">
        <f t="shared" si="317"/>
        <v/>
      </c>
      <c r="J29" s="19" t="str">
        <f t="shared" si="317"/>
        <v/>
      </c>
      <c r="K29" s="19" t="str">
        <f t="shared" si="317"/>
        <v/>
      </c>
      <c r="L29" s="19" t="str">
        <f t="shared" si="317"/>
        <v/>
      </c>
      <c r="M29" s="8"/>
      <c r="N29" s="8">
        <v>1</v>
      </c>
      <c r="O29" s="9"/>
      <c r="P29" s="8" t="str">
        <f t="shared" si="313"/>
        <v/>
      </c>
      <c r="Q29" s="109" t="str">
        <f>IF(SUM(S29:XFD29) &gt; 0, SUM(S29:XFD29) /#REF! * 100, "")</f>
        <v/>
      </c>
      <c r="R29" s="129" t="str">
        <f t="shared" si="316"/>
        <v>?</v>
      </c>
      <c r="S29" s="7"/>
      <c r="Z29" s="7"/>
      <c r="AG29" s="7"/>
      <c r="AN29" s="7"/>
      <c r="AU29" s="7"/>
      <c r="BB29" s="7"/>
      <c r="BI29" s="7"/>
      <c r="BP29" s="7"/>
      <c r="BX29" s="96"/>
      <c r="BY29" s="79"/>
      <c r="CG29" s="96"/>
      <c r="CH29" s="80"/>
      <c r="CQ29" s="7"/>
      <c r="CZ29" s="7"/>
      <c r="DI29" s="7"/>
      <c r="DR29" s="7"/>
      <c r="DZ29" s="96"/>
      <c r="EA29" s="79"/>
      <c r="EJ29" s="7"/>
      <c r="EN29" s="96"/>
      <c r="ES29" s="7"/>
      <c r="FB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c r="MD29" s="7"/>
      <c r="MK29" s="7"/>
      <c r="MR29" s="7"/>
    </row>
    <row r="30" spans="1:356" hidden="1" x14ac:dyDescent="0.25">
      <c r="A30" s="8" t="s">
        <v>115</v>
      </c>
      <c r="B30" s="8"/>
      <c r="C30" s="8" t="s">
        <v>243</v>
      </c>
      <c r="D30" s="8" t="s">
        <v>244</v>
      </c>
      <c r="E30" s="18">
        <v>36526</v>
      </c>
      <c r="F30" s="10" t="str">
        <f t="shared" si="317"/>
        <v/>
      </c>
      <c r="G30" s="19" t="str">
        <f t="shared" ref="G30:L30" si="318">IF($E30 &gt;= G$5, 1, "")</f>
        <v/>
      </c>
      <c r="H30" s="19" t="str">
        <f t="shared" si="318"/>
        <v/>
      </c>
      <c r="I30" s="19" t="str">
        <f t="shared" si="318"/>
        <v/>
      </c>
      <c r="J30" s="19" t="str">
        <f t="shared" si="318"/>
        <v/>
      </c>
      <c r="K30" s="19" t="str">
        <f t="shared" si="318"/>
        <v/>
      </c>
      <c r="L30" s="19" t="str">
        <f t="shared" si="318"/>
        <v/>
      </c>
      <c r="M30" s="8"/>
      <c r="N30" s="8"/>
      <c r="O30" s="9"/>
      <c r="P30" s="8">
        <f t="shared" si="313"/>
        <v>14</v>
      </c>
      <c r="Q30" s="109" t="e">
        <f>IF(SUM(S30:XFD30) &gt; 0, SUM(S30:XFD30) /#REF! * 100, "")</f>
        <v>#REF!</v>
      </c>
      <c r="R30" s="129" t="str">
        <f t="shared" si="316"/>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K30" s="7"/>
      <c r="FR30" s="7"/>
      <c r="FY30" s="7"/>
      <c r="GF30" s="7"/>
      <c r="GM30" s="7"/>
      <c r="GT30" s="7"/>
      <c r="HA30" s="7"/>
      <c r="HH30" s="7"/>
      <c r="HO30" s="7"/>
      <c r="HV30" s="7"/>
      <c r="IC30" s="7"/>
      <c r="IJ30" s="7"/>
      <c r="IQ30" s="7"/>
      <c r="IX30" s="7"/>
      <c r="JE30" s="7"/>
      <c r="JL30" s="7"/>
      <c r="JS30" s="7"/>
      <c r="JZ30" s="7"/>
      <c r="KG30" s="7"/>
      <c r="KN30" s="7"/>
      <c r="KU30" s="7"/>
      <c r="LB30" s="7"/>
      <c r="LI30" s="7"/>
      <c r="LP30" s="7"/>
      <c r="LW30" s="7"/>
      <c r="MD30" s="7"/>
      <c r="MK30" s="7"/>
      <c r="MR30" s="7"/>
    </row>
    <row r="31" spans="1:356" hidden="1" x14ac:dyDescent="0.25">
      <c r="A31" s="8" t="s">
        <v>430</v>
      </c>
      <c r="B31" s="8"/>
      <c r="C31" s="8" t="s">
        <v>431</v>
      </c>
      <c r="D31" s="8" t="s">
        <v>432</v>
      </c>
      <c r="E31" s="18"/>
      <c r="F31" s="10"/>
      <c r="G31" s="19"/>
      <c r="H31" s="19"/>
      <c r="I31" s="19"/>
      <c r="J31" s="19"/>
      <c r="K31" s="19"/>
      <c r="L31" s="19"/>
      <c r="M31" s="8"/>
      <c r="N31" s="8"/>
      <c r="O31" s="9"/>
      <c r="P31" s="8">
        <f t="shared" si="313"/>
        <v>2</v>
      </c>
      <c r="Q31" s="109" t="e">
        <f>IF(SUM(S31:XFD31) &gt; 0, SUM(S31:XFD31) /#REF! * 100, "")</f>
        <v>#REF!</v>
      </c>
      <c r="R31" s="129" t="str">
        <f t="shared" si="316"/>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R31" s="7"/>
      <c r="FY31" s="7"/>
      <c r="GF31" s="7"/>
      <c r="GM31" s="7"/>
      <c r="GT31" s="7"/>
      <c r="HA31" s="7"/>
      <c r="HH31" s="7"/>
      <c r="HO31" s="7"/>
      <c r="HV31" s="7"/>
      <c r="IC31" s="7"/>
      <c r="IJ31" s="7"/>
      <c r="IQ31" s="7"/>
      <c r="IX31" s="7"/>
      <c r="JE31" s="7"/>
      <c r="JL31" s="7"/>
      <c r="JS31" s="7"/>
      <c r="JZ31" s="7"/>
      <c r="KG31" s="7"/>
      <c r="KN31" s="7"/>
      <c r="KU31" s="7"/>
      <c r="LB31" s="7"/>
      <c r="LI31" s="7"/>
      <c r="LP31" s="7"/>
      <c r="LW31" s="7"/>
      <c r="MD31" s="7"/>
      <c r="MK31" s="7"/>
      <c r="MR31" s="7"/>
    </row>
    <row r="32" spans="1:356" hidden="1" x14ac:dyDescent="0.25">
      <c r="A32" s="8" t="s">
        <v>348</v>
      </c>
      <c r="B32" s="8"/>
      <c r="C32" s="8"/>
      <c r="D32" s="8" t="s">
        <v>524</v>
      </c>
      <c r="E32" s="18"/>
      <c r="F32" s="10"/>
      <c r="G32" s="19"/>
      <c r="H32" s="19"/>
      <c r="I32" s="19"/>
      <c r="J32" s="19"/>
      <c r="K32" s="19"/>
      <c r="L32" s="19"/>
      <c r="M32" s="8"/>
      <c r="N32" s="8"/>
      <c r="O32" s="9"/>
      <c r="P32" s="8">
        <f t="shared" si="313"/>
        <v>2</v>
      </c>
      <c r="Q32" s="109" t="e">
        <f>IF(SUM(S32:XFD32) &gt; 0, SUM(S32:XFD32) /#REF! * 100, "")</f>
        <v>#REF!</v>
      </c>
      <c r="R32" s="129" t="str">
        <f t="shared" si="316"/>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R32" s="7"/>
      <c r="FY32" s="7"/>
      <c r="GF32" s="7"/>
      <c r="GM32" s="7"/>
      <c r="GT32" s="7"/>
      <c r="HA32" s="7"/>
      <c r="HH32" s="7"/>
      <c r="HO32" s="7"/>
      <c r="HV32" s="7"/>
      <c r="IC32" s="7"/>
      <c r="IJ32" s="7"/>
      <c r="IQ32" s="7"/>
      <c r="IX32" s="7"/>
      <c r="JE32" s="7"/>
      <c r="JL32" s="7"/>
      <c r="JS32" s="7"/>
      <c r="JZ32" s="7"/>
      <c r="KG32" s="7"/>
      <c r="KN32" s="7"/>
      <c r="KU32" s="7"/>
      <c r="LB32" s="7"/>
      <c r="LI32" s="7"/>
      <c r="LP32" s="7"/>
      <c r="LW32" s="7"/>
      <c r="MD32" s="7"/>
      <c r="MK32" s="7"/>
      <c r="MR32" s="7"/>
    </row>
    <row r="33" spans="1:356" hidden="1" x14ac:dyDescent="0.25">
      <c r="A33" s="8" t="s">
        <v>488</v>
      </c>
      <c r="B33" s="8"/>
      <c r="C33" s="8"/>
      <c r="D33" s="8" t="s">
        <v>441</v>
      </c>
      <c r="E33" s="18"/>
      <c r="F33" s="10"/>
      <c r="G33" s="19"/>
      <c r="H33" s="19"/>
      <c r="I33" s="19"/>
      <c r="J33" s="19"/>
      <c r="K33" s="19"/>
      <c r="L33" s="19"/>
      <c r="M33" s="8"/>
      <c r="N33" s="8"/>
      <c r="O33" s="9"/>
      <c r="P33" s="8">
        <f t="shared" si="313"/>
        <v>2</v>
      </c>
      <c r="Q33" s="109" t="e">
        <f>IF(SUM(S33:XFD33) &gt; 0, SUM(S33:XFD33) /#REF! * 100, "")</f>
        <v>#REF!</v>
      </c>
      <c r="R33" s="129" t="str">
        <f t="shared" si="316"/>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R33" s="7"/>
      <c r="FY33" s="7"/>
      <c r="GF33" s="7"/>
      <c r="GM33" s="7"/>
      <c r="GT33" s="7"/>
      <c r="HA33" s="7"/>
      <c r="HH33" s="7"/>
      <c r="HO33" s="7"/>
      <c r="HV33" s="7"/>
      <c r="IC33" s="7"/>
      <c r="IJ33" s="7"/>
      <c r="IQ33" s="7"/>
      <c r="IX33" s="7"/>
      <c r="JE33" s="7"/>
      <c r="JL33" s="7"/>
      <c r="JS33" s="7"/>
      <c r="JZ33" s="7"/>
      <c r="KG33" s="7"/>
      <c r="KN33" s="7"/>
      <c r="KU33" s="7"/>
      <c r="LB33" s="7"/>
      <c r="LI33" s="7"/>
      <c r="LP33" s="7"/>
      <c r="LW33" s="7"/>
      <c r="MD33" s="7"/>
      <c r="MK33" s="7"/>
      <c r="MR33" s="7"/>
    </row>
    <row r="34" spans="1:356" x14ac:dyDescent="0.25">
      <c r="A34" s="8" t="s">
        <v>515</v>
      </c>
      <c r="B34" s="8"/>
      <c r="C34" s="8"/>
      <c r="D34" s="8" t="s">
        <v>516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K34" s="7"/>
      <c r="FR34" s="7"/>
      <c r="FY34" s="7"/>
      <c r="GF34" s="7"/>
      <c r="GM34" s="7"/>
      <c r="GT34" s="7"/>
      <c r="HA34" s="7"/>
      <c r="HH34" s="7"/>
      <c r="HO34" s="7"/>
      <c r="HV34" s="7"/>
      <c r="IC34" s="7"/>
      <c r="IJ34" s="7"/>
      <c r="IQ34" s="7"/>
      <c r="IX34" s="7"/>
      <c r="JE34" s="7"/>
      <c r="JL34" s="7"/>
      <c r="JS34" s="7"/>
      <c r="JZ34" s="7"/>
      <c r="KG34" s="7"/>
      <c r="KN34" s="7"/>
      <c r="KU34" s="7"/>
      <c r="LB34" s="7"/>
      <c r="LI34" s="7"/>
      <c r="LP34" s="7"/>
      <c r="LW34" s="7"/>
      <c r="MD34" s="7"/>
      <c r="MK34" s="7"/>
      <c r="MR34" s="7"/>
    </row>
    <row r="35" spans="1:356" ht="7.5" customHeight="1" x14ac:dyDescent="0.25">
      <c r="A35" s="8"/>
      <c r="B35" s="8"/>
      <c r="C35" s="8"/>
      <c r="D35" s="8"/>
      <c r="E35" s="8"/>
      <c r="F35" s="10"/>
      <c r="G35" s="19"/>
      <c r="H35" s="19"/>
      <c r="I35" s="8"/>
      <c r="J35" s="8"/>
      <c r="K35" s="8"/>
      <c r="L35" s="8"/>
      <c r="M35" s="8"/>
      <c r="N35" s="8"/>
      <c r="O35" s="9"/>
      <c r="P35" s="8" t="str">
        <f>IF(SUM(R35:MR35) &gt; 0, SUM(R35:MR35),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K35" s="7"/>
      <c r="FR35" s="7"/>
      <c r="FY35" s="7"/>
      <c r="GF35" s="7"/>
      <c r="GM35" s="7"/>
      <c r="GT35" s="7"/>
      <c r="HA35" s="7"/>
      <c r="HH35" s="7"/>
      <c r="HO35" s="7"/>
      <c r="HV35" s="7"/>
      <c r="IC35" s="7"/>
      <c r="IJ35" s="7"/>
      <c r="IQ35" s="7"/>
      <c r="IX35" s="7"/>
      <c r="JE35" s="7"/>
      <c r="JL35" s="7"/>
      <c r="JS35" s="7"/>
      <c r="JZ35" s="7"/>
      <c r="KG35" s="7"/>
      <c r="KN35" s="7"/>
      <c r="KU35" s="7"/>
      <c r="LB35" s="7"/>
      <c r="LI35" s="7"/>
      <c r="LP35" s="7"/>
      <c r="LW35" s="7"/>
      <c r="MD35" s="7"/>
      <c r="MK35" s="7"/>
      <c r="MR35" s="7"/>
    </row>
    <row r="36" spans="1:356" s="164" customFormat="1" ht="15.75" thickBot="1" x14ac:dyDescent="0.3">
      <c r="A36" s="6" t="s">
        <v>18</v>
      </c>
      <c r="B36" s="3"/>
      <c r="C36" s="3"/>
      <c r="D36" s="3"/>
      <c r="E36" s="3"/>
      <c r="F36" s="5"/>
      <c r="G36" s="3"/>
      <c r="H36" s="3"/>
      <c r="I36" s="3"/>
      <c r="J36" s="3"/>
      <c r="K36" s="3"/>
      <c r="L36" s="3"/>
      <c r="M36" s="3"/>
      <c r="N36" s="3"/>
      <c r="O36" s="4"/>
      <c r="P36" s="3">
        <f>SUM(S36:MR36)</f>
        <v>56</v>
      </c>
      <c r="Q36" s="3"/>
      <c r="R36" s="4"/>
      <c r="S36" s="4">
        <v>1</v>
      </c>
      <c r="T36" s="3"/>
      <c r="U36" s="3">
        <v>1</v>
      </c>
      <c r="V36" s="3">
        <v>1</v>
      </c>
      <c r="W36" s="3"/>
      <c r="X36" s="3">
        <v>1</v>
      </c>
      <c r="Y36" s="3"/>
      <c r="Z36" s="4"/>
      <c r="AA36" s="3"/>
      <c r="AB36" s="3">
        <v>1</v>
      </c>
      <c r="AC36" s="3"/>
      <c r="AD36" s="3">
        <v>1</v>
      </c>
      <c r="AE36" s="3">
        <v>1</v>
      </c>
      <c r="AF36" s="3"/>
      <c r="AG36" s="4"/>
      <c r="AH36" s="3"/>
      <c r="AI36" s="3">
        <v>1</v>
      </c>
      <c r="AJ36" s="3"/>
      <c r="AK36" s="3">
        <v>1</v>
      </c>
      <c r="AL36" s="3">
        <v>1</v>
      </c>
      <c r="AM36" s="3"/>
      <c r="AN36" s="4"/>
      <c r="AO36" s="3"/>
      <c r="AP36" s="3">
        <v>1</v>
      </c>
      <c r="AQ36" s="3"/>
      <c r="AR36" s="3">
        <v>1</v>
      </c>
      <c r="AS36" s="3">
        <v>1</v>
      </c>
      <c r="AT36" s="3"/>
      <c r="AU36" s="4"/>
      <c r="AV36" s="3"/>
      <c r="AW36" s="3">
        <v>1</v>
      </c>
      <c r="AX36" s="3"/>
      <c r="AY36" s="3">
        <v>1</v>
      </c>
      <c r="AZ36" s="3">
        <v>1</v>
      </c>
      <c r="BA36" s="3"/>
      <c r="BB36" s="4"/>
      <c r="BC36" s="3"/>
      <c r="BD36" s="3">
        <v>1</v>
      </c>
      <c r="BE36" s="3"/>
      <c r="BF36" s="3">
        <v>1</v>
      </c>
      <c r="BG36" s="3">
        <v>1</v>
      </c>
      <c r="BH36" s="3"/>
      <c r="BI36" s="4"/>
      <c r="BJ36" s="3"/>
      <c r="BK36" s="3">
        <v>1</v>
      </c>
      <c r="BL36" s="3"/>
      <c r="BM36" s="3">
        <v>1</v>
      </c>
      <c r="BN36" s="3"/>
      <c r="BO36" s="3"/>
      <c r="BP36" s="4">
        <v>1</v>
      </c>
      <c r="BQ36" s="3"/>
      <c r="BR36" s="3">
        <v>1</v>
      </c>
      <c r="BS36" s="3"/>
      <c r="BT36" s="3">
        <v>1</v>
      </c>
      <c r="BU36" s="3"/>
      <c r="BV36" s="3"/>
      <c r="BW36" s="3">
        <v>1</v>
      </c>
      <c r="BX36" s="3"/>
      <c r="BY36" s="4"/>
      <c r="BZ36" s="3"/>
      <c r="CA36" s="3"/>
      <c r="CB36" s="3"/>
      <c r="CC36" s="3">
        <v>1</v>
      </c>
      <c r="CD36" s="3"/>
      <c r="CE36" s="3"/>
      <c r="CF36" s="3">
        <v>1</v>
      </c>
      <c r="CG36" s="3"/>
      <c r="CH36" s="4"/>
      <c r="CI36" s="3"/>
      <c r="CJ36" s="3"/>
      <c r="CK36" s="3"/>
      <c r="CL36" s="3">
        <v>1</v>
      </c>
      <c r="CM36" s="3"/>
      <c r="CN36" s="3"/>
      <c r="CO36" s="3">
        <v>1</v>
      </c>
      <c r="CP36" s="3"/>
      <c r="CQ36" s="4"/>
      <c r="CR36" s="3"/>
      <c r="CS36" s="3">
        <v>1</v>
      </c>
      <c r="CT36" s="3"/>
      <c r="CU36" s="3">
        <v>1</v>
      </c>
      <c r="CV36" s="3">
        <v>1</v>
      </c>
      <c r="CW36" s="3"/>
      <c r="CX36" s="3">
        <v>1</v>
      </c>
      <c r="CY36" s="3"/>
      <c r="CZ36" s="4"/>
      <c r="DA36" s="3"/>
      <c r="DB36" s="3">
        <v>1</v>
      </c>
      <c r="DC36" s="3"/>
      <c r="DD36" s="3"/>
      <c r="DE36" s="3">
        <v>1</v>
      </c>
      <c r="DF36" s="3"/>
      <c r="DG36" s="3">
        <v>1</v>
      </c>
      <c r="DH36" s="3"/>
      <c r="DI36" s="4"/>
      <c r="DJ36" s="3"/>
      <c r="DK36" s="3">
        <v>1</v>
      </c>
      <c r="DL36" s="3"/>
      <c r="DM36" s="3">
        <v>1</v>
      </c>
      <c r="DN36" s="3">
        <v>1</v>
      </c>
      <c r="DO36" s="3"/>
      <c r="DP36" s="3">
        <v>1</v>
      </c>
      <c r="DQ36" s="3"/>
      <c r="DR36" s="4"/>
      <c r="DS36" s="3"/>
      <c r="DT36" s="3">
        <v>1</v>
      </c>
      <c r="DU36" s="3"/>
      <c r="DV36" s="3">
        <v>1</v>
      </c>
      <c r="DW36" s="3">
        <v>1</v>
      </c>
      <c r="DX36" s="3"/>
      <c r="DY36" s="3"/>
      <c r="DZ36" s="3"/>
      <c r="EA36" s="4"/>
      <c r="EB36" s="3">
        <v>1</v>
      </c>
      <c r="EC36" s="3">
        <v>1</v>
      </c>
      <c r="ED36" s="3"/>
      <c r="EE36" s="3">
        <v>1</v>
      </c>
      <c r="EF36" s="3">
        <v>1</v>
      </c>
      <c r="EG36" s="3"/>
      <c r="EH36" s="3"/>
      <c r="EI36" s="3"/>
      <c r="EJ36" s="4"/>
      <c r="EK36" s="3">
        <v>1</v>
      </c>
      <c r="EL36" s="3">
        <v>1</v>
      </c>
      <c r="EM36" s="3"/>
      <c r="EN36" s="3">
        <v>1</v>
      </c>
      <c r="EO36" s="3">
        <v>1</v>
      </c>
      <c r="EP36" s="3"/>
      <c r="EQ36" s="3">
        <v>1</v>
      </c>
      <c r="ER36" s="3"/>
      <c r="ES36" s="4"/>
      <c r="ET36" s="3">
        <v>1</v>
      </c>
      <c r="EU36" s="3">
        <v>1</v>
      </c>
      <c r="EV36" s="3">
        <v>1</v>
      </c>
      <c r="EW36" s="3">
        <v>1</v>
      </c>
      <c r="EX36" s="3"/>
      <c r="EY36" s="3"/>
      <c r="EZ36" s="3"/>
      <c r="FA36" s="3"/>
      <c r="FB36" s="4"/>
      <c r="FC36" s="3"/>
      <c r="FD36" s="3"/>
      <c r="FE36" s="3"/>
      <c r="FF36" s="3"/>
      <c r="FG36" s="3"/>
      <c r="FH36" s="3"/>
      <c r="FI36" s="3"/>
      <c r="FJ36" s="3"/>
      <c r="FK36" s="4"/>
      <c r="FL36" s="3"/>
      <c r="FM36" s="3"/>
      <c r="FN36" s="3"/>
      <c r="FO36" s="3"/>
      <c r="FP36" s="3"/>
      <c r="FQ36" s="3"/>
      <c r="FR36" s="4"/>
      <c r="FS36" s="3"/>
      <c r="FT36" s="3"/>
      <c r="FU36" s="3"/>
      <c r="FV36" s="3"/>
      <c r="FW36" s="3"/>
      <c r="FX36" s="3"/>
      <c r="FY36" s="4"/>
      <c r="FZ36" s="3"/>
      <c r="GA36" s="3"/>
      <c r="GB36" s="3"/>
      <c r="GC36" s="3"/>
      <c r="GD36" s="3"/>
      <c r="GE36" s="3"/>
      <c r="GF36" s="4"/>
      <c r="GG36" s="3"/>
      <c r="GH36" s="3"/>
      <c r="GI36" s="3"/>
      <c r="GJ36" s="3"/>
      <c r="GK36" s="3"/>
      <c r="GL36" s="3"/>
      <c r="GM36" s="4"/>
      <c r="GN36" s="3"/>
      <c r="GO36" s="3"/>
      <c r="GP36" s="3"/>
      <c r="GQ36" s="3"/>
      <c r="GR36" s="3"/>
      <c r="GS36" s="3"/>
      <c r="GT36" s="4"/>
      <c r="GU36" s="3"/>
      <c r="GV36" s="3"/>
      <c r="GW36" s="3"/>
      <c r="GX36" s="3"/>
      <c r="GY36" s="3"/>
      <c r="GZ36" s="3"/>
      <c r="HA36" s="4"/>
      <c r="HB36" s="3"/>
      <c r="HC36" s="3"/>
      <c r="HD36" s="3"/>
      <c r="HE36" s="3"/>
      <c r="HF36" s="3"/>
      <c r="HG36" s="3"/>
      <c r="HH36" s="4"/>
      <c r="HI36" s="3"/>
      <c r="HJ36" s="3"/>
      <c r="HK36" s="3"/>
      <c r="HL36" s="3"/>
      <c r="HM36" s="3"/>
      <c r="HN36" s="3"/>
      <c r="HO36" s="4"/>
      <c r="HP36" s="3"/>
      <c r="HQ36" s="3"/>
      <c r="HR36" s="3"/>
      <c r="HS36" s="3"/>
      <c r="HT36" s="3"/>
      <c r="HU36" s="3"/>
      <c r="HV36" s="4"/>
      <c r="HW36" s="3"/>
      <c r="HX36" s="3"/>
      <c r="HY36" s="3"/>
      <c r="HZ36" s="3"/>
      <c r="IA36" s="3"/>
      <c r="IB36" s="3"/>
      <c r="IC36" s="4"/>
      <c r="ID36" s="3"/>
      <c r="IE36" s="3"/>
      <c r="IF36" s="3"/>
      <c r="IG36" s="3"/>
      <c r="IH36" s="3"/>
      <c r="II36" s="3"/>
      <c r="IJ36" s="4"/>
      <c r="IK36" s="3"/>
      <c r="IL36" s="3"/>
      <c r="IM36" s="3"/>
      <c r="IN36" s="3"/>
      <c r="IO36" s="3"/>
      <c r="IP36" s="3"/>
      <c r="IQ36" s="4"/>
      <c r="IR36" s="3"/>
      <c r="IS36" s="3"/>
      <c r="IT36" s="3"/>
      <c r="IU36" s="3"/>
      <c r="IV36" s="3"/>
      <c r="IW36" s="3"/>
      <c r="IX36" s="4"/>
      <c r="IY36" s="3"/>
      <c r="IZ36" s="3"/>
      <c r="JA36" s="3"/>
      <c r="JB36" s="3"/>
      <c r="JC36" s="3"/>
      <c r="JD36" s="3"/>
      <c r="JE36" s="4"/>
      <c r="JF36" s="3"/>
      <c r="JG36" s="3"/>
      <c r="JH36" s="3"/>
      <c r="JI36" s="3"/>
      <c r="JJ36" s="3"/>
      <c r="JK36" s="3"/>
      <c r="JL36" s="4"/>
      <c r="JM36" s="3"/>
      <c r="JN36" s="3"/>
      <c r="JO36" s="3"/>
      <c r="JP36" s="3"/>
      <c r="JQ36" s="3"/>
      <c r="JR36" s="3"/>
      <c r="JS36" s="4"/>
      <c r="JT36" s="3"/>
      <c r="JU36" s="3"/>
      <c r="JV36" s="3"/>
      <c r="JW36" s="3"/>
      <c r="JX36" s="3"/>
      <c r="JY36" s="3"/>
      <c r="JZ36" s="4"/>
      <c r="KA36" s="3"/>
      <c r="KB36" s="3"/>
      <c r="KC36" s="3"/>
      <c r="KD36" s="3"/>
      <c r="KE36" s="3"/>
      <c r="KF36" s="3"/>
      <c r="KG36" s="4"/>
      <c r="KH36" s="3"/>
      <c r="KI36" s="3"/>
      <c r="KJ36" s="3"/>
      <c r="KK36" s="3"/>
      <c r="KL36" s="3"/>
      <c r="KM36" s="3"/>
      <c r="KN36" s="4"/>
      <c r="KO36" s="3"/>
      <c r="KP36" s="3"/>
      <c r="KQ36" s="3"/>
      <c r="KR36" s="3"/>
      <c r="KS36" s="3"/>
      <c r="KT36" s="3"/>
      <c r="KU36" s="4"/>
      <c r="KV36" s="3"/>
      <c r="KW36" s="3"/>
      <c r="KX36" s="3"/>
      <c r="KY36" s="3"/>
      <c r="KZ36" s="3"/>
      <c r="LA36" s="3"/>
      <c r="LB36" s="4"/>
      <c r="LC36" s="3"/>
      <c r="LD36" s="3"/>
      <c r="LE36" s="3"/>
      <c r="LF36" s="3"/>
      <c r="LG36" s="3"/>
      <c r="LH36" s="3"/>
      <c r="LI36" s="4"/>
      <c r="LJ36" s="3"/>
      <c r="LK36" s="3"/>
      <c r="LL36" s="3"/>
      <c r="LM36" s="3"/>
      <c r="LN36" s="3"/>
      <c r="LO36" s="3"/>
      <c r="LP36" s="4"/>
      <c r="LQ36" s="3"/>
      <c r="LR36" s="3"/>
      <c r="LS36" s="3"/>
      <c r="LT36" s="3"/>
      <c r="LU36" s="3"/>
      <c r="LV36" s="3"/>
      <c r="LW36" s="4"/>
      <c r="LX36" s="3"/>
      <c r="LY36" s="3"/>
      <c r="LZ36" s="3"/>
      <c r="MA36" s="3"/>
      <c r="MB36" s="3"/>
      <c r="MC36" s="3"/>
      <c r="MD36" s="4"/>
      <c r="ME36" s="3"/>
      <c r="MF36" s="3"/>
      <c r="MG36" s="3"/>
      <c r="MH36" s="3"/>
      <c r="MI36" s="3"/>
      <c r="MJ36" s="3"/>
      <c r="MK36" s="4"/>
      <c r="ML36" s="3"/>
      <c r="MM36" s="3"/>
      <c r="MN36" s="3"/>
      <c r="MO36" s="3"/>
      <c r="MP36" s="3"/>
      <c r="MQ36" s="3"/>
      <c r="MR36" s="4"/>
    </row>
    <row r="37" spans="1:356" ht="15.75" thickBot="1" x14ac:dyDescent="0.3">
      <c r="A37" s="111" t="s">
        <v>25</v>
      </c>
      <c r="B37" s="16"/>
      <c r="C37" s="16"/>
      <c r="D37" s="16"/>
      <c r="E37" s="17"/>
      <c r="F37" s="16">
        <f t="shared" ref="F37:L37" si="319">SUM(F6:F35)</f>
        <v>14</v>
      </c>
      <c r="G37" s="16">
        <f t="shared" si="319"/>
        <v>9</v>
      </c>
      <c r="H37" s="16">
        <f t="shared" si="319"/>
        <v>3</v>
      </c>
      <c r="I37" s="16">
        <f t="shared" si="319"/>
        <v>2</v>
      </c>
      <c r="J37" s="16">
        <f t="shared" si="319"/>
        <v>0</v>
      </c>
      <c r="K37" s="16">
        <f t="shared" si="319"/>
        <v>0</v>
      </c>
      <c r="L37" s="16">
        <f t="shared" si="319"/>
        <v>0</v>
      </c>
      <c r="M37" s="16">
        <f>SUM(M6:M35)</f>
        <v>4</v>
      </c>
      <c r="N37" s="16">
        <f>SUM(N6:N35)</f>
        <v>16</v>
      </c>
      <c r="O37" s="17">
        <f>SUM(O6:O35)+ SUM(O44:O76)</f>
        <v>12</v>
      </c>
      <c r="P37" s="16">
        <f>VisibleSum(P6:P28)</f>
        <v>39.555555555555557</v>
      </c>
      <c r="Q37" s="16">
        <f>P37 / P36 * 100</f>
        <v>70.634920634920633</v>
      </c>
      <c r="R37" s="17">
        <f>VisibleSum(R6:R28)</f>
        <v>-16.5</v>
      </c>
      <c r="S37" s="15">
        <f t="shared" ref="S37:AX37" si="320">IF(SUM(S6:S35) &gt; 0, SUM(S6:S35), "")</f>
        <v>15</v>
      </c>
      <c r="T37" s="14" t="str">
        <f t="shared" si="320"/>
        <v/>
      </c>
      <c r="U37" s="14">
        <f t="shared" si="320"/>
        <v>12</v>
      </c>
      <c r="V37" s="14">
        <f t="shared" si="320"/>
        <v>13</v>
      </c>
      <c r="W37" s="14" t="str">
        <f t="shared" si="320"/>
        <v/>
      </c>
      <c r="X37" s="14">
        <f t="shared" si="320"/>
        <v>12</v>
      </c>
      <c r="Y37" s="14" t="str">
        <f t="shared" si="320"/>
        <v/>
      </c>
      <c r="Z37" s="15" t="str">
        <f t="shared" si="320"/>
        <v/>
      </c>
      <c r="AA37" s="14" t="str">
        <f t="shared" si="320"/>
        <v/>
      </c>
      <c r="AB37" s="14">
        <f t="shared" si="320"/>
        <v>15</v>
      </c>
      <c r="AC37" s="14" t="str">
        <f t="shared" si="320"/>
        <v/>
      </c>
      <c r="AD37" s="14">
        <f t="shared" si="320"/>
        <v>12</v>
      </c>
      <c r="AE37" s="14">
        <f t="shared" si="320"/>
        <v>15</v>
      </c>
      <c r="AF37" s="14" t="str">
        <f t="shared" si="320"/>
        <v/>
      </c>
      <c r="AG37" s="15" t="str">
        <f t="shared" si="320"/>
        <v/>
      </c>
      <c r="AH37" s="14" t="str">
        <f t="shared" si="320"/>
        <v/>
      </c>
      <c r="AI37" s="14">
        <f t="shared" si="320"/>
        <v>16</v>
      </c>
      <c r="AJ37" s="14" t="str">
        <f t="shared" si="320"/>
        <v/>
      </c>
      <c r="AK37" s="14">
        <f t="shared" si="320"/>
        <v>15</v>
      </c>
      <c r="AL37" s="14">
        <f t="shared" si="320"/>
        <v>10</v>
      </c>
      <c r="AM37" s="14" t="str">
        <f t="shared" si="320"/>
        <v/>
      </c>
      <c r="AN37" s="15" t="str">
        <f t="shared" si="320"/>
        <v/>
      </c>
      <c r="AO37" s="14" t="str">
        <f t="shared" si="320"/>
        <v/>
      </c>
      <c r="AP37" s="14">
        <f t="shared" si="320"/>
        <v>15</v>
      </c>
      <c r="AQ37" s="14" t="str">
        <f t="shared" si="320"/>
        <v/>
      </c>
      <c r="AR37" s="14">
        <f t="shared" si="320"/>
        <v>16</v>
      </c>
      <c r="AS37" s="14">
        <f t="shared" si="320"/>
        <v>11</v>
      </c>
      <c r="AT37" s="14" t="str">
        <f t="shared" si="320"/>
        <v/>
      </c>
      <c r="AU37" s="15" t="str">
        <f t="shared" si="320"/>
        <v/>
      </c>
      <c r="AV37" s="14" t="str">
        <f t="shared" si="320"/>
        <v/>
      </c>
      <c r="AW37" s="14">
        <f t="shared" si="320"/>
        <v>14</v>
      </c>
      <c r="AX37" s="14">
        <f t="shared" si="320"/>
        <v>2</v>
      </c>
      <c r="AY37" s="14">
        <f t="shared" ref="AY37:BW37" si="321">IF(SUM(AY6:AY35) &gt; 0, SUM(AY6:AY35), "")</f>
        <v>13</v>
      </c>
      <c r="AZ37" s="14">
        <f t="shared" si="321"/>
        <v>12</v>
      </c>
      <c r="BA37" s="14" t="str">
        <f t="shared" si="321"/>
        <v/>
      </c>
      <c r="BB37" s="15" t="str">
        <f t="shared" si="321"/>
        <v/>
      </c>
      <c r="BC37" s="14" t="str">
        <f t="shared" si="321"/>
        <v/>
      </c>
      <c r="BD37" s="14">
        <f t="shared" si="321"/>
        <v>14</v>
      </c>
      <c r="BE37" s="14" t="str">
        <f t="shared" si="321"/>
        <v/>
      </c>
      <c r="BF37" s="14">
        <f t="shared" si="321"/>
        <v>14</v>
      </c>
      <c r="BG37" s="14">
        <f t="shared" si="321"/>
        <v>11</v>
      </c>
      <c r="BH37" s="14" t="str">
        <f t="shared" si="321"/>
        <v/>
      </c>
      <c r="BI37" s="15" t="str">
        <f t="shared" si="321"/>
        <v/>
      </c>
      <c r="BJ37" s="14" t="str">
        <f t="shared" si="321"/>
        <v/>
      </c>
      <c r="BK37" s="14">
        <f t="shared" si="321"/>
        <v>16</v>
      </c>
      <c r="BL37" s="14" t="str">
        <f t="shared" si="321"/>
        <v/>
      </c>
      <c r="BM37" s="14">
        <f t="shared" si="321"/>
        <v>16</v>
      </c>
      <c r="BN37" s="14" t="str">
        <f t="shared" si="321"/>
        <v/>
      </c>
      <c r="BO37" s="14" t="str">
        <f t="shared" si="321"/>
        <v/>
      </c>
      <c r="BP37" s="15">
        <f t="shared" si="321"/>
        <v>8</v>
      </c>
      <c r="BQ37" s="14" t="str">
        <f t="shared" si="321"/>
        <v/>
      </c>
      <c r="BR37" s="14">
        <f t="shared" si="321"/>
        <v>17</v>
      </c>
      <c r="BS37" s="14" t="str">
        <f t="shared" si="321"/>
        <v/>
      </c>
      <c r="BT37" s="14">
        <f t="shared" si="321"/>
        <v>14</v>
      </c>
      <c r="BU37" s="14" t="str">
        <f t="shared" si="321"/>
        <v/>
      </c>
      <c r="BV37" s="14" t="str">
        <f t="shared" si="321"/>
        <v/>
      </c>
      <c r="BW37" s="14">
        <f t="shared" si="321"/>
        <v>3</v>
      </c>
      <c r="BX37" s="14"/>
      <c r="BY37" s="15">
        <f>VisibleSum(BY6:BY28)</f>
        <v>-3.3529411764705883</v>
      </c>
      <c r="BZ37" s="14" t="str">
        <f t="shared" ref="BZ37:CF37" si="322">IF(SUM(BZ6:BZ35) &gt; 0, SUM(BZ6:BZ35), "")</f>
        <v/>
      </c>
      <c r="CA37" s="14" t="str">
        <f t="shared" si="322"/>
        <v/>
      </c>
      <c r="CB37" s="14" t="str">
        <f t="shared" si="322"/>
        <v/>
      </c>
      <c r="CC37" s="14">
        <f t="shared" si="322"/>
        <v>9</v>
      </c>
      <c r="CD37" s="14" t="str">
        <f t="shared" si="322"/>
        <v/>
      </c>
      <c r="CE37" s="14" t="str">
        <f t="shared" si="322"/>
        <v/>
      </c>
      <c r="CF37" s="14">
        <f t="shared" si="322"/>
        <v>6</v>
      </c>
      <c r="CG37" s="14"/>
      <c r="CH37" s="15">
        <f>VisibleSum(CH6:CH28)</f>
        <v>-4.3529411764705879</v>
      </c>
      <c r="CI37" s="14" t="str">
        <f t="shared" ref="CI37:CO37" si="323">IF(SUM(CI6:CI35) &gt; 0, SUM(CI6:CI35), "")</f>
        <v/>
      </c>
      <c r="CJ37" s="14" t="str">
        <f t="shared" si="323"/>
        <v/>
      </c>
      <c r="CK37" s="14" t="str">
        <f t="shared" si="323"/>
        <v/>
      </c>
      <c r="CL37" s="14">
        <f t="shared" si="323"/>
        <v>10</v>
      </c>
      <c r="CM37" s="14" t="str">
        <f t="shared" si="323"/>
        <v/>
      </c>
      <c r="CN37" s="14" t="str">
        <f t="shared" si="323"/>
        <v/>
      </c>
      <c r="CO37" s="14">
        <f t="shared" si="323"/>
        <v>8</v>
      </c>
      <c r="CP37" s="14"/>
      <c r="CQ37" s="15">
        <f>VisibleSum(CQ6:CQ28)</f>
        <v>-4.4705882352941178</v>
      </c>
      <c r="CR37" s="14" t="str">
        <f>IF(SUM(CR6:CR35) &gt; 0, SUM(CR6:CR35), "")</f>
        <v/>
      </c>
      <c r="CS37" s="14">
        <f>IF(SUM(CS6:CS35) &gt; 0, SUM(CS6:CS35), "")</f>
        <v>13</v>
      </c>
      <c r="CT37" s="14" t="str">
        <f>IF(SUM(CT6:CT35) &gt; 0, SUM(CT6:CT35), "")</f>
        <v/>
      </c>
      <c r="CU37" s="14">
        <f>IF(SUM(CU6:CU35) &gt; 0, SUM(CU6:CU35), "")</f>
        <v>10</v>
      </c>
      <c r="CV37" s="14">
        <f>IF(SUM(CV6:CV35) &gt; 0, SUM(CV6:CV35), "")</f>
        <v>13</v>
      </c>
      <c r="CW37" s="14"/>
      <c r="CX37" s="14">
        <f>IF(SUM(CX6:CX35) &gt; 0, SUM(CX6:CX35), "")</f>
        <v>7</v>
      </c>
      <c r="CY37" s="14" t="str">
        <f>IF(SUM(CY6:CY35) &gt; 0, SUM(CY6:CY35), "")</f>
        <v/>
      </c>
      <c r="CZ37" s="15">
        <f>VisibleSum(CZ6:CZ28)</f>
        <v>-0.29411764705882354</v>
      </c>
      <c r="DA37" s="14" t="str">
        <f t="shared" ref="DA37:DG37" si="324">IF(SUM(DA6:DA35) &gt; 0, SUM(DA6:DA35), "")</f>
        <v/>
      </c>
      <c r="DB37" s="14">
        <f t="shared" si="324"/>
        <v>11</v>
      </c>
      <c r="DC37" s="14" t="str">
        <f t="shared" si="324"/>
        <v/>
      </c>
      <c r="DD37" s="14" t="str">
        <f t="shared" si="324"/>
        <v/>
      </c>
      <c r="DE37" s="14">
        <f t="shared" si="324"/>
        <v>8</v>
      </c>
      <c r="DF37" s="14" t="str">
        <f t="shared" si="324"/>
        <v/>
      </c>
      <c r="DG37" s="14">
        <f t="shared" si="324"/>
        <v>4</v>
      </c>
      <c r="DH37" s="14"/>
      <c r="DI37" s="131">
        <f>IF(VisibleSum(DI6:DI28) = "", "??", VisibleSum(DI6:DI28))</f>
        <v>-1.4705882352941178</v>
      </c>
      <c r="DJ37" s="14" t="str">
        <f t="shared" ref="DJ37:DP37" si="325">IF(SUM(DJ6:DJ35) &gt; 0, SUM(DJ6:DJ35), "")</f>
        <v/>
      </c>
      <c r="DK37" s="14">
        <f t="shared" si="325"/>
        <v>15</v>
      </c>
      <c r="DL37" s="14" t="str">
        <f t="shared" si="325"/>
        <v/>
      </c>
      <c r="DM37" s="14">
        <f t="shared" si="325"/>
        <v>12</v>
      </c>
      <c r="DN37" s="14">
        <f t="shared" si="325"/>
        <v>11</v>
      </c>
      <c r="DO37" s="14" t="str">
        <f t="shared" si="325"/>
        <v/>
      </c>
      <c r="DP37" s="14">
        <f t="shared" si="325"/>
        <v>7</v>
      </c>
      <c r="DQ37" s="14"/>
      <c r="DR37" s="131">
        <f>IF(VisibleSum(DR6:DR28) = "", "??", VisibleSum(DR6:DR28))</f>
        <v>-1.1764705882352942</v>
      </c>
      <c r="DS37" s="14" t="str">
        <f>IF(SUM(DS6:DS35) &gt; 0, SUM(DS6:DS35), "")</f>
        <v/>
      </c>
      <c r="DT37" s="14">
        <f>IF(SUM(DT6:DT35) &gt; 0, SUM(DT6:DT35), "")</f>
        <v>8</v>
      </c>
      <c r="DU37" s="14" t="str">
        <f>IF(SUM(DU6:DU35) &gt; 0, SUM(DU6:DU35), "")</f>
        <v/>
      </c>
      <c r="DV37" s="14">
        <f>IF(SUM(DV6:DV35) &gt; 0, SUM(DV6:DV35), "")</f>
        <v>8</v>
      </c>
      <c r="DW37" s="14">
        <f>IF(SUM(DW6:DW35) &gt; 0, SUM(DW6:DW35), "")</f>
        <v>12</v>
      </c>
      <c r="DX37" s="14"/>
      <c r="DY37" s="14"/>
      <c r="DZ37" s="133"/>
      <c r="EA37" s="131">
        <f>IF(VisibleSum(EA6:EA28) = "", "??", VisibleSum(EA6:EA28))</f>
        <v>-1.1764705882352942</v>
      </c>
      <c r="EB37" s="14">
        <f>IF(SUM(EB6:EB35) &gt; 0, SUM(EB6:EB35), "")</f>
        <v>12</v>
      </c>
      <c r="EC37" s="14">
        <f>IF(SUM(EC6:EC35) &gt; 0, SUM(EC6:EC35), "")</f>
        <v>14</v>
      </c>
      <c r="ED37" s="14" t="str">
        <f>IF(SUM(ED6:ED35) &gt; 0, SUM(ED6:ED35), "")</f>
        <v/>
      </c>
      <c r="EE37" s="14">
        <f>IF(SUM(EE6:EE35) &gt; 0, SUM(EE6:EE35), "")</f>
        <v>17</v>
      </c>
      <c r="EF37" s="14">
        <f>IF(SUM(EF6:EF35) &gt; 0, SUM(EF6:EF35), "")</f>
        <v>10</v>
      </c>
      <c r="EG37" s="14"/>
      <c r="EH37" s="14"/>
      <c r="EI37" s="133" t="str">
        <f>IF(SUM(EI6:EI35) &gt; 0, SUM(EI6:EI35), "")</f>
        <v/>
      </c>
      <c r="EJ37" s="131">
        <f>IF(VisibleSum(EJ6:EJ28) = "", "??", VisibleSum(EJ6:EJ28))</f>
        <v>-1.0588235294117647</v>
      </c>
      <c r="EK37" s="14">
        <f t="shared" ref="EK37:EQ37" si="326">IF(SUM(EK6:EK35) &gt; 0, SUM(EK6:EK35), "")</f>
        <v>15</v>
      </c>
      <c r="EL37" s="14">
        <f t="shared" si="326"/>
        <v>17</v>
      </c>
      <c r="EM37" s="14" t="str">
        <f t="shared" si="326"/>
        <v/>
      </c>
      <c r="EN37" s="14">
        <f t="shared" si="326"/>
        <v>14</v>
      </c>
      <c r="EO37" s="14">
        <f t="shared" si="326"/>
        <v>16</v>
      </c>
      <c r="EP37" s="14" t="str">
        <f t="shared" si="326"/>
        <v/>
      </c>
      <c r="EQ37" s="14">
        <f t="shared" si="326"/>
        <v>15</v>
      </c>
      <c r="ER37" s="14"/>
      <c r="ES37" s="131">
        <f>IF(VisibleSum(ES6:ES28) = "", "??", VisibleSum(ES6:ES28))</f>
        <v>0.88888888888888884</v>
      </c>
      <c r="ET37" s="14">
        <f t="shared" ref="ET37:GC37" si="327">IF(SUM(ET6:ET35) &gt; 0, SUM(ET6:ET35), "")</f>
        <v>13</v>
      </c>
      <c r="EU37" s="14">
        <f t="shared" si="327"/>
        <v>14</v>
      </c>
      <c r="EV37" s="14">
        <f t="shared" si="327"/>
        <v>13</v>
      </c>
      <c r="EW37" s="14">
        <f t="shared" si="327"/>
        <v>16</v>
      </c>
      <c r="EX37" s="14" t="str">
        <f t="shared" si="327"/>
        <v/>
      </c>
      <c r="EY37" s="14" t="str">
        <f t="shared" si="327"/>
        <v/>
      </c>
      <c r="EZ37" s="14"/>
      <c r="FA37" s="14"/>
      <c r="FB37" s="131">
        <f>IF(VisibleSum(FB6:FB28) = "", "??", VisibleSum(FB6:FB28))</f>
        <v>-1</v>
      </c>
      <c r="FC37" s="14">
        <f t="shared" si="327"/>
        <v>11</v>
      </c>
      <c r="FD37" s="14" t="str">
        <f t="shared" si="327"/>
        <v/>
      </c>
      <c r="FE37" s="14" t="str">
        <f t="shared" si="327"/>
        <v/>
      </c>
      <c r="FF37" s="14" t="str">
        <f t="shared" si="327"/>
        <v/>
      </c>
      <c r="FG37" s="14" t="str">
        <f t="shared" si="327"/>
        <v/>
      </c>
      <c r="FH37" s="14" t="str">
        <f t="shared" si="327"/>
        <v/>
      </c>
      <c r="FI37" s="14"/>
      <c r="FJ37" s="14"/>
      <c r="FK37" s="15" t="str">
        <f t="shared" si="327"/>
        <v/>
      </c>
      <c r="FL37" s="14" t="str">
        <f t="shared" si="327"/>
        <v/>
      </c>
      <c r="FM37" s="14" t="str">
        <f t="shared" si="327"/>
        <v/>
      </c>
      <c r="FN37" s="14" t="str">
        <f t="shared" si="327"/>
        <v/>
      </c>
      <c r="FO37" s="14" t="str">
        <f t="shared" si="327"/>
        <v/>
      </c>
      <c r="FP37" s="14" t="str">
        <f t="shared" si="327"/>
        <v/>
      </c>
      <c r="FQ37" s="14" t="str">
        <f t="shared" si="327"/>
        <v/>
      </c>
      <c r="FR37" s="15" t="str">
        <f t="shared" si="327"/>
        <v/>
      </c>
      <c r="FS37" s="14" t="str">
        <f t="shared" si="327"/>
        <v/>
      </c>
      <c r="FT37" s="14" t="str">
        <f t="shared" si="327"/>
        <v/>
      </c>
      <c r="FU37" s="14" t="str">
        <f t="shared" si="327"/>
        <v/>
      </c>
      <c r="FV37" s="14" t="str">
        <f t="shared" si="327"/>
        <v/>
      </c>
      <c r="FW37" s="14" t="str">
        <f t="shared" si="327"/>
        <v/>
      </c>
      <c r="FX37" s="14" t="str">
        <f t="shared" si="327"/>
        <v/>
      </c>
      <c r="FY37" s="15" t="str">
        <f t="shared" si="327"/>
        <v/>
      </c>
      <c r="FZ37" s="14" t="str">
        <f t="shared" si="327"/>
        <v/>
      </c>
      <c r="GA37" s="14" t="str">
        <f t="shared" si="327"/>
        <v/>
      </c>
      <c r="GB37" s="14" t="str">
        <f t="shared" si="327"/>
        <v/>
      </c>
      <c r="GC37" s="14" t="str">
        <f t="shared" si="327"/>
        <v/>
      </c>
      <c r="GD37" s="14" t="str">
        <f t="shared" ref="GD37:GY37" si="328">IF(SUM(GD6:GD35) &gt; 0, SUM(GD6:GD35), "")</f>
        <v/>
      </c>
      <c r="GE37" s="14" t="str">
        <f t="shared" si="328"/>
        <v/>
      </c>
      <c r="GF37" s="15" t="str">
        <f t="shared" si="328"/>
        <v/>
      </c>
      <c r="GG37" s="14" t="str">
        <f t="shared" si="328"/>
        <v/>
      </c>
      <c r="GH37" s="14" t="str">
        <f t="shared" si="328"/>
        <v/>
      </c>
      <c r="GI37" s="14" t="str">
        <f t="shared" si="328"/>
        <v/>
      </c>
      <c r="GJ37" s="14" t="str">
        <f t="shared" si="328"/>
        <v/>
      </c>
      <c r="GK37" s="14" t="str">
        <f t="shared" si="328"/>
        <v/>
      </c>
      <c r="GL37" s="14" t="str">
        <f t="shared" si="328"/>
        <v/>
      </c>
      <c r="GM37" s="15" t="str">
        <f t="shared" si="328"/>
        <v/>
      </c>
      <c r="GN37" s="14" t="str">
        <f t="shared" si="328"/>
        <v/>
      </c>
      <c r="GO37" s="14" t="str">
        <f t="shared" si="328"/>
        <v/>
      </c>
      <c r="GP37" s="14" t="str">
        <f t="shared" si="328"/>
        <v/>
      </c>
      <c r="GQ37" s="14" t="str">
        <f t="shared" si="328"/>
        <v/>
      </c>
      <c r="GR37" s="14" t="str">
        <f t="shared" si="328"/>
        <v/>
      </c>
      <c r="GS37" s="14" t="str">
        <f t="shared" si="328"/>
        <v/>
      </c>
      <c r="GT37" s="15" t="str">
        <f t="shared" si="328"/>
        <v/>
      </c>
      <c r="GU37" s="14" t="str">
        <f t="shared" si="328"/>
        <v/>
      </c>
      <c r="GV37" s="14" t="str">
        <f t="shared" si="328"/>
        <v/>
      </c>
      <c r="GW37" s="14" t="str">
        <f t="shared" si="328"/>
        <v/>
      </c>
      <c r="GX37" s="14" t="str">
        <f t="shared" si="328"/>
        <v/>
      </c>
      <c r="GY37" s="14" t="str">
        <f t="shared" si="328"/>
        <v/>
      </c>
      <c r="GZ37" s="14"/>
      <c r="HA37" s="15" t="str">
        <f t="shared" ref="HA37:IF37" si="329">IF(SUM(HA6:HA35) &gt; 0, SUM(HA6:HA35), "")</f>
        <v/>
      </c>
      <c r="HB37" s="14" t="str">
        <f t="shared" si="329"/>
        <v/>
      </c>
      <c r="HC37" s="14" t="str">
        <f t="shared" si="329"/>
        <v/>
      </c>
      <c r="HD37" s="14" t="str">
        <f t="shared" si="329"/>
        <v/>
      </c>
      <c r="HE37" s="14" t="str">
        <f t="shared" si="329"/>
        <v/>
      </c>
      <c r="HF37" s="14" t="str">
        <f t="shared" si="329"/>
        <v/>
      </c>
      <c r="HG37" s="14" t="str">
        <f t="shared" si="329"/>
        <v/>
      </c>
      <c r="HH37" s="15" t="str">
        <f t="shared" si="329"/>
        <v/>
      </c>
      <c r="HI37" s="14" t="str">
        <f t="shared" si="329"/>
        <v/>
      </c>
      <c r="HJ37" s="14" t="str">
        <f t="shared" si="329"/>
        <v/>
      </c>
      <c r="HK37" s="14" t="str">
        <f t="shared" si="329"/>
        <v/>
      </c>
      <c r="HL37" s="14" t="str">
        <f t="shared" si="329"/>
        <v/>
      </c>
      <c r="HM37" s="14" t="str">
        <f t="shared" si="329"/>
        <v/>
      </c>
      <c r="HN37" s="14" t="str">
        <f t="shared" si="329"/>
        <v/>
      </c>
      <c r="HO37" s="15" t="str">
        <f t="shared" si="329"/>
        <v/>
      </c>
      <c r="HP37" s="14" t="str">
        <f t="shared" si="329"/>
        <v/>
      </c>
      <c r="HQ37" s="14" t="str">
        <f t="shared" si="329"/>
        <v/>
      </c>
      <c r="HR37" s="14" t="str">
        <f t="shared" si="329"/>
        <v/>
      </c>
      <c r="HS37" s="14" t="str">
        <f t="shared" si="329"/>
        <v/>
      </c>
      <c r="HT37" s="14" t="str">
        <f t="shared" si="329"/>
        <v/>
      </c>
      <c r="HU37" s="14" t="str">
        <f t="shared" si="329"/>
        <v/>
      </c>
      <c r="HV37" s="15" t="str">
        <f t="shared" si="329"/>
        <v/>
      </c>
      <c r="HW37" s="14" t="str">
        <f t="shared" si="329"/>
        <v/>
      </c>
      <c r="HX37" s="14" t="str">
        <f t="shared" si="329"/>
        <v/>
      </c>
      <c r="HY37" s="14" t="str">
        <f t="shared" si="329"/>
        <v/>
      </c>
      <c r="HZ37" s="14" t="str">
        <f t="shared" si="329"/>
        <v/>
      </c>
      <c r="IA37" s="14" t="str">
        <f t="shared" si="329"/>
        <v/>
      </c>
      <c r="IB37" s="14" t="str">
        <f t="shared" si="329"/>
        <v/>
      </c>
      <c r="IC37" s="15" t="str">
        <f t="shared" si="329"/>
        <v/>
      </c>
      <c r="ID37" s="14" t="str">
        <f t="shared" si="329"/>
        <v/>
      </c>
      <c r="IE37" s="14" t="str">
        <f t="shared" si="329"/>
        <v/>
      </c>
      <c r="IF37" s="14" t="str">
        <f t="shared" si="329"/>
        <v/>
      </c>
      <c r="IG37" s="14" t="str">
        <f t="shared" ref="IG37:JL37" si="330">IF(SUM(IG6:IG35) &gt; 0, SUM(IG6:IG35), "")</f>
        <v/>
      </c>
      <c r="IH37" s="14" t="str">
        <f t="shared" si="330"/>
        <v/>
      </c>
      <c r="II37" s="14" t="str">
        <f t="shared" si="330"/>
        <v/>
      </c>
      <c r="IJ37" s="15" t="str">
        <f t="shared" si="330"/>
        <v/>
      </c>
      <c r="IK37" s="14" t="str">
        <f t="shared" si="330"/>
        <v/>
      </c>
      <c r="IL37" s="14" t="str">
        <f t="shared" si="330"/>
        <v/>
      </c>
      <c r="IM37" s="14" t="str">
        <f t="shared" si="330"/>
        <v/>
      </c>
      <c r="IN37" s="14" t="str">
        <f t="shared" si="330"/>
        <v/>
      </c>
      <c r="IO37" s="14" t="str">
        <f t="shared" si="330"/>
        <v/>
      </c>
      <c r="IP37" s="14" t="str">
        <f t="shared" si="330"/>
        <v/>
      </c>
      <c r="IQ37" s="15" t="str">
        <f t="shared" si="330"/>
        <v/>
      </c>
      <c r="IR37" s="14" t="str">
        <f t="shared" si="330"/>
        <v/>
      </c>
      <c r="IS37" s="14" t="str">
        <f t="shared" si="330"/>
        <v/>
      </c>
      <c r="IT37" s="14" t="str">
        <f t="shared" si="330"/>
        <v/>
      </c>
      <c r="IU37" s="14" t="str">
        <f t="shared" si="330"/>
        <v/>
      </c>
      <c r="IV37" s="14" t="str">
        <f t="shared" si="330"/>
        <v/>
      </c>
      <c r="IW37" s="14" t="str">
        <f t="shared" si="330"/>
        <v/>
      </c>
      <c r="IX37" s="15" t="str">
        <f t="shared" si="330"/>
        <v/>
      </c>
      <c r="IY37" s="14" t="str">
        <f t="shared" si="330"/>
        <v/>
      </c>
      <c r="IZ37" s="14" t="str">
        <f t="shared" si="330"/>
        <v/>
      </c>
      <c r="JA37" s="14" t="str">
        <f t="shared" si="330"/>
        <v/>
      </c>
      <c r="JB37" s="14" t="str">
        <f t="shared" si="330"/>
        <v/>
      </c>
      <c r="JC37" s="14" t="str">
        <f t="shared" si="330"/>
        <v/>
      </c>
      <c r="JD37" s="14" t="str">
        <f t="shared" si="330"/>
        <v/>
      </c>
      <c r="JE37" s="15" t="str">
        <f t="shared" si="330"/>
        <v/>
      </c>
      <c r="JF37" s="14" t="str">
        <f t="shared" si="330"/>
        <v/>
      </c>
      <c r="JG37" s="14" t="str">
        <f t="shared" si="330"/>
        <v/>
      </c>
      <c r="JH37" s="14" t="str">
        <f t="shared" si="330"/>
        <v/>
      </c>
      <c r="JI37" s="14" t="str">
        <f t="shared" si="330"/>
        <v/>
      </c>
      <c r="JJ37" s="14" t="str">
        <f t="shared" si="330"/>
        <v/>
      </c>
      <c r="JK37" s="14" t="str">
        <f t="shared" si="330"/>
        <v/>
      </c>
      <c r="JL37" s="15" t="str">
        <f t="shared" si="330"/>
        <v/>
      </c>
      <c r="JM37" s="14" t="str">
        <f t="shared" ref="JM37:KR37" si="331">IF(SUM(JM6:JM35) &gt; 0, SUM(JM6:JM35), "")</f>
        <v/>
      </c>
      <c r="JN37" s="14" t="str">
        <f t="shared" si="331"/>
        <v/>
      </c>
      <c r="JO37" s="14" t="str">
        <f t="shared" si="331"/>
        <v/>
      </c>
      <c r="JP37" s="14" t="str">
        <f t="shared" si="331"/>
        <v/>
      </c>
      <c r="JQ37" s="14" t="str">
        <f t="shared" si="331"/>
        <v/>
      </c>
      <c r="JR37" s="14" t="str">
        <f t="shared" si="331"/>
        <v/>
      </c>
      <c r="JS37" s="15" t="str">
        <f t="shared" si="331"/>
        <v/>
      </c>
      <c r="JT37" s="14" t="str">
        <f t="shared" si="331"/>
        <v/>
      </c>
      <c r="JU37" s="14" t="str">
        <f t="shared" si="331"/>
        <v/>
      </c>
      <c r="JV37" s="14" t="str">
        <f t="shared" si="331"/>
        <v/>
      </c>
      <c r="JW37" s="14" t="str">
        <f t="shared" si="331"/>
        <v/>
      </c>
      <c r="JX37" s="14" t="str">
        <f t="shared" si="331"/>
        <v/>
      </c>
      <c r="JY37" s="14" t="str">
        <f t="shared" si="331"/>
        <v/>
      </c>
      <c r="JZ37" s="15" t="str">
        <f t="shared" si="331"/>
        <v/>
      </c>
      <c r="KA37" s="14" t="str">
        <f t="shared" si="331"/>
        <v/>
      </c>
      <c r="KB37" s="14" t="str">
        <f t="shared" si="331"/>
        <v/>
      </c>
      <c r="KC37" s="14" t="str">
        <f t="shared" si="331"/>
        <v/>
      </c>
      <c r="KD37" s="14" t="str">
        <f t="shared" si="331"/>
        <v/>
      </c>
      <c r="KE37" s="14" t="str">
        <f t="shared" si="331"/>
        <v/>
      </c>
      <c r="KF37" s="14" t="str">
        <f t="shared" si="331"/>
        <v/>
      </c>
      <c r="KG37" s="15" t="str">
        <f t="shared" si="331"/>
        <v/>
      </c>
      <c r="KH37" s="14" t="str">
        <f t="shared" si="331"/>
        <v/>
      </c>
      <c r="KI37" s="14" t="str">
        <f t="shared" si="331"/>
        <v/>
      </c>
      <c r="KJ37" s="14" t="str">
        <f t="shared" si="331"/>
        <v/>
      </c>
      <c r="KK37" s="14" t="str">
        <f t="shared" si="331"/>
        <v/>
      </c>
      <c r="KL37" s="14" t="str">
        <f t="shared" si="331"/>
        <v/>
      </c>
      <c r="KM37" s="14" t="str">
        <f t="shared" si="331"/>
        <v/>
      </c>
      <c r="KN37" s="15" t="str">
        <f t="shared" si="331"/>
        <v/>
      </c>
      <c r="KO37" s="14" t="str">
        <f t="shared" si="331"/>
        <v/>
      </c>
      <c r="KP37" s="14" t="str">
        <f t="shared" si="331"/>
        <v/>
      </c>
      <c r="KQ37" s="14" t="str">
        <f t="shared" si="331"/>
        <v/>
      </c>
      <c r="KR37" s="14" t="str">
        <f t="shared" si="331"/>
        <v/>
      </c>
      <c r="KS37" s="14" t="str">
        <f t="shared" ref="KS37:LX37" si="332">IF(SUM(KS6:KS35) &gt; 0, SUM(KS6:KS35), "")</f>
        <v/>
      </c>
      <c r="KT37" s="14" t="str">
        <f t="shared" si="332"/>
        <v/>
      </c>
      <c r="KU37" s="15" t="str">
        <f t="shared" si="332"/>
        <v/>
      </c>
      <c r="KV37" s="14" t="str">
        <f t="shared" si="332"/>
        <v/>
      </c>
      <c r="KW37" s="14" t="str">
        <f t="shared" si="332"/>
        <v/>
      </c>
      <c r="KX37" s="14" t="str">
        <f t="shared" si="332"/>
        <v/>
      </c>
      <c r="KY37" s="14" t="str">
        <f t="shared" si="332"/>
        <v/>
      </c>
      <c r="KZ37" s="14" t="str">
        <f t="shared" si="332"/>
        <v/>
      </c>
      <c r="LA37" s="14" t="str">
        <f t="shared" si="332"/>
        <v/>
      </c>
      <c r="LB37" s="15" t="str">
        <f t="shared" si="332"/>
        <v/>
      </c>
      <c r="LC37" s="14" t="str">
        <f t="shared" si="332"/>
        <v/>
      </c>
      <c r="LD37" s="14" t="str">
        <f t="shared" si="332"/>
        <v/>
      </c>
      <c r="LE37" s="14" t="str">
        <f t="shared" si="332"/>
        <v/>
      </c>
      <c r="LF37" s="14" t="str">
        <f t="shared" si="332"/>
        <v/>
      </c>
      <c r="LG37" s="14" t="str">
        <f t="shared" si="332"/>
        <v/>
      </c>
      <c r="LH37" s="14" t="str">
        <f t="shared" si="332"/>
        <v/>
      </c>
      <c r="LI37" s="15" t="str">
        <f t="shared" si="332"/>
        <v/>
      </c>
      <c r="LJ37" s="14" t="str">
        <f t="shared" si="332"/>
        <v/>
      </c>
      <c r="LK37" s="14" t="str">
        <f t="shared" si="332"/>
        <v/>
      </c>
      <c r="LL37" s="14" t="str">
        <f t="shared" si="332"/>
        <v/>
      </c>
      <c r="LM37" s="14" t="str">
        <f t="shared" si="332"/>
        <v/>
      </c>
      <c r="LN37" s="14" t="str">
        <f t="shared" si="332"/>
        <v/>
      </c>
      <c r="LO37" s="14" t="str">
        <f t="shared" si="332"/>
        <v/>
      </c>
      <c r="LP37" s="15" t="str">
        <f t="shared" si="332"/>
        <v/>
      </c>
      <c r="LQ37" s="14" t="str">
        <f t="shared" si="332"/>
        <v/>
      </c>
      <c r="LR37" s="14" t="str">
        <f t="shared" si="332"/>
        <v/>
      </c>
      <c r="LS37" s="14" t="str">
        <f t="shared" si="332"/>
        <v/>
      </c>
      <c r="LT37" s="14" t="str">
        <f t="shared" si="332"/>
        <v/>
      </c>
      <c r="LU37" s="14" t="str">
        <f t="shared" si="332"/>
        <v/>
      </c>
      <c r="LV37" s="14" t="str">
        <f t="shared" si="332"/>
        <v/>
      </c>
      <c r="LW37" s="15" t="str">
        <f t="shared" si="332"/>
        <v/>
      </c>
      <c r="LX37" s="14" t="str">
        <f t="shared" si="332"/>
        <v/>
      </c>
      <c r="LY37" s="14" t="str">
        <f t="shared" ref="LY37:MR37" si="333">IF(SUM(LY6:LY35) &gt; 0, SUM(LY6:LY35), "")</f>
        <v/>
      </c>
      <c r="LZ37" s="14" t="str">
        <f t="shared" si="333"/>
        <v/>
      </c>
      <c r="MA37" s="14" t="str">
        <f t="shared" si="333"/>
        <v/>
      </c>
      <c r="MB37" s="14" t="str">
        <f t="shared" si="333"/>
        <v/>
      </c>
      <c r="MC37" s="14" t="str">
        <f t="shared" si="333"/>
        <v/>
      </c>
      <c r="MD37" s="15" t="str">
        <f t="shared" si="333"/>
        <v/>
      </c>
      <c r="ME37" s="14" t="str">
        <f t="shared" si="333"/>
        <v/>
      </c>
      <c r="MF37" s="14" t="str">
        <f t="shared" si="333"/>
        <v/>
      </c>
      <c r="MG37" s="14" t="str">
        <f t="shared" si="333"/>
        <v/>
      </c>
      <c r="MH37" s="14" t="str">
        <f t="shared" si="333"/>
        <v/>
      </c>
      <c r="MI37" s="14" t="str">
        <f t="shared" si="333"/>
        <v/>
      </c>
      <c r="MJ37" s="14" t="str">
        <f t="shared" si="333"/>
        <v/>
      </c>
      <c r="MK37" s="15" t="str">
        <f t="shared" si="333"/>
        <v/>
      </c>
      <c r="ML37" s="14" t="str">
        <f t="shared" si="333"/>
        <v/>
      </c>
      <c r="MM37" s="14" t="str">
        <f t="shared" si="333"/>
        <v/>
      </c>
      <c r="MN37" s="14" t="str">
        <f t="shared" si="333"/>
        <v/>
      </c>
      <c r="MO37" s="14" t="str">
        <f t="shared" si="333"/>
        <v/>
      </c>
      <c r="MP37" s="14" t="str">
        <f t="shared" si="333"/>
        <v/>
      </c>
      <c r="MQ37" s="14" t="str">
        <f t="shared" si="333"/>
        <v/>
      </c>
      <c r="MR37" s="112" t="str">
        <f t="shared" si="333"/>
        <v/>
      </c>
    </row>
    <row r="38" spans="1:356" ht="7.5" customHeight="1" x14ac:dyDescent="0.25">
      <c r="A38" s="125"/>
      <c r="B38" s="126"/>
      <c r="C38" s="126"/>
      <c r="D38" s="126"/>
      <c r="E38" s="127"/>
      <c r="F38" s="126"/>
      <c r="G38" s="126"/>
      <c r="H38" s="126"/>
      <c r="I38" s="126"/>
      <c r="J38" s="126"/>
      <c r="K38" s="126"/>
      <c r="L38" s="126"/>
      <c r="M38" s="126"/>
      <c r="N38" s="126"/>
      <c r="O38" s="127"/>
      <c r="P38" s="126"/>
      <c r="Q38" s="126"/>
      <c r="R38" s="127"/>
      <c r="S38" s="37"/>
      <c r="T38" s="128"/>
      <c r="U38" s="128"/>
      <c r="V38" s="128"/>
      <c r="W38" s="128"/>
      <c r="X38" s="128"/>
      <c r="Y38" s="128"/>
      <c r="Z38" s="37"/>
      <c r="AA38" s="128"/>
      <c r="AB38" s="128"/>
      <c r="AC38" s="128"/>
      <c r="AD38" s="128"/>
      <c r="AE38" s="128"/>
      <c r="AF38" s="128"/>
      <c r="AG38" s="37"/>
      <c r="AH38" s="128"/>
      <c r="AI38" s="128"/>
      <c r="AJ38" s="128"/>
      <c r="AK38" s="128"/>
      <c r="AL38" s="128"/>
      <c r="AM38" s="128"/>
      <c r="AN38" s="37"/>
      <c r="AO38" s="128"/>
      <c r="AP38" s="128"/>
      <c r="AQ38" s="128"/>
      <c r="AR38" s="128"/>
      <c r="AS38" s="128"/>
      <c r="AT38" s="128"/>
      <c r="AU38" s="37"/>
      <c r="AV38" s="128"/>
      <c r="AW38" s="128"/>
      <c r="AX38" s="128"/>
      <c r="AY38" s="128"/>
      <c r="AZ38" s="128"/>
      <c r="BA38" s="128"/>
      <c r="BB38" s="37"/>
      <c r="BC38" s="128"/>
      <c r="BD38" s="128"/>
      <c r="BE38" s="128"/>
      <c r="BF38" s="128"/>
      <c r="BG38" s="128"/>
      <c r="BH38" s="128"/>
      <c r="BI38" s="37"/>
      <c r="BJ38" s="128"/>
      <c r="BK38" s="128"/>
      <c r="BL38" s="128"/>
      <c r="BM38" s="128"/>
      <c r="BN38" s="128"/>
      <c r="BO38" s="128"/>
      <c r="BP38" s="37"/>
      <c r="BQ38" s="128"/>
      <c r="BR38" s="128"/>
      <c r="BS38" s="128"/>
      <c r="BT38" s="128"/>
      <c r="BU38" s="128"/>
      <c r="BV38" s="128"/>
      <c r="BW38" s="128"/>
      <c r="BX38" s="128"/>
      <c r="BY38" s="37"/>
      <c r="BZ38" s="128"/>
      <c r="CA38" s="128"/>
      <c r="CB38" s="128"/>
      <c r="CC38" s="128"/>
      <c r="CD38" s="128"/>
      <c r="CE38" s="128"/>
      <c r="CF38" s="128"/>
      <c r="CG38" s="128"/>
      <c r="CH38" s="37"/>
      <c r="CI38" s="128"/>
      <c r="CJ38" s="128"/>
      <c r="CK38" s="128"/>
      <c r="CL38" s="128"/>
      <c r="CM38" s="128"/>
      <c r="CN38" s="128"/>
      <c r="CO38" s="128"/>
      <c r="CP38" s="128"/>
      <c r="CQ38" s="37"/>
      <c r="CR38" s="128"/>
      <c r="CS38" s="128"/>
      <c r="CT38" s="128"/>
      <c r="CU38" s="128"/>
      <c r="CV38" s="128"/>
      <c r="CW38" s="128"/>
      <c r="CX38" s="128"/>
      <c r="CY38" s="128"/>
      <c r="CZ38" s="37"/>
      <c r="DA38" s="128"/>
      <c r="DB38" s="128"/>
      <c r="DC38" s="128"/>
      <c r="DD38" s="128"/>
      <c r="DE38" s="128"/>
      <c r="DF38" s="128"/>
      <c r="DG38" s="128"/>
      <c r="DH38" s="128"/>
      <c r="DI38" s="37"/>
      <c r="DJ38" s="128"/>
      <c r="DK38" s="128"/>
      <c r="DL38" s="128"/>
      <c r="DM38" s="128"/>
      <c r="DN38" s="128"/>
      <c r="DO38" s="128"/>
      <c r="DP38" s="128"/>
      <c r="DQ38" s="128"/>
      <c r="DR38" s="37"/>
      <c r="DS38" s="128"/>
      <c r="DT38" s="128"/>
      <c r="DU38" s="128"/>
      <c r="DV38" s="128"/>
      <c r="DW38" s="128"/>
      <c r="DX38" s="128"/>
      <c r="DY38" s="128"/>
      <c r="DZ38" s="128"/>
      <c r="EA38" s="37"/>
      <c r="EB38" s="128"/>
      <c r="EC38" s="128"/>
      <c r="ED38" s="128"/>
      <c r="EE38" s="128"/>
      <c r="EF38" s="128"/>
      <c r="EG38" s="128"/>
      <c r="EH38" s="128"/>
      <c r="EI38" s="128"/>
      <c r="EJ38" s="37"/>
      <c r="EK38" s="128"/>
      <c r="EL38" s="128"/>
      <c r="EM38" s="128"/>
      <c r="EN38" s="128"/>
      <c r="EO38" s="128"/>
      <c r="EP38" s="128"/>
      <c r="EQ38" s="128"/>
      <c r="ER38" s="128"/>
      <c r="ES38" s="37"/>
      <c r="ET38" s="128"/>
      <c r="EU38" s="128"/>
      <c r="EV38" s="128"/>
      <c r="EW38" s="128"/>
      <c r="EX38" s="128"/>
      <c r="EY38" s="128"/>
      <c r="EZ38" s="128"/>
      <c r="FA38" s="128"/>
      <c r="FB38" s="37"/>
      <c r="FC38" s="128"/>
      <c r="FD38" s="128"/>
      <c r="FE38" s="128"/>
      <c r="FF38" s="128"/>
      <c r="FG38" s="128"/>
      <c r="FH38" s="128"/>
      <c r="FI38" s="128"/>
      <c r="FJ38" s="128"/>
      <c r="FK38" s="37"/>
      <c r="FL38" s="128"/>
      <c r="FM38" s="128"/>
      <c r="FN38" s="128"/>
      <c r="FO38" s="128"/>
      <c r="FP38" s="128"/>
      <c r="FQ38" s="128"/>
      <c r="FR38" s="37"/>
      <c r="FS38" s="128"/>
      <c r="FT38" s="128"/>
      <c r="FU38" s="128"/>
      <c r="FV38" s="128"/>
      <c r="FW38" s="128"/>
      <c r="FX38" s="128"/>
      <c r="FY38" s="37"/>
      <c r="FZ38" s="128"/>
      <c r="GA38" s="128"/>
      <c r="GB38" s="128"/>
      <c r="GC38" s="128"/>
      <c r="GD38" s="128"/>
      <c r="GE38" s="128"/>
      <c r="GF38" s="37"/>
      <c r="GG38" s="128"/>
      <c r="GH38" s="128"/>
      <c r="GI38" s="128"/>
      <c r="GJ38" s="128"/>
      <c r="GK38" s="128"/>
      <c r="GL38" s="128"/>
      <c r="GM38" s="37"/>
      <c r="GN38" s="128"/>
      <c r="GO38" s="128"/>
      <c r="GP38" s="128"/>
      <c r="GQ38" s="128"/>
      <c r="GR38" s="128"/>
      <c r="GS38" s="128"/>
      <c r="GT38" s="37"/>
      <c r="GU38" s="128"/>
      <c r="GV38" s="128"/>
      <c r="GW38" s="128"/>
      <c r="GX38" s="128"/>
      <c r="GY38" s="128"/>
      <c r="GZ38" s="128"/>
      <c r="HA38" s="37"/>
      <c r="HB38" s="128"/>
      <c r="HC38" s="128"/>
      <c r="HD38" s="128"/>
      <c r="HE38" s="128"/>
      <c r="HF38" s="128"/>
      <c r="HG38" s="128"/>
      <c r="HH38" s="37"/>
      <c r="HI38" s="128"/>
      <c r="HJ38" s="128"/>
      <c r="HK38" s="128"/>
      <c r="HL38" s="128"/>
      <c r="HM38" s="128"/>
      <c r="HN38" s="128"/>
      <c r="HO38" s="37"/>
      <c r="HP38" s="128"/>
      <c r="HQ38" s="128"/>
      <c r="HR38" s="128"/>
      <c r="HS38" s="128"/>
      <c r="HT38" s="128"/>
      <c r="HU38" s="128"/>
      <c r="HV38" s="37"/>
      <c r="HW38" s="128"/>
      <c r="HX38" s="128"/>
      <c r="HY38" s="128"/>
      <c r="HZ38" s="128"/>
      <c r="IA38" s="128"/>
      <c r="IB38" s="128"/>
      <c r="IC38" s="37"/>
      <c r="ID38" s="128"/>
      <c r="IE38" s="128"/>
      <c r="IF38" s="128"/>
      <c r="IG38" s="128"/>
      <c r="IH38" s="128"/>
      <c r="II38" s="128"/>
      <c r="IJ38" s="37"/>
      <c r="IK38" s="128"/>
      <c r="IL38" s="128"/>
      <c r="IM38" s="128"/>
      <c r="IN38" s="128"/>
      <c r="IO38" s="128"/>
      <c r="IP38" s="128"/>
      <c r="IQ38" s="37"/>
      <c r="IR38" s="128"/>
      <c r="IS38" s="128"/>
      <c r="IT38" s="128"/>
      <c r="IU38" s="128"/>
      <c r="IV38" s="128"/>
      <c r="IW38" s="128"/>
      <c r="IX38" s="37"/>
      <c r="IY38" s="128"/>
      <c r="IZ38" s="128"/>
      <c r="JA38" s="128"/>
      <c r="JB38" s="128"/>
      <c r="JC38" s="128"/>
      <c r="JD38" s="128"/>
      <c r="JE38" s="37"/>
      <c r="JF38" s="128"/>
      <c r="JG38" s="128"/>
      <c r="JH38" s="128"/>
      <c r="JI38" s="128"/>
      <c r="JJ38" s="128"/>
      <c r="JK38" s="128"/>
      <c r="JL38" s="37"/>
      <c r="JM38" s="128"/>
      <c r="JN38" s="128"/>
      <c r="JO38" s="128"/>
      <c r="JP38" s="128"/>
      <c r="JQ38" s="128"/>
      <c r="JR38" s="128"/>
      <c r="JS38" s="37"/>
      <c r="JT38" s="128"/>
      <c r="JU38" s="128"/>
      <c r="JV38" s="128"/>
      <c r="JW38" s="128"/>
      <c r="JX38" s="128"/>
      <c r="JY38" s="128"/>
      <c r="JZ38" s="37"/>
      <c r="KA38" s="128"/>
      <c r="KB38" s="128"/>
      <c r="KC38" s="128"/>
      <c r="KD38" s="128"/>
      <c r="KE38" s="128"/>
      <c r="KF38" s="128"/>
      <c r="KG38" s="37"/>
      <c r="KH38" s="128"/>
      <c r="KI38" s="128"/>
      <c r="KJ38" s="128"/>
      <c r="KK38" s="128"/>
      <c r="KL38" s="128"/>
      <c r="KM38" s="128"/>
      <c r="KN38" s="37"/>
      <c r="KO38" s="128"/>
      <c r="KP38" s="128"/>
      <c r="KQ38" s="128"/>
      <c r="KR38" s="128"/>
      <c r="KS38" s="128"/>
      <c r="KT38" s="128"/>
      <c r="KU38" s="37"/>
      <c r="KV38" s="128"/>
      <c r="KW38" s="128"/>
      <c r="KX38" s="128"/>
      <c r="KY38" s="128"/>
      <c r="KZ38" s="128"/>
      <c r="LA38" s="128"/>
      <c r="LB38" s="37"/>
      <c r="LC38" s="128"/>
      <c r="LD38" s="128"/>
      <c r="LE38" s="128"/>
      <c r="LF38" s="128"/>
      <c r="LG38" s="128"/>
      <c r="LH38" s="128"/>
      <c r="LI38" s="37"/>
      <c r="LJ38" s="128"/>
      <c r="LK38" s="128"/>
      <c r="LL38" s="128"/>
      <c r="LM38" s="128"/>
      <c r="LN38" s="128"/>
      <c r="LO38" s="128"/>
      <c r="LP38" s="37"/>
      <c r="LQ38" s="128"/>
      <c r="LR38" s="128"/>
      <c r="LS38" s="128"/>
      <c r="LT38" s="128"/>
      <c r="LU38" s="128"/>
      <c r="LV38" s="128"/>
      <c r="LW38" s="37"/>
      <c r="LX38" s="128"/>
      <c r="LY38" s="128"/>
      <c r="LZ38" s="128"/>
      <c r="MA38" s="128"/>
      <c r="MB38" s="128"/>
      <c r="MC38" s="128"/>
      <c r="MD38" s="37"/>
      <c r="ME38" s="128"/>
      <c r="MF38" s="128"/>
      <c r="MG38" s="128"/>
      <c r="MH38" s="128"/>
      <c r="MI38" s="128"/>
      <c r="MJ38" s="128"/>
      <c r="MK38" s="37"/>
      <c r="ML38" s="128"/>
      <c r="MM38" s="128"/>
      <c r="MN38" s="128"/>
      <c r="MO38" s="128"/>
      <c r="MP38" s="128"/>
      <c r="MQ38" s="128"/>
      <c r="MR38" s="37"/>
    </row>
    <row r="39" spans="1:356" ht="66" hidden="1" customHeight="1" x14ac:dyDescent="0.25">
      <c r="A39" s="19"/>
      <c r="B39" s="19"/>
      <c r="C39" s="19"/>
      <c r="D39" s="19"/>
      <c r="E39" s="9"/>
      <c r="F39" s="19"/>
      <c r="G39" s="19"/>
      <c r="H39" s="19"/>
      <c r="I39" s="19"/>
      <c r="J39" s="19"/>
      <c r="K39" s="19"/>
      <c r="L39" s="19"/>
      <c r="M39" s="19"/>
      <c r="N39" s="19"/>
      <c r="O39" s="9"/>
      <c r="P39" s="120" t="s">
        <v>408</v>
      </c>
      <c r="Q39" s="121" t="s">
        <v>408</v>
      </c>
      <c r="R39" s="122"/>
      <c r="S39" s="49">
        <f>S1</f>
        <v>43975</v>
      </c>
      <c r="T39" s="49">
        <f>T1</f>
        <v>43976</v>
      </c>
      <c r="U39" s="49">
        <f>U1</f>
        <v>43977</v>
      </c>
      <c r="V39" s="49">
        <f>V1</f>
        <v>43978</v>
      </c>
      <c r="W39" s="49">
        <f>W1</f>
        <v>43979</v>
      </c>
      <c r="X39" s="49">
        <f>X1</f>
        <v>43980</v>
      </c>
      <c r="Y39" s="49">
        <f>Y1</f>
        <v>43981</v>
      </c>
      <c r="Z39" s="49">
        <f>Z1</f>
        <v>43982</v>
      </c>
      <c r="AA39" s="49">
        <f>AA1</f>
        <v>43983</v>
      </c>
      <c r="AB39" s="49">
        <f>AB1</f>
        <v>43984</v>
      </c>
      <c r="AC39" s="49">
        <f>AC1</f>
        <v>43985</v>
      </c>
      <c r="AD39" s="49">
        <f>AD1</f>
        <v>43986</v>
      </c>
      <c r="AE39" s="49">
        <f>AE1</f>
        <v>43987</v>
      </c>
      <c r="AF39" s="49">
        <f>AF1</f>
        <v>43988</v>
      </c>
      <c r="AG39" s="49">
        <f>AG1</f>
        <v>43989</v>
      </c>
      <c r="AH39" s="49">
        <f>AH1</f>
        <v>43990</v>
      </c>
      <c r="AI39" s="49">
        <f>AI1</f>
        <v>43991</v>
      </c>
      <c r="AJ39" s="49">
        <f>AJ1</f>
        <v>43992</v>
      </c>
      <c r="AK39" s="49">
        <f>AK1</f>
        <v>43993</v>
      </c>
      <c r="AL39" s="49">
        <f>AL1</f>
        <v>43994</v>
      </c>
      <c r="AM39" s="49">
        <f>AM1</f>
        <v>43995</v>
      </c>
      <c r="AN39" s="49">
        <f>AN1</f>
        <v>43996</v>
      </c>
      <c r="AO39" s="49">
        <f>AO1</f>
        <v>43997</v>
      </c>
      <c r="AP39" s="49">
        <f>AP1</f>
        <v>43998</v>
      </c>
      <c r="AQ39" s="49">
        <f>AQ1</f>
        <v>43999</v>
      </c>
      <c r="AR39" s="49">
        <f>AR1</f>
        <v>44000</v>
      </c>
      <c r="AS39" s="49">
        <f>AS1</f>
        <v>44001</v>
      </c>
      <c r="AT39" s="49">
        <f>AT1</f>
        <v>44002</v>
      </c>
      <c r="AU39" s="49">
        <f>AU1</f>
        <v>44003</v>
      </c>
      <c r="AV39" s="49">
        <f>AV1</f>
        <v>44004</v>
      </c>
      <c r="AW39" s="49">
        <f>AW1</f>
        <v>44005</v>
      </c>
      <c r="AX39" s="49">
        <f>AX1</f>
        <v>44006</v>
      </c>
      <c r="AY39" s="49">
        <f>AY1</f>
        <v>44007</v>
      </c>
      <c r="AZ39" s="49">
        <f>AZ1</f>
        <v>44008</v>
      </c>
      <c r="BA39" s="49">
        <f>BA1</f>
        <v>44009</v>
      </c>
      <c r="BB39" s="49">
        <f>BB1</f>
        <v>44010</v>
      </c>
      <c r="BC39" s="49">
        <f>BC1</f>
        <v>44011</v>
      </c>
      <c r="BD39" s="49">
        <f>BD1</f>
        <v>44012</v>
      </c>
      <c r="BE39" s="49">
        <f>BE1</f>
        <v>44013</v>
      </c>
      <c r="BF39" s="49">
        <f>BF1</f>
        <v>44014</v>
      </c>
      <c r="BG39" s="49">
        <f>BG1</f>
        <v>44015</v>
      </c>
      <c r="BH39" s="49">
        <f>BH1</f>
        <v>44016</v>
      </c>
      <c r="BI39" s="49">
        <f>BI1</f>
        <v>44017</v>
      </c>
      <c r="BJ39" s="49">
        <f>BJ1</f>
        <v>44018</v>
      </c>
      <c r="BK39" s="49">
        <f>BK1</f>
        <v>44019</v>
      </c>
      <c r="BL39" s="49">
        <f>BL1</f>
        <v>44020</v>
      </c>
      <c r="BM39" s="49">
        <f>BM1</f>
        <v>44021</v>
      </c>
      <c r="BN39" s="49">
        <f>BN1</f>
        <v>44022</v>
      </c>
      <c r="BO39" s="49">
        <f>BO1</f>
        <v>44023</v>
      </c>
      <c r="BP39" s="49">
        <f>BP1</f>
        <v>44024</v>
      </c>
      <c r="BQ39" s="49">
        <f>BQ1</f>
        <v>44025</v>
      </c>
      <c r="BR39" s="49">
        <f>BR1</f>
        <v>44026</v>
      </c>
      <c r="BS39" s="49">
        <f>BS1</f>
        <v>44027</v>
      </c>
      <c r="BT39" s="49">
        <f>BT1</f>
        <v>44028</v>
      </c>
      <c r="BU39" s="49">
        <f>BU1</f>
        <v>44029</v>
      </c>
      <c r="BV39" s="49">
        <f>BV1</f>
        <v>44030</v>
      </c>
      <c r="BW39" s="49">
        <f>BW1</f>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DS1</f>
        <v>44067</v>
      </c>
      <c r="DT39" s="49">
        <f>DT1</f>
        <v>44068</v>
      </c>
      <c r="DU39" s="49">
        <f>DU1</f>
        <v>44069</v>
      </c>
      <c r="DV39" s="49">
        <f>DV1</f>
        <v>44070</v>
      </c>
      <c r="DW39" s="49">
        <f>DW1</f>
        <v>44071</v>
      </c>
      <c r="DX39" s="49">
        <f>DX1</f>
        <v>44072</v>
      </c>
      <c r="DY39" s="49">
        <f>DY1</f>
        <v>44073</v>
      </c>
      <c r="DZ39" s="49"/>
      <c r="EA39" s="49"/>
      <c r="EB39" s="49">
        <f>EB1</f>
        <v>44074</v>
      </c>
      <c r="EC39" s="49">
        <f>EC1</f>
        <v>44075</v>
      </c>
      <c r="ED39" s="49">
        <f>ED1</f>
        <v>44076</v>
      </c>
      <c r="EE39" s="49">
        <f>EE1</f>
        <v>44077</v>
      </c>
      <c r="EF39" s="49">
        <f>EF1</f>
        <v>44078</v>
      </c>
      <c r="EG39" s="49">
        <f>EG1</f>
        <v>44079</v>
      </c>
      <c r="EH39" s="49">
        <f>EH1</f>
        <v>44080</v>
      </c>
      <c r="EI39" s="49"/>
      <c r="EJ39" s="49"/>
      <c r="EK39" s="49">
        <f>EK1</f>
        <v>44081</v>
      </c>
      <c r="EL39" s="49">
        <f>EL1</f>
        <v>44082</v>
      </c>
      <c r="EM39" s="49">
        <f>EM1</f>
        <v>44083</v>
      </c>
      <c r="EN39" s="49">
        <f>EN1</f>
        <v>44084</v>
      </c>
      <c r="EO39" s="49">
        <f>EO1</f>
        <v>44085</v>
      </c>
      <c r="EP39" s="49">
        <f>EP1</f>
        <v>44086</v>
      </c>
      <c r="EQ39" s="49">
        <f>EQ1</f>
        <v>44087</v>
      </c>
      <c r="ER39" s="49"/>
      <c r="ES39" s="49"/>
      <c r="ET39" s="49">
        <f>ET1</f>
        <v>44088</v>
      </c>
      <c r="EU39" s="49">
        <f>EU1</f>
        <v>44089</v>
      </c>
      <c r="EV39" s="49">
        <f>EV1</f>
        <v>44090</v>
      </c>
      <c r="EW39" s="49">
        <f>EW1</f>
        <v>44091</v>
      </c>
      <c r="EX39" s="49">
        <f>EX1</f>
        <v>44092</v>
      </c>
      <c r="EY39" s="49">
        <f>EY1</f>
        <v>44093</v>
      </c>
      <c r="EZ39" s="49">
        <f>EZ1</f>
        <v>44094</v>
      </c>
      <c r="FA39" s="49"/>
      <c r="FB39" s="49"/>
      <c r="FC39" s="49">
        <f>FC1</f>
        <v>44095</v>
      </c>
      <c r="FD39" s="49">
        <f>FD1</f>
        <v>44096</v>
      </c>
      <c r="FE39" s="49">
        <f>FE1</f>
        <v>44097</v>
      </c>
      <c r="FF39" s="49">
        <f>FF1</f>
        <v>44098</v>
      </c>
      <c r="FG39" s="49">
        <f>FG1</f>
        <v>44099</v>
      </c>
      <c r="FH39" s="49">
        <f>FH1</f>
        <v>44100</v>
      </c>
      <c r="FI39" s="49">
        <f>FI1</f>
        <v>44101</v>
      </c>
      <c r="FJ39" s="49"/>
      <c r="FK39" s="49"/>
      <c r="FL39" s="49">
        <f>FL1</f>
        <v>44102</v>
      </c>
      <c r="FM39" s="49">
        <f>FM1</f>
        <v>44103</v>
      </c>
      <c r="FN39" s="49">
        <f>FN1</f>
        <v>44104</v>
      </c>
      <c r="FO39" s="49">
        <f>FO1</f>
        <v>44105</v>
      </c>
      <c r="FP39" s="49">
        <f>FP1</f>
        <v>44106</v>
      </c>
      <c r="FQ39" s="49">
        <f>FQ1</f>
        <v>44107</v>
      </c>
      <c r="FR39" s="49">
        <f>FR1</f>
        <v>44108</v>
      </c>
      <c r="FS39" s="49">
        <f>FS1</f>
        <v>44109</v>
      </c>
      <c r="FT39" s="49">
        <f>FT1</f>
        <v>44110</v>
      </c>
      <c r="FU39" s="49">
        <f>FU1</f>
        <v>44111</v>
      </c>
      <c r="FV39" s="49">
        <f>FV1</f>
        <v>44112</v>
      </c>
      <c r="FW39" s="49">
        <f>FW1</f>
        <v>44113</v>
      </c>
      <c r="FX39" s="49">
        <f>FX1</f>
        <v>44114</v>
      </c>
      <c r="FY39" s="49">
        <f>FY1</f>
        <v>44115</v>
      </c>
      <c r="FZ39" s="49">
        <f>FZ1</f>
        <v>44116</v>
      </c>
      <c r="GA39" s="49">
        <f>GA1</f>
        <v>44117</v>
      </c>
      <c r="GB39" s="49">
        <f>GB1</f>
        <v>44118</v>
      </c>
      <c r="GC39" s="49">
        <f>GC1</f>
        <v>44119</v>
      </c>
      <c r="GD39" s="49">
        <f>GD1</f>
        <v>44120</v>
      </c>
      <c r="GE39" s="49">
        <f>GE1</f>
        <v>44121</v>
      </c>
      <c r="GF39" s="49">
        <f>GF1</f>
        <v>44122</v>
      </c>
      <c r="GG39" s="49">
        <f>GG1</f>
        <v>44123</v>
      </c>
      <c r="GH39" s="49">
        <f>GH1</f>
        <v>44124</v>
      </c>
      <c r="GI39" s="49">
        <f>GI1</f>
        <v>44125</v>
      </c>
      <c r="GJ39" s="49">
        <f>GJ1</f>
        <v>44126</v>
      </c>
      <c r="GK39" s="49">
        <f>GK1</f>
        <v>44127</v>
      </c>
      <c r="GL39" s="49">
        <f>GL1</f>
        <v>44128</v>
      </c>
      <c r="GM39" s="49">
        <f>GM1</f>
        <v>44129</v>
      </c>
      <c r="GN39" s="49">
        <f>GN1</f>
        <v>44130</v>
      </c>
      <c r="GO39" s="49">
        <f>GO1</f>
        <v>44131</v>
      </c>
      <c r="GP39" s="49">
        <f>GP1</f>
        <v>44132</v>
      </c>
      <c r="GQ39" s="49">
        <f>GQ1</f>
        <v>44133</v>
      </c>
      <c r="GR39" s="49">
        <f>GR1</f>
        <v>44134</v>
      </c>
      <c r="GS39" s="49">
        <f>GS1</f>
        <v>44135</v>
      </c>
      <c r="GT39" s="49">
        <f>GT1</f>
        <v>44136</v>
      </c>
      <c r="GU39" s="49">
        <f>GU1</f>
        <v>44137</v>
      </c>
      <c r="GV39" s="49">
        <f>GV1</f>
        <v>44138</v>
      </c>
      <c r="GW39" s="49">
        <f>GW1</f>
        <v>44139</v>
      </c>
      <c r="GX39" s="49">
        <f>GX1</f>
        <v>44140</v>
      </c>
      <c r="GY39" s="49">
        <f>GY1</f>
        <v>44141</v>
      </c>
      <c r="GZ39" s="49">
        <f>GZ1</f>
        <v>44142</v>
      </c>
      <c r="HA39" s="49">
        <f>HA1</f>
        <v>44143</v>
      </c>
      <c r="HB39" s="49">
        <f>HB1</f>
        <v>44144</v>
      </c>
      <c r="HC39" s="49">
        <f>HC1</f>
        <v>44145</v>
      </c>
      <c r="HD39" s="49">
        <f>HD1</f>
        <v>44146</v>
      </c>
      <c r="HE39" s="49">
        <f>HE1</f>
        <v>44147</v>
      </c>
      <c r="HF39" s="49">
        <f>HF1</f>
        <v>44148</v>
      </c>
      <c r="HG39" s="49">
        <f>HG1</f>
        <v>44149</v>
      </c>
      <c r="HH39" s="49">
        <f>HH1</f>
        <v>44150</v>
      </c>
      <c r="HI39" s="49">
        <f>HI1</f>
        <v>44151</v>
      </c>
      <c r="HJ39" s="49">
        <f>HJ1</f>
        <v>44152</v>
      </c>
      <c r="HK39" s="49">
        <f>HK1</f>
        <v>44153</v>
      </c>
      <c r="HL39" s="49">
        <f>HL1</f>
        <v>44154</v>
      </c>
      <c r="HM39" s="49">
        <f>HM1</f>
        <v>44155</v>
      </c>
      <c r="HN39" s="49">
        <f>HN1</f>
        <v>44156</v>
      </c>
      <c r="HO39" s="49">
        <f>HO1</f>
        <v>44157</v>
      </c>
      <c r="HP39" s="49">
        <f>HP1</f>
        <v>44158</v>
      </c>
      <c r="HQ39" s="49">
        <f>HQ1</f>
        <v>44159</v>
      </c>
      <c r="HR39" s="49">
        <f>HR1</f>
        <v>44160</v>
      </c>
      <c r="HS39" s="49">
        <f>HS1</f>
        <v>44161</v>
      </c>
      <c r="HT39" s="49">
        <f>HT1</f>
        <v>44162</v>
      </c>
      <c r="HU39" s="49">
        <f>HU1</f>
        <v>44163</v>
      </c>
      <c r="HV39" s="49">
        <f>HV1</f>
        <v>44164</v>
      </c>
      <c r="HW39" s="49">
        <f>HW1</f>
        <v>44165</v>
      </c>
      <c r="HX39" s="49">
        <f>HX1</f>
        <v>44166</v>
      </c>
      <c r="HY39" s="49">
        <f>HY1</f>
        <v>44167</v>
      </c>
      <c r="HZ39" s="49">
        <f>HZ1</f>
        <v>44168</v>
      </c>
      <c r="IA39" s="49">
        <f>IA1</f>
        <v>44169</v>
      </c>
      <c r="IB39" s="49">
        <f>IB1</f>
        <v>44170</v>
      </c>
      <c r="IC39" s="49">
        <f>IC1</f>
        <v>44171</v>
      </c>
      <c r="ID39" s="49">
        <f>ID1</f>
        <v>44172</v>
      </c>
      <c r="IE39" s="49">
        <f>IE1</f>
        <v>44173</v>
      </c>
      <c r="IF39" s="49">
        <f>IF1</f>
        <v>44174</v>
      </c>
      <c r="IG39" s="49">
        <f>IG1</f>
        <v>44175</v>
      </c>
      <c r="IH39" s="49">
        <f>IH1</f>
        <v>44176</v>
      </c>
      <c r="II39" s="49">
        <f>II1</f>
        <v>44177</v>
      </c>
      <c r="IJ39" s="49">
        <f>IJ1</f>
        <v>44178</v>
      </c>
      <c r="IK39" s="49">
        <f>IK1</f>
        <v>44179</v>
      </c>
      <c r="IL39" s="49">
        <f>IL1</f>
        <v>44180</v>
      </c>
      <c r="IM39" s="49">
        <f>IM1</f>
        <v>44181</v>
      </c>
      <c r="IN39" s="49">
        <f>IN1</f>
        <v>44182</v>
      </c>
      <c r="IO39" s="49">
        <f>IO1</f>
        <v>44183</v>
      </c>
      <c r="IP39" s="49">
        <f>IP1</f>
        <v>44184</v>
      </c>
      <c r="IQ39" s="49">
        <f>IQ1</f>
        <v>44185</v>
      </c>
      <c r="IR39" s="49">
        <f>IR1</f>
        <v>44186</v>
      </c>
      <c r="IS39" s="49">
        <f>IS1</f>
        <v>44187</v>
      </c>
      <c r="IT39" s="49">
        <f>IT1</f>
        <v>44188</v>
      </c>
      <c r="IU39" s="49">
        <f>IU1</f>
        <v>44189</v>
      </c>
      <c r="IV39" s="49">
        <f>IV1</f>
        <v>44190</v>
      </c>
      <c r="IW39" s="49">
        <f>IW1</f>
        <v>44191</v>
      </c>
      <c r="IX39" s="49">
        <f>IX1</f>
        <v>44192</v>
      </c>
      <c r="IY39" s="49">
        <f>IY1</f>
        <v>44193</v>
      </c>
      <c r="IZ39" s="49">
        <f>IZ1</f>
        <v>44194</v>
      </c>
      <c r="JA39" s="49">
        <f>JA1</f>
        <v>44195</v>
      </c>
      <c r="JB39" s="49">
        <f>JB1</f>
        <v>44196</v>
      </c>
      <c r="JC39" s="49">
        <f>JC1</f>
        <v>44197</v>
      </c>
      <c r="JD39" s="49">
        <f>JD1</f>
        <v>44198</v>
      </c>
      <c r="JE39" s="49">
        <f>JE1</f>
        <v>44199</v>
      </c>
      <c r="JF39" s="49">
        <f>JF1</f>
        <v>44200</v>
      </c>
      <c r="JG39" s="49">
        <f>JG1</f>
        <v>44201</v>
      </c>
      <c r="JH39" s="49">
        <f>JH1</f>
        <v>44202</v>
      </c>
      <c r="JI39" s="49">
        <f>JI1</f>
        <v>44203</v>
      </c>
      <c r="JJ39" s="49">
        <f>JJ1</f>
        <v>44204</v>
      </c>
      <c r="JK39" s="49">
        <f>JK1</f>
        <v>44205</v>
      </c>
      <c r="JL39" s="49">
        <f>JL1</f>
        <v>44206</v>
      </c>
      <c r="JM39" s="49">
        <f>JM1</f>
        <v>44207</v>
      </c>
      <c r="JN39" s="49">
        <f>JN1</f>
        <v>44208</v>
      </c>
      <c r="JO39" s="49">
        <f>JO1</f>
        <v>44209</v>
      </c>
      <c r="JP39" s="49">
        <f>JP1</f>
        <v>44210</v>
      </c>
      <c r="JQ39" s="49">
        <f>JQ1</f>
        <v>44211</v>
      </c>
      <c r="JR39" s="49">
        <f>JR1</f>
        <v>44212</v>
      </c>
      <c r="JS39" s="49">
        <f>JS1</f>
        <v>44213</v>
      </c>
      <c r="JT39" s="49">
        <f>JT1</f>
        <v>44214</v>
      </c>
      <c r="JU39" s="49">
        <f>JU1</f>
        <v>44215</v>
      </c>
      <c r="JV39" s="49">
        <f>JV1</f>
        <v>44216</v>
      </c>
      <c r="JW39" s="49">
        <f>JW1</f>
        <v>44217</v>
      </c>
      <c r="JX39" s="49">
        <f>JX1</f>
        <v>44218</v>
      </c>
      <c r="JY39" s="49">
        <f>JY1</f>
        <v>44219</v>
      </c>
      <c r="JZ39" s="49">
        <f>JZ1</f>
        <v>44220</v>
      </c>
      <c r="KA39" s="49">
        <f>KA1</f>
        <v>44221</v>
      </c>
      <c r="KB39" s="49">
        <f>KB1</f>
        <v>44222</v>
      </c>
      <c r="KC39" s="49">
        <f>KC1</f>
        <v>44223</v>
      </c>
      <c r="KD39" s="49">
        <f>KD1</f>
        <v>44224</v>
      </c>
      <c r="KE39" s="49">
        <f>KE1</f>
        <v>44225</v>
      </c>
      <c r="KF39" s="49">
        <f>KF1</f>
        <v>44226</v>
      </c>
      <c r="KG39" s="49">
        <f>KG1</f>
        <v>44227</v>
      </c>
      <c r="KH39" s="49">
        <f>KH1</f>
        <v>44228</v>
      </c>
      <c r="KI39" s="49">
        <f>KI1</f>
        <v>44229</v>
      </c>
      <c r="KJ39" s="49">
        <f>KJ1</f>
        <v>44230</v>
      </c>
      <c r="KK39" s="49">
        <f>KK1</f>
        <v>44231</v>
      </c>
      <c r="KL39" s="49">
        <f>KL1</f>
        <v>44232</v>
      </c>
      <c r="KM39" s="49">
        <f>KM1</f>
        <v>44233</v>
      </c>
      <c r="KN39" s="49">
        <f>KN1</f>
        <v>44234</v>
      </c>
      <c r="KO39" s="49">
        <f>KO1</f>
        <v>44235</v>
      </c>
      <c r="KP39" s="49">
        <f>KP1</f>
        <v>44236</v>
      </c>
      <c r="KQ39" s="49">
        <f>KQ1</f>
        <v>44237</v>
      </c>
      <c r="KR39" s="49">
        <f>KR1</f>
        <v>44238</v>
      </c>
      <c r="KS39" s="49">
        <f>KS1</f>
        <v>44239</v>
      </c>
      <c r="KT39" s="49">
        <f>KT1</f>
        <v>44240</v>
      </c>
      <c r="KU39" s="49">
        <f>KU1</f>
        <v>44241</v>
      </c>
      <c r="KV39" s="49">
        <f>KV1</f>
        <v>44242</v>
      </c>
      <c r="KW39" s="49">
        <f>KW1</f>
        <v>44243</v>
      </c>
      <c r="KX39" s="49">
        <f>KX1</f>
        <v>44244</v>
      </c>
      <c r="KY39" s="49">
        <f>KY1</f>
        <v>44245</v>
      </c>
      <c r="KZ39" s="49">
        <f>KZ1</f>
        <v>44246</v>
      </c>
      <c r="LA39" s="49">
        <f>LA1</f>
        <v>44247</v>
      </c>
      <c r="LB39" s="49">
        <f>LB1</f>
        <v>44248</v>
      </c>
      <c r="LC39" s="49">
        <f>LC1</f>
        <v>44249</v>
      </c>
      <c r="LD39" s="49">
        <f>LD1</f>
        <v>44250</v>
      </c>
      <c r="LE39" s="49">
        <f>LE1</f>
        <v>44251</v>
      </c>
      <c r="LF39" s="49">
        <f>LF1</f>
        <v>44252</v>
      </c>
      <c r="LG39" s="49">
        <f>LG1</f>
        <v>44253</v>
      </c>
      <c r="LH39" s="49">
        <f>LH1</f>
        <v>44254</v>
      </c>
      <c r="LI39" s="49">
        <f>LI1</f>
        <v>44255</v>
      </c>
      <c r="LJ39" s="49">
        <f>LJ1</f>
        <v>44256</v>
      </c>
      <c r="LK39" s="49">
        <f>LK1</f>
        <v>44257</v>
      </c>
      <c r="LL39" s="49">
        <f>LL1</f>
        <v>44258</v>
      </c>
      <c r="LM39" s="49">
        <f>LM1</f>
        <v>44259</v>
      </c>
      <c r="LN39" s="49">
        <f>LN1</f>
        <v>44260</v>
      </c>
      <c r="LO39" s="49">
        <f>LO1</f>
        <v>44261</v>
      </c>
      <c r="LP39" s="49">
        <f>LP1</f>
        <v>44262</v>
      </c>
      <c r="LQ39" s="49">
        <f>LQ1</f>
        <v>44263</v>
      </c>
      <c r="LR39" s="49">
        <f>LR1</f>
        <v>44264</v>
      </c>
      <c r="LS39" s="49">
        <f>LS1</f>
        <v>44265</v>
      </c>
      <c r="LT39" s="49">
        <f>LT1</f>
        <v>44266</v>
      </c>
      <c r="LU39" s="49">
        <f>LU1</f>
        <v>44267</v>
      </c>
      <c r="LV39" s="49">
        <f>LV1</f>
        <v>44268</v>
      </c>
      <c r="LW39" s="49">
        <f>LW1</f>
        <v>44269</v>
      </c>
      <c r="LX39" s="49">
        <f>LX1</f>
        <v>44270</v>
      </c>
      <c r="LY39" s="49">
        <f>LY1</f>
        <v>44271</v>
      </c>
      <c r="LZ39" s="49">
        <f>LZ1</f>
        <v>44272</v>
      </c>
      <c r="MA39" s="49">
        <f>MA1</f>
        <v>44273</v>
      </c>
      <c r="MB39" s="49">
        <f>MB1</f>
        <v>44274</v>
      </c>
      <c r="MC39" s="49">
        <f>MC1</f>
        <v>44275</v>
      </c>
      <c r="MD39" s="49">
        <f>MD1</f>
        <v>44276</v>
      </c>
      <c r="ME39" s="49">
        <f>ME1</f>
        <v>44277</v>
      </c>
      <c r="MF39" s="49">
        <f>MF1</f>
        <v>44278</v>
      </c>
      <c r="MG39" s="49">
        <f>MG1</f>
        <v>44279</v>
      </c>
      <c r="MH39" s="49">
        <f>MH1</f>
        <v>44280</v>
      </c>
      <c r="MI39" s="49">
        <f>MI1</f>
        <v>44281</v>
      </c>
      <c r="MJ39" s="49">
        <f>MJ1</f>
        <v>44282</v>
      </c>
      <c r="MK39" s="49">
        <f>MK1</f>
        <v>44283</v>
      </c>
      <c r="ML39" s="49">
        <f>ML1</f>
        <v>44284</v>
      </c>
      <c r="MM39" s="49">
        <f>MM1</f>
        <v>44285</v>
      </c>
      <c r="MN39" s="49">
        <f>MN1</f>
        <v>44286</v>
      </c>
      <c r="MO39" s="49">
        <f>MO1</f>
        <v>44287</v>
      </c>
      <c r="MP39" s="49">
        <f>MP1</f>
        <v>44288</v>
      </c>
      <c r="MQ39" s="49">
        <f>MQ1</f>
        <v>44289</v>
      </c>
      <c r="MR39" s="49">
        <f>MR1</f>
        <v>44290</v>
      </c>
    </row>
    <row r="40" spans="1:356" ht="15" customHeight="1" x14ac:dyDescent="0.25">
      <c r="A40" s="142" t="s">
        <v>144</v>
      </c>
      <c r="B40" s="142"/>
      <c r="C40" s="142"/>
      <c r="D40" s="142"/>
      <c r="E40" s="143"/>
      <c r="F40" s="36"/>
      <c r="G40" s="36"/>
      <c r="H40" s="36"/>
      <c r="I40" s="36"/>
      <c r="J40" s="36"/>
      <c r="K40" s="36"/>
      <c r="L40" s="36"/>
      <c r="M40" s="36"/>
      <c r="N40" s="36"/>
      <c r="O40" s="35"/>
      <c r="P40" s="153" t="s">
        <v>49</v>
      </c>
      <c r="Q40" s="153" t="s">
        <v>48</v>
      </c>
      <c r="R40" s="154"/>
      <c r="S40" s="54">
        <f>S39</f>
        <v>43975</v>
      </c>
      <c r="T40" s="55">
        <f t="shared" ref="T40:BV40" si="334">T39</f>
        <v>43976</v>
      </c>
      <c r="U40" s="54">
        <f t="shared" si="334"/>
        <v>43977</v>
      </c>
      <c r="V40" s="54">
        <f t="shared" si="334"/>
        <v>43978</v>
      </c>
      <c r="W40" s="54">
        <f t="shared" si="334"/>
        <v>43979</v>
      </c>
      <c r="X40" s="54">
        <f t="shared" si="334"/>
        <v>43980</v>
      </c>
      <c r="Y40" s="54">
        <f t="shared" si="334"/>
        <v>43981</v>
      </c>
      <c r="Z40" s="53">
        <f t="shared" si="334"/>
        <v>43982</v>
      </c>
      <c r="AA40" s="54">
        <f t="shared" si="334"/>
        <v>43983</v>
      </c>
      <c r="AB40" s="54">
        <f t="shared" si="334"/>
        <v>43984</v>
      </c>
      <c r="AC40" s="54">
        <f t="shared" si="334"/>
        <v>43985</v>
      </c>
      <c r="AD40" s="54">
        <f t="shared" si="334"/>
        <v>43986</v>
      </c>
      <c r="AE40" s="54">
        <f t="shared" si="334"/>
        <v>43987</v>
      </c>
      <c r="AF40" s="54">
        <f t="shared" si="334"/>
        <v>43988</v>
      </c>
      <c r="AG40" s="53">
        <f t="shared" si="334"/>
        <v>43989</v>
      </c>
      <c r="AH40" s="54">
        <f t="shared" si="334"/>
        <v>43990</v>
      </c>
      <c r="AI40" s="54">
        <f t="shared" si="334"/>
        <v>43991</v>
      </c>
      <c r="AJ40" s="54">
        <f t="shared" si="334"/>
        <v>43992</v>
      </c>
      <c r="AK40" s="54">
        <f t="shared" si="334"/>
        <v>43993</v>
      </c>
      <c r="AL40" s="54">
        <f t="shared" si="334"/>
        <v>43994</v>
      </c>
      <c r="AM40" s="54">
        <f t="shared" si="334"/>
        <v>43995</v>
      </c>
      <c r="AN40" s="53">
        <f t="shared" si="334"/>
        <v>43996</v>
      </c>
      <c r="AO40" s="54">
        <f t="shared" si="334"/>
        <v>43997</v>
      </c>
      <c r="AP40" s="54">
        <f t="shared" si="334"/>
        <v>43998</v>
      </c>
      <c r="AQ40" s="54">
        <f t="shared" si="334"/>
        <v>43999</v>
      </c>
      <c r="AR40" s="54">
        <f t="shared" si="334"/>
        <v>44000</v>
      </c>
      <c r="AS40" s="54">
        <f t="shared" si="334"/>
        <v>44001</v>
      </c>
      <c r="AT40" s="54">
        <f t="shared" si="334"/>
        <v>44002</v>
      </c>
      <c r="AU40" s="53">
        <f t="shared" si="334"/>
        <v>44003</v>
      </c>
      <c r="AV40" s="54">
        <f t="shared" si="334"/>
        <v>44004</v>
      </c>
      <c r="AW40" s="54">
        <f t="shared" si="334"/>
        <v>44005</v>
      </c>
      <c r="AX40" s="54">
        <f t="shared" si="334"/>
        <v>44006</v>
      </c>
      <c r="AY40" s="54">
        <f t="shared" si="334"/>
        <v>44007</v>
      </c>
      <c r="AZ40" s="54">
        <f t="shared" si="334"/>
        <v>44008</v>
      </c>
      <c r="BA40" s="54">
        <f t="shared" si="334"/>
        <v>44009</v>
      </c>
      <c r="BB40" s="53">
        <f t="shared" si="334"/>
        <v>44010</v>
      </c>
      <c r="BC40" s="54">
        <f t="shared" si="334"/>
        <v>44011</v>
      </c>
      <c r="BD40" s="54">
        <f t="shared" si="334"/>
        <v>44012</v>
      </c>
      <c r="BE40" s="54">
        <f t="shared" si="334"/>
        <v>44013</v>
      </c>
      <c r="BF40" s="54">
        <f t="shared" si="334"/>
        <v>44014</v>
      </c>
      <c r="BG40" s="54">
        <f t="shared" si="334"/>
        <v>44015</v>
      </c>
      <c r="BH40" s="54">
        <f t="shared" si="334"/>
        <v>44016</v>
      </c>
      <c r="BI40" s="53">
        <f t="shared" si="334"/>
        <v>44017</v>
      </c>
      <c r="BJ40" s="54">
        <f t="shared" si="334"/>
        <v>44018</v>
      </c>
      <c r="BK40" s="54">
        <f t="shared" si="334"/>
        <v>44019</v>
      </c>
      <c r="BL40" s="54">
        <f t="shared" si="334"/>
        <v>44020</v>
      </c>
      <c r="BM40" s="54">
        <f t="shared" si="334"/>
        <v>44021</v>
      </c>
      <c r="BN40" s="54">
        <f t="shared" si="334"/>
        <v>44022</v>
      </c>
      <c r="BO40" s="54">
        <f t="shared" si="334"/>
        <v>44023</v>
      </c>
      <c r="BP40" s="53">
        <v>12</v>
      </c>
      <c r="BQ40" s="54">
        <f t="shared" si="334"/>
        <v>44025</v>
      </c>
      <c r="BR40" s="54">
        <f t="shared" si="334"/>
        <v>44026</v>
      </c>
      <c r="BS40" s="54">
        <f t="shared" si="334"/>
        <v>44027</v>
      </c>
      <c r="BT40" s="54">
        <f t="shared" si="334"/>
        <v>44028</v>
      </c>
      <c r="BU40" s="54">
        <f t="shared" si="334"/>
        <v>44029</v>
      </c>
      <c r="BV40" s="54">
        <f t="shared" si="334"/>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L40" si="335">DS39</f>
        <v>44067</v>
      </c>
      <c r="DT40" s="54">
        <f t="shared" si="335"/>
        <v>44068</v>
      </c>
      <c r="DU40" s="54">
        <f t="shared" si="335"/>
        <v>44069</v>
      </c>
      <c r="DV40" s="54">
        <f t="shared" si="335"/>
        <v>44070</v>
      </c>
      <c r="DW40" s="54">
        <f t="shared" si="335"/>
        <v>44071</v>
      </c>
      <c r="DX40" s="54">
        <f t="shared" ref="DX40:DY40" si="336">DX39</f>
        <v>44072</v>
      </c>
      <c r="DY40" s="54">
        <f t="shared" si="336"/>
        <v>44073</v>
      </c>
      <c r="DZ40" s="54"/>
      <c r="EA40" s="53"/>
      <c r="EB40" s="54">
        <f t="shared" si="335"/>
        <v>44074</v>
      </c>
      <c r="EC40" s="54">
        <f t="shared" si="335"/>
        <v>44075</v>
      </c>
      <c r="ED40" s="54">
        <f t="shared" si="335"/>
        <v>44076</v>
      </c>
      <c r="EE40" s="54">
        <f t="shared" si="335"/>
        <v>44077</v>
      </c>
      <c r="EF40" s="54">
        <f t="shared" si="335"/>
        <v>44078</v>
      </c>
      <c r="EG40" s="54">
        <f t="shared" si="335"/>
        <v>44079</v>
      </c>
      <c r="EH40" s="54">
        <f t="shared" si="335"/>
        <v>44080</v>
      </c>
      <c r="EI40" s="54"/>
      <c r="EJ40" s="53"/>
      <c r="EK40" s="54">
        <f t="shared" si="335"/>
        <v>44081</v>
      </c>
      <c r="EL40" s="54">
        <f t="shared" si="335"/>
        <v>44082</v>
      </c>
      <c r="EM40" s="54">
        <f t="shared" si="335"/>
        <v>44083</v>
      </c>
      <c r="EN40" s="54">
        <f t="shared" si="335"/>
        <v>44084</v>
      </c>
      <c r="EO40" s="54">
        <f t="shared" si="335"/>
        <v>44085</v>
      </c>
      <c r="EP40" s="54">
        <f t="shared" si="335"/>
        <v>44086</v>
      </c>
      <c r="EQ40" s="54">
        <f t="shared" si="335"/>
        <v>44087</v>
      </c>
      <c r="ER40" s="54"/>
      <c r="ES40" s="53"/>
      <c r="ET40" s="54">
        <f t="shared" si="335"/>
        <v>44088</v>
      </c>
      <c r="EU40" s="54">
        <f t="shared" si="335"/>
        <v>44089</v>
      </c>
      <c r="EV40" s="54">
        <f t="shared" si="335"/>
        <v>44090</v>
      </c>
      <c r="EW40" s="54">
        <f t="shared" si="335"/>
        <v>44091</v>
      </c>
      <c r="EX40" s="54">
        <f t="shared" si="335"/>
        <v>44092</v>
      </c>
      <c r="EY40" s="54">
        <f t="shared" si="335"/>
        <v>44093</v>
      </c>
      <c r="EZ40" s="54">
        <f t="shared" si="335"/>
        <v>44094</v>
      </c>
      <c r="FA40" s="54"/>
      <c r="FB40" s="53"/>
      <c r="FC40" s="54">
        <f t="shared" si="335"/>
        <v>44095</v>
      </c>
      <c r="FD40" s="54">
        <f t="shared" si="335"/>
        <v>44096</v>
      </c>
      <c r="FE40" s="54">
        <f t="shared" si="335"/>
        <v>44097</v>
      </c>
      <c r="FF40" s="54">
        <f t="shared" si="335"/>
        <v>44098</v>
      </c>
      <c r="FG40" s="54">
        <f t="shared" si="335"/>
        <v>44099</v>
      </c>
      <c r="FH40" s="54">
        <f t="shared" si="335"/>
        <v>44100</v>
      </c>
      <c r="FI40" s="54">
        <f t="shared" si="335"/>
        <v>44101</v>
      </c>
      <c r="FJ40" s="54"/>
      <c r="FK40" s="53"/>
      <c r="FL40" s="54">
        <f t="shared" si="335"/>
        <v>44102</v>
      </c>
      <c r="FM40" s="54">
        <f t="shared" ref="FM40:HX40" si="337">FM39</f>
        <v>44103</v>
      </c>
      <c r="FN40" s="54">
        <f t="shared" si="337"/>
        <v>44104</v>
      </c>
      <c r="FO40" s="54">
        <f t="shared" si="337"/>
        <v>44105</v>
      </c>
      <c r="FP40" s="54">
        <f t="shared" si="337"/>
        <v>44106</v>
      </c>
      <c r="FQ40" s="54">
        <f t="shared" si="337"/>
        <v>44107</v>
      </c>
      <c r="FR40" s="53">
        <f t="shared" si="337"/>
        <v>44108</v>
      </c>
      <c r="FS40" s="54">
        <f t="shared" si="337"/>
        <v>44109</v>
      </c>
      <c r="FT40" s="54">
        <f t="shared" si="337"/>
        <v>44110</v>
      </c>
      <c r="FU40" s="54">
        <f t="shared" si="337"/>
        <v>44111</v>
      </c>
      <c r="FV40" s="54">
        <f t="shared" si="337"/>
        <v>44112</v>
      </c>
      <c r="FW40" s="54">
        <f t="shared" si="337"/>
        <v>44113</v>
      </c>
      <c r="FX40" s="54">
        <f t="shared" si="337"/>
        <v>44114</v>
      </c>
      <c r="FY40" s="53">
        <f t="shared" si="337"/>
        <v>44115</v>
      </c>
      <c r="FZ40" s="54">
        <f t="shared" si="337"/>
        <v>44116</v>
      </c>
      <c r="GA40" s="54">
        <f t="shared" si="337"/>
        <v>44117</v>
      </c>
      <c r="GB40" s="54">
        <f t="shared" si="337"/>
        <v>44118</v>
      </c>
      <c r="GC40" s="54">
        <f t="shared" si="337"/>
        <v>44119</v>
      </c>
      <c r="GD40" s="54">
        <f t="shared" si="337"/>
        <v>44120</v>
      </c>
      <c r="GE40" s="54">
        <f t="shared" si="337"/>
        <v>44121</v>
      </c>
      <c r="GF40" s="53">
        <f t="shared" si="337"/>
        <v>44122</v>
      </c>
      <c r="GG40" s="54">
        <f t="shared" si="337"/>
        <v>44123</v>
      </c>
      <c r="GH40" s="54">
        <f t="shared" si="337"/>
        <v>44124</v>
      </c>
      <c r="GI40" s="54">
        <f t="shared" si="337"/>
        <v>44125</v>
      </c>
      <c r="GJ40" s="54">
        <f t="shared" si="337"/>
        <v>44126</v>
      </c>
      <c r="GK40" s="54">
        <f t="shared" si="337"/>
        <v>44127</v>
      </c>
      <c r="GL40" s="54">
        <f t="shared" si="337"/>
        <v>44128</v>
      </c>
      <c r="GM40" s="53">
        <f t="shared" si="337"/>
        <v>44129</v>
      </c>
      <c r="GN40" s="54">
        <f t="shared" si="337"/>
        <v>44130</v>
      </c>
      <c r="GO40" s="54">
        <f t="shared" si="337"/>
        <v>44131</v>
      </c>
      <c r="GP40" s="54">
        <f t="shared" si="337"/>
        <v>44132</v>
      </c>
      <c r="GQ40" s="54">
        <f t="shared" si="337"/>
        <v>44133</v>
      </c>
      <c r="GR40" s="54">
        <f t="shared" si="337"/>
        <v>44134</v>
      </c>
      <c r="GS40" s="54">
        <f t="shared" si="337"/>
        <v>44135</v>
      </c>
      <c r="GT40" s="53">
        <f t="shared" si="337"/>
        <v>44136</v>
      </c>
      <c r="GU40" s="54">
        <f t="shared" si="337"/>
        <v>44137</v>
      </c>
      <c r="GV40" s="54">
        <f t="shared" si="337"/>
        <v>44138</v>
      </c>
      <c r="GW40" s="54">
        <f t="shared" si="337"/>
        <v>44139</v>
      </c>
      <c r="GX40" s="54">
        <f t="shared" si="337"/>
        <v>44140</v>
      </c>
      <c r="GY40" s="54">
        <f t="shared" si="337"/>
        <v>44141</v>
      </c>
      <c r="GZ40" s="54">
        <f t="shared" si="337"/>
        <v>44142</v>
      </c>
      <c r="HA40" s="53">
        <f t="shared" si="337"/>
        <v>44143</v>
      </c>
      <c r="HB40" s="54">
        <f t="shared" si="337"/>
        <v>44144</v>
      </c>
      <c r="HC40" s="54">
        <f t="shared" si="337"/>
        <v>44145</v>
      </c>
      <c r="HD40" s="54">
        <f t="shared" si="337"/>
        <v>44146</v>
      </c>
      <c r="HE40" s="54">
        <f t="shared" si="337"/>
        <v>44147</v>
      </c>
      <c r="HF40" s="54">
        <f t="shared" si="337"/>
        <v>44148</v>
      </c>
      <c r="HG40" s="54">
        <f t="shared" si="337"/>
        <v>44149</v>
      </c>
      <c r="HH40" s="53">
        <f t="shared" si="337"/>
        <v>44150</v>
      </c>
      <c r="HI40" s="54">
        <f t="shared" si="337"/>
        <v>44151</v>
      </c>
      <c r="HJ40" s="54">
        <f t="shared" si="337"/>
        <v>44152</v>
      </c>
      <c r="HK40" s="54">
        <f t="shared" si="337"/>
        <v>44153</v>
      </c>
      <c r="HL40" s="54">
        <f t="shared" si="337"/>
        <v>44154</v>
      </c>
      <c r="HM40" s="54">
        <f t="shared" si="337"/>
        <v>44155</v>
      </c>
      <c r="HN40" s="54">
        <f t="shared" si="337"/>
        <v>44156</v>
      </c>
      <c r="HO40" s="53">
        <f t="shared" si="337"/>
        <v>44157</v>
      </c>
      <c r="HP40" s="54">
        <f t="shared" si="337"/>
        <v>44158</v>
      </c>
      <c r="HQ40" s="54">
        <f t="shared" si="337"/>
        <v>44159</v>
      </c>
      <c r="HR40" s="54">
        <f t="shared" si="337"/>
        <v>44160</v>
      </c>
      <c r="HS40" s="54">
        <f t="shared" si="337"/>
        <v>44161</v>
      </c>
      <c r="HT40" s="54">
        <f t="shared" si="337"/>
        <v>44162</v>
      </c>
      <c r="HU40" s="54">
        <f t="shared" si="337"/>
        <v>44163</v>
      </c>
      <c r="HV40" s="53">
        <f t="shared" si="337"/>
        <v>44164</v>
      </c>
      <c r="HW40" s="54">
        <f t="shared" si="337"/>
        <v>44165</v>
      </c>
      <c r="HX40" s="54">
        <f t="shared" si="337"/>
        <v>44166</v>
      </c>
      <c r="HY40" s="54">
        <f t="shared" ref="HY40:KJ40" si="338">HY39</f>
        <v>44167</v>
      </c>
      <c r="HZ40" s="54">
        <f t="shared" si="338"/>
        <v>44168</v>
      </c>
      <c r="IA40" s="54">
        <f t="shared" si="338"/>
        <v>44169</v>
      </c>
      <c r="IB40" s="54">
        <f t="shared" si="338"/>
        <v>44170</v>
      </c>
      <c r="IC40" s="53">
        <f t="shared" si="338"/>
        <v>44171</v>
      </c>
      <c r="ID40" s="54">
        <f t="shared" si="338"/>
        <v>44172</v>
      </c>
      <c r="IE40" s="54">
        <f t="shared" si="338"/>
        <v>44173</v>
      </c>
      <c r="IF40" s="54">
        <f t="shared" si="338"/>
        <v>44174</v>
      </c>
      <c r="IG40" s="54">
        <f t="shared" si="338"/>
        <v>44175</v>
      </c>
      <c r="IH40" s="54">
        <f t="shared" si="338"/>
        <v>44176</v>
      </c>
      <c r="II40" s="54">
        <f t="shared" si="338"/>
        <v>44177</v>
      </c>
      <c r="IJ40" s="53">
        <f t="shared" si="338"/>
        <v>44178</v>
      </c>
      <c r="IK40" s="54">
        <f t="shared" si="338"/>
        <v>44179</v>
      </c>
      <c r="IL40" s="54">
        <f t="shared" si="338"/>
        <v>44180</v>
      </c>
      <c r="IM40" s="54">
        <f t="shared" si="338"/>
        <v>44181</v>
      </c>
      <c r="IN40" s="54">
        <f t="shared" si="338"/>
        <v>44182</v>
      </c>
      <c r="IO40" s="54">
        <f t="shared" si="338"/>
        <v>44183</v>
      </c>
      <c r="IP40" s="54">
        <f t="shared" si="338"/>
        <v>44184</v>
      </c>
      <c r="IQ40" s="53">
        <f t="shared" si="338"/>
        <v>44185</v>
      </c>
      <c r="IR40" s="54">
        <f t="shared" si="338"/>
        <v>44186</v>
      </c>
      <c r="IS40" s="54">
        <f t="shared" si="338"/>
        <v>44187</v>
      </c>
      <c r="IT40" s="54">
        <f t="shared" si="338"/>
        <v>44188</v>
      </c>
      <c r="IU40" s="54">
        <f t="shared" si="338"/>
        <v>44189</v>
      </c>
      <c r="IV40" s="54">
        <f t="shared" si="338"/>
        <v>44190</v>
      </c>
      <c r="IW40" s="54">
        <f t="shared" si="338"/>
        <v>44191</v>
      </c>
      <c r="IX40" s="53">
        <f t="shared" si="338"/>
        <v>44192</v>
      </c>
      <c r="IY40" s="54">
        <f t="shared" si="338"/>
        <v>44193</v>
      </c>
      <c r="IZ40" s="54">
        <f t="shared" si="338"/>
        <v>44194</v>
      </c>
      <c r="JA40" s="54">
        <f t="shared" si="338"/>
        <v>44195</v>
      </c>
      <c r="JB40" s="54">
        <f t="shared" si="338"/>
        <v>44196</v>
      </c>
      <c r="JC40" s="54">
        <f t="shared" si="338"/>
        <v>44197</v>
      </c>
      <c r="JD40" s="54">
        <f t="shared" si="338"/>
        <v>44198</v>
      </c>
      <c r="JE40" s="53">
        <f t="shared" si="338"/>
        <v>44199</v>
      </c>
      <c r="JF40" s="54">
        <f t="shared" si="338"/>
        <v>44200</v>
      </c>
      <c r="JG40" s="54">
        <f t="shared" si="338"/>
        <v>44201</v>
      </c>
      <c r="JH40" s="54">
        <f t="shared" si="338"/>
        <v>44202</v>
      </c>
      <c r="JI40" s="54">
        <f t="shared" si="338"/>
        <v>44203</v>
      </c>
      <c r="JJ40" s="54">
        <f t="shared" si="338"/>
        <v>44204</v>
      </c>
      <c r="JK40" s="54">
        <f t="shared" si="338"/>
        <v>44205</v>
      </c>
      <c r="JL40" s="53">
        <f t="shared" si="338"/>
        <v>44206</v>
      </c>
      <c r="JM40" s="54">
        <f t="shared" si="338"/>
        <v>44207</v>
      </c>
      <c r="JN40" s="54">
        <f t="shared" si="338"/>
        <v>44208</v>
      </c>
      <c r="JO40" s="54">
        <f t="shared" si="338"/>
        <v>44209</v>
      </c>
      <c r="JP40" s="54">
        <f t="shared" si="338"/>
        <v>44210</v>
      </c>
      <c r="JQ40" s="54">
        <f t="shared" si="338"/>
        <v>44211</v>
      </c>
      <c r="JR40" s="54">
        <f t="shared" si="338"/>
        <v>44212</v>
      </c>
      <c r="JS40" s="53">
        <f t="shared" si="338"/>
        <v>44213</v>
      </c>
      <c r="JT40" s="54">
        <f t="shared" si="338"/>
        <v>44214</v>
      </c>
      <c r="JU40" s="54">
        <f t="shared" si="338"/>
        <v>44215</v>
      </c>
      <c r="JV40" s="54">
        <f t="shared" si="338"/>
        <v>44216</v>
      </c>
      <c r="JW40" s="54">
        <f t="shared" si="338"/>
        <v>44217</v>
      </c>
      <c r="JX40" s="54">
        <f t="shared" si="338"/>
        <v>44218</v>
      </c>
      <c r="JY40" s="54">
        <f t="shared" si="338"/>
        <v>44219</v>
      </c>
      <c r="JZ40" s="53">
        <f t="shared" si="338"/>
        <v>44220</v>
      </c>
      <c r="KA40" s="54">
        <f t="shared" si="338"/>
        <v>44221</v>
      </c>
      <c r="KB40" s="54">
        <f t="shared" si="338"/>
        <v>44222</v>
      </c>
      <c r="KC40" s="54">
        <f t="shared" si="338"/>
        <v>44223</v>
      </c>
      <c r="KD40" s="54">
        <f t="shared" si="338"/>
        <v>44224</v>
      </c>
      <c r="KE40" s="54">
        <f t="shared" si="338"/>
        <v>44225</v>
      </c>
      <c r="KF40" s="54">
        <f t="shared" si="338"/>
        <v>44226</v>
      </c>
      <c r="KG40" s="53">
        <f t="shared" si="338"/>
        <v>44227</v>
      </c>
      <c r="KH40" s="54">
        <f t="shared" si="338"/>
        <v>44228</v>
      </c>
      <c r="KI40" s="54">
        <f t="shared" si="338"/>
        <v>44229</v>
      </c>
      <c r="KJ40" s="54">
        <f t="shared" si="338"/>
        <v>44230</v>
      </c>
      <c r="KK40" s="54">
        <f t="shared" ref="KK40:MR40" si="339">KK39</f>
        <v>44231</v>
      </c>
      <c r="KL40" s="54">
        <f t="shared" si="339"/>
        <v>44232</v>
      </c>
      <c r="KM40" s="54">
        <f t="shared" si="339"/>
        <v>44233</v>
      </c>
      <c r="KN40" s="53">
        <f t="shared" si="339"/>
        <v>44234</v>
      </c>
      <c r="KO40" s="54">
        <f t="shared" si="339"/>
        <v>44235</v>
      </c>
      <c r="KP40" s="54">
        <f t="shared" si="339"/>
        <v>44236</v>
      </c>
      <c r="KQ40" s="54">
        <f t="shared" si="339"/>
        <v>44237</v>
      </c>
      <c r="KR40" s="54">
        <f t="shared" si="339"/>
        <v>44238</v>
      </c>
      <c r="KS40" s="54">
        <f t="shared" si="339"/>
        <v>44239</v>
      </c>
      <c r="KT40" s="54">
        <f t="shared" si="339"/>
        <v>44240</v>
      </c>
      <c r="KU40" s="53">
        <f t="shared" si="339"/>
        <v>44241</v>
      </c>
      <c r="KV40" s="54">
        <f t="shared" si="339"/>
        <v>44242</v>
      </c>
      <c r="KW40" s="54">
        <f t="shared" si="339"/>
        <v>44243</v>
      </c>
      <c r="KX40" s="54">
        <f t="shared" si="339"/>
        <v>44244</v>
      </c>
      <c r="KY40" s="54">
        <f t="shared" si="339"/>
        <v>44245</v>
      </c>
      <c r="KZ40" s="54">
        <f t="shared" si="339"/>
        <v>44246</v>
      </c>
      <c r="LA40" s="54">
        <f t="shared" si="339"/>
        <v>44247</v>
      </c>
      <c r="LB40" s="53">
        <f t="shared" si="339"/>
        <v>44248</v>
      </c>
      <c r="LC40" s="54">
        <f t="shared" si="339"/>
        <v>44249</v>
      </c>
      <c r="LD40" s="54">
        <f t="shared" si="339"/>
        <v>44250</v>
      </c>
      <c r="LE40" s="54">
        <f t="shared" si="339"/>
        <v>44251</v>
      </c>
      <c r="LF40" s="54">
        <f t="shared" si="339"/>
        <v>44252</v>
      </c>
      <c r="LG40" s="54">
        <f t="shared" si="339"/>
        <v>44253</v>
      </c>
      <c r="LH40" s="54">
        <f t="shared" si="339"/>
        <v>44254</v>
      </c>
      <c r="LI40" s="53">
        <f t="shared" si="339"/>
        <v>44255</v>
      </c>
      <c r="LJ40" s="54">
        <f t="shared" si="339"/>
        <v>44256</v>
      </c>
      <c r="LK40" s="54">
        <f t="shared" si="339"/>
        <v>44257</v>
      </c>
      <c r="LL40" s="54">
        <f t="shared" si="339"/>
        <v>44258</v>
      </c>
      <c r="LM40" s="54">
        <f t="shared" si="339"/>
        <v>44259</v>
      </c>
      <c r="LN40" s="54">
        <f t="shared" si="339"/>
        <v>44260</v>
      </c>
      <c r="LO40" s="54">
        <f t="shared" si="339"/>
        <v>44261</v>
      </c>
      <c r="LP40" s="53">
        <f t="shared" si="339"/>
        <v>44262</v>
      </c>
      <c r="LQ40" s="54">
        <f t="shared" si="339"/>
        <v>44263</v>
      </c>
      <c r="LR40" s="54">
        <f t="shared" si="339"/>
        <v>44264</v>
      </c>
      <c r="LS40" s="54">
        <f t="shared" si="339"/>
        <v>44265</v>
      </c>
      <c r="LT40" s="54">
        <f t="shared" si="339"/>
        <v>44266</v>
      </c>
      <c r="LU40" s="54">
        <f t="shared" si="339"/>
        <v>44267</v>
      </c>
      <c r="LV40" s="54">
        <f t="shared" si="339"/>
        <v>44268</v>
      </c>
      <c r="LW40" s="53">
        <f t="shared" si="339"/>
        <v>44269</v>
      </c>
      <c r="LX40" s="54">
        <f t="shared" si="339"/>
        <v>44270</v>
      </c>
      <c r="LY40" s="54">
        <f t="shared" si="339"/>
        <v>44271</v>
      </c>
      <c r="LZ40" s="54">
        <f t="shared" si="339"/>
        <v>44272</v>
      </c>
      <c r="MA40" s="54">
        <f t="shared" si="339"/>
        <v>44273</v>
      </c>
      <c r="MB40" s="54">
        <f t="shared" si="339"/>
        <v>44274</v>
      </c>
      <c r="MC40" s="54">
        <f t="shared" si="339"/>
        <v>44275</v>
      </c>
      <c r="MD40" s="53">
        <f t="shared" si="339"/>
        <v>44276</v>
      </c>
      <c r="ME40" s="54">
        <f t="shared" si="339"/>
        <v>44277</v>
      </c>
      <c r="MF40" s="54">
        <f t="shared" si="339"/>
        <v>44278</v>
      </c>
      <c r="MG40" s="54">
        <f t="shared" si="339"/>
        <v>44279</v>
      </c>
      <c r="MH40" s="54">
        <f t="shared" si="339"/>
        <v>44280</v>
      </c>
      <c r="MI40" s="54">
        <f t="shared" si="339"/>
        <v>44281</v>
      </c>
      <c r="MJ40" s="54">
        <f t="shared" si="339"/>
        <v>44282</v>
      </c>
      <c r="MK40" s="53">
        <f t="shared" si="339"/>
        <v>44283</v>
      </c>
      <c r="ML40" s="54">
        <f t="shared" si="339"/>
        <v>44284</v>
      </c>
      <c r="MM40" s="54">
        <f t="shared" si="339"/>
        <v>44285</v>
      </c>
      <c r="MN40" s="54">
        <f t="shared" si="339"/>
        <v>44286</v>
      </c>
      <c r="MO40" s="54">
        <f t="shared" si="339"/>
        <v>44287</v>
      </c>
      <c r="MP40" s="54">
        <f t="shared" si="339"/>
        <v>44288</v>
      </c>
      <c r="MQ40" s="54">
        <f t="shared" si="339"/>
        <v>44289</v>
      </c>
      <c r="MR40" s="53">
        <f t="shared" si="339"/>
        <v>44290</v>
      </c>
    </row>
    <row r="41" spans="1:356" ht="15" customHeight="1" x14ac:dyDescent="0.25">
      <c r="A41" s="144"/>
      <c r="B41" s="144"/>
      <c r="C41" s="144"/>
      <c r="D41" s="144"/>
      <c r="E41" s="145"/>
      <c r="F41" s="19"/>
      <c r="G41" s="19"/>
      <c r="H41" s="19"/>
      <c r="I41" s="19"/>
      <c r="J41" s="19"/>
      <c r="K41" s="19"/>
      <c r="L41" s="19"/>
      <c r="M41" s="19"/>
      <c r="N41" s="19"/>
      <c r="O41" s="9"/>
      <c r="P41" s="147"/>
      <c r="Q41" s="147"/>
      <c r="R41" s="149"/>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262</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391</v>
      </c>
      <c r="DU41" s="25"/>
      <c r="DV41" s="25" t="s">
        <v>38</v>
      </c>
      <c r="DW41" s="25" t="s">
        <v>38</v>
      </c>
      <c r="DX41" s="25"/>
      <c r="DY41" s="25"/>
      <c r="DZ41" s="25"/>
      <c r="EA41" s="24"/>
      <c r="EB41" s="25"/>
      <c r="EC41" s="25" t="s">
        <v>38</v>
      </c>
      <c r="ED41" s="25"/>
      <c r="EE41" s="25" t="s">
        <v>478</v>
      </c>
      <c r="EF41" s="25" t="s">
        <v>38</v>
      </c>
      <c r="EG41" s="25"/>
      <c r="EH41" s="25"/>
      <c r="EI41" s="25"/>
      <c r="EJ41" s="24"/>
      <c r="EK41" s="25"/>
      <c r="EL41" s="25" t="s">
        <v>38</v>
      </c>
      <c r="EM41" s="25"/>
      <c r="EN41" s="25" t="s">
        <v>38</v>
      </c>
      <c r="EO41" s="25" t="s">
        <v>478</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5"/>
      <c r="FJ41" s="25"/>
      <c r="FK41" s="24"/>
      <c r="FL41" s="25"/>
      <c r="FM41" s="25" t="s">
        <v>38</v>
      </c>
      <c r="FN41" s="25"/>
      <c r="FO41" s="25" t="s">
        <v>38</v>
      </c>
      <c r="FP41" s="25" t="s">
        <v>38</v>
      </c>
      <c r="FQ41" s="25"/>
      <c r="FR41" s="24"/>
      <c r="FS41" s="25"/>
      <c r="FT41" s="25" t="s">
        <v>38</v>
      </c>
      <c r="FU41" s="25"/>
      <c r="FV41" s="25" t="s">
        <v>38</v>
      </c>
      <c r="FW41" s="25" t="s">
        <v>38</v>
      </c>
      <c r="FX41" s="25"/>
      <c r="FY41" s="24"/>
      <c r="FZ41" s="25"/>
      <c r="GA41" s="25" t="s">
        <v>38</v>
      </c>
      <c r="GB41" s="25"/>
      <c r="GC41" s="25" t="s">
        <v>38</v>
      </c>
      <c r="GD41" s="25" t="s">
        <v>38</v>
      </c>
      <c r="GE41" s="25"/>
      <c r="GF41" s="24"/>
      <c r="GG41" s="25"/>
      <c r="GH41" s="25" t="s">
        <v>38</v>
      </c>
      <c r="GI41" s="25"/>
      <c r="GJ41" s="25" t="s">
        <v>38</v>
      </c>
      <c r="GK41" s="25" t="s">
        <v>38</v>
      </c>
      <c r="GL41" s="25"/>
      <c r="GM41" s="24"/>
      <c r="GN41" s="25"/>
      <c r="GO41" s="25" t="s">
        <v>38</v>
      </c>
      <c r="GP41" s="25"/>
      <c r="GQ41" s="25" t="s">
        <v>38</v>
      </c>
      <c r="GR41" s="25" t="s">
        <v>38</v>
      </c>
      <c r="GS41" s="25"/>
      <c r="GT41" s="24"/>
      <c r="GU41" s="25"/>
      <c r="GV41" s="25" t="s">
        <v>38</v>
      </c>
      <c r="GW41" s="25"/>
      <c r="GX41" s="25" t="s">
        <v>38</v>
      </c>
      <c r="GY41" s="25" t="s">
        <v>38</v>
      </c>
      <c r="GZ41" s="25"/>
      <c r="HA41" s="24"/>
      <c r="HB41" s="25"/>
      <c r="HC41" s="25" t="s">
        <v>38</v>
      </c>
      <c r="HD41" s="25"/>
      <c r="HE41" s="25" t="s">
        <v>38</v>
      </c>
      <c r="HF41" s="25" t="s">
        <v>38</v>
      </c>
      <c r="HG41" s="25"/>
      <c r="HH41" s="24"/>
      <c r="HI41" s="25"/>
      <c r="HJ41" s="25" t="s">
        <v>38</v>
      </c>
      <c r="HK41" s="25"/>
      <c r="HL41" s="25" t="s">
        <v>38</v>
      </c>
      <c r="HM41" s="25" t="s">
        <v>38</v>
      </c>
      <c r="HN41" s="25"/>
      <c r="HO41" s="24"/>
      <c r="HP41" s="25"/>
      <c r="HQ41" s="25" t="s">
        <v>38</v>
      </c>
      <c r="HR41" s="25"/>
      <c r="HS41" s="25" t="s">
        <v>38</v>
      </c>
      <c r="HT41" s="25" t="s">
        <v>38</v>
      </c>
      <c r="HU41" s="25"/>
      <c r="HV41" s="24"/>
      <c r="HW41" s="25"/>
      <c r="HX41" s="25" t="s">
        <v>38</v>
      </c>
      <c r="HY41" s="25" t="s">
        <v>38</v>
      </c>
      <c r="HZ41" s="25"/>
      <c r="IA41" s="25" t="s">
        <v>38</v>
      </c>
      <c r="IB41" s="25"/>
      <c r="IC41" s="24"/>
      <c r="ID41" s="25"/>
      <c r="IE41" s="25" t="s">
        <v>38</v>
      </c>
      <c r="IF41" s="25"/>
      <c r="IG41" s="25" t="s">
        <v>38</v>
      </c>
      <c r="IH41" s="25" t="s">
        <v>38</v>
      </c>
      <c r="II41" s="25"/>
      <c r="IJ41" s="24"/>
      <c r="IK41" s="25"/>
      <c r="IL41" s="25" t="s">
        <v>38</v>
      </c>
      <c r="IM41" s="25"/>
      <c r="IN41" s="25" t="s">
        <v>38</v>
      </c>
      <c r="IO41" s="25" t="s">
        <v>38</v>
      </c>
      <c r="IP41" s="25"/>
      <c r="IQ41" s="24"/>
      <c r="IR41" s="25"/>
      <c r="IS41" s="25" t="s">
        <v>38</v>
      </c>
      <c r="IT41" s="25"/>
      <c r="IU41" s="25" t="s">
        <v>38</v>
      </c>
      <c r="IV41" s="25" t="s">
        <v>38</v>
      </c>
      <c r="IW41" s="25"/>
      <c r="IX41" s="24"/>
      <c r="IY41" s="25"/>
      <c r="IZ41" s="25" t="s">
        <v>38</v>
      </c>
      <c r="JA41" s="25"/>
      <c r="JB41" s="25" t="s">
        <v>38</v>
      </c>
      <c r="JC41" s="25" t="s">
        <v>38</v>
      </c>
      <c r="JD41" s="25"/>
      <c r="JE41" s="24"/>
      <c r="JF41" s="25"/>
      <c r="JG41" s="25" t="s">
        <v>38</v>
      </c>
      <c r="JH41" s="25"/>
      <c r="JI41" s="25" t="s">
        <v>38</v>
      </c>
      <c r="JJ41" s="25" t="s">
        <v>38</v>
      </c>
      <c r="JK41" s="25"/>
      <c r="JL41" s="24"/>
      <c r="JM41" s="25"/>
      <c r="JN41" s="25" t="s">
        <v>38</v>
      </c>
      <c r="JO41" s="25"/>
      <c r="JP41" s="25" t="s">
        <v>38</v>
      </c>
      <c r="JQ41" s="25" t="s">
        <v>38</v>
      </c>
      <c r="JR41" s="25"/>
      <c r="JS41" s="24"/>
      <c r="JT41" s="25"/>
      <c r="JU41" s="25" t="s">
        <v>38</v>
      </c>
      <c r="JV41" s="25"/>
      <c r="JW41" s="25" t="s">
        <v>38</v>
      </c>
      <c r="JX41" s="25" t="s">
        <v>38</v>
      </c>
      <c r="JY41" s="25"/>
      <c r="JZ41" s="24"/>
      <c r="KA41" s="25"/>
      <c r="KB41" s="25" t="s">
        <v>38</v>
      </c>
      <c r="KC41" s="25"/>
      <c r="KD41" s="25" t="s">
        <v>38</v>
      </c>
      <c r="KE41" s="25" t="s">
        <v>38</v>
      </c>
      <c r="KF41" s="25"/>
      <c r="KG41" s="24"/>
      <c r="KH41" s="25"/>
      <c r="KI41" s="25" t="s">
        <v>38</v>
      </c>
      <c r="KJ41" s="25"/>
      <c r="KK41" s="25" t="s">
        <v>38</v>
      </c>
      <c r="KL41" s="25" t="s">
        <v>38</v>
      </c>
      <c r="KM41" s="25"/>
      <c r="KN41" s="24"/>
      <c r="KO41" s="25"/>
      <c r="KP41" s="25" t="s">
        <v>38</v>
      </c>
      <c r="KQ41" s="25"/>
      <c r="KR41" s="25" t="s">
        <v>38</v>
      </c>
      <c r="KS41" s="25" t="s">
        <v>38</v>
      </c>
      <c r="KT41" s="25"/>
      <c r="KU41" s="24"/>
      <c r="KV41" s="25"/>
      <c r="KW41" s="25" t="s">
        <v>38</v>
      </c>
      <c r="KX41" s="25"/>
      <c r="KY41" s="25" t="s">
        <v>38</v>
      </c>
      <c r="KZ41" s="25" t="s">
        <v>38</v>
      </c>
      <c r="LA41" s="25"/>
      <c r="LB41" s="24"/>
      <c r="LC41" s="25"/>
      <c r="LD41" s="25" t="s">
        <v>38</v>
      </c>
      <c r="LE41" s="25"/>
      <c r="LF41" s="25" t="s">
        <v>38</v>
      </c>
      <c r="LG41" s="25" t="s">
        <v>38</v>
      </c>
      <c r="LH41" s="25"/>
      <c r="LI41" s="24"/>
      <c r="LJ41" s="25"/>
      <c r="LK41" s="25" t="s">
        <v>38</v>
      </c>
      <c r="LL41" s="25"/>
      <c r="LM41" s="25" t="s">
        <v>38</v>
      </c>
      <c r="LN41" s="25"/>
      <c r="LO41" s="25"/>
      <c r="LP41" s="26"/>
      <c r="LQ41" s="25"/>
      <c r="LR41" s="25" t="s">
        <v>38</v>
      </c>
      <c r="LS41" s="25"/>
      <c r="LT41" s="25" t="s">
        <v>38</v>
      </c>
      <c r="LU41" s="25"/>
      <c r="LV41" s="25"/>
      <c r="LW41" s="24"/>
      <c r="LX41" s="25"/>
      <c r="LY41" s="25"/>
      <c r="LZ41" s="25"/>
      <c r="MA41" s="25"/>
      <c r="MB41" s="25"/>
      <c r="MC41" s="25"/>
      <c r="MD41" s="24"/>
      <c r="ME41" s="25"/>
      <c r="MF41" s="25"/>
      <c r="MG41" s="25"/>
      <c r="MH41" s="25"/>
      <c r="MI41" s="25"/>
      <c r="MJ41" s="25"/>
      <c r="MK41" s="24"/>
      <c r="ML41" s="25"/>
      <c r="MM41" s="25"/>
      <c r="MN41" s="25"/>
      <c r="MO41" s="25"/>
      <c r="MP41" s="25"/>
      <c r="MQ41" s="25"/>
      <c r="MR41" s="24"/>
    </row>
    <row r="42" spans="1:356" x14ac:dyDescent="0.25">
      <c r="A42" s="11" t="s">
        <v>148</v>
      </c>
      <c r="B42" s="11"/>
      <c r="C42" s="11"/>
      <c r="D42" s="11"/>
      <c r="E42" s="11"/>
      <c r="F42" s="134" t="s">
        <v>147</v>
      </c>
      <c r="G42" s="135" t="s">
        <v>146</v>
      </c>
      <c r="H42" s="135" t="s">
        <v>119</v>
      </c>
      <c r="I42" s="136" t="s">
        <v>41</v>
      </c>
      <c r="J42" s="136" t="s">
        <v>118</v>
      </c>
      <c r="K42" s="136" t="s">
        <v>42</v>
      </c>
      <c r="L42" s="136" t="s">
        <v>117</v>
      </c>
      <c r="M42" s="136" t="s">
        <v>47</v>
      </c>
      <c r="N42" s="136" t="s">
        <v>100</v>
      </c>
      <c r="O42" s="137"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1"/>
      <c r="FJ42" s="11"/>
      <c r="FK42" s="12"/>
      <c r="FL42" s="11"/>
      <c r="FM42" s="11"/>
      <c r="FN42" s="11"/>
      <c r="FO42" s="11"/>
      <c r="FP42" s="11"/>
      <c r="FQ42" s="11"/>
      <c r="FR42" s="12"/>
      <c r="FS42" s="11"/>
      <c r="FT42" s="11"/>
      <c r="FU42" s="11"/>
      <c r="FV42" s="11"/>
      <c r="FW42" s="11"/>
      <c r="FX42" s="11"/>
      <c r="FY42" s="12"/>
      <c r="FZ42" s="11"/>
      <c r="GA42" s="11"/>
      <c r="GB42" s="11"/>
      <c r="GC42" s="11"/>
      <c r="GD42" s="11"/>
      <c r="GE42" s="11"/>
      <c r="GF42" s="12"/>
      <c r="GG42" s="11"/>
      <c r="GH42" s="11"/>
      <c r="GI42" s="11"/>
      <c r="GJ42" s="11"/>
      <c r="GK42" s="11"/>
      <c r="GL42" s="11"/>
      <c r="GM42" s="12"/>
      <c r="GN42" s="11"/>
      <c r="GO42" s="11"/>
      <c r="GP42" s="11"/>
      <c r="GQ42" s="11"/>
      <c r="GR42" s="11"/>
      <c r="GS42" s="11"/>
      <c r="GT42" s="12"/>
      <c r="GU42" s="11"/>
      <c r="GV42" s="11"/>
      <c r="GW42" s="11"/>
      <c r="GX42" s="11"/>
      <c r="GY42" s="11"/>
      <c r="GZ42" s="11"/>
      <c r="HA42" s="12"/>
      <c r="HB42" s="11"/>
      <c r="HC42" s="11"/>
      <c r="HD42" s="11"/>
      <c r="HE42" s="11"/>
      <c r="HF42" s="11"/>
      <c r="HG42" s="11"/>
      <c r="HH42" s="12"/>
      <c r="HI42" s="11"/>
      <c r="HJ42" s="11"/>
      <c r="HK42" s="11"/>
      <c r="HL42" s="11"/>
      <c r="HM42" s="11"/>
      <c r="HN42" s="11"/>
      <c r="HO42" s="12"/>
      <c r="HP42" s="11"/>
      <c r="HQ42" s="11"/>
      <c r="HR42" s="11"/>
      <c r="HS42" s="11"/>
      <c r="HT42" s="11"/>
      <c r="HU42" s="11"/>
      <c r="HV42" s="12"/>
      <c r="HW42" s="11"/>
      <c r="HX42" s="11"/>
      <c r="HY42" s="11"/>
      <c r="HZ42" s="11"/>
      <c r="IA42" s="11"/>
      <c r="IB42" s="11"/>
      <c r="IC42" s="12"/>
      <c r="ID42" s="11"/>
      <c r="IE42" s="11"/>
      <c r="IF42" s="11"/>
      <c r="IG42" s="11"/>
      <c r="IH42" s="11"/>
      <c r="II42" s="11"/>
      <c r="IJ42" s="12"/>
      <c r="IK42" s="11"/>
      <c r="IL42" s="11"/>
      <c r="IM42" s="11"/>
      <c r="IN42" s="11"/>
      <c r="IO42" s="11"/>
      <c r="IP42" s="11"/>
      <c r="IQ42" s="12"/>
      <c r="IR42" s="11"/>
      <c r="IS42" s="11"/>
      <c r="IT42" s="11"/>
      <c r="IU42" s="11"/>
      <c r="IV42" s="11"/>
      <c r="IW42" s="11"/>
      <c r="IX42" s="12"/>
      <c r="IY42" s="11"/>
      <c r="IZ42" s="11"/>
      <c r="JA42" s="11"/>
      <c r="JB42" s="11"/>
      <c r="JC42" s="11"/>
      <c r="JD42" s="11"/>
      <c r="JE42" s="12"/>
      <c r="JF42" s="11"/>
      <c r="JG42" s="11"/>
      <c r="JH42" s="11"/>
      <c r="JI42" s="11"/>
      <c r="JJ42" s="11"/>
      <c r="JK42" s="11"/>
      <c r="JL42" s="12"/>
      <c r="JM42" s="11"/>
      <c r="JN42" s="11"/>
      <c r="JO42" s="11"/>
      <c r="JP42" s="11"/>
      <c r="JQ42" s="11"/>
      <c r="JR42" s="11"/>
      <c r="JS42" s="12"/>
      <c r="JT42" s="11"/>
      <c r="JU42" s="11"/>
      <c r="JV42" s="11"/>
      <c r="JW42" s="11"/>
      <c r="JX42" s="11"/>
      <c r="JY42" s="11"/>
      <c r="JZ42" s="12"/>
      <c r="KA42" s="11"/>
      <c r="KB42" s="11"/>
      <c r="KC42" s="11"/>
      <c r="KD42" s="11"/>
      <c r="KE42" s="11"/>
      <c r="KF42" s="11"/>
      <c r="KG42" s="12"/>
      <c r="KH42" s="11"/>
      <c r="KI42" s="11"/>
      <c r="KJ42" s="11"/>
      <c r="KK42" s="11"/>
      <c r="KL42" s="11"/>
      <c r="KM42" s="11"/>
      <c r="KN42" s="12"/>
      <c r="KO42" s="11"/>
      <c r="KP42" s="11"/>
      <c r="KQ42" s="11"/>
      <c r="KR42" s="11"/>
      <c r="KS42" s="11"/>
      <c r="KT42" s="11"/>
      <c r="KU42" s="12"/>
      <c r="KV42" s="11"/>
      <c r="KW42" s="11"/>
      <c r="KX42" s="11"/>
      <c r="KY42" s="11"/>
      <c r="KZ42" s="11"/>
      <c r="LA42" s="11"/>
      <c r="LB42" s="12"/>
      <c r="LC42" s="11"/>
      <c r="LD42" s="11"/>
      <c r="LE42" s="11"/>
      <c r="LF42" s="11"/>
      <c r="LG42" s="11"/>
      <c r="LH42" s="11"/>
      <c r="LI42" s="12"/>
      <c r="LJ42" s="11"/>
      <c r="LK42" s="11"/>
      <c r="LL42" s="11"/>
      <c r="LM42" s="11"/>
      <c r="LN42" s="11"/>
      <c r="LO42" s="11"/>
      <c r="LP42" s="12"/>
      <c r="LQ42" s="11"/>
      <c r="LR42" s="11"/>
      <c r="LS42" s="11"/>
      <c r="LT42" s="11"/>
      <c r="LU42" s="11"/>
      <c r="LV42" s="11"/>
      <c r="LW42" s="12"/>
      <c r="LX42" s="11"/>
      <c r="LY42" s="11"/>
      <c r="LZ42" s="11"/>
      <c r="MA42" s="11"/>
      <c r="MB42" s="11"/>
      <c r="MC42" s="11"/>
      <c r="MD42" s="12"/>
      <c r="ME42" s="11"/>
      <c r="MF42" s="11"/>
      <c r="MG42" s="11"/>
      <c r="MH42" s="11"/>
      <c r="MI42" s="11"/>
      <c r="MJ42" s="11"/>
      <c r="MK42" s="12"/>
      <c r="ML42" s="11"/>
      <c r="MM42" s="11"/>
      <c r="MN42" s="11"/>
      <c r="MO42" s="11"/>
      <c r="MP42" s="11"/>
      <c r="MQ42" s="11"/>
      <c r="MR42" s="12"/>
    </row>
    <row r="43" spans="1:356"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2"/>
      <c r="FS43" s="11"/>
      <c r="FT43" s="11"/>
      <c r="FU43" s="11"/>
      <c r="FV43" s="11"/>
      <c r="FW43" s="11"/>
      <c r="FX43" s="11"/>
      <c r="FY43" s="12"/>
      <c r="FZ43" s="11"/>
      <c r="GA43" s="11"/>
      <c r="GB43" s="11"/>
      <c r="GC43" s="11"/>
      <c r="GD43" s="11"/>
      <c r="GE43" s="11"/>
      <c r="GF43" s="12"/>
      <c r="GG43" s="11"/>
      <c r="GH43" s="11"/>
      <c r="GI43" s="11"/>
      <c r="GJ43" s="11"/>
      <c r="GK43" s="11"/>
      <c r="GL43" s="11"/>
      <c r="GM43" s="12"/>
      <c r="GN43" s="11"/>
      <c r="GO43" s="11"/>
      <c r="GP43" s="11"/>
      <c r="GQ43" s="11"/>
      <c r="GR43" s="11"/>
      <c r="GS43" s="11"/>
      <c r="GT43" s="12"/>
      <c r="GU43" s="11"/>
      <c r="GV43" s="11"/>
      <c r="GW43" s="11"/>
      <c r="GX43" s="11"/>
      <c r="GY43" s="11"/>
      <c r="GZ43" s="11"/>
      <c r="HA43" s="12"/>
      <c r="HB43" s="11"/>
      <c r="HC43" s="11"/>
      <c r="HD43" s="11"/>
      <c r="HE43" s="11"/>
      <c r="HF43" s="11"/>
      <c r="HG43" s="11"/>
      <c r="HH43" s="12"/>
      <c r="HI43" s="11"/>
      <c r="HJ43" s="11"/>
      <c r="HK43" s="11"/>
      <c r="HL43" s="11"/>
      <c r="HM43" s="11"/>
      <c r="HN43" s="11"/>
      <c r="HO43" s="12"/>
      <c r="HP43" s="11"/>
      <c r="HQ43" s="11"/>
      <c r="HR43" s="11"/>
      <c r="HS43" s="11"/>
      <c r="HT43" s="11"/>
      <c r="HU43" s="11"/>
      <c r="HV43" s="12"/>
      <c r="HW43" s="11"/>
      <c r="HX43" s="11"/>
      <c r="HY43" s="11"/>
      <c r="HZ43" s="11"/>
      <c r="IA43" s="11"/>
      <c r="IB43" s="11"/>
      <c r="IC43" s="12"/>
      <c r="ID43" s="11"/>
      <c r="IE43" s="11"/>
      <c r="IF43" s="11"/>
      <c r="IG43" s="11"/>
      <c r="IH43" s="11"/>
      <c r="II43" s="11"/>
      <c r="IJ43" s="12"/>
      <c r="IK43" s="11"/>
      <c r="IL43" s="11"/>
      <c r="IM43" s="11"/>
      <c r="IN43" s="11"/>
      <c r="IO43" s="11"/>
      <c r="IP43" s="11"/>
      <c r="IQ43" s="12"/>
      <c r="IR43" s="11"/>
      <c r="IS43" s="11"/>
      <c r="IT43" s="11"/>
      <c r="IU43" s="11"/>
      <c r="IV43" s="11"/>
      <c r="IW43" s="11"/>
      <c r="IX43" s="12"/>
      <c r="IY43" s="11"/>
      <c r="IZ43" s="11"/>
      <c r="JA43" s="11"/>
      <c r="JB43" s="11"/>
      <c r="JC43" s="11"/>
      <c r="JD43" s="11"/>
      <c r="JE43" s="12"/>
      <c r="JF43" s="11"/>
      <c r="JG43" s="11"/>
      <c r="JH43" s="11"/>
      <c r="JI43" s="11"/>
      <c r="JJ43" s="11"/>
      <c r="JK43" s="11"/>
      <c r="JL43" s="12"/>
      <c r="JM43" s="11"/>
      <c r="JN43" s="11"/>
      <c r="JO43" s="11"/>
      <c r="JP43" s="11"/>
      <c r="JQ43" s="11"/>
      <c r="JR43" s="11"/>
      <c r="JS43" s="12"/>
      <c r="JT43" s="11"/>
      <c r="JU43" s="11"/>
      <c r="JV43" s="11"/>
      <c r="JW43" s="11"/>
      <c r="JX43" s="11"/>
      <c r="JY43" s="11"/>
      <c r="JZ43" s="12"/>
      <c r="KA43" s="11"/>
      <c r="KB43" s="11"/>
      <c r="KC43" s="11"/>
      <c r="KD43" s="11"/>
      <c r="KE43" s="11"/>
      <c r="KF43" s="11"/>
      <c r="KG43" s="12"/>
      <c r="KH43" s="11"/>
      <c r="KI43" s="11"/>
      <c r="KJ43" s="11"/>
      <c r="KK43" s="11"/>
      <c r="KL43" s="11"/>
      <c r="KM43" s="11"/>
      <c r="KN43" s="12"/>
      <c r="KO43" s="11"/>
      <c r="KP43" s="11"/>
      <c r="KQ43" s="11"/>
      <c r="KR43" s="11"/>
      <c r="KS43" s="11"/>
      <c r="KT43" s="11"/>
      <c r="KU43" s="12"/>
      <c r="KV43" s="11"/>
      <c r="KW43" s="11"/>
      <c r="KX43" s="11"/>
      <c r="KY43" s="11"/>
      <c r="KZ43" s="11"/>
      <c r="LA43" s="11"/>
      <c r="LB43" s="12"/>
      <c r="LC43" s="11"/>
      <c r="LD43" s="11"/>
      <c r="LE43" s="11"/>
      <c r="LF43" s="11"/>
      <c r="LG43" s="11"/>
      <c r="LH43" s="11"/>
      <c r="LI43" s="12"/>
      <c r="LJ43" s="11"/>
      <c r="LK43" s="11"/>
      <c r="LL43" s="11"/>
      <c r="LM43" s="11"/>
      <c r="LN43" s="11"/>
      <c r="LO43" s="11"/>
      <c r="LP43" s="12"/>
      <c r="LQ43" s="11"/>
      <c r="LR43" s="11"/>
      <c r="LS43" s="11"/>
      <c r="LT43" s="11"/>
      <c r="LU43" s="11"/>
      <c r="LV43" s="11"/>
      <c r="LW43" s="12"/>
      <c r="LX43" s="11"/>
      <c r="LY43" s="11"/>
      <c r="LZ43" s="11"/>
      <c r="MA43" s="11"/>
      <c r="MB43" s="11"/>
      <c r="MC43" s="11"/>
      <c r="MD43" s="12"/>
      <c r="ME43" s="11"/>
      <c r="MF43" s="11"/>
      <c r="MG43" s="11"/>
      <c r="MH43" s="11"/>
      <c r="MI43" s="11"/>
      <c r="MJ43" s="11"/>
      <c r="MK43" s="12"/>
      <c r="ML43" s="11"/>
      <c r="MM43" s="11"/>
      <c r="MN43" s="11"/>
      <c r="MO43" s="11"/>
      <c r="MP43" s="11"/>
      <c r="MQ43" s="11"/>
      <c r="MR43" s="12"/>
    </row>
    <row r="44" spans="1:356" ht="7.5" customHeight="1" x14ac:dyDescent="0.25">
      <c r="A44" s="8"/>
      <c r="B44" s="8"/>
      <c r="C44" s="8"/>
      <c r="D44" s="8"/>
      <c r="E44" s="8"/>
      <c r="F44" s="10"/>
      <c r="G44" s="19"/>
      <c r="H44" s="19"/>
      <c r="I44" s="8"/>
      <c r="J44" s="8"/>
      <c r="K44" s="8"/>
      <c r="L44" s="8"/>
      <c r="M44" s="8"/>
      <c r="N44" s="8"/>
      <c r="O44" s="9"/>
      <c r="P44" s="8" t="str">
        <f>IF(SUM(R44:MR44) &gt; 0, SUM(R44:MR44), "")</f>
        <v/>
      </c>
      <c r="Q44" s="8"/>
      <c r="R44" s="84"/>
      <c r="S44" s="7"/>
      <c r="Z44" s="7"/>
      <c r="AG44" s="7"/>
      <c r="AN44" s="7"/>
      <c r="AU44" s="7"/>
      <c r="BB44" s="7"/>
      <c r="BI44" s="7"/>
      <c r="BP44" s="7"/>
      <c r="BY44" s="7"/>
      <c r="CH44" s="7"/>
      <c r="CQ44" s="7"/>
      <c r="CZ44" s="7"/>
      <c r="DI44" s="7"/>
      <c r="DR44" s="7"/>
      <c r="EA44" s="7"/>
      <c r="EJ44" s="7"/>
      <c r="ES44" s="7"/>
      <c r="FB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c r="MD44" s="7"/>
      <c r="MK44" s="7"/>
      <c r="MR44" s="7"/>
    </row>
    <row r="45" spans="1:356" ht="15" customHeight="1" x14ac:dyDescent="0.25">
      <c r="A45" s="8" t="s">
        <v>116</v>
      </c>
      <c r="B45" s="8" t="s">
        <v>115</v>
      </c>
      <c r="C45" s="8" t="s">
        <v>114</v>
      </c>
      <c r="D45" s="8" t="s">
        <v>113</v>
      </c>
      <c r="E45" s="56">
        <v>40073</v>
      </c>
      <c r="F45" s="19">
        <f t="shared" ref="F45:L57" si="340">IF($E45 &gt;= F$43, 1, "")</f>
        <v>1</v>
      </c>
      <c r="G45" s="19">
        <f t="shared" si="340"/>
        <v>1</v>
      </c>
      <c r="H45" s="19">
        <f t="shared" si="340"/>
        <v>1</v>
      </c>
      <c r="I45" s="19">
        <f t="shared" si="340"/>
        <v>1</v>
      </c>
      <c r="J45" s="19">
        <f t="shared" si="340"/>
        <v>1</v>
      </c>
      <c r="K45" s="19">
        <f t="shared" si="340"/>
        <v>1</v>
      </c>
      <c r="L45" s="19" t="str">
        <f t="shared" si="340"/>
        <v/>
      </c>
      <c r="M45" s="8">
        <v>1</v>
      </c>
      <c r="N45" s="8"/>
      <c r="O45" s="9"/>
      <c r="P45" s="8">
        <f t="shared" ref="P45:P64" si="341">IF(SUM(S45:MR45) &gt; 0, SUM(S45:MR45), "")</f>
        <v>18</v>
      </c>
      <c r="Q45" s="109">
        <f t="shared" ref="Q45:Q64" si="342">IF(SUM(S45:XFD45) &gt; 0, SUM(S45:XFD45) / $P$65 * 100, "")</f>
        <v>69.230769230769226</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EX45">
        <v>1</v>
      </c>
      <c r="FB45" s="7"/>
      <c r="FK45" s="7"/>
      <c r="FR45" s="7"/>
      <c r="FY45" s="7"/>
      <c r="GF45" s="7"/>
      <c r="GM45" s="7"/>
      <c r="GT45" s="7"/>
      <c r="HA45" s="7"/>
      <c r="HH45" s="7"/>
      <c r="HO45" s="7"/>
      <c r="HV45" s="7"/>
      <c r="IC45" s="7"/>
      <c r="IJ45" s="7"/>
      <c r="IQ45" s="7"/>
      <c r="IX45" s="7"/>
      <c r="JE45" s="7"/>
      <c r="JL45" s="7"/>
      <c r="JS45" s="7"/>
      <c r="JZ45" s="7"/>
      <c r="KG45" s="7"/>
      <c r="KN45" s="7"/>
      <c r="KU45" s="7"/>
      <c r="LB45" s="7"/>
      <c r="LI45" s="7"/>
      <c r="LP45" s="7"/>
      <c r="LW45" s="7"/>
      <c r="MD45" s="7"/>
      <c r="MK45" s="7"/>
      <c r="MR45" s="7"/>
    </row>
    <row r="46" spans="1:356" ht="15" customHeight="1" x14ac:dyDescent="0.25">
      <c r="A46" s="8" t="s">
        <v>112</v>
      </c>
      <c r="B46" s="8" t="s">
        <v>111</v>
      </c>
      <c r="C46" s="8" t="s">
        <v>110</v>
      </c>
      <c r="D46" s="8" t="s">
        <v>109</v>
      </c>
      <c r="E46" s="56">
        <v>40099</v>
      </c>
      <c r="F46" s="19">
        <f t="shared" si="340"/>
        <v>1</v>
      </c>
      <c r="G46" s="19">
        <f t="shared" si="340"/>
        <v>1</v>
      </c>
      <c r="H46" s="19">
        <f t="shared" si="340"/>
        <v>1</v>
      </c>
      <c r="I46" s="19">
        <f t="shared" si="340"/>
        <v>1</v>
      </c>
      <c r="J46" s="19">
        <f t="shared" si="340"/>
        <v>1</v>
      </c>
      <c r="K46" s="19">
        <f t="shared" si="340"/>
        <v>1</v>
      </c>
      <c r="L46" s="19" t="str">
        <f t="shared" si="340"/>
        <v/>
      </c>
      <c r="M46" s="8">
        <v>1</v>
      </c>
      <c r="N46" s="8"/>
      <c r="O46" s="9"/>
      <c r="P46" s="8">
        <f t="shared" si="341"/>
        <v>7</v>
      </c>
      <c r="Q46" s="109">
        <f t="shared" si="342"/>
        <v>26.923076923076923</v>
      </c>
      <c r="R46" s="84"/>
      <c r="S46" s="7"/>
      <c r="Z46" s="7"/>
      <c r="AG46" s="7"/>
      <c r="AN46" s="7"/>
      <c r="AU46" s="7"/>
      <c r="BB46" s="7"/>
      <c r="BI46" s="7"/>
      <c r="BP46" s="7"/>
      <c r="BY46" s="7"/>
      <c r="CH46" s="7"/>
      <c r="CQ46" s="7"/>
      <c r="CZ46" s="7"/>
      <c r="DI46" s="7"/>
      <c r="DR46" s="7"/>
      <c r="DT46">
        <v>1</v>
      </c>
      <c r="DW46">
        <v>1</v>
      </c>
      <c r="EA46" s="7"/>
      <c r="EC46" t="s">
        <v>461</v>
      </c>
      <c r="EJ46" s="7"/>
      <c r="EL46">
        <v>1</v>
      </c>
      <c r="EN46">
        <v>1</v>
      </c>
      <c r="EO46">
        <v>1</v>
      </c>
      <c r="ES46" s="7"/>
      <c r="EU46">
        <v>1</v>
      </c>
      <c r="EX46">
        <v>1</v>
      </c>
      <c r="FB46" s="7"/>
      <c r="FK46" s="7"/>
      <c r="FM46" t="s">
        <v>460</v>
      </c>
      <c r="FR46" s="7"/>
      <c r="FY46" s="7"/>
      <c r="GF46" s="7"/>
      <c r="GM46" s="7"/>
      <c r="GT46" s="7"/>
      <c r="HA46" s="7"/>
      <c r="HH46" s="7"/>
      <c r="HO46" s="7"/>
      <c r="HV46" s="7"/>
      <c r="IC46" s="7"/>
      <c r="IJ46" s="7"/>
      <c r="IQ46" s="7"/>
      <c r="IX46" s="7"/>
      <c r="JE46" s="7"/>
      <c r="JL46" s="7"/>
      <c r="JS46" s="7"/>
      <c r="JZ46" s="7"/>
      <c r="KG46" s="7"/>
      <c r="KN46" s="7"/>
      <c r="KU46" s="7"/>
      <c r="LB46" s="7"/>
      <c r="LI46" s="7"/>
      <c r="LP46" s="7"/>
      <c r="LW46" s="7"/>
      <c r="MD46" s="7"/>
      <c r="MK46" s="7"/>
      <c r="MR46" s="7"/>
    </row>
    <row r="47" spans="1:356" ht="15" customHeight="1" x14ac:dyDescent="0.25">
      <c r="A47" s="8" t="s">
        <v>73</v>
      </c>
      <c r="B47" s="8" t="s">
        <v>108</v>
      </c>
      <c r="C47" s="8" t="s">
        <v>107</v>
      </c>
      <c r="D47" s="8" t="s">
        <v>106</v>
      </c>
      <c r="E47" s="18">
        <v>39474</v>
      </c>
      <c r="F47" s="10">
        <f t="shared" si="340"/>
        <v>1</v>
      </c>
      <c r="G47" s="19">
        <f t="shared" si="340"/>
        <v>1</v>
      </c>
      <c r="H47" s="19">
        <f t="shared" si="340"/>
        <v>1</v>
      </c>
      <c r="I47" s="19">
        <f t="shared" si="340"/>
        <v>1</v>
      </c>
      <c r="J47" s="19">
        <f t="shared" si="340"/>
        <v>1</v>
      </c>
      <c r="K47" s="19" t="str">
        <f t="shared" si="340"/>
        <v/>
      </c>
      <c r="L47" s="19" t="str">
        <f t="shared" si="340"/>
        <v/>
      </c>
      <c r="M47" s="8">
        <v>1</v>
      </c>
      <c r="N47" s="8">
        <v>1</v>
      </c>
      <c r="O47" s="9"/>
      <c r="P47" s="8">
        <f t="shared" si="341"/>
        <v>24</v>
      </c>
      <c r="Q47" s="109">
        <f t="shared" si="342"/>
        <v>92.307692307692307</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K47" s="7"/>
      <c r="FR47" s="7"/>
      <c r="FY47" s="7"/>
      <c r="GF47" s="7"/>
      <c r="GM47" s="7"/>
      <c r="GT47" s="7"/>
      <c r="HA47" s="7"/>
      <c r="HH47" s="7"/>
      <c r="HO47" s="7"/>
      <c r="HV47" s="7"/>
      <c r="IC47" s="7"/>
      <c r="IJ47" s="7"/>
      <c r="IQ47" s="7"/>
      <c r="IX47" s="7"/>
      <c r="JE47" s="7"/>
      <c r="JL47" s="7"/>
      <c r="JS47" s="7"/>
      <c r="JZ47" s="7"/>
      <c r="KG47" s="7"/>
      <c r="KN47" s="7"/>
      <c r="KU47" s="7"/>
      <c r="LB47" s="7"/>
      <c r="LI47" s="7"/>
      <c r="LP47" s="7"/>
      <c r="LW47" s="7"/>
      <c r="MD47" s="7"/>
      <c r="MK47" s="7"/>
      <c r="MR47" s="7"/>
    </row>
    <row r="48" spans="1:356" ht="15" customHeight="1" x14ac:dyDescent="0.25">
      <c r="A48" s="8" t="s">
        <v>236</v>
      </c>
      <c r="B48" s="8" t="s">
        <v>237</v>
      </c>
      <c r="C48" s="8" t="s">
        <v>238</v>
      </c>
      <c r="D48" s="8" t="s">
        <v>239</v>
      </c>
      <c r="E48" s="18">
        <v>39425</v>
      </c>
      <c r="F48" s="10">
        <f t="shared" si="340"/>
        <v>1</v>
      </c>
      <c r="G48" s="19">
        <f t="shared" si="340"/>
        <v>1</v>
      </c>
      <c r="H48" s="19">
        <f t="shared" si="340"/>
        <v>1</v>
      </c>
      <c r="I48" s="19">
        <f t="shared" si="340"/>
        <v>1</v>
      </c>
      <c r="J48" s="19" t="str">
        <f t="shared" si="340"/>
        <v/>
      </c>
      <c r="K48" s="19" t="str">
        <f t="shared" si="340"/>
        <v/>
      </c>
      <c r="L48" s="19" t="str">
        <f t="shared" si="340"/>
        <v/>
      </c>
      <c r="M48" s="8">
        <v>1</v>
      </c>
      <c r="N48" s="8">
        <v>1</v>
      </c>
      <c r="O48" s="9"/>
      <c r="P48" s="8">
        <f t="shared" si="341"/>
        <v>21</v>
      </c>
      <c r="Q48" s="109">
        <f t="shared" si="342"/>
        <v>80.769230769230774</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K48" s="7"/>
      <c r="FR48" s="7"/>
      <c r="FY48" s="7"/>
      <c r="GF48" s="7"/>
      <c r="GM48" s="7"/>
      <c r="GT48" s="7"/>
      <c r="HA48" s="7"/>
      <c r="HH48" s="7"/>
      <c r="HO48" s="7"/>
      <c r="HV48" s="7"/>
      <c r="IC48" s="7"/>
      <c r="IJ48" s="7"/>
      <c r="IQ48" s="7"/>
      <c r="IX48" s="7"/>
      <c r="JE48" s="7"/>
      <c r="JL48" s="7"/>
      <c r="JS48" s="7"/>
      <c r="JZ48" s="7"/>
      <c r="KG48" s="7"/>
      <c r="KN48" s="7"/>
      <c r="KU48" s="7"/>
      <c r="LB48" s="7"/>
      <c r="LI48" s="7"/>
      <c r="LP48" s="7"/>
      <c r="LW48" s="7"/>
      <c r="MD48" s="7"/>
      <c r="MK48" s="7"/>
      <c r="MR48" s="7"/>
    </row>
    <row r="49" spans="1:356" ht="15" hidden="1" customHeight="1" x14ac:dyDescent="0.25">
      <c r="A49" s="8" t="s">
        <v>233</v>
      </c>
      <c r="B49" s="8"/>
      <c r="C49" s="8" t="s">
        <v>36</v>
      </c>
      <c r="D49" s="8" t="s">
        <v>234</v>
      </c>
      <c r="E49" s="18">
        <v>38536</v>
      </c>
      <c r="F49" s="10">
        <f t="shared" si="340"/>
        <v>1</v>
      </c>
      <c r="G49" s="19">
        <f t="shared" si="340"/>
        <v>1</v>
      </c>
      <c r="H49" s="19" t="str">
        <f t="shared" si="340"/>
        <v/>
      </c>
      <c r="I49" s="19" t="str">
        <f t="shared" si="340"/>
        <v/>
      </c>
      <c r="J49" s="19" t="str">
        <f t="shared" si="340"/>
        <v/>
      </c>
      <c r="K49" s="19" t="str">
        <f t="shared" si="340"/>
        <v/>
      </c>
      <c r="L49" s="19" t="str">
        <f t="shared" si="340"/>
        <v/>
      </c>
      <c r="M49" s="8">
        <v>1</v>
      </c>
      <c r="N49" s="8"/>
      <c r="O49" s="9"/>
      <c r="P49" s="8">
        <f t="shared" si="341"/>
        <v>5</v>
      </c>
      <c r="Q49" s="109">
        <f t="shared" si="342"/>
        <v>19.230769230769234</v>
      </c>
      <c r="R49" s="84"/>
      <c r="S49" s="7"/>
      <c r="Z49" s="7"/>
      <c r="AG49" s="7"/>
      <c r="AI49">
        <v>1</v>
      </c>
      <c r="AN49" s="7"/>
      <c r="AR49">
        <v>1</v>
      </c>
      <c r="AU49" s="7"/>
      <c r="BB49" s="7"/>
      <c r="BD49">
        <v>1</v>
      </c>
      <c r="BI49" s="7"/>
      <c r="BM49">
        <v>1</v>
      </c>
      <c r="BN49">
        <v>1</v>
      </c>
      <c r="BP49" s="7"/>
      <c r="BY49" s="7"/>
      <c r="CH49" s="7"/>
      <c r="CQ49" s="7"/>
      <c r="CZ49" s="7"/>
      <c r="DI49" s="7"/>
      <c r="DR49" s="7"/>
      <c r="DT49" t="s">
        <v>444</v>
      </c>
      <c r="EA49" s="7"/>
      <c r="EJ49" s="7"/>
      <c r="ES49" s="7"/>
      <c r="FB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c r="MD49" s="7"/>
      <c r="MK49" s="7"/>
      <c r="MR49" s="7"/>
    </row>
    <row r="50" spans="1:356" hidden="1" x14ac:dyDescent="0.25">
      <c r="A50" s="8" t="s">
        <v>229</v>
      </c>
      <c r="B50" s="8" t="s">
        <v>230</v>
      </c>
      <c r="C50" s="8" t="s">
        <v>232</v>
      </c>
      <c r="D50" s="8" t="s">
        <v>231</v>
      </c>
      <c r="E50" s="18">
        <v>38679</v>
      </c>
      <c r="F50" s="10">
        <f t="shared" si="340"/>
        <v>1</v>
      </c>
      <c r="G50" s="19">
        <f t="shared" si="340"/>
        <v>1</v>
      </c>
      <c r="H50" s="19" t="str">
        <f t="shared" si="340"/>
        <v/>
      </c>
      <c r="I50" s="19" t="str">
        <f t="shared" si="340"/>
        <v/>
      </c>
      <c r="J50" s="19" t="str">
        <f t="shared" si="340"/>
        <v/>
      </c>
      <c r="K50" s="19" t="str">
        <f t="shared" si="340"/>
        <v/>
      </c>
      <c r="L50" s="19" t="str">
        <f t="shared" si="340"/>
        <v/>
      </c>
      <c r="M50" s="8">
        <v>1</v>
      </c>
      <c r="N50" s="8"/>
      <c r="O50" s="9"/>
      <c r="P50" s="8">
        <f t="shared" si="341"/>
        <v>6</v>
      </c>
      <c r="Q50" s="109">
        <f t="shared" si="342"/>
        <v>23.076923076923077</v>
      </c>
      <c r="R50" s="84"/>
      <c r="S50" s="7"/>
      <c r="Z50" s="7"/>
      <c r="AG50" s="7"/>
      <c r="AI50">
        <v>1</v>
      </c>
      <c r="AN50" s="7"/>
      <c r="AR50">
        <v>1</v>
      </c>
      <c r="AU50" s="7"/>
      <c r="BB50" s="7"/>
      <c r="BD50">
        <v>1</v>
      </c>
      <c r="BI50" s="7"/>
      <c r="BM50">
        <v>1</v>
      </c>
      <c r="BN50">
        <v>1</v>
      </c>
      <c r="BP50" s="7"/>
      <c r="BY50" s="7"/>
      <c r="CH50" s="7"/>
      <c r="CQ50" s="7"/>
      <c r="CZ50" s="7"/>
      <c r="DI50" s="7"/>
      <c r="DR50" s="7"/>
      <c r="DT50" t="s">
        <v>444</v>
      </c>
      <c r="DW50">
        <v>1</v>
      </c>
      <c r="EA50" s="7"/>
      <c r="EJ50" s="7"/>
      <c r="ES50" s="7"/>
      <c r="FB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c r="MD50" s="7"/>
      <c r="MK50" s="7"/>
      <c r="MR50" s="7"/>
    </row>
    <row r="51" spans="1:356" hidden="1" x14ac:dyDescent="0.25">
      <c r="A51" s="8" t="s">
        <v>62</v>
      </c>
      <c r="B51" s="8"/>
      <c r="C51" s="8" t="s">
        <v>292</v>
      </c>
      <c r="D51" s="8" t="s">
        <v>293</v>
      </c>
      <c r="E51" s="18">
        <v>39814</v>
      </c>
      <c r="F51" s="10">
        <f t="shared" si="340"/>
        <v>1</v>
      </c>
      <c r="G51" s="19">
        <f t="shared" si="340"/>
        <v>1</v>
      </c>
      <c r="H51" s="19">
        <f t="shared" si="340"/>
        <v>1</v>
      </c>
      <c r="I51" s="8">
        <f t="shared" si="340"/>
        <v>1</v>
      </c>
      <c r="J51" s="8">
        <f t="shared" si="340"/>
        <v>1</v>
      </c>
      <c r="K51" s="8">
        <f t="shared" si="340"/>
        <v>1</v>
      </c>
      <c r="L51" s="8" t="str">
        <f t="shared" si="340"/>
        <v/>
      </c>
      <c r="M51" s="8">
        <v>1</v>
      </c>
      <c r="N51" s="8"/>
      <c r="O51" s="9"/>
      <c r="P51" s="8">
        <f t="shared" si="341"/>
        <v>3</v>
      </c>
      <c r="Q51" s="109">
        <f t="shared" si="342"/>
        <v>11.538461538461538</v>
      </c>
      <c r="R51" s="84"/>
      <c r="S51" s="7"/>
      <c r="Z51" s="7"/>
      <c r="AG51" s="7"/>
      <c r="AN51" s="7"/>
      <c r="AP51">
        <v>1</v>
      </c>
      <c r="AU51" s="7"/>
      <c r="AY51">
        <v>1</v>
      </c>
      <c r="BB51" s="7"/>
      <c r="BF51">
        <v>1</v>
      </c>
      <c r="BI51" s="7"/>
      <c r="BP51" s="7"/>
      <c r="BY51" s="7"/>
      <c r="CH51" s="7"/>
      <c r="CQ51" s="7"/>
      <c r="CZ51" s="7"/>
      <c r="DI51" s="7"/>
      <c r="DR51" s="7"/>
      <c r="EA51" s="7"/>
      <c r="EJ51" s="7"/>
      <c r="ES51" s="7"/>
      <c r="FB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c r="MD51" s="7"/>
      <c r="MK51" s="7"/>
      <c r="MR51" s="7"/>
    </row>
    <row r="52" spans="1:356" x14ac:dyDescent="0.25">
      <c r="A52" s="8" t="s">
        <v>92</v>
      </c>
      <c r="B52" s="8"/>
      <c r="C52" s="8" t="s">
        <v>91</v>
      </c>
      <c r="D52" s="8" t="s">
        <v>90</v>
      </c>
      <c r="E52" s="18">
        <v>39507</v>
      </c>
      <c r="F52" s="10">
        <f t="shared" si="340"/>
        <v>1</v>
      </c>
      <c r="G52" s="19">
        <f t="shared" si="340"/>
        <v>1</v>
      </c>
      <c r="H52" s="19">
        <f t="shared" si="340"/>
        <v>1</v>
      </c>
      <c r="I52" s="19">
        <f t="shared" si="340"/>
        <v>1</v>
      </c>
      <c r="J52" s="19">
        <f t="shared" si="340"/>
        <v>1</v>
      </c>
      <c r="K52" s="19" t="str">
        <f t="shared" si="340"/>
        <v/>
      </c>
      <c r="L52" s="19" t="str">
        <f t="shared" si="340"/>
        <v/>
      </c>
      <c r="M52" s="8">
        <v>1</v>
      </c>
      <c r="N52" s="8">
        <v>1</v>
      </c>
      <c r="O52" s="9"/>
      <c r="P52" s="8">
        <f t="shared" si="341"/>
        <v>20</v>
      </c>
      <c r="Q52" s="109">
        <f t="shared" si="342"/>
        <v>76.923076923076934</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EX52">
        <v>1</v>
      </c>
      <c r="FB52" s="7"/>
      <c r="FK52" s="7"/>
      <c r="FR52" s="7"/>
      <c r="FY52" s="7"/>
      <c r="GF52" s="7"/>
      <c r="GM52" s="7"/>
      <c r="GT52" s="7"/>
      <c r="HA52" s="7"/>
      <c r="HH52" s="7"/>
      <c r="HO52" s="7"/>
      <c r="HV52" s="7"/>
      <c r="IC52" s="7"/>
      <c r="IJ52" s="7"/>
      <c r="IQ52" s="7"/>
      <c r="IX52" s="7"/>
      <c r="JE52" s="7"/>
      <c r="JL52" s="7"/>
      <c r="JS52" s="7"/>
      <c r="JZ52" s="7"/>
      <c r="KG52" s="7"/>
      <c r="KN52" s="7"/>
      <c r="KU52" s="7"/>
      <c r="LB52" s="7"/>
      <c r="LI52" s="7"/>
      <c r="LP52" s="7"/>
      <c r="LW52" s="7"/>
      <c r="MD52" s="7"/>
      <c r="MK52" s="7"/>
      <c r="MR52" s="7"/>
    </row>
    <row r="53" spans="1:356" hidden="1" x14ac:dyDescent="0.25">
      <c r="A53" s="8" t="s">
        <v>89</v>
      </c>
      <c r="B53" s="8"/>
      <c r="C53" s="8" t="s">
        <v>88</v>
      </c>
      <c r="D53" s="8" t="s">
        <v>87</v>
      </c>
      <c r="E53" s="18">
        <v>39651</v>
      </c>
      <c r="F53" s="10">
        <f t="shared" si="340"/>
        <v>1</v>
      </c>
      <c r="G53" s="19">
        <f t="shared" si="340"/>
        <v>1</v>
      </c>
      <c r="H53" s="19">
        <f t="shared" si="340"/>
        <v>1</v>
      </c>
      <c r="I53" s="8">
        <f t="shared" si="340"/>
        <v>1</v>
      </c>
      <c r="J53" s="8">
        <f t="shared" si="340"/>
        <v>1</v>
      </c>
      <c r="K53" s="8" t="str">
        <f t="shared" si="340"/>
        <v/>
      </c>
      <c r="L53" s="8" t="str">
        <f t="shared" si="340"/>
        <v/>
      </c>
      <c r="M53" s="8">
        <v>1</v>
      </c>
      <c r="N53" s="8"/>
      <c r="O53" s="9"/>
      <c r="P53" s="8">
        <f t="shared" si="341"/>
        <v>3</v>
      </c>
      <c r="Q53" s="109">
        <f t="shared" si="342"/>
        <v>11.538461538461538</v>
      </c>
      <c r="R53" s="84"/>
      <c r="S53" s="7"/>
      <c r="Z53" s="7"/>
      <c r="AG53" s="7"/>
      <c r="AI53">
        <v>1</v>
      </c>
      <c r="AK53">
        <v>1</v>
      </c>
      <c r="AN53" s="7"/>
      <c r="AU53" s="7"/>
      <c r="AW53">
        <v>1</v>
      </c>
      <c r="BB53" s="7"/>
      <c r="BI53" s="7"/>
      <c r="BP53" s="7"/>
      <c r="BY53" s="7"/>
      <c r="CH53" s="7"/>
      <c r="CQ53" s="7"/>
      <c r="CZ53" s="7"/>
      <c r="DI53" s="7"/>
      <c r="DR53" s="7"/>
      <c r="EA53" s="7"/>
      <c r="EJ53" s="7"/>
      <c r="ES53" s="7"/>
      <c r="FB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c r="MD53" s="7"/>
      <c r="MK53" s="7"/>
      <c r="MR53" s="7"/>
    </row>
    <row r="54" spans="1:356" x14ac:dyDescent="0.25">
      <c r="A54" s="8" t="s">
        <v>134</v>
      </c>
      <c r="B54" s="8" t="s">
        <v>133</v>
      </c>
      <c r="C54" s="8" t="s">
        <v>235</v>
      </c>
      <c r="D54" s="8" t="s">
        <v>87</v>
      </c>
      <c r="E54" s="18">
        <v>38979</v>
      </c>
      <c r="F54" s="10">
        <f t="shared" si="340"/>
        <v>1</v>
      </c>
      <c r="G54" s="19">
        <f t="shared" si="340"/>
        <v>1</v>
      </c>
      <c r="H54" s="19">
        <f t="shared" si="340"/>
        <v>1</v>
      </c>
      <c r="I54" s="8" t="str">
        <f t="shared" si="340"/>
        <v/>
      </c>
      <c r="J54" s="8" t="str">
        <f t="shared" si="340"/>
        <v/>
      </c>
      <c r="K54" s="8" t="str">
        <f t="shared" si="340"/>
        <v/>
      </c>
      <c r="L54" s="8" t="str">
        <f t="shared" si="340"/>
        <v/>
      </c>
      <c r="M54" s="8">
        <v>1</v>
      </c>
      <c r="N54" s="8">
        <v>1</v>
      </c>
      <c r="O54" s="9"/>
      <c r="P54" s="8">
        <f t="shared" si="341"/>
        <v>17</v>
      </c>
      <c r="Q54" s="109">
        <f t="shared" si="342"/>
        <v>65.384615384615387</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K54" s="7"/>
      <c r="FR54" s="7"/>
      <c r="FY54" s="7"/>
      <c r="GF54" s="7"/>
      <c r="GM54" s="7"/>
      <c r="GT54" s="7"/>
      <c r="HA54" s="7"/>
      <c r="HH54" s="7"/>
      <c r="HO54" s="7"/>
      <c r="HV54" s="7"/>
      <c r="IC54" s="7"/>
      <c r="IJ54" s="7"/>
      <c r="IQ54" s="7"/>
      <c r="IX54" s="7"/>
      <c r="JE54" s="7"/>
      <c r="JL54" s="7"/>
      <c r="JS54" s="7"/>
      <c r="JZ54" s="7"/>
      <c r="KG54" s="7"/>
      <c r="KN54" s="7"/>
      <c r="KU54" s="7"/>
      <c r="LB54" s="7"/>
      <c r="LI54" s="7"/>
      <c r="LP54" s="7"/>
      <c r="LW54" s="7"/>
      <c r="MD54" s="7"/>
      <c r="MK54" s="7"/>
      <c r="MR54" s="7"/>
    </row>
    <row r="55" spans="1:356" hidden="1" x14ac:dyDescent="0.25">
      <c r="A55" s="8" t="s">
        <v>86</v>
      </c>
      <c r="B55" s="8"/>
      <c r="C55" s="8" t="s">
        <v>85</v>
      </c>
      <c r="D55" s="8" t="s">
        <v>84</v>
      </c>
      <c r="E55" s="18">
        <v>39562</v>
      </c>
      <c r="F55" s="10">
        <f t="shared" si="340"/>
        <v>1</v>
      </c>
      <c r="G55" s="19">
        <f t="shared" si="340"/>
        <v>1</v>
      </c>
      <c r="H55" s="19">
        <f t="shared" si="340"/>
        <v>1</v>
      </c>
      <c r="I55" s="8">
        <f t="shared" si="340"/>
        <v>1</v>
      </c>
      <c r="J55" s="8">
        <f t="shared" si="340"/>
        <v>1</v>
      </c>
      <c r="K55" s="8" t="str">
        <f t="shared" si="340"/>
        <v/>
      </c>
      <c r="L55" s="8" t="str">
        <f t="shared" si="340"/>
        <v/>
      </c>
      <c r="M55" s="8">
        <v>1</v>
      </c>
      <c r="N55" s="8"/>
      <c r="O55" s="9"/>
      <c r="P55" s="8">
        <f t="shared" si="341"/>
        <v>5</v>
      </c>
      <c r="Q55" s="109">
        <f t="shared" si="342"/>
        <v>19.230769230769234</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479</v>
      </c>
      <c r="FK55" s="7"/>
      <c r="FR55" s="7"/>
      <c r="FY55" s="7"/>
      <c r="GF55" s="7"/>
      <c r="GM55" s="7"/>
      <c r="GT55" s="7"/>
      <c r="HA55" s="7"/>
      <c r="HH55" s="7"/>
      <c r="HO55" s="7"/>
      <c r="HV55" s="7"/>
      <c r="IC55" s="7"/>
      <c r="IJ55" s="7"/>
      <c r="IQ55" s="7"/>
      <c r="IX55" s="7"/>
      <c r="JE55" s="7"/>
      <c r="JL55" s="7"/>
      <c r="JS55" s="7"/>
      <c r="JZ55" s="7"/>
      <c r="KG55" s="7"/>
      <c r="KN55" s="7"/>
      <c r="KU55" s="7"/>
      <c r="LB55" s="7"/>
      <c r="LI55" s="7"/>
      <c r="LP55" s="7"/>
      <c r="LW55" s="7"/>
      <c r="MD55" s="7"/>
      <c r="MK55" s="7"/>
      <c r="MR55" s="7"/>
    </row>
    <row r="56" spans="1:356" x14ac:dyDescent="0.25">
      <c r="A56" s="8" t="s">
        <v>83</v>
      </c>
      <c r="B56" s="8"/>
      <c r="C56" s="8" t="s">
        <v>82</v>
      </c>
      <c r="D56" s="8" t="s">
        <v>81</v>
      </c>
      <c r="E56" s="18">
        <v>39475</v>
      </c>
      <c r="F56" s="10">
        <f t="shared" si="340"/>
        <v>1</v>
      </c>
      <c r="G56" s="19">
        <f t="shared" si="340"/>
        <v>1</v>
      </c>
      <c r="H56" s="19">
        <f t="shared" si="340"/>
        <v>1</v>
      </c>
      <c r="I56" s="8">
        <f t="shared" si="340"/>
        <v>1</v>
      </c>
      <c r="J56" s="8">
        <f t="shared" si="340"/>
        <v>1</v>
      </c>
      <c r="K56" s="8" t="str">
        <f t="shared" si="340"/>
        <v/>
      </c>
      <c r="L56" s="8" t="str">
        <f t="shared" si="340"/>
        <v/>
      </c>
      <c r="M56" s="8">
        <v>1</v>
      </c>
      <c r="N56" s="8">
        <v>1</v>
      </c>
      <c r="O56" s="9"/>
      <c r="P56" s="8">
        <f t="shared" si="341"/>
        <v>21</v>
      </c>
      <c r="Q56" s="109">
        <f t="shared" si="342"/>
        <v>80.769230769230774</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EX56">
        <v>1</v>
      </c>
      <c r="FB56" s="7"/>
      <c r="FK56" s="7"/>
      <c r="FR56" s="7"/>
      <c r="FY56" s="7"/>
      <c r="GF56" s="7"/>
      <c r="GM56" s="7"/>
      <c r="GT56" s="7"/>
      <c r="HA56" s="7"/>
      <c r="HH56" s="7"/>
      <c r="HO56" s="7"/>
      <c r="HV56" s="7"/>
      <c r="IC56" s="7"/>
      <c r="IJ56" s="7"/>
      <c r="IQ56" s="7"/>
      <c r="IX56" s="7"/>
      <c r="JE56" s="7"/>
      <c r="JL56" s="7"/>
      <c r="JS56" s="7"/>
      <c r="JZ56" s="7"/>
      <c r="KG56" s="7"/>
      <c r="KN56" s="7"/>
      <c r="KU56" s="7"/>
      <c r="LB56" s="7"/>
      <c r="LI56" s="7"/>
      <c r="LP56" s="7"/>
      <c r="LW56" s="7"/>
      <c r="MD56" s="7"/>
      <c r="MK56" s="7"/>
      <c r="MR56" s="7"/>
    </row>
    <row r="57" spans="1:356" x14ac:dyDescent="0.25">
      <c r="A57" s="8" t="s">
        <v>80</v>
      </c>
      <c r="B57" s="8"/>
      <c r="C57" s="8" t="s">
        <v>79</v>
      </c>
      <c r="D57" s="8" t="s">
        <v>78</v>
      </c>
      <c r="E57" s="18">
        <v>39927</v>
      </c>
      <c r="F57" s="10">
        <f t="shared" si="340"/>
        <v>1</v>
      </c>
      <c r="G57" s="19">
        <f t="shared" si="340"/>
        <v>1</v>
      </c>
      <c r="H57" s="19">
        <f t="shared" si="340"/>
        <v>1</v>
      </c>
      <c r="I57" s="8">
        <f t="shared" si="340"/>
        <v>1</v>
      </c>
      <c r="J57" s="8">
        <f t="shared" si="340"/>
        <v>1</v>
      </c>
      <c r="K57" s="8">
        <f t="shared" si="340"/>
        <v>1</v>
      </c>
      <c r="L57" s="8" t="str">
        <f t="shared" si="340"/>
        <v/>
      </c>
      <c r="M57" s="8">
        <v>1</v>
      </c>
      <c r="N57" s="8"/>
      <c r="O57" s="9"/>
      <c r="P57" s="8">
        <f t="shared" si="341"/>
        <v>5</v>
      </c>
      <c r="Q57" s="109">
        <f t="shared" si="342"/>
        <v>19.230769230769234</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K57" s="7"/>
      <c r="FR57" s="7"/>
      <c r="FY57" s="7"/>
      <c r="GF57" s="7"/>
      <c r="GM57" s="7"/>
      <c r="GT57" s="7"/>
      <c r="HA57" s="7"/>
      <c r="HH57" s="7"/>
      <c r="HO57" s="7"/>
      <c r="HV57" s="7"/>
      <c r="IC57" s="7"/>
      <c r="IJ57" s="7"/>
      <c r="IQ57" s="7"/>
      <c r="IX57" s="7"/>
      <c r="JE57" s="7"/>
      <c r="JL57" s="7"/>
      <c r="JS57" s="7"/>
      <c r="JZ57" s="7"/>
      <c r="KG57" s="7"/>
      <c r="KN57" s="7"/>
      <c r="KU57" s="7"/>
      <c r="LB57" s="7"/>
      <c r="LI57" s="7"/>
      <c r="LP57" s="7"/>
      <c r="LW57" s="7"/>
      <c r="MD57" s="7"/>
      <c r="MK57" s="7"/>
      <c r="MR57" s="7"/>
    </row>
    <row r="58" spans="1:356" x14ac:dyDescent="0.25">
      <c r="A58" s="8" t="s">
        <v>77</v>
      </c>
      <c r="B58" s="8" t="s">
        <v>76</v>
      </c>
      <c r="C58" s="8" t="s">
        <v>75</v>
      </c>
      <c r="D58" s="8" t="s">
        <v>74</v>
      </c>
      <c r="E58" s="18">
        <v>40051</v>
      </c>
      <c r="F58" s="10">
        <f t="shared" ref="F58:L64" si="343">IF($E58 &gt;= F$43, 1, "")</f>
        <v>1</v>
      </c>
      <c r="G58" s="19">
        <f t="shared" si="343"/>
        <v>1</v>
      </c>
      <c r="H58" s="19">
        <f t="shared" si="343"/>
        <v>1</v>
      </c>
      <c r="I58" s="8">
        <f t="shared" si="343"/>
        <v>1</v>
      </c>
      <c r="J58" s="8">
        <f t="shared" si="343"/>
        <v>1</v>
      </c>
      <c r="K58" s="8">
        <f t="shared" si="343"/>
        <v>1</v>
      </c>
      <c r="L58" s="8" t="str">
        <f t="shared" si="343"/>
        <v/>
      </c>
      <c r="M58" s="8">
        <v>1</v>
      </c>
      <c r="N58" s="8"/>
      <c r="O58" s="9"/>
      <c r="P58" s="8">
        <f t="shared" si="341"/>
        <v>9</v>
      </c>
      <c r="Q58" s="109">
        <f t="shared" si="342"/>
        <v>34.615384615384613</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EX58">
        <v>1</v>
      </c>
      <c r="FB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c r="MD58" s="7"/>
      <c r="MK58" s="7"/>
      <c r="MR58" s="7"/>
    </row>
    <row r="59" spans="1:356" x14ac:dyDescent="0.25">
      <c r="A59" s="8" t="s">
        <v>73</v>
      </c>
      <c r="B59" s="8"/>
      <c r="C59" s="8" t="s">
        <v>27</v>
      </c>
      <c r="D59" s="8" t="s">
        <v>70</v>
      </c>
      <c r="E59" s="18">
        <v>40004</v>
      </c>
      <c r="F59" s="10">
        <f t="shared" si="343"/>
        <v>1</v>
      </c>
      <c r="G59" s="19">
        <f t="shared" si="343"/>
        <v>1</v>
      </c>
      <c r="H59" s="19">
        <f t="shared" si="343"/>
        <v>1</v>
      </c>
      <c r="I59" s="8">
        <f t="shared" si="343"/>
        <v>1</v>
      </c>
      <c r="J59" s="8">
        <f t="shared" si="343"/>
        <v>1</v>
      </c>
      <c r="K59" s="8">
        <f t="shared" si="343"/>
        <v>1</v>
      </c>
      <c r="L59" s="8" t="str">
        <f t="shared" si="343"/>
        <v/>
      </c>
      <c r="M59" s="8">
        <v>1</v>
      </c>
      <c r="N59" s="8"/>
      <c r="O59" s="9"/>
      <c r="P59" s="8">
        <f t="shared" si="341"/>
        <v>8</v>
      </c>
      <c r="Q59" s="109">
        <f t="shared" si="342"/>
        <v>30.76923076923077</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K59" s="7"/>
      <c r="FR59" s="7"/>
      <c r="FY59" s="7"/>
      <c r="GF59" s="7"/>
      <c r="GM59" s="7"/>
      <c r="GT59" s="7"/>
      <c r="HA59" s="7"/>
      <c r="HH59" s="7"/>
      <c r="HO59" s="7"/>
      <c r="HV59" s="7"/>
      <c r="IC59" s="7"/>
      <c r="IJ59" s="7"/>
      <c r="IQ59" s="7"/>
      <c r="IX59" s="7"/>
      <c r="JE59" s="7"/>
      <c r="JL59" s="7"/>
      <c r="JS59" s="7"/>
      <c r="JZ59" s="7"/>
      <c r="KG59" s="7"/>
      <c r="KN59" s="7"/>
      <c r="KU59" s="7"/>
      <c r="LB59" s="7"/>
      <c r="LI59" s="7"/>
      <c r="LP59" s="7"/>
      <c r="LW59" s="7"/>
      <c r="MD59" s="7"/>
      <c r="MK59" s="7"/>
      <c r="MR59" s="7"/>
    </row>
    <row r="60" spans="1:356" x14ac:dyDescent="0.25">
      <c r="A60" s="8" t="s">
        <v>58</v>
      </c>
      <c r="B60" s="8"/>
      <c r="C60" s="8" t="s">
        <v>57</v>
      </c>
      <c r="D60" s="8" t="s">
        <v>527</v>
      </c>
      <c r="E60" s="18">
        <v>39448</v>
      </c>
      <c r="F60" s="10">
        <f t="shared" si="343"/>
        <v>1</v>
      </c>
      <c r="G60" s="19">
        <f t="shared" si="343"/>
        <v>1</v>
      </c>
      <c r="H60" s="19">
        <f t="shared" si="343"/>
        <v>1</v>
      </c>
      <c r="I60" s="8">
        <f t="shared" si="343"/>
        <v>1</v>
      </c>
      <c r="J60" s="8">
        <f t="shared" si="343"/>
        <v>1</v>
      </c>
      <c r="K60" s="8" t="str">
        <f t="shared" si="343"/>
        <v/>
      </c>
      <c r="L60" s="8" t="str">
        <f t="shared" si="343"/>
        <v/>
      </c>
      <c r="M60" s="8">
        <v>1</v>
      </c>
      <c r="N60" s="8"/>
      <c r="O60" s="9"/>
      <c r="P60" s="8">
        <f t="shared" si="341"/>
        <v>1</v>
      </c>
      <c r="Q60" s="109">
        <f t="shared" si="342"/>
        <v>3.8461538461538463</v>
      </c>
      <c r="R60" s="84">
        <f>IF(SUM(S60:XFD60) &gt; 0, SUM(S60:XFD60) / $P$65 * 100, "")</f>
        <v>3.8461538461538463</v>
      </c>
      <c r="S60" s="7"/>
      <c r="Z60" s="7"/>
      <c r="AG60" s="7"/>
      <c r="AN60" s="7"/>
      <c r="AU60" s="7"/>
      <c r="BB60" s="7"/>
      <c r="BI60" s="7"/>
      <c r="BP60" s="7"/>
      <c r="BY60" s="7"/>
      <c r="CH60" s="7"/>
      <c r="CQ60" s="7"/>
      <c r="CZ60" s="7"/>
      <c r="DI60" s="7"/>
      <c r="DR60" s="7"/>
      <c r="EA60" s="7"/>
      <c r="EJ60" s="7"/>
      <c r="ES60" s="7"/>
      <c r="EU60">
        <v>1</v>
      </c>
      <c r="FB60" s="7"/>
      <c r="FK60" s="7"/>
      <c r="FR60" s="7"/>
      <c r="FY60" s="7"/>
      <c r="GF60" s="7"/>
      <c r="GM60" s="7"/>
      <c r="GT60" s="7"/>
      <c r="HA60" s="7"/>
      <c r="HH60" s="7"/>
      <c r="HO60" s="7"/>
      <c r="HV60" s="7"/>
      <c r="IC60" s="7"/>
      <c r="IJ60" s="7"/>
      <c r="IQ60" s="7"/>
      <c r="IX60" s="7"/>
      <c r="JE60" s="7"/>
      <c r="JL60" s="7"/>
      <c r="JS60" s="7"/>
      <c r="JZ60" s="7"/>
      <c r="KG60" s="7"/>
      <c r="KN60" s="7"/>
      <c r="KU60" s="7"/>
      <c r="LB60" s="7"/>
      <c r="LI60" s="7"/>
      <c r="LP60" s="7"/>
      <c r="LW60" s="7"/>
      <c r="MD60" s="7"/>
      <c r="MK60" s="7"/>
      <c r="MR60" s="7"/>
    </row>
    <row r="61" spans="1:356" x14ac:dyDescent="0.25">
      <c r="A61" s="8"/>
      <c r="B61" s="8"/>
      <c r="C61" s="8"/>
      <c r="D61" s="8"/>
      <c r="E61" s="18"/>
      <c r="F61" s="10" t="str">
        <f t="shared" si="343"/>
        <v/>
      </c>
      <c r="G61" s="19" t="str">
        <f t="shared" si="343"/>
        <v/>
      </c>
      <c r="H61" s="19" t="str">
        <f t="shared" si="343"/>
        <v/>
      </c>
      <c r="I61" s="8" t="str">
        <f t="shared" si="343"/>
        <v/>
      </c>
      <c r="J61" s="8" t="str">
        <f t="shared" si="343"/>
        <v/>
      </c>
      <c r="K61" s="8" t="str">
        <f t="shared" si="343"/>
        <v/>
      </c>
      <c r="L61" s="8" t="str">
        <f t="shared" si="343"/>
        <v/>
      </c>
      <c r="M61" s="8"/>
      <c r="N61" s="8"/>
      <c r="O61" s="9"/>
      <c r="P61" s="8" t="str">
        <f t="shared" si="341"/>
        <v/>
      </c>
      <c r="Q61" s="109" t="str">
        <f t="shared" si="342"/>
        <v/>
      </c>
      <c r="R61" s="84" t="str">
        <f>IF(SUM(S61:XFD61) &gt; 0, SUM(S61:XFD61) / $P$65 * 100, "")</f>
        <v/>
      </c>
      <c r="S61" s="7"/>
      <c r="Z61" s="7"/>
      <c r="AG61" s="7"/>
      <c r="AN61" s="7"/>
      <c r="AU61" s="7"/>
      <c r="BB61" s="7"/>
      <c r="BI61" s="7"/>
      <c r="BP61" s="7"/>
      <c r="BY61" s="7"/>
      <c r="CH61" s="7"/>
      <c r="CQ61" s="7"/>
      <c r="CZ61" s="7"/>
      <c r="DI61" s="7"/>
      <c r="DR61" s="7"/>
      <c r="EA61" s="7"/>
      <c r="EJ61" s="7"/>
      <c r="ES61" s="7"/>
      <c r="FB61" s="7"/>
      <c r="FK61" s="7"/>
      <c r="FR61" s="7"/>
      <c r="FY61" s="7"/>
      <c r="GF61" s="7"/>
      <c r="GM61" s="7"/>
      <c r="GT61" s="7"/>
      <c r="HA61" s="7"/>
      <c r="HH61" s="7"/>
      <c r="HO61" s="7"/>
      <c r="HV61" s="7"/>
      <c r="IC61" s="7"/>
      <c r="IJ61" s="7"/>
      <c r="IQ61" s="7"/>
      <c r="IX61" s="7"/>
      <c r="JE61" s="7"/>
      <c r="JL61" s="7"/>
      <c r="JS61" s="7"/>
      <c r="JZ61" s="7"/>
      <c r="KG61" s="7"/>
      <c r="KN61" s="7"/>
      <c r="KU61" s="7"/>
      <c r="LB61" s="7"/>
      <c r="LI61" s="7"/>
      <c r="LP61" s="7"/>
      <c r="LW61" s="7"/>
      <c r="MD61" s="7"/>
      <c r="MK61" s="7"/>
      <c r="MR61" s="7"/>
    </row>
    <row r="62" spans="1:356" x14ac:dyDescent="0.25">
      <c r="A62" s="8"/>
      <c r="B62" s="8"/>
      <c r="C62" s="8"/>
      <c r="D62" s="8"/>
      <c r="E62" s="18"/>
      <c r="F62" s="10" t="str">
        <f t="shared" si="343"/>
        <v/>
      </c>
      <c r="G62" s="19" t="str">
        <f t="shared" si="343"/>
        <v/>
      </c>
      <c r="H62" s="19" t="str">
        <f t="shared" si="343"/>
        <v/>
      </c>
      <c r="I62" s="8" t="str">
        <f t="shared" si="343"/>
        <v/>
      </c>
      <c r="J62" s="8" t="str">
        <f t="shared" si="343"/>
        <v/>
      </c>
      <c r="K62" s="8" t="str">
        <f t="shared" si="343"/>
        <v/>
      </c>
      <c r="L62" s="8" t="str">
        <f t="shared" si="343"/>
        <v/>
      </c>
      <c r="M62" s="8"/>
      <c r="N62" s="8"/>
      <c r="O62" s="9"/>
      <c r="P62" s="8" t="str">
        <f t="shared" si="341"/>
        <v/>
      </c>
      <c r="Q62" s="109" t="str">
        <f t="shared" si="342"/>
        <v/>
      </c>
      <c r="R62" s="84" t="str">
        <f>IF(SUM(S62:XFD62) &gt; 0, SUM(S62:XFD62) / $P$65 * 100, "")</f>
        <v/>
      </c>
      <c r="S62" s="7"/>
      <c r="Z62" s="7"/>
      <c r="AG62" s="7"/>
      <c r="AN62" s="7"/>
      <c r="AU62" s="7"/>
      <c r="BB62" s="7"/>
      <c r="BI62" s="7"/>
      <c r="BP62" s="7"/>
      <c r="BY62" s="7"/>
      <c r="CH62" s="7"/>
      <c r="CQ62" s="7"/>
      <c r="CZ62" s="7"/>
      <c r="DI62" s="7"/>
      <c r="DR62" s="7"/>
      <c r="EA62" s="7"/>
      <c r="EJ62" s="7"/>
      <c r="ES62" s="7"/>
      <c r="FB62" s="7"/>
      <c r="FK62" s="7"/>
      <c r="FR62" s="7"/>
      <c r="FY62" s="7"/>
      <c r="GF62" s="7"/>
      <c r="GM62" s="7"/>
      <c r="GT62" s="7"/>
      <c r="HA62" s="7"/>
      <c r="HH62" s="7"/>
      <c r="HO62" s="7"/>
      <c r="HV62" s="7"/>
      <c r="IC62" s="7"/>
      <c r="IJ62" s="7"/>
      <c r="IQ62" s="7"/>
      <c r="IX62" s="7"/>
      <c r="JE62" s="7"/>
      <c r="JL62" s="7"/>
      <c r="JS62" s="7"/>
      <c r="JZ62" s="7"/>
      <c r="KG62" s="7"/>
      <c r="KN62" s="7"/>
      <c r="KU62" s="7"/>
      <c r="LB62" s="7"/>
      <c r="LI62" s="7"/>
      <c r="LP62" s="7"/>
      <c r="LW62" s="7"/>
      <c r="MD62" s="7"/>
      <c r="MK62" s="7"/>
      <c r="MR62" s="7"/>
    </row>
    <row r="63" spans="1:356" x14ac:dyDescent="0.25">
      <c r="A63" s="8"/>
      <c r="B63" s="8"/>
      <c r="C63" s="8"/>
      <c r="D63" s="8"/>
      <c r="E63" s="18"/>
      <c r="F63" s="10" t="str">
        <f t="shared" si="343"/>
        <v/>
      </c>
      <c r="G63" s="19" t="str">
        <f t="shared" si="343"/>
        <v/>
      </c>
      <c r="H63" s="19" t="str">
        <f t="shared" si="343"/>
        <v/>
      </c>
      <c r="I63" s="8" t="str">
        <f t="shared" si="343"/>
        <v/>
      </c>
      <c r="J63" s="8" t="str">
        <f t="shared" si="343"/>
        <v/>
      </c>
      <c r="K63" s="8" t="str">
        <f t="shared" si="343"/>
        <v/>
      </c>
      <c r="L63" s="8" t="str">
        <f t="shared" si="343"/>
        <v/>
      </c>
      <c r="M63" s="8"/>
      <c r="N63" s="8"/>
      <c r="O63" s="9"/>
      <c r="P63" s="8" t="str">
        <f t="shared" si="341"/>
        <v/>
      </c>
      <c r="Q63" s="109" t="str">
        <f t="shared" si="342"/>
        <v/>
      </c>
      <c r="R63" s="84" t="str">
        <f>IF(SUM(S63:XFD63) &gt; 0, SUM(S63:XFD63) / $P$65 * 100, "")</f>
        <v/>
      </c>
      <c r="S63" s="7"/>
      <c r="Z63" s="7"/>
      <c r="AG63" s="7"/>
      <c r="AN63" s="7"/>
      <c r="AU63" s="7"/>
      <c r="BB63" s="7"/>
      <c r="BI63" s="7"/>
      <c r="BP63" s="7"/>
      <c r="BY63" s="7"/>
      <c r="CH63" s="7"/>
      <c r="CQ63" s="7"/>
      <c r="CZ63" s="7"/>
      <c r="DI63" s="7"/>
      <c r="DR63" s="7"/>
      <c r="EA63" s="7"/>
      <c r="EJ63" s="7"/>
      <c r="ES63" s="7"/>
      <c r="FB63" s="7"/>
      <c r="FK63" s="7"/>
      <c r="FR63" s="7"/>
      <c r="FY63" s="7"/>
      <c r="GF63" s="7"/>
      <c r="GM63" s="7"/>
      <c r="GT63" s="7"/>
      <c r="HA63" s="7"/>
      <c r="HH63" s="7"/>
      <c r="HO63" s="7"/>
      <c r="HV63" s="7"/>
      <c r="IC63" s="7"/>
      <c r="IJ63" s="7"/>
      <c r="IQ63" s="7"/>
      <c r="IX63" s="7"/>
      <c r="JE63" s="7"/>
      <c r="JL63" s="7"/>
      <c r="JS63" s="7"/>
      <c r="JZ63" s="7"/>
      <c r="KG63" s="7"/>
      <c r="KN63" s="7"/>
      <c r="KU63" s="7"/>
      <c r="LB63" s="7"/>
      <c r="LI63" s="7"/>
      <c r="LP63" s="7"/>
      <c r="LW63" s="7"/>
      <c r="MD63" s="7"/>
      <c r="MK63" s="7"/>
      <c r="MR63" s="7"/>
    </row>
    <row r="64" spans="1:356" ht="7.5" customHeight="1" x14ac:dyDescent="0.25">
      <c r="A64" s="8"/>
      <c r="B64" s="8"/>
      <c r="C64" s="8"/>
      <c r="D64" s="8"/>
      <c r="E64" s="18"/>
      <c r="F64" s="10" t="str">
        <f t="shared" si="343"/>
        <v/>
      </c>
      <c r="G64" s="19" t="str">
        <f t="shared" si="343"/>
        <v/>
      </c>
      <c r="H64" s="19" t="str">
        <f t="shared" si="343"/>
        <v/>
      </c>
      <c r="I64" s="19" t="str">
        <f t="shared" si="343"/>
        <v/>
      </c>
      <c r="J64" s="19" t="str">
        <f t="shared" si="343"/>
        <v/>
      </c>
      <c r="K64" s="19" t="str">
        <f t="shared" si="343"/>
        <v/>
      </c>
      <c r="L64" s="19" t="str">
        <f t="shared" si="343"/>
        <v/>
      </c>
      <c r="M64" s="8"/>
      <c r="N64" s="8"/>
      <c r="O64" s="9"/>
      <c r="P64" s="8" t="str">
        <f t="shared" si="341"/>
        <v/>
      </c>
      <c r="Q64" s="109" t="str">
        <f t="shared" si="342"/>
        <v/>
      </c>
      <c r="R64" s="84"/>
      <c r="S64" s="7"/>
      <c r="Z64" s="7"/>
      <c r="AG64" s="7"/>
      <c r="AN64" s="7"/>
      <c r="AU64" s="7"/>
      <c r="BB64" s="7"/>
      <c r="BI64" s="7"/>
      <c r="BP64" s="7"/>
      <c r="BY64" s="7"/>
      <c r="CH64" s="7"/>
      <c r="CQ64" s="7"/>
      <c r="CZ64" s="7"/>
      <c r="DI64" s="7"/>
      <c r="DR64" s="7"/>
      <c r="EA64" s="7"/>
      <c r="EJ64" s="7"/>
      <c r="ES64" s="7"/>
      <c r="FB64" s="7"/>
      <c r="FK64" s="7"/>
      <c r="FR64" s="7"/>
      <c r="FY64" s="7"/>
      <c r="GF64" s="7"/>
      <c r="GM64" s="7"/>
      <c r="GT64" s="7"/>
      <c r="HA64" s="7"/>
      <c r="HH64" s="7"/>
      <c r="HO64" s="7"/>
      <c r="HV64" s="7"/>
      <c r="IC64" s="7"/>
      <c r="IJ64" s="7"/>
      <c r="IQ64" s="7"/>
      <c r="IX64" s="7"/>
      <c r="JE64" s="7"/>
      <c r="JL64" s="7"/>
      <c r="JS64" s="7"/>
      <c r="JZ64" s="7"/>
      <c r="KG64" s="7"/>
      <c r="KN64" s="7"/>
      <c r="KU64" s="7"/>
      <c r="LB64" s="7"/>
      <c r="LI64" s="7"/>
      <c r="LP64" s="7"/>
      <c r="LW64" s="7"/>
      <c r="MD64" s="7"/>
      <c r="MK64" s="7"/>
      <c r="MR64" s="7"/>
    </row>
    <row r="65" spans="1:356" ht="15" customHeight="1" x14ac:dyDescent="0.25">
      <c r="A65" s="23" t="s">
        <v>18</v>
      </c>
      <c r="B65" s="20"/>
      <c r="C65" s="20"/>
      <c r="D65" s="20"/>
      <c r="E65" s="59"/>
      <c r="F65" s="20"/>
      <c r="G65" s="20"/>
      <c r="H65" s="20"/>
      <c r="I65" s="20"/>
      <c r="J65" s="20"/>
      <c r="K65" s="20"/>
      <c r="L65" s="20"/>
      <c r="M65" s="20"/>
      <c r="N65" s="20"/>
      <c r="O65" s="21"/>
      <c r="P65" s="3">
        <f>SUM(S65:MR65)</f>
        <v>26</v>
      </c>
      <c r="Q65" s="60"/>
      <c r="R65" s="82"/>
      <c r="S65" s="21"/>
      <c r="T65" s="20"/>
      <c r="U65" s="20"/>
      <c r="V65" s="20"/>
      <c r="W65" s="20"/>
      <c r="X65" s="20"/>
      <c r="Y65" s="20"/>
      <c r="Z65" s="21"/>
      <c r="AA65" s="20"/>
      <c r="AB65" s="20"/>
      <c r="AC65" s="20"/>
      <c r="AD65" s="20"/>
      <c r="AE65" s="20"/>
      <c r="AF65" s="20"/>
      <c r="AG65" s="21"/>
      <c r="AH65" s="20"/>
      <c r="AI65" s="20">
        <v>1</v>
      </c>
      <c r="AJ65" s="20"/>
      <c r="AK65" s="20">
        <v>1</v>
      </c>
      <c r="AL65" s="20"/>
      <c r="AM65" s="20"/>
      <c r="AN65" s="21"/>
      <c r="AO65" s="20"/>
      <c r="AP65" s="20">
        <v>1</v>
      </c>
      <c r="AQ65" s="20"/>
      <c r="AR65" s="20">
        <v>1</v>
      </c>
      <c r="AS65" s="20"/>
      <c r="AT65" s="20"/>
      <c r="AU65" s="21"/>
      <c r="AV65" s="20"/>
      <c r="AW65" s="20">
        <v>1</v>
      </c>
      <c r="AX65" s="20">
        <v>1</v>
      </c>
      <c r="AY65" s="20">
        <v>1</v>
      </c>
      <c r="AZ65" s="20"/>
      <c r="BA65" s="20"/>
      <c r="BB65" s="21"/>
      <c r="BC65" s="20"/>
      <c r="BD65" s="20">
        <v>1</v>
      </c>
      <c r="BE65" s="20"/>
      <c r="BF65" s="20">
        <v>1</v>
      </c>
      <c r="BG65" s="20"/>
      <c r="BH65" s="20"/>
      <c r="BI65" s="21"/>
      <c r="BJ65" s="20"/>
      <c r="BK65" s="20">
        <v>1</v>
      </c>
      <c r="BL65" s="20"/>
      <c r="BM65" s="20">
        <v>1</v>
      </c>
      <c r="BN65" s="20">
        <v>1</v>
      </c>
      <c r="BO65" s="20"/>
      <c r="BP65" s="21">
        <v>1</v>
      </c>
      <c r="BQ65" s="20"/>
      <c r="BR65" s="20"/>
      <c r="BS65" s="20"/>
      <c r="BT65" s="20"/>
      <c r="BU65" s="20"/>
      <c r="BV65" s="20"/>
      <c r="BW65" s="20">
        <v>1</v>
      </c>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0"/>
      <c r="DH65" s="20"/>
      <c r="DI65" s="21"/>
      <c r="DJ65" s="20"/>
      <c r="DK65" s="20"/>
      <c r="DL65" s="20"/>
      <c r="DM65" s="20"/>
      <c r="DN65" s="20"/>
      <c r="DO65" s="20"/>
      <c r="DP65" s="20"/>
      <c r="DQ65" s="20"/>
      <c r="DR65" s="21"/>
      <c r="DS65" s="20"/>
      <c r="DT65" s="20">
        <v>1</v>
      </c>
      <c r="DU65" s="20"/>
      <c r="DV65" s="20">
        <v>1</v>
      </c>
      <c r="DW65" s="20">
        <v>1</v>
      </c>
      <c r="DX65" s="20"/>
      <c r="DY65" s="20"/>
      <c r="DZ65" s="20"/>
      <c r="EA65" s="21"/>
      <c r="EB65" s="20"/>
      <c r="EC65" s="20">
        <v>1</v>
      </c>
      <c r="ED65" s="20"/>
      <c r="EE65" s="20">
        <v>1</v>
      </c>
      <c r="EF65" s="20">
        <v>1</v>
      </c>
      <c r="EG65" s="20"/>
      <c r="EH65" s="20"/>
      <c r="EI65" s="20"/>
      <c r="EJ65" s="21"/>
      <c r="EK65" s="20"/>
      <c r="EL65" s="20">
        <v>1</v>
      </c>
      <c r="EM65" s="20"/>
      <c r="EN65" s="20">
        <v>1</v>
      </c>
      <c r="EO65" s="20">
        <v>1</v>
      </c>
      <c r="EP65" s="20"/>
      <c r="EQ65" s="20"/>
      <c r="ER65" s="20"/>
      <c r="ES65" s="21"/>
      <c r="ET65" s="20"/>
      <c r="EU65" s="20">
        <v>1</v>
      </c>
      <c r="EV65" s="20"/>
      <c r="EW65" s="20">
        <v>1</v>
      </c>
      <c r="EX65" s="20">
        <v>1</v>
      </c>
      <c r="EY65" s="20"/>
      <c r="EZ65" s="20"/>
      <c r="FA65" s="20"/>
      <c r="FB65" s="21"/>
      <c r="FC65" s="20"/>
      <c r="FD65" s="20"/>
      <c r="FE65" s="20"/>
      <c r="FF65" s="20"/>
      <c r="FG65" s="20"/>
      <c r="FH65" s="20"/>
      <c r="FI65" s="20"/>
      <c r="FJ65" s="20"/>
      <c r="FK65" s="21"/>
      <c r="FL65" s="20"/>
      <c r="FM65" s="20"/>
      <c r="FN65" s="20"/>
      <c r="FO65" s="20"/>
      <c r="FP65" s="20"/>
      <c r="FQ65" s="20"/>
      <c r="FR65" s="21"/>
      <c r="FS65" s="20"/>
      <c r="FT65" s="20"/>
      <c r="FU65" s="20"/>
      <c r="FV65" s="20"/>
      <c r="FW65" s="20"/>
      <c r="FX65" s="20"/>
      <c r="FY65" s="21"/>
      <c r="FZ65" s="20"/>
      <c r="GA65" s="20"/>
      <c r="GB65" s="20"/>
      <c r="GC65" s="20"/>
      <c r="GD65" s="20"/>
      <c r="GE65" s="20"/>
      <c r="GF65" s="21"/>
      <c r="GG65" s="20"/>
      <c r="GH65" s="20"/>
      <c r="GI65" s="20"/>
      <c r="GJ65" s="20"/>
      <c r="GK65" s="20"/>
      <c r="GL65" s="20"/>
      <c r="GM65" s="21"/>
      <c r="GN65" s="20"/>
      <c r="GO65" s="20"/>
      <c r="GP65" s="20"/>
      <c r="GQ65" s="20"/>
      <c r="GR65" s="20"/>
      <c r="GS65" s="20"/>
      <c r="GT65" s="21"/>
      <c r="GU65" s="20"/>
      <c r="GV65" s="20"/>
      <c r="GW65" s="20"/>
      <c r="GX65" s="20"/>
      <c r="GY65" s="20"/>
      <c r="GZ65" s="20"/>
      <c r="HA65" s="21"/>
      <c r="HB65" s="20"/>
      <c r="HC65" s="20"/>
      <c r="HD65" s="20"/>
      <c r="HE65" s="20"/>
      <c r="HF65" s="20"/>
      <c r="HG65" s="20"/>
      <c r="HH65" s="21"/>
      <c r="HI65" s="20"/>
      <c r="HJ65" s="20"/>
      <c r="HK65" s="20"/>
      <c r="HL65" s="20"/>
      <c r="HM65" s="20"/>
      <c r="HN65" s="20"/>
      <c r="HO65" s="21"/>
      <c r="HP65" s="20"/>
      <c r="HQ65" s="20"/>
      <c r="HR65" s="20"/>
      <c r="HS65" s="20"/>
      <c r="HT65" s="20"/>
      <c r="HU65" s="20"/>
      <c r="HV65" s="21"/>
      <c r="HW65" s="20"/>
      <c r="HX65" s="20"/>
      <c r="HY65" s="20"/>
      <c r="HZ65" s="20"/>
      <c r="IA65" s="20"/>
      <c r="IB65" s="20"/>
      <c r="IC65" s="21"/>
      <c r="ID65" s="20"/>
      <c r="IE65" s="20"/>
      <c r="IF65" s="20"/>
      <c r="IG65" s="20"/>
      <c r="IH65" s="20"/>
      <c r="II65" s="20"/>
      <c r="IJ65" s="21"/>
      <c r="IK65" s="20"/>
      <c r="IL65" s="20"/>
      <c r="IM65" s="20"/>
      <c r="IN65" s="20"/>
      <c r="IO65" s="20"/>
      <c r="IP65" s="20"/>
      <c r="IQ65" s="21"/>
      <c r="IR65" s="20"/>
      <c r="IS65" s="20"/>
      <c r="IT65" s="20"/>
      <c r="IU65" s="20"/>
      <c r="IV65" s="20"/>
      <c r="IW65" s="20"/>
      <c r="IX65" s="21"/>
      <c r="IY65" s="20"/>
      <c r="IZ65" s="20"/>
      <c r="JA65" s="20"/>
      <c r="JB65" s="20"/>
      <c r="JC65" s="20"/>
      <c r="JD65" s="20"/>
      <c r="JE65" s="21"/>
      <c r="JF65" s="20"/>
      <c r="JG65" s="20"/>
      <c r="JH65" s="20"/>
      <c r="JI65" s="20"/>
      <c r="JJ65" s="20"/>
      <c r="JK65" s="20"/>
      <c r="JL65" s="21"/>
      <c r="JM65" s="20"/>
      <c r="JN65" s="20"/>
      <c r="JO65" s="20"/>
      <c r="JP65" s="20"/>
      <c r="JQ65" s="20"/>
      <c r="JR65" s="20"/>
      <c r="JS65" s="21"/>
      <c r="JT65" s="20"/>
      <c r="JU65" s="20"/>
      <c r="JV65" s="20"/>
      <c r="JW65" s="20"/>
      <c r="JX65" s="20"/>
      <c r="JY65" s="20"/>
      <c r="JZ65" s="21"/>
      <c r="KA65" s="20"/>
      <c r="KB65" s="20"/>
      <c r="KC65" s="20"/>
      <c r="KD65" s="20"/>
      <c r="KE65" s="20"/>
      <c r="KF65" s="20"/>
      <c r="KG65" s="21"/>
      <c r="KH65" s="20"/>
      <c r="KI65" s="20"/>
      <c r="KJ65" s="20"/>
      <c r="KK65" s="20"/>
      <c r="KL65" s="20"/>
      <c r="KM65" s="20"/>
      <c r="KN65" s="21"/>
      <c r="KO65" s="20"/>
      <c r="KP65" s="20"/>
      <c r="KQ65" s="20"/>
      <c r="KR65" s="20"/>
      <c r="KS65" s="20"/>
      <c r="KT65" s="20"/>
      <c r="KU65" s="21"/>
      <c r="KV65" s="20"/>
      <c r="KW65" s="20"/>
      <c r="KX65" s="20"/>
      <c r="KY65" s="20"/>
      <c r="KZ65" s="20"/>
      <c r="LA65" s="20"/>
      <c r="LB65" s="21"/>
      <c r="LC65" s="20"/>
      <c r="LD65" s="20"/>
      <c r="LE65" s="20"/>
      <c r="LF65" s="20"/>
      <c r="LG65" s="20"/>
      <c r="LH65" s="20"/>
      <c r="LI65" s="21"/>
      <c r="LJ65" s="20"/>
      <c r="LK65" s="20"/>
      <c r="LL65" s="20"/>
      <c r="LM65" s="20"/>
      <c r="LN65" s="20"/>
      <c r="LO65" s="20"/>
      <c r="LP65" s="21"/>
      <c r="LQ65" s="20"/>
      <c r="LR65" s="20"/>
      <c r="LS65" s="20"/>
      <c r="LT65" s="20"/>
      <c r="LU65" s="20"/>
      <c r="LV65" s="20"/>
      <c r="LW65" s="21"/>
      <c r="LX65" s="20"/>
      <c r="LY65" s="20"/>
      <c r="LZ65" s="20"/>
      <c r="MA65" s="20"/>
      <c r="MB65" s="20"/>
      <c r="MC65" s="20"/>
      <c r="MD65" s="21"/>
      <c r="ME65" s="20"/>
      <c r="MF65" s="20"/>
      <c r="MG65" s="20"/>
      <c r="MH65" s="20"/>
      <c r="MI65" s="20"/>
      <c r="MJ65" s="20"/>
      <c r="MK65" s="21"/>
      <c r="ML65" s="20"/>
      <c r="MM65" s="20"/>
      <c r="MN65" s="20"/>
      <c r="MO65" s="20"/>
      <c r="MP65" s="20"/>
      <c r="MQ65" s="20"/>
      <c r="MR65" s="21"/>
    </row>
    <row r="66" spans="1:356" ht="15" customHeight="1" x14ac:dyDescent="0.25">
      <c r="A66" s="123" t="s">
        <v>240</v>
      </c>
      <c r="B66" s="124"/>
      <c r="C66" s="124"/>
      <c r="D66" s="124"/>
      <c r="E66" s="59"/>
      <c r="F66" s="124"/>
      <c r="G66" s="124"/>
      <c r="H66" s="124"/>
      <c r="I66" s="124"/>
      <c r="J66" s="124"/>
      <c r="K66" s="124"/>
      <c r="L66" s="124"/>
      <c r="M66" s="124"/>
      <c r="N66" s="124"/>
      <c r="O66" s="61"/>
      <c r="P66" s="81">
        <f>VisibleSum(P44:P64)</f>
        <v>13.636363636363637</v>
      </c>
      <c r="Q66" s="113">
        <f>P66 / P65 * 100</f>
        <v>52.447552447552447</v>
      </c>
      <c r="R66" s="83"/>
      <c r="S66" s="61" t="str">
        <f t="shared" ref="S66:CH66" si="344">IF(SUM(S43:S64) &gt; 0, SUM(S43:S64), "")</f>
        <v/>
      </c>
      <c r="T66" s="124" t="str">
        <f t="shared" si="344"/>
        <v/>
      </c>
      <c r="U66" s="124" t="str">
        <f t="shared" si="344"/>
        <v/>
      </c>
      <c r="V66" s="124" t="str">
        <f t="shared" si="344"/>
        <v/>
      </c>
      <c r="W66" s="124" t="str">
        <f t="shared" si="344"/>
        <v/>
      </c>
      <c r="X66" s="124" t="str">
        <f t="shared" si="344"/>
        <v/>
      </c>
      <c r="Y66" s="124" t="str">
        <f t="shared" si="344"/>
        <v/>
      </c>
      <c r="Z66" s="61" t="str">
        <f t="shared" si="344"/>
        <v/>
      </c>
      <c r="AA66" s="124" t="str">
        <f t="shared" si="344"/>
        <v/>
      </c>
      <c r="AB66" s="124" t="str">
        <f t="shared" si="344"/>
        <v/>
      </c>
      <c r="AC66" s="124" t="str">
        <f t="shared" si="344"/>
        <v/>
      </c>
      <c r="AD66" s="124" t="str">
        <f t="shared" si="344"/>
        <v/>
      </c>
      <c r="AE66" s="124" t="str">
        <f t="shared" si="344"/>
        <v/>
      </c>
      <c r="AF66" s="124" t="str">
        <f t="shared" si="344"/>
        <v/>
      </c>
      <c r="AG66" s="61" t="str">
        <f t="shared" si="344"/>
        <v/>
      </c>
      <c r="AH66" s="124" t="str">
        <f t="shared" si="344"/>
        <v/>
      </c>
      <c r="AI66" s="124">
        <f t="shared" si="344"/>
        <v>11</v>
      </c>
      <c r="AJ66" s="124" t="str">
        <f t="shared" si="344"/>
        <v/>
      </c>
      <c r="AK66" s="124">
        <f t="shared" si="344"/>
        <v>7</v>
      </c>
      <c r="AL66" s="124" t="str">
        <f t="shared" si="344"/>
        <v/>
      </c>
      <c r="AM66" s="124" t="str">
        <f t="shared" si="344"/>
        <v/>
      </c>
      <c r="AN66" s="61" t="str">
        <f t="shared" si="344"/>
        <v/>
      </c>
      <c r="AO66" s="124" t="str">
        <f t="shared" si="344"/>
        <v/>
      </c>
      <c r="AP66" s="124">
        <f t="shared" si="344"/>
        <v>9</v>
      </c>
      <c r="AQ66" s="124" t="str">
        <f t="shared" si="344"/>
        <v/>
      </c>
      <c r="AR66" s="124">
        <f t="shared" si="344"/>
        <v>9</v>
      </c>
      <c r="AS66" s="124" t="str">
        <f t="shared" si="344"/>
        <v/>
      </c>
      <c r="AT66" s="124" t="str">
        <f t="shared" si="344"/>
        <v/>
      </c>
      <c r="AU66" s="61" t="str">
        <f t="shared" si="344"/>
        <v/>
      </c>
      <c r="AV66" s="124" t="str">
        <f t="shared" si="344"/>
        <v/>
      </c>
      <c r="AW66" s="124">
        <f t="shared" si="344"/>
        <v>9</v>
      </c>
      <c r="AX66" s="124">
        <f t="shared" si="344"/>
        <v>6</v>
      </c>
      <c r="AY66" s="124">
        <f t="shared" si="344"/>
        <v>7</v>
      </c>
      <c r="AZ66" s="124" t="str">
        <f t="shared" si="344"/>
        <v/>
      </c>
      <c r="BA66" s="124" t="str">
        <f t="shared" si="344"/>
        <v/>
      </c>
      <c r="BB66" s="61" t="str">
        <f t="shared" si="344"/>
        <v/>
      </c>
      <c r="BC66" s="124" t="str">
        <f t="shared" si="344"/>
        <v/>
      </c>
      <c r="BD66" s="124">
        <f t="shared" si="344"/>
        <v>8</v>
      </c>
      <c r="BE66" s="124" t="str">
        <f t="shared" si="344"/>
        <v/>
      </c>
      <c r="BF66" s="124">
        <f t="shared" si="344"/>
        <v>6</v>
      </c>
      <c r="BG66" s="124" t="str">
        <f t="shared" si="344"/>
        <v/>
      </c>
      <c r="BH66" s="124" t="str">
        <f t="shared" si="344"/>
        <v/>
      </c>
      <c r="BI66" s="61" t="str">
        <f t="shared" si="344"/>
        <v/>
      </c>
      <c r="BJ66" s="124" t="str">
        <f t="shared" si="344"/>
        <v/>
      </c>
      <c r="BK66" s="124">
        <f t="shared" si="344"/>
        <v>7</v>
      </c>
      <c r="BL66" s="124" t="str">
        <f t="shared" si="344"/>
        <v/>
      </c>
      <c r="BM66" s="124">
        <f t="shared" si="344"/>
        <v>10</v>
      </c>
      <c r="BN66" s="124">
        <f t="shared" si="344"/>
        <v>10</v>
      </c>
      <c r="BO66" s="124" t="str">
        <f t="shared" si="344"/>
        <v/>
      </c>
      <c r="BP66" s="61">
        <f t="shared" si="344"/>
        <v>4</v>
      </c>
      <c r="BQ66" s="124" t="str">
        <f t="shared" si="344"/>
        <v/>
      </c>
      <c r="BR66" s="124" t="str">
        <f t="shared" si="344"/>
        <v/>
      </c>
      <c r="BS66" s="124" t="str">
        <f t="shared" si="344"/>
        <v/>
      </c>
      <c r="BT66" s="124" t="str">
        <f t="shared" si="344"/>
        <v/>
      </c>
      <c r="BU66" s="124" t="str">
        <f t="shared" si="344"/>
        <v/>
      </c>
      <c r="BV66" s="124" t="str">
        <f t="shared" si="344"/>
        <v/>
      </c>
      <c r="BW66" s="124"/>
      <c r="BX66" s="124"/>
      <c r="BY66" s="61" t="str">
        <f t="shared" si="344"/>
        <v/>
      </c>
      <c r="BZ66" s="124" t="str">
        <f t="shared" si="344"/>
        <v/>
      </c>
      <c r="CA66" s="124" t="str">
        <f t="shared" si="344"/>
        <v/>
      </c>
      <c r="CB66" s="124" t="str">
        <f t="shared" si="344"/>
        <v/>
      </c>
      <c r="CC66" s="124" t="str">
        <f t="shared" si="344"/>
        <v/>
      </c>
      <c r="CD66" s="124" t="str">
        <f t="shared" si="344"/>
        <v/>
      </c>
      <c r="CE66" s="124" t="str">
        <f t="shared" si="344"/>
        <v/>
      </c>
      <c r="CF66" s="124"/>
      <c r="CG66" s="124"/>
      <c r="CH66" s="61" t="str">
        <f t="shared" si="344"/>
        <v/>
      </c>
      <c r="CI66" s="124" t="str">
        <f t="shared" ref="CI66:FL66" si="345">IF(SUM(CI43:CI64) &gt; 0, SUM(CI43:CI64), "")</f>
        <v/>
      </c>
      <c r="CJ66" s="124" t="str">
        <f t="shared" si="345"/>
        <v/>
      </c>
      <c r="CK66" s="124" t="str">
        <f t="shared" si="345"/>
        <v/>
      </c>
      <c r="CL66" s="124" t="str">
        <f t="shared" si="345"/>
        <v/>
      </c>
      <c r="CM66" s="124" t="str">
        <f t="shared" si="345"/>
        <v/>
      </c>
      <c r="CN66" s="124" t="str">
        <f t="shared" si="345"/>
        <v/>
      </c>
      <c r="CO66" s="124" t="str">
        <f t="shared" ref="CO66" si="346">IF(SUM(CO43:CO64) &gt; 0, SUM(CO43:CO64), "")</f>
        <v/>
      </c>
      <c r="CP66" s="124"/>
      <c r="CQ66" s="61" t="str">
        <f t="shared" si="345"/>
        <v/>
      </c>
      <c r="CR66" s="124" t="str">
        <f t="shared" si="345"/>
        <v/>
      </c>
      <c r="CS66" s="124" t="str">
        <f t="shared" si="345"/>
        <v/>
      </c>
      <c r="CT66" s="124" t="str">
        <f t="shared" si="345"/>
        <v/>
      </c>
      <c r="CU66" s="124" t="str">
        <f t="shared" si="345"/>
        <v/>
      </c>
      <c r="CV66" s="124" t="str">
        <f t="shared" si="345"/>
        <v/>
      </c>
      <c r="CW66" s="124"/>
      <c r="CX66" s="124"/>
      <c r="CY66" s="124" t="str">
        <f t="shared" si="345"/>
        <v/>
      </c>
      <c r="CZ66" s="61" t="str">
        <f t="shared" si="345"/>
        <v/>
      </c>
      <c r="DA66" s="124" t="str">
        <f t="shared" si="345"/>
        <v/>
      </c>
      <c r="DB66" s="124" t="str">
        <f t="shared" si="345"/>
        <v/>
      </c>
      <c r="DC66" s="124" t="str">
        <f t="shared" si="345"/>
        <v/>
      </c>
      <c r="DD66" s="124" t="str">
        <f t="shared" si="345"/>
        <v/>
      </c>
      <c r="DE66" s="124" t="str">
        <f t="shared" si="345"/>
        <v/>
      </c>
      <c r="DF66" s="124" t="str">
        <f t="shared" si="345"/>
        <v/>
      </c>
      <c r="DG66" s="124"/>
      <c r="DH66" s="124"/>
      <c r="DI66" s="61" t="str">
        <f t="shared" si="345"/>
        <v/>
      </c>
      <c r="DJ66" s="124" t="str">
        <f t="shared" si="345"/>
        <v/>
      </c>
      <c r="DK66" s="124" t="str">
        <f t="shared" si="345"/>
        <v/>
      </c>
      <c r="DL66" s="124" t="str">
        <f t="shared" si="345"/>
        <v/>
      </c>
      <c r="DM66" s="124" t="str">
        <f t="shared" si="345"/>
        <v/>
      </c>
      <c r="DN66" s="124" t="str">
        <f t="shared" si="345"/>
        <v/>
      </c>
      <c r="DO66" s="124" t="str">
        <f t="shared" si="345"/>
        <v/>
      </c>
      <c r="DP66" s="124"/>
      <c r="DQ66" s="124"/>
      <c r="DR66" s="61" t="str">
        <f t="shared" si="345"/>
        <v/>
      </c>
      <c r="DS66" s="124" t="str">
        <f t="shared" si="345"/>
        <v/>
      </c>
      <c r="DT66" s="124">
        <f t="shared" si="345"/>
        <v>7</v>
      </c>
      <c r="DU66" s="124" t="str">
        <f t="shared" si="345"/>
        <v/>
      </c>
      <c r="DV66" s="124">
        <f t="shared" si="345"/>
        <v>5</v>
      </c>
      <c r="DW66" s="124">
        <f t="shared" si="345"/>
        <v>5</v>
      </c>
      <c r="DX66" s="124"/>
      <c r="DY66" s="124"/>
      <c r="DZ66" s="124" t="str">
        <f t="shared" si="345"/>
        <v/>
      </c>
      <c r="EA66" s="61" t="str">
        <f t="shared" si="345"/>
        <v/>
      </c>
      <c r="EB66" s="124" t="str">
        <f t="shared" si="345"/>
        <v/>
      </c>
      <c r="EC66" s="124">
        <f t="shared" si="345"/>
        <v>6</v>
      </c>
      <c r="ED66" s="124" t="str">
        <f t="shared" si="345"/>
        <v/>
      </c>
      <c r="EE66" s="124">
        <f t="shared" si="345"/>
        <v>5</v>
      </c>
      <c r="EF66" s="124">
        <f t="shared" si="345"/>
        <v>4</v>
      </c>
      <c r="EG66" s="124"/>
      <c r="EH66" s="124"/>
      <c r="EI66" s="124" t="str">
        <f t="shared" si="345"/>
        <v/>
      </c>
      <c r="EJ66" s="61" t="str">
        <f t="shared" si="345"/>
        <v/>
      </c>
      <c r="EK66" s="124" t="str">
        <f t="shared" si="345"/>
        <v/>
      </c>
      <c r="EL66" s="124">
        <f t="shared" si="345"/>
        <v>6</v>
      </c>
      <c r="EM66" s="124" t="str">
        <f t="shared" si="345"/>
        <v/>
      </c>
      <c r="EN66" s="124">
        <f t="shared" si="345"/>
        <v>7</v>
      </c>
      <c r="EO66" s="124">
        <f t="shared" si="345"/>
        <v>5</v>
      </c>
      <c r="EP66" s="124" t="str">
        <f t="shared" si="345"/>
        <v/>
      </c>
      <c r="EQ66" s="124"/>
      <c r="ER66" s="124"/>
      <c r="ES66" s="61" t="str">
        <f t="shared" si="345"/>
        <v/>
      </c>
      <c r="ET66" s="124" t="str">
        <f t="shared" si="345"/>
        <v/>
      </c>
      <c r="EU66" s="124">
        <f t="shared" si="345"/>
        <v>9</v>
      </c>
      <c r="EV66" s="124" t="str">
        <f t="shared" si="345"/>
        <v/>
      </c>
      <c r="EW66" s="124">
        <f t="shared" si="345"/>
        <v>4</v>
      </c>
      <c r="EX66" s="124">
        <f t="shared" si="345"/>
        <v>5</v>
      </c>
      <c r="EY66" s="124" t="str">
        <f t="shared" si="345"/>
        <v/>
      </c>
      <c r="EZ66" s="124"/>
      <c r="FA66" s="124"/>
      <c r="FB66" s="61" t="str">
        <f t="shared" si="345"/>
        <v/>
      </c>
      <c r="FC66" s="124" t="str">
        <f t="shared" si="345"/>
        <v/>
      </c>
      <c r="FD66" s="124" t="str">
        <f t="shared" si="345"/>
        <v/>
      </c>
      <c r="FE66" s="124" t="str">
        <f t="shared" si="345"/>
        <v/>
      </c>
      <c r="FF66" s="124" t="str">
        <f t="shared" si="345"/>
        <v/>
      </c>
      <c r="FG66" s="124" t="str">
        <f t="shared" si="345"/>
        <v/>
      </c>
      <c r="FH66" s="124" t="str">
        <f t="shared" si="345"/>
        <v/>
      </c>
      <c r="FI66" s="124"/>
      <c r="FJ66" s="124"/>
      <c r="FK66" s="61" t="str">
        <f t="shared" si="345"/>
        <v/>
      </c>
      <c r="FL66" s="124" t="str">
        <f t="shared" si="345"/>
        <v/>
      </c>
      <c r="FM66" s="124" t="str">
        <f t="shared" ref="FM66:HX66" si="347">IF(SUM(FM43:FM64) &gt; 0, SUM(FM43:FM64), "")</f>
        <v/>
      </c>
      <c r="FN66" s="124" t="str">
        <f t="shared" si="347"/>
        <v/>
      </c>
      <c r="FO66" s="124" t="str">
        <f t="shared" si="347"/>
        <v/>
      </c>
      <c r="FP66" s="124" t="str">
        <f t="shared" si="347"/>
        <v/>
      </c>
      <c r="FQ66" s="124" t="str">
        <f t="shared" si="347"/>
        <v/>
      </c>
      <c r="FR66" s="61" t="str">
        <f t="shared" si="347"/>
        <v/>
      </c>
      <c r="FS66" s="124" t="str">
        <f t="shared" si="347"/>
        <v/>
      </c>
      <c r="FT66" s="124" t="str">
        <f t="shared" si="347"/>
        <v/>
      </c>
      <c r="FU66" s="124" t="str">
        <f t="shared" si="347"/>
        <v/>
      </c>
      <c r="FV66" s="124" t="str">
        <f t="shared" si="347"/>
        <v/>
      </c>
      <c r="FW66" s="124" t="str">
        <f t="shared" si="347"/>
        <v/>
      </c>
      <c r="FX66" s="124" t="str">
        <f t="shared" si="347"/>
        <v/>
      </c>
      <c r="FY66" s="61" t="str">
        <f t="shared" si="347"/>
        <v/>
      </c>
      <c r="FZ66" s="124" t="str">
        <f t="shared" si="347"/>
        <v/>
      </c>
      <c r="GA66" s="124" t="str">
        <f t="shared" si="347"/>
        <v/>
      </c>
      <c r="GB66" s="124" t="str">
        <f t="shared" si="347"/>
        <v/>
      </c>
      <c r="GC66" s="124" t="str">
        <f t="shared" si="347"/>
        <v/>
      </c>
      <c r="GD66" s="124" t="str">
        <f t="shared" si="347"/>
        <v/>
      </c>
      <c r="GE66" s="124" t="str">
        <f t="shared" si="347"/>
        <v/>
      </c>
      <c r="GF66" s="61" t="str">
        <f t="shared" si="347"/>
        <v/>
      </c>
      <c r="GG66" s="124" t="str">
        <f t="shared" si="347"/>
        <v/>
      </c>
      <c r="GH66" s="124" t="str">
        <f t="shared" si="347"/>
        <v/>
      </c>
      <c r="GI66" s="124" t="str">
        <f t="shared" si="347"/>
        <v/>
      </c>
      <c r="GJ66" s="124" t="str">
        <f t="shared" si="347"/>
        <v/>
      </c>
      <c r="GK66" s="124" t="str">
        <f t="shared" si="347"/>
        <v/>
      </c>
      <c r="GL66" s="124" t="str">
        <f t="shared" si="347"/>
        <v/>
      </c>
      <c r="GM66" s="61" t="str">
        <f t="shared" si="347"/>
        <v/>
      </c>
      <c r="GN66" s="124" t="str">
        <f t="shared" si="347"/>
        <v/>
      </c>
      <c r="GO66" s="124" t="str">
        <f t="shared" si="347"/>
        <v/>
      </c>
      <c r="GP66" s="124" t="str">
        <f t="shared" si="347"/>
        <v/>
      </c>
      <c r="GQ66" s="124" t="str">
        <f t="shared" si="347"/>
        <v/>
      </c>
      <c r="GR66" s="124" t="str">
        <f t="shared" si="347"/>
        <v/>
      </c>
      <c r="GS66" s="124" t="str">
        <f t="shared" si="347"/>
        <v/>
      </c>
      <c r="GT66" s="61" t="str">
        <f t="shared" si="347"/>
        <v/>
      </c>
      <c r="GU66" s="124" t="str">
        <f t="shared" si="347"/>
        <v/>
      </c>
      <c r="GV66" s="124" t="str">
        <f t="shared" si="347"/>
        <v/>
      </c>
      <c r="GW66" s="124" t="str">
        <f t="shared" si="347"/>
        <v/>
      </c>
      <c r="GX66" s="124" t="str">
        <f t="shared" si="347"/>
        <v/>
      </c>
      <c r="GY66" s="124" t="str">
        <f t="shared" si="347"/>
        <v/>
      </c>
      <c r="GZ66" s="124" t="str">
        <f t="shared" si="347"/>
        <v/>
      </c>
      <c r="HA66" s="61" t="str">
        <f t="shared" si="347"/>
        <v/>
      </c>
      <c r="HB66" s="124" t="str">
        <f t="shared" si="347"/>
        <v/>
      </c>
      <c r="HC66" s="124" t="str">
        <f t="shared" si="347"/>
        <v/>
      </c>
      <c r="HD66" s="124" t="str">
        <f t="shared" si="347"/>
        <v/>
      </c>
      <c r="HE66" s="124" t="str">
        <f t="shared" si="347"/>
        <v/>
      </c>
      <c r="HF66" s="124" t="str">
        <f t="shared" si="347"/>
        <v/>
      </c>
      <c r="HG66" s="124" t="str">
        <f t="shared" si="347"/>
        <v/>
      </c>
      <c r="HH66" s="61" t="str">
        <f t="shared" si="347"/>
        <v/>
      </c>
      <c r="HI66" s="124" t="str">
        <f t="shared" si="347"/>
        <v/>
      </c>
      <c r="HJ66" s="124" t="str">
        <f t="shared" si="347"/>
        <v/>
      </c>
      <c r="HK66" s="124" t="str">
        <f t="shared" si="347"/>
        <v/>
      </c>
      <c r="HL66" s="124" t="str">
        <f t="shared" si="347"/>
        <v/>
      </c>
      <c r="HM66" s="124" t="str">
        <f t="shared" si="347"/>
        <v/>
      </c>
      <c r="HN66" s="124" t="str">
        <f t="shared" si="347"/>
        <v/>
      </c>
      <c r="HO66" s="61" t="str">
        <f t="shared" si="347"/>
        <v/>
      </c>
      <c r="HP66" s="124" t="str">
        <f t="shared" si="347"/>
        <v/>
      </c>
      <c r="HQ66" s="124" t="str">
        <f t="shared" si="347"/>
        <v/>
      </c>
      <c r="HR66" s="124" t="str">
        <f t="shared" si="347"/>
        <v/>
      </c>
      <c r="HS66" s="124" t="str">
        <f t="shared" si="347"/>
        <v/>
      </c>
      <c r="HT66" s="124" t="str">
        <f t="shared" si="347"/>
        <v/>
      </c>
      <c r="HU66" s="124" t="str">
        <f t="shared" si="347"/>
        <v/>
      </c>
      <c r="HV66" s="61" t="str">
        <f t="shared" si="347"/>
        <v/>
      </c>
      <c r="HW66" s="124" t="str">
        <f t="shared" si="347"/>
        <v/>
      </c>
      <c r="HX66" s="124" t="str">
        <f t="shared" si="347"/>
        <v/>
      </c>
      <c r="HY66" s="124" t="str">
        <f t="shared" ref="HY66:KJ66" si="348">IF(SUM(HY43:HY64) &gt; 0, SUM(HY43:HY64), "")</f>
        <v/>
      </c>
      <c r="HZ66" s="124" t="str">
        <f t="shared" si="348"/>
        <v/>
      </c>
      <c r="IA66" s="124" t="str">
        <f t="shared" si="348"/>
        <v/>
      </c>
      <c r="IB66" s="124" t="str">
        <f t="shared" si="348"/>
        <v/>
      </c>
      <c r="IC66" s="61" t="str">
        <f t="shared" si="348"/>
        <v/>
      </c>
      <c r="ID66" s="124" t="str">
        <f t="shared" si="348"/>
        <v/>
      </c>
      <c r="IE66" s="124" t="str">
        <f t="shared" si="348"/>
        <v/>
      </c>
      <c r="IF66" s="124" t="str">
        <f t="shared" si="348"/>
        <v/>
      </c>
      <c r="IG66" s="124" t="str">
        <f t="shared" si="348"/>
        <v/>
      </c>
      <c r="IH66" s="124" t="str">
        <f t="shared" si="348"/>
        <v/>
      </c>
      <c r="II66" s="124" t="str">
        <f t="shared" si="348"/>
        <v/>
      </c>
      <c r="IJ66" s="61" t="str">
        <f t="shared" si="348"/>
        <v/>
      </c>
      <c r="IK66" s="124" t="str">
        <f t="shared" si="348"/>
        <v/>
      </c>
      <c r="IL66" s="124" t="str">
        <f t="shared" si="348"/>
        <v/>
      </c>
      <c r="IM66" s="124" t="str">
        <f t="shared" si="348"/>
        <v/>
      </c>
      <c r="IN66" s="124" t="str">
        <f t="shared" si="348"/>
        <v/>
      </c>
      <c r="IO66" s="124" t="str">
        <f t="shared" si="348"/>
        <v/>
      </c>
      <c r="IP66" s="124" t="str">
        <f t="shared" si="348"/>
        <v/>
      </c>
      <c r="IQ66" s="61" t="str">
        <f t="shared" si="348"/>
        <v/>
      </c>
      <c r="IR66" s="124" t="str">
        <f t="shared" si="348"/>
        <v/>
      </c>
      <c r="IS66" s="124" t="str">
        <f t="shared" si="348"/>
        <v/>
      </c>
      <c r="IT66" s="124" t="str">
        <f t="shared" si="348"/>
        <v/>
      </c>
      <c r="IU66" s="124" t="str">
        <f t="shared" si="348"/>
        <v/>
      </c>
      <c r="IV66" s="124" t="str">
        <f t="shared" si="348"/>
        <v/>
      </c>
      <c r="IW66" s="124" t="str">
        <f t="shared" si="348"/>
        <v/>
      </c>
      <c r="IX66" s="61" t="str">
        <f t="shared" si="348"/>
        <v/>
      </c>
      <c r="IY66" s="124" t="str">
        <f t="shared" si="348"/>
        <v/>
      </c>
      <c r="IZ66" s="124" t="str">
        <f t="shared" si="348"/>
        <v/>
      </c>
      <c r="JA66" s="124" t="str">
        <f t="shared" si="348"/>
        <v/>
      </c>
      <c r="JB66" s="124" t="str">
        <f t="shared" si="348"/>
        <v/>
      </c>
      <c r="JC66" s="124" t="str">
        <f t="shared" si="348"/>
        <v/>
      </c>
      <c r="JD66" s="124" t="str">
        <f t="shared" si="348"/>
        <v/>
      </c>
      <c r="JE66" s="61" t="str">
        <f t="shared" si="348"/>
        <v/>
      </c>
      <c r="JF66" s="124" t="str">
        <f t="shared" si="348"/>
        <v/>
      </c>
      <c r="JG66" s="124" t="str">
        <f t="shared" si="348"/>
        <v/>
      </c>
      <c r="JH66" s="124" t="str">
        <f t="shared" si="348"/>
        <v/>
      </c>
      <c r="JI66" s="124" t="str">
        <f t="shared" si="348"/>
        <v/>
      </c>
      <c r="JJ66" s="124" t="str">
        <f t="shared" si="348"/>
        <v/>
      </c>
      <c r="JK66" s="124" t="str">
        <f t="shared" si="348"/>
        <v/>
      </c>
      <c r="JL66" s="61" t="str">
        <f t="shared" si="348"/>
        <v/>
      </c>
      <c r="JM66" s="124" t="str">
        <f t="shared" si="348"/>
        <v/>
      </c>
      <c r="JN66" s="124" t="str">
        <f t="shared" si="348"/>
        <v/>
      </c>
      <c r="JO66" s="124" t="str">
        <f t="shared" si="348"/>
        <v/>
      </c>
      <c r="JP66" s="124" t="str">
        <f t="shared" si="348"/>
        <v/>
      </c>
      <c r="JQ66" s="124" t="str">
        <f t="shared" si="348"/>
        <v/>
      </c>
      <c r="JR66" s="124" t="str">
        <f t="shared" si="348"/>
        <v/>
      </c>
      <c r="JS66" s="61" t="str">
        <f t="shared" si="348"/>
        <v/>
      </c>
      <c r="JT66" s="124" t="str">
        <f t="shared" si="348"/>
        <v/>
      </c>
      <c r="JU66" s="124" t="str">
        <f t="shared" si="348"/>
        <v/>
      </c>
      <c r="JV66" s="124" t="str">
        <f t="shared" si="348"/>
        <v/>
      </c>
      <c r="JW66" s="124" t="str">
        <f t="shared" si="348"/>
        <v/>
      </c>
      <c r="JX66" s="124" t="str">
        <f t="shared" si="348"/>
        <v/>
      </c>
      <c r="JY66" s="124" t="str">
        <f t="shared" si="348"/>
        <v/>
      </c>
      <c r="JZ66" s="61" t="str">
        <f t="shared" si="348"/>
        <v/>
      </c>
      <c r="KA66" s="124" t="str">
        <f t="shared" si="348"/>
        <v/>
      </c>
      <c r="KB66" s="124" t="str">
        <f t="shared" si="348"/>
        <v/>
      </c>
      <c r="KC66" s="124" t="str">
        <f t="shared" si="348"/>
        <v/>
      </c>
      <c r="KD66" s="124" t="str">
        <f t="shared" si="348"/>
        <v/>
      </c>
      <c r="KE66" s="124" t="str">
        <f t="shared" si="348"/>
        <v/>
      </c>
      <c r="KF66" s="124" t="str">
        <f t="shared" si="348"/>
        <v/>
      </c>
      <c r="KG66" s="61" t="str">
        <f t="shared" si="348"/>
        <v/>
      </c>
      <c r="KH66" s="124" t="str">
        <f t="shared" si="348"/>
        <v/>
      </c>
      <c r="KI66" s="124" t="str">
        <f t="shared" si="348"/>
        <v/>
      </c>
      <c r="KJ66" s="124" t="str">
        <f t="shared" si="348"/>
        <v/>
      </c>
      <c r="KK66" s="124" t="str">
        <f t="shared" ref="KK66:MR66" si="349">IF(SUM(KK43:KK64) &gt; 0, SUM(KK43:KK64), "")</f>
        <v/>
      </c>
      <c r="KL66" s="124" t="str">
        <f t="shared" si="349"/>
        <v/>
      </c>
      <c r="KM66" s="124" t="str">
        <f t="shared" si="349"/>
        <v/>
      </c>
      <c r="KN66" s="61" t="str">
        <f t="shared" si="349"/>
        <v/>
      </c>
      <c r="KO66" s="124" t="str">
        <f t="shared" si="349"/>
        <v/>
      </c>
      <c r="KP66" s="124" t="str">
        <f t="shared" si="349"/>
        <v/>
      </c>
      <c r="KQ66" s="124" t="str">
        <f t="shared" si="349"/>
        <v/>
      </c>
      <c r="KR66" s="124" t="str">
        <f t="shared" si="349"/>
        <v/>
      </c>
      <c r="KS66" s="124" t="str">
        <f t="shared" si="349"/>
        <v/>
      </c>
      <c r="KT66" s="124" t="str">
        <f t="shared" si="349"/>
        <v/>
      </c>
      <c r="KU66" s="61" t="str">
        <f t="shared" si="349"/>
        <v/>
      </c>
      <c r="KV66" s="124" t="str">
        <f t="shared" si="349"/>
        <v/>
      </c>
      <c r="KW66" s="124" t="str">
        <f t="shared" si="349"/>
        <v/>
      </c>
      <c r="KX66" s="124" t="str">
        <f t="shared" si="349"/>
        <v/>
      </c>
      <c r="KY66" s="124" t="str">
        <f t="shared" si="349"/>
        <v/>
      </c>
      <c r="KZ66" s="124" t="str">
        <f t="shared" si="349"/>
        <v/>
      </c>
      <c r="LA66" s="124" t="str">
        <f t="shared" si="349"/>
        <v/>
      </c>
      <c r="LB66" s="61" t="str">
        <f t="shared" si="349"/>
        <v/>
      </c>
      <c r="LC66" s="124" t="str">
        <f t="shared" si="349"/>
        <v/>
      </c>
      <c r="LD66" s="124" t="str">
        <f t="shared" si="349"/>
        <v/>
      </c>
      <c r="LE66" s="124" t="str">
        <f t="shared" si="349"/>
        <v/>
      </c>
      <c r="LF66" s="124" t="str">
        <f t="shared" si="349"/>
        <v/>
      </c>
      <c r="LG66" s="124" t="str">
        <f t="shared" si="349"/>
        <v/>
      </c>
      <c r="LH66" s="124" t="str">
        <f t="shared" si="349"/>
        <v/>
      </c>
      <c r="LI66" s="61" t="str">
        <f t="shared" si="349"/>
        <v/>
      </c>
      <c r="LJ66" s="124" t="str">
        <f t="shared" si="349"/>
        <v/>
      </c>
      <c r="LK66" s="124" t="str">
        <f t="shared" si="349"/>
        <v/>
      </c>
      <c r="LL66" s="124" t="str">
        <f t="shared" si="349"/>
        <v/>
      </c>
      <c r="LM66" s="124" t="str">
        <f t="shared" si="349"/>
        <v/>
      </c>
      <c r="LN66" s="124" t="str">
        <f t="shared" si="349"/>
        <v/>
      </c>
      <c r="LO66" s="124" t="str">
        <f t="shared" si="349"/>
        <v/>
      </c>
      <c r="LP66" s="61" t="str">
        <f t="shared" si="349"/>
        <v/>
      </c>
      <c r="LQ66" s="124" t="str">
        <f t="shared" si="349"/>
        <v/>
      </c>
      <c r="LR66" s="124" t="str">
        <f t="shared" si="349"/>
        <v/>
      </c>
      <c r="LS66" s="124" t="str">
        <f t="shared" si="349"/>
        <v/>
      </c>
      <c r="LT66" s="124" t="str">
        <f t="shared" si="349"/>
        <v/>
      </c>
      <c r="LU66" s="124" t="str">
        <f t="shared" si="349"/>
        <v/>
      </c>
      <c r="LV66" s="124" t="str">
        <f t="shared" si="349"/>
        <v/>
      </c>
      <c r="LW66" s="61" t="str">
        <f t="shared" si="349"/>
        <v/>
      </c>
      <c r="LX66" s="124" t="str">
        <f t="shared" si="349"/>
        <v/>
      </c>
      <c r="LY66" s="124" t="str">
        <f t="shared" si="349"/>
        <v/>
      </c>
      <c r="LZ66" s="124" t="str">
        <f t="shared" si="349"/>
        <v/>
      </c>
      <c r="MA66" s="124" t="str">
        <f t="shared" si="349"/>
        <v/>
      </c>
      <c r="MB66" s="124" t="str">
        <f t="shared" si="349"/>
        <v/>
      </c>
      <c r="MC66" s="124" t="str">
        <f t="shared" si="349"/>
        <v/>
      </c>
      <c r="MD66" s="61" t="str">
        <f t="shared" si="349"/>
        <v/>
      </c>
      <c r="ME66" s="124" t="str">
        <f t="shared" si="349"/>
        <v/>
      </c>
      <c r="MF66" s="124" t="str">
        <f t="shared" si="349"/>
        <v/>
      </c>
      <c r="MG66" s="124" t="str">
        <f t="shared" si="349"/>
        <v/>
      </c>
      <c r="MH66" s="124" t="str">
        <f t="shared" si="349"/>
        <v/>
      </c>
      <c r="MI66" s="124" t="str">
        <f t="shared" si="349"/>
        <v/>
      </c>
      <c r="MJ66" s="124" t="str">
        <f t="shared" si="349"/>
        <v/>
      </c>
      <c r="MK66" s="61" t="str">
        <f t="shared" si="349"/>
        <v/>
      </c>
      <c r="ML66" s="124" t="str">
        <f t="shared" si="349"/>
        <v/>
      </c>
      <c r="MM66" s="124" t="str">
        <f t="shared" si="349"/>
        <v/>
      </c>
      <c r="MN66" s="124" t="str">
        <f t="shared" si="349"/>
        <v/>
      </c>
      <c r="MO66" s="124" t="str">
        <f t="shared" si="349"/>
        <v/>
      </c>
      <c r="MP66" s="124" t="str">
        <f t="shared" si="349"/>
        <v/>
      </c>
      <c r="MQ66" s="124" t="str">
        <f t="shared" si="349"/>
        <v/>
      </c>
      <c r="MR66" s="61" t="str">
        <f t="shared" si="349"/>
        <v/>
      </c>
    </row>
    <row r="67" spans="1:356" ht="72.75" hidden="1" customHeight="1" x14ac:dyDescent="0.25">
      <c r="A67" s="118"/>
      <c r="B67" s="114"/>
      <c r="C67" s="114"/>
      <c r="D67" s="114"/>
      <c r="E67" s="119"/>
      <c r="F67" s="114"/>
      <c r="G67" s="114"/>
      <c r="H67" s="114"/>
      <c r="I67" s="114"/>
      <c r="J67" s="114"/>
      <c r="K67" s="114"/>
      <c r="L67" s="114"/>
      <c r="M67" s="114"/>
      <c r="N67" s="114"/>
      <c r="O67" s="114"/>
      <c r="P67" s="120" t="s">
        <v>408</v>
      </c>
      <c r="Q67" s="121" t="s">
        <v>408</v>
      </c>
      <c r="R67" s="122"/>
      <c r="S67" s="49">
        <f>S1</f>
        <v>43975</v>
      </c>
      <c r="T67" s="49">
        <f>T1</f>
        <v>43976</v>
      </c>
      <c r="U67" s="49">
        <f>U1</f>
        <v>43977</v>
      </c>
      <c r="V67" s="49">
        <f>V1</f>
        <v>43978</v>
      </c>
      <c r="W67" s="49">
        <f>W1</f>
        <v>43979</v>
      </c>
      <c r="X67" s="49">
        <f>X1</f>
        <v>43980</v>
      </c>
      <c r="Y67" s="49">
        <f>Y1</f>
        <v>43981</v>
      </c>
      <c r="Z67" s="49">
        <f>Z1</f>
        <v>43982</v>
      </c>
      <c r="AA67" s="49">
        <f>AA1</f>
        <v>43983</v>
      </c>
      <c r="AB67" s="49">
        <f>AB1</f>
        <v>43984</v>
      </c>
      <c r="AC67" s="49">
        <f>AC1</f>
        <v>43985</v>
      </c>
      <c r="AD67" s="49">
        <f>AD1</f>
        <v>43986</v>
      </c>
      <c r="AE67" s="49">
        <f>AE1</f>
        <v>43987</v>
      </c>
      <c r="AF67" s="49">
        <f>AF1</f>
        <v>43988</v>
      </c>
      <c r="AG67" s="49">
        <f>AG1</f>
        <v>43989</v>
      </c>
      <c r="AH67" s="49">
        <f>AH1</f>
        <v>43990</v>
      </c>
      <c r="AI67" s="49">
        <f>AI1</f>
        <v>43991</v>
      </c>
      <c r="AJ67" s="49">
        <f>AJ1</f>
        <v>43992</v>
      </c>
      <c r="AK67" s="49">
        <f>AK1</f>
        <v>43993</v>
      </c>
      <c r="AL67" s="49">
        <f>AL1</f>
        <v>43994</v>
      </c>
      <c r="AM67" s="49">
        <f>AM1</f>
        <v>43995</v>
      </c>
      <c r="AN67" s="49">
        <f>AN1</f>
        <v>43996</v>
      </c>
      <c r="AO67" s="49">
        <f>AO1</f>
        <v>43997</v>
      </c>
      <c r="AP67" s="49">
        <f>AP1</f>
        <v>43998</v>
      </c>
      <c r="AQ67" s="49">
        <f>AQ1</f>
        <v>43999</v>
      </c>
      <c r="AR67" s="49">
        <f>AR1</f>
        <v>44000</v>
      </c>
      <c r="AS67" s="49">
        <f>AS1</f>
        <v>44001</v>
      </c>
      <c r="AT67" s="49">
        <f>AT1</f>
        <v>44002</v>
      </c>
      <c r="AU67" s="49">
        <f>AU1</f>
        <v>44003</v>
      </c>
      <c r="AV67" s="49">
        <f>AV1</f>
        <v>44004</v>
      </c>
      <c r="AW67" s="49">
        <f>AW1</f>
        <v>44005</v>
      </c>
      <c r="AX67" s="49">
        <f>AX1</f>
        <v>44006</v>
      </c>
      <c r="AY67" s="49">
        <f>AY1</f>
        <v>44007</v>
      </c>
      <c r="AZ67" s="49">
        <f>AZ1</f>
        <v>44008</v>
      </c>
      <c r="BA67" s="49">
        <f>BA1</f>
        <v>44009</v>
      </c>
      <c r="BB67" s="49">
        <f>BB1</f>
        <v>44010</v>
      </c>
      <c r="BC67" s="49">
        <f>BC1</f>
        <v>44011</v>
      </c>
      <c r="BD67" s="49">
        <f>BD1</f>
        <v>44012</v>
      </c>
      <c r="BE67" s="49">
        <f>BE1</f>
        <v>44013</v>
      </c>
      <c r="BF67" s="49">
        <f>BF1</f>
        <v>44014</v>
      </c>
      <c r="BG67" s="49">
        <f>BG1</f>
        <v>44015</v>
      </c>
      <c r="BH67" s="49">
        <f>BH1</f>
        <v>44016</v>
      </c>
      <c r="BI67" s="49">
        <f>BI1</f>
        <v>44017</v>
      </c>
      <c r="BJ67" s="49">
        <f>BJ1</f>
        <v>44018</v>
      </c>
      <c r="BK67" s="49">
        <f>BK1</f>
        <v>44019</v>
      </c>
      <c r="BL67" s="49">
        <f>BL1</f>
        <v>44020</v>
      </c>
      <c r="BM67" s="49">
        <f>BM1</f>
        <v>44021</v>
      </c>
      <c r="BN67" s="49">
        <f>BN1</f>
        <v>44022</v>
      </c>
      <c r="BO67" s="49">
        <f>BO1</f>
        <v>44023</v>
      </c>
      <c r="BP67" s="49">
        <f>BP1</f>
        <v>44024</v>
      </c>
      <c r="BQ67" s="49">
        <f>BQ1</f>
        <v>44025</v>
      </c>
      <c r="BR67" s="49">
        <f>BR1</f>
        <v>44026</v>
      </c>
      <c r="BS67" s="49">
        <f>BS1</f>
        <v>44027</v>
      </c>
      <c r="BT67" s="49">
        <f>BT1</f>
        <v>44028</v>
      </c>
      <c r="BU67" s="49">
        <f>BU1</f>
        <v>44029</v>
      </c>
      <c r="BV67" s="49">
        <f>BV1</f>
        <v>44030</v>
      </c>
      <c r="BW67" s="49">
        <f>BW1</f>
        <v>44031</v>
      </c>
      <c r="BX67" s="49"/>
      <c r="BY67" s="49"/>
      <c r="BZ67" s="49"/>
      <c r="CA67" s="49"/>
      <c r="CB67" s="49"/>
      <c r="CC67" s="49"/>
      <c r="CD67" s="49"/>
      <c r="CE67" s="49"/>
      <c r="CF67" s="49"/>
      <c r="CG67" s="49"/>
      <c r="CH67" s="49"/>
      <c r="CI67" s="49"/>
      <c r="CJ67" s="49"/>
      <c r="CK67" s="49"/>
      <c r="CL67" s="49"/>
      <c r="CM67" s="49"/>
      <c r="CN67" s="49"/>
      <c r="CO67" s="49"/>
      <c r="CP67" s="49"/>
      <c r="CQ67" s="49"/>
      <c r="CR67" s="49"/>
      <c r="CS67" s="49"/>
      <c r="CT67" s="49"/>
      <c r="CU67" s="49"/>
      <c r="CV67" s="49"/>
      <c r="CW67" s="49"/>
      <c r="CX67" s="49"/>
      <c r="CY67" s="49"/>
      <c r="CZ67" s="49"/>
      <c r="DA67" s="49"/>
      <c r="DB67" s="49"/>
      <c r="DC67" s="49"/>
      <c r="DD67" s="49"/>
      <c r="DE67" s="49"/>
      <c r="DF67" s="49"/>
      <c r="DG67" s="49"/>
      <c r="DH67" s="49"/>
      <c r="DI67" s="49"/>
      <c r="DJ67" s="49"/>
      <c r="DK67" s="49"/>
      <c r="DL67" s="49"/>
      <c r="DM67" s="49"/>
      <c r="DN67" s="49"/>
      <c r="DO67" s="49"/>
      <c r="DP67" s="49"/>
      <c r="DQ67" s="49"/>
      <c r="DR67" s="49"/>
      <c r="DS67" s="49">
        <f>DS1</f>
        <v>44067</v>
      </c>
      <c r="DT67" s="49">
        <f>DT1</f>
        <v>44068</v>
      </c>
      <c r="DU67" s="49">
        <f>DU1</f>
        <v>44069</v>
      </c>
      <c r="DV67" s="49">
        <f>DV1</f>
        <v>44070</v>
      </c>
      <c r="DW67" s="49">
        <f>DW1</f>
        <v>44071</v>
      </c>
      <c r="DX67" s="49">
        <f>DX1</f>
        <v>44072</v>
      </c>
      <c r="DY67" s="49">
        <f>DY1</f>
        <v>44073</v>
      </c>
      <c r="DZ67" s="49"/>
      <c r="EA67" s="49"/>
      <c r="EB67" s="49">
        <f>EB1</f>
        <v>44074</v>
      </c>
      <c r="EC67" s="49">
        <f>EC1</f>
        <v>44075</v>
      </c>
      <c r="ED67" s="49">
        <f>ED1</f>
        <v>44076</v>
      </c>
      <c r="EE67" s="49">
        <f>EE1</f>
        <v>44077</v>
      </c>
      <c r="EF67" s="49">
        <f>EF1</f>
        <v>44078</v>
      </c>
      <c r="EG67" s="49">
        <f>EG1</f>
        <v>44079</v>
      </c>
      <c r="EH67" s="49">
        <f>EH1</f>
        <v>44080</v>
      </c>
      <c r="EI67" s="49"/>
      <c r="EJ67" s="49"/>
      <c r="EK67" s="49">
        <f>EK1</f>
        <v>44081</v>
      </c>
      <c r="EL67" s="49">
        <f>EL1</f>
        <v>44082</v>
      </c>
      <c r="EM67" s="49">
        <f>EM1</f>
        <v>44083</v>
      </c>
      <c r="EN67" s="49">
        <f>EN1</f>
        <v>44084</v>
      </c>
      <c r="EO67" s="49">
        <f>EO1</f>
        <v>44085</v>
      </c>
      <c r="EP67" s="49">
        <f>EP1</f>
        <v>44086</v>
      </c>
      <c r="EQ67" s="49">
        <f>EQ1</f>
        <v>44087</v>
      </c>
      <c r="ER67" s="49"/>
      <c r="ES67" s="49"/>
      <c r="ET67" s="49">
        <f>ET1</f>
        <v>44088</v>
      </c>
      <c r="EU67" s="49">
        <f>EU1</f>
        <v>44089</v>
      </c>
      <c r="EV67" s="49">
        <f>EV1</f>
        <v>44090</v>
      </c>
      <c r="EW67" s="49">
        <f>EW1</f>
        <v>44091</v>
      </c>
      <c r="EX67" s="49">
        <f>EX1</f>
        <v>44092</v>
      </c>
      <c r="EY67" s="49">
        <f>EY1</f>
        <v>44093</v>
      </c>
      <c r="EZ67" s="49">
        <f>EZ1</f>
        <v>44094</v>
      </c>
      <c r="FA67" s="49"/>
      <c r="FB67" s="49"/>
      <c r="FC67" s="49">
        <f>FC1</f>
        <v>44095</v>
      </c>
      <c r="FD67" s="49">
        <f>FD1</f>
        <v>44096</v>
      </c>
      <c r="FE67" s="49">
        <f>FE1</f>
        <v>44097</v>
      </c>
      <c r="FF67" s="49">
        <f>FF1</f>
        <v>44098</v>
      </c>
      <c r="FG67" s="49">
        <f>FG1</f>
        <v>44099</v>
      </c>
      <c r="FH67" s="49">
        <f>FH1</f>
        <v>44100</v>
      </c>
      <c r="FI67" s="49">
        <f>FI1</f>
        <v>44101</v>
      </c>
      <c r="FJ67" s="49"/>
      <c r="FK67" s="49"/>
      <c r="FL67" s="49">
        <f>FL1</f>
        <v>44102</v>
      </c>
      <c r="FM67" s="49">
        <f>FM1</f>
        <v>44103</v>
      </c>
      <c r="FN67" s="49">
        <f>FN1</f>
        <v>44104</v>
      </c>
      <c r="FO67" s="49">
        <f>FO1</f>
        <v>44105</v>
      </c>
      <c r="FP67" s="49">
        <f>FP1</f>
        <v>44106</v>
      </c>
      <c r="FQ67" s="49">
        <f>FQ1</f>
        <v>44107</v>
      </c>
      <c r="FR67" s="49">
        <f>FR1</f>
        <v>44108</v>
      </c>
      <c r="FS67" s="49">
        <f>FS1</f>
        <v>44109</v>
      </c>
      <c r="FT67" s="49">
        <f>FT1</f>
        <v>44110</v>
      </c>
      <c r="FU67" s="49">
        <f>FU1</f>
        <v>44111</v>
      </c>
      <c r="FV67" s="49">
        <f>FV1</f>
        <v>44112</v>
      </c>
      <c r="FW67" s="49">
        <f>FW1</f>
        <v>44113</v>
      </c>
      <c r="FX67" s="49">
        <f>FX1</f>
        <v>44114</v>
      </c>
      <c r="FY67" s="49">
        <f>FY1</f>
        <v>44115</v>
      </c>
      <c r="FZ67" s="49">
        <f>FZ1</f>
        <v>44116</v>
      </c>
      <c r="GA67" s="49">
        <f>GA1</f>
        <v>44117</v>
      </c>
      <c r="GB67" s="49">
        <f>GB1</f>
        <v>44118</v>
      </c>
      <c r="GC67" s="49">
        <f>GC1</f>
        <v>44119</v>
      </c>
      <c r="GD67" s="49">
        <f>GD1</f>
        <v>44120</v>
      </c>
      <c r="GE67" s="49">
        <f>GE1</f>
        <v>44121</v>
      </c>
      <c r="GF67" s="49">
        <f>GF1</f>
        <v>44122</v>
      </c>
      <c r="GG67" s="49">
        <f>GG1</f>
        <v>44123</v>
      </c>
      <c r="GH67" s="49">
        <f>GH1</f>
        <v>44124</v>
      </c>
      <c r="GI67" s="49">
        <f>GI1</f>
        <v>44125</v>
      </c>
      <c r="GJ67" s="49">
        <f>GJ1</f>
        <v>44126</v>
      </c>
      <c r="GK67" s="49">
        <f>GK1</f>
        <v>44127</v>
      </c>
      <c r="GL67" s="49">
        <f>GL1</f>
        <v>44128</v>
      </c>
      <c r="GM67" s="49">
        <f>GM1</f>
        <v>44129</v>
      </c>
      <c r="GN67" s="49">
        <f>GN1</f>
        <v>44130</v>
      </c>
      <c r="GO67" s="49">
        <f>GO1</f>
        <v>44131</v>
      </c>
      <c r="GP67" s="49">
        <f>GP1</f>
        <v>44132</v>
      </c>
      <c r="GQ67" s="49">
        <f>GQ1</f>
        <v>44133</v>
      </c>
      <c r="GR67" s="49">
        <f>GR1</f>
        <v>44134</v>
      </c>
      <c r="GS67" s="49">
        <f>GS1</f>
        <v>44135</v>
      </c>
      <c r="GT67" s="49">
        <f>GT1</f>
        <v>44136</v>
      </c>
      <c r="GU67" s="49">
        <f>GU1</f>
        <v>44137</v>
      </c>
      <c r="GV67" s="49">
        <f>GV1</f>
        <v>44138</v>
      </c>
      <c r="GW67" s="49">
        <f>GW1</f>
        <v>44139</v>
      </c>
      <c r="GX67" s="49">
        <f>GX1</f>
        <v>44140</v>
      </c>
      <c r="GY67" s="49">
        <f>GY1</f>
        <v>44141</v>
      </c>
      <c r="GZ67" s="49">
        <f>GZ1</f>
        <v>44142</v>
      </c>
      <c r="HA67" s="49">
        <f>HA1</f>
        <v>44143</v>
      </c>
      <c r="HB67" s="49">
        <f>HB1</f>
        <v>44144</v>
      </c>
      <c r="HC67" s="49">
        <f>HC1</f>
        <v>44145</v>
      </c>
      <c r="HD67" s="49">
        <f>HD1</f>
        <v>44146</v>
      </c>
      <c r="HE67" s="49">
        <f>HE1</f>
        <v>44147</v>
      </c>
      <c r="HF67" s="49">
        <f>HF1</f>
        <v>44148</v>
      </c>
      <c r="HG67" s="49">
        <f>HG1</f>
        <v>44149</v>
      </c>
      <c r="HH67" s="49">
        <f>HH1</f>
        <v>44150</v>
      </c>
      <c r="HI67" s="49">
        <f>HI1</f>
        <v>44151</v>
      </c>
      <c r="HJ67" s="49">
        <f>HJ1</f>
        <v>44152</v>
      </c>
      <c r="HK67" s="49">
        <f>HK1</f>
        <v>44153</v>
      </c>
      <c r="HL67" s="49">
        <f>HL1</f>
        <v>44154</v>
      </c>
      <c r="HM67" s="49">
        <f>HM1</f>
        <v>44155</v>
      </c>
      <c r="HN67" s="49">
        <f>HN1</f>
        <v>44156</v>
      </c>
      <c r="HO67" s="49">
        <f>HO1</f>
        <v>44157</v>
      </c>
      <c r="HP67" s="49">
        <f>HP1</f>
        <v>44158</v>
      </c>
      <c r="HQ67" s="49">
        <f>HQ1</f>
        <v>44159</v>
      </c>
      <c r="HR67" s="49">
        <f>HR1</f>
        <v>44160</v>
      </c>
      <c r="HS67" s="49">
        <f>HS1</f>
        <v>44161</v>
      </c>
      <c r="HT67" s="49">
        <f>HT1</f>
        <v>44162</v>
      </c>
      <c r="HU67" s="49">
        <f>HU1</f>
        <v>44163</v>
      </c>
      <c r="HV67" s="49">
        <f>HV1</f>
        <v>44164</v>
      </c>
      <c r="HW67" s="49">
        <f>HW1</f>
        <v>44165</v>
      </c>
      <c r="HX67" s="49">
        <f>HX1</f>
        <v>44166</v>
      </c>
      <c r="HY67" s="49">
        <f>HY1</f>
        <v>44167</v>
      </c>
      <c r="HZ67" s="49">
        <f>HZ1</f>
        <v>44168</v>
      </c>
      <c r="IA67" s="49">
        <f>IA1</f>
        <v>44169</v>
      </c>
      <c r="IB67" s="49">
        <f>IB1</f>
        <v>44170</v>
      </c>
      <c r="IC67" s="49">
        <f>IC1</f>
        <v>44171</v>
      </c>
      <c r="ID67" s="49">
        <f>ID1</f>
        <v>44172</v>
      </c>
      <c r="IE67" s="49">
        <f>IE1</f>
        <v>44173</v>
      </c>
      <c r="IF67" s="49">
        <f>IF1</f>
        <v>44174</v>
      </c>
      <c r="IG67" s="49">
        <f>IG1</f>
        <v>44175</v>
      </c>
      <c r="IH67" s="49">
        <f>IH1</f>
        <v>44176</v>
      </c>
      <c r="II67" s="49">
        <f>II1</f>
        <v>44177</v>
      </c>
      <c r="IJ67" s="49">
        <f>IJ1</f>
        <v>44178</v>
      </c>
      <c r="IK67" s="49">
        <f>IK1</f>
        <v>44179</v>
      </c>
      <c r="IL67" s="49">
        <f>IL1</f>
        <v>44180</v>
      </c>
      <c r="IM67" s="49">
        <f>IM1</f>
        <v>44181</v>
      </c>
      <c r="IN67" s="49">
        <f>IN1</f>
        <v>44182</v>
      </c>
      <c r="IO67" s="49">
        <f>IO1</f>
        <v>44183</v>
      </c>
      <c r="IP67" s="49">
        <f>IP1</f>
        <v>44184</v>
      </c>
      <c r="IQ67" s="49">
        <f>IQ1</f>
        <v>44185</v>
      </c>
      <c r="IR67" s="49">
        <f>IR1</f>
        <v>44186</v>
      </c>
      <c r="IS67" s="49">
        <f>IS1</f>
        <v>44187</v>
      </c>
      <c r="IT67" s="49">
        <f>IT1</f>
        <v>44188</v>
      </c>
      <c r="IU67" s="49">
        <f>IU1</f>
        <v>44189</v>
      </c>
      <c r="IV67" s="49">
        <f>IV1</f>
        <v>44190</v>
      </c>
      <c r="IW67" s="49">
        <f>IW1</f>
        <v>44191</v>
      </c>
      <c r="IX67" s="49">
        <f>IX1</f>
        <v>44192</v>
      </c>
      <c r="IY67" s="49">
        <f>IY1</f>
        <v>44193</v>
      </c>
      <c r="IZ67" s="49">
        <f>IZ1</f>
        <v>44194</v>
      </c>
      <c r="JA67" s="49">
        <f>JA1</f>
        <v>44195</v>
      </c>
      <c r="JB67" s="49">
        <f>JB1</f>
        <v>44196</v>
      </c>
      <c r="JC67" s="49">
        <f>JC1</f>
        <v>44197</v>
      </c>
      <c r="JD67" s="49">
        <f>JD1</f>
        <v>44198</v>
      </c>
      <c r="JE67" s="49">
        <f>JE1</f>
        <v>44199</v>
      </c>
      <c r="JF67" s="49">
        <f>JF1</f>
        <v>44200</v>
      </c>
      <c r="JG67" s="49">
        <f>JG1</f>
        <v>44201</v>
      </c>
      <c r="JH67" s="49">
        <f>JH1</f>
        <v>44202</v>
      </c>
      <c r="JI67" s="49">
        <f>JI1</f>
        <v>44203</v>
      </c>
      <c r="JJ67" s="49">
        <f>JJ1</f>
        <v>44204</v>
      </c>
      <c r="JK67" s="49">
        <f>JK1</f>
        <v>44205</v>
      </c>
      <c r="JL67" s="49">
        <f>JL1</f>
        <v>44206</v>
      </c>
      <c r="JM67" s="49">
        <f>JM1</f>
        <v>44207</v>
      </c>
      <c r="JN67" s="49">
        <f>JN1</f>
        <v>44208</v>
      </c>
      <c r="JO67" s="49">
        <f>JO1</f>
        <v>44209</v>
      </c>
      <c r="JP67" s="49">
        <f>JP1</f>
        <v>44210</v>
      </c>
      <c r="JQ67" s="49">
        <f>JQ1</f>
        <v>44211</v>
      </c>
      <c r="JR67" s="49">
        <f>JR1</f>
        <v>44212</v>
      </c>
      <c r="JS67" s="49">
        <f>JS1</f>
        <v>44213</v>
      </c>
      <c r="JT67" s="49">
        <f>JT1</f>
        <v>44214</v>
      </c>
      <c r="JU67" s="49">
        <f>JU1</f>
        <v>44215</v>
      </c>
      <c r="JV67" s="49">
        <f>JV1</f>
        <v>44216</v>
      </c>
      <c r="JW67" s="49">
        <f>JW1</f>
        <v>44217</v>
      </c>
      <c r="JX67" s="49">
        <f>JX1</f>
        <v>44218</v>
      </c>
      <c r="JY67" s="49">
        <f>JY1</f>
        <v>44219</v>
      </c>
      <c r="JZ67" s="49">
        <f>JZ1</f>
        <v>44220</v>
      </c>
      <c r="KA67" s="49">
        <f>KA1</f>
        <v>44221</v>
      </c>
      <c r="KB67" s="49">
        <f>KB1</f>
        <v>44222</v>
      </c>
      <c r="KC67" s="49">
        <f>KC1</f>
        <v>44223</v>
      </c>
      <c r="KD67" s="49">
        <f>KD1</f>
        <v>44224</v>
      </c>
      <c r="KE67" s="49">
        <f>KE1</f>
        <v>44225</v>
      </c>
      <c r="KF67" s="49">
        <f>KF1</f>
        <v>44226</v>
      </c>
      <c r="KG67" s="49">
        <f>KG1</f>
        <v>44227</v>
      </c>
      <c r="KH67" s="49">
        <f>KH1</f>
        <v>44228</v>
      </c>
      <c r="KI67" s="49">
        <f>KI1</f>
        <v>44229</v>
      </c>
      <c r="KJ67" s="49">
        <f>KJ1</f>
        <v>44230</v>
      </c>
      <c r="KK67" s="49">
        <f>KK1</f>
        <v>44231</v>
      </c>
      <c r="KL67" s="49">
        <f>KL1</f>
        <v>44232</v>
      </c>
      <c r="KM67" s="49">
        <f>KM1</f>
        <v>44233</v>
      </c>
      <c r="KN67" s="49">
        <f>KN1</f>
        <v>44234</v>
      </c>
      <c r="KO67" s="49">
        <f>KO1</f>
        <v>44235</v>
      </c>
      <c r="KP67" s="49">
        <f>KP1</f>
        <v>44236</v>
      </c>
      <c r="KQ67" s="49">
        <f>KQ1</f>
        <v>44237</v>
      </c>
      <c r="KR67" s="49">
        <f>KR1</f>
        <v>44238</v>
      </c>
      <c r="KS67" s="49">
        <f>KS1</f>
        <v>44239</v>
      </c>
      <c r="KT67" s="49">
        <f>KT1</f>
        <v>44240</v>
      </c>
      <c r="KU67" s="49">
        <f>KU1</f>
        <v>44241</v>
      </c>
      <c r="KV67" s="49">
        <f>KV1</f>
        <v>44242</v>
      </c>
      <c r="KW67" s="49">
        <f>KW1</f>
        <v>44243</v>
      </c>
      <c r="KX67" s="49">
        <f>KX1</f>
        <v>44244</v>
      </c>
      <c r="KY67" s="49">
        <f>KY1</f>
        <v>44245</v>
      </c>
      <c r="KZ67" s="49">
        <f>KZ1</f>
        <v>44246</v>
      </c>
      <c r="LA67" s="49">
        <f>LA1</f>
        <v>44247</v>
      </c>
      <c r="LB67" s="49">
        <f>LB1</f>
        <v>44248</v>
      </c>
      <c r="LC67" s="49">
        <f>LC1</f>
        <v>44249</v>
      </c>
      <c r="LD67" s="49">
        <f>LD1</f>
        <v>44250</v>
      </c>
      <c r="LE67" s="49">
        <f>LE1</f>
        <v>44251</v>
      </c>
      <c r="LF67" s="49">
        <f>LF1</f>
        <v>44252</v>
      </c>
      <c r="LG67" s="49">
        <f>LG1</f>
        <v>44253</v>
      </c>
      <c r="LH67" s="49">
        <f>LH1</f>
        <v>44254</v>
      </c>
      <c r="LI67" s="49">
        <f>LI1</f>
        <v>44255</v>
      </c>
      <c r="LJ67" s="49">
        <f>LJ1</f>
        <v>44256</v>
      </c>
      <c r="LK67" s="49">
        <f>LK1</f>
        <v>44257</v>
      </c>
      <c r="LL67" s="49">
        <f>LL1</f>
        <v>44258</v>
      </c>
      <c r="LM67" s="49">
        <f>LM1</f>
        <v>44259</v>
      </c>
      <c r="LN67" s="49">
        <f>LN1</f>
        <v>44260</v>
      </c>
      <c r="LO67" s="49">
        <f>LO1</f>
        <v>44261</v>
      </c>
      <c r="LP67" s="49">
        <f>LP1</f>
        <v>44262</v>
      </c>
      <c r="LQ67" s="49">
        <f>LQ1</f>
        <v>44263</v>
      </c>
      <c r="LR67" s="49">
        <f>LR1</f>
        <v>44264</v>
      </c>
      <c r="LS67" s="49">
        <f>LS1</f>
        <v>44265</v>
      </c>
      <c r="LT67" s="49">
        <f>LT1</f>
        <v>44266</v>
      </c>
      <c r="LU67" s="49">
        <f>LU1</f>
        <v>44267</v>
      </c>
      <c r="LV67" s="49">
        <f>LV1</f>
        <v>44268</v>
      </c>
      <c r="LW67" s="49">
        <f>LW1</f>
        <v>44269</v>
      </c>
      <c r="LX67" s="49">
        <f>LX1</f>
        <v>44270</v>
      </c>
      <c r="LY67" s="49">
        <f>LY1</f>
        <v>44271</v>
      </c>
      <c r="LZ67" s="49">
        <f>LZ1</f>
        <v>44272</v>
      </c>
      <c r="MA67" s="49">
        <f>MA1</f>
        <v>44273</v>
      </c>
      <c r="MB67" s="49">
        <f>MB1</f>
        <v>44274</v>
      </c>
      <c r="MC67" s="49">
        <f>MC1</f>
        <v>44275</v>
      </c>
      <c r="MD67" s="49">
        <f>MD1</f>
        <v>44276</v>
      </c>
      <c r="ME67" s="49">
        <f>ME1</f>
        <v>44277</v>
      </c>
      <c r="MF67" s="49">
        <f>MF1</f>
        <v>44278</v>
      </c>
      <c r="MG67" s="49">
        <f>MG1</f>
        <v>44279</v>
      </c>
      <c r="MH67" s="49">
        <f>MH1</f>
        <v>44280</v>
      </c>
      <c r="MI67" s="49">
        <f>MI1</f>
        <v>44281</v>
      </c>
      <c r="MJ67" s="49">
        <f>MJ1</f>
        <v>44282</v>
      </c>
      <c r="MK67" s="49">
        <f>MK1</f>
        <v>44283</v>
      </c>
      <c r="ML67" s="49">
        <f>ML1</f>
        <v>44284</v>
      </c>
      <c r="MM67" s="49">
        <f>MM1</f>
        <v>44285</v>
      </c>
      <c r="MN67" s="49">
        <f>MN1</f>
        <v>44286</v>
      </c>
      <c r="MO67" s="49">
        <f>MO1</f>
        <v>44287</v>
      </c>
      <c r="MP67" s="49">
        <f>MP1</f>
        <v>44288</v>
      </c>
      <c r="MQ67" s="49">
        <f>MQ1</f>
        <v>44289</v>
      </c>
      <c r="MR67" s="49">
        <f>MR1</f>
        <v>44290</v>
      </c>
    </row>
    <row r="68" spans="1:356" ht="15" customHeight="1" x14ac:dyDescent="0.25">
      <c r="A68" s="142" t="s">
        <v>144</v>
      </c>
      <c r="B68" s="142"/>
      <c r="C68" s="142"/>
      <c r="D68" s="142"/>
      <c r="E68" s="143"/>
      <c r="F68" s="30"/>
      <c r="G68" s="30"/>
      <c r="H68" s="30"/>
      <c r="I68" s="30"/>
      <c r="J68" s="30"/>
      <c r="K68" s="30"/>
      <c r="L68" s="30"/>
      <c r="M68" s="30"/>
      <c r="N68" s="30"/>
      <c r="O68" s="29"/>
      <c r="P68" s="146" t="s">
        <v>49</v>
      </c>
      <c r="Q68" s="146" t="s">
        <v>48</v>
      </c>
      <c r="R68" s="148"/>
      <c r="S68" s="57">
        <f t="shared" ref="S68:BV68" si="350">S40</f>
        <v>43975</v>
      </c>
      <c r="T68" s="58">
        <f t="shared" si="350"/>
        <v>43976</v>
      </c>
      <c r="U68" s="58">
        <f t="shared" si="350"/>
        <v>43977</v>
      </c>
      <c r="V68" s="58">
        <f t="shared" si="350"/>
        <v>43978</v>
      </c>
      <c r="W68" s="58">
        <f t="shared" si="350"/>
        <v>43979</v>
      </c>
      <c r="X68" s="58">
        <f t="shared" si="350"/>
        <v>43980</v>
      </c>
      <c r="Y68" s="58">
        <f t="shared" si="350"/>
        <v>43981</v>
      </c>
      <c r="Z68" s="57">
        <f t="shared" si="350"/>
        <v>43982</v>
      </c>
      <c r="AA68" s="58">
        <f t="shared" si="350"/>
        <v>43983</v>
      </c>
      <c r="AB68" s="58">
        <f t="shared" si="350"/>
        <v>43984</v>
      </c>
      <c r="AC68" s="58">
        <f t="shared" si="350"/>
        <v>43985</v>
      </c>
      <c r="AD68" s="58">
        <f t="shared" si="350"/>
        <v>43986</v>
      </c>
      <c r="AE68" s="58">
        <f t="shared" si="350"/>
        <v>43987</v>
      </c>
      <c r="AF68" s="58">
        <f t="shared" si="350"/>
        <v>43988</v>
      </c>
      <c r="AG68" s="57">
        <f t="shared" si="350"/>
        <v>43989</v>
      </c>
      <c r="AH68" s="58">
        <f t="shared" si="350"/>
        <v>43990</v>
      </c>
      <c r="AI68" s="58">
        <f t="shared" si="350"/>
        <v>43991</v>
      </c>
      <c r="AJ68" s="58">
        <f t="shared" si="350"/>
        <v>43992</v>
      </c>
      <c r="AK68" s="58">
        <f t="shared" si="350"/>
        <v>43993</v>
      </c>
      <c r="AL68" s="58">
        <f t="shared" si="350"/>
        <v>43994</v>
      </c>
      <c r="AM68" s="58">
        <f t="shared" si="350"/>
        <v>43995</v>
      </c>
      <c r="AN68" s="57">
        <f t="shared" si="350"/>
        <v>43996</v>
      </c>
      <c r="AO68" s="58">
        <f t="shared" si="350"/>
        <v>43997</v>
      </c>
      <c r="AP68" s="58">
        <f t="shared" si="350"/>
        <v>43998</v>
      </c>
      <c r="AQ68" s="58">
        <f t="shared" si="350"/>
        <v>43999</v>
      </c>
      <c r="AR68" s="58">
        <f t="shared" si="350"/>
        <v>44000</v>
      </c>
      <c r="AS68" s="58">
        <f t="shared" si="350"/>
        <v>44001</v>
      </c>
      <c r="AT68" s="58">
        <f t="shared" si="350"/>
        <v>44002</v>
      </c>
      <c r="AU68" s="57">
        <f t="shared" si="350"/>
        <v>44003</v>
      </c>
      <c r="AV68" s="58">
        <f t="shared" si="350"/>
        <v>44004</v>
      </c>
      <c r="AW68" s="58">
        <f t="shared" si="350"/>
        <v>44005</v>
      </c>
      <c r="AX68" s="58">
        <f t="shared" si="350"/>
        <v>44006</v>
      </c>
      <c r="AY68" s="58">
        <f t="shared" si="350"/>
        <v>44007</v>
      </c>
      <c r="AZ68" s="58">
        <f t="shared" si="350"/>
        <v>44008</v>
      </c>
      <c r="BA68" s="58">
        <f t="shared" si="350"/>
        <v>44009</v>
      </c>
      <c r="BB68" s="57">
        <f t="shared" si="350"/>
        <v>44010</v>
      </c>
      <c r="BC68" s="58">
        <f t="shared" si="350"/>
        <v>44011</v>
      </c>
      <c r="BD68" s="58">
        <f t="shared" si="350"/>
        <v>44012</v>
      </c>
      <c r="BE68" s="58">
        <f t="shared" si="350"/>
        <v>44013</v>
      </c>
      <c r="BF68" s="58">
        <f t="shared" si="350"/>
        <v>44014</v>
      </c>
      <c r="BG68" s="58">
        <f t="shared" si="350"/>
        <v>44015</v>
      </c>
      <c r="BH68" s="58">
        <f t="shared" si="350"/>
        <v>44016</v>
      </c>
      <c r="BI68" s="57">
        <f t="shared" si="350"/>
        <v>44017</v>
      </c>
      <c r="BJ68" s="58">
        <f t="shared" si="350"/>
        <v>44018</v>
      </c>
      <c r="BK68" s="58">
        <f t="shared" si="350"/>
        <v>44019</v>
      </c>
      <c r="BL68" s="58">
        <f t="shared" si="350"/>
        <v>44020</v>
      </c>
      <c r="BM68" s="58">
        <f t="shared" si="350"/>
        <v>44021</v>
      </c>
      <c r="BN68" s="58">
        <f t="shared" si="350"/>
        <v>44022</v>
      </c>
      <c r="BO68" s="58">
        <f t="shared" si="350"/>
        <v>44023</v>
      </c>
      <c r="BP68" s="57">
        <v>12</v>
      </c>
      <c r="BQ68" s="58">
        <f t="shared" si="350"/>
        <v>44025</v>
      </c>
      <c r="BR68" s="58">
        <f t="shared" si="350"/>
        <v>44026</v>
      </c>
      <c r="BS68" s="58">
        <f t="shared" si="350"/>
        <v>44027</v>
      </c>
      <c r="BT68" s="58">
        <f t="shared" si="350"/>
        <v>44028</v>
      </c>
      <c r="BU68" s="58">
        <f t="shared" si="350"/>
        <v>44029</v>
      </c>
      <c r="BV68" s="58">
        <f t="shared" si="350"/>
        <v>44030</v>
      </c>
      <c r="BW68" s="58">
        <v>19</v>
      </c>
      <c r="BX68" s="58"/>
      <c r="BY68" s="57"/>
      <c r="BZ68" s="58"/>
      <c r="CA68" s="58"/>
      <c r="CB68" s="58"/>
      <c r="CC68" s="58"/>
      <c r="CD68" s="58"/>
      <c r="CE68" s="58"/>
      <c r="CF68" s="58"/>
      <c r="CG68" s="58"/>
      <c r="CH68" s="57"/>
      <c r="CI68" s="58"/>
      <c r="CJ68" s="58"/>
      <c r="CK68" s="58"/>
      <c r="CL68" s="58"/>
      <c r="CM68" s="58"/>
      <c r="CN68" s="58"/>
      <c r="CO68" s="58"/>
      <c r="CP68" s="58"/>
      <c r="CQ68" s="57"/>
      <c r="CR68" s="58"/>
      <c r="CS68" s="58"/>
      <c r="CT68" s="58"/>
      <c r="CU68" s="58"/>
      <c r="CV68" s="58"/>
      <c r="CW68" s="58"/>
      <c r="CX68" s="58"/>
      <c r="CY68" s="58"/>
      <c r="CZ68" s="57"/>
      <c r="DA68" s="58"/>
      <c r="DB68" s="58"/>
      <c r="DC68" s="58"/>
      <c r="DD68" s="58"/>
      <c r="DE68" s="58"/>
      <c r="DF68" s="58"/>
      <c r="DG68" s="58"/>
      <c r="DH68" s="58"/>
      <c r="DI68" s="57"/>
      <c r="DJ68" s="58"/>
      <c r="DK68" s="58"/>
      <c r="DL68" s="58"/>
      <c r="DM68" s="58"/>
      <c r="DN68" s="58"/>
      <c r="DO68" s="58"/>
      <c r="DP68" s="58"/>
      <c r="DQ68" s="58"/>
      <c r="DR68" s="57"/>
      <c r="DS68" s="58">
        <f t="shared" ref="DS68:FL68" si="351">DS40</f>
        <v>44067</v>
      </c>
      <c r="DT68" s="58">
        <f t="shared" si="351"/>
        <v>44068</v>
      </c>
      <c r="DU68" s="58">
        <f t="shared" si="351"/>
        <v>44069</v>
      </c>
      <c r="DV68" s="58">
        <f t="shared" si="351"/>
        <v>44070</v>
      </c>
      <c r="DW68" s="58">
        <f t="shared" si="351"/>
        <v>44071</v>
      </c>
      <c r="DX68" s="58">
        <f t="shared" si="351"/>
        <v>44072</v>
      </c>
      <c r="DY68" s="58">
        <f t="shared" si="351"/>
        <v>44073</v>
      </c>
      <c r="DZ68" s="58"/>
      <c r="EA68" s="57"/>
      <c r="EB68" s="58">
        <f t="shared" si="351"/>
        <v>44074</v>
      </c>
      <c r="EC68" s="58">
        <f t="shared" si="351"/>
        <v>44075</v>
      </c>
      <c r="ED68" s="58">
        <f t="shared" si="351"/>
        <v>44076</v>
      </c>
      <c r="EE68" s="58">
        <f t="shared" si="351"/>
        <v>44077</v>
      </c>
      <c r="EF68" s="58">
        <f t="shared" si="351"/>
        <v>44078</v>
      </c>
      <c r="EG68" s="58">
        <f t="shared" si="351"/>
        <v>44079</v>
      </c>
      <c r="EH68" s="58">
        <f t="shared" si="351"/>
        <v>44080</v>
      </c>
      <c r="EI68" s="58"/>
      <c r="EJ68" s="57"/>
      <c r="EK68" s="58">
        <f t="shared" si="351"/>
        <v>44081</v>
      </c>
      <c r="EL68" s="58">
        <f t="shared" si="351"/>
        <v>44082</v>
      </c>
      <c r="EM68" s="58">
        <f t="shared" si="351"/>
        <v>44083</v>
      </c>
      <c r="EN68" s="58">
        <f t="shared" si="351"/>
        <v>44084</v>
      </c>
      <c r="EO68" s="58">
        <f t="shared" si="351"/>
        <v>44085</v>
      </c>
      <c r="EP68" s="58">
        <f t="shared" si="351"/>
        <v>44086</v>
      </c>
      <c r="EQ68" s="58">
        <f t="shared" si="351"/>
        <v>44087</v>
      </c>
      <c r="ER68" s="58"/>
      <c r="ES68" s="57"/>
      <c r="ET68" s="58">
        <f t="shared" si="351"/>
        <v>44088</v>
      </c>
      <c r="EU68" s="58">
        <f t="shared" si="351"/>
        <v>44089</v>
      </c>
      <c r="EV68" s="58">
        <f t="shared" si="351"/>
        <v>44090</v>
      </c>
      <c r="EW68" s="58">
        <f t="shared" si="351"/>
        <v>44091</v>
      </c>
      <c r="EX68" s="58">
        <f t="shared" si="351"/>
        <v>44092</v>
      </c>
      <c r="EY68" s="58">
        <f t="shared" si="351"/>
        <v>44093</v>
      </c>
      <c r="EZ68" s="58">
        <f t="shared" si="351"/>
        <v>44094</v>
      </c>
      <c r="FA68" s="58"/>
      <c r="FB68" s="57"/>
      <c r="FC68" s="58">
        <f t="shared" si="351"/>
        <v>44095</v>
      </c>
      <c r="FD68" s="58">
        <f t="shared" si="351"/>
        <v>44096</v>
      </c>
      <c r="FE68" s="58">
        <f t="shared" si="351"/>
        <v>44097</v>
      </c>
      <c r="FF68" s="58">
        <f t="shared" si="351"/>
        <v>44098</v>
      </c>
      <c r="FG68" s="58">
        <f t="shared" si="351"/>
        <v>44099</v>
      </c>
      <c r="FH68" s="58">
        <f t="shared" si="351"/>
        <v>44100</v>
      </c>
      <c r="FI68" s="58">
        <f t="shared" ref="FI68" si="352">FI40</f>
        <v>44101</v>
      </c>
      <c r="FJ68" s="58"/>
      <c r="FK68" s="57"/>
      <c r="FL68" s="58">
        <f t="shared" si="351"/>
        <v>44102</v>
      </c>
      <c r="FM68" s="58">
        <f t="shared" ref="FM68:HX68" si="353">FM40</f>
        <v>44103</v>
      </c>
      <c r="FN68" s="58">
        <f t="shared" si="353"/>
        <v>44104</v>
      </c>
      <c r="FO68" s="58">
        <f t="shared" si="353"/>
        <v>44105</v>
      </c>
      <c r="FP68" s="58">
        <f t="shared" si="353"/>
        <v>44106</v>
      </c>
      <c r="FQ68" s="58">
        <f t="shared" si="353"/>
        <v>44107</v>
      </c>
      <c r="FR68" s="57">
        <f t="shared" si="353"/>
        <v>44108</v>
      </c>
      <c r="FS68" s="58">
        <f t="shared" si="353"/>
        <v>44109</v>
      </c>
      <c r="FT68" s="58">
        <f t="shared" si="353"/>
        <v>44110</v>
      </c>
      <c r="FU68" s="58">
        <f t="shared" si="353"/>
        <v>44111</v>
      </c>
      <c r="FV68" s="58">
        <f t="shared" si="353"/>
        <v>44112</v>
      </c>
      <c r="FW68" s="58">
        <f t="shared" si="353"/>
        <v>44113</v>
      </c>
      <c r="FX68" s="58">
        <f t="shared" si="353"/>
        <v>44114</v>
      </c>
      <c r="FY68" s="57">
        <f t="shared" si="353"/>
        <v>44115</v>
      </c>
      <c r="FZ68" s="58">
        <f t="shared" si="353"/>
        <v>44116</v>
      </c>
      <c r="GA68" s="58">
        <f t="shared" si="353"/>
        <v>44117</v>
      </c>
      <c r="GB68" s="58">
        <f t="shared" si="353"/>
        <v>44118</v>
      </c>
      <c r="GC68" s="58">
        <f t="shared" si="353"/>
        <v>44119</v>
      </c>
      <c r="GD68" s="58">
        <f t="shared" si="353"/>
        <v>44120</v>
      </c>
      <c r="GE68" s="58">
        <f t="shared" si="353"/>
        <v>44121</v>
      </c>
      <c r="GF68" s="57">
        <f t="shared" si="353"/>
        <v>44122</v>
      </c>
      <c r="GG68" s="58">
        <f t="shared" si="353"/>
        <v>44123</v>
      </c>
      <c r="GH68" s="58">
        <f t="shared" si="353"/>
        <v>44124</v>
      </c>
      <c r="GI68" s="58">
        <f t="shared" si="353"/>
        <v>44125</v>
      </c>
      <c r="GJ68" s="58">
        <f t="shared" si="353"/>
        <v>44126</v>
      </c>
      <c r="GK68" s="58">
        <f t="shared" si="353"/>
        <v>44127</v>
      </c>
      <c r="GL68" s="58">
        <f t="shared" si="353"/>
        <v>44128</v>
      </c>
      <c r="GM68" s="57">
        <f t="shared" si="353"/>
        <v>44129</v>
      </c>
      <c r="GN68" s="58">
        <f t="shared" si="353"/>
        <v>44130</v>
      </c>
      <c r="GO68" s="58">
        <f t="shared" si="353"/>
        <v>44131</v>
      </c>
      <c r="GP68" s="58">
        <f t="shared" si="353"/>
        <v>44132</v>
      </c>
      <c r="GQ68" s="58">
        <f t="shared" si="353"/>
        <v>44133</v>
      </c>
      <c r="GR68" s="58">
        <f t="shared" si="353"/>
        <v>44134</v>
      </c>
      <c r="GS68" s="58">
        <f t="shared" si="353"/>
        <v>44135</v>
      </c>
      <c r="GT68" s="57">
        <f t="shared" si="353"/>
        <v>44136</v>
      </c>
      <c r="GU68" s="58">
        <f t="shared" si="353"/>
        <v>44137</v>
      </c>
      <c r="GV68" s="58">
        <f t="shared" si="353"/>
        <v>44138</v>
      </c>
      <c r="GW68" s="58">
        <f t="shared" si="353"/>
        <v>44139</v>
      </c>
      <c r="GX68" s="58">
        <f t="shared" si="353"/>
        <v>44140</v>
      </c>
      <c r="GY68" s="58">
        <f t="shared" si="353"/>
        <v>44141</v>
      </c>
      <c r="GZ68" s="58">
        <f t="shared" si="353"/>
        <v>44142</v>
      </c>
      <c r="HA68" s="57">
        <f t="shared" si="353"/>
        <v>44143</v>
      </c>
      <c r="HB68" s="58">
        <f t="shared" si="353"/>
        <v>44144</v>
      </c>
      <c r="HC68" s="58">
        <f t="shared" si="353"/>
        <v>44145</v>
      </c>
      <c r="HD68" s="58">
        <f t="shared" si="353"/>
        <v>44146</v>
      </c>
      <c r="HE68" s="58">
        <f t="shared" si="353"/>
        <v>44147</v>
      </c>
      <c r="HF68" s="58">
        <f t="shared" si="353"/>
        <v>44148</v>
      </c>
      <c r="HG68" s="58">
        <f t="shared" si="353"/>
        <v>44149</v>
      </c>
      <c r="HH68" s="57">
        <f t="shared" si="353"/>
        <v>44150</v>
      </c>
      <c r="HI68" s="58">
        <f t="shared" si="353"/>
        <v>44151</v>
      </c>
      <c r="HJ68" s="58">
        <f t="shared" si="353"/>
        <v>44152</v>
      </c>
      <c r="HK68" s="58">
        <f t="shared" si="353"/>
        <v>44153</v>
      </c>
      <c r="HL68" s="58">
        <f t="shared" si="353"/>
        <v>44154</v>
      </c>
      <c r="HM68" s="58">
        <f t="shared" si="353"/>
        <v>44155</v>
      </c>
      <c r="HN68" s="58">
        <f t="shared" si="353"/>
        <v>44156</v>
      </c>
      <c r="HO68" s="57">
        <f t="shared" si="353"/>
        <v>44157</v>
      </c>
      <c r="HP68" s="58">
        <f t="shared" si="353"/>
        <v>44158</v>
      </c>
      <c r="HQ68" s="58">
        <f t="shared" si="353"/>
        <v>44159</v>
      </c>
      <c r="HR68" s="58">
        <f t="shared" si="353"/>
        <v>44160</v>
      </c>
      <c r="HS68" s="58">
        <f t="shared" si="353"/>
        <v>44161</v>
      </c>
      <c r="HT68" s="58">
        <f t="shared" si="353"/>
        <v>44162</v>
      </c>
      <c r="HU68" s="58">
        <f t="shared" si="353"/>
        <v>44163</v>
      </c>
      <c r="HV68" s="57">
        <f t="shared" si="353"/>
        <v>44164</v>
      </c>
      <c r="HW68" s="58">
        <f t="shared" si="353"/>
        <v>44165</v>
      </c>
      <c r="HX68" s="58">
        <f t="shared" si="353"/>
        <v>44166</v>
      </c>
      <c r="HY68" s="58">
        <f t="shared" ref="HY68:KJ68" si="354">HY40</f>
        <v>44167</v>
      </c>
      <c r="HZ68" s="58">
        <f t="shared" si="354"/>
        <v>44168</v>
      </c>
      <c r="IA68" s="58">
        <f t="shared" si="354"/>
        <v>44169</v>
      </c>
      <c r="IB68" s="58">
        <f t="shared" si="354"/>
        <v>44170</v>
      </c>
      <c r="IC68" s="57">
        <f t="shared" si="354"/>
        <v>44171</v>
      </c>
      <c r="ID68" s="58">
        <f t="shared" si="354"/>
        <v>44172</v>
      </c>
      <c r="IE68" s="58">
        <f t="shared" si="354"/>
        <v>44173</v>
      </c>
      <c r="IF68" s="58">
        <f t="shared" si="354"/>
        <v>44174</v>
      </c>
      <c r="IG68" s="58">
        <f t="shared" si="354"/>
        <v>44175</v>
      </c>
      <c r="IH68" s="58">
        <f t="shared" si="354"/>
        <v>44176</v>
      </c>
      <c r="II68" s="58">
        <f t="shared" si="354"/>
        <v>44177</v>
      </c>
      <c r="IJ68" s="57">
        <f t="shared" si="354"/>
        <v>44178</v>
      </c>
      <c r="IK68" s="58">
        <f t="shared" si="354"/>
        <v>44179</v>
      </c>
      <c r="IL68" s="58">
        <f t="shared" si="354"/>
        <v>44180</v>
      </c>
      <c r="IM68" s="58">
        <f t="shared" si="354"/>
        <v>44181</v>
      </c>
      <c r="IN68" s="58">
        <f t="shared" si="354"/>
        <v>44182</v>
      </c>
      <c r="IO68" s="58">
        <f t="shared" si="354"/>
        <v>44183</v>
      </c>
      <c r="IP68" s="58">
        <f t="shared" si="354"/>
        <v>44184</v>
      </c>
      <c r="IQ68" s="57">
        <f t="shared" si="354"/>
        <v>44185</v>
      </c>
      <c r="IR68" s="58">
        <f t="shared" si="354"/>
        <v>44186</v>
      </c>
      <c r="IS68" s="58">
        <f t="shared" si="354"/>
        <v>44187</v>
      </c>
      <c r="IT68" s="58">
        <f t="shared" si="354"/>
        <v>44188</v>
      </c>
      <c r="IU68" s="58">
        <f t="shared" si="354"/>
        <v>44189</v>
      </c>
      <c r="IV68" s="58">
        <f t="shared" si="354"/>
        <v>44190</v>
      </c>
      <c r="IW68" s="58">
        <f t="shared" si="354"/>
        <v>44191</v>
      </c>
      <c r="IX68" s="57">
        <f t="shared" si="354"/>
        <v>44192</v>
      </c>
      <c r="IY68" s="58">
        <f t="shared" si="354"/>
        <v>44193</v>
      </c>
      <c r="IZ68" s="58">
        <f t="shared" si="354"/>
        <v>44194</v>
      </c>
      <c r="JA68" s="58">
        <f t="shared" si="354"/>
        <v>44195</v>
      </c>
      <c r="JB68" s="58">
        <f t="shared" si="354"/>
        <v>44196</v>
      </c>
      <c r="JC68" s="58">
        <f t="shared" si="354"/>
        <v>44197</v>
      </c>
      <c r="JD68" s="58">
        <f t="shared" si="354"/>
        <v>44198</v>
      </c>
      <c r="JE68" s="57">
        <f t="shared" si="354"/>
        <v>44199</v>
      </c>
      <c r="JF68" s="58">
        <f t="shared" si="354"/>
        <v>44200</v>
      </c>
      <c r="JG68" s="58">
        <f t="shared" si="354"/>
        <v>44201</v>
      </c>
      <c r="JH68" s="58">
        <f t="shared" si="354"/>
        <v>44202</v>
      </c>
      <c r="JI68" s="58">
        <f t="shared" si="354"/>
        <v>44203</v>
      </c>
      <c r="JJ68" s="58">
        <f t="shared" si="354"/>
        <v>44204</v>
      </c>
      <c r="JK68" s="58">
        <f t="shared" si="354"/>
        <v>44205</v>
      </c>
      <c r="JL68" s="57">
        <f t="shared" si="354"/>
        <v>44206</v>
      </c>
      <c r="JM68" s="58">
        <f t="shared" si="354"/>
        <v>44207</v>
      </c>
      <c r="JN68" s="58">
        <f t="shared" si="354"/>
        <v>44208</v>
      </c>
      <c r="JO68" s="58">
        <f t="shared" si="354"/>
        <v>44209</v>
      </c>
      <c r="JP68" s="58">
        <f t="shared" si="354"/>
        <v>44210</v>
      </c>
      <c r="JQ68" s="58">
        <f t="shared" si="354"/>
        <v>44211</v>
      </c>
      <c r="JR68" s="58">
        <f t="shared" si="354"/>
        <v>44212</v>
      </c>
      <c r="JS68" s="57">
        <f t="shared" si="354"/>
        <v>44213</v>
      </c>
      <c r="JT68" s="58">
        <f t="shared" si="354"/>
        <v>44214</v>
      </c>
      <c r="JU68" s="58">
        <f t="shared" si="354"/>
        <v>44215</v>
      </c>
      <c r="JV68" s="58">
        <f t="shared" si="354"/>
        <v>44216</v>
      </c>
      <c r="JW68" s="58">
        <f t="shared" si="354"/>
        <v>44217</v>
      </c>
      <c r="JX68" s="58">
        <f t="shared" si="354"/>
        <v>44218</v>
      </c>
      <c r="JY68" s="58">
        <f t="shared" si="354"/>
        <v>44219</v>
      </c>
      <c r="JZ68" s="57">
        <f t="shared" si="354"/>
        <v>44220</v>
      </c>
      <c r="KA68" s="58">
        <f t="shared" si="354"/>
        <v>44221</v>
      </c>
      <c r="KB68" s="58">
        <f t="shared" si="354"/>
        <v>44222</v>
      </c>
      <c r="KC68" s="58">
        <f t="shared" si="354"/>
        <v>44223</v>
      </c>
      <c r="KD68" s="58">
        <f t="shared" si="354"/>
        <v>44224</v>
      </c>
      <c r="KE68" s="58">
        <f t="shared" si="354"/>
        <v>44225</v>
      </c>
      <c r="KF68" s="58">
        <f t="shared" si="354"/>
        <v>44226</v>
      </c>
      <c r="KG68" s="57">
        <f t="shared" si="354"/>
        <v>44227</v>
      </c>
      <c r="KH68" s="58">
        <f t="shared" si="354"/>
        <v>44228</v>
      </c>
      <c r="KI68" s="58">
        <f t="shared" si="354"/>
        <v>44229</v>
      </c>
      <c r="KJ68" s="58">
        <f t="shared" si="354"/>
        <v>44230</v>
      </c>
      <c r="KK68" s="58">
        <f t="shared" ref="KK68:MR68" si="355">KK40</f>
        <v>44231</v>
      </c>
      <c r="KL68" s="58">
        <f t="shared" si="355"/>
        <v>44232</v>
      </c>
      <c r="KM68" s="58">
        <f t="shared" si="355"/>
        <v>44233</v>
      </c>
      <c r="KN68" s="57">
        <f t="shared" si="355"/>
        <v>44234</v>
      </c>
      <c r="KO68" s="58">
        <f t="shared" si="355"/>
        <v>44235</v>
      </c>
      <c r="KP68" s="58">
        <f t="shared" si="355"/>
        <v>44236</v>
      </c>
      <c r="KQ68" s="58">
        <f t="shared" si="355"/>
        <v>44237</v>
      </c>
      <c r="KR68" s="58">
        <f t="shared" si="355"/>
        <v>44238</v>
      </c>
      <c r="KS68" s="58">
        <f t="shared" si="355"/>
        <v>44239</v>
      </c>
      <c r="KT68" s="58">
        <f t="shared" si="355"/>
        <v>44240</v>
      </c>
      <c r="KU68" s="57">
        <f t="shared" si="355"/>
        <v>44241</v>
      </c>
      <c r="KV68" s="58">
        <f t="shared" si="355"/>
        <v>44242</v>
      </c>
      <c r="KW68" s="58">
        <f t="shared" si="355"/>
        <v>44243</v>
      </c>
      <c r="KX68" s="58">
        <f t="shared" si="355"/>
        <v>44244</v>
      </c>
      <c r="KY68" s="58">
        <f t="shared" si="355"/>
        <v>44245</v>
      </c>
      <c r="KZ68" s="58">
        <f t="shared" si="355"/>
        <v>44246</v>
      </c>
      <c r="LA68" s="58">
        <f t="shared" si="355"/>
        <v>44247</v>
      </c>
      <c r="LB68" s="57">
        <f t="shared" si="355"/>
        <v>44248</v>
      </c>
      <c r="LC68" s="58">
        <f t="shared" si="355"/>
        <v>44249</v>
      </c>
      <c r="LD68" s="58">
        <f t="shared" si="355"/>
        <v>44250</v>
      </c>
      <c r="LE68" s="58">
        <f t="shared" si="355"/>
        <v>44251</v>
      </c>
      <c r="LF68" s="58">
        <f t="shared" si="355"/>
        <v>44252</v>
      </c>
      <c r="LG68" s="58">
        <f t="shared" si="355"/>
        <v>44253</v>
      </c>
      <c r="LH68" s="58">
        <f t="shared" si="355"/>
        <v>44254</v>
      </c>
      <c r="LI68" s="57">
        <f t="shared" si="355"/>
        <v>44255</v>
      </c>
      <c r="LJ68" s="58">
        <f t="shared" si="355"/>
        <v>44256</v>
      </c>
      <c r="LK68" s="58">
        <f t="shared" si="355"/>
        <v>44257</v>
      </c>
      <c r="LL68" s="58">
        <f t="shared" si="355"/>
        <v>44258</v>
      </c>
      <c r="LM68" s="58">
        <f t="shared" si="355"/>
        <v>44259</v>
      </c>
      <c r="LN68" s="58">
        <f t="shared" si="355"/>
        <v>44260</v>
      </c>
      <c r="LO68" s="58">
        <f t="shared" si="355"/>
        <v>44261</v>
      </c>
      <c r="LP68" s="57">
        <f t="shared" si="355"/>
        <v>44262</v>
      </c>
      <c r="LQ68" s="58">
        <f t="shared" si="355"/>
        <v>44263</v>
      </c>
      <c r="LR68" s="58">
        <f t="shared" si="355"/>
        <v>44264</v>
      </c>
      <c r="LS68" s="58">
        <f t="shared" si="355"/>
        <v>44265</v>
      </c>
      <c r="LT68" s="58">
        <f t="shared" si="355"/>
        <v>44266</v>
      </c>
      <c r="LU68" s="58">
        <f t="shared" si="355"/>
        <v>44267</v>
      </c>
      <c r="LV68" s="58">
        <f t="shared" si="355"/>
        <v>44268</v>
      </c>
      <c r="LW68" s="57">
        <f t="shared" si="355"/>
        <v>44269</v>
      </c>
      <c r="LX68" s="58">
        <f t="shared" si="355"/>
        <v>44270</v>
      </c>
      <c r="LY68" s="58">
        <f t="shared" si="355"/>
        <v>44271</v>
      </c>
      <c r="LZ68" s="58">
        <f t="shared" si="355"/>
        <v>44272</v>
      </c>
      <c r="MA68" s="58">
        <f t="shared" si="355"/>
        <v>44273</v>
      </c>
      <c r="MB68" s="58">
        <f t="shared" si="355"/>
        <v>44274</v>
      </c>
      <c r="MC68" s="58">
        <f t="shared" si="355"/>
        <v>44275</v>
      </c>
      <c r="MD68" s="57">
        <f t="shared" si="355"/>
        <v>44276</v>
      </c>
      <c r="ME68" s="58">
        <f t="shared" si="355"/>
        <v>44277</v>
      </c>
      <c r="MF68" s="58">
        <f t="shared" si="355"/>
        <v>44278</v>
      </c>
      <c r="MG68" s="58">
        <f t="shared" si="355"/>
        <v>44279</v>
      </c>
      <c r="MH68" s="58">
        <f t="shared" si="355"/>
        <v>44280</v>
      </c>
      <c r="MI68" s="58">
        <f t="shared" si="355"/>
        <v>44281</v>
      </c>
      <c r="MJ68" s="58">
        <f t="shared" si="355"/>
        <v>44282</v>
      </c>
      <c r="MK68" s="57">
        <f t="shared" si="355"/>
        <v>44283</v>
      </c>
      <c r="ML68" s="58">
        <f t="shared" si="355"/>
        <v>44284</v>
      </c>
      <c r="MM68" s="58">
        <f t="shared" si="355"/>
        <v>44285</v>
      </c>
      <c r="MN68" s="58">
        <f t="shared" si="355"/>
        <v>44286</v>
      </c>
      <c r="MO68" s="58">
        <f t="shared" si="355"/>
        <v>44287</v>
      </c>
      <c r="MP68" s="58">
        <f t="shared" si="355"/>
        <v>44288</v>
      </c>
      <c r="MQ68" s="58">
        <f t="shared" si="355"/>
        <v>44289</v>
      </c>
      <c r="MR68" s="57">
        <f t="shared" si="355"/>
        <v>44290</v>
      </c>
    </row>
    <row r="69" spans="1:356" ht="15" customHeight="1" x14ac:dyDescent="0.25">
      <c r="A69" s="144"/>
      <c r="B69" s="144"/>
      <c r="C69" s="144"/>
      <c r="D69" s="144"/>
      <c r="E69" s="145"/>
      <c r="F69" s="28"/>
      <c r="G69" s="28"/>
      <c r="H69" s="28"/>
      <c r="I69" s="28"/>
      <c r="J69" s="28"/>
      <c r="K69" s="28"/>
      <c r="L69" s="28"/>
      <c r="M69" s="28"/>
      <c r="N69" s="28"/>
      <c r="O69" s="27"/>
      <c r="P69" s="147"/>
      <c r="Q69" s="155"/>
      <c r="R69" s="149"/>
      <c r="S69" s="24"/>
      <c r="T69" s="25"/>
      <c r="U69" s="25"/>
      <c r="V69" s="25"/>
      <c r="W69" s="25"/>
      <c r="X69" s="25"/>
      <c r="Y69" s="25"/>
      <c r="Z69" s="24"/>
      <c r="AA69" s="25"/>
      <c r="AB69" s="25"/>
      <c r="AC69" s="25"/>
      <c r="AD69" s="25"/>
      <c r="AE69" s="25"/>
      <c r="AF69" s="25"/>
      <c r="AG69" s="24"/>
      <c r="AH69" s="25"/>
      <c r="AI69" s="25" t="s">
        <v>38</v>
      </c>
      <c r="AJ69" s="25"/>
      <c r="AK69" s="25" t="s">
        <v>38</v>
      </c>
      <c r="AL69" s="25"/>
      <c r="AM69" s="25"/>
      <c r="AN69" s="24"/>
      <c r="AO69" s="25"/>
      <c r="AP69" s="25" t="s">
        <v>38</v>
      </c>
      <c r="AQ69" s="25"/>
      <c r="AR69" s="25" t="s">
        <v>38</v>
      </c>
      <c r="AS69" s="25"/>
      <c r="AT69" s="25"/>
      <c r="AU69" s="24"/>
      <c r="AV69" s="25"/>
      <c r="AW69" s="25" t="s">
        <v>38</v>
      </c>
      <c r="AX69" s="25" t="s">
        <v>262</v>
      </c>
      <c r="AY69" s="25" t="s">
        <v>38</v>
      </c>
      <c r="AZ69" s="25"/>
      <c r="BA69" s="25"/>
      <c r="BB69" s="24"/>
      <c r="BC69" s="25"/>
      <c r="BD69" s="25" t="s">
        <v>38</v>
      </c>
      <c r="BE69" s="25"/>
      <c r="BF69" s="25" t="s">
        <v>38</v>
      </c>
      <c r="BG69" s="25"/>
      <c r="BH69" s="25"/>
      <c r="BI69" s="24"/>
      <c r="BJ69" s="25"/>
      <c r="BK69" s="25" t="s">
        <v>38</v>
      </c>
      <c r="BL69" s="25"/>
      <c r="BM69" s="25" t="s">
        <v>38</v>
      </c>
      <c r="BN69" s="25"/>
      <c r="BO69" s="25"/>
      <c r="BP69" s="24" t="s">
        <v>148</v>
      </c>
      <c r="BQ69" s="25"/>
      <c r="BR69" s="25"/>
      <c r="BS69" s="25"/>
      <c r="BT69" s="25"/>
      <c r="BU69" s="25"/>
      <c r="BV69" s="25"/>
      <c r="BW69" s="25" t="s">
        <v>148</v>
      </c>
      <c r="BX69" s="25"/>
      <c r="BY69" s="24"/>
      <c r="BZ69" s="25"/>
      <c r="CA69" s="25"/>
      <c r="CB69" s="25"/>
      <c r="CC69" s="25"/>
      <c r="CD69" s="25"/>
      <c r="CE69" s="25"/>
      <c r="CF69" s="25"/>
      <c r="CG69" s="25"/>
      <c r="CH69" s="24"/>
      <c r="CI69" s="25"/>
      <c r="CJ69" s="25"/>
      <c r="CK69" s="25"/>
      <c r="CL69" s="25"/>
      <c r="CM69" s="25"/>
      <c r="CN69" s="25"/>
      <c r="CO69" s="25"/>
      <c r="CP69" s="25"/>
      <c r="CQ69" s="24"/>
      <c r="CR69" s="25"/>
      <c r="CS69" s="25"/>
      <c r="CT69" s="25"/>
      <c r="CU69" s="25"/>
      <c r="CV69" s="25"/>
      <c r="CW69" s="25"/>
      <c r="CX69" s="25"/>
      <c r="CY69" s="25"/>
      <c r="CZ69" s="24"/>
      <c r="DA69" s="25"/>
      <c r="DB69" s="25"/>
      <c r="DC69" s="25"/>
      <c r="DD69" s="25"/>
      <c r="DE69" s="25"/>
      <c r="DF69" s="25"/>
      <c r="DG69" s="25"/>
      <c r="DH69" s="25"/>
      <c r="DI69" s="24"/>
      <c r="DJ69" s="25"/>
      <c r="DK69" s="25"/>
      <c r="DL69" s="25"/>
      <c r="DM69" s="25"/>
      <c r="DN69" s="25"/>
      <c r="DO69" s="25"/>
      <c r="DP69" s="25"/>
      <c r="DQ69" s="25"/>
      <c r="DR69" s="24"/>
      <c r="DS69" s="25"/>
      <c r="DT69" s="25" t="s">
        <v>391</v>
      </c>
      <c r="DU69" s="25"/>
      <c r="DV69" s="25" t="s">
        <v>38</v>
      </c>
      <c r="DW69" s="25" t="s">
        <v>38</v>
      </c>
      <c r="DX69" s="25"/>
      <c r="DY69" s="25"/>
      <c r="DZ69" s="25"/>
      <c r="EA69" s="24"/>
      <c r="EB69" s="25"/>
      <c r="EC69" s="25" t="s">
        <v>38</v>
      </c>
      <c r="ED69" s="25"/>
      <c r="EE69" s="25" t="s">
        <v>38</v>
      </c>
      <c r="EF69" s="25" t="s">
        <v>38</v>
      </c>
      <c r="EG69" s="25"/>
      <c r="EH69" s="25"/>
      <c r="EI69" s="25"/>
      <c r="EJ69" s="24"/>
      <c r="EK69" s="25"/>
      <c r="EL69" s="25" t="s">
        <v>38</v>
      </c>
      <c r="EM69" s="25"/>
      <c r="EN69" s="25" t="s">
        <v>38</v>
      </c>
      <c r="EO69" s="25" t="s">
        <v>38</v>
      </c>
      <c r="EP69" s="25"/>
      <c r="EQ69" s="25"/>
      <c r="ER69" s="25"/>
      <c r="ES69" s="24"/>
      <c r="ET69" s="25"/>
      <c r="EU69" s="25" t="s">
        <v>38</v>
      </c>
      <c r="EV69" s="25"/>
      <c r="EW69" s="25" t="s">
        <v>38</v>
      </c>
      <c r="EX69" s="25" t="s">
        <v>38</v>
      </c>
      <c r="EY69" s="25"/>
      <c r="EZ69" s="25"/>
      <c r="FA69" s="25"/>
      <c r="FB69" s="24"/>
      <c r="FC69" s="25"/>
      <c r="FD69" s="25" t="s">
        <v>38</v>
      </c>
      <c r="FE69" s="25"/>
      <c r="FF69" s="25" t="s">
        <v>38</v>
      </c>
      <c r="FG69" s="25" t="s">
        <v>38</v>
      </c>
      <c r="FH69" s="25"/>
      <c r="FI69" s="25"/>
      <c r="FJ69" s="25"/>
      <c r="FK69" s="24"/>
      <c r="FL69" s="25"/>
      <c r="FM69" s="25" t="s">
        <v>38</v>
      </c>
      <c r="FN69" s="25"/>
      <c r="FO69" s="25" t="s">
        <v>38</v>
      </c>
      <c r="FP69" s="25" t="s">
        <v>38</v>
      </c>
      <c r="FQ69" s="25"/>
      <c r="FR69" s="24"/>
      <c r="FS69" s="25"/>
      <c r="FT69" s="25" t="s">
        <v>38</v>
      </c>
      <c r="FU69" s="25"/>
      <c r="FV69" s="25" t="s">
        <v>38</v>
      </c>
      <c r="FW69" s="25"/>
      <c r="FX69" s="25"/>
      <c r="FY69" s="24"/>
      <c r="FZ69" s="25"/>
      <c r="GA69" s="25" t="s">
        <v>38</v>
      </c>
      <c r="GB69" s="25"/>
      <c r="GC69" s="25" t="s">
        <v>38</v>
      </c>
      <c r="GD69" s="25"/>
      <c r="GE69" s="25"/>
      <c r="GF69" s="24"/>
      <c r="GG69" s="25"/>
      <c r="GH69" s="25" t="s">
        <v>38</v>
      </c>
      <c r="GI69" s="25"/>
      <c r="GJ69" s="25" t="s">
        <v>38</v>
      </c>
      <c r="GK69" s="25"/>
      <c r="GL69" s="25"/>
      <c r="GM69" s="24"/>
      <c r="GN69" s="25"/>
      <c r="GO69" s="25" t="s">
        <v>38</v>
      </c>
      <c r="GP69" s="25"/>
      <c r="GQ69" s="25" t="s">
        <v>38</v>
      </c>
      <c r="GR69" s="25"/>
      <c r="GS69" s="25"/>
      <c r="GT69" s="24"/>
      <c r="GU69" s="25"/>
      <c r="GV69" s="25" t="s">
        <v>38</v>
      </c>
      <c r="GW69" s="25"/>
      <c r="GX69" s="25" t="s">
        <v>38</v>
      </c>
      <c r="GY69" s="25"/>
      <c r="GZ69" s="25"/>
      <c r="HA69" s="24"/>
      <c r="HB69" s="25"/>
      <c r="HC69" s="25" t="s">
        <v>38</v>
      </c>
      <c r="HD69" s="25"/>
      <c r="HE69" s="25" t="s">
        <v>38</v>
      </c>
      <c r="HF69" s="25"/>
      <c r="HG69" s="25"/>
      <c r="HH69" s="24"/>
      <c r="HI69" s="25"/>
      <c r="HJ69" s="25" t="s">
        <v>38</v>
      </c>
      <c r="HK69" s="25"/>
      <c r="HL69" s="25" t="s">
        <v>38</v>
      </c>
      <c r="HM69" s="25"/>
      <c r="HN69" s="25"/>
      <c r="HO69" s="24"/>
      <c r="HP69" s="25"/>
      <c r="HQ69" s="25" t="s">
        <v>38</v>
      </c>
      <c r="HR69" s="25"/>
      <c r="HS69" s="25" t="s">
        <v>38</v>
      </c>
      <c r="HT69" s="25"/>
      <c r="HU69" s="25"/>
      <c r="HV69" s="24"/>
      <c r="HW69" s="25"/>
      <c r="HX69" s="25" t="s">
        <v>38</v>
      </c>
      <c r="HY69" s="25"/>
      <c r="HZ69" s="25" t="s">
        <v>38</v>
      </c>
      <c r="IA69" s="25"/>
      <c r="IB69" s="25"/>
      <c r="IC69" s="24"/>
      <c r="ID69" s="25"/>
      <c r="IE69" s="25" t="s">
        <v>38</v>
      </c>
      <c r="IF69" s="25"/>
      <c r="IG69" s="25" t="s">
        <v>38</v>
      </c>
      <c r="IH69" s="25"/>
      <c r="II69" s="25"/>
      <c r="IJ69" s="24"/>
      <c r="IK69" s="25"/>
      <c r="IL69" s="25" t="s">
        <v>38</v>
      </c>
      <c r="IM69" s="25"/>
      <c r="IN69" s="25" t="s">
        <v>38</v>
      </c>
      <c r="IO69" s="25"/>
      <c r="IP69" s="25"/>
      <c r="IQ69" s="24"/>
      <c r="IR69" s="25"/>
      <c r="IS69" s="25" t="s">
        <v>38</v>
      </c>
      <c r="IT69" s="25"/>
      <c r="IU69" s="25" t="s">
        <v>38</v>
      </c>
      <c r="IV69" s="25"/>
      <c r="IW69" s="25"/>
      <c r="IX69" s="24"/>
      <c r="IY69" s="25"/>
      <c r="IZ69" s="25" t="s">
        <v>38</v>
      </c>
      <c r="JA69" s="25"/>
      <c r="JB69" s="25" t="s">
        <v>38</v>
      </c>
      <c r="JC69" s="25"/>
      <c r="JD69" s="25"/>
      <c r="JE69" s="24"/>
      <c r="JF69" s="25"/>
      <c r="JG69" s="25" t="s">
        <v>38</v>
      </c>
      <c r="JH69" s="25"/>
      <c r="JI69" s="25" t="s">
        <v>38</v>
      </c>
      <c r="JJ69" s="25"/>
      <c r="JK69" s="25"/>
      <c r="JL69" s="24"/>
      <c r="JM69" s="25"/>
      <c r="JN69" s="25" t="s">
        <v>38</v>
      </c>
      <c r="JO69" s="25"/>
      <c r="JP69" s="25" t="s">
        <v>38</v>
      </c>
      <c r="JQ69" s="25"/>
      <c r="JR69" s="25"/>
      <c r="JS69" s="24"/>
      <c r="JT69" s="25"/>
      <c r="JU69" s="25" t="s">
        <v>38</v>
      </c>
      <c r="JV69" s="25"/>
      <c r="JW69" s="25" t="s">
        <v>38</v>
      </c>
      <c r="JX69" s="25"/>
      <c r="JY69" s="25"/>
      <c r="JZ69" s="24"/>
      <c r="KA69" s="25"/>
      <c r="KB69" s="25" t="s">
        <v>38</v>
      </c>
      <c r="KC69" s="25"/>
      <c r="KD69" s="25" t="s">
        <v>38</v>
      </c>
      <c r="KE69" s="25"/>
      <c r="KF69" s="25"/>
      <c r="KG69" s="24"/>
      <c r="KH69" s="25"/>
      <c r="KI69" s="25" t="s">
        <v>38</v>
      </c>
      <c r="KJ69" s="25"/>
      <c r="KK69" s="25" t="s">
        <v>38</v>
      </c>
      <c r="KL69" s="25"/>
      <c r="KM69" s="25"/>
      <c r="KN69" s="24"/>
      <c r="KO69" s="25"/>
      <c r="KP69" s="25" t="s">
        <v>38</v>
      </c>
      <c r="KQ69" s="25"/>
      <c r="KR69" s="25" t="s">
        <v>38</v>
      </c>
      <c r="KS69" s="25"/>
      <c r="KT69" s="25"/>
      <c r="KU69" s="24"/>
      <c r="KV69" s="25"/>
      <c r="KW69" s="25" t="s">
        <v>38</v>
      </c>
      <c r="KX69" s="25"/>
      <c r="KY69" s="25" t="s">
        <v>38</v>
      </c>
      <c r="KZ69" s="25"/>
      <c r="LA69" s="25"/>
      <c r="LB69" s="24"/>
      <c r="LC69" s="25"/>
      <c r="LD69" s="25" t="s">
        <v>38</v>
      </c>
      <c r="LE69" s="25"/>
      <c r="LF69" s="25" t="s">
        <v>38</v>
      </c>
      <c r="LG69" s="25"/>
      <c r="LH69" s="25"/>
      <c r="LI69" s="24"/>
      <c r="LJ69" s="25"/>
      <c r="LK69" s="25" t="s">
        <v>38</v>
      </c>
      <c r="LL69" s="25"/>
      <c r="LM69" s="25" t="s">
        <v>38</v>
      </c>
      <c r="LN69" s="25"/>
      <c r="LO69" s="25"/>
      <c r="LP69" s="26"/>
      <c r="LQ69" s="25"/>
      <c r="LR69" s="25" t="s">
        <v>38</v>
      </c>
      <c r="LS69" s="25"/>
      <c r="LT69" s="25" t="s">
        <v>38</v>
      </c>
      <c r="LU69" s="25"/>
      <c r="LV69" s="25"/>
      <c r="LW69" s="24"/>
      <c r="LX69" s="25"/>
      <c r="LY69" s="25"/>
      <c r="LZ69" s="25"/>
      <c r="MA69" s="25"/>
      <c r="MB69" s="25"/>
      <c r="MC69" s="25"/>
      <c r="MD69" s="24"/>
      <c r="ME69" s="25"/>
      <c r="MF69" s="25"/>
      <c r="MG69" s="25"/>
      <c r="MH69" s="25"/>
      <c r="MI69" s="25"/>
      <c r="MJ69" s="25"/>
      <c r="MK69" s="24"/>
      <c r="ML69" s="25"/>
      <c r="MM69" s="25"/>
      <c r="MN69" s="25"/>
      <c r="MO69" s="25"/>
      <c r="MP69" s="25"/>
      <c r="MQ69" s="25"/>
      <c r="MR69" s="24"/>
    </row>
    <row r="70" spans="1:356" x14ac:dyDescent="0.25">
      <c r="A70" s="23" t="s">
        <v>16</v>
      </c>
      <c r="B70" s="20"/>
      <c r="C70" s="20"/>
      <c r="D70" s="20"/>
      <c r="E70" s="20"/>
      <c r="F70" s="22" t="str">
        <f t="shared" ref="F70:F75" si="356">IF($E70 &gt;= F$43, 1, "")</f>
        <v/>
      </c>
      <c r="G70" s="20"/>
      <c r="H70" s="20"/>
      <c r="I70" s="20" t="str">
        <f t="shared" ref="I70:L71" si="357">IF($E70 &gt;= I$43, 1, "")</f>
        <v/>
      </c>
      <c r="J70" s="20" t="str">
        <f t="shared" si="357"/>
        <v/>
      </c>
      <c r="K70" s="20" t="str">
        <f t="shared" si="357"/>
        <v/>
      </c>
      <c r="L70" s="20" t="str">
        <f t="shared" si="357"/>
        <v/>
      </c>
      <c r="M70" s="20"/>
      <c r="N70" s="20"/>
      <c r="O70" s="21"/>
      <c r="P70" s="20" t="str">
        <f t="shared" ref="P70:P75" si="358">IF(SUM(S70:MR70) &gt; 0, SUM(S70:MR70), "")</f>
        <v/>
      </c>
      <c r="Q70" s="114"/>
      <c r="R70" s="82"/>
      <c r="S70" s="21"/>
      <c r="T70" s="20"/>
      <c r="U70" s="20"/>
      <c r="V70" s="20"/>
      <c r="W70" s="20"/>
      <c r="X70" s="20"/>
      <c r="Y70" s="20"/>
      <c r="Z70" s="21"/>
      <c r="AA70" s="20"/>
      <c r="AB70" s="20"/>
      <c r="AC70" s="20"/>
      <c r="AD70" s="20"/>
      <c r="AE70" s="20"/>
      <c r="AF70" s="20"/>
      <c r="AG70" s="21"/>
      <c r="AH70" s="20"/>
      <c r="AI70" s="20"/>
      <c r="AJ70" s="20"/>
      <c r="AK70" s="20"/>
      <c r="AL70" s="20"/>
      <c r="AM70" s="20"/>
      <c r="AN70" s="21"/>
      <c r="AO70" s="20"/>
      <c r="AP70" s="20"/>
      <c r="AQ70" s="20"/>
      <c r="AR70" s="20"/>
      <c r="AS70" s="20"/>
      <c r="AT70" s="20"/>
      <c r="AU70" s="21"/>
      <c r="AV70" s="20"/>
      <c r="AW70" s="20"/>
      <c r="AX70" s="20"/>
      <c r="AY70" s="20"/>
      <c r="AZ70" s="20"/>
      <c r="BA70" s="20"/>
      <c r="BB70" s="21"/>
      <c r="BC70" s="20"/>
      <c r="BD70" s="20"/>
      <c r="BE70" s="20"/>
      <c r="BF70" s="20"/>
      <c r="BG70" s="20"/>
      <c r="BH70" s="20"/>
      <c r="BI70" s="21"/>
      <c r="BJ70" s="20"/>
      <c r="BK70" s="20"/>
      <c r="BL70" s="20"/>
      <c r="BM70" s="20"/>
      <c r="BN70" s="20"/>
      <c r="BO70" s="20"/>
      <c r="BP70" s="21"/>
      <c r="BQ70" s="20"/>
      <c r="BR70" s="20"/>
      <c r="BS70" s="20"/>
      <c r="BT70" s="20"/>
      <c r="BU70" s="20"/>
      <c r="BV70" s="20"/>
      <c r="BW70" s="20"/>
      <c r="BX70" s="20"/>
      <c r="BY70" s="21"/>
      <c r="BZ70" s="20"/>
      <c r="CA70" s="20"/>
      <c r="CB70" s="20"/>
      <c r="CC70" s="20"/>
      <c r="CD70" s="20"/>
      <c r="CE70" s="20"/>
      <c r="CF70" s="20"/>
      <c r="CG70" s="20"/>
      <c r="CH70" s="21"/>
      <c r="CI70" s="20"/>
      <c r="CJ70" s="20"/>
      <c r="CK70" s="20"/>
      <c r="CL70" s="20"/>
      <c r="CM70" s="20"/>
      <c r="CN70" s="20"/>
      <c r="CO70" s="20"/>
      <c r="CP70" s="20"/>
      <c r="CQ70" s="21"/>
      <c r="CR70" s="20"/>
      <c r="CS70" s="20"/>
      <c r="CT70" s="20"/>
      <c r="CU70" s="20"/>
      <c r="CV70" s="20"/>
      <c r="CW70" s="20"/>
      <c r="CX70" s="20"/>
      <c r="CY70" s="20"/>
      <c r="CZ70" s="21"/>
      <c r="DA70" s="20"/>
      <c r="DB70" s="20"/>
      <c r="DC70" s="20"/>
      <c r="DD70" s="20"/>
      <c r="DE70" s="20"/>
      <c r="DF70" s="20"/>
      <c r="DG70" s="20"/>
      <c r="DH70" s="20"/>
      <c r="DI70" s="21"/>
      <c r="DJ70" s="20"/>
      <c r="DK70" s="20"/>
      <c r="DL70" s="20"/>
      <c r="DM70" s="20"/>
      <c r="DN70" s="20"/>
      <c r="DO70" s="20"/>
      <c r="DP70" s="20"/>
      <c r="DQ70" s="20"/>
      <c r="DR70" s="21"/>
      <c r="DS70" s="20"/>
      <c r="DT70" s="20"/>
      <c r="DU70" s="20"/>
      <c r="DV70" s="20"/>
      <c r="DW70" s="20"/>
      <c r="DX70" s="20"/>
      <c r="DY70" s="20"/>
      <c r="DZ70" s="20"/>
      <c r="EA70" s="21"/>
      <c r="EB70" s="20"/>
      <c r="EC70" s="20"/>
      <c r="ED70" s="20"/>
      <c r="EE70" s="20"/>
      <c r="EF70" s="20"/>
      <c r="EG70" s="20"/>
      <c r="EH70" s="20"/>
      <c r="EI70" s="20"/>
      <c r="EJ70" s="21"/>
      <c r="EK70" s="20"/>
      <c r="EL70" s="20"/>
      <c r="EM70" s="20"/>
      <c r="EN70" s="20"/>
      <c r="EO70" s="20"/>
      <c r="EP70" s="20"/>
      <c r="EQ70" s="20"/>
      <c r="ER70" s="20"/>
      <c r="ES70" s="21"/>
      <c r="ET70" s="20"/>
      <c r="EU70" s="20"/>
      <c r="EV70" s="20"/>
      <c r="EW70" s="20"/>
      <c r="EX70" s="20"/>
      <c r="EY70" s="20"/>
      <c r="EZ70" s="20"/>
      <c r="FA70" s="20"/>
      <c r="FB70" s="21"/>
      <c r="FC70" s="20"/>
      <c r="FD70" s="20"/>
      <c r="FE70" s="20"/>
      <c r="FF70" s="20"/>
      <c r="FG70" s="20"/>
      <c r="FH70" s="20"/>
      <c r="FI70" s="20"/>
      <c r="FJ70" s="20"/>
      <c r="FK70" s="21"/>
      <c r="FL70" s="20"/>
      <c r="FM70" s="20"/>
      <c r="FN70" s="20"/>
      <c r="FO70" s="20"/>
      <c r="FP70" s="20"/>
      <c r="FQ70" s="20"/>
      <c r="FR70" s="21"/>
      <c r="FS70" s="20"/>
      <c r="FT70" s="20"/>
      <c r="FU70" s="20"/>
      <c r="FV70" s="20"/>
      <c r="FW70" s="20"/>
      <c r="FX70" s="20"/>
      <c r="FY70" s="21"/>
      <c r="FZ70" s="20"/>
      <c r="GA70" s="20"/>
      <c r="GB70" s="20"/>
      <c r="GC70" s="20"/>
      <c r="GD70" s="20"/>
      <c r="GE70" s="20"/>
      <c r="GF70" s="21"/>
      <c r="GG70" s="20"/>
      <c r="GH70" s="20"/>
      <c r="GI70" s="20"/>
      <c r="GJ70" s="20"/>
      <c r="GK70" s="20"/>
      <c r="GL70" s="20"/>
      <c r="GM70" s="21"/>
      <c r="GN70" s="20"/>
      <c r="GO70" s="20"/>
      <c r="GP70" s="20"/>
      <c r="GQ70" s="20"/>
      <c r="GR70" s="20"/>
      <c r="GS70" s="20"/>
      <c r="GT70" s="21"/>
      <c r="GU70" s="20"/>
      <c r="GV70" s="20"/>
      <c r="GW70" s="20"/>
      <c r="GX70" s="20"/>
      <c r="GY70" s="20"/>
      <c r="GZ70" s="20"/>
      <c r="HA70" s="21"/>
      <c r="HB70" s="20"/>
      <c r="HC70" s="20"/>
      <c r="HD70" s="20"/>
      <c r="HE70" s="20"/>
      <c r="HF70" s="20"/>
      <c r="HG70" s="20"/>
      <c r="HH70" s="21"/>
      <c r="HI70" s="20"/>
      <c r="HJ70" s="20"/>
      <c r="HK70" s="20"/>
      <c r="HL70" s="20"/>
      <c r="HM70" s="20"/>
      <c r="HN70" s="20"/>
      <c r="HO70" s="21"/>
      <c r="HP70" s="20"/>
      <c r="HQ70" s="20"/>
      <c r="HR70" s="20"/>
      <c r="HS70" s="20"/>
      <c r="HT70" s="20"/>
      <c r="HU70" s="20"/>
      <c r="HV70" s="21"/>
      <c r="HW70" s="20"/>
      <c r="HX70" s="20"/>
      <c r="HY70" s="20"/>
      <c r="HZ70" s="20"/>
      <c r="IA70" s="20"/>
      <c r="IB70" s="20"/>
      <c r="IC70" s="21"/>
      <c r="ID70" s="20"/>
      <c r="IE70" s="20"/>
      <c r="IF70" s="20"/>
      <c r="IG70" s="20"/>
      <c r="IH70" s="20"/>
      <c r="II70" s="20"/>
      <c r="IJ70" s="21"/>
      <c r="IK70" s="20"/>
      <c r="IL70" s="20"/>
      <c r="IM70" s="20"/>
      <c r="IN70" s="20"/>
      <c r="IO70" s="20"/>
      <c r="IP70" s="20"/>
      <c r="IQ70" s="21"/>
      <c r="IR70" s="20"/>
      <c r="IS70" s="20"/>
      <c r="IT70" s="20"/>
      <c r="IU70" s="20"/>
      <c r="IV70" s="20"/>
      <c r="IW70" s="20"/>
      <c r="IX70" s="21"/>
      <c r="IY70" s="20"/>
      <c r="IZ70" s="20"/>
      <c r="JA70" s="20"/>
      <c r="JB70" s="20"/>
      <c r="JC70" s="20"/>
      <c r="JD70" s="20"/>
      <c r="JE70" s="21"/>
      <c r="JF70" s="20"/>
      <c r="JG70" s="20"/>
      <c r="JH70" s="20"/>
      <c r="JI70" s="20"/>
      <c r="JJ70" s="20"/>
      <c r="JK70" s="20"/>
      <c r="JL70" s="21"/>
      <c r="JM70" s="20"/>
      <c r="JN70" s="20"/>
      <c r="JO70" s="20"/>
      <c r="JP70" s="20"/>
      <c r="JQ70" s="20"/>
      <c r="JR70" s="20"/>
      <c r="JS70" s="21"/>
      <c r="JT70" s="20"/>
      <c r="JU70" s="20"/>
      <c r="JV70" s="20"/>
      <c r="JW70" s="20"/>
      <c r="JX70" s="20"/>
      <c r="JY70" s="20"/>
      <c r="JZ70" s="21"/>
      <c r="KA70" s="20"/>
      <c r="KB70" s="20"/>
      <c r="KC70" s="20"/>
      <c r="KD70" s="20"/>
      <c r="KE70" s="20"/>
      <c r="KF70" s="20"/>
      <c r="KG70" s="21"/>
      <c r="KH70" s="20"/>
      <c r="KI70" s="20"/>
      <c r="KJ70" s="20"/>
      <c r="KK70" s="20"/>
      <c r="KL70" s="20"/>
      <c r="KM70" s="20"/>
      <c r="KN70" s="21"/>
      <c r="KO70" s="20"/>
      <c r="KP70" s="20"/>
      <c r="KQ70" s="20"/>
      <c r="KR70" s="20"/>
      <c r="KS70" s="20"/>
      <c r="KT70" s="20"/>
      <c r="KU70" s="21"/>
      <c r="KV70" s="20"/>
      <c r="KW70" s="20"/>
      <c r="KX70" s="20"/>
      <c r="KY70" s="20"/>
      <c r="KZ70" s="20"/>
      <c r="LA70" s="20"/>
      <c r="LB70" s="21"/>
      <c r="LC70" s="20"/>
      <c r="LD70" s="20"/>
      <c r="LE70" s="20"/>
      <c r="LF70" s="20"/>
      <c r="LG70" s="20"/>
      <c r="LH70" s="20"/>
      <c r="LI70" s="21"/>
      <c r="LJ70" s="20"/>
      <c r="LK70" s="20"/>
      <c r="LL70" s="20"/>
      <c r="LM70" s="20"/>
      <c r="LN70" s="20"/>
      <c r="LO70" s="20"/>
      <c r="LP70" s="21"/>
      <c r="LQ70" s="20"/>
      <c r="LR70" s="20"/>
      <c r="LS70" s="20"/>
      <c r="LT70" s="20"/>
      <c r="LU70" s="20"/>
      <c r="LV70" s="20"/>
      <c r="LW70" s="21"/>
      <c r="LX70" s="20"/>
      <c r="LY70" s="20"/>
      <c r="LZ70" s="20"/>
      <c r="MA70" s="20"/>
      <c r="MB70" s="20"/>
      <c r="MC70" s="20"/>
      <c r="MD70" s="21"/>
      <c r="ME70" s="20"/>
      <c r="MF70" s="20"/>
      <c r="MG70" s="20"/>
      <c r="MH70" s="20"/>
      <c r="MI70" s="20"/>
      <c r="MJ70" s="20"/>
      <c r="MK70" s="21"/>
      <c r="ML70" s="20"/>
      <c r="MM70" s="20"/>
      <c r="MN70" s="20"/>
      <c r="MO70" s="20"/>
      <c r="MP70" s="20"/>
      <c r="MQ70" s="20"/>
      <c r="MR70" s="21"/>
    </row>
    <row r="71" spans="1:356" ht="7.5" customHeight="1" x14ac:dyDescent="0.25">
      <c r="A71" s="8"/>
      <c r="B71" s="8"/>
      <c r="C71" s="8"/>
      <c r="D71" s="8"/>
      <c r="E71" s="8"/>
      <c r="F71" s="10" t="str">
        <f t="shared" si="356"/>
        <v/>
      </c>
      <c r="G71" s="19"/>
      <c r="H71" s="19"/>
      <c r="I71" s="19" t="str">
        <f t="shared" si="357"/>
        <v/>
      </c>
      <c r="J71" s="19" t="str">
        <f t="shared" si="357"/>
        <v/>
      </c>
      <c r="K71" s="19" t="str">
        <f t="shared" si="357"/>
        <v/>
      </c>
      <c r="L71" s="19" t="str">
        <f t="shared" si="357"/>
        <v/>
      </c>
      <c r="M71" s="8"/>
      <c r="N71" s="8"/>
      <c r="O71" s="9"/>
      <c r="P71" s="8" t="str">
        <f t="shared" si="358"/>
        <v/>
      </c>
      <c r="Q71" s="109" t="str">
        <f t="shared" ref="Q71:Q76" si="359">IF(SUM(S71:XFD71) &gt; 0, SUM(S71:XFD71) / $P$77 * 100, "")</f>
        <v/>
      </c>
      <c r="R71" s="84"/>
      <c r="S71" s="7"/>
      <c r="Z71" s="7"/>
      <c r="AG71" s="7"/>
      <c r="AN71" s="7"/>
      <c r="AU71" s="7"/>
      <c r="BB71" s="7"/>
      <c r="BI71" s="7"/>
      <c r="BP71" s="7"/>
      <c r="BY71" s="7"/>
      <c r="CH71" s="7"/>
      <c r="CQ71" s="7"/>
      <c r="CZ71" s="7"/>
      <c r="DI71" s="7"/>
      <c r="DR71" s="7"/>
      <c r="EA71" s="7"/>
      <c r="EJ71" s="7"/>
      <c r="ES71" s="7"/>
      <c r="FB71" s="7"/>
      <c r="FK71" s="7"/>
      <c r="FR71" s="7"/>
      <c r="FY71" s="7"/>
      <c r="GF71" s="7"/>
      <c r="GM71" s="7"/>
      <c r="GT71" s="7"/>
      <c r="HA71" s="7"/>
      <c r="HH71" s="7"/>
      <c r="HO71" s="7"/>
      <c r="HV71" s="7"/>
      <c r="IC71" s="7"/>
      <c r="IJ71" s="7"/>
      <c r="IQ71" s="7"/>
      <c r="IX71" s="7"/>
      <c r="JE71" s="7"/>
      <c r="JL71" s="7"/>
      <c r="JS71" s="7"/>
      <c r="JZ71" s="7"/>
      <c r="KG71" s="7"/>
      <c r="KN71" s="7"/>
      <c r="KU71" s="7"/>
      <c r="LB71" s="7"/>
      <c r="LI71" s="7"/>
      <c r="LP71" s="7"/>
      <c r="LW71" s="7"/>
      <c r="MD71" s="7"/>
      <c r="MK71" s="7"/>
      <c r="MR71" s="7"/>
    </row>
    <row r="72" spans="1:356" hidden="1" x14ac:dyDescent="0.25">
      <c r="A72" s="8" t="s">
        <v>37</v>
      </c>
      <c r="B72" s="8"/>
      <c r="C72" s="8" t="s">
        <v>36</v>
      </c>
      <c r="D72" s="8" t="s">
        <v>35</v>
      </c>
      <c r="E72" s="18">
        <v>39448</v>
      </c>
      <c r="F72" s="10">
        <f t="shared" si="356"/>
        <v>1</v>
      </c>
      <c r="G72" s="19">
        <f t="shared" ref="G72:H75" si="360">IF($E72 &gt;= G$43, 1, "")</f>
        <v>1</v>
      </c>
      <c r="H72" s="19">
        <f t="shared" si="360"/>
        <v>1</v>
      </c>
      <c r="I72" s="8">
        <f t="shared" ref="I72:L75" si="361">IF($E72 &gt;= I$43, 1, "")</f>
        <v>1</v>
      </c>
      <c r="J72" s="8">
        <f t="shared" si="361"/>
        <v>1</v>
      </c>
      <c r="K72" s="8" t="str">
        <f t="shared" si="361"/>
        <v/>
      </c>
      <c r="L72" s="8" t="str">
        <f t="shared" si="361"/>
        <v/>
      </c>
      <c r="M72" s="8"/>
      <c r="N72" s="8"/>
      <c r="O72" s="9"/>
      <c r="P72" s="8">
        <f t="shared" si="358"/>
        <v>8</v>
      </c>
      <c r="Q72" s="109">
        <f t="shared" si="359"/>
        <v>30.76923076923077</v>
      </c>
      <c r="R72" s="84"/>
      <c r="S72" s="7"/>
      <c r="Z72" s="7"/>
      <c r="AG72" s="7"/>
      <c r="AK72">
        <v>1</v>
      </c>
      <c r="AN72" s="7"/>
      <c r="AP72">
        <v>1</v>
      </c>
      <c r="AU72" s="7"/>
      <c r="AW72">
        <v>1</v>
      </c>
      <c r="BB72" s="7"/>
      <c r="BD72">
        <v>1</v>
      </c>
      <c r="BI72" s="7"/>
      <c r="BK72">
        <v>1</v>
      </c>
      <c r="BM72">
        <v>1</v>
      </c>
      <c r="BN72">
        <v>1</v>
      </c>
      <c r="BP72" s="7"/>
      <c r="BW72">
        <v>1</v>
      </c>
      <c r="BY72" s="7"/>
      <c r="CH72" s="7"/>
      <c r="CQ72" s="7"/>
      <c r="CZ72" s="7"/>
      <c r="DI72" s="7"/>
      <c r="DR72" s="7"/>
      <c r="EA72" s="7"/>
      <c r="EJ72" s="7"/>
      <c r="ES72" s="7"/>
      <c r="FB72" s="7"/>
      <c r="FK72" s="7"/>
      <c r="FR72" s="7"/>
      <c r="FY72" s="7"/>
      <c r="GF72" s="7"/>
      <c r="GM72" s="7"/>
      <c r="GT72" s="7"/>
      <c r="HA72" s="7"/>
      <c r="HH72" s="7"/>
      <c r="HO72" s="7"/>
      <c r="HV72" s="7"/>
      <c r="IC72" s="7"/>
      <c r="IJ72" s="7"/>
      <c r="IQ72" s="7"/>
      <c r="IX72" s="7"/>
      <c r="JE72" s="7"/>
      <c r="JL72" s="7"/>
      <c r="JS72" s="7"/>
      <c r="JZ72" s="7"/>
      <c r="KG72" s="7"/>
      <c r="KN72" s="7"/>
      <c r="KU72" s="7"/>
      <c r="LB72" s="7"/>
      <c r="LI72" s="7"/>
      <c r="LP72" s="7"/>
      <c r="LW72" s="7"/>
      <c r="MD72" s="7"/>
      <c r="MK72" s="7"/>
      <c r="MR72" s="7"/>
    </row>
    <row r="73" spans="1:356" x14ac:dyDescent="0.25">
      <c r="A73" s="8" t="s">
        <v>34</v>
      </c>
      <c r="B73" s="8"/>
      <c r="C73" s="8" t="s">
        <v>33</v>
      </c>
      <c r="D73" s="8" t="s">
        <v>32</v>
      </c>
      <c r="E73" s="18">
        <v>39649</v>
      </c>
      <c r="F73" s="10">
        <f t="shared" si="356"/>
        <v>1</v>
      </c>
      <c r="G73" s="19">
        <f t="shared" si="360"/>
        <v>1</v>
      </c>
      <c r="H73" s="19">
        <f t="shared" si="360"/>
        <v>1</v>
      </c>
      <c r="I73" s="8">
        <f t="shared" si="361"/>
        <v>1</v>
      </c>
      <c r="J73" s="8">
        <f t="shared" si="361"/>
        <v>1</v>
      </c>
      <c r="K73" s="8" t="str">
        <f t="shared" si="361"/>
        <v/>
      </c>
      <c r="L73" s="8" t="str">
        <f t="shared" si="361"/>
        <v/>
      </c>
      <c r="M73" s="8"/>
      <c r="N73" s="8"/>
      <c r="O73" s="9"/>
      <c r="P73" s="8">
        <f t="shared" si="358"/>
        <v>1</v>
      </c>
      <c r="Q73" s="109">
        <f t="shared" si="359"/>
        <v>3.8461538461538463</v>
      </c>
      <c r="R73" s="84"/>
      <c r="S73" s="7"/>
      <c r="Z73" s="7"/>
      <c r="AG73" s="7"/>
      <c r="AN73" s="7"/>
      <c r="AU73" s="7"/>
      <c r="BB73" s="7"/>
      <c r="BI73" s="7"/>
      <c r="BP73" s="7"/>
      <c r="BY73" s="7"/>
      <c r="CH73" s="7"/>
      <c r="CQ73" s="7"/>
      <c r="CZ73" s="7"/>
      <c r="DI73" s="7"/>
      <c r="DR73" s="7"/>
      <c r="EA73" s="7"/>
      <c r="EE73">
        <v>1</v>
      </c>
      <c r="EJ73" s="7"/>
      <c r="ES73" s="7"/>
      <c r="FB73" s="7"/>
      <c r="FK73" s="7"/>
      <c r="FR73" s="7"/>
      <c r="FY73" s="7"/>
      <c r="GF73" s="7"/>
      <c r="GM73" s="7"/>
      <c r="GT73" s="7"/>
      <c r="HA73" s="7"/>
      <c r="HH73" s="7"/>
      <c r="HO73" s="7"/>
      <c r="HV73" s="7"/>
      <c r="IC73" s="7"/>
      <c r="IJ73" s="7"/>
      <c r="IQ73" s="7"/>
      <c r="IX73" s="7"/>
      <c r="JE73" s="7"/>
      <c r="JL73" s="7"/>
      <c r="JS73" s="7"/>
      <c r="JZ73" s="7"/>
      <c r="KG73" s="7"/>
      <c r="KN73" s="7"/>
      <c r="KU73" s="7"/>
      <c r="LB73" s="7"/>
      <c r="LI73" s="7"/>
      <c r="LP73" s="7"/>
      <c r="LW73" s="7"/>
      <c r="MD73" s="7"/>
      <c r="MK73" s="7"/>
      <c r="MR73" s="7"/>
    </row>
    <row r="74" spans="1:356" x14ac:dyDescent="0.25">
      <c r="A74" s="8" t="s">
        <v>31</v>
      </c>
      <c r="B74" s="8"/>
      <c r="C74" s="8" t="s">
        <v>30</v>
      </c>
      <c r="D74" s="8" t="s">
        <v>29</v>
      </c>
      <c r="E74" s="18">
        <v>39453</v>
      </c>
      <c r="F74" s="10">
        <f t="shared" si="356"/>
        <v>1</v>
      </c>
      <c r="G74" s="19">
        <f t="shared" si="360"/>
        <v>1</v>
      </c>
      <c r="H74" s="19">
        <f t="shared" si="360"/>
        <v>1</v>
      </c>
      <c r="I74" s="8">
        <f t="shared" si="361"/>
        <v>1</v>
      </c>
      <c r="J74" s="8">
        <f t="shared" si="361"/>
        <v>1</v>
      </c>
      <c r="K74" s="8" t="str">
        <f t="shared" si="361"/>
        <v/>
      </c>
      <c r="L74" s="8" t="str">
        <f t="shared" si="361"/>
        <v/>
      </c>
      <c r="M74" s="8"/>
      <c r="N74" s="8"/>
      <c r="O74" s="9"/>
      <c r="P74" s="8">
        <f t="shared" si="358"/>
        <v>18</v>
      </c>
      <c r="Q74" s="109">
        <f t="shared" si="359"/>
        <v>69.230769230769226</v>
      </c>
      <c r="R74" s="84"/>
      <c r="S74" s="7"/>
      <c r="Z74" s="7"/>
      <c r="AG74" s="7"/>
      <c r="AK74">
        <v>1</v>
      </c>
      <c r="AN74" s="7"/>
      <c r="AR74">
        <v>1</v>
      </c>
      <c r="AU74" s="7"/>
      <c r="BB74" s="7"/>
      <c r="BD74">
        <v>1</v>
      </c>
      <c r="BF74">
        <v>1</v>
      </c>
      <c r="BI74" s="7"/>
      <c r="BK74">
        <v>1</v>
      </c>
      <c r="BM74">
        <v>1</v>
      </c>
      <c r="BN74">
        <v>1</v>
      </c>
      <c r="BP74" s="7">
        <v>1</v>
      </c>
      <c r="BW74">
        <v>1</v>
      </c>
      <c r="BY74" s="7"/>
      <c r="CH74" s="7"/>
      <c r="CQ74" s="7"/>
      <c r="CZ74" s="7"/>
      <c r="DI74" s="7"/>
      <c r="DR74" s="7"/>
      <c r="DT74">
        <v>1</v>
      </c>
      <c r="DV74">
        <v>1</v>
      </c>
      <c r="EA74" s="7"/>
      <c r="EC74">
        <v>1</v>
      </c>
      <c r="EJ74" s="7"/>
      <c r="EL74">
        <v>1</v>
      </c>
      <c r="EN74">
        <v>1</v>
      </c>
      <c r="EO74">
        <v>1</v>
      </c>
      <c r="ES74" s="7"/>
      <c r="EU74">
        <v>1</v>
      </c>
      <c r="EW74">
        <v>1</v>
      </c>
      <c r="EX74">
        <v>1</v>
      </c>
      <c r="FB74" s="7"/>
      <c r="FK74" s="7"/>
      <c r="FR74" s="7"/>
      <c r="FY74" s="7"/>
      <c r="GF74" s="7"/>
      <c r="GM74" s="7"/>
      <c r="GT74" s="7"/>
      <c r="HA74" s="7"/>
      <c r="HH74" s="7"/>
      <c r="HO74" s="7"/>
      <c r="HV74" s="7"/>
      <c r="IC74" s="7"/>
      <c r="IJ74" s="7"/>
      <c r="IQ74" s="7"/>
      <c r="IX74" s="7"/>
      <c r="JE74" s="7"/>
      <c r="JL74" s="7"/>
      <c r="JS74" s="7"/>
      <c r="JZ74" s="7"/>
      <c r="KG74" s="7"/>
      <c r="KN74" s="7"/>
      <c r="KU74" s="7"/>
      <c r="LB74" s="7"/>
      <c r="LI74" s="7"/>
      <c r="LP74" s="7"/>
      <c r="LW74" s="7"/>
      <c r="MD74" s="7"/>
      <c r="MK74" s="7"/>
      <c r="MR74" s="7"/>
    </row>
    <row r="75" spans="1:356" x14ac:dyDescent="0.25">
      <c r="A75" s="8" t="s">
        <v>28</v>
      </c>
      <c r="B75" s="8"/>
      <c r="C75" s="8" t="s">
        <v>27</v>
      </c>
      <c r="D75" s="8" t="s">
        <v>26</v>
      </c>
      <c r="E75" s="18">
        <v>39802</v>
      </c>
      <c r="F75" s="10">
        <f t="shared" si="356"/>
        <v>1</v>
      </c>
      <c r="G75" s="19">
        <f t="shared" si="360"/>
        <v>1</v>
      </c>
      <c r="H75" s="19">
        <f t="shared" si="360"/>
        <v>1</v>
      </c>
      <c r="I75" s="8">
        <f t="shared" si="361"/>
        <v>1</v>
      </c>
      <c r="J75" s="8">
        <f t="shared" si="361"/>
        <v>1</v>
      </c>
      <c r="K75" s="8" t="str">
        <f t="shared" si="361"/>
        <v/>
      </c>
      <c r="L75" s="8" t="str">
        <f t="shared" si="361"/>
        <v/>
      </c>
      <c r="M75" s="8"/>
      <c r="N75" s="8"/>
      <c r="O75" s="9"/>
      <c r="P75" s="8">
        <f t="shared" si="358"/>
        <v>10</v>
      </c>
      <c r="Q75" s="109">
        <f t="shared" si="359"/>
        <v>38.461538461538467</v>
      </c>
      <c r="R75" s="84"/>
      <c r="S75" s="7"/>
      <c r="Z75" s="7"/>
      <c r="AG75" s="7"/>
      <c r="AK75">
        <v>1</v>
      </c>
      <c r="AN75" s="7"/>
      <c r="AP75">
        <v>1</v>
      </c>
      <c r="AU75" s="7"/>
      <c r="AW75">
        <v>1</v>
      </c>
      <c r="AY75">
        <v>1</v>
      </c>
      <c r="BB75" s="7"/>
      <c r="BD75">
        <v>1</v>
      </c>
      <c r="BF75">
        <v>1</v>
      </c>
      <c r="BI75" s="7"/>
      <c r="BM75">
        <v>1</v>
      </c>
      <c r="BP75" s="7"/>
      <c r="BY75" s="7"/>
      <c r="CH75" s="7"/>
      <c r="CQ75" s="7"/>
      <c r="CZ75" s="7"/>
      <c r="DI75" s="7"/>
      <c r="DR75" s="7"/>
      <c r="DV75">
        <v>1</v>
      </c>
      <c r="DW75">
        <v>1</v>
      </c>
      <c r="EA75" s="7"/>
      <c r="EJ75" s="7"/>
      <c r="EO75">
        <v>1</v>
      </c>
      <c r="ES75" s="7"/>
      <c r="FB75" s="7"/>
      <c r="FK75" s="7"/>
      <c r="FR75" s="7"/>
      <c r="FY75" s="7"/>
      <c r="GF75" s="7"/>
      <c r="GM75" s="7"/>
      <c r="GT75" s="7"/>
      <c r="HA75" s="7"/>
      <c r="HH75" s="7"/>
      <c r="HO75" s="7"/>
      <c r="HV75" s="7"/>
      <c r="IC75" s="7"/>
      <c r="IJ75" s="7"/>
      <c r="IQ75" s="7"/>
      <c r="IX75" s="7"/>
      <c r="JE75" s="7"/>
      <c r="JL75" s="7"/>
      <c r="JS75" s="7"/>
      <c r="JZ75" s="7"/>
      <c r="KG75" s="7"/>
      <c r="KN75" s="7"/>
      <c r="KU75" s="7"/>
      <c r="LB75" s="7"/>
      <c r="LI75" s="7"/>
      <c r="LP75" s="7"/>
      <c r="LW75" s="7"/>
      <c r="MD75" s="7"/>
      <c r="MK75" s="7"/>
      <c r="MR75" s="7"/>
    </row>
    <row r="76" spans="1:356" ht="7.5" customHeight="1" x14ac:dyDescent="0.25">
      <c r="A76" s="8"/>
      <c r="B76" s="8"/>
      <c r="C76" s="8"/>
      <c r="D76" s="8"/>
      <c r="E76" s="8"/>
      <c r="F76" s="10"/>
      <c r="G76" s="19"/>
      <c r="H76" s="19"/>
      <c r="I76" s="8"/>
      <c r="J76" s="8"/>
      <c r="K76" s="8"/>
      <c r="L76" s="8"/>
      <c r="M76" s="8"/>
      <c r="N76" s="8"/>
      <c r="O76" s="9"/>
      <c r="P76" s="8" t="str">
        <f>IF(SUM(R76:MR76) &gt; 0, SUM(R76:MR76), "")</f>
        <v/>
      </c>
      <c r="Q76" s="109" t="str">
        <f t="shared" si="359"/>
        <v/>
      </c>
      <c r="R76" s="84"/>
      <c r="S76" s="7"/>
      <c r="Z76" s="7"/>
      <c r="AG76" s="7"/>
      <c r="AN76" s="7"/>
      <c r="AU76" s="7"/>
      <c r="BB76" s="7"/>
      <c r="BI76" s="7"/>
      <c r="BP76" s="7"/>
      <c r="BY76" s="7"/>
      <c r="CH76" s="7"/>
      <c r="CQ76" s="7"/>
      <c r="CZ76" s="7"/>
      <c r="DI76" s="7"/>
      <c r="DR76" s="7"/>
      <c r="EA76" s="7"/>
      <c r="EJ76" s="7"/>
      <c r="ES76" s="7"/>
      <c r="FB76" s="7"/>
      <c r="FK76" s="7"/>
      <c r="FR76" s="7"/>
      <c r="FY76" s="7"/>
      <c r="GF76" s="7"/>
      <c r="GM76" s="7"/>
      <c r="GT76" s="7"/>
      <c r="HA76" s="7"/>
      <c r="HH76" s="7"/>
      <c r="HO76" s="7"/>
      <c r="HV76" s="7"/>
      <c r="IC76" s="7"/>
      <c r="IJ76" s="7"/>
      <c r="IQ76" s="7"/>
      <c r="IX76" s="7"/>
      <c r="JE76" s="7"/>
      <c r="JL76" s="7"/>
      <c r="JS76" s="7"/>
      <c r="JZ76" s="7"/>
      <c r="KG76" s="7"/>
      <c r="KN76" s="7"/>
      <c r="KU76" s="7"/>
      <c r="LB76" s="7"/>
      <c r="LI76" s="7"/>
      <c r="LP76" s="7"/>
      <c r="LW76" s="7"/>
      <c r="MD76" s="7"/>
      <c r="MK76" s="7"/>
      <c r="MR76" s="7"/>
    </row>
    <row r="77" spans="1:356" ht="15" customHeight="1" thickBot="1" x14ac:dyDescent="0.3">
      <c r="A77" s="20" t="s">
        <v>18</v>
      </c>
      <c r="B77" s="20"/>
      <c r="C77" s="20"/>
      <c r="D77" s="20"/>
      <c r="E77" s="21"/>
      <c r="F77" s="20"/>
      <c r="G77" s="20"/>
      <c r="H77" s="20"/>
      <c r="I77" s="20"/>
      <c r="J77" s="20"/>
      <c r="K77" s="20"/>
      <c r="L77" s="20"/>
      <c r="M77" s="20"/>
      <c r="N77" s="20"/>
      <c r="O77" s="21"/>
      <c r="P77" s="60">
        <f>SUM(S77:MR77)</f>
        <v>26</v>
      </c>
      <c r="Q77" s="60"/>
      <c r="R77" s="21"/>
      <c r="S77" s="21"/>
      <c r="T77" s="20"/>
      <c r="U77" s="20"/>
      <c r="V77" s="20"/>
      <c r="W77" s="20"/>
      <c r="X77" s="20"/>
      <c r="Y77" s="20"/>
      <c r="Z77" s="21"/>
      <c r="AA77" s="20"/>
      <c r="AB77" s="20"/>
      <c r="AC77" s="20"/>
      <c r="AD77" s="20"/>
      <c r="AE77" s="20"/>
      <c r="AF77" s="20"/>
      <c r="AG77" s="21"/>
      <c r="AH77" s="20"/>
      <c r="AI77" s="20">
        <v>1</v>
      </c>
      <c r="AJ77" s="20"/>
      <c r="AK77" s="20">
        <v>1</v>
      </c>
      <c r="AL77" s="20"/>
      <c r="AM77" s="20"/>
      <c r="AN77" s="21"/>
      <c r="AO77" s="20"/>
      <c r="AP77" s="20">
        <v>1</v>
      </c>
      <c r="AQ77" s="20"/>
      <c r="AR77" s="20">
        <v>1</v>
      </c>
      <c r="AS77" s="20"/>
      <c r="AT77" s="20"/>
      <c r="AU77" s="21"/>
      <c r="AV77" s="20"/>
      <c r="AW77" s="20">
        <v>1</v>
      </c>
      <c r="AX77" s="20">
        <v>1</v>
      </c>
      <c r="AY77" s="20">
        <v>1</v>
      </c>
      <c r="AZ77" s="20"/>
      <c r="BA77" s="20"/>
      <c r="BB77" s="21"/>
      <c r="BC77" s="20"/>
      <c r="BD77" s="20">
        <v>1</v>
      </c>
      <c r="BE77" s="20"/>
      <c r="BF77" s="20">
        <v>1</v>
      </c>
      <c r="BG77" s="20"/>
      <c r="BH77" s="20"/>
      <c r="BI77" s="21"/>
      <c r="BJ77" s="20"/>
      <c r="BK77" s="20">
        <v>1</v>
      </c>
      <c r="BL77" s="20"/>
      <c r="BM77" s="20">
        <v>1</v>
      </c>
      <c r="BN77" s="20">
        <v>1</v>
      </c>
      <c r="BO77" s="20"/>
      <c r="BP77" s="21">
        <v>1</v>
      </c>
      <c r="BQ77" s="20"/>
      <c r="BR77" s="20"/>
      <c r="BS77" s="20"/>
      <c r="BT77" s="20"/>
      <c r="BU77" s="20"/>
      <c r="BV77" s="20"/>
      <c r="BW77" s="20">
        <v>1</v>
      </c>
      <c r="BX77" s="20"/>
      <c r="BY77" s="21"/>
      <c r="BZ77" s="20"/>
      <c r="CA77" s="20"/>
      <c r="CB77" s="20"/>
      <c r="CC77" s="20"/>
      <c r="CD77" s="20"/>
      <c r="CE77" s="20"/>
      <c r="CF77" s="20"/>
      <c r="CG77" s="20"/>
      <c r="CH77" s="21"/>
      <c r="CI77" s="20"/>
      <c r="CJ77" s="20"/>
      <c r="CK77" s="20"/>
      <c r="CL77" s="20"/>
      <c r="CM77" s="20"/>
      <c r="CN77" s="20"/>
      <c r="CO77" s="20"/>
      <c r="CP77" s="20"/>
      <c r="CQ77" s="21"/>
      <c r="CR77" s="20"/>
      <c r="CS77" s="20"/>
      <c r="CT77" s="20"/>
      <c r="CU77" s="20"/>
      <c r="CV77" s="20"/>
      <c r="CW77" s="20"/>
      <c r="CX77" s="20"/>
      <c r="CY77" s="20"/>
      <c r="CZ77" s="21"/>
      <c r="DA77" s="20"/>
      <c r="DB77" s="20"/>
      <c r="DC77" s="20"/>
      <c r="DD77" s="20"/>
      <c r="DE77" s="20"/>
      <c r="DF77" s="20"/>
      <c r="DG77" s="20"/>
      <c r="DH77" s="20"/>
      <c r="DI77" s="21"/>
      <c r="DJ77" s="20"/>
      <c r="DK77" s="20"/>
      <c r="DL77" s="20"/>
      <c r="DM77" s="20"/>
      <c r="DN77" s="20"/>
      <c r="DO77" s="20"/>
      <c r="DP77" s="20"/>
      <c r="DQ77" s="20"/>
      <c r="DR77" s="21"/>
      <c r="DS77" s="20"/>
      <c r="DT77" s="20">
        <v>1</v>
      </c>
      <c r="DU77" s="20"/>
      <c r="DV77" s="20">
        <v>1</v>
      </c>
      <c r="DW77" s="20">
        <v>1</v>
      </c>
      <c r="DX77" s="20"/>
      <c r="DY77" s="20"/>
      <c r="DZ77" s="20"/>
      <c r="EA77" s="21"/>
      <c r="EB77" s="20"/>
      <c r="EC77" s="20">
        <v>1</v>
      </c>
      <c r="ED77" s="20"/>
      <c r="EE77" s="20">
        <v>1</v>
      </c>
      <c r="EF77" s="20">
        <v>1</v>
      </c>
      <c r="EG77" s="20"/>
      <c r="EH77" s="20"/>
      <c r="EI77" s="20"/>
      <c r="EJ77" s="21"/>
      <c r="EK77" s="20"/>
      <c r="EL77" s="20">
        <v>1</v>
      </c>
      <c r="EM77" s="20"/>
      <c r="EN77" s="20">
        <v>1</v>
      </c>
      <c r="EO77" s="20">
        <v>1</v>
      </c>
      <c r="EP77" s="20"/>
      <c r="EQ77" s="20"/>
      <c r="ER77" s="20"/>
      <c r="ES77" s="21"/>
      <c r="ET77" s="20"/>
      <c r="EU77" s="20">
        <v>1</v>
      </c>
      <c r="EV77" s="20"/>
      <c r="EW77" s="20">
        <v>1</v>
      </c>
      <c r="EX77" s="20">
        <v>1</v>
      </c>
      <c r="EY77" s="20"/>
      <c r="EZ77" s="20"/>
      <c r="FA77" s="20"/>
      <c r="FB77" s="21"/>
      <c r="FC77" s="20"/>
      <c r="FD77" s="20"/>
      <c r="FE77" s="20"/>
      <c r="FF77" s="20"/>
      <c r="FG77" s="20"/>
      <c r="FH77" s="20"/>
      <c r="FI77" s="20"/>
      <c r="FJ77" s="20"/>
      <c r="FK77" s="21"/>
      <c r="FL77" s="20"/>
      <c r="FM77" s="20"/>
      <c r="FN77" s="20"/>
      <c r="FO77" s="20"/>
      <c r="FP77" s="20"/>
      <c r="FQ77" s="20"/>
      <c r="FR77" s="21"/>
      <c r="FS77" s="20"/>
      <c r="FT77" s="20"/>
      <c r="FU77" s="20"/>
      <c r="FV77" s="20"/>
      <c r="FW77" s="20"/>
      <c r="FX77" s="20"/>
      <c r="FY77" s="21"/>
      <c r="FZ77" s="20"/>
      <c r="GA77" s="20"/>
      <c r="GB77" s="20"/>
      <c r="GC77" s="20"/>
      <c r="GD77" s="20"/>
      <c r="GE77" s="20"/>
      <c r="GF77" s="21"/>
      <c r="GG77" s="20"/>
      <c r="GH77" s="20"/>
      <c r="GI77" s="20"/>
      <c r="GJ77" s="20"/>
      <c r="GK77" s="20"/>
      <c r="GL77" s="20"/>
      <c r="GM77" s="21"/>
      <c r="GN77" s="20"/>
      <c r="GO77" s="20"/>
      <c r="GP77" s="20"/>
      <c r="GQ77" s="20"/>
      <c r="GR77" s="20"/>
      <c r="GS77" s="20"/>
      <c r="GT77" s="21"/>
      <c r="GU77" s="20"/>
      <c r="GV77" s="20"/>
      <c r="GW77" s="20"/>
      <c r="GX77" s="20"/>
      <c r="GY77" s="20"/>
      <c r="GZ77" s="20"/>
      <c r="HA77" s="21"/>
      <c r="HB77" s="20"/>
      <c r="HC77" s="20"/>
      <c r="HD77" s="20"/>
      <c r="HE77" s="20"/>
      <c r="HF77" s="20"/>
      <c r="HG77" s="20"/>
      <c r="HH77" s="21"/>
      <c r="HI77" s="20"/>
      <c r="HJ77" s="20"/>
      <c r="HK77" s="20"/>
      <c r="HL77" s="20"/>
      <c r="HM77" s="20"/>
      <c r="HN77" s="20"/>
      <c r="HO77" s="21"/>
      <c r="HP77" s="20"/>
      <c r="HQ77" s="20"/>
      <c r="HR77" s="20"/>
      <c r="HS77" s="20"/>
      <c r="HT77" s="20"/>
      <c r="HU77" s="20"/>
      <c r="HV77" s="21"/>
      <c r="HW77" s="20"/>
      <c r="HX77" s="20"/>
      <c r="HY77" s="20"/>
      <c r="HZ77" s="20"/>
      <c r="IA77" s="20"/>
      <c r="IB77" s="20"/>
      <c r="IC77" s="21"/>
      <c r="ID77" s="20"/>
      <c r="IE77" s="20"/>
      <c r="IF77" s="20"/>
      <c r="IG77" s="20"/>
      <c r="IH77" s="20"/>
      <c r="II77" s="20"/>
      <c r="IJ77" s="21"/>
      <c r="IK77" s="20"/>
      <c r="IL77" s="20"/>
      <c r="IM77" s="20"/>
      <c r="IN77" s="20"/>
      <c r="IO77" s="20"/>
      <c r="IP77" s="20"/>
      <c r="IQ77" s="21"/>
      <c r="IR77" s="20"/>
      <c r="IS77" s="20"/>
      <c r="IT77" s="20"/>
      <c r="IU77" s="20"/>
      <c r="IV77" s="20"/>
      <c r="IW77" s="20"/>
      <c r="IX77" s="21"/>
      <c r="IY77" s="20"/>
      <c r="IZ77" s="20"/>
      <c r="JA77" s="20"/>
      <c r="JB77" s="20"/>
      <c r="JC77" s="20"/>
      <c r="JD77" s="20"/>
      <c r="JE77" s="21"/>
      <c r="JF77" s="20"/>
      <c r="JG77" s="20"/>
      <c r="JH77" s="20"/>
      <c r="JI77" s="20"/>
      <c r="JJ77" s="20"/>
      <c r="JK77" s="20"/>
      <c r="JL77" s="21"/>
      <c r="JM77" s="20"/>
      <c r="JN77" s="20"/>
      <c r="JO77" s="20"/>
      <c r="JP77" s="20"/>
      <c r="JQ77" s="20"/>
      <c r="JR77" s="20"/>
      <c r="JS77" s="21"/>
      <c r="JT77" s="20"/>
      <c r="JU77" s="20"/>
      <c r="JV77" s="20"/>
      <c r="JW77" s="20"/>
      <c r="JX77" s="20"/>
      <c r="JY77" s="20"/>
      <c r="JZ77" s="21"/>
      <c r="KA77" s="20"/>
      <c r="KB77" s="20"/>
      <c r="KC77" s="20"/>
      <c r="KD77" s="20"/>
      <c r="KE77" s="20"/>
      <c r="KF77" s="20"/>
      <c r="KG77" s="21"/>
      <c r="KH77" s="20"/>
      <c r="KI77" s="20"/>
      <c r="KJ77" s="20"/>
      <c r="KK77" s="20"/>
      <c r="KL77" s="20"/>
      <c r="KM77" s="20"/>
      <c r="KN77" s="21"/>
      <c r="KO77" s="20"/>
      <c r="KP77" s="20"/>
      <c r="KQ77" s="20"/>
      <c r="KR77" s="20"/>
      <c r="KS77" s="20"/>
      <c r="KT77" s="20"/>
      <c r="KU77" s="21"/>
      <c r="KV77" s="20"/>
      <c r="KW77" s="20"/>
      <c r="KX77" s="20"/>
      <c r="KY77" s="20"/>
      <c r="KZ77" s="20"/>
      <c r="LA77" s="20"/>
      <c r="LB77" s="21"/>
      <c r="LC77" s="20"/>
      <c r="LD77" s="20"/>
      <c r="LE77" s="20"/>
      <c r="LF77" s="20"/>
      <c r="LG77" s="20"/>
      <c r="LH77" s="20"/>
      <c r="LI77" s="21"/>
      <c r="LJ77" s="20"/>
      <c r="LK77" s="20"/>
      <c r="LL77" s="20"/>
      <c r="LM77" s="20"/>
      <c r="LN77" s="20"/>
      <c r="LO77" s="20"/>
      <c r="LP77" s="21"/>
      <c r="LQ77" s="20"/>
      <c r="LR77" s="20"/>
      <c r="LS77" s="20"/>
      <c r="LT77" s="20"/>
      <c r="LU77" s="20"/>
      <c r="LV77" s="20"/>
      <c r="LW77" s="21"/>
      <c r="LX77" s="20"/>
      <c r="LY77" s="20"/>
      <c r="LZ77" s="20"/>
      <c r="MA77" s="20"/>
      <c r="MB77" s="20"/>
      <c r="MC77" s="20"/>
      <c r="MD77" s="21"/>
      <c r="ME77" s="20"/>
      <c r="MF77" s="20"/>
      <c r="MG77" s="20"/>
      <c r="MH77" s="20"/>
      <c r="MI77" s="20"/>
      <c r="MJ77" s="20"/>
      <c r="MK77" s="21"/>
      <c r="ML77" s="20"/>
      <c r="MM77" s="20"/>
      <c r="MN77" s="20"/>
      <c r="MO77" s="20"/>
      <c r="MP77" s="20"/>
      <c r="MQ77" s="20"/>
      <c r="MR77" s="21"/>
    </row>
    <row r="78" spans="1:356" ht="15.75" thickBot="1" x14ac:dyDescent="0.3">
      <c r="A78" s="64" t="s">
        <v>248</v>
      </c>
      <c r="B78" s="62"/>
      <c r="C78" s="62"/>
      <c r="D78" s="62"/>
      <c r="E78" s="63"/>
      <c r="F78" s="62"/>
      <c r="G78" s="62"/>
      <c r="H78" s="62"/>
      <c r="I78" s="62"/>
      <c r="J78" s="62"/>
      <c r="K78" s="62"/>
      <c r="L78" s="62"/>
      <c r="M78" s="62"/>
      <c r="N78" s="62"/>
      <c r="O78" s="63"/>
      <c r="P78" s="85">
        <f>VisibleSum(P72:P75)</f>
        <v>9.3333333333333339</v>
      </c>
      <c r="Q78" s="62">
        <f>P78 / P77 * 100</f>
        <v>35.897435897435898</v>
      </c>
      <c r="R78" s="86"/>
      <c r="S78" s="63" t="str">
        <f>IF(SUM(S44:S64, S72:S75) &gt; 0, SUM(S44:S64, S72:S75), "")</f>
        <v/>
      </c>
      <c r="T78" s="62" t="str">
        <f t="shared" ref="T78:U78" si="362">IF(SUM(T71:T76) &gt; 0, SUM(T71:T76), "")</f>
        <v/>
      </c>
      <c r="U78" s="62" t="str">
        <f t="shared" si="362"/>
        <v/>
      </c>
      <c r="V78" s="62" t="str">
        <f t="shared" ref="V78" si="363">IF(SUM(V71:V76) &gt; 0, SUM(V71:V76), "")</f>
        <v/>
      </c>
      <c r="W78" s="62" t="str">
        <f t="shared" ref="W78" si="364">IF(SUM(W71:W76) &gt; 0, SUM(W71:W76), "")</f>
        <v/>
      </c>
      <c r="X78" s="62" t="str">
        <f t="shared" ref="X78" si="365">IF(SUM(X71:X76) &gt; 0, SUM(X71:X76), "")</f>
        <v/>
      </c>
      <c r="Y78" s="62" t="str">
        <f t="shared" ref="Y78" si="366">IF(SUM(Y71:Y76) &gt; 0, SUM(Y71:Y76), "")</f>
        <v/>
      </c>
      <c r="Z78" s="63" t="str">
        <f t="shared" ref="Z78:AB78" si="367">IF(SUM(Z71:Z76) &gt; 0, SUM(Z71:Z76), "")</f>
        <v/>
      </c>
      <c r="AA78" s="62" t="str">
        <f t="shared" si="367"/>
        <v/>
      </c>
      <c r="AB78" s="62" t="str">
        <f t="shared" si="367"/>
        <v/>
      </c>
      <c r="AC78" s="62" t="str">
        <f t="shared" ref="AC78" si="368">IF(SUM(AC71:AC76) &gt; 0, SUM(AC71:AC76), "")</f>
        <v/>
      </c>
      <c r="AD78" s="62" t="str">
        <f t="shared" ref="AD78" si="369">IF(SUM(AD71:AD76) &gt; 0, SUM(AD71:AD76), "")</f>
        <v/>
      </c>
      <c r="AE78" s="62" t="str">
        <f t="shared" ref="AE78" si="370">IF(SUM(AE71:AE76) &gt; 0, SUM(AE71:AE76), "")</f>
        <v/>
      </c>
      <c r="AF78" s="62" t="str">
        <f t="shared" ref="AF78" si="371">IF(SUM(AF71:AF76) &gt; 0, SUM(AF71:AF76), "")</f>
        <v/>
      </c>
      <c r="AG78" s="63" t="str">
        <f t="shared" ref="AG78" si="372">IF(SUM(AG71:AG76) &gt; 0, SUM(AG71:AG76), "")</f>
        <v/>
      </c>
      <c r="AH78" s="62" t="str">
        <f>IF(SUM(AH71:AH76) &gt; 0, SUM(AH71:AH76), "")</f>
        <v/>
      </c>
      <c r="AI78" s="62" t="str">
        <f>IF(SUM(AI71:AI76) &gt; 0, SUM(AI71:AI76), "")</f>
        <v/>
      </c>
      <c r="AJ78" s="62" t="str">
        <f t="shared" ref="AJ78:AN78" si="373">IF(SUM(AJ71:AJ76) &gt; 0, SUM(AJ71:AJ76), "")</f>
        <v/>
      </c>
      <c r="AK78" s="62">
        <f t="shared" si="373"/>
        <v>3</v>
      </c>
      <c r="AL78" s="62" t="str">
        <f t="shared" si="373"/>
        <v/>
      </c>
      <c r="AM78" s="62" t="str">
        <f t="shared" si="373"/>
        <v/>
      </c>
      <c r="AN78" s="63" t="str">
        <f t="shared" si="373"/>
        <v/>
      </c>
      <c r="AO78" s="62" t="str">
        <f>IF(SUM(AO71:AO76) &gt; 0, SUM(AO71:AO76), "")</f>
        <v/>
      </c>
      <c r="AP78" s="62">
        <f>IF(SUM(AP71:AP76) &gt; 0, SUM(AP71:AP76), "")</f>
        <v>2</v>
      </c>
      <c r="AQ78" s="62" t="str">
        <f t="shared" ref="AQ78" si="374">IF(SUM(AQ71:AQ76) &gt; 0, SUM(AQ71:AQ76), "")</f>
        <v/>
      </c>
      <c r="AR78" s="62">
        <f t="shared" ref="AR78" si="375">IF(SUM(AR71:AR76) &gt; 0, SUM(AR71:AR76), "")</f>
        <v>1</v>
      </c>
      <c r="AS78" s="62" t="str">
        <f t="shared" ref="AS78" si="376">IF(SUM(AS71:AS76) &gt; 0, SUM(AS71:AS76), "")</f>
        <v/>
      </c>
      <c r="AT78" s="62" t="str">
        <f t="shared" ref="AT78" si="377">IF(SUM(AT71:AT76) &gt; 0, SUM(AT71:AT76), "")</f>
        <v/>
      </c>
      <c r="AU78" s="63" t="str">
        <f t="shared" ref="AU78" si="378">IF(SUM(AU71:AU76) &gt; 0, SUM(AU71:AU76), "")</f>
        <v/>
      </c>
      <c r="AV78" s="62" t="str">
        <f>IF(SUM(AV71:AV76) &gt; 0, SUM(AV71:AV76), "")</f>
        <v/>
      </c>
      <c r="AW78" s="62">
        <f>IF(SUM(AW71:AW76) &gt; 0, SUM(AW71:AW76), "")</f>
        <v>2</v>
      </c>
      <c r="AX78" s="62" t="str">
        <f t="shared" ref="AX78" si="379">IF(SUM(AX71:AX76) &gt; 0, SUM(AX71:AX76), "")</f>
        <v/>
      </c>
      <c r="AY78" s="62">
        <f t="shared" ref="AY78" si="380">IF(SUM(AY71:AY76) &gt; 0, SUM(AY71:AY76), "")</f>
        <v>1</v>
      </c>
      <c r="AZ78" s="62" t="str">
        <f t="shared" ref="AZ78" si="381">IF(SUM(AZ71:AZ76) &gt; 0, SUM(AZ71:AZ76), "")</f>
        <v/>
      </c>
      <c r="BA78" s="62" t="str">
        <f t="shared" ref="BA78" si="382">IF(SUM(BA71:BA76) &gt; 0, SUM(BA71:BA76), "")</f>
        <v/>
      </c>
      <c r="BB78" s="63" t="str">
        <f t="shared" ref="BB78" si="383">IF(SUM(BB71:BB76) &gt; 0, SUM(BB71:BB76), "")</f>
        <v/>
      </c>
      <c r="BC78" s="62" t="str">
        <f>IF(SUM(BC71:BC76) &gt; 0, SUM(BC71:BC76), "")</f>
        <v/>
      </c>
      <c r="BD78" s="62">
        <f>IF(SUM(BD71:BD76) &gt; 0, SUM(BD71:BD76), "")</f>
        <v>3</v>
      </c>
      <c r="BE78" s="62" t="str">
        <f t="shared" ref="BE78:ED78" si="384">IF(SUM(BE71:BE76) &gt; 0, SUM(BE71:BE76), "")</f>
        <v/>
      </c>
      <c r="BF78" s="62">
        <f t="shared" si="384"/>
        <v>2</v>
      </c>
      <c r="BG78" s="62" t="str">
        <f t="shared" si="384"/>
        <v/>
      </c>
      <c r="BH78" s="62" t="str">
        <f t="shared" si="384"/>
        <v/>
      </c>
      <c r="BI78" s="63" t="str">
        <f t="shared" si="384"/>
        <v/>
      </c>
      <c r="BJ78" s="62" t="str">
        <f t="shared" si="384"/>
        <v/>
      </c>
      <c r="BK78" s="62">
        <f t="shared" si="384"/>
        <v>2</v>
      </c>
      <c r="BL78" s="62" t="str">
        <f t="shared" si="384"/>
        <v/>
      </c>
      <c r="BM78" s="62">
        <f t="shared" si="384"/>
        <v>3</v>
      </c>
      <c r="BN78" s="62">
        <f t="shared" si="384"/>
        <v>2</v>
      </c>
      <c r="BO78" s="62" t="str">
        <f t="shared" si="384"/>
        <v/>
      </c>
      <c r="BP78" s="63">
        <f t="shared" si="384"/>
        <v>1</v>
      </c>
      <c r="BQ78" s="62" t="str">
        <f t="shared" si="384"/>
        <v/>
      </c>
      <c r="BR78" s="62" t="str">
        <f t="shared" si="384"/>
        <v/>
      </c>
      <c r="BS78" s="62" t="str">
        <f t="shared" si="384"/>
        <v/>
      </c>
      <c r="BT78" s="62" t="str">
        <f t="shared" si="384"/>
        <v/>
      </c>
      <c r="BU78" s="62" t="str">
        <f t="shared" si="384"/>
        <v/>
      </c>
      <c r="BV78" s="62" t="str">
        <f t="shared" si="384"/>
        <v/>
      </c>
      <c r="BW78" s="62">
        <f t="shared" ref="BW78" si="385">IF(SUM(BW71:BW76) &gt; 0, SUM(BW71:BW76), "")</f>
        <v>2</v>
      </c>
      <c r="BX78" s="62"/>
      <c r="BY78" s="63" t="str">
        <f t="shared" si="384"/>
        <v/>
      </c>
      <c r="BZ78" s="62" t="str">
        <f t="shared" si="384"/>
        <v/>
      </c>
      <c r="CA78" s="62" t="str">
        <f t="shared" si="384"/>
        <v/>
      </c>
      <c r="CB78" s="62" t="str">
        <f t="shared" si="384"/>
        <v/>
      </c>
      <c r="CC78" s="62" t="str">
        <f t="shared" si="384"/>
        <v/>
      </c>
      <c r="CD78" s="62" t="str">
        <f t="shared" si="384"/>
        <v/>
      </c>
      <c r="CE78" s="62" t="str">
        <f t="shared" si="384"/>
        <v/>
      </c>
      <c r="CF78" s="62"/>
      <c r="CG78" s="62"/>
      <c r="CH78" s="63" t="str">
        <f t="shared" si="384"/>
        <v/>
      </c>
      <c r="CI78" s="62" t="str">
        <f t="shared" si="384"/>
        <v/>
      </c>
      <c r="CJ78" s="62" t="str">
        <f t="shared" si="384"/>
        <v/>
      </c>
      <c r="CK78" s="62" t="str">
        <f t="shared" si="384"/>
        <v/>
      </c>
      <c r="CL78" s="62" t="str">
        <f t="shared" si="384"/>
        <v/>
      </c>
      <c r="CM78" s="62" t="str">
        <f t="shared" si="384"/>
        <v/>
      </c>
      <c r="CN78" s="62" t="str">
        <f t="shared" si="384"/>
        <v/>
      </c>
      <c r="CO78" s="62" t="str">
        <f t="shared" ref="CO78" si="386">IF(SUM(CO71:CO76) &gt; 0, SUM(CO71:CO76), "")</f>
        <v/>
      </c>
      <c r="CP78" s="62"/>
      <c r="CQ78" s="63" t="str">
        <f t="shared" si="384"/>
        <v/>
      </c>
      <c r="CR78" s="62" t="str">
        <f t="shared" si="384"/>
        <v/>
      </c>
      <c r="CS78" s="62" t="str">
        <f t="shared" si="384"/>
        <v/>
      </c>
      <c r="CT78" s="62" t="str">
        <f t="shared" si="384"/>
        <v/>
      </c>
      <c r="CU78" s="62" t="str">
        <f t="shared" si="384"/>
        <v/>
      </c>
      <c r="CV78" s="62" t="str">
        <f t="shared" si="384"/>
        <v/>
      </c>
      <c r="CW78" s="62"/>
      <c r="CX78" s="62"/>
      <c r="CY78" s="62" t="str">
        <f t="shared" si="384"/>
        <v/>
      </c>
      <c r="CZ78" s="63" t="str">
        <f t="shared" si="384"/>
        <v/>
      </c>
      <c r="DA78" s="62" t="str">
        <f t="shared" si="384"/>
        <v/>
      </c>
      <c r="DB78" s="62" t="str">
        <f t="shared" si="384"/>
        <v/>
      </c>
      <c r="DC78" s="62" t="str">
        <f t="shared" si="384"/>
        <v/>
      </c>
      <c r="DD78" s="62" t="str">
        <f t="shared" si="384"/>
        <v/>
      </c>
      <c r="DE78" s="62" t="str">
        <f t="shared" si="384"/>
        <v/>
      </c>
      <c r="DF78" s="62" t="str">
        <f t="shared" si="384"/>
        <v/>
      </c>
      <c r="DG78" s="62"/>
      <c r="DH78" s="62"/>
      <c r="DI78" s="63" t="str">
        <f t="shared" si="384"/>
        <v/>
      </c>
      <c r="DJ78" s="62" t="str">
        <f t="shared" si="384"/>
        <v/>
      </c>
      <c r="DK78" s="62" t="str">
        <f t="shared" si="384"/>
        <v/>
      </c>
      <c r="DL78" s="62" t="str">
        <f t="shared" si="384"/>
        <v/>
      </c>
      <c r="DM78" s="62" t="str">
        <f t="shared" si="384"/>
        <v/>
      </c>
      <c r="DN78" s="62" t="str">
        <f t="shared" si="384"/>
        <v/>
      </c>
      <c r="DO78" s="62" t="str">
        <f t="shared" si="384"/>
        <v/>
      </c>
      <c r="DP78" s="62"/>
      <c r="DQ78" s="62"/>
      <c r="DR78" s="63" t="str">
        <f t="shared" si="384"/>
        <v/>
      </c>
      <c r="DS78" s="62" t="str">
        <f t="shared" si="384"/>
        <v/>
      </c>
      <c r="DT78" s="62">
        <f t="shared" si="384"/>
        <v>1</v>
      </c>
      <c r="DU78" s="62" t="str">
        <f t="shared" si="384"/>
        <v/>
      </c>
      <c r="DV78" s="62">
        <f t="shared" si="384"/>
        <v>2</v>
      </c>
      <c r="DW78" s="62">
        <f t="shared" si="384"/>
        <v>1</v>
      </c>
      <c r="DX78" s="62"/>
      <c r="DY78" s="62"/>
      <c r="DZ78" s="62" t="str">
        <f t="shared" si="384"/>
        <v/>
      </c>
      <c r="EA78" s="63" t="str">
        <f t="shared" si="384"/>
        <v/>
      </c>
      <c r="EB78" s="62" t="str">
        <f t="shared" si="384"/>
        <v/>
      </c>
      <c r="EC78" s="62">
        <f t="shared" si="384"/>
        <v>1</v>
      </c>
      <c r="ED78" s="62" t="str">
        <f t="shared" si="384"/>
        <v/>
      </c>
      <c r="EE78" s="62">
        <f t="shared" ref="EE78:GX78" si="387">IF(SUM(EE71:EE76) &gt; 0, SUM(EE71:EE76), "")</f>
        <v>1</v>
      </c>
      <c r="EF78" s="62">
        <v>0</v>
      </c>
      <c r="EG78" s="62"/>
      <c r="EH78" s="62"/>
      <c r="EI78" s="62" t="str">
        <f t="shared" si="387"/>
        <v/>
      </c>
      <c r="EJ78" s="63" t="str">
        <f t="shared" si="387"/>
        <v/>
      </c>
      <c r="EK78" s="62" t="str">
        <f t="shared" si="387"/>
        <v/>
      </c>
      <c r="EL78" s="62">
        <f t="shared" si="387"/>
        <v>1</v>
      </c>
      <c r="EM78" s="62" t="str">
        <f t="shared" si="387"/>
        <v/>
      </c>
      <c r="EN78" s="62">
        <f t="shared" si="387"/>
        <v>1</v>
      </c>
      <c r="EO78" s="62">
        <f t="shared" si="387"/>
        <v>2</v>
      </c>
      <c r="EP78" s="62" t="str">
        <f t="shared" si="387"/>
        <v/>
      </c>
      <c r="EQ78" s="62"/>
      <c r="ER78" s="62"/>
      <c r="ES78" s="63" t="str">
        <f t="shared" si="387"/>
        <v/>
      </c>
      <c r="ET78" s="62" t="str">
        <f t="shared" si="387"/>
        <v/>
      </c>
      <c r="EU78" s="62">
        <f t="shared" si="387"/>
        <v>1</v>
      </c>
      <c r="EV78" s="62" t="str">
        <f t="shared" si="387"/>
        <v/>
      </c>
      <c r="EW78" s="62">
        <f t="shared" si="387"/>
        <v>1</v>
      </c>
      <c r="EX78" s="62">
        <f t="shared" si="387"/>
        <v>1</v>
      </c>
      <c r="EY78" s="62" t="str">
        <f t="shared" si="387"/>
        <v/>
      </c>
      <c r="EZ78" s="62"/>
      <c r="FA78" s="62"/>
      <c r="FB78" s="63" t="str">
        <f t="shared" si="387"/>
        <v/>
      </c>
      <c r="FC78" s="62" t="str">
        <f t="shared" si="387"/>
        <v/>
      </c>
      <c r="FD78" s="62" t="str">
        <f t="shared" si="387"/>
        <v/>
      </c>
      <c r="FE78" s="62" t="str">
        <f t="shared" si="387"/>
        <v/>
      </c>
      <c r="FF78" s="62" t="str">
        <f t="shared" si="387"/>
        <v/>
      </c>
      <c r="FG78" s="62" t="str">
        <f t="shared" si="387"/>
        <v/>
      </c>
      <c r="FH78" s="62" t="str">
        <f t="shared" si="387"/>
        <v/>
      </c>
      <c r="FI78" s="62"/>
      <c r="FJ78" s="62"/>
      <c r="FK78" s="63" t="str">
        <f t="shared" si="387"/>
        <v/>
      </c>
      <c r="FL78" s="62" t="str">
        <f t="shared" si="387"/>
        <v/>
      </c>
      <c r="FM78" s="62" t="str">
        <f t="shared" si="387"/>
        <v/>
      </c>
      <c r="FN78" s="62" t="str">
        <f t="shared" si="387"/>
        <v/>
      </c>
      <c r="FO78" s="62" t="str">
        <f t="shared" si="387"/>
        <v/>
      </c>
      <c r="FP78" s="62" t="str">
        <f t="shared" si="387"/>
        <v/>
      </c>
      <c r="FQ78" s="62" t="str">
        <f t="shared" si="387"/>
        <v/>
      </c>
      <c r="FR78" s="63" t="str">
        <f t="shared" si="387"/>
        <v/>
      </c>
      <c r="FS78" s="62" t="str">
        <f t="shared" si="387"/>
        <v/>
      </c>
      <c r="FT78" s="62" t="str">
        <f t="shared" si="387"/>
        <v/>
      </c>
      <c r="FU78" s="62" t="str">
        <f t="shared" si="387"/>
        <v/>
      </c>
      <c r="FV78" s="62" t="str">
        <f t="shared" si="387"/>
        <v/>
      </c>
      <c r="FW78" s="62" t="str">
        <f t="shared" si="387"/>
        <v/>
      </c>
      <c r="FX78" s="62" t="str">
        <f t="shared" si="387"/>
        <v/>
      </c>
      <c r="FY78" s="63" t="str">
        <f t="shared" si="387"/>
        <v/>
      </c>
      <c r="FZ78" s="62" t="str">
        <f t="shared" si="387"/>
        <v/>
      </c>
      <c r="GA78" s="62" t="str">
        <f t="shared" si="387"/>
        <v/>
      </c>
      <c r="GB78" s="62" t="str">
        <f t="shared" si="387"/>
        <v/>
      </c>
      <c r="GC78" s="62" t="str">
        <f t="shared" si="387"/>
        <v/>
      </c>
      <c r="GD78" s="62" t="str">
        <f t="shared" si="387"/>
        <v/>
      </c>
      <c r="GE78" s="62" t="str">
        <f t="shared" si="387"/>
        <v/>
      </c>
      <c r="GF78" s="63" t="str">
        <f t="shared" si="387"/>
        <v/>
      </c>
      <c r="GG78" s="62" t="str">
        <f t="shared" si="387"/>
        <v/>
      </c>
      <c r="GH78" s="62" t="str">
        <f t="shared" si="387"/>
        <v/>
      </c>
      <c r="GI78" s="62" t="str">
        <f t="shared" si="387"/>
        <v/>
      </c>
      <c r="GJ78" s="62" t="str">
        <f t="shared" si="387"/>
        <v/>
      </c>
      <c r="GK78" s="62" t="str">
        <f t="shared" si="387"/>
        <v/>
      </c>
      <c r="GL78" s="62" t="str">
        <f t="shared" si="387"/>
        <v/>
      </c>
      <c r="GM78" s="63" t="str">
        <f t="shared" si="387"/>
        <v/>
      </c>
      <c r="GN78" s="62" t="str">
        <f t="shared" si="387"/>
        <v/>
      </c>
      <c r="GO78" s="62" t="str">
        <f t="shared" si="387"/>
        <v/>
      </c>
      <c r="GP78" s="62" t="str">
        <f t="shared" si="387"/>
        <v/>
      </c>
      <c r="GQ78" s="62" t="str">
        <f t="shared" si="387"/>
        <v/>
      </c>
      <c r="GR78" s="62" t="str">
        <f t="shared" si="387"/>
        <v/>
      </c>
      <c r="GS78" s="62" t="str">
        <f t="shared" si="387"/>
        <v/>
      </c>
      <c r="GT78" s="63" t="str">
        <f t="shared" si="387"/>
        <v/>
      </c>
      <c r="GU78" s="62" t="str">
        <f t="shared" si="387"/>
        <v/>
      </c>
      <c r="GV78" s="62" t="str">
        <f t="shared" si="387"/>
        <v/>
      </c>
      <c r="GW78" s="62" t="str">
        <f t="shared" si="387"/>
        <v/>
      </c>
      <c r="GX78" s="62" t="str">
        <f t="shared" si="387"/>
        <v/>
      </c>
      <c r="GY78" s="62" t="str">
        <f t="shared" ref="GY78:JJ78" si="388">IF(SUM(GY71:GY76) &gt; 0, SUM(GY71:GY76), "")</f>
        <v/>
      </c>
      <c r="GZ78" s="62" t="str">
        <f t="shared" si="388"/>
        <v/>
      </c>
      <c r="HA78" s="63" t="str">
        <f t="shared" si="388"/>
        <v/>
      </c>
      <c r="HB78" s="62" t="str">
        <f t="shared" si="388"/>
        <v/>
      </c>
      <c r="HC78" s="62" t="str">
        <f t="shared" si="388"/>
        <v/>
      </c>
      <c r="HD78" s="62" t="str">
        <f t="shared" si="388"/>
        <v/>
      </c>
      <c r="HE78" s="62" t="str">
        <f t="shared" si="388"/>
        <v/>
      </c>
      <c r="HF78" s="62" t="str">
        <f t="shared" si="388"/>
        <v/>
      </c>
      <c r="HG78" s="62" t="str">
        <f t="shared" si="388"/>
        <v/>
      </c>
      <c r="HH78" s="63" t="str">
        <f t="shared" si="388"/>
        <v/>
      </c>
      <c r="HI78" s="62" t="str">
        <f t="shared" si="388"/>
        <v/>
      </c>
      <c r="HJ78" s="62" t="str">
        <f t="shared" si="388"/>
        <v/>
      </c>
      <c r="HK78" s="62" t="str">
        <f t="shared" si="388"/>
        <v/>
      </c>
      <c r="HL78" s="62" t="str">
        <f t="shared" si="388"/>
        <v/>
      </c>
      <c r="HM78" s="62" t="str">
        <f t="shared" si="388"/>
        <v/>
      </c>
      <c r="HN78" s="62" t="str">
        <f t="shared" si="388"/>
        <v/>
      </c>
      <c r="HO78" s="63" t="str">
        <f t="shared" si="388"/>
        <v/>
      </c>
      <c r="HP78" s="62" t="str">
        <f t="shared" si="388"/>
        <v/>
      </c>
      <c r="HQ78" s="62" t="str">
        <f t="shared" si="388"/>
        <v/>
      </c>
      <c r="HR78" s="62" t="str">
        <f t="shared" si="388"/>
        <v/>
      </c>
      <c r="HS78" s="62" t="str">
        <f t="shared" si="388"/>
        <v/>
      </c>
      <c r="HT78" s="62" t="str">
        <f t="shared" si="388"/>
        <v/>
      </c>
      <c r="HU78" s="62" t="str">
        <f t="shared" si="388"/>
        <v/>
      </c>
      <c r="HV78" s="63" t="str">
        <f t="shared" si="388"/>
        <v/>
      </c>
      <c r="HW78" s="62" t="str">
        <f t="shared" si="388"/>
        <v/>
      </c>
      <c r="HX78" s="62" t="str">
        <f t="shared" si="388"/>
        <v/>
      </c>
      <c r="HY78" s="62" t="str">
        <f t="shared" si="388"/>
        <v/>
      </c>
      <c r="HZ78" s="62" t="str">
        <f t="shared" si="388"/>
        <v/>
      </c>
      <c r="IA78" s="62" t="str">
        <f t="shared" si="388"/>
        <v/>
      </c>
      <c r="IB78" s="62" t="str">
        <f t="shared" si="388"/>
        <v/>
      </c>
      <c r="IC78" s="63" t="str">
        <f t="shared" si="388"/>
        <v/>
      </c>
      <c r="ID78" s="62" t="str">
        <f t="shared" si="388"/>
        <v/>
      </c>
      <c r="IE78" s="62" t="str">
        <f t="shared" si="388"/>
        <v/>
      </c>
      <c r="IF78" s="62" t="str">
        <f t="shared" si="388"/>
        <v/>
      </c>
      <c r="IG78" s="62" t="str">
        <f t="shared" si="388"/>
        <v/>
      </c>
      <c r="IH78" s="62" t="str">
        <f t="shared" si="388"/>
        <v/>
      </c>
      <c r="II78" s="62" t="str">
        <f t="shared" si="388"/>
        <v/>
      </c>
      <c r="IJ78" s="63" t="str">
        <f t="shared" si="388"/>
        <v/>
      </c>
      <c r="IK78" s="62" t="str">
        <f t="shared" si="388"/>
        <v/>
      </c>
      <c r="IL78" s="62" t="str">
        <f t="shared" si="388"/>
        <v/>
      </c>
      <c r="IM78" s="62" t="str">
        <f t="shared" si="388"/>
        <v/>
      </c>
      <c r="IN78" s="62" t="str">
        <f t="shared" si="388"/>
        <v/>
      </c>
      <c r="IO78" s="62" t="str">
        <f t="shared" si="388"/>
        <v/>
      </c>
      <c r="IP78" s="62" t="str">
        <f t="shared" si="388"/>
        <v/>
      </c>
      <c r="IQ78" s="63" t="str">
        <f t="shared" si="388"/>
        <v/>
      </c>
      <c r="IR78" s="62" t="str">
        <f t="shared" si="388"/>
        <v/>
      </c>
      <c r="IS78" s="62" t="str">
        <f t="shared" si="388"/>
        <v/>
      </c>
      <c r="IT78" s="62" t="str">
        <f t="shared" si="388"/>
        <v/>
      </c>
      <c r="IU78" s="62" t="str">
        <f t="shared" si="388"/>
        <v/>
      </c>
      <c r="IV78" s="62" t="str">
        <f t="shared" si="388"/>
        <v/>
      </c>
      <c r="IW78" s="62" t="str">
        <f t="shared" si="388"/>
        <v/>
      </c>
      <c r="IX78" s="63" t="str">
        <f t="shared" si="388"/>
        <v/>
      </c>
      <c r="IY78" s="62" t="str">
        <f t="shared" si="388"/>
        <v/>
      </c>
      <c r="IZ78" s="62" t="str">
        <f t="shared" si="388"/>
        <v/>
      </c>
      <c r="JA78" s="62" t="str">
        <f t="shared" si="388"/>
        <v/>
      </c>
      <c r="JB78" s="62" t="str">
        <f t="shared" si="388"/>
        <v/>
      </c>
      <c r="JC78" s="62" t="str">
        <f t="shared" si="388"/>
        <v/>
      </c>
      <c r="JD78" s="62" t="str">
        <f t="shared" si="388"/>
        <v/>
      </c>
      <c r="JE78" s="63" t="str">
        <f t="shared" si="388"/>
        <v/>
      </c>
      <c r="JF78" s="62" t="str">
        <f t="shared" si="388"/>
        <v/>
      </c>
      <c r="JG78" s="62" t="str">
        <f t="shared" si="388"/>
        <v/>
      </c>
      <c r="JH78" s="62" t="str">
        <f t="shared" si="388"/>
        <v/>
      </c>
      <c r="JI78" s="62" t="str">
        <f t="shared" si="388"/>
        <v/>
      </c>
      <c r="JJ78" s="62" t="str">
        <f t="shared" si="388"/>
        <v/>
      </c>
      <c r="JK78" s="62" t="str">
        <f t="shared" ref="JK78:LV78" si="389">IF(SUM(JK71:JK76) &gt; 0, SUM(JK71:JK76), "")</f>
        <v/>
      </c>
      <c r="JL78" s="63" t="str">
        <f t="shared" si="389"/>
        <v/>
      </c>
      <c r="JM78" s="62" t="str">
        <f t="shared" si="389"/>
        <v/>
      </c>
      <c r="JN78" s="62" t="str">
        <f t="shared" si="389"/>
        <v/>
      </c>
      <c r="JO78" s="62" t="str">
        <f t="shared" si="389"/>
        <v/>
      </c>
      <c r="JP78" s="62" t="str">
        <f t="shared" si="389"/>
        <v/>
      </c>
      <c r="JQ78" s="62" t="str">
        <f t="shared" si="389"/>
        <v/>
      </c>
      <c r="JR78" s="62" t="str">
        <f t="shared" si="389"/>
        <v/>
      </c>
      <c r="JS78" s="63" t="str">
        <f t="shared" si="389"/>
        <v/>
      </c>
      <c r="JT78" s="62" t="str">
        <f t="shared" si="389"/>
        <v/>
      </c>
      <c r="JU78" s="62" t="str">
        <f t="shared" si="389"/>
        <v/>
      </c>
      <c r="JV78" s="62" t="str">
        <f t="shared" si="389"/>
        <v/>
      </c>
      <c r="JW78" s="62" t="str">
        <f t="shared" si="389"/>
        <v/>
      </c>
      <c r="JX78" s="62" t="str">
        <f t="shared" si="389"/>
        <v/>
      </c>
      <c r="JY78" s="62" t="str">
        <f t="shared" si="389"/>
        <v/>
      </c>
      <c r="JZ78" s="63" t="str">
        <f t="shared" si="389"/>
        <v/>
      </c>
      <c r="KA78" s="62" t="str">
        <f t="shared" si="389"/>
        <v/>
      </c>
      <c r="KB78" s="62" t="str">
        <f t="shared" si="389"/>
        <v/>
      </c>
      <c r="KC78" s="62" t="str">
        <f t="shared" si="389"/>
        <v/>
      </c>
      <c r="KD78" s="62" t="str">
        <f t="shared" si="389"/>
        <v/>
      </c>
      <c r="KE78" s="62" t="str">
        <f t="shared" si="389"/>
        <v/>
      </c>
      <c r="KF78" s="62" t="str">
        <f t="shared" si="389"/>
        <v/>
      </c>
      <c r="KG78" s="63" t="str">
        <f t="shared" si="389"/>
        <v/>
      </c>
      <c r="KH78" s="62" t="str">
        <f t="shared" si="389"/>
        <v/>
      </c>
      <c r="KI78" s="62" t="str">
        <f t="shared" si="389"/>
        <v/>
      </c>
      <c r="KJ78" s="62" t="str">
        <f t="shared" si="389"/>
        <v/>
      </c>
      <c r="KK78" s="62" t="str">
        <f t="shared" si="389"/>
        <v/>
      </c>
      <c r="KL78" s="62" t="str">
        <f t="shared" si="389"/>
        <v/>
      </c>
      <c r="KM78" s="62" t="str">
        <f t="shared" si="389"/>
        <v/>
      </c>
      <c r="KN78" s="63" t="str">
        <f t="shared" si="389"/>
        <v/>
      </c>
      <c r="KO78" s="62" t="str">
        <f t="shared" si="389"/>
        <v/>
      </c>
      <c r="KP78" s="62" t="str">
        <f t="shared" si="389"/>
        <v/>
      </c>
      <c r="KQ78" s="62" t="str">
        <f t="shared" si="389"/>
        <v/>
      </c>
      <c r="KR78" s="62" t="str">
        <f t="shared" si="389"/>
        <v/>
      </c>
      <c r="KS78" s="62" t="str">
        <f t="shared" si="389"/>
        <v/>
      </c>
      <c r="KT78" s="62" t="str">
        <f t="shared" si="389"/>
        <v/>
      </c>
      <c r="KU78" s="63" t="str">
        <f t="shared" si="389"/>
        <v/>
      </c>
      <c r="KV78" s="62" t="str">
        <f t="shared" si="389"/>
        <v/>
      </c>
      <c r="KW78" s="62" t="str">
        <f t="shared" si="389"/>
        <v/>
      </c>
      <c r="KX78" s="62" t="str">
        <f t="shared" si="389"/>
        <v/>
      </c>
      <c r="KY78" s="62" t="str">
        <f t="shared" si="389"/>
        <v/>
      </c>
      <c r="KZ78" s="62" t="str">
        <f t="shared" si="389"/>
        <v/>
      </c>
      <c r="LA78" s="62" t="str">
        <f t="shared" si="389"/>
        <v/>
      </c>
      <c r="LB78" s="63" t="str">
        <f t="shared" si="389"/>
        <v/>
      </c>
      <c r="LC78" s="62" t="str">
        <f t="shared" si="389"/>
        <v/>
      </c>
      <c r="LD78" s="62" t="str">
        <f t="shared" si="389"/>
        <v/>
      </c>
      <c r="LE78" s="62" t="str">
        <f t="shared" si="389"/>
        <v/>
      </c>
      <c r="LF78" s="62" t="str">
        <f t="shared" si="389"/>
        <v/>
      </c>
      <c r="LG78" s="62" t="str">
        <f t="shared" si="389"/>
        <v/>
      </c>
      <c r="LH78" s="62" t="str">
        <f t="shared" si="389"/>
        <v/>
      </c>
      <c r="LI78" s="63" t="str">
        <f t="shared" si="389"/>
        <v/>
      </c>
      <c r="LJ78" s="62" t="str">
        <f t="shared" si="389"/>
        <v/>
      </c>
      <c r="LK78" s="62" t="str">
        <f t="shared" si="389"/>
        <v/>
      </c>
      <c r="LL78" s="62" t="str">
        <f t="shared" si="389"/>
        <v/>
      </c>
      <c r="LM78" s="62" t="str">
        <f t="shared" si="389"/>
        <v/>
      </c>
      <c r="LN78" s="62" t="str">
        <f t="shared" si="389"/>
        <v/>
      </c>
      <c r="LO78" s="62" t="str">
        <f t="shared" si="389"/>
        <v/>
      </c>
      <c r="LP78" s="63" t="str">
        <f t="shared" si="389"/>
        <v/>
      </c>
      <c r="LQ78" s="62" t="str">
        <f t="shared" si="389"/>
        <v/>
      </c>
      <c r="LR78" s="62" t="str">
        <f t="shared" si="389"/>
        <v/>
      </c>
      <c r="LS78" s="62" t="str">
        <f t="shared" si="389"/>
        <v/>
      </c>
      <c r="LT78" s="62" t="str">
        <f t="shared" si="389"/>
        <v/>
      </c>
      <c r="LU78" s="62" t="str">
        <f t="shared" si="389"/>
        <v/>
      </c>
      <c r="LV78" s="62" t="str">
        <f t="shared" si="389"/>
        <v/>
      </c>
      <c r="LW78" s="63" t="str">
        <f t="shared" ref="LW78:MR78" si="390">IF(SUM(LW71:LW76) &gt; 0, SUM(LW71:LW76), "")</f>
        <v/>
      </c>
      <c r="LX78" s="62" t="str">
        <f t="shared" si="390"/>
        <v/>
      </c>
      <c r="LY78" s="62" t="str">
        <f t="shared" si="390"/>
        <v/>
      </c>
      <c r="LZ78" s="62" t="str">
        <f t="shared" si="390"/>
        <v/>
      </c>
      <c r="MA78" s="62" t="str">
        <f t="shared" si="390"/>
        <v/>
      </c>
      <c r="MB78" s="62" t="str">
        <f t="shared" si="390"/>
        <v/>
      </c>
      <c r="MC78" s="62" t="str">
        <f t="shared" si="390"/>
        <v/>
      </c>
      <c r="MD78" s="63" t="str">
        <f t="shared" si="390"/>
        <v/>
      </c>
      <c r="ME78" s="62" t="str">
        <f t="shared" si="390"/>
        <v/>
      </c>
      <c r="MF78" s="62" t="str">
        <f t="shared" si="390"/>
        <v/>
      </c>
      <c r="MG78" s="62" t="str">
        <f t="shared" si="390"/>
        <v/>
      </c>
      <c r="MH78" s="62" t="str">
        <f t="shared" si="390"/>
        <v/>
      </c>
      <c r="MI78" s="62" t="str">
        <f t="shared" si="390"/>
        <v/>
      </c>
      <c r="MJ78" s="62" t="str">
        <f t="shared" si="390"/>
        <v/>
      </c>
      <c r="MK78" s="63" t="str">
        <f t="shared" si="390"/>
        <v/>
      </c>
      <c r="ML78" s="62" t="str">
        <f t="shared" si="390"/>
        <v/>
      </c>
      <c r="MM78" s="62" t="str">
        <f t="shared" si="390"/>
        <v/>
      </c>
      <c r="MN78" s="62" t="str">
        <f t="shared" si="390"/>
        <v/>
      </c>
      <c r="MO78" s="62" t="str">
        <f t="shared" si="390"/>
        <v/>
      </c>
      <c r="MP78" s="62" t="str">
        <f t="shared" si="390"/>
        <v/>
      </c>
      <c r="MQ78" s="62" t="str">
        <f t="shared" si="390"/>
        <v/>
      </c>
      <c r="MR78" s="87" t="str">
        <f t="shared" si="390"/>
        <v/>
      </c>
    </row>
    <row r="79" spans="1:356" ht="15.75" thickBot="1" x14ac:dyDescent="0.3">
      <c r="A79" s="64" t="s">
        <v>249</v>
      </c>
      <c r="B79" s="62"/>
      <c r="C79" s="62"/>
      <c r="D79" s="62"/>
      <c r="E79" s="63"/>
      <c r="F79" s="62"/>
      <c r="G79" s="62"/>
      <c r="H79" s="62"/>
      <c r="I79" s="62"/>
      <c r="J79" s="62"/>
      <c r="K79" s="62"/>
      <c r="L79" s="62"/>
      <c r="M79" s="62"/>
      <c r="N79" s="62"/>
      <c r="O79" s="63"/>
      <c r="P79" s="62"/>
      <c r="Q79" s="62"/>
      <c r="R79" s="63"/>
      <c r="S79" s="62" t="str">
        <f>IF(SUM(S66, S78) &gt; 0, SUM(S66, S78), "")</f>
        <v/>
      </c>
      <c r="T79" s="65" t="str">
        <f t="shared" ref="T79:Z79" si="391">IF(SUM(T66, T78) &gt; 0, SUM(T66, T78), "")</f>
        <v/>
      </c>
      <c r="U79" s="62" t="str">
        <f t="shared" si="391"/>
        <v/>
      </c>
      <c r="V79" s="62" t="str">
        <f t="shared" si="391"/>
        <v/>
      </c>
      <c r="W79" s="62" t="str">
        <f t="shared" si="391"/>
        <v/>
      </c>
      <c r="X79" s="62" t="str">
        <f t="shared" si="391"/>
        <v/>
      </c>
      <c r="Y79" s="62" t="str">
        <f t="shared" si="391"/>
        <v/>
      </c>
      <c r="Z79" s="63" t="str">
        <f t="shared" si="391"/>
        <v/>
      </c>
      <c r="AA79" s="65" t="str">
        <f t="shared" ref="AA79" si="392">IF(SUM(AA66, AA78) &gt; 0, SUM(AA66, AA78), "")</f>
        <v/>
      </c>
      <c r="AB79" s="62" t="str">
        <f t="shared" ref="AB79" si="393">IF(SUM(AB66, AB78) &gt; 0, SUM(AB66, AB78), "")</f>
        <v/>
      </c>
      <c r="AC79" s="62" t="str">
        <f t="shared" ref="AC79" si="394">IF(SUM(AC66, AC78) &gt; 0, SUM(AC66, AC78), "")</f>
        <v/>
      </c>
      <c r="AD79" s="62" t="str">
        <f t="shared" ref="AD79" si="395">IF(SUM(AD66, AD78) &gt; 0, SUM(AD66, AD78), "")</f>
        <v/>
      </c>
      <c r="AE79" s="62" t="str">
        <f t="shared" ref="AE79" si="396">IF(SUM(AE66, AE78) &gt; 0, SUM(AE66, AE78), "")</f>
        <v/>
      </c>
      <c r="AF79" s="62" t="str">
        <f t="shared" ref="AF79" si="397">IF(SUM(AF66, AF78) &gt; 0, SUM(AF66, AF78), "")</f>
        <v/>
      </c>
      <c r="AG79" s="63" t="str">
        <f t="shared" ref="AG79" si="398">IF(SUM(AG66, AG78) &gt; 0, SUM(AG66, AG78), "")</f>
        <v/>
      </c>
      <c r="AH79" s="65" t="str">
        <f t="shared" ref="AH79" si="399">IF(SUM(AH66, AH78) &gt; 0, SUM(AH66, AH78), "")</f>
        <v/>
      </c>
      <c r="AI79" s="62">
        <f t="shared" ref="AI79" si="400">IF(SUM(AI66, AI78) &gt; 0, SUM(AI66, AI78), "")</f>
        <v>11</v>
      </c>
      <c r="AJ79" s="62" t="str">
        <f t="shared" ref="AJ79" si="401">IF(SUM(AJ66, AJ78) &gt; 0, SUM(AJ66, AJ78), "")</f>
        <v/>
      </c>
      <c r="AK79" s="62">
        <f t="shared" ref="AK79" si="402">IF(SUM(AK66, AK78) &gt; 0, SUM(AK66, AK78), "")</f>
        <v>10</v>
      </c>
      <c r="AL79" s="62" t="str">
        <f t="shared" ref="AL79" si="403">IF(SUM(AL66, AL78) &gt; 0, SUM(AL66, AL78), "")</f>
        <v/>
      </c>
      <c r="AM79" s="62" t="str">
        <f t="shared" ref="AM79" si="404">IF(SUM(AM66, AM78) &gt; 0, SUM(AM66, AM78), "")</f>
        <v/>
      </c>
      <c r="AN79" s="63" t="str">
        <f t="shared" ref="AN79" si="405">IF(SUM(AN66, AN78) &gt; 0, SUM(AN66, AN78), "")</f>
        <v/>
      </c>
      <c r="AO79" s="65" t="str">
        <f t="shared" ref="AO79" si="406">IF(SUM(AO66, AO78) &gt; 0, SUM(AO66, AO78), "")</f>
        <v/>
      </c>
      <c r="AP79" s="62">
        <f t="shared" ref="AP79" si="407">IF(SUM(AP66, AP78) &gt; 0, SUM(AP66, AP78), "")</f>
        <v>11</v>
      </c>
      <c r="AQ79" s="62" t="str">
        <f t="shared" ref="AQ79" si="408">IF(SUM(AQ66, AQ78) &gt; 0, SUM(AQ66, AQ78), "")</f>
        <v/>
      </c>
      <c r="AR79" s="62">
        <f t="shared" ref="AR79" si="409">IF(SUM(AR66, AR78) &gt; 0, SUM(AR66, AR78), "")</f>
        <v>10</v>
      </c>
      <c r="AS79" s="62" t="str">
        <f t="shared" ref="AS79" si="410">IF(SUM(AS66, AS78) &gt; 0, SUM(AS66, AS78), "")</f>
        <v/>
      </c>
      <c r="AT79" s="62" t="str">
        <f t="shared" ref="AT79" si="411">IF(SUM(AT66, AT78) &gt; 0, SUM(AT66, AT78), "")</f>
        <v/>
      </c>
      <c r="AU79" s="63" t="str">
        <f t="shared" ref="AU79" si="412">IF(SUM(AU66, AU78) &gt; 0, SUM(AU66, AU78), "")</f>
        <v/>
      </c>
      <c r="AV79" s="65" t="str">
        <f t="shared" ref="AV79" si="413">IF(SUM(AV66, AV78) &gt; 0, SUM(AV66, AV78), "")</f>
        <v/>
      </c>
      <c r="AW79" s="62">
        <f t="shared" ref="AW79" si="414">IF(SUM(AW66, AW78) &gt; 0, SUM(AW66, AW78), "")</f>
        <v>11</v>
      </c>
      <c r="AX79" s="62">
        <f t="shared" ref="AX79" si="415">IF(SUM(AX66, AX78) &gt; 0, SUM(AX66, AX78), "")</f>
        <v>6</v>
      </c>
      <c r="AY79" s="62">
        <f t="shared" ref="AY79" si="416">IF(SUM(AY66, AY78) &gt; 0, SUM(AY66, AY78), "")</f>
        <v>8</v>
      </c>
      <c r="AZ79" s="62" t="str">
        <f t="shared" ref="AZ79" si="417">IF(SUM(AZ66, AZ78) &gt; 0, SUM(AZ66, AZ78), "")</f>
        <v/>
      </c>
      <c r="BA79" s="62" t="str">
        <f t="shared" ref="BA79" si="418">IF(SUM(BA66, BA78) &gt; 0, SUM(BA66, BA78), "")</f>
        <v/>
      </c>
      <c r="BB79" s="63" t="str">
        <f t="shared" ref="BB79" si="419">IF(SUM(BB66, BB78) &gt; 0, SUM(BB66, BB78), "")</f>
        <v/>
      </c>
      <c r="BC79" s="65" t="str">
        <f t="shared" ref="BC79" si="420">IF(SUM(BC66, BC78) &gt; 0, SUM(BC66, BC78), "")</f>
        <v/>
      </c>
      <c r="BD79" s="62">
        <f t="shared" ref="BD79" si="421">IF(SUM(BD66, BD78) &gt; 0, SUM(BD66, BD78), "")</f>
        <v>11</v>
      </c>
      <c r="BE79" s="62" t="str">
        <f t="shared" ref="BE79" si="422">IF(SUM(BE66, BE78) &gt; 0, SUM(BE66, BE78), "")</f>
        <v/>
      </c>
      <c r="BF79" s="62">
        <f t="shared" ref="BF79" si="423">IF(SUM(BF66, BF78) &gt; 0, SUM(BF66, BF78), "")</f>
        <v>8</v>
      </c>
      <c r="BG79" s="62" t="str">
        <f t="shared" ref="BG79" si="424">IF(SUM(BG66, BG78) &gt; 0, SUM(BG66, BG78), "")</f>
        <v/>
      </c>
      <c r="BH79" s="62" t="str">
        <f t="shared" ref="BH79" si="425">IF(SUM(BH66, BH78) &gt; 0, SUM(BH66, BH78), "")</f>
        <v/>
      </c>
      <c r="BI79" s="63" t="str">
        <f t="shared" ref="BI79" si="426">IF(SUM(BI66, BI78) &gt; 0, SUM(BI66, BI78), "")</f>
        <v/>
      </c>
      <c r="BJ79" s="65" t="str">
        <f t="shared" ref="BJ79" si="427">IF(SUM(BJ66, BJ78) &gt; 0, SUM(BJ66, BJ78), "")</f>
        <v/>
      </c>
      <c r="BK79" s="62">
        <f t="shared" ref="BK79" si="428">IF(SUM(BK66, BK78) &gt; 0, SUM(BK66, BK78), "")</f>
        <v>9</v>
      </c>
      <c r="BL79" s="62" t="str">
        <f t="shared" ref="BL79" si="429">IF(SUM(BL66, BL78) &gt; 0, SUM(BL66, BL78), "")</f>
        <v/>
      </c>
      <c r="BM79" s="62">
        <f t="shared" ref="BM79" si="430">IF(SUM(BM66, BM78) &gt; 0, SUM(BM66, BM78), "")</f>
        <v>13</v>
      </c>
      <c r="BN79" s="62">
        <f t="shared" ref="BN79" si="431">IF(SUM(BN66, BN78) &gt; 0, SUM(BN66, BN78), "")</f>
        <v>12</v>
      </c>
      <c r="BO79" s="62" t="str">
        <f t="shared" ref="BO79:BP79" si="432">IF(SUM(BO66, BO78) &gt; 0, SUM(BO66, BO78), "")</f>
        <v/>
      </c>
      <c r="BP79" s="63">
        <f t="shared" si="432"/>
        <v>5</v>
      </c>
      <c r="BQ79" s="62" t="str">
        <f t="shared" ref="BQ79" si="433">IF(SUM(BQ66, BQ78) &gt; 0, SUM(BQ66, BQ78), "")</f>
        <v/>
      </c>
      <c r="BR79" s="62" t="str">
        <f t="shared" ref="BR79" si="434">IF(SUM(BR66, BR78) &gt; 0, SUM(BR66, BR78), "")</f>
        <v/>
      </c>
      <c r="BS79" s="62" t="str">
        <f t="shared" ref="BS79" si="435">IF(SUM(BS66, BS78) &gt; 0, SUM(BS66, BS78), "")</f>
        <v/>
      </c>
      <c r="BT79" s="62" t="str">
        <f t="shared" ref="BT79" si="436">IF(SUM(BT66, BT78) &gt; 0, SUM(BT66, BT78), "")</f>
        <v/>
      </c>
      <c r="BU79" s="62" t="str">
        <f t="shared" ref="BU79" si="437">IF(SUM(BU66, BU78) &gt; 0, SUM(BU66, BU78), "")</f>
        <v/>
      </c>
      <c r="BV79" s="62" t="str">
        <f t="shared" ref="BV79:BW79" si="438">IF(SUM(BV66, BV78) &gt; 0, SUM(BV66, BV78), "")</f>
        <v/>
      </c>
      <c r="BW79" s="62">
        <f t="shared" si="438"/>
        <v>2</v>
      </c>
      <c r="BX79" s="62"/>
      <c r="BY79" s="63" t="str">
        <f t="shared" ref="BY79" si="439">IF(SUM(BY66, BY78) &gt; 0, SUM(BY66, BY78), "")</f>
        <v/>
      </c>
      <c r="BZ79" s="65" t="str">
        <f t="shared" ref="BZ79" si="440">IF(SUM(BZ66, BZ78) &gt; 0, SUM(BZ66, BZ78), "")</f>
        <v/>
      </c>
      <c r="CA79" s="62" t="str">
        <f t="shared" ref="CA79" si="441">IF(SUM(CA66, CA78) &gt; 0, SUM(CA66, CA78), "")</f>
        <v/>
      </c>
      <c r="CB79" s="62" t="str">
        <f t="shared" ref="CB79" si="442">IF(SUM(CB66, CB78) &gt; 0, SUM(CB66, CB78), "")</f>
        <v/>
      </c>
      <c r="CC79" s="62" t="str">
        <f t="shared" ref="CC79" si="443">IF(SUM(CC66, CC78) &gt; 0, SUM(CC66, CC78), "")</f>
        <v/>
      </c>
      <c r="CD79" s="62" t="str">
        <f t="shared" ref="CD79" si="444">IF(SUM(CD66, CD78) &gt; 0, SUM(CD66, CD78), "")</f>
        <v/>
      </c>
      <c r="CE79" s="62" t="str">
        <f t="shared" ref="CE79" si="445">IF(SUM(CE66, CE78) &gt; 0, SUM(CE66, CE78), "")</f>
        <v/>
      </c>
      <c r="CF79" s="62"/>
      <c r="CG79" s="62"/>
      <c r="CH79" s="63" t="str">
        <f t="shared" ref="CH79" si="446">IF(SUM(CH66, CH78) &gt; 0, SUM(CH66, CH78), "")</f>
        <v/>
      </c>
      <c r="CI79" s="65" t="str">
        <f t="shared" ref="CI79" si="447">IF(SUM(CI66, CI78) &gt; 0, SUM(CI66, CI78), "")</f>
        <v/>
      </c>
      <c r="CJ79" s="62" t="str">
        <f t="shared" ref="CJ79" si="448">IF(SUM(CJ66, CJ78) &gt; 0, SUM(CJ66, CJ78), "")</f>
        <v/>
      </c>
      <c r="CK79" s="62" t="str">
        <f t="shared" ref="CK79" si="449">IF(SUM(CK66, CK78) &gt; 0, SUM(CK66, CK78), "")</f>
        <v/>
      </c>
      <c r="CL79" s="62" t="str">
        <f t="shared" ref="CL79" si="450">IF(SUM(CL66, CL78) &gt; 0, SUM(CL66, CL78), "")</f>
        <v/>
      </c>
      <c r="CM79" s="62" t="str">
        <f t="shared" ref="CM79" si="451">IF(SUM(CM66, CM78) &gt; 0, SUM(CM66, CM78), "")</f>
        <v/>
      </c>
      <c r="CN79" s="62" t="str">
        <f t="shared" ref="CN79:CO79" si="452">IF(SUM(CN66, CN78) &gt; 0, SUM(CN66, CN78), "")</f>
        <v/>
      </c>
      <c r="CO79" s="62" t="str">
        <f t="shared" si="452"/>
        <v/>
      </c>
      <c r="CP79" s="62"/>
      <c r="CQ79" s="63" t="str">
        <f t="shared" ref="CQ79" si="453">IF(SUM(CQ66, CQ78) &gt; 0, SUM(CQ66, CQ78), "")</f>
        <v/>
      </c>
      <c r="CR79" s="65" t="str">
        <f t="shared" ref="CR79" si="454">IF(SUM(CR66, CR78) &gt; 0, SUM(CR66, CR78), "")</f>
        <v/>
      </c>
      <c r="CS79" s="62" t="str">
        <f t="shared" ref="CS79" si="455">IF(SUM(CS66, CS78) &gt; 0, SUM(CS66, CS78), "")</f>
        <v/>
      </c>
      <c r="CT79" s="62" t="str">
        <f t="shared" ref="CT79" si="456">IF(SUM(CT66, CT78) &gt; 0, SUM(CT66, CT78), "")</f>
        <v/>
      </c>
      <c r="CU79" s="62" t="str">
        <f t="shared" ref="CU79" si="457">IF(SUM(CU66, CU78) &gt; 0, SUM(CU66, CU78), "")</f>
        <v/>
      </c>
      <c r="CV79" s="62" t="str">
        <f t="shared" ref="CV79" si="458">IF(SUM(CV66, CV78) &gt; 0, SUM(CV66, CV78), "")</f>
        <v/>
      </c>
      <c r="CW79" s="62"/>
      <c r="CX79" s="62"/>
      <c r="CY79" s="62" t="str">
        <f t="shared" ref="CY79" si="459">IF(SUM(CY66, CY78) &gt; 0, SUM(CY66, CY78), "")</f>
        <v/>
      </c>
      <c r="CZ79" s="63" t="str">
        <f t="shared" ref="CZ79" si="460">IF(SUM(CZ66, CZ78) &gt; 0, SUM(CZ66, CZ78), "")</f>
        <v/>
      </c>
      <c r="DA79" s="65" t="str">
        <f t="shared" ref="DA79" si="461">IF(SUM(DA66, DA78) &gt; 0, SUM(DA66, DA78), "")</f>
        <v/>
      </c>
      <c r="DB79" s="62" t="str">
        <f t="shared" ref="DB79" si="462">IF(SUM(DB66, DB78) &gt; 0, SUM(DB66, DB78), "")</f>
        <v/>
      </c>
      <c r="DC79" s="62" t="str">
        <f t="shared" ref="DC79" si="463">IF(SUM(DC66, DC78) &gt; 0, SUM(DC66, DC78), "")</f>
        <v/>
      </c>
      <c r="DD79" s="62" t="str">
        <f t="shared" ref="DD79" si="464">IF(SUM(DD66, DD78) &gt; 0, SUM(DD66, DD78), "")</f>
        <v/>
      </c>
      <c r="DE79" s="62" t="str">
        <f t="shared" ref="DE79" si="465">IF(SUM(DE66, DE78) &gt; 0, SUM(DE66, DE78), "")</f>
        <v/>
      </c>
      <c r="DF79" s="62" t="str">
        <f t="shared" ref="DF79" si="466">IF(SUM(DF66, DF78) &gt; 0, SUM(DF66, DF78), "")</f>
        <v/>
      </c>
      <c r="DG79" s="62"/>
      <c r="DH79" s="62"/>
      <c r="DI79" s="63" t="str">
        <f t="shared" ref="DI79" si="467">IF(SUM(DI66, DI78) &gt; 0, SUM(DI66, DI78), "")</f>
        <v/>
      </c>
      <c r="DJ79" s="65" t="str">
        <f t="shared" ref="DJ79" si="468">IF(SUM(DJ66, DJ78) &gt; 0, SUM(DJ66, DJ78), "")</f>
        <v/>
      </c>
      <c r="DK79" s="62" t="str">
        <f t="shared" ref="DK79" si="469">IF(SUM(DK66, DK78) &gt; 0, SUM(DK66, DK78), "")</f>
        <v/>
      </c>
      <c r="DL79" s="62" t="str">
        <f t="shared" ref="DL79" si="470">IF(SUM(DL66, DL78) &gt; 0, SUM(DL66, DL78), "")</f>
        <v/>
      </c>
      <c r="DM79" s="62" t="str">
        <f t="shared" ref="DM79" si="471">IF(SUM(DM66, DM78) &gt; 0, SUM(DM66, DM78), "")</f>
        <v/>
      </c>
      <c r="DN79" s="62" t="str">
        <f t="shared" ref="DN79" si="472">IF(SUM(DN66, DN78) &gt; 0, SUM(DN66, DN78), "")</f>
        <v/>
      </c>
      <c r="DO79" s="62" t="str">
        <f t="shared" ref="DO79" si="473">IF(SUM(DO66, DO78) &gt; 0, SUM(DO66, DO78), "")</f>
        <v/>
      </c>
      <c r="DP79" s="62"/>
      <c r="DQ79" s="62"/>
      <c r="DR79" s="63" t="str">
        <f t="shared" ref="DR79" si="474">IF(SUM(DR66, DR78) &gt; 0, SUM(DR66, DR78), "")</f>
        <v/>
      </c>
      <c r="DS79" s="65" t="str">
        <f t="shared" ref="DS79" si="475">IF(SUM(DS66, DS78) &gt; 0, SUM(DS66, DS78), "")</f>
        <v/>
      </c>
      <c r="DT79" s="62">
        <f t="shared" ref="DT79" si="476">IF(SUM(DT66, DT78) &gt; 0, SUM(DT66, DT78), "")</f>
        <v>8</v>
      </c>
      <c r="DU79" s="62" t="str">
        <f t="shared" ref="DU79" si="477">IF(SUM(DU66, DU78) &gt; 0, SUM(DU66, DU78), "")</f>
        <v/>
      </c>
      <c r="DV79" s="62">
        <f t="shared" ref="DV79" si="478">IF(SUM(DV66, DV78) &gt; 0, SUM(DV66, DV78), "")</f>
        <v>7</v>
      </c>
      <c r="DW79" s="62">
        <f t="shared" ref="DW79" si="479">IF(SUM(DW66, DW78) &gt; 0, SUM(DW66, DW78), "")</f>
        <v>6</v>
      </c>
      <c r="DX79" s="62"/>
      <c r="DY79" s="62"/>
      <c r="DZ79" s="62" t="str">
        <f t="shared" ref="DZ79" si="480">IF(SUM(DZ66, DZ78) &gt; 0, SUM(DZ66, DZ78), "")</f>
        <v/>
      </c>
      <c r="EA79" s="63" t="str">
        <f t="shared" ref="EA79" si="481">IF(SUM(EA66, EA78) &gt; 0, SUM(EA66, EA78), "")</f>
        <v/>
      </c>
      <c r="EB79" s="65" t="str">
        <f t="shared" ref="EB79" si="482">IF(SUM(EB66, EB78) &gt; 0, SUM(EB66, EB78), "")</f>
        <v/>
      </c>
      <c r="EC79" s="62">
        <f t="shared" ref="EC79" si="483">IF(SUM(EC66, EC78) &gt; 0, SUM(EC66, EC78), "")</f>
        <v>7</v>
      </c>
      <c r="ED79" s="62" t="str">
        <f t="shared" ref="ED79" si="484">IF(SUM(ED66, ED78) &gt; 0, SUM(ED66, ED78), "")</f>
        <v/>
      </c>
      <c r="EE79" s="62">
        <f t="shared" ref="EE79" si="485">IF(SUM(EE66, EE78) &gt; 0, SUM(EE66, EE78), "")</f>
        <v>6</v>
      </c>
      <c r="EF79" s="62">
        <f t="shared" ref="EF79" si="486">IF(SUM(EF66, EF78) &gt; 0, SUM(EF66, EF78), "")</f>
        <v>4</v>
      </c>
      <c r="EG79" s="62"/>
      <c r="EH79" s="62"/>
      <c r="EI79" s="62" t="str">
        <f t="shared" ref="EI79" si="487">IF(SUM(EI66, EI78) &gt; 0, SUM(EI66, EI78), "")</f>
        <v/>
      </c>
      <c r="EJ79" s="63" t="str">
        <f t="shared" ref="EJ79" si="488">IF(SUM(EJ66, EJ78) &gt; 0, SUM(EJ66, EJ78), "")</f>
        <v/>
      </c>
      <c r="EK79" s="65" t="str">
        <f t="shared" ref="EK79" si="489">IF(SUM(EK66, EK78) &gt; 0, SUM(EK66, EK78), "")</f>
        <v/>
      </c>
      <c r="EL79" s="62">
        <f t="shared" ref="EL79" si="490">IF(SUM(EL66, EL78) &gt; 0, SUM(EL66, EL78), "")</f>
        <v>7</v>
      </c>
      <c r="EM79" s="62" t="str">
        <f t="shared" ref="EM79" si="491">IF(SUM(EM66, EM78) &gt; 0, SUM(EM66, EM78), "")</f>
        <v/>
      </c>
      <c r="EN79" s="62">
        <f t="shared" ref="EN79" si="492">IF(SUM(EN66, EN78) &gt; 0, SUM(EN66, EN78), "")</f>
        <v>8</v>
      </c>
      <c r="EO79" s="62">
        <f t="shared" ref="EO79" si="493">IF(SUM(EO66, EO78) &gt; 0, SUM(EO66, EO78), "")</f>
        <v>7</v>
      </c>
      <c r="EP79" s="62" t="str">
        <f t="shared" ref="EP79" si="494">IF(SUM(EP66, EP78) &gt; 0, SUM(EP66, EP78), "")</f>
        <v/>
      </c>
      <c r="EQ79" s="62"/>
      <c r="ER79" s="62"/>
      <c r="ES79" s="63" t="str">
        <f t="shared" ref="ES79" si="495">IF(SUM(ES66, ES78) &gt; 0, SUM(ES66, ES78), "")</f>
        <v/>
      </c>
      <c r="ET79" s="65" t="str">
        <f t="shared" ref="ET79" si="496">IF(SUM(ET66, ET78) &gt; 0, SUM(ET66, ET78), "")</f>
        <v/>
      </c>
      <c r="EU79" s="62">
        <f t="shared" ref="EU79" si="497">IF(SUM(EU66, EU78) &gt; 0, SUM(EU66, EU78), "")</f>
        <v>10</v>
      </c>
      <c r="EV79" s="62" t="str">
        <f t="shared" ref="EV79" si="498">IF(SUM(EV66, EV78) &gt; 0, SUM(EV66, EV78), "")</f>
        <v/>
      </c>
      <c r="EW79" s="62">
        <f t="shared" ref="EW79" si="499">IF(SUM(EW66, EW78) &gt; 0, SUM(EW66, EW78), "")</f>
        <v>5</v>
      </c>
      <c r="EX79" s="62">
        <f t="shared" ref="EX79" si="500">IF(SUM(EX66, EX78) &gt; 0, SUM(EX66, EX78), "")</f>
        <v>6</v>
      </c>
      <c r="EY79" s="62" t="str">
        <f t="shared" ref="EY79" si="501">IF(SUM(EY66, EY78) &gt; 0, SUM(EY66, EY78), "")</f>
        <v/>
      </c>
      <c r="EZ79" s="62"/>
      <c r="FA79" s="62"/>
      <c r="FB79" s="63" t="str">
        <f t="shared" ref="FB79" si="502">IF(SUM(FB66, FB78) &gt; 0, SUM(FB66, FB78), "")</f>
        <v/>
      </c>
      <c r="FC79" s="65" t="str">
        <f t="shared" ref="FC79" si="503">IF(SUM(FC66, FC78) &gt; 0, SUM(FC66, FC78), "")</f>
        <v/>
      </c>
      <c r="FD79" s="62" t="str">
        <f t="shared" ref="FD79" si="504">IF(SUM(FD66, FD78) &gt; 0, SUM(FD66, FD78), "")</f>
        <v/>
      </c>
      <c r="FE79" s="62" t="str">
        <f t="shared" ref="FE79" si="505">IF(SUM(FE66, FE78) &gt; 0, SUM(FE66, FE78), "")</f>
        <v/>
      </c>
      <c r="FF79" s="62" t="str">
        <f t="shared" ref="FF79" si="506">IF(SUM(FF66, FF78) &gt; 0, SUM(FF66, FF78), "")</f>
        <v/>
      </c>
      <c r="FG79" s="62" t="str">
        <f t="shared" ref="FG79" si="507">IF(SUM(FG66, FG78) &gt; 0, SUM(FG66, FG78), "")</f>
        <v/>
      </c>
      <c r="FH79" s="62" t="str">
        <f t="shared" ref="FH79" si="508">IF(SUM(FH66, FH78) &gt; 0, SUM(FH66, FH78), "")</f>
        <v/>
      </c>
      <c r="FI79" s="62"/>
      <c r="FJ79" s="62"/>
      <c r="FK79" s="63" t="str">
        <f t="shared" ref="FK79" si="509">IF(SUM(FK66, FK78) &gt; 0, SUM(FK66, FK78), "")</f>
        <v/>
      </c>
      <c r="FL79" s="65" t="str">
        <f t="shared" ref="FL79" si="510">IF(SUM(FL66, FL78) &gt; 0, SUM(FL66, FL78), "")</f>
        <v/>
      </c>
      <c r="FM79" s="62" t="str">
        <f t="shared" ref="FM79" si="511">IF(SUM(FM66, FM78) &gt; 0, SUM(FM66, FM78), "")</f>
        <v/>
      </c>
      <c r="FN79" s="62" t="str">
        <f t="shared" ref="FN79" si="512">IF(SUM(FN66, FN78) &gt; 0, SUM(FN66, FN78), "")</f>
        <v/>
      </c>
      <c r="FO79" s="62" t="str">
        <f t="shared" ref="FO79" si="513">IF(SUM(FO66, FO78) &gt; 0, SUM(FO66, FO78), "")</f>
        <v/>
      </c>
      <c r="FP79" s="62" t="str">
        <f t="shared" ref="FP79" si="514">IF(SUM(FP66, FP78) &gt; 0, SUM(FP66, FP78), "")</f>
        <v/>
      </c>
      <c r="FQ79" s="62" t="str">
        <f t="shared" ref="FQ79" si="515">IF(SUM(FQ66, FQ78) &gt; 0, SUM(FQ66, FQ78), "")</f>
        <v/>
      </c>
      <c r="FR79" s="63" t="str">
        <f t="shared" ref="FR79" si="516">IF(SUM(FR66, FR78) &gt; 0, SUM(FR66, FR78), "")</f>
        <v/>
      </c>
      <c r="FS79" s="65" t="str">
        <f t="shared" ref="FS79" si="517">IF(SUM(FS66, FS78) &gt; 0, SUM(FS66, FS78), "")</f>
        <v/>
      </c>
      <c r="FT79" s="62" t="str">
        <f t="shared" ref="FT79" si="518">IF(SUM(FT66, FT78) &gt; 0, SUM(FT66, FT78), "")</f>
        <v/>
      </c>
      <c r="FU79" s="62" t="str">
        <f t="shared" ref="FU79" si="519">IF(SUM(FU66, FU78) &gt; 0, SUM(FU66, FU78), "")</f>
        <v/>
      </c>
      <c r="FV79" s="62" t="str">
        <f t="shared" ref="FV79" si="520">IF(SUM(FV66, FV78) &gt; 0, SUM(FV66, FV78), "")</f>
        <v/>
      </c>
      <c r="FW79" s="62" t="str">
        <f t="shared" ref="FW79" si="521">IF(SUM(FW66, FW78) &gt; 0, SUM(FW66, FW78), "")</f>
        <v/>
      </c>
      <c r="FX79" s="62" t="str">
        <f t="shared" ref="FX79" si="522">IF(SUM(FX66, FX78) &gt; 0, SUM(FX66, FX78), "")</f>
        <v/>
      </c>
      <c r="FY79" s="63" t="str">
        <f t="shared" ref="FY79" si="523">IF(SUM(FY66, FY78) &gt; 0, SUM(FY66, FY78), "")</f>
        <v/>
      </c>
      <c r="FZ79" s="65" t="str">
        <f t="shared" ref="FZ79" si="524">IF(SUM(FZ66, FZ78) &gt; 0, SUM(FZ66, FZ78), "")</f>
        <v/>
      </c>
      <c r="GA79" s="62" t="str">
        <f t="shared" ref="GA79" si="525">IF(SUM(GA66, GA78) &gt; 0, SUM(GA66, GA78), "")</f>
        <v/>
      </c>
      <c r="GB79" s="62" t="str">
        <f t="shared" ref="GB79" si="526">IF(SUM(GB66, GB78) &gt; 0, SUM(GB66, GB78), "")</f>
        <v/>
      </c>
      <c r="GC79" s="62" t="str">
        <f t="shared" ref="GC79" si="527">IF(SUM(GC66, GC78) &gt; 0, SUM(GC66, GC78), "")</f>
        <v/>
      </c>
      <c r="GD79" s="62" t="str">
        <f t="shared" ref="GD79" si="528">IF(SUM(GD66, GD78) &gt; 0, SUM(GD66, GD78), "")</f>
        <v/>
      </c>
      <c r="GE79" s="62" t="str">
        <f t="shared" ref="GE79" si="529">IF(SUM(GE66, GE78) &gt; 0, SUM(GE66, GE78), "")</f>
        <v/>
      </c>
      <c r="GF79" s="63" t="str">
        <f t="shared" ref="GF79" si="530">IF(SUM(GF66, GF78) &gt; 0, SUM(GF66, GF78), "")</f>
        <v/>
      </c>
      <c r="GG79" s="65" t="str">
        <f t="shared" ref="GG79" si="531">IF(SUM(GG66, GG78) &gt; 0, SUM(GG66, GG78), "")</f>
        <v/>
      </c>
      <c r="GH79" s="62" t="str">
        <f t="shared" ref="GH79" si="532">IF(SUM(GH66, GH78) &gt; 0, SUM(GH66, GH78), "")</f>
        <v/>
      </c>
      <c r="GI79" s="62" t="str">
        <f t="shared" ref="GI79" si="533">IF(SUM(GI66, GI78) &gt; 0, SUM(GI66, GI78), "")</f>
        <v/>
      </c>
      <c r="GJ79" s="62" t="str">
        <f t="shared" ref="GJ79" si="534">IF(SUM(GJ66, GJ78) &gt; 0, SUM(GJ66, GJ78), "")</f>
        <v/>
      </c>
      <c r="GK79" s="62" t="str">
        <f t="shared" ref="GK79" si="535">IF(SUM(GK66, GK78) &gt; 0, SUM(GK66, GK78), "")</f>
        <v/>
      </c>
      <c r="GL79" s="62" t="str">
        <f t="shared" ref="GL79" si="536">IF(SUM(GL66, GL78) &gt; 0, SUM(GL66, GL78), "")</f>
        <v/>
      </c>
      <c r="GM79" s="63" t="str">
        <f t="shared" ref="GM79" si="537">IF(SUM(GM66, GM78) &gt; 0, SUM(GM66, GM78), "")</f>
        <v/>
      </c>
      <c r="GN79" s="65" t="str">
        <f t="shared" ref="GN79" si="538">IF(SUM(GN66, GN78) &gt; 0, SUM(GN66, GN78), "")</f>
        <v/>
      </c>
      <c r="GO79" s="62" t="str">
        <f t="shared" ref="GO79" si="539">IF(SUM(GO66, GO78) &gt; 0, SUM(GO66, GO78), "")</f>
        <v/>
      </c>
      <c r="GP79" s="62" t="str">
        <f t="shared" ref="GP79" si="540">IF(SUM(GP66, GP78) &gt; 0, SUM(GP66, GP78), "")</f>
        <v/>
      </c>
      <c r="GQ79" s="62" t="str">
        <f t="shared" ref="GQ79" si="541">IF(SUM(GQ66, GQ78) &gt; 0, SUM(GQ66, GQ78), "")</f>
        <v/>
      </c>
      <c r="GR79" s="62" t="str">
        <f t="shared" ref="GR79" si="542">IF(SUM(GR66, GR78) &gt; 0, SUM(GR66, GR78), "")</f>
        <v/>
      </c>
      <c r="GS79" s="62" t="str">
        <f t="shared" ref="GS79" si="543">IF(SUM(GS66, GS78) &gt; 0, SUM(GS66, GS78), "")</f>
        <v/>
      </c>
      <c r="GT79" s="63" t="str">
        <f t="shared" ref="GT79" si="544">IF(SUM(GT66, GT78) &gt; 0, SUM(GT66, GT78), "")</f>
        <v/>
      </c>
      <c r="GU79" s="65" t="str">
        <f t="shared" ref="GU79" si="545">IF(SUM(GU66, GU78) &gt; 0, SUM(GU66, GU78), "")</f>
        <v/>
      </c>
      <c r="GV79" s="62" t="str">
        <f t="shared" ref="GV79" si="546">IF(SUM(GV66, GV78) &gt; 0, SUM(GV66, GV78), "")</f>
        <v/>
      </c>
      <c r="GW79" s="62" t="str">
        <f t="shared" ref="GW79" si="547">IF(SUM(GW66, GW78) &gt; 0, SUM(GW66, GW78), "")</f>
        <v/>
      </c>
      <c r="GX79" s="62" t="str">
        <f t="shared" ref="GX79" si="548">IF(SUM(GX66, GX78) &gt; 0, SUM(GX66, GX78), "")</f>
        <v/>
      </c>
      <c r="GY79" s="62" t="str">
        <f t="shared" ref="GY79" si="549">IF(SUM(GY66, GY78) &gt; 0, SUM(GY66, GY78), "")</f>
        <v/>
      </c>
      <c r="GZ79" s="62" t="str">
        <f t="shared" ref="GZ79" si="550">IF(SUM(GZ66, GZ78) &gt; 0, SUM(GZ66, GZ78), "")</f>
        <v/>
      </c>
      <c r="HA79" s="63" t="str">
        <f t="shared" ref="HA79" si="551">IF(SUM(HA66, HA78) &gt; 0, SUM(HA66, HA78), "")</f>
        <v/>
      </c>
      <c r="HB79" s="65" t="str">
        <f t="shared" ref="HB79" si="552">IF(SUM(HB66, HB78) &gt; 0, SUM(HB66, HB78), "")</f>
        <v/>
      </c>
      <c r="HC79" s="62" t="str">
        <f t="shared" ref="HC79" si="553">IF(SUM(HC66, HC78) &gt; 0, SUM(HC66, HC78), "")</f>
        <v/>
      </c>
      <c r="HD79" s="62" t="str">
        <f t="shared" ref="HD79" si="554">IF(SUM(HD66, HD78) &gt; 0, SUM(HD66, HD78), "")</f>
        <v/>
      </c>
      <c r="HE79" s="62" t="str">
        <f t="shared" ref="HE79" si="555">IF(SUM(HE66, HE78) &gt; 0, SUM(HE66, HE78), "")</f>
        <v/>
      </c>
      <c r="HF79" s="62" t="str">
        <f t="shared" ref="HF79" si="556">IF(SUM(HF66, HF78) &gt; 0, SUM(HF66, HF78), "")</f>
        <v/>
      </c>
      <c r="HG79" s="62" t="str">
        <f t="shared" ref="HG79" si="557">IF(SUM(HG66, HG78) &gt; 0, SUM(HG66, HG78), "")</f>
        <v/>
      </c>
      <c r="HH79" s="63" t="str">
        <f t="shared" ref="HH79" si="558">IF(SUM(HH66, HH78) &gt; 0, SUM(HH66, HH78), "")</f>
        <v/>
      </c>
      <c r="HI79" s="65" t="str">
        <f t="shared" ref="HI79" si="559">IF(SUM(HI66, HI78) &gt; 0, SUM(HI66, HI78), "")</f>
        <v/>
      </c>
      <c r="HJ79" s="62" t="str">
        <f t="shared" ref="HJ79" si="560">IF(SUM(HJ66, HJ78) &gt; 0, SUM(HJ66, HJ78), "")</f>
        <v/>
      </c>
      <c r="HK79" s="62" t="str">
        <f t="shared" ref="HK79" si="561">IF(SUM(HK66, HK78) &gt; 0, SUM(HK66, HK78), "")</f>
        <v/>
      </c>
      <c r="HL79" s="62" t="str">
        <f t="shared" ref="HL79" si="562">IF(SUM(HL66, HL78) &gt; 0, SUM(HL66, HL78), "")</f>
        <v/>
      </c>
      <c r="HM79" s="62" t="str">
        <f t="shared" ref="HM79" si="563">IF(SUM(HM66, HM78) &gt; 0, SUM(HM66, HM78), "")</f>
        <v/>
      </c>
      <c r="HN79" s="62" t="str">
        <f t="shared" ref="HN79" si="564">IF(SUM(HN66, HN78) &gt; 0, SUM(HN66, HN78), "")</f>
        <v/>
      </c>
      <c r="HO79" s="63" t="str">
        <f t="shared" ref="HO79" si="565">IF(SUM(HO66, HO78) &gt; 0, SUM(HO66, HO78), "")</f>
        <v/>
      </c>
      <c r="HP79" s="65" t="str">
        <f t="shared" ref="HP79" si="566">IF(SUM(HP66, HP78) &gt; 0, SUM(HP66, HP78), "")</f>
        <v/>
      </c>
      <c r="HQ79" s="62" t="str">
        <f t="shared" ref="HQ79" si="567">IF(SUM(HQ66, HQ78) &gt; 0, SUM(HQ66, HQ78), "")</f>
        <v/>
      </c>
      <c r="HR79" s="62" t="str">
        <f t="shared" ref="HR79" si="568">IF(SUM(HR66, HR78) &gt; 0, SUM(HR66, HR78), "")</f>
        <v/>
      </c>
      <c r="HS79" s="62" t="str">
        <f t="shared" ref="HS79" si="569">IF(SUM(HS66, HS78) &gt; 0, SUM(HS66, HS78), "")</f>
        <v/>
      </c>
      <c r="HT79" s="62" t="str">
        <f t="shared" ref="HT79" si="570">IF(SUM(HT66, HT78) &gt; 0, SUM(HT66, HT78), "")</f>
        <v/>
      </c>
      <c r="HU79" s="62" t="str">
        <f t="shared" ref="HU79" si="571">IF(SUM(HU66, HU78) &gt; 0, SUM(HU66, HU78), "")</f>
        <v/>
      </c>
      <c r="HV79" s="63" t="str">
        <f t="shared" ref="HV79" si="572">IF(SUM(HV66, HV78) &gt; 0, SUM(HV66, HV78), "")</f>
        <v/>
      </c>
      <c r="HW79" s="65" t="str">
        <f t="shared" ref="HW79" si="573">IF(SUM(HW66, HW78) &gt; 0, SUM(HW66, HW78), "")</f>
        <v/>
      </c>
      <c r="HX79" s="62" t="str">
        <f t="shared" ref="HX79" si="574">IF(SUM(HX66, HX78) &gt; 0, SUM(HX66, HX78), "")</f>
        <v/>
      </c>
      <c r="HY79" s="62" t="str">
        <f t="shared" ref="HY79" si="575">IF(SUM(HY66, HY78) &gt; 0, SUM(HY66, HY78), "")</f>
        <v/>
      </c>
      <c r="HZ79" s="62" t="str">
        <f t="shared" ref="HZ79" si="576">IF(SUM(HZ66, HZ78) &gt; 0, SUM(HZ66, HZ78), "")</f>
        <v/>
      </c>
      <c r="IA79" s="62" t="str">
        <f t="shared" ref="IA79" si="577">IF(SUM(IA66, IA78) &gt; 0, SUM(IA66, IA78), "")</f>
        <v/>
      </c>
      <c r="IB79" s="62" t="str">
        <f t="shared" ref="IB79" si="578">IF(SUM(IB66, IB78) &gt; 0, SUM(IB66, IB78), "")</f>
        <v/>
      </c>
      <c r="IC79" s="63" t="str">
        <f t="shared" ref="IC79" si="579">IF(SUM(IC66, IC78) &gt; 0, SUM(IC66, IC78), "")</f>
        <v/>
      </c>
      <c r="ID79" s="65" t="str">
        <f t="shared" ref="ID79" si="580">IF(SUM(ID66, ID78) &gt; 0, SUM(ID66, ID78), "")</f>
        <v/>
      </c>
      <c r="IE79" s="62" t="str">
        <f t="shared" ref="IE79" si="581">IF(SUM(IE66, IE78) &gt; 0, SUM(IE66, IE78), "")</f>
        <v/>
      </c>
      <c r="IF79" s="62" t="str">
        <f t="shared" ref="IF79" si="582">IF(SUM(IF66, IF78) &gt; 0, SUM(IF66, IF78), "")</f>
        <v/>
      </c>
      <c r="IG79" s="62" t="str">
        <f t="shared" ref="IG79" si="583">IF(SUM(IG66, IG78) &gt; 0, SUM(IG66, IG78), "")</f>
        <v/>
      </c>
      <c r="IH79" s="62" t="str">
        <f t="shared" ref="IH79" si="584">IF(SUM(IH66, IH78) &gt; 0, SUM(IH66, IH78), "")</f>
        <v/>
      </c>
      <c r="II79" s="62" t="str">
        <f t="shared" ref="II79" si="585">IF(SUM(II66, II78) &gt; 0, SUM(II66, II78), "")</f>
        <v/>
      </c>
      <c r="IJ79" s="63" t="str">
        <f t="shared" ref="IJ79" si="586">IF(SUM(IJ66, IJ78) &gt; 0, SUM(IJ66, IJ78), "")</f>
        <v/>
      </c>
      <c r="IK79" s="65" t="str">
        <f t="shared" ref="IK79" si="587">IF(SUM(IK66, IK78) &gt; 0, SUM(IK66, IK78), "")</f>
        <v/>
      </c>
      <c r="IL79" s="62" t="str">
        <f t="shared" ref="IL79" si="588">IF(SUM(IL66, IL78) &gt; 0, SUM(IL66, IL78), "")</f>
        <v/>
      </c>
      <c r="IM79" s="62" t="str">
        <f t="shared" ref="IM79" si="589">IF(SUM(IM66, IM78) &gt; 0, SUM(IM66, IM78), "")</f>
        <v/>
      </c>
      <c r="IN79" s="62" t="str">
        <f t="shared" ref="IN79" si="590">IF(SUM(IN66, IN78) &gt; 0, SUM(IN66, IN78), "")</f>
        <v/>
      </c>
      <c r="IO79" s="62" t="str">
        <f t="shared" ref="IO79" si="591">IF(SUM(IO66, IO78) &gt; 0, SUM(IO66, IO78), "")</f>
        <v/>
      </c>
      <c r="IP79" s="62" t="str">
        <f t="shared" ref="IP79" si="592">IF(SUM(IP66, IP78) &gt; 0, SUM(IP66, IP78), "")</f>
        <v/>
      </c>
      <c r="IQ79" s="63" t="str">
        <f t="shared" ref="IQ79" si="593">IF(SUM(IQ66, IQ78) &gt; 0, SUM(IQ66, IQ78), "")</f>
        <v/>
      </c>
      <c r="IR79" s="65" t="str">
        <f t="shared" ref="IR79" si="594">IF(SUM(IR66, IR78) &gt; 0, SUM(IR66, IR78), "")</f>
        <v/>
      </c>
      <c r="IS79" s="62" t="str">
        <f t="shared" ref="IS79" si="595">IF(SUM(IS66, IS78) &gt; 0, SUM(IS66, IS78), "")</f>
        <v/>
      </c>
      <c r="IT79" s="62" t="str">
        <f t="shared" ref="IT79" si="596">IF(SUM(IT66, IT78) &gt; 0, SUM(IT66, IT78), "")</f>
        <v/>
      </c>
      <c r="IU79" s="62" t="str">
        <f t="shared" ref="IU79" si="597">IF(SUM(IU66, IU78) &gt; 0, SUM(IU66, IU78), "")</f>
        <v/>
      </c>
      <c r="IV79" s="62" t="str">
        <f t="shared" ref="IV79" si="598">IF(SUM(IV66, IV78) &gt; 0, SUM(IV66, IV78), "")</f>
        <v/>
      </c>
      <c r="IW79" s="62" t="str">
        <f t="shared" ref="IW79" si="599">IF(SUM(IW66, IW78) &gt; 0, SUM(IW66, IW78), "")</f>
        <v/>
      </c>
      <c r="IX79" s="63" t="str">
        <f t="shared" ref="IX79" si="600">IF(SUM(IX66, IX78) &gt; 0, SUM(IX66, IX78), "")</f>
        <v/>
      </c>
      <c r="IY79" s="65" t="str">
        <f t="shared" ref="IY79" si="601">IF(SUM(IY66, IY78) &gt; 0, SUM(IY66, IY78), "")</f>
        <v/>
      </c>
      <c r="IZ79" s="62" t="str">
        <f t="shared" ref="IZ79" si="602">IF(SUM(IZ66, IZ78) &gt; 0, SUM(IZ66, IZ78), "")</f>
        <v/>
      </c>
      <c r="JA79" s="62" t="str">
        <f t="shared" ref="JA79" si="603">IF(SUM(JA66, JA78) &gt; 0, SUM(JA66, JA78), "")</f>
        <v/>
      </c>
      <c r="JB79" s="62" t="str">
        <f t="shared" ref="JB79" si="604">IF(SUM(JB66, JB78) &gt; 0, SUM(JB66, JB78), "")</f>
        <v/>
      </c>
      <c r="JC79" s="62" t="str">
        <f t="shared" ref="JC79" si="605">IF(SUM(JC66, JC78) &gt; 0, SUM(JC66, JC78), "")</f>
        <v/>
      </c>
      <c r="JD79" s="62" t="str">
        <f t="shared" ref="JD79" si="606">IF(SUM(JD66, JD78) &gt; 0, SUM(JD66, JD78), "")</f>
        <v/>
      </c>
      <c r="JE79" s="63" t="str">
        <f t="shared" ref="JE79" si="607">IF(SUM(JE66, JE78) &gt; 0, SUM(JE66, JE78), "")</f>
        <v/>
      </c>
      <c r="JF79" s="65" t="str">
        <f t="shared" ref="JF79" si="608">IF(SUM(JF66, JF78) &gt; 0, SUM(JF66, JF78), "")</f>
        <v/>
      </c>
      <c r="JG79" s="62" t="str">
        <f t="shared" ref="JG79" si="609">IF(SUM(JG66, JG78) &gt; 0, SUM(JG66, JG78), "")</f>
        <v/>
      </c>
      <c r="JH79" s="62" t="str">
        <f t="shared" ref="JH79" si="610">IF(SUM(JH66, JH78) &gt; 0, SUM(JH66, JH78), "")</f>
        <v/>
      </c>
      <c r="JI79" s="62" t="str">
        <f t="shared" ref="JI79" si="611">IF(SUM(JI66, JI78) &gt; 0, SUM(JI66, JI78), "")</f>
        <v/>
      </c>
      <c r="JJ79" s="62" t="str">
        <f t="shared" ref="JJ79" si="612">IF(SUM(JJ66, JJ78) &gt; 0, SUM(JJ66, JJ78), "")</f>
        <v/>
      </c>
      <c r="JK79" s="62" t="str">
        <f t="shared" ref="JK79" si="613">IF(SUM(JK66, JK78) &gt; 0, SUM(JK66, JK78), "")</f>
        <v/>
      </c>
      <c r="JL79" s="63" t="str">
        <f t="shared" ref="JL79" si="614">IF(SUM(JL66, JL78) &gt; 0, SUM(JL66, JL78), "")</f>
        <v/>
      </c>
      <c r="JM79" s="65" t="str">
        <f t="shared" ref="JM79" si="615">IF(SUM(JM66, JM78) &gt; 0, SUM(JM66, JM78), "")</f>
        <v/>
      </c>
      <c r="JN79" s="62" t="str">
        <f t="shared" ref="JN79" si="616">IF(SUM(JN66, JN78) &gt; 0, SUM(JN66, JN78), "")</f>
        <v/>
      </c>
      <c r="JO79" s="62" t="str">
        <f t="shared" ref="JO79" si="617">IF(SUM(JO66, JO78) &gt; 0, SUM(JO66, JO78), "")</f>
        <v/>
      </c>
      <c r="JP79" s="62" t="str">
        <f t="shared" ref="JP79" si="618">IF(SUM(JP66, JP78) &gt; 0, SUM(JP66, JP78), "")</f>
        <v/>
      </c>
      <c r="JQ79" s="62" t="str">
        <f t="shared" ref="JQ79" si="619">IF(SUM(JQ66, JQ78) &gt; 0, SUM(JQ66, JQ78), "")</f>
        <v/>
      </c>
      <c r="JR79" s="62" t="str">
        <f t="shared" ref="JR79" si="620">IF(SUM(JR66, JR78) &gt; 0, SUM(JR66, JR78), "")</f>
        <v/>
      </c>
      <c r="JS79" s="63" t="str">
        <f t="shared" ref="JS79" si="621">IF(SUM(JS66, JS78) &gt; 0, SUM(JS66, JS78), "")</f>
        <v/>
      </c>
      <c r="JT79" s="65" t="str">
        <f t="shared" ref="JT79" si="622">IF(SUM(JT66, JT78) &gt; 0, SUM(JT66, JT78), "")</f>
        <v/>
      </c>
      <c r="JU79" s="62" t="str">
        <f t="shared" ref="JU79" si="623">IF(SUM(JU66, JU78) &gt; 0, SUM(JU66, JU78), "")</f>
        <v/>
      </c>
      <c r="JV79" s="62" t="str">
        <f t="shared" ref="JV79" si="624">IF(SUM(JV66, JV78) &gt; 0, SUM(JV66, JV78), "")</f>
        <v/>
      </c>
      <c r="JW79" s="62" t="str">
        <f t="shared" ref="JW79" si="625">IF(SUM(JW66, JW78) &gt; 0, SUM(JW66, JW78), "")</f>
        <v/>
      </c>
      <c r="JX79" s="62" t="str">
        <f t="shared" ref="JX79" si="626">IF(SUM(JX66, JX78) &gt; 0, SUM(JX66, JX78), "")</f>
        <v/>
      </c>
      <c r="JY79" s="62" t="str">
        <f t="shared" ref="JY79" si="627">IF(SUM(JY66, JY78) &gt; 0, SUM(JY66, JY78), "")</f>
        <v/>
      </c>
      <c r="JZ79" s="63" t="str">
        <f t="shared" ref="JZ79" si="628">IF(SUM(JZ66, JZ78) &gt; 0, SUM(JZ66, JZ78), "")</f>
        <v/>
      </c>
      <c r="KA79" s="65" t="str">
        <f t="shared" ref="KA79" si="629">IF(SUM(KA66, KA78) &gt; 0, SUM(KA66, KA78), "")</f>
        <v/>
      </c>
      <c r="KB79" s="62" t="str">
        <f t="shared" ref="KB79" si="630">IF(SUM(KB66, KB78) &gt; 0, SUM(KB66, KB78), "")</f>
        <v/>
      </c>
      <c r="KC79" s="62" t="str">
        <f t="shared" ref="KC79" si="631">IF(SUM(KC66, KC78) &gt; 0, SUM(KC66, KC78), "")</f>
        <v/>
      </c>
      <c r="KD79" s="62" t="str">
        <f t="shared" ref="KD79" si="632">IF(SUM(KD66, KD78) &gt; 0, SUM(KD66, KD78), "")</f>
        <v/>
      </c>
      <c r="KE79" s="62" t="str">
        <f t="shared" ref="KE79" si="633">IF(SUM(KE66, KE78) &gt; 0, SUM(KE66, KE78), "")</f>
        <v/>
      </c>
      <c r="KF79" s="62" t="str">
        <f t="shared" ref="KF79" si="634">IF(SUM(KF66, KF78) &gt; 0, SUM(KF66, KF78), "")</f>
        <v/>
      </c>
      <c r="KG79" s="63" t="str">
        <f t="shared" ref="KG79" si="635">IF(SUM(KG66, KG78) &gt; 0, SUM(KG66, KG78), "")</f>
        <v/>
      </c>
      <c r="KH79" s="65" t="str">
        <f t="shared" ref="KH79" si="636">IF(SUM(KH66, KH78) &gt; 0, SUM(KH66, KH78), "")</f>
        <v/>
      </c>
      <c r="KI79" s="62" t="str">
        <f t="shared" ref="KI79" si="637">IF(SUM(KI66, KI78) &gt; 0, SUM(KI66, KI78), "")</f>
        <v/>
      </c>
      <c r="KJ79" s="62" t="str">
        <f t="shared" ref="KJ79" si="638">IF(SUM(KJ66, KJ78) &gt; 0, SUM(KJ66, KJ78), "")</f>
        <v/>
      </c>
      <c r="KK79" s="62" t="str">
        <f t="shared" ref="KK79" si="639">IF(SUM(KK66, KK78) &gt; 0, SUM(KK66, KK78), "")</f>
        <v/>
      </c>
      <c r="KL79" s="62" t="str">
        <f t="shared" ref="KL79" si="640">IF(SUM(KL66, KL78) &gt; 0, SUM(KL66, KL78), "")</f>
        <v/>
      </c>
      <c r="KM79" s="62" t="str">
        <f t="shared" ref="KM79" si="641">IF(SUM(KM66, KM78) &gt; 0, SUM(KM66, KM78), "")</f>
        <v/>
      </c>
      <c r="KN79" s="63" t="str">
        <f t="shared" ref="KN79" si="642">IF(SUM(KN66, KN78) &gt; 0, SUM(KN66, KN78), "")</f>
        <v/>
      </c>
      <c r="KO79" s="65" t="str">
        <f t="shared" ref="KO79" si="643">IF(SUM(KO66, KO78) &gt; 0, SUM(KO66, KO78), "")</f>
        <v/>
      </c>
      <c r="KP79" s="62" t="str">
        <f t="shared" ref="KP79" si="644">IF(SUM(KP66, KP78) &gt; 0, SUM(KP66, KP78), "")</f>
        <v/>
      </c>
      <c r="KQ79" s="62" t="str">
        <f t="shared" ref="KQ79" si="645">IF(SUM(KQ66, KQ78) &gt; 0, SUM(KQ66, KQ78), "")</f>
        <v/>
      </c>
      <c r="KR79" s="62" t="str">
        <f t="shared" ref="KR79" si="646">IF(SUM(KR66, KR78) &gt; 0, SUM(KR66, KR78), "")</f>
        <v/>
      </c>
      <c r="KS79" s="62" t="str">
        <f t="shared" ref="KS79" si="647">IF(SUM(KS66, KS78) &gt; 0, SUM(KS66, KS78), "")</f>
        <v/>
      </c>
      <c r="KT79" s="62" t="str">
        <f t="shared" ref="KT79" si="648">IF(SUM(KT66, KT78) &gt; 0, SUM(KT66, KT78), "")</f>
        <v/>
      </c>
      <c r="KU79" s="63" t="str">
        <f t="shared" ref="KU79" si="649">IF(SUM(KU66, KU78) &gt; 0, SUM(KU66, KU78), "")</f>
        <v/>
      </c>
      <c r="KV79" s="65" t="str">
        <f t="shared" ref="KV79" si="650">IF(SUM(KV66, KV78) &gt; 0, SUM(KV66, KV78), "")</f>
        <v/>
      </c>
      <c r="KW79" s="62" t="str">
        <f t="shared" ref="KW79" si="651">IF(SUM(KW66, KW78) &gt; 0, SUM(KW66, KW78), "")</f>
        <v/>
      </c>
      <c r="KX79" s="62" t="str">
        <f t="shared" ref="KX79" si="652">IF(SUM(KX66, KX78) &gt; 0, SUM(KX66, KX78), "")</f>
        <v/>
      </c>
      <c r="KY79" s="62" t="str">
        <f t="shared" ref="KY79" si="653">IF(SUM(KY66, KY78) &gt; 0, SUM(KY66, KY78), "")</f>
        <v/>
      </c>
      <c r="KZ79" s="62" t="str">
        <f t="shared" ref="KZ79" si="654">IF(SUM(KZ66, KZ78) &gt; 0, SUM(KZ66, KZ78), "")</f>
        <v/>
      </c>
      <c r="LA79" s="62" t="str">
        <f t="shared" ref="LA79" si="655">IF(SUM(LA66, LA78) &gt; 0, SUM(LA66, LA78), "")</f>
        <v/>
      </c>
      <c r="LB79" s="63" t="str">
        <f t="shared" ref="LB79" si="656">IF(SUM(LB66, LB78) &gt; 0, SUM(LB66, LB78), "")</f>
        <v/>
      </c>
      <c r="LC79" s="65" t="str">
        <f t="shared" ref="LC79" si="657">IF(SUM(LC66, LC78) &gt; 0, SUM(LC66, LC78), "")</f>
        <v/>
      </c>
      <c r="LD79" s="62" t="str">
        <f t="shared" ref="LD79" si="658">IF(SUM(LD66, LD78) &gt; 0, SUM(LD66, LD78), "")</f>
        <v/>
      </c>
      <c r="LE79" s="62" t="str">
        <f t="shared" ref="LE79" si="659">IF(SUM(LE66, LE78) &gt; 0, SUM(LE66, LE78), "")</f>
        <v/>
      </c>
      <c r="LF79" s="62" t="str">
        <f t="shared" ref="LF79" si="660">IF(SUM(LF66, LF78) &gt; 0, SUM(LF66, LF78), "")</f>
        <v/>
      </c>
      <c r="LG79" s="62" t="str">
        <f t="shared" ref="LG79" si="661">IF(SUM(LG66, LG78) &gt; 0, SUM(LG66, LG78), "")</f>
        <v/>
      </c>
      <c r="LH79" s="62" t="str">
        <f t="shared" ref="LH79" si="662">IF(SUM(LH66, LH78) &gt; 0, SUM(LH66, LH78), "")</f>
        <v/>
      </c>
      <c r="LI79" s="63" t="str">
        <f t="shared" ref="LI79" si="663">IF(SUM(LI66, LI78) &gt; 0, SUM(LI66, LI78), "")</f>
        <v/>
      </c>
      <c r="LJ79" s="65" t="str">
        <f t="shared" ref="LJ79" si="664">IF(SUM(LJ66, LJ78) &gt; 0, SUM(LJ66, LJ78), "")</f>
        <v/>
      </c>
      <c r="LK79" s="62" t="str">
        <f t="shared" ref="LK79" si="665">IF(SUM(LK66, LK78) &gt; 0, SUM(LK66, LK78), "")</f>
        <v/>
      </c>
      <c r="LL79" s="62" t="str">
        <f t="shared" ref="LL79" si="666">IF(SUM(LL66, LL78) &gt; 0, SUM(LL66, LL78), "")</f>
        <v/>
      </c>
      <c r="LM79" s="62" t="str">
        <f t="shared" ref="LM79" si="667">IF(SUM(LM66, LM78) &gt; 0, SUM(LM66, LM78), "")</f>
        <v/>
      </c>
      <c r="LN79" s="62" t="str">
        <f t="shared" ref="LN79" si="668">IF(SUM(LN66, LN78) &gt; 0, SUM(LN66, LN78), "")</f>
        <v/>
      </c>
      <c r="LO79" s="62" t="str">
        <f t="shared" ref="LO79" si="669">IF(SUM(LO66, LO78) &gt; 0, SUM(LO66, LO78), "")</f>
        <v/>
      </c>
      <c r="LP79" s="63" t="str">
        <f t="shared" ref="LP79" si="670">IF(SUM(LP66, LP78) &gt; 0, SUM(LP66, LP78), "")</f>
        <v/>
      </c>
      <c r="LQ79" s="65" t="str">
        <f t="shared" ref="LQ79" si="671">IF(SUM(LQ66, LQ78) &gt; 0, SUM(LQ66, LQ78), "")</f>
        <v/>
      </c>
      <c r="LR79" s="62" t="str">
        <f t="shared" ref="LR79" si="672">IF(SUM(LR66, LR78) &gt; 0, SUM(LR66, LR78), "")</f>
        <v/>
      </c>
      <c r="LS79" s="62" t="str">
        <f t="shared" ref="LS79" si="673">IF(SUM(LS66, LS78) &gt; 0, SUM(LS66, LS78), "")</f>
        <v/>
      </c>
      <c r="LT79" s="62" t="str">
        <f t="shared" ref="LT79" si="674">IF(SUM(LT66, LT78) &gt; 0, SUM(LT66, LT78), "")</f>
        <v/>
      </c>
      <c r="LU79" s="62" t="str">
        <f t="shared" ref="LU79" si="675">IF(SUM(LU66, LU78) &gt; 0, SUM(LU66, LU78), "")</f>
        <v/>
      </c>
      <c r="LV79" s="62" t="str">
        <f t="shared" ref="LV79" si="676">IF(SUM(LV66, LV78) &gt; 0, SUM(LV66, LV78), "")</f>
        <v/>
      </c>
      <c r="LW79" s="63" t="str">
        <f t="shared" ref="LW79" si="677">IF(SUM(LW66, LW78) &gt; 0, SUM(LW66, LW78), "")</f>
        <v/>
      </c>
      <c r="LX79" s="65" t="str">
        <f t="shared" ref="LX79" si="678">IF(SUM(LX66, LX78) &gt; 0, SUM(LX66, LX78), "")</f>
        <v/>
      </c>
      <c r="LY79" s="62" t="str">
        <f t="shared" ref="LY79" si="679">IF(SUM(LY66, LY78) &gt; 0, SUM(LY66, LY78), "")</f>
        <v/>
      </c>
      <c r="LZ79" s="62" t="str">
        <f t="shared" ref="LZ79" si="680">IF(SUM(LZ66, LZ78) &gt; 0, SUM(LZ66, LZ78), "")</f>
        <v/>
      </c>
      <c r="MA79" s="62" t="str">
        <f t="shared" ref="MA79" si="681">IF(SUM(MA66, MA78) &gt; 0, SUM(MA66, MA78), "")</f>
        <v/>
      </c>
      <c r="MB79" s="62" t="str">
        <f t="shared" ref="MB79" si="682">IF(SUM(MB66, MB78) &gt; 0, SUM(MB66, MB78), "")</f>
        <v/>
      </c>
      <c r="MC79" s="62" t="str">
        <f t="shared" ref="MC79" si="683">IF(SUM(MC66, MC78) &gt; 0, SUM(MC66, MC78), "")</f>
        <v/>
      </c>
      <c r="MD79" s="63" t="str">
        <f t="shared" ref="MD79" si="684">IF(SUM(MD66, MD78) &gt; 0, SUM(MD66, MD78), "")</f>
        <v/>
      </c>
      <c r="ME79" s="65" t="str">
        <f t="shared" ref="ME79" si="685">IF(SUM(ME66, ME78) &gt; 0, SUM(ME66, ME78), "")</f>
        <v/>
      </c>
      <c r="MF79" s="62" t="str">
        <f t="shared" ref="MF79" si="686">IF(SUM(MF66, MF78) &gt; 0, SUM(MF66, MF78), "")</f>
        <v/>
      </c>
      <c r="MG79" s="62" t="str">
        <f t="shared" ref="MG79" si="687">IF(SUM(MG66, MG78) &gt; 0, SUM(MG66, MG78), "")</f>
        <v/>
      </c>
      <c r="MH79" s="62" t="str">
        <f t="shared" ref="MH79" si="688">IF(SUM(MH66, MH78) &gt; 0, SUM(MH66, MH78), "")</f>
        <v/>
      </c>
      <c r="MI79" s="62" t="str">
        <f t="shared" ref="MI79" si="689">IF(SUM(MI66, MI78) &gt; 0, SUM(MI66, MI78), "")</f>
        <v/>
      </c>
      <c r="MJ79" s="62" t="str">
        <f t="shared" ref="MJ79" si="690">IF(SUM(MJ66, MJ78) &gt; 0, SUM(MJ66, MJ78), "")</f>
        <v/>
      </c>
      <c r="MK79" s="63" t="str">
        <f t="shared" ref="MK79" si="691">IF(SUM(MK66, MK78) &gt; 0, SUM(MK66, MK78), "")</f>
        <v/>
      </c>
      <c r="ML79" s="65" t="str">
        <f t="shared" ref="ML79" si="692">IF(SUM(ML66, ML78) &gt; 0, SUM(ML66, ML78), "")</f>
        <v/>
      </c>
      <c r="MM79" s="62" t="str">
        <f t="shared" ref="MM79" si="693">IF(SUM(MM66, MM78) &gt; 0, SUM(MM66, MM78), "")</f>
        <v/>
      </c>
      <c r="MN79" s="62" t="str">
        <f t="shared" ref="MN79" si="694">IF(SUM(MN66, MN78) &gt; 0, SUM(MN66, MN78), "")</f>
        <v/>
      </c>
      <c r="MO79" s="62" t="str">
        <f t="shared" ref="MO79" si="695">IF(SUM(MO66, MO78) &gt; 0, SUM(MO66, MO78), "")</f>
        <v/>
      </c>
      <c r="MP79" s="62" t="str">
        <f t="shared" ref="MP79" si="696">IF(SUM(MP66, MP78) &gt; 0, SUM(MP66, MP78), "")</f>
        <v/>
      </c>
      <c r="MQ79" s="62" t="str">
        <f t="shared" ref="MQ79" si="697">IF(SUM(MQ66, MQ78) &gt; 0, SUM(MQ66, MQ78), "")</f>
        <v/>
      </c>
      <c r="MR79" s="63" t="str">
        <f t="shared" ref="MR79" si="698">IF(SUM(MR66, MR78) &gt; 0, SUM(MR66, MR78), "")</f>
        <v/>
      </c>
    </row>
    <row r="80" spans="1:356" ht="7.5" customHeight="1" x14ac:dyDescent="0.25">
      <c r="A80" s="8"/>
      <c r="B80" s="8"/>
      <c r="C80" s="8"/>
      <c r="D80" s="8"/>
      <c r="E80" s="8"/>
      <c r="F80" s="10"/>
      <c r="G80" s="19"/>
      <c r="H80" s="19"/>
      <c r="I80" s="8"/>
      <c r="J80" s="8"/>
      <c r="K80" s="8"/>
      <c r="L80" s="8"/>
      <c r="M80" s="8"/>
      <c r="N80" s="8"/>
      <c r="O80" s="9"/>
      <c r="P80" s="8"/>
      <c r="Q80" s="8"/>
      <c r="R80" s="9"/>
      <c r="S80" s="7"/>
      <c r="Z80" s="7"/>
      <c r="AG80" s="7"/>
      <c r="AN80" s="7"/>
      <c r="AU80" s="7"/>
      <c r="BB80" s="7"/>
      <c r="BI80" s="7"/>
      <c r="BP80" s="7"/>
      <c r="BY80" s="7"/>
      <c r="CH80" s="7"/>
      <c r="CQ80" s="7"/>
      <c r="CZ80" s="7"/>
      <c r="DI80" s="7"/>
      <c r="DR80" s="7"/>
      <c r="EA80" s="7"/>
      <c r="EJ80" s="7"/>
      <c r="ES80" s="7"/>
      <c r="FB80" s="7"/>
      <c r="FK80" s="7"/>
      <c r="FR80" s="7"/>
      <c r="FY80" s="7"/>
      <c r="GF80" s="7"/>
      <c r="GM80" s="7"/>
      <c r="GT80" s="7"/>
      <c r="HA80" s="7"/>
      <c r="HH80" s="7"/>
      <c r="HO80" s="7"/>
      <c r="HV80" s="7"/>
      <c r="IC80" s="7"/>
      <c r="IJ80" s="7"/>
      <c r="IQ80" s="7"/>
      <c r="IX80" s="7"/>
      <c r="JE80" s="7"/>
      <c r="JL80" s="7"/>
      <c r="JS80" s="7"/>
      <c r="JZ80" s="7"/>
      <c r="KG80" s="7"/>
      <c r="KN80" s="7"/>
      <c r="KU80" s="7"/>
      <c r="LB80" s="7"/>
      <c r="LI80" s="7"/>
      <c r="LP80" s="7"/>
      <c r="LW80" s="7"/>
      <c r="MD80" s="7"/>
      <c r="MK80" s="7"/>
      <c r="MR80" s="7"/>
    </row>
    <row r="81" spans="1:356" x14ac:dyDescent="0.25">
      <c r="A81" s="11" t="s">
        <v>24</v>
      </c>
      <c r="B81" s="11"/>
      <c r="C81" s="11"/>
      <c r="D81" s="11"/>
      <c r="E81" s="11"/>
      <c r="F81" s="13"/>
      <c r="G81" s="40"/>
      <c r="H81" s="40"/>
      <c r="I81" s="11"/>
      <c r="J81" s="11"/>
      <c r="K81" s="11"/>
      <c r="L81" s="11"/>
      <c r="M81" s="11"/>
      <c r="N81" s="11"/>
      <c r="O81" s="12"/>
      <c r="P81" s="11"/>
      <c r="Q81" s="11"/>
      <c r="R81" s="12"/>
      <c r="S81" s="12"/>
      <c r="T81" s="11"/>
      <c r="U81" s="11"/>
      <c r="V81" s="11"/>
      <c r="W81" s="11"/>
      <c r="X81" s="11"/>
      <c r="Y81" s="11"/>
      <c r="Z81" s="12"/>
      <c r="AA81" s="11"/>
      <c r="AB81" s="11"/>
      <c r="AC81" s="11"/>
      <c r="AD81" s="11"/>
      <c r="AE81" s="11"/>
      <c r="AF81" s="11"/>
      <c r="AG81" s="12"/>
      <c r="AH81" s="11"/>
      <c r="AI81" s="11"/>
      <c r="AJ81" s="11"/>
      <c r="AK81" s="11"/>
      <c r="AL81" s="11"/>
      <c r="AM81" s="11"/>
      <c r="AN81" s="12"/>
      <c r="AO81" s="11"/>
      <c r="AP81" s="11"/>
      <c r="AQ81" s="11"/>
      <c r="AR81" s="11"/>
      <c r="AS81" s="11"/>
      <c r="AT81" s="11"/>
      <c r="AU81" s="12"/>
      <c r="AV81" s="11"/>
      <c r="AW81" s="11"/>
      <c r="AX81" s="11"/>
      <c r="AY81" s="11"/>
      <c r="AZ81" s="11"/>
      <c r="BA81" s="11"/>
      <c r="BB81" s="12"/>
      <c r="BC81" s="11"/>
      <c r="BD81" s="11"/>
      <c r="BE81" s="11"/>
      <c r="BF81" s="11"/>
      <c r="BG81" s="11"/>
      <c r="BH81" s="11"/>
      <c r="BI81" s="12"/>
      <c r="BJ81" s="11"/>
      <c r="BK81" s="11"/>
      <c r="BL81" s="11"/>
      <c r="BM81" s="11"/>
      <c r="BN81" s="11"/>
      <c r="BO81" s="11"/>
      <c r="BP81" s="12"/>
      <c r="BQ81" s="11"/>
      <c r="BR81" s="11"/>
      <c r="BS81" s="11"/>
      <c r="BT81" s="11"/>
      <c r="BU81" s="11"/>
      <c r="BV81" s="11"/>
      <c r="BW81" s="11"/>
      <c r="BX81" s="11"/>
      <c r="BY81" s="12"/>
      <c r="BZ81" s="11"/>
      <c r="CA81" s="11"/>
      <c r="CB81" s="11"/>
      <c r="CC81" s="11"/>
      <c r="CD81" s="11"/>
      <c r="CE81" s="11"/>
      <c r="CF81" s="11"/>
      <c r="CG81" s="11"/>
      <c r="CH81" s="12"/>
      <c r="CI81" s="11"/>
      <c r="CJ81" s="11"/>
      <c r="CK81" s="11"/>
      <c r="CL81" s="11"/>
      <c r="CM81" s="11"/>
      <c r="CN81" s="11"/>
      <c r="CO81" s="11"/>
      <c r="CP81" s="11"/>
      <c r="CQ81" s="12"/>
      <c r="CR81" s="11"/>
      <c r="CS81" s="11"/>
      <c r="CT81" s="11"/>
      <c r="CU81" s="11"/>
      <c r="CV81" s="11"/>
      <c r="CW81" s="11"/>
      <c r="CX81" s="11"/>
      <c r="CY81" s="11"/>
      <c r="CZ81" s="12"/>
      <c r="DA81" s="11"/>
      <c r="DB81" s="11"/>
      <c r="DC81" s="11"/>
      <c r="DD81" s="11"/>
      <c r="DE81" s="11"/>
      <c r="DF81" s="11"/>
      <c r="DG81" s="11"/>
      <c r="DH81" s="11"/>
      <c r="DI81" s="12"/>
      <c r="DJ81" s="11"/>
      <c r="DK81" s="11"/>
      <c r="DL81" s="11"/>
      <c r="DM81" s="11"/>
      <c r="DN81" s="11"/>
      <c r="DO81" s="11"/>
      <c r="DP81" s="11"/>
      <c r="DQ81" s="11"/>
      <c r="DR81" s="12"/>
      <c r="DS81" s="11"/>
      <c r="DT81" s="11"/>
      <c r="DU81" s="11"/>
      <c r="DV81" s="11"/>
      <c r="DW81" s="11"/>
      <c r="DX81" s="11"/>
      <c r="DY81" s="11"/>
      <c r="DZ81" s="11"/>
      <c r="EA81" s="12"/>
      <c r="EB81" s="11"/>
      <c r="EC81" s="11"/>
      <c r="ED81" s="11"/>
      <c r="EE81" s="11"/>
      <c r="EF81" s="11"/>
      <c r="EG81" s="11"/>
      <c r="EH81" s="11"/>
      <c r="EI81" s="11"/>
      <c r="EJ81" s="12"/>
      <c r="EK81" s="11"/>
      <c r="EL81" s="11"/>
      <c r="EM81" s="11"/>
      <c r="EN81" s="11"/>
      <c r="EO81" s="11"/>
      <c r="EP81" s="11"/>
      <c r="EQ81" s="11"/>
      <c r="ER81" s="11"/>
      <c r="ES81" s="12"/>
      <c r="ET81" s="11"/>
      <c r="EU81" s="11"/>
      <c r="EV81" s="11"/>
      <c r="EW81" s="11"/>
      <c r="EX81" s="11"/>
      <c r="EY81" s="11"/>
      <c r="EZ81" s="11"/>
      <c r="FA81" s="11"/>
      <c r="FB81" s="12"/>
      <c r="FC81" s="11"/>
      <c r="FD81" s="11"/>
      <c r="FE81" s="11"/>
      <c r="FF81" s="11"/>
      <c r="FG81" s="11"/>
      <c r="FH81" s="11"/>
      <c r="FI81" s="11"/>
      <c r="FJ81" s="11"/>
      <c r="FK81" s="12"/>
      <c r="FL81" s="11"/>
      <c r="FM81" s="11"/>
      <c r="FN81" s="11"/>
      <c r="FO81" s="11"/>
      <c r="FP81" s="11"/>
      <c r="FQ81" s="11"/>
      <c r="FR81" s="12"/>
      <c r="FS81" s="11"/>
      <c r="FT81" s="11"/>
      <c r="FU81" s="11"/>
      <c r="FV81" s="11"/>
      <c r="FW81" s="11"/>
      <c r="FX81" s="11"/>
      <c r="FY81" s="12"/>
      <c r="FZ81" s="11"/>
      <c r="GA81" s="11"/>
      <c r="GB81" s="11"/>
      <c r="GC81" s="11"/>
      <c r="GD81" s="11"/>
      <c r="GE81" s="11"/>
      <c r="GF81" s="12"/>
      <c r="GG81" s="11"/>
      <c r="GH81" s="11"/>
      <c r="GI81" s="11"/>
      <c r="GJ81" s="11"/>
      <c r="GK81" s="11"/>
      <c r="GL81" s="11"/>
      <c r="GM81" s="12"/>
      <c r="GN81" s="11"/>
      <c r="GO81" s="11"/>
      <c r="GP81" s="11"/>
      <c r="GQ81" s="11"/>
      <c r="GR81" s="11"/>
      <c r="GS81" s="11"/>
      <c r="GT81" s="12"/>
      <c r="GU81" s="11"/>
      <c r="GV81" s="11"/>
      <c r="GW81" s="11"/>
      <c r="GX81" s="11"/>
      <c r="GY81" s="11"/>
      <c r="GZ81" s="11"/>
      <c r="HA81" s="12"/>
      <c r="HB81" s="11"/>
      <c r="HC81" s="11"/>
      <c r="HD81" s="11"/>
      <c r="HE81" s="11"/>
      <c r="HF81" s="11"/>
      <c r="HG81" s="11"/>
      <c r="HH81" s="12"/>
      <c r="HI81" s="11"/>
      <c r="HJ81" s="11"/>
      <c r="HK81" s="11"/>
      <c r="HL81" s="11"/>
      <c r="HM81" s="11"/>
      <c r="HN81" s="11"/>
      <c r="HO81" s="12"/>
      <c r="HP81" s="11"/>
      <c r="HQ81" s="11"/>
      <c r="HR81" s="11"/>
      <c r="HS81" s="11"/>
      <c r="HT81" s="11"/>
      <c r="HU81" s="11"/>
      <c r="HV81" s="12"/>
      <c r="HW81" s="11"/>
      <c r="HX81" s="11"/>
      <c r="HY81" s="11"/>
      <c r="HZ81" s="11"/>
      <c r="IA81" s="11"/>
      <c r="IB81" s="11"/>
      <c r="IC81" s="12"/>
      <c r="ID81" s="11"/>
      <c r="IE81" s="11"/>
      <c r="IF81" s="11"/>
      <c r="IG81" s="11"/>
      <c r="IH81" s="11"/>
      <c r="II81" s="11"/>
      <c r="IJ81" s="12"/>
      <c r="IK81" s="11"/>
      <c r="IL81" s="11"/>
      <c r="IM81" s="11"/>
      <c r="IN81" s="11"/>
      <c r="IO81" s="11"/>
      <c r="IP81" s="11"/>
      <c r="IQ81" s="12"/>
      <c r="IR81" s="11"/>
      <c r="IS81" s="11"/>
      <c r="IT81" s="11"/>
      <c r="IU81" s="11"/>
      <c r="IV81" s="11"/>
      <c r="IW81" s="11"/>
      <c r="IX81" s="12"/>
      <c r="IY81" s="11"/>
      <c r="IZ81" s="11"/>
      <c r="JA81" s="11"/>
      <c r="JB81" s="11"/>
      <c r="JC81" s="11"/>
      <c r="JD81" s="11"/>
      <c r="JE81" s="12"/>
      <c r="JF81" s="11"/>
      <c r="JG81" s="11"/>
      <c r="JH81" s="11"/>
      <c r="JI81" s="11"/>
      <c r="JJ81" s="11"/>
      <c r="JK81" s="11"/>
      <c r="JL81" s="12"/>
      <c r="JM81" s="11"/>
      <c r="JN81" s="11"/>
      <c r="JO81" s="11"/>
      <c r="JP81" s="11"/>
      <c r="JQ81" s="11"/>
      <c r="JR81" s="11"/>
      <c r="JS81" s="12"/>
      <c r="JT81" s="11"/>
      <c r="JU81" s="11"/>
      <c r="JV81" s="11"/>
      <c r="JW81" s="11"/>
      <c r="JX81" s="11"/>
      <c r="JY81" s="11"/>
      <c r="JZ81" s="12"/>
      <c r="KA81" s="11"/>
      <c r="KB81" s="11"/>
      <c r="KC81" s="11"/>
      <c r="KD81" s="11"/>
      <c r="KE81" s="11"/>
      <c r="KF81" s="11"/>
      <c r="KG81" s="12"/>
      <c r="KH81" s="11"/>
      <c r="KI81" s="11"/>
      <c r="KJ81" s="11"/>
      <c r="KK81" s="11"/>
      <c r="KL81" s="11"/>
      <c r="KM81" s="11"/>
      <c r="KN81" s="12"/>
      <c r="KO81" s="11"/>
      <c r="KP81" s="11"/>
      <c r="KQ81" s="11"/>
      <c r="KR81" s="11"/>
      <c r="KS81" s="11"/>
      <c r="KT81" s="11"/>
      <c r="KU81" s="12"/>
      <c r="KV81" s="11"/>
      <c r="KW81" s="11"/>
      <c r="KX81" s="11"/>
      <c r="KY81" s="11"/>
      <c r="KZ81" s="11"/>
      <c r="LA81" s="11"/>
      <c r="LB81" s="12"/>
      <c r="LC81" s="11"/>
      <c r="LD81" s="11"/>
      <c r="LE81" s="11"/>
      <c r="LF81" s="11"/>
      <c r="LG81" s="11"/>
      <c r="LH81" s="11"/>
      <c r="LI81" s="12"/>
      <c r="LJ81" s="11"/>
      <c r="LK81" s="11"/>
      <c r="LL81" s="11"/>
      <c r="LM81" s="11"/>
      <c r="LN81" s="11"/>
      <c r="LO81" s="11"/>
      <c r="LP81" s="12"/>
      <c r="LQ81" s="11"/>
      <c r="LR81" s="11"/>
      <c r="LS81" s="11"/>
      <c r="LT81" s="11"/>
      <c r="LU81" s="11"/>
      <c r="LV81" s="11"/>
      <c r="LW81" s="12"/>
      <c r="LX81" s="11"/>
      <c r="LY81" s="11"/>
      <c r="LZ81" s="11"/>
      <c r="MA81" s="11"/>
      <c r="MB81" s="11"/>
      <c r="MC81" s="11"/>
      <c r="MD81" s="12"/>
      <c r="ME81" s="11"/>
      <c r="MF81" s="11"/>
      <c r="MG81" s="11"/>
      <c r="MH81" s="11"/>
      <c r="MI81" s="11"/>
      <c r="MJ81" s="11"/>
      <c r="MK81" s="12"/>
      <c r="ML81" s="11"/>
      <c r="MM81" s="11"/>
      <c r="MN81" s="11"/>
      <c r="MO81" s="11"/>
      <c r="MP81" s="11"/>
      <c r="MQ81" s="11"/>
      <c r="MR81" s="12"/>
    </row>
    <row r="82" spans="1:356" x14ac:dyDescent="0.25">
      <c r="A82" s="8" t="s">
        <v>23</v>
      </c>
      <c r="B82" s="8"/>
      <c r="C82" s="8"/>
      <c r="D82" s="8"/>
      <c r="E82" s="8"/>
      <c r="F82" s="10"/>
      <c r="G82" s="19"/>
      <c r="H82" s="19"/>
      <c r="I82" s="8"/>
      <c r="J82" s="8"/>
      <c r="K82" s="8"/>
      <c r="L82" s="8"/>
      <c r="M82" s="8"/>
      <c r="N82" s="8"/>
      <c r="O82" s="9"/>
      <c r="P82" s="8">
        <f t="shared" ref="P82:P87" si="699">IF(SUM(S82:MR82) &gt; 0, SUM(S82:MR82), "")</f>
        <v>58</v>
      </c>
      <c r="Q82" s="109">
        <f t="shared" ref="Q82:Q88" si="700">IF(SUM(S82:XFD82) &gt; 0, SUM(S82:XFD82) / $P$89 * 100, "")</f>
        <v>100</v>
      </c>
      <c r="R82" s="84"/>
      <c r="S82" s="7">
        <v>1</v>
      </c>
      <c r="U82">
        <v>1</v>
      </c>
      <c r="V82">
        <v>1</v>
      </c>
      <c r="X82">
        <v>1</v>
      </c>
      <c r="Z82" s="7"/>
      <c r="AB82">
        <v>1</v>
      </c>
      <c r="AD82">
        <v>1</v>
      </c>
      <c r="AE82">
        <v>1</v>
      </c>
      <c r="AG82" s="7"/>
      <c r="AI82">
        <v>1</v>
      </c>
      <c r="AK82">
        <v>1</v>
      </c>
      <c r="AL82">
        <v>1</v>
      </c>
      <c r="AN82" s="7"/>
      <c r="AP82">
        <v>1</v>
      </c>
      <c r="AR82">
        <v>1</v>
      </c>
      <c r="AS82">
        <v>1</v>
      </c>
      <c r="AU82" s="7"/>
      <c r="AW82">
        <v>1</v>
      </c>
      <c r="AX82">
        <v>1</v>
      </c>
      <c r="AY82">
        <v>1</v>
      </c>
      <c r="AZ82">
        <v>1</v>
      </c>
      <c r="BB82" s="7"/>
      <c r="BD82">
        <v>1</v>
      </c>
      <c r="BF82">
        <v>1</v>
      </c>
      <c r="BG82">
        <v>1</v>
      </c>
      <c r="BI82" s="7"/>
      <c r="BK82">
        <v>1</v>
      </c>
      <c r="BM82">
        <v>1</v>
      </c>
      <c r="BN82">
        <v>1</v>
      </c>
      <c r="BP82" s="7">
        <v>1</v>
      </c>
      <c r="BR82">
        <v>1</v>
      </c>
      <c r="BT82">
        <v>1</v>
      </c>
      <c r="BW82">
        <v>1</v>
      </c>
      <c r="BY82" s="7"/>
      <c r="CC82">
        <v>1</v>
      </c>
      <c r="CF82">
        <v>1</v>
      </c>
      <c r="CH82" s="7"/>
      <c r="CL82">
        <v>1</v>
      </c>
      <c r="CO82">
        <v>1</v>
      </c>
      <c r="CQ82" s="7"/>
      <c r="CS82">
        <v>1</v>
      </c>
      <c r="CU82">
        <v>1</v>
      </c>
      <c r="CV82">
        <v>1</v>
      </c>
      <c r="CX82">
        <v>1</v>
      </c>
      <c r="CZ82" s="7"/>
      <c r="DB82">
        <v>1</v>
      </c>
      <c r="DE82">
        <v>1</v>
      </c>
      <c r="DG82">
        <v>1</v>
      </c>
      <c r="DI82" s="7"/>
      <c r="DK82">
        <v>1</v>
      </c>
      <c r="DM82">
        <v>1</v>
      </c>
      <c r="DN82">
        <v>1</v>
      </c>
      <c r="DR82" s="7"/>
      <c r="DT82">
        <v>1</v>
      </c>
      <c r="DV82">
        <v>1</v>
      </c>
      <c r="DW82">
        <v>1</v>
      </c>
      <c r="EA82" s="7"/>
      <c r="EB82">
        <v>1</v>
      </c>
      <c r="EC82">
        <v>1</v>
      </c>
      <c r="EE82">
        <v>1</v>
      </c>
      <c r="EF82">
        <v>1</v>
      </c>
      <c r="EJ82" s="7"/>
      <c r="EK82">
        <v>1</v>
      </c>
      <c r="EL82">
        <v>1</v>
      </c>
      <c r="EN82">
        <v>1</v>
      </c>
      <c r="EO82">
        <v>1</v>
      </c>
      <c r="EQ82">
        <v>1</v>
      </c>
      <c r="ES82" s="7"/>
      <c r="ET82">
        <v>1</v>
      </c>
      <c r="EU82">
        <v>1</v>
      </c>
      <c r="EV82">
        <v>1</v>
      </c>
      <c r="EW82">
        <v>1</v>
      </c>
      <c r="EX82">
        <v>1</v>
      </c>
      <c r="FB82" s="7"/>
      <c r="FK82" s="7"/>
      <c r="FR82" s="7"/>
      <c r="FY82" s="7"/>
      <c r="GF82" s="7"/>
      <c r="GM82" s="7"/>
      <c r="GT82" s="7"/>
      <c r="HA82" s="7"/>
      <c r="HH82" s="7"/>
      <c r="HO82" s="7"/>
      <c r="HV82" s="7"/>
      <c r="IC82" s="7"/>
      <c r="IJ82" s="7"/>
      <c r="IQ82" s="7"/>
      <c r="IX82" s="7"/>
      <c r="JE82" s="7"/>
      <c r="JL82" s="7"/>
      <c r="JS82" s="7"/>
      <c r="JZ82" s="7"/>
      <c r="KG82" s="7"/>
      <c r="KN82" s="7"/>
      <c r="KU82" s="7"/>
      <c r="LB82" s="7"/>
      <c r="LI82" s="7"/>
      <c r="LP82" s="7"/>
      <c r="LW82" s="7"/>
      <c r="MD82" s="7"/>
      <c r="MK82" s="7"/>
      <c r="MR82" s="7"/>
    </row>
    <row r="83" spans="1:356" x14ac:dyDescent="0.25">
      <c r="A83" s="8" t="s">
        <v>22</v>
      </c>
      <c r="B83" s="8"/>
      <c r="C83" s="8"/>
      <c r="D83" s="8"/>
      <c r="E83" s="8"/>
      <c r="F83" s="10"/>
      <c r="G83" s="19"/>
      <c r="H83" s="19"/>
      <c r="I83" s="8"/>
      <c r="J83" s="8"/>
      <c r="K83" s="8"/>
      <c r="L83" s="8"/>
      <c r="M83" s="8"/>
      <c r="N83" s="8"/>
      <c r="O83" s="9"/>
      <c r="P83" s="8" t="str">
        <f t="shared" si="699"/>
        <v/>
      </c>
      <c r="Q83" s="109" t="str">
        <f t="shared" si="700"/>
        <v/>
      </c>
      <c r="R83" s="84"/>
      <c r="S83" s="7"/>
      <c r="Z83" s="7"/>
      <c r="AG83" s="7"/>
      <c r="AN83" s="7"/>
      <c r="AU83" s="7"/>
      <c r="BB83" s="7"/>
      <c r="BI83" s="7"/>
      <c r="BP83" s="7"/>
      <c r="BY83" s="7"/>
      <c r="CH83" s="7"/>
      <c r="CQ83" s="7"/>
      <c r="CZ83" s="7"/>
      <c r="DI83" s="7"/>
      <c r="DR83" s="7"/>
      <c r="EA83" s="7"/>
      <c r="EJ83" s="7"/>
      <c r="ES83" s="7"/>
      <c r="FB83" s="7"/>
      <c r="FK83" s="7"/>
      <c r="FR83" s="7"/>
      <c r="FY83" s="7"/>
      <c r="GF83" s="7"/>
      <c r="GM83" s="7"/>
      <c r="GT83" s="7"/>
      <c r="HA83" s="7"/>
      <c r="HH83" s="7"/>
      <c r="HO83" s="7"/>
      <c r="HV83" s="7"/>
      <c r="IC83" s="7"/>
      <c r="IJ83" s="7"/>
      <c r="IQ83" s="7"/>
      <c r="IX83" s="7"/>
      <c r="JE83" s="7"/>
      <c r="JL83" s="7"/>
      <c r="JS83" s="7"/>
      <c r="JZ83" s="7"/>
      <c r="KG83" s="7"/>
      <c r="KN83" s="7"/>
      <c r="KU83" s="7"/>
      <c r="LB83" s="7"/>
      <c r="LI83" s="7"/>
      <c r="LP83" s="7"/>
      <c r="LW83" s="7"/>
      <c r="MD83" s="7"/>
      <c r="MK83" s="7"/>
      <c r="MR83" s="7"/>
    </row>
    <row r="84" spans="1:356" x14ac:dyDescent="0.25">
      <c r="A84" s="8" t="s">
        <v>21</v>
      </c>
      <c r="B84" s="8"/>
      <c r="C84" s="8"/>
      <c r="D84" s="8"/>
      <c r="E84" s="8"/>
      <c r="F84" s="10"/>
      <c r="G84" s="19"/>
      <c r="H84" s="19"/>
      <c r="I84" s="8"/>
      <c r="J84" s="8"/>
      <c r="K84" s="8"/>
      <c r="L84" s="8"/>
      <c r="M84" s="8"/>
      <c r="N84" s="8"/>
      <c r="O84" s="9"/>
      <c r="P84" s="8" t="str">
        <f t="shared" si="699"/>
        <v/>
      </c>
      <c r="Q84" s="109" t="str">
        <f t="shared" si="700"/>
        <v/>
      </c>
      <c r="R84" s="84"/>
      <c r="S84" s="7"/>
      <c r="Z84" s="7"/>
      <c r="AG84" s="7"/>
      <c r="AN84" s="7"/>
      <c r="AU84" s="7"/>
      <c r="BB84" s="7"/>
      <c r="BI84" s="7"/>
      <c r="BP84" s="7"/>
      <c r="BY84" s="7"/>
      <c r="CH84" s="7"/>
      <c r="CQ84" s="7"/>
      <c r="CZ84" s="7"/>
      <c r="DI84" s="7"/>
      <c r="DR84" s="7"/>
      <c r="EA84" s="7"/>
      <c r="EJ84" s="7"/>
      <c r="ES84" s="7"/>
      <c r="FB84" s="7"/>
      <c r="FK84" s="7"/>
      <c r="FR84" s="7"/>
      <c r="FY84" s="7"/>
      <c r="GF84" s="7"/>
      <c r="GM84" s="7"/>
      <c r="GT84" s="7"/>
      <c r="HA84" s="7"/>
      <c r="HH84" s="7"/>
      <c r="HO84" s="7"/>
      <c r="HV84" s="7"/>
      <c r="IC84" s="7"/>
      <c r="IJ84" s="7"/>
      <c r="IQ84" s="7"/>
      <c r="IX84" s="7"/>
      <c r="JE84" s="7"/>
      <c r="JL84" s="7"/>
      <c r="JS84" s="7"/>
      <c r="JZ84" s="7"/>
      <c r="KG84" s="7"/>
      <c r="KN84" s="7"/>
      <c r="KU84" s="7"/>
      <c r="LB84" s="7"/>
      <c r="LI84" s="7"/>
      <c r="LP84" s="7"/>
      <c r="LW84" s="7"/>
      <c r="MD84" s="7"/>
      <c r="MK84" s="7"/>
      <c r="MR84" s="7"/>
    </row>
    <row r="85" spans="1:356" x14ac:dyDescent="0.25">
      <c r="A85" s="8" t="s">
        <v>20</v>
      </c>
      <c r="B85" s="8"/>
      <c r="C85" s="8"/>
      <c r="D85" s="8"/>
      <c r="E85" s="8"/>
      <c r="F85" s="10"/>
      <c r="G85" s="19"/>
      <c r="H85" s="19"/>
      <c r="I85" s="8"/>
      <c r="J85" s="8"/>
      <c r="K85" s="8"/>
      <c r="L85" s="8"/>
      <c r="M85" s="8"/>
      <c r="N85" s="8"/>
      <c r="O85" s="9"/>
      <c r="P85" s="8" t="str">
        <f t="shared" si="699"/>
        <v/>
      </c>
      <c r="Q85" s="109" t="str">
        <f t="shared" si="700"/>
        <v/>
      </c>
      <c r="R85" s="84"/>
      <c r="S85" s="7"/>
      <c r="Z85" s="7"/>
      <c r="AG85" s="7"/>
      <c r="AN85" s="7"/>
      <c r="AU85" s="7"/>
      <c r="BB85" s="7"/>
      <c r="BI85" s="7"/>
      <c r="BP85" s="7"/>
      <c r="BY85" s="7"/>
      <c r="CH85" s="7"/>
      <c r="CQ85" s="7"/>
      <c r="CZ85" s="7"/>
      <c r="DI85" s="7"/>
      <c r="DR85" s="7"/>
      <c r="EA85" s="7"/>
      <c r="EJ85" s="7"/>
      <c r="ES85" s="7"/>
      <c r="FB85" s="7"/>
      <c r="FK85" s="7"/>
      <c r="FR85" s="7"/>
      <c r="FY85" s="7"/>
      <c r="GF85" s="7"/>
      <c r="GM85" s="7"/>
      <c r="GT85" s="7"/>
      <c r="HA85" s="7"/>
      <c r="HH85" s="7"/>
      <c r="HO85" s="7"/>
      <c r="HV85" s="7"/>
      <c r="IC85" s="7"/>
      <c r="IJ85" s="7"/>
      <c r="IQ85" s="7"/>
      <c r="IX85" s="7"/>
      <c r="JE85" s="7"/>
      <c r="JL85" s="7"/>
      <c r="JS85" s="7"/>
      <c r="JZ85" s="7"/>
      <c r="KG85" s="7"/>
      <c r="KN85" s="7"/>
      <c r="KU85" s="7"/>
      <c r="LB85" s="7"/>
      <c r="LI85" s="7"/>
      <c r="LP85" s="7"/>
      <c r="LW85" s="7"/>
      <c r="MD85" s="7"/>
      <c r="MK85" s="7"/>
      <c r="MR85" s="7"/>
    </row>
    <row r="86" spans="1:356" x14ac:dyDescent="0.25">
      <c r="A86" s="8" t="s">
        <v>152</v>
      </c>
      <c r="B86" s="8"/>
      <c r="C86" s="8"/>
      <c r="D86" s="8"/>
      <c r="E86" s="8"/>
      <c r="F86" s="10"/>
      <c r="G86" s="19"/>
      <c r="H86" s="19"/>
      <c r="I86" s="8"/>
      <c r="J86" s="8"/>
      <c r="K86" s="8"/>
      <c r="L86" s="8"/>
      <c r="M86" s="8"/>
      <c r="N86" s="8"/>
      <c r="O86" s="9"/>
      <c r="P86" s="8">
        <f t="shared" si="699"/>
        <v>1</v>
      </c>
      <c r="Q86" s="109">
        <f t="shared" si="700"/>
        <v>1.7241379310344827</v>
      </c>
      <c r="R86" s="84"/>
      <c r="S86" s="7"/>
      <c r="Z86" s="7"/>
      <c r="AG86" s="7"/>
      <c r="AN86" s="7"/>
      <c r="AU86" s="7"/>
      <c r="BB86" s="7"/>
      <c r="BI86" s="7"/>
      <c r="BP86" s="7"/>
      <c r="BY86" s="7"/>
      <c r="CH86" s="7"/>
      <c r="CQ86" s="7"/>
      <c r="CZ86" s="7"/>
      <c r="DI86" s="7"/>
      <c r="DR86" s="7"/>
      <c r="EA86" s="7"/>
      <c r="EJ86" s="7"/>
      <c r="ES86" s="7"/>
      <c r="EU86">
        <v>1</v>
      </c>
      <c r="FB86" s="7"/>
      <c r="FK86" s="7"/>
      <c r="FR86" s="7"/>
      <c r="FY86" s="7"/>
      <c r="GF86" s="7"/>
      <c r="GM86" s="7"/>
      <c r="GT86" s="7"/>
      <c r="HA86" s="7"/>
      <c r="HH86" s="7"/>
      <c r="HO86" s="7"/>
      <c r="HV86" s="7"/>
      <c r="IC86" s="7"/>
      <c r="IJ86" s="7"/>
      <c r="IQ86" s="7"/>
      <c r="IX86" s="7"/>
      <c r="JE86" s="7"/>
      <c r="JL86" s="7"/>
      <c r="JS86" s="7"/>
      <c r="JZ86" s="7"/>
      <c r="KG86" s="7"/>
      <c r="KN86" s="7"/>
      <c r="KU86" s="7"/>
      <c r="LB86" s="7"/>
      <c r="LI86" s="7"/>
      <c r="LP86" s="7"/>
      <c r="LW86" s="7"/>
      <c r="MD86" s="7"/>
      <c r="MK86" s="7"/>
      <c r="MR86" s="7"/>
    </row>
    <row r="87" spans="1:356" x14ac:dyDescent="0.25">
      <c r="A87" s="8" t="s">
        <v>19</v>
      </c>
      <c r="B87" s="8"/>
      <c r="C87" s="8"/>
      <c r="D87" s="8"/>
      <c r="E87" s="8"/>
      <c r="F87" s="10"/>
      <c r="G87" s="19"/>
      <c r="H87" s="19"/>
      <c r="I87" s="8"/>
      <c r="J87" s="8"/>
      <c r="K87" s="8"/>
      <c r="L87" s="8"/>
      <c r="M87" s="8"/>
      <c r="N87" s="8"/>
      <c r="O87" s="9"/>
      <c r="P87" s="8">
        <f t="shared" si="699"/>
        <v>13</v>
      </c>
      <c r="Q87" s="109">
        <f t="shared" si="700"/>
        <v>22.413793103448278</v>
      </c>
      <c r="R87" s="84"/>
      <c r="S87" s="7"/>
      <c r="Z87" s="7"/>
      <c r="AG87" s="7"/>
      <c r="AK87">
        <v>1</v>
      </c>
      <c r="AN87" s="7"/>
      <c r="AU87" s="7"/>
      <c r="AW87">
        <v>1</v>
      </c>
      <c r="AY87">
        <v>1</v>
      </c>
      <c r="BB87" s="7"/>
      <c r="BF87">
        <v>1</v>
      </c>
      <c r="BI87" s="7"/>
      <c r="BN87">
        <v>1</v>
      </c>
      <c r="BP87" s="7"/>
      <c r="BY87" s="7"/>
      <c r="CH87" s="7"/>
      <c r="CQ87" s="7"/>
      <c r="CZ87" s="7"/>
      <c r="DI87" s="7"/>
      <c r="DR87" s="7"/>
      <c r="DT87">
        <v>1</v>
      </c>
      <c r="EA87" s="7"/>
      <c r="EC87">
        <v>1</v>
      </c>
      <c r="EE87">
        <v>1</v>
      </c>
      <c r="EJ87" s="7"/>
      <c r="EL87">
        <v>1</v>
      </c>
      <c r="EN87">
        <v>1</v>
      </c>
      <c r="EO87">
        <v>1</v>
      </c>
      <c r="ES87" s="7"/>
      <c r="EW87">
        <v>1</v>
      </c>
      <c r="EX87">
        <v>1</v>
      </c>
      <c r="FB87" s="7"/>
      <c r="FK87" s="7"/>
      <c r="FR87" s="7"/>
      <c r="FY87" s="7"/>
      <c r="GF87" s="7"/>
      <c r="GM87" s="7"/>
      <c r="GT87" s="7"/>
      <c r="HA87" s="7"/>
      <c r="HH87" s="7"/>
      <c r="HO87" s="7"/>
      <c r="HV87" s="7"/>
      <c r="IC87" s="7"/>
      <c r="IJ87" s="7"/>
      <c r="IQ87" s="7"/>
      <c r="IX87" s="7"/>
      <c r="JE87" s="7"/>
      <c r="JL87" s="7"/>
      <c r="JS87" s="7"/>
      <c r="JZ87" s="7"/>
      <c r="KG87" s="7"/>
      <c r="KN87" s="7"/>
      <c r="KU87" s="7"/>
      <c r="LB87" s="7"/>
      <c r="LI87" s="7"/>
      <c r="LP87" s="7"/>
      <c r="LW87" s="7"/>
      <c r="MD87" s="7"/>
      <c r="MK87" s="7"/>
      <c r="MR87" s="7"/>
    </row>
    <row r="88" spans="1:356" ht="5.25" customHeight="1" x14ac:dyDescent="0.25">
      <c r="A88" s="8"/>
      <c r="B88" s="8"/>
      <c r="C88" s="8"/>
      <c r="D88" s="8"/>
      <c r="E88" s="8"/>
      <c r="F88" s="10"/>
      <c r="G88" s="19"/>
      <c r="H88" s="19"/>
      <c r="I88" s="8"/>
      <c r="J88" s="8"/>
      <c r="K88" s="8"/>
      <c r="L88" s="8"/>
      <c r="M88" s="8"/>
      <c r="N88" s="8"/>
      <c r="O88" s="9"/>
      <c r="P88" s="8" t="str">
        <f>IF(SUM(R88:MR88) &gt; 0, SUM(R88:MR88), "")</f>
        <v/>
      </c>
      <c r="Q88" s="109" t="str">
        <f t="shared" si="700"/>
        <v/>
      </c>
      <c r="R88" s="9"/>
      <c r="S88" s="7"/>
      <c r="Z88" s="7"/>
      <c r="AG88" s="7"/>
      <c r="AN88" s="7"/>
      <c r="AU88" s="7"/>
      <c r="BB88" s="7"/>
      <c r="BI88" s="7"/>
      <c r="BP88" s="7"/>
      <c r="BY88" s="7"/>
      <c r="CH88" s="7"/>
      <c r="CQ88" s="7"/>
      <c r="CZ88" s="7"/>
      <c r="DI88" s="7"/>
      <c r="DR88" s="7"/>
      <c r="EA88" s="7"/>
      <c r="EJ88" s="7"/>
      <c r="ES88" s="7"/>
      <c r="FB88" s="7"/>
      <c r="FK88" s="7"/>
      <c r="FR88" s="7"/>
      <c r="FY88" s="7"/>
      <c r="GF88" s="7"/>
      <c r="GM88" s="7"/>
      <c r="GT88" s="7"/>
      <c r="HA88" s="7"/>
      <c r="HH88" s="7"/>
      <c r="HO88" s="7"/>
      <c r="HV88" s="7"/>
      <c r="IC88" s="7"/>
      <c r="IJ88" s="7"/>
      <c r="IQ88" s="7"/>
      <c r="IX88" s="7"/>
      <c r="JE88" s="7"/>
      <c r="JL88" s="7"/>
      <c r="JS88" s="7"/>
      <c r="JZ88" s="7"/>
      <c r="KG88" s="7"/>
      <c r="KN88" s="7"/>
      <c r="KU88" s="7"/>
      <c r="LB88" s="7"/>
      <c r="LI88" s="7"/>
      <c r="LP88" s="7"/>
      <c r="LW88" s="7"/>
      <c r="MD88" s="7"/>
      <c r="MK88" s="7"/>
      <c r="MR88" s="7"/>
    </row>
    <row r="89" spans="1:356" x14ac:dyDescent="0.25">
      <c r="A89" s="6" t="s">
        <v>18</v>
      </c>
      <c r="B89" s="3"/>
      <c r="C89" s="3"/>
      <c r="D89" s="3"/>
      <c r="E89" s="3"/>
      <c r="F89" s="5"/>
      <c r="G89" s="3"/>
      <c r="H89" s="3"/>
      <c r="I89" s="3"/>
      <c r="J89" s="3"/>
      <c r="K89" s="3"/>
      <c r="L89" s="3"/>
      <c r="M89" s="3"/>
      <c r="N89" s="3"/>
      <c r="O89" s="4"/>
      <c r="P89" s="3">
        <f>SUM(S89:MR89)</f>
        <v>58</v>
      </c>
      <c r="Q89" s="3"/>
      <c r="R89" s="4"/>
      <c r="S89" s="4">
        <v>1</v>
      </c>
      <c r="T89" s="3"/>
      <c r="U89" s="3">
        <v>1</v>
      </c>
      <c r="V89" s="3">
        <v>1</v>
      </c>
      <c r="W89" s="3"/>
      <c r="X89" s="3">
        <v>1</v>
      </c>
      <c r="Y89" s="3"/>
      <c r="Z89" s="4"/>
      <c r="AA89" s="3"/>
      <c r="AB89" s="3">
        <v>1</v>
      </c>
      <c r="AC89" s="3"/>
      <c r="AD89" s="3">
        <v>1</v>
      </c>
      <c r="AE89" s="3">
        <v>1</v>
      </c>
      <c r="AF89" s="3"/>
      <c r="AG89" s="4"/>
      <c r="AH89" s="3"/>
      <c r="AI89" s="3">
        <v>1</v>
      </c>
      <c r="AJ89" s="3"/>
      <c r="AK89" s="3">
        <v>1</v>
      </c>
      <c r="AL89" s="3">
        <v>1</v>
      </c>
      <c r="AM89" s="3"/>
      <c r="AN89" s="4"/>
      <c r="AO89" s="3"/>
      <c r="AP89" s="3">
        <v>1</v>
      </c>
      <c r="AQ89" s="3"/>
      <c r="AR89" s="3">
        <v>1</v>
      </c>
      <c r="AS89" s="3">
        <v>1</v>
      </c>
      <c r="AT89" s="3"/>
      <c r="AU89" s="4"/>
      <c r="AV89" s="3"/>
      <c r="AW89" s="3">
        <v>1</v>
      </c>
      <c r="AX89" s="3">
        <v>1</v>
      </c>
      <c r="AY89" s="3">
        <v>1</v>
      </c>
      <c r="AZ89" s="3">
        <v>1</v>
      </c>
      <c r="BA89" s="3"/>
      <c r="BB89" s="4"/>
      <c r="BC89" s="3"/>
      <c r="BD89" s="3">
        <v>1</v>
      </c>
      <c r="BE89" s="3"/>
      <c r="BF89" s="3">
        <v>1</v>
      </c>
      <c r="BG89" s="3">
        <v>1</v>
      </c>
      <c r="BH89" s="3"/>
      <c r="BI89" s="4"/>
      <c r="BJ89" s="3"/>
      <c r="BK89" s="3">
        <v>1</v>
      </c>
      <c r="BL89" s="3"/>
      <c r="BM89" s="3">
        <v>1</v>
      </c>
      <c r="BN89" s="3">
        <v>1</v>
      </c>
      <c r="BO89" s="3"/>
      <c r="BP89" s="4">
        <v>1</v>
      </c>
      <c r="BQ89" s="3"/>
      <c r="BR89" s="3">
        <v>1</v>
      </c>
      <c r="BS89" s="3"/>
      <c r="BT89" s="3">
        <v>1</v>
      </c>
      <c r="BU89" s="3"/>
      <c r="BV89" s="3"/>
      <c r="BW89" s="3">
        <v>1</v>
      </c>
      <c r="BX89" s="3"/>
      <c r="BY89" s="4"/>
      <c r="BZ89" s="3"/>
      <c r="CA89" s="3"/>
      <c r="CB89" s="3"/>
      <c r="CC89" s="3">
        <v>1</v>
      </c>
      <c r="CD89" s="3"/>
      <c r="CE89" s="3"/>
      <c r="CF89" s="3">
        <v>1</v>
      </c>
      <c r="CG89" s="3"/>
      <c r="CH89" s="4"/>
      <c r="CI89" s="3"/>
      <c r="CJ89" s="3"/>
      <c r="CK89" s="3"/>
      <c r="CL89" s="3">
        <v>1</v>
      </c>
      <c r="CM89" s="3"/>
      <c r="CN89" s="3"/>
      <c r="CO89" s="3">
        <v>1</v>
      </c>
      <c r="CP89" s="3"/>
      <c r="CQ89" s="4"/>
      <c r="CR89" s="3"/>
      <c r="CS89" s="3">
        <v>1</v>
      </c>
      <c r="CT89" s="3"/>
      <c r="CU89" s="3">
        <v>1</v>
      </c>
      <c r="CV89" s="3">
        <v>1</v>
      </c>
      <c r="CW89" s="3"/>
      <c r="CX89" s="3">
        <v>1</v>
      </c>
      <c r="CY89" s="3"/>
      <c r="CZ89" s="4"/>
      <c r="DA89" s="3"/>
      <c r="DB89" s="3">
        <v>1</v>
      </c>
      <c r="DC89" s="3"/>
      <c r="DD89" s="3"/>
      <c r="DE89" s="3">
        <v>1</v>
      </c>
      <c r="DF89" s="3"/>
      <c r="DG89" s="3">
        <v>1</v>
      </c>
      <c r="DH89" s="3"/>
      <c r="DI89" s="4"/>
      <c r="DJ89" s="3"/>
      <c r="DK89" s="3">
        <v>1</v>
      </c>
      <c r="DL89" s="3"/>
      <c r="DM89" s="3">
        <v>1</v>
      </c>
      <c r="DN89" s="3">
        <v>1</v>
      </c>
      <c r="DO89" s="3"/>
      <c r="DP89" s="3"/>
      <c r="DQ89" s="3"/>
      <c r="DR89" s="4"/>
      <c r="DS89" s="3"/>
      <c r="DT89" s="3">
        <v>1</v>
      </c>
      <c r="DU89" s="3"/>
      <c r="DV89" s="3">
        <v>1</v>
      </c>
      <c r="DW89" s="3">
        <v>1</v>
      </c>
      <c r="DX89" s="3"/>
      <c r="DY89" s="3"/>
      <c r="DZ89" s="3"/>
      <c r="EA89" s="4"/>
      <c r="EB89" s="3">
        <v>1</v>
      </c>
      <c r="EC89" s="3">
        <v>1</v>
      </c>
      <c r="ED89" s="3"/>
      <c r="EE89" s="3">
        <v>1</v>
      </c>
      <c r="EF89" s="3">
        <v>1</v>
      </c>
      <c r="EG89" s="3"/>
      <c r="EH89" s="3"/>
      <c r="EI89" s="3"/>
      <c r="EJ89" s="4"/>
      <c r="EK89" s="3">
        <v>1</v>
      </c>
      <c r="EL89" s="3">
        <v>1</v>
      </c>
      <c r="EM89" s="3"/>
      <c r="EN89" s="3">
        <v>1</v>
      </c>
      <c r="EO89" s="3">
        <v>1</v>
      </c>
      <c r="EP89" s="3"/>
      <c r="EQ89" s="3">
        <v>1</v>
      </c>
      <c r="ER89" s="3"/>
      <c r="ES89" s="4"/>
      <c r="ET89" s="3">
        <v>1</v>
      </c>
      <c r="EU89" s="3">
        <v>1</v>
      </c>
      <c r="EV89" s="3">
        <v>1</v>
      </c>
      <c r="EW89" s="3">
        <v>1</v>
      </c>
      <c r="EX89" s="3">
        <v>1</v>
      </c>
      <c r="EY89" s="3"/>
      <c r="EZ89" s="3"/>
      <c r="FA89" s="3"/>
      <c r="FB89" s="4"/>
      <c r="FC89" s="3"/>
      <c r="FD89" s="3"/>
      <c r="FE89" s="3"/>
      <c r="FF89" s="3"/>
      <c r="FG89" s="3"/>
      <c r="FH89" s="3"/>
      <c r="FI89" s="3"/>
      <c r="FJ89" s="3"/>
      <c r="FK89" s="4"/>
      <c r="FL89" s="3"/>
      <c r="FM89" s="3"/>
      <c r="FN89" s="3"/>
      <c r="FO89" s="3"/>
      <c r="FP89" s="3"/>
      <c r="FQ89" s="3"/>
      <c r="FR89" s="4"/>
      <c r="FS89" s="3"/>
      <c r="FT89" s="3"/>
      <c r="FU89" s="3"/>
      <c r="FV89" s="3"/>
      <c r="FW89" s="3"/>
      <c r="FX89" s="3"/>
      <c r="FY89" s="4"/>
      <c r="FZ89" s="3"/>
      <c r="GA89" s="3"/>
      <c r="GB89" s="3"/>
      <c r="GC89" s="3"/>
      <c r="GD89" s="3"/>
      <c r="GE89" s="3"/>
      <c r="GF89" s="4"/>
      <c r="GG89" s="3"/>
      <c r="GH89" s="3"/>
      <c r="GI89" s="3"/>
      <c r="GJ89" s="3"/>
      <c r="GK89" s="3"/>
      <c r="GL89" s="3"/>
      <c r="GM89" s="4"/>
      <c r="GN89" s="3"/>
      <c r="GO89" s="3"/>
      <c r="GP89" s="3"/>
      <c r="GQ89" s="3"/>
      <c r="GR89" s="3"/>
      <c r="GS89" s="3"/>
      <c r="GT89" s="4"/>
      <c r="GU89" s="3"/>
      <c r="GV89" s="3"/>
      <c r="GW89" s="3"/>
      <c r="GX89" s="3"/>
      <c r="GY89" s="3"/>
      <c r="GZ89" s="3"/>
      <c r="HA89" s="4"/>
      <c r="HB89" s="3"/>
      <c r="HC89" s="3"/>
      <c r="HD89" s="3"/>
      <c r="HE89" s="3"/>
      <c r="HF89" s="3"/>
      <c r="HG89" s="3"/>
      <c r="HH89" s="4"/>
      <c r="HI89" s="3"/>
      <c r="HJ89" s="3"/>
      <c r="HK89" s="3"/>
      <c r="HL89" s="3"/>
      <c r="HM89" s="3"/>
      <c r="HN89" s="3"/>
      <c r="HO89" s="4"/>
      <c r="HP89" s="3"/>
      <c r="HQ89" s="3"/>
      <c r="HR89" s="3"/>
      <c r="HS89" s="3"/>
      <c r="HT89" s="3"/>
      <c r="HU89" s="3"/>
      <c r="HV89" s="4"/>
      <c r="HW89" s="3"/>
      <c r="HX89" s="3"/>
      <c r="HY89" s="3"/>
      <c r="HZ89" s="3"/>
      <c r="IA89" s="3"/>
      <c r="IB89" s="3"/>
      <c r="IC89" s="4"/>
      <c r="ID89" s="3"/>
      <c r="IE89" s="3"/>
      <c r="IF89" s="3"/>
      <c r="IG89" s="3"/>
      <c r="IH89" s="3"/>
      <c r="II89" s="3"/>
      <c r="IJ89" s="4"/>
      <c r="IK89" s="3"/>
      <c r="IL89" s="3"/>
      <c r="IM89" s="3"/>
      <c r="IN89" s="3"/>
      <c r="IO89" s="3"/>
      <c r="IP89" s="3"/>
      <c r="IQ89" s="4"/>
      <c r="IR89" s="3"/>
      <c r="IS89" s="3"/>
      <c r="IT89" s="3"/>
      <c r="IU89" s="3"/>
      <c r="IV89" s="3"/>
      <c r="IW89" s="3"/>
      <c r="IX89" s="4"/>
      <c r="IY89" s="3"/>
      <c r="IZ89" s="3"/>
      <c r="JA89" s="3"/>
      <c r="JB89" s="3"/>
      <c r="JC89" s="3"/>
      <c r="JD89" s="3"/>
      <c r="JE89" s="4"/>
      <c r="JF89" s="3"/>
      <c r="JG89" s="3"/>
      <c r="JH89" s="3"/>
      <c r="JI89" s="3"/>
      <c r="JJ89" s="3"/>
      <c r="JK89" s="3"/>
      <c r="JL89" s="4"/>
      <c r="JM89" s="3"/>
      <c r="JN89" s="3"/>
      <c r="JO89" s="3"/>
      <c r="JP89" s="3"/>
      <c r="JQ89" s="3"/>
      <c r="JR89" s="3"/>
      <c r="JS89" s="4"/>
      <c r="JT89" s="3"/>
      <c r="JU89" s="3"/>
      <c r="JV89" s="3"/>
      <c r="JW89" s="3"/>
      <c r="JX89" s="3"/>
      <c r="JY89" s="3"/>
      <c r="JZ89" s="4"/>
      <c r="KA89" s="3"/>
      <c r="KB89" s="3"/>
      <c r="KC89" s="3"/>
      <c r="KD89" s="3"/>
      <c r="KE89" s="3"/>
      <c r="KF89" s="3"/>
      <c r="KG89" s="4"/>
      <c r="KH89" s="3"/>
      <c r="KI89" s="3"/>
      <c r="KJ89" s="3"/>
      <c r="KK89" s="3"/>
      <c r="KL89" s="3"/>
      <c r="KM89" s="3"/>
      <c r="KN89" s="4"/>
      <c r="KO89" s="3"/>
      <c r="KP89" s="3"/>
      <c r="KQ89" s="3"/>
      <c r="KR89" s="3"/>
      <c r="KS89" s="3"/>
      <c r="KT89" s="3"/>
      <c r="KU89" s="4"/>
      <c r="KV89" s="3"/>
      <c r="KW89" s="3"/>
      <c r="KX89" s="3"/>
      <c r="KY89" s="3"/>
      <c r="KZ89" s="3"/>
      <c r="LA89" s="3"/>
      <c r="LB89" s="4"/>
      <c r="LC89" s="3"/>
      <c r="LD89" s="3"/>
      <c r="LE89" s="3"/>
      <c r="LF89" s="3"/>
      <c r="LG89" s="3"/>
      <c r="LH89" s="3"/>
      <c r="LI89" s="4"/>
      <c r="LJ89" s="3"/>
      <c r="LK89" s="3"/>
      <c r="LL89" s="3"/>
      <c r="LM89" s="3"/>
      <c r="LN89" s="3"/>
      <c r="LO89" s="3"/>
      <c r="LP89" s="4"/>
      <c r="LQ89" s="3"/>
      <c r="LR89" s="3"/>
      <c r="LS89" s="3"/>
      <c r="LT89" s="3"/>
      <c r="LU89" s="3"/>
      <c r="LV89" s="3"/>
      <c r="LW89" s="4"/>
      <c r="LX89" s="3"/>
      <c r="LY89" s="3"/>
      <c r="LZ89" s="3"/>
      <c r="MA89" s="3"/>
      <c r="MB89" s="3"/>
      <c r="MC89" s="3"/>
      <c r="MD89" s="4"/>
      <c r="ME89" s="3"/>
      <c r="MF89" s="3"/>
      <c r="MG89" s="3"/>
      <c r="MH89" s="3"/>
      <c r="MI89" s="3"/>
      <c r="MJ89" s="3"/>
      <c r="MK89" s="4"/>
      <c r="ML89" s="3"/>
      <c r="MM89" s="3"/>
      <c r="MN89" s="3"/>
      <c r="MO89" s="3"/>
      <c r="MP89" s="3"/>
      <c r="MQ89" s="3"/>
      <c r="MR89" s="4"/>
    </row>
    <row r="91" spans="1:356" x14ac:dyDescent="0.25">
      <c r="B91" t="s">
        <v>199</v>
      </c>
      <c r="C91" t="s">
        <v>200</v>
      </c>
      <c r="D91" t="s">
        <v>201</v>
      </c>
      <c r="E91" t="s">
        <v>202</v>
      </c>
      <c r="F91" t="s">
        <v>207</v>
      </c>
      <c r="G91" t="s">
        <v>203</v>
      </c>
      <c r="H91" t="s">
        <v>204</v>
      </c>
      <c r="I91" t="s">
        <v>48</v>
      </c>
      <c r="J91" t="s">
        <v>406</v>
      </c>
      <c r="K91" t="s">
        <v>205</v>
      </c>
      <c r="L91" t="s">
        <v>206</v>
      </c>
    </row>
    <row r="92" spans="1:356" ht="15" customHeight="1" x14ac:dyDescent="0.25">
      <c r="A92" t="s">
        <v>17</v>
      </c>
      <c r="B92" t="s">
        <v>145</v>
      </c>
      <c r="C92">
        <v>7</v>
      </c>
      <c r="D92">
        <v>28</v>
      </c>
      <c r="E92">
        <v>37</v>
      </c>
      <c r="F92">
        <v>1</v>
      </c>
      <c r="G92" t="s">
        <v>15</v>
      </c>
      <c r="H92" t="s">
        <v>13</v>
      </c>
      <c r="I92" t="s">
        <v>187</v>
      </c>
      <c r="J92" t="s">
        <v>188</v>
      </c>
      <c r="K92" t="s">
        <v>407</v>
      </c>
      <c r="L92" s="51" t="str">
        <f>FindEnd(S36:MR36)</f>
        <v>FB</v>
      </c>
      <c r="N92" s="101"/>
      <c r="O92" s="102"/>
      <c r="P92" s="102"/>
      <c r="Q92" s="102"/>
      <c r="R92" s="103"/>
      <c r="S92" s="102"/>
      <c r="V92" s="34"/>
    </row>
    <row r="93" spans="1:356" x14ac:dyDescent="0.25">
      <c r="B93" t="s">
        <v>148</v>
      </c>
      <c r="C93">
        <v>45</v>
      </c>
      <c r="D93">
        <v>63</v>
      </c>
      <c r="E93">
        <v>66</v>
      </c>
      <c r="F93">
        <v>39</v>
      </c>
      <c r="G93" t="s">
        <v>15</v>
      </c>
      <c r="H93" t="s">
        <v>13</v>
      </c>
      <c r="I93" t="s">
        <v>187</v>
      </c>
      <c r="K93" t="s">
        <v>105</v>
      </c>
      <c r="L93" s="51" t="str">
        <f>FindEnd(S65:MR65)</f>
        <v>FB</v>
      </c>
    </row>
    <row r="94" spans="1:356" x14ac:dyDescent="0.25">
      <c r="B94" t="s">
        <v>16</v>
      </c>
      <c r="C94">
        <v>72</v>
      </c>
      <c r="D94">
        <v>75</v>
      </c>
      <c r="E94">
        <v>78</v>
      </c>
      <c r="F94">
        <v>67</v>
      </c>
      <c r="G94" t="s">
        <v>15</v>
      </c>
      <c r="H94" t="s">
        <v>13</v>
      </c>
      <c r="I94" t="s">
        <v>187</v>
      </c>
      <c r="K94" t="s">
        <v>105</v>
      </c>
      <c r="L94" s="51" t="str">
        <f>FindEnd(S77:MR77)</f>
        <v>FB</v>
      </c>
    </row>
    <row r="95" spans="1:356" x14ac:dyDescent="0.25">
      <c r="F95" s="106" t="s">
        <v>402</v>
      </c>
      <c r="K95" s="51"/>
    </row>
    <row r="96" spans="1:356" x14ac:dyDescent="0.25">
      <c r="K96" s="51"/>
    </row>
    <row r="97" spans="1:11" x14ac:dyDescent="0.25">
      <c r="K97" s="51"/>
    </row>
    <row r="98" spans="1:11" x14ac:dyDescent="0.25">
      <c r="K98" s="51"/>
    </row>
    <row r="99" spans="1:11" hidden="1" x14ac:dyDescent="0.25">
      <c r="A99" s="8" t="s">
        <v>112</v>
      </c>
      <c r="B99" s="8" t="s">
        <v>111</v>
      </c>
      <c r="C99" s="8" t="s">
        <v>110</v>
      </c>
      <c r="D99" s="8" t="s">
        <v>109</v>
      </c>
      <c r="E99" s="18">
        <v>40099</v>
      </c>
    </row>
    <row r="100" spans="1:11" hidden="1" x14ac:dyDescent="0.25">
      <c r="A100" s="8" t="s">
        <v>83</v>
      </c>
      <c r="B100" s="8"/>
      <c r="C100" s="8" t="s">
        <v>105</v>
      </c>
      <c r="D100" s="8" t="s">
        <v>104</v>
      </c>
      <c r="E100" s="18">
        <v>39365</v>
      </c>
    </row>
    <row r="101" spans="1:11" hidden="1" x14ac:dyDescent="0.25">
      <c r="A101" s="8" t="s">
        <v>103</v>
      </c>
      <c r="B101" s="8"/>
      <c r="C101" s="8" t="s">
        <v>102</v>
      </c>
      <c r="D101" s="8" t="s">
        <v>101</v>
      </c>
      <c r="E101" s="18">
        <v>39705</v>
      </c>
    </row>
    <row r="102" spans="1:11" hidden="1" x14ac:dyDescent="0.25">
      <c r="A102" s="8" t="s">
        <v>86</v>
      </c>
      <c r="B102" s="8"/>
      <c r="C102" s="8" t="s">
        <v>100</v>
      </c>
      <c r="D102" s="8" t="s">
        <v>97</v>
      </c>
      <c r="E102" s="18">
        <v>39386</v>
      </c>
    </row>
    <row r="103" spans="1:11" hidden="1" x14ac:dyDescent="0.25">
      <c r="A103" s="8" t="s">
        <v>99</v>
      </c>
      <c r="B103" s="8"/>
      <c r="C103" s="8" t="s">
        <v>98</v>
      </c>
      <c r="D103" s="8" t="s">
        <v>97</v>
      </c>
      <c r="E103" s="18">
        <v>39386</v>
      </c>
    </row>
    <row r="104" spans="1:11" hidden="1" x14ac:dyDescent="0.25">
      <c r="A104" s="8" t="s">
        <v>96</v>
      </c>
      <c r="B104" s="8" t="s">
        <v>95</v>
      </c>
      <c r="C104" s="8" t="s">
        <v>94</v>
      </c>
      <c r="D104" s="8" t="s">
        <v>93</v>
      </c>
      <c r="E104" s="18">
        <v>39590</v>
      </c>
    </row>
    <row r="105" spans="1:11" x14ac:dyDescent="0.25">
      <c r="A105" s="8" t="s">
        <v>72</v>
      </c>
      <c r="B105" s="8"/>
      <c r="C105" s="8" t="s">
        <v>71</v>
      </c>
      <c r="D105" s="8" t="s">
        <v>70</v>
      </c>
      <c r="E105" s="18">
        <v>40754</v>
      </c>
    </row>
    <row r="106" spans="1:11" x14ac:dyDescent="0.25">
      <c r="A106" s="8" t="s">
        <v>69</v>
      </c>
      <c r="B106" s="8"/>
      <c r="C106" s="8" t="s">
        <v>68</v>
      </c>
      <c r="D106" s="8" t="s">
        <v>67</v>
      </c>
      <c r="E106" s="18"/>
    </row>
    <row r="107" spans="1:11" hidden="1" x14ac:dyDescent="0.25">
      <c r="A107" s="8" t="s">
        <v>66</v>
      </c>
      <c r="B107" s="8" t="s">
        <v>65</v>
      </c>
      <c r="C107" s="8" t="s">
        <v>64</v>
      </c>
      <c r="D107" s="8" t="s">
        <v>63</v>
      </c>
      <c r="E107" s="18">
        <v>39713</v>
      </c>
    </row>
    <row r="108" spans="1:11" x14ac:dyDescent="0.25">
      <c r="A108" s="8" t="s">
        <v>61</v>
      </c>
      <c r="B108" s="8"/>
      <c r="C108" s="8" t="s">
        <v>60</v>
      </c>
      <c r="D108" s="8" t="s">
        <v>59</v>
      </c>
      <c r="E108" s="18"/>
    </row>
    <row r="109" spans="1:11" hidden="1" x14ac:dyDescent="0.25">
      <c r="A109" s="8" t="s">
        <v>58</v>
      </c>
      <c r="B109" s="8"/>
      <c r="C109" s="8" t="s">
        <v>57</v>
      </c>
      <c r="D109" s="8"/>
      <c r="E109" s="18"/>
    </row>
    <row r="110" spans="1:11" x14ac:dyDescent="0.25">
      <c r="A110" s="8" t="s">
        <v>56</v>
      </c>
      <c r="B110" s="8"/>
      <c r="C110" s="8" t="s">
        <v>14</v>
      </c>
      <c r="D110" s="8"/>
      <c r="E110" s="18"/>
    </row>
    <row r="111" spans="1:11" x14ac:dyDescent="0.25">
      <c r="A111" s="8" t="s">
        <v>55</v>
      </c>
      <c r="B111" s="8"/>
      <c r="C111" s="31" t="s">
        <v>54</v>
      </c>
      <c r="D111" s="8"/>
      <c r="E111" s="18"/>
    </row>
    <row r="112" spans="1:11" x14ac:dyDescent="0.25">
      <c r="A112" s="8" t="s">
        <v>53</v>
      </c>
      <c r="B112" s="8"/>
      <c r="C112" s="31" t="s">
        <v>52</v>
      </c>
      <c r="D112" s="8"/>
      <c r="E112" s="18"/>
    </row>
    <row r="113" spans="1:5" x14ac:dyDescent="0.25">
      <c r="A113" s="8" t="s">
        <v>51</v>
      </c>
      <c r="B113" s="8"/>
      <c r="C113" s="31" t="s">
        <v>50</v>
      </c>
      <c r="D113" s="8"/>
      <c r="E113" s="18"/>
    </row>
    <row r="114" spans="1:5" x14ac:dyDescent="0.25">
      <c r="A114" s="8" t="s">
        <v>62</v>
      </c>
      <c r="B114" s="8"/>
      <c r="C114" s="31" t="s">
        <v>292</v>
      </c>
      <c r="D114" s="8" t="s">
        <v>293</v>
      </c>
    </row>
  </sheetData>
  <dataConsolidate/>
  <mergeCells count="12">
    <mergeCell ref="A68:E69"/>
    <mergeCell ref="P68:P69"/>
    <mergeCell ref="R68:R69"/>
    <mergeCell ref="R2:R3"/>
    <mergeCell ref="A2:E3"/>
    <mergeCell ref="P2:P3"/>
    <mergeCell ref="A40:E41"/>
    <mergeCell ref="P40:P41"/>
    <mergeCell ref="R40:R41"/>
    <mergeCell ref="Q2:Q3"/>
    <mergeCell ref="Q40:Q41"/>
    <mergeCell ref="Q68:Q69"/>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numberStoredAsText="1"/>
    <ignoredError sqref="P31 EJ37 EA37 CZ37 Q37:CY37 DA37:DZ37 EB37:EI37 EK37:MR37 Q28" formula="1"/>
    <ignoredError sqref="AI66:CV66 CY69 AI78:CV81 AI77:BL77 BN77:CV77 AI87:CV88 AI82:CR82 CT82 AI89:CR89 CT89 CY70:DF81 DA69:DF69 CY66:DF66 CY87:DF88 CY82:DA82 DC82:DD82 CY89:DA89 DC89:DD89 DI69:DO81 DI66:DO66 DS67:DW68 DR66:DW66 DI87:DO88 DI82:DJ82 DL82 DF82 DF89 DI89:DJ89 DL89 DO82 DO89 AI69:CV76 AI67:BY68 DR76:DU76 DR74:DS74 DU74 DR71:DW71 DR69:DS70 DU69:DU70 DR73:DW73 DR72:DS72 DU72 DR75:DT75 DR78:DW81 DR77:DS77 DU77 DR83:DW85 DR82:DS82 DU82 DR88:DW88 DR87:DS87 DU87:DW87 DR89:DS89 DU89 DZ69:EB69 ED69 DW76 DZ74:EB74 DZ77:EB77 ED77 DZ82:EA82 ED82 DZ87:EB87 ED87 DZ89:EA89 ED89 EF87 EF73 DZ88:EF88 DZ83:EF85 DZ79:EF81 ED74:EF74 DZ75:EF76 EB67:EF68 DZ70:EF71 DZ66:EF66 EI66:EP66 EI70:EP71 EK67:EP68 FK87:MR89 DZ78:EE78 ES69:EW69 FB69:FF69 FK69:FL69 FN69 FP69:MR69 EI76:EP76 EI74:EK74 EM74 EI78:EP81 EI77:EK77 EM77 EI83:EP85 EI82:EJ82 EM82 EI88:EP88 EI87:EK87 EM87 EI89:EJ89 EM89 EI69:EK69 EM69 EP69 EI75:EN75 EP74:EP75 EP77 EP82 EP87 EP89 EI73:EP73 EI72:EK72 DZ72:ED73 EY69 ET67:EY68 ES70:EY73 ES66:EY66 FK66:MR66 ES88:EY88 ES82 ES89 ES83:EY85 FK70:MR85 DI83:DO85 CY83:DF85 AI83:CV85 ES78:EY81 ES77:ET77 EV77 ES75:EY76 ES74:ET74 EV74 EY74 EY77 EY82 ES87:EV87 EY87 EY89 FB70:FH85 FC67:FH68 FH69 FB66:FH66 FB87:FH89 FL68:MR68 FL67:MR6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91</xdr:row>
                    <xdr:rowOff>28575</xdr:rowOff>
                  </from>
                  <to>
                    <xdr:col>0</xdr:col>
                    <xdr:colOff>676275</xdr:colOff>
                    <xdr:row>93</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95</xdr:row>
                    <xdr:rowOff>28575</xdr:rowOff>
                  </from>
                  <to>
                    <xdr:col>9</xdr:col>
                    <xdr:colOff>47625</xdr:colOff>
                    <xdr:row>96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45"/>
  <sheetViews>
    <sheetView tabSelected="1"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44095</v>
      </c>
      <c r="B6" s="74" t="s">
        <v>529</v>
      </c>
      <c r="C6" s="74"/>
      <c r="D6" s="73"/>
    </row>
    <row r="7" spans="1:4" ht="90" x14ac:dyDescent="0.25">
      <c r="A7" s="72"/>
      <c r="B7" s="76" t="s">
        <v>530</v>
      </c>
      <c r="C7" s="74"/>
      <c r="D7" s="73"/>
    </row>
    <row r="8" spans="1:4" x14ac:dyDescent="0.25">
      <c r="A8" s="72"/>
      <c r="B8" s="73"/>
      <c r="C8" s="74"/>
      <c r="D8" s="73"/>
    </row>
    <row r="9" spans="1:4" x14ac:dyDescent="0.25">
      <c r="A9" s="75">
        <v>44092</v>
      </c>
      <c r="B9" s="73"/>
      <c r="C9" s="74"/>
      <c r="D9" s="74" t="s">
        <v>454</v>
      </c>
    </row>
    <row r="10" spans="1:4" ht="45" x14ac:dyDescent="0.25">
      <c r="A10" s="72"/>
      <c r="B10" s="73"/>
      <c r="C10" s="74"/>
      <c r="D10" s="76" t="s">
        <v>528</v>
      </c>
    </row>
    <row r="11" spans="1:4" x14ac:dyDescent="0.25">
      <c r="A11" s="75">
        <v>44091</v>
      </c>
      <c r="B11" s="74" t="s">
        <v>521</v>
      </c>
      <c r="C11" s="74"/>
      <c r="D11" s="74" t="s">
        <v>518</v>
      </c>
    </row>
    <row r="12" spans="1:4" ht="105" x14ac:dyDescent="0.25">
      <c r="A12" s="72"/>
      <c r="B12" s="76" t="s">
        <v>520</v>
      </c>
      <c r="C12" s="74"/>
      <c r="D12" s="76" t="s">
        <v>519</v>
      </c>
    </row>
    <row r="13" spans="1:4" x14ac:dyDescent="0.25">
      <c r="A13" s="75">
        <v>44090</v>
      </c>
      <c r="B13" s="74" t="s">
        <v>522</v>
      </c>
      <c r="C13" s="74"/>
      <c r="D13" s="73"/>
    </row>
    <row r="14" spans="1:4" ht="180" x14ac:dyDescent="0.25">
      <c r="A14" s="72"/>
      <c r="B14" s="76" t="s">
        <v>517</v>
      </c>
      <c r="C14" s="74"/>
      <c r="D14" s="73"/>
    </row>
    <row r="15" spans="1:4" x14ac:dyDescent="0.25">
      <c r="A15" s="75">
        <v>44089</v>
      </c>
      <c r="B15" s="74" t="s">
        <v>462</v>
      </c>
      <c r="C15" s="74"/>
      <c r="D15" s="74" t="s">
        <v>474</v>
      </c>
    </row>
    <row r="16" spans="1:4" ht="75" x14ac:dyDescent="0.25">
      <c r="A16" s="72"/>
      <c r="B16" s="76" t="s">
        <v>511</v>
      </c>
      <c r="C16" s="74"/>
      <c r="D16" s="76" t="s">
        <v>510</v>
      </c>
    </row>
    <row r="17" spans="1:4" x14ac:dyDescent="0.25">
      <c r="A17" s="75">
        <v>44088</v>
      </c>
      <c r="B17" s="74" t="s">
        <v>523</v>
      </c>
      <c r="C17" s="74"/>
      <c r="D17" s="73"/>
    </row>
    <row r="18" spans="1:4" ht="45" x14ac:dyDescent="0.25">
      <c r="A18" s="72"/>
      <c r="B18" s="76" t="s">
        <v>509</v>
      </c>
      <c r="C18" s="74"/>
      <c r="D18" s="73"/>
    </row>
    <row r="19" spans="1:4" x14ac:dyDescent="0.25">
      <c r="A19" s="72"/>
      <c r="B19" s="73"/>
      <c r="C19" s="74"/>
      <c r="D19" s="73"/>
    </row>
    <row r="20" spans="1:4" x14ac:dyDescent="0.25">
      <c r="A20" s="75">
        <v>44087</v>
      </c>
      <c r="B20" s="74" t="s">
        <v>507</v>
      </c>
      <c r="C20" s="74"/>
    </row>
    <row r="21" spans="1:4" ht="120" x14ac:dyDescent="0.25">
      <c r="A21" s="72"/>
      <c r="B21" s="76" t="s">
        <v>506</v>
      </c>
      <c r="C21" s="74"/>
      <c r="D21" s="73"/>
    </row>
    <row r="22" spans="1:4" x14ac:dyDescent="0.25">
      <c r="A22" s="75">
        <v>44085</v>
      </c>
      <c r="B22" s="74" t="s">
        <v>492</v>
      </c>
      <c r="C22" s="74"/>
      <c r="D22" s="74" t="s">
        <v>450</v>
      </c>
    </row>
    <row r="23" spans="1:4" ht="210" x14ac:dyDescent="0.25">
      <c r="A23" s="72"/>
      <c r="B23" s="76" t="s">
        <v>494</v>
      </c>
      <c r="C23" s="74"/>
      <c r="D23" s="76" t="s">
        <v>493</v>
      </c>
    </row>
    <row r="24" spans="1:4" x14ac:dyDescent="0.25">
      <c r="A24" s="75">
        <v>44084</v>
      </c>
      <c r="B24" s="74" t="s">
        <v>489</v>
      </c>
      <c r="C24" s="74"/>
      <c r="D24" s="74" t="s">
        <v>449</v>
      </c>
    </row>
    <row r="25" spans="1:4" ht="45" x14ac:dyDescent="0.25">
      <c r="A25" s="72"/>
      <c r="B25" s="76" t="s">
        <v>490</v>
      </c>
      <c r="C25" s="74"/>
      <c r="D25" s="76" t="s">
        <v>491</v>
      </c>
    </row>
    <row r="26" spans="1:4" x14ac:dyDescent="0.25">
      <c r="A26" s="75">
        <v>44082</v>
      </c>
      <c r="B26" s="74" t="s">
        <v>465</v>
      </c>
      <c r="C26" s="74"/>
      <c r="D26" s="74" t="s">
        <v>450</v>
      </c>
    </row>
    <row r="27" spans="1:4" ht="90" x14ac:dyDescent="0.25">
      <c r="A27" s="72"/>
      <c r="B27" s="76" t="s">
        <v>485</v>
      </c>
      <c r="C27" s="74"/>
      <c r="D27" s="76" t="s">
        <v>483</v>
      </c>
    </row>
    <row r="28" spans="1:4" x14ac:dyDescent="0.25">
      <c r="A28" s="75">
        <v>44081</v>
      </c>
      <c r="B28" s="74" t="s">
        <v>481</v>
      </c>
      <c r="C28" s="74"/>
      <c r="D28" s="73"/>
    </row>
    <row r="29" spans="1:4" ht="120" x14ac:dyDescent="0.25">
      <c r="A29" s="72"/>
      <c r="B29" s="76" t="s">
        <v>484</v>
      </c>
      <c r="C29" s="74"/>
      <c r="D29" s="73"/>
    </row>
    <row r="30" spans="1:4" x14ac:dyDescent="0.25">
      <c r="A30" s="72"/>
      <c r="B30" s="73"/>
      <c r="C30" s="74"/>
      <c r="D30" s="73"/>
    </row>
    <row r="31" spans="1:4" x14ac:dyDescent="0.25">
      <c r="A31" s="75">
        <v>44078</v>
      </c>
      <c r="B31" s="74" t="s">
        <v>474</v>
      </c>
      <c r="C31" s="74"/>
      <c r="D31" s="74" t="s">
        <v>475</v>
      </c>
    </row>
    <row r="32" spans="1:4" ht="75" x14ac:dyDescent="0.25">
      <c r="A32" s="72"/>
      <c r="B32" s="76" t="s">
        <v>477</v>
      </c>
      <c r="C32" s="74"/>
      <c r="D32" s="76" t="s">
        <v>476</v>
      </c>
    </row>
    <row r="33" spans="1:4" x14ac:dyDescent="0.25">
      <c r="A33" s="75">
        <v>44077</v>
      </c>
      <c r="B33" s="74" t="s">
        <v>465</v>
      </c>
      <c r="C33" s="74"/>
      <c r="D33" s="74" t="s">
        <v>454</v>
      </c>
    </row>
    <row r="34" spans="1:4" ht="75" x14ac:dyDescent="0.25">
      <c r="A34" s="72"/>
      <c r="B34" s="76" t="s">
        <v>480</v>
      </c>
      <c r="C34" s="74"/>
      <c r="D34" s="76" t="s">
        <v>466</v>
      </c>
    </row>
    <row r="35" spans="1:4" x14ac:dyDescent="0.25">
      <c r="A35" s="75">
        <v>44075</v>
      </c>
      <c r="B35" s="74" t="s">
        <v>462</v>
      </c>
      <c r="C35" s="74"/>
      <c r="D35" s="74" t="s">
        <v>450</v>
      </c>
    </row>
    <row r="36" spans="1:4" ht="60" x14ac:dyDescent="0.25">
      <c r="A36" s="72"/>
      <c r="B36" s="76" t="s">
        <v>464</v>
      </c>
      <c r="C36" s="74"/>
      <c r="D36" s="76" t="s">
        <v>463</v>
      </c>
    </row>
    <row r="37" spans="1:4" x14ac:dyDescent="0.25">
      <c r="A37" s="75">
        <v>44074</v>
      </c>
      <c r="B37" s="74" t="s">
        <v>453</v>
      </c>
      <c r="C37" s="74"/>
      <c r="D37" s="73"/>
    </row>
    <row r="38" spans="1:4" ht="74.25" customHeight="1" x14ac:dyDescent="0.25">
      <c r="A38" s="72"/>
      <c r="B38" s="76" t="s">
        <v>458</v>
      </c>
      <c r="C38" s="74"/>
      <c r="D38" s="73"/>
    </row>
    <row r="39" spans="1:4" x14ac:dyDescent="0.25">
      <c r="A39" s="72"/>
      <c r="B39" s="73"/>
      <c r="C39" s="74"/>
      <c r="D39" s="73"/>
    </row>
    <row r="40" spans="1:4" x14ac:dyDescent="0.25">
      <c r="A40" s="75">
        <v>44071</v>
      </c>
      <c r="B40" s="74" t="s">
        <v>453</v>
      </c>
      <c r="C40" s="74"/>
      <c r="D40" s="74" t="s">
        <v>454</v>
      </c>
    </row>
    <row r="41" spans="1:4" ht="105" x14ac:dyDescent="0.25">
      <c r="A41" s="72"/>
      <c r="B41" s="76" t="s">
        <v>456</v>
      </c>
      <c r="C41" s="74"/>
      <c r="D41" s="76" t="s">
        <v>455</v>
      </c>
    </row>
    <row r="42" spans="1:4" x14ac:dyDescent="0.25">
      <c r="A42" s="75">
        <v>44070</v>
      </c>
      <c r="B42" s="74" t="s">
        <v>449</v>
      </c>
      <c r="C42" s="74"/>
      <c r="D42" s="74" t="s">
        <v>450</v>
      </c>
    </row>
    <row r="43" spans="1:4" ht="90" x14ac:dyDescent="0.25">
      <c r="A43" s="72"/>
      <c r="B43" s="76" t="s">
        <v>451</v>
      </c>
      <c r="C43" s="74"/>
      <c r="D43" s="76" t="s">
        <v>452</v>
      </c>
    </row>
    <row r="44" spans="1:4" x14ac:dyDescent="0.25">
      <c r="A44" s="75">
        <v>44068</v>
      </c>
      <c r="B44" s="74" t="s">
        <v>445</v>
      </c>
      <c r="C44" s="74"/>
      <c r="D44" s="74" t="s">
        <v>446</v>
      </c>
    </row>
    <row r="45" spans="1:4" ht="75" x14ac:dyDescent="0.25">
      <c r="A45" s="72"/>
      <c r="B45" s="76" t="s">
        <v>447</v>
      </c>
      <c r="C45" s="74"/>
      <c r="D45" s="76" t="s">
        <v>448</v>
      </c>
    </row>
    <row r="46" spans="1:4" x14ac:dyDescent="0.25">
      <c r="A46" s="72"/>
      <c r="B46" s="73"/>
      <c r="C46" s="74"/>
      <c r="D46" s="73"/>
    </row>
    <row r="47" spans="1:4" x14ac:dyDescent="0.25">
      <c r="A47" s="75">
        <v>44066</v>
      </c>
      <c r="B47" s="74" t="s">
        <v>442</v>
      </c>
      <c r="C47" s="74"/>
      <c r="D47" s="73"/>
    </row>
    <row r="48" spans="1:4" ht="60" x14ac:dyDescent="0.25">
      <c r="A48" s="72"/>
      <c r="B48" s="76" t="s">
        <v>443</v>
      </c>
      <c r="C48" s="74"/>
      <c r="D48" s="73"/>
    </row>
    <row r="49" spans="1:4" x14ac:dyDescent="0.25">
      <c r="A49" s="75">
        <v>44064</v>
      </c>
      <c r="B49" s="74" t="s">
        <v>439</v>
      </c>
      <c r="C49" s="74"/>
      <c r="D49" s="73"/>
    </row>
    <row r="50" spans="1:4" ht="90" x14ac:dyDescent="0.25">
      <c r="A50" s="72"/>
      <c r="B50" s="76" t="s">
        <v>440</v>
      </c>
      <c r="C50" s="74"/>
      <c r="D50" s="73"/>
    </row>
    <row r="51" spans="1:4" x14ac:dyDescent="0.25">
      <c r="A51" s="75">
        <v>44063</v>
      </c>
      <c r="B51" s="74" t="s">
        <v>437</v>
      </c>
      <c r="C51" s="74"/>
      <c r="D51" s="73"/>
    </row>
    <row r="52" spans="1:4" ht="75" x14ac:dyDescent="0.25">
      <c r="A52" s="72"/>
      <c r="B52" s="76" t="s">
        <v>438</v>
      </c>
      <c r="C52" s="74"/>
      <c r="D52" s="73"/>
    </row>
    <row r="53" spans="1:4" x14ac:dyDescent="0.25">
      <c r="A53" s="75">
        <v>44061</v>
      </c>
      <c r="B53" s="74" t="s">
        <v>433</v>
      </c>
      <c r="C53" s="74"/>
      <c r="D53" s="73"/>
    </row>
    <row r="54" spans="1:4" ht="120" x14ac:dyDescent="0.25">
      <c r="A54" s="72"/>
      <c r="B54" s="76" t="s">
        <v>434</v>
      </c>
      <c r="C54" s="74"/>
      <c r="D54" s="73"/>
    </row>
    <row r="55" spans="1:4" x14ac:dyDescent="0.25">
      <c r="A55" s="72"/>
      <c r="B55" s="76"/>
      <c r="C55" s="74"/>
      <c r="D55" s="73"/>
    </row>
    <row r="56" spans="1:4" x14ac:dyDescent="0.25">
      <c r="A56" s="75">
        <v>44059</v>
      </c>
      <c r="B56" s="74" t="s">
        <v>372</v>
      </c>
      <c r="C56" s="74"/>
      <c r="D56" s="73"/>
    </row>
    <row r="57" spans="1:4" ht="45" x14ac:dyDescent="0.25">
      <c r="A57" s="72"/>
      <c r="B57" s="76" t="s">
        <v>420</v>
      </c>
      <c r="C57" s="74"/>
      <c r="D57" s="73"/>
    </row>
    <row r="58" spans="1:4" x14ac:dyDescent="0.25">
      <c r="A58" s="75">
        <v>44057</v>
      </c>
      <c r="B58" s="74" t="s">
        <v>423</v>
      </c>
      <c r="C58" s="74"/>
      <c r="D58" s="73"/>
    </row>
    <row r="59" spans="1:4" ht="60" x14ac:dyDescent="0.25">
      <c r="A59" s="72"/>
      <c r="B59" s="76" t="s">
        <v>418</v>
      </c>
      <c r="C59" s="74"/>
      <c r="D59" s="73"/>
    </row>
    <row r="60" spans="1:4" x14ac:dyDescent="0.25">
      <c r="A60" s="75">
        <v>44056</v>
      </c>
      <c r="B60" s="74" t="s">
        <v>416</v>
      </c>
      <c r="C60" s="74"/>
      <c r="D60" s="73"/>
    </row>
    <row r="61" spans="1:4" x14ac:dyDescent="0.25">
      <c r="A61" s="72"/>
      <c r="B61" s="73" t="s">
        <v>417</v>
      </c>
      <c r="C61" s="74"/>
      <c r="D61" s="73"/>
    </row>
    <row r="62" spans="1:4" x14ac:dyDescent="0.25">
      <c r="A62" s="75">
        <v>44054</v>
      </c>
      <c r="B62" s="74" t="s">
        <v>414</v>
      </c>
      <c r="C62" s="74"/>
      <c r="D62" s="73"/>
    </row>
    <row r="63" spans="1:4" ht="75" x14ac:dyDescent="0.25">
      <c r="A63" s="72"/>
      <c r="B63" s="76" t="s">
        <v>415</v>
      </c>
      <c r="C63" s="74"/>
      <c r="D63" s="73"/>
    </row>
    <row r="64" spans="1:4" x14ac:dyDescent="0.25">
      <c r="A64" s="72"/>
      <c r="B64" s="73"/>
      <c r="C64" s="74"/>
      <c r="D64" s="73"/>
    </row>
    <row r="65" spans="1:4" x14ac:dyDescent="0.25">
      <c r="A65" s="75">
        <v>44052</v>
      </c>
      <c r="B65" s="74" t="s">
        <v>346</v>
      </c>
      <c r="C65" s="74"/>
      <c r="D65" s="73"/>
    </row>
    <row r="66" spans="1:4" ht="90" x14ac:dyDescent="0.25">
      <c r="A66" s="72"/>
      <c r="B66" s="76" t="s">
        <v>409</v>
      </c>
      <c r="C66" s="74"/>
      <c r="D66" s="73"/>
    </row>
    <row r="67" spans="1:4" x14ac:dyDescent="0.25">
      <c r="A67" s="75">
        <v>44050</v>
      </c>
      <c r="B67" s="74" t="s">
        <v>396</v>
      </c>
      <c r="C67" s="74"/>
      <c r="D67" s="73"/>
    </row>
    <row r="68" spans="1:4" ht="90" x14ac:dyDescent="0.25">
      <c r="A68" s="72"/>
      <c r="B68" s="76" t="s">
        <v>399</v>
      </c>
      <c r="C68" s="74"/>
      <c r="D68" s="73"/>
    </row>
    <row r="69" spans="1:4" x14ac:dyDescent="0.25">
      <c r="A69" s="75">
        <v>44049</v>
      </c>
      <c r="B69" s="74" t="s">
        <v>401</v>
      </c>
      <c r="C69" s="74"/>
      <c r="D69" s="73"/>
    </row>
    <row r="70" spans="1:4" ht="75" x14ac:dyDescent="0.25">
      <c r="A70" s="72"/>
      <c r="B70" s="76" t="s">
        <v>400</v>
      </c>
      <c r="C70" s="74"/>
      <c r="D70" s="73"/>
    </row>
    <row r="71" spans="1:4" x14ac:dyDescent="0.25">
      <c r="A71" s="75">
        <v>44047</v>
      </c>
      <c r="B71" s="74" t="s">
        <v>396</v>
      </c>
      <c r="C71" s="74"/>
      <c r="D71" s="73"/>
    </row>
    <row r="72" spans="1:4" ht="90" x14ac:dyDescent="0.25">
      <c r="A72" s="72"/>
      <c r="B72" s="76" t="s">
        <v>397</v>
      </c>
      <c r="C72" s="74"/>
      <c r="D72" s="73"/>
    </row>
    <row r="73" spans="1:4" x14ac:dyDescent="0.25">
      <c r="A73" s="72"/>
      <c r="B73" s="73"/>
      <c r="C73" s="74"/>
      <c r="D73" s="73"/>
    </row>
    <row r="74" spans="1:4" x14ac:dyDescent="0.25">
      <c r="A74" s="75">
        <v>44045</v>
      </c>
      <c r="B74" s="74" t="s">
        <v>394</v>
      </c>
      <c r="C74" s="74"/>
      <c r="D74" s="73"/>
    </row>
    <row r="75" spans="1:4" ht="60" x14ac:dyDescent="0.25">
      <c r="A75" s="72"/>
      <c r="B75" s="76" t="s">
        <v>395</v>
      </c>
      <c r="C75" s="74"/>
      <c r="D75" s="73"/>
    </row>
    <row r="76" spans="1:4" x14ac:dyDescent="0.25">
      <c r="A76" s="75">
        <v>44042</v>
      </c>
      <c r="B76" s="74" t="s">
        <v>390</v>
      </c>
      <c r="C76" s="74"/>
      <c r="D76" s="73"/>
    </row>
    <row r="77" spans="1:4" ht="45" x14ac:dyDescent="0.25">
      <c r="A77" s="72"/>
      <c r="B77" s="76" t="s">
        <v>389</v>
      </c>
      <c r="C77" s="74"/>
      <c r="D77" s="73"/>
    </row>
    <row r="78" spans="1:4" x14ac:dyDescent="0.25">
      <c r="A78" s="72"/>
      <c r="B78" s="73"/>
      <c r="C78" s="74"/>
      <c r="D78" s="73"/>
    </row>
    <row r="79" spans="1:4" x14ac:dyDescent="0.25">
      <c r="A79" s="75">
        <v>44038</v>
      </c>
      <c r="B79" s="74" t="s">
        <v>385</v>
      </c>
      <c r="C79" s="74"/>
      <c r="D79" s="73"/>
    </row>
    <row r="80" spans="1:4" ht="60" x14ac:dyDescent="0.25">
      <c r="A80" s="72"/>
      <c r="B80" s="76" t="s">
        <v>386</v>
      </c>
      <c r="C80" s="74"/>
      <c r="D80" s="73"/>
    </row>
    <row r="81" spans="1:4" x14ac:dyDescent="0.25">
      <c r="A81" s="75">
        <v>44035</v>
      </c>
      <c r="B81" s="74" t="s">
        <v>374</v>
      </c>
      <c r="C81" s="74"/>
      <c r="D81" s="73"/>
    </row>
    <row r="82" spans="1:4" ht="45" x14ac:dyDescent="0.25">
      <c r="A82" s="72"/>
      <c r="B82" s="76" t="s">
        <v>373</v>
      </c>
      <c r="C82" s="74"/>
      <c r="D82" s="73"/>
    </row>
    <row r="83" spans="1:4" x14ac:dyDescent="0.25">
      <c r="A83" s="72"/>
      <c r="B83" s="73"/>
      <c r="C83" s="74"/>
      <c r="D83" s="73"/>
    </row>
    <row r="84" spans="1:4" x14ac:dyDescent="0.25">
      <c r="A84" s="75">
        <v>44031</v>
      </c>
      <c r="B84" s="74" t="s">
        <v>370</v>
      </c>
      <c r="C84" s="74"/>
      <c r="D84" s="74" t="s">
        <v>372</v>
      </c>
    </row>
    <row r="85" spans="1:4" ht="30" x14ac:dyDescent="0.25">
      <c r="A85" s="72"/>
      <c r="B85" s="76" t="s">
        <v>371</v>
      </c>
      <c r="C85" s="74"/>
      <c r="D85" s="73" t="s">
        <v>347</v>
      </c>
    </row>
    <row r="86" spans="1:4" x14ac:dyDescent="0.25">
      <c r="A86" s="75">
        <v>44028</v>
      </c>
      <c r="B86" s="74" t="s">
        <v>352</v>
      </c>
      <c r="C86" s="74"/>
      <c r="D86" s="73"/>
    </row>
    <row r="87" spans="1:4" x14ac:dyDescent="0.25">
      <c r="A87" s="72"/>
      <c r="B87" s="73" t="s">
        <v>353</v>
      </c>
      <c r="C87" s="74"/>
      <c r="D87" s="73"/>
    </row>
    <row r="88" spans="1:4" x14ac:dyDescent="0.25">
      <c r="A88" s="75">
        <v>44026</v>
      </c>
      <c r="B88" s="74" t="s">
        <v>350</v>
      </c>
      <c r="C88" s="74"/>
      <c r="D88" s="73"/>
    </row>
    <row r="89" spans="1:4" x14ac:dyDescent="0.25">
      <c r="A89" s="72"/>
      <c r="B89" s="73" t="s">
        <v>7</v>
      </c>
      <c r="C89" s="74"/>
      <c r="D89" s="73"/>
    </row>
    <row r="90" spans="1:4" x14ac:dyDescent="0.25">
      <c r="A90" s="72"/>
      <c r="B90" s="73"/>
      <c r="C90" s="74"/>
      <c r="D90" s="73"/>
    </row>
    <row r="91" spans="1:4" x14ac:dyDescent="0.25">
      <c r="A91" s="75">
        <v>44024</v>
      </c>
      <c r="B91" s="74" t="s">
        <v>346</v>
      </c>
      <c r="C91" s="74"/>
      <c r="D91" s="74" t="s">
        <v>349</v>
      </c>
    </row>
    <row r="92" spans="1:4" ht="30" x14ac:dyDescent="0.25">
      <c r="A92" s="72"/>
      <c r="B92" s="76" t="s">
        <v>354</v>
      </c>
      <c r="C92" s="74"/>
      <c r="D92" s="73" t="s">
        <v>347</v>
      </c>
    </row>
    <row r="93" spans="1:4" x14ac:dyDescent="0.25">
      <c r="A93" s="75">
        <v>44022</v>
      </c>
      <c r="B93" s="76"/>
      <c r="C93" s="74"/>
      <c r="D93" s="74" t="s">
        <v>350</v>
      </c>
    </row>
    <row r="94" spans="1:4" x14ac:dyDescent="0.25">
      <c r="A94" s="72"/>
      <c r="B94" s="76"/>
      <c r="C94" s="74"/>
      <c r="D94" s="73" t="s">
        <v>351</v>
      </c>
    </row>
    <row r="95" spans="1:4" x14ac:dyDescent="0.25">
      <c r="A95" s="75">
        <v>44021</v>
      </c>
      <c r="B95" s="74" t="s">
        <v>241</v>
      </c>
      <c r="C95" s="74"/>
      <c r="D95" s="74" t="s">
        <v>295</v>
      </c>
    </row>
    <row r="96" spans="1:4" x14ac:dyDescent="0.25">
      <c r="A96" s="72"/>
      <c r="B96" s="73" t="s">
        <v>345</v>
      </c>
      <c r="C96" s="74"/>
      <c r="D96" s="73" t="s">
        <v>344</v>
      </c>
    </row>
    <row r="97" spans="1:4" x14ac:dyDescent="0.25">
      <c r="A97" s="75">
        <v>44019</v>
      </c>
      <c r="B97" s="74" t="s">
        <v>241</v>
      </c>
      <c r="C97" s="74"/>
      <c r="D97" s="74" t="s">
        <v>295</v>
      </c>
    </row>
    <row r="98" spans="1:4" x14ac:dyDescent="0.25">
      <c r="A98" s="72"/>
      <c r="B98" s="73" t="s">
        <v>299</v>
      </c>
      <c r="C98" s="74"/>
      <c r="D98" s="73" t="s">
        <v>314</v>
      </c>
    </row>
    <row r="99" spans="1:4" x14ac:dyDescent="0.25">
      <c r="A99" s="72"/>
      <c r="B99" s="73"/>
      <c r="C99" s="74"/>
      <c r="D99" s="73"/>
    </row>
    <row r="100" spans="1:4" x14ac:dyDescent="0.25">
      <c r="A100" s="75">
        <v>44015</v>
      </c>
      <c r="B100" s="74" t="s">
        <v>245</v>
      </c>
      <c r="C100" s="74"/>
      <c r="D100" s="73"/>
    </row>
    <row r="101" spans="1:4" ht="75.75" customHeight="1" x14ac:dyDescent="0.25">
      <c r="A101" s="72"/>
      <c r="B101" s="76" t="s">
        <v>313</v>
      </c>
      <c r="C101" s="74"/>
      <c r="D101" s="73"/>
    </row>
    <row r="102" spans="1:4" x14ac:dyDescent="0.25">
      <c r="A102" s="75">
        <v>44014</v>
      </c>
      <c r="B102" s="74" t="s">
        <v>263</v>
      </c>
      <c r="C102" s="74"/>
      <c r="D102" s="74" t="s">
        <v>306</v>
      </c>
    </row>
    <row r="103" spans="1:4" ht="75" x14ac:dyDescent="0.25">
      <c r="A103" s="72"/>
      <c r="B103" s="76" t="s">
        <v>308</v>
      </c>
      <c r="C103" s="74"/>
      <c r="D103" s="76" t="s">
        <v>307</v>
      </c>
    </row>
    <row r="104" spans="1:4" x14ac:dyDescent="0.25">
      <c r="A104" s="75">
        <v>44012</v>
      </c>
      <c r="B104" s="74" t="s">
        <v>263</v>
      </c>
      <c r="C104" s="74"/>
      <c r="D104" s="74" t="s">
        <v>245</v>
      </c>
    </row>
    <row r="105" spans="1:4" ht="45" x14ac:dyDescent="0.25">
      <c r="A105" s="72"/>
      <c r="B105" s="76" t="s">
        <v>300</v>
      </c>
      <c r="C105" s="74"/>
      <c r="D105" s="73" t="s">
        <v>299</v>
      </c>
    </row>
    <row r="106" spans="1:4" x14ac:dyDescent="0.25">
      <c r="A106" s="72"/>
      <c r="B106" s="73"/>
      <c r="C106" s="74"/>
      <c r="D106" s="73"/>
    </row>
    <row r="107" spans="1:4" x14ac:dyDescent="0.25">
      <c r="A107" s="75">
        <v>44008</v>
      </c>
      <c r="B107" s="74" t="s">
        <v>215</v>
      </c>
      <c r="C107" s="74"/>
      <c r="D107" s="73"/>
    </row>
    <row r="108" spans="1:4" ht="105" x14ac:dyDescent="0.25">
      <c r="A108" s="72"/>
      <c r="B108" s="76" t="s">
        <v>296</v>
      </c>
      <c r="C108" s="74"/>
      <c r="D108" s="73"/>
    </row>
    <row r="109" spans="1:4" x14ac:dyDescent="0.25">
      <c r="A109" s="75">
        <v>44007</v>
      </c>
      <c r="B109" s="74" t="s">
        <v>294</v>
      </c>
      <c r="C109" s="74"/>
      <c r="D109" s="74" t="s">
        <v>295</v>
      </c>
    </row>
    <row r="110" spans="1:4" ht="60" x14ac:dyDescent="0.25">
      <c r="A110" s="72"/>
      <c r="B110" s="76" t="s">
        <v>291</v>
      </c>
      <c r="C110" s="74"/>
      <c r="D110" s="76" t="s">
        <v>265</v>
      </c>
    </row>
    <row r="111" spans="1:4" x14ac:dyDescent="0.25">
      <c r="A111" s="75">
        <v>44006</v>
      </c>
      <c r="B111" s="74" t="s">
        <v>289</v>
      </c>
      <c r="C111" s="74"/>
      <c r="D111" s="74" t="s">
        <v>290</v>
      </c>
    </row>
    <row r="112" spans="1:4" x14ac:dyDescent="0.25">
      <c r="A112" s="72"/>
      <c r="B112" s="73" t="s">
        <v>288</v>
      </c>
      <c r="C112" s="74"/>
      <c r="D112" s="73" t="s">
        <v>288</v>
      </c>
    </row>
    <row r="113" spans="1:4" x14ac:dyDescent="0.25">
      <c r="A113" s="75">
        <v>44005</v>
      </c>
      <c r="B113" s="74" t="s">
        <v>263</v>
      </c>
      <c r="C113" s="74"/>
      <c r="D113" s="74" t="s">
        <v>245</v>
      </c>
    </row>
    <row r="114" spans="1:4" ht="45" x14ac:dyDescent="0.25">
      <c r="A114" s="72"/>
      <c r="B114" s="73" t="s">
        <v>264</v>
      </c>
      <c r="C114" s="74"/>
      <c r="D114" s="76" t="s">
        <v>265</v>
      </c>
    </row>
    <row r="115" spans="1:4" x14ac:dyDescent="0.25">
      <c r="A115" s="72"/>
      <c r="B115" s="73"/>
      <c r="C115" s="74"/>
      <c r="D115" s="73"/>
    </row>
    <row r="116" spans="1:4" x14ac:dyDescent="0.25">
      <c r="A116" s="75">
        <v>44001</v>
      </c>
      <c r="B116" s="74" t="s">
        <v>245</v>
      </c>
      <c r="C116" s="74"/>
      <c r="D116" s="73"/>
    </row>
    <row r="117" spans="1:4" ht="135" x14ac:dyDescent="0.25">
      <c r="A117" s="72"/>
      <c r="B117" s="76" t="s">
        <v>261</v>
      </c>
      <c r="C117" s="74"/>
      <c r="D117" s="73"/>
    </row>
    <row r="118" spans="1:4" x14ac:dyDescent="0.25">
      <c r="A118" s="75">
        <v>44000</v>
      </c>
      <c r="B118" s="74" t="s">
        <v>241</v>
      </c>
      <c r="C118" s="74"/>
      <c r="D118" s="74" t="s">
        <v>258</v>
      </c>
    </row>
    <row r="119" spans="1:4" ht="105" x14ac:dyDescent="0.25">
      <c r="A119" s="72"/>
      <c r="B119" s="76" t="s">
        <v>260</v>
      </c>
      <c r="C119" s="74"/>
      <c r="D119" s="76" t="s">
        <v>259</v>
      </c>
    </row>
    <row r="120" spans="1:4" x14ac:dyDescent="0.25">
      <c r="A120" s="75">
        <v>43998</v>
      </c>
      <c r="B120" s="74" t="s">
        <v>212</v>
      </c>
      <c r="C120" s="74"/>
      <c r="D120" s="74" t="s">
        <v>255</v>
      </c>
    </row>
    <row r="121" spans="1:4" ht="120" x14ac:dyDescent="0.25">
      <c r="A121" s="72"/>
      <c r="B121" s="76" t="s">
        <v>256</v>
      </c>
      <c r="C121" s="74"/>
      <c r="D121" s="1" t="s">
        <v>257</v>
      </c>
    </row>
    <row r="122" spans="1:4" x14ac:dyDescent="0.25">
      <c r="A122" s="72"/>
      <c r="B122" s="73"/>
      <c r="C122" s="74"/>
      <c r="D122" s="73"/>
    </row>
    <row r="123" spans="1:4" x14ac:dyDescent="0.25">
      <c r="A123" s="75">
        <v>43994</v>
      </c>
      <c r="B123" s="74" t="s">
        <v>253</v>
      </c>
      <c r="C123" s="74"/>
      <c r="D123" s="73"/>
    </row>
    <row r="124" spans="1:4" ht="75" x14ac:dyDescent="0.25">
      <c r="A124" s="72"/>
      <c r="B124" s="76" t="s">
        <v>254</v>
      </c>
      <c r="C124" s="74"/>
      <c r="D124" s="73"/>
    </row>
    <row r="125" spans="1:4" x14ac:dyDescent="0.25">
      <c r="A125" s="75">
        <v>43993</v>
      </c>
      <c r="B125" s="74" t="s">
        <v>212</v>
      </c>
      <c r="C125" s="74"/>
      <c r="D125" s="74" t="s">
        <v>250</v>
      </c>
    </row>
    <row r="126" spans="1:4" ht="120" x14ac:dyDescent="0.25">
      <c r="A126" s="72"/>
      <c r="B126" s="69" t="s">
        <v>251</v>
      </c>
      <c r="C126" s="74"/>
      <c r="D126" s="76" t="s">
        <v>252</v>
      </c>
    </row>
    <row r="127" spans="1:4" x14ac:dyDescent="0.25">
      <c r="A127" s="75">
        <v>43991</v>
      </c>
      <c r="B127" s="74" t="s">
        <v>241</v>
      </c>
      <c r="C127" s="74"/>
      <c r="D127" s="74" t="s">
        <v>245</v>
      </c>
    </row>
    <row r="128" spans="1:4" ht="105" x14ac:dyDescent="0.25">
      <c r="A128" s="66"/>
      <c r="B128" s="67" t="s">
        <v>242</v>
      </c>
      <c r="C128" s="68"/>
      <c r="D128" s="69" t="s">
        <v>246</v>
      </c>
    </row>
    <row r="129" spans="1:4" x14ac:dyDescent="0.25">
      <c r="A129" s="66"/>
      <c r="B129" s="67"/>
      <c r="C129" s="68"/>
      <c r="D129" s="69"/>
    </row>
    <row r="130" spans="1:4" x14ac:dyDescent="0.25">
      <c r="A130" s="46">
        <v>43987</v>
      </c>
      <c r="B130" s="41" t="s">
        <v>212</v>
      </c>
    </row>
    <row r="131" spans="1:4" ht="195.75" customHeight="1" x14ac:dyDescent="0.25">
      <c r="B131" s="1" t="s">
        <v>214</v>
      </c>
    </row>
    <row r="132" spans="1:4" x14ac:dyDescent="0.25">
      <c r="A132" s="46">
        <v>43986</v>
      </c>
      <c r="B132" s="41" t="s">
        <v>215</v>
      </c>
    </row>
    <row r="133" spans="1:4" ht="165" customHeight="1" x14ac:dyDescent="0.25">
      <c r="B133" s="1" t="s">
        <v>213</v>
      </c>
    </row>
    <row r="134" spans="1:4" x14ac:dyDescent="0.25">
      <c r="A134" s="46">
        <v>43984</v>
      </c>
      <c r="B134" s="41" t="s">
        <v>222</v>
      </c>
    </row>
    <row r="135" spans="1:4" ht="120" x14ac:dyDescent="0.25">
      <c r="B135" s="1" t="s">
        <v>221</v>
      </c>
    </row>
    <row r="137" spans="1:4" x14ac:dyDescent="0.25">
      <c r="A137" s="46">
        <v>43980</v>
      </c>
      <c r="B137" s="41" t="s">
        <v>216</v>
      </c>
    </row>
    <row r="138" spans="1:4" ht="165" x14ac:dyDescent="0.25">
      <c r="B138" s="1" t="s">
        <v>220</v>
      </c>
    </row>
    <row r="139" spans="1:4" x14ac:dyDescent="0.25">
      <c r="A139" s="46">
        <v>43978</v>
      </c>
      <c r="B139" s="41" t="s">
        <v>219</v>
      </c>
    </row>
    <row r="140" spans="1:4" ht="120" x14ac:dyDescent="0.25">
      <c r="B140" s="1" t="s">
        <v>218</v>
      </c>
    </row>
    <row r="141" spans="1:4" x14ac:dyDescent="0.25">
      <c r="A141" s="46">
        <v>43977</v>
      </c>
      <c r="B141" s="41" t="s">
        <v>216</v>
      </c>
    </row>
    <row r="142" spans="1:4" ht="90" x14ac:dyDescent="0.25">
      <c r="B142" s="1" t="s">
        <v>217</v>
      </c>
    </row>
    <row r="144" spans="1:4" x14ac:dyDescent="0.25">
      <c r="A144" s="46">
        <v>43975</v>
      </c>
      <c r="B144" s="41" t="s">
        <v>197</v>
      </c>
    </row>
    <row r="145" spans="2:2" ht="60" x14ac:dyDescent="0.25">
      <c r="B14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9" t="s">
        <v>340</v>
      </c>
      <c r="B1" s="159"/>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59" t="s">
        <v>341</v>
      </c>
      <c r="B7" s="159"/>
    </row>
    <row r="8" spans="1:2" ht="15.75" x14ac:dyDescent="0.25">
      <c r="A8" s="157" t="s">
        <v>332</v>
      </c>
      <c r="B8" s="157"/>
    </row>
    <row r="9" spans="1:2" x14ac:dyDescent="0.25">
      <c r="A9" t="s">
        <v>333</v>
      </c>
    </row>
    <row r="11" spans="1:2" ht="15.75" x14ac:dyDescent="0.25">
      <c r="A11" s="158" t="s">
        <v>329</v>
      </c>
      <c r="B11" s="158"/>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6" t="s">
        <v>342</v>
      </c>
      <c r="B23" s="156"/>
    </row>
    <row r="25" spans="1:2" ht="15.75" x14ac:dyDescent="0.25">
      <c r="A25" s="157" t="s">
        <v>334</v>
      </c>
      <c r="B25" s="157"/>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0" t="s">
        <v>297</v>
      </c>
      <c r="C5" s="161"/>
      <c r="D5" s="161"/>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row>
    <row r="6" spans="1:70" x14ac:dyDescent="0.25">
      <c r="C6" s="2" t="s">
        <v>3</v>
      </c>
    </row>
    <row r="7" spans="1:70" ht="45" customHeight="1" x14ac:dyDescent="0.25">
      <c r="C7" s="160" t="s">
        <v>281</v>
      </c>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row>
    <row r="8" spans="1:70" x14ac:dyDescent="0.25">
      <c r="C8" s="2" t="s">
        <v>4</v>
      </c>
    </row>
    <row r="9" spans="1:70" ht="75" customHeight="1" x14ac:dyDescent="0.25">
      <c r="C9" s="160" t="s">
        <v>274</v>
      </c>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row>
    <row r="10" spans="1:70" x14ac:dyDescent="0.25">
      <c r="C10" s="2" t="s">
        <v>5</v>
      </c>
    </row>
    <row r="11" spans="1:70" ht="75" customHeight="1" x14ac:dyDescent="0.25">
      <c r="C11" s="160" t="s">
        <v>298</v>
      </c>
      <c r="D11" s="161"/>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row>
    <row r="12" spans="1:70" x14ac:dyDescent="0.25">
      <c r="C12" s="2" t="s">
        <v>6</v>
      </c>
    </row>
    <row r="13" spans="1:70" ht="90.75" customHeight="1" x14ac:dyDescent="0.25">
      <c r="C13" s="160" t="s">
        <v>285</v>
      </c>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row>
    <row r="14" spans="1:70" x14ac:dyDescent="0.25">
      <c r="D14" s="2" t="s">
        <v>284</v>
      </c>
    </row>
    <row r="15" spans="1:70" ht="62.25" customHeight="1" x14ac:dyDescent="0.25">
      <c r="D15" s="160" t="s">
        <v>287</v>
      </c>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c r="AG15" s="160"/>
      <c r="AH15" s="160"/>
      <c r="AI15" s="160"/>
      <c r="AJ15" s="160"/>
      <c r="AK15" s="160"/>
      <c r="AL15" s="160"/>
      <c r="AM15" s="160"/>
      <c r="AN15" s="160"/>
      <c r="AO15" s="160"/>
      <c r="AP15" s="160"/>
      <c r="AQ15" s="160"/>
      <c r="AR15" s="160"/>
      <c r="AS15" s="160"/>
      <c r="AT15" s="160"/>
      <c r="AU15" s="160"/>
      <c r="AV15" s="160"/>
      <c r="AW15" s="160"/>
      <c r="AX15" s="160"/>
      <c r="AY15" s="160"/>
      <c r="AZ15" s="160"/>
      <c r="BA15" s="160"/>
      <c r="BB15" s="160"/>
      <c r="BC15" s="160"/>
      <c r="BD15" s="160"/>
      <c r="BE15" s="160"/>
      <c r="BF15" s="160"/>
      <c r="BG15" s="160"/>
      <c r="BH15" s="160"/>
      <c r="BI15" s="160"/>
      <c r="BJ15" s="160"/>
      <c r="BK15" s="160"/>
      <c r="BL15" s="160"/>
      <c r="BM15" s="160"/>
      <c r="BN15" s="160"/>
      <c r="BO15" s="160"/>
      <c r="BP15" s="160"/>
      <c r="BQ15" s="160"/>
      <c r="BR15" s="160"/>
    </row>
    <row r="16" spans="1:70" x14ac:dyDescent="0.25">
      <c r="D16" s="2" t="s">
        <v>195</v>
      </c>
    </row>
    <row r="17" spans="1:70" ht="47.25" customHeight="1" x14ac:dyDescent="0.25">
      <c r="D17" s="160" t="s">
        <v>267</v>
      </c>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0"/>
      <c r="AC17" s="160"/>
      <c r="AD17" s="160"/>
      <c r="AE17" s="160"/>
      <c r="AF17" s="160"/>
      <c r="AG17" s="160"/>
      <c r="AH17" s="160"/>
      <c r="AI17" s="160"/>
      <c r="AJ17" s="160"/>
      <c r="AK17" s="160"/>
      <c r="AL17" s="160"/>
      <c r="AM17" s="160"/>
      <c r="AN17" s="160"/>
      <c r="AO17" s="160"/>
      <c r="AP17" s="160"/>
      <c r="AQ17" s="160"/>
      <c r="AR17" s="160"/>
      <c r="AS17" s="160"/>
      <c r="AT17" s="160"/>
      <c r="AU17" s="160"/>
      <c r="AV17" s="160"/>
      <c r="AW17" s="160"/>
      <c r="AX17" s="160"/>
      <c r="AY17" s="160"/>
      <c r="AZ17" s="160"/>
      <c r="BA17" s="160"/>
      <c r="BB17" s="160"/>
      <c r="BC17" s="160"/>
      <c r="BD17" s="160"/>
      <c r="BE17" s="160"/>
      <c r="BF17" s="160"/>
      <c r="BG17" s="160"/>
      <c r="BH17" s="160"/>
      <c r="BI17" s="160"/>
      <c r="BJ17" s="160"/>
      <c r="BK17" s="160"/>
      <c r="BL17" s="160"/>
      <c r="BM17" s="160"/>
      <c r="BN17" s="160"/>
      <c r="BO17" s="160"/>
      <c r="BP17" s="160"/>
      <c r="BQ17" s="160"/>
      <c r="BR17" s="160"/>
    </row>
    <row r="18" spans="1:70" ht="15.75" customHeight="1" x14ac:dyDescent="0.25">
      <c r="D18" s="162" t="s">
        <v>266</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row>
    <row r="19" spans="1:70" ht="45.75" customHeight="1" x14ac:dyDescent="0.25">
      <c r="D19" s="160" t="s">
        <v>275</v>
      </c>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0"/>
      <c r="AC19" s="160"/>
      <c r="AD19" s="160"/>
      <c r="AE19" s="160"/>
      <c r="AF19" s="160"/>
      <c r="AG19" s="160"/>
      <c r="AH19" s="160"/>
      <c r="AI19" s="160"/>
      <c r="AJ19" s="160"/>
      <c r="AK19" s="160"/>
      <c r="AL19" s="160"/>
      <c r="AM19" s="160"/>
      <c r="AN19" s="160"/>
      <c r="AO19" s="160"/>
      <c r="AP19" s="160"/>
      <c r="AQ19" s="160"/>
      <c r="AR19" s="160"/>
      <c r="AS19" s="160"/>
      <c r="AT19" s="160"/>
      <c r="AU19" s="160"/>
      <c r="AV19" s="160"/>
      <c r="AW19" s="160"/>
      <c r="AX19" s="160"/>
      <c r="AY19" s="160"/>
      <c r="AZ19" s="160"/>
      <c r="BA19" s="160"/>
      <c r="BB19" s="160"/>
      <c r="BC19" s="160"/>
      <c r="BD19" s="160"/>
      <c r="BE19" s="160"/>
      <c r="BF19" s="160"/>
      <c r="BG19" s="160"/>
      <c r="BH19" s="160"/>
      <c r="BI19" s="160"/>
      <c r="BJ19" s="160"/>
      <c r="BK19" s="160"/>
      <c r="BL19" s="160"/>
      <c r="BM19" s="160"/>
      <c r="BN19" s="160"/>
      <c r="BO19" s="160"/>
      <c r="BP19" s="160"/>
      <c r="BQ19" s="160"/>
      <c r="BR19" s="160"/>
    </row>
    <row r="20" spans="1:70" ht="15.75" customHeight="1" x14ac:dyDescent="0.25">
      <c r="D20" s="162" t="s">
        <v>283</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row>
    <row r="21" spans="1:70" ht="44.25" customHeight="1" x14ac:dyDescent="0.25">
      <c r="D21" s="160" t="s">
        <v>276</v>
      </c>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c r="AG21" s="160"/>
      <c r="AH21" s="160"/>
      <c r="AI21" s="160"/>
      <c r="AJ21" s="160"/>
      <c r="AK21" s="160"/>
      <c r="AL21" s="160"/>
      <c r="AM21" s="160"/>
      <c r="AN21" s="160"/>
      <c r="AO21" s="160"/>
      <c r="AP21" s="160"/>
      <c r="AQ21" s="160"/>
      <c r="AR21" s="160"/>
      <c r="AS21" s="160"/>
      <c r="AT21" s="160"/>
      <c r="AU21" s="160"/>
      <c r="AV21" s="160"/>
      <c r="AW21" s="160"/>
      <c r="AX21" s="160"/>
      <c r="AY21" s="160"/>
      <c r="AZ21" s="160"/>
      <c r="BA21" s="160"/>
      <c r="BB21" s="160"/>
      <c r="BC21" s="160"/>
      <c r="BD21" s="160"/>
      <c r="BE21" s="160"/>
      <c r="BF21" s="160"/>
      <c r="BG21" s="160"/>
      <c r="BH21" s="160"/>
      <c r="BI21" s="160"/>
      <c r="BJ21" s="160"/>
      <c r="BK21" s="160"/>
      <c r="BL21" s="160"/>
      <c r="BM21" s="160"/>
      <c r="BN21" s="160"/>
      <c r="BO21" s="160"/>
      <c r="BP21" s="160"/>
      <c r="BQ21" s="160"/>
      <c r="BR21" s="160"/>
    </row>
    <row r="22" spans="1:70" x14ac:dyDescent="0.25">
      <c r="B22" s="2" t="s">
        <v>191</v>
      </c>
      <c r="C22" s="2"/>
    </row>
    <row r="23" spans="1:70" ht="69.75" customHeight="1" x14ac:dyDescent="0.25">
      <c r="B23" s="160" t="s">
        <v>268</v>
      </c>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0"/>
      <c r="AC23" s="160"/>
      <c r="AD23" s="160"/>
      <c r="AE23" s="160"/>
      <c r="AF23" s="160"/>
      <c r="AG23" s="160"/>
      <c r="AH23" s="160"/>
      <c r="AI23" s="160"/>
      <c r="AJ23" s="160"/>
      <c r="AK23" s="160"/>
      <c r="AL23" s="160"/>
      <c r="AM23" s="160"/>
      <c r="AN23" s="160"/>
      <c r="AO23" s="160"/>
      <c r="AP23" s="160"/>
      <c r="AQ23" s="160"/>
      <c r="AR23" s="160"/>
      <c r="AS23" s="160"/>
      <c r="AT23" s="160"/>
      <c r="AU23" s="160"/>
      <c r="AV23" s="160"/>
      <c r="AW23" s="160"/>
      <c r="AX23" s="160"/>
      <c r="AY23" s="160"/>
      <c r="AZ23" s="160"/>
      <c r="BA23" s="160"/>
      <c r="BB23" s="160"/>
      <c r="BC23" s="160"/>
      <c r="BD23" s="160"/>
      <c r="BE23" s="160"/>
      <c r="BF23" s="160"/>
      <c r="BG23" s="160"/>
      <c r="BH23" s="160"/>
      <c r="BI23" s="160"/>
      <c r="BJ23" s="160"/>
      <c r="BK23" s="160"/>
      <c r="BL23" s="160"/>
      <c r="BM23" s="160"/>
      <c r="BN23" s="160"/>
      <c r="BO23" s="160"/>
      <c r="BP23" s="160"/>
      <c r="BQ23" s="160"/>
      <c r="BR23" s="160"/>
    </row>
    <row r="24" spans="1:70" x14ac:dyDescent="0.25">
      <c r="C24" s="2" t="s">
        <v>192</v>
      </c>
    </row>
    <row r="25" spans="1:70" ht="204.75" customHeight="1" x14ac:dyDescent="0.25">
      <c r="C25" s="163" t="s">
        <v>210</v>
      </c>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row>
    <row r="26" spans="1:70" x14ac:dyDescent="0.25">
      <c r="C26" s="2" t="s">
        <v>193</v>
      </c>
    </row>
    <row r="27" spans="1:70" ht="244.5" customHeight="1" x14ac:dyDescent="0.25">
      <c r="A27" s="1"/>
      <c r="C27" s="163" t="s">
        <v>194</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row>
    <row r="28" spans="1:70" x14ac:dyDescent="0.25">
      <c r="B28" s="2" t="s">
        <v>269</v>
      </c>
      <c r="C28" s="43"/>
    </row>
    <row r="29" spans="1:70" ht="75" customHeight="1" x14ac:dyDescent="0.25">
      <c r="A29" s="1"/>
      <c r="B29" s="160" t="s">
        <v>280</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c r="BH29" s="160"/>
      <c r="BI29" s="160"/>
      <c r="BJ29" s="160"/>
      <c r="BK29" s="160"/>
      <c r="BL29" s="160"/>
      <c r="BM29" s="160"/>
      <c r="BN29" s="160"/>
      <c r="BO29" s="160"/>
      <c r="BP29" s="160"/>
      <c r="BQ29" s="160"/>
      <c r="BR29" s="160"/>
    </row>
    <row r="30" spans="1:70" x14ac:dyDescent="0.25">
      <c r="C30" s="2" t="s">
        <v>273</v>
      </c>
    </row>
    <row r="31" spans="1:70" ht="46.5" customHeight="1" x14ac:dyDescent="0.25">
      <c r="A31" s="1"/>
      <c r="C31" s="163" t="s">
        <v>279</v>
      </c>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row>
    <row r="32" spans="1:70" ht="15.75" customHeight="1" x14ac:dyDescent="0.25">
      <c r="C32" s="162" t="s">
        <v>270</v>
      </c>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row>
    <row r="33" spans="1:70" ht="120" customHeight="1" x14ac:dyDescent="0.25">
      <c r="A33" s="43"/>
      <c r="C33" s="160" t="s">
        <v>272</v>
      </c>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c r="BH33" s="160"/>
      <c r="BI33" s="160"/>
      <c r="BJ33" s="160"/>
      <c r="BK33" s="160"/>
      <c r="BL33" s="160"/>
      <c r="BM33" s="160"/>
      <c r="BN33" s="160"/>
      <c r="BO33" s="160"/>
      <c r="BP33" s="160"/>
      <c r="BQ33" s="160"/>
      <c r="BR33" s="160"/>
    </row>
    <row r="34" spans="1:70" ht="15.75" customHeight="1" x14ac:dyDescent="0.25">
      <c r="C34" s="162" t="s">
        <v>271</v>
      </c>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row>
    <row r="35" spans="1:70" ht="47.25" customHeight="1" x14ac:dyDescent="0.25">
      <c r="C35" s="163" t="s">
        <v>278</v>
      </c>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row>
    <row r="36" spans="1:70" x14ac:dyDescent="0.25">
      <c r="B36" s="2" t="s">
        <v>2</v>
      </c>
    </row>
    <row r="37" spans="1:70" x14ac:dyDescent="0.25">
      <c r="B37" s="161" t="s">
        <v>12</v>
      </c>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row>
    <row r="38" spans="1:70" x14ac:dyDescent="0.25">
      <c r="C38" s="2" t="s">
        <v>7</v>
      </c>
    </row>
    <row r="39" spans="1:70" ht="45.75" customHeight="1" x14ac:dyDescent="0.25">
      <c r="C39" s="160" t="s">
        <v>8</v>
      </c>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c r="BH39" s="160"/>
      <c r="BI39" s="160"/>
      <c r="BJ39" s="160"/>
      <c r="BK39" s="160"/>
      <c r="BL39" s="160"/>
      <c r="BM39" s="160"/>
      <c r="BN39" s="160"/>
      <c r="BO39" s="160"/>
      <c r="BP39" s="160"/>
      <c r="BQ39" s="160"/>
      <c r="BR39" s="160"/>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2020-09-22T08:09:45Z</dcterms:modified>
</cp:coreProperties>
</file>