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F76C44B-B1E9-4A5D-BCE8-22F5F3098F17}" xr6:coauthVersionLast="45" xr6:coauthVersionMax="45" xr10:uidLastSave="{00000000-0000-0000-0000-000000000000}"/>
  <bookViews>
    <workbookView xWindow="1440" yWindow="1815" windowWidth="21600" windowHeight="11835"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9" i="13" l="1"/>
  <c r="L17" i="13"/>
  <c r="L16" i="13"/>
  <c r="K17" i="13"/>
  <c r="K18" i="13"/>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9" i="13" l="1"/>
  <c r="L14" i="13"/>
  <c r="L4" i="13"/>
  <c r="L15" i="13"/>
  <c r="L11" i="13"/>
  <c r="L3" i="13"/>
  <c r="L6" i="13"/>
  <c r="L12" i="13"/>
  <c r="L8" i="13"/>
  <c r="L5" i="13"/>
  <c r="L7" i="13"/>
  <c r="L13" i="13"/>
  <c r="L10" i="13"/>
  <c r="L19" i="13"/>
  <c r="L18"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<sst xmlns="http://schemas.openxmlformats.org/spreadsheetml/2006/main" count="2983" uniqueCount="934">
  <si>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</si>
  <si>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</si>
  <si>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</si>
  <si>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</si>
  <si>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</si>
  <si>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</si>
  <si>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</si>
  <si>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</si>
  <si>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</si>
  <si>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</si>
  <si>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</si>
  <si>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</si>
  <si>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</si>
  <si>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</si>
  <si>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</si>
  <si>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</si>
  <si>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</si>
  <si>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</si>
  <si>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</si>
  <si>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</si>
  <si>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</si>
  <si>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</si>
  <si>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</si>
  <si>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</si>
  <si>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</si>
  <si>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</si>
  <si>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</si>
  <si>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</si>
  <si>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</si>
  <si>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</si>
  <si>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</si>
  <si>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</si>
  <si>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</si>
  <si>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</si>
  <si>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</si>
  <si>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</si>
  <si>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</si>
  <si>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</si>
  <si>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</si>
  <si>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</si>
  <si>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</si>
  <si>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</si>
  <si>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</si>
  <si>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</si>
  <si>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</si>
  <si>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</si>
  <si>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</si>
  <si>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</si>
  <si>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</si>
  <si>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</si>
  <si>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</si>
  <si>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</si>
  <si>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</si>
  <si>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</si>
  <si>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</si>
  <si>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</si>
  <si>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</si>
  <si>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</si>
  <si>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</si>
  <si>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</si>
  <si>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</si>
  <si>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</si>
  <si>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</si>
  <si>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</si>
  <si>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</si>
  <si>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</si>
  <si>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</si>
  <si>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</si>
  <si>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</si>
  <si>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</si>
  <si>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</si>
  <si>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</si>
  <si>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</si>
  <si>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</si>
  <si>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</si>
  <si>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</si>
  <si>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</si>
  <si>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</si>
  <si>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</si>
  <si>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</si>
  <si>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</si>
  <si>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</si>
  <si>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</si>
  <si>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</si>
  <si>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</si>
  <si>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</si>
  <si>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</si>
  <si>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</si>
  <si>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</si>
  <si>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</si>
  <si>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</si>
  <si>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</si>
  <si>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</si>
  <si>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</si>
  <si>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</si>
  <si>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</si>
  <si>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</si>
  <si>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</si>
  <si>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</si>
  <si>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</si>
  <si>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</si>
  <si>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</si>
  <si>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</si>
  <si>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</si>
  <si>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</si>
  <si>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</si>
  <si>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</si>
  <si>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</si>
  <si>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</si>
  <si>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</si>
  <si>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</si>
  <si>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</si>
  <si>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</si>
  <si>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</si>
  <si>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</si>
  <si>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</si>
  <si>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</si>
  <si>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</si>
  <si>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</si>
  <si>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</si>
  <si>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</si>
  <si>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</si>
  <si>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</si>
  <si>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</si>
  <si>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</si>
  <si>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</si>
  <si>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</si>
  <si>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</si>
  <si>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</si>
  <si>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</si>
  <si>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</si>
  <si>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</si>
  <si>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</si>
  <si>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</si>
  <si>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</si>
  <si>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</si>
  <si>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</si>
  <si>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</si>
  <si>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</si>
  <si>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</si>
  <si>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</si>
  <si>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</si>
  <si>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</si>
  <si>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</si>
  <si>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</si>
  <si>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</si>
  <si>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</si>
  <si>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</si>
  <si>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</si>
  <si>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</si>
  <si>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</si>
  <si>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</si>
  <si>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</si>
  <si>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</si>
  <si>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</si>
  <si>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</si>
  <si>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</si>
  <si>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</si>
  <si>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</si>
  <si>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</si>
  <si>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</si>
  <si>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</si>
  <si>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</si>
  <si>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</si>
  <si>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</si>
  <si>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</si>
  <si>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</si>
  <si>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</si>
  <si>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</si>
  <si>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</si>
  <si>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</si>
  <si>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</si>
  <si>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</si>
  <si>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</si>
  <si>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</si>
  <si>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</si>
  <si>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</si>
  <si>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</si>
  <si>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</si>
  <si>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</si>
  <si>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</si>
  <si>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</si>
  <si>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</si>
  <si>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</si>
  <si>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</si>
  <si>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</si>
  <si>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</si>
  <si>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</si>
  <si>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</si>
  <si>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</si>
  <si>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</si>
  <si>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</si>
  <si>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</si>
  <si>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</si>
  <si>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</si>
  <si>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</si>
  <si>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</si>
  <si>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</si>
  <si>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</si>
  <si>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</si>
  <si>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</si>
  <si>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</si>
  <si>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</si>
  <si>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</si>
  <si>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</si>
  <si>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</si>
  <si>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</si>
  <si>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</si>
  <si>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</si>
  <si>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</si>
  <si>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</si>
  <si>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</si>
  <si>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</si>
  <si>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</si>
  <si>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</si>
  <si>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</si>
  <si>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</si>
  <si>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</si>
  <si>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</si>
  <si>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</si>
  <si>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</si>
  <si>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</si>
  <si>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</si>
  <si>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</si>
  <si>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</si>
  <si>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</si>
  <si>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</si>
  <si>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</si>
  <si>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</si>
  <si>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</si>
  <si>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</si>
  <si>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</si>
  <si>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</si>
  <si>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</si>
  <si>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</si>
  <si>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</si>
  <si>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</si>
  <si>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</si>
  <si>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</si>
  <si>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</si>
  <si>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</si>
  <si>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</si>
  <si>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</si>
  <si>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</si>
  <si>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</si>
  <si>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</si>
  <si>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</si>
  <si>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</si>
  <si>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</si>
  <si>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</si>
  <si>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</si>
  <si>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</si>
  <si>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</si>
  <si>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</si>
  <si>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</si>
  <si>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</si>
  <si>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</si>
  <si>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</si>
  <si>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</si>
  <si>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</si>
  <si>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</si>
  <si>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</si>
  <si>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</si>
  <si>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</si>
  <si>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</si>
  <si>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</si>
  <si>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</si>
  <si>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</si>
  <si>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</si>
  <si>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</si>
  <si>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</si>
  <si>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</si>
  <si>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</si>
  <si>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</si>
  <si>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</si>
  <si>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</si>
  <si>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</si>
  <si>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</si>
  <si>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</si>
  <si>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</si>
  <si>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</si>
  <si>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</si>
  <si>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</si>
  <si>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</si>
  <si>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</si>
  <si>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</si>
  <si>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</si>
  <si>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</si>
  <si>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</si>
  <si>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</si>
  <si>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</si>
  <si>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</si>
  <si>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</si>
  <si>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</si>
  <si>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</si>
  <si>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</si>
  <si>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</si>
  <si>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</si>
  <si>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</si>
  <si>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</si>
  <si>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</si>
  <si>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</si>
  <si>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</si>
  <si>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</si>
  <si>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</si>
  <si>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</si>
  <si>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</si>
  <si>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</si>
  <si>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</si>
  <si>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</si>
  <si>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</si>
  <si>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</si>
  <si>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</si>
  <si>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</si>
  <si>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</si>
  <si>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</si>
  <si>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</si>
  <si>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</si>
  <si>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</si>
  <si>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</si>
  <si>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</si>
  <si>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</si>
  <si>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</si>
  <si>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</si>
  <si>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</si>
  <si>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</si>
  <si>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</si>
  <si>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</si>
  <si>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</si>
  <si>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</si>
  <si>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</si>
  <si>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</si>
  <si>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</si>
  <si>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</si>
  <si>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</si>
  <si>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</si>
  <si>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</si>
  <si>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</si>
  <si>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</si>
  <si>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</si>
  <si>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</si>
  <si>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</si>
  <si>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</si>
  <si>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</si>
  <si>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</si>
  <si>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</si>
  <si>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</si>
  <si>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</si>
  <si>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</si>
  <si>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</si>
  <si>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</si>
  <si>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</si>
  <si>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</si>
  <si>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</si>
  <si>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</si>
  <si>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</si>
  <si>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</si>
  <si>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</si>
  <si>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</si>
  <si>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</si>
  <si>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</si>
  <si>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</si>
  <si>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</si>
  <si>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</si>
  <si>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</si>
  <si>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</si>
  <si>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</si>
  <si>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</si>
  <si>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</si>
  <si>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</si>
  <si>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</si>
  <si>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</si>
  <si>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</si>
  <si>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</si>
  <si>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</si>
  <si>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</si>
  <si>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</si>
  <si>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</si>
  <si>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</si>
  <si>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</si>
  <si>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</si>
  <si>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</si>
  <si>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</si>
  <si>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</si>
  <si>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</si>
  <si>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</si>
  <si>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</si>
  <si>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</si>
  <si>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</si>
  <si>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</si>
  <si>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</si>
  <si>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</si>
  <si>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</si>
  <si>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</si>
  <si>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</si>
  <si>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</si>
  <si>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</si>
  <si>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</si>
  <si>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</si>
  <si>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</si>
  <si>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</si>
  <si>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</si>
  <si>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</si>
  <si>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</si>
  <si>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</si>
  <si>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</si>
  <si>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</si>
  <si>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</si>
  <si>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</si>
  <si>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</si>
  <si>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</si>
  <si>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</si>
  <si>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</si>
  <si>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</si>
  <si>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</si>
  <si>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</si>
  <si>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</si>
  <si>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</si>
  <si>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</si>
  <si>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</si>
  <si>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</si>
  <si>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</si>
  <si>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</si>
  <si>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</si>
  <si>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</si>
  <si>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</si>
  <si>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</si>
  <si>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</si>
  <si>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</si>
  <si>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</si>
  <si>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</si>
  <si>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</si>
  <si>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</si>
  <si>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</si>
  <si>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</si>
  <si>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</si>
  <si>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</si>
  <si>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</si>
  <si>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</si>
  <si>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</si>
  <si>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</si>
  <si>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</si>
  <si>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</si>
  <si>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</si>
  <si>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</si>
  <si>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</si>
  <si>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</si>
  <si>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</si>
  <si>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</si>
  <si>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</si>
  <si>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</si>
  <si>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</si>
  <si>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</si>
  <si>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</si>
  <si>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</si>
  <si>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</si>
  <si>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</si>
  <si>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</si>
  <si>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</si>
  <si>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</si>
  <si>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</si>
  <si>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</si>
  <si>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</si>
  <si>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</si>
  <si>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</si>
  <si>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</si>
  <si>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</si>
  <si>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</si>
  <si>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</si>
  <si>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</si>
  <si>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</si>
  <si>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</si>
  <si>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</si>
  <si>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</si>
  <si>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</si>
  <si>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</si>
  <si>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</si>
  <si>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</si>
  <si>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</si>
  <si>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</si>
  <si>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</si>
  <si>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</si>
  <si>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</si>
  <si>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</si>
  <si>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</si>
  <si>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</si>
  <si>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</si>
  <si>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</si>
  <si>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</si>
  <si>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</si>
  <si>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</si>
  <si>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</si>
  <si>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</si>
  <si>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</si>
  <si>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</si>
  <si>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</si>
  <si>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</si>
  <si>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</si>
  <si>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</si>
  <si>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</si>
  <si>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</si>
  <si>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</si>
  <si>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</si>
  <si>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</si>
  <si>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</si>
  <si>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</si>
  <si>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</si>
  <si>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</si>
  <si>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</si>
  <si>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</si>
  <si>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</si>
  <si>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</si>
  <si>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</si>
  <si>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</si>
  <si>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</si>
  <si>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</si>
  <si>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</si>
  <si>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</si>
  <si>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</si>
  <si>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</si>
  <si>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</si>
  <si>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</si>
  <si>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</si>
  <si>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</si>
  <si>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</si>
  <si>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</si>
  <si>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</si>
  <si>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</si>
  <si>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</si>
  <si>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</si>
  <si>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</si>
  <si>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</si>
  <si>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</si>
  <si>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</si>
  <si>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</si>
  <si>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</si>
  <si>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</si>
  <si>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</si>
  <si>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</si>
  <si>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</si>
  <si>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</si>
  <si>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</si>
  <si>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</si>
  <si>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</si>
  <si>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</si>
  <si>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</si>
  <si>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</si>
  <si>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</si>
  <si>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</si>
  <si>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</si>
  <si>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</si>
  <si>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</si>
  <si>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</si>
  <si>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</si>
  <si>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</si>
  <si>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</si>
  <si>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</si>
  <si>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</si>
  <si>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</si>
  <si>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</si>
  <si>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</si>
  <si>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</si>
  <si>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</si>
  <si>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</si>
  <si>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</si>
  <si>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</si>
  <si>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</si>
  <si>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</si>
  <si>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</si>
  <si>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</si>
  <si>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</si>
  <si>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</si>
  <si>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</si>
  <si>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</si>
  <si>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</si>
  <si>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</si>
  <si>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</si>
  <si>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</si>
  <si>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</si>
  <si>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</si>
  <si>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</si>
  <si>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</si>
  <si>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</si>
  <si>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</si>
  <si>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</si>
  <si>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</si>
  <si>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</si>
  <si>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</si>
  <si>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</si>
  <si>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</si>
  <si>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</si>
  <si>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</si>
  <si>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</si>
  <si>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</si>
  <si>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</si>
  <si>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</si>
  <si>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</si>
  <si>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</si>
  <si>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</si>
  <si>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</si>
  <si>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</si>
  <si>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</si>
  <si>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</si>
  <si>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</si>
  <si>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</si>
  <si>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</si>
  <si>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</si>
  <si>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</si>
  <si>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</si>
  <si>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</si>
  <si>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</si>
  <si>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</si>
  <si>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</si>
  <si>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</si>
  <si>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</si>
  <si>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</si>
  <si>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</si>
  <si>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</si>
  <si>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</si>
  <si>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</si>
  <si>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</si>
  <si>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</si>
  <si>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</si>
  <si>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</si>
  <si>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</si>
  <si>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</si>
  <si>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</si>
  <si>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</si>
  <si>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</si>
  <si>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</si>
  <si>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</si>
  <si>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</si>
  <si>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</si>
  <si>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</si>
  <si>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</si>
  <si>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</si>
  <si>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</si>
  <si>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</si>
  <si>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</si>
  <si>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</si>
  <si>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</si>
  <si>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</si>
  <si>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</si>
  <si>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</si>
  <si>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</si>
  <si>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</si>
  <si>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</si>
  <si>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</si>
  <si>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</si>
  <si>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</si>
  <si>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</si>
  <si>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</si>
  <si>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</si>
  <si>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</si>
  <si>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</si>
  <si>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</si>
  <si>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</si>
  <si>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</si>
  <si>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</si>
  <si>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</si>
  <si>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</si>
  <si>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</si>
  <si>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</si>
  <si>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</si>
  <si>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</si>
  <si>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</si>
  <si>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</si>
  <si>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</si>
  <si>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</si>
  <si>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</si>
  <si>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</si>
  <si>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</si>
  <si>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</si>
  <si>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</si>
  <si>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</si>
  <si>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</si>
  <si>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</si>
  <si>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</si>
  <si>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</si>
  <si>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</si>
  <si>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</si>
  <si>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</si>
  <si>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</si>
  <si>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</si>
  <si>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</si>
  <si>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</si>
  <si>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</si>
  <si>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</si>
  <si>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</si>
  <si>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</si>
  <si>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</si>
  <si>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</si>
  <si>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</si>
  <si>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</si>
  <si>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</si>
  <si>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</si>
  <si>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</si>
  <si>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</si>
  <si>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</si>
  <si>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</si>
  <si>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</si>
  <si>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</si>
  <si>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</si>
  <si>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</si>
  <si>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</si>
  <si>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</si>
  <si>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</si>
  <si>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</si>
  <si>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</si>
  <si>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</si>
  <si>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</si>
  <si>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</si>
  <si>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</si>
  <si>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</si>
  <si>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</si>
  <si>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</si>
  <si>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</si>
  <si>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</si>
  <si>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</si>
  <si>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</si>
  <si>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</si>
  <si>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</si>
  <si>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</si>
  <si>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</si>
  <si>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</si>
  <si>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</si>
  <si>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</si>
  <si>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</si>
  <si>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</si>
  <si>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</si>
  <si>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</si>
  <si>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</si>
  <si>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</si>
  <si>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</si>
  <si>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</si>
  <si>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</si>
  <si>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</si>
  <si>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</si>
  <si>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</si>
  <si>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</si>
  <si>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</si>
  <si>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</si>
  <si>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</si>
  <si>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</si>
  <si>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</si>
  <si>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</si>
  <si>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</si>
  <si>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</si>
  <si>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</si>
  <si>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</si>
  <si>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</si>
  <si>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</si>
  <si>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</si>
  <si>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</si>
  <si>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</si>
  <si>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</si>
  <si>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</si>
  <si>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</si>
  <si>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</si>
  <si>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</si>
  <si>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</si>
  <si>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</si>
  <si>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</si>
  <si>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</si>
  <si>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</si>
  <si>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</si>
  <si>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</si>
  <si>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</si>
  <si>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</si>
  <si>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</si>
  <si>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</si>
  <si>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</si>
  <si>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</si>
  <si>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</si>
  <si>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</si>
  <si>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</si>
  <si>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</si>
  <si>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</si>
  <si>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</si>
  <si>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</si>
  <si>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</si>
  <si>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</si>
  <si>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</si>
  <si>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</si>
  <si>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</si>
  <si>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</si>
  <si>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</si>
  <si>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</si>
  <si>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</si>
  <si>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</si>
  <si>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</si>
  <si>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</si>
  <si>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</si>
  <si>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</si>
  <si>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</si>
  <si>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</si>
  <si>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</si>
  <si>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</si>
  <si>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</si>
  <si>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</si>
  <si>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</si>
  <si>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</si>
  <si>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</si>
  <si>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</si>
  <si>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</si>
  <si>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</si>
  <si>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</si>
  <si>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</si>
  <si>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</si>
  <si>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</si>
  <si>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</si>
  <si>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</si>
  <si>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</si>
  <si>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</si>
  <si>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</si>
  <si>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</si>
  <si>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</si>
  <si>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</si>
  <si>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</si>
  <si>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</si>
  <si>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</si>
  <si>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</si>
  <si>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</si>
  <si>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</si>
  <si>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</si>
  <si>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</si>
  <si>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</si>
  <si>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</si>
  <si>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</si>
  <si>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</si>
  <si>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</si>
  <si>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</si>
  <si>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</si>
  <si>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</si>
  <si>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</si>
  <si>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</si>
  <si>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</si>
  <si>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</si>
  <si>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</si>
  <si>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</si>
  <si>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</si>
  <si>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</si>
  <si>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</si>
  <si>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</si>
  <si>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</si>
  <si>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</si>
  <si>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</si>
  <si>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</si>
  <si>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</si>
  <si>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</si>
  <si>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</si>
  <si>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</si>
  <si>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</si>
  <si>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</si>
  <si>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</si>
  <si>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</si>
  <si>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</si>
  <si>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</si>
  <si>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</si>
  <si>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</si>
  <si>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</si>
  <si>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</si>
  <si>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</si>
  <si>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</si>
  <si>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</si>
  <si>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</si>
  <si>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</si>
  <si>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</si>
  <si>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</si>
  <si>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</si>
  <si>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</si>
  <si>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</si>
  <si>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</si>
  <si>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</si>
  <si>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</si>
  <si>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</si>
  <si>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</si>
  <si>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</si>
  <si>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</si>
  <si>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</si>
  <si>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</si>
  <si>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</si>
  <si>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</si>
  <si>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</si>
  <si>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</si>
  <si>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</si>
  <si>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</si>
  <si>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</si>
  <si>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</si>
  <si>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</si>
  <si>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</si>
  <si>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</si>
  <si>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</si>
  <si>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</si>
  <si>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</si>
  <si>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</si>
  <si>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</si>
  <si>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</si>
  <si>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</si>
  <si>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</si>
  <si>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</si>
  <si>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</si>
  <si>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</si>
  <si>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</si>
  <si>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</si>
  <si>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</si>
  <si>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</si>
  <si>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</si>
  <si>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</si>
  <si>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</si>
  <si>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</si>
  <si>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</si>
  <si>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</si>
  <si>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</si>
  <si>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</si>
  <si>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</si>
  <si>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</si>
  <si>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</si>
  <si>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</si>
  <si>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</si>
  <si>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</si>
  <si>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</si>
  <si>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</si>
  <si>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</si>
  <si>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</si>
  <si>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</si>
  <si>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</si>
  <si>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</si>
  <si>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</si>
  <si>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</si>
  <si>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</si>
  <si>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Brückl()</t>
  </si>
  <si>
    <t>So</t>
  </si>
  <si>
    <t>(Mo)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</si>
</sst>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M21" activePane="bottomRight" state="frozen"/>
      <selection pane="topRight" activeCell="M1" sqref="M1"/>
      <selection pane="bottomLeft" activeCell="A3" sqref="A3"/>
      <selection pane="bottomRight" activeCell="J53" sqref="J53"/>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c r="CA2" s="131" t="s">
        <v>38</v>
      </c>
      <c r="CB2" s="131" t="s">
        <v>38</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22</v>
      </c>
      <c r="L3" s="191">
        <f t="shared" ref="L3:L16" si="6">K3/(K$20 - COUNTIF(M3:HP3, "x")) * 100</f>
        <v>95.652173913043484</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788</v>
      </c>
      <c r="K4" s="19">
        <f t="shared" ref="K4" si="7">SUM(M4:HP4)</f>
        <v>2</v>
      </c>
      <c r="L4" s="192">
        <f t="shared" si="6"/>
        <v>8.695652173913043</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20</v>
      </c>
      <c r="L5" s="192">
        <f t="shared" si="6"/>
        <v>86.956521739130437</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826</v>
      </c>
      <c r="K6" s="19">
        <f t="shared" si="5"/>
        <v>14</v>
      </c>
      <c r="L6" s="192">
        <f t="shared" si="6"/>
        <v>60.869565217391312</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826</v>
      </c>
      <c r="K7" s="19">
        <f t="shared" ref="K7" si="9">SUM(M7:HP7)</f>
        <v>12</v>
      </c>
      <c r="L7" s="192">
        <f t="shared" si="6"/>
        <v>85.714285714285708</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826</v>
      </c>
      <c r="K8" s="19">
        <f t="shared" si="5"/>
        <v>12</v>
      </c>
      <c r="L8" s="192">
        <f t="shared" si="6"/>
        <v>52.173913043478258</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826</v>
      </c>
      <c r="K9" s="19">
        <f t="shared" ref="K9" si="10">SUM(M9:HP9)</f>
        <v>2</v>
      </c>
      <c r="L9" s="192">
        <f t="shared" si="6"/>
        <v>8.695652173913043</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826</v>
      </c>
      <c r="K10" s="19">
        <f t="shared" ref="K10" si="11">SUM(M10:HP10)</f>
        <v>11</v>
      </c>
      <c r="L10" s="192">
        <f t="shared" si="6"/>
        <v>73.333333333333329</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826</v>
      </c>
      <c r="K11" s="19">
        <f t="shared" si="5"/>
        <v>22</v>
      </c>
      <c r="L11" s="192">
        <f t="shared" si="6"/>
        <v>95.652173913043484</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34"/>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20</v>
      </c>
      <c r="L12" s="192">
        <f t="shared" si="6"/>
        <v>86.956521739130437</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34"/>
      <c r="BS12" s="34"/>
      <c r="BT12" s="34"/>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20</v>
      </c>
      <c r="L13" s="192">
        <f t="shared" si="6"/>
        <v>86.956521739130437</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34"/>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826</v>
      </c>
      <c r="K14" s="19">
        <f t="shared" ref="K14" si="13">SUM(M14:HP14)</f>
        <v>11</v>
      </c>
      <c r="L14" s="192">
        <f t="shared" si="6"/>
        <v>73.333333333333329</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788</v>
      </c>
      <c r="K15" s="200">
        <f t="shared" si="5"/>
        <v>2</v>
      </c>
      <c r="L15" s="193">
        <f t="shared" si="6"/>
        <v>8.695652173913043</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932</v>
      </c>
      <c r="K16" s="198">
        <f t="shared" si="5"/>
        <v>23</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34"/>
      <c r="BS16" s="34"/>
      <c r="BT16" s="34"/>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826</v>
      </c>
      <c r="K17" s="199">
        <f>SUM(M17:HP17)</f>
        <v>1</v>
      </c>
      <c r="L17" s="84">
        <f>K17/(K$20 - COUNTIF(M17:HP17, "x")) * 100</f>
        <v>4.3478260869565215</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15.454545454545455</v>
      </c>
      <c r="L18" s="187">
        <f t="shared" ref="L18:L19" si="14">K18/K$20 * 100</f>
        <v>67.193675889328063</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t="str">
        <f t="shared" si="15"/>
        <v/>
      </c>
      <c r="BS18" s="150" t="str">
        <f t="shared" si="15"/>
        <v/>
      </c>
      <c r="BT18" s="150" t="str">
        <f t="shared" si="15"/>
        <v/>
      </c>
      <c r="BU18" s="150" t="str">
        <f t="shared" si="15"/>
        <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14.923076923076923</v>
      </c>
      <c r="L19" s="212">
        <f t="shared" si="14"/>
        <v>64.88294314381271</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t="str">
        <f t="shared" si="19"/>
        <v/>
      </c>
      <c r="BS19" s="160" t="str">
        <f t="shared" si="19"/>
        <v/>
      </c>
      <c r="BT19" s="160" t="str">
        <f t="shared" si="19"/>
        <v/>
      </c>
      <c r="BU19" s="160" t="str">
        <f t="shared" si="19"/>
        <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23</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c r="BS20" s="168"/>
      <c r="BT20" s="168"/>
      <c r="BU20" s="168"/>
      <c r="BV20" s="168"/>
      <c r="BW20" s="213"/>
      <c r="BX20" s="168"/>
      <c r="BY20" s="168"/>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x14ac:dyDescent="0.25">
      <c r="A34" t="s">
        <v>667</v>
      </c>
      <c r="B34">
        <v>1</v>
      </c>
      <c r="D34">
        <f>B34</f>
        <v>1</v>
      </c>
      <c r="H34">
        <f>D34</f>
        <v>1</v>
      </c>
      <c r="I34" s="142" t="s">
        <v>680</v>
      </c>
      <c r="J34">
        <f>H34</f>
        <v>1</v>
      </c>
      <c r="K34">
        <f t="shared" ref="K34:L38" si="24">J34</f>
        <v>1</v>
      </c>
      <c r="L34">
        <f t="shared" si="24"/>
        <v>1</v>
      </c>
    </row>
    <row r="35" spans="1:12" x14ac:dyDescent="0.25">
      <c r="A35" t="s">
        <v>668</v>
      </c>
      <c r="B35">
        <v>2</v>
      </c>
      <c r="D35">
        <f>B35</f>
        <v>2</v>
      </c>
      <c r="H35">
        <f>D35</f>
        <v>2</v>
      </c>
      <c r="I35" s="142" t="s">
        <v>680</v>
      </c>
      <c r="J35">
        <f>H35</f>
        <v>2</v>
      </c>
      <c r="K35">
        <f t="shared" si="24"/>
        <v>2</v>
      </c>
      <c r="L35">
        <f t="shared" si="24"/>
        <v>2</v>
      </c>
    </row>
    <row r="36" spans="1:12" x14ac:dyDescent="0.25">
      <c r="A36" t="s">
        <v>200</v>
      </c>
      <c r="B36">
        <v>3</v>
      </c>
      <c r="D36">
        <f>B36</f>
        <v>3</v>
      </c>
      <c r="H36">
        <f>D36</f>
        <v>3</v>
      </c>
      <c r="I36" s="142" t="s">
        <v>680</v>
      </c>
      <c r="J36">
        <f>H36</f>
        <v>3</v>
      </c>
      <c r="K36">
        <f t="shared" si="24"/>
        <v>3</v>
      </c>
      <c r="L36">
        <f t="shared" si="24"/>
        <v>3</v>
      </c>
    </row>
    <row r="37" spans="1:12" x14ac:dyDescent="0.25">
      <c r="A37" t="s">
        <v>201</v>
      </c>
      <c r="B37">
        <v>17</v>
      </c>
      <c r="D37">
        <f>B37</f>
        <v>17</v>
      </c>
      <c r="H37">
        <f>D37</f>
        <v>17</v>
      </c>
      <c r="I37" s="142" t="s">
        <v>680</v>
      </c>
      <c r="J37">
        <f>H37</f>
        <v>17</v>
      </c>
      <c r="K37">
        <f t="shared" si="24"/>
        <v>17</v>
      </c>
      <c r="L37">
        <f t="shared" si="24"/>
        <v>17</v>
      </c>
    </row>
    <row r="38" spans="1:12" x14ac:dyDescent="0.25">
      <c r="A38" t="s">
        <v>717</v>
      </c>
      <c r="B38" t="s">
        <v>671</v>
      </c>
      <c r="D38" t="str">
        <f>B38</f>
        <v>I</v>
      </c>
      <c r="H38" t="str">
        <f>D38</f>
        <v>I</v>
      </c>
      <c r="I38" s="142" t="s">
        <v>680</v>
      </c>
      <c r="J38" t="str">
        <f>H38</f>
        <v>I</v>
      </c>
      <c r="K38" t="str">
        <f t="shared" si="24"/>
        <v>I</v>
      </c>
      <c r="L38" t="str">
        <f t="shared" si="24"/>
        <v>I</v>
      </c>
    </row>
    <row r="39" spans="1:12" x14ac:dyDescent="0.25">
      <c r="A39" t="s">
        <v>205</v>
      </c>
      <c r="B39" t="s">
        <v>625</v>
      </c>
      <c r="D39" t="s">
        <v>625</v>
      </c>
      <c r="H39" t="s">
        <v>872</v>
      </c>
      <c r="I39" s="142" t="s">
        <v>680</v>
      </c>
      <c r="J39" t="s">
        <v>869</v>
      </c>
      <c r="K39" s="44" t="s">
        <v>873</v>
      </c>
      <c r="L39" t="s">
        <v>874</v>
      </c>
    </row>
    <row r="40" spans="1:12"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x14ac:dyDescent="0.25">
      <c r="A41" t="s">
        <v>733</v>
      </c>
      <c r="B41" t="s">
        <v>404</v>
      </c>
      <c r="E41">
        <f t="shared" si="25"/>
        <v>0</v>
      </c>
      <c r="F41">
        <f t="shared" si="25"/>
        <v>0</v>
      </c>
      <c r="G41">
        <f t="shared" si="25"/>
        <v>0</v>
      </c>
      <c r="I41">
        <f t="shared" si="25"/>
        <v>0</v>
      </c>
      <c r="J41"/>
      <c r="K41"/>
      <c r="L41"/>
    </row>
    <row r="42" spans="1:12" x14ac:dyDescent="0.25">
      <c r="A42" t="s">
        <v>734</v>
      </c>
      <c r="B42" t="s">
        <v>52</v>
      </c>
      <c r="E42">
        <f t="shared" si="25"/>
        <v>0</v>
      </c>
      <c r="F42">
        <f t="shared" si="25"/>
        <v>0</v>
      </c>
      <c r="G42">
        <f t="shared" si="25"/>
        <v>0</v>
      </c>
      <c r="I42">
        <f t="shared" si="25"/>
        <v>0</v>
      </c>
      <c r="J42"/>
      <c r="K42"/>
      <c r="L42"/>
    </row>
    <row r="43" spans="1:12" x14ac:dyDescent="0.25">
      <c r="A43" t="s">
        <v>206</v>
      </c>
      <c r="B43" t="str">
        <f>FindEnd(M20:IU20)</f>
        <v>BP</v>
      </c>
      <c r="D43" t="s">
        <v>875</v>
      </c>
      <c r="H43" t="s">
        <v>876</v>
      </c>
      <c r="I43" s="142" t="s">
        <v>680</v>
      </c>
      <c r="J43" t="s">
        <v>877</v>
      </c>
      <c r="K43" s="44" t="s">
        <v>878</v>
      </c>
      <c r="L43" t="s">
        <v>879</v>
      </c>
    </row>
    <row r="44" spans="1:12" x14ac:dyDescent="0.25">
      <c r="A44" t="s">
        <v>681</v>
      </c>
      <c r="B44">
        <v>18</v>
      </c>
      <c r="D44">
        <f>B44</f>
        <v>18</v>
      </c>
      <c r="H44">
        <f>D44</f>
        <v>18</v>
      </c>
      <c r="I44" s="142" t="s">
        <v>680</v>
      </c>
      <c r="J44">
        <f>H44</f>
        <v>18</v>
      </c>
      <c r="K44">
        <f t="shared" ref="K44:L48" si="26">J44</f>
        <v>18</v>
      </c>
      <c r="L44">
        <f t="shared" si="26"/>
        <v>18</v>
      </c>
    </row>
    <row r="45" spans="1:12" x14ac:dyDescent="0.25">
      <c r="A45" t="s">
        <v>682</v>
      </c>
      <c r="B45">
        <v>19</v>
      </c>
      <c r="D45">
        <f>B45</f>
        <v>19</v>
      </c>
      <c r="H45">
        <f>D45</f>
        <v>19</v>
      </c>
      <c r="I45" s="142" t="s">
        <v>680</v>
      </c>
      <c r="J45">
        <f>H45</f>
        <v>19</v>
      </c>
      <c r="K45">
        <f t="shared" si="26"/>
        <v>19</v>
      </c>
      <c r="L45">
        <f t="shared" si="26"/>
        <v>19</v>
      </c>
    </row>
    <row r="46" spans="1:12"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x14ac:dyDescent="0.25">
      <c r="A47" t="s">
        <v>658</v>
      </c>
      <c r="D47">
        <v>22</v>
      </c>
      <c r="H47">
        <f>D47</f>
        <v>22</v>
      </c>
      <c r="I47" s="142" t="s">
        <v>680</v>
      </c>
      <c r="J47">
        <f>H47</f>
        <v>22</v>
      </c>
      <c r="K47">
        <f t="shared" si="26"/>
        <v>22</v>
      </c>
      <c r="L47">
        <f t="shared" si="26"/>
        <v>22</v>
      </c>
    </row>
    <row r="48" spans="1:12"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topLeftCell="A29" workbookViewId="0">
      <pane xSplit="12" topLeftCell="M1" activePane="topRight" state="frozen"/>
      <selection pane="topRight" activeCell="E53" sqref="E53"/>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57</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933</v>
      </c>
      <c r="K4" s="19">
        <f t="shared" ref="K4:K22" si="7">SUM(M4:IU4)</f>
        <v>37</v>
      </c>
      <c r="L4" s="192">
        <f t="shared" si="5"/>
        <v>66.071428571428569</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53</v>
      </c>
      <c r="L5" s="192">
        <f t="shared" si="5"/>
        <v>92.982456140350877</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826</v>
      </c>
      <c r="K6" s="19">
        <f t="shared" si="7"/>
        <v>46</v>
      </c>
      <c r="L6" s="192">
        <f t="shared" si="5"/>
        <v>80.701754385964904</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48</v>
      </c>
      <c r="L7" s="192">
        <f t="shared" si="5"/>
        <v>85.714285714285708</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788</v>
      </c>
      <c r="K8" s="19">
        <f t="shared" si="7"/>
        <v>41</v>
      </c>
      <c r="L8" s="192">
        <f t="shared" si="5"/>
        <v>73.214285714285708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52</v>
      </c>
      <c r="L9" s="192">
        <f t="shared" si="5"/>
        <v>91.228070175438589</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52</v>
      </c>
      <c r="L10" s="192">
        <f t="shared" si="5"/>
        <v>91.228070175438589</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40</v>
      </c>
      <c r="L11" s="192">
        <f t="shared" si="5"/>
        <v>70.175438596491219</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54</v>
      </c>
      <c r="L12" s="192">
        <f t="shared" si="5"/>
        <v>94.73684210526315</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51</v>
      </c>
      <c r="L13" s="192">
        <f t="shared" si="5"/>
        <v>89.473684210526315</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57</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51</v>
      </c>
      <c r="L17" s="192">
        <f t="shared" si="8"/>
        <v>91.071428571428569</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53</v>
      </c>
      <c r="L18" s="192">
        <f t="shared" si="8"/>
        <v>92.982456140350877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47</v>
      </c>
      <c r="L20" s="192">
        <f t="shared" ref="L20:L24" si="9">K20/K$25 * 100</f>
        <v>82.456140350877192</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27</v>
      </c>
      <c r="L21" s="192">
        <f t="shared" si="9"/>
        <v>47.368421052631575</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826</v>
      </c>
      <c r="K22" s="169">
        <f t="shared" si="7"/>
        <v>54</v>
      </c>
      <c r="L22" s="194">
        <f t="shared" si="9"/>
        <v>94.73684210526315</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45.294117647058826</v>
      </c>
      <c r="L23" s="187">
        <f t="shared" si="9"/>
        <v>79.463364293085661</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t="str">
        <f t="shared" ref="CW23:DB23" si="22">IF(SUM(CW3:CW19) &gt; 0, SUM(CW3:CW19), "")</f>
        <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47.263157894736842</v>
      </c>
      <c r="L24" s="190">
        <f t="shared" si="9"/>
        <v>82.917820867959364</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t="str">
        <f t="shared" ref="CW24:DB24" si="58">IF(SUM(CW3:CW22) &gt; 0, SUM(CW3:CW22), "")</f>
        <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57</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35"/>
  <sheetViews>
    <sheetView workbookViewId="0">
      <selection activeCell="A10" sqref="A10"/>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5">
        <v>44285</v>
      </c>
      <c r="B4" s="74" t="s">
        <v>931</v>
      </c>
      <c r="C4" s="74"/>
      <c r="D4" s="74" t="s">
        <v>931</v>
      </c>
    </row>
    <row r="5" spans="1:4" x14ac:dyDescent="0.25">
      <c r="A5" s="72"/>
      <c r="B5" s="73"/>
    </row>
    <row r="6" spans="1:4" x14ac:dyDescent="0.25">
      <c r="A6" s="75">
        <v>44284</v>
      </c>
      <c r="B6" s="74" t="s">
        <v>929</v>
      </c>
    </row>
    <row r="7" spans="1:4" ht="105" x14ac:dyDescent="0.25">
      <c r="A7" s="72"/>
      <c r="B7" s="76" t="s">
        <v>930</v>
      </c>
    </row>
    <row r="8" spans="1:4" x14ac:dyDescent="0.25">
      <c r="A8" s="72"/>
      <c r="B8" s="73"/>
    </row>
    <row r="9" spans="1:4" x14ac:dyDescent="0.25">
      <c r="A9" s="75">
        <v>44283</v>
      </c>
      <c r="B9" s="74"/>
      <c r="C9" s="74"/>
      <c r="D9" s="74" t="s">
        <v>772</v>
      </c>
    </row>
    <row r="10" spans="1:4" ht="45" x14ac:dyDescent="0.25">
      <c r="A10" s="72"/>
      <c r="B10" s="73"/>
      <c r="D10" s="1" t="s">
        <v>928</v>
      </c>
    </row>
    <row r="11" spans="1:4" x14ac:dyDescent="0.25">
      <c r="A11" s="75">
        <v>44282</v>
      </c>
      <c r="B11" s="74" t="s">
        <v>602</v>
      </c>
      <c r="C11" s="74"/>
      <c r="D11" s="74" t="s">
        <v>571</v>
      </c>
    </row>
    <row r="12" spans="1:4" ht="75" x14ac:dyDescent="0.25">
      <c r="A12" s="72"/>
      <c r="B12" s="76" t="s">
        <v>926</v>
      </c>
      <c r="D12" s="1" t="s">
        <v>927</v>
      </c>
    </row>
    <row r="13" spans="1:4" x14ac:dyDescent="0.25">
      <c r="A13" s="75">
        <v>44281</v>
      </c>
      <c r="B13" s="74" t="s">
        <v>892</v>
      </c>
      <c r="C13" s="74"/>
      <c r="D13" s="74" t="s">
        <v>893</v>
      </c>
    </row>
    <row r="14" spans="1:4" ht="60" x14ac:dyDescent="0.25">
      <c r="A14" s="72"/>
      <c r="B14" s="76" t="s">
        <v>894</v>
      </c>
      <c r="D14" s="1" t="s">
        <v>891</v>
      </c>
    </row>
    <row r="15" spans="1:4" x14ac:dyDescent="0.25">
      <c r="A15" s="75">
        <v>44280</v>
      </c>
      <c r="B15" s="74" t="s">
        <v>882</v>
      </c>
      <c r="C15" s="74"/>
      <c r="D15" s="74" t="s">
        <v>808</v>
      </c>
    </row>
    <row r="16" spans="1:4" ht="60" x14ac:dyDescent="0.25">
      <c r="A16" s="72"/>
      <c r="B16" s="76" t="s">
        <v>895</v>
      </c>
      <c r="D16" s="1" t="s">
        <v>890</v>
      </c>
    </row>
    <row r="17" spans="1:4" x14ac:dyDescent="0.25">
      <c r="A17" s="75">
        <v>44279</v>
      </c>
      <c r="B17" s="74" t="s">
        <v>834</v>
      </c>
      <c r="C17" s="74"/>
      <c r="D17" s="74" t="s">
        <v>889</v>
      </c>
    </row>
    <row r="18" spans="1:4" x14ac:dyDescent="0.25">
      <c r="A18" s="72"/>
      <c r="B18" s="73" t="s">
        <v>887</v>
      </c>
      <c r="D18" t="s">
        <v>888</v>
      </c>
    </row>
    <row r="19" spans="1:4" x14ac:dyDescent="0.25">
      <c r="A19" s="75">
        <v>44278</v>
      </c>
      <c r="B19" s="74" t="s">
        <v>882</v>
      </c>
      <c r="C19" s="74"/>
      <c r="D19" s="74" t="s">
        <v>884</v>
      </c>
    </row>
    <row r="20" spans="1:4" ht="135" x14ac:dyDescent="0.25">
      <c r="A20" s="72"/>
      <c r="B20" s="76" t="s">
        <v>883</v>
      </c>
      <c r="D20" s="1" t="s">
        <v>885</v>
      </c>
    </row>
    <row r="21" spans="1:4" x14ac:dyDescent="0.25">
      <c r="A21" s="75">
        <v>44277</v>
      </c>
      <c r="B21" s="74" t="s">
        <v>843</v>
      </c>
    </row>
    <row r="22" spans="1:4" ht="90" x14ac:dyDescent="0.25">
      <c r="A22" s="72"/>
      <c r="B22" s="76" t="s">
        <v>881</v>
      </c>
    </row>
    <row r="23" spans="1:4" x14ac:dyDescent="0.25">
      <c r="A23" s="72"/>
      <c r="B23" s="73"/>
    </row>
    <row r="24" spans="1:4" x14ac:dyDescent="0.25">
      <c r="A24" s="75">
        <v>44275</v>
      </c>
      <c r="B24" s="75" t="s">
        <v>865</v>
      </c>
    </row>
    <row r="25" spans="1:4" ht="30" x14ac:dyDescent="0.25">
      <c r="A25" s="72"/>
      <c r="B25" s="76" t="s">
        <v>866</v>
      </c>
    </row>
    <row r="26" spans="1:4" x14ac:dyDescent="0.25">
      <c r="A26" s="75">
        <v>44274</v>
      </c>
      <c r="B26" s="73"/>
      <c r="C26" s="74"/>
      <c r="D26" s="74" t="s">
        <v>808</v>
      </c>
    </row>
    <row r="27" spans="1:4" ht="90" x14ac:dyDescent="0.25">
      <c r="A27" s="72"/>
      <c r="B27" s="73"/>
      <c r="D27" s="1" t="s">
        <v>864</v>
      </c>
    </row>
    <row r="28" spans="1:4" x14ac:dyDescent="0.25">
      <c r="A28" s="75">
        <v>44273</v>
      </c>
      <c r="B28" s="74" t="s">
        <v>663</v>
      </c>
      <c r="C28" s="74"/>
      <c r="D28" s="74" t="s">
        <v>838</v>
      </c>
    </row>
    <row r="29" spans="1:4" ht="90" x14ac:dyDescent="0.25">
      <c r="A29" s="72"/>
      <c r="B29" s="76" t="s">
        <v>860</v>
      </c>
      <c r="D29" s="1" t="s">
        <v>859</v>
      </c>
    </row>
    <row r="30" spans="1:4" x14ac:dyDescent="0.25">
      <c r="A30" s="75">
        <v>44271</v>
      </c>
      <c r="B30" s="74" t="s">
        <v>843</v>
      </c>
      <c r="C30" s="74"/>
      <c r="D30" s="74" t="s">
        <v>834</v>
      </c>
    </row>
    <row r="31" spans="1:4" ht="60" x14ac:dyDescent="0.25">
      <c r="A31" s="72"/>
      <c r="B31" s="76" t="s">
        <v>862</v>
      </c>
      <c r="D31" s="1" t="s">
        <v>858</v>
      </c>
    </row>
    <row r="32" spans="1:4" x14ac:dyDescent="0.25">
      <c r="A32" s="75">
        <v>44270</v>
      </c>
      <c r="B32" s="74" t="s">
        <v>850</v>
      </c>
      <c r="C32" s="74"/>
      <c r="D32" s="74" t="s">
        <v>852</v>
      </c>
    </row>
    <row r="33" spans="1:4" ht="60" x14ac:dyDescent="0.25">
      <c r="A33" s="72"/>
      <c r="B33" s="76" t="s">
        <v>861</v>
      </c>
      <c r="D33" s="76" t="s">
        <v>853</v>
      </c>
    </row>
    <row r="34" spans="1:4" x14ac:dyDescent="0.25">
      <c r="A34" s="72"/>
      <c r="B34" s="73"/>
    </row>
    <row r="35" spans="1:4" x14ac:dyDescent="0.25">
      <c r="A35" s="75">
        <v>44268</v>
      </c>
      <c r="B35" s="74" t="s">
        <v>602</v>
      </c>
    </row>
    <row r="36" spans="1:4" ht="45" x14ac:dyDescent="0.25">
      <c r="A36" s="72"/>
      <c r="B36" s="76" t="s">
        <v>851</v>
      </c>
    </row>
    <row r="37" spans="1:4" x14ac:dyDescent="0.25">
      <c r="A37" s="75">
        <v>44267</v>
      </c>
      <c r="B37" s="74" t="s">
        <v>602</v>
      </c>
      <c r="C37" s="74"/>
      <c r="D37" s="74" t="s">
        <v>808</v>
      </c>
    </row>
    <row r="38" spans="1:4" ht="60" x14ac:dyDescent="0.25">
      <c r="A38" s="72"/>
      <c r="B38" s="76" t="s">
        <v>855</v>
      </c>
      <c r="D38" s="1" t="s">
        <v>854</v>
      </c>
    </row>
    <row r="39" spans="1:4" x14ac:dyDescent="0.25">
      <c r="A39" s="75">
        <v>44266</v>
      </c>
      <c r="B39" s="74" t="s">
        <v>850</v>
      </c>
      <c r="C39" s="74"/>
      <c r="D39" s="74" t="s">
        <v>838</v>
      </c>
    </row>
    <row r="40" spans="1:4" ht="60" x14ac:dyDescent="0.25">
      <c r="A40" s="72"/>
      <c r="B40" s="76" t="s">
        <v>856</v>
      </c>
      <c r="D40" s="76" t="s">
        <v>857</v>
      </c>
    </row>
    <row r="41" spans="1:4" x14ac:dyDescent="0.25">
      <c r="A41" s="75">
        <v>44264</v>
      </c>
      <c r="B41" s="74" t="s">
        <v>845</v>
      </c>
      <c r="C41" s="74"/>
      <c r="D41" s="74" t="s">
        <v>813</v>
      </c>
    </row>
    <row r="42" spans="1:4" ht="60" x14ac:dyDescent="0.25">
      <c r="A42" s="72"/>
      <c r="B42" s="73" t="s">
        <v>847</v>
      </c>
      <c r="D42" s="1" t="s">
        <v>846</v>
      </c>
    </row>
    <row r="43" spans="1:4" x14ac:dyDescent="0.25">
      <c r="A43" s="75">
        <v>44263</v>
      </c>
      <c r="B43" s="74" t="s">
        <v>843</v>
      </c>
    </row>
    <row r="44" spans="1:4" ht="45" x14ac:dyDescent="0.25">
      <c r="A44" s="72"/>
      <c r="B44" s="76" t="s">
        <v>844</v>
      </c>
    </row>
    <row r="45" spans="1:4" x14ac:dyDescent="0.25">
      <c r="A45" s="72"/>
      <c r="B45" s="73"/>
    </row>
    <row r="46" spans="1:4" x14ac:dyDescent="0.25">
      <c r="A46" s="75">
        <v>44260</v>
      </c>
      <c r="B46" s="74" t="s">
        <v>772</v>
      </c>
      <c r="C46" s="74"/>
      <c r="D46" s="74" t="s">
        <v>838</v>
      </c>
    </row>
    <row r="47" spans="1:4" ht="75" x14ac:dyDescent="0.25">
      <c r="A47" s="72"/>
      <c r="B47" s="76" t="s">
        <v>840</v>
      </c>
      <c r="D47" s="1" t="s">
        <v>839</v>
      </c>
    </row>
    <row r="48" spans="1:4" x14ac:dyDescent="0.25">
      <c r="A48" s="75">
        <v>44259</v>
      </c>
      <c r="B48" s="74" t="s">
        <v>664</v>
      </c>
      <c r="C48" s="74"/>
      <c r="D48" s="74" t="s">
        <v>834</v>
      </c>
    </row>
    <row r="49" spans="1:4" ht="60" x14ac:dyDescent="0.25">
      <c r="A49" s="72"/>
      <c r="B49" s="76" t="s">
        <v>837</v>
      </c>
      <c r="D49" s="1" t="s">
        <v>836</v>
      </c>
    </row>
    <row r="50" spans="1:4" x14ac:dyDescent="0.25">
      <c r="A50" s="75">
        <v>44257</v>
      </c>
      <c r="B50" s="74" t="s">
        <v>768</v>
      </c>
      <c r="C50" s="74"/>
      <c r="D50" s="74" t="s">
        <v>834</v>
      </c>
    </row>
    <row r="51" spans="1:4" ht="105" x14ac:dyDescent="0.25">
      <c r="A51" s="72"/>
      <c r="B51" s="76" t="s">
        <v>832</v>
      </c>
      <c r="D51" s="1" t="s">
        <v>835</v>
      </c>
    </row>
    <row r="52" spans="1:4" x14ac:dyDescent="0.25">
      <c r="A52" s="75">
        <v>44256</v>
      </c>
      <c r="B52" s="74" t="s">
        <v>664</v>
      </c>
    </row>
    <row r="53" spans="1:4" ht="45" x14ac:dyDescent="0.25">
      <c r="A53" s="72"/>
      <c r="B53" s="76" t="s">
        <v>833</v>
      </c>
    </row>
    <row r="54" spans="1:4" x14ac:dyDescent="0.25">
      <c r="A54" s="75">
        <v>44255</v>
      </c>
      <c r="B54" s="74" t="s">
        <v>830</v>
      </c>
    </row>
    <row r="55" spans="1:4" ht="60" x14ac:dyDescent="0.25">
      <c r="A55" s="72"/>
      <c r="B55" s="76" t="s">
        <v>831</v>
      </c>
    </row>
    <row r="56" spans="1:4" x14ac:dyDescent="0.25">
      <c r="A56" s="75">
        <v>44254</v>
      </c>
      <c r="B56" s="74" t="s">
        <v>829</v>
      </c>
    </row>
    <row r="57" spans="1:4" ht="75" x14ac:dyDescent="0.25">
      <c r="A57" s="72"/>
      <c r="B57" s="76" t="s">
        <v>828</v>
      </c>
    </row>
    <row r="58" spans="1:4" x14ac:dyDescent="0.25">
      <c r="A58" s="75">
        <v>44253</v>
      </c>
      <c r="B58" s="74" t="s">
        <v>608</v>
      </c>
      <c r="C58" s="74"/>
      <c r="D58" s="74" t="s">
        <v>813</v>
      </c>
    </row>
    <row r="59" spans="1:4" ht="60" x14ac:dyDescent="0.25">
      <c r="A59" s="72"/>
      <c r="B59" s="76" t="s">
        <v>825</v>
      </c>
      <c r="D59" s="1" t="s">
        <v>821</v>
      </c>
    </row>
    <row r="60" spans="1:4" x14ac:dyDescent="0.25">
      <c r="A60" s="75">
        <v>44252</v>
      </c>
      <c r="B60" s="74" t="s">
        <v>663</v>
      </c>
      <c r="C60" s="74"/>
      <c r="D60" s="74" t="s">
        <v>813</v>
      </c>
    </row>
    <row r="61" spans="1:4" ht="75" x14ac:dyDescent="0.25">
      <c r="A61" s="72"/>
      <c r="B61" s="76" t="s">
        <v>823</v>
      </c>
      <c r="D61" s="1" t="s">
        <v>822</v>
      </c>
    </row>
    <row r="62" spans="1:4" x14ac:dyDescent="0.25">
      <c r="A62" s="75">
        <v>44250</v>
      </c>
      <c r="B62" s="74" t="s">
        <v>729</v>
      </c>
      <c r="C62" s="74"/>
      <c r="D62" s="74" t="s">
        <v>813</v>
      </c>
    </row>
    <row r="63" spans="1:4" ht="90" x14ac:dyDescent="0.25">
      <c r="A63" s="72"/>
      <c r="B63" s="76" t="s">
        <v>818</v>
      </c>
      <c r="D63" s="1" t="s">
        <v>820</v>
      </c>
    </row>
    <row r="64" spans="1:4" x14ac:dyDescent="0.25">
      <c r="A64" s="75">
        <v>44249</v>
      </c>
      <c r="B64" s="74" t="s">
        <v>816</v>
      </c>
    </row>
    <row r="65" spans="1:4" ht="60" x14ac:dyDescent="0.25">
      <c r="A65" s="72"/>
      <c r="B65" s="76" t="s">
        <v>817</v>
      </c>
    </row>
    <row r="66" spans="1:4" x14ac:dyDescent="0.25">
      <c r="A66" s="75">
        <v>44247</v>
      </c>
      <c r="B66" s="74" t="s">
        <v>608</v>
      </c>
      <c r="C66" s="74"/>
      <c r="D66" s="74" t="s">
        <v>813</v>
      </c>
    </row>
    <row r="67" spans="1:4" ht="105" x14ac:dyDescent="0.25">
      <c r="A67" s="72"/>
      <c r="B67" s="76" t="s">
        <v>815</v>
      </c>
      <c r="D67" s="1" t="s">
        <v>819</v>
      </c>
    </row>
    <row r="68" spans="1:4" x14ac:dyDescent="0.25">
      <c r="A68" s="75">
        <v>44246</v>
      </c>
      <c r="B68" s="74" t="s">
        <v>811</v>
      </c>
      <c r="C68" s="74"/>
      <c r="D68" s="74" t="s">
        <v>813</v>
      </c>
    </row>
    <row r="69" spans="1:4" ht="90" x14ac:dyDescent="0.25">
      <c r="A69" s="72"/>
      <c r="B69" s="76" t="s">
        <v>812</v>
      </c>
      <c r="D69" s="1" t="s">
        <v>814</v>
      </c>
    </row>
    <row r="70" spans="1:4" x14ac:dyDescent="0.25">
      <c r="A70" s="75">
        <v>44245</v>
      </c>
      <c r="B70" s="74" t="s">
        <v>768</v>
      </c>
      <c r="C70" s="74"/>
      <c r="D70" s="74" t="s">
        <v>808</v>
      </c>
    </row>
    <row r="71" spans="1:4" ht="120" x14ac:dyDescent="0.25">
      <c r="A71" s="72"/>
      <c r="B71" s="76" t="s">
        <v>809</v>
      </c>
      <c r="D71" s="76" t="s">
        <v>810</v>
      </c>
    </row>
    <row r="72" spans="1:4" x14ac:dyDescent="0.25">
      <c r="A72" s="75">
        <v>44243</v>
      </c>
      <c r="B72" s="74" t="s">
        <v>763</v>
      </c>
    </row>
    <row r="73" spans="1:4" ht="150" x14ac:dyDescent="0.25">
      <c r="A73" s="72"/>
      <c r="B73" s="76" t="s">
        <v>803</v>
      </c>
    </row>
    <row r="74" spans="1:4" x14ac:dyDescent="0.25">
      <c r="A74" s="75">
        <v>44242</v>
      </c>
      <c r="B74" s="74" t="s">
        <v>663</v>
      </c>
    </row>
    <row r="75" spans="1:4" ht="105" x14ac:dyDescent="0.25">
      <c r="A75" s="72"/>
      <c r="B75" s="76" t="s">
        <v>802</v>
      </c>
    </row>
    <row r="76" spans="1:4" x14ac:dyDescent="0.25">
      <c r="A76" s="72"/>
      <c r="B76" s="76"/>
    </row>
    <row r="77" spans="1:4" x14ac:dyDescent="0.25">
      <c r="A77" s="75">
        <v>44239</v>
      </c>
      <c r="B77" s="74" t="s">
        <v>664</v>
      </c>
    </row>
    <row r="78" spans="1:4" ht="90" x14ac:dyDescent="0.25">
      <c r="A78" s="72"/>
      <c r="B78" s="76" t="s">
        <v>797</v>
      </c>
    </row>
    <row r="79" spans="1:4" x14ac:dyDescent="0.25">
      <c r="A79" s="75">
        <v>44238</v>
      </c>
      <c r="B79" s="74" t="s">
        <v>663</v>
      </c>
    </row>
    <row r="80" spans="1:4" ht="75" x14ac:dyDescent="0.25">
      <c r="A80" s="72"/>
      <c r="B80" s="76" t="s">
        <v>796</v>
      </c>
    </row>
    <row r="81" spans="1:2" x14ac:dyDescent="0.25">
      <c r="A81" s="75">
        <v>44236</v>
      </c>
      <c r="B81" s="74" t="s">
        <v>663</v>
      </c>
    </row>
    <row r="82" spans="1:2" ht="75" x14ac:dyDescent="0.25">
      <c r="A82" s="72"/>
      <c r="B82" s="76" t="s">
        <v>793</v>
      </c>
    </row>
    <row r="83" spans="1:2" x14ac:dyDescent="0.25">
      <c r="A83" s="75">
        <v>44235</v>
      </c>
      <c r="B83" s="74" t="s">
        <v>763</v>
      </c>
    </row>
    <row r="84" spans="1:2" ht="60" x14ac:dyDescent="0.25">
      <c r="A84" s="72"/>
      <c r="B84" s="76" t="s">
        <v>792</v>
      </c>
    </row>
    <row r="85" spans="1:2" x14ac:dyDescent="0.25">
      <c r="A85" s="72"/>
      <c r="B85" s="73"/>
    </row>
    <row r="86" spans="1:2" x14ac:dyDescent="0.25">
      <c r="A86" s="75">
        <v>44233</v>
      </c>
      <c r="B86" s="74" t="s">
        <v>790</v>
      </c>
    </row>
    <row r="87" spans="1:2" x14ac:dyDescent="0.25">
      <c r="A87" s="72"/>
      <c r="B87" s="73" t="s">
        <v>791</v>
      </c>
    </row>
    <row r="88" spans="1:2" x14ac:dyDescent="0.25">
      <c r="A88" s="75">
        <v>44232</v>
      </c>
      <c r="B88" s="74" t="s">
        <v>763</v>
      </c>
    </row>
    <row r="89" spans="1:2" ht="60" x14ac:dyDescent="0.25">
      <c r="A89" s="72"/>
      <c r="B89" s="76" t="s">
        <v>789</v>
      </c>
    </row>
    <row r="90" spans="1:2" x14ac:dyDescent="0.25">
      <c r="A90" s="75">
        <v>44231</v>
      </c>
      <c r="B90" s="74" t="s">
        <v>763</v>
      </c>
    </row>
    <row r="91" spans="1:2" ht="90" x14ac:dyDescent="0.25">
      <c r="A91" s="72"/>
      <c r="B91" s="76" t="s">
        <v>781</v>
      </c>
    </row>
    <row r="92" spans="1:2" x14ac:dyDescent="0.25">
      <c r="A92" s="75">
        <v>44229</v>
      </c>
      <c r="B92" s="74" t="s">
        <v>763</v>
      </c>
    </row>
    <row r="93" spans="1:2" ht="75" x14ac:dyDescent="0.25">
      <c r="A93" s="72"/>
      <c r="B93" s="76" t="s">
        <v>780</v>
      </c>
    </row>
    <row r="94" spans="1:2" x14ac:dyDescent="0.25">
      <c r="A94" s="75">
        <v>44228</v>
      </c>
      <c r="B94" s="74" t="s">
        <v>663</v>
      </c>
    </row>
    <row r="95" spans="1:2" ht="45" x14ac:dyDescent="0.25">
      <c r="A95" s="72"/>
      <c r="B95" s="76" t="s">
        <v>779</v>
      </c>
    </row>
    <row r="96" spans="1:2" x14ac:dyDescent="0.25">
      <c r="A96" s="72"/>
      <c r="B96" s="73"/>
    </row>
    <row r="97" spans="1:2" x14ac:dyDescent="0.25">
      <c r="A97" s="75">
        <v>44227</v>
      </c>
      <c r="B97" s="74" t="s">
        <v>772</v>
      </c>
    </row>
    <row r="98" spans="1:2" ht="60" x14ac:dyDescent="0.25">
      <c r="A98" s="72"/>
      <c r="B98" s="76" t="s">
        <v>773</v>
      </c>
    </row>
    <row r="99" spans="1:2" x14ac:dyDescent="0.25">
      <c r="A99" s="75">
        <v>44226</v>
      </c>
      <c r="B99" s="74" t="s">
        <v>767</v>
      </c>
    </row>
    <row r="100" spans="1:2" x14ac:dyDescent="0.25">
      <c r="A100" s="72"/>
      <c r="B100" s="73" t="s">
        <v>771</v>
      </c>
    </row>
    <row r="101" spans="1:2" x14ac:dyDescent="0.25">
      <c r="A101" s="75">
        <v>44225</v>
      </c>
      <c r="B101" s="74" t="s">
        <v>608</v>
      </c>
    </row>
    <row r="102" spans="1:2" ht="105" x14ac:dyDescent="0.25">
      <c r="A102" s="72"/>
      <c r="B102" s="76" t="s">
        <v>770</v>
      </c>
    </row>
    <row r="103" spans="1:2" x14ac:dyDescent="0.25">
      <c r="A103" s="75">
        <v>44224</v>
      </c>
      <c r="B103" s="74" t="s">
        <v>768</v>
      </c>
    </row>
    <row r="104" spans="1:2" ht="45" x14ac:dyDescent="0.25">
      <c r="A104" s="72"/>
      <c r="B104" s="76" t="s">
        <v>769</v>
      </c>
    </row>
    <row r="105" spans="1:2" x14ac:dyDescent="0.25">
      <c r="A105" s="75">
        <v>44222</v>
      </c>
      <c r="B105" s="74" t="s">
        <v>729</v>
      </c>
    </row>
    <row r="106" spans="1:2" ht="135" x14ac:dyDescent="0.25">
      <c r="A106" s="72"/>
      <c r="B106" s="76" t="s">
        <v>766</v>
      </c>
    </row>
    <row r="107" spans="1:2" x14ac:dyDescent="0.25">
      <c r="A107" s="75">
        <v>44221</v>
      </c>
      <c r="B107" s="74" t="s">
        <v>763</v>
      </c>
    </row>
    <row r="108" spans="1:2" x14ac:dyDescent="0.25">
      <c r="B108" t="s">
        <v>764</v>
      </c>
    </row>
    <row r="109" spans="1:2" x14ac:dyDescent="0.25">
      <c r="A109" s="72"/>
      <c r="B109" s="73"/>
    </row>
    <row r="110" spans="1:2" x14ac:dyDescent="0.25">
      <c r="A110" s="75">
        <v>44220</v>
      </c>
      <c r="B110" s="74" t="s">
        <v>755</v>
      </c>
    </row>
    <row r="111" spans="1:2" ht="75" x14ac:dyDescent="0.25">
      <c r="A111" s="72"/>
      <c r="B111" s="76" t="s">
        <v>761</v>
      </c>
    </row>
    <row r="112" spans="1:2" x14ac:dyDescent="0.25">
      <c r="A112" s="75">
        <v>44219</v>
      </c>
      <c r="B112" s="74" t="s">
        <v>762</v>
      </c>
    </row>
    <row r="113" spans="1:2" x14ac:dyDescent="0.25">
      <c r="A113" s="72"/>
      <c r="B113" s="73" t="s">
        <v>760</v>
      </c>
    </row>
    <row r="114" spans="1:2" x14ac:dyDescent="0.25">
      <c r="A114" s="75">
        <v>44218</v>
      </c>
      <c r="B114" s="74" t="s">
        <v>755</v>
      </c>
    </row>
    <row r="115" spans="1:2" ht="60" x14ac:dyDescent="0.25">
      <c r="A115" s="72"/>
      <c r="B115" s="76" t="s">
        <v>756</v>
      </c>
    </row>
    <row r="116" spans="1:2" x14ac:dyDescent="0.25">
      <c r="A116" s="75">
        <v>44217</v>
      </c>
      <c r="B116" s="74" t="s">
        <v>664</v>
      </c>
    </row>
    <row r="117" spans="1:2" ht="60" x14ac:dyDescent="0.25">
      <c r="A117" s="72"/>
      <c r="B117" s="76" t="s">
        <v>754</v>
      </c>
    </row>
    <row r="118" spans="1:2" x14ac:dyDescent="0.25">
      <c r="A118" s="75">
        <v>44215</v>
      </c>
      <c r="B118" s="74" t="s">
        <v>663</v>
      </c>
    </row>
    <row r="119" spans="1:2" ht="135" x14ac:dyDescent="0.25">
      <c r="A119" s="72"/>
      <c r="B119" s="76" t="s">
        <v>735</v>
      </c>
    </row>
    <row r="120" spans="1:2" x14ac:dyDescent="0.25">
      <c r="A120" s="75">
        <v>44214</v>
      </c>
      <c r="B120" s="74" t="s">
        <v>729</v>
      </c>
    </row>
    <row r="121" spans="1:2" ht="105" x14ac:dyDescent="0.25">
      <c r="A121" s="72"/>
      <c r="B121" s="76" t="s">
        <v>730</v>
      </c>
    </row>
    <row r="122" spans="1:2" x14ac:dyDescent="0.25">
      <c r="A122" s="72"/>
      <c r="B122" s="73"/>
    </row>
    <row r="123" spans="1:2" x14ac:dyDescent="0.25">
      <c r="A123" s="75">
        <v>44211</v>
      </c>
      <c r="B123" s="74" t="s">
        <v>663</v>
      </c>
    </row>
    <row r="124" spans="1:2" ht="105" x14ac:dyDescent="0.25">
      <c r="A124" s="72"/>
      <c r="B124" s="76" t="s">
        <v>665</v>
      </c>
    </row>
    <row r="125" spans="1:2" x14ac:dyDescent="0.25">
      <c r="A125" s="75">
        <v>44210</v>
      </c>
      <c r="B125" s="74" t="s">
        <v>664</v>
      </c>
    </row>
    <row r="126" spans="1:2" ht="75" x14ac:dyDescent="0.25">
      <c r="A126" s="72"/>
      <c r="B126" s="76" t="s">
        <v>654</v>
      </c>
    </row>
    <row r="127" spans="1:2" x14ac:dyDescent="0.25">
      <c r="A127" s="75">
        <v>44208</v>
      </c>
      <c r="B127" s="74" t="s">
        <v>660</v>
      </c>
    </row>
    <row r="128" spans="1:2" ht="75" x14ac:dyDescent="0.25">
      <c r="A128" s="72"/>
      <c r="B128" s="76" t="s">
        <v>666</v>
      </c>
    </row>
    <row r="129" spans="1:2" x14ac:dyDescent="0.25">
      <c r="A129" s="75">
        <v>44207</v>
      </c>
      <c r="B129" s="74" t="s">
        <v>661</v>
      </c>
    </row>
    <row r="130" spans="1:2" ht="45" x14ac:dyDescent="0.25">
      <c r="A130" s="72"/>
      <c r="B130" s="76" t="s">
        <v>653</v>
      </c>
    </row>
    <row r="131" spans="1:2" x14ac:dyDescent="0.25">
      <c r="A131" s="72"/>
      <c r="B131" s="73"/>
    </row>
    <row r="132" spans="1:2" x14ac:dyDescent="0.25">
      <c r="A132" s="75">
        <v>44205</v>
      </c>
      <c r="B132" s="74" t="s">
        <v>662</v>
      </c>
    </row>
    <row r="133" spans="1:2" ht="60" x14ac:dyDescent="0.25">
      <c r="A133" s="72"/>
      <c r="B133" s="76" t="s">
        <v>652</v>
      </c>
    </row>
    <row r="134" spans="1:2" x14ac:dyDescent="0.25">
      <c r="A134" s="72"/>
      <c r="B134" s="73"/>
    </row>
    <row r="135" spans="1:2" x14ac:dyDescent="0.25">
      <c r="A135" s="72"/>
      <c r="B135"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row>
    <row r="6" spans="1:70" x14ac:dyDescent="0.25">
      <c r="C6" s="2" t="s">
        <v>3</v>
      </c>
    </row>
    <row r="7" spans="1:70" ht="45" customHeight="1" x14ac:dyDescent="0.25">
      <c r="C7" s="256" t="s">
        <v>281</v>
      </c>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row>
    <row r="8" spans="1:70" x14ac:dyDescent="0.25">
      <c r="C8" s="2" t="s">
        <v>4</v>
      </c>
    </row>
    <row r="9" spans="1:70" ht="75" customHeight="1" x14ac:dyDescent="0.25">
      <c r="C9" s="256" t="s">
        <v>274</v>
      </c>
      <c r="D9" s="257"/>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row>
    <row r="10" spans="1:70" x14ac:dyDescent="0.25">
      <c r="C10" s="2" t="s">
        <v>5</v>
      </c>
    </row>
    <row r="11" spans="1:70" ht="75" customHeight="1" x14ac:dyDescent="0.25">
      <c r="C11" s="256" t="s">
        <v>298</v>
      </c>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row>
    <row r="12" spans="1:70" x14ac:dyDescent="0.25">
      <c r="C12" s="2" t="s">
        <v>6</v>
      </c>
    </row>
    <row r="13" spans="1:70" ht="90.75" customHeight="1" x14ac:dyDescent="0.25">
      <c r="C13" s="256" t="s">
        <v>285</v>
      </c>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257"/>
      <c r="BP13" s="257"/>
      <c r="BQ13" s="257"/>
      <c r="BR13" s="257"/>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9" t="s">
        <v>210</v>
      </c>
      <c r="D25" s="259"/>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9"/>
      <c r="BP25" s="259"/>
      <c r="BQ25" s="259"/>
      <c r="BR25" s="259"/>
    </row>
    <row r="26" spans="1:70" x14ac:dyDescent="0.25">
      <c r="C26" s="2" t="s">
        <v>193</v>
      </c>
    </row>
    <row r="27" spans="1:70" ht="244.5" customHeight="1" x14ac:dyDescent="0.25">
      <c r="A27" s="1"/>
      <c r="C27" s="259" t="s">
        <v>194</v>
      </c>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c r="BQ27" s="259"/>
      <c r="BR27" s="259"/>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9" t="s">
        <v>279</v>
      </c>
      <c r="D31" s="259"/>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9"/>
      <c r="BP31" s="259"/>
      <c r="BQ31" s="259"/>
      <c r="BR31" s="259"/>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9" t="s">
        <v>278</v>
      </c>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row>
    <row r="36" spans="1:70" x14ac:dyDescent="0.25">
      <c r="B36" s="2" t="s">
        <v>2</v>
      </c>
    </row>
    <row r="37" spans="1:70" x14ac:dyDescent="0.25">
      <c r="B37" s="257" t="s">
        <v>12</v>
      </c>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2021-03-30T00:08:02Z</dcterms:modified>
</cp:coreProperties>
</file>