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8AE06FB4-7E86-4CF0-B8D1-2CF42CE2E852}" xr6:coauthVersionLast="44" xr6:coauthVersionMax="44" xr10:uidLastSave="{00000000-0000-0000-0000-000000000000}"/>
  <bookViews>
    <workbookView xWindow="-120" yWindow="-120" windowWidth="29040" windowHeight="16440"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Anwesend!$B$89:$L$91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44" i="3" l="1"/>
  <c r="P44" i="3"/>
  <c r="L44" i="3"/>
  <c r="K44" i="3"/>
  <c r="J44" i="3"/>
  <c r="I44" i="3"/>
  <c r="H44" i="3"/>
  <c r="G44" i="3"/>
  <c r="F44" i="3"/>
  <c r="P32" i="3" l="1"/>
  <c r="DP34" i="3"/>
  <c r="R32" i="3"/>
  <c r="EA34" i="3"/>
  <c r="P30" i="3" l="1"/>
  <c r="R30" i="3"/>
  <c r="DG34" i="3" l="1"/>
  <c r="DR34" i="3"/>
  <c r="Q85" i="3" l="1"/>
  <c r="Q83" i="3"/>
  <c r="Q82" i="3"/>
  <c r="Q81" i="3"/>
  <c r="Q74" i="3"/>
  <c r="Q71" i="3"/>
  <c r="Q69" i="3"/>
  <c r="Q62" i="3"/>
  <c r="Q61" i="3"/>
  <c r="Q60" i="3"/>
  <c r="Q59" i="3"/>
  <c r="Q58" i="3"/>
  <c r="Q25" i="3"/>
  <c r="Q33" i="3"/>
  <c r="Q6" i="3"/>
  <c r="CX34" i="3"/>
  <c r="CH34" i="3"/>
  <c r="BY34" i="3"/>
  <c r="CZ34" i="3"/>
  <c r="CQ34" i="3"/>
  <c r="DI34" i="3"/>
  <c r="L89" i="3"/>
  <c r="R34" i="3"/>
  <c r="P34" i="3"/>
  <c r="L90" i="3"/>
  <c r="L91" i="3"/>
  <c r="P29" i="3" l="1"/>
  <c r="F29" i="3"/>
  <c r="G29" i="3"/>
  <c r="H29" i="3"/>
  <c r="I29" i="3"/>
  <c r="J29" i="3"/>
  <c r="K29" i="3"/>
  <c r="L29" i="3"/>
  <c r="P64" i="3"/>
  <c r="P76" i="3"/>
  <c r="CO76" i="3" l="1"/>
  <c r="CO64" i="3"/>
  <c r="CO77" i="3" s="1"/>
  <c r="CO34" i="3"/>
  <c r="CF34" i="3"/>
  <c r="BW76" i="3" l="1"/>
  <c r="BW77" i="3" s="1"/>
  <c r="BP76" i="3"/>
  <c r="BP64" i="3"/>
  <c r="BW34" i="3"/>
  <c r="BP34" i="3"/>
  <c r="BP77" i="3" l="1"/>
  <c r="P31" i="3"/>
  <c r="MJ76" i="3" l="1"/>
  <c r="MI76" i="3"/>
  <c r="MH76" i="3"/>
  <c r="MG76" i="3"/>
  <c r="MF76" i="3"/>
  <c r="ME76" i="3"/>
  <c r="MD76" i="3"/>
  <c r="MC76" i="3"/>
  <c r="MB76" i="3"/>
  <c r="MA76" i="3"/>
  <c r="LZ76" i="3"/>
  <c r="LY76" i="3"/>
  <c r="LX76" i="3"/>
  <c r="LW76" i="3"/>
  <c r="LV76" i="3"/>
  <c r="LU76" i="3"/>
  <c r="LT76" i="3"/>
  <c r="LS76" i="3"/>
  <c r="LR76" i="3"/>
  <c r="LQ76" i="3"/>
  <c r="LP76" i="3"/>
  <c r="LO76" i="3"/>
  <c r="LN76" i="3"/>
  <c r="LM76" i="3"/>
  <c r="LL76" i="3"/>
  <c r="LK76" i="3"/>
  <c r="LJ76" i="3"/>
  <c r="LI76" i="3"/>
  <c r="LH76" i="3"/>
  <c r="LG76" i="3"/>
  <c r="LF76" i="3"/>
  <c r="LE76" i="3"/>
  <c r="LD76" i="3"/>
  <c r="LC76" i="3"/>
  <c r="LB76" i="3"/>
  <c r="LA76" i="3"/>
  <c r="KZ76" i="3"/>
  <c r="KY76" i="3"/>
  <c r="KX76" i="3"/>
  <c r="KW76" i="3"/>
  <c r="KV76" i="3"/>
  <c r="KU76" i="3"/>
  <c r="KT76" i="3"/>
  <c r="KS76" i="3"/>
  <c r="KR76" i="3"/>
  <c r="KQ76" i="3"/>
  <c r="KP76" i="3"/>
  <c r="KO76" i="3"/>
  <c r="KN76" i="3"/>
  <c r="KM76" i="3"/>
  <c r="KL76" i="3"/>
  <c r="KK76" i="3"/>
  <c r="KJ76" i="3"/>
  <c r="KI76" i="3"/>
  <c r="KH76" i="3"/>
  <c r="KG76" i="3"/>
  <c r="KF76" i="3"/>
  <c r="KE76" i="3"/>
  <c r="KD76" i="3"/>
  <c r="KC76" i="3"/>
  <c r="KB76" i="3"/>
  <c r="KA76" i="3"/>
  <c r="JZ76" i="3"/>
  <c r="JY76" i="3"/>
  <c r="JX76" i="3"/>
  <c r="JW76" i="3"/>
  <c r="JV76" i="3"/>
  <c r="JU76" i="3"/>
  <c r="JT76" i="3"/>
  <c r="JS76" i="3"/>
  <c r="JR76" i="3"/>
  <c r="JQ76" i="3"/>
  <c r="JP76" i="3"/>
  <c r="JO76" i="3"/>
  <c r="JN76" i="3"/>
  <c r="JM76" i="3"/>
  <c r="JL76" i="3"/>
  <c r="JK76" i="3"/>
  <c r="JJ76" i="3"/>
  <c r="JI76" i="3"/>
  <c r="JH76" i="3"/>
  <c r="JG76" i="3"/>
  <c r="JF76" i="3"/>
  <c r="JE76" i="3"/>
  <c r="JD76" i="3"/>
  <c r="JC76" i="3"/>
  <c r="JB76" i="3"/>
  <c r="JA76" i="3"/>
  <c r="IZ76" i="3"/>
  <c r="IY76" i="3"/>
  <c r="IX76" i="3"/>
  <c r="IW76" i="3"/>
  <c r="IV76" i="3"/>
  <c r="IU76" i="3"/>
  <c r="IT76" i="3"/>
  <c r="IS76" i="3"/>
  <c r="IR76" i="3"/>
  <c r="IQ76" i="3"/>
  <c r="IP76" i="3"/>
  <c r="IO76" i="3"/>
  <c r="IN76" i="3"/>
  <c r="IM76" i="3"/>
  <c r="IL76" i="3"/>
  <c r="IK76" i="3"/>
  <c r="IJ76" i="3"/>
  <c r="II76" i="3"/>
  <c r="IH76" i="3"/>
  <c r="IG76" i="3"/>
  <c r="IF76" i="3"/>
  <c r="IE76" i="3"/>
  <c r="ID76" i="3"/>
  <c r="IC76" i="3"/>
  <c r="IB76" i="3"/>
  <c r="IA76" i="3"/>
  <c r="HZ76" i="3"/>
  <c r="HY76" i="3"/>
  <c r="HX76" i="3"/>
  <c r="HW76" i="3"/>
  <c r="HV76" i="3"/>
  <c r="HU76" i="3"/>
  <c r="HT76" i="3"/>
  <c r="HS76" i="3"/>
  <c r="HR76" i="3"/>
  <c r="HQ76" i="3"/>
  <c r="HP76" i="3"/>
  <c r="HO76" i="3"/>
  <c r="HN76" i="3"/>
  <c r="HM76" i="3"/>
  <c r="HL76" i="3"/>
  <c r="HK76" i="3"/>
  <c r="HJ76" i="3"/>
  <c r="HI76" i="3"/>
  <c r="HH76" i="3"/>
  <c r="HG76" i="3"/>
  <c r="HF76" i="3"/>
  <c r="HE76" i="3"/>
  <c r="HD76" i="3"/>
  <c r="HC76" i="3"/>
  <c r="HB76" i="3"/>
  <c r="HA76" i="3"/>
  <c r="GZ76" i="3"/>
  <c r="GY76" i="3"/>
  <c r="GX76" i="3"/>
  <c r="GW76" i="3"/>
  <c r="GV76" i="3"/>
  <c r="GU76" i="3"/>
  <c r="GT76" i="3"/>
  <c r="GS76" i="3"/>
  <c r="GR76" i="3"/>
  <c r="GQ76" i="3"/>
  <c r="GP76" i="3"/>
  <c r="GO76" i="3"/>
  <c r="GN76" i="3"/>
  <c r="GM76" i="3"/>
  <c r="GL76" i="3"/>
  <c r="GK76" i="3"/>
  <c r="GJ76" i="3"/>
  <c r="GI76" i="3"/>
  <c r="GH76" i="3"/>
  <c r="GG76" i="3"/>
  <c r="GF76" i="3"/>
  <c r="GE76" i="3"/>
  <c r="GD76" i="3"/>
  <c r="GC76" i="3"/>
  <c r="GB76" i="3"/>
  <c r="GA76" i="3"/>
  <c r="FZ76" i="3"/>
  <c r="FY76" i="3"/>
  <c r="FX76" i="3"/>
  <c r="FW76" i="3"/>
  <c r="FV76" i="3"/>
  <c r="FU76" i="3"/>
  <c r="FT76" i="3"/>
  <c r="FS76" i="3"/>
  <c r="FR76" i="3"/>
  <c r="FQ76" i="3"/>
  <c r="FP76" i="3"/>
  <c r="FO76" i="3"/>
  <c r="FN76" i="3"/>
  <c r="FM76" i="3"/>
  <c r="FL76" i="3"/>
  <c r="FK76" i="3"/>
  <c r="FJ76" i="3"/>
  <c r="FI76" i="3"/>
  <c r="FH76" i="3"/>
  <c r="FG76" i="3"/>
  <c r="FF76" i="3"/>
  <c r="FE76" i="3"/>
  <c r="FD76" i="3"/>
  <c r="FC76" i="3"/>
  <c r="FB76" i="3"/>
  <c r="FA76" i="3"/>
  <c r="EZ76" i="3"/>
  <c r="EY76" i="3"/>
  <c r="EX76" i="3"/>
  <c r="EW76" i="3"/>
  <c r="EV76" i="3"/>
  <c r="EU76" i="3"/>
  <c r="ET76" i="3"/>
  <c r="ES76" i="3"/>
  <c r="ER76" i="3"/>
  <c r="EQ76" i="3"/>
  <c r="EP76" i="3"/>
  <c r="EO76" i="3"/>
  <c r="EN76" i="3"/>
  <c r="EM76" i="3"/>
  <c r="EL76" i="3"/>
  <c r="EK76" i="3"/>
  <c r="EJ76" i="3"/>
  <c r="EI76" i="3"/>
  <c r="EH76" i="3"/>
  <c r="EG76" i="3"/>
  <c r="EF76" i="3"/>
  <c r="EE76" i="3"/>
  <c r="ED76" i="3"/>
  <c r="EC76" i="3"/>
  <c r="EB76" i="3"/>
  <c r="EA76" i="3"/>
  <c r="DZ76" i="3"/>
  <c r="DW76" i="3"/>
  <c r="DV76" i="3"/>
  <c r="DU76" i="3"/>
  <c r="DT76" i="3"/>
  <c r="DS76" i="3"/>
  <c r="DR76" i="3"/>
  <c r="DO76" i="3"/>
  <c r="DN76" i="3"/>
  <c r="DM76" i="3"/>
  <c r="DL76" i="3"/>
  <c r="DK76" i="3"/>
  <c r="DJ76" i="3"/>
  <c r="DI76" i="3"/>
  <c r="DF76" i="3"/>
  <c r="DE76" i="3"/>
  <c r="DD76" i="3"/>
  <c r="DC76" i="3"/>
  <c r="DB76" i="3"/>
  <c r="DA76" i="3"/>
  <c r="CZ76" i="3"/>
  <c r="CY76" i="3"/>
  <c r="CV76" i="3"/>
  <c r="CU76" i="3"/>
  <c r="CT76" i="3"/>
  <c r="CS76" i="3"/>
  <c r="CR76" i="3"/>
  <c r="CQ76" i="3"/>
  <c r="CN76" i="3"/>
  <c r="CM76" i="3"/>
  <c r="CL76" i="3"/>
  <c r="CK76" i="3"/>
  <c r="CJ76" i="3"/>
  <c r="CI76" i="3"/>
  <c r="CH76" i="3"/>
  <c r="CE76" i="3"/>
  <c r="CD76" i="3"/>
  <c r="CC76" i="3"/>
  <c r="CB76" i="3"/>
  <c r="CA76" i="3"/>
  <c r="BZ76" i="3"/>
  <c r="BY76" i="3"/>
  <c r="BV76" i="3"/>
  <c r="BU76" i="3"/>
  <c r="BT76" i="3"/>
  <c r="BS76" i="3"/>
  <c r="BR76" i="3"/>
  <c r="BQ76" i="3"/>
  <c r="BO76" i="3"/>
  <c r="BN76" i="3"/>
  <c r="BM76" i="3"/>
  <c r="BL76" i="3"/>
  <c r="BK76" i="3"/>
  <c r="BJ76" i="3"/>
  <c r="BI76" i="3"/>
  <c r="BH76" i="3"/>
  <c r="BG76" i="3"/>
  <c r="BF76" i="3"/>
  <c r="BE76" i="3"/>
  <c r="BD76" i="3"/>
  <c r="BC76" i="3"/>
  <c r="P49" i="3" l="1"/>
  <c r="L49" i="3"/>
  <c r="K49" i="3"/>
  <c r="J49" i="3"/>
  <c r="I49" i="3"/>
  <c r="H49" i="3"/>
  <c r="G49" i="3"/>
  <c r="F49" i="3"/>
  <c r="P57" i="3" l="1"/>
  <c r="L57" i="3"/>
  <c r="K57" i="3"/>
  <c r="J57" i="3"/>
  <c r="I57" i="3"/>
  <c r="H57" i="3"/>
  <c r="G57" i="3"/>
  <c r="F57" i="3"/>
  <c r="P53" i="3"/>
  <c r="L53" i="3"/>
  <c r="K53" i="3"/>
  <c r="J53" i="3"/>
  <c r="I53" i="3"/>
  <c r="H53" i="3"/>
  <c r="G53" i="3"/>
  <c r="F53" i="3"/>
  <c r="H73" i="3" l="1"/>
  <c r="G73" i="3"/>
  <c r="H72" i="3"/>
  <c r="G72" i="3"/>
  <c r="H71" i="3"/>
  <c r="G71" i="3"/>
  <c r="H70" i="3"/>
  <c r="G70" i="3"/>
  <c r="L70" i="3"/>
  <c r="K70" i="3"/>
  <c r="J70" i="3"/>
  <c r="I70" i="3"/>
  <c r="F70" i="3"/>
  <c r="P11" i="3"/>
  <c r="L11" i="3"/>
  <c r="K11" i="3"/>
  <c r="J11" i="3"/>
  <c r="I11" i="3"/>
  <c r="H11" i="3"/>
  <c r="G11" i="3"/>
  <c r="F11" i="3"/>
  <c r="P47" i="3"/>
  <c r="L47" i="3"/>
  <c r="K47" i="3"/>
  <c r="J47" i="3"/>
  <c r="I47" i="3"/>
  <c r="H47" i="3"/>
  <c r="G47" i="3"/>
  <c r="F47" i="3"/>
  <c r="S65" i="3" l="1"/>
  <c r="P75" i="3"/>
  <c r="BB76" i="3"/>
  <c r="BA76" i="3"/>
  <c r="AZ76" i="3"/>
  <c r="AY76" i="3"/>
  <c r="AX76" i="3"/>
  <c r="AW76" i="3"/>
  <c r="AV76" i="3"/>
  <c r="AU76" i="3"/>
  <c r="AT76" i="3"/>
  <c r="AS76" i="3"/>
  <c r="AR76" i="3"/>
  <c r="AQ76" i="3"/>
  <c r="AP76" i="3"/>
  <c r="AO76" i="3"/>
  <c r="AG76" i="3"/>
  <c r="AF76" i="3"/>
  <c r="AE76" i="3"/>
  <c r="AD76" i="3"/>
  <c r="AC76" i="3"/>
  <c r="AB76" i="3"/>
  <c r="AA76" i="3"/>
  <c r="Z76" i="3"/>
  <c r="Y76" i="3"/>
  <c r="X76" i="3"/>
  <c r="W76" i="3"/>
  <c r="V76" i="3"/>
  <c r="U76" i="3"/>
  <c r="T76" i="3"/>
  <c r="AN76" i="3"/>
  <c r="AM76" i="3"/>
  <c r="AL76" i="3"/>
  <c r="AK76" i="3"/>
  <c r="AJ76" i="3"/>
  <c r="AH76" i="3"/>
  <c r="AI76" i="3"/>
  <c r="L61" i="3"/>
  <c r="K61" i="3"/>
  <c r="J61" i="3"/>
  <c r="I61" i="3"/>
  <c r="H61" i="3"/>
  <c r="G61" i="3"/>
  <c r="F61" i="3"/>
  <c r="L60" i="3"/>
  <c r="K60" i="3"/>
  <c r="J60" i="3"/>
  <c r="I60" i="3"/>
  <c r="H60" i="3"/>
  <c r="G60" i="3"/>
  <c r="F60" i="3"/>
  <c r="L59" i="3"/>
  <c r="K59" i="3"/>
  <c r="J59" i="3"/>
  <c r="I59" i="3"/>
  <c r="H59" i="3"/>
  <c r="G59" i="3"/>
  <c r="F59" i="3"/>
  <c r="L58" i="3"/>
  <c r="K58" i="3"/>
  <c r="J58" i="3"/>
  <c r="I58" i="3"/>
  <c r="H58" i="3"/>
  <c r="G58" i="3"/>
  <c r="F58" i="3"/>
  <c r="MJ64" i="3"/>
  <c r="MI64" i="3"/>
  <c r="MH64" i="3"/>
  <c r="MG64" i="3"/>
  <c r="MF64" i="3"/>
  <c r="ME64" i="3"/>
  <c r="MD64" i="3"/>
  <c r="MC64" i="3"/>
  <c r="MB64" i="3"/>
  <c r="MA64" i="3"/>
  <c r="LZ64" i="3"/>
  <c r="LY64" i="3"/>
  <c r="LX64" i="3"/>
  <c r="LW64" i="3"/>
  <c r="LV64" i="3"/>
  <c r="LU64" i="3"/>
  <c r="LT64" i="3"/>
  <c r="LS64" i="3"/>
  <c r="LR64" i="3"/>
  <c r="LQ64" i="3"/>
  <c r="LP64" i="3"/>
  <c r="LO64" i="3"/>
  <c r="LN64" i="3"/>
  <c r="LM64" i="3"/>
  <c r="LL64" i="3"/>
  <c r="LK64" i="3"/>
  <c r="LJ64" i="3"/>
  <c r="LI64" i="3"/>
  <c r="LH64" i="3"/>
  <c r="LG64" i="3"/>
  <c r="LF64" i="3"/>
  <c r="LE64" i="3"/>
  <c r="LD64" i="3"/>
  <c r="LC64" i="3"/>
  <c r="LB64" i="3"/>
  <c r="LA64" i="3"/>
  <c r="KZ64" i="3"/>
  <c r="KY64" i="3"/>
  <c r="KX64" i="3"/>
  <c r="KW64" i="3"/>
  <c r="KV64" i="3"/>
  <c r="KU64" i="3"/>
  <c r="KT64" i="3"/>
  <c r="KS64" i="3"/>
  <c r="KR64" i="3"/>
  <c r="KQ64" i="3"/>
  <c r="KP64" i="3"/>
  <c r="KO64" i="3"/>
  <c r="KN64" i="3"/>
  <c r="KM64" i="3"/>
  <c r="KL64" i="3"/>
  <c r="KK64" i="3"/>
  <c r="KJ64" i="3"/>
  <c r="KI64" i="3"/>
  <c r="KH64" i="3"/>
  <c r="KG64" i="3"/>
  <c r="KF64" i="3"/>
  <c r="KE64" i="3"/>
  <c r="KD64" i="3"/>
  <c r="KC64" i="3"/>
  <c r="KB64" i="3"/>
  <c r="KA64" i="3"/>
  <c r="JZ64" i="3"/>
  <c r="JY64" i="3"/>
  <c r="JX64" i="3"/>
  <c r="JW64" i="3"/>
  <c r="JV64" i="3"/>
  <c r="JU64" i="3"/>
  <c r="JT64" i="3"/>
  <c r="JS64" i="3"/>
  <c r="JR64" i="3"/>
  <c r="JQ64" i="3"/>
  <c r="JP64" i="3"/>
  <c r="JO64" i="3"/>
  <c r="JN64" i="3"/>
  <c r="JM64" i="3"/>
  <c r="JL64" i="3"/>
  <c r="JK64" i="3"/>
  <c r="JJ64" i="3"/>
  <c r="JI64" i="3"/>
  <c r="JH64" i="3"/>
  <c r="JG64" i="3"/>
  <c r="JF64" i="3"/>
  <c r="JE64" i="3"/>
  <c r="JD64" i="3"/>
  <c r="JC64" i="3"/>
  <c r="JB64" i="3"/>
  <c r="JA64" i="3"/>
  <c r="IZ64" i="3"/>
  <c r="IY64" i="3"/>
  <c r="IX64" i="3"/>
  <c r="IW64" i="3"/>
  <c r="IV64" i="3"/>
  <c r="IU64" i="3"/>
  <c r="IT64" i="3"/>
  <c r="IS64" i="3"/>
  <c r="IR64" i="3"/>
  <c r="IQ64" i="3"/>
  <c r="IP64" i="3"/>
  <c r="IO64" i="3"/>
  <c r="IN64" i="3"/>
  <c r="IM64" i="3"/>
  <c r="IL64" i="3"/>
  <c r="IK64" i="3"/>
  <c r="IJ64" i="3"/>
  <c r="II64" i="3"/>
  <c r="IH64" i="3"/>
  <c r="IG64" i="3"/>
  <c r="IF64" i="3"/>
  <c r="IE64" i="3"/>
  <c r="ID64" i="3"/>
  <c r="IC64" i="3"/>
  <c r="IB64" i="3"/>
  <c r="IA64" i="3"/>
  <c r="HZ64" i="3"/>
  <c r="HY64" i="3"/>
  <c r="HX64" i="3"/>
  <c r="HW64" i="3"/>
  <c r="HV64" i="3"/>
  <c r="HU64" i="3"/>
  <c r="HT64" i="3"/>
  <c r="HS64" i="3"/>
  <c r="HR64" i="3"/>
  <c r="HQ64" i="3"/>
  <c r="HP64" i="3"/>
  <c r="HO64" i="3"/>
  <c r="HN64" i="3"/>
  <c r="HM64" i="3"/>
  <c r="HL64" i="3"/>
  <c r="HK64" i="3"/>
  <c r="HJ64" i="3"/>
  <c r="HI64" i="3"/>
  <c r="HH64" i="3"/>
  <c r="HG64" i="3"/>
  <c r="HF64" i="3"/>
  <c r="HE64" i="3"/>
  <c r="HD64" i="3"/>
  <c r="HC64" i="3"/>
  <c r="HB64" i="3"/>
  <c r="HA64" i="3"/>
  <c r="GZ64" i="3"/>
  <c r="GY64" i="3"/>
  <c r="GX64" i="3"/>
  <c r="GW64" i="3"/>
  <c r="GV64" i="3"/>
  <c r="GU64" i="3"/>
  <c r="GT64" i="3"/>
  <c r="GS64" i="3"/>
  <c r="GR64" i="3"/>
  <c r="GQ64" i="3"/>
  <c r="GP64" i="3"/>
  <c r="GO64" i="3"/>
  <c r="GN64" i="3"/>
  <c r="GM64" i="3"/>
  <c r="GL64" i="3"/>
  <c r="GK64" i="3"/>
  <c r="GJ64" i="3"/>
  <c r="GI64" i="3"/>
  <c r="GH64" i="3"/>
  <c r="GG64" i="3"/>
  <c r="GF64" i="3"/>
  <c r="GE64" i="3"/>
  <c r="GD64" i="3"/>
  <c r="GC64" i="3"/>
  <c r="GB64" i="3"/>
  <c r="GA64" i="3"/>
  <c r="FZ64" i="3"/>
  <c r="FY64" i="3"/>
  <c r="FX64" i="3"/>
  <c r="FW64" i="3"/>
  <c r="FV64" i="3"/>
  <c r="FU64" i="3"/>
  <c r="FT64" i="3"/>
  <c r="FS64" i="3"/>
  <c r="FR64" i="3"/>
  <c r="FQ64" i="3"/>
  <c r="FP64" i="3"/>
  <c r="FO64" i="3"/>
  <c r="FN64" i="3"/>
  <c r="FM64" i="3"/>
  <c r="FL64" i="3"/>
  <c r="FK64" i="3"/>
  <c r="FJ64" i="3"/>
  <c r="FI64" i="3"/>
  <c r="FH64" i="3"/>
  <c r="FG64" i="3"/>
  <c r="FF64" i="3"/>
  <c r="FE64" i="3"/>
  <c r="FD64" i="3"/>
  <c r="FC64" i="3"/>
  <c r="FB64" i="3"/>
  <c r="FA64" i="3"/>
  <c r="EZ64" i="3"/>
  <c r="EY64" i="3"/>
  <c r="EX64" i="3"/>
  <c r="EW64" i="3"/>
  <c r="EV64" i="3"/>
  <c r="EU64" i="3"/>
  <c r="ET64" i="3"/>
  <c r="ES64" i="3"/>
  <c r="ER64" i="3"/>
  <c r="EQ64" i="3"/>
  <c r="EP64" i="3"/>
  <c r="EO64" i="3"/>
  <c r="EN64" i="3"/>
  <c r="EM64" i="3"/>
  <c r="EL64" i="3"/>
  <c r="EK64" i="3"/>
  <c r="EJ64" i="3"/>
  <c r="EI64" i="3"/>
  <c r="EH64" i="3"/>
  <c r="EG64" i="3"/>
  <c r="EF64" i="3"/>
  <c r="EE64" i="3"/>
  <c r="ED64" i="3"/>
  <c r="EC64" i="3"/>
  <c r="EB64" i="3"/>
  <c r="EA64" i="3"/>
  <c r="DZ64" i="3"/>
  <c r="DW64" i="3"/>
  <c r="DV64" i="3"/>
  <c r="DU64" i="3"/>
  <c r="DT64" i="3"/>
  <c r="DS64" i="3"/>
  <c r="DR64" i="3"/>
  <c r="DO64" i="3"/>
  <c r="DN64" i="3"/>
  <c r="DM64" i="3"/>
  <c r="DL64" i="3"/>
  <c r="DK64" i="3"/>
  <c r="DJ64" i="3"/>
  <c r="DI64" i="3"/>
  <c r="DF64" i="3"/>
  <c r="DE64" i="3"/>
  <c r="DD64" i="3"/>
  <c r="DC64" i="3"/>
  <c r="DB64" i="3"/>
  <c r="DA64" i="3"/>
  <c r="CZ64" i="3"/>
  <c r="CY64" i="3"/>
  <c r="CV64" i="3"/>
  <c r="CU64" i="3"/>
  <c r="CT64" i="3"/>
  <c r="CS64" i="3"/>
  <c r="CR64" i="3"/>
  <c r="CQ64" i="3"/>
  <c r="CN64" i="3"/>
  <c r="CM64" i="3"/>
  <c r="CL64" i="3"/>
  <c r="CK64" i="3"/>
  <c r="CJ64" i="3"/>
  <c r="CI64" i="3"/>
  <c r="CH64" i="3"/>
  <c r="CE64" i="3"/>
  <c r="CD64" i="3"/>
  <c r="CC64" i="3"/>
  <c r="CB64" i="3"/>
  <c r="CA64" i="3"/>
  <c r="BZ64" i="3"/>
  <c r="BY64" i="3"/>
  <c r="BV64" i="3"/>
  <c r="BU64" i="3"/>
  <c r="BT64" i="3"/>
  <c r="BS64" i="3"/>
  <c r="BR64" i="3"/>
  <c r="BQ64" i="3"/>
  <c r="BO64" i="3"/>
  <c r="BN64" i="3"/>
  <c r="BM64" i="3"/>
  <c r="BL64" i="3"/>
  <c r="BK64" i="3"/>
  <c r="BJ64" i="3"/>
  <c r="BI64" i="3"/>
  <c r="BH64" i="3"/>
  <c r="BG64" i="3"/>
  <c r="BF64" i="3"/>
  <c r="BE64" i="3"/>
  <c r="BD64" i="3"/>
  <c r="BC64" i="3"/>
  <c r="BB64" i="3"/>
  <c r="BA64" i="3"/>
  <c r="AZ64" i="3"/>
  <c r="AY64" i="3"/>
  <c r="AY77" i="3" s="1"/>
  <c r="AX64" i="3"/>
  <c r="AW64" i="3"/>
  <c r="AV64" i="3"/>
  <c r="AV77" i="3" s="1"/>
  <c r="AU64" i="3"/>
  <c r="AT64" i="3"/>
  <c r="AS64" i="3"/>
  <c r="AR64" i="3"/>
  <c r="AQ64" i="3"/>
  <c r="AQ77" i="3" s="1"/>
  <c r="AP64" i="3"/>
  <c r="AO64" i="3"/>
  <c r="S64" i="3"/>
  <c r="AG64" i="3"/>
  <c r="AF64" i="3"/>
  <c r="AE64" i="3"/>
  <c r="AD64" i="3"/>
  <c r="AC64" i="3"/>
  <c r="AB64" i="3"/>
  <c r="AB77" i="3" s="1"/>
  <c r="AA64" i="3"/>
  <c r="Z64" i="3"/>
  <c r="Y64" i="3"/>
  <c r="X64" i="3"/>
  <c r="W64" i="3"/>
  <c r="V64" i="3"/>
  <c r="U64" i="3"/>
  <c r="T64" i="3"/>
  <c r="T77" i="3" s="1"/>
  <c r="AN64" i="3"/>
  <c r="AM64" i="3"/>
  <c r="AL64" i="3"/>
  <c r="AK64" i="3"/>
  <c r="AJ64" i="3"/>
  <c r="AH64" i="3"/>
  <c r="AI64" i="3"/>
  <c r="R61" i="3"/>
  <c r="R60" i="3"/>
  <c r="P63" i="3"/>
  <c r="P46" i="3"/>
  <c r="L46" i="3"/>
  <c r="K46" i="3"/>
  <c r="J46" i="3"/>
  <c r="I46" i="3"/>
  <c r="H46" i="3"/>
  <c r="G46" i="3"/>
  <c r="F46" i="3"/>
  <c r="EU34" i="3"/>
  <c r="H62" i="3"/>
  <c r="G62" i="3"/>
  <c r="H56" i="3"/>
  <c r="G56" i="3"/>
  <c r="H55" i="3"/>
  <c r="G55" i="3"/>
  <c r="H54" i="3"/>
  <c r="G54" i="3"/>
  <c r="H52" i="3"/>
  <c r="G52" i="3"/>
  <c r="H51" i="3"/>
  <c r="G51" i="3"/>
  <c r="H50" i="3"/>
  <c r="G50" i="3"/>
  <c r="H48" i="3"/>
  <c r="G48" i="3"/>
  <c r="H45" i="3"/>
  <c r="G45" i="3"/>
  <c r="H43" i="3"/>
  <c r="G43" i="3"/>
  <c r="L56" i="3"/>
  <c r="K56" i="3"/>
  <c r="J56" i="3"/>
  <c r="I56" i="3"/>
  <c r="F56" i="3"/>
  <c r="L55" i="3"/>
  <c r="K55" i="3"/>
  <c r="J55" i="3"/>
  <c r="I55" i="3"/>
  <c r="F55" i="3"/>
  <c r="L54" i="3"/>
  <c r="K54" i="3"/>
  <c r="J54" i="3"/>
  <c r="I54" i="3"/>
  <c r="F54" i="3"/>
  <c r="L48" i="3"/>
  <c r="K48" i="3"/>
  <c r="J48" i="3"/>
  <c r="I48" i="3"/>
  <c r="F48" i="3"/>
  <c r="S37" i="3"/>
  <c r="S38" i="3" s="1"/>
  <c r="S66" i="3" s="1"/>
  <c r="AN77" i="3" l="1"/>
  <c r="AA77" i="3"/>
  <c r="AG77" i="3"/>
  <c r="AM77" i="3"/>
  <c r="Z77" i="3"/>
  <c r="Q73" i="3"/>
  <c r="Q72" i="3"/>
  <c r="Q70" i="3"/>
  <c r="Q76" i="3"/>
  <c r="Q55" i="3"/>
  <c r="Q47" i="3"/>
  <c r="Q45" i="3"/>
  <c r="Q56" i="3"/>
  <c r="Q54" i="3"/>
  <c r="Q46" i="3"/>
  <c r="Q57" i="3"/>
  <c r="Q53" i="3"/>
  <c r="Q43" i="3"/>
  <c r="Q52" i="3"/>
  <c r="Q49" i="3"/>
  <c r="Q51" i="3"/>
  <c r="Q48" i="3"/>
  <c r="Q50" i="3"/>
  <c r="Q64" i="3"/>
  <c r="AE77" i="3"/>
  <c r="AT77" i="3"/>
  <c r="BB77" i="3"/>
  <c r="W77" i="3"/>
  <c r="AJ77" i="3"/>
  <c r="AH77" i="3"/>
  <c r="V77" i="3"/>
  <c r="AD77" i="3"/>
  <c r="AC77" i="3"/>
  <c r="X77" i="3"/>
  <c r="AF77" i="3"/>
  <c r="AO77" i="3"/>
  <c r="AZ77" i="3"/>
  <c r="AR77" i="3"/>
  <c r="AS77" i="3"/>
  <c r="BA77" i="3"/>
  <c r="AU77" i="3"/>
  <c r="AP77" i="3"/>
  <c r="AX77" i="3"/>
  <c r="U77" i="3"/>
  <c r="AW77" i="3"/>
  <c r="EU77" i="3"/>
  <c r="AL77" i="3"/>
  <c r="Y77" i="3"/>
  <c r="AI77" i="3"/>
  <c r="AK77" i="3"/>
  <c r="R58" i="3"/>
  <c r="R59" i="3"/>
  <c r="S2" i="3"/>
  <c r="GK34" i="3"/>
  <c r="GK77" i="3"/>
  <c r="T1" i="3"/>
  <c r="T2" i="3" l="1"/>
  <c r="T65" i="3"/>
  <c r="U1" i="3"/>
  <c r="T37" i="3"/>
  <c r="T38" i="3" s="1"/>
  <c r="T66" i="3" s="1"/>
  <c r="P6" i="3"/>
  <c r="P8" i="3"/>
  <c r="U37" i="3" l="1"/>
  <c r="U38" i="3" s="1"/>
  <c r="U66" i="3" s="1"/>
  <c r="U65" i="3"/>
  <c r="V1" i="3"/>
  <c r="U2" i="3"/>
  <c r="N34"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5" i="3"/>
  <c r="K15" i="3"/>
  <c r="J15" i="3"/>
  <c r="I15" i="3"/>
  <c r="H15"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8" i="3"/>
  <c r="G28" i="3"/>
  <c r="G27" i="3"/>
  <c r="G26" i="3"/>
  <c r="G25" i="3"/>
  <c r="G24" i="3"/>
  <c r="G23" i="3"/>
  <c r="G22" i="3"/>
  <c r="G21" i="3"/>
  <c r="G20" i="3"/>
  <c r="G19" i="3"/>
  <c r="G18" i="3"/>
  <c r="G17" i="3"/>
  <c r="G16" i="3"/>
  <c r="G15" i="3"/>
  <c r="G14" i="3"/>
  <c r="G13" i="3"/>
  <c r="G12" i="3"/>
  <c r="G10" i="3"/>
  <c r="G9" i="3"/>
  <c r="G8" i="3"/>
  <c r="G7" i="3"/>
  <c r="F27" i="3"/>
  <c r="F26" i="3"/>
  <c r="F25" i="3"/>
  <c r="F24" i="3"/>
  <c r="F23" i="3"/>
  <c r="F22" i="3"/>
  <c r="F21" i="3"/>
  <c r="F20" i="3"/>
  <c r="F19" i="3"/>
  <c r="F18" i="3"/>
  <c r="F17" i="3"/>
  <c r="F16" i="3"/>
  <c r="F15" i="3"/>
  <c r="F14" i="3"/>
  <c r="F13" i="3"/>
  <c r="F12" i="3"/>
  <c r="F10" i="3"/>
  <c r="F9" i="3"/>
  <c r="F8" i="3"/>
  <c r="X34" i="3"/>
  <c r="F7" i="3"/>
  <c r="P7" i="3"/>
  <c r="P9" i="3"/>
  <c r="P10" i="3"/>
  <c r="P12" i="3"/>
  <c r="P13" i="3"/>
  <c r="P14" i="3"/>
  <c r="P15" i="3"/>
  <c r="P16" i="3"/>
  <c r="P17" i="3"/>
  <c r="P18" i="3"/>
  <c r="P19" i="3"/>
  <c r="P20" i="3"/>
  <c r="P21" i="3"/>
  <c r="P22" i="3"/>
  <c r="P23" i="3"/>
  <c r="P24" i="3"/>
  <c r="P25" i="3"/>
  <c r="P26" i="3"/>
  <c r="P27" i="3"/>
  <c r="P28" i="3"/>
  <c r="P33" i="3"/>
  <c r="O34" i="3"/>
  <c r="S34" i="3"/>
  <c r="T34" i="3"/>
  <c r="U34" i="3"/>
  <c r="V34" i="3"/>
  <c r="W34" i="3"/>
  <c r="Y34" i="3"/>
  <c r="Z34" i="3"/>
  <c r="AA34" i="3"/>
  <c r="AB34" i="3"/>
  <c r="AC34" i="3"/>
  <c r="AD34" i="3"/>
  <c r="AE34" i="3"/>
  <c r="AF34" i="3"/>
  <c r="AG34" i="3"/>
  <c r="AH34" i="3"/>
  <c r="AI34" i="3"/>
  <c r="AJ34" i="3"/>
  <c r="AK34" i="3"/>
  <c r="AL34" i="3"/>
  <c r="AM34" i="3"/>
  <c r="AN34" i="3"/>
  <c r="AO34" i="3"/>
  <c r="AP34" i="3"/>
  <c r="AQ34" i="3"/>
  <c r="AR34" i="3"/>
  <c r="AS34" i="3"/>
  <c r="AT34" i="3"/>
  <c r="AU34" i="3"/>
  <c r="AV34" i="3"/>
  <c r="AW34" i="3"/>
  <c r="AX34" i="3"/>
  <c r="AY34" i="3"/>
  <c r="AZ34" i="3"/>
  <c r="BA34" i="3"/>
  <c r="BB34" i="3"/>
  <c r="BC34" i="3"/>
  <c r="BD34" i="3"/>
  <c r="BE34" i="3"/>
  <c r="BF34" i="3"/>
  <c r="BG34" i="3"/>
  <c r="BH34" i="3"/>
  <c r="BI34" i="3"/>
  <c r="BJ34" i="3"/>
  <c r="BK34" i="3"/>
  <c r="BL34" i="3"/>
  <c r="BM34" i="3"/>
  <c r="BN34" i="3"/>
  <c r="BO34" i="3"/>
  <c r="BQ34" i="3"/>
  <c r="BR34" i="3"/>
  <c r="BS34" i="3"/>
  <c r="BT34" i="3"/>
  <c r="BU34" i="3"/>
  <c r="BV34" i="3"/>
  <c r="BZ34" i="3"/>
  <c r="CA34" i="3"/>
  <c r="CB34" i="3"/>
  <c r="CC34" i="3"/>
  <c r="CD34" i="3"/>
  <c r="CE34" i="3"/>
  <c r="CI34" i="3"/>
  <c r="CJ34" i="3"/>
  <c r="CK34" i="3"/>
  <c r="CL34" i="3"/>
  <c r="CM34" i="3"/>
  <c r="CN34" i="3"/>
  <c r="CR34" i="3"/>
  <c r="CS34" i="3"/>
  <c r="CT34" i="3"/>
  <c r="CU34" i="3"/>
  <c r="CV34" i="3"/>
  <c r="CY34" i="3"/>
  <c r="DA34" i="3"/>
  <c r="DB34" i="3"/>
  <c r="DC34" i="3"/>
  <c r="DD34" i="3"/>
  <c r="DE34" i="3"/>
  <c r="DF34" i="3"/>
  <c r="DJ34" i="3"/>
  <c r="DK34" i="3"/>
  <c r="DL34" i="3"/>
  <c r="DM34" i="3"/>
  <c r="DN34" i="3"/>
  <c r="DO34" i="3"/>
  <c r="DS34" i="3"/>
  <c r="DT34" i="3"/>
  <c r="DU34" i="3"/>
  <c r="DV34" i="3"/>
  <c r="DW34" i="3"/>
  <c r="DZ34" i="3"/>
  <c r="EB34" i="3"/>
  <c r="EC34" i="3"/>
  <c r="ED34" i="3"/>
  <c r="EE34" i="3"/>
  <c r="EF34" i="3"/>
  <c r="EH34" i="3"/>
  <c r="EI34" i="3"/>
  <c r="EJ34" i="3"/>
  <c r="EK34" i="3"/>
  <c r="EL34" i="3"/>
  <c r="EM34" i="3"/>
  <c r="EN34" i="3"/>
  <c r="EO34" i="3"/>
  <c r="EP34" i="3"/>
  <c r="EQ34" i="3"/>
  <c r="ER34" i="3"/>
  <c r="ES34" i="3"/>
  <c r="ET34" i="3"/>
  <c r="EV34" i="3"/>
  <c r="EW34" i="3"/>
  <c r="EX34" i="3"/>
  <c r="EY34" i="3"/>
  <c r="EZ34" i="3"/>
  <c r="FA34" i="3"/>
  <c r="FB34" i="3"/>
  <c r="FC34" i="3"/>
  <c r="FD34" i="3"/>
  <c r="FE34" i="3"/>
  <c r="FF34" i="3"/>
  <c r="FG34" i="3"/>
  <c r="FH34" i="3"/>
  <c r="FI34" i="3"/>
  <c r="FJ34" i="3"/>
  <c r="FK34" i="3"/>
  <c r="FL34" i="3"/>
  <c r="FM34" i="3"/>
  <c r="FN34" i="3"/>
  <c r="FO34" i="3"/>
  <c r="FP34" i="3"/>
  <c r="FQ34" i="3"/>
  <c r="FR34" i="3"/>
  <c r="FS34" i="3"/>
  <c r="FT34" i="3"/>
  <c r="FU34" i="3"/>
  <c r="FV34" i="3"/>
  <c r="FW34" i="3"/>
  <c r="FX34" i="3"/>
  <c r="FY34" i="3"/>
  <c r="FZ34" i="3"/>
  <c r="GA34" i="3"/>
  <c r="GB34" i="3"/>
  <c r="GC34" i="3"/>
  <c r="GD34" i="3"/>
  <c r="GE34" i="3"/>
  <c r="GF34" i="3"/>
  <c r="GG34" i="3"/>
  <c r="GH34" i="3"/>
  <c r="GI34" i="3"/>
  <c r="GJ34" i="3"/>
  <c r="GL34" i="3"/>
  <c r="GM34" i="3"/>
  <c r="GN34" i="3"/>
  <c r="GO34" i="3"/>
  <c r="GP34" i="3"/>
  <c r="GQ34" i="3"/>
  <c r="GS34" i="3"/>
  <c r="GT34" i="3"/>
  <c r="GU34" i="3"/>
  <c r="GV34" i="3"/>
  <c r="GW34" i="3"/>
  <c r="GX34" i="3"/>
  <c r="GY34" i="3"/>
  <c r="GZ34" i="3"/>
  <c r="HA34" i="3"/>
  <c r="HB34" i="3"/>
  <c r="HC34" i="3"/>
  <c r="HD34" i="3"/>
  <c r="HE34" i="3"/>
  <c r="HF34" i="3"/>
  <c r="HG34" i="3"/>
  <c r="HH34" i="3"/>
  <c r="HI34" i="3"/>
  <c r="HJ34" i="3"/>
  <c r="HK34" i="3"/>
  <c r="HL34" i="3"/>
  <c r="HM34" i="3"/>
  <c r="HN34" i="3"/>
  <c r="HO34" i="3"/>
  <c r="HP34" i="3"/>
  <c r="HQ34" i="3"/>
  <c r="HR34" i="3"/>
  <c r="HS34" i="3"/>
  <c r="HT34" i="3"/>
  <c r="HU34" i="3"/>
  <c r="HV34" i="3"/>
  <c r="HW34" i="3"/>
  <c r="HX34" i="3"/>
  <c r="HY34" i="3"/>
  <c r="HZ34" i="3"/>
  <c r="IA34" i="3"/>
  <c r="IB34" i="3"/>
  <c r="IC34" i="3"/>
  <c r="ID34" i="3"/>
  <c r="IE34" i="3"/>
  <c r="IF34" i="3"/>
  <c r="IG34" i="3"/>
  <c r="IH34" i="3"/>
  <c r="II34" i="3"/>
  <c r="IJ34" i="3"/>
  <c r="IK34" i="3"/>
  <c r="IL34" i="3"/>
  <c r="IM34" i="3"/>
  <c r="IN34" i="3"/>
  <c r="IO34" i="3"/>
  <c r="IP34" i="3"/>
  <c r="IQ34" i="3"/>
  <c r="IR34" i="3"/>
  <c r="IS34" i="3"/>
  <c r="IT34" i="3"/>
  <c r="IU34" i="3"/>
  <c r="IV34" i="3"/>
  <c r="IW34" i="3"/>
  <c r="IX34" i="3"/>
  <c r="IY34" i="3"/>
  <c r="IZ34" i="3"/>
  <c r="JA34" i="3"/>
  <c r="JB34" i="3"/>
  <c r="JC34" i="3"/>
  <c r="JD34" i="3"/>
  <c r="JE34" i="3"/>
  <c r="JF34" i="3"/>
  <c r="JG34" i="3"/>
  <c r="JH34" i="3"/>
  <c r="JI34" i="3"/>
  <c r="JJ34" i="3"/>
  <c r="JK34" i="3"/>
  <c r="JL34" i="3"/>
  <c r="JM34" i="3"/>
  <c r="JN34" i="3"/>
  <c r="JO34" i="3"/>
  <c r="JP34" i="3"/>
  <c r="JQ34" i="3"/>
  <c r="JR34" i="3"/>
  <c r="JS34" i="3"/>
  <c r="JT34" i="3"/>
  <c r="JU34" i="3"/>
  <c r="JV34" i="3"/>
  <c r="JW34" i="3"/>
  <c r="JX34" i="3"/>
  <c r="JY34" i="3"/>
  <c r="JZ34" i="3"/>
  <c r="KA34" i="3"/>
  <c r="KB34" i="3"/>
  <c r="KC34" i="3"/>
  <c r="KD34" i="3"/>
  <c r="KE34" i="3"/>
  <c r="KF34" i="3"/>
  <c r="KG34" i="3"/>
  <c r="KH34" i="3"/>
  <c r="KI34" i="3"/>
  <c r="KJ34" i="3"/>
  <c r="KK34" i="3"/>
  <c r="KL34" i="3"/>
  <c r="KM34" i="3"/>
  <c r="KN34" i="3"/>
  <c r="KO34" i="3"/>
  <c r="KP34" i="3"/>
  <c r="KQ34" i="3"/>
  <c r="KR34" i="3"/>
  <c r="KS34" i="3"/>
  <c r="KT34" i="3"/>
  <c r="KU34" i="3"/>
  <c r="KV34" i="3"/>
  <c r="KW34" i="3"/>
  <c r="KX34" i="3"/>
  <c r="KY34" i="3"/>
  <c r="KZ34" i="3"/>
  <c r="LA34" i="3"/>
  <c r="LB34" i="3"/>
  <c r="LC34" i="3"/>
  <c r="LD34" i="3"/>
  <c r="LE34" i="3"/>
  <c r="LF34" i="3"/>
  <c r="LG34" i="3"/>
  <c r="LH34" i="3"/>
  <c r="LI34" i="3"/>
  <c r="LJ34" i="3"/>
  <c r="LK34" i="3"/>
  <c r="LL34" i="3"/>
  <c r="LM34" i="3"/>
  <c r="LN34" i="3"/>
  <c r="LO34" i="3"/>
  <c r="LP34" i="3"/>
  <c r="LQ34" i="3"/>
  <c r="LR34" i="3"/>
  <c r="LS34" i="3"/>
  <c r="LT34" i="3"/>
  <c r="LU34" i="3"/>
  <c r="LV34" i="3"/>
  <c r="LW34" i="3"/>
  <c r="LX34" i="3"/>
  <c r="LY34" i="3"/>
  <c r="LZ34" i="3"/>
  <c r="MA34" i="3"/>
  <c r="MB34" i="3"/>
  <c r="MC34" i="3"/>
  <c r="MD34" i="3"/>
  <c r="ME34" i="3"/>
  <c r="MF34" i="3"/>
  <c r="MG34" i="3"/>
  <c r="MH34" i="3"/>
  <c r="MI34" i="3"/>
  <c r="MJ34" i="3"/>
  <c r="P35" i="3"/>
  <c r="P42" i="3"/>
  <c r="F43" i="3"/>
  <c r="I43" i="3"/>
  <c r="J43" i="3"/>
  <c r="K43" i="3"/>
  <c r="L43" i="3"/>
  <c r="P43" i="3"/>
  <c r="F45" i="3"/>
  <c r="I45" i="3"/>
  <c r="J45" i="3"/>
  <c r="K45" i="3"/>
  <c r="L45" i="3"/>
  <c r="P45" i="3"/>
  <c r="P48" i="3"/>
  <c r="F50" i="3"/>
  <c r="I50" i="3"/>
  <c r="J50" i="3"/>
  <c r="K50" i="3"/>
  <c r="L50" i="3"/>
  <c r="P50" i="3"/>
  <c r="F51" i="3"/>
  <c r="I51" i="3"/>
  <c r="J51" i="3"/>
  <c r="K51" i="3"/>
  <c r="L51" i="3"/>
  <c r="P51" i="3"/>
  <c r="F52" i="3"/>
  <c r="I52" i="3"/>
  <c r="J52" i="3"/>
  <c r="K52" i="3"/>
  <c r="L52" i="3"/>
  <c r="P52" i="3"/>
  <c r="P54" i="3"/>
  <c r="P55" i="3"/>
  <c r="P56" i="3"/>
  <c r="P58" i="3"/>
  <c r="P59" i="3"/>
  <c r="P60" i="3"/>
  <c r="P61" i="3"/>
  <c r="F62" i="3"/>
  <c r="I62" i="3"/>
  <c r="J62" i="3"/>
  <c r="K62" i="3"/>
  <c r="L62" i="3"/>
  <c r="P62" i="3"/>
  <c r="F68" i="3"/>
  <c r="I68" i="3"/>
  <c r="J68" i="3"/>
  <c r="K68" i="3"/>
  <c r="L68" i="3"/>
  <c r="P68" i="3"/>
  <c r="F69" i="3"/>
  <c r="I69" i="3"/>
  <c r="J69" i="3"/>
  <c r="K69" i="3"/>
  <c r="L69" i="3"/>
  <c r="P69" i="3"/>
  <c r="P70" i="3"/>
  <c r="F71" i="3"/>
  <c r="I71" i="3"/>
  <c r="J71" i="3"/>
  <c r="K71" i="3"/>
  <c r="L71" i="3"/>
  <c r="P71" i="3"/>
  <c r="F72" i="3"/>
  <c r="I72" i="3"/>
  <c r="J72" i="3"/>
  <c r="K72" i="3"/>
  <c r="L72" i="3"/>
  <c r="P72" i="3"/>
  <c r="F73" i="3"/>
  <c r="I73" i="3"/>
  <c r="J73" i="3"/>
  <c r="K73" i="3"/>
  <c r="L73" i="3"/>
  <c r="P73" i="3"/>
  <c r="P74" i="3"/>
  <c r="S76" i="3"/>
  <c r="S77" i="3" s="1"/>
  <c r="BC77" i="3"/>
  <c r="BD77" i="3"/>
  <c r="BE77" i="3"/>
  <c r="BF77" i="3"/>
  <c r="BG77" i="3"/>
  <c r="BH77" i="3"/>
  <c r="BI77" i="3"/>
  <c r="BJ77" i="3"/>
  <c r="BK77" i="3"/>
  <c r="BL77" i="3"/>
  <c r="BM77" i="3"/>
  <c r="BN77" i="3"/>
  <c r="BO77" i="3"/>
  <c r="BQ77" i="3"/>
  <c r="BR77" i="3"/>
  <c r="BS77" i="3"/>
  <c r="BT77" i="3"/>
  <c r="BU77" i="3"/>
  <c r="BV77" i="3"/>
  <c r="BY77" i="3"/>
  <c r="BZ77" i="3"/>
  <c r="CA77" i="3"/>
  <c r="CB77" i="3"/>
  <c r="CC77" i="3"/>
  <c r="CD77" i="3"/>
  <c r="CE77" i="3"/>
  <c r="CH77" i="3"/>
  <c r="CI77" i="3"/>
  <c r="CJ77" i="3"/>
  <c r="CK77" i="3"/>
  <c r="CL77" i="3"/>
  <c r="CM77" i="3"/>
  <c r="CN77" i="3"/>
  <c r="CQ77" i="3"/>
  <c r="CR77" i="3"/>
  <c r="CS77" i="3"/>
  <c r="CT77" i="3"/>
  <c r="CU77" i="3"/>
  <c r="CV77" i="3"/>
  <c r="CY77" i="3"/>
  <c r="CZ77" i="3"/>
  <c r="DA77" i="3"/>
  <c r="DB77" i="3"/>
  <c r="DC77" i="3"/>
  <c r="DD77" i="3"/>
  <c r="DE77" i="3"/>
  <c r="DF77" i="3"/>
  <c r="DI77" i="3"/>
  <c r="DJ77" i="3"/>
  <c r="DK77" i="3"/>
  <c r="DL77" i="3"/>
  <c r="DM77" i="3"/>
  <c r="DN77" i="3"/>
  <c r="DO77" i="3"/>
  <c r="DR77" i="3"/>
  <c r="DS77" i="3"/>
  <c r="DT77" i="3"/>
  <c r="DU77" i="3"/>
  <c r="DV77" i="3"/>
  <c r="DW77" i="3"/>
  <c r="DZ77" i="3"/>
  <c r="EA77" i="3"/>
  <c r="EB77" i="3"/>
  <c r="EC77" i="3"/>
  <c r="ED77" i="3"/>
  <c r="EE77" i="3"/>
  <c r="EF77" i="3"/>
  <c r="EG77" i="3"/>
  <c r="EH77" i="3"/>
  <c r="EI77" i="3"/>
  <c r="EJ77" i="3"/>
  <c r="EK77" i="3"/>
  <c r="EL77" i="3"/>
  <c r="EM77" i="3"/>
  <c r="EN77" i="3"/>
  <c r="EO77" i="3"/>
  <c r="EP77" i="3"/>
  <c r="EQ77" i="3"/>
  <c r="ER77" i="3"/>
  <c r="ES77" i="3"/>
  <c r="ET77" i="3"/>
  <c r="EV77" i="3"/>
  <c r="EW77" i="3"/>
  <c r="EX77" i="3"/>
  <c r="EY77" i="3"/>
  <c r="EZ77" i="3"/>
  <c r="FA77" i="3"/>
  <c r="FB77" i="3"/>
  <c r="FC77" i="3"/>
  <c r="FD77" i="3"/>
  <c r="FE77" i="3"/>
  <c r="FF77" i="3"/>
  <c r="FG77" i="3"/>
  <c r="FH77" i="3"/>
  <c r="FI77" i="3"/>
  <c r="FJ77" i="3"/>
  <c r="FK77" i="3"/>
  <c r="FL77" i="3"/>
  <c r="FM77" i="3"/>
  <c r="FN77" i="3"/>
  <c r="FO77" i="3"/>
  <c r="FP77" i="3"/>
  <c r="FQ77" i="3"/>
  <c r="FR77" i="3"/>
  <c r="FS77" i="3"/>
  <c r="FT77" i="3"/>
  <c r="FU77" i="3"/>
  <c r="FV77" i="3"/>
  <c r="FW77" i="3"/>
  <c r="FX77" i="3"/>
  <c r="FY77" i="3"/>
  <c r="FZ77" i="3"/>
  <c r="GA77" i="3"/>
  <c r="GB77" i="3"/>
  <c r="GC77" i="3"/>
  <c r="GD77" i="3"/>
  <c r="GE77" i="3"/>
  <c r="GF77" i="3"/>
  <c r="GG77" i="3"/>
  <c r="GH77" i="3"/>
  <c r="GI77" i="3"/>
  <c r="GJ77" i="3"/>
  <c r="GL77" i="3"/>
  <c r="GM77" i="3"/>
  <c r="GN77" i="3"/>
  <c r="GO77" i="3"/>
  <c r="GP77" i="3"/>
  <c r="GQ77" i="3"/>
  <c r="GR77" i="3"/>
  <c r="GS77" i="3"/>
  <c r="GT77" i="3"/>
  <c r="GU77" i="3"/>
  <c r="GV77" i="3"/>
  <c r="GW77" i="3"/>
  <c r="GX77" i="3"/>
  <c r="GY77" i="3"/>
  <c r="GZ77" i="3"/>
  <c r="HA77" i="3"/>
  <c r="HB77" i="3"/>
  <c r="HC77" i="3"/>
  <c r="HD77" i="3"/>
  <c r="HE77" i="3"/>
  <c r="HF77" i="3"/>
  <c r="HG77" i="3"/>
  <c r="HH77" i="3"/>
  <c r="HI77" i="3"/>
  <c r="HJ77" i="3"/>
  <c r="HK77" i="3"/>
  <c r="HL77" i="3"/>
  <c r="HM77" i="3"/>
  <c r="HN77" i="3"/>
  <c r="HO77" i="3"/>
  <c r="HP77" i="3"/>
  <c r="HQ77" i="3"/>
  <c r="HR77" i="3"/>
  <c r="HS77" i="3"/>
  <c r="HT77" i="3"/>
  <c r="HU77" i="3"/>
  <c r="HV77" i="3"/>
  <c r="HW77" i="3"/>
  <c r="HX77" i="3"/>
  <c r="HY77" i="3"/>
  <c r="HZ77" i="3"/>
  <c r="IA77" i="3"/>
  <c r="IB77" i="3"/>
  <c r="IC77" i="3"/>
  <c r="ID77" i="3"/>
  <c r="IE77" i="3"/>
  <c r="IF77" i="3"/>
  <c r="IG77" i="3"/>
  <c r="IH77" i="3"/>
  <c r="II77" i="3"/>
  <c r="IJ77" i="3"/>
  <c r="IK77" i="3"/>
  <c r="IL77" i="3"/>
  <c r="IM77" i="3"/>
  <c r="IN77" i="3"/>
  <c r="IO77" i="3"/>
  <c r="IP77" i="3"/>
  <c r="IQ77" i="3"/>
  <c r="IR77" i="3"/>
  <c r="IS77" i="3"/>
  <c r="IT77" i="3"/>
  <c r="IU77" i="3"/>
  <c r="IV77" i="3"/>
  <c r="IW77" i="3"/>
  <c r="IX77" i="3"/>
  <c r="IY77" i="3"/>
  <c r="IZ77" i="3"/>
  <c r="JA77" i="3"/>
  <c r="JB77" i="3"/>
  <c r="JC77" i="3"/>
  <c r="JD77" i="3"/>
  <c r="JE77" i="3"/>
  <c r="JF77" i="3"/>
  <c r="JG77" i="3"/>
  <c r="JH77" i="3"/>
  <c r="JI77" i="3"/>
  <c r="JJ77" i="3"/>
  <c r="JK77" i="3"/>
  <c r="JL77" i="3"/>
  <c r="JM77" i="3"/>
  <c r="JN77" i="3"/>
  <c r="JO77" i="3"/>
  <c r="JP77" i="3"/>
  <c r="JQ77" i="3"/>
  <c r="JR77" i="3"/>
  <c r="JS77" i="3"/>
  <c r="JT77" i="3"/>
  <c r="JU77" i="3"/>
  <c r="JV77" i="3"/>
  <c r="JW77" i="3"/>
  <c r="JX77" i="3"/>
  <c r="JY77" i="3"/>
  <c r="JZ77" i="3"/>
  <c r="KA77" i="3"/>
  <c r="KB77" i="3"/>
  <c r="KC77" i="3"/>
  <c r="KD77" i="3"/>
  <c r="KE77" i="3"/>
  <c r="KF77" i="3"/>
  <c r="KG77" i="3"/>
  <c r="KH77" i="3"/>
  <c r="KI77" i="3"/>
  <c r="KJ77" i="3"/>
  <c r="KK77" i="3"/>
  <c r="KL77" i="3"/>
  <c r="KM77" i="3"/>
  <c r="KN77" i="3"/>
  <c r="KO77" i="3"/>
  <c r="KP77" i="3"/>
  <c r="KQ77" i="3"/>
  <c r="KR77" i="3"/>
  <c r="KS77" i="3"/>
  <c r="KT77" i="3"/>
  <c r="KU77" i="3"/>
  <c r="KV77" i="3"/>
  <c r="KW77" i="3"/>
  <c r="KX77" i="3"/>
  <c r="KY77" i="3"/>
  <c r="KZ77" i="3"/>
  <c r="LA77" i="3"/>
  <c r="LB77" i="3"/>
  <c r="LC77" i="3"/>
  <c r="LD77" i="3"/>
  <c r="LE77" i="3"/>
  <c r="LF77" i="3"/>
  <c r="LG77" i="3"/>
  <c r="LH77" i="3"/>
  <c r="LI77" i="3"/>
  <c r="LJ77" i="3"/>
  <c r="LK77" i="3"/>
  <c r="LL77" i="3"/>
  <c r="LM77" i="3"/>
  <c r="LN77" i="3"/>
  <c r="LO77" i="3"/>
  <c r="LP77" i="3"/>
  <c r="LQ77" i="3"/>
  <c r="LR77" i="3"/>
  <c r="LS77" i="3"/>
  <c r="LT77" i="3"/>
  <c r="LU77" i="3"/>
  <c r="LV77" i="3"/>
  <c r="LW77" i="3"/>
  <c r="LX77" i="3"/>
  <c r="LY77" i="3"/>
  <c r="LZ77" i="3"/>
  <c r="MA77" i="3"/>
  <c r="MB77" i="3"/>
  <c r="MC77" i="3"/>
  <c r="MD77" i="3"/>
  <c r="ME77" i="3"/>
  <c r="MF77" i="3"/>
  <c r="MG77" i="3"/>
  <c r="MH77" i="3"/>
  <c r="MI77" i="3"/>
  <c r="MJ77" i="3"/>
  <c r="P80" i="3"/>
  <c r="P81" i="3"/>
  <c r="P82" i="3"/>
  <c r="P83" i="3"/>
  <c r="P84" i="3"/>
  <c r="P85" i="3"/>
  <c r="P86" i="3"/>
  <c r="Q30" i="3" l="1"/>
  <c r="Q32" i="3"/>
  <c r="Q23" i="3"/>
  <c r="Q15" i="3"/>
  <c r="Q11" i="3"/>
  <c r="Q24" i="3"/>
  <c r="Q22" i="3"/>
  <c r="Q14" i="3"/>
  <c r="Q28" i="3"/>
  <c r="Q18" i="3"/>
  <c r="Q9" i="3"/>
  <c r="Q7" i="3"/>
  <c r="Q21" i="3"/>
  <c r="Q13" i="3"/>
  <c r="Q20" i="3"/>
  <c r="Q10" i="3"/>
  <c r="Q17" i="3"/>
  <c r="Q29" i="3"/>
  <c r="Q12" i="3"/>
  <c r="Q19" i="3"/>
  <c r="Q26" i="3"/>
  <c r="Q16" i="3"/>
  <c r="Q34" i="3"/>
  <c r="Q84" i="3"/>
  <c r="Q80" i="3"/>
  <c r="R31" i="3"/>
  <c r="Q31" i="3" s="1"/>
  <c r="V37" i="3"/>
  <c r="V38" i="3" s="1"/>
  <c r="V66" i="3" s="1"/>
  <c r="V65" i="3"/>
  <c r="V2" i="3"/>
  <c r="W1" i="3"/>
  <c r="H34" i="3"/>
  <c r="G34" i="3"/>
  <c r="K34" i="3"/>
  <c r="L34" i="3"/>
  <c r="I34" i="3"/>
  <c r="F34" i="3"/>
  <c r="J34" i="3"/>
  <c r="R8" i="3"/>
  <c r="Q8" i="3" s="1"/>
  <c r="W37" i="3" l="1"/>
  <c r="W38" i="3" s="1"/>
  <c r="W66" i="3" s="1"/>
  <c r="W65" i="3"/>
  <c r="W2" i="3"/>
  <c r="X1" i="3"/>
  <c r="X37" i="3" l="1"/>
  <c r="X38" i="3" s="1"/>
  <c r="X66" i="3" s="1"/>
  <c r="X65" i="3"/>
  <c r="X2" i="3"/>
  <c r="Y1" i="3"/>
  <c r="Y2" i="3" s="1"/>
  <c r="Y37" i="3" l="1"/>
  <c r="Y38" i="3" s="1"/>
  <c r="Y66" i="3" s="1"/>
  <c r="Y65" i="3"/>
  <c r="Z1" i="3"/>
  <c r="Z37" i="3" l="1"/>
  <c r="Z38" i="3" s="1"/>
  <c r="Z66" i="3" s="1"/>
  <c r="Z65" i="3"/>
  <c r="Z2" i="3"/>
  <c r="AA1" i="3"/>
  <c r="AA37" i="3" l="1"/>
  <c r="AA38" i="3" s="1"/>
  <c r="AA66" i="3" s="1"/>
  <c r="AA65" i="3"/>
  <c r="AA2" i="3"/>
  <c r="AB1" i="3"/>
  <c r="AB37" i="3" l="1"/>
  <c r="AB38" i="3" s="1"/>
  <c r="AB66" i="3" s="1"/>
  <c r="AB65" i="3"/>
  <c r="AB2" i="3"/>
  <c r="AC1" i="3"/>
  <c r="AC37" i="3" l="1"/>
  <c r="AC38" i="3" s="1"/>
  <c r="AC66" i="3" s="1"/>
  <c r="AC65" i="3"/>
  <c r="AD1" i="3"/>
  <c r="AC2" i="3"/>
  <c r="AD37" i="3" l="1"/>
  <c r="AD38" i="3" s="1"/>
  <c r="AD66" i="3" s="1"/>
  <c r="AD65" i="3"/>
  <c r="AD2" i="3"/>
  <c r="AE1" i="3"/>
  <c r="AE37" i="3" l="1"/>
  <c r="AE38" i="3" s="1"/>
  <c r="AE66" i="3" s="1"/>
  <c r="AE65" i="3"/>
  <c r="AE2" i="3"/>
  <c r="AF1" i="3"/>
  <c r="AF37" i="3" l="1"/>
  <c r="AF38" i="3" s="1"/>
  <c r="AF66" i="3" s="1"/>
  <c r="AF65" i="3"/>
  <c r="AF2" i="3"/>
  <c r="AG1" i="3"/>
  <c r="AG37" i="3" l="1"/>
  <c r="AG38" i="3" s="1"/>
  <c r="AG66" i="3" s="1"/>
  <c r="AG65" i="3"/>
  <c r="AG2" i="3"/>
  <c r="AH1" i="3"/>
  <c r="AH37" i="3" l="1"/>
  <c r="AH38" i="3" s="1"/>
  <c r="AH66" i="3" s="1"/>
  <c r="AH65" i="3"/>
  <c r="AH2" i="3"/>
  <c r="AI1" i="3"/>
  <c r="AI37" i="3" l="1"/>
  <c r="AI38" i="3" s="1"/>
  <c r="AI66" i="3" s="1"/>
  <c r="AI65" i="3"/>
  <c r="AI2" i="3"/>
  <c r="AJ1" i="3"/>
  <c r="AJ37" i="3" l="1"/>
  <c r="AJ38" i="3" s="1"/>
  <c r="AJ66" i="3" s="1"/>
  <c r="AJ65" i="3"/>
  <c r="AJ2" i="3"/>
  <c r="AK1" i="3"/>
  <c r="AK37" i="3" l="1"/>
  <c r="AK38" i="3" s="1"/>
  <c r="AK66" i="3" s="1"/>
  <c r="AK65" i="3"/>
  <c r="AK2" i="3"/>
  <c r="AL1" i="3"/>
  <c r="AL37" i="3" l="1"/>
  <c r="AL38" i="3" s="1"/>
  <c r="AL66" i="3" s="1"/>
  <c r="AL65" i="3"/>
  <c r="AL2" i="3"/>
  <c r="AM1" i="3"/>
  <c r="AM37" i="3" l="1"/>
  <c r="AM38" i="3" s="1"/>
  <c r="AM66" i="3" s="1"/>
  <c r="AM65" i="3"/>
  <c r="AM2" i="3"/>
  <c r="AN1" i="3"/>
  <c r="AN37" i="3" l="1"/>
  <c r="AN38" i="3" s="1"/>
  <c r="AN66" i="3" s="1"/>
  <c r="AN65" i="3"/>
  <c r="AN2" i="3"/>
  <c r="AO1" i="3"/>
  <c r="AO37" i="3" l="1"/>
  <c r="AO38" i="3" s="1"/>
  <c r="AO66" i="3" s="1"/>
  <c r="AO65" i="3"/>
  <c r="AO2" i="3"/>
  <c r="AP1" i="3"/>
  <c r="AQ1" i="3" s="1"/>
  <c r="AP2" i="3" l="1"/>
  <c r="AQ37" i="3"/>
  <c r="AQ38" i="3" s="1"/>
  <c r="AQ66" i="3" s="1"/>
  <c r="AQ65" i="3"/>
  <c r="AP37" i="3"/>
  <c r="AP38" i="3" s="1"/>
  <c r="AP66" i="3" s="1"/>
  <c r="AP65" i="3"/>
  <c r="AR1" i="3"/>
  <c r="AQ2" i="3"/>
  <c r="AR37" i="3" l="1"/>
  <c r="AR38" i="3" s="1"/>
  <c r="AR66" i="3" s="1"/>
  <c r="AR65" i="3"/>
  <c r="AS1" i="3"/>
  <c r="AR2" i="3"/>
  <c r="AS37" i="3" l="1"/>
  <c r="AS38" i="3" s="1"/>
  <c r="AS66" i="3" s="1"/>
  <c r="AS65" i="3"/>
  <c r="AT1" i="3"/>
  <c r="AS2" i="3"/>
  <c r="AT37" i="3" l="1"/>
  <c r="AT38" i="3" s="1"/>
  <c r="AT66" i="3" s="1"/>
  <c r="AT65" i="3"/>
  <c r="AU1" i="3"/>
  <c r="AT2" i="3"/>
  <c r="AU37" i="3" l="1"/>
  <c r="AU38" i="3" s="1"/>
  <c r="AU66" i="3" s="1"/>
  <c r="AU65" i="3"/>
  <c r="AV1" i="3"/>
  <c r="AU2" i="3"/>
  <c r="AV37" i="3" l="1"/>
  <c r="AV38" i="3" s="1"/>
  <c r="AV66" i="3" s="1"/>
  <c r="AV65" i="3"/>
  <c r="AW1" i="3"/>
  <c r="AV2" i="3"/>
  <c r="AW37" i="3" l="1"/>
  <c r="AW38" i="3" s="1"/>
  <c r="AW66" i="3" s="1"/>
  <c r="AW65" i="3"/>
  <c r="AX1" i="3"/>
  <c r="AW2" i="3"/>
  <c r="AX37" i="3" l="1"/>
  <c r="AX38" i="3" s="1"/>
  <c r="AX66" i="3" s="1"/>
  <c r="AX65" i="3"/>
  <c r="AY1" i="3"/>
  <c r="AX2" i="3"/>
  <c r="AY37" i="3" l="1"/>
  <c r="AY38" i="3" s="1"/>
  <c r="AY66" i="3" s="1"/>
  <c r="AY65" i="3"/>
  <c r="AZ1" i="3"/>
  <c r="AY2" i="3"/>
  <c r="AZ37" i="3" l="1"/>
  <c r="AZ38" i="3" s="1"/>
  <c r="AZ66" i="3" s="1"/>
  <c r="AZ65" i="3"/>
  <c r="BA1" i="3"/>
  <c r="AZ2" i="3"/>
  <c r="BA37" i="3" l="1"/>
  <c r="BA38" i="3" s="1"/>
  <c r="BA66" i="3" s="1"/>
  <c r="BA65" i="3"/>
  <c r="BB1" i="3"/>
  <c r="BA2" i="3"/>
  <c r="BB37" i="3" l="1"/>
  <c r="BB38" i="3" s="1"/>
  <c r="BB66" i="3" s="1"/>
  <c r="BB65" i="3"/>
  <c r="BC1" i="3"/>
  <c r="BB2" i="3"/>
  <c r="BC37" i="3" l="1"/>
  <c r="BC38" i="3" s="1"/>
  <c r="BC66" i="3" s="1"/>
  <c r="BC65" i="3"/>
  <c r="BD1" i="3"/>
  <c r="BC2" i="3"/>
  <c r="BD37" i="3" l="1"/>
  <c r="BD38" i="3" s="1"/>
  <c r="BD66" i="3" s="1"/>
  <c r="BD65" i="3"/>
  <c r="BE1" i="3"/>
  <c r="BD2" i="3"/>
  <c r="BE37" i="3" l="1"/>
  <c r="BE38" i="3" s="1"/>
  <c r="BE66" i="3" s="1"/>
  <c r="BE65" i="3"/>
  <c r="BF1" i="3"/>
  <c r="BE2" i="3"/>
  <c r="BF37" i="3" l="1"/>
  <c r="BF38" i="3" s="1"/>
  <c r="BF66" i="3" s="1"/>
  <c r="BF65" i="3"/>
  <c r="BG1" i="3"/>
  <c r="BF2" i="3"/>
  <c r="BG37" i="3" l="1"/>
  <c r="BG38" i="3" s="1"/>
  <c r="BG66" i="3" s="1"/>
  <c r="BG65" i="3"/>
  <c r="BH1" i="3"/>
  <c r="BG2" i="3"/>
  <c r="BH37" i="3" l="1"/>
  <c r="BH38" i="3" s="1"/>
  <c r="BH66" i="3" s="1"/>
  <c r="BH65" i="3"/>
  <c r="BI1" i="3"/>
  <c r="BH2" i="3"/>
  <c r="BI37" i="3" l="1"/>
  <c r="BI38" i="3" s="1"/>
  <c r="BI66" i="3" s="1"/>
  <c r="BI65" i="3"/>
  <c r="BJ1" i="3"/>
  <c r="BI2" i="3"/>
  <c r="BJ37" i="3" l="1"/>
  <c r="BJ38" i="3" s="1"/>
  <c r="BJ66" i="3" s="1"/>
  <c r="BJ65" i="3"/>
  <c r="BK1" i="3"/>
  <c r="BJ2" i="3"/>
  <c r="BK37" i="3" l="1"/>
  <c r="BK38" i="3" s="1"/>
  <c r="BK66" i="3" s="1"/>
  <c r="BK65" i="3"/>
  <c r="BL1" i="3"/>
  <c r="BK2" i="3"/>
  <c r="BL37" i="3" l="1"/>
  <c r="BL38" i="3" s="1"/>
  <c r="BL66" i="3" s="1"/>
  <c r="BL65" i="3"/>
  <c r="BM1" i="3"/>
  <c r="BL2" i="3"/>
  <c r="BM37" i="3" l="1"/>
  <c r="BM38" i="3" s="1"/>
  <c r="BM66" i="3" s="1"/>
  <c r="BM65" i="3"/>
  <c r="BN1" i="3"/>
  <c r="BM2" i="3"/>
  <c r="BN37" i="3" l="1"/>
  <c r="BN38" i="3" s="1"/>
  <c r="BN66" i="3" s="1"/>
  <c r="BN65" i="3"/>
  <c r="BO1" i="3"/>
  <c r="BP1" i="3" s="1"/>
  <c r="BP65" i="3" s="1"/>
  <c r="BN2" i="3"/>
  <c r="BQ1" i="3" l="1"/>
  <c r="BP37" i="3"/>
  <c r="BO37" i="3"/>
  <c r="BO38" i="3" s="1"/>
  <c r="BO66" i="3" s="1"/>
  <c r="BO65" i="3"/>
  <c r="BO2" i="3"/>
  <c r="BQ37" i="3" l="1"/>
  <c r="BQ38" i="3" s="1"/>
  <c r="BQ66" i="3" s="1"/>
  <c r="BQ65" i="3"/>
  <c r="BR1" i="3"/>
  <c r="BQ2" i="3"/>
  <c r="BR37" i="3" l="1"/>
  <c r="BR38" i="3" s="1"/>
  <c r="BR66" i="3" s="1"/>
  <c r="BR65" i="3"/>
  <c r="BS1" i="3"/>
  <c r="BR2" i="3"/>
  <c r="BS37" i="3" l="1"/>
  <c r="BS38" i="3" s="1"/>
  <c r="BS66" i="3" s="1"/>
  <c r="BS65" i="3"/>
  <c r="BT1" i="3"/>
  <c r="BS2" i="3"/>
  <c r="BT37" i="3" l="1"/>
  <c r="BT38" i="3" s="1"/>
  <c r="BT66" i="3" s="1"/>
  <c r="BT65" i="3"/>
  <c r="BU1" i="3"/>
  <c r="BT2" i="3"/>
  <c r="BU37" i="3" l="1"/>
  <c r="BU38" i="3" s="1"/>
  <c r="BU66" i="3" s="1"/>
  <c r="BU65" i="3"/>
  <c r="BV1" i="3"/>
  <c r="BW1" i="3" s="1"/>
  <c r="BU2" i="3"/>
  <c r="BW37" i="3" l="1"/>
  <c r="BW65" i="3"/>
  <c r="BZ1" i="3"/>
  <c r="BW2" i="3"/>
  <c r="BV37" i="3"/>
  <c r="BV38" i="3" s="1"/>
  <c r="BV66" i="3" s="1"/>
  <c r="BV65"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37" i="3" l="1"/>
  <c r="DS38" i="3" s="1"/>
  <c r="DS66" i="3" s="1"/>
  <c r="DS65" i="3"/>
  <c r="DT1" i="3"/>
  <c r="DS2" i="3"/>
  <c r="DT37" i="3" l="1"/>
  <c r="DT38" i="3" s="1"/>
  <c r="DT66" i="3" s="1"/>
  <c r="DT65" i="3"/>
  <c r="DU1" i="3"/>
  <c r="DT2" i="3"/>
  <c r="DU37" i="3" l="1"/>
  <c r="DU38" i="3" s="1"/>
  <c r="DU66" i="3" s="1"/>
  <c r="DU65" i="3"/>
  <c r="DV1" i="3"/>
  <c r="DU2" i="3"/>
  <c r="DV37" i="3" l="1"/>
  <c r="DV38" i="3" s="1"/>
  <c r="DV66" i="3" s="1"/>
  <c r="DV65" i="3"/>
  <c r="DW1" i="3"/>
  <c r="DX1" i="3" s="1"/>
  <c r="DV2" i="3"/>
  <c r="DX2" i="3" l="1"/>
  <c r="DX37" i="3"/>
  <c r="DX38" i="3" s="1"/>
  <c r="DX66" i="3" s="1"/>
  <c r="DX65" i="3"/>
  <c r="DY1" i="3"/>
  <c r="DW37" i="3"/>
  <c r="DW38" i="3" s="1"/>
  <c r="DW66" i="3" s="1"/>
  <c r="DW65" i="3"/>
  <c r="DW2" i="3"/>
  <c r="DY65" i="3" l="1"/>
  <c r="DY37" i="3"/>
  <c r="DY38" i="3" s="1"/>
  <c r="DY66" i="3" s="1"/>
  <c r="EB1" i="3"/>
  <c r="DY2" i="3"/>
  <c r="EB37" i="3"/>
  <c r="EB38" i="3" s="1"/>
  <c r="EB66" i="3" s="1"/>
  <c r="EB65" i="3"/>
  <c r="EC1" i="3"/>
  <c r="EB2" i="3"/>
  <c r="EC37" i="3" l="1"/>
  <c r="EC38" i="3" s="1"/>
  <c r="EC66" i="3" s="1"/>
  <c r="EC65" i="3"/>
  <c r="ED1" i="3"/>
  <c r="EC2" i="3"/>
  <c r="ED37" i="3" l="1"/>
  <c r="ED38" i="3" s="1"/>
  <c r="ED66" i="3" s="1"/>
  <c r="ED65" i="3"/>
  <c r="EE1" i="3"/>
  <c r="ED2" i="3"/>
  <c r="EE37" i="3" l="1"/>
  <c r="EE38" i="3" s="1"/>
  <c r="EE66" i="3" s="1"/>
  <c r="EE65" i="3"/>
  <c r="EF1" i="3"/>
  <c r="EE2" i="3"/>
  <c r="EF37" i="3" l="1"/>
  <c r="EF38" i="3" s="1"/>
  <c r="EF66" i="3" s="1"/>
  <c r="EF65" i="3"/>
  <c r="EG1" i="3"/>
  <c r="EF2" i="3"/>
  <c r="EG37" i="3" l="1"/>
  <c r="EG38" i="3" s="1"/>
  <c r="EG66" i="3" s="1"/>
  <c r="EG65" i="3"/>
  <c r="EH1" i="3"/>
  <c r="EG2" i="3"/>
  <c r="EH37" i="3" l="1"/>
  <c r="EH38" i="3" s="1"/>
  <c r="EH66" i="3" s="1"/>
  <c r="EH65" i="3"/>
  <c r="EI1" i="3"/>
  <c r="EH2" i="3"/>
  <c r="EI37" i="3" l="1"/>
  <c r="EI38" i="3" s="1"/>
  <c r="EI66" i="3" s="1"/>
  <c r="EI65" i="3"/>
  <c r="EJ1" i="3"/>
  <c r="EI2" i="3"/>
  <c r="EJ37" i="3" l="1"/>
  <c r="EJ38" i="3" s="1"/>
  <c r="EJ66" i="3" s="1"/>
  <c r="EJ65" i="3"/>
  <c r="EK1" i="3"/>
  <c r="EJ2" i="3"/>
  <c r="EK37" i="3" l="1"/>
  <c r="EK38" i="3" s="1"/>
  <c r="EK66" i="3" s="1"/>
  <c r="EK65" i="3"/>
  <c r="EL1" i="3"/>
  <c r="EK2" i="3"/>
  <c r="EL37" i="3" l="1"/>
  <c r="EL38" i="3" s="1"/>
  <c r="EL66" i="3" s="1"/>
  <c r="EL65" i="3"/>
  <c r="EM1" i="3"/>
  <c r="EL2" i="3"/>
  <c r="EM37" i="3" l="1"/>
  <c r="EM38" i="3" s="1"/>
  <c r="EM66" i="3" s="1"/>
  <c r="EM65" i="3"/>
  <c r="EN1" i="3"/>
  <c r="EM2" i="3"/>
  <c r="EN37" i="3" l="1"/>
  <c r="EN38" i="3" s="1"/>
  <c r="EN66" i="3" s="1"/>
  <c r="EN65" i="3"/>
  <c r="EO1" i="3"/>
  <c r="EN2" i="3"/>
  <c r="EO37" i="3" l="1"/>
  <c r="EO38" i="3" s="1"/>
  <c r="EO66" i="3" s="1"/>
  <c r="EO65" i="3"/>
  <c r="EP1" i="3"/>
  <c r="EO2" i="3"/>
  <c r="EP37" i="3" l="1"/>
  <c r="EP38" i="3" s="1"/>
  <c r="EP66" i="3" s="1"/>
  <c r="EP65" i="3"/>
  <c r="EQ1" i="3"/>
  <c r="EP2" i="3"/>
  <c r="EQ37" i="3" l="1"/>
  <c r="EQ38" i="3" s="1"/>
  <c r="EQ66" i="3" s="1"/>
  <c r="EQ65" i="3"/>
  <c r="ER1" i="3"/>
  <c r="EQ2" i="3"/>
  <c r="ER37" i="3" l="1"/>
  <c r="ER38" i="3" s="1"/>
  <c r="ER66" i="3" s="1"/>
  <c r="ER65" i="3"/>
  <c r="ES1" i="3"/>
  <c r="ES65" i="3" s="1"/>
  <c r="ER2" i="3"/>
  <c r="ES37" i="3" l="1"/>
  <c r="ES38" i="3" s="1"/>
  <c r="ES66" i="3" s="1"/>
  <c r="ET1" i="3"/>
  <c r="ET65" i="3" s="1"/>
  <c r="ES2" i="3"/>
  <c r="ET37" i="3" l="1"/>
  <c r="ET38" i="3" s="1"/>
  <c r="ET66" i="3" s="1"/>
  <c r="EU1" i="3"/>
  <c r="EU65" i="3" s="1"/>
  <c r="ET2" i="3"/>
  <c r="EU2" i="3" l="1"/>
  <c r="EU37" i="3"/>
  <c r="EU38" i="3" s="1"/>
  <c r="EU66" i="3" s="1"/>
  <c r="EV1" i="3"/>
  <c r="EV37" i="3" l="1"/>
  <c r="EV38" i="3" s="1"/>
  <c r="EV66" i="3" s="1"/>
  <c r="EV65" i="3"/>
  <c r="EW1" i="3"/>
  <c r="EV2" i="3"/>
  <c r="EW37" i="3" l="1"/>
  <c r="EW38" i="3" s="1"/>
  <c r="EW66" i="3" s="1"/>
  <c r="EW65" i="3"/>
  <c r="EX1" i="3"/>
  <c r="EW2" i="3"/>
  <c r="EX37" i="3" l="1"/>
  <c r="EX38" i="3" s="1"/>
  <c r="EX66" i="3" s="1"/>
  <c r="EX65" i="3"/>
  <c r="EY1" i="3"/>
  <c r="EX2" i="3"/>
  <c r="EY37" i="3" l="1"/>
  <c r="EY38" i="3" s="1"/>
  <c r="EY66" i="3" s="1"/>
  <c r="EY65" i="3"/>
  <c r="EZ1" i="3"/>
  <c r="EY2" i="3"/>
  <c r="EZ37" i="3" l="1"/>
  <c r="EZ38" i="3" s="1"/>
  <c r="EZ66" i="3" s="1"/>
  <c r="EZ65" i="3"/>
  <c r="FA1" i="3"/>
  <c r="EZ2" i="3"/>
  <c r="FA37" i="3" l="1"/>
  <c r="FA38" i="3" s="1"/>
  <c r="FA66" i="3" s="1"/>
  <c r="FA65" i="3"/>
  <c r="FB1" i="3"/>
  <c r="FA2" i="3"/>
  <c r="FB37" i="3" l="1"/>
  <c r="FB38" i="3" s="1"/>
  <c r="FB66" i="3" s="1"/>
  <c r="FB65" i="3"/>
  <c r="FC1" i="3"/>
  <c r="FB2" i="3"/>
  <c r="FC37" i="3" l="1"/>
  <c r="FC38" i="3" s="1"/>
  <c r="FC66" i="3" s="1"/>
  <c r="FC65" i="3"/>
  <c r="FD1" i="3"/>
  <c r="FC2" i="3"/>
  <c r="FD37" i="3" l="1"/>
  <c r="FD38" i="3" s="1"/>
  <c r="FD66" i="3" s="1"/>
  <c r="FD65" i="3"/>
  <c r="FE1" i="3"/>
  <c r="FD2" i="3"/>
  <c r="FE37" i="3" l="1"/>
  <c r="FE38" i="3" s="1"/>
  <c r="FE66" i="3" s="1"/>
  <c r="FE65" i="3"/>
  <c r="FF1" i="3"/>
  <c r="FE2" i="3"/>
  <c r="FF37" i="3" l="1"/>
  <c r="FF38" i="3" s="1"/>
  <c r="FF66" i="3" s="1"/>
  <c r="FF65" i="3"/>
  <c r="FG1" i="3"/>
  <c r="FF2" i="3"/>
  <c r="FG37" i="3" l="1"/>
  <c r="FG38" i="3" s="1"/>
  <c r="FG66" i="3" s="1"/>
  <c r="FG65" i="3"/>
  <c r="FH1" i="3"/>
  <c r="FG2" i="3"/>
  <c r="FH37" i="3" l="1"/>
  <c r="FH38" i="3" s="1"/>
  <c r="FH66" i="3" s="1"/>
  <c r="FH65" i="3"/>
  <c r="FI1" i="3"/>
  <c r="FH2" i="3"/>
  <c r="FI37" i="3" l="1"/>
  <c r="FI38" i="3" s="1"/>
  <c r="FI66" i="3" s="1"/>
  <c r="FI65" i="3"/>
  <c r="FJ1" i="3"/>
  <c r="FI2" i="3"/>
  <c r="FJ37" i="3" l="1"/>
  <c r="FJ38" i="3" s="1"/>
  <c r="FJ66" i="3" s="1"/>
  <c r="FJ65" i="3"/>
  <c r="FK1" i="3"/>
  <c r="FJ2" i="3"/>
  <c r="FK37" i="3" l="1"/>
  <c r="FK38" i="3" s="1"/>
  <c r="FK66" i="3" s="1"/>
  <c r="FK65" i="3"/>
  <c r="FL1" i="3"/>
  <c r="FK2" i="3"/>
  <c r="FL37" i="3" l="1"/>
  <c r="FL38" i="3" s="1"/>
  <c r="FL66" i="3" s="1"/>
  <c r="FL65" i="3"/>
  <c r="FM1" i="3"/>
  <c r="FL2" i="3"/>
  <c r="FM37" i="3" l="1"/>
  <c r="FM38" i="3" s="1"/>
  <c r="FM66" i="3" s="1"/>
  <c r="FM65" i="3"/>
  <c r="FN1" i="3"/>
  <c r="FM2" i="3"/>
  <c r="FN37" i="3" l="1"/>
  <c r="FN38" i="3" s="1"/>
  <c r="FN66" i="3" s="1"/>
  <c r="FN65" i="3"/>
  <c r="FO1" i="3"/>
  <c r="FN2" i="3"/>
  <c r="FO37" i="3" l="1"/>
  <c r="FO38" i="3" s="1"/>
  <c r="FO66" i="3" s="1"/>
  <c r="FO65" i="3"/>
  <c r="FP1" i="3"/>
  <c r="FO2" i="3"/>
  <c r="FP37" i="3" l="1"/>
  <c r="FP38" i="3" s="1"/>
  <c r="FP66" i="3" s="1"/>
  <c r="FP65" i="3"/>
  <c r="FQ1" i="3"/>
  <c r="FP2" i="3"/>
  <c r="FQ37" i="3" l="1"/>
  <c r="FQ38" i="3" s="1"/>
  <c r="FQ66" i="3" s="1"/>
  <c r="FQ65" i="3"/>
  <c r="FR1" i="3"/>
  <c r="FQ2" i="3"/>
  <c r="FR37" i="3" l="1"/>
  <c r="FR38" i="3" s="1"/>
  <c r="FR66" i="3" s="1"/>
  <c r="FR65" i="3"/>
  <c r="FS1" i="3"/>
  <c r="FR2" i="3"/>
  <c r="FS37" i="3" l="1"/>
  <c r="FS38" i="3" s="1"/>
  <c r="FS66" i="3" s="1"/>
  <c r="FS65" i="3"/>
  <c r="FT1" i="3"/>
  <c r="FS2" i="3"/>
  <c r="FT37" i="3" l="1"/>
  <c r="FT38" i="3" s="1"/>
  <c r="FT66" i="3" s="1"/>
  <c r="FT65" i="3"/>
  <c r="FU1" i="3"/>
  <c r="FT2" i="3"/>
  <c r="FU37" i="3" l="1"/>
  <c r="FU38" i="3" s="1"/>
  <c r="FU66" i="3" s="1"/>
  <c r="FU65" i="3"/>
  <c r="FV1" i="3"/>
  <c r="FU2" i="3"/>
  <c r="FV37" i="3" l="1"/>
  <c r="FV38" i="3" s="1"/>
  <c r="FV66" i="3" s="1"/>
  <c r="FV65" i="3"/>
  <c r="FW1" i="3"/>
  <c r="FV2" i="3"/>
  <c r="FW37" i="3" l="1"/>
  <c r="FW38" i="3" s="1"/>
  <c r="FW66" i="3" s="1"/>
  <c r="FW65" i="3"/>
  <c r="FX1" i="3"/>
  <c r="FW2" i="3"/>
  <c r="FX37" i="3" l="1"/>
  <c r="FX38" i="3" s="1"/>
  <c r="FX66" i="3" s="1"/>
  <c r="FX65" i="3"/>
  <c r="FY1" i="3"/>
  <c r="FX2" i="3"/>
  <c r="FY37" i="3" l="1"/>
  <c r="FY38" i="3" s="1"/>
  <c r="FY66" i="3" s="1"/>
  <c r="FY65" i="3"/>
  <c r="FZ1" i="3"/>
  <c r="FY2" i="3"/>
  <c r="FZ37" i="3" l="1"/>
  <c r="FZ38" i="3" s="1"/>
  <c r="FZ66" i="3" s="1"/>
  <c r="FZ65" i="3"/>
  <c r="GA1" i="3"/>
  <c r="FZ2" i="3"/>
  <c r="GA37" i="3" l="1"/>
  <c r="GA38" i="3" s="1"/>
  <c r="GA66" i="3" s="1"/>
  <c r="GA65" i="3"/>
  <c r="GB1" i="3"/>
  <c r="GA2" i="3"/>
  <c r="GB37" i="3" l="1"/>
  <c r="GB38" i="3" s="1"/>
  <c r="GB66" i="3" s="1"/>
  <c r="GB65" i="3"/>
  <c r="GC1" i="3"/>
  <c r="GB2" i="3"/>
  <c r="GC37" i="3" l="1"/>
  <c r="GC38" i="3" s="1"/>
  <c r="GC66" i="3" s="1"/>
  <c r="GC65" i="3"/>
  <c r="GD1" i="3"/>
  <c r="GC2" i="3"/>
  <c r="GD37" i="3" l="1"/>
  <c r="GD38" i="3" s="1"/>
  <c r="GD66" i="3" s="1"/>
  <c r="GD65" i="3"/>
  <c r="GE1" i="3"/>
  <c r="GD2" i="3"/>
  <c r="GE37" i="3" l="1"/>
  <c r="GE38" i="3" s="1"/>
  <c r="GE66" i="3" s="1"/>
  <c r="GE65" i="3"/>
  <c r="GF1" i="3"/>
  <c r="GE2" i="3"/>
  <c r="GF37" i="3" l="1"/>
  <c r="GF38" i="3" s="1"/>
  <c r="GF66" i="3" s="1"/>
  <c r="GF65" i="3"/>
  <c r="GG1" i="3"/>
  <c r="GF2" i="3"/>
  <c r="GG37" i="3" l="1"/>
  <c r="GG38" i="3" s="1"/>
  <c r="GG66" i="3" s="1"/>
  <c r="GG65" i="3"/>
  <c r="GH1" i="3"/>
  <c r="GG2" i="3"/>
  <c r="GH37" i="3" l="1"/>
  <c r="GH38" i="3" s="1"/>
  <c r="GH66" i="3" s="1"/>
  <c r="GH65" i="3"/>
  <c r="GI1" i="3"/>
  <c r="GH2" i="3"/>
  <c r="GI37" i="3" l="1"/>
  <c r="GI38" i="3" s="1"/>
  <c r="GI66" i="3" s="1"/>
  <c r="GI65" i="3"/>
  <c r="GJ1" i="3"/>
  <c r="GI2" i="3"/>
  <c r="GJ37" i="3" l="1"/>
  <c r="GJ38" i="3" s="1"/>
  <c r="GJ66" i="3" s="1"/>
  <c r="GJ65" i="3"/>
  <c r="GK1" i="3"/>
  <c r="GJ2" i="3"/>
  <c r="GK37" i="3" l="1"/>
  <c r="GK38" i="3" s="1"/>
  <c r="GK66" i="3" s="1"/>
  <c r="GK65" i="3"/>
  <c r="GL1" i="3"/>
  <c r="GK2" i="3"/>
  <c r="GL37" i="3" l="1"/>
  <c r="GL38" i="3" s="1"/>
  <c r="GL66" i="3" s="1"/>
  <c r="GL65" i="3"/>
  <c r="GM1" i="3"/>
  <c r="GL2" i="3"/>
  <c r="GM37" i="3" l="1"/>
  <c r="GM38" i="3" s="1"/>
  <c r="GM66" i="3" s="1"/>
  <c r="GM65" i="3"/>
  <c r="GN1" i="3"/>
  <c r="GM2" i="3"/>
  <c r="GN37" i="3" l="1"/>
  <c r="GN38" i="3" s="1"/>
  <c r="GN66" i="3" s="1"/>
  <c r="GN65" i="3"/>
  <c r="GO1" i="3"/>
  <c r="GN2" i="3"/>
  <c r="GO37" i="3" l="1"/>
  <c r="GO38" i="3" s="1"/>
  <c r="GO66" i="3" s="1"/>
  <c r="GO65" i="3"/>
  <c r="GP1" i="3"/>
  <c r="GO2" i="3"/>
  <c r="GP37" i="3" l="1"/>
  <c r="GP38" i="3" s="1"/>
  <c r="GP66" i="3" s="1"/>
  <c r="GP65" i="3"/>
  <c r="GQ1" i="3"/>
  <c r="GP2" i="3"/>
  <c r="GQ37" i="3" l="1"/>
  <c r="GQ38" i="3" s="1"/>
  <c r="GQ66" i="3" s="1"/>
  <c r="GQ65" i="3"/>
  <c r="GR1" i="3"/>
  <c r="GQ2" i="3"/>
  <c r="GR37" i="3" l="1"/>
  <c r="GR38" i="3" s="1"/>
  <c r="GR66" i="3" s="1"/>
  <c r="GR65" i="3"/>
  <c r="GS1" i="3"/>
  <c r="GR2" i="3"/>
  <c r="GS37" i="3" l="1"/>
  <c r="GS38" i="3" s="1"/>
  <c r="GS66" i="3" s="1"/>
  <c r="GS65" i="3"/>
  <c r="GT1" i="3"/>
  <c r="GS2" i="3"/>
  <c r="GT37" i="3" l="1"/>
  <c r="GT38" i="3" s="1"/>
  <c r="GT66" i="3" s="1"/>
  <c r="GT65" i="3"/>
  <c r="GU1" i="3"/>
  <c r="GT2" i="3"/>
  <c r="GU37" i="3" l="1"/>
  <c r="GU38" i="3" s="1"/>
  <c r="GU66" i="3" s="1"/>
  <c r="GU65" i="3"/>
  <c r="GV1" i="3"/>
  <c r="GU2" i="3"/>
  <c r="GV37" i="3" l="1"/>
  <c r="GV38" i="3" s="1"/>
  <c r="GV66" i="3" s="1"/>
  <c r="GV65" i="3"/>
  <c r="GW1" i="3"/>
  <c r="GV2" i="3"/>
  <c r="GW37" i="3" l="1"/>
  <c r="GW38" i="3" s="1"/>
  <c r="GW66" i="3" s="1"/>
  <c r="GW65" i="3"/>
  <c r="GX1" i="3"/>
  <c r="GW2" i="3"/>
  <c r="GX37" i="3" l="1"/>
  <c r="GX38" i="3" s="1"/>
  <c r="GX66" i="3" s="1"/>
  <c r="GX65" i="3"/>
  <c r="GY1" i="3"/>
  <c r="GX2" i="3"/>
  <c r="GY37" i="3" l="1"/>
  <c r="GY38" i="3" s="1"/>
  <c r="GY66" i="3" s="1"/>
  <c r="GY65" i="3"/>
  <c r="GZ1" i="3"/>
  <c r="GY2" i="3"/>
  <c r="GZ37" i="3" l="1"/>
  <c r="GZ38" i="3" s="1"/>
  <c r="GZ66" i="3" s="1"/>
  <c r="GZ65" i="3"/>
  <c r="HA1" i="3"/>
  <c r="GZ2" i="3"/>
  <c r="HA37" i="3" l="1"/>
  <c r="HA38" i="3" s="1"/>
  <c r="HA66" i="3" s="1"/>
  <c r="HA65" i="3"/>
  <c r="HB1" i="3"/>
  <c r="HA2" i="3"/>
  <c r="HB37" i="3" l="1"/>
  <c r="HB38" i="3" s="1"/>
  <c r="HB66" i="3" s="1"/>
  <c r="HB65" i="3"/>
  <c r="HC1" i="3"/>
  <c r="HB2" i="3"/>
  <c r="HC37" i="3" l="1"/>
  <c r="HC38" i="3" s="1"/>
  <c r="HC66" i="3" s="1"/>
  <c r="HC65" i="3"/>
  <c r="HD1" i="3"/>
  <c r="HC2" i="3"/>
  <c r="HD37" i="3" l="1"/>
  <c r="HD38" i="3" s="1"/>
  <c r="HD66" i="3" s="1"/>
  <c r="HD65" i="3"/>
  <c r="HE1" i="3"/>
  <c r="HD2" i="3"/>
  <c r="HE37" i="3" l="1"/>
  <c r="HE38" i="3" s="1"/>
  <c r="HE66" i="3" s="1"/>
  <c r="HE65" i="3"/>
  <c r="HF1" i="3"/>
  <c r="HE2" i="3"/>
  <c r="HF37" i="3" l="1"/>
  <c r="HF38" i="3" s="1"/>
  <c r="HF66" i="3" s="1"/>
  <c r="HF65" i="3"/>
  <c r="HG1" i="3"/>
  <c r="HF2" i="3"/>
  <c r="HG37" i="3" l="1"/>
  <c r="HG38" i="3" s="1"/>
  <c r="HG66" i="3" s="1"/>
  <c r="HG65" i="3"/>
  <c r="HH1" i="3"/>
  <c r="HG2" i="3"/>
  <c r="HH37" i="3" l="1"/>
  <c r="HH38" i="3" s="1"/>
  <c r="HH66" i="3" s="1"/>
  <c r="HH65" i="3"/>
  <c r="HI1" i="3"/>
  <c r="HH2" i="3"/>
  <c r="HI37" i="3" l="1"/>
  <c r="HI38" i="3" s="1"/>
  <c r="HI66" i="3" s="1"/>
  <c r="HI65" i="3"/>
  <c r="HJ1" i="3"/>
  <c r="HI2" i="3"/>
  <c r="HJ37" i="3" l="1"/>
  <c r="HJ38" i="3" s="1"/>
  <c r="HJ66" i="3" s="1"/>
  <c r="HJ65" i="3"/>
  <c r="HK1" i="3"/>
  <c r="HJ2" i="3"/>
  <c r="HK37" i="3" l="1"/>
  <c r="HK38" i="3" s="1"/>
  <c r="HK66" i="3" s="1"/>
  <c r="HK65" i="3"/>
  <c r="HL1" i="3"/>
  <c r="HK2" i="3"/>
  <c r="HL37" i="3" l="1"/>
  <c r="HL38" i="3" s="1"/>
  <c r="HL66" i="3" s="1"/>
  <c r="HL65" i="3"/>
  <c r="HM1" i="3"/>
  <c r="HL2" i="3"/>
  <c r="HM37" i="3" l="1"/>
  <c r="HM38" i="3" s="1"/>
  <c r="HM66" i="3" s="1"/>
  <c r="HM65" i="3"/>
  <c r="HN1" i="3"/>
  <c r="HM2" i="3"/>
  <c r="HN37" i="3" l="1"/>
  <c r="HN38" i="3" s="1"/>
  <c r="HN66" i="3" s="1"/>
  <c r="HN65" i="3"/>
  <c r="HO1" i="3"/>
  <c r="HN2" i="3"/>
  <c r="HO37" i="3" l="1"/>
  <c r="HO38" i="3" s="1"/>
  <c r="HO66" i="3" s="1"/>
  <c r="HO65" i="3"/>
  <c r="HP1" i="3"/>
  <c r="HO2" i="3"/>
  <c r="HP37" i="3" l="1"/>
  <c r="HP38" i="3" s="1"/>
  <c r="HP66" i="3" s="1"/>
  <c r="HP65" i="3"/>
  <c r="HQ1" i="3"/>
  <c r="HP2" i="3"/>
  <c r="HQ37" i="3" l="1"/>
  <c r="HQ38" i="3" s="1"/>
  <c r="HQ66" i="3" s="1"/>
  <c r="HQ65" i="3"/>
  <c r="HR1" i="3"/>
  <c r="HQ2" i="3"/>
  <c r="HR37" i="3" l="1"/>
  <c r="HR38" i="3" s="1"/>
  <c r="HR66" i="3" s="1"/>
  <c r="HR65" i="3"/>
  <c r="HS1" i="3"/>
  <c r="HR2" i="3"/>
  <c r="HS37" i="3" l="1"/>
  <c r="HS38" i="3" s="1"/>
  <c r="HS66" i="3" s="1"/>
  <c r="HS65" i="3"/>
  <c r="HT1" i="3"/>
  <c r="HS2" i="3"/>
  <c r="HT37" i="3" l="1"/>
  <c r="HT38" i="3" s="1"/>
  <c r="HT66" i="3" s="1"/>
  <c r="HT65" i="3"/>
  <c r="HU1" i="3"/>
  <c r="HT2" i="3"/>
  <c r="HU37" i="3" l="1"/>
  <c r="HU38" i="3" s="1"/>
  <c r="HU66" i="3" s="1"/>
  <c r="HU65" i="3"/>
  <c r="HV1" i="3"/>
  <c r="HU2" i="3"/>
  <c r="HV37" i="3" l="1"/>
  <c r="HV38" i="3" s="1"/>
  <c r="HV66" i="3" s="1"/>
  <c r="HV65" i="3"/>
  <c r="HW1" i="3"/>
  <c r="HV2" i="3"/>
  <c r="HW37" i="3" l="1"/>
  <c r="HW38" i="3" s="1"/>
  <c r="HW66" i="3" s="1"/>
  <c r="HW65" i="3"/>
  <c r="HX1" i="3"/>
  <c r="HW2" i="3"/>
  <c r="HX37" i="3" l="1"/>
  <c r="HX38" i="3" s="1"/>
  <c r="HX66" i="3" s="1"/>
  <c r="HX65" i="3"/>
  <c r="HY1" i="3"/>
  <c r="HX2" i="3"/>
  <c r="HY37" i="3" l="1"/>
  <c r="HY38" i="3" s="1"/>
  <c r="HY66" i="3" s="1"/>
  <c r="HY65" i="3"/>
  <c r="HZ1" i="3"/>
  <c r="HY2" i="3"/>
  <c r="HZ37" i="3" l="1"/>
  <c r="HZ38" i="3" s="1"/>
  <c r="HZ66" i="3" s="1"/>
  <c r="HZ65" i="3"/>
  <c r="IA1" i="3"/>
  <c r="HZ2" i="3"/>
  <c r="IA37" i="3" l="1"/>
  <c r="IA38" i="3" s="1"/>
  <c r="IA66" i="3" s="1"/>
  <c r="IA65" i="3"/>
  <c r="IB1" i="3"/>
  <c r="IA2" i="3"/>
  <c r="IB37" i="3" l="1"/>
  <c r="IB38" i="3" s="1"/>
  <c r="IB66" i="3" s="1"/>
  <c r="IB65" i="3"/>
  <c r="IC1" i="3"/>
  <c r="IB2" i="3"/>
  <c r="IC37" i="3" l="1"/>
  <c r="IC38" i="3" s="1"/>
  <c r="IC66" i="3" s="1"/>
  <c r="IC65" i="3"/>
  <c r="ID1" i="3"/>
  <c r="IC2" i="3"/>
  <c r="ID37" i="3" l="1"/>
  <c r="ID38" i="3" s="1"/>
  <c r="ID66" i="3" s="1"/>
  <c r="ID65" i="3"/>
  <c r="IE1" i="3"/>
  <c r="ID2" i="3"/>
  <c r="IE37" i="3" l="1"/>
  <c r="IE38" i="3" s="1"/>
  <c r="IE66" i="3" s="1"/>
  <c r="IE65" i="3"/>
  <c r="IF1" i="3"/>
  <c r="IE2" i="3"/>
  <c r="IF37" i="3" l="1"/>
  <c r="IF38" i="3" s="1"/>
  <c r="IF66" i="3" s="1"/>
  <c r="IF65" i="3"/>
  <c r="IG1" i="3"/>
  <c r="IF2" i="3"/>
  <c r="IG37" i="3" l="1"/>
  <c r="IG38" i="3" s="1"/>
  <c r="IG66" i="3" s="1"/>
  <c r="IG65" i="3"/>
  <c r="IH1" i="3"/>
  <c r="IG2" i="3"/>
  <c r="IH37" i="3" l="1"/>
  <c r="IH38" i="3" s="1"/>
  <c r="IH66" i="3" s="1"/>
  <c r="IH65" i="3"/>
  <c r="II1" i="3"/>
  <c r="IH2" i="3"/>
  <c r="II37" i="3" l="1"/>
  <c r="II38" i="3" s="1"/>
  <c r="II66" i="3" s="1"/>
  <c r="II65" i="3"/>
  <c r="IJ1" i="3"/>
  <c r="II2" i="3"/>
  <c r="IJ37" i="3" l="1"/>
  <c r="IJ38" i="3" s="1"/>
  <c r="IJ66" i="3" s="1"/>
  <c r="IJ65" i="3"/>
  <c r="IK1" i="3"/>
  <c r="IJ2" i="3"/>
  <c r="IK37" i="3" l="1"/>
  <c r="IK38" i="3" s="1"/>
  <c r="IK66" i="3" s="1"/>
  <c r="IK65" i="3"/>
  <c r="IL1" i="3"/>
  <c r="IK2" i="3"/>
  <c r="IL37" i="3" l="1"/>
  <c r="IL38" i="3" s="1"/>
  <c r="IL66" i="3" s="1"/>
  <c r="IL65" i="3"/>
  <c r="IM1" i="3"/>
  <c r="IL2" i="3"/>
  <c r="IM37" i="3" l="1"/>
  <c r="IM38" i="3" s="1"/>
  <c r="IM66" i="3" s="1"/>
  <c r="IM65" i="3"/>
  <c r="IN1" i="3"/>
  <c r="IM2" i="3"/>
  <c r="IN37" i="3" l="1"/>
  <c r="IN38" i="3" s="1"/>
  <c r="IN66" i="3" s="1"/>
  <c r="IN65" i="3"/>
  <c r="IO1" i="3"/>
  <c r="IN2" i="3"/>
  <c r="IO37" i="3" l="1"/>
  <c r="IO38" i="3" s="1"/>
  <c r="IO66" i="3" s="1"/>
  <c r="IO65" i="3"/>
  <c r="IP1" i="3"/>
  <c r="IO2" i="3"/>
  <c r="IP37" i="3" l="1"/>
  <c r="IP38" i="3" s="1"/>
  <c r="IP66" i="3" s="1"/>
  <c r="IP65" i="3"/>
  <c r="IQ1" i="3"/>
  <c r="IP2" i="3"/>
  <c r="IQ37" i="3" l="1"/>
  <c r="IQ38" i="3" s="1"/>
  <c r="IQ66" i="3" s="1"/>
  <c r="IQ65" i="3"/>
  <c r="IR1" i="3"/>
  <c r="IQ2" i="3"/>
  <c r="IR37" i="3" l="1"/>
  <c r="IR38" i="3" s="1"/>
  <c r="IR66" i="3" s="1"/>
  <c r="IR65" i="3"/>
  <c r="IS1" i="3"/>
  <c r="IR2" i="3"/>
  <c r="IS37" i="3" l="1"/>
  <c r="IS38" i="3" s="1"/>
  <c r="IS66" i="3" s="1"/>
  <c r="IS65" i="3"/>
  <c r="IT1" i="3"/>
  <c r="IS2" i="3"/>
  <c r="IT37" i="3" l="1"/>
  <c r="IT38" i="3" s="1"/>
  <c r="IT66" i="3" s="1"/>
  <c r="IT65" i="3"/>
  <c r="IU1" i="3"/>
  <c r="IT2" i="3"/>
  <c r="IU37" i="3" l="1"/>
  <c r="IU38" i="3" s="1"/>
  <c r="IU66" i="3" s="1"/>
  <c r="IU65" i="3"/>
  <c r="IV1" i="3"/>
  <c r="IU2" i="3"/>
  <c r="IV37" i="3" l="1"/>
  <c r="IV38" i="3" s="1"/>
  <c r="IV66" i="3" s="1"/>
  <c r="IV65" i="3"/>
  <c r="IW1" i="3"/>
  <c r="IV2" i="3"/>
  <c r="IW37" i="3" l="1"/>
  <c r="IW38" i="3" s="1"/>
  <c r="IW66" i="3" s="1"/>
  <c r="IW65" i="3"/>
  <c r="IX1" i="3"/>
  <c r="IW2" i="3"/>
  <c r="IX37" i="3" l="1"/>
  <c r="IX38" i="3" s="1"/>
  <c r="IX66" i="3" s="1"/>
  <c r="IX65" i="3"/>
  <c r="IY1" i="3"/>
  <c r="IX2" i="3"/>
  <c r="IY37" i="3" l="1"/>
  <c r="IY38" i="3" s="1"/>
  <c r="IY66" i="3" s="1"/>
  <c r="IY65" i="3"/>
  <c r="IZ1" i="3"/>
  <c r="IY2" i="3"/>
  <c r="IZ37" i="3" l="1"/>
  <c r="IZ38" i="3" s="1"/>
  <c r="IZ66" i="3" s="1"/>
  <c r="IZ65" i="3"/>
  <c r="JA1" i="3"/>
  <c r="IZ2" i="3"/>
  <c r="JA37" i="3" l="1"/>
  <c r="JA38" i="3" s="1"/>
  <c r="JA66" i="3" s="1"/>
  <c r="JA65" i="3"/>
  <c r="JB1" i="3"/>
  <c r="JA2" i="3"/>
  <c r="JB37" i="3" l="1"/>
  <c r="JB38" i="3" s="1"/>
  <c r="JB66" i="3" s="1"/>
  <c r="JB65" i="3"/>
  <c r="JC1" i="3"/>
  <c r="JB2" i="3"/>
  <c r="JC37" i="3" l="1"/>
  <c r="JC38" i="3" s="1"/>
  <c r="JC66" i="3" s="1"/>
  <c r="JC65" i="3"/>
  <c r="JD1" i="3"/>
  <c r="JC2" i="3"/>
  <c r="JD37" i="3" l="1"/>
  <c r="JD38" i="3" s="1"/>
  <c r="JD66" i="3" s="1"/>
  <c r="JD65" i="3"/>
  <c r="JE1" i="3"/>
  <c r="JD2" i="3"/>
  <c r="JE37" i="3" l="1"/>
  <c r="JE38" i="3" s="1"/>
  <c r="JE66" i="3" s="1"/>
  <c r="JE65" i="3"/>
  <c r="JF1" i="3"/>
  <c r="JE2" i="3"/>
  <c r="JF37" i="3" l="1"/>
  <c r="JF38" i="3" s="1"/>
  <c r="JF66" i="3" s="1"/>
  <c r="JF65" i="3"/>
  <c r="JG1" i="3"/>
  <c r="JF2" i="3"/>
  <c r="JG37" i="3" l="1"/>
  <c r="JG38" i="3" s="1"/>
  <c r="JG66" i="3" s="1"/>
  <c r="JG65" i="3"/>
  <c r="JH1" i="3"/>
  <c r="JG2" i="3"/>
  <c r="JH37" i="3" l="1"/>
  <c r="JH38" i="3" s="1"/>
  <c r="JH66" i="3" s="1"/>
  <c r="JH65" i="3"/>
  <c r="JI1" i="3"/>
  <c r="JH2" i="3"/>
  <c r="JI37" i="3" l="1"/>
  <c r="JI38" i="3" s="1"/>
  <c r="JI66" i="3" s="1"/>
  <c r="JI65" i="3"/>
  <c r="JJ1" i="3"/>
  <c r="JI2" i="3"/>
  <c r="JJ37" i="3" l="1"/>
  <c r="JJ38" i="3" s="1"/>
  <c r="JJ66" i="3" s="1"/>
  <c r="JJ65" i="3"/>
  <c r="JK1" i="3"/>
  <c r="JJ2" i="3"/>
  <c r="JK37" i="3" l="1"/>
  <c r="JK38" i="3" s="1"/>
  <c r="JK66" i="3" s="1"/>
  <c r="JK65" i="3"/>
  <c r="JL1" i="3"/>
  <c r="JK2" i="3"/>
  <c r="JL37" i="3" l="1"/>
  <c r="JL38" i="3" s="1"/>
  <c r="JL66" i="3" s="1"/>
  <c r="JL65" i="3"/>
  <c r="JM1" i="3"/>
  <c r="JL2" i="3"/>
  <c r="JM37" i="3" l="1"/>
  <c r="JM38" i="3" s="1"/>
  <c r="JM66" i="3" s="1"/>
  <c r="JM65" i="3"/>
  <c r="JN1" i="3"/>
  <c r="JM2" i="3"/>
  <c r="JN37" i="3" l="1"/>
  <c r="JN38" i="3" s="1"/>
  <c r="JN66" i="3" s="1"/>
  <c r="JN65" i="3"/>
  <c r="JO1" i="3"/>
  <c r="JN2" i="3"/>
  <c r="JO37" i="3" l="1"/>
  <c r="JO38" i="3" s="1"/>
  <c r="JO66" i="3" s="1"/>
  <c r="JO65" i="3"/>
  <c r="JP1" i="3"/>
  <c r="JO2" i="3"/>
  <c r="JP37" i="3" l="1"/>
  <c r="JP38" i="3" s="1"/>
  <c r="JP66" i="3" s="1"/>
  <c r="JP65" i="3"/>
  <c r="JQ1" i="3"/>
  <c r="JP2" i="3"/>
  <c r="JQ37" i="3" l="1"/>
  <c r="JQ38" i="3" s="1"/>
  <c r="JQ66" i="3" s="1"/>
  <c r="JQ65" i="3"/>
  <c r="JR1" i="3"/>
  <c r="JQ2" i="3"/>
  <c r="JR37" i="3" l="1"/>
  <c r="JR38" i="3" s="1"/>
  <c r="JR66" i="3" s="1"/>
  <c r="JR65" i="3"/>
  <c r="JS1" i="3"/>
  <c r="JR2" i="3"/>
  <c r="JS37" i="3" l="1"/>
  <c r="JS38" i="3" s="1"/>
  <c r="JS66" i="3" s="1"/>
  <c r="JS65" i="3"/>
  <c r="JT1" i="3"/>
  <c r="JS2" i="3"/>
  <c r="JT37" i="3" l="1"/>
  <c r="JT38" i="3" s="1"/>
  <c r="JT66" i="3" s="1"/>
  <c r="JT65" i="3"/>
  <c r="JU1" i="3"/>
  <c r="JT2" i="3"/>
  <c r="JU37" i="3" l="1"/>
  <c r="JU38" i="3" s="1"/>
  <c r="JU66" i="3" s="1"/>
  <c r="JU65" i="3"/>
  <c r="JV1" i="3"/>
  <c r="JU2" i="3"/>
  <c r="JV37" i="3" l="1"/>
  <c r="JV38" i="3" s="1"/>
  <c r="JV66" i="3" s="1"/>
  <c r="JV65" i="3"/>
  <c r="JW1" i="3"/>
  <c r="JV2" i="3"/>
  <c r="JW37" i="3" l="1"/>
  <c r="JW38" i="3" s="1"/>
  <c r="JW66" i="3" s="1"/>
  <c r="JW65" i="3"/>
  <c r="JX1" i="3"/>
  <c r="JW2" i="3"/>
  <c r="JX37" i="3" l="1"/>
  <c r="JX38" i="3" s="1"/>
  <c r="JX66" i="3" s="1"/>
  <c r="JX65" i="3"/>
  <c r="JY1" i="3"/>
  <c r="JX2" i="3"/>
  <c r="JY37" i="3" l="1"/>
  <c r="JY38" i="3" s="1"/>
  <c r="JY66" i="3" s="1"/>
  <c r="JY65" i="3"/>
  <c r="JZ1" i="3"/>
  <c r="JY2" i="3"/>
  <c r="JZ37" i="3" l="1"/>
  <c r="JZ38" i="3" s="1"/>
  <c r="JZ66" i="3" s="1"/>
  <c r="JZ65" i="3"/>
  <c r="KA1" i="3"/>
  <c r="JZ2" i="3"/>
  <c r="KA37" i="3" l="1"/>
  <c r="KA38" i="3" s="1"/>
  <c r="KA66" i="3" s="1"/>
  <c r="KA65" i="3"/>
  <c r="KB1" i="3"/>
  <c r="KA2" i="3"/>
  <c r="KB37" i="3" l="1"/>
  <c r="KB38" i="3" s="1"/>
  <c r="KB66" i="3" s="1"/>
  <c r="KB65" i="3"/>
  <c r="KC1" i="3"/>
  <c r="KB2" i="3"/>
  <c r="KC37" i="3" l="1"/>
  <c r="KC38" i="3" s="1"/>
  <c r="KC66" i="3" s="1"/>
  <c r="KC65" i="3"/>
  <c r="KD1" i="3"/>
  <c r="KC2" i="3"/>
  <c r="KD37" i="3" l="1"/>
  <c r="KD38" i="3" s="1"/>
  <c r="KD66" i="3" s="1"/>
  <c r="KD65" i="3"/>
  <c r="KE1" i="3"/>
  <c r="KD2" i="3"/>
  <c r="KE37" i="3" l="1"/>
  <c r="KE38" i="3" s="1"/>
  <c r="KE66" i="3" s="1"/>
  <c r="KE65" i="3"/>
  <c r="KF1" i="3"/>
  <c r="KE2" i="3"/>
  <c r="KF37" i="3" l="1"/>
  <c r="KF38" i="3" s="1"/>
  <c r="KF66" i="3" s="1"/>
  <c r="KF65" i="3"/>
  <c r="KG1" i="3"/>
  <c r="KF2" i="3"/>
  <c r="KG37" i="3" l="1"/>
  <c r="KG38" i="3" s="1"/>
  <c r="KG66" i="3" s="1"/>
  <c r="KG65" i="3"/>
  <c r="KH1" i="3"/>
  <c r="KG2" i="3"/>
  <c r="KH37" i="3" l="1"/>
  <c r="KH38" i="3" s="1"/>
  <c r="KH66" i="3" s="1"/>
  <c r="KH65" i="3"/>
  <c r="KI1" i="3"/>
  <c r="KH2" i="3"/>
  <c r="KI37" i="3" l="1"/>
  <c r="KI38" i="3" s="1"/>
  <c r="KI66" i="3" s="1"/>
  <c r="KI65" i="3"/>
  <c r="KJ1" i="3"/>
  <c r="KI2" i="3"/>
  <c r="KJ37" i="3" l="1"/>
  <c r="KJ38" i="3" s="1"/>
  <c r="KJ66" i="3" s="1"/>
  <c r="KJ65" i="3"/>
  <c r="KK1" i="3"/>
  <c r="KJ2" i="3"/>
  <c r="KK37" i="3" l="1"/>
  <c r="KK38" i="3" s="1"/>
  <c r="KK66" i="3" s="1"/>
  <c r="KK65" i="3"/>
  <c r="KL1" i="3"/>
  <c r="KK2" i="3"/>
  <c r="KL37" i="3" l="1"/>
  <c r="KL38" i="3" s="1"/>
  <c r="KL66" i="3" s="1"/>
  <c r="KL65" i="3"/>
  <c r="KM1" i="3"/>
  <c r="KL2" i="3"/>
  <c r="KM37" i="3" l="1"/>
  <c r="KM38" i="3" s="1"/>
  <c r="KM66" i="3" s="1"/>
  <c r="KM65" i="3"/>
  <c r="KN1" i="3"/>
  <c r="KM2" i="3"/>
  <c r="KN37" i="3" l="1"/>
  <c r="KN38" i="3" s="1"/>
  <c r="KN66" i="3" s="1"/>
  <c r="KN65" i="3"/>
  <c r="KO1" i="3"/>
  <c r="KN2" i="3"/>
  <c r="KO37" i="3" l="1"/>
  <c r="KO38" i="3" s="1"/>
  <c r="KO66" i="3" s="1"/>
  <c r="KO65" i="3"/>
  <c r="KP1" i="3"/>
  <c r="KO2" i="3"/>
  <c r="KP37" i="3" l="1"/>
  <c r="KP38" i="3" s="1"/>
  <c r="KP66" i="3" s="1"/>
  <c r="KP65" i="3"/>
  <c r="KQ1" i="3"/>
  <c r="KP2" i="3"/>
  <c r="KQ37" i="3" l="1"/>
  <c r="KQ38" i="3" s="1"/>
  <c r="KQ66" i="3" s="1"/>
  <c r="KQ65" i="3"/>
  <c r="KR1" i="3"/>
  <c r="KQ2" i="3"/>
  <c r="KR37" i="3" l="1"/>
  <c r="KR38" i="3" s="1"/>
  <c r="KR66" i="3" s="1"/>
  <c r="KR65" i="3"/>
  <c r="KS1" i="3"/>
  <c r="KR2" i="3"/>
  <c r="KS37" i="3" l="1"/>
  <c r="KS38" i="3" s="1"/>
  <c r="KS66" i="3" s="1"/>
  <c r="KS65" i="3"/>
  <c r="KT1" i="3"/>
  <c r="KS2" i="3"/>
  <c r="KT37" i="3" l="1"/>
  <c r="KT38" i="3" s="1"/>
  <c r="KT66" i="3" s="1"/>
  <c r="KT65" i="3"/>
  <c r="KU1" i="3"/>
  <c r="KT2" i="3"/>
  <c r="KU37" i="3" l="1"/>
  <c r="KU38" i="3" s="1"/>
  <c r="KU66" i="3" s="1"/>
  <c r="KU65" i="3"/>
  <c r="KV1" i="3"/>
  <c r="KU2" i="3"/>
  <c r="KV37" i="3" l="1"/>
  <c r="KV38" i="3" s="1"/>
  <c r="KV66" i="3" s="1"/>
  <c r="KV65" i="3"/>
  <c r="KW1" i="3"/>
  <c r="KV2" i="3"/>
  <c r="KW37" i="3" l="1"/>
  <c r="KW38" i="3" s="1"/>
  <c r="KW66" i="3" s="1"/>
  <c r="KW65" i="3"/>
  <c r="KX1" i="3"/>
  <c r="KW2" i="3"/>
  <c r="KX37" i="3" l="1"/>
  <c r="KX38" i="3" s="1"/>
  <c r="KX66" i="3" s="1"/>
  <c r="KX65" i="3"/>
  <c r="KY1" i="3"/>
  <c r="KX2" i="3"/>
  <c r="KY37" i="3" l="1"/>
  <c r="KY38" i="3" s="1"/>
  <c r="KY66" i="3" s="1"/>
  <c r="KY65" i="3"/>
  <c r="KZ1" i="3"/>
  <c r="KY2" i="3"/>
  <c r="KZ37" i="3" l="1"/>
  <c r="KZ38" i="3" s="1"/>
  <c r="KZ66" i="3" s="1"/>
  <c r="KZ65" i="3"/>
  <c r="LA1" i="3"/>
  <c r="KZ2" i="3"/>
  <c r="LA37" i="3" l="1"/>
  <c r="LA38" i="3" s="1"/>
  <c r="LA66" i="3" s="1"/>
  <c r="LA65" i="3"/>
  <c r="LB1" i="3"/>
  <c r="LA2" i="3"/>
  <c r="LB37" i="3" l="1"/>
  <c r="LB38" i="3" s="1"/>
  <c r="LB66" i="3" s="1"/>
  <c r="LB65" i="3"/>
  <c r="LC1" i="3"/>
  <c r="LB2" i="3"/>
  <c r="LC37" i="3" l="1"/>
  <c r="LC38" i="3" s="1"/>
  <c r="LC66" i="3" s="1"/>
  <c r="LC65" i="3"/>
  <c r="LD1" i="3"/>
  <c r="LC2" i="3"/>
  <c r="LD37" i="3" l="1"/>
  <c r="LD38" i="3" s="1"/>
  <c r="LD66" i="3" s="1"/>
  <c r="LD65" i="3"/>
  <c r="LE1" i="3"/>
  <c r="LD2" i="3"/>
  <c r="LE37" i="3" l="1"/>
  <c r="LE38" i="3" s="1"/>
  <c r="LE66" i="3" s="1"/>
  <c r="LE65" i="3"/>
  <c r="LF1" i="3"/>
  <c r="LE2" i="3"/>
  <c r="LF37" i="3" l="1"/>
  <c r="LF38" i="3" s="1"/>
  <c r="LF66" i="3" s="1"/>
  <c r="LF65" i="3"/>
  <c r="LG1" i="3"/>
  <c r="LF2" i="3"/>
  <c r="LG37" i="3" l="1"/>
  <c r="LG38" i="3" s="1"/>
  <c r="LG66" i="3" s="1"/>
  <c r="LG65" i="3"/>
  <c r="LH1" i="3"/>
  <c r="LG2" i="3"/>
  <c r="LH37" i="3" l="1"/>
  <c r="LH38" i="3" s="1"/>
  <c r="LH66" i="3" s="1"/>
  <c r="LH65" i="3"/>
  <c r="LI1" i="3"/>
  <c r="LH2" i="3"/>
  <c r="LI37" i="3" l="1"/>
  <c r="LI38" i="3" s="1"/>
  <c r="LI66" i="3" s="1"/>
  <c r="LI65" i="3"/>
  <c r="LJ1" i="3"/>
  <c r="LI2" i="3"/>
  <c r="LJ37" i="3" l="1"/>
  <c r="LJ38" i="3" s="1"/>
  <c r="LJ66" i="3" s="1"/>
  <c r="LJ65" i="3"/>
  <c r="LK1" i="3"/>
  <c r="LJ2" i="3"/>
  <c r="LK37" i="3" l="1"/>
  <c r="LK38" i="3" s="1"/>
  <c r="LK66" i="3" s="1"/>
  <c r="LK65" i="3"/>
  <c r="LL1" i="3"/>
  <c r="LK2" i="3"/>
  <c r="LL37" i="3" l="1"/>
  <c r="LL38" i="3" s="1"/>
  <c r="LL66" i="3" s="1"/>
  <c r="LL65" i="3"/>
  <c r="LM1" i="3"/>
  <c r="LL2" i="3"/>
  <c r="LM37" i="3" l="1"/>
  <c r="LM38" i="3" s="1"/>
  <c r="LM66" i="3" s="1"/>
  <c r="LM65" i="3"/>
  <c r="LN1" i="3"/>
  <c r="LM2" i="3"/>
  <c r="LN37" i="3" l="1"/>
  <c r="LN38" i="3" s="1"/>
  <c r="LN66" i="3" s="1"/>
  <c r="LN65" i="3"/>
  <c r="LO1" i="3"/>
  <c r="LN2" i="3"/>
  <c r="LO37" i="3" l="1"/>
  <c r="LO38" i="3" s="1"/>
  <c r="LO66" i="3" s="1"/>
  <c r="LO65" i="3"/>
  <c r="LP1" i="3"/>
  <c r="LO2" i="3"/>
  <c r="LP37" i="3" l="1"/>
  <c r="LP38" i="3" s="1"/>
  <c r="LP66" i="3" s="1"/>
  <c r="LP65" i="3"/>
  <c r="LQ1" i="3"/>
  <c r="LP2" i="3"/>
  <c r="LQ37" i="3" l="1"/>
  <c r="LQ38" i="3" s="1"/>
  <c r="LQ66" i="3" s="1"/>
  <c r="LQ65" i="3"/>
  <c r="LR1" i="3"/>
  <c r="LQ2" i="3"/>
  <c r="LR37" i="3" l="1"/>
  <c r="LR38" i="3" s="1"/>
  <c r="LR66" i="3" s="1"/>
  <c r="LR65" i="3"/>
  <c r="LS1" i="3"/>
  <c r="LR2" i="3"/>
  <c r="LS37" i="3" l="1"/>
  <c r="LS38" i="3" s="1"/>
  <c r="LS66" i="3" s="1"/>
  <c r="LS65" i="3"/>
  <c r="LT1" i="3"/>
  <c r="LS2" i="3"/>
  <c r="LT37" i="3" l="1"/>
  <c r="LT38" i="3" s="1"/>
  <c r="LT66" i="3" s="1"/>
  <c r="LT65" i="3"/>
  <c r="LU1" i="3"/>
  <c r="LT2" i="3"/>
  <c r="LU37" i="3" l="1"/>
  <c r="LU38" i="3" s="1"/>
  <c r="LU66" i="3" s="1"/>
  <c r="LU65" i="3"/>
  <c r="LV1" i="3"/>
  <c r="LU2" i="3"/>
  <c r="LV37" i="3" l="1"/>
  <c r="LV38" i="3" s="1"/>
  <c r="LV66" i="3" s="1"/>
  <c r="LV65" i="3"/>
  <c r="LW1" i="3"/>
  <c r="LV2" i="3"/>
  <c r="LW37" i="3" l="1"/>
  <c r="LW38" i="3" s="1"/>
  <c r="LW66" i="3" s="1"/>
  <c r="LW65" i="3"/>
  <c r="LX1" i="3"/>
  <c r="LW2" i="3"/>
  <c r="LX37" i="3" l="1"/>
  <c r="LX38" i="3" s="1"/>
  <c r="LX66" i="3" s="1"/>
  <c r="LX65" i="3"/>
  <c r="LY1" i="3"/>
  <c r="LX2" i="3"/>
  <c r="LY37" i="3" l="1"/>
  <c r="LY38" i="3" s="1"/>
  <c r="LY66" i="3" s="1"/>
  <c r="LY65" i="3"/>
  <c r="LZ1" i="3"/>
  <c r="LY2" i="3"/>
  <c r="LZ37" i="3" l="1"/>
  <c r="LZ38" i="3" s="1"/>
  <c r="LZ66" i="3" s="1"/>
  <c r="LZ65" i="3"/>
  <c r="MA1" i="3"/>
  <c r="LZ2" i="3"/>
  <c r="MA37" i="3" l="1"/>
  <c r="MA38" i="3" s="1"/>
  <c r="MA66" i="3" s="1"/>
  <c r="MA65" i="3"/>
  <c r="MB1" i="3"/>
  <c r="MA2" i="3"/>
  <c r="MB37" i="3" l="1"/>
  <c r="MB38" i="3" s="1"/>
  <c r="MB66" i="3" s="1"/>
  <c r="MB65" i="3"/>
  <c r="MC1" i="3"/>
  <c r="MB2" i="3"/>
  <c r="MC37" i="3" l="1"/>
  <c r="MC38" i="3" s="1"/>
  <c r="MC66" i="3" s="1"/>
  <c r="MC65" i="3"/>
  <c r="MD1" i="3"/>
  <c r="MC2" i="3"/>
  <c r="MD37" i="3" l="1"/>
  <c r="MD38" i="3" s="1"/>
  <c r="MD66" i="3" s="1"/>
  <c r="MD65" i="3"/>
  <c r="ME1" i="3"/>
  <c r="MD2" i="3"/>
  <c r="ME37" i="3" l="1"/>
  <c r="ME38" i="3" s="1"/>
  <c r="ME66" i="3" s="1"/>
  <c r="ME65" i="3"/>
  <c r="MF1" i="3"/>
  <c r="ME2" i="3"/>
  <c r="MF37" i="3" l="1"/>
  <c r="MF38" i="3" s="1"/>
  <c r="MF66" i="3" s="1"/>
  <c r="MF65" i="3"/>
  <c r="MG1" i="3"/>
  <c r="MF2" i="3"/>
  <c r="MG37" i="3" l="1"/>
  <c r="MG38" i="3" s="1"/>
  <c r="MG66" i="3" s="1"/>
  <c r="MG65" i="3"/>
  <c r="MH1" i="3"/>
  <c r="MG2" i="3"/>
  <c r="MH37" i="3" l="1"/>
  <c r="MH38" i="3" s="1"/>
  <c r="MH66" i="3" s="1"/>
  <c r="MH65" i="3"/>
  <c r="MI1" i="3"/>
  <c r="MH2" i="3"/>
  <c r="MI37" i="3" l="1"/>
  <c r="MI38" i="3" s="1"/>
  <c r="MI66" i="3" s="1"/>
  <c r="MI65" i="3"/>
  <c r="MJ1" i="3"/>
  <c r="MI2" i="3"/>
  <c r="R7" i="3"/>
  <c r="R16" i="3"/>
  <c r="R17" i="3"/>
  <c r="R9" i="3"/>
  <c r="R25" i="3"/>
  <c r="R15" i="3"/>
  <c r="R24" i="3"/>
  <c r="R20" i="3"/>
  <c r="R27" i="3"/>
  <c r="R21" i="3"/>
  <c r="R13" i="3"/>
  <c r="R19" i="3"/>
  <c r="R10" i="3"/>
  <c r="R18" i="3"/>
  <c r="R26" i="3"/>
  <c r="R23" i="3"/>
  <c r="R11" i="3"/>
  <c r="R28" i="3"/>
  <c r="R14" i="3"/>
  <c r="R12" i="3"/>
  <c r="R29" i="3"/>
  <c r="R22" i="3"/>
  <c r="Q27" i="3" l="1"/>
  <c r="MJ37" i="3"/>
  <c r="MJ38" i="3" s="1"/>
  <c r="MJ66" i="3" s="1"/>
  <c r="MJ65" i="3"/>
  <c r="MJ2" i="3"/>
</calcChain>
</file>

<file path=xl/sharedStrings.xml><?xml version="1.0" encoding="utf-8"?>
<sst xmlns="http://schemas.openxmlformats.org/spreadsheetml/2006/main" count="1200" uniqueCount="464">
  <si>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</si>
  <si>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</si>
  <si>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</si>
  <si>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</si>
  <si>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</si>
  <si>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</si>
  <si>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</si>
  <si>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</si>
  <si>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</si>
  <si>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</si>
  <si>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</si>
  <si>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</si>
  <si>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</si>
  <si>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</si>
  <si>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</si>
  <si>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</si>
  <si>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</si>
  <si>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</si>
  <si>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</si>
  <si>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</si>
  <si>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</si>
  <si>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</si>
  <si>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</si>
  <si>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</si>
  <si>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</si>
  <si>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</si>
  <si>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</si>
  <si>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</si>
  <si>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</si>
  <si>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</si>
  <si>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</si>
  <si>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</si>
  <si>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</si>
  <si>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</si>
  <si>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</si>
  <si>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</si>
  <si>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</si>
  <si>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</si>
  <si>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</si>
  <si>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</si>
  <si>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</si>
  <si>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</si>
  <si>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</si>
  <si>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</si>
  <si>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</si>
  <si>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</si>
  <si>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</si>
  <si>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</si>
  <si>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</si>
  <si>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</si>
  <si>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</si>
  <si>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</si>
  <si>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</si>
  <si>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</si>
  <si>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</si>
  <si>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</si>
  <si>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</si>
  <si>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</si>
  <si>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</si>
  <si>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</si>
  <si>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</si>
  <si>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</si>
  <si>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</si>
  <si>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</si>
  <si>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</si>
  <si>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</si>
  <si>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</si>
  <si>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</si>
  <si>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</si>
  <si>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</si>
  <si>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</si>
  <si>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</si>
  <si>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</si>
  <si>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</si>
  <si>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</si>
  <si>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</si>
  <si>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</si>
  <si>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</si>
  <si>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</si>
  <si>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</si>
  <si>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</si>
  <si>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</si>
  <si>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</si>
  <si>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</si>
  <si>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</si>
  <si>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</si>
  <si>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</si>
  <si>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</si>
  <si>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</si>
  <si>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</si>
  <si>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</si>
  <si>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</si>
  <si>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</si>
  <si>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</si>
  <si>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</si>
  <si>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</si>
  <si>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</si>
  <si>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</si>
  <si>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</si>
  <si>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</si>
  <si>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</si>
  <si>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</si>
  <si>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</si>
  <si>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</si>
  <si>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</si>
  <si>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</si>
  <si>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</si>
  <si>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</si>
  <si>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</si>
  <si>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</si>
  <si>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</si>
  <si>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</si>
  <si>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</si>
  <si>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</si>
  <si>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</si>
  <si>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</si>
  <si>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</si>
  <si>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</si>
  <si>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</si>
  <si>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</si>
  <si>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</si>
  <si>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</si>
  <si>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</si>
  <si>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</si>
  <si>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</si>
  <si>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</si>
  <si>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</si>
  <si>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</si>
  <si>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</si>
  <si>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</si>
  <si>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</si>
  <si>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</si>
  <si>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</si>
  <si>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</si>
  <si>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</si>
  <si>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</si>
  <si>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</si>
  <si>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</si>
  <si>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</si>
  <si>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</si>
  <si>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</si>
  <si>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</si>
  <si>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</si>
  <si>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</si>
  <si>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</si>
  <si>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</si>
  <si>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</si>
  <si>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</si>
  <si>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</si>
  <si>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</si>
  <si>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</si>
  <si>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</si>
  <si>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</si>
  <si>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</si>
  <si>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</si>
  <si>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</si>
  <si>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</si>
  <si>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</si>
  <si>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</si>
  <si>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</si>
  <si>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</si>
  <si>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</si>
  <si>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</si>
  <si>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</si>
  <si>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</si>
  <si>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</si>
  <si>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</si>
  <si>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</si>
  <si>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</si>
  <si>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</si>
  <si>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</si>
  <si>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</si>
  <si>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</si>
  <si>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</si>
  <si>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</si>
  <si>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</si>
  <si>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</si>
  <si>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</si>
  <si>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</si>
  <si>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</si>
  <si>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</si>
  <si>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</si>
  <si>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</si>
  <si>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</si>
  <si>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</si>
  <si>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</si>
  <si>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</si>
  <si>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</si>
  <si>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</si>
  <si>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</si>
  <si>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</si>
  <si>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</si>
  <si>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</si>
  <si>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</si>
  <si>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</si>
  <si>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</si>
  <si>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</si>
  <si>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</si>
  <si>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</si>
  <si>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</si>
  <si>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</si>
  <si>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</si>
  <si>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</si>
  <si>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</si>
  <si>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</si>
  <si>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</si>
  <si>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</si>
  <si>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</si>
  <si>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</si>
  <si>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</si>
  <si>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</si>
  <si>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</si>
  <si>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</si>
  <si>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</si>
  <si>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</si>
  <si>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</si>
  <si>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</si>
  <si>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</si>
  <si>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</si>
  <si>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</si>
  <si>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</si>
  <si>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</si>
  <si>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</si>
  <si>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</si>
  <si>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</si>
  <si>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</si>
  <si>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</si>
  <si>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</si>
  <si>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</si>
  <si>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</si>
  <si>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</si>
  <si>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</si>
  <si>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</si>
  <si>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</si>
  <si>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</si>
  <si>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</si>
  <si>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</si>
  <si>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</si>
  <si>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</si>
  <si>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</si>
  <si>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</si>
  <si>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</si>
  <si>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</si>
  <si>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</si>
  <si>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</si>
  <si>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</si>
  <si>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</si>
  <si>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</si>
  <si>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</si>
  <si>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</si>
  <si>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</si>
  <si>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</si>
  <si>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</si>
  <si>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</si>
  <si>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</si>
  <si>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</si>
  <si>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</si>
  <si>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</si>
  <si>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</si>
  <si>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</si>
  <si>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</si>
  <si>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</si>
  <si>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</si>
  <si>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</si>
  <si>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</si>
  <si>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</si>
  <si>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</si>
  <si>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</si>
  <si>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</si>
  <si>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</si>
  <si>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</si>
  <si>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</si>
  <si>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</si>
  <si>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</si>
  <si>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</si>
  <si>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</si>
  <si>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</si>
  <si>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</si>
  <si>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</si>
  <si>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</si>
  <si>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</si>
  <si>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</si>
  <si>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</si>
  <si>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</si>
  <si>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</si>
  <si>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</si>
  <si>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</si>
  <si>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</si>
  <si>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</si>
  <si>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</si>
  <si>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</si>
  <si>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</si>
  <si>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</si>
  <si>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</si>
  <si>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</si>
  <si>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</si>
  <si>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</si>
  <si>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</si>
  <si>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</si>
  <si>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</si>
  <si>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</si>
  <si>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</si>
  <si>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</si>
  <si>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</si>
  <si>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</si>
  <si>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</si>
  <si>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</si>
  <si>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</si>
  <si>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</si>
  <si>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</si>
  <si>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</si>
  <si>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</si>
  <si>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</si>
  <si>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</si>
  <si>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</si>
  <si>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</si>
  <si>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</si>
  <si>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</si>
  <si>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</si>
  <si>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</si>
  <si>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</si>
  <si>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</si>
  <si>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</si>
  <si>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</si>
  <si>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</si>
  <si>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</si>
  <si>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</si>
  <si>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</si>
  <si>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</si>
  <si>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</si>
  <si>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</si>
  <si>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</si>
  <si>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</si>
  <si>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</si>
  <si>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</si>
  <si>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</si>
  <si>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</si>
  <si>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</si>
  <si>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</si>
  <si>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</si>
  <si>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</si>
  <si>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</si>
  <si>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</si>
  <si>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</si>
  <si>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</si>
  <si>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</si>
  <si>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</si>
  <si>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</si>
  <si>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</si>
  <si>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</si>
  <si>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</si>
  <si>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</si>
  <si>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</si>
  <si>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</si>
  <si>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</si>
  <si>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</si>
  <si>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</si>
  <si>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</si>
  <si>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</si>
  <si>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</si>
  <si>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</si>
  <si>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</si>
  <si>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</si>
  <si>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</si>
  <si>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</si>
  <si>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</si>
  <si>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</si>
  <si>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</si>
  <si>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</si>
  <si>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</si>
  <si>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</si>
  <si>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</si>
  <si>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</si>
  <si>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</si>
  <si>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</si>
  <si>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</si>
  <si>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Knie - Pause bis Nov.</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</si>
  <si>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</si>
  <si>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</si>
  <si>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</si>
  <si>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</si>
  <si>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</si>
  <si>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</si>
  <si>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</si>
  <si>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</si>
  <si>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</si>
  <si>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</si>
  <si>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</si>
  <si>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</si>
  <si>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</si>
  <si>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</si>
  <si>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</si>
  <si>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</si>
  <si>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</si>
  <si>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</si>
  <si>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</si>
  <si>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</si>
  <si>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</si>
  <si>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</si>
  <si>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</si>
  <si>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</si>
  <si>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</si>
  <si>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</si>
  <si>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</si>
  <si>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</si>
  <si>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</si>
  <si>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</si>
  <si>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</si>
  <si>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</si>
  <si>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</si>
  <si>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</si>
  <si>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</si>
  <si>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</si>
  <si>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</si>
  <si>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</si>
  <si>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</si>
  <si>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</si>
  <si>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</si>
  <si>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</si>
  <si>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</si>
  <si>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</si>
  <si>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</si>
  <si>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</si>
  <si>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</si>
  <si>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</si>
  <si>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</si>
  <si>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</si>
  <si>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</si>
  <si>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</si>
  <si>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</si>
  <si>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</si>
  <si>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</si>
  <si>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</si>
  <si>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</si>
  <si>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</si>
  <si>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</si>
  <si>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</si>
  <si>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Weniger Schrittstellung, schulterbreit stehen, konsequent links-rechts!
Ohne Ellbogen aufspielen.
Hoch bleiben beim Schupfer.</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</si>
  <si>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</si>
  <si>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</si>
  <si>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</si>
  <si>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</si>
  <si>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</si>
  <si>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</si>
  <si>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Alessa</t>
  </si>
  <si>
    <t>(Kickboxen)</t>
  </si>
  <si>
    <t>Terrassenbad (5+2)</t>
  </si>
  <si>
    <t>je 2x Aufspielerviereck + Aufspieler in der Mitte spielt immer über Kopf
6x12 - Verteidigung nach Seitwärtsbewegung
Einschlagen nach Verteidigung
Winners Score</t>
  </si>
  <si>
    <t>Schulbeginn</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</si>
  <si>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</si>
  <si>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</si>
  <si>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</si>
  <si>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</si>
  <si>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</si>
  <si>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</si>
  <si>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</si>
  <si>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</si>
  <si>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</si>
  <si>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</si>
  <si>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</si>
  <si>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</si>
  <si>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</si>
  <si>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14</t>
  </si>
  <si>
    <t>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</si>
</sst>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yy;@"/>
    <numFmt numFmtId="165" formatCode="yyyy\-mm\-dd;@"/>
    <numFmt numFmtId="166" formatCode="d"/>
    <numFmt numFmtId="167" formatCode="dd/mm/yy"/>
  </numFmts>
  <fonts count="12"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sz val="10"/>
      <name val="Arial Narrow"/>
      <family val="2"/>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style="hair">
        <color indexed="64"/>
      </left>
      <right style="hair">
        <color indexed="64"/>
      </right>
      <top style="hair">
        <color indexed="64"/>
      </top>
      <bottom style="hair">
        <color indexed="64"/>
      </bottom>
      <diagonal/>
    </border>
  </borders>
  <cellStyleXfs count="2">
    <xf numFmtId="0" fontId="0" fillId="0" borderId="0"/>
    <xf numFmtId="0" fontId="3" fillId="2" borderId="1" applyNumberFormat="0" applyAlignment="0" applyProtection="0"/>
  </cellStyleXfs>
  <cellXfs count="162">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3" borderId="16" xfId="0" applyFill="1" applyBorder="1"/>
    <xf numFmtId="0" fontId="1" fillId="3" borderId="16" xfId="0" applyFont="1" applyFill="1" applyBorder="1"/>
    <xf numFmtId="0" fontId="0" fillId="3" borderId="17" xfId="0" applyFill="1" applyBorder="1"/>
    <xf numFmtId="0" fontId="0" fillId="3" borderId="15" xfId="0"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xf numFmtId="0" fontId="11" fillId="0" borderId="18" xfId="0" applyFont="1" applyBorder="1" applyAlignment="1">
      <alignment vertical="center"/>
    </xf>
    <xf numFmtId="167" fontId="11" fillId="0" borderId="18" xfId="0" applyNumberFormat="1" applyFont="1" applyBorder="1" applyAlignment="1">
      <alignment horizontal="right" vertical="center"/>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88</xdr:row>
          <xdr:rowOff>28575</xdr:rowOff>
        </xdr:from>
        <xdr:to>
          <xdr:col>0</xdr:col>
          <xdr:colOff>676275</xdr:colOff>
          <xdr:row>90</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92</xdr:row>
          <xdr:rowOff>28575</xdr:rowOff>
        </xdr:from>
        <xdr:to>
          <xdr:col>9</xdr:col>
          <xdr:colOff>47625</xdr:colOff>
          <xdr:row>93</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J111"/>
  <sheetViews>
    <sheetView tabSelected="1" zoomScaleNormal="100" workbookViewId="0">
      <pane xSplit="18" ySplit="3" topLeftCell="S52" activePane="bottomRight" state="frozen"/>
      <selection pane="topRight" activeCell="F1" sqref="F1"/>
      <selection pane="bottomLeft" activeCell="A3" sqref="A3"/>
      <selection pane="bottomRight" activeCell="F92" sqref="F92"/>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48" width="3.140625" customWidth="1"/>
  </cols>
  <sheetData>
    <row r="1" spans="1:348" ht="69.75" hidden="1" customHeight="1" x14ac:dyDescent="0.25">
      <c r="P1" s="119" t="s">
        <v>410</v>
      </c>
      <c r="Q1" s="120" t="s">
        <v>410</v>
      </c>
      <c r="R1" s="121" t="s">
        <v>410</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379</v>
      </c>
      <c r="BY1" s="49" t="s">
        <v>360</v>
      </c>
      <c r="BZ1" s="47">
        <f>BW1 + 1</f>
        <v>44032</v>
      </c>
      <c r="CA1" s="47">
        <f t="shared" si="0"/>
        <v>44033</v>
      </c>
      <c r="CB1" s="47">
        <f t="shared" si="0"/>
        <v>44034</v>
      </c>
      <c r="CC1" s="47">
        <f t="shared" si="0"/>
        <v>44035</v>
      </c>
      <c r="CD1" s="47">
        <f t="shared" si="0"/>
        <v>44036</v>
      </c>
      <c r="CE1" s="47">
        <f t="shared" si="0"/>
        <v>44037</v>
      </c>
      <c r="CF1" s="98">
        <f>CE1 + 1</f>
        <v>44038</v>
      </c>
      <c r="CG1" s="98" t="s">
        <v>383</v>
      </c>
      <c r="CH1" s="49" t="s">
        <v>361</v>
      </c>
      <c r="CI1" s="47">
        <f>CF1 + 1</f>
        <v>44039</v>
      </c>
      <c r="CJ1" s="47">
        <f t="shared" ref="CJ1:FD1" si="1">CI1 + 1</f>
        <v>44040</v>
      </c>
      <c r="CK1" s="47">
        <f t="shared" si="1"/>
        <v>44041</v>
      </c>
      <c r="CL1" s="47">
        <f t="shared" si="1"/>
        <v>44042</v>
      </c>
      <c r="CM1" s="47">
        <f t="shared" si="1"/>
        <v>44043</v>
      </c>
      <c r="CN1" s="47">
        <f t="shared" si="1"/>
        <v>44044</v>
      </c>
      <c r="CO1" s="47">
        <f t="shared" si="1"/>
        <v>44045</v>
      </c>
      <c r="CP1" s="47" t="s">
        <v>384</v>
      </c>
      <c r="CQ1" s="49" t="s">
        <v>377</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405</v>
      </c>
      <c r="CZ1" s="108" t="s">
        <v>406</v>
      </c>
      <c r="DA1" s="47">
        <f>CX1 + 1</f>
        <v>44053</v>
      </c>
      <c r="DB1" s="47">
        <f t="shared" si="1"/>
        <v>44054</v>
      </c>
      <c r="DC1" s="47">
        <f t="shared" si="1"/>
        <v>44055</v>
      </c>
      <c r="DD1" s="47">
        <f t="shared" si="1"/>
        <v>44056</v>
      </c>
      <c r="DE1" s="47">
        <f t="shared" si="1"/>
        <v>44057</v>
      </c>
      <c r="DF1" s="47">
        <f t="shared" si="1"/>
        <v>44058</v>
      </c>
      <c r="DG1" s="47">
        <f t="shared" si="1"/>
        <v>44059</v>
      </c>
      <c r="DH1" s="47" t="s">
        <v>412</v>
      </c>
      <c r="DI1" s="49" t="s">
        <v>413</v>
      </c>
      <c r="DJ1" s="47">
        <f>DG1 + 1</f>
        <v>44060</v>
      </c>
      <c r="DK1" s="47">
        <f t="shared" si="1"/>
        <v>44061</v>
      </c>
      <c r="DL1" s="47">
        <f t="shared" si="1"/>
        <v>44062</v>
      </c>
      <c r="DM1" s="47">
        <f t="shared" si="1"/>
        <v>44063</v>
      </c>
      <c r="DN1" s="47">
        <f t="shared" si="1"/>
        <v>44064</v>
      </c>
      <c r="DO1" s="47">
        <f t="shared" si="1"/>
        <v>44065</v>
      </c>
      <c r="DP1" s="47">
        <f t="shared" si="1"/>
        <v>44066</v>
      </c>
      <c r="DQ1" s="47" t="s">
        <v>426</v>
      </c>
      <c r="DR1" s="49" t="s">
        <v>427</v>
      </c>
      <c r="DS1" s="47">
        <f>DP1 + 1</f>
        <v>44067</v>
      </c>
      <c r="DT1" s="47">
        <f t="shared" si="1"/>
        <v>44068</v>
      </c>
      <c r="DU1" s="47">
        <f t="shared" si="1"/>
        <v>44069</v>
      </c>
      <c r="DV1" s="47">
        <f t="shared" si="1"/>
        <v>44070</v>
      </c>
      <c r="DW1" s="47">
        <f t="shared" si="1"/>
        <v>44071</v>
      </c>
      <c r="DX1" s="47">
        <f t="shared" si="1"/>
        <v>44072</v>
      </c>
      <c r="DY1" s="47">
        <f t="shared" si="1"/>
        <v>44073</v>
      </c>
      <c r="DZ1" s="47" t="s">
        <v>429</v>
      </c>
      <c r="EA1" s="49" t="s">
        <v>430</v>
      </c>
      <c r="EB1" s="47">
        <f>DY1 + 1</f>
        <v>44074</v>
      </c>
      <c r="EC1" s="47">
        <f t="shared" si="1"/>
        <v>44075</v>
      </c>
      <c r="ED1" s="47">
        <f t="shared" si="1"/>
        <v>44076</v>
      </c>
      <c r="EE1" s="47">
        <f t="shared" si="1"/>
        <v>44077</v>
      </c>
      <c r="EF1" s="47">
        <f t="shared" si="1"/>
        <v>44078</v>
      </c>
      <c r="EG1" s="47">
        <f t="shared" si="1"/>
        <v>44079</v>
      </c>
      <c r="EH1" s="49">
        <f t="shared" si="1"/>
        <v>44080</v>
      </c>
      <c r="EI1" s="47">
        <f t="shared" si="1"/>
        <v>44081</v>
      </c>
      <c r="EJ1" s="47">
        <f t="shared" si="1"/>
        <v>44082</v>
      </c>
      <c r="EK1" s="47">
        <f t="shared" si="1"/>
        <v>44083</v>
      </c>
      <c r="EL1" s="47">
        <f t="shared" si="1"/>
        <v>44084</v>
      </c>
      <c r="EM1" s="47">
        <f t="shared" si="1"/>
        <v>44085</v>
      </c>
      <c r="EN1" s="47">
        <f t="shared" si="1"/>
        <v>44086</v>
      </c>
      <c r="EO1" s="49">
        <f t="shared" si="1"/>
        <v>44087</v>
      </c>
      <c r="EP1" s="47">
        <f t="shared" si="1"/>
        <v>44088</v>
      </c>
      <c r="EQ1" s="47">
        <f t="shared" si="1"/>
        <v>44089</v>
      </c>
      <c r="ER1" s="47">
        <f t="shared" si="1"/>
        <v>44090</v>
      </c>
      <c r="ES1" s="47">
        <f t="shared" si="1"/>
        <v>44091</v>
      </c>
      <c r="ET1" s="47">
        <f t="shared" si="1"/>
        <v>44092</v>
      </c>
      <c r="EU1" s="47">
        <f t="shared" si="1"/>
        <v>44093</v>
      </c>
      <c r="EV1" s="49">
        <f>EU1 + 1</f>
        <v>44094</v>
      </c>
      <c r="EW1" s="47">
        <f t="shared" si="1"/>
        <v>44095</v>
      </c>
      <c r="EX1" s="47">
        <f t="shared" si="1"/>
        <v>44096</v>
      </c>
      <c r="EY1" s="47">
        <f t="shared" si="1"/>
        <v>44097</v>
      </c>
      <c r="EZ1" s="47">
        <f t="shared" si="1"/>
        <v>44098</v>
      </c>
      <c r="FA1" s="47">
        <f t="shared" si="1"/>
        <v>44099</v>
      </c>
      <c r="FB1" s="47">
        <f t="shared" si="1"/>
        <v>44100</v>
      </c>
      <c r="FC1" s="49">
        <f t="shared" si="1"/>
        <v>44101</v>
      </c>
      <c r="FD1" s="47">
        <f t="shared" si="1"/>
        <v>44102</v>
      </c>
      <c r="FE1" s="47">
        <f t="shared" ref="FE1:HP1" si="4">FD1 + 1</f>
        <v>44103</v>
      </c>
      <c r="FF1" s="47">
        <f t="shared" si="4"/>
        <v>44104</v>
      </c>
      <c r="FG1" s="47">
        <f t="shared" si="4"/>
        <v>44105</v>
      </c>
      <c r="FH1" s="47">
        <f t="shared" si="4"/>
        <v>44106</v>
      </c>
      <c r="FI1" s="47">
        <f t="shared" si="4"/>
        <v>44107</v>
      </c>
      <c r="FJ1" s="49">
        <f t="shared" si="4"/>
        <v>44108</v>
      </c>
      <c r="FK1" s="47">
        <f t="shared" si="4"/>
        <v>44109</v>
      </c>
      <c r="FL1" s="47">
        <f t="shared" si="4"/>
        <v>44110</v>
      </c>
      <c r="FM1" s="47">
        <f t="shared" si="4"/>
        <v>44111</v>
      </c>
      <c r="FN1" s="47">
        <f t="shared" si="4"/>
        <v>44112</v>
      </c>
      <c r="FO1" s="47">
        <f t="shared" si="4"/>
        <v>44113</v>
      </c>
      <c r="FP1" s="47">
        <f t="shared" si="4"/>
        <v>44114</v>
      </c>
      <c r="FQ1" s="49">
        <f t="shared" si="4"/>
        <v>44115</v>
      </c>
      <c r="FR1" s="47">
        <f t="shared" si="4"/>
        <v>44116</v>
      </c>
      <c r="FS1" s="47">
        <f t="shared" si="4"/>
        <v>44117</v>
      </c>
      <c r="FT1" s="47">
        <f t="shared" si="4"/>
        <v>44118</v>
      </c>
      <c r="FU1" s="47">
        <f t="shared" si="4"/>
        <v>44119</v>
      </c>
      <c r="FV1" s="47">
        <f t="shared" si="4"/>
        <v>44120</v>
      </c>
      <c r="FW1" s="47">
        <f t="shared" si="4"/>
        <v>44121</v>
      </c>
      <c r="FX1" s="49">
        <f t="shared" si="4"/>
        <v>44122</v>
      </c>
      <c r="FY1" s="47">
        <f t="shared" si="4"/>
        <v>44123</v>
      </c>
      <c r="FZ1" s="47">
        <f t="shared" si="4"/>
        <v>44124</v>
      </c>
      <c r="GA1" s="47">
        <f t="shared" si="4"/>
        <v>44125</v>
      </c>
      <c r="GB1" s="47">
        <f t="shared" si="4"/>
        <v>44126</v>
      </c>
      <c r="GC1" s="47">
        <f t="shared" si="4"/>
        <v>44127</v>
      </c>
      <c r="GD1" s="47">
        <f t="shared" si="4"/>
        <v>44128</v>
      </c>
      <c r="GE1" s="49">
        <f t="shared" si="4"/>
        <v>44129</v>
      </c>
      <c r="GF1" s="47">
        <f t="shared" si="4"/>
        <v>44130</v>
      </c>
      <c r="GG1" s="47">
        <f t="shared" si="4"/>
        <v>44131</v>
      </c>
      <c r="GH1" s="47">
        <f t="shared" si="4"/>
        <v>44132</v>
      </c>
      <c r="GI1" s="47">
        <f t="shared" si="4"/>
        <v>44133</v>
      </c>
      <c r="GJ1" s="47">
        <f t="shared" si="4"/>
        <v>44134</v>
      </c>
      <c r="GK1" s="47">
        <f t="shared" si="4"/>
        <v>44135</v>
      </c>
      <c r="GL1" s="49">
        <f t="shared" si="4"/>
        <v>44136</v>
      </c>
      <c r="GM1" s="47">
        <f t="shared" si="4"/>
        <v>44137</v>
      </c>
      <c r="GN1" s="47">
        <f t="shared" si="4"/>
        <v>44138</v>
      </c>
      <c r="GO1" s="47">
        <f t="shared" si="4"/>
        <v>44139</v>
      </c>
      <c r="GP1" s="47">
        <f t="shared" si="4"/>
        <v>44140</v>
      </c>
      <c r="GQ1" s="47">
        <f t="shared" si="4"/>
        <v>44141</v>
      </c>
      <c r="GR1" s="47">
        <f t="shared" si="4"/>
        <v>44142</v>
      </c>
      <c r="GS1" s="49">
        <f t="shared" si="4"/>
        <v>44143</v>
      </c>
      <c r="GT1" s="47">
        <f t="shared" si="4"/>
        <v>44144</v>
      </c>
      <c r="GU1" s="47">
        <f t="shared" si="4"/>
        <v>44145</v>
      </c>
      <c r="GV1" s="47">
        <f t="shared" si="4"/>
        <v>44146</v>
      </c>
      <c r="GW1" s="47">
        <f t="shared" si="4"/>
        <v>44147</v>
      </c>
      <c r="GX1" s="47">
        <f t="shared" si="4"/>
        <v>44148</v>
      </c>
      <c r="GY1" s="47">
        <f t="shared" si="4"/>
        <v>44149</v>
      </c>
      <c r="GZ1" s="49">
        <f t="shared" si="4"/>
        <v>44150</v>
      </c>
      <c r="HA1" s="47">
        <f t="shared" si="4"/>
        <v>44151</v>
      </c>
      <c r="HB1" s="47">
        <f t="shared" si="4"/>
        <v>44152</v>
      </c>
      <c r="HC1" s="47">
        <f t="shared" si="4"/>
        <v>44153</v>
      </c>
      <c r="HD1" s="47">
        <f t="shared" si="4"/>
        <v>44154</v>
      </c>
      <c r="HE1" s="47">
        <f t="shared" si="4"/>
        <v>44155</v>
      </c>
      <c r="HF1" s="47">
        <f t="shared" si="4"/>
        <v>44156</v>
      </c>
      <c r="HG1" s="49">
        <f t="shared" si="4"/>
        <v>44157</v>
      </c>
      <c r="HH1" s="47">
        <f t="shared" si="4"/>
        <v>44158</v>
      </c>
      <c r="HI1" s="47">
        <f t="shared" si="4"/>
        <v>44159</v>
      </c>
      <c r="HJ1" s="47">
        <f t="shared" si="4"/>
        <v>44160</v>
      </c>
      <c r="HK1" s="47">
        <f t="shared" si="4"/>
        <v>44161</v>
      </c>
      <c r="HL1" s="47">
        <f t="shared" si="4"/>
        <v>44162</v>
      </c>
      <c r="HM1" s="47">
        <f t="shared" si="4"/>
        <v>44163</v>
      </c>
      <c r="HN1" s="49">
        <f t="shared" si="4"/>
        <v>44164</v>
      </c>
      <c r="HO1" s="47">
        <f t="shared" si="4"/>
        <v>44165</v>
      </c>
      <c r="HP1" s="47">
        <f t="shared" si="4"/>
        <v>44166</v>
      </c>
      <c r="HQ1" s="47">
        <f t="shared" ref="HQ1:KB1" si="5">HP1 + 1</f>
        <v>44167</v>
      </c>
      <c r="HR1" s="47">
        <f t="shared" si="5"/>
        <v>44168</v>
      </c>
      <c r="HS1" s="47">
        <f t="shared" si="5"/>
        <v>44169</v>
      </c>
      <c r="HT1" s="47">
        <f t="shared" si="5"/>
        <v>44170</v>
      </c>
      <c r="HU1" s="49">
        <f t="shared" si="5"/>
        <v>44171</v>
      </c>
      <c r="HV1" s="47">
        <f t="shared" si="5"/>
        <v>44172</v>
      </c>
      <c r="HW1" s="47">
        <f t="shared" si="5"/>
        <v>44173</v>
      </c>
      <c r="HX1" s="47">
        <f t="shared" si="5"/>
        <v>44174</v>
      </c>
      <c r="HY1" s="47">
        <f t="shared" si="5"/>
        <v>44175</v>
      </c>
      <c r="HZ1" s="47">
        <f t="shared" si="5"/>
        <v>44176</v>
      </c>
      <c r="IA1" s="47">
        <f t="shared" si="5"/>
        <v>44177</v>
      </c>
      <c r="IB1" s="49">
        <f t="shared" si="5"/>
        <v>44178</v>
      </c>
      <c r="IC1" s="47">
        <f t="shared" si="5"/>
        <v>44179</v>
      </c>
      <c r="ID1" s="47">
        <f t="shared" si="5"/>
        <v>44180</v>
      </c>
      <c r="IE1" s="47">
        <f t="shared" si="5"/>
        <v>44181</v>
      </c>
      <c r="IF1" s="47">
        <f t="shared" si="5"/>
        <v>44182</v>
      </c>
      <c r="IG1" s="47">
        <f t="shared" si="5"/>
        <v>44183</v>
      </c>
      <c r="IH1" s="47">
        <f t="shared" si="5"/>
        <v>44184</v>
      </c>
      <c r="II1" s="49">
        <f t="shared" si="5"/>
        <v>44185</v>
      </c>
      <c r="IJ1" s="47">
        <f t="shared" si="5"/>
        <v>44186</v>
      </c>
      <c r="IK1" s="47">
        <f t="shared" si="5"/>
        <v>44187</v>
      </c>
      <c r="IL1" s="47">
        <f t="shared" si="5"/>
        <v>44188</v>
      </c>
      <c r="IM1" s="47">
        <f t="shared" si="5"/>
        <v>44189</v>
      </c>
      <c r="IN1" s="47">
        <f t="shared" si="5"/>
        <v>44190</v>
      </c>
      <c r="IO1" s="47">
        <f t="shared" si="5"/>
        <v>44191</v>
      </c>
      <c r="IP1" s="49">
        <f t="shared" si="5"/>
        <v>44192</v>
      </c>
      <c r="IQ1" s="47">
        <f t="shared" si="5"/>
        <v>44193</v>
      </c>
      <c r="IR1" s="47">
        <f t="shared" si="5"/>
        <v>44194</v>
      </c>
      <c r="IS1" s="47">
        <f t="shared" si="5"/>
        <v>44195</v>
      </c>
      <c r="IT1" s="47">
        <f t="shared" si="5"/>
        <v>44196</v>
      </c>
      <c r="IU1" s="47">
        <f t="shared" si="5"/>
        <v>44197</v>
      </c>
      <c r="IV1" s="47">
        <f t="shared" si="5"/>
        <v>44198</v>
      </c>
      <c r="IW1" s="49">
        <f t="shared" si="5"/>
        <v>44199</v>
      </c>
      <c r="IX1" s="47">
        <f t="shared" si="5"/>
        <v>44200</v>
      </c>
      <c r="IY1" s="47">
        <f t="shared" si="5"/>
        <v>44201</v>
      </c>
      <c r="IZ1" s="47">
        <f t="shared" si="5"/>
        <v>44202</v>
      </c>
      <c r="JA1" s="47">
        <f t="shared" si="5"/>
        <v>44203</v>
      </c>
      <c r="JB1" s="47">
        <f t="shared" si="5"/>
        <v>44204</v>
      </c>
      <c r="JC1" s="47">
        <f t="shared" si="5"/>
        <v>44205</v>
      </c>
      <c r="JD1" s="49">
        <f t="shared" si="5"/>
        <v>44206</v>
      </c>
      <c r="JE1" s="47">
        <f t="shared" si="5"/>
        <v>44207</v>
      </c>
      <c r="JF1" s="47">
        <f t="shared" si="5"/>
        <v>44208</v>
      </c>
      <c r="JG1" s="47">
        <f t="shared" si="5"/>
        <v>44209</v>
      </c>
      <c r="JH1" s="47">
        <f t="shared" si="5"/>
        <v>44210</v>
      </c>
      <c r="JI1" s="47">
        <f t="shared" si="5"/>
        <v>44211</v>
      </c>
      <c r="JJ1" s="47">
        <f t="shared" si="5"/>
        <v>44212</v>
      </c>
      <c r="JK1" s="49">
        <f t="shared" si="5"/>
        <v>44213</v>
      </c>
      <c r="JL1" s="47">
        <f t="shared" si="5"/>
        <v>44214</v>
      </c>
      <c r="JM1" s="47">
        <f t="shared" si="5"/>
        <v>44215</v>
      </c>
      <c r="JN1" s="47">
        <f t="shared" si="5"/>
        <v>44216</v>
      </c>
      <c r="JO1" s="47">
        <f t="shared" si="5"/>
        <v>44217</v>
      </c>
      <c r="JP1" s="47">
        <f t="shared" si="5"/>
        <v>44218</v>
      </c>
      <c r="JQ1" s="47">
        <f t="shared" si="5"/>
        <v>44219</v>
      </c>
      <c r="JR1" s="49">
        <f t="shared" si="5"/>
        <v>44220</v>
      </c>
      <c r="JS1" s="47">
        <f t="shared" si="5"/>
        <v>44221</v>
      </c>
      <c r="JT1" s="47">
        <f t="shared" si="5"/>
        <v>44222</v>
      </c>
      <c r="JU1" s="47">
        <f t="shared" si="5"/>
        <v>44223</v>
      </c>
      <c r="JV1" s="47">
        <f t="shared" si="5"/>
        <v>44224</v>
      </c>
      <c r="JW1" s="47">
        <f t="shared" si="5"/>
        <v>44225</v>
      </c>
      <c r="JX1" s="47">
        <f t="shared" si="5"/>
        <v>44226</v>
      </c>
      <c r="JY1" s="49">
        <f t="shared" si="5"/>
        <v>44227</v>
      </c>
      <c r="JZ1" s="47">
        <f t="shared" si="5"/>
        <v>44228</v>
      </c>
      <c r="KA1" s="47">
        <f t="shared" si="5"/>
        <v>44229</v>
      </c>
      <c r="KB1" s="47">
        <f t="shared" si="5"/>
        <v>44230</v>
      </c>
      <c r="KC1" s="47">
        <f t="shared" ref="KC1:MJ1" si="6">KB1 + 1</f>
        <v>44231</v>
      </c>
      <c r="KD1" s="47">
        <f t="shared" si="6"/>
        <v>44232</v>
      </c>
      <c r="KE1" s="47">
        <f t="shared" si="6"/>
        <v>44233</v>
      </c>
      <c r="KF1" s="49">
        <f t="shared" si="6"/>
        <v>44234</v>
      </c>
      <c r="KG1" s="47">
        <f t="shared" si="6"/>
        <v>44235</v>
      </c>
      <c r="KH1" s="47">
        <f t="shared" si="6"/>
        <v>44236</v>
      </c>
      <c r="KI1" s="47">
        <f t="shared" si="6"/>
        <v>44237</v>
      </c>
      <c r="KJ1" s="47">
        <f t="shared" si="6"/>
        <v>44238</v>
      </c>
      <c r="KK1" s="47">
        <f t="shared" si="6"/>
        <v>44239</v>
      </c>
      <c r="KL1" s="47">
        <f t="shared" si="6"/>
        <v>44240</v>
      </c>
      <c r="KM1" s="49">
        <f t="shared" si="6"/>
        <v>44241</v>
      </c>
      <c r="KN1" s="47">
        <f t="shared" si="6"/>
        <v>44242</v>
      </c>
      <c r="KO1" s="47">
        <f t="shared" si="6"/>
        <v>44243</v>
      </c>
      <c r="KP1" s="47">
        <f t="shared" si="6"/>
        <v>44244</v>
      </c>
      <c r="KQ1" s="47">
        <f t="shared" si="6"/>
        <v>44245</v>
      </c>
      <c r="KR1" s="47">
        <f t="shared" si="6"/>
        <v>44246</v>
      </c>
      <c r="KS1" s="47">
        <f t="shared" si="6"/>
        <v>44247</v>
      </c>
      <c r="KT1" s="49">
        <f t="shared" si="6"/>
        <v>44248</v>
      </c>
      <c r="KU1" s="47">
        <f t="shared" si="6"/>
        <v>44249</v>
      </c>
      <c r="KV1" s="47">
        <f t="shared" si="6"/>
        <v>44250</v>
      </c>
      <c r="KW1" s="47">
        <f t="shared" si="6"/>
        <v>44251</v>
      </c>
      <c r="KX1" s="47">
        <f t="shared" si="6"/>
        <v>44252</v>
      </c>
      <c r="KY1" s="47">
        <f t="shared" si="6"/>
        <v>44253</v>
      </c>
      <c r="KZ1" s="47">
        <f t="shared" si="6"/>
        <v>44254</v>
      </c>
      <c r="LA1" s="49">
        <f t="shared" si="6"/>
        <v>44255</v>
      </c>
      <c r="LB1" s="47">
        <f t="shared" si="6"/>
        <v>44256</v>
      </c>
      <c r="LC1" s="47">
        <f t="shared" si="6"/>
        <v>44257</v>
      </c>
      <c r="LD1" s="47">
        <f t="shared" si="6"/>
        <v>44258</v>
      </c>
      <c r="LE1" s="47">
        <f t="shared" si="6"/>
        <v>44259</v>
      </c>
      <c r="LF1" s="47">
        <f t="shared" si="6"/>
        <v>44260</v>
      </c>
      <c r="LG1" s="47">
        <f t="shared" si="6"/>
        <v>44261</v>
      </c>
      <c r="LH1" s="49">
        <f t="shared" si="6"/>
        <v>44262</v>
      </c>
      <c r="LI1" s="47">
        <f t="shared" si="6"/>
        <v>44263</v>
      </c>
      <c r="LJ1" s="47">
        <f t="shared" si="6"/>
        <v>44264</v>
      </c>
      <c r="LK1" s="47">
        <f t="shared" si="6"/>
        <v>44265</v>
      </c>
      <c r="LL1" s="47">
        <f t="shared" si="6"/>
        <v>44266</v>
      </c>
      <c r="LM1" s="47">
        <f t="shared" si="6"/>
        <v>44267</v>
      </c>
      <c r="LN1" s="47">
        <f t="shared" si="6"/>
        <v>44268</v>
      </c>
      <c r="LO1" s="49">
        <f t="shared" si="6"/>
        <v>44269</v>
      </c>
      <c r="LP1" s="47">
        <f t="shared" si="6"/>
        <v>44270</v>
      </c>
      <c r="LQ1" s="47">
        <f t="shared" si="6"/>
        <v>44271</v>
      </c>
      <c r="LR1" s="47">
        <f t="shared" si="6"/>
        <v>44272</v>
      </c>
      <c r="LS1" s="47">
        <f t="shared" si="6"/>
        <v>44273</v>
      </c>
      <c r="LT1" s="47">
        <f t="shared" si="6"/>
        <v>44274</v>
      </c>
      <c r="LU1" s="47">
        <f t="shared" si="6"/>
        <v>44275</v>
      </c>
      <c r="LV1" s="49">
        <f t="shared" si="6"/>
        <v>44276</v>
      </c>
      <c r="LW1" s="47">
        <f t="shared" si="6"/>
        <v>44277</v>
      </c>
      <c r="LX1" s="47">
        <f t="shared" si="6"/>
        <v>44278</v>
      </c>
      <c r="LY1" s="47">
        <f t="shared" si="6"/>
        <v>44279</v>
      </c>
      <c r="LZ1" s="47">
        <f t="shared" si="6"/>
        <v>44280</v>
      </c>
      <c r="MA1" s="47">
        <f t="shared" si="6"/>
        <v>44281</v>
      </c>
      <c r="MB1" s="47">
        <f t="shared" si="6"/>
        <v>44282</v>
      </c>
      <c r="MC1" s="49">
        <f t="shared" si="6"/>
        <v>44283</v>
      </c>
      <c r="MD1" s="47">
        <f t="shared" si="6"/>
        <v>44284</v>
      </c>
      <c r="ME1" s="47">
        <f t="shared" si="6"/>
        <v>44285</v>
      </c>
      <c r="MF1" s="47">
        <f t="shared" si="6"/>
        <v>44286</v>
      </c>
      <c r="MG1" s="47">
        <f t="shared" si="6"/>
        <v>44287</v>
      </c>
      <c r="MH1" s="47">
        <f t="shared" si="6"/>
        <v>44288</v>
      </c>
      <c r="MI1" s="47">
        <f t="shared" si="6"/>
        <v>44289</v>
      </c>
      <c r="MJ1" s="49">
        <f t="shared" si="6"/>
        <v>44290</v>
      </c>
    </row>
    <row r="2" spans="1:348" ht="15" customHeight="1" x14ac:dyDescent="0.25">
      <c r="A2" s="146" t="s">
        <v>144</v>
      </c>
      <c r="B2" s="146"/>
      <c r="C2" s="146"/>
      <c r="D2" s="146"/>
      <c r="E2" s="146"/>
      <c r="F2" s="39"/>
      <c r="G2" s="39"/>
      <c r="H2" s="39"/>
      <c r="I2" s="39"/>
      <c r="J2" s="39"/>
      <c r="K2" s="39"/>
      <c r="L2" s="39"/>
      <c r="M2" s="39"/>
      <c r="N2" s="39"/>
      <c r="O2" s="27"/>
      <c r="P2" s="147" t="s">
        <v>49</v>
      </c>
      <c r="Q2" s="142" t="s">
        <v>48</v>
      </c>
      <c r="R2" s="144" t="s">
        <v>408</v>
      </c>
      <c r="S2" s="50">
        <f t="shared" ref="S2" si="7">S1</f>
        <v>43975</v>
      </c>
      <c r="T2" s="48">
        <f t="shared" ref="T2" si="8">T1</f>
        <v>43976</v>
      </c>
      <c r="U2" s="48">
        <f t="shared" ref="U2" si="9">U1</f>
        <v>43977</v>
      </c>
      <c r="V2" s="48">
        <f t="shared" ref="V2" si="10">V1</f>
        <v>43978</v>
      </c>
      <c r="W2" s="48">
        <f t="shared" ref="W2" si="11">W1</f>
        <v>43979</v>
      </c>
      <c r="X2" s="48">
        <f t="shared" ref="X2" si="12">X1</f>
        <v>43980</v>
      </c>
      <c r="Y2" s="48">
        <f t="shared" ref="Y2" si="13">Y1</f>
        <v>43981</v>
      </c>
      <c r="Z2" s="50">
        <f t="shared" ref="Z2" si="14">Z1</f>
        <v>43982</v>
      </c>
      <c r="AA2" s="48">
        <f t="shared" ref="AA2" si="15">AA1</f>
        <v>43983</v>
      </c>
      <c r="AB2" s="48">
        <f t="shared" ref="AB2" si="16">AB1</f>
        <v>43984</v>
      </c>
      <c r="AC2" s="48">
        <f t="shared" ref="AC2" si="17">AC1</f>
        <v>43985</v>
      </c>
      <c r="AD2" s="48">
        <f t="shared" ref="AD2" si="18">AD1</f>
        <v>43986</v>
      </c>
      <c r="AE2" s="48">
        <f t="shared" ref="AE2" si="19">AE1</f>
        <v>43987</v>
      </c>
      <c r="AF2" s="48">
        <f t="shared" ref="AF2" si="20">AF1</f>
        <v>43988</v>
      </c>
      <c r="AG2" s="50">
        <f t="shared" ref="AG2" si="21">AG1</f>
        <v>43989</v>
      </c>
      <c r="AH2" s="48">
        <f t="shared" ref="AH2" si="22">AH1</f>
        <v>43990</v>
      </c>
      <c r="AI2" s="48">
        <f t="shared" ref="AI2" si="23">AI1</f>
        <v>43991</v>
      </c>
      <c r="AJ2" s="48">
        <f t="shared" ref="AJ2" si="24">AJ1</f>
        <v>43992</v>
      </c>
      <c r="AK2" s="48">
        <f t="shared" ref="AK2" si="25">AK1</f>
        <v>43993</v>
      </c>
      <c r="AL2" s="48">
        <f t="shared" ref="AL2" si="26">AL1</f>
        <v>43994</v>
      </c>
      <c r="AM2" s="48">
        <f t="shared" ref="AM2" si="27">AM1</f>
        <v>43995</v>
      </c>
      <c r="AN2" s="50">
        <f t="shared" ref="AN2" si="28">AN1</f>
        <v>43996</v>
      </c>
      <c r="AO2" s="48">
        <f t="shared" ref="AO2" si="29">AO1</f>
        <v>43997</v>
      </c>
      <c r="AP2" s="48">
        <f t="shared" ref="AP2" si="30">AP1</f>
        <v>43998</v>
      </c>
      <c r="AQ2" s="48">
        <f t="shared" ref="AQ2" si="31">AQ1</f>
        <v>43999</v>
      </c>
      <c r="AR2" s="48">
        <f t="shared" ref="AR2" si="32">AR1</f>
        <v>44000</v>
      </c>
      <c r="AS2" s="48">
        <f t="shared" ref="AS2" si="33">AS1</f>
        <v>44001</v>
      </c>
      <c r="AT2" s="48">
        <f t="shared" ref="AT2" si="34">AT1</f>
        <v>44002</v>
      </c>
      <c r="AU2" s="50">
        <f t="shared" ref="AU2" si="35">AU1</f>
        <v>44003</v>
      </c>
      <c r="AV2" s="48">
        <f t="shared" ref="AV2" si="36">AV1</f>
        <v>44004</v>
      </c>
      <c r="AW2" s="48">
        <f t="shared" ref="AW2" si="37">AW1</f>
        <v>44005</v>
      </c>
      <c r="AX2" s="48">
        <f t="shared" ref="AX2" si="38">AX1</f>
        <v>44006</v>
      </c>
      <c r="AY2" s="48">
        <f t="shared" ref="AY2" si="39">AY1</f>
        <v>44007</v>
      </c>
      <c r="AZ2" s="48">
        <f t="shared" ref="AZ2" si="40">AZ1</f>
        <v>44008</v>
      </c>
      <c r="BA2" s="48">
        <f t="shared" ref="BA2" si="41">BA1</f>
        <v>44009</v>
      </c>
      <c r="BB2" s="50">
        <f t="shared" ref="BB2" si="42">BB1</f>
        <v>44010</v>
      </c>
      <c r="BC2" s="48">
        <f t="shared" ref="BC2" si="43">BC1</f>
        <v>44011</v>
      </c>
      <c r="BD2" s="48">
        <f t="shared" ref="BD2" si="44">BD1</f>
        <v>44012</v>
      </c>
      <c r="BE2" s="48">
        <f t="shared" ref="BE2" si="45">BE1</f>
        <v>44013</v>
      </c>
      <c r="BF2" s="48">
        <f t="shared" ref="BF2" si="46">BF1</f>
        <v>44014</v>
      </c>
      <c r="BG2" s="48">
        <f t="shared" ref="BG2" si="47">BG1</f>
        <v>44015</v>
      </c>
      <c r="BH2" s="48">
        <f t="shared" ref="BH2" si="48">BH1</f>
        <v>44016</v>
      </c>
      <c r="BI2" s="50">
        <f t="shared" ref="BI2" si="49">BI1</f>
        <v>44017</v>
      </c>
      <c r="BJ2" s="48">
        <f t="shared" ref="BJ2" si="50">BJ1</f>
        <v>44018</v>
      </c>
      <c r="BK2" s="48">
        <f t="shared" ref="BK2" si="51">BK1</f>
        <v>44019</v>
      </c>
      <c r="BL2" s="48">
        <f t="shared" ref="BL2" si="52">BL1</f>
        <v>44020</v>
      </c>
      <c r="BM2" s="48">
        <f t="shared" ref="BM2" si="53">BM1</f>
        <v>44021</v>
      </c>
      <c r="BN2" s="48">
        <f t="shared" ref="BN2" si="54">BN1</f>
        <v>44022</v>
      </c>
      <c r="BO2" s="48">
        <f t="shared" ref="BO2" si="55">BO1</f>
        <v>44023</v>
      </c>
      <c r="BP2" s="50">
        <v>12</v>
      </c>
      <c r="BQ2" s="48">
        <f t="shared" ref="BQ2" si="56">BQ1</f>
        <v>44025</v>
      </c>
      <c r="BR2" s="48">
        <f t="shared" ref="BR2" si="57">BR1</f>
        <v>44026</v>
      </c>
      <c r="BS2" s="48">
        <f t="shared" ref="BS2" si="58">BS1</f>
        <v>44027</v>
      </c>
      <c r="BT2" s="48">
        <f t="shared" ref="BT2" si="59">BT1</f>
        <v>44028</v>
      </c>
      <c r="BU2" s="48">
        <f t="shared" ref="BU2" si="60">BU1</f>
        <v>44029</v>
      </c>
      <c r="BV2" s="48">
        <f t="shared" ref="BV2:BW2" si="61">BV1</f>
        <v>44030</v>
      </c>
      <c r="BW2" s="48">
        <f t="shared" si="61"/>
        <v>44031</v>
      </c>
      <c r="BX2" s="48" t="s">
        <v>370</v>
      </c>
      <c r="BY2" s="50" t="s">
        <v>359</v>
      </c>
      <c r="BZ2" s="48">
        <f t="shared" ref="BZ2" si="62">BZ1</f>
        <v>44032</v>
      </c>
      <c r="CA2" s="48">
        <f t="shared" ref="CA2" si="63">CA1</f>
        <v>44033</v>
      </c>
      <c r="CB2" s="48">
        <f t="shared" ref="CB2" si="64">CB1</f>
        <v>44034</v>
      </c>
      <c r="CC2" s="48">
        <f t="shared" ref="CC2" si="65">CC1</f>
        <v>44035</v>
      </c>
      <c r="CD2" s="48">
        <f t="shared" ref="CD2" si="66">CD1</f>
        <v>44036</v>
      </c>
      <c r="CE2" s="48">
        <f t="shared" ref="CE2:CF2" si="67">CE1</f>
        <v>44037</v>
      </c>
      <c r="CF2" s="48">
        <f t="shared" si="67"/>
        <v>44038</v>
      </c>
      <c r="CG2" s="48" t="s">
        <v>370</v>
      </c>
      <c r="CH2" s="50" t="s">
        <v>362</v>
      </c>
      <c r="CI2" s="48">
        <f t="shared" ref="CI2" si="68">CI1</f>
        <v>44039</v>
      </c>
      <c r="CJ2" s="48">
        <f t="shared" ref="CJ2" si="69">CJ1</f>
        <v>44040</v>
      </c>
      <c r="CK2" s="48">
        <f t="shared" ref="CK2" si="70">CK1</f>
        <v>44041</v>
      </c>
      <c r="CL2" s="48">
        <f t="shared" ref="CL2" si="71">CL1</f>
        <v>44042</v>
      </c>
      <c r="CM2" s="48">
        <f t="shared" ref="CM2" si="72">CM1</f>
        <v>44043</v>
      </c>
      <c r="CN2" s="48">
        <f t="shared" ref="CN2:CO2" si="73">CN1</f>
        <v>44044</v>
      </c>
      <c r="CO2" s="48">
        <f t="shared" si="73"/>
        <v>44045</v>
      </c>
      <c r="CP2" s="48" t="s">
        <v>370</v>
      </c>
      <c r="CQ2" s="50" t="s">
        <v>378</v>
      </c>
      <c r="CR2" s="48">
        <f t="shared" ref="CR2" si="74">CR1</f>
        <v>44046</v>
      </c>
      <c r="CS2" s="48">
        <f t="shared" ref="CS2" si="75">CS1</f>
        <v>44047</v>
      </c>
      <c r="CT2" s="48">
        <f t="shared" ref="CT2" si="76">CT1</f>
        <v>44048</v>
      </c>
      <c r="CU2" s="48">
        <f t="shared" ref="CU2" si="77">CU1</f>
        <v>44049</v>
      </c>
      <c r="CV2" s="48">
        <f t="shared" ref="CV2" si="78">CV1</f>
        <v>44050</v>
      </c>
      <c r="CW2" s="48">
        <f t="shared" ref="CW2" si="79">CW1</f>
        <v>44051</v>
      </c>
      <c r="CX2" s="104">
        <f t="shared" ref="CX2" si="80">CX1</f>
        <v>44052</v>
      </c>
      <c r="CY2" s="41" t="s">
        <v>370</v>
      </c>
      <c r="CZ2" s="105" t="s">
        <v>407</v>
      </c>
      <c r="DA2" s="48">
        <f t="shared" ref="DA2" si="81">DA1</f>
        <v>44053</v>
      </c>
      <c r="DB2" s="48">
        <f t="shared" ref="DB2" si="82">DB1</f>
        <v>44054</v>
      </c>
      <c r="DC2" s="48">
        <f t="shared" ref="DC2" si="83">DC1</f>
        <v>44055</v>
      </c>
      <c r="DD2" s="48">
        <f t="shared" ref="DD2" si="84">DD1</f>
        <v>44056</v>
      </c>
      <c r="DE2" s="48">
        <f t="shared" ref="DE2" si="85">DE1</f>
        <v>44057</v>
      </c>
      <c r="DF2" s="48">
        <f t="shared" ref="DF2:DG2" si="86">DF1</f>
        <v>44058</v>
      </c>
      <c r="DG2" s="48">
        <f t="shared" si="86"/>
        <v>44059</v>
      </c>
      <c r="DH2" s="48" t="s">
        <v>370</v>
      </c>
      <c r="DI2" s="50" t="s">
        <v>414</v>
      </c>
      <c r="DJ2" s="48">
        <f t="shared" ref="DJ2" si="87">DJ1</f>
        <v>44060</v>
      </c>
      <c r="DK2" s="48">
        <f t="shared" ref="DK2" si="88">DK1</f>
        <v>44061</v>
      </c>
      <c r="DL2" s="48">
        <f t="shared" ref="DL2" si="89">DL1</f>
        <v>44062</v>
      </c>
      <c r="DM2" s="48">
        <f t="shared" ref="DM2" si="90">DM1</f>
        <v>44063</v>
      </c>
      <c r="DN2" s="48">
        <f t="shared" ref="DN2" si="91">DN1</f>
        <v>44064</v>
      </c>
      <c r="DO2" s="48">
        <f t="shared" ref="DO2:DP2" si="92">DO1</f>
        <v>44065</v>
      </c>
      <c r="DP2" s="48">
        <f t="shared" si="92"/>
        <v>44066</v>
      </c>
      <c r="DQ2" s="48" t="s">
        <v>370</v>
      </c>
      <c r="DR2" s="50" t="s">
        <v>428</v>
      </c>
      <c r="DS2" s="48">
        <f t="shared" ref="DS2" si="93">DS1</f>
        <v>44067</v>
      </c>
      <c r="DT2" s="48">
        <f t="shared" ref="DT2" si="94">DT1</f>
        <v>44068</v>
      </c>
      <c r="DU2" s="48">
        <f t="shared" ref="DU2" si="95">DU1</f>
        <v>44069</v>
      </c>
      <c r="DV2" s="48">
        <f t="shared" ref="DV2" si="96">DV1</f>
        <v>44070</v>
      </c>
      <c r="DW2" s="48">
        <f t="shared" ref="DW2" si="97">DW1</f>
        <v>44071</v>
      </c>
      <c r="DX2" s="48">
        <f t="shared" ref="DX2" si="98">DX1</f>
        <v>44072</v>
      </c>
      <c r="DY2" s="48">
        <f t="shared" ref="DY2" si="99">DY1</f>
        <v>44073</v>
      </c>
      <c r="DZ2" s="48" t="s">
        <v>370</v>
      </c>
      <c r="EA2" s="50" t="s">
        <v>431</v>
      </c>
      <c r="EB2" s="48">
        <f t="shared" ref="EB2" si="100">EB1</f>
        <v>44074</v>
      </c>
      <c r="EC2" s="48">
        <f t="shared" ref="EC2" si="101">EC1</f>
        <v>44075</v>
      </c>
      <c r="ED2" s="48">
        <f t="shared" ref="ED2" si="102">ED1</f>
        <v>44076</v>
      </c>
      <c r="EE2" s="48">
        <f t="shared" ref="EE2" si="103">EE1</f>
        <v>44077</v>
      </c>
      <c r="EF2" s="48">
        <f t="shared" ref="EF2" si="104">EF1</f>
        <v>44078</v>
      </c>
      <c r="EG2" s="48">
        <f t="shared" ref="EG2" si="105">EG1</f>
        <v>44079</v>
      </c>
      <c r="EH2" s="50">
        <f t="shared" ref="EH2" si="106">EH1</f>
        <v>44080</v>
      </c>
      <c r="EI2" s="48">
        <f t="shared" ref="EI2" si="107">EI1</f>
        <v>44081</v>
      </c>
      <c r="EJ2" s="48">
        <f t="shared" ref="EJ2" si="108">EJ1</f>
        <v>44082</v>
      </c>
      <c r="EK2" s="48">
        <f t="shared" ref="EK2" si="109">EK1</f>
        <v>44083</v>
      </c>
      <c r="EL2" s="48">
        <f t="shared" ref="EL2" si="110">EL1</f>
        <v>44084</v>
      </c>
      <c r="EM2" s="48">
        <f t="shared" ref="EM2" si="111">EM1</f>
        <v>44085</v>
      </c>
      <c r="EN2" s="48">
        <f t="shared" ref="EN2" si="112">EN1</f>
        <v>44086</v>
      </c>
      <c r="EO2" s="50">
        <f t="shared" ref="EO2" si="113">EO1</f>
        <v>44087</v>
      </c>
      <c r="EP2" s="48">
        <f t="shared" ref="EP2" si="114">EP1</f>
        <v>44088</v>
      </c>
      <c r="EQ2" s="48">
        <f t="shared" ref="EQ2" si="115">EQ1</f>
        <v>44089</v>
      </c>
      <c r="ER2" s="48">
        <f t="shared" ref="ER2" si="116">ER1</f>
        <v>44090</v>
      </c>
      <c r="ES2" s="48">
        <f t="shared" ref="ES2" si="117">ES1</f>
        <v>44091</v>
      </c>
      <c r="ET2" s="48">
        <f t="shared" ref="ET2" si="118">ET1</f>
        <v>44092</v>
      </c>
      <c r="EU2" s="48">
        <f t="shared" ref="EU2" si="119">EU1</f>
        <v>44093</v>
      </c>
      <c r="EV2" s="50">
        <f t="shared" ref="EV2" si="120">EV1</f>
        <v>44094</v>
      </c>
      <c r="EW2" s="48">
        <f t="shared" ref="EW2" si="121">EW1</f>
        <v>44095</v>
      </c>
      <c r="EX2" s="48">
        <f t="shared" ref="EX2" si="122">EX1</f>
        <v>44096</v>
      </c>
      <c r="EY2" s="48">
        <f t="shared" ref="EY2" si="123">EY1</f>
        <v>44097</v>
      </c>
      <c r="EZ2" s="48">
        <f t="shared" ref="EZ2" si="124">EZ1</f>
        <v>44098</v>
      </c>
      <c r="FA2" s="48">
        <f t="shared" ref="FA2" si="125">FA1</f>
        <v>44099</v>
      </c>
      <c r="FB2" s="48">
        <f t="shared" ref="FB2" si="126">FB1</f>
        <v>44100</v>
      </c>
      <c r="FC2" s="50">
        <f t="shared" ref="FC2" si="127">FC1</f>
        <v>44101</v>
      </c>
      <c r="FD2" s="48">
        <f t="shared" ref="FD2" si="128">FD1</f>
        <v>44102</v>
      </c>
      <c r="FE2" s="48">
        <f t="shared" ref="FE2" si="129">FE1</f>
        <v>44103</v>
      </c>
      <c r="FF2" s="48">
        <f t="shared" ref="FF2" si="130">FF1</f>
        <v>44104</v>
      </c>
      <c r="FG2" s="48">
        <f t="shared" ref="FG2" si="131">FG1</f>
        <v>44105</v>
      </c>
      <c r="FH2" s="48">
        <f t="shared" ref="FH2" si="132">FH1</f>
        <v>44106</v>
      </c>
      <c r="FI2" s="48">
        <f t="shared" ref="FI2" si="133">FI1</f>
        <v>44107</v>
      </c>
      <c r="FJ2" s="50">
        <f t="shared" ref="FJ2" si="134">FJ1</f>
        <v>44108</v>
      </c>
      <c r="FK2" s="48">
        <f t="shared" ref="FK2" si="135">FK1</f>
        <v>44109</v>
      </c>
      <c r="FL2" s="48">
        <f t="shared" ref="FL2" si="136">FL1</f>
        <v>44110</v>
      </c>
      <c r="FM2" s="48">
        <f t="shared" ref="FM2" si="137">FM1</f>
        <v>44111</v>
      </c>
      <c r="FN2" s="48">
        <f t="shared" ref="FN2" si="138">FN1</f>
        <v>44112</v>
      </c>
      <c r="FO2" s="48">
        <f t="shared" ref="FO2" si="139">FO1</f>
        <v>44113</v>
      </c>
      <c r="FP2" s="48">
        <f t="shared" ref="FP2" si="140">FP1</f>
        <v>44114</v>
      </c>
      <c r="FQ2" s="50">
        <f t="shared" ref="FQ2" si="141">FQ1</f>
        <v>44115</v>
      </c>
      <c r="FR2" s="48">
        <f t="shared" ref="FR2" si="142">FR1</f>
        <v>44116</v>
      </c>
      <c r="FS2" s="48">
        <f t="shared" ref="FS2" si="143">FS1</f>
        <v>44117</v>
      </c>
      <c r="FT2" s="48">
        <f t="shared" ref="FT2" si="144">FT1</f>
        <v>44118</v>
      </c>
      <c r="FU2" s="48">
        <f t="shared" ref="FU2" si="145">FU1</f>
        <v>44119</v>
      </c>
      <c r="FV2" s="48">
        <f t="shared" ref="FV2" si="146">FV1</f>
        <v>44120</v>
      </c>
      <c r="FW2" s="48">
        <f t="shared" ref="FW2" si="147">FW1</f>
        <v>44121</v>
      </c>
      <c r="FX2" s="50">
        <f t="shared" ref="FX2" si="148">FX1</f>
        <v>44122</v>
      </c>
      <c r="FY2" s="48">
        <f t="shared" ref="FY2" si="149">FY1</f>
        <v>44123</v>
      </c>
      <c r="FZ2" s="48">
        <f t="shared" ref="FZ2" si="150">FZ1</f>
        <v>44124</v>
      </c>
      <c r="GA2" s="48">
        <f t="shared" ref="GA2" si="151">GA1</f>
        <v>44125</v>
      </c>
      <c r="GB2" s="48">
        <f t="shared" ref="GB2" si="152">GB1</f>
        <v>44126</v>
      </c>
      <c r="GC2" s="48">
        <f t="shared" ref="GC2" si="153">GC1</f>
        <v>44127</v>
      </c>
      <c r="GD2" s="48">
        <f t="shared" ref="GD2" si="154">GD1</f>
        <v>44128</v>
      </c>
      <c r="GE2" s="50">
        <f t="shared" ref="GE2" si="155">GE1</f>
        <v>44129</v>
      </c>
      <c r="GF2" s="48">
        <f t="shared" ref="GF2" si="156">GF1</f>
        <v>44130</v>
      </c>
      <c r="GG2" s="48">
        <f t="shared" ref="GG2" si="157">GG1</f>
        <v>44131</v>
      </c>
      <c r="GH2" s="48">
        <f t="shared" ref="GH2" si="158">GH1</f>
        <v>44132</v>
      </c>
      <c r="GI2" s="48">
        <f t="shared" ref="GI2" si="159">GI1</f>
        <v>44133</v>
      </c>
      <c r="GJ2" s="48">
        <f t="shared" ref="GJ2" si="160">GJ1</f>
        <v>44134</v>
      </c>
      <c r="GK2" s="48">
        <f t="shared" ref="GK2" si="161">GK1</f>
        <v>44135</v>
      </c>
      <c r="GL2" s="50">
        <f t="shared" ref="GL2" si="162">GL1</f>
        <v>44136</v>
      </c>
      <c r="GM2" s="48">
        <f t="shared" ref="GM2" si="163">GM1</f>
        <v>44137</v>
      </c>
      <c r="GN2" s="48">
        <f t="shared" ref="GN2" si="164">GN1</f>
        <v>44138</v>
      </c>
      <c r="GO2" s="48">
        <f t="shared" ref="GO2" si="165">GO1</f>
        <v>44139</v>
      </c>
      <c r="GP2" s="48">
        <f t="shared" ref="GP2" si="166">GP1</f>
        <v>44140</v>
      </c>
      <c r="GQ2" s="48">
        <f t="shared" ref="GQ2" si="167">GQ1</f>
        <v>44141</v>
      </c>
      <c r="GR2" s="48">
        <f t="shared" ref="GR2" si="168">GR1</f>
        <v>44142</v>
      </c>
      <c r="GS2" s="50">
        <f t="shared" ref="GS2" si="169">GS1</f>
        <v>44143</v>
      </c>
      <c r="GT2" s="48">
        <f t="shared" ref="GT2" si="170">GT1</f>
        <v>44144</v>
      </c>
      <c r="GU2" s="48">
        <f t="shared" ref="GU2" si="171">GU1</f>
        <v>44145</v>
      </c>
      <c r="GV2" s="48">
        <f t="shared" ref="GV2" si="172">GV1</f>
        <v>44146</v>
      </c>
      <c r="GW2" s="48">
        <f t="shared" ref="GW2" si="173">GW1</f>
        <v>44147</v>
      </c>
      <c r="GX2" s="48">
        <f t="shared" ref="GX2" si="174">GX1</f>
        <v>44148</v>
      </c>
      <c r="GY2" s="48">
        <f t="shared" ref="GY2" si="175">GY1</f>
        <v>44149</v>
      </c>
      <c r="GZ2" s="50">
        <f t="shared" ref="GZ2" si="176">GZ1</f>
        <v>44150</v>
      </c>
      <c r="HA2" s="48">
        <f t="shared" ref="HA2" si="177">HA1</f>
        <v>44151</v>
      </c>
      <c r="HB2" s="48">
        <f t="shared" ref="HB2" si="178">HB1</f>
        <v>44152</v>
      </c>
      <c r="HC2" s="48">
        <f t="shared" ref="HC2" si="179">HC1</f>
        <v>44153</v>
      </c>
      <c r="HD2" s="48">
        <f t="shared" ref="HD2" si="180">HD1</f>
        <v>44154</v>
      </c>
      <c r="HE2" s="48">
        <f t="shared" ref="HE2" si="181">HE1</f>
        <v>44155</v>
      </c>
      <c r="HF2" s="48">
        <f t="shared" ref="HF2" si="182">HF1</f>
        <v>44156</v>
      </c>
      <c r="HG2" s="50">
        <f t="shared" ref="HG2" si="183">HG1</f>
        <v>44157</v>
      </c>
      <c r="HH2" s="48">
        <f t="shared" ref="HH2" si="184">HH1</f>
        <v>44158</v>
      </c>
      <c r="HI2" s="48">
        <f t="shared" ref="HI2" si="185">HI1</f>
        <v>44159</v>
      </c>
      <c r="HJ2" s="48">
        <f t="shared" ref="HJ2" si="186">HJ1</f>
        <v>44160</v>
      </c>
      <c r="HK2" s="48">
        <f t="shared" ref="HK2" si="187">HK1</f>
        <v>44161</v>
      </c>
      <c r="HL2" s="48">
        <f t="shared" ref="HL2" si="188">HL1</f>
        <v>44162</v>
      </c>
      <c r="HM2" s="48">
        <f t="shared" ref="HM2" si="189">HM1</f>
        <v>44163</v>
      </c>
      <c r="HN2" s="50">
        <f t="shared" ref="HN2" si="190">HN1</f>
        <v>44164</v>
      </c>
      <c r="HO2" s="48">
        <f t="shared" ref="HO2" si="191">HO1</f>
        <v>44165</v>
      </c>
      <c r="HP2" s="48">
        <f t="shared" ref="HP2" si="192">HP1</f>
        <v>44166</v>
      </c>
      <c r="HQ2" s="48">
        <f t="shared" ref="HQ2" si="193">HQ1</f>
        <v>44167</v>
      </c>
      <c r="HR2" s="48">
        <f t="shared" ref="HR2" si="194">HR1</f>
        <v>44168</v>
      </c>
      <c r="HS2" s="48">
        <f t="shared" ref="HS2" si="195">HS1</f>
        <v>44169</v>
      </c>
      <c r="HT2" s="48">
        <f t="shared" ref="HT2" si="196">HT1</f>
        <v>44170</v>
      </c>
      <c r="HU2" s="50">
        <f t="shared" ref="HU2" si="197">HU1</f>
        <v>44171</v>
      </c>
      <c r="HV2" s="48">
        <f t="shared" ref="HV2" si="198">HV1</f>
        <v>44172</v>
      </c>
      <c r="HW2" s="48">
        <f t="shared" ref="HW2" si="199">HW1</f>
        <v>44173</v>
      </c>
      <c r="HX2" s="48">
        <f t="shared" ref="HX2" si="200">HX1</f>
        <v>44174</v>
      </c>
      <c r="HY2" s="48">
        <f t="shared" ref="HY2" si="201">HY1</f>
        <v>44175</v>
      </c>
      <c r="HZ2" s="48">
        <f t="shared" ref="HZ2" si="202">HZ1</f>
        <v>44176</v>
      </c>
      <c r="IA2" s="48">
        <f t="shared" ref="IA2" si="203">IA1</f>
        <v>44177</v>
      </c>
      <c r="IB2" s="50">
        <f t="shared" ref="IB2" si="204">IB1</f>
        <v>44178</v>
      </c>
      <c r="IC2" s="48">
        <f t="shared" ref="IC2" si="205">IC1</f>
        <v>44179</v>
      </c>
      <c r="ID2" s="48">
        <f t="shared" ref="ID2" si="206">ID1</f>
        <v>44180</v>
      </c>
      <c r="IE2" s="48">
        <f t="shared" ref="IE2" si="207">IE1</f>
        <v>44181</v>
      </c>
      <c r="IF2" s="48">
        <f t="shared" ref="IF2" si="208">IF1</f>
        <v>44182</v>
      </c>
      <c r="IG2" s="48">
        <f t="shared" ref="IG2" si="209">IG1</f>
        <v>44183</v>
      </c>
      <c r="IH2" s="48">
        <f t="shared" ref="IH2" si="210">IH1</f>
        <v>44184</v>
      </c>
      <c r="II2" s="50">
        <f t="shared" ref="II2" si="211">II1</f>
        <v>44185</v>
      </c>
      <c r="IJ2" s="48">
        <f t="shared" ref="IJ2" si="212">IJ1</f>
        <v>44186</v>
      </c>
      <c r="IK2" s="48">
        <f t="shared" ref="IK2" si="213">IK1</f>
        <v>44187</v>
      </c>
      <c r="IL2" s="48">
        <f t="shared" ref="IL2" si="214">IL1</f>
        <v>44188</v>
      </c>
      <c r="IM2" s="48">
        <f t="shared" ref="IM2" si="215">IM1</f>
        <v>44189</v>
      </c>
      <c r="IN2" s="48">
        <f t="shared" ref="IN2" si="216">IN1</f>
        <v>44190</v>
      </c>
      <c r="IO2" s="48">
        <f t="shared" ref="IO2" si="217">IO1</f>
        <v>44191</v>
      </c>
      <c r="IP2" s="50">
        <f t="shared" ref="IP2" si="218">IP1</f>
        <v>44192</v>
      </c>
      <c r="IQ2" s="48">
        <f t="shared" ref="IQ2" si="219">IQ1</f>
        <v>44193</v>
      </c>
      <c r="IR2" s="48">
        <f t="shared" ref="IR2" si="220">IR1</f>
        <v>44194</v>
      </c>
      <c r="IS2" s="48">
        <f t="shared" ref="IS2" si="221">IS1</f>
        <v>44195</v>
      </c>
      <c r="IT2" s="48">
        <f t="shared" ref="IT2" si="222">IT1</f>
        <v>44196</v>
      </c>
      <c r="IU2" s="48">
        <f t="shared" ref="IU2" si="223">IU1</f>
        <v>44197</v>
      </c>
      <c r="IV2" s="48">
        <f t="shared" ref="IV2" si="224">IV1</f>
        <v>44198</v>
      </c>
      <c r="IW2" s="50">
        <f t="shared" ref="IW2" si="225">IW1</f>
        <v>44199</v>
      </c>
      <c r="IX2" s="48">
        <f t="shared" ref="IX2" si="226">IX1</f>
        <v>44200</v>
      </c>
      <c r="IY2" s="48">
        <f t="shared" ref="IY2" si="227">IY1</f>
        <v>44201</v>
      </c>
      <c r="IZ2" s="48">
        <f t="shared" ref="IZ2" si="228">IZ1</f>
        <v>44202</v>
      </c>
      <c r="JA2" s="48">
        <f t="shared" ref="JA2" si="229">JA1</f>
        <v>44203</v>
      </c>
      <c r="JB2" s="48">
        <f t="shared" ref="JB2" si="230">JB1</f>
        <v>44204</v>
      </c>
      <c r="JC2" s="48">
        <f t="shared" ref="JC2" si="231">JC1</f>
        <v>44205</v>
      </c>
      <c r="JD2" s="50">
        <f t="shared" ref="JD2" si="232">JD1</f>
        <v>44206</v>
      </c>
      <c r="JE2" s="48">
        <f t="shared" ref="JE2" si="233">JE1</f>
        <v>44207</v>
      </c>
      <c r="JF2" s="48">
        <f t="shared" ref="JF2" si="234">JF1</f>
        <v>44208</v>
      </c>
      <c r="JG2" s="48">
        <f t="shared" ref="JG2" si="235">JG1</f>
        <v>44209</v>
      </c>
      <c r="JH2" s="48">
        <f t="shared" ref="JH2" si="236">JH1</f>
        <v>44210</v>
      </c>
      <c r="JI2" s="48">
        <f t="shared" ref="JI2" si="237">JI1</f>
        <v>44211</v>
      </c>
      <c r="JJ2" s="48">
        <f t="shared" ref="JJ2" si="238">JJ1</f>
        <v>44212</v>
      </c>
      <c r="JK2" s="50">
        <f t="shared" ref="JK2" si="239">JK1</f>
        <v>44213</v>
      </c>
      <c r="JL2" s="48">
        <f t="shared" ref="JL2" si="240">JL1</f>
        <v>44214</v>
      </c>
      <c r="JM2" s="48">
        <f t="shared" ref="JM2" si="241">JM1</f>
        <v>44215</v>
      </c>
      <c r="JN2" s="48">
        <f t="shared" ref="JN2" si="242">JN1</f>
        <v>44216</v>
      </c>
      <c r="JO2" s="48">
        <f t="shared" ref="JO2" si="243">JO1</f>
        <v>44217</v>
      </c>
      <c r="JP2" s="48">
        <f t="shared" ref="JP2" si="244">JP1</f>
        <v>44218</v>
      </c>
      <c r="JQ2" s="48">
        <f t="shared" ref="JQ2" si="245">JQ1</f>
        <v>44219</v>
      </c>
      <c r="JR2" s="50">
        <f t="shared" ref="JR2" si="246">JR1</f>
        <v>44220</v>
      </c>
      <c r="JS2" s="48">
        <f t="shared" ref="JS2" si="247">JS1</f>
        <v>44221</v>
      </c>
      <c r="JT2" s="48">
        <f t="shared" ref="JT2" si="248">JT1</f>
        <v>44222</v>
      </c>
      <c r="JU2" s="48">
        <f t="shared" ref="JU2" si="249">JU1</f>
        <v>44223</v>
      </c>
      <c r="JV2" s="48">
        <f t="shared" ref="JV2" si="250">JV1</f>
        <v>44224</v>
      </c>
      <c r="JW2" s="48">
        <f t="shared" ref="JW2" si="251">JW1</f>
        <v>44225</v>
      </c>
      <c r="JX2" s="48">
        <f t="shared" ref="JX2" si="252">JX1</f>
        <v>44226</v>
      </c>
      <c r="JY2" s="50">
        <f t="shared" ref="JY2" si="253">JY1</f>
        <v>44227</v>
      </c>
      <c r="JZ2" s="48">
        <f t="shared" ref="JZ2" si="254">JZ1</f>
        <v>44228</v>
      </c>
      <c r="KA2" s="48">
        <f t="shared" ref="KA2" si="255">KA1</f>
        <v>44229</v>
      </c>
      <c r="KB2" s="48">
        <f t="shared" ref="KB2" si="256">KB1</f>
        <v>44230</v>
      </c>
      <c r="KC2" s="48">
        <f t="shared" ref="KC2" si="257">KC1</f>
        <v>44231</v>
      </c>
      <c r="KD2" s="48">
        <f t="shared" ref="KD2" si="258">KD1</f>
        <v>44232</v>
      </c>
      <c r="KE2" s="48">
        <f t="shared" ref="KE2" si="259">KE1</f>
        <v>44233</v>
      </c>
      <c r="KF2" s="50">
        <f t="shared" ref="KF2" si="260">KF1</f>
        <v>44234</v>
      </c>
      <c r="KG2" s="48">
        <f t="shared" ref="KG2" si="261">KG1</f>
        <v>44235</v>
      </c>
      <c r="KH2" s="48">
        <f t="shared" ref="KH2" si="262">KH1</f>
        <v>44236</v>
      </c>
      <c r="KI2" s="48">
        <f t="shared" ref="KI2" si="263">KI1</f>
        <v>44237</v>
      </c>
      <c r="KJ2" s="48">
        <f t="shared" ref="KJ2" si="264">KJ1</f>
        <v>44238</v>
      </c>
      <c r="KK2" s="48">
        <f t="shared" ref="KK2" si="265">KK1</f>
        <v>44239</v>
      </c>
      <c r="KL2" s="48">
        <f t="shared" ref="KL2" si="266">KL1</f>
        <v>44240</v>
      </c>
      <c r="KM2" s="50">
        <f t="shared" ref="KM2" si="267">KM1</f>
        <v>44241</v>
      </c>
      <c r="KN2" s="48">
        <f t="shared" ref="KN2" si="268">KN1</f>
        <v>44242</v>
      </c>
      <c r="KO2" s="48">
        <f t="shared" ref="KO2" si="269">KO1</f>
        <v>44243</v>
      </c>
      <c r="KP2" s="48">
        <f t="shared" ref="KP2" si="270">KP1</f>
        <v>44244</v>
      </c>
      <c r="KQ2" s="48">
        <f t="shared" ref="KQ2" si="271">KQ1</f>
        <v>44245</v>
      </c>
      <c r="KR2" s="48">
        <f t="shared" ref="KR2" si="272">KR1</f>
        <v>44246</v>
      </c>
      <c r="KS2" s="48">
        <f t="shared" ref="KS2" si="273">KS1</f>
        <v>44247</v>
      </c>
      <c r="KT2" s="50">
        <f t="shared" ref="KT2" si="274">KT1</f>
        <v>44248</v>
      </c>
      <c r="KU2" s="48">
        <f t="shared" ref="KU2" si="275">KU1</f>
        <v>44249</v>
      </c>
      <c r="KV2" s="48">
        <f t="shared" ref="KV2" si="276">KV1</f>
        <v>44250</v>
      </c>
      <c r="KW2" s="48">
        <f t="shared" ref="KW2" si="277">KW1</f>
        <v>44251</v>
      </c>
      <c r="KX2" s="48">
        <f t="shared" ref="KX2" si="278">KX1</f>
        <v>44252</v>
      </c>
      <c r="KY2" s="48">
        <f t="shared" ref="KY2" si="279">KY1</f>
        <v>44253</v>
      </c>
      <c r="KZ2" s="48">
        <f t="shared" ref="KZ2" si="280">KZ1</f>
        <v>44254</v>
      </c>
      <c r="LA2" s="50">
        <f t="shared" ref="LA2" si="281">LA1</f>
        <v>44255</v>
      </c>
      <c r="LB2" s="48">
        <f t="shared" ref="LB2" si="282">LB1</f>
        <v>44256</v>
      </c>
      <c r="LC2" s="48">
        <f t="shared" ref="LC2" si="283">LC1</f>
        <v>44257</v>
      </c>
      <c r="LD2" s="48">
        <f t="shared" ref="LD2" si="284">LD1</f>
        <v>44258</v>
      </c>
      <c r="LE2" s="48">
        <f t="shared" ref="LE2" si="285">LE1</f>
        <v>44259</v>
      </c>
      <c r="LF2" s="48">
        <f t="shared" ref="LF2" si="286">LF1</f>
        <v>44260</v>
      </c>
      <c r="LG2" s="48">
        <f t="shared" ref="LG2" si="287">LG1</f>
        <v>44261</v>
      </c>
      <c r="LH2" s="50">
        <f t="shared" ref="LH2" si="288">LH1</f>
        <v>44262</v>
      </c>
      <c r="LI2" s="48">
        <f t="shared" ref="LI2" si="289">LI1</f>
        <v>44263</v>
      </c>
      <c r="LJ2" s="48">
        <f t="shared" ref="LJ2" si="290">LJ1</f>
        <v>44264</v>
      </c>
      <c r="LK2" s="48">
        <f t="shared" ref="LK2" si="291">LK1</f>
        <v>44265</v>
      </c>
      <c r="LL2" s="48">
        <f t="shared" ref="LL2" si="292">LL1</f>
        <v>44266</v>
      </c>
      <c r="LM2" s="48">
        <f t="shared" ref="LM2" si="293">LM1</f>
        <v>44267</v>
      </c>
      <c r="LN2" s="48">
        <f t="shared" ref="LN2" si="294">LN1</f>
        <v>44268</v>
      </c>
      <c r="LO2" s="50">
        <f t="shared" ref="LO2" si="295">LO1</f>
        <v>44269</v>
      </c>
      <c r="LP2" s="48">
        <f t="shared" ref="LP2" si="296">LP1</f>
        <v>44270</v>
      </c>
      <c r="LQ2" s="48">
        <f t="shared" ref="LQ2" si="297">LQ1</f>
        <v>44271</v>
      </c>
      <c r="LR2" s="48">
        <f t="shared" ref="LR2" si="298">LR1</f>
        <v>44272</v>
      </c>
      <c r="LS2" s="48">
        <f t="shared" ref="LS2" si="299">LS1</f>
        <v>44273</v>
      </c>
      <c r="LT2" s="48">
        <f t="shared" ref="LT2" si="300">LT1</f>
        <v>44274</v>
      </c>
      <c r="LU2" s="48">
        <f t="shared" ref="LU2" si="301">LU1</f>
        <v>44275</v>
      </c>
      <c r="LV2" s="50">
        <f t="shared" ref="LV2" si="302">LV1</f>
        <v>44276</v>
      </c>
      <c r="LW2" s="48">
        <f t="shared" ref="LW2" si="303">LW1</f>
        <v>44277</v>
      </c>
      <c r="LX2" s="48">
        <f t="shared" ref="LX2" si="304">LX1</f>
        <v>44278</v>
      </c>
      <c r="LY2" s="48">
        <f t="shared" ref="LY2" si="305">LY1</f>
        <v>44279</v>
      </c>
      <c r="LZ2" s="48">
        <f t="shared" ref="LZ2" si="306">LZ1</f>
        <v>44280</v>
      </c>
      <c r="MA2" s="48">
        <f t="shared" ref="MA2" si="307">MA1</f>
        <v>44281</v>
      </c>
      <c r="MB2" s="48">
        <f t="shared" ref="MB2" si="308">MB1</f>
        <v>44282</v>
      </c>
      <c r="MC2" s="50">
        <f t="shared" ref="MC2" si="309">MC1</f>
        <v>44283</v>
      </c>
      <c r="MD2" s="48">
        <f t="shared" ref="MD2" si="310">MD1</f>
        <v>44284</v>
      </c>
      <c r="ME2" s="48">
        <f t="shared" ref="ME2" si="311">ME1</f>
        <v>44285</v>
      </c>
      <c r="MF2" s="48">
        <f t="shared" ref="MF2" si="312">MF1</f>
        <v>44286</v>
      </c>
      <c r="MG2" s="48">
        <f t="shared" ref="MG2" si="313">MG1</f>
        <v>44287</v>
      </c>
      <c r="MH2" s="48">
        <f t="shared" ref="MH2" si="314">MH1</f>
        <v>44288</v>
      </c>
      <c r="MI2" s="48">
        <f t="shared" ref="MI2" si="315">MI1</f>
        <v>44289</v>
      </c>
      <c r="MJ2" s="50">
        <f t="shared" ref="MJ2" si="316">MJ1</f>
        <v>44290</v>
      </c>
    </row>
    <row r="3" spans="1:348" ht="15" customHeight="1" x14ac:dyDescent="0.25">
      <c r="A3" s="146"/>
      <c r="B3" s="146"/>
      <c r="C3" s="146"/>
      <c r="D3" s="146"/>
      <c r="E3" s="146"/>
      <c r="F3" s="39"/>
      <c r="G3" s="39"/>
      <c r="H3" s="39"/>
      <c r="I3" s="39"/>
      <c r="J3" s="39"/>
      <c r="K3" s="39"/>
      <c r="L3" s="39"/>
      <c r="M3" s="39"/>
      <c r="N3" s="39"/>
      <c r="O3" s="27"/>
      <c r="P3" s="148"/>
      <c r="Q3" s="143"/>
      <c r="R3" s="145"/>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263</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393</v>
      </c>
      <c r="CM3" s="38"/>
      <c r="CN3" s="38"/>
      <c r="CO3" s="38" t="s">
        <v>148</v>
      </c>
      <c r="CP3" s="38"/>
      <c r="CQ3" s="24"/>
      <c r="CR3" s="25"/>
      <c r="CS3" s="25" t="s">
        <v>393</v>
      </c>
      <c r="CT3" s="25"/>
      <c r="CU3" s="38" t="s">
        <v>148</v>
      </c>
      <c r="CV3" s="38" t="s">
        <v>393</v>
      </c>
      <c r="CW3" s="38"/>
      <c r="CX3" s="25" t="s">
        <v>148</v>
      </c>
      <c r="CY3" s="41"/>
      <c r="CZ3" s="105"/>
      <c r="DA3" s="38"/>
      <c r="DB3" s="38" t="s">
        <v>393</v>
      </c>
      <c r="DC3" s="38"/>
      <c r="DD3" s="38" t="s">
        <v>148</v>
      </c>
      <c r="DE3" s="38" t="s">
        <v>393</v>
      </c>
      <c r="DF3" s="38"/>
      <c r="DG3" s="38" t="s">
        <v>148</v>
      </c>
      <c r="DH3" s="38"/>
      <c r="DI3" s="24"/>
      <c r="DJ3" s="38"/>
      <c r="DK3" s="38" t="s">
        <v>393</v>
      </c>
      <c r="DL3" s="38"/>
      <c r="DM3" s="38" t="s">
        <v>148</v>
      </c>
      <c r="DN3" s="38" t="s">
        <v>393</v>
      </c>
      <c r="DO3" s="38"/>
      <c r="DP3" s="38" t="s">
        <v>148</v>
      </c>
      <c r="DQ3" s="38"/>
      <c r="DR3" s="24"/>
      <c r="DS3" s="38"/>
      <c r="DT3" s="38" t="s">
        <v>393</v>
      </c>
      <c r="DU3" s="38"/>
      <c r="DV3" s="38" t="s">
        <v>38</v>
      </c>
      <c r="DW3" s="38" t="s">
        <v>38</v>
      </c>
      <c r="DX3" s="38"/>
      <c r="DY3" s="136"/>
      <c r="DZ3" s="38"/>
      <c r="EA3" s="24"/>
      <c r="EB3" s="38" t="s">
        <v>38</v>
      </c>
      <c r="EC3" s="38" t="s">
        <v>38</v>
      </c>
      <c r="ED3" s="38"/>
      <c r="EE3" s="38" t="s">
        <v>38</v>
      </c>
      <c r="EF3" s="38" t="s">
        <v>38</v>
      </c>
      <c r="EG3" s="38"/>
      <c r="EH3" s="24"/>
      <c r="EI3" s="38"/>
      <c r="EJ3" s="38" t="s">
        <v>38</v>
      </c>
      <c r="EK3" s="38"/>
      <c r="EL3" s="38" t="s">
        <v>38</v>
      </c>
      <c r="EM3" s="38" t="s">
        <v>38</v>
      </c>
      <c r="EN3" s="38"/>
      <c r="EO3" s="24"/>
      <c r="EP3" s="38"/>
      <c r="EQ3" s="38" t="s">
        <v>38</v>
      </c>
      <c r="ER3" s="38"/>
      <c r="ES3" s="38" t="s">
        <v>38</v>
      </c>
      <c r="ET3" s="38" t="s">
        <v>38</v>
      </c>
      <c r="EU3" s="38"/>
      <c r="EV3" s="24"/>
      <c r="EW3" s="38"/>
      <c r="EX3" s="38" t="s">
        <v>38</v>
      </c>
      <c r="EY3" s="38"/>
      <c r="EZ3" s="38" t="s">
        <v>38</v>
      </c>
      <c r="FA3" s="38" t="s">
        <v>38</v>
      </c>
      <c r="FB3" s="38" t="s">
        <v>46</v>
      </c>
      <c r="FC3" s="24"/>
      <c r="FD3" s="38"/>
      <c r="FE3" s="38" t="s">
        <v>38</v>
      </c>
      <c r="FF3" s="38"/>
      <c r="FG3" s="38" t="s">
        <v>38</v>
      </c>
      <c r="FH3" s="38" t="s">
        <v>38</v>
      </c>
      <c r="FI3" s="38"/>
      <c r="FJ3" s="24"/>
      <c r="FK3" s="38"/>
      <c r="FL3" s="38" t="s">
        <v>38</v>
      </c>
      <c r="FM3" s="38"/>
      <c r="FN3" s="38" t="s">
        <v>38</v>
      </c>
      <c r="FO3" s="38" t="s">
        <v>38</v>
      </c>
      <c r="FP3" s="38"/>
      <c r="FQ3" s="24"/>
      <c r="FR3" s="38"/>
      <c r="FS3" s="38" t="s">
        <v>38</v>
      </c>
      <c r="FT3" s="38"/>
      <c r="FU3" s="38" t="s">
        <v>38</v>
      </c>
      <c r="FV3" s="38" t="s">
        <v>38</v>
      </c>
      <c r="FW3" s="38"/>
      <c r="FX3" s="24"/>
      <c r="FY3" s="38"/>
      <c r="FZ3" s="38" t="s">
        <v>38</v>
      </c>
      <c r="GA3" s="38"/>
      <c r="GB3" s="38" t="s">
        <v>38</v>
      </c>
      <c r="GC3" s="38" t="s">
        <v>38</v>
      </c>
      <c r="GD3" s="38"/>
      <c r="GE3" s="24"/>
      <c r="GF3" s="38"/>
      <c r="GG3" s="38" t="s">
        <v>38</v>
      </c>
      <c r="GH3" s="38"/>
      <c r="GI3" s="38" t="s">
        <v>38</v>
      </c>
      <c r="GJ3" s="38" t="s">
        <v>38</v>
      </c>
      <c r="GK3" s="38"/>
      <c r="GL3" s="24"/>
      <c r="GM3" s="38"/>
      <c r="GN3" s="38" t="s">
        <v>38</v>
      </c>
      <c r="GO3" s="38"/>
      <c r="GP3" s="38" t="s">
        <v>38</v>
      </c>
      <c r="GQ3" s="38" t="s">
        <v>38</v>
      </c>
      <c r="GR3" s="38"/>
      <c r="GS3" s="24"/>
      <c r="GT3" s="38"/>
      <c r="GU3" s="38" t="s">
        <v>38</v>
      </c>
      <c r="GV3" s="38"/>
      <c r="GW3" s="38" t="s">
        <v>38</v>
      </c>
      <c r="GX3" s="38" t="s">
        <v>38</v>
      </c>
      <c r="GY3" s="38"/>
      <c r="GZ3" s="24"/>
      <c r="HA3" s="38"/>
      <c r="HB3" s="38" t="s">
        <v>38</v>
      </c>
      <c r="HC3" s="38"/>
      <c r="HD3" s="38" t="s">
        <v>38</v>
      </c>
      <c r="HE3" s="38" t="s">
        <v>38</v>
      </c>
      <c r="HF3" s="38"/>
      <c r="HG3" s="24"/>
      <c r="HH3" s="38"/>
      <c r="HI3" s="38" t="s">
        <v>38</v>
      </c>
      <c r="HJ3" s="38"/>
      <c r="HK3" s="38" t="s">
        <v>38</v>
      </c>
      <c r="HL3" s="38" t="s">
        <v>38</v>
      </c>
      <c r="HM3" s="38"/>
      <c r="HN3" s="24"/>
      <c r="HO3" s="38"/>
      <c r="HP3" s="38" t="s">
        <v>38</v>
      </c>
      <c r="HQ3" s="38" t="s">
        <v>38</v>
      </c>
      <c r="HR3" s="38"/>
      <c r="HS3" s="38" t="s">
        <v>38</v>
      </c>
      <c r="HT3" s="38">
        <v>14</v>
      </c>
      <c r="HU3" s="24"/>
      <c r="HV3" s="38"/>
      <c r="HW3" s="38" t="s">
        <v>38</v>
      </c>
      <c r="HX3" s="38"/>
      <c r="HY3" s="38" t="s">
        <v>38</v>
      </c>
      <c r="HZ3" s="38" t="s">
        <v>38</v>
      </c>
      <c r="IA3" s="38"/>
      <c r="IB3" s="24"/>
      <c r="IC3" s="38"/>
      <c r="ID3" s="38" t="s">
        <v>38</v>
      </c>
      <c r="IE3" s="38"/>
      <c r="IF3" s="38" t="s">
        <v>38</v>
      </c>
      <c r="IG3" s="38" t="s">
        <v>38</v>
      </c>
      <c r="IH3" s="38">
        <v>10</v>
      </c>
      <c r="II3" s="24"/>
      <c r="IJ3" s="38"/>
      <c r="IK3" s="38" t="s">
        <v>38</v>
      </c>
      <c r="IL3" s="38"/>
      <c r="IM3" s="38" t="s">
        <v>38</v>
      </c>
      <c r="IN3" s="38" t="s">
        <v>38</v>
      </c>
      <c r="IO3" s="38">
        <v>11</v>
      </c>
      <c r="IP3" s="24" t="s">
        <v>47</v>
      </c>
      <c r="IQ3" s="38"/>
      <c r="IR3" s="38" t="s">
        <v>38</v>
      </c>
      <c r="IS3" s="38" t="s">
        <v>40</v>
      </c>
      <c r="IT3" s="38" t="s">
        <v>38</v>
      </c>
      <c r="IU3" s="38" t="s">
        <v>38</v>
      </c>
      <c r="IV3" s="38">
        <v>11</v>
      </c>
      <c r="IW3" s="24">
        <v>13</v>
      </c>
      <c r="IX3" s="38"/>
      <c r="IY3" s="38" t="s">
        <v>38</v>
      </c>
      <c r="IZ3" s="38"/>
      <c r="JA3" s="38" t="s">
        <v>38</v>
      </c>
      <c r="JB3" s="38" t="s">
        <v>38</v>
      </c>
      <c r="JC3" s="38" t="s">
        <v>40</v>
      </c>
      <c r="JD3" s="24">
        <v>12</v>
      </c>
      <c r="JE3" s="38"/>
      <c r="JF3" s="38" t="s">
        <v>38</v>
      </c>
      <c r="JG3" s="38"/>
      <c r="JH3" s="38" t="s">
        <v>38</v>
      </c>
      <c r="JI3" s="38"/>
      <c r="JJ3" s="38" t="s">
        <v>45</v>
      </c>
      <c r="JK3" s="24" t="s">
        <v>45</v>
      </c>
      <c r="JL3" s="38"/>
      <c r="JM3" s="38"/>
      <c r="JN3" s="38"/>
      <c r="JO3" s="38" t="s">
        <v>38</v>
      </c>
      <c r="JP3" s="38" t="s">
        <v>44</v>
      </c>
      <c r="JQ3" s="38" t="s">
        <v>44</v>
      </c>
      <c r="JR3" s="24"/>
      <c r="JS3" s="38" t="s">
        <v>38</v>
      </c>
      <c r="JT3" s="38" t="s">
        <v>38</v>
      </c>
      <c r="JU3" s="38"/>
      <c r="JV3" s="38" t="s">
        <v>38</v>
      </c>
      <c r="JW3" s="38" t="s">
        <v>38</v>
      </c>
      <c r="JX3" s="38"/>
      <c r="JY3" s="24" t="s">
        <v>43</v>
      </c>
      <c r="JZ3" s="38"/>
      <c r="KA3" s="38" t="s">
        <v>38</v>
      </c>
      <c r="KB3" s="38" t="s">
        <v>43</v>
      </c>
      <c r="KC3" s="38" t="s">
        <v>38</v>
      </c>
      <c r="KD3" s="38" t="s">
        <v>38</v>
      </c>
      <c r="KE3" s="38" t="s">
        <v>43</v>
      </c>
      <c r="KF3" s="24" t="s">
        <v>41</v>
      </c>
      <c r="KG3" s="38" t="s">
        <v>40</v>
      </c>
      <c r="KH3" s="38" t="s">
        <v>38</v>
      </c>
      <c r="KI3" s="38"/>
      <c r="KJ3" s="38" t="s">
        <v>38</v>
      </c>
      <c r="KK3" s="38" t="s">
        <v>38</v>
      </c>
      <c r="KL3" s="38">
        <v>12</v>
      </c>
      <c r="KM3" s="24">
        <v>12</v>
      </c>
      <c r="KN3" s="38"/>
      <c r="KO3" s="38" t="s">
        <v>38</v>
      </c>
      <c r="KP3" s="38"/>
      <c r="KQ3" s="38" t="s">
        <v>38</v>
      </c>
      <c r="KR3" s="38" t="s">
        <v>38</v>
      </c>
      <c r="KS3" s="38" t="s">
        <v>38</v>
      </c>
      <c r="KT3" s="24">
        <v>11</v>
      </c>
      <c r="KU3" s="38"/>
      <c r="KV3" s="38" t="s">
        <v>38</v>
      </c>
      <c r="KW3" s="38"/>
      <c r="KX3" s="38" t="s">
        <v>38</v>
      </c>
      <c r="KY3" s="38" t="s">
        <v>38</v>
      </c>
      <c r="KZ3" s="38">
        <v>13</v>
      </c>
      <c r="LA3" s="24">
        <v>13</v>
      </c>
      <c r="LB3" s="38"/>
      <c r="LC3" s="38" t="s">
        <v>38</v>
      </c>
      <c r="LD3" s="38"/>
      <c r="LE3" s="38">
        <v>10</v>
      </c>
      <c r="LF3" s="38"/>
      <c r="LG3" s="38"/>
      <c r="LH3" s="26" t="s">
        <v>39</v>
      </c>
      <c r="LI3" s="38"/>
      <c r="LJ3" s="38" t="s">
        <v>38</v>
      </c>
      <c r="LK3" s="38"/>
      <c r="LL3" s="38" t="s">
        <v>38</v>
      </c>
      <c r="LM3" s="38" t="s">
        <v>38</v>
      </c>
      <c r="LN3" s="38"/>
      <c r="LO3" s="24"/>
      <c r="LP3" s="38"/>
      <c r="LQ3" s="38"/>
      <c r="LR3" s="38"/>
      <c r="LS3" s="38"/>
      <c r="LT3" s="38"/>
      <c r="LU3" s="38"/>
      <c r="LV3" s="24"/>
      <c r="LW3" s="38"/>
      <c r="LX3" s="38"/>
      <c r="LY3" s="38"/>
      <c r="LZ3" s="38"/>
      <c r="MA3" s="38"/>
      <c r="MB3" s="38"/>
      <c r="MC3" s="24"/>
      <c r="MD3" s="38"/>
      <c r="ME3" s="38"/>
      <c r="MF3" s="38"/>
      <c r="MG3" s="38"/>
      <c r="MH3" s="38"/>
      <c r="MI3" s="38"/>
      <c r="MJ3" s="24"/>
    </row>
    <row r="4" spans="1:348" x14ac:dyDescent="0.25">
      <c r="A4" s="11" t="s">
        <v>145</v>
      </c>
      <c r="B4" s="11"/>
      <c r="C4" s="11"/>
      <c r="D4" s="11"/>
      <c r="E4" s="11"/>
      <c r="F4" s="13" t="s">
        <v>147</v>
      </c>
      <c r="G4" s="40" t="s">
        <v>146</v>
      </c>
      <c r="H4" s="40" t="s">
        <v>119</v>
      </c>
      <c r="I4" s="11" t="s">
        <v>41</v>
      </c>
      <c r="J4" s="11" t="s">
        <v>118</v>
      </c>
      <c r="K4" s="11" t="s">
        <v>42</v>
      </c>
      <c r="L4" s="11" t="s">
        <v>117</v>
      </c>
      <c r="M4" s="11" t="s">
        <v>47</v>
      </c>
      <c r="N4" s="11" t="s">
        <v>100</v>
      </c>
      <c r="O4" s="12"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2"/>
      <c r="EI4" s="11"/>
      <c r="EJ4" s="11"/>
      <c r="EK4" s="11"/>
      <c r="EL4" s="11"/>
      <c r="EM4" s="11"/>
      <c r="EN4" s="11"/>
      <c r="EO4" s="12"/>
      <c r="EP4" s="11"/>
      <c r="EQ4" s="11"/>
      <c r="ER4" s="11"/>
      <c r="ES4" s="11"/>
      <c r="ET4" s="11"/>
      <c r="EU4" s="11"/>
      <c r="EV4" s="12"/>
      <c r="EW4" s="11"/>
      <c r="EX4" s="11"/>
      <c r="EY4" s="11"/>
      <c r="EZ4" s="11"/>
      <c r="FA4" s="11"/>
      <c r="FB4" s="11"/>
      <c r="FC4" s="12"/>
      <c r="FD4" s="11"/>
      <c r="FE4" s="11"/>
      <c r="FF4" s="11"/>
      <c r="FG4" s="11"/>
      <c r="FH4" s="11"/>
      <c r="FI4" s="11"/>
      <c r="FJ4" s="12"/>
      <c r="FK4" s="11"/>
      <c r="FL4" s="11"/>
      <c r="FM4" s="11"/>
      <c r="FN4" s="11"/>
      <c r="FO4" s="11"/>
      <c r="FP4" s="11"/>
      <c r="FQ4" s="12"/>
      <c r="FR4" s="11"/>
      <c r="FS4" s="11"/>
      <c r="FT4" s="11"/>
      <c r="FU4" s="11"/>
      <c r="FV4" s="11"/>
      <c r="FW4" s="11"/>
      <c r="FX4" s="12"/>
      <c r="FY4" s="11"/>
      <c r="FZ4" s="11"/>
      <c r="GA4" s="11"/>
      <c r="GB4" s="11"/>
      <c r="GC4" s="11"/>
      <c r="GD4" s="11"/>
      <c r="GE4" s="12"/>
      <c r="GF4" s="11"/>
      <c r="GG4" s="11"/>
      <c r="GH4" s="11"/>
      <c r="GI4" s="11"/>
      <c r="GJ4" s="11"/>
      <c r="GK4" s="11"/>
      <c r="GL4" s="12"/>
      <c r="GM4" s="11"/>
      <c r="GN4" s="11"/>
      <c r="GO4" s="11"/>
      <c r="GP4" s="11"/>
      <c r="GQ4" s="11"/>
      <c r="GR4" s="11"/>
      <c r="GS4" s="12"/>
      <c r="GT4" s="11"/>
      <c r="GU4" s="11"/>
      <c r="GV4" s="11"/>
      <c r="GW4" s="11"/>
      <c r="GX4" s="11"/>
      <c r="GY4" s="11"/>
      <c r="GZ4" s="12"/>
      <c r="HA4" s="11"/>
      <c r="HB4" s="11"/>
      <c r="HC4" s="11"/>
      <c r="HD4" s="11"/>
      <c r="HE4" s="11"/>
      <c r="HF4" s="11"/>
      <c r="HG4" s="12"/>
      <c r="HH4" s="11"/>
      <c r="HI4" s="11"/>
      <c r="HJ4" s="11"/>
      <c r="HK4" s="11"/>
      <c r="HL4" s="11"/>
      <c r="HM4" s="11"/>
      <c r="HN4" s="12"/>
      <c r="HO4" s="11"/>
      <c r="HP4" s="11"/>
      <c r="HQ4" s="11"/>
      <c r="HR4" s="11"/>
      <c r="HS4" s="11"/>
      <c r="HT4" s="11"/>
      <c r="HU4" s="12"/>
      <c r="HV4" s="11"/>
      <c r="HW4" s="11"/>
      <c r="HX4" s="11"/>
      <c r="HY4" s="11"/>
      <c r="HZ4" s="11"/>
      <c r="IA4" s="11"/>
      <c r="IB4" s="12"/>
      <c r="IC4" s="11"/>
      <c r="ID4" s="11"/>
      <c r="IE4" s="11"/>
      <c r="IF4" s="11"/>
      <c r="IG4" s="11"/>
      <c r="IH4" s="11"/>
      <c r="II4" s="12"/>
      <c r="IJ4" s="11"/>
      <c r="IK4" s="11"/>
      <c r="IL4" s="11"/>
      <c r="IM4" s="11"/>
      <c r="IN4" s="11"/>
      <c r="IO4" s="11"/>
      <c r="IP4" s="12"/>
      <c r="IQ4" s="11"/>
      <c r="IR4" s="11"/>
      <c r="IS4" s="11"/>
      <c r="IT4" s="11"/>
      <c r="IU4" s="11"/>
      <c r="IV4" s="11"/>
      <c r="IW4" s="12"/>
      <c r="IX4" s="11"/>
      <c r="IY4" s="11"/>
      <c r="IZ4" s="11"/>
      <c r="JA4" s="11"/>
      <c r="JB4" s="11"/>
      <c r="JC4" s="11"/>
      <c r="JD4" s="12"/>
      <c r="JE4" s="11"/>
      <c r="JF4" s="11"/>
      <c r="JG4" s="11"/>
      <c r="JH4" s="11"/>
      <c r="JI4" s="11"/>
      <c r="JJ4" s="11"/>
      <c r="JK4" s="12"/>
      <c r="JL4" s="11"/>
      <c r="JM4" s="11"/>
      <c r="JN4" s="11"/>
      <c r="JO4" s="11"/>
      <c r="JP4" s="11"/>
      <c r="JQ4" s="11"/>
      <c r="JR4" s="12"/>
      <c r="JS4" s="11"/>
      <c r="JT4" s="11"/>
      <c r="JU4" s="11"/>
      <c r="JV4" s="11"/>
      <c r="JW4" s="11"/>
      <c r="JX4" s="11"/>
      <c r="JY4" s="12"/>
      <c r="JZ4" s="11"/>
      <c r="KA4" s="11"/>
      <c r="KB4" s="11"/>
      <c r="KC4" s="11"/>
      <c r="KD4" s="11"/>
      <c r="KE4" s="11"/>
      <c r="KF4" s="12"/>
      <c r="KG4" s="11"/>
      <c r="KH4" s="11"/>
      <c r="KI4" s="11"/>
      <c r="KJ4" s="11"/>
      <c r="KK4" s="11"/>
      <c r="KL4" s="11"/>
      <c r="KM4" s="12"/>
      <c r="KN4" s="11"/>
      <c r="KO4" s="11"/>
      <c r="KP4" s="11"/>
      <c r="KQ4" s="11"/>
      <c r="KR4" s="11"/>
      <c r="KS4" s="11"/>
      <c r="KT4" s="12"/>
      <c r="KU4" s="11"/>
      <c r="KV4" s="11"/>
      <c r="KW4" s="11"/>
      <c r="KX4" s="11"/>
      <c r="KY4" s="11"/>
      <c r="KZ4" s="11"/>
      <c r="LA4" s="12"/>
      <c r="LB4" s="11"/>
      <c r="LC4" s="11"/>
      <c r="LD4" s="11"/>
      <c r="LE4" s="11"/>
      <c r="LF4" s="11"/>
      <c r="LG4" s="11"/>
      <c r="LH4" s="12"/>
      <c r="LI4" s="11"/>
      <c r="LJ4" s="11"/>
      <c r="LK4" s="11"/>
      <c r="LL4" s="11"/>
      <c r="LM4" s="11"/>
      <c r="LN4" s="11"/>
      <c r="LO4" s="12"/>
      <c r="LP4" s="11"/>
      <c r="LQ4" s="11"/>
      <c r="LR4" s="11"/>
      <c r="LS4" s="11"/>
      <c r="LT4" s="11"/>
      <c r="LU4" s="11"/>
      <c r="LV4" s="12"/>
      <c r="LW4" s="11"/>
      <c r="LX4" s="11"/>
      <c r="LY4" s="11"/>
      <c r="LZ4" s="11"/>
      <c r="MA4" s="11"/>
      <c r="MB4" s="11"/>
      <c r="MC4" s="12"/>
      <c r="MD4" s="11"/>
      <c r="ME4" s="11"/>
      <c r="MF4" s="11"/>
      <c r="MG4" s="11"/>
      <c r="MH4" s="11"/>
      <c r="MI4" s="11"/>
      <c r="MJ4" s="12"/>
    </row>
    <row r="5" spans="1:348"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2"/>
      <c r="EI5" s="11"/>
      <c r="EJ5" s="11"/>
      <c r="EK5" s="11"/>
      <c r="EL5" s="11"/>
      <c r="EM5" s="11"/>
      <c r="EN5" s="11"/>
      <c r="EO5" s="12"/>
      <c r="EP5" s="11"/>
      <c r="EQ5" s="11"/>
      <c r="ER5" s="11"/>
      <c r="ES5" s="11"/>
      <c r="ET5" s="11"/>
      <c r="EU5" s="11"/>
      <c r="EV5" s="12"/>
      <c r="EW5" s="11"/>
      <c r="EX5" s="11"/>
      <c r="EY5" s="11"/>
      <c r="EZ5" s="11"/>
      <c r="FA5" s="11"/>
      <c r="FB5" s="11"/>
      <c r="FC5" s="12"/>
      <c r="FD5" s="11"/>
      <c r="FE5" s="11"/>
      <c r="FF5" s="11"/>
      <c r="FG5" s="11"/>
      <c r="FH5" s="11"/>
      <c r="FI5" s="11"/>
      <c r="FJ5" s="12"/>
      <c r="FK5" s="11"/>
      <c r="FL5" s="11"/>
      <c r="FM5" s="11"/>
      <c r="FN5" s="11"/>
      <c r="FO5" s="11"/>
      <c r="FP5" s="11"/>
      <c r="FQ5" s="12"/>
      <c r="FR5" s="11"/>
      <c r="FS5" s="11"/>
      <c r="FT5" s="11"/>
      <c r="FU5" s="11"/>
      <c r="FV5" s="11"/>
      <c r="FW5" s="11"/>
      <c r="FX5" s="12"/>
      <c r="FY5" s="11"/>
      <c r="FZ5" s="11"/>
      <c r="GA5" s="11"/>
      <c r="GB5" s="11"/>
      <c r="GC5" s="11"/>
      <c r="GD5" s="11"/>
      <c r="GE5" s="12"/>
      <c r="GF5" s="11"/>
      <c r="GG5" s="11"/>
      <c r="GH5" s="11"/>
      <c r="GI5" s="11"/>
      <c r="GJ5" s="11"/>
      <c r="GK5" s="11"/>
      <c r="GL5" s="12"/>
      <c r="GM5" s="11"/>
      <c r="GN5" s="11"/>
      <c r="GO5" s="11"/>
      <c r="GP5" s="11"/>
      <c r="GQ5" s="11"/>
      <c r="GR5" s="11"/>
      <c r="GS5" s="12"/>
      <c r="GT5" s="11"/>
      <c r="GU5" s="11"/>
      <c r="GV5" s="11"/>
      <c r="GW5" s="11"/>
      <c r="GX5" s="11"/>
      <c r="GY5" s="11"/>
      <c r="GZ5" s="12"/>
      <c r="HA5" s="11"/>
      <c r="HB5" s="11"/>
      <c r="HC5" s="11"/>
      <c r="HD5" s="11"/>
      <c r="HE5" s="11"/>
      <c r="HF5" s="11"/>
      <c r="HG5" s="12"/>
      <c r="HH5" s="11"/>
      <c r="HI5" s="11"/>
      <c r="HJ5" s="11"/>
      <c r="HK5" s="11"/>
      <c r="HL5" s="11"/>
      <c r="HM5" s="11"/>
      <c r="HN5" s="12"/>
      <c r="HO5" s="11"/>
      <c r="HP5" s="11"/>
      <c r="HQ5" s="11"/>
      <c r="HR5" s="11"/>
      <c r="HS5" s="11"/>
      <c r="HT5" s="11"/>
      <c r="HU5" s="12"/>
      <c r="HV5" s="11"/>
      <c r="HW5" s="11"/>
      <c r="HX5" s="11"/>
      <c r="HY5" s="11"/>
      <c r="HZ5" s="11"/>
      <c r="IA5" s="11"/>
      <c r="IB5" s="12"/>
      <c r="IC5" s="11"/>
      <c r="ID5" s="11"/>
      <c r="IE5" s="11"/>
      <c r="IF5" s="11"/>
      <c r="IG5" s="11"/>
      <c r="IH5" s="11"/>
      <c r="II5" s="12"/>
      <c r="IJ5" s="11"/>
      <c r="IK5" s="11"/>
      <c r="IL5" s="11"/>
      <c r="IM5" s="11"/>
      <c r="IN5" s="11"/>
      <c r="IO5" s="11"/>
      <c r="IP5" s="12"/>
      <c r="IQ5" s="11"/>
      <c r="IR5" s="11"/>
      <c r="IS5" s="11"/>
      <c r="IT5" s="11"/>
      <c r="IU5" s="11"/>
      <c r="IV5" s="11"/>
      <c r="IW5" s="12"/>
      <c r="IX5" s="11"/>
      <c r="IY5" s="11"/>
      <c r="IZ5" s="11"/>
      <c r="JA5" s="11"/>
      <c r="JB5" s="11"/>
      <c r="JC5" s="11"/>
      <c r="JD5" s="12"/>
      <c r="JE5" s="11"/>
      <c r="JF5" s="11"/>
      <c r="JG5" s="11"/>
      <c r="JH5" s="11"/>
      <c r="JI5" s="11"/>
      <c r="JJ5" s="11"/>
      <c r="JK5" s="12"/>
      <c r="JL5" s="11"/>
      <c r="JM5" s="11"/>
      <c r="JN5" s="11"/>
      <c r="JO5" s="11"/>
      <c r="JP5" s="11"/>
      <c r="JQ5" s="11"/>
      <c r="JR5" s="12"/>
      <c r="JS5" s="11"/>
      <c r="JT5" s="11"/>
      <c r="JU5" s="11"/>
      <c r="JV5" s="11"/>
      <c r="JW5" s="11"/>
      <c r="JX5" s="11"/>
      <c r="JY5" s="12"/>
      <c r="JZ5" s="11"/>
      <c r="KA5" s="11"/>
      <c r="KB5" s="11"/>
      <c r="KC5" s="11"/>
      <c r="KD5" s="11"/>
      <c r="KE5" s="11"/>
      <c r="KF5" s="12"/>
      <c r="KG5" s="11"/>
      <c r="KH5" s="11"/>
      <c r="KI5" s="11"/>
      <c r="KJ5" s="11"/>
      <c r="KK5" s="11"/>
      <c r="KL5" s="11"/>
      <c r="KM5" s="12"/>
      <c r="KN5" s="11"/>
      <c r="KO5" s="11"/>
      <c r="KP5" s="11"/>
      <c r="KQ5" s="11"/>
      <c r="KR5" s="11"/>
      <c r="KS5" s="11"/>
      <c r="KT5" s="12"/>
      <c r="KU5" s="11"/>
      <c r="KV5" s="11"/>
      <c r="KW5" s="11"/>
      <c r="KX5" s="11"/>
      <c r="KY5" s="11"/>
      <c r="KZ5" s="11"/>
      <c r="LA5" s="12"/>
      <c r="LB5" s="11"/>
      <c r="LC5" s="11"/>
      <c r="LD5" s="11"/>
      <c r="LE5" s="11"/>
      <c r="LF5" s="11"/>
      <c r="LG5" s="11"/>
      <c r="LH5" s="12"/>
      <c r="LI5" s="11"/>
      <c r="LJ5" s="11"/>
      <c r="LK5" s="11"/>
      <c r="LL5" s="11"/>
      <c r="LM5" s="11"/>
      <c r="LN5" s="11"/>
      <c r="LO5" s="12"/>
      <c r="LP5" s="11"/>
      <c r="LQ5" s="11"/>
      <c r="LR5" s="11"/>
      <c r="LS5" s="11"/>
      <c r="LT5" s="11"/>
      <c r="LU5" s="11"/>
      <c r="LV5" s="12"/>
      <c r="LW5" s="11"/>
      <c r="LX5" s="11"/>
      <c r="LY5" s="11"/>
      <c r="LZ5" s="11"/>
      <c r="MA5" s="11"/>
      <c r="MB5" s="11"/>
      <c r="MC5" s="12"/>
      <c r="MD5" s="11"/>
      <c r="ME5" s="11"/>
      <c r="MF5" s="11"/>
      <c r="MG5" s="11"/>
      <c r="MH5" s="11"/>
      <c r="MI5" s="11"/>
      <c r="MJ5" s="12"/>
    </row>
    <row r="6" spans="1:348" ht="7.5" customHeight="1" x14ac:dyDescent="0.25">
      <c r="A6" s="8"/>
      <c r="B6" s="8"/>
      <c r="C6" s="8"/>
      <c r="D6" s="8"/>
      <c r="E6" s="8"/>
      <c r="F6" s="10"/>
      <c r="G6" s="19"/>
      <c r="H6" s="19"/>
      <c r="I6" s="8"/>
      <c r="J6" s="8"/>
      <c r="K6" s="8"/>
      <c r="L6" s="8"/>
      <c r="M6" s="8"/>
      <c r="N6" s="8"/>
      <c r="O6" s="9"/>
      <c r="P6" s="8" t="str">
        <f t="shared" ref="P6:P31" si="317">IF(SUM(S6:MJ6) &gt; 0, SUM(S6:MJ6), "")</f>
        <v/>
      </c>
      <c r="Q6" s="109" t="str">
        <f>IF(SUM(R6:XFD6) &gt; 0, SUM(R6:XFD6) / $P$35 * 100, "")</f>
        <v/>
      </c>
      <c r="R6" s="84"/>
      <c r="S6" s="7"/>
      <c r="Z6" s="7"/>
      <c r="AG6" s="7"/>
      <c r="AN6" s="7"/>
      <c r="AU6" s="7"/>
      <c r="BB6" s="7"/>
      <c r="BI6" s="7"/>
      <c r="BP6" s="7"/>
      <c r="BY6" s="79"/>
      <c r="CH6" s="7"/>
      <c r="CQ6" s="7"/>
      <c r="CZ6" s="7"/>
      <c r="DI6" s="7"/>
      <c r="DR6" s="7"/>
      <c r="EA6" s="79"/>
      <c r="EH6" s="7"/>
      <c r="EO6" s="7"/>
      <c r="EV6" s="7"/>
      <c r="FC6" s="7"/>
      <c r="FJ6" s="7"/>
      <c r="FQ6" s="7"/>
      <c r="FX6" s="7"/>
      <c r="GE6" s="7"/>
      <c r="GL6" s="7"/>
      <c r="GS6" s="7"/>
      <c r="GZ6" s="7"/>
      <c r="HG6" s="7"/>
      <c r="HN6" s="7"/>
      <c r="HU6" s="7"/>
      <c r="IB6" s="7"/>
      <c r="II6" s="7"/>
      <c r="IP6" s="7"/>
      <c r="IW6" s="7"/>
      <c r="JD6" s="7"/>
      <c r="JK6" s="7"/>
      <c r="JR6" s="7"/>
      <c r="JY6" s="7"/>
      <c r="KF6" s="7"/>
      <c r="KM6" s="7"/>
      <c r="KT6" s="7"/>
      <c r="LA6" s="7"/>
      <c r="LH6" s="7"/>
      <c r="LO6" s="7"/>
      <c r="LV6" s="7"/>
      <c r="MC6" s="7"/>
      <c r="MJ6" s="7"/>
    </row>
    <row r="7" spans="1:348" ht="15" customHeight="1" x14ac:dyDescent="0.25">
      <c r="A7" s="8" t="s">
        <v>128</v>
      </c>
      <c r="B7" s="8" t="s">
        <v>127</v>
      </c>
      <c r="C7" s="8" t="s">
        <v>157</v>
      </c>
      <c r="D7" s="8" t="s">
        <v>126</v>
      </c>
      <c r="E7" s="18">
        <v>38532</v>
      </c>
      <c r="F7" s="10">
        <f>IF($E7 &gt;= F$5, 1, "")</f>
        <v>1</v>
      </c>
      <c r="G7" s="19">
        <f>IF($E7 &gt;= G$5, 1, "")</f>
        <v>1</v>
      </c>
      <c r="H7" s="19" t="str">
        <f t="shared" ref="H7:L7" si="318">IF($E7 &gt;= H$5, 1, "")</f>
        <v/>
      </c>
      <c r="I7" s="19" t="str">
        <f t="shared" si="318"/>
        <v/>
      </c>
      <c r="J7" s="19" t="str">
        <f t="shared" si="318"/>
        <v/>
      </c>
      <c r="K7" s="19" t="str">
        <f t="shared" si="318"/>
        <v/>
      </c>
      <c r="L7" s="19" t="str">
        <f t="shared" si="318"/>
        <v/>
      </c>
      <c r="M7" s="8"/>
      <c r="N7" s="8">
        <v>1</v>
      </c>
      <c r="O7" s="9">
        <v>1</v>
      </c>
      <c r="P7" s="8">
        <f t="shared" si="317"/>
        <v>36</v>
      </c>
      <c r="Q7" s="109">
        <f>IF(SUM(S7:XFD7) &gt; 0, SUM(S7:XFD7) / $P$35 * 100, "")</f>
        <v>83.720930232558146</v>
      </c>
      <c r="R7" s="133" t="str">
        <f>KStateSum(S7:MJ7, 1)</f>
        <v>2</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380</v>
      </c>
      <c r="BY7" s="80" t="s">
        <v>363</v>
      </c>
      <c r="CC7">
        <v>1</v>
      </c>
      <c r="CG7" s="95" t="s">
        <v>380</v>
      </c>
      <c r="CH7" s="80" t="s">
        <v>365</v>
      </c>
      <c r="CL7">
        <v>1</v>
      </c>
      <c r="CP7" s="99" t="s">
        <v>380</v>
      </c>
      <c r="CQ7" s="80" t="s">
        <v>365</v>
      </c>
      <c r="CS7">
        <v>1</v>
      </c>
      <c r="CV7">
        <v>1</v>
      </c>
      <c r="CY7" s="99" t="s">
        <v>381</v>
      </c>
      <c r="CZ7" s="80" t="s">
        <v>394</v>
      </c>
      <c r="DB7">
        <v>1</v>
      </c>
      <c r="DH7" s="99" t="s">
        <v>382</v>
      </c>
      <c r="DI7" s="80">
        <v>2</v>
      </c>
      <c r="DK7">
        <v>1</v>
      </c>
      <c r="DM7">
        <v>1</v>
      </c>
      <c r="DP7">
        <v>1</v>
      </c>
      <c r="DQ7" s="99" t="s">
        <v>394</v>
      </c>
      <c r="DR7" s="80">
        <v>1</v>
      </c>
      <c r="DT7">
        <v>1</v>
      </c>
      <c r="DV7">
        <v>1</v>
      </c>
      <c r="DW7">
        <v>1</v>
      </c>
      <c r="DZ7" s="95" t="s">
        <v>365</v>
      </c>
      <c r="EA7" s="80" t="s">
        <v>364</v>
      </c>
      <c r="EH7" s="7"/>
      <c r="EO7" s="7"/>
      <c r="EV7" s="7"/>
      <c r="FC7" s="7"/>
      <c r="FJ7" s="7"/>
      <c r="FQ7" s="7"/>
      <c r="FX7" s="7"/>
      <c r="GE7" s="7"/>
      <c r="GL7" s="7"/>
      <c r="GS7" s="7"/>
      <c r="GZ7" s="7"/>
      <c r="HG7" s="7"/>
      <c r="HN7" s="7"/>
      <c r="HU7" s="7"/>
      <c r="IB7" s="7"/>
      <c r="II7" s="7"/>
      <c r="IP7" s="7"/>
      <c r="IW7" s="7"/>
      <c r="JD7" s="7"/>
      <c r="JK7" s="7"/>
      <c r="JR7" s="7"/>
      <c r="JY7" s="7"/>
      <c r="KF7" s="7"/>
      <c r="KM7" s="7"/>
      <c r="KT7" s="7"/>
      <c r="LA7" s="7"/>
      <c r="LH7" s="7"/>
      <c r="LO7" s="7"/>
      <c r="LV7" s="7"/>
      <c r="MC7" s="7"/>
      <c r="MJ7" s="7"/>
    </row>
    <row r="8" spans="1:348" ht="15" hidden="1" customHeight="1" x14ac:dyDescent="0.25">
      <c r="A8" s="8" t="s">
        <v>151</v>
      </c>
      <c r="B8" s="8" t="s">
        <v>152</v>
      </c>
      <c r="C8" s="8" t="s">
        <v>153</v>
      </c>
      <c r="D8" s="8" t="s">
        <v>154</v>
      </c>
      <c r="E8" s="18">
        <v>36859</v>
      </c>
      <c r="F8" s="10" t="str">
        <f t="shared" ref="F8:L29" si="319">IF($E8 &gt;= F$5, 1, "")</f>
        <v/>
      </c>
      <c r="G8" s="19" t="str">
        <f t="shared" si="319"/>
        <v/>
      </c>
      <c r="H8" s="19" t="str">
        <f t="shared" si="319"/>
        <v/>
      </c>
      <c r="I8" s="19" t="str">
        <f t="shared" si="319"/>
        <v/>
      </c>
      <c r="J8" s="19" t="str">
        <f t="shared" si="319"/>
        <v/>
      </c>
      <c r="K8" s="19" t="str">
        <f t="shared" si="319"/>
        <v/>
      </c>
      <c r="L8" s="19" t="str">
        <f t="shared" si="319"/>
        <v/>
      </c>
      <c r="M8" s="8"/>
      <c r="N8" s="8"/>
      <c r="O8" s="9">
        <v>1</v>
      </c>
      <c r="P8" s="8">
        <f t="shared" si="317"/>
        <v>11</v>
      </c>
      <c r="Q8" s="109">
        <f>IF(SUM(R8:XFD8) &gt; 0, SUM(R8:XFD8) / $P$35 * 100, "")</f>
        <v>85.073012439156301</v>
      </c>
      <c r="R8" s="84">
        <f>IF(SUM(S8:XFD8) &gt; 0, SUM(S8:XFD8) / $P$35 * 100, "")</f>
        <v>25.581395348837212</v>
      </c>
      <c r="S8" s="7">
        <v>1</v>
      </c>
      <c r="U8">
        <v>1</v>
      </c>
      <c r="V8">
        <v>1</v>
      </c>
      <c r="X8">
        <v>1</v>
      </c>
      <c r="Z8" s="7"/>
      <c r="AB8">
        <v>1</v>
      </c>
      <c r="AE8">
        <v>1</v>
      </c>
      <c r="AG8" s="7"/>
      <c r="AI8">
        <v>1</v>
      </c>
      <c r="AK8">
        <v>1</v>
      </c>
      <c r="AN8" s="7"/>
      <c r="AR8">
        <v>1</v>
      </c>
      <c r="AU8" s="7"/>
      <c r="AW8">
        <v>1</v>
      </c>
      <c r="BB8" s="7"/>
      <c r="BI8" s="7"/>
      <c r="BP8" s="7"/>
      <c r="BR8">
        <v>1</v>
      </c>
      <c r="BX8" s="96"/>
      <c r="BY8" s="80" t="s">
        <v>367</v>
      </c>
      <c r="CG8" s="96"/>
      <c r="CH8" s="80" t="s">
        <v>367</v>
      </c>
      <c r="CJ8" t="s">
        <v>376</v>
      </c>
      <c r="CP8" s="100"/>
      <c r="CQ8" s="79"/>
      <c r="CY8" s="100"/>
      <c r="CZ8" s="79"/>
      <c r="DH8" s="99" t="s">
        <v>365</v>
      </c>
      <c r="DI8" s="79"/>
      <c r="DQ8" s="99" t="s">
        <v>365</v>
      </c>
      <c r="DR8" s="79"/>
      <c r="DZ8" s="96"/>
      <c r="EA8" s="79"/>
      <c r="EH8" s="7"/>
      <c r="EO8" s="7"/>
      <c r="EV8" s="7"/>
      <c r="FC8" s="7"/>
      <c r="FJ8" s="7"/>
      <c r="FQ8" s="7"/>
      <c r="FX8" s="7"/>
      <c r="GE8" s="7"/>
      <c r="GL8" s="7"/>
      <c r="GS8" s="7"/>
      <c r="GZ8" s="7"/>
      <c r="HG8" s="7"/>
      <c r="HN8" s="7"/>
      <c r="HU8" s="7"/>
      <c r="IB8" s="7"/>
      <c r="II8" s="7"/>
      <c r="IP8" s="7"/>
      <c r="IW8" s="7"/>
      <c r="JD8" s="7"/>
      <c r="JK8" s="7"/>
      <c r="JR8" s="7"/>
      <c r="JY8" s="7"/>
      <c r="KF8" s="7"/>
      <c r="KM8" s="7"/>
      <c r="KT8" s="7"/>
      <c r="LA8" s="7"/>
      <c r="LH8" s="7"/>
      <c r="LO8" s="7"/>
      <c r="LV8" s="7"/>
      <c r="MC8" s="7"/>
      <c r="MJ8" s="7"/>
    </row>
    <row r="9" spans="1:348" ht="15" customHeight="1" x14ac:dyDescent="0.25">
      <c r="A9" s="8" t="s">
        <v>20</v>
      </c>
      <c r="B9" s="8"/>
      <c r="C9" s="8" t="s">
        <v>149</v>
      </c>
      <c r="D9" s="8" t="s">
        <v>150</v>
      </c>
      <c r="E9" s="18">
        <v>37414</v>
      </c>
      <c r="F9" s="10">
        <f t="shared" si="319"/>
        <v>1</v>
      </c>
      <c r="G9" s="19" t="str">
        <f t="shared" si="319"/>
        <v/>
      </c>
      <c r="H9" s="19" t="str">
        <f t="shared" si="319"/>
        <v/>
      </c>
      <c r="I9" s="19" t="str">
        <f t="shared" si="319"/>
        <v/>
      </c>
      <c r="J9" s="19" t="str">
        <f t="shared" si="319"/>
        <v/>
      </c>
      <c r="K9" s="19" t="str">
        <f t="shared" si="319"/>
        <v/>
      </c>
      <c r="L9" s="19" t="str">
        <f t="shared" si="319"/>
        <v/>
      </c>
      <c r="M9" s="8"/>
      <c r="N9" s="8">
        <v>1</v>
      </c>
      <c r="O9" s="9">
        <v>1</v>
      </c>
      <c r="P9" s="8">
        <f t="shared" si="317"/>
        <v>38</v>
      </c>
      <c r="Q9" s="109">
        <f t="shared" ref="Q9:Q26" si="320">IF(SUM(S9:XFD9) &gt; 0, SUM(S9:XFD9) / $P$35 * 100, "")</f>
        <v>88.372093023255815</v>
      </c>
      <c r="R9" s="133" t="str">
        <f t="shared" ref="R9:R29" si="321">KStateSum(S9:MJ9, 1)</f>
        <v>-15</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365</v>
      </c>
      <c r="BY9" s="80" t="s">
        <v>366</v>
      </c>
      <c r="CC9">
        <v>1</v>
      </c>
      <c r="CF9">
        <v>1</v>
      </c>
      <c r="CG9" s="95" t="s">
        <v>365</v>
      </c>
      <c r="CH9" s="80" t="s">
        <v>366</v>
      </c>
      <c r="CL9">
        <v>1</v>
      </c>
      <c r="CO9">
        <v>1</v>
      </c>
      <c r="CP9" s="99" t="s">
        <v>365</v>
      </c>
      <c r="CQ9" s="80" t="s">
        <v>366</v>
      </c>
      <c r="CS9">
        <v>1</v>
      </c>
      <c r="CU9">
        <v>1</v>
      </c>
      <c r="CX9">
        <v>1</v>
      </c>
      <c r="CY9" s="99" t="s">
        <v>365</v>
      </c>
      <c r="CZ9" s="80" t="s">
        <v>364</v>
      </c>
      <c r="DB9">
        <v>1</v>
      </c>
      <c r="DE9">
        <v>1</v>
      </c>
      <c r="DG9">
        <v>1</v>
      </c>
      <c r="DH9" s="99" t="s">
        <v>365</v>
      </c>
      <c r="DI9" s="80" t="s">
        <v>364</v>
      </c>
      <c r="DK9">
        <v>1</v>
      </c>
      <c r="DM9">
        <v>1</v>
      </c>
      <c r="DN9">
        <v>1</v>
      </c>
      <c r="DP9">
        <v>1</v>
      </c>
      <c r="DQ9" s="99" t="s">
        <v>365</v>
      </c>
      <c r="DR9" s="80" t="s">
        <v>365</v>
      </c>
      <c r="DT9">
        <v>1</v>
      </c>
      <c r="DV9">
        <v>1</v>
      </c>
      <c r="DW9">
        <v>1</v>
      </c>
      <c r="DZ9" s="95" t="s">
        <v>365</v>
      </c>
      <c r="EA9" s="80" t="s">
        <v>364</v>
      </c>
      <c r="EH9" s="7"/>
      <c r="EO9" s="7"/>
      <c r="EV9" s="7"/>
      <c r="FC9" s="7"/>
      <c r="FJ9" s="7"/>
      <c r="FQ9" s="7"/>
      <c r="FX9" s="7"/>
      <c r="GE9" s="7"/>
      <c r="GL9" s="7"/>
      <c r="GS9" s="7"/>
      <c r="GZ9" s="7"/>
      <c r="HG9" s="7"/>
      <c r="HN9" s="7"/>
      <c r="HU9" s="7"/>
      <c r="IB9" s="7"/>
      <c r="II9" s="7"/>
      <c r="IP9" s="7"/>
      <c r="IW9" s="7"/>
      <c r="JD9" s="7"/>
      <c r="JK9" s="7"/>
      <c r="JR9" s="7"/>
      <c r="JY9" s="7"/>
      <c r="KF9" s="7"/>
      <c r="KM9" s="7"/>
      <c r="KT9" s="7"/>
      <c r="LA9" s="7"/>
      <c r="LH9" s="7"/>
      <c r="LO9" s="7"/>
      <c r="LV9" s="7"/>
      <c r="MC9" s="7"/>
      <c r="MJ9" s="7"/>
    </row>
    <row r="10" spans="1:348" ht="15" customHeight="1" x14ac:dyDescent="0.25">
      <c r="A10" s="8" t="s">
        <v>248</v>
      </c>
      <c r="B10" s="8" t="s">
        <v>178</v>
      </c>
      <c r="C10" s="8" t="s">
        <v>179</v>
      </c>
      <c r="D10" s="8" t="s">
        <v>113</v>
      </c>
      <c r="E10" s="18">
        <v>37608</v>
      </c>
      <c r="F10" s="10">
        <f t="shared" si="319"/>
        <v>1</v>
      </c>
      <c r="G10" s="19" t="str">
        <f t="shared" si="319"/>
        <v/>
      </c>
      <c r="H10" s="19" t="str">
        <f t="shared" si="319"/>
        <v/>
      </c>
      <c r="I10" s="19" t="str">
        <f t="shared" si="319"/>
        <v/>
      </c>
      <c r="J10" s="19" t="str">
        <f t="shared" si="319"/>
        <v/>
      </c>
      <c r="K10" s="19" t="str">
        <f t="shared" si="319"/>
        <v/>
      </c>
      <c r="L10" s="19" t="str">
        <f t="shared" si="319"/>
        <v/>
      </c>
      <c r="M10" s="8"/>
      <c r="N10" s="8">
        <v>1</v>
      </c>
      <c r="O10" s="9">
        <v>1</v>
      </c>
      <c r="P10" s="8">
        <f t="shared" si="317"/>
        <v>30</v>
      </c>
      <c r="Q10" s="109">
        <f t="shared" si="320"/>
        <v>69.767441860465112</v>
      </c>
      <c r="R10" s="133" t="str">
        <f t="shared" si="321"/>
        <v>-14</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365</v>
      </c>
      <c r="BY10" s="80" t="s">
        <v>368</v>
      </c>
      <c r="CC10">
        <v>1</v>
      </c>
      <c r="CF10">
        <v>1</v>
      </c>
      <c r="CG10" s="95" t="s">
        <v>365</v>
      </c>
      <c r="CH10" s="80" t="s">
        <v>366</v>
      </c>
      <c r="CP10" s="99" t="s">
        <v>394</v>
      </c>
      <c r="CQ10" s="80" t="s">
        <v>368</v>
      </c>
      <c r="CY10" s="99" t="s">
        <v>380</v>
      </c>
      <c r="CZ10" s="80" t="s">
        <v>394</v>
      </c>
      <c r="DH10" s="99" t="s">
        <v>381</v>
      </c>
      <c r="DI10" s="80" t="s">
        <v>365</v>
      </c>
      <c r="DK10">
        <v>1</v>
      </c>
      <c r="DM10">
        <v>1</v>
      </c>
      <c r="DN10">
        <v>1</v>
      </c>
      <c r="DP10">
        <v>1</v>
      </c>
      <c r="DQ10" s="99" t="s">
        <v>400</v>
      </c>
      <c r="DR10" s="80" t="s">
        <v>400</v>
      </c>
      <c r="DT10">
        <v>1</v>
      </c>
      <c r="DV10">
        <v>1</v>
      </c>
      <c r="DZ10" s="95" t="s">
        <v>365</v>
      </c>
      <c r="EA10" s="80" t="s">
        <v>364</v>
      </c>
      <c r="EH10" s="7"/>
      <c r="EO10" s="7"/>
      <c r="EV10" s="7"/>
      <c r="FC10" s="7"/>
      <c r="FJ10" s="7"/>
      <c r="FQ10" s="7"/>
      <c r="FX10" s="7"/>
      <c r="GE10" s="7"/>
      <c r="GL10" s="7"/>
      <c r="GS10" s="7"/>
      <c r="GZ10" s="7"/>
      <c r="HG10" s="7"/>
      <c r="HN10" s="7"/>
      <c r="HU10" s="7"/>
      <c r="IB10" s="7"/>
      <c r="II10" s="7"/>
      <c r="IP10" s="7"/>
      <c r="IW10" s="7"/>
      <c r="JD10" s="7"/>
      <c r="JK10" s="7"/>
      <c r="JR10" s="7"/>
      <c r="JY10" s="7"/>
      <c r="KF10" s="7"/>
      <c r="KM10" s="7"/>
      <c r="KT10" s="7"/>
      <c r="LA10" s="7"/>
      <c r="LH10" s="7"/>
      <c r="LO10" s="7"/>
      <c r="LV10" s="7"/>
      <c r="MC10" s="7"/>
      <c r="MJ10" s="7"/>
    </row>
    <row r="11" spans="1:348" x14ac:dyDescent="0.25">
      <c r="A11" s="8" t="s">
        <v>162</v>
      </c>
      <c r="B11" s="8"/>
      <c r="C11" s="8" t="s">
        <v>163</v>
      </c>
      <c r="D11" s="8" t="s">
        <v>164</v>
      </c>
      <c r="E11" s="18">
        <v>37133</v>
      </c>
      <c r="F11" s="10" t="str">
        <f t="shared" si="319"/>
        <v/>
      </c>
      <c r="G11" s="19" t="str">
        <f t="shared" si="319"/>
        <v/>
      </c>
      <c r="H11" s="19" t="str">
        <f t="shared" si="319"/>
        <v/>
      </c>
      <c r="I11" s="19" t="str">
        <f t="shared" si="319"/>
        <v/>
      </c>
      <c r="J11" s="19" t="str">
        <f t="shared" si="319"/>
        <v/>
      </c>
      <c r="K11" s="19" t="str">
        <f t="shared" si="319"/>
        <v/>
      </c>
      <c r="L11" s="19" t="str">
        <f t="shared" si="319"/>
        <v/>
      </c>
      <c r="M11" s="8"/>
      <c r="N11" s="8"/>
      <c r="O11" s="9">
        <v>1</v>
      </c>
      <c r="P11" s="8">
        <f t="shared" si="317"/>
        <v>33</v>
      </c>
      <c r="Q11" s="109">
        <f t="shared" si="320"/>
        <v>76.744186046511629</v>
      </c>
      <c r="R11" s="133" t="str">
        <f t="shared" si="321"/>
        <v>-18</v>
      </c>
      <c r="S11" s="7"/>
      <c r="V11">
        <v>1</v>
      </c>
      <c r="X11">
        <v>1</v>
      </c>
      <c r="Z11" s="7"/>
      <c r="AB11">
        <v>1</v>
      </c>
      <c r="AD11">
        <v>1</v>
      </c>
      <c r="AE11">
        <v>1</v>
      </c>
      <c r="AG11" s="7"/>
      <c r="AI11">
        <v>1</v>
      </c>
      <c r="AK11">
        <v>1</v>
      </c>
      <c r="AL11">
        <v>1</v>
      </c>
      <c r="AN11" s="7"/>
      <c r="AP11">
        <v>1</v>
      </c>
      <c r="AR11">
        <v>1</v>
      </c>
      <c r="AS11">
        <v>1</v>
      </c>
      <c r="AU11" s="7"/>
      <c r="AW11">
        <v>1</v>
      </c>
      <c r="AY11">
        <v>1</v>
      </c>
      <c r="AZ11">
        <v>1</v>
      </c>
      <c r="BB11" s="7"/>
      <c r="BD11">
        <v>1</v>
      </c>
      <c r="BI11" s="7"/>
      <c r="BK11">
        <v>1</v>
      </c>
      <c r="BM11">
        <v>1</v>
      </c>
      <c r="BP11" s="7"/>
      <c r="BR11">
        <v>1</v>
      </c>
      <c r="BT11">
        <v>1</v>
      </c>
      <c r="BW11">
        <v>1</v>
      </c>
      <c r="BX11" s="95" t="s">
        <v>365</v>
      </c>
      <c r="BY11" s="80" t="s">
        <v>366</v>
      </c>
      <c r="CC11">
        <v>1</v>
      </c>
      <c r="CF11">
        <v>1</v>
      </c>
      <c r="CG11" s="95" t="s">
        <v>365</v>
      </c>
      <c r="CH11" s="80" t="s">
        <v>366</v>
      </c>
      <c r="CL11">
        <v>1</v>
      </c>
      <c r="CP11" s="99" t="s">
        <v>365</v>
      </c>
      <c r="CQ11" s="80" t="s">
        <v>368</v>
      </c>
      <c r="CS11">
        <v>1</v>
      </c>
      <c r="CU11">
        <v>1</v>
      </c>
      <c r="CV11">
        <v>1</v>
      </c>
      <c r="CY11" s="99" t="s">
        <v>365</v>
      </c>
      <c r="CZ11" s="80" t="s">
        <v>364</v>
      </c>
      <c r="DB11">
        <v>1</v>
      </c>
      <c r="DE11">
        <v>1</v>
      </c>
      <c r="DH11" s="99" t="s">
        <v>365</v>
      </c>
      <c r="DI11" s="80" t="s">
        <v>363</v>
      </c>
      <c r="DK11">
        <v>1</v>
      </c>
      <c r="DM11">
        <v>1</v>
      </c>
      <c r="DN11">
        <v>1</v>
      </c>
      <c r="DP11">
        <v>1</v>
      </c>
      <c r="DQ11" s="99" t="s">
        <v>365</v>
      </c>
      <c r="DR11" s="80" t="s">
        <v>365</v>
      </c>
      <c r="DT11">
        <v>1</v>
      </c>
      <c r="DV11" t="s">
        <v>390</v>
      </c>
      <c r="DZ11" s="95" t="s">
        <v>365</v>
      </c>
      <c r="EA11" s="80" t="s">
        <v>364</v>
      </c>
      <c r="EH11" s="7"/>
      <c r="EO11" s="7"/>
      <c r="EV11" s="7"/>
      <c r="FC11" s="7"/>
      <c r="FJ11" s="7"/>
      <c r="FQ11" s="7"/>
      <c r="FX11" s="7"/>
      <c r="GE11" s="7"/>
      <c r="GL11" s="7"/>
      <c r="GS11" s="7"/>
      <c r="GZ11" s="7"/>
      <c r="HG11" s="7"/>
      <c r="HN11" s="7"/>
      <c r="HU11" s="7"/>
      <c r="IB11" s="7"/>
      <c r="II11" s="7"/>
      <c r="IP11" s="7"/>
      <c r="IW11" s="7"/>
      <c r="JD11" s="7"/>
      <c r="JK11" s="7"/>
      <c r="JR11" s="7"/>
      <c r="JY11" s="7"/>
      <c r="KF11" s="7"/>
      <c r="KM11" s="7"/>
      <c r="KT11" s="7"/>
      <c r="LA11" s="7"/>
      <c r="LH11" s="7"/>
      <c r="LO11" s="7"/>
      <c r="LV11" s="7"/>
      <c r="MC11" s="7"/>
      <c r="MJ11" s="7"/>
    </row>
    <row r="12" spans="1:348" x14ac:dyDescent="0.25">
      <c r="A12" s="8" t="s">
        <v>120</v>
      </c>
      <c r="B12" s="8" t="s">
        <v>161</v>
      </c>
      <c r="C12" s="8" t="s">
        <v>176</v>
      </c>
      <c r="D12" s="8" t="s">
        <v>177</v>
      </c>
      <c r="E12" s="18">
        <v>37808</v>
      </c>
      <c r="F12" s="10">
        <f t="shared" si="319"/>
        <v>1</v>
      </c>
      <c r="G12" s="19" t="str">
        <f t="shared" si="319"/>
        <v/>
      </c>
      <c r="H12" s="19" t="str">
        <f t="shared" si="319"/>
        <v/>
      </c>
      <c r="I12" s="19" t="str">
        <f t="shared" si="319"/>
        <v/>
      </c>
      <c r="J12" s="19" t="str">
        <f t="shared" si="319"/>
        <v/>
      </c>
      <c r="K12" s="19" t="str">
        <f t="shared" si="319"/>
        <v/>
      </c>
      <c r="L12" s="19" t="str">
        <f t="shared" si="319"/>
        <v/>
      </c>
      <c r="M12" s="8"/>
      <c r="N12" s="8">
        <v>1</v>
      </c>
      <c r="O12" s="9">
        <v>1</v>
      </c>
      <c r="P12" s="8">
        <f t="shared" si="317"/>
        <v>33</v>
      </c>
      <c r="Q12" s="109">
        <f t="shared" si="320"/>
        <v>76.744186046511629</v>
      </c>
      <c r="R12" s="133" t="str">
        <f t="shared" si="321"/>
        <v>-8</v>
      </c>
      <c r="S12" s="7">
        <v>1</v>
      </c>
      <c r="U12">
        <v>1</v>
      </c>
      <c r="V12">
        <v>1</v>
      </c>
      <c r="X12">
        <v>1</v>
      </c>
      <c r="Z12" s="7"/>
      <c r="AB12">
        <v>1</v>
      </c>
      <c r="AD12">
        <v>1</v>
      </c>
      <c r="AE12">
        <v>1</v>
      </c>
      <c r="AG12" s="7"/>
      <c r="AI12">
        <v>1</v>
      </c>
      <c r="AK12">
        <v>1</v>
      </c>
      <c r="AL12">
        <v>1</v>
      </c>
      <c r="AN12" s="7"/>
      <c r="AP12">
        <v>1</v>
      </c>
      <c r="AR12">
        <v>1</v>
      </c>
      <c r="AS12">
        <v>1</v>
      </c>
      <c r="AU12" s="7"/>
      <c r="AW12">
        <v>1</v>
      </c>
      <c r="AY12">
        <v>1</v>
      </c>
      <c r="AZ12">
        <v>1</v>
      </c>
      <c r="BB12" s="7"/>
      <c r="BD12">
        <v>1</v>
      </c>
      <c r="BF12">
        <v>1</v>
      </c>
      <c r="BI12" s="7"/>
      <c r="BK12">
        <v>1</v>
      </c>
      <c r="BM12">
        <v>1</v>
      </c>
      <c r="BP12" s="7">
        <v>1</v>
      </c>
      <c r="BR12">
        <v>1</v>
      </c>
      <c r="BT12">
        <v>1</v>
      </c>
      <c r="BX12" s="95" t="s">
        <v>380</v>
      </c>
      <c r="BY12" s="80" t="s">
        <v>365</v>
      </c>
      <c r="CC12">
        <v>1</v>
      </c>
      <c r="CG12" s="95" t="s">
        <v>380</v>
      </c>
      <c r="CH12" s="80" t="s">
        <v>365</v>
      </c>
      <c r="CL12">
        <v>1</v>
      </c>
      <c r="CO12">
        <v>1</v>
      </c>
      <c r="CP12" s="99" t="s">
        <v>365</v>
      </c>
      <c r="CQ12" s="80" t="s">
        <v>366</v>
      </c>
      <c r="CS12">
        <v>1</v>
      </c>
      <c r="CU12">
        <v>1</v>
      </c>
      <c r="CV12">
        <v>1</v>
      </c>
      <c r="CY12" s="99" t="s">
        <v>365</v>
      </c>
      <c r="CZ12" s="80" t="s">
        <v>364</v>
      </c>
      <c r="DB12">
        <v>1</v>
      </c>
      <c r="DG12">
        <v>1</v>
      </c>
      <c r="DH12" s="99" t="s">
        <v>400</v>
      </c>
      <c r="DI12" s="80" t="s">
        <v>364</v>
      </c>
      <c r="DK12">
        <v>1</v>
      </c>
      <c r="DM12">
        <v>1</v>
      </c>
      <c r="DQ12" s="99" t="s">
        <v>400</v>
      </c>
      <c r="DR12" s="80" t="s">
        <v>364</v>
      </c>
      <c r="DT12" t="s">
        <v>390</v>
      </c>
      <c r="DZ12" s="95" t="s">
        <v>365</v>
      </c>
      <c r="EA12" s="80" t="s">
        <v>364</v>
      </c>
      <c r="EH12" s="7"/>
      <c r="EO12" s="7"/>
      <c r="EV12" s="7"/>
      <c r="FC12" s="7"/>
      <c r="FJ12" s="7"/>
      <c r="FQ12" s="7"/>
      <c r="FX12" s="7"/>
      <c r="GE12" s="7"/>
      <c r="GL12" s="7"/>
      <c r="GS12" s="7"/>
      <c r="GZ12" s="7"/>
      <c r="HG12" s="7"/>
      <c r="HN12" s="7"/>
      <c r="HU12" s="7"/>
      <c r="IB12" s="7"/>
      <c r="II12" s="7"/>
      <c r="IP12" s="7"/>
      <c r="IW12" s="7"/>
      <c r="JD12" s="7"/>
      <c r="JK12" s="7"/>
      <c r="JR12" s="7"/>
      <c r="JY12" s="7"/>
      <c r="KF12" s="7"/>
      <c r="KM12" s="7"/>
      <c r="KT12" s="7"/>
      <c r="LA12" s="7"/>
      <c r="LH12" s="7"/>
      <c r="LO12" s="7"/>
      <c r="LV12" s="7"/>
      <c r="MC12" s="7"/>
      <c r="MJ12" s="7"/>
    </row>
    <row r="13" spans="1:348" hidden="1" x14ac:dyDescent="0.25">
      <c r="A13" s="8" t="s">
        <v>178</v>
      </c>
      <c r="B13" s="8"/>
      <c r="C13" s="8" t="s">
        <v>180</v>
      </c>
      <c r="D13" s="8" t="s">
        <v>181</v>
      </c>
      <c r="E13" s="18"/>
      <c r="F13" s="10" t="str">
        <f t="shared" si="319"/>
        <v/>
      </c>
      <c r="G13" s="19" t="str">
        <f t="shared" si="319"/>
        <v/>
      </c>
      <c r="H13" s="19" t="str">
        <f t="shared" si="319"/>
        <v/>
      </c>
      <c r="I13" s="19" t="str">
        <f t="shared" si="319"/>
        <v/>
      </c>
      <c r="J13" s="19" t="str">
        <f t="shared" si="319"/>
        <v/>
      </c>
      <c r="K13" s="19" t="str">
        <f t="shared" si="319"/>
        <v/>
      </c>
      <c r="L13" s="19" t="str">
        <f t="shared" si="319"/>
        <v/>
      </c>
      <c r="M13" s="8"/>
      <c r="N13" s="8">
        <v>1</v>
      </c>
      <c r="O13" s="9"/>
      <c r="P13" s="8">
        <f t="shared" si="317"/>
        <v>1</v>
      </c>
      <c r="Q13" s="109">
        <f t="shared" si="320"/>
        <v>2.3255813953488373</v>
      </c>
      <c r="R13" s="133" t="str">
        <f t="shared" si="321"/>
        <v>-8</v>
      </c>
      <c r="S13" s="7">
        <v>1</v>
      </c>
      <c r="Z13" s="7"/>
      <c r="AG13" s="7"/>
      <c r="AN13" s="7"/>
      <c r="AU13" s="7"/>
      <c r="BB13" s="7"/>
      <c r="BI13" s="7"/>
      <c r="BP13" s="7"/>
      <c r="BX13" s="96"/>
      <c r="BY13" s="79"/>
      <c r="CG13" s="95" t="s">
        <v>365</v>
      </c>
      <c r="CH13" s="80" t="s">
        <v>368</v>
      </c>
      <c r="CP13" s="99" t="s">
        <v>365</v>
      </c>
      <c r="CQ13" s="80" t="s">
        <v>367</v>
      </c>
      <c r="CY13" s="99" t="s">
        <v>365</v>
      </c>
      <c r="CZ13" s="80" t="s">
        <v>364</v>
      </c>
      <c r="DH13" s="99" t="s">
        <v>365</v>
      </c>
      <c r="DI13" s="80" t="s">
        <v>367</v>
      </c>
      <c r="DQ13" s="99" t="s">
        <v>365</v>
      </c>
      <c r="DR13" s="80" t="s">
        <v>367</v>
      </c>
      <c r="DZ13" s="95" t="s">
        <v>365</v>
      </c>
      <c r="EA13" s="80" t="s">
        <v>364</v>
      </c>
      <c r="EH13" s="7"/>
      <c r="EO13" s="7"/>
      <c r="EV13" s="7"/>
      <c r="FC13" s="7"/>
      <c r="FJ13" s="7"/>
      <c r="FQ13" s="7"/>
      <c r="FX13" s="7"/>
      <c r="GE13" s="7"/>
      <c r="GL13" s="7"/>
      <c r="GS13" s="7"/>
      <c r="GZ13" s="7"/>
      <c r="HG13" s="7"/>
      <c r="HN13" s="7"/>
      <c r="HU13" s="7"/>
      <c r="IB13" s="7"/>
      <c r="II13" s="7"/>
      <c r="IP13" s="7"/>
      <c r="IW13" s="7"/>
      <c r="JD13" s="7"/>
      <c r="JK13" s="7"/>
      <c r="JR13" s="7"/>
      <c r="JY13" s="7"/>
      <c r="KF13" s="7"/>
      <c r="KM13" s="7"/>
      <c r="KT13" s="7"/>
      <c r="LA13" s="7"/>
      <c r="LH13" s="7"/>
      <c r="LO13" s="7"/>
      <c r="LV13" s="7"/>
      <c r="MC13" s="7"/>
      <c r="MJ13" s="7"/>
    </row>
    <row r="14" spans="1:348" hidden="1" x14ac:dyDescent="0.25">
      <c r="A14" s="8" t="s">
        <v>172</v>
      </c>
      <c r="B14" s="8" t="s">
        <v>173</v>
      </c>
      <c r="C14" s="8" t="s">
        <v>174</v>
      </c>
      <c r="D14" s="8" t="s">
        <v>175</v>
      </c>
      <c r="E14" s="18">
        <v>36556</v>
      </c>
      <c r="F14" s="10" t="str">
        <f t="shared" si="319"/>
        <v/>
      </c>
      <c r="G14" s="19" t="str">
        <f t="shared" si="319"/>
        <v/>
      </c>
      <c r="H14" s="19" t="str">
        <f t="shared" si="319"/>
        <v/>
      </c>
      <c r="I14" s="19" t="str">
        <f t="shared" si="319"/>
        <v/>
      </c>
      <c r="J14" s="19" t="str">
        <f t="shared" si="319"/>
        <v/>
      </c>
      <c r="K14" s="19" t="str">
        <f t="shared" si="319"/>
        <v/>
      </c>
      <c r="L14" s="19" t="str">
        <f t="shared" si="319"/>
        <v/>
      </c>
      <c r="M14" s="8"/>
      <c r="N14" s="8"/>
      <c r="O14" s="9">
        <v>1</v>
      </c>
      <c r="P14" s="8">
        <f t="shared" si="317"/>
        <v>1</v>
      </c>
      <c r="Q14" s="109">
        <f t="shared" si="320"/>
        <v>2.3255813953488373</v>
      </c>
      <c r="R14" s="133" t="str">
        <f t="shared" si="321"/>
        <v>-8</v>
      </c>
      <c r="S14" s="7">
        <v>1</v>
      </c>
      <c r="Z14" s="7"/>
      <c r="AG14" s="7"/>
      <c r="AN14" s="7"/>
      <c r="AU14" s="7"/>
      <c r="BB14" s="7"/>
      <c r="BI14" s="7"/>
      <c r="BP14" s="7"/>
      <c r="BX14" s="96"/>
      <c r="BY14" s="79"/>
      <c r="CG14" s="95" t="s">
        <v>365</v>
      </c>
      <c r="CH14" s="80" t="s">
        <v>368</v>
      </c>
      <c r="CP14" s="99" t="s">
        <v>365</v>
      </c>
      <c r="CQ14" s="80" t="s">
        <v>367</v>
      </c>
      <c r="CY14" s="99" t="s">
        <v>365</v>
      </c>
      <c r="CZ14" s="80" t="s">
        <v>364</v>
      </c>
      <c r="DH14" s="99" t="s">
        <v>365</v>
      </c>
      <c r="DI14" s="80" t="s">
        <v>367</v>
      </c>
      <c r="DQ14" s="99" t="s">
        <v>365</v>
      </c>
      <c r="DR14" s="80" t="s">
        <v>367</v>
      </c>
      <c r="DZ14" s="95" t="s">
        <v>365</v>
      </c>
      <c r="EA14" s="80" t="s">
        <v>364</v>
      </c>
      <c r="EH14" s="7"/>
      <c r="EO14" s="7"/>
      <c r="EV14" s="7"/>
      <c r="FC14" s="7"/>
      <c r="FJ14" s="7"/>
      <c r="FQ14" s="7"/>
      <c r="FX14" s="7"/>
      <c r="GE14" s="7"/>
      <c r="GL14" s="7"/>
      <c r="GS14" s="7"/>
      <c r="GZ14" s="7"/>
      <c r="HG14" s="7"/>
      <c r="HN14" s="7"/>
      <c r="HU14" s="7"/>
      <c r="IB14" s="7"/>
      <c r="II14" s="7"/>
      <c r="IP14" s="7"/>
      <c r="IW14" s="7"/>
      <c r="JD14" s="7"/>
      <c r="JK14" s="7"/>
      <c r="JR14" s="7"/>
      <c r="JY14" s="7"/>
      <c r="KF14" s="7"/>
      <c r="KM14" s="7"/>
      <c r="KT14" s="7"/>
      <c r="LA14" s="7"/>
      <c r="LH14" s="7"/>
      <c r="LO14" s="7"/>
      <c r="LV14" s="7"/>
      <c r="MC14" s="7"/>
      <c r="MJ14" s="7"/>
    </row>
    <row r="15" spans="1:348" x14ac:dyDescent="0.25">
      <c r="A15" s="8" t="s">
        <v>125</v>
      </c>
      <c r="B15" s="8" t="s">
        <v>124</v>
      </c>
      <c r="C15" s="8" t="s">
        <v>158</v>
      </c>
      <c r="D15" s="8" t="s">
        <v>123</v>
      </c>
      <c r="E15" s="18">
        <v>38491</v>
      </c>
      <c r="F15" s="10">
        <f t="shared" si="319"/>
        <v>1</v>
      </c>
      <c r="G15" s="19">
        <f t="shared" si="319"/>
        <v>1</v>
      </c>
      <c r="H15" s="19" t="str">
        <f t="shared" si="319"/>
        <v/>
      </c>
      <c r="I15" s="19" t="str">
        <f t="shared" si="319"/>
        <v/>
      </c>
      <c r="J15" s="19" t="str">
        <f t="shared" si="319"/>
        <v/>
      </c>
      <c r="K15" s="19" t="str">
        <f t="shared" si="319"/>
        <v/>
      </c>
      <c r="L15" s="19" t="str">
        <f t="shared" si="319"/>
        <v/>
      </c>
      <c r="M15" s="8"/>
      <c r="N15" s="8">
        <v>1</v>
      </c>
      <c r="O15" s="9">
        <v>1</v>
      </c>
      <c r="P15" s="8">
        <f t="shared" si="317"/>
        <v>32</v>
      </c>
      <c r="Q15" s="109">
        <f t="shared" si="320"/>
        <v>74.418604651162795</v>
      </c>
      <c r="R15" s="133" t="str">
        <f t="shared" si="321"/>
        <v>-14</v>
      </c>
      <c r="S15" s="7">
        <v>1</v>
      </c>
      <c r="U15">
        <v>1</v>
      </c>
      <c r="V15">
        <v>1</v>
      </c>
      <c r="X15">
        <v>1</v>
      </c>
      <c r="Z15" s="7"/>
      <c r="AB15">
        <v>1</v>
      </c>
      <c r="AD15">
        <v>1</v>
      </c>
      <c r="AE15">
        <v>1</v>
      </c>
      <c r="AG15" s="7"/>
      <c r="AI15">
        <v>1</v>
      </c>
      <c r="AL15">
        <v>1</v>
      </c>
      <c r="AN15" s="7"/>
      <c r="AP15">
        <v>1</v>
      </c>
      <c r="AR15">
        <v>1</v>
      </c>
      <c r="AS15">
        <v>1</v>
      </c>
      <c r="AU15" s="7"/>
      <c r="AW15">
        <v>1</v>
      </c>
      <c r="AZ15">
        <v>1</v>
      </c>
      <c r="BB15" s="7"/>
      <c r="BD15">
        <v>1</v>
      </c>
      <c r="BF15">
        <v>1</v>
      </c>
      <c r="BG15">
        <v>1</v>
      </c>
      <c r="BI15" s="7"/>
      <c r="BK15">
        <v>1</v>
      </c>
      <c r="BM15">
        <v>1</v>
      </c>
      <c r="BP15" s="7"/>
      <c r="BR15">
        <v>1</v>
      </c>
      <c r="BT15">
        <v>1</v>
      </c>
      <c r="BX15" s="95" t="s">
        <v>380</v>
      </c>
      <c r="BY15" s="80" t="s">
        <v>365</v>
      </c>
      <c r="CC15">
        <v>1</v>
      </c>
      <c r="CG15" s="95" t="s">
        <v>382</v>
      </c>
      <c r="CH15" s="80" t="s">
        <v>364</v>
      </c>
      <c r="CL15">
        <v>1</v>
      </c>
      <c r="CP15" s="99" t="s">
        <v>365</v>
      </c>
      <c r="CQ15" s="80" t="s">
        <v>368</v>
      </c>
      <c r="CS15">
        <v>1</v>
      </c>
      <c r="CU15">
        <v>1</v>
      </c>
      <c r="CV15">
        <v>1</v>
      </c>
      <c r="CY15" s="99" t="s">
        <v>365</v>
      </c>
      <c r="CZ15" s="80" t="s">
        <v>364</v>
      </c>
      <c r="DH15" s="99" t="s">
        <v>365</v>
      </c>
      <c r="DI15" s="80" t="s">
        <v>366</v>
      </c>
      <c r="DK15">
        <v>1</v>
      </c>
      <c r="DM15">
        <v>1</v>
      </c>
      <c r="DN15">
        <v>1</v>
      </c>
      <c r="DQ15" s="99" t="s">
        <v>365</v>
      </c>
      <c r="DR15" s="80" t="s">
        <v>364</v>
      </c>
      <c r="DT15">
        <v>1</v>
      </c>
      <c r="DV15">
        <v>1</v>
      </c>
      <c r="DW15">
        <v>1</v>
      </c>
      <c r="DZ15" s="95" t="s">
        <v>365</v>
      </c>
      <c r="EA15" s="80" t="s">
        <v>364</v>
      </c>
      <c r="EH15" s="7"/>
      <c r="EO15" s="7"/>
      <c r="EV15" s="7"/>
      <c r="FC15" s="7"/>
      <c r="FJ15" s="7"/>
      <c r="FQ15" s="7"/>
      <c r="FX15" s="7"/>
      <c r="GE15" s="7"/>
      <c r="GL15" s="7"/>
      <c r="GS15" s="7"/>
      <c r="GZ15" s="7"/>
      <c r="HG15" s="7"/>
      <c r="HN15" s="7"/>
      <c r="HU15" s="7"/>
      <c r="IB15" s="7"/>
      <c r="II15" s="7"/>
      <c r="IP15" s="7"/>
      <c r="IW15" s="7"/>
      <c r="JD15" s="7"/>
      <c r="JK15" s="7"/>
      <c r="JR15" s="7"/>
      <c r="JY15" s="7"/>
      <c r="KF15" s="7"/>
      <c r="KM15" s="7"/>
      <c r="KT15" s="7"/>
      <c r="LA15" s="7"/>
      <c r="LH15" s="7"/>
      <c r="LO15" s="7"/>
      <c r="LV15" s="7"/>
      <c r="MC15" s="7"/>
      <c r="MJ15" s="7"/>
    </row>
    <row r="16" spans="1:348" x14ac:dyDescent="0.25">
      <c r="A16" s="8" t="s">
        <v>80</v>
      </c>
      <c r="B16" s="8"/>
      <c r="C16" s="8" t="s">
        <v>160</v>
      </c>
      <c r="D16" s="8" t="s">
        <v>122</v>
      </c>
      <c r="E16" s="18">
        <v>38655</v>
      </c>
      <c r="F16" s="10">
        <f t="shared" si="319"/>
        <v>1</v>
      </c>
      <c r="G16" s="19">
        <f t="shared" si="319"/>
        <v>1</v>
      </c>
      <c r="H16" s="19" t="str">
        <f t="shared" si="319"/>
        <v/>
      </c>
      <c r="I16" s="19" t="str">
        <f t="shared" si="319"/>
        <v/>
      </c>
      <c r="J16" s="19" t="str">
        <f t="shared" si="319"/>
        <v/>
      </c>
      <c r="K16" s="19" t="str">
        <f t="shared" si="319"/>
        <v/>
      </c>
      <c r="L16" s="19" t="str">
        <f t="shared" si="319"/>
        <v/>
      </c>
      <c r="M16" s="8"/>
      <c r="N16" s="8">
        <v>1</v>
      </c>
      <c r="O16" s="9">
        <v>1</v>
      </c>
      <c r="P16" s="8">
        <f t="shared" si="317"/>
        <v>25</v>
      </c>
      <c r="Q16" s="109">
        <f t="shared" si="320"/>
        <v>58.139534883720934</v>
      </c>
      <c r="R16" s="133" t="str">
        <f t="shared" si="321"/>
        <v>1</v>
      </c>
      <c r="S16" s="7">
        <v>1</v>
      </c>
      <c r="X16">
        <v>1</v>
      </c>
      <c r="Z16" s="7"/>
      <c r="AB16">
        <v>1</v>
      </c>
      <c r="AE16">
        <v>1</v>
      </c>
      <c r="AG16" s="7"/>
      <c r="AI16">
        <v>1</v>
      </c>
      <c r="AK16">
        <v>1</v>
      </c>
      <c r="AL16">
        <v>1</v>
      </c>
      <c r="AN16" s="7"/>
      <c r="AP16">
        <v>1</v>
      </c>
      <c r="AR16">
        <v>1</v>
      </c>
      <c r="AU16" s="7"/>
      <c r="AW16">
        <v>1</v>
      </c>
      <c r="AY16">
        <v>1</v>
      </c>
      <c r="BB16" s="7"/>
      <c r="BD16">
        <v>1</v>
      </c>
      <c r="BF16">
        <v>1</v>
      </c>
      <c r="BI16" s="7"/>
      <c r="BK16">
        <v>1</v>
      </c>
      <c r="BM16">
        <v>1</v>
      </c>
      <c r="BP16" s="7"/>
      <c r="BR16">
        <v>1</v>
      </c>
      <c r="BT16">
        <v>1</v>
      </c>
      <c r="BX16" s="95" t="s">
        <v>382</v>
      </c>
      <c r="BY16" s="80" t="s">
        <v>364</v>
      </c>
      <c r="CC16">
        <v>1</v>
      </c>
      <c r="CG16" s="95" t="s">
        <v>381</v>
      </c>
      <c r="CH16" s="80" t="s">
        <v>363</v>
      </c>
      <c r="CL16">
        <v>1</v>
      </c>
      <c r="CP16" s="99" t="s">
        <v>381</v>
      </c>
      <c r="CQ16" s="80" t="s">
        <v>363</v>
      </c>
      <c r="CV16">
        <v>1</v>
      </c>
      <c r="CY16" s="99" t="s">
        <v>365</v>
      </c>
      <c r="CZ16" s="80" t="s">
        <v>395</v>
      </c>
      <c r="DB16">
        <v>1</v>
      </c>
      <c r="DH16" s="99" t="s">
        <v>365</v>
      </c>
      <c r="DI16" s="80" t="s">
        <v>395</v>
      </c>
      <c r="DK16">
        <v>1</v>
      </c>
      <c r="DM16">
        <v>1</v>
      </c>
      <c r="DN16">
        <v>1</v>
      </c>
      <c r="DQ16" s="99" t="s">
        <v>365</v>
      </c>
      <c r="DR16" s="80" t="s">
        <v>364</v>
      </c>
      <c r="DT16" t="s">
        <v>415</v>
      </c>
      <c r="DW16">
        <v>1</v>
      </c>
      <c r="DZ16" s="95" t="s">
        <v>462</v>
      </c>
      <c r="EA16" s="80" t="s">
        <v>463</v>
      </c>
      <c r="EH16" s="7"/>
      <c r="EO16" s="7"/>
      <c r="EV16" s="7"/>
      <c r="FC16" s="7"/>
      <c r="FJ16" s="7"/>
      <c r="FQ16" s="7"/>
      <c r="FX16" s="7"/>
      <c r="GE16" s="7"/>
      <c r="GL16" s="7"/>
      <c r="GS16" s="7"/>
      <c r="GZ16" s="7"/>
      <c r="HG16" s="7"/>
      <c r="HN16" s="7"/>
      <c r="HU16" s="7"/>
      <c r="IB16" s="7"/>
      <c r="II16" s="7"/>
      <c r="IP16" s="7"/>
      <c r="IW16" s="7"/>
      <c r="JD16" s="7"/>
      <c r="JK16" s="7"/>
      <c r="JR16" s="7"/>
      <c r="JY16" s="7"/>
      <c r="KF16" s="7"/>
      <c r="KM16" s="7"/>
      <c r="KT16" s="7"/>
      <c r="LA16" s="7"/>
      <c r="LH16" s="7"/>
      <c r="LO16" s="7"/>
      <c r="LV16" s="7"/>
      <c r="MC16" s="7"/>
      <c r="MJ16" s="7"/>
    </row>
    <row r="17" spans="1:348" x14ac:dyDescent="0.25">
      <c r="A17" s="8" t="s">
        <v>155</v>
      </c>
      <c r="B17" s="8"/>
      <c r="C17" s="8" t="s">
        <v>156</v>
      </c>
      <c r="D17" s="8" t="s">
        <v>139</v>
      </c>
      <c r="E17" s="18">
        <v>37863</v>
      </c>
      <c r="F17" s="10">
        <f t="shared" si="319"/>
        <v>1</v>
      </c>
      <c r="G17" s="19" t="str">
        <f t="shared" si="319"/>
        <v/>
      </c>
      <c r="H17" s="19" t="str">
        <f t="shared" si="319"/>
        <v/>
      </c>
      <c r="I17" s="19" t="str">
        <f t="shared" si="319"/>
        <v/>
      </c>
      <c r="J17" s="19" t="str">
        <f t="shared" si="319"/>
        <v/>
      </c>
      <c r="K17" s="19" t="str">
        <f t="shared" si="319"/>
        <v/>
      </c>
      <c r="L17" s="19" t="str">
        <f t="shared" si="319"/>
        <v/>
      </c>
      <c r="M17" s="8"/>
      <c r="N17" s="8">
        <v>1</v>
      </c>
      <c r="O17" s="9">
        <v>1</v>
      </c>
      <c r="P17" s="8">
        <f t="shared" si="317"/>
        <v>34</v>
      </c>
      <c r="Q17" s="109">
        <f t="shared" si="320"/>
        <v>79.069767441860463</v>
      </c>
      <c r="R17" s="133" t="str">
        <f t="shared" si="321"/>
        <v>0</v>
      </c>
      <c r="S17" s="7">
        <v>1</v>
      </c>
      <c r="U17">
        <v>1</v>
      </c>
      <c r="V17">
        <v>1</v>
      </c>
      <c r="X17">
        <v>1</v>
      </c>
      <c r="Z17" s="7"/>
      <c r="AB17">
        <v>1</v>
      </c>
      <c r="AD17">
        <v>1</v>
      </c>
      <c r="AE17">
        <v>1</v>
      </c>
      <c r="AG17" s="7"/>
      <c r="AI17">
        <v>1</v>
      </c>
      <c r="AK17">
        <v>1</v>
      </c>
      <c r="AN17" s="7"/>
      <c r="AP17">
        <v>1</v>
      </c>
      <c r="AR17">
        <v>1</v>
      </c>
      <c r="AS17">
        <v>1</v>
      </c>
      <c r="AU17" s="7"/>
      <c r="AW17">
        <v>1</v>
      </c>
      <c r="AY17">
        <v>1</v>
      </c>
      <c r="AZ17">
        <v>1</v>
      </c>
      <c r="BB17" s="7"/>
      <c r="BD17">
        <v>1</v>
      </c>
      <c r="BF17">
        <v>1</v>
      </c>
      <c r="BG17">
        <v>1</v>
      </c>
      <c r="BI17" s="7"/>
      <c r="BK17">
        <v>1</v>
      </c>
      <c r="BM17">
        <v>1</v>
      </c>
      <c r="BP17" s="7">
        <v>1</v>
      </c>
      <c r="BR17">
        <v>1</v>
      </c>
      <c r="BT17">
        <v>1</v>
      </c>
      <c r="BX17" s="95" t="s">
        <v>380</v>
      </c>
      <c r="BY17" s="80" t="s">
        <v>365</v>
      </c>
      <c r="CG17" s="95" t="s">
        <v>386</v>
      </c>
      <c r="CH17" s="80" t="s">
        <v>385</v>
      </c>
      <c r="CO17">
        <v>1</v>
      </c>
      <c r="CP17" s="99" t="s">
        <v>381</v>
      </c>
      <c r="CQ17" s="80" t="s">
        <v>363</v>
      </c>
      <c r="CS17">
        <v>1</v>
      </c>
      <c r="CU17">
        <v>1</v>
      </c>
      <c r="CV17">
        <v>1</v>
      </c>
      <c r="CX17">
        <v>1</v>
      </c>
      <c r="CY17" s="99" t="s">
        <v>382</v>
      </c>
      <c r="CZ17" s="80" t="s">
        <v>382</v>
      </c>
      <c r="DB17">
        <v>1</v>
      </c>
      <c r="DE17">
        <v>1</v>
      </c>
      <c r="DH17" s="99" t="s">
        <v>382</v>
      </c>
      <c r="DI17" s="80" t="s">
        <v>386</v>
      </c>
      <c r="DK17">
        <v>1</v>
      </c>
      <c r="DM17">
        <v>1</v>
      </c>
      <c r="DN17">
        <v>1</v>
      </c>
      <c r="DQ17" s="99" t="s">
        <v>400</v>
      </c>
      <c r="DR17" s="80" t="s">
        <v>365</v>
      </c>
      <c r="DT17" t="s">
        <v>390</v>
      </c>
      <c r="DW17">
        <v>1</v>
      </c>
      <c r="DZ17" s="95" t="s">
        <v>365</v>
      </c>
      <c r="EA17" s="80" t="s">
        <v>364</v>
      </c>
      <c r="EC17" t="s">
        <v>390</v>
      </c>
      <c r="EH17" s="7"/>
      <c r="EO17" s="7"/>
      <c r="EV17" s="7"/>
      <c r="FC17" s="7"/>
      <c r="FJ17" s="7"/>
      <c r="FQ17" s="7"/>
      <c r="FX17" s="7"/>
      <c r="GE17" s="7"/>
      <c r="GL17" s="7"/>
      <c r="GS17" s="7"/>
      <c r="GZ17" s="7"/>
      <c r="HG17" s="7"/>
      <c r="HN17" s="7"/>
      <c r="HU17" s="7"/>
      <c r="IB17" s="7"/>
      <c r="II17" s="7"/>
      <c r="IP17" s="7"/>
      <c r="IW17" s="7"/>
      <c r="JD17" s="7"/>
      <c r="JK17" s="7"/>
      <c r="JR17" s="7"/>
      <c r="JY17" s="7"/>
      <c r="KF17" s="7"/>
      <c r="KM17" s="7"/>
      <c r="KT17" s="7"/>
      <c r="LA17" s="7"/>
      <c r="LH17" s="7"/>
      <c r="LO17" s="7"/>
      <c r="LV17" s="7"/>
      <c r="MC17" s="7"/>
      <c r="MJ17" s="7"/>
    </row>
    <row r="18" spans="1:348" x14ac:dyDescent="0.25">
      <c r="A18" s="8" t="s">
        <v>80</v>
      </c>
      <c r="B18" s="8"/>
      <c r="C18" s="8" t="s">
        <v>143</v>
      </c>
      <c r="D18" s="8" t="s">
        <v>139</v>
      </c>
      <c r="E18" s="18">
        <v>37863</v>
      </c>
      <c r="F18" s="10">
        <f t="shared" si="319"/>
        <v>1</v>
      </c>
      <c r="G18" s="19" t="str">
        <f t="shared" si="319"/>
        <v/>
      </c>
      <c r="H18" s="19" t="str">
        <f t="shared" si="319"/>
        <v/>
      </c>
      <c r="I18" s="19" t="str">
        <f t="shared" si="319"/>
        <v/>
      </c>
      <c r="J18" s="19" t="str">
        <f t="shared" si="319"/>
        <v/>
      </c>
      <c r="K18" s="19" t="str">
        <f t="shared" si="319"/>
        <v/>
      </c>
      <c r="L18" s="19" t="str">
        <f t="shared" si="319"/>
        <v/>
      </c>
      <c r="M18" s="8"/>
      <c r="N18" s="8">
        <v>1</v>
      </c>
      <c r="O18" s="9">
        <v>1</v>
      </c>
      <c r="P18" s="8">
        <f t="shared" si="317"/>
        <v>32</v>
      </c>
      <c r="Q18" s="109">
        <f t="shared" si="320"/>
        <v>74.418604651162795</v>
      </c>
      <c r="R18" s="133" t="str">
        <f t="shared" si="321"/>
        <v>-17</v>
      </c>
      <c r="S18" s="7">
        <v>1</v>
      </c>
      <c r="U18">
        <v>1</v>
      </c>
      <c r="V18">
        <v>1</v>
      </c>
      <c r="X18">
        <v>1</v>
      </c>
      <c r="Z18" s="7"/>
      <c r="AD18">
        <v>1</v>
      </c>
      <c r="AE18">
        <v>1</v>
      </c>
      <c r="AG18" s="7"/>
      <c r="AI18">
        <v>1</v>
      </c>
      <c r="AK18">
        <v>1</v>
      </c>
      <c r="AN18" s="7"/>
      <c r="AP18">
        <v>1</v>
      </c>
      <c r="AR18">
        <v>1</v>
      </c>
      <c r="AS18">
        <v>1</v>
      </c>
      <c r="AU18" s="7"/>
      <c r="AW18">
        <v>1</v>
      </c>
      <c r="AZ18">
        <v>1</v>
      </c>
      <c r="BB18" s="7"/>
      <c r="BD18">
        <v>1</v>
      </c>
      <c r="BF18">
        <v>1</v>
      </c>
      <c r="BG18">
        <v>1</v>
      </c>
      <c r="BI18" s="7"/>
      <c r="BK18">
        <v>1</v>
      </c>
      <c r="BM18">
        <v>1</v>
      </c>
      <c r="BP18" s="7">
        <v>1</v>
      </c>
      <c r="BR18">
        <v>1</v>
      </c>
      <c r="BT18">
        <v>1</v>
      </c>
      <c r="BX18" s="95" t="s">
        <v>380</v>
      </c>
      <c r="BY18" s="80" t="s">
        <v>365</v>
      </c>
      <c r="CG18" s="95" t="s">
        <v>365</v>
      </c>
      <c r="CH18" s="80" t="s">
        <v>369</v>
      </c>
      <c r="CO18">
        <v>1</v>
      </c>
      <c r="CP18" s="99" t="s">
        <v>365</v>
      </c>
      <c r="CQ18" s="80" t="s">
        <v>368</v>
      </c>
      <c r="CS18">
        <v>1</v>
      </c>
      <c r="CU18">
        <v>1</v>
      </c>
      <c r="CV18">
        <v>1</v>
      </c>
      <c r="CX18">
        <v>1</v>
      </c>
      <c r="CY18" s="99" t="s">
        <v>365</v>
      </c>
      <c r="CZ18" s="80" t="s">
        <v>365</v>
      </c>
      <c r="DB18">
        <v>1</v>
      </c>
      <c r="DE18">
        <v>1</v>
      </c>
      <c r="DH18" s="99" t="s">
        <v>365</v>
      </c>
      <c r="DI18" s="80" t="s">
        <v>363</v>
      </c>
      <c r="DK18">
        <v>1</v>
      </c>
      <c r="DM18">
        <v>1</v>
      </c>
      <c r="DN18">
        <v>1</v>
      </c>
      <c r="DQ18" s="99" t="s">
        <v>400</v>
      </c>
      <c r="DR18" s="80" t="s">
        <v>365</v>
      </c>
      <c r="DT18" t="s">
        <v>390</v>
      </c>
      <c r="DW18">
        <v>1</v>
      </c>
      <c r="DZ18" s="95" t="s">
        <v>365</v>
      </c>
      <c r="EA18" s="80" t="s">
        <v>364</v>
      </c>
      <c r="EC18" t="s">
        <v>390</v>
      </c>
      <c r="EH18" s="7"/>
      <c r="EO18" s="7"/>
      <c r="EV18" s="7"/>
      <c r="FC18" s="7"/>
      <c r="FJ18" s="7"/>
      <c r="FQ18" s="7"/>
      <c r="FX18" s="7"/>
      <c r="GE18" s="7"/>
      <c r="GL18" s="7"/>
      <c r="GS18" s="7"/>
      <c r="GZ18" s="7"/>
      <c r="HG18" s="7"/>
      <c r="HN18" s="7"/>
      <c r="HU18" s="7"/>
      <c r="IB18" s="7"/>
      <c r="II18" s="7"/>
      <c r="IP18" s="7"/>
      <c r="IW18" s="7"/>
      <c r="JD18" s="7"/>
      <c r="JK18" s="7"/>
      <c r="JR18" s="7"/>
      <c r="JY18" s="7"/>
      <c r="KF18" s="7"/>
      <c r="KM18" s="7"/>
      <c r="KT18" s="7"/>
      <c r="LA18" s="7"/>
      <c r="LH18" s="7"/>
      <c r="LO18" s="7"/>
      <c r="LV18" s="7"/>
      <c r="MC18" s="7"/>
      <c r="MJ18" s="7"/>
    </row>
    <row r="19" spans="1:348" x14ac:dyDescent="0.25">
      <c r="A19" s="8" t="s">
        <v>142</v>
      </c>
      <c r="B19" s="8" t="s">
        <v>141</v>
      </c>
      <c r="C19" s="8" t="s">
        <v>140</v>
      </c>
      <c r="D19" s="8" t="s">
        <v>139</v>
      </c>
      <c r="E19" s="18">
        <v>38954</v>
      </c>
      <c r="F19" s="10">
        <f t="shared" si="319"/>
        <v>1</v>
      </c>
      <c r="G19" s="19">
        <f t="shared" si="319"/>
        <v>1</v>
      </c>
      <c r="H19" s="19">
        <f t="shared" si="319"/>
        <v>1</v>
      </c>
      <c r="I19" s="19" t="str">
        <f t="shared" si="319"/>
        <v/>
      </c>
      <c r="J19" s="19" t="str">
        <f t="shared" si="319"/>
        <v/>
      </c>
      <c r="K19" s="19" t="str">
        <f t="shared" si="319"/>
        <v/>
      </c>
      <c r="L19" s="19" t="str">
        <f t="shared" si="319"/>
        <v/>
      </c>
      <c r="M19" s="8">
        <v>1</v>
      </c>
      <c r="N19" s="8">
        <v>1</v>
      </c>
      <c r="O19" s="9"/>
      <c r="P19" s="8">
        <f t="shared" si="317"/>
        <v>33</v>
      </c>
      <c r="Q19" s="109">
        <f t="shared" si="320"/>
        <v>76.744186046511629</v>
      </c>
      <c r="R19" s="133" t="str">
        <f t="shared" si="321"/>
        <v>-7</v>
      </c>
      <c r="S19" s="7"/>
      <c r="U19">
        <v>1</v>
      </c>
      <c r="V19">
        <v>1</v>
      </c>
      <c r="X19">
        <v>1</v>
      </c>
      <c r="Z19" s="7"/>
      <c r="AB19">
        <v>1</v>
      </c>
      <c r="AD19">
        <v>1</v>
      </c>
      <c r="AE19">
        <v>1</v>
      </c>
      <c r="AG19" s="7"/>
      <c r="AI19">
        <v>1</v>
      </c>
      <c r="AK19">
        <v>1</v>
      </c>
      <c r="AN19" s="7"/>
      <c r="AP19">
        <v>1</v>
      </c>
      <c r="AR19">
        <v>1</v>
      </c>
      <c r="AS19">
        <v>1</v>
      </c>
      <c r="AU19" s="7"/>
      <c r="AW19">
        <v>1</v>
      </c>
      <c r="AX19">
        <v>1</v>
      </c>
      <c r="AY19">
        <v>1</v>
      </c>
      <c r="AZ19">
        <v>1</v>
      </c>
      <c r="BB19" s="7"/>
      <c r="BD19">
        <v>1</v>
      </c>
      <c r="BF19">
        <v>1</v>
      </c>
      <c r="BG19">
        <v>1</v>
      </c>
      <c r="BI19" s="7"/>
      <c r="BK19">
        <v>1</v>
      </c>
      <c r="BM19">
        <v>1</v>
      </c>
      <c r="BP19" s="7"/>
      <c r="BR19">
        <v>1</v>
      </c>
      <c r="BT19">
        <v>1</v>
      </c>
      <c r="BX19" s="95" t="s">
        <v>380</v>
      </c>
      <c r="BY19" s="80" t="s">
        <v>365</v>
      </c>
      <c r="CG19" s="95" t="s">
        <v>365</v>
      </c>
      <c r="CH19" s="80" t="s">
        <v>369</v>
      </c>
      <c r="CO19">
        <v>1</v>
      </c>
      <c r="CP19" s="99" t="s">
        <v>365</v>
      </c>
      <c r="CQ19" s="80" t="s">
        <v>368</v>
      </c>
      <c r="CS19">
        <v>1</v>
      </c>
      <c r="CU19">
        <v>1</v>
      </c>
      <c r="CV19">
        <v>1</v>
      </c>
      <c r="CX19">
        <v>1</v>
      </c>
      <c r="CY19" s="99" t="s">
        <v>382</v>
      </c>
      <c r="CZ19" s="80" t="s">
        <v>382</v>
      </c>
      <c r="DB19">
        <v>1</v>
      </c>
      <c r="DE19">
        <v>1</v>
      </c>
      <c r="DH19" s="99" t="s">
        <v>421</v>
      </c>
      <c r="DI19" s="80" t="s">
        <v>386</v>
      </c>
      <c r="DK19">
        <v>1</v>
      </c>
      <c r="DM19">
        <v>1</v>
      </c>
      <c r="DN19">
        <v>1</v>
      </c>
      <c r="DQ19" s="99" t="s">
        <v>400</v>
      </c>
      <c r="DR19" s="80" t="s">
        <v>365</v>
      </c>
      <c r="DT19" t="s">
        <v>390</v>
      </c>
      <c r="DW19">
        <v>1</v>
      </c>
      <c r="DZ19" s="95" t="s">
        <v>365</v>
      </c>
      <c r="EA19" s="80" t="s">
        <v>364</v>
      </c>
      <c r="EC19" t="s">
        <v>390</v>
      </c>
      <c r="EH19" s="7"/>
      <c r="EO19" s="7"/>
      <c r="EV19" s="7"/>
      <c r="FC19" s="7"/>
      <c r="FJ19" s="7"/>
      <c r="FQ19" s="7"/>
      <c r="FX19" s="7"/>
      <c r="GE19" s="7"/>
      <c r="GL19" s="7"/>
      <c r="GS19" s="7"/>
      <c r="GZ19" s="7"/>
      <c r="HG19" s="7"/>
      <c r="HN19" s="7"/>
      <c r="HU19" s="7"/>
      <c r="IB19" s="7"/>
      <c r="II19" s="7"/>
      <c r="IP19" s="7"/>
      <c r="IW19" s="7"/>
      <c r="JD19" s="7"/>
      <c r="JK19" s="7"/>
      <c r="JR19" s="7"/>
      <c r="JY19" s="7"/>
      <c r="KF19" s="7"/>
      <c r="KM19" s="7"/>
      <c r="KT19" s="7"/>
      <c r="LA19" s="7"/>
      <c r="LH19" s="7"/>
      <c r="LO19" s="7"/>
      <c r="LV19" s="7"/>
      <c r="MC19" s="7"/>
      <c r="MJ19" s="7"/>
    </row>
    <row r="20" spans="1:348" hidden="1" x14ac:dyDescent="0.25">
      <c r="A20" s="8" t="s">
        <v>162</v>
      </c>
      <c r="B20" s="8" t="s">
        <v>185</v>
      </c>
      <c r="C20" s="8" t="s">
        <v>187</v>
      </c>
      <c r="D20" s="8" t="s">
        <v>186</v>
      </c>
      <c r="E20" s="18"/>
      <c r="F20" s="10" t="str">
        <f t="shared" si="319"/>
        <v/>
      </c>
      <c r="G20" s="19" t="str">
        <f t="shared" si="319"/>
        <v/>
      </c>
      <c r="H20" s="19" t="str">
        <f t="shared" si="319"/>
        <v/>
      </c>
      <c r="I20" s="19" t="str">
        <f t="shared" si="319"/>
        <v/>
      </c>
      <c r="J20" s="19" t="str">
        <f t="shared" si="319"/>
        <v/>
      </c>
      <c r="K20" s="19" t="str">
        <f t="shared" si="319"/>
        <v/>
      </c>
      <c r="L20" s="19" t="str">
        <f t="shared" si="319"/>
        <v/>
      </c>
      <c r="M20" s="8"/>
      <c r="N20" s="8">
        <v>1</v>
      </c>
      <c r="O20" s="9"/>
      <c r="P20" s="8">
        <f t="shared" si="317"/>
        <v>1</v>
      </c>
      <c r="Q20" s="109">
        <f t="shared" si="320"/>
        <v>2.3255813953488373</v>
      </c>
      <c r="R20" s="133" t="str">
        <f t="shared" si="321"/>
        <v>-15</v>
      </c>
      <c r="S20" s="7">
        <v>1</v>
      </c>
      <c r="Z20" s="7"/>
      <c r="AG20" s="7"/>
      <c r="AN20" s="7"/>
      <c r="AU20" s="7"/>
      <c r="BB20" s="7"/>
      <c r="BI20" s="7"/>
      <c r="BP20" s="7"/>
      <c r="BX20" s="95" t="s">
        <v>365</v>
      </c>
      <c r="BY20" s="80" t="s">
        <v>368</v>
      </c>
      <c r="CG20" s="95" t="s">
        <v>365</v>
      </c>
      <c r="CH20" s="80" t="s">
        <v>369</v>
      </c>
      <c r="CP20" s="99" t="s">
        <v>365</v>
      </c>
      <c r="CQ20" s="80" t="s">
        <v>367</v>
      </c>
      <c r="CY20" s="99" t="s">
        <v>365</v>
      </c>
      <c r="CZ20" s="80" t="s">
        <v>367</v>
      </c>
      <c r="DH20" s="99" t="s">
        <v>365</v>
      </c>
      <c r="DI20" s="80" t="s">
        <v>367</v>
      </c>
      <c r="DQ20" s="99" t="s">
        <v>365</v>
      </c>
      <c r="DR20" s="80" t="s">
        <v>367</v>
      </c>
      <c r="DZ20" s="95" t="s">
        <v>365</v>
      </c>
      <c r="EA20" s="80" t="s">
        <v>364</v>
      </c>
      <c r="EH20" s="7"/>
      <c r="EO20" s="7"/>
      <c r="EV20" s="7"/>
      <c r="FC20" s="7"/>
      <c r="FJ20" s="7"/>
      <c r="FQ20" s="7"/>
      <c r="FX20" s="7"/>
      <c r="GE20" s="7"/>
      <c r="GL20" s="7"/>
      <c r="GS20" s="7"/>
      <c r="GZ20" s="7"/>
      <c r="HG20" s="7"/>
      <c r="HN20" s="7"/>
      <c r="HU20" s="7"/>
      <c r="IB20" s="7"/>
      <c r="II20" s="7"/>
      <c r="IP20" s="7"/>
      <c r="IW20" s="7"/>
      <c r="JD20" s="7"/>
      <c r="JK20" s="7"/>
      <c r="JR20" s="7"/>
      <c r="JY20" s="7"/>
      <c r="KF20" s="7"/>
      <c r="KM20" s="7"/>
      <c r="KT20" s="7"/>
      <c r="LA20" s="7"/>
      <c r="LH20" s="7"/>
      <c r="LO20" s="7"/>
      <c r="LV20" s="7"/>
      <c r="MC20" s="7"/>
      <c r="MJ20" s="7"/>
    </row>
    <row r="21" spans="1:348" x14ac:dyDescent="0.25">
      <c r="A21" s="8" t="s">
        <v>138</v>
      </c>
      <c r="B21" s="8" t="s">
        <v>137</v>
      </c>
      <c r="C21" s="8" t="s">
        <v>136</v>
      </c>
      <c r="D21" s="8" t="s">
        <v>135</v>
      </c>
      <c r="E21" s="18">
        <v>39155</v>
      </c>
      <c r="F21" s="10">
        <f t="shared" si="319"/>
        <v>1</v>
      </c>
      <c r="G21" s="19">
        <f t="shared" si="319"/>
        <v>1</v>
      </c>
      <c r="H21" s="19">
        <f t="shared" si="319"/>
        <v>1</v>
      </c>
      <c r="I21" s="19">
        <f t="shared" si="319"/>
        <v>1</v>
      </c>
      <c r="J21" s="19" t="str">
        <f t="shared" si="319"/>
        <v/>
      </c>
      <c r="K21" s="19" t="str">
        <f t="shared" si="319"/>
        <v/>
      </c>
      <c r="L21" s="19" t="str">
        <f t="shared" si="319"/>
        <v/>
      </c>
      <c r="M21" s="8">
        <v>1</v>
      </c>
      <c r="N21" s="8">
        <v>1</v>
      </c>
      <c r="O21" s="9"/>
      <c r="P21" s="8">
        <f t="shared" si="317"/>
        <v>26</v>
      </c>
      <c r="Q21" s="109">
        <f t="shared" si="320"/>
        <v>60.465116279069761</v>
      </c>
      <c r="R21" s="133" t="str">
        <f t="shared" si="321"/>
        <v>-28</v>
      </c>
      <c r="S21" s="7"/>
      <c r="U21">
        <v>1</v>
      </c>
      <c r="V21">
        <v>1</v>
      </c>
      <c r="X21">
        <v>1</v>
      </c>
      <c r="Z21" s="7"/>
      <c r="AB21">
        <v>1</v>
      </c>
      <c r="AD21">
        <v>1</v>
      </c>
      <c r="AE21">
        <v>1</v>
      </c>
      <c r="AG21" s="7"/>
      <c r="AI21">
        <v>1</v>
      </c>
      <c r="AK21">
        <v>1</v>
      </c>
      <c r="AL21">
        <v>1</v>
      </c>
      <c r="AN21" s="7"/>
      <c r="AP21">
        <v>1</v>
      </c>
      <c r="AR21">
        <v>1</v>
      </c>
      <c r="AS21">
        <v>1</v>
      </c>
      <c r="AU21" s="7"/>
      <c r="AW21">
        <v>1</v>
      </c>
      <c r="AX21">
        <v>1</v>
      </c>
      <c r="AY21">
        <v>1</v>
      </c>
      <c r="BB21" s="7"/>
      <c r="BD21">
        <v>1</v>
      </c>
      <c r="BF21">
        <v>1</v>
      </c>
      <c r="BG21">
        <v>1</v>
      </c>
      <c r="BI21" s="7"/>
      <c r="BK21">
        <v>1</v>
      </c>
      <c r="BM21">
        <v>1</v>
      </c>
      <c r="BP21" s="7">
        <v>1</v>
      </c>
      <c r="BR21">
        <v>1</v>
      </c>
      <c r="BT21">
        <v>1</v>
      </c>
      <c r="BX21" s="95" t="s">
        <v>380</v>
      </c>
      <c r="BY21" s="80" t="s">
        <v>365</v>
      </c>
      <c r="CG21" s="95" t="s">
        <v>365</v>
      </c>
      <c r="CH21" s="80" t="s">
        <v>369</v>
      </c>
      <c r="CP21" s="99" t="s">
        <v>365</v>
      </c>
      <c r="CQ21" s="80" t="s">
        <v>369</v>
      </c>
      <c r="CY21" s="99" t="s">
        <v>365</v>
      </c>
      <c r="CZ21" s="80" t="s">
        <v>366</v>
      </c>
      <c r="DH21" s="99" t="s">
        <v>365</v>
      </c>
      <c r="DI21" s="80" t="s">
        <v>366</v>
      </c>
      <c r="DN21">
        <v>1</v>
      </c>
      <c r="DQ21" s="99" t="s">
        <v>365</v>
      </c>
      <c r="DR21" s="80" t="s">
        <v>395</v>
      </c>
      <c r="DV21">
        <v>1</v>
      </c>
      <c r="DW21">
        <v>1</v>
      </c>
      <c r="DZ21" s="95" t="s">
        <v>365</v>
      </c>
      <c r="EA21" s="80" t="s">
        <v>364</v>
      </c>
      <c r="EH21" s="7"/>
      <c r="EO21" s="7"/>
      <c r="EV21" s="7"/>
      <c r="FC21" s="7"/>
      <c r="FJ21" s="7"/>
      <c r="FQ21" s="7"/>
      <c r="FX21" s="7"/>
      <c r="GE21" s="7"/>
      <c r="GL21" s="7"/>
      <c r="GS21" s="7"/>
      <c r="GZ21" s="7"/>
      <c r="HG21" s="7"/>
      <c r="HN21" s="7"/>
      <c r="HU21" s="7"/>
      <c r="IB21" s="7"/>
      <c r="II21" s="7"/>
      <c r="IP21" s="7"/>
      <c r="IW21" s="7"/>
      <c r="JD21" s="7"/>
      <c r="JK21" s="7"/>
      <c r="JR21" s="7"/>
      <c r="JY21" s="7"/>
      <c r="KF21" s="7"/>
      <c r="KM21" s="7"/>
      <c r="KT21" s="7"/>
      <c r="LA21" s="7"/>
      <c r="LH21" s="7"/>
      <c r="LO21" s="7"/>
      <c r="LV21" s="7"/>
      <c r="MC21" s="7"/>
      <c r="MJ21" s="7"/>
    </row>
    <row r="22" spans="1:348" x14ac:dyDescent="0.25">
      <c r="A22" s="8" t="s">
        <v>134</v>
      </c>
      <c r="B22" s="8" t="s">
        <v>133</v>
      </c>
      <c r="C22" s="8" t="s">
        <v>170</v>
      </c>
      <c r="D22" s="8" t="s">
        <v>171</v>
      </c>
      <c r="E22" s="18">
        <v>37177</v>
      </c>
      <c r="F22" s="10" t="str">
        <f t="shared" si="319"/>
        <v/>
      </c>
      <c r="G22" s="19" t="str">
        <f t="shared" si="319"/>
        <v/>
      </c>
      <c r="H22" s="19" t="str">
        <f t="shared" si="319"/>
        <v/>
      </c>
      <c r="I22" s="19" t="str">
        <f t="shared" si="319"/>
        <v/>
      </c>
      <c r="J22" s="19" t="str">
        <f t="shared" si="319"/>
        <v/>
      </c>
      <c r="K22" s="19" t="str">
        <f t="shared" si="319"/>
        <v/>
      </c>
      <c r="L22" s="19" t="str">
        <f t="shared" si="319"/>
        <v/>
      </c>
      <c r="M22" s="8"/>
      <c r="N22" s="8"/>
      <c r="O22" s="9">
        <v>1</v>
      </c>
      <c r="P22" s="8">
        <f t="shared" si="317"/>
        <v>28</v>
      </c>
      <c r="Q22" s="109">
        <f t="shared" si="320"/>
        <v>65.116279069767444</v>
      </c>
      <c r="R22" s="133" t="str">
        <f t="shared" si="321"/>
        <v>-7</v>
      </c>
      <c r="S22" s="7">
        <v>1</v>
      </c>
      <c r="U22">
        <v>1</v>
      </c>
      <c r="V22">
        <v>1</v>
      </c>
      <c r="Z22" s="7"/>
      <c r="AB22">
        <v>1</v>
      </c>
      <c r="AG22" s="7"/>
      <c r="AN22" s="7"/>
      <c r="AU22" s="7"/>
      <c r="AW22">
        <v>1</v>
      </c>
      <c r="AZ22">
        <v>1</v>
      </c>
      <c r="BB22" s="7"/>
      <c r="BF22">
        <v>1</v>
      </c>
      <c r="BG22">
        <v>1</v>
      </c>
      <c r="BI22" s="7"/>
      <c r="BK22">
        <v>1</v>
      </c>
      <c r="BM22">
        <v>1</v>
      </c>
      <c r="BP22" s="7"/>
      <c r="BR22">
        <v>1</v>
      </c>
      <c r="BT22">
        <v>1</v>
      </c>
      <c r="BW22">
        <v>1</v>
      </c>
      <c r="BX22" s="95" t="s">
        <v>394</v>
      </c>
      <c r="BY22" s="80" t="s">
        <v>363</v>
      </c>
      <c r="CC22">
        <v>1</v>
      </c>
      <c r="CF22">
        <v>1</v>
      </c>
      <c r="CG22" s="95" t="s">
        <v>386</v>
      </c>
      <c r="CH22" s="80" t="s">
        <v>364</v>
      </c>
      <c r="CL22">
        <v>1</v>
      </c>
      <c r="CO22">
        <v>1</v>
      </c>
      <c r="CP22" s="99" t="s">
        <v>382</v>
      </c>
      <c r="CQ22" s="80" t="s">
        <v>400</v>
      </c>
      <c r="CS22">
        <v>1</v>
      </c>
      <c r="CU22">
        <v>1</v>
      </c>
      <c r="CV22">
        <v>1</v>
      </c>
      <c r="CX22">
        <v>1</v>
      </c>
      <c r="CY22" s="99" t="s">
        <v>365</v>
      </c>
      <c r="CZ22" s="80" t="s">
        <v>365</v>
      </c>
      <c r="DB22">
        <v>1</v>
      </c>
      <c r="DE22">
        <v>1</v>
      </c>
      <c r="DH22" s="99" t="s">
        <v>365</v>
      </c>
      <c r="DI22" s="80" t="s">
        <v>363</v>
      </c>
      <c r="DK22">
        <v>1</v>
      </c>
      <c r="DN22">
        <v>1</v>
      </c>
      <c r="DQ22" s="99" t="s">
        <v>365</v>
      </c>
      <c r="DR22" s="80" t="s">
        <v>363</v>
      </c>
      <c r="DT22">
        <v>1</v>
      </c>
      <c r="DV22">
        <v>1</v>
      </c>
      <c r="DW22">
        <v>1</v>
      </c>
      <c r="DZ22" s="95" t="s">
        <v>365</v>
      </c>
      <c r="EA22" s="80" t="s">
        <v>364</v>
      </c>
      <c r="EH22" s="7"/>
      <c r="EO22" s="7"/>
      <c r="EV22" s="7"/>
      <c r="FC22" s="7"/>
      <c r="FJ22" s="7"/>
      <c r="FQ22" s="7"/>
      <c r="FX22" s="7"/>
      <c r="GE22" s="7"/>
      <c r="GL22" s="7"/>
      <c r="GS22" s="7"/>
      <c r="GZ22" s="7"/>
      <c r="HG22" s="7"/>
      <c r="HN22" s="7"/>
      <c r="HU22" s="7"/>
      <c r="IB22" s="7"/>
      <c r="II22" s="7"/>
      <c r="IP22" s="7"/>
      <c r="IW22" s="7"/>
      <c r="JD22" s="7"/>
      <c r="JK22" s="7"/>
      <c r="JR22" s="7"/>
      <c r="JY22" s="7"/>
      <c r="KF22" s="7"/>
      <c r="KM22" s="7"/>
      <c r="KT22" s="7"/>
      <c r="LA22" s="7"/>
      <c r="LH22" s="7"/>
      <c r="LO22" s="7"/>
      <c r="LV22" s="7"/>
      <c r="MC22" s="7"/>
      <c r="MJ22" s="7"/>
    </row>
    <row r="23" spans="1:348" x14ac:dyDescent="0.25">
      <c r="A23" s="8" t="s">
        <v>125</v>
      </c>
      <c r="B23" s="8" t="s">
        <v>167</v>
      </c>
      <c r="C23" s="8" t="s">
        <v>168</v>
      </c>
      <c r="D23" s="8" t="s">
        <v>169</v>
      </c>
      <c r="E23" s="18">
        <v>36870</v>
      </c>
      <c r="F23" s="10" t="str">
        <f t="shared" si="319"/>
        <v/>
      </c>
      <c r="G23" s="19" t="str">
        <f t="shared" si="319"/>
        <v/>
      </c>
      <c r="H23" s="19" t="str">
        <f t="shared" si="319"/>
        <v/>
      </c>
      <c r="I23" s="19" t="str">
        <f t="shared" si="319"/>
        <v/>
      </c>
      <c r="J23" s="19" t="str">
        <f t="shared" si="319"/>
        <v/>
      </c>
      <c r="K23" s="19" t="str">
        <f t="shared" si="319"/>
        <v/>
      </c>
      <c r="L23" s="19" t="str">
        <f t="shared" si="319"/>
        <v/>
      </c>
      <c r="M23" s="8"/>
      <c r="N23" s="8"/>
      <c r="O23" s="9">
        <v>1</v>
      </c>
      <c r="P23" s="8">
        <f t="shared" si="317"/>
        <v>34</v>
      </c>
      <c r="Q23" s="109">
        <f t="shared" si="320"/>
        <v>79.069767441860463</v>
      </c>
      <c r="R23" s="133" t="str">
        <f t="shared" si="321"/>
        <v>-13</v>
      </c>
      <c r="S23" s="7">
        <v>1</v>
      </c>
      <c r="Z23" s="7"/>
      <c r="AB23">
        <v>1</v>
      </c>
      <c r="AD23">
        <v>1</v>
      </c>
      <c r="AE23">
        <v>1</v>
      </c>
      <c r="AG23" s="7"/>
      <c r="AI23">
        <v>1</v>
      </c>
      <c r="AK23">
        <v>1</v>
      </c>
      <c r="AL23">
        <v>1</v>
      </c>
      <c r="AN23" s="7"/>
      <c r="AP23">
        <v>1</v>
      </c>
      <c r="AR23">
        <v>1</v>
      </c>
      <c r="AS23">
        <v>1</v>
      </c>
      <c r="AU23" s="7"/>
      <c r="AY23">
        <v>1</v>
      </c>
      <c r="AZ23">
        <v>1</v>
      </c>
      <c r="BB23" s="7"/>
      <c r="BD23">
        <v>1</v>
      </c>
      <c r="BG23">
        <v>1</v>
      </c>
      <c r="BI23" s="7"/>
      <c r="BK23">
        <v>1</v>
      </c>
      <c r="BM23">
        <v>1</v>
      </c>
      <c r="BP23" s="7"/>
      <c r="BR23">
        <v>1</v>
      </c>
      <c r="BX23" s="95" t="s">
        <v>365</v>
      </c>
      <c r="BY23" s="80" t="s">
        <v>369</v>
      </c>
      <c r="CC23">
        <v>1</v>
      </c>
      <c r="CF23">
        <v>1</v>
      </c>
      <c r="CG23" s="95" t="s">
        <v>394</v>
      </c>
      <c r="CH23" s="80" t="s">
        <v>363</v>
      </c>
      <c r="CJ23" s="34"/>
      <c r="CL23">
        <v>1</v>
      </c>
      <c r="CO23">
        <v>1</v>
      </c>
      <c r="CP23" s="99" t="s">
        <v>381</v>
      </c>
      <c r="CQ23" s="80" t="s">
        <v>365</v>
      </c>
      <c r="CS23">
        <v>1</v>
      </c>
      <c r="CU23">
        <v>1</v>
      </c>
      <c r="CV23">
        <v>1</v>
      </c>
      <c r="CX23">
        <v>1</v>
      </c>
      <c r="CY23" s="99" t="s">
        <v>365</v>
      </c>
      <c r="CZ23" s="80" t="s">
        <v>365</v>
      </c>
      <c r="DB23">
        <v>1</v>
      </c>
      <c r="DE23">
        <v>1</v>
      </c>
      <c r="DG23">
        <v>1</v>
      </c>
      <c r="DH23" s="99" t="s">
        <v>365</v>
      </c>
      <c r="DI23" s="80" t="s">
        <v>364</v>
      </c>
      <c r="DK23">
        <v>1</v>
      </c>
      <c r="DM23">
        <v>1</v>
      </c>
      <c r="DN23">
        <v>1</v>
      </c>
      <c r="DQ23" s="99" t="s">
        <v>365</v>
      </c>
      <c r="DR23" s="80" t="s">
        <v>364</v>
      </c>
      <c r="DT23">
        <v>1</v>
      </c>
      <c r="DV23">
        <v>1</v>
      </c>
      <c r="DW23">
        <v>1</v>
      </c>
      <c r="DZ23" s="95" t="s">
        <v>365</v>
      </c>
      <c r="EA23" s="80" t="s">
        <v>364</v>
      </c>
      <c r="EH23" s="7"/>
      <c r="EO23" s="7"/>
      <c r="EV23" s="7"/>
      <c r="FC23" s="7"/>
      <c r="FJ23" s="7"/>
      <c r="FQ23" s="7"/>
      <c r="FX23" s="7"/>
      <c r="GE23" s="7"/>
      <c r="GL23" s="7"/>
      <c r="GS23" s="7"/>
      <c r="GZ23" s="7"/>
      <c r="HG23" s="7"/>
      <c r="HN23" s="7"/>
      <c r="HU23" s="7"/>
      <c r="IB23" s="7"/>
      <c r="II23" s="7"/>
      <c r="IP23" s="7"/>
      <c r="IW23" s="7"/>
      <c r="JD23" s="7"/>
      <c r="JK23" s="7"/>
      <c r="JR23" s="7"/>
      <c r="JY23" s="7"/>
      <c r="KF23" s="7"/>
      <c r="KM23" s="7"/>
      <c r="KT23" s="7"/>
      <c r="LA23" s="7"/>
      <c r="LH23" s="7"/>
      <c r="LO23" s="7"/>
      <c r="LV23" s="7"/>
      <c r="MC23" s="7"/>
      <c r="MJ23" s="7"/>
    </row>
    <row r="24" spans="1:348" x14ac:dyDescent="0.25">
      <c r="A24" s="8" t="s">
        <v>182</v>
      </c>
      <c r="B24" s="8" t="s">
        <v>183</v>
      </c>
      <c r="C24" s="8" t="s">
        <v>184</v>
      </c>
      <c r="D24" s="8" t="s">
        <v>81</v>
      </c>
      <c r="E24" s="18">
        <v>38054</v>
      </c>
      <c r="F24" s="10">
        <f t="shared" si="319"/>
        <v>1</v>
      </c>
      <c r="G24" s="19">
        <f t="shared" si="319"/>
        <v>1</v>
      </c>
      <c r="H24" s="19" t="str">
        <f t="shared" si="319"/>
        <v/>
      </c>
      <c r="I24" s="19" t="str">
        <f t="shared" si="319"/>
        <v/>
      </c>
      <c r="J24" s="19" t="str">
        <f t="shared" si="319"/>
        <v/>
      </c>
      <c r="K24" s="19" t="str">
        <f t="shared" si="319"/>
        <v/>
      </c>
      <c r="L24" s="19" t="str">
        <f t="shared" si="319"/>
        <v/>
      </c>
      <c r="M24" s="8"/>
      <c r="N24" s="8">
        <v>1</v>
      </c>
      <c r="O24" s="9">
        <v>1</v>
      </c>
      <c r="P24" s="8">
        <f t="shared" si="317"/>
        <v>33</v>
      </c>
      <c r="Q24" s="109">
        <f t="shared" si="320"/>
        <v>76.744186046511629</v>
      </c>
      <c r="R24" s="133" t="str">
        <f t="shared" si="321"/>
        <v>-3</v>
      </c>
      <c r="S24" s="7">
        <v>1</v>
      </c>
      <c r="U24">
        <v>1</v>
      </c>
      <c r="V24">
        <v>1</v>
      </c>
      <c r="Z24" s="7"/>
      <c r="AB24">
        <v>1</v>
      </c>
      <c r="AE24">
        <v>1</v>
      </c>
      <c r="AG24" s="7"/>
      <c r="AI24">
        <v>1</v>
      </c>
      <c r="AK24">
        <v>1</v>
      </c>
      <c r="AL24">
        <v>1</v>
      </c>
      <c r="AN24" s="7"/>
      <c r="AP24">
        <v>1</v>
      </c>
      <c r="AR24">
        <v>1</v>
      </c>
      <c r="AU24" s="7"/>
      <c r="AY24">
        <v>1</v>
      </c>
      <c r="AZ24">
        <v>1</v>
      </c>
      <c r="BB24" s="7"/>
      <c r="BD24">
        <v>1</v>
      </c>
      <c r="BF24">
        <v>1</v>
      </c>
      <c r="BG24">
        <v>1</v>
      </c>
      <c r="BI24" s="7"/>
      <c r="BK24">
        <v>1</v>
      </c>
      <c r="BM24">
        <v>1</v>
      </c>
      <c r="BP24" s="7">
        <v>1</v>
      </c>
      <c r="BR24">
        <v>1</v>
      </c>
      <c r="BT24">
        <v>1</v>
      </c>
      <c r="BX24" s="95" t="s">
        <v>394</v>
      </c>
      <c r="BY24" s="80" t="s">
        <v>368</v>
      </c>
      <c r="CF24">
        <v>1</v>
      </c>
      <c r="CG24" s="95" t="s">
        <v>386</v>
      </c>
      <c r="CH24" s="80" t="s">
        <v>395</v>
      </c>
      <c r="CL24">
        <v>1</v>
      </c>
      <c r="CO24">
        <v>1</v>
      </c>
      <c r="CP24" s="99" t="s">
        <v>365</v>
      </c>
      <c r="CQ24" s="80" t="s">
        <v>366</v>
      </c>
      <c r="CS24">
        <v>1</v>
      </c>
      <c r="CU24">
        <v>1</v>
      </c>
      <c r="CV24">
        <v>1</v>
      </c>
      <c r="CX24">
        <v>1</v>
      </c>
      <c r="CY24" s="99" t="s">
        <v>365</v>
      </c>
      <c r="CZ24" s="80" t="s">
        <v>365</v>
      </c>
      <c r="DB24">
        <v>1</v>
      </c>
      <c r="DE24">
        <v>1</v>
      </c>
      <c r="DG24">
        <v>1</v>
      </c>
      <c r="DH24" s="99" t="s">
        <v>365</v>
      </c>
      <c r="DI24" s="80" t="s">
        <v>364</v>
      </c>
      <c r="DK24">
        <v>1</v>
      </c>
      <c r="DP24">
        <v>1</v>
      </c>
      <c r="DQ24" s="99" t="s">
        <v>365</v>
      </c>
      <c r="DR24" s="80" t="s">
        <v>363</v>
      </c>
      <c r="DT24" t="s">
        <v>415</v>
      </c>
      <c r="DW24">
        <v>1</v>
      </c>
      <c r="DZ24" s="95" t="s">
        <v>462</v>
      </c>
      <c r="EA24" s="80" t="s">
        <v>463</v>
      </c>
      <c r="EH24" s="7"/>
      <c r="EO24" s="7"/>
      <c r="EV24" s="7"/>
      <c r="FC24" s="7"/>
      <c r="FJ24" s="7"/>
      <c r="FQ24" s="7"/>
      <c r="FX24" s="7"/>
      <c r="GE24" s="7"/>
      <c r="GL24" s="7"/>
      <c r="GS24" s="7"/>
      <c r="GZ24" s="7"/>
      <c r="HG24" s="7"/>
      <c r="HN24" s="7"/>
      <c r="HU24" s="7"/>
      <c r="IB24" s="7"/>
      <c r="II24" s="7"/>
      <c r="IP24" s="7"/>
      <c r="IW24" s="7"/>
      <c r="JD24" s="7"/>
      <c r="JK24" s="7"/>
      <c r="JR24" s="7"/>
      <c r="JY24" s="7"/>
      <c r="KF24" s="7"/>
      <c r="KM24" s="7"/>
      <c r="KT24" s="7"/>
      <c r="LA24" s="7"/>
      <c r="LH24" s="7"/>
      <c r="LO24" s="7"/>
      <c r="LV24" s="7"/>
      <c r="MC24" s="7"/>
      <c r="MJ24" s="7"/>
    </row>
    <row r="25" spans="1:348" hidden="1" x14ac:dyDescent="0.25">
      <c r="A25" s="8" t="s">
        <v>129</v>
      </c>
      <c r="B25" s="8"/>
      <c r="C25" s="8" t="s">
        <v>165</v>
      </c>
      <c r="D25" s="8" t="s">
        <v>166</v>
      </c>
      <c r="E25" s="18">
        <v>36892</v>
      </c>
      <c r="F25" s="10" t="str">
        <f t="shared" si="319"/>
        <v/>
      </c>
      <c r="G25" s="19" t="str">
        <f t="shared" si="319"/>
        <v/>
      </c>
      <c r="H25" s="19" t="str">
        <f t="shared" si="319"/>
        <v/>
      </c>
      <c r="I25" s="19" t="str">
        <f t="shared" si="319"/>
        <v/>
      </c>
      <c r="J25" s="19" t="str">
        <f t="shared" si="319"/>
        <v/>
      </c>
      <c r="K25" s="19" t="str">
        <f t="shared" si="319"/>
        <v/>
      </c>
      <c r="L25" s="19" t="str">
        <f t="shared" si="319"/>
        <v/>
      </c>
      <c r="M25" s="8"/>
      <c r="N25" s="8"/>
      <c r="O25" s="9">
        <v>1</v>
      </c>
      <c r="P25" s="8" t="str">
        <f t="shared" si="317"/>
        <v/>
      </c>
      <c r="Q25" s="109" t="str">
        <f t="shared" si="320"/>
        <v/>
      </c>
      <c r="R25" s="133" t="str">
        <f t="shared" si="321"/>
        <v>-1</v>
      </c>
      <c r="S25" s="7"/>
      <c r="Z25" s="7"/>
      <c r="AG25" s="7"/>
      <c r="AN25" s="7"/>
      <c r="AU25" s="7"/>
      <c r="BB25" s="7"/>
      <c r="BI25" s="7"/>
      <c r="BP25" s="7"/>
      <c r="BX25" s="95" t="s">
        <v>365</v>
      </c>
      <c r="BY25" s="79"/>
      <c r="CG25" s="95" t="s">
        <v>365</v>
      </c>
      <c r="CH25" s="80" t="s">
        <v>367</v>
      </c>
      <c r="CP25" s="99" t="s">
        <v>365</v>
      </c>
      <c r="CQ25" s="80" t="s">
        <v>367</v>
      </c>
      <c r="CY25" s="99" t="s">
        <v>365</v>
      </c>
      <c r="CZ25" s="80" t="s">
        <v>367</v>
      </c>
      <c r="DH25" s="99" t="s">
        <v>365</v>
      </c>
      <c r="DI25" s="80" t="s">
        <v>367</v>
      </c>
      <c r="DQ25" s="96"/>
      <c r="DR25" s="80" t="s">
        <v>367</v>
      </c>
      <c r="DZ25" s="95" t="s">
        <v>365</v>
      </c>
      <c r="EA25" s="80" t="s">
        <v>364</v>
      </c>
      <c r="EH25" s="7"/>
      <c r="EO25" s="7"/>
      <c r="EV25" s="7"/>
      <c r="FC25" s="7"/>
      <c r="FJ25" s="7"/>
      <c r="FQ25" s="7"/>
      <c r="FX25" s="7"/>
      <c r="GE25" s="7"/>
      <c r="GL25" s="7"/>
      <c r="GS25" s="7"/>
      <c r="GZ25" s="7"/>
      <c r="HG25" s="7"/>
      <c r="HN25" s="7"/>
      <c r="HU25" s="7"/>
      <c r="IB25" s="7"/>
      <c r="II25" s="7"/>
      <c r="IP25" s="7"/>
      <c r="IW25" s="7"/>
      <c r="JD25" s="7"/>
      <c r="JK25" s="7"/>
      <c r="JR25" s="7"/>
      <c r="JY25" s="7"/>
      <c r="KF25" s="7"/>
      <c r="KM25" s="7"/>
      <c r="KT25" s="7"/>
      <c r="LA25" s="7"/>
      <c r="LH25" s="7"/>
      <c r="LO25" s="7"/>
      <c r="LV25" s="7"/>
      <c r="MC25" s="7"/>
      <c r="MJ25" s="7"/>
    </row>
    <row r="26" spans="1:348" x14ac:dyDescent="0.25">
      <c r="A26" s="88" t="s">
        <v>132</v>
      </c>
      <c r="B26" s="88"/>
      <c r="C26" s="88" t="s">
        <v>131</v>
      </c>
      <c r="D26" s="88" t="s">
        <v>130</v>
      </c>
      <c r="E26" s="89">
        <v>39280</v>
      </c>
      <c r="F26" s="90">
        <f t="shared" si="319"/>
        <v>1</v>
      </c>
      <c r="G26" s="88">
        <f t="shared" si="319"/>
        <v>1</v>
      </c>
      <c r="H26" s="88">
        <f t="shared" si="319"/>
        <v>1</v>
      </c>
      <c r="I26" s="88">
        <f t="shared" si="319"/>
        <v>1</v>
      </c>
      <c r="J26" s="88" t="str">
        <f t="shared" si="319"/>
        <v/>
      </c>
      <c r="K26" s="88" t="str">
        <f t="shared" si="319"/>
        <v/>
      </c>
      <c r="L26" s="88" t="str">
        <f t="shared" si="319"/>
        <v/>
      </c>
      <c r="M26" s="88">
        <v>1</v>
      </c>
      <c r="N26" s="88">
        <v>1</v>
      </c>
      <c r="O26" s="91"/>
      <c r="P26" s="88">
        <f t="shared" si="317"/>
        <v>21</v>
      </c>
      <c r="Q26" s="110">
        <f t="shared" si="320"/>
        <v>48.837209302325576</v>
      </c>
      <c r="R26" s="134" t="str">
        <f t="shared" si="321"/>
        <v>-35</v>
      </c>
      <c r="S26" s="92"/>
      <c r="T26" s="93"/>
      <c r="U26" s="93">
        <v>1</v>
      </c>
      <c r="V26" s="93"/>
      <c r="W26" s="93"/>
      <c r="X26" s="93">
        <v>1</v>
      </c>
      <c r="Y26" s="93"/>
      <c r="Z26" s="92"/>
      <c r="AA26" s="93"/>
      <c r="AB26" s="93">
        <v>1</v>
      </c>
      <c r="AC26" s="93"/>
      <c r="AD26" s="93">
        <v>1</v>
      </c>
      <c r="AE26" s="93">
        <v>1</v>
      </c>
      <c r="AF26" s="93"/>
      <c r="AG26" s="92"/>
      <c r="AH26" s="93"/>
      <c r="AI26" s="93">
        <v>1</v>
      </c>
      <c r="AJ26" s="93"/>
      <c r="AK26" s="93">
        <v>1</v>
      </c>
      <c r="AL26" s="93"/>
      <c r="AM26" s="93"/>
      <c r="AN26" s="92"/>
      <c r="AO26" s="93"/>
      <c r="AP26" s="93">
        <v>1</v>
      </c>
      <c r="AQ26" s="93"/>
      <c r="AR26" s="93">
        <v>1</v>
      </c>
      <c r="AS26" s="93">
        <v>1</v>
      </c>
      <c r="AT26" s="93"/>
      <c r="AU26" s="92"/>
      <c r="AV26" s="93"/>
      <c r="AW26" s="93">
        <v>1</v>
      </c>
      <c r="AX26" s="93"/>
      <c r="AY26" s="93">
        <v>1</v>
      </c>
      <c r="AZ26" s="93"/>
      <c r="BA26" s="93"/>
      <c r="BB26" s="92"/>
      <c r="BC26" s="93"/>
      <c r="BD26" s="93">
        <v>1</v>
      </c>
      <c r="BE26" s="93"/>
      <c r="BF26" s="93">
        <v>1</v>
      </c>
      <c r="BG26" s="93"/>
      <c r="BH26" s="93"/>
      <c r="BI26" s="92"/>
      <c r="BJ26" s="93"/>
      <c r="BK26" s="93">
        <v>1</v>
      </c>
      <c r="BL26" s="93"/>
      <c r="BM26" s="93">
        <v>1</v>
      </c>
      <c r="BN26" s="93"/>
      <c r="BO26" s="93"/>
      <c r="BP26" s="92"/>
      <c r="BQ26" s="93"/>
      <c r="BR26" s="93">
        <v>1</v>
      </c>
      <c r="BS26" s="93"/>
      <c r="BT26" s="93"/>
      <c r="BU26" s="93"/>
      <c r="BV26" s="93"/>
      <c r="BW26" s="93"/>
      <c r="BX26" s="97" t="s">
        <v>365</v>
      </c>
      <c r="BY26" s="94" t="s">
        <v>369</v>
      </c>
      <c r="BZ26" s="93"/>
      <c r="CA26" s="93"/>
      <c r="CB26" s="93"/>
      <c r="CC26" s="93"/>
      <c r="CD26" s="93"/>
      <c r="CE26" s="93"/>
      <c r="CF26" s="93"/>
      <c r="CG26" s="97" t="s">
        <v>365</v>
      </c>
      <c r="CH26" s="94" t="s">
        <v>369</v>
      </c>
      <c r="CI26" s="93"/>
      <c r="CJ26" s="93"/>
      <c r="CK26" s="93"/>
      <c r="CL26" s="93"/>
      <c r="CM26" s="93"/>
      <c r="CN26" s="93"/>
      <c r="CO26" s="93"/>
      <c r="CP26" s="97" t="s">
        <v>365</v>
      </c>
      <c r="CQ26" s="94" t="s">
        <v>369</v>
      </c>
      <c r="CR26" s="93"/>
      <c r="CS26" s="93">
        <v>1</v>
      </c>
      <c r="CT26" s="93"/>
      <c r="CU26" s="93"/>
      <c r="CV26" s="93">
        <v>1</v>
      </c>
      <c r="CW26" s="93"/>
      <c r="CX26" s="93"/>
      <c r="CY26" s="97" t="s">
        <v>365</v>
      </c>
      <c r="CZ26" s="94" t="s">
        <v>363</v>
      </c>
      <c r="DA26" s="93"/>
      <c r="DB26" s="93"/>
      <c r="DC26" s="93"/>
      <c r="DD26" s="93"/>
      <c r="DE26" s="93"/>
      <c r="DF26" s="93"/>
      <c r="DG26" s="93"/>
      <c r="DH26" s="97" t="s">
        <v>365</v>
      </c>
      <c r="DI26" s="94" t="s">
        <v>366</v>
      </c>
      <c r="DJ26" s="93"/>
      <c r="DK26" s="93"/>
      <c r="DL26" s="93"/>
      <c r="DM26" s="93"/>
      <c r="DN26" s="93"/>
      <c r="DO26" s="93"/>
      <c r="DP26" s="93"/>
      <c r="DQ26" s="97" t="s">
        <v>365</v>
      </c>
      <c r="DR26" s="94" t="s">
        <v>366</v>
      </c>
      <c r="DS26" s="93"/>
      <c r="DT26" s="93"/>
      <c r="DU26" s="93"/>
      <c r="DV26" s="93">
        <v>1</v>
      </c>
      <c r="DW26" s="93">
        <v>1</v>
      </c>
      <c r="DX26" s="93"/>
      <c r="DY26" s="93"/>
      <c r="DZ26" s="97" t="s">
        <v>365</v>
      </c>
      <c r="EA26" s="94" t="s">
        <v>364</v>
      </c>
      <c r="EB26" s="93"/>
      <c r="EC26" s="93"/>
      <c r="ED26" s="93"/>
      <c r="EE26" s="93"/>
      <c r="EF26" s="93"/>
      <c r="EG26" s="93"/>
      <c r="EH26" s="92"/>
      <c r="EI26" s="93"/>
      <c r="EJ26" s="93"/>
      <c r="EK26" s="93"/>
      <c r="EL26" s="93"/>
      <c r="EM26" s="93"/>
      <c r="EN26" s="93"/>
      <c r="EO26" s="92"/>
      <c r="EP26" s="93"/>
      <c r="EQ26" s="93"/>
      <c r="ER26" s="93"/>
      <c r="ES26" s="93"/>
      <c r="ET26" s="93"/>
      <c r="EU26" s="93"/>
      <c r="EV26" s="92"/>
      <c r="EW26" s="93"/>
      <c r="EX26" s="93"/>
      <c r="EY26" s="93"/>
      <c r="EZ26" s="93"/>
      <c r="FA26" s="93"/>
      <c r="FB26" s="93"/>
      <c r="FC26" s="92"/>
      <c r="FD26" s="93"/>
      <c r="FE26" s="93"/>
      <c r="FF26" s="93"/>
      <c r="FG26" s="93"/>
      <c r="FH26" s="93"/>
      <c r="FI26" s="93"/>
      <c r="FJ26" s="92"/>
      <c r="FK26" s="93"/>
      <c r="FL26" s="93"/>
      <c r="FM26" s="93"/>
      <c r="FN26" s="93"/>
      <c r="FO26" s="93"/>
      <c r="FP26" s="93"/>
      <c r="FQ26" s="92"/>
      <c r="FR26" s="93"/>
      <c r="FS26" s="93"/>
      <c r="FT26" s="93"/>
      <c r="FU26" s="93"/>
      <c r="FV26" s="93"/>
      <c r="FW26" s="93"/>
      <c r="FX26" s="92"/>
      <c r="FY26" s="93"/>
      <c r="FZ26" s="93"/>
      <c r="GA26" s="93"/>
      <c r="GB26" s="93"/>
      <c r="GC26" s="93"/>
      <c r="GD26" s="93"/>
      <c r="GE26" s="92"/>
      <c r="GF26" s="93"/>
      <c r="GG26" s="93"/>
      <c r="GH26" s="93"/>
      <c r="GI26" s="93"/>
      <c r="GJ26" s="93"/>
      <c r="GK26" s="93"/>
      <c r="GL26" s="92"/>
      <c r="GM26" s="93"/>
      <c r="GN26" s="93"/>
      <c r="GO26" s="93"/>
      <c r="GP26" s="93"/>
      <c r="GQ26" s="93"/>
      <c r="GR26" s="93"/>
      <c r="GS26" s="92"/>
      <c r="GT26" s="93"/>
      <c r="GU26" s="93"/>
      <c r="GV26" s="93"/>
      <c r="GW26" s="93"/>
      <c r="GX26" s="93"/>
      <c r="GY26" s="93"/>
      <c r="GZ26" s="92"/>
      <c r="HA26" s="93"/>
      <c r="HB26" s="93"/>
      <c r="HC26" s="93"/>
      <c r="HD26" s="93"/>
      <c r="HE26" s="93"/>
      <c r="HF26" s="93"/>
      <c r="HG26" s="92"/>
      <c r="HH26" s="93"/>
      <c r="HI26" s="93"/>
      <c r="HJ26" s="93"/>
      <c r="HK26" s="93"/>
      <c r="HL26" s="93"/>
      <c r="HM26" s="93"/>
      <c r="HN26" s="92"/>
      <c r="HO26" s="93"/>
      <c r="HP26" s="93"/>
      <c r="HQ26" s="93"/>
      <c r="HR26" s="93"/>
      <c r="HS26" s="93"/>
      <c r="HT26" s="93"/>
      <c r="HU26" s="92"/>
      <c r="HV26" s="93"/>
      <c r="HW26" s="93"/>
      <c r="HX26" s="93"/>
      <c r="HY26" s="93"/>
      <c r="HZ26" s="93"/>
      <c r="IA26" s="93"/>
      <c r="IB26" s="92"/>
      <c r="IC26" s="93"/>
      <c r="ID26" s="93"/>
      <c r="IE26" s="93"/>
      <c r="IF26" s="93"/>
      <c r="IG26" s="93"/>
      <c r="IH26" s="93"/>
      <c r="II26" s="92"/>
      <c r="IJ26" s="93"/>
      <c r="IK26" s="93"/>
      <c r="IL26" s="93"/>
      <c r="IM26" s="93"/>
      <c r="IN26" s="93"/>
      <c r="IO26" s="93"/>
      <c r="IP26" s="92"/>
      <c r="IQ26" s="93"/>
      <c r="IR26" s="93"/>
      <c r="IS26" s="93"/>
      <c r="IT26" s="93"/>
      <c r="IU26" s="93"/>
      <c r="IV26" s="93"/>
      <c r="IW26" s="92"/>
      <c r="IX26" s="93"/>
      <c r="IY26" s="93"/>
      <c r="IZ26" s="93"/>
      <c r="JA26" s="93"/>
      <c r="JB26" s="93"/>
      <c r="JC26" s="93"/>
      <c r="JD26" s="92"/>
      <c r="JE26" s="93"/>
      <c r="JF26" s="93"/>
      <c r="JG26" s="93"/>
      <c r="JH26" s="93"/>
      <c r="JI26" s="93"/>
      <c r="JJ26" s="93"/>
      <c r="JK26" s="92"/>
      <c r="JL26" s="93"/>
      <c r="JM26" s="93"/>
      <c r="JN26" s="93"/>
      <c r="JO26" s="93"/>
      <c r="JP26" s="93"/>
      <c r="JQ26" s="93"/>
      <c r="JR26" s="92"/>
      <c r="JS26" s="93"/>
      <c r="JT26" s="93"/>
      <c r="JU26" s="93"/>
      <c r="JV26" s="93"/>
      <c r="JW26" s="93"/>
      <c r="JX26" s="93"/>
      <c r="JY26" s="92"/>
      <c r="JZ26" s="93"/>
      <c r="KA26" s="93"/>
      <c r="KB26" s="93"/>
      <c r="KC26" s="93"/>
      <c r="KD26" s="93"/>
      <c r="KE26" s="93"/>
      <c r="KF26" s="92"/>
      <c r="KG26" s="93"/>
      <c r="KH26" s="93"/>
      <c r="KI26" s="93"/>
      <c r="KJ26" s="93"/>
      <c r="KK26" s="93"/>
      <c r="KL26" s="93"/>
      <c r="KM26" s="92"/>
      <c r="KN26" s="93"/>
      <c r="KO26" s="93"/>
      <c r="KP26" s="93"/>
      <c r="KQ26" s="93"/>
      <c r="KR26" s="93"/>
      <c r="KS26" s="93"/>
      <c r="KT26" s="92"/>
      <c r="KU26" s="93"/>
      <c r="KV26" s="93"/>
      <c r="KW26" s="93"/>
      <c r="KX26" s="93"/>
      <c r="KY26" s="93"/>
      <c r="KZ26" s="93"/>
      <c r="LA26" s="92"/>
      <c r="LB26" s="93"/>
      <c r="LC26" s="93"/>
      <c r="LD26" s="93"/>
      <c r="LE26" s="93"/>
      <c r="LF26" s="93"/>
      <c r="LG26" s="93"/>
      <c r="LH26" s="92"/>
      <c r="LI26" s="93"/>
      <c r="LJ26" s="93"/>
      <c r="LK26" s="93"/>
      <c r="LL26" s="93"/>
      <c r="LM26" s="93"/>
      <c r="LN26" s="93"/>
      <c r="LO26" s="92"/>
      <c r="LP26" s="93"/>
      <c r="LQ26" s="93"/>
      <c r="LR26" s="93"/>
      <c r="LS26" s="93"/>
      <c r="LT26" s="93"/>
      <c r="LU26" s="93"/>
      <c r="LV26" s="92"/>
      <c r="LW26" s="93"/>
      <c r="LX26" s="93"/>
      <c r="LY26" s="93"/>
      <c r="LZ26" s="93"/>
      <c r="MA26" s="93"/>
      <c r="MB26" s="93"/>
      <c r="MC26" s="92"/>
      <c r="MD26" s="93"/>
      <c r="ME26" s="93"/>
      <c r="MF26" s="93"/>
      <c r="MG26" s="93"/>
      <c r="MH26" s="93"/>
      <c r="MI26" s="93"/>
      <c r="MJ26" s="92"/>
    </row>
    <row r="27" spans="1:348" hidden="1" x14ac:dyDescent="0.25">
      <c r="A27" s="19" t="s">
        <v>92</v>
      </c>
      <c r="B27" s="19"/>
      <c r="C27" s="19" t="s">
        <v>159</v>
      </c>
      <c r="D27" s="19" t="s">
        <v>121</v>
      </c>
      <c r="E27" s="56">
        <v>38544</v>
      </c>
      <c r="F27" s="10">
        <f t="shared" si="319"/>
        <v>1</v>
      </c>
      <c r="G27" s="19">
        <f t="shared" si="319"/>
        <v>1</v>
      </c>
      <c r="H27" s="19" t="str">
        <f t="shared" si="319"/>
        <v/>
      </c>
      <c r="I27" s="19" t="str">
        <f t="shared" si="319"/>
        <v/>
      </c>
      <c r="J27" s="19" t="str">
        <f t="shared" si="319"/>
        <v/>
      </c>
      <c r="K27" s="19" t="str">
        <f t="shared" si="319"/>
        <v/>
      </c>
      <c r="L27" s="19" t="str">
        <f t="shared" si="319"/>
        <v/>
      </c>
      <c r="M27" s="8"/>
      <c r="N27" s="8">
        <v>1</v>
      </c>
      <c r="O27" s="9"/>
      <c r="P27" s="8" t="str">
        <f t="shared" si="317"/>
        <v/>
      </c>
      <c r="Q27" s="84" t="str">
        <f>IF(SUM(R27:XFD27) &gt; 0, SUM(R27:XFD27) / $P$86 * 100, "")</f>
        <v/>
      </c>
      <c r="R27" s="133" t="str">
        <f t="shared" si="321"/>
        <v>?</v>
      </c>
      <c r="S27" s="7"/>
      <c r="Z27" s="7"/>
      <c r="AG27" s="7"/>
      <c r="AN27" s="7"/>
      <c r="AU27" s="7"/>
      <c r="BB27" s="7"/>
      <c r="BI27" s="7"/>
      <c r="BP27" s="7"/>
      <c r="BX27" s="96"/>
      <c r="BY27" s="79"/>
      <c r="CG27" s="96"/>
      <c r="CH27" s="80"/>
      <c r="CQ27" s="7"/>
      <c r="CZ27" s="7"/>
      <c r="DI27" s="7"/>
      <c r="DR27" s="7"/>
      <c r="DZ27" s="96"/>
      <c r="EA27" s="79"/>
      <c r="EH27" s="7"/>
      <c r="EO27" s="7"/>
      <c r="EV27" s="7"/>
      <c r="FC27" s="7"/>
      <c r="FJ27" s="7"/>
      <c r="FQ27" s="7"/>
      <c r="FX27" s="7"/>
      <c r="GE27" s="7"/>
      <c r="GL27" s="7"/>
      <c r="GS27" s="7"/>
      <c r="GZ27" s="7"/>
      <c r="HG27" s="7"/>
      <c r="HN27" s="7"/>
      <c r="HU27" s="7"/>
      <c r="IB27" s="7"/>
      <c r="II27" s="7"/>
      <c r="IP27" s="7"/>
      <c r="IW27" s="7"/>
      <c r="JD27" s="7"/>
      <c r="JK27" s="7"/>
      <c r="JR27" s="7"/>
      <c r="JY27" s="7"/>
      <c r="KF27" s="7"/>
      <c r="KM27" s="7"/>
      <c r="KT27" s="7"/>
      <c r="LA27" s="7"/>
      <c r="LH27" s="7"/>
      <c r="LO27" s="7"/>
      <c r="LV27" s="7"/>
      <c r="MC27" s="7"/>
      <c r="MJ27" s="7"/>
    </row>
    <row r="28" spans="1:348" hidden="1" x14ac:dyDescent="0.25">
      <c r="A28" s="8" t="s">
        <v>115</v>
      </c>
      <c r="B28" s="8"/>
      <c r="C28" s="8" t="s">
        <v>244</v>
      </c>
      <c r="D28" s="8" t="s">
        <v>245</v>
      </c>
      <c r="E28" s="18">
        <v>36526</v>
      </c>
      <c r="F28" s="10" t="str">
        <f t="shared" si="319"/>
        <v/>
      </c>
      <c r="G28" s="19" t="str">
        <f t="shared" ref="G28:L29" si="322">IF($E28 &gt;= G$5, 1, "")</f>
        <v/>
      </c>
      <c r="H28" s="19" t="str">
        <f t="shared" si="322"/>
        <v/>
      </c>
      <c r="I28" s="19" t="str">
        <f t="shared" si="322"/>
        <v/>
      </c>
      <c r="J28" s="19" t="str">
        <f t="shared" si="322"/>
        <v/>
      </c>
      <c r="K28" s="19" t="str">
        <f t="shared" si="322"/>
        <v/>
      </c>
      <c r="L28" s="19" t="str">
        <f t="shared" si="322"/>
        <v/>
      </c>
      <c r="M28" s="8"/>
      <c r="N28" s="8"/>
      <c r="O28" s="9"/>
      <c r="P28" s="8">
        <f t="shared" si="317"/>
        <v>14</v>
      </c>
      <c r="Q28" s="109">
        <f>IF(SUM(S28:XFD28) &gt; 0, SUM(S28:XFD28) / $P$35 * 100, "")</f>
        <v>32.558139534883722</v>
      </c>
      <c r="R28" s="133" t="str">
        <f t="shared" si="321"/>
        <v>?</v>
      </c>
      <c r="S28" s="7"/>
      <c r="Z28" s="7"/>
      <c r="AG28" s="7"/>
      <c r="AI28">
        <v>1</v>
      </c>
      <c r="AK28">
        <v>1</v>
      </c>
      <c r="AN28" s="7"/>
      <c r="AP28">
        <v>1</v>
      </c>
      <c r="AR28">
        <v>1</v>
      </c>
      <c r="AS28">
        <v>1</v>
      </c>
      <c r="AU28" s="7"/>
      <c r="AY28">
        <v>1</v>
      </c>
      <c r="AZ28">
        <v>1</v>
      </c>
      <c r="BB28" s="7"/>
      <c r="BD28">
        <v>1</v>
      </c>
      <c r="BF28">
        <v>1</v>
      </c>
      <c r="BG28">
        <v>1</v>
      </c>
      <c r="BI28" s="7"/>
      <c r="BK28">
        <v>1</v>
      </c>
      <c r="BP28" s="7"/>
      <c r="BR28">
        <v>1</v>
      </c>
      <c r="BT28">
        <v>1</v>
      </c>
      <c r="BX28" s="96"/>
      <c r="BY28" s="79"/>
      <c r="CG28" s="96"/>
      <c r="CH28" s="80"/>
      <c r="CQ28" s="7"/>
      <c r="CZ28" s="7"/>
      <c r="DI28" s="7"/>
      <c r="DP28">
        <v>1</v>
      </c>
      <c r="DR28" s="7"/>
      <c r="DZ28" s="96"/>
      <c r="EA28" s="79"/>
      <c r="EH28" s="7"/>
      <c r="EO28" s="7"/>
      <c r="EV28" s="7"/>
      <c r="FC28" s="7"/>
      <c r="FJ28" s="7"/>
      <c r="FQ28" s="7"/>
      <c r="FX28" s="7"/>
      <c r="GE28" s="7"/>
      <c r="GL28" s="7"/>
      <c r="GS28" s="7"/>
      <c r="GZ28" s="7"/>
      <c r="HG28" s="7"/>
      <c r="HN28" s="7"/>
      <c r="HU28" s="7"/>
      <c r="IB28" s="7"/>
      <c r="II28" s="7"/>
      <c r="IP28" s="7"/>
      <c r="IW28" s="7"/>
      <c r="JD28" s="7"/>
      <c r="JK28" s="7"/>
      <c r="JR28" s="7"/>
      <c r="JY28" s="7"/>
      <c r="KF28" s="7"/>
      <c r="KM28" s="7"/>
      <c r="KT28" s="7"/>
      <c r="LA28" s="7"/>
      <c r="LH28" s="7"/>
      <c r="LO28" s="7"/>
      <c r="LV28" s="7"/>
      <c r="MC28" s="7"/>
      <c r="MJ28" s="7"/>
    </row>
    <row r="29" spans="1:348" x14ac:dyDescent="0.25">
      <c r="A29" s="8" t="s">
        <v>389</v>
      </c>
      <c r="B29" s="8"/>
      <c r="C29" s="8" t="s">
        <v>239</v>
      </c>
      <c r="D29" s="8" t="s">
        <v>164</v>
      </c>
      <c r="E29" s="18">
        <v>36526</v>
      </c>
      <c r="F29" s="10" t="str">
        <f t="shared" si="319"/>
        <v/>
      </c>
      <c r="G29" s="19" t="str">
        <f t="shared" si="322"/>
        <v/>
      </c>
      <c r="H29" s="19" t="str">
        <f t="shared" si="322"/>
        <v/>
      </c>
      <c r="I29" s="19" t="str">
        <f t="shared" si="322"/>
        <v/>
      </c>
      <c r="J29" s="19" t="str">
        <f t="shared" si="322"/>
        <v/>
      </c>
      <c r="K29" s="19" t="str">
        <f t="shared" si="322"/>
        <v/>
      </c>
      <c r="L29" s="19" t="str">
        <f t="shared" si="322"/>
        <v/>
      </c>
      <c r="M29" s="8"/>
      <c r="N29" s="8"/>
      <c r="O29" s="9"/>
      <c r="P29" s="8">
        <f t="shared" si="317"/>
        <v>5</v>
      </c>
      <c r="Q29" s="109">
        <f>IF(SUM(S29:XFD29) &gt; 0, SUM(S29:XFD29) / $P$35 * 100, "")</f>
        <v>11.627906976744185</v>
      </c>
      <c r="R29" s="133" t="str">
        <f t="shared" si="321"/>
        <v>?</v>
      </c>
      <c r="S29" s="7"/>
      <c r="Z29" s="7"/>
      <c r="AG29" s="7"/>
      <c r="AN29" s="7"/>
      <c r="AU29" s="7"/>
      <c r="BB29" s="7"/>
      <c r="BI29" s="7"/>
      <c r="BP29" s="7"/>
      <c r="BX29" s="96"/>
      <c r="BY29" s="79"/>
      <c r="CG29" s="96"/>
      <c r="CH29" s="80"/>
      <c r="CL29">
        <v>1</v>
      </c>
      <c r="CQ29" s="7"/>
      <c r="CS29">
        <v>1</v>
      </c>
      <c r="CV29">
        <v>1</v>
      </c>
      <c r="CZ29" s="7"/>
      <c r="DI29" s="7"/>
      <c r="DK29">
        <v>1</v>
      </c>
      <c r="DR29" s="7"/>
      <c r="DT29">
        <v>1</v>
      </c>
      <c r="DZ29" s="96"/>
      <c r="EA29" s="79"/>
      <c r="EH29" s="7"/>
      <c r="EO29" s="7"/>
      <c r="EV29" s="7"/>
      <c r="FC29" s="7"/>
      <c r="FJ29" s="7"/>
      <c r="FQ29" s="7"/>
      <c r="FX29" s="7"/>
      <c r="GE29" s="7"/>
      <c r="GL29" s="7"/>
      <c r="GS29" s="7"/>
      <c r="GZ29" s="7"/>
      <c r="HG29" s="7"/>
      <c r="HN29" s="7"/>
      <c r="HU29" s="7"/>
      <c r="IB29" s="7"/>
      <c r="II29" s="7"/>
      <c r="IP29" s="7"/>
      <c r="IW29" s="7"/>
      <c r="JD29" s="7"/>
      <c r="JK29" s="7"/>
      <c r="JR29" s="7"/>
      <c r="JY29" s="7"/>
      <c r="KF29" s="7"/>
      <c r="KM29" s="7"/>
      <c r="KT29" s="7"/>
      <c r="LA29" s="7"/>
      <c r="LH29" s="7"/>
      <c r="LO29" s="7"/>
      <c r="LV29" s="7"/>
      <c r="MC29" s="7"/>
      <c r="MJ29" s="7"/>
    </row>
    <row r="30" spans="1:348" hidden="1" x14ac:dyDescent="0.25">
      <c r="A30" s="8" t="s">
        <v>432</v>
      </c>
      <c r="B30" s="8"/>
      <c r="C30" s="8" t="s">
        <v>433</v>
      </c>
      <c r="D30" s="8" t="s">
        <v>434</v>
      </c>
      <c r="E30" s="18"/>
      <c r="F30" s="10"/>
      <c r="G30" s="19"/>
      <c r="H30" s="19"/>
      <c r="I30" s="19"/>
      <c r="J30" s="19"/>
      <c r="K30" s="19"/>
      <c r="L30" s="19"/>
      <c r="M30" s="8"/>
      <c r="N30" s="8"/>
      <c r="O30" s="9"/>
      <c r="P30" s="8">
        <f t="shared" ref="P30" si="323">IF(SUM(S30:MJ30) &gt; 0, SUM(S30:MJ30), "")</f>
        <v>2</v>
      </c>
      <c r="Q30" s="109">
        <f>IF(SUM(S30:XFD30) &gt; 0, SUM(S30:XFD30) / $P$35 * 100, "")</f>
        <v>4.6511627906976747</v>
      </c>
      <c r="R30" s="133" t="str">
        <f t="shared" ref="R30" si="324">KStateSum(S30:MJ30, 1)</f>
        <v>?</v>
      </c>
      <c r="S30" s="7"/>
      <c r="Z30" s="7"/>
      <c r="AG30" s="7"/>
      <c r="AN30" s="7"/>
      <c r="AU30" s="7"/>
      <c r="BB30" s="7"/>
      <c r="BI30" s="7"/>
      <c r="BP30" s="7"/>
      <c r="BX30" s="96"/>
      <c r="BY30" s="79"/>
      <c r="CG30" s="96"/>
      <c r="CH30" s="80"/>
      <c r="CQ30" s="7"/>
      <c r="CZ30" s="7"/>
      <c r="DI30" s="7"/>
      <c r="DK30">
        <v>1</v>
      </c>
      <c r="DM30">
        <v>1</v>
      </c>
      <c r="DR30" s="7"/>
      <c r="DZ30" s="96"/>
      <c r="EA30" s="79"/>
      <c r="EH30" s="7"/>
      <c r="EO30" s="7"/>
      <c r="EV30" s="7"/>
      <c r="FC30" s="7"/>
      <c r="FJ30" s="7"/>
      <c r="FQ30" s="7"/>
      <c r="FX30" s="7"/>
      <c r="GE30" s="7"/>
      <c r="GL30" s="7"/>
      <c r="GS30" s="7"/>
      <c r="GZ30" s="7"/>
      <c r="HG30" s="7"/>
      <c r="HN30" s="7"/>
      <c r="HU30" s="7"/>
      <c r="IB30" s="7"/>
      <c r="II30" s="7"/>
      <c r="IP30" s="7"/>
      <c r="IW30" s="7"/>
      <c r="JD30" s="7"/>
      <c r="JK30" s="7"/>
      <c r="JR30" s="7"/>
      <c r="JY30" s="7"/>
      <c r="KF30" s="7"/>
      <c r="KM30" s="7"/>
      <c r="KT30" s="7"/>
      <c r="LA30" s="7"/>
      <c r="LH30" s="7"/>
      <c r="LO30" s="7"/>
      <c r="LV30" s="7"/>
      <c r="MC30" s="7"/>
      <c r="MJ30" s="7"/>
    </row>
    <row r="31" spans="1:348" hidden="1" x14ac:dyDescent="0.25">
      <c r="A31" s="8" t="s">
        <v>349</v>
      </c>
      <c r="B31" s="8"/>
      <c r="C31" s="8"/>
      <c r="D31" s="8"/>
      <c r="E31" s="18"/>
      <c r="F31" s="10"/>
      <c r="G31" s="19"/>
      <c r="H31" s="19"/>
      <c r="I31" s="19"/>
      <c r="J31" s="19"/>
      <c r="K31" s="19"/>
      <c r="L31" s="19"/>
      <c r="M31" s="8"/>
      <c r="N31" s="8"/>
      <c r="O31" s="9"/>
      <c r="P31" s="8">
        <f t="shared" si="317"/>
        <v>2</v>
      </c>
      <c r="Q31" s="109">
        <f>IF(SUM(R31:XFD31) &gt; 0, SUM(R31:XFD31) / $P$86 * 100, "")</f>
        <v>14.87603305785124</v>
      </c>
      <c r="R31" s="84">
        <f>IF(SUM(S31:XFD31) &gt; 0, SUM(S31:XFD31) / $P$86 * 100, "")</f>
        <v>4.5454545454545459</v>
      </c>
      <c r="S31" s="7"/>
      <c r="Z31" s="7"/>
      <c r="AG31" s="7"/>
      <c r="AN31" s="7"/>
      <c r="AU31" s="7"/>
      <c r="BB31" s="7"/>
      <c r="BI31" s="7"/>
      <c r="BM31">
        <v>1</v>
      </c>
      <c r="BP31" s="7"/>
      <c r="BT31">
        <v>1</v>
      </c>
      <c r="BX31" s="96"/>
      <c r="BY31" s="79"/>
      <c r="CG31" s="96"/>
      <c r="CH31" s="80"/>
      <c r="CQ31" s="7"/>
      <c r="CZ31" s="7"/>
      <c r="DI31" s="7"/>
      <c r="DR31" s="7"/>
      <c r="DZ31" s="96"/>
      <c r="EA31" s="79"/>
      <c r="EH31" s="7"/>
      <c r="EO31" s="7"/>
      <c r="EV31" s="7"/>
      <c r="FC31" s="7"/>
      <c r="FJ31" s="7"/>
      <c r="FQ31" s="7"/>
      <c r="FX31" s="7"/>
      <c r="GE31" s="7"/>
      <c r="GL31" s="7"/>
      <c r="GS31" s="7"/>
      <c r="GZ31" s="7"/>
      <c r="HG31" s="7"/>
      <c r="HN31" s="7"/>
      <c r="HU31" s="7"/>
      <c r="IB31" s="7"/>
      <c r="II31" s="7"/>
      <c r="IP31" s="7"/>
      <c r="IW31" s="7"/>
      <c r="JD31" s="7"/>
      <c r="JK31" s="7"/>
      <c r="JR31" s="7"/>
      <c r="JY31" s="7"/>
      <c r="KF31" s="7"/>
      <c r="KM31" s="7"/>
      <c r="KT31" s="7"/>
      <c r="LA31" s="7"/>
      <c r="LH31" s="7"/>
      <c r="LO31" s="7"/>
      <c r="LV31" s="7"/>
      <c r="MC31" s="7"/>
      <c r="MJ31" s="7"/>
    </row>
    <row r="32" spans="1:348" hidden="1" x14ac:dyDescent="0.25">
      <c r="A32" s="8" t="s">
        <v>444</v>
      </c>
      <c r="B32" s="8"/>
      <c r="C32" s="8"/>
      <c r="D32" s="8" t="s">
        <v>445</v>
      </c>
      <c r="E32" s="18"/>
      <c r="F32" s="10"/>
      <c r="G32" s="19"/>
      <c r="H32" s="19"/>
      <c r="I32" s="19"/>
      <c r="J32" s="19"/>
      <c r="K32" s="19"/>
      <c r="L32" s="19"/>
      <c r="M32" s="8"/>
      <c r="N32" s="8"/>
      <c r="O32" s="9"/>
      <c r="P32" s="8">
        <f t="shared" ref="P32" si="325">IF(SUM(S32:MJ32) &gt; 0, SUM(S32:MJ32), "")</f>
        <v>1</v>
      </c>
      <c r="Q32" s="109">
        <f>IF(SUM(S32:XFD32) &gt; 0, SUM(S32:XFD32) / $P$35 * 100, "")</f>
        <v>2.3255813953488373</v>
      </c>
      <c r="R32" s="133" t="str">
        <f t="shared" ref="R32" si="326">KStateSum(S32:MJ32, 1)</f>
        <v>?</v>
      </c>
      <c r="S32" s="7"/>
      <c r="Z32" s="7"/>
      <c r="AG32" s="7"/>
      <c r="AN32" s="7"/>
      <c r="AU32" s="7"/>
      <c r="BB32" s="7"/>
      <c r="BI32" s="7"/>
      <c r="BP32" s="7"/>
      <c r="BX32" s="96"/>
      <c r="BY32" s="79"/>
      <c r="CG32" s="96"/>
      <c r="CH32" s="80"/>
      <c r="CQ32" s="7"/>
      <c r="CZ32" s="7"/>
      <c r="DI32" s="7"/>
      <c r="DP32">
        <v>1</v>
      </c>
      <c r="DR32" s="7"/>
      <c r="DZ32" s="96"/>
      <c r="EA32" s="79"/>
      <c r="EH32" s="7"/>
      <c r="EO32" s="7"/>
      <c r="EV32" s="7"/>
      <c r="FC32" s="7"/>
      <c r="FJ32" s="7"/>
      <c r="FQ32" s="7"/>
      <c r="FX32" s="7"/>
      <c r="GE32" s="7"/>
      <c r="GL32" s="7"/>
      <c r="GS32" s="7"/>
      <c r="GZ32" s="7"/>
      <c r="HG32" s="7"/>
      <c r="HN32" s="7"/>
      <c r="HU32" s="7"/>
      <c r="IB32" s="7"/>
      <c r="II32" s="7"/>
      <c r="IP32" s="7"/>
      <c r="IW32" s="7"/>
      <c r="JD32" s="7"/>
      <c r="JK32" s="7"/>
      <c r="JR32" s="7"/>
      <c r="JY32" s="7"/>
      <c r="KF32" s="7"/>
      <c r="KM32" s="7"/>
      <c r="KT32" s="7"/>
      <c r="LA32" s="7"/>
      <c r="LH32" s="7"/>
      <c r="LO32" s="7"/>
      <c r="LV32" s="7"/>
      <c r="MC32" s="7"/>
      <c r="MJ32" s="7"/>
    </row>
    <row r="33" spans="1:348" ht="7.5" customHeight="1" thickBot="1" x14ac:dyDescent="0.3">
      <c r="A33" s="8"/>
      <c r="B33" s="8"/>
      <c r="C33" s="8"/>
      <c r="D33" s="8"/>
      <c r="E33" s="8"/>
      <c r="F33" s="10"/>
      <c r="G33" s="19"/>
      <c r="H33" s="19"/>
      <c r="I33" s="8"/>
      <c r="J33" s="8"/>
      <c r="K33" s="8"/>
      <c r="L33" s="8"/>
      <c r="M33" s="8"/>
      <c r="N33" s="8"/>
      <c r="O33" s="9"/>
      <c r="P33" s="8" t="str">
        <f>IF(SUM(R33:MJ33) &gt; 0, SUM(R33:MJ33), "")</f>
        <v/>
      </c>
      <c r="Q33" s="19" t="str">
        <f>IF(SUM(R33:XFD33) &gt; 0, SUM(R33:XFD33), "")</f>
        <v/>
      </c>
      <c r="R33" s="9"/>
      <c r="S33" s="7"/>
      <c r="Z33" s="7"/>
      <c r="AG33" s="7"/>
      <c r="AN33" s="7"/>
      <c r="AU33" s="7"/>
      <c r="BB33" s="7"/>
      <c r="BI33" s="7"/>
      <c r="BP33" s="7"/>
      <c r="BX33" s="96"/>
      <c r="BY33" s="79"/>
      <c r="CG33" s="96"/>
      <c r="CH33" s="7"/>
      <c r="CQ33" s="7"/>
      <c r="CZ33" s="7"/>
      <c r="DI33" s="7"/>
      <c r="DR33" s="7"/>
      <c r="DZ33" s="96"/>
      <c r="EA33" s="79"/>
      <c r="EH33" s="7"/>
      <c r="EO33" s="7"/>
      <c r="EV33" s="7"/>
      <c r="FC33" s="7"/>
      <c r="FJ33" s="7"/>
      <c r="FQ33" s="7"/>
      <c r="FX33" s="7"/>
      <c r="GE33" s="7"/>
      <c r="GL33" s="7"/>
      <c r="GS33" s="7"/>
      <c r="GZ33" s="7"/>
      <c r="HG33" s="7"/>
      <c r="HN33" s="7"/>
      <c r="HU33" s="7"/>
      <c r="IB33" s="7"/>
      <c r="II33" s="7"/>
      <c r="IP33" s="7"/>
      <c r="IW33" s="7"/>
      <c r="JD33" s="7"/>
      <c r="JK33" s="7"/>
      <c r="JR33" s="7"/>
      <c r="JY33" s="7"/>
      <c r="KF33" s="7"/>
      <c r="KM33" s="7"/>
      <c r="KT33" s="7"/>
      <c r="LA33" s="7"/>
      <c r="LH33" s="7"/>
      <c r="LO33" s="7"/>
      <c r="LV33" s="7"/>
      <c r="MC33" s="7"/>
      <c r="MJ33" s="7"/>
    </row>
    <row r="34" spans="1:348" ht="15.75" thickBot="1" x14ac:dyDescent="0.3">
      <c r="A34" s="115" t="s">
        <v>25</v>
      </c>
      <c r="B34" s="16"/>
      <c r="C34" s="16"/>
      <c r="D34" s="16"/>
      <c r="E34" s="17"/>
      <c r="F34" s="16">
        <f t="shared" ref="F34:L34" si="327">SUM(F6:F33)</f>
        <v>13</v>
      </c>
      <c r="G34" s="16">
        <f t="shared" si="327"/>
        <v>8</v>
      </c>
      <c r="H34" s="16">
        <f t="shared" si="327"/>
        <v>3</v>
      </c>
      <c r="I34" s="16">
        <f t="shared" si="327"/>
        <v>2</v>
      </c>
      <c r="J34" s="16">
        <f t="shared" si="327"/>
        <v>0</v>
      </c>
      <c r="K34" s="16">
        <f t="shared" si="327"/>
        <v>0</v>
      </c>
      <c r="L34" s="16">
        <f t="shared" si="327"/>
        <v>0</v>
      </c>
      <c r="M34" s="16">
        <v>0</v>
      </c>
      <c r="N34" s="16">
        <f>SUM(N6:N33)</f>
        <v>15</v>
      </c>
      <c r="O34" s="17">
        <f>SUM(O6:O33)+ SUM(O42:O74)</f>
        <v>15</v>
      </c>
      <c r="P34" s="16">
        <f>VisibleSum(P6:P26)</f>
        <v>31.2</v>
      </c>
      <c r="Q34" s="16">
        <f>P34 / P35 * 100</f>
        <v>72.558139534883708</v>
      </c>
      <c r="R34" s="17">
        <f>VisibleSum(R6:R26)</f>
        <v>-11.733333333333333</v>
      </c>
      <c r="S34" s="15">
        <f t="shared" ref="S34:AX34" si="328">IF(SUM(S6:S33) &gt; 0, SUM(S6:S33), "")</f>
        <v>15</v>
      </c>
      <c r="T34" s="14" t="str">
        <f t="shared" si="328"/>
        <v/>
      </c>
      <c r="U34" s="14">
        <f t="shared" si="328"/>
        <v>12</v>
      </c>
      <c r="V34" s="14">
        <f t="shared" si="328"/>
        <v>13</v>
      </c>
      <c r="W34" s="14" t="str">
        <f t="shared" si="328"/>
        <v/>
      </c>
      <c r="X34" s="14">
        <f t="shared" si="328"/>
        <v>12</v>
      </c>
      <c r="Y34" s="14" t="str">
        <f t="shared" si="328"/>
        <v/>
      </c>
      <c r="Z34" s="15" t="str">
        <f t="shared" si="328"/>
        <v/>
      </c>
      <c r="AA34" s="14" t="str">
        <f t="shared" si="328"/>
        <v/>
      </c>
      <c r="AB34" s="14">
        <f t="shared" si="328"/>
        <v>15</v>
      </c>
      <c r="AC34" s="14" t="str">
        <f t="shared" si="328"/>
        <v/>
      </c>
      <c r="AD34" s="14">
        <f t="shared" si="328"/>
        <v>12</v>
      </c>
      <c r="AE34" s="14">
        <f t="shared" si="328"/>
        <v>15</v>
      </c>
      <c r="AF34" s="14" t="str">
        <f t="shared" si="328"/>
        <v/>
      </c>
      <c r="AG34" s="15" t="str">
        <f t="shared" si="328"/>
        <v/>
      </c>
      <c r="AH34" s="14" t="str">
        <f t="shared" si="328"/>
        <v/>
      </c>
      <c r="AI34" s="14">
        <f t="shared" si="328"/>
        <v>16</v>
      </c>
      <c r="AJ34" s="14" t="str">
        <f t="shared" si="328"/>
        <v/>
      </c>
      <c r="AK34" s="14">
        <f t="shared" si="328"/>
        <v>15</v>
      </c>
      <c r="AL34" s="14">
        <f t="shared" si="328"/>
        <v>10</v>
      </c>
      <c r="AM34" s="14" t="str">
        <f t="shared" si="328"/>
        <v/>
      </c>
      <c r="AN34" s="15" t="str">
        <f t="shared" si="328"/>
        <v/>
      </c>
      <c r="AO34" s="14" t="str">
        <f t="shared" si="328"/>
        <v/>
      </c>
      <c r="AP34" s="14">
        <f t="shared" si="328"/>
        <v>15</v>
      </c>
      <c r="AQ34" s="14" t="str">
        <f t="shared" si="328"/>
        <v/>
      </c>
      <c r="AR34" s="14">
        <f t="shared" si="328"/>
        <v>16</v>
      </c>
      <c r="AS34" s="14">
        <f t="shared" si="328"/>
        <v>11</v>
      </c>
      <c r="AT34" s="14" t="str">
        <f t="shared" si="328"/>
        <v/>
      </c>
      <c r="AU34" s="15" t="str">
        <f t="shared" si="328"/>
        <v/>
      </c>
      <c r="AV34" s="14" t="str">
        <f t="shared" si="328"/>
        <v/>
      </c>
      <c r="AW34" s="14">
        <f t="shared" si="328"/>
        <v>14</v>
      </c>
      <c r="AX34" s="14">
        <f t="shared" si="328"/>
        <v>2</v>
      </c>
      <c r="AY34" s="14">
        <f t="shared" ref="AY34:BW34" si="329">IF(SUM(AY6:AY33) &gt; 0, SUM(AY6:AY33), "")</f>
        <v>13</v>
      </c>
      <c r="AZ34" s="14">
        <f t="shared" si="329"/>
        <v>12</v>
      </c>
      <c r="BA34" s="14" t="str">
        <f t="shared" si="329"/>
        <v/>
      </c>
      <c r="BB34" s="15" t="str">
        <f t="shared" si="329"/>
        <v/>
      </c>
      <c r="BC34" s="14" t="str">
        <f t="shared" si="329"/>
        <v/>
      </c>
      <c r="BD34" s="14">
        <f t="shared" si="329"/>
        <v>14</v>
      </c>
      <c r="BE34" s="14" t="str">
        <f t="shared" si="329"/>
        <v/>
      </c>
      <c r="BF34" s="14">
        <f t="shared" si="329"/>
        <v>14</v>
      </c>
      <c r="BG34" s="14">
        <f t="shared" si="329"/>
        <v>11</v>
      </c>
      <c r="BH34" s="14" t="str">
        <f t="shared" si="329"/>
        <v/>
      </c>
      <c r="BI34" s="15" t="str">
        <f t="shared" si="329"/>
        <v/>
      </c>
      <c r="BJ34" s="14" t="str">
        <f t="shared" si="329"/>
        <v/>
      </c>
      <c r="BK34" s="14">
        <f t="shared" si="329"/>
        <v>16</v>
      </c>
      <c r="BL34" s="14" t="str">
        <f t="shared" si="329"/>
        <v/>
      </c>
      <c r="BM34" s="14">
        <f t="shared" si="329"/>
        <v>16</v>
      </c>
      <c r="BN34" s="14" t="str">
        <f t="shared" si="329"/>
        <v/>
      </c>
      <c r="BO34" s="14" t="str">
        <f t="shared" si="329"/>
        <v/>
      </c>
      <c r="BP34" s="15">
        <f t="shared" si="329"/>
        <v>8</v>
      </c>
      <c r="BQ34" s="14" t="str">
        <f t="shared" si="329"/>
        <v/>
      </c>
      <c r="BR34" s="14">
        <f t="shared" si="329"/>
        <v>17</v>
      </c>
      <c r="BS34" s="14" t="str">
        <f t="shared" si="329"/>
        <v/>
      </c>
      <c r="BT34" s="14">
        <f t="shared" si="329"/>
        <v>14</v>
      </c>
      <c r="BU34" s="14" t="str">
        <f t="shared" si="329"/>
        <v/>
      </c>
      <c r="BV34" s="14" t="str">
        <f t="shared" si="329"/>
        <v/>
      </c>
      <c r="BW34" s="14">
        <f t="shared" si="329"/>
        <v>3</v>
      </c>
      <c r="BX34" s="14"/>
      <c r="BY34" s="15">
        <f>VisibleSum(BY6:BY26)</f>
        <v>-2.7333333333333334</v>
      </c>
      <c r="BZ34" s="14" t="str">
        <f t="shared" ref="BZ34:CF34" si="330">IF(SUM(BZ6:BZ33) &gt; 0, SUM(BZ6:BZ33), "")</f>
        <v/>
      </c>
      <c r="CA34" s="14" t="str">
        <f t="shared" si="330"/>
        <v/>
      </c>
      <c r="CB34" s="14" t="str">
        <f t="shared" si="330"/>
        <v/>
      </c>
      <c r="CC34" s="14">
        <f t="shared" si="330"/>
        <v>9</v>
      </c>
      <c r="CD34" s="14" t="str">
        <f t="shared" si="330"/>
        <v/>
      </c>
      <c r="CE34" s="14" t="str">
        <f t="shared" si="330"/>
        <v/>
      </c>
      <c r="CF34" s="14">
        <f t="shared" si="330"/>
        <v>6</v>
      </c>
      <c r="CG34" s="14"/>
      <c r="CH34" s="15">
        <f>VisibleSum(CH6:CH26)</f>
        <v>-3.8666666666666667</v>
      </c>
      <c r="CI34" s="14" t="str">
        <f t="shared" ref="CI34:CO34" si="331">IF(SUM(CI6:CI33) &gt; 0, SUM(CI6:CI33), "")</f>
        <v/>
      </c>
      <c r="CJ34" s="14" t="str">
        <f t="shared" si="331"/>
        <v/>
      </c>
      <c r="CK34" s="14" t="str">
        <f t="shared" si="331"/>
        <v/>
      </c>
      <c r="CL34" s="14">
        <f t="shared" si="331"/>
        <v>10</v>
      </c>
      <c r="CM34" s="14" t="str">
        <f t="shared" si="331"/>
        <v/>
      </c>
      <c r="CN34" s="14" t="str">
        <f t="shared" si="331"/>
        <v/>
      </c>
      <c r="CO34" s="14">
        <f t="shared" si="331"/>
        <v>8</v>
      </c>
      <c r="CP34" s="14"/>
      <c r="CQ34" s="15">
        <f>VisibleSum(CQ6:CQ26)</f>
        <v>-4.0666666666666664</v>
      </c>
      <c r="CR34" s="14" t="str">
        <f t="shared" ref="CR34:EF34" si="332">IF(SUM(CR6:CR33) &gt; 0, SUM(CR6:CR33), "")</f>
        <v/>
      </c>
      <c r="CS34" s="14">
        <f t="shared" si="332"/>
        <v>13</v>
      </c>
      <c r="CT34" s="14" t="str">
        <f t="shared" si="332"/>
        <v/>
      </c>
      <c r="CU34" s="14">
        <f t="shared" si="332"/>
        <v>10</v>
      </c>
      <c r="CV34" s="14">
        <f t="shared" si="332"/>
        <v>13</v>
      </c>
      <c r="CW34" s="14"/>
      <c r="CX34" s="14">
        <f t="shared" ref="CX34" si="333">IF(SUM(CX6:CX33) &gt; 0, SUM(CX6:CX33), "")</f>
        <v>7</v>
      </c>
      <c r="CY34" s="14" t="str">
        <f t="shared" si="332"/>
        <v/>
      </c>
      <c r="CZ34" s="15">
        <f>VisibleSum(CZ6:CZ26)</f>
        <v>6.6666666666666666E-2</v>
      </c>
      <c r="DA34" s="14" t="str">
        <f t="shared" si="332"/>
        <v/>
      </c>
      <c r="DB34" s="14">
        <f t="shared" si="332"/>
        <v>11</v>
      </c>
      <c r="DC34" s="14" t="str">
        <f t="shared" si="332"/>
        <v/>
      </c>
      <c r="DD34" s="14" t="str">
        <f t="shared" si="332"/>
        <v/>
      </c>
      <c r="DE34" s="14">
        <f t="shared" si="332"/>
        <v>8</v>
      </c>
      <c r="DF34" s="14" t="str">
        <f t="shared" si="332"/>
        <v/>
      </c>
      <c r="DG34" s="14">
        <f t="shared" si="332"/>
        <v>4</v>
      </c>
      <c r="DH34" s="14"/>
      <c r="DI34" s="135">
        <f>IF(VisibleSum(DI6:DI26) = "", "??", VisibleSum(DI6:DI26))</f>
        <v>-1.1333333333333333</v>
      </c>
      <c r="DJ34" s="14" t="str">
        <f t="shared" si="332"/>
        <v/>
      </c>
      <c r="DK34" s="14">
        <f t="shared" si="332"/>
        <v>15</v>
      </c>
      <c r="DL34" s="14" t="str">
        <f t="shared" si="332"/>
        <v/>
      </c>
      <c r="DM34" s="14">
        <f t="shared" si="332"/>
        <v>12</v>
      </c>
      <c r="DN34" s="14">
        <f t="shared" si="332"/>
        <v>11</v>
      </c>
      <c r="DO34" s="14" t="str">
        <f t="shared" si="332"/>
        <v/>
      </c>
      <c r="DP34" s="14">
        <f t="shared" si="332"/>
        <v>7</v>
      </c>
      <c r="DQ34" s="14"/>
      <c r="DR34" s="135">
        <f>IF(VisibleSum(DR6:DR26) = "", "??", VisibleSum(DR6:DR26))</f>
        <v>-0.8666666666666667</v>
      </c>
      <c r="DS34" s="14" t="str">
        <f t="shared" si="332"/>
        <v/>
      </c>
      <c r="DT34" s="14">
        <f t="shared" si="332"/>
        <v>8</v>
      </c>
      <c r="DU34" s="14" t="str">
        <f t="shared" si="332"/>
        <v/>
      </c>
      <c r="DV34" s="14">
        <f t="shared" si="332"/>
        <v>8</v>
      </c>
      <c r="DW34" s="14">
        <f t="shared" si="332"/>
        <v>12</v>
      </c>
      <c r="DX34" s="14"/>
      <c r="DY34" s="14"/>
      <c r="DZ34" s="137" t="str">
        <f t="shared" si="332"/>
        <v/>
      </c>
      <c r="EA34" s="135">
        <f>IF(VisibleSum(EA6:EA26) = "", "??", VisibleSum(EA6:EA26))</f>
        <v>0.8666666666666667</v>
      </c>
      <c r="EB34" s="14" t="str">
        <f t="shared" si="332"/>
        <v/>
      </c>
      <c r="EC34" s="14" t="str">
        <f t="shared" si="332"/>
        <v/>
      </c>
      <c r="ED34" s="14" t="str">
        <f t="shared" si="332"/>
        <v/>
      </c>
      <c r="EE34" s="14" t="str">
        <f t="shared" si="332"/>
        <v/>
      </c>
      <c r="EF34" s="14" t="str">
        <f t="shared" si="332"/>
        <v/>
      </c>
      <c r="EG34" s="14"/>
      <c r="EH34" s="15" t="str">
        <f t="shared" ref="EH34:FM34" si="334">IF(SUM(EH6:EH33) &gt; 0, SUM(EH6:EH33), "")</f>
        <v/>
      </c>
      <c r="EI34" s="14" t="str">
        <f t="shared" si="334"/>
        <v/>
      </c>
      <c r="EJ34" s="14" t="str">
        <f t="shared" si="334"/>
        <v/>
      </c>
      <c r="EK34" s="14" t="str">
        <f t="shared" si="334"/>
        <v/>
      </c>
      <c r="EL34" s="14" t="str">
        <f t="shared" si="334"/>
        <v/>
      </c>
      <c r="EM34" s="14" t="str">
        <f t="shared" si="334"/>
        <v/>
      </c>
      <c r="EN34" s="14" t="str">
        <f t="shared" si="334"/>
        <v/>
      </c>
      <c r="EO34" s="15" t="str">
        <f t="shared" si="334"/>
        <v/>
      </c>
      <c r="EP34" s="14" t="str">
        <f t="shared" si="334"/>
        <v/>
      </c>
      <c r="EQ34" s="14" t="str">
        <f t="shared" si="334"/>
        <v/>
      </c>
      <c r="ER34" s="14" t="str">
        <f t="shared" si="334"/>
        <v/>
      </c>
      <c r="ES34" s="14" t="str">
        <f t="shared" si="334"/>
        <v/>
      </c>
      <c r="ET34" s="14" t="str">
        <f t="shared" si="334"/>
        <v/>
      </c>
      <c r="EU34" s="14" t="str">
        <f t="shared" si="334"/>
        <v/>
      </c>
      <c r="EV34" s="15" t="str">
        <f t="shared" si="334"/>
        <v/>
      </c>
      <c r="EW34" s="14" t="str">
        <f t="shared" si="334"/>
        <v/>
      </c>
      <c r="EX34" s="14" t="str">
        <f t="shared" si="334"/>
        <v/>
      </c>
      <c r="EY34" s="14" t="str">
        <f t="shared" si="334"/>
        <v/>
      </c>
      <c r="EZ34" s="14" t="str">
        <f t="shared" si="334"/>
        <v/>
      </c>
      <c r="FA34" s="14" t="str">
        <f t="shared" si="334"/>
        <v/>
      </c>
      <c r="FB34" s="14" t="str">
        <f t="shared" si="334"/>
        <v/>
      </c>
      <c r="FC34" s="15" t="str">
        <f t="shared" si="334"/>
        <v/>
      </c>
      <c r="FD34" s="14" t="str">
        <f t="shared" si="334"/>
        <v/>
      </c>
      <c r="FE34" s="14" t="str">
        <f t="shared" si="334"/>
        <v/>
      </c>
      <c r="FF34" s="14" t="str">
        <f t="shared" si="334"/>
        <v/>
      </c>
      <c r="FG34" s="14" t="str">
        <f t="shared" si="334"/>
        <v/>
      </c>
      <c r="FH34" s="14" t="str">
        <f t="shared" si="334"/>
        <v/>
      </c>
      <c r="FI34" s="14" t="str">
        <f t="shared" si="334"/>
        <v/>
      </c>
      <c r="FJ34" s="15" t="str">
        <f t="shared" si="334"/>
        <v/>
      </c>
      <c r="FK34" s="14" t="str">
        <f t="shared" si="334"/>
        <v/>
      </c>
      <c r="FL34" s="14" t="str">
        <f t="shared" si="334"/>
        <v/>
      </c>
      <c r="FM34" s="14" t="str">
        <f t="shared" si="334"/>
        <v/>
      </c>
      <c r="FN34" s="14" t="str">
        <f t="shared" ref="FN34:GQ34" si="335">IF(SUM(FN6:FN33) &gt; 0, SUM(FN6:FN33), "")</f>
        <v/>
      </c>
      <c r="FO34" s="14" t="str">
        <f t="shared" si="335"/>
        <v/>
      </c>
      <c r="FP34" s="14" t="str">
        <f t="shared" si="335"/>
        <v/>
      </c>
      <c r="FQ34" s="15" t="str">
        <f t="shared" si="335"/>
        <v/>
      </c>
      <c r="FR34" s="14" t="str">
        <f t="shared" si="335"/>
        <v/>
      </c>
      <c r="FS34" s="14" t="str">
        <f t="shared" si="335"/>
        <v/>
      </c>
      <c r="FT34" s="14" t="str">
        <f t="shared" si="335"/>
        <v/>
      </c>
      <c r="FU34" s="14" t="str">
        <f t="shared" si="335"/>
        <v/>
      </c>
      <c r="FV34" s="14" t="str">
        <f t="shared" si="335"/>
        <v/>
      </c>
      <c r="FW34" s="14" t="str">
        <f t="shared" si="335"/>
        <v/>
      </c>
      <c r="FX34" s="15" t="str">
        <f t="shared" si="335"/>
        <v/>
      </c>
      <c r="FY34" s="14" t="str">
        <f t="shared" si="335"/>
        <v/>
      </c>
      <c r="FZ34" s="14" t="str">
        <f t="shared" si="335"/>
        <v/>
      </c>
      <c r="GA34" s="14" t="str">
        <f t="shared" si="335"/>
        <v/>
      </c>
      <c r="GB34" s="14" t="str">
        <f t="shared" si="335"/>
        <v/>
      </c>
      <c r="GC34" s="14" t="str">
        <f t="shared" si="335"/>
        <v/>
      </c>
      <c r="GD34" s="14" t="str">
        <f t="shared" si="335"/>
        <v/>
      </c>
      <c r="GE34" s="15" t="str">
        <f t="shared" si="335"/>
        <v/>
      </c>
      <c r="GF34" s="14" t="str">
        <f t="shared" si="335"/>
        <v/>
      </c>
      <c r="GG34" s="14" t="str">
        <f t="shared" si="335"/>
        <v/>
      </c>
      <c r="GH34" s="14" t="str">
        <f t="shared" si="335"/>
        <v/>
      </c>
      <c r="GI34" s="14" t="str">
        <f t="shared" si="335"/>
        <v/>
      </c>
      <c r="GJ34" s="14" t="str">
        <f t="shared" si="335"/>
        <v/>
      </c>
      <c r="GK34" s="14" t="str">
        <f t="shared" si="335"/>
        <v/>
      </c>
      <c r="GL34" s="15" t="str">
        <f t="shared" si="335"/>
        <v/>
      </c>
      <c r="GM34" s="14" t="str">
        <f t="shared" si="335"/>
        <v/>
      </c>
      <c r="GN34" s="14" t="str">
        <f t="shared" si="335"/>
        <v/>
      </c>
      <c r="GO34" s="14" t="str">
        <f t="shared" si="335"/>
        <v/>
      </c>
      <c r="GP34" s="14" t="str">
        <f t="shared" si="335"/>
        <v/>
      </c>
      <c r="GQ34" s="14" t="str">
        <f t="shared" si="335"/>
        <v/>
      </c>
      <c r="GR34" s="14"/>
      <c r="GS34" s="15" t="str">
        <f t="shared" ref="GS34:HX34" si="336">IF(SUM(GS6:GS33) &gt; 0, SUM(GS6:GS33), "")</f>
        <v/>
      </c>
      <c r="GT34" s="14" t="str">
        <f t="shared" si="336"/>
        <v/>
      </c>
      <c r="GU34" s="14" t="str">
        <f t="shared" si="336"/>
        <v/>
      </c>
      <c r="GV34" s="14" t="str">
        <f t="shared" si="336"/>
        <v/>
      </c>
      <c r="GW34" s="14" t="str">
        <f t="shared" si="336"/>
        <v/>
      </c>
      <c r="GX34" s="14" t="str">
        <f t="shared" si="336"/>
        <v/>
      </c>
      <c r="GY34" s="14" t="str">
        <f t="shared" si="336"/>
        <v/>
      </c>
      <c r="GZ34" s="15" t="str">
        <f t="shared" si="336"/>
        <v/>
      </c>
      <c r="HA34" s="14" t="str">
        <f t="shared" si="336"/>
        <v/>
      </c>
      <c r="HB34" s="14" t="str">
        <f t="shared" si="336"/>
        <v/>
      </c>
      <c r="HC34" s="14" t="str">
        <f t="shared" si="336"/>
        <v/>
      </c>
      <c r="HD34" s="14" t="str">
        <f t="shared" si="336"/>
        <v/>
      </c>
      <c r="HE34" s="14" t="str">
        <f t="shared" si="336"/>
        <v/>
      </c>
      <c r="HF34" s="14" t="str">
        <f t="shared" si="336"/>
        <v/>
      </c>
      <c r="HG34" s="15" t="str">
        <f t="shared" si="336"/>
        <v/>
      </c>
      <c r="HH34" s="14" t="str">
        <f t="shared" si="336"/>
        <v/>
      </c>
      <c r="HI34" s="14" t="str">
        <f t="shared" si="336"/>
        <v/>
      </c>
      <c r="HJ34" s="14" t="str">
        <f t="shared" si="336"/>
        <v/>
      </c>
      <c r="HK34" s="14" t="str">
        <f t="shared" si="336"/>
        <v/>
      </c>
      <c r="HL34" s="14" t="str">
        <f t="shared" si="336"/>
        <v/>
      </c>
      <c r="HM34" s="14" t="str">
        <f t="shared" si="336"/>
        <v/>
      </c>
      <c r="HN34" s="15" t="str">
        <f t="shared" si="336"/>
        <v/>
      </c>
      <c r="HO34" s="14" t="str">
        <f t="shared" si="336"/>
        <v/>
      </c>
      <c r="HP34" s="14" t="str">
        <f t="shared" si="336"/>
        <v/>
      </c>
      <c r="HQ34" s="14" t="str">
        <f t="shared" si="336"/>
        <v/>
      </c>
      <c r="HR34" s="14" t="str">
        <f t="shared" si="336"/>
        <v/>
      </c>
      <c r="HS34" s="14" t="str">
        <f t="shared" si="336"/>
        <v/>
      </c>
      <c r="HT34" s="14" t="str">
        <f t="shared" si="336"/>
        <v/>
      </c>
      <c r="HU34" s="15" t="str">
        <f t="shared" si="336"/>
        <v/>
      </c>
      <c r="HV34" s="14" t="str">
        <f t="shared" si="336"/>
        <v/>
      </c>
      <c r="HW34" s="14" t="str">
        <f t="shared" si="336"/>
        <v/>
      </c>
      <c r="HX34" s="14" t="str">
        <f t="shared" si="336"/>
        <v/>
      </c>
      <c r="HY34" s="14" t="str">
        <f t="shared" ref="HY34:JD34" si="337">IF(SUM(HY6:HY33) &gt; 0, SUM(HY6:HY33), "")</f>
        <v/>
      </c>
      <c r="HZ34" s="14" t="str">
        <f t="shared" si="337"/>
        <v/>
      </c>
      <c r="IA34" s="14" t="str">
        <f t="shared" si="337"/>
        <v/>
      </c>
      <c r="IB34" s="15" t="str">
        <f t="shared" si="337"/>
        <v/>
      </c>
      <c r="IC34" s="14" t="str">
        <f t="shared" si="337"/>
        <v/>
      </c>
      <c r="ID34" s="14" t="str">
        <f t="shared" si="337"/>
        <v/>
      </c>
      <c r="IE34" s="14" t="str">
        <f t="shared" si="337"/>
        <v/>
      </c>
      <c r="IF34" s="14" t="str">
        <f t="shared" si="337"/>
        <v/>
      </c>
      <c r="IG34" s="14" t="str">
        <f t="shared" si="337"/>
        <v/>
      </c>
      <c r="IH34" s="14" t="str">
        <f t="shared" si="337"/>
        <v/>
      </c>
      <c r="II34" s="15" t="str">
        <f t="shared" si="337"/>
        <v/>
      </c>
      <c r="IJ34" s="14" t="str">
        <f t="shared" si="337"/>
        <v/>
      </c>
      <c r="IK34" s="14" t="str">
        <f t="shared" si="337"/>
        <v/>
      </c>
      <c r="IL34" s="14" t="str">
        <f t="shared" si="337"/>
        <v/>
      </c>
      <c r="IM34" s="14" t="str">
        <f t="shared" si="337"/>
        <v/>
      </c>
      <c r="IN34" s="14" t="str">
        <f t="shared" si="337"/>
        <v/>
      </c>
      <c r="IO34" s="14" t="str">
        <f t="shared" si="337"/>
        <v/>
      </c>
      <c r="IP34" s="15" t="str">
        <f t="shared" si="337"/>
        <v/>
      </c>
      <c r="IQ34" s="14" t="str">
        <f t="shared" si="337"/>
        <v/>
      </c>
      <c r="IR34" s="14" t="str">
        <f t="shared" si="337"/>
        <v/>
      </c>
      <c r="IS34" s="14" t="str">
        <f t="shared" si="337"/>
        <v/>
      </c>
      <c r="IT34" s="14" t="str">
        <f t="shared" si="337"/>
        <v/>
      </c>
      <c r="IU34" s="14" t="str">
        <f t="shared" si="337"/>
        <v/>
      </c>
      <c r="IV34" s="14" t="str">
        <f t="shared" si="337"/>
        <v/>
      </c>
      <c r="IW34" s="15" t="str">
        <f t="shared" si="337"/>
        <v/>
      </c>
      <c r="IX34" s="14" t="str">
        <f t="shared" si="337"/>
        <v/>
      </c>
      <c r="IY34" s="14" t="str">
        <f t="shared" si="337"/>
        <v/>
      </c>
      <c r="IZ34" s="14" t="str">
        <f t="shared" si="337"/>
        <v/>
      </c>
      <c r="JA34" s="14" t="str">
        <f t="shared" si="337"/>
        <v/>
      </c>
      <c r="JB34" s="14" t="str">
        <f t="shared" si="337"/>
        <v/>
      </c>
      <c r="JC34" s="14" t="str">
        <f t="shared" si="337"/>
        <v/>
      </c>
      <c r="JD34" s="15" t="str">
        <f t="shared" si="337"/>
        <v/>
      </c>
      <c r="JE34" s="14" t="str">
        <f t="shared" ref="JE34:KJ34" si="338">IF(SUM(JE6:JE33) &gt; 0, SUM(JE6:JE33), "")</f>
        <v/>
      </c>
      <c r="JF34" s="14" t="str">
        <f t="shared" si="338"/>
        <v/>
      </c>
      <c r="JG34" s="14" t="str">
        <f t="shared" si="338"/>
        <v/>
      </c>
      <c r="JH34" s="14" t="str">
        <f t="shared" si="338"/>
        <v/>
      </c>
      <c r="JI34" s="14" t="str">
        <f t="shared" si="338"/>
        <v/>
      </c>
      <c r="JJ34" s="14" t="str">
        <f t="shared" si="338"/>
        <v/>
      </c>
      <c r="JK34" s="15" t="str">
        <f t="shared" si="338"/>
        <v/>
      </c>
      <c r="JL34" s="14" t="str">
        <f t="shared" si="338"/>
        <v/>
      </c>
      <c r="JM34" s="14" t="str">
        <f t="shared" si="338"/>
        <v/>
      </c>
      <c r="JN34" s="14" t="str">
        <f t="shared" si="338"/>
        <v/>
      </c>
      <c r="JO34" s="14" t="str">
        <f t="shared" si="338"/>
        <v/>
      </c>
      <c r="JP34" s="14" t="str">
        <f t="shared" si="338"/>
        <v/>
      </c>
      <c r="JQ34" s="14" t="str">
        <f t="shared" si="338"/>
        <v/>
      </c>
      <c r="JR34" s="15" t="str">
        <f t="shared" si="338"/>
        <v/>
      </c>
      <c r="JS34" s="14" t="str">
        <f t="shared" si="338"/>
        <v/>
      </c>
      <c r="JT34" s="14" t="str">
        <f t="shared" si="338"/>
        <v/>
      </c>
      <c r="JU34" s="14" t="str">
        <f t="shared" si="338"/>
        <v/>
      </c>
      <c r="JV34" s="14" t="str">
        <f t="shared" si="338"/>
        <v/>
      </c>
      <c r="JW34" s="14" t="str">
        <f t="shared" si="338"/>
        <v/>
      </c>
      <c r="JX34" s="14" t="str">
        <f t="shared" si="338"/>
        <v/>
      </c>
      <c r="JY34" s="15" t="str">
        <f t="shared" si="338"/>
        <v/>
      </c>
      <c r="JZ34" s="14" t="str">
        <f t="shared" si="338"/>
        <v/>
      </c>
      <c r="KA34" s="14" t="str">
        <f t="shared" si="338"/>
        <v/>
      </c>
      <c r="KB34" s="14" t="str">
        <f t="shared" si="338"/>
        <v/>
      </c>
      <c r="KC34" s="14" t="str">
        <f t="shared" si="338"/>
        <v/>
      </c>
      <c r="KD34" s="14" t="str">
        <f t="shared" si="338"/>
        <v/>
      </c>
      <c r="KE34" s="14" t="str">
        <f t="shared" si="338"/>
        <v/>
      </c>
      <c r="KF34" s="15" t="str">
        <f t="shared" si="338"/>
        <v/>
      </c>
      <c r="KG34" s="14" t="str">
        <f t="shared" si="338"/>
        <v/>
      </c>
      <c r="KH34" s="14" t="str">
        <f t="shared" si="338"/>
        <v/>
      </c>
      <c r="KI34" s="14" t="str">
        <f t="shared" si="338"/>
        <v/>
      </c>
      <c r="KJ34" s="14" t="str">
        <f t="shared" si="338"/>
        <v/>
      </c>
      <c r="KK34" s="14" t="str">
        <f t="shared" ref="KK34:LP34" si="339">IF(SUM(KK6:KK33) &gt; 0, SUM(KK6:KK33), "")</f>
        <v/>
      </c>
      <c r="KL34" s="14" t="str">
        <f t="shared" si="339"/>
        <v/>
      </c>
      <c r="KM34" s="15" t="str">
        <f t="shared" si="339"/>
        <v/>
      </c>
      <c r="KN34" s="14" t="str">
        <f t="shared" si="339"/>
        <v/>
      </c>
      <c r="KO34" s="14" t="str">
        <f t="shared" si="339"/>
        <v/>
      </c>
      <c r="KP34" s="14" t="str">
        <f t="shared" si="339"/>
        <v/>
      </c>
      <c r="KQ34" s="14" t="str">
        <f t="shared" si="339"/>
        <v/>
      </c>
      <c r="KR34" s="14" t="str">
        <f t="shared" si="339"/>
        <v/>
      </c>
      <c r="KS34" s="14" t="str">
        <f t="shared" si="339"/>
        <v/>
      </c>
      <c r="KT34" s="15" t="str">
        <f t="shared" si="339"/>
        <v/>
      </c>
      <c r="KU34" s="14" t="str">
        <f t="shared" si="339"/>
        <v/>
      </c>
      <c r="KV34" s="14" t="str">
        <f t="shared" si="339"/>
        <v/>
      </c>
      <c r="KW34" s="14" t="str">
        <f t="shared" si="339"/>
        <v/>
      </c>
      <c r="KX34" s="14" t="str">
        <f t="shared" si="339"/>
        <v/>
      </c>
      <c r="KY34" s="14" t="str">
        <f t="shared" si="339"/>
        <v/>
      </c>
      <c r="KZ34" s="14" t="str">
        <f t="shared" si="339"/>
        <v/>
      </c>
      <c r="LA34" s="15" t="str">
        <f t="shared" si="339"/>
        <v/>
      </c>
      <c r="LB34" s="14" t="str">
        <f t="shared" si="339"/>
        <v/>
      </c>
      <c r="LC34" s="14" t="str">
        <f t="shared" si="339"/>
        <v/>
      </c>
      <c r="LD34" s="14" t="str">
        <f t="shared" si="339"/>
        <v/>
      </c>
      <c r="LE34" s="14" t="str">
        <f t="shared" si="339"/>
        <v/>
      </c>
      <c r="LF34" s="14" t="str">
        <f t="shared" si="339"/>
        <v/>
      </c>
      <c r="LG34" s="14" t="str">
        <f t="shared" si="339"/>
        <v/>
      </c>
      <c r="LH34" s="15" t="str">
        <f t="shared" si="339"/>
        <v/>
      </c>
      <c r="LI34" s="14" t="str">
        <f t="shared" si="339"/>
        <v/>
      </c>
      <c r="LJ34" s="14" t="str">
        <f t="shared" si="339"/>
        <v/>
      </c>
      <c r="LK34" s="14" t="str">
        <f t="shared" si="339"/>
        <v/>
      </c>
      <c r="LL34" s="14" t="str">
        <f t="shared" si="339"/>
        <v/>
      </c>
      <c r="LM34" s="14" t="str">
        <f t="shared" si="339"/>
        <v/>
      </c>
      <c r="LN34" s="14" t="str">
        <f t="shared" si="339"/>
        <v/>
      </c>
      <c r="LO34" s="15" t="str">
        <f t="shared" si="339"/>
        <v/>
      </c>
      <c r="LP34" s="14" t="str">
        <f t="shared" si="339"/>
        <v/>
      </c>
      <c r="LQ34" s="14" t="str">
        <f t="shared" ref="LQ34:MJ34" si="340">IF(SUM(LQ6:LQ33) &gt; 0, SUM(LQ6:LQ33), "")</f>
        <v/>
      </c>
      <c r="LR34" s="14" t="str">
        <f t="shared" si="340"/>
        <v/>
      </c>
      <c r="LS34" s="14" t="str">
        <f t="shared" si="340"/>
        <v/>
      </c>
      <c r="LT34" s="14" t="str">
        <f t="shared" si="340"/>
        <v/>
      </c>
      <c r="LU34" s="14" t="str">
        <f t="shared" si="340"/>
        <v/>
      </c>
      <c r="LV34" s="15" t="str">
        <f t="shared" si="340"/>
        <v/>
      </c>
      <c r="LW34" s="14" t="str">
        <f t="shared" si="340"/>
        <v/>
      </c>
      <c r="LX34" s="14" t="str">
        <f t="shared" si="340"/>
        <v/>
      </c>
      <c r="LY34" s="14" t="str">
        <f t="shared" si="340"/>
        <v/>
      </c>
      <c r="LZ34" s="14" t="str">
        <f t="shared" si="340"/>
        <v/>
      </c>
      <c r="MA34" s="14" t="str">
        <f t="shared" si="340"/>
        <v/>
      </c>
      <c r="MB34" s="14" t="str">
        <f t="shared" si="340"/>
        <v/>
      </c>
      <c r="MC34" s="15" t="str">
        <f t="shared" si="340"/>
        <v/>
      </c>
      <c r="MD34" s="14" t="str">
        <f t="shared" si="340"/>
        <v/>
      </c>
      <c r="ME34" s="14" t="str">
        <f t="shared" si="340"/>
        <v/>
      </c>
      <c r="MF34" s="14" t="str">
        <f t="shared" si="340"/>
        <v/>
      </c>
      <c r="MG34" s="14" t="str">
        <f t="shared" si="340"/>
        <v/>
      </c>
      <c r="MH34" s="14" t="str">
        <f t="shared" si="340"/>
        <v/>
      </c>
      <c r="MI34" s="14" t="str">
        <f t="shared" si="340"/>
        <v/>
      </c>
      <c r="MJ34" s="116" t="str">
        <f t="shared" si="340"/>
        <v/>
      </c>
    </row>
    <row r="35" spans="1:348" x14ac:dyDescent="0.25">
      <c r="A35" s="112" t="s">
        <v>18</v>
      </c>
      <c r="B35" s="111"/>
      <c r="C35" s="111"/>
      <c r="D35" s="111"/>
      <c r="E35" s="111"/>
      <c r="F35" s="113"/>
      <c r="G35" s="111"/>
      <c r="H35" s="111"/>
      <c r="I35" s="111"/>
      <c r="J35" s="111"/>
      <c r="K35" s="111"/>
      <c r="L35" s="111"/>
      <c r="M35" s="111"/>
      <c r="N35" s="111"/>
      <c r="O35" s="114"/>
      <c r="P35" s="111">
        <f>SUM(S35:MJ35)</f>
        <v>43</v>
      </c>
      <c r="Q35" s="111"/>
      <c r="R35" s="114"/>
      <c r="S35" s="114">
        <v>1</v>
      </c>
      <c r="T35" s="111"/>
      <c r="U35" s="111">
        <v>1</v>
      </c>
      <c r="V35" s="111">
        <v>1</v>
      </c>
      <c r="W35" s="111"/>
      <c r="X35" s="111">
        <v>1</v>
      </c>
      <c r="Y35" s="111"/>
      <c r="Z35" s="114"/>
      <c r="AA35" s="111"/>
      <c r="AB35" s="111">
        <v>1</v>
      </c>
      <c r="AC35" s="111"/>
      <c r="AD35" s="111">
        <v>1</v>
      </c>
      <c r="AE35" s="111">
        <v>1</v>
      </c>
      <c r="AF35" s="111"/>
      <c r="AG35" s="114"/>
      <c r="AH35" s="111"/>
      <c r="AI35" s="111">
        <v>1</v>
      </c>
      <c r="AJ35" s="111"/>
      <c r="AK35" s="111">
        <v>1</v>
      </c>
      <c r="AL35" s="111">
        <v>1</v>
      </c>
      <c r="AM35" s="111"/>
      <c r="AN35" s="114"/>
      <c r="AO35" s="111"/>
      <c r="AP35" s="111">
        <v>1</v>
      </c>
      <c r="AQ35" s="111"/>
      <c r="AR35" s="111">
        <v>1</v>
      </c>
      <c r="AS35" s="111">
        <v>1</v>
      </c>
      <c r="AT35" s="111"/>
      <c r="AU35" s="114"/>
      <c r="AV35" s="111"/>
      <c r="AW35" s="111">
        <v>1</v>
      </c>
      <c r="AX35" s="111"/>
      <c r="AY35" s="111">
        <v>1</v>
      </c>
      <c r="AZ35" s="111">
        <v>1</v>
      </c>
      <c r="BA35" s="111"/>
      <c r="BB35" s="114"/>
      <c r="BC35" s="111"/>
      <c r="BD35" s="111">
        <v>1</v>
      </c>
      <c r="BE35" s="111"/>
      <c r="BF35" s="111">
        <v>1</v>
      </c>
      <c r="BG35" s="111">
        <v>1</v>
      </c>
      <c r="BH35" s="111"/>
      <c r="BI35" s="114"/>
      <c r="BJ35" s="111"/>
      <c r="BK35" s="111">
        <v>1</v>
      </c>
      <c r="BL35" s="111"/>
      <c r="BM35" s="111">
        <v>1</v>
      </c>
      <c r="BN35" s="111"/>
      <c r="BO35" s="111"/>
      <c r="BP35" s="114">
        <v>1</v>
      </c>
      <c r="BQ35" s="111"/>
      <c r="BR35" s="111">
        <v>1</v>
      </c>
      <c r="BS35" s="111"/>
      <c r="BT35" s="111">
        <v>1</v>
      </c>
      <c r="BU35" s="111"/>
      <c r="BV35" s="111"/>
      <c r="BW35" s="111">
        <v>1</v>
      </c>
      <c r="BX35" s="111"/>
      <c r="BY35" s="114"/>
      <c r="BZ35" s="111"/>
      <c r="CA35" s="111"/>
      <c r="CB35" s="111"/>
      <c r="CC35" s="111">
        <v>1</v>
      </c>
      <c r="CD35" s="111"/>
      <c r="CE35" s="111"/>
      <c r="CF35" s="111">
        <v>1</v>
      </c>
      <c r="CG35" s="111"/>
      <c r="CH35" s="114"/>
      <c r="CI35" s="111"/>
      <c r="CJ35" s="111"/>
      <c r="CK35" s="111"/>
      <c r="CL35" s="111">
        <v>1</v>
      </c>
      <c r="CM35" s="111"/>
      <c r="CN35" s="111"/>
      <c r="CO35" s="111">
        <v>1</v>
      </c>
      <c r="CP35" s="111"/>
      <c r="CQ35" s="114"/>
      <c r="CR35" s="111"/>
      <c r="CS35" s="111">
        <v>1</v>
      </c>
      <c r="CT35" s="111"/>
      <c r="CU35" s="111">
        <v>1</v>
      </c>
      <c r="CV35" s="111">
        <v>1</v>
      </c>
      <c r="CW35" s="111"/>
      <c r="CX35" s="111">
        <v>1</v>
      </c>
      <c r="CY35" s="111"/>
      <c r="CZ35" s="114"/>
      <c r="DA35" s="111"/>
      <c r="DB35" s="111">
        <v>1</v>
      </c>
      <c r="DC35" s="111"/>
      <c r="DD35" s="111"/>
      <c r="DE35" s="111">
        <v>1</v>
      </c>
      <c r="DF35" s="111"/>
      <c r="DG35" s="111">
        <v>1</v>
      </c>
      <c r="DH35" s="111"/>
      <c r="DI35" s="114"/>
      <c r="DJ35" s="111"/>
      <c r="DK35" s="111">
        <v>1</v>
      </c>
      <c r="DL35" s="111"/>
      <c r="DM35" s="111">
        <v>1</v>
      </c>
      <c r="DN35" s="111">
        <v>1</v>
      </c>
      <c r="DO35" s="111"/>
      <c r="DP35" s="111">
        <v>1</v>
      </c>
      <c r="DQ35" s="111"/>
      <c r="DR35" s="114"/>
      <c r="DS35" s="111"/>
      <c r="DT35" s="111">
        <v>1</v>
      </c>
      <c r="DU35" s="111"/>
      <c r="DV35" s="111">
        <v>1</v>
      </c>
      <c r="DW35" s="111">
        <v>1</v>
      </c>
      <c r="DX35" s="111"/>
      <c r="DY35" s="111"/>
      <c r="DZ35" s="111"/>
      <c r="EA35" s="114"/>
      <c r="EB35" s="111"/>
      <c r="EC35" s="111"/>
      <c r="ED35" s="111"/>
      <c r="EE35" s="111"/>
      <c r="EF35" s="111"/>
      <c r="EG35" s="111"/>
      <c r="EH35" s="114"/>
      <c r="EI35" s="111"/>
      <c r="EJ35" s="111"/>
      <c r="EK35" s="111"/>
      <c r="EL35" s="111"/>
      <c r="EM35" s="111"/>
      <c r="EN35" s="111"/>
      <c r="EO35" s="114"/>
      <c r="EP35" s="111"/>
      <c r="EQ35" s="111"/>
      <c r="ER35" s="111"/>
      <c r="ES35" s="111"/>
      <c r="ET35" s="111"/>
      <c r="EU35" s="111"/>
      <c r="EV35" s="114"/>
      <c r="EW35" s="111"/>
      <c r="EX35" s="111"/>
      <c r="EY35" s="111"/>
      <c r="EZ35" s="111"/>
      <c r="FA35" s="111"/>
      <c r="FB35" s="111"/>
      <c r="FC35" s="114"/>
      <c r="FD35" s="111"/>
      <c r="FE35" s="111"/>
      <c r="FF35" s="111"/>
      <c r="FG35" s="111"/>
      <c r="FH35" s="111"/>
      <c r="FI35" s="111"/>
      <c r="FJ35" s="114"/>
      <c r="FK35" s="111"/>
      <c r="FL35" s="111"/>
      <c r="FM35" s="111"/>
      <c r="FN35" s="111"/>
      <c r="FO35" s="111"/>
      <c r="FP35" s="111"/>
      <c r="FQ35" s="114"/>
      <c r="FR35" s="111"/>
      <c r="FS35" s="111"/>
      <c r="FT35" s="111"/>
      <c r="FU35" s="111"/>
      <c r="FV35" s="111"/>
      <c r="FW35" s="111"/>
      <c r="FX35" s="114"/>
      <c r="FY35" s="111"/>
      <c r="FZ35" s="111"/>
      <c r="GA35" s="111"/>
      <c r="GB35" s="111"/>
      <c r="GC35" s="111"/>
      <c r="GD35" s="111"/>
      <c r="GE35" s="114"/>
      <c r="GF35" s="111"/>
      <c r="GG35" s="111"/>
      <c r="GH35" s="111"/>
      <c r="GI35" s="111"/>
      <c r="GJ35" s="111"/>
      <c r="GK35" s="111"/>
      <c r="GL35" s="114"/>
      <c r="GM35" s="111"/>
      <c r="GN35" s="111"/>
      <c r="GO35" s="111"/>
      <c r="GP35" s="111"/>
      <c r="GQ35" s="111"/>
      <c r="GR35" s="111"/>
      <c r="GS35" s="114"/>
      <c r="GT35" s="111"/>
      <c r="GU35" s="111"/>
      <c r="GV35" s="111"/>
      <c r="GW35" s="111"/>
      <c r="GX35" s="111"/>
      <c r="GY35" s="111"/>
      <c r="GZ35" s="114"/>
      <c r="HA35" s="111"/>
      <c r="HB35" s="111"/>
      <c r="HC35" s="111"/>
      <c r="HD35" s="111"/>
      <c r="HE35" s="111"/>
      <c r="HF35" s="111"/>
      <c r="HG35" s="114"/>
      <c r="HH35" s="111"/>
      <c r="HI35" s="111"/>
      <c r="HJ35" s="111"/>
      <c r="HK35" s="111"/>
      <c r="HL35" s="111"/>
      <c r="HM35" s="111"/>
      <c r="HN35" s="114"/>
      <c r="HO35" s="111"/>
      <c r="HP35" s="111"/>
      <c r="HQ35" s="111"/>
      <c r="HR35" s="111"/>
      <c r="HS35" s="111"/>
      <c r="HT35" s="111"/>
      <c r="HU35" s="114"/>
      <c r="HV35" s="111"/>
      <c r="HW35" s="111"/>
      <c r="HX35" s="111"/>
      <c r="HY35" s="111"/>
      <c r="HZ35" s="111"/>
      <c r="IA35" s="111"/>
      <c r="IB35" s="114"/>
      <c r="IC35" s="111"/>
      <c r="ID35" s="111"/>
      <c r="IE35" s="111"/>
      <c r="IF35" s="111"/>
      <c r="IG35" s="111"/>
      <c r="IH35" s="111"/>
      <c r="II35" s="114"/>
      <c r="IJ35" s="111"/>
      <c r="IK35" s="111"/>
      <c r="IL35" s="111"/>
      <c r="IM35" s="111"/>
      <c r="IN35" s="111"/>
      <c r="IO35" s="111"/>
      <c r="IP35" s="114"/>
      <c r="IQ35" s="111"/>
      <c r="IR35" s="111"/>
      <c r="IS35" s="111"/>
      <c r="IT35" s="111"/>
      <c r="IU35" s="111"/>
      <c r="IV35" s="111"/>
      <c r="IW35" s="114"/>
      <c r="IX35" s="111"/>
      <c r="IY35" s="111"/>
      <c r="IZ35" s="111"/>
      <c r="JA35" s="111"/>
      <c r="JB35" s="111"/>
      <c r="JC35" s="111"/>
      <c r="JD35" s="114"/>
      <c r="JE35" s="111"/>
      <c r="JF35" s="111"/>
      <c r="JG35" s="111"/>
      <c r="JH35" s="111"/>
      <c r="JI35" s="111"/>
      <c r="JJ35" s="111"/>
      <c r="JK35" s="114"/>
      <c r="JL35" s="111"/>
      <c r="JM35" s="111"/>
      <c r="JN35" s="111"/>
      <c r="JO35" s="111"/>
      <c r="JP35" s="111"/>
      <c r="JQ35" s="111"/>
      <c r="JR35" s="114"/>
      <c r="JS35" s="111"/>
      <c r="JT35" s="111"/>
      <c r="JU35" s="111"/>
      <c r="JV35" s="111"/>
      <c r="JW35" s="111"/>
      <c r="JX35" s="111"/>
      <c r="JY35" s="114"/>
      <c r="JZ35" s="111"/>
      <c r="KA35" s="111"/>
      <c r="KB35" s="111"/>
      <c r="KC35" s="111"/>
      <c r="KD35" s="111"/>
      <c r="KE35" s="111"/>
      <c r="KF35" s="114"/>
      <c r="KG35" s="111"/>
      <c r="KH35" s="111"/>
      <c r="KI35" s="111"/>
      <c r="KJ35" s="111"/>
      <c r="KK35" s="111"/>
      <c r="KL35" s="111"/>
      <c r="KM35" s="114"/>
      <c r="KN35" s="111"/>
      <c r="KO35" s="111"/>
      <c r="KP35" s="111"/>
      <c r="KQ35" s="111"/>
      <c r="KR35" s="111"/>
      <c r="KS35" s="111"/>
      <c r="KT35" s="114"/>
      <c r="KU35" s="111"/>
      <c r="KV35" s="111"/>
      <c r="KW35" s="111"/>
      <c r="KX35" s="111"/>
      <c r="KY35" s="111"/>
      <c r="KZ35" s="111"/>
      <c r="LA35" s="114"/>
      <c r="LB35" s="111"/>
      <c r="LC35" s="111"/>
      <c r="LD35" s="111"/>
      <c r="LE35" s="111"/>
      <c r="LF35" s="111"/>
      <c r="LG35" s="111"/>
      <c r="LH35" s="114"/>
      <c r="LI35" s="111"/>
      <c r="LJ35" s="111"/>
      <c r="LK35" s="111"/>
      <c r="LL35" s="111"/>
      <c r="LM35" s="111"/>
      <c r="LN35" s="111"/>
      <c r="LO35" s="114"/>
      <c r="LP35" s="111"/>
      <c r="LQ35" s="111"/>
      <c r="LR35" s="111"/>
      <c r="LS35" s="111"/>
      <c r="LT35" s="111"/>
      <c r="LU35" s="111"/>
      <c r="LV35" s="114"/>
      <c r="LW35" s="111"/>
      <c r="LX35" s="111"/>
      <c r="LY35" s="111"/>
      <c r="LZ35" s="111"/>
      <c r="MA35" s="111"/>
      <c r="MB35" s="111"/>
      <c r="MC35" s="114"/>
      <c r="MD35" s="111"/>
      <c r="ME35" s="111"/>
      <c r="MF35" s="111"/>
      <c r="MG35" s="111"/>
      <c r="MH35" s="111"/>
      <c r="MI35" s="111"/>
      <c r="MJ35" s="114"/>
    </row>
    <row r="36" spans="1:348" ht="7.5" customHeight="1" x14ac:dyDescent="0.25">
      <c r="A36" s="129"/>
      <c r="B36" s="130"/>
      <c r="C36" s="130"/>
      <c r="D36" s="130"/>
      <c r="E36" s="131"/>
      <c r="F36" s="130"/>
      <c r="G36" s="130"/>
      <c r="H36" s="130"/>
      <c r="I36" s="130"/>
      <c r="J36" s="130"/>
      <c r="K36" s="130"/>
      <c r="L36" s="130"/>
      <c r="M36" s="130"/>
      <c r="N36" s="130"/>
      <c r="O36" s="131"/>
      <c r="P36" s="130"/>
      <c r="Q36" s="130"/>
      <c r="R36" s="131"/>
      <c r="S36" s="37"/>
      <c r="T36" s="132"/>
      <c r="U36" s="132"/>
      <c r="V36" s="132"/>
      <c r="W36" s="132"/>
      <c r="X36" s="132"/>
      <c r="Y36" s="132"/>
      <c r="Z36" s="37"/>
      <c r="AA36" s="132"/>
      <c r="AB36" s="132"/>
      <c r="AC36" s="132"/>
      <c r="AD36" s="132"/>
      <c r="AE36" s="132"/>
      <c r="AF36" s="132"/>
      <c r="AG36" s="37"/>
      <c r="AH36" s="132"/>
      <c r="AI36" s="132"/>
      <c r="AJ36" s="132"/>
      <c r="AK36" s="132"/>
      <c r="AL36" s="132"/>
      <c r="AM36" s="132"/>
      <c r="AN36" s="37"/>
      <c r="AO36" s="132"/>
      <c r="AP36" s="132"/>
      <c r="AQ36" s="132"/>
      <c r="AR36" s="132"/>
      <c r="AS36" s="132"/>
      <c r="AT36" s="132"/>
      <c r="AU36" s="37"/>
      <c r="AV36" s="132"/>
      <c r="AW36" s="132"/>
      <c r="AX36" s="132"/>
      <c r="AY36" s="132"/>
      <c r="AZ36" s="132"/>
      <c r="BA36" s="132"/>
      <c r="BB36" s="37"/>
      <c r="BC36" s="132"/>
      <c r="BD36" s="132"/>
      <c r="BE36" s="132"/>
      <c r="BF36" s="132"/>
      <c r="BG36" s="132"/>
      <c r="BH36" s="132"/>
      <c r="BI36" s="37"/>
      <c r="BJ36" s="132"/>
      <c r="BK36" s="132"/>
      <c r="BL36" s="132"/>
      <c r="BM36" s="132"/>
      <c r="BN36" s="132"/>
      <c r="BO36" s="132"/>
      <c r="BP36" s="37"/>
      <c r="BQ36" s="132"/>
      <c r="BR36" s="132"/>
      <c r="BS36" s="132"/>
      <c r="BT36" s="132"/>
      <c r="BU36" s="132"/>
      <c r="BV36" s="132"/>
      <c r="BW36" s="132"/>
      <c r="BX36" s="132"/>
      <c r="BY36" s="37"/>
      <c r="BZ36" s="132"/>
      <c r="CA36" s="132"/>
      <c r="CB36" s="132"/>
      <c r="CC36" s="132"/>
      <c r="CD36" s="132"/>
      <c r="CE36" s="132"/>
      <c r="CF36" s="132"/>
      <c r="CG36" s="132"/>
      <c r="CH36" s="37"/>
      <c r="CI36" s="132"/>
      <c r="CJ36" s="132"/>
      <c r="CK36" s="132"/>
      <c r="CL36" s="132"/>
      <c r="CM36" s="132"/>
      <c r="CN36" s="132"/>
      <c r="CO36" s="132"/>
      <c r="CP36" s="132"/>
      <c r="CQ36" s="37"/>
      <c r="CR36" s="132"/>
      <c r="CS36" s="132"/>
      <c r="CT36" s="132"/>
      <c r="CU36" s="132"/>
      <c r="CV36" s="132"/>
      <c r="CW36" s="132"/>
      <c r="CX36" s="132"/>
      <c r="CY36" s="132"/>
      <c r="CZ36" s="37"/>
      <c r="DA36" s="132"/>
      <c r="DB36" s="132"/>
      <c r="DC36" s="132"/>
      <c r="DD36" s="132"/>
      <c r="DE36" s="132"/>
      <c r="DF36" s="132"/>
      <c r="DG36" s="132"/>
      <c r="DH36" s="132"/>
      <c r="DI36" s="37"/>
      <c r="DJ36" s="132"/>
      <c r="DK36" s="132"/>
      <c r="DL36" s="132"/>
      <c r="DM36" s="132"/>
      <c r="DN36" s="132"/>
      <c r="DO36" s="132"/>
      <c r="DP36" s="132"/>
      <c r="DQ36" s="132"/>
      <c r="DR36" s="37"/>
      <c r="DS36" s="132"/>
      <c r="DT36" s="132"/>
      <c r="DU36" s="132"/>
      <c r="DV36" s="132"/>
      <c r="DW36" s="132"/>
      <c r="DX36" s="132"/>
      <c r="DY36" s="132"/>
      <c r="DZ36" s="132"/>
      <c r="EA36" s="37"/>
      <c r="EB36" s="132"/>
      <c r="EC36" s="132"/>
      <c r="ED36" s="132"/>
      <c r="EE36" s="132"/>
      <c r="EF36" s="132"/>
      <c r="EG36" s="132"/>
      <c r="EH36" s="37"/>
      <c r="EI36" s="132"/>
      <c r="EJ36" s="132"/>
      <c r="EK36" s="132"/>
      <c r="EL36" s="132"/>
      <c r="EM36" s="132"/>
      <c r="EN36" s="132"/>
      <c r="EO36" s="37"/>
      <c r="EP36" s="132"/>
      <c r="EQ36" s="132"/>
      <c r="ER36" s="132"/>
      <c r="ES36" s="132"/>
      <c r="ET36" s="132"/>
      <c r="EU36" s="132"/>
      <c r="EV36" s="37"/>
      <c r="EW36" s="132"/>
      <c r="EX36" s="132"/>
      <c r="EY36" s="132"/>
      <c r="EZ36" s="132"/>
      <c r="FA36" s="132"/>
      <c r="FB36" s="132"/>
      <c r="FC36" s="37"/>
      <c r="FD36" s="132"/>
      <c r="FE36" s="132"/>
      <c r="FF36" s="132"/>
      <c r="FG36" s="132"/>
      <c r="FH36" s="132"/>
      <c r="FI36" s="132"/>
      <c r="FJ36" s="37"/>
      <c r="FK36" s="132"/>
      <c r="FL36" s="132"/>
      <c r="FM36" s="132"/>
      <c r="FN36" s="132"/>
      <c r="FO36" s="132"/>
      <c r="FP36" s="132"/>
      <c r="FQ36" s="37"/>
      <c r="FR36" s="132"/>
      <c r="FS36" s="132"/>
      <c r="FT36" s="132"/>
      <c r="FU36" s="132"/>
      <c r="FV36" s="132"/>
      <c r="FW36" s="132"/>
      <c r="FX36" s="37"/>
      <c r="FY36" s="132"/>
      <c r="FZ36" s="132"/>
      <c r="GA36" s="132"/>
      <c r="GB36" s="132"/>
      <c r="GC36" s="132"/>
      <c r="GD36" s="132"/>
      <c r="GE36" s="37"/>
      <c r="GF36" s="132"/>
      <c r="GG36" s="132"/>
      <c r="GH36" s="132"/>
      <c r="GI36" s="132"/>
      <c r="GJ36" s="132"/>
      <c r="GK36" s="132"/>
      <c r="GL36" s="37"/>
      <c r="GM36" s="132"/>
      <c r="GN36" s="132"/>
      <c r="GO36" s="132"/>
      <c r="GP36" s="132"/>
      <c r="GQ36" s="132"/>
      <c r="GR36" s="132"/>
      <c r="GS36" s="37"/>
      <c r="GT36" s="132"/>
      <c r="GU36" s="132"/>
      <c r="GV36" s="132"/>
      <c r="GW36" s="132"/>
      <c r="GX36" s="132"/>
      <c r="GY36" s="132"/>
      <c r="GZ36" s="37"/>
      <c r="HA36" s="132"/>
      <c r="HB36" s="132"/>
      <c r="HC36" s="132"/>
      <c r="HD36" s="132"/>
      <c r="HE36" s="132"/>
      <c r="HF36" s="132"/>
      <c r="HG36" s="37"/>
      <c r="HH36" s="132"/>
      <c r="HI36" s="132"/>
      <c r="HJ36" s="132"/>
      <c r="HK36" s="132"/>
      <c r="HL36" s="132"/>
      <c r="HM36" s="132"/>
      <c r="HN36" s="37"/>
      <c r="HO36" s="132"/>
      <c r="HP36" s="132"/>
      <c r="HQ36" s="132"/>
      <c r="HR36" s="132"/>
      <c r="HS36" s="132"/>
      <c r="HT36" s="132"/>
      <c r="HU36" s="37"/>
      <c r="HV36" s="132"/>
      <c r="HW36" s="132"/>
      <c r="HX36" s="132"/>
      <c r="HY36" s="132"/>
      <c r="HZ36" s="132"/>
      <c r="IA36" s="132"/>
      <c r="IB36" s="37"/>
      <c r="IC36" s="132"/>
      <c r="ID36" s="132"/>
      <c r="IE36" s="132"/>
      <c r="IF36" s="132"/>
      <c r="IG36" s="132"/>
      <c r="IH36" s="132"/>
      <c r="II36" s="37"/>
      <c r="IJ36" s="132"/>
      <c r="IK36" s="132"/>
      <c r="IL36" s="132"/>
      <c r="IM36" s="132"/>
      <c r="IN36" s="132"/>
      <c r="IO36" s="132"/>
      <c r="IP36" s="37"/>
      <c r="IQ36" s="132"/>
      <c r="IR36" s="132"/>
      <c r="IS36" s="132"/>
      <c r="IT36" s="132"/>
      <c r="IU36" s="132"/>
      <c r="IV36" s="132"/>
      <c r="IW36" s="37"/>
      <c r="IX36" s="132"/>
      <c r="IY36" s="132"/>
      <c r="IZ36" s="132"/>
      <c r="JA36" s="132"/>
      <c r="JB36" s="132"/>
      <c r="JC36" s="132"/>
      <c r="JD36" s="37"/>
      <c r="JE36" s="132"/>
      <c r="JF36" s="132"/>
      <c r="JG36" s="132"/>
      <c r="JH36" s="132"/>
      <c r="JI36" s="132"/>
      <c r="JJ36" s="132"/>
      <c r="JK36" s="37"/>
      <c r="JL36" s="132"/>
      <c r="JM36" s="132"/>
      <c r="JN36" s="132"/>
      <c r="JO36" s="132"/>
      <c r="JP36" s="132"/>
      <c r="JQ36" s="132"/>
      <c r="JR36" s="37"/>
      <c r="JS36" s="132"/>
      <c r="JT36" s="132"/>
      <c r="JU36" s="132"/>
      <c r="JV36" s="132"/>
      <c r="JW36" s="132"/>
      <c r="JX36" s="132"/>
      <c r="JY36" s="37"/>
      <c r="JZ36" s="132"/>
      <c r="KA36" s="132"/>
      <c r="KB36" s="132"/>
      <c r="KC36" s="132"/>
      <c r="KD36" s="132"/>
      <c r="KE36" s="132"/>
      <c r="KF36" s="37"/>
      <c r="KG36" s="132"/>
      <c r="KH36" s="132"/>
      <c r="KI36" s="132"/>
      <c r="KJ36" s="132"/>
      <c r="KK36" s="132"/>
      <c r="KL36" s="132"/>
      <c r="KM36" s="37"/>
      <c r="KN36" s="132"/>
      <c r="KO36" s="132"/>
      <c r="KP36" s="132"/>
      <c r="KQ36" s="132"/>
      <c r="KR36" s="132"/>
      <c r="KS36" s="132"/>
      <c r="KT36" s="37"/>
      <c r="KU36" s="132"/>
      <c r="KV36" s="132"/>
      <c r="KW36" s="132"/>
      <c r="KX36" s="132"/>
      <c r="KY36" s="132"/>
      <c r="KZ36" s="132"/>
      <c r="LA36" s="37"/>
      <c r="LB36" s="132"/>
      <c r="LC36" s="132"/>
      <c r="LD36" s="132"/>
      <c r="LE36" s="132"/>
      <c r="LF36" s="132"/>
      <c r="LG36" s="132"/>
      <c r="LH36" s="37"/>
      <c r="LI36" s="132"/>
      <c r="LJ36" s="132"/>
      <c r="LK36" s="132"/>
      <c r="LL36" s="132"/>
      <c r="LM36" s="132"/>
      <c r="LN36" s="132"/>
      <c r="LO36" s="37"/>
      <c r="LP36" s="132"/>
      <c r="LQ36" s="132"/>
      <c r="LR36" s="132"/>
      <c r="LS36" s="132"/>
      <c r="LT36" s="132"/>
      <c r="LU36" s="132"/>
      <c r="LV36" s="37"/>
      <c r="LW36" s="132"/>
      <c r="LX36" s="132"/>
      <c r="LY36" s="132"/>
      <c r="LZ36" s="132"/>
      <c r="MA36" s="132"/>
      <c r="MB36" s="132"/>
      <c r="MC36" s="37"/>
      <c r="MD36" s="132"/>
      <c r="ME36" s="132"/>
      <c r="MF36" s="132"/>
      <c r="MG36" s="132"/>
      <c r="MH36" s="132"/>
      <c r="MI36" s="132"/>
      <c r="MJ36" s="37"/>
    </row>
    <row r="37" spans="1:348" ht="66" hidden="1" customHeight="1" x14ac:dyDescent="0.25">
      <c r="A37" s="19"/>
      <c r="B37" s="19"/>
      <c r="C37" s="19"/>
      <c r="D37" s="19"/>
      <c r="E37" s="9"/>
      <c r="F37" s="19"/>
      <c r="G37" s="19"/>
      <c r="H37" s="19"/>
      <c r="I37" s="19"/>
      <c r="J37" s="19"/>
      <c r="K37" s="19"/>
      <c r="L37" s="19"/>
      <c r="M37" s="19"/>
      <c r="N37" s="19"/>
      <c r="O37" s="9"/>
      <c r="P37" s="124" t="s">
        <v>410</v>
      </c>
      <c r="Q37" s="125" t="s">
        <v>410</v>
      </c>
      <c r="R37" s="126"/>
      <c r="S37" s="49">
        <f t="shared" ref="S37:AX37" si="341">S1</f>
        <v>43975</v>
      </c>
      <c r="T37" s="49">
        <f t="shared" si="341"/>
        <v>43976</v>
      </c>
      <c r="U37" s="49">
        <f t="shared" si="341"/>
        <v>43977</v>
      </c>
      <c r="V37" s="49">
        <f t="shared" si="341"/>
        <v>43978</v>
      </c>
      <c r="W37" s="49">
        <f t="shared" si="341"/>
        <v>43979</v>
      </c>
      <c r="X37" s="49">
        <f t="shared" si="341"/>
        <v>43980</v>
      </c>
      <c r="Y37" s="49">
        <f t="shared" si="341"/>
        <v>43981</v>
      </c>
      <c r="Z37" s="49">
        <f t="shared" si="341"/>
        <v>43982</v>
      </c>
      <c r="AA37" s="49">
        <f t="shared" si="341"/>
        <v>43983</v>
      </c>
      <c r="AB37" s="49">
        <f t="shared" si="341"/>
        <v>43984</v>
      </c>
      <c r="AC37" s="49">
        <f t="shared" si="341"/>
        <v>43985</v>
      </c>
      <c r="AD37" s="49">
        <f t="shared" si="341"/>
        <v>43986</v>
      </c>
      <c r="AE37" s="49">
        <f t="shared" si="341"/>
        <v>43987</v>
      </c>
      <c r="AF37" s="49">
        <f t="shared" si="341"/>
        <v>43988</v>
      </c>
      <c r="AG37" s="49">
        <f t="shared" si="341"/>
        <v>43989</v>
      </c>
      <c r="AH37" s="49">
        <f t="shared" si="341"/>
        <v>43990</v>
      </c>
      <c r="AI37" s="49">
        <f t="shared" si="341"/>
        <v>43991</v>
      </c>
      <c r="AJ37" s="49">
        <f t="shared" si="341"/>
        <v>43992</v>
      </c>
      <c r="AK37" s="49">
        <f t="shared" si="341"/>
        <v>43993</v>
      </c>
      <c r="AL37" s="49">
        <f t="shared" si="341"/>
        <v>43994</v>
      </c>
      <c r="AM37" s="49">
        <f t="shared" si="341"/>
        <v>43995</v>
      </c>
      <c r="AN37" s="49">
        <f t="shared" si="341"/>
        <v>43996</v>
      </c>
      <c r="AO37" s="49">
        <f t="shared" si="341"/>
        <v>43997</v>
      </c>
      <c r="AP37" s="49">
        <f t="shared" si="341"/>
        <v>43998</v>
      </c>
      <c r="AQ37" s="49">
        <f t="shared" si="341"/>
        <v>43999</v>
      </c>
      <c r="AR37" s="49">
        <f t="shared" si="341"/>
        <v>44000</v>
      </c>
      <c r="AS37" s="49">
        <f t="shared" si="341"/>
        <v>44001</v>
      </c>
      <c r="AT37" s="49">
        <f t="shared" si="341"/>
        <v>44002</v>
      </c>
      <c r="AU37" s="49">
        <f t="shared" si="341"/>
        <v>44003</v>
      </c>
      <c r="AV37" s="49">
        <f t="shared" si="341"/>
        <v>44004</v>
      </c>
      <c r="AW37" s="49">
        <f t="shared" si="341"/>
        <v>44005</v>
      </c>
      <c r="AX37" s="49">
        <f t="shared" si="341"/>
        <v>44006</v>
      </c>
      <c r="AY37" s="49">
        <f t="shared" ref="AY37:BW37" si="342">AY1</f>
        <v>44007</v>
      </c>
      <c r="AZ37" s="49">
        <f t="shared" si="342"/>
        <v>44008</v>
      </c>
      <c r="BA37" s="49">
        <f t="shared" si="342"/>
        <v>44009</v>
      </c>
      <c r="BB37" s="49">
        <f t="shared" si="342"/>
        <v>44010</v>
      </c>
      <c r="BC37" s="49">
        <f t="shared" si="342"/>
        <v>44011</v>
      </c>
      <c r="BD37" s="49">
        <f t="shared" si="342"/>
        <v>44012</v>
      </c>
      <c r="BE37" s="49">
        <f t="shared" si="342"/>
        <v>44013</v>
      </c>
      <c r="BF37" s="49">
        <f t="shared" si="342"/>
        <v>44014</v>
      </c>
      <c r="BG37" s="49">
        <f t="shared" si="342"/>
        <v>44015</v>
      </c>
      <c r="BH37" s="49">
        <f t="shared" si="342"/>
        <v>44016</v>
      </c>
      <c r="BI37" s="49">
        <f t="shared" si="342"/>
        <v>44017</v>
      </c>
      <c r="BJ37" s="49">
        <f t="shared" si="342"/>
        <v>44018</v>
      </c>
      <c r="BK37" s="49">
        <f t="shared" si="342"/>
        <v>44019</v>
      </c>
      <c r="BL37" s="49">
        <f t="shared" si="342"/>
        <v>44020</v>
      </c>
      <c r="BM37" s="49">
        <f t="shared" si="342"/>
        <v>44021</v>
      </c>
      <c r="BN37" s="49">
        <f t="shared" si="342"/>
        <v>44022</v>
      </c>
      <c r="BO37" s="49">
        <f t="shared" si="342"/>
        <v>44023</v>
      </c>
      <c r="BP37" s="49">
        <f t="shared" si="342"/>
        <v>44024</v>
      </c>
      <c r="BQ37" s="49">
        <f t="shared" si="342"/>
        <v>44025</v>
      </c>
      <c r="BR37" s="49">
        <f t="shared" si="342"/>
        <v>44026</v>
      </c>
      <c r="BS37" s="49">
        <f t="shared" si="342"/>
        <v>44027</v>
      </c>
      <c r="BT37" s="49">
        <f t="shared" si="342"/>
        <v>44028</v>
      </c>
      <c r="BU37" s="49">
        <f t="shared" si="342"/>
        <v>44029</v>
      </c>
      <c r="BV37" s="49">
        <f t="shared" si="342"/>
        <v>44030</v>
      </c>
      <c r="BW37" s="49">
        <f t="shared" si="342"/>
        <v>44031</v>
      </c>
      <c r="BX37" s="49"/>
      <c r="BY37" s="49"/>
      <c r="BZ37" s="49"/>
      <c r="CA37" s="49"/>
      <c r="CB37" s="49"/>
      <c r="CC37" s="49"/>
      <c r="CD37" s="49"/>
      <c r="CE37" s="49"/>
      <c r="CF37" s="49"/>
      <c r="CG37" s="49"/>
      <c r="CH37" s="49"/>
      <c r="CI37" s="49"/>
      <c r="CJ37" s="49"/>
      <c r="CK37" s="49"/>
      <c r="CL37" s="49"/>
      <c r="CM37" s="49"/>
      <c r="CN37" s="49"/>
      <c r="CO37" s="49"/>
      <c r="CP37" s="49"/>
      <c r="CQ37" s="49"/>
      <c r="CR37" s="49"/>
      <c r="CS37" s="49"/>
      <c r="CT37" s="49"/>
      <c r="CU37" s="49"/>
      <c r="CV37" s="49"/>
      <c r="CW37" s="49"/>
      <c r="CX37" s="49"/>
      <c r="CY37" s="49"/>
      <c r="CZ37" s="49"/>
      <c r="DA37" s="49"/>
      <c r="DB37" s="49"/>
      <c r="DC37" s="49"/>
      <c r="DD37" s="49"/>
      <c r="DE37" s="49"/>
      <c r="DF37" s="49"/>
      <c r="DG37" s="49"/>
      <c r="DH37" s="49"/>
      <c r="DI37" s="49"/>
      <c r="DJ37" s="49"/>
      <c r="DK37" s="49"/>
      <c r="DL37" s="49"/>
      <c r="DM37" s="49"/>
      <c r="DN37" s="49"/>
      <c r="DO37" s="49"/>
      <c r="DP37" s="49"/>
      <c r="DQ37" s="49"/>
      <c r="DR37" s="49"/>
      <c r="DS37" s="49">
        <f t="shared" ref="DS37:FK37" si="343">DS1</f>
        <v>44067</v>
      </c>
      <c r="DT37" s="49">
        <f t="shared" si="343"/>
        <v>44068</v>
      </c>
      <c r="DU37" s="49">
        <f t="shared" si="343"/>
        <v>44069</v>
      </c>
      <c r="DV37" s="49">
        <f t="shared" si="343"/>
        <v>44070</v>
      </c>
      <c r="DW37" s="49">
        <f t="shared" si="343"/>
        <v>44071</v>
      </c>
      <c r="DX37" s="49">
        <f t="shared" ref="DX37:DY37" si="344">DX1</f>
        <v>44072</v>
      </c>
      <c r="DY37" s="49">
        <f t="shared" si="344"/>
        <v>44073</v>
      </c>
      <c r="DZ37" s="49"/>
      <c r="EA37" s="49"/>
      <c r="EB37" s="49">
        <f t="shared" si="343"/>
        <v>44074</v>
      </c>
      <c r="EC37" s="49">
        <f t="shared" si="343"/>
        <v>44075</v>
      </c>
      <c r="ED37" s="49">
        <f t="shared" si="343"/>
        <v>44076</v>
      </c>
      <c r="EE37" s="49">
        <f t="shared" si="343"/>
        <v>44077</v>
      </c>
      <c r="EF37" s="49">
        <f t="shared" si="343"/>
        <v>44078</v>
      </c>
      <c r="EG37" s="49">
        <f t="shared" si="343"/>
        <v>44079</v>
      </c>
      <c r="EH37" s="49">
        <f t="shared" si="343"/>
        <v>44080</v>
      </c>
      <c r="EI37" s="49">
        <f t="shared" si="343"/>
        <v>44081</v>
      </c>
      <c r="EJ37" s="49">
        <f t="shared" si="343"/>
        <v>44082</v>
      </c>
      <c r="EK37" s="49">
        <f t="shared" si="343"/>
        <v>44083</v>
      </c>
      <c r="EL37" s="49">
        <f t="shared" si="343"/>
        <v>44084</v>
      </c>
      <c r="EM37" s="49">
        <f t="shared" si="343"/>
        <v>44085</v>
      </c>
      <c r="EN37" s="49">
        <f t="shared" si="343"/>
        <v>44086</v>
      </c>
      <c r="EO37" s="49">
        <f t="shared" si="343"/>
        <v>44087</v>
      </c>
      <c r="EP37" s="49">
        <f t="shared" si="343"/>
        <v>44088</v>
      </c>
      <c r="EQ37" s="49">
        <f t="shared" si="343"/>
        <v>44089</v>
      </c>
      <c r="ER37" s="49">
        <f t="shared" si="343"/>
        <v>44090</v>
      </c>
      <c r="ES37" s="49">
        <f t="shared" si="343"/>
        <v>44091</v>
      </c>
      <c r="ET37" s="49">
        <f t="shared" si="343"/>
        <v>44092</v>
      </c>
      <c r="EU37" s="49">
        <f t="shared" si="343"/>
        <v>44093</v>
      </c>
      <c r="EV37" s="49">
        <f t="shared" si="343"/>
        <v>44094</v>
      </c>
      <c r="EW37" s="49">
        <f t="shared" si="343"/>
        <v>44095</v>
      </c>
      <c r="EX37" s="49">
        <f t="shared" si="343"/>
        <v>44096</v>
      </c>
      <c r="EY37" s="49">
        <f t="shared" si="343"/>
        <v>44097</v>
      </c>
      <c r="EZ37" s="49">
        <f t="shared" si="343"/>
        <v>44098</v>
      </c>
      <c r="FA37" s="49">
        <f t="shared" si="343"/>
        <v>44099</v>
      </c>
      <c r="FB37" s="49">
        <f t="shared" si="343"/>
        <v>44100</v>
      </c>
      <c r="FC37" s="49">
        <f t="shared" si="343"/>
        <v>44101</v>
      </c>
      <c r="FD37" s="49">
        <f t="shared" si="343"/>
        <v>44102</v>
      </c>
      <c r="FE37" s="49">
        <f t="shared" si="343"/>
        <v>44103</v>
      </c>
      <c r="FF37" s="49">
        <f t="shared" si="343"/>
        <v>44104</v>
      </c>
      <c r="FG37" s="49">
        <f t="shared" si="343"/>
        <v>44105</v>
      </c>
      <c r="FH37" s="49">
        <f t="shared" si="343"/>
        <v>44106</v>
      </c>
      <c r="FI37" s="49">
        <f t="shared" si="343"/>
        <v>44107</v>
      </c>
      <c r="FJ37" s="49">
        <f t="shared" si="343"/>
        <v>44108</v>
      </c>
      <c r="FK37" s="49">
        <f t="shared" si="343"/>
        <v>44109</v>
      </c>
      <c r="FL37" s="49">
        <f t="shared" ref="FL37:HW37" si="345">FL1</f>
        <v>44110</v>
      </c>
      <c r="FM37" s="49">
        <f t="shared" si="345"/>
        <v>44111</v>
      </c>
      <c r="FN37" s="49">
        <f t="shared" si="345"/>
        <v>44112</v>
      </c>
      <c r="FO37" s="49">
        <f t="shared" si="345"/>
        <v>44113</v>
      </c>
      <c r="FP37" s="49">
        <f t="shared" si="345"/>
        <v>44114</v>
      </c>
      <c r="FQ37" s="49">
        <f t="shared" si="345"/>
        <v>44115</v>
      </c>
      <c r="FR37" s="49">
        <f t="shared" si="345"/>
        <v>44116</v>
      </c>
      <c r="FS37" s="49">
        <f t="shared" si="345"/>
        <v>44117</v>
      </c>
      <c r="FT37" s="49">
        <f t="shared" si="345"/>
        <v>44118</v>
      </c>
      <c r="FU37" s="49">
        <f t="shared" si="345"/>
        <v>44119</v>
      </c>
      <c r="FV37" s="49">
        <f t="shared" si="345"/>
        <v>44120</v>
      </c>
      <c r="FW37" s="49">
        <f t="shared" si="345"/>
        <v>44121</v>
      </c>
      <c r="FX37" s="49">
        <f t="shared" si="345"/>
        <v>44122</v>
      </c>
      <c r="FY37" s="49">
        <f t="shared" si="345"/>
        <v>44123</v>
      </c>
      <c r="FZ37" s="49">
        <f t="shared" si="345"/>
        <v>44124</v>
      </c>
      <c r="GA37" s="49">
        <f t="shared" si="345"/>
        <v>44125</v>
      </c>
      <c r="GB37" s="49">
        <f t="shared" si="345"/>
        <v>44126</v>
      </c>
      <c r="GC37" s="49">
        <f t="shared" si="345"/>
        <v>44127</v>
      </c>
      <c r="GD37" s="49">
        <f t="shared" si="345"/>
        <v>44128</v>
      </c>
      <c r="GE37" s="49">
        <f t="shared" si="345"/>
        <v>44129</v>
      </c>
      <c r="GF37" s="49">
        <f t="shared" si="345"/>
        <v>44130</v>
      </c>
      <c r="GG37" s="49">
        <f t="shared" si="345"/>
        <v>44131</v>
      </c>
      <c r="GH37" s="49">
        <f t="shared" si="345"/>
        <v>44132</v>
      </c>
      <c r="GI37" s="49">
        <f t="shared" si="345"/>
        <v>44133</v>
      </c>
      <c r="GJ37" s="49">
        <f t="shared" si="345"/>
        <v>44134</v>
      </c>
      <c r="GK37" s="49">
        <f t="shared" si="345"/>
        <v>44135</v>
      </c>
      <c r="GL37" s="49">
        <f t="shared" si="345"/>
        <v>44136</v>
      </c>
      <c r="GM37" s="49">
        <f t="shared" si="345"/>
        <v>44137</v>
      </c>
      <c r="GN37" s="49">
        <f t="shared" si="345"/>
        <v>44138</v>
      </c>
      <c r="GO37" s="49">
        <f t="shared" si="345"/>
        <v>44139</v>
      </c>
      <c r="GP37" s="49">
        <f t="shared" si="345"/>
        <v>44140</v>
      </c>
      <c r="GQ37" s="49">
        <f t="shared" si="345"/>
        <v>44141</v>
      </c>
      <c r="GR37" s="49">
        <f t="shared" si="345"/>
        <v>44142</v>
      </c>
      <c r="GS37" s="49">
        <f t="shared" si="345"/>
        <v>44143</v>
      </c>
      <c r="GT37" s="49">
        <f t="shared" si="345"/>
        <v>44144</v>
      </c>
      <c r="GU37" s="49">
        <f t="shared" si="345"/>
        <v>44145</v>
      </c>
      <c r="GV37" s="49">
        <f t="shared" si="345"/>
        <v>44146</v>
      </c>
      <c r="GW37" s="49">
        <f t="shared" si="345"/>
        <v>44147</v>
      </c>
      <c r="GX37" s="49">
        <f t="shared" si="345"/>
        <v>44148</v>
      </c>
      <c r="GY37" s="49">
        <f t="shared" si="345"/>
        <v>44149</v>
      </c>
      <c r="GZ37" s="49">
        <f t="shared" si="345"/>
        <v>44150</v>
      </c>
      <c r="HA37" s="49">
        <f t="shared" si="345"/>
        <v>44151</v>
      </c>
      <c r="HB37" s="49">
        <f t="shared" si="345"/>
        <v>44152</v>
      </c>
      <c r="HC37" s="49">
        <f t="shared" si="345"/>
        <v>44153</v>
      </c>
      <c r="HD37" s="49">
        <f t="shared" si="345"/>
        <v>44154</v>
      </c>
      <c r="HE37" s="49">
        <f t="shared" si="345"/>
        <v>44155</v>
      </c>
      <c r="HF37" s="49">
        <f t="shared" si="345"/>
        <v>44156</v>
      </c>
      <c r="HG37" s="49">
        <f t="shared" si="345"/>
        <v>44157</v>
      </c>
      <c r="HH37" s="49">
        <f t="shared" si="345"/>
        <v>44158</v>
      </c>
      <c r="HI37" s="49">
        <f t="shared" si="345"/>
        <v>44159</v>
      </c>
      <c r="HJ37" s="49">
        <f t="shared" si="345"/>
        <v>44160</v>
      </c>
      <c r="HK37" s="49">
        <f t="shared" si="345"/>
        <v>44161</v>
      </c>
      <c r="HL37" s="49">
        <f t="shared" si="345"/>
        <v>44162</v>
      </c>
      <c r="HM37" s="49">
        <f t="shared" si="345"/>
        <v>44163</v>
      </c>
      <c r="HN37" s="49">
        <f t="shared" si="345"/>
        <v>44164</v>
      </c>
      <c r="HO37" s="49">
        <f t="shared" si="345"/>
        <v>44165</v>
      </c>
      <c r="HP37" s="49">
        <f t="shared" si="345"/>
        <v>44166</v>
      </c>
      <c r="HQ37" s="49">
        <f t="shared" si="345"/>
        <v>44167</v>
      </c>
      <c r="HR37" s="49">
        <f t="shared" si="345"/>
        <v>44168</v>
      </c>
      <c r="HS37" s="49">
        <f t="shared" si="345"/>
        <v>44169</v>
      </c>
      <c r="HT37" s="49">
        <f t="shared" si="345"/>
        <v>44170</v>
      </c>
      <c r="HU37" s="49">
        <f t="shared" si="345"/>
        <v>44171</v>
      </c>
      <c r="HV37" s="49">
        <f t="shared" si="345"/>
        <v>44172</v>
      </c>
      <c r="HW37" s="49">
        <f t="shared" si="345"/>
        <v>44173</v>
      </c>
      <c r="HX37" s="49">
        <f t="shared" ref="HX37:KI37" si="346">HX1</f>
        <v>44174</v>
      </c>
      <c r="HY37" s="49">
        <f t="shared" si="346"/>
        <v>44175</v>
      </c>
      <c r="HZ37" s="49">
        <f t="shared" si="346"/>
        <v>44176</v>
      </c>
      <c r="IA37" s="49">
        <f t="shared" si="346"/>
        <v>44177</v>
      </c>
      <c r="IB37" s="49">
        <f t="shared" si="346"/>
        <v>44178</v>
      </c>
      <c r="IC37" s="49">
        <f t="shared" si="346"/>
        <v>44179</v>
      </c>
      <c r="ID37" s="49">
        <f t="shared" si="346"/>
        <v>44180</v>
      </c>
      <c r="IE37" s="49">
        <f t="shared" si="346"/>
        <v>44181</v>
      </c>
      <c r="IF37" s="49">
        <f t="shared" si="346"/>
        <v>44182</v>
      </c>
      <c r="IG37" s="49">
        <f t="shared" si="346"/>
        <v>44183</v>
      </c>
      <c r="IH37" s="49">
        <f t="shared" si="346"/>
        <v>44184</v>
      </c>
      <c r="II37" s="49">
        <f t="shared" si="346"/>
        <v>44185</v>
      </c>
      <c r="IJ37" s="49">
        <f t="shared" si="346"/>
        <v>44186</v>
      </c>
      <c r="IK37" s="49">
        <f t="shared" si="346"/>
        <v>44187</v>
      </c>
      <c r="IL37" s="49">
        <f t="shared" si="346"/>
        <v>44188</v>
      </c>
      <c r="IM37" s="49">
        <f t="shared" si="346"/>
        <v>44189</v>
      </c>
      <c r="IN37" s="49">
        <f t="shared" si="346"/>
        <v>44190</v>
      </c>
      <c r="IO37" s="49">
        <f t="shared" si="346"/>
        <v>44191</v>
      </c>
      <c r="IP37" s="49">
        <f t="shared" si="346"/>
        <v>44192</v>
      </c>
      <c r="IQ37" s="49">
        <f t="shared" si="346"/>
        <v>44193</v>
      </c>
      <c r="IR37" s="49">
        <f t="shared" si="346"/>
        <v>44194</v>
      </c>
      <c r="IS37" s="49">
        <f t="shared" si="346"/>
        <v>44195</v>
      </c>
      <c r="IT37" s="49">
        <f t="shared" si="346"/>
        <v>44196</v>
      </c>
      <c r="IU37" s="49">
        <f t="shared" si="346"/>
        <v>44197</v>
      </c>
      <c r="IV37" s="49">
        <f t="shared" si="346"/>
        <v>44198</v>
      </c>
      <c r="IW37" s="49">
        <f t="shared" si="346"/>
        <v>44199</v>
      </c>
      <c r="IX37" s="49">
        <f t="shared" si="346"/>
        <v>44200</v>
      </c>
      <c r="IY37" s="49">
        <f t="shared" si="346"/>
        <v>44201</v>
      </c>
      <c r="IZ37" s="49">
        <f t="shared" si="346"/>
        <v>44202</v>
      </c>
      <c r="JA37" s="49">
        <f t="shared" si="346"/>
        <v>44203</v>
      </c>
      <c r="JB37" s="49">
        <f t="shared" si="346"/>
        <v>44204</v>
      </c>
      <c r="JC37" s="49">
        <f t="shared" si="346"/>
        <v>44205</v>
      </c>
      <c r="JD37" s="49">
        <f t="shared" si="346"/>
        <v>44206</v>
      </c>
      <c r="JE37" s="49">
        <f t="shared" si="346"/>
        <v>44207</v>
      </c>
      <c r="JF37" s="49">
        <f t="shared" si="346"/>
        <v>44208</v>
      </c>
      <c r="JG37" s="49">
        <f t="shared" si="346"/>
        <v>44209</v>
      </c>
      <c r="JH37" s="49">
        <f t="shared" si="346"/>
        <v>44210</v>
      </c>
      <c r="JI37" s="49">
        <f t="shared" si="346"/>
        <v>44211</v>
      </c>
      <c r="JJ37" s="49">
        <f t="shared" si="346"/>
        <v>44212</v>
      </c>
      <c r="JK37" s="49">
        <f t="shared" si="346"/>
        <v>44213</v>
      </c>
      <c r="JL37" s="49">
        <f t="shared" si="346"/>
        <v>44214</v>
      </c>
      <c r="JM37" s="49">
        <f t="shared" si="346"/>
        <v>44215</v>
      </c>
      <c r="JN37" s="49">
        <f t="shared" si="346"/>
        <v>44216</v>
      </c>
      <c r="JO37" s="49">
        <f t="shared" si="346"/>
        <v>44217</v>
      </c>
      <c r="JP37" s="49">
        <f t="shared" si="346"/>
        <v>44218</v>
      </c>
      <c r="JQ37" s="49">
        <f t="shared" si="346"/>
        <v>44219</v>
      </c>
      <c r="JR37" s="49">
        <f t="shared" si="346"/>
        <v>44220</v>
      </c>
      <c r="JS37" s="49">
        <f t="shared" si="346"/>
        <v>44221</v>
      </c>
      <c r="JT37" s="49">
        <f t="shared" si="346"/>
        <v>44222</v>
      </c>
      <c r="JU37" s="49">
        <f t="shared" si="346"/>
        <v>44223</v>
      </c>
      <c r="JV37" s="49">
        <f t="shared" si="346"/>
        <v>44224</v>
      </c>
      <c r="JW37" s="49">
        <f t="shared" si="346"/>
        <v>44225</v>
      </c>
      <c r="JX37" s="49">
        <f t="shared" si="346"/>
        <v>44226</v>
      </c>
      <c r="JY37" s="49">
        <f t="shared" si="346"/>
        <v>44227</v>
      </c>
      <c r="JZ37" s="49">
        <f t="shared" si="346"/>
        <v>44228</v>
      </c>
      <c r="KA37" s="49">
        <f t="shared" si="346"/>
        <v>44229</v>
      </c>
      <c r="KB37" s="49">
        <f t="shared" si="346"/>
        <v>44230</v>
      </c>
      <c r="KC37" s="49">
        <f t="shared" si="346"/>
        <v>44231</v>
      </c>
      <c r="KD37" s="49">
        <f t="shared" si="346"/>
        <v>44232</v>
      </c>
      <c r="KE37" s="49">
        <f t="shared" si="346"/>
        <v>44233</v>
      </c>
      <c r="KF37" s="49">
        <f t="shared" si="346"/>
        <v>44234</v>
      </c>
      <c r="KG37" s="49">
        <f t="shared" si="346"/>
        <v>44235</v>
      </c>
      <c r="KH37" s="49">
        <f t="shared" si="346"/>
        <v>44236</v>
      </c>
      <c r="KI37" s="49">
        <f t="shared" si="346"/>
        <v>44237</v>
      </c>
      <c r="KJ37" s="49">
        <f t="shared" ref="KJ37:MJ37" si="347">KJ1</f>
        <v>44238</v>
      </c>
      <c r="KK37" s="49">
        <f t="shared" si="347"/>
        <v>44239</v>
      </c>
      <c r="KL37" s="49">
        <f t="shared" si="347"/>
        <v>44240</v>
      </c>
      <c r="KM37" s="49">
        <f t="shared" si="347"/>
        <v>44241</v>
      </c>
      <c r="KN37" s="49">
        <f t="shared" si="347"/>
        <v>44242</v>
      </c>
      <c r="KO37" s="49">
        <f t="shared" si="347"/>
        <v>44243</v>
      </c>
      <c r="KP37" s="49">
        <f t="shared" si="347"/>
        <v>44244</v>
      </c>
      <c r="KQ37" s="49">
        <f t="shared" si="347"/>
        <v>44245</v>
      </c>
      <c r="KR37" s="49">
        <f t="shared" si="347"/>
        <v>44246</v>
      </c>
      <c r="KS37" s="49">
        <f t="shared" si="347"/>
        <v>44247</v>
      </c>
      <c r="KT37" s="49">
        <f t="shared" si="347"/>
        <v>44248</v>
      </c>
      <c r="KU37" s="49">
        <f t="shared" si="347"/>
        <v>44249</v>
      </c>
      <c r="KV37" s="49">
        <f t="shared" si="347"/>
        <v>44250</v>
      </c>
      <c r="KW37" s="49">
        <f t="shared" si="347"/>
        <v>44251</v>
      </c>
      <c r="KX37" s="49">
        <f t="shared" si="347"/>
        <v>44252</v>
      </c>
      <c r="KY37" s="49">
        <f t="shared" si="347"/>
        <v>44253</v>
      </c>
      <c r="KZ37" s="49">
        <f t="shared" si="347"/>
        <v>44254</v>
      </c>
      <c r="LA37" s="49">
        <f t="shared" si="347"/>
        <v>44255</v>
      </c>
      <c r="LB37" s="49">
        <f t="shared" si="347"/>
        <v>44256</v>
      </c>
      <c r="LC37" s="49">
        <f t="shared" si="347"/>
        <v>44257</v>
      </c>
      <c r="LD37" s="49">
        <f t="shared" si="347"/>
        <v>44258</v>
      </c>
      <c r="LE37" s="49">
        <f t="shared" si="347"/>
        <v>44259</v>
      </c>
      <c r="LF37" s="49">
        <f t="shared" si="347"/>
        <v>44260</v>
      </c>
      <c r="LG37" s="49">
        <f t="shared" si="347"/>
        <v>44261</v>
      </c>
      <c r="LH37" s="49">
        <f t="shared" si="347"/>
        <v>44262</v>
      </c>
      <c r="LI37" s="49">
        <f t="shared" si="347"/>
        <v>44263</v>
      </c>
      <c r="LJ37" s="49">
        <f t="shared" si="347"/>
        <v>44264</v>
      </c>
      <c r="LK37" s="49">
        <f t="shared" si="347"/>
        <v>44265</v>
      </c>
      <c r="LL37" s="49">
        <f t="shared" si="347"/>
        <v>44266</v>
      </c>
      <c r="LM37" s="49">
        <f t="shared" si="347"/>
        <v>44267</v>
      </c>
      <c r="LN37" s="49">
        <f t="shared" si="347"/>
        <v>44268</v>
      </c>
      <c r="LO37" s="49">
        <f t="shared" si="347"/>
        <v>44269</v>
      </c>
      <c r="LP37" s="49">
        <f t="shared" si="347"/>
        <v>44270</v>
      </c>
      <c r="LQ37" s="49">
        <f t="shared" si="347"/>
        <v>44271</v>
      </c>
      <c r="LR37" s="49">
        <f t="shared" si="347"/>
        <v>44272</v>
      </c>
      <c r="LS37" s="49">
        <f t="shared" si="347"/>
        <v>44273</v>
      </c>
      <c r="LT37" s="49">
        <f t="shared" si="347"/>
        <v>44274</v>
      </c>
      <c r="LU37" s="49">
        <f t="shared" si="347"/>
        <v>44275</v>
      </c>
      <c r="LV37" s="49">
        <f t="shared" si="347"/>
        <v>44276</v>
      </c>
      <c r="LW37" s="49">
        <f t="shared" si="347"/>
        <v>44277</v>
      </c>
      <c r="LX37" s="49">
        <f t="shared" si="347"/>
        <v>44278</v>
      </c>
      <c r="LY37" s="49">
        <f t="shared" si="347"/>
        <v>44279</v>
      </c>
      <c r="LZ37" s="49">
        <f t="shared" si="347"/>
        <v>44280</v>
      </c>
      <c r="MA37" s="49">
        <f t="shared" si="347"/>
        <v>44281</v>
      </c>
      <c r="MB37" s="49">
        <f t="shared" si="347"/>
        <v>44282</v>
      </c>
      <c r="MC37" s="49">
        <f t="shared" si="347"/>
        <v>44283</v>
      </c>
      <c r="MD37" s="49">
        <f t="shared" si="347"/>
        <v>44284</v>
      </c>
      <c r="ME37" s="49">
        <f t="shared" si="347"/>
        <v>44285</v>
      </c>
      <c r="MF37" s="49">
        <f t="shared" si="347"/>
        <v>44286</v>
      </c>
      <c r="MG37" s="49">
        <f t="shared" si="347"/>
        <v>44287</v>
      </c>
      <c r="MH37" s="49">
        <f t="shared" si="347"/>
        <v>44288</v>
      </c>
      <c r="MI37" s="49">
        <f t="shared" si="347"/>
        <v>44289</v>
      </c>
      <c r="MJ37" s="49">
        <f t="shared" si="347"/>
        <v>44290</v>
      </c>
    </row>
    <row r="38" spans="1:348" ht="15" customHeight="1" x14ac:dyDescent="0.25">
      <c r="A38" s="138" t="s">
        <v>144</v>
      </c>
      <c r="B38" s="138"/>
      <c r="C38" s="138"/>
      <c r="D38" s="138"/>
      <c r="E38" s="139"/>
      <c r="F38" s="36"/>
      <c r="G38" s="36"/>
      <c r="H38" s="36"/>
      <c r="I38" s="36"/>
      <c r="J38" s="36"/>
      <c r="K38" s="36"/>
      <c r="L38" s="36"/>
      <c r="M38" s="36"/>
      <c r="N38" s="36"/>
      <c r="O38" s="35"/>
      <c r="P38" s="149" t="s">
        <v>49</v>
      </c>
      <c r="Q38" s="149" t="s">
        <v>48</v>
      </c>
      <c r="R38" s="150"/>
      <c r="S38" s="54">
        <f>S37</f>
        <v>43975</v>
      </c>
      <c r="T38" s="55">
        <f t="shared" ref="T38:BV38" si="348">T37</f>
        <v>43976</v>
      </c>
      <c r="U38" s="54">
        <f t="shared" si="348"/>
        <v>43977</v>
      </c>
      <c r="V38" s="54">
        <f t="shared" si="348"/>
        <v>43978</v>
      </c>
      <c r="W38" s="54">
        <f t="shared" si="348"/>
        <v>43979</v>
      </c>
      <c r="X38" s="54">
        <f t="shared" si="348"/>
        <v>43980</v>
      </c>
      <c r="Y38" s="54">
        <f t="shared" si="348"/>
        <v>43981</v>
      </c>
      <c r="Z38" s="53">
        <f t="shared" si="348"/>
        <v>43982</v>
      </c>
      <c r="AA38" s="54">
        <f t="shared" si="348"/>
        <v>43983</v>
      </c>
      <c r="AB38" s="54">
        <f t="shared" si="348"/>
        <v>43984</v>
      </c>
      <c r="AC38" s="54">
        <f t="shared" si="348"/>
        <v>43985</v>
      </c>
      <c r="AD38" s="54">
        <f t="shared" si="348"/>
        <v>43986</v>
      </c>
      <c r="AE38" s="54">
        <f t="shared" si="348"/>
        <v>43987</v>
      </c>
      <c r="AF38" s="54">
        <f t="shared" si="348"/>
        <v>43988</v>
      </c>
      <c r="AG38" s="53">
        <f t="shared" si="348"/>
        <v>43989</v>
      </c>
      <c r="AH38" s="54">
        <f t="shared" si="348"/>
        <v>43990</v>
      </c>
      <c r="AI38" s="54">
        <f t="shared" si="348"/>
        <v>43991</v>
      </c>
      <c r="AJ38" s="54">
        <f t="shared" si="348"/>
        <v>43992</v>
      </c>
      <c r="AK38" s="54">
        <f t="shared" si="348"/>
        <v>43993</v>
      </c>
      <c r="AL38" s="54">
        <f t="shared" si="348"/>
        <v>43994</v>
      </c>
      <c r="AM38" s="54">
        <f t="shared" si="348"/>
        <v>43995</v>
      </c>
      <c r="AN38" s="53">
        <f t="shared" si="348"/>
        <v>43996</v>
      </c>
      <c r="AO38" s="54">
        <f t="shared" si="348"/>
        <v>43997</v>
      </c>
      <c r="AP38" s="54">
        <f t="shared" si="348"/>
        <v>43998</v>
      </c>
      <c r="AQ38" s="54">
        <f t="shared" si="348"/>
        <v>43999</v>
      </c>
      <c r="AR38" s="54">
        <f t="shared" si="348"/>
        <v>44000</v>
      </c>
      <c r="AS38" s="54">
        <f t="shared" si="348"/>
        <v>44001</v>
      </c>
      <c r="AT38" s="54">
        <f t="shared" si="348"/>
        <v>44002</v>
      </c>
      <c r="AU38" s="53">
        <f t="shared" si="348"/>
        <v>44003</v>
      </c>
      <c r="AV38" s="54">
        <f t="shared" si="348"/>
        <v>44004</v>
      </c>
      <c r="AW38" s="54">
        <f t="shared" si="348"/>
        <v>44005</v>
      </c>
      <c r="AX38" s="54">
        <f t="shared" si="348"/>
        <v>44006</v>
      </c>
      <c r="AY38" s="54">
        <f t="shared" si="348"/>
        <v>44007</v>
      </c>
      <c r="AZ38" s="54">
        <f t="shared" si="348"/>
        <v>44008</v>
      </c>
      <c r="BA38" s="54">
        <f t="shared" si="348"/>
        <v>44009</v>
      </c>
      <c r="BB38" s="53">
        <f t="shared" si="348"/>
        <v>44010</v>
      </c>
      <c r="BC38" s="54">
        <f t="shared" si="348"/>
        <v>44011</v>
      </c>
      <c r="BD38" s="54">
        <f t="shared" si="348"/>
        <v>44012</v>
      </c>
      <c r="BE38" s="54">
        <f t="shared" si="348"/>
        <v>44013</v>
      </c>
      <c r="BF38" s="54">
        <f t="shared" si="348"/>
        <v>44014</v>
      </c>
      <c r="BG38" s="54">
        <f t="shared" si="348"/>
        <v>44015</v>
      </c>
      <c r="BH38" s="54">
        <f t="shared" si="348"/>
        <v>44016</v>
      </c>
      <c r="BI38" s="53">
        <f t="shared" si="348"/>
        <v>44017</v>
      </c>
      <c r="BJ38" s="54">
        <f t="shared" si="348"/>
        <v>44018</v>
      </c>
      <c r="BK38" s="54">
        <f t="shared" si="348"/>
        <v>44019</v>
      </c>
      <c r="BL38" s="54">
        <f t="shared" si="348"/>
        <v>44020</v>
      </c>
      <c r="BM38" s="54">
        <f t="shared" si="348"/>
        <v>44021</v>
      </c>
      <c r="BN38" s="54">
        <f t="shared" si="348"/>
        <v>44022</v>
      </c>
      <c r="BO38" s="54">
        <f t="shared" si="348"/>
        <v>44023</v>
      </c>
      <c r="BP38" s="53">
        <v>12</v>
      </c>
      <c r="BQ38" s="54">
        <f t="shared" si="348"/>
        <v>44025</v>
      </c>
      <c r="BR38" s="54">
        <f t="shared" si="348"/>
        <v>44026</v>
      </c>
      <c r="BS38" s="54">
        <f t="shared" si="348"/>
        <v>44027</v>
      </c>
      <c r="BT38" s="54">
        <f t="shared" si="348"/>
        <v>44028</v>
      </c>
      <c r="BU38" s="54">
        <f t="shared" si="348"/>
        <v>44029</v>
      </c>
      <c r="BV38" s="54">
        <f t="shared" si="348"/>
        <v>44030</v>
      </c>
      <c r="BW38" s="54">
        <v>19</v>
      </c>
      <c r="BX38" s="54"/>
      <c r="BY38" s="53"/>
      <c r="BZ38" s="54"/>
      <c r="CA38" s="54"/>
      <c r="CB38" s="54"/>
      <c r="CC38" s="54"/>
      <c r="CD38" s="54"/>
      <c r="CE38" s="54"/>
      <c r="CF38" s="54"/>
      <c r="CG38" s="54"/>
      <c r="CH38" s="53"/>
      <c r="CI38" s="54"/>
      <c r="CJ38" s="54"/>
      <c r="CK38" s="54"/>
      <c r="CL38" s="54"/>
      <c r="CM38" s="54"/>
      <c r="CN38" s="54"/>
      <c r="CO38" s="54"/>
      <c r="CP38" s="54"/>
      <c r="CQ38" s="53"/>
      <c r="CR38" s="54"/>
      <c r="CS38" s="54"/>
      <c r="CT38" s="54"/>
      <c r="CU38" s="54"/>
      <c r="CV38" s="54"/>
      <c r="CW38" s="54"/>
      <c r="CX38" s="54"/>
      <c r="CY38" s="54"/>
      <c r="CZ38" s="53"/>
      <c r="DA38" s="54"/>
      <c r="DB38" s="54"/>
      <c r="DC38" s="54"/>
      <c r="DD38" s="54"/>
      <c r="DE38" s="54"/>
      <c r="DF38" s="54"/>
      <c r="DG38" s="54"/>
      <c r="DH38" s="54"/>
      <c r="DI38" s="53"/>
      <c r="DJ38" s="54"/>
      <c r="DK38" s="54"/>
      <c r="DL38" s="54"/>
      <c r="DM38" s="54"/>
      <c r="DN38" s="54"/>
      <c r="DO38" s="54"/>
      <c r="DP38" s="54"/>
      <c r="DQ38" s="54"/>
      <c r="DR38" s="53"/>
      <c r="DS38" s="54">
        <f t="shared" ref="DS38:FD38" si="349">DS37</f>
        <v>44067</v>
      </c>
      <c r="DT38" s="54">
        <f t="shared" si="349"/>
        <v>44068</v>
      </c>
      <c r="DU38" s="54">
        <f t="shared" si="349"/>
        <v>44069</v>
      </c>
      <c r="DV38" s="54">
        <f t="shared" si="349"/>
        <v>44070</v>
      </c>
      <c r="DW38" s="54">
        <f t="shared" si="349"/>
        <v>44071</v>
      </c>
      <c r="DX38" s="54">
        <f t="shared" ref="DX38:DY38" si="350">DX37</f>
        <v>44072</v>
      </c>
      <c r="DY38" s="54">
        <f t="shared" si="350"/>
        <v>44073</v>
      </c>
      <c r="DZ38" s="54"/>
      <c r="EA38" s="53"/>
      <c r="EB38" s="54">
        <f t="shared" si="349"/>
        <v>44074</v>
      </c>
      <c r="EC38" s="54">
        <f t="shared" si="349"/>
        <v>44075</v>
      </c>
      <c r="ED38" s="54">
        <f t="shared" si="349"/>
        <v>44076</v>
      </c>
      <c r="EE38" s="54">
        <f t="shared" si="349"/>
        <v>44077</v>
      </c>
      <c r="EF38" s="54">
        <f t="shared" si="349"/>
        <v>44078</v>
      </c>
      <c r="EG38" s="54">
        <f t="shared" si="349"/>
        <v>44079</v>
      </c>
      <c r="EH38" s="53">
        <f t="shared" si="349"/>
        <v>44080</v>
      </c>
      <c r="EI38" s="54">
        <f t="shared" si="349"/>
        <v>44081</v>
      </c>
      <c r="EJ38" s="54">
        <f t="shared" si="349"/>
        <v>44082</v>
      </c>
      <c r="EK38" s="54">
        <f t="shared" si="349"/>
        <v>44083</v>
      </c>
      <c r="EL38" s="54">
        <f t="shared" si="349"/>
        <v>44084</v>
      </c>
      <c r="EM38" s="54">
        <f t="shared" si="349"/>
        <v>44085</v>
      </c>
      <c r="EN38" s="54">
        <f t="shared" si="349"/>
        <v>44086</v>
      </c>
      <c r="EO38" s="53">
        <f t="shared" si="349"/>
        <v>44087</v>
      </c>
      <c r="EP38" s="54">
        <f t="shared" si="349"/>
        <v>44088</v>
      </c>
      <c r="EQ38" s="54">
        <f t="shared" si="349"/>
        <v>44089</v>
      </c>
      <c r="ER38" s="54">
        <f t="shared" si="349"/>
        <v>44090</v>
      </c>
      <c r="ES38" s="54">
        <f t="shared" si="349"/>
        <v>44091</v>
      </c>
      <c r="ET38" s="54">
        <f t="shared" si="349"/>
        <v>44092</v>
      </c>
      <c r="EU38" s="54">
        <f t="shared" si="349"/>
        <v>44093</v>
      </c>
      <c r="EV38" s="53">
        <f t="shared" si="349"/>
        <v>44094</v>
      </c>
      <c r="EW38" s="54">
        <f t="shared" si="349"/>
        <v>44095</v>
      </c>
      <c r="EX38" s="54">
        <f t="shared" si="349"/>
        <v>44096</v>
      </c>
      <c r="EY38" s="54">
        <f t="shared" si="349"/>
        <v>44097</v>
      </c>
      <c r="EZ38" s="54">
        <f t="shared" si="349"/>
        <v>44098</v>
      </c>
      <c r="FA38" s="54">
        <f t="shared" si="349"/>
        <v>44099</v>
      </c>
      <c r="FB38" s="54">
        <f t="shared" si="349"/>
        <v>44100</v>
      </c>
      <c r="FC38" s="53">
        <f t="shared" si="349"/>
        <v>44101</v>
      </c>
      <c r="FD38" s="54">
        <f t="shared" si="349"/>
        <v>44102</v>
      </c>
      <c r="FE38" s="54">
        <f t="shared" ref="FE38:HP38" si="351">FE37</f>
        <v>44103</v>
      </c>
      <c r="FF38" s="54">
        <f t="shared" si="351"/>
        <v>44104</v>
      </c>
      <c r="FG38" s="54">
        <f t="shared" si="351"/>
        <v>44105</v>
      </c>
      <c r="FH38" s="54">
        <f t="shared" si="351"/>
        <v>44106</v>
      </c>
      <c r="FI38" s="54">
        <f t="shared" si="351"/>
        <v>44107</v>
      </c>
      <c r="FJ38" s="53">
        <f t="shared" si="351"/>
        <v>44108</v>
      </c>
      <c r="FK38" s="54">
        <f t="shared" si="351"/>
        <v>44109</v>
      </c>
      <c r="FL38" s="54">
        <f t="shared" si="351"/>
        <v>44110</v>
      </c>
      <c r="FM38" s="54">
        <f t="shared" si="351"/>
        <v>44111</v>
      </c>
      <c r="FN38" s="54">
        <f t="shared" si="351"/>
        <v>44112</v>
      </c>
      <c r="FO38" s="54">
        <f t="shared" si="351"/>
        <v>44113</v>
      </c>
      <c r="FP38" s="54">
        <f t="shared" si="351"/>
        <v>44114</v>
      </c>
      <c r="FQ38" s="53">
        <f t="shared" si="351"/>
        <v>44115</v>
      </c>
      <c r="FR38" s="54">
        <f t="shared" si="351"/>
        <v>44116</v>
      </c>
      <c r="FS38" s="54">
        <f t="shared" si="351"/>
        <v>44117</v>
      </c>
      <c r="FT38" s="54">
        <f t="shared" si="351"/>
        <v>44118</v>
      </c>
      <c r="FU38" s="54">
        <f t="shared" si="351"/>
        <v>44119</v>
      </c>
      <c r="FV38" s="54">
        <f t="shared" si="351"/>
        <v>44120</v>
      </c>
      <c r="FW38" s="54">
        <f t="shared" si="351"/>
        <v>44121</v>
      </c>
      <c r="FX38" s="53">
        <f t="shared" si="351"/>
        <v>44122</v>
      </c>
      <c r="FY38" s="54">
        <f t="shared" si="351"/>
        <v>44123</v>
      </c>
      <c r="FZ38" s="54">
        <f t="shared" si="351"/>
        <v>44124</v>
      </c>
      <c r="GA38" s="54">
        <f t="shared" si="351"/>
        <v>44125</v>
      </c>
      <c r="GB38" s="54">
        <f t="shared" si="351"/>
        <v>44126</v>
      </c>
      <c r="GC38" s="54">
        <f t="shared" si="351"/>
        <v>44127</v>
      </c>
      <c r="GD38" s="54">
        <f t="shared" si="351"/>
        <v>44128</v>
      </c>
      <c r="GE38" s="53">
        <f t="shared" si="351"/>
        <v>44129</v>
      </c>
      <c r="GF38" s="54">
        <f t="shared" si="351"/>
        <v>44130</v>
      </c>
      <c r="GG38" s="54">
        <f t="shared" si="351"/>
        <v>44131</v>
      </c>
      <c r="GH38" s="54">
        <f t="shared" si="351"/>
        <v>44132</v>
      </c>
      <c r="GI38" s="54">
        <f t="shared" si="351"/>
        <v>44133</v>
      </c>
      <c r="GJ38" s="54">
        <f t="shared" si="351"/>
        <v>44134</v>
      </c>
      <c r="GK38" s="54">
        <f t="shared" si="351"/>
        <v>44135</v>
      </c>
      <c r="GL38" s="53">
        <f t="shared" si="351"/>
        <v>44136</v>
      </c>
      <c r="GM38" s="54">
        <f t="shared" si="351"/>
        <v>44137</v>
      </c>
      <c r="GN38" s="54">
        <f t="shared" si="351"/>
        <v>44138</v>
      </c>
      <c r="GO38" s="54">
        <f t="shared" si="351"/>
        <v>44139</v>
      </c>
      <c r="GP38" s="54">
        <f t="shared" si="351"/>
        <v>44140</v>
      </c>
      <c r="GQ38" s="54">
        <f t="shared" si="351"/>
        <v>44141</v>
      </c>
      <c r="GR38" s="54">
        <f t="shared" si="351"/>
        <v>44142</v>
      </c>
      <c r="GS38" s="53">
        <f t="shared" si="351"/>
        <v>44143</v>
      </c>
      <c r="GT38" s="54">
        <f t="shared" si="351"/>
        <v>44144</v>
      </c>
      <c r="GU38" s="54">
        <f t="shared" si="351"/>
        <v>44145</v>
      </c>
      <c r="GV38" s="54">
        <f t="shared" si="351"/>
        <v>44146</v>
      </c>
      <c r="GW38" s="54">
        <f t="shared" si="351"/>
        <v>44147</v>
      </c>
      <c r="GX38" s="54">
        <f t="shared" si="351"/>
        <v>44148</v>
      </c>
      <c r="GY38" s="54">
        <f t="shared" si="351"/>
        <v>44149</v>
      </c>
      <c r="GZ38" s="53">
        <f t="shared" si="351"/>
        <v>44150</v>
      </c>
      <c r="HA38" s="54">
        <f t="shared" si="351"/>
        <v>44151</v>
      </c>
      <c r="HB38" s="54">
        <f t="shared" si="351"/>
        <v>44152</v>
      </c>
      <c r="HC38" s="54">
        <f t="shared" si="351"/>
        <v>44153</v>
      </c>
      <c r="HD38" s="54">
        <f t="shared" si="351"/>
        <v>44154</v>
      </c>
      <c r="HE38" s="54">
        <f t="shared" si="351"/>
        <v>44155</v>
      </c>
      <c r="HF38" s="54">
        <f t="shared" si="351"/>
        <v>44156</v>
      </c>
      <c r="HG38" s="53">
        <f t="shared" si="351"/>
        <v>44157</v>
      </c>
      <c r="HH38" s="54">
        <f t="shared" si="351"/>
        <v>44158</v>
      </c>
      <c r="HI38" s="54">
        <f t="shared" si="351"/>
        <v>44159</v>
      </c>
      <c r="HJ38" s="54">
        <f t="shared" si="351"/>
        <v>44160</v>
      </c>
      <c r="HK38" s="54">
        <f t="shared" si="351"/>
        <v>44161</v>
      </c>
      <c r="HL38" s="54">
        <f t="shared" si="351"/>
        <v>44162</v>
      </c>
      <c r="HM38" s="54">
        <f t="shared" si="351"/>
        <v>44163</v>
      </c>
      <c r="HN38" s="53">
        <f t="shared" si="351"/>
        <v>44164</v>
      </c>
      <c r="HO38" s="54">
        <f t="shared" si="351"/>
        <v>44165</v>
      </c>
      <c r="HP38" s="54">
        <f t="shared" si="351"/>
        <v>44166</v>
      </c>
      <c r="HQ38" s="54">
        <f t="shared" ref="HQ38:KB38" si="352">HQ37</f>
        <v>44167</v>
      </c>
      <c r="HR38" s="54">
        <f t="shared" si="352"/>
        <v>44168</v>
      </c>
      <c r="HS38" s="54">
        <f t="shared" si="352"/>
        <v>44169</v>
      </c>
      <c r="HT38" s="54">
        <f t="shared" si="352"/>
        <v>44170</v>
      </c>
      <c r="HU38" s="53">
        <f t="shared" si="352"/>
        <v>44171</v>
      </c>
      <c r="HV38" s="54">
        <f t="shared" si="352"/>
        <v>44172</v>
      </c>
      <c r="HW38" s="54">
        <f t="shared" si="352"/>
        <v>44173</v>
      </c>
      <c r="HX38" s="54">
        <f t="shared" si="352"/>
        <v>44174</v>
      </c>
      <c r="HY38" s="54">
        <f t="shared" si="352"/>
        <v>44175</v>
      </c>
      <c r="HZ38" s="54">
        <f t="shared" si="352"/>
        <v>44176</v>
      </c>
      <c r="IA38" s="54">
        <f t="shared" si="352"/>
        <v>44177</v>
      </c>
      <c r="IB38" s="53">
        <f t="shared" si="352"/>
        <v>44178</v>
      </c>
      <c r="IC38" s="54">
        <f t="shared" si="352"/>
        <v>44179</v>
      </c>
      <c r="ID38" s="54">
        <f t="shared" si="352"/>
        <v>44180</v>
      </c>
      <c r="IE38" s="54">
        <f t="shared" si="352"/>
        <v>44181</v>
      </c>
      <c r="IF38" s="54">
        <f t="shared" si="352"/>
        <v>44182</v>
      </c>
      <c r="IG38" s="54">
        <f t="shared" si="352"/>
        <v>44183</v>
      </c>
      <c r="IH38" s="54">
        <f t="shared" si="352"/>
        <v>44184</v>
      </c>
      <c r="II38" s="53">
        <f t="shared" si="352"/>
        <v>44185</v>
      </c>
      <c r="IJ38" s="54">
        <f t="shared" si="352"/>
        <v>44186</v>
      </c>
      <c r="IK38" s="54">
        <f t="shared" si="352"/>
        <v>44187</v>
      </c>
      <c r="IL38" s="54">
        <f t="shared" si="352"/>
        <v>44188</v>
      </c>
      <c r="IM38" s="54">
        <f t="shared" si="352"/>
        <v>44189</v>
      </c>
      <c r="IN38" s="54">
        <f t="shared" si="352"/>
        <v>44190</v>
      </c>
      <c r="IO38" s="54">
        <f t="shared" si="352"/>
        <v>44191</v>
      </c>
      <c r="IP38" s="53">
        <f t="shared" si="352"/>
        <v>44192</v>
      </c>
      <c r="IQ38" s="54">
        <f t="shared" si="352"/>
        <v>44193</v>
      </c>
      <c r="IR38" s="54">
        <f t="shared" si="352"/>
        <v>44194</v>
      </c>
      <c r="IS38" s="54">
        <f t="shared" si="352"/>
        <v>44195</v>
      </c>
      <c r="IT38" s="54">
        <f t="shared" si="352"/>
        <v>44196</v>
      </c>
      <c r="IU38" s="54">
        <f t="shared" si="352"/>
        <v>44197</v>
      </c>
      <c r="IV38" s="54">
        <f t="shared" si="352"/>
        <v>44198</v>
      </c>
      <c r="IW38" s="53">
        <f t="shared" si="352"/>
        <v>44199</v>
      </c>
      <c r="IX38" s="54">
        <f t="shared" si="352"/>
        <v>44200</v>
      </c>
      <c r="IY38" s="54">
        <f t="shared" si="352"/>
        <v>44201</v>
      </c>
      <c r="IZ38" s="54">
        <f t="shared" si="352"/>
        <v>44202</v>
      </c>
      <c r="JA38" s="54">
        <f t="shared" si="352"/>
        <v>44203</v>
      </c>
      <c r="JB38" s="54">
        <f t="shared" si="352"/>
        <v>44204</v>
      </c>
      <c r="JC38" s="54">
        <f t="shared" si="352"/>
        <v>44205</v>
      </c>
      <c r="JD38" s="53">
        <f t="shared" si="352"/>
        <v>44206</v>
      </c>
      <c r="JE38" s="54">
        <f t="shared" si="352"/>
        <v>44207</v>
      </c>
      <c r="JF38" s="54">
        <f t="shared" si="352"/>
        <v>44208</v>
      </c>
      <c r="JG38" s="54">
        <f t="shared" si="352"/>
        <v>44209</v>
      </c>
      <c r="JH38" s="54">
        <f t="shared" si="352"/>
        <v>44210</v>
      </c>
      <c r="JI38" s="54">
        <f t="shared" si="352"/>
        <v>44211</v>
      </c>
      <c r="JJ38" s="54">
        <f t="shared" si="352"/>
        <v>44212</v>
      </c>
      <c r="JK38" s="53">
        <f t="shared" si="352"/>
        <v>44213</v>
      </c>
      <c r="JL38" s="54">
        <f t="shared" si="352"/>
        <v>44214</v>
      </c>
      <c r="JM38" s="54">
        <f t="shared" si="352"/>
        <v>44215</v>
      </c>
      <c r="JN38" s="54">
        <f t="shared" si="352"/>
        <v>44216</v>
      </c>
      <c r="JO38" s="54">
        <f t="shared" si="352"/>
        <v>44217</v>
      </c>
      <c r="JP38" s="54">
        <f t="shared" si="352"/>
        <v>44218</v>
      </c>
      <c r="JQ38" s="54">
        <f t="shared" si="352"/>
        <v>44219</v>
      </c>
      <c r="JR38" s="53">
        <f t="shared" si="352"/>
        <v>44220</v>
      </c>
      <c r="JS38" s="54">
        <f t="shared" si="352"/>
        <v>44221</v>
      </c>
      <c r="JT38" s="54">
        <f t="shared" si="352"/>
        <v>44222</v>
      </c>
      <c r="JU38" s="54">
        <f t="shared" si="352"/>
        <v>44223</v>
      </c>
      <c r="JV38" s="54">
        <f t="shared" si="352"/>
        <v>44224</v>
      </c>
      <c r="JW38" s="54">
        <f t="shared" si="352"/>
        <v>44225</v>
      </c>
      <c r="JX38" s="54">
        <f t="shared" si="352"/>
        <v>44226</v>
      </c>
      <c r="JY38" s="53">
        <f t="shared" si="352"/>
        <v>44227</v>
      </c>
      <c r="JZ38" s="54">
        <f t="shared" si="352"/>
        <v>44228</v>
      </c>
      <c r="KA38" s="54">
        <f t="shared" si="352"/>
        <v>44229</v>
      </c>
      <c r="KB38" s="54">
        <f t="shared" si="352"/>
        <v>44230</v>
      </c>
      <c r="KC38" s="54">
        <f t="shared" ref="KC38:MJ38" si="353">KC37</f>
        <v>44231</v>
      </c>
      <c r="KD38" s="54">
        <f t="shared" si="353"/>
        <v>44232</v>
      </c>
      <c r="KE38" s="54">
        <f t="shared" si="353"/>
        <v>44233</v>
      </c>
      <c r="KF38" s="53">
        <f t="shared" si="353"/>
        <v>44234</v>
      </c>
      <c r="KG38" s="54">
        <f t="shared" si="353"/>
        <v>44235</v>
      </c>
      <c r="KH38" s="54">
        <f t="shared" si="353"/>
        <v>44236</v>
      </c>
      <c r="KI38" s="54">
        <f t="shared" si="353"/>
        <v>44237</v>
      </c>
      <c r="KJ38" s="54">
        <f t="shared" si="353"/>
        <v>44238</v>
      </c>
      <c r="KK38" s="54">
        <f t="shared" si="353"/>
        <v>44239</v>
      </c>
      <c r="KL38" s="54">
        <f t="shared" si="353"/>
        <v>44240</v>
      </c>
      <c r="KM38" s="53">
        <f t="shared" si="353"/>
        <v>44241</v>
      </c>
      <c r="KN38" s="54">
        <f t="shared" si="353"/>
        <v>44242</v>
      </c>
      <c r="KO38" s="54">
        <f t="shared" si="353"/>
        <v>44243</v>
      </c>
      <c r="KP38" s="54">
        <f t="shared" si="353"/>
        <v>44244</v>
      </c>
      <c r="KQ38" s="54">
        <f t="shared" si="353"/>
        <v>44245</v>
      </c>
      <c r="KR38" s="54">
        <f t="shared" si="353"/>
        <v>44246</v>
      </c>
      <c r="KS38" s="54">
        <f t="shared" si="353"/>
        <v>44247</v>
      </c>
      <c r="KT38" s="53">
        <f t="shared" si="353"/>
        <v>44248</v>
      </c>
      <c r="KU38" s="54">
        <f t="shared" si="353"/>
        <v>44249</v>
      </c>
      <c r="KV38" s="54">
        <f t="shared" si="353"/>
        <v>44250</v>
      </c>
      <c r="KW38" s="54">
        <f t="shared" si="353"/>
        <v>44251</v>
      </c>
      <c r="KX38" s="54">
        <f t="shared" si="353"/>
        <v>44252</v>
      </c>
      <c r="KY38" s="54">
        <f t="shared" si="353"/>
        <v>44253</v>
      </c>
      <c r="KZ38" s="54">
        <f t="shared" si="353"/>
        <v>44254</v>
      </c>
      <c r="LA38" s="53">
        <f t="shared" si="353"/>
        <v>44255</v>
      </c>
      <c r="LB38" s="54">
        <f t="shared" si="353"/>
        <v>44256</v>
      </c>
      <c r="LC38" s="54">
        <f t="shared" si="353"/>
        <v>44257</v>
      </c>
      <c r="LD38" s="54">
        <f t="shared" si="353"/>
        <v>44258</v>
      </c>
      <c r="LE38" s="54">
        <f t="shared" si="353"/>
        <v>44259</v>
      </c>
      <c r="LF38" s="54">
        <f t="shared" si="353"/>
        <v>44260</v>
      </c>
      <c r="LG38" s="54">
        <f t="shared" si="353"/>
        <v>44261</v>
      </c>
      <c r="LH38" s="53">
        <f t="shared" si="353"/>
        <v>44262</v>
      </c>
      <c r="LI38" s="54">
        <f t="shared" si="353"/>
        <v>44263</v>
      </c>
      <c r="LJ38" s="54">
        <f t="shared" si="353"/>
        <v>44264</v>
      </c>
      <c r="LK38" s="54">
        <f t="shared" si="353"/>
        <v>44265</v>
      </c>
      <c r="LL38" s="54">
        <f t="shared" si="353"/>
        <v>44266</v>
      </c>
      <c r="LM38" s="54">
        <f t="shared" si="353"/>
        <v>44267</v>
      </c>
      <c r="LN38" s="54">
        <f t="shared" si="353"/>
        <v>44268</v>
      </c>
      <c r="LO38" s="53">
        <f t="shared" si="353"/>
        <v>44269</v>
      </c>
      <c r="LP38" s="54">
        <f t="shared" si="353"/>
        <v>44270</v>
      </c>
      <c r="LQ38" s="54">
        <f t="shared" si="353"/>
        <v>44271</v>
      </c>
      <c r="LR38" s="54">
        <f t="shared" si="353"/>
        <v>44272</v>
      </c>
      <c r="LS38" s="54">
        <f t="shared" si="353"/>
        <v>44273</v>
      </c>
      <c r="LT38" s="54">
        <f t="shared" si="353"/>
        <v>44274</v>
      </c>
      <c r="LU38" s="54">
        <f t="shared" si="353"/>
        <v>44275</v>
      </c>
      <c r="LV38" s="53">
        <f t="shared" si="353"/>
        <v>44276</v>
      </c>
      <c r="LW38" s="54">
        <f t="shared" si="353"/>
        <v>44277</v>
      </c>
      <c r="LX38" s="54">
        <f t="shared" si="353"/>
        <v>44278</v>
      </c>
      <c r="LY38" s="54">
        <f t="shared" si="353"/>
        <v>44279</v>
      </c>
      <c r="LZ38" s="54">
        <f t="shared" si="353"/>
        <v>44280</v>
      </c>
      <c r="MA38" s="54">
        <f t="shared" si="353"/>
        <v>44281</v>
      </c>
      <c r="MB38" s="54">
        <f t="shared" si="353"/>
        <v>44282</v>
      </c>
      <c r="MC38" s="53">
        <f t="shared" si="353"/>
        <v>44283</v>
      </c>
      <c r="MD38" s="54">
        <f t="shared" si="353"/>
        <v>44284</v>
      </c>
      <c r="ME38" s="54">
        <f t="shared" si="353"/>
        <v>44285</v>
      </c>
      <c r="MF38" s="54">
        <f t="shared" si="353"/>
        <v>44286</v>
      </c>
      <c r="MG38" s="54">
        <f t="shared" si="353"/>
        <v>44287</v>
      </c>
      <c r="MH38" s="54">
        <f t="shared" si="353"/>
        <v>44288</v>
      </c>
      <c r="MI38" s="54">
        <f t="shared" si="353"/>
        <v>44289</v>
      </c>
      <c r="MJ38" s="53">
        <f t="shared" si="353"/>
        <v>44290</v>
      </c>
    </row>
    <row r="39" spans="1:348" ht="15" customHeight="1" x14ac:dyDescent="0.25">
      <c r="A39" s="140"/>
      <c r="B39" s="140"/>
      <c r="C39" s="140"/>
      <c r="D39" s="140"/>
      <c r="E39" s="141"/>
      <c r="F39" s="19"/>
      <c r="G39" s="19"/>
      <c r="H39" s="19"/>
      <c r="I39" s="19"/>
      <c r="J39" s="19"/>
      <c r="K39" s="19"/>
      <c r="L39" s="19"/>
      <c r="M39" s="19"/>
      <c r="N39" s="19"/>
      <c r="O39" s="9"/>
      <c r="P39" s="143"/>
      <c r="Q39" s="143"/>
      <c r="R39" s="145"/>
      <c r="S39" s="24"/>
      <c r="T39" s="25"/>
      <c r="U39" s="25"/>
      <c r="V39" s="25"/>
      <c r="W39" s="25"/>
      <c r="X39" s="25"/>
      <c r="Y39" s="25"/>
      <c r="Z39" s="24"/>
      <c r="AA39" s="25"/>
      <c r="AB39" s="25"/>
      <c r="AC39" s="25"/>
      <c r="AD39" s="25"/>
      <c r="AE39" s="25"/>
      <c r="AF39" s="25"/>
      <c r="AG39" s="24"/>
      <c r="AH39" s="25"/>
      <c r="AI39" s="25" t="s">
        <v>38</v>
      </c>
      <c r="AJ39" s="25"/>
      <c r="AK39" s="25" t="s">
        <v>38</v>
      </c>
      <c r="AL39" s="25"/>
      <c r="AM39" s="25"/>
      <c r="AN39" s="24"/>
      <c r="AO39" s="25"/>
      <c r="AP39" s="25" t="s">
        <v>38</v>
      </c>
      <c r="AQ39" s="25"/>
      <c r="AR39" s="25" t="s">
        <v>38</v>
      </c>
      <c r="AS39" s="25"/>
      <c r="AT39" s="25"/>
      <c r="AU39" s="24"/>
      <c r="AV39" s="25"/>
      <c r="AW39" s="25" t="s">
        <v>38</v>
      </c>
      <c r="AX39" s="25" t="s">
        <v>263</v>
      </c>
      <c r="AY39" s="25" t="s">
        <v>38</v>
      </c>
      <c r="AZ39" s="25"/>
      <c r="BA39" s="25"/>
      <c r="BB39" s="24"/>
      <c r="BC39" s="25"/>
      <c r="BD39" s="25" t="s">
        <v>38</v>
      </c>
      <c r="BE39" s="25"/>
      <c r="BF39" s="25" t="s">
        <v>38</v>
      </c>
      <c r="BG39" s="25"/>
      <c r="BH39" s="25"/>
      <c r="BI39" s="24"/>
      <c r="BJ39" s="25"/>
      <c r="BK39" s="25" t="s">
        <v>38</v>
      </c>
      <c r="BL39" s="25"/>
      <c r="BM39" s="25" t="s">
        <v>38</v>
      </c>
      <c r="BN39" s="25" t="s">
        <v>54</v>
      </c>
      <c r="BO39" s="25"/>
      <c r="BP39" s="24" t="s">
        <v>148</v>
      </c>
      <c r="BQ39" s="25"/>
      <c r="BR39" s="25"/>
      <c r="BS39" s="25"/>
      <c r="BT39" s="25"/>
      <c r="BU39" s="25"/>
      <c r="BV39" s="25"/>
      <c r="BW39" s="25" t="s">
        <v>148</v>
      </c>
      <c r="BX39" s="25"/>
      <c r="BY39" s="24"/>
      <c r="BZ39" s="25"/>
      <c r="CA39" s="25"/>
      <c r="CB39" s="25"/>
      <c r="CC39" s="25"/>
      <c r="CD39" s="25"/>
      <c r="CE39" s="25"/>
      <c r="CF39" s="25"/>
      <c r="CG39" s="25"/>
      <c r="CH39" s="24"/>
      <c r="CI39" s="25"/>
      <c r="CJ39" s="25"/>
      <c r="CK39" s="25"/>
      <c r="CL39" s="25"/>
      <c r="CM39" s="25"/>
      <c r="CN39" s="25"/>
      <c r="CO39" s="25"/>
      <c r="CP39" s="25"/>
      <c r="CQ39" s="24"/>
      <c r="CR39" s="25"/>
      <c r="CS39" s="25"/>
      <c r="CT39" s="25"/>
      <c r="CU39" s="25"/>
      <c r="CV39" s="25"/>
      <c r="CW39" s="25"/>
      <c r="CX39" s="25"/>
      <c r="CY39" s="25"/>
      <c r="CZ39" s="24"/>
      <c r="DA39" s="25"/>
      <c r="DB39" s="25"/>
      <c r="DC39" s="25"/>
      <c r="DD39" s="25"/>
      <c r="DE39" s="25"/>
      <c r="DF39" s="25"/>
      <c r="DG39" s="25"/>
      <c r="DH39" s="25"/>
      <c r="DI39" s="24"/>
      <c r="DJ39" s="25"/>
      <c r="DK39" s="25"/>
      <c r="DL39" s="25"/>
      <c r="DM39" s="25"/>
      <c r="DN39" s="25"/>
      <c r="DO39" s="25"/>
      <c r="DP39" s="25"/>
      <c r="DQ39" s="25"/>
      <c r="DR39" s="24"/>
      <c r="DS39" s="25"/>
      <c r="DT39" s="25" t="s">
        <v>393</v>
      </c>
      <c r="DU39" s="25"/>
      <c r="DV39" s="25" t="s">
        <v>38</v>
      </c>
      <c r="DW39" s="25" t="s">
        <v>38</v>
      </c>
      <c r="DX39" s="25"/>
      <c r="DY39" s="25"/>
      <c r="DZ39" s="25"/>
      <c r="EA39" s="24"/>
      <c r="EB39" s="25"/>
      <c r="EC39" s="25" t="s">
        <v>38</v>
      </c>
      <c r="ED39" s="25"/>
      <c r="EE39" s="25" t="s">
        <v>38</v>
      </c>
      <c r="EF39" s="25" t="s">
        <v>38</v>
      </c>
      <c r="EG39" s="25"/>
      <c r="EH39" s="24"/>
      <c r="EI39" s="25"/>
      <c r="EJ39" s="25"/>
      <c r="EK39" s="25"/>
      <c r="EL39" s="25"/>
      <c r="EM39" s="25"/>
      <c r="EN39" s="25"/>
      <c r="EO39" s="24"/>
      <c r="EP39" s="25"/>
      <c r="EQ39" s="25" t="s">
        <v>38</v>
      </c>
      <c r="ER39" s="25"/>
      <c r="ES39" s="25" t="s">
        <v>38</v>
      </c>
      <c r="ET39" s="25" t="s">
        <v>38</v>
      </c>
      <c r="EU39" s="25"/>
      <c r="EV39" s="24"/>
      <c r="EW39" s="25"/>
      <c r="EX39" s="25" t="s">
        <v>38</v>
      </c>
      <c r="EY39" s="25"/>
      <c r="EZ39" s="25" t="s">
        <v>38</v>
      </c>
      <c r="FA39" s="25" t="s">
        <v>38</v>
      </c>
      <c r="FB39" s="25"/>
      <c r="FC39" s="24"/>
      <c r="FD39" s="25"/>
      <c r="FE39" s="25" t="s">
        <v>38</v>
      </c>
      <c r="FF39" s="25"/>
      <c r="FG39" s="25" t="s">
        <v>38</v>
      </c>
      <c r="FH39" s="25" t="s">
        <v>38</v>
      </c>
      <c r="FI39" s="25"/>
      <c r="FJ39" s="24"/>
      <c r="FK39" s="25"/>
      <c r="FL39" s="25" t="s">
        <v>38</v>
      </c>
      <c r="FM39" s="25"/>
      <c r="FN39" s="25" t="s">
        <v>38</v>
      </c>
      <c r="FO39" s="25" t="s">
        <v>38</v>
      </c>
      <c r="FP39" s="25"/>
      <c r="FQ39" s="24"/>
      <c r="FR39" s="25"/>
      <c r="FS39" s="25" t="s">
        <v>38</v>
      </c>
      <c r="FT39" s="25"/>
      <c r="FU39" s="25" t="s">
        <v>38</v>
      </c>
      <c r="FV39" s="25" t="s">
        <v>38</v>
      </c>
      <c r="FW39" s="25"/>
      <c r="FX39" s="24"/>
      <c r="FY39" s="25"/>
      <c r="FZ39" s="25" t="s">
        <v>38</v>
      </c>
      <c r="GA39" s="25"/>
      <c r="GB39" s="25" t="s">
        <v>38</v>
      </c>
      <c r="GC39" s="25" t="s">
        <v>38</v>
      </c>
      <c r="GD39" s="25"/>
      <c r="GE39" s="24"/>
      <c r="GF39" s="25"/>
      <c r="GG39" s="25" t="s">
        <v>38</v>
      </c>
      <c r="GH39" s="25"/>
      <c r="GI39" s="25" t="s">
        <v>38</v>
      </c>
      <c r="GJ39" s="25" t="s">
        <v>38</v>
      </c>
      <c r="GK39" s="25"/>
      <c r="GL39" s="24"/>
      <c r="GM39" s="25"/>
      <c r="GN39" s="25" t="s">
        <v>38</v>
      </c>
      <c r="GO39" s="25"/>
      <c r="GP39" s="25" t="s">
        <v>38</v>
      </c>
      <c r="GQ39" s="25" t="s">
        <v>38</v>
      </c>
      <c r="GR39" s="25"/>
      <c r="GS39" s="24"/>
      <c r="GT39" s="25"/>
      <c r="GU39" s="25" t="s">
        <v>38</v>
      </c>
      <c r="GV39" s="25"/>
      <c r="GW39" s="25" t="s">
        <v>38</v>
      </c>
      <c r="GX39" s="25" t="s">
        <v>38</v>
      </c>
      <c r="GY39" s="25"/>
      <c r="GZ39" s="24"/>
      <c r="HA39" s="25"/>
      <c r="HB39" s="25" t="s">
        <v>38</v>
      </c>
      <c r="HC39" s="25"/>
      <c r="HD39" s="25" t="s">
        <v>38</v>
      </c>
      <c r="HE39" s="25" t="s">
        <v>38</v>
      </c>
      <c r="HF39" s="25"/>
      <c r="HG39" s="24"/>
      <c r="HH39" s="25"/>
      <c r="HI39" s="25" t="s">
        <v>38</v>
      </c>
      <c r="HJ39" s="25"/>
      <c r="HK39" s="25" t="s">
        <v>38</v>
      </c>
      <c r="HL39" s="25" t="s">
        <v>38</v>
      </c>
      <c r="HM39" s="25"/>
      <c r="HN39" s="24"/>
      <c r="HO39" s="25"/>
      <c r="HP39" s="25" t="s">
        <v>38</v>
      </c>
      <c r="HQ39" s="25" t="s">
        <v>38</v>
      </c>
      <c r="HR39" s="25"/>
      <c r="HS39" s="25" t="s">
        <v>38</v>
      </c>
      <c r="HT39" s="25"/>
      <c r="HU39" s="24"/>
      <c r="HV39" s="25"/>
      <c r="HW39" s="25" t="s">
        <v>38</v>
      </c>
      <c r="HX39" s="25"/>
      <c r="HY39" s="25" t="s">
        <v>38</v>
      </c>
      <c r="HZ39" s="25" t="s">
        <v>38</v>
      </c>
      <c r="IA39" s="25"/>
      <c r="IB39" s="24"/>
      <c r="IC39" s="25"/>
      <c r="ID39" s="25" t="s">
        <v>38</v>
      </c>
      <c r="IE39" s="25"/>
      <c r="IF39" s="25" t="s">
        <v>38</v>
      </c>
      <c r="IG39" s="25" t="s">
        <v>38</v>
      </c>
      <c r="IH39" s="25"/>
      <c r="II39" s="24"/>
      <c r="IJ39" s="25"/>
      <c r="IK39" s="25" t="s">
        <v>38</v>
      </c>
      <c r="IL39" s="25"/>
      <c r="IM39" s="25" t="s">
        <v>38</v>
      </c>
      <c r="IN39" s="25" t="s">
        <v>38</v>
      </c>
      <c r="IO39" s="25"/>
      <c r="IP39" s="24"/>
      <c r="IQ39" s="25"/>
      <c r="IR39" s="25" t="s">
        <v>38</v>
      </c>
      <c r="IS39" s="25"/>
      <c r="IT39" s="25" t="s">
        <v>38</v>
      </c>
      <c r="IU39" s="25" t="s">
        <v>38</v>
      </c>
      <c r="IV39" s="25"/>
      <c r="IW39" s="24"/>
      <c r="IX39" s="25"/>
      <c r="IY39" s="25" t="s">
        <v>38</v>
      </c>
      <c r="IZ39" s="25"/>
      <c r="JA39" s="25" t="s">
        <v>38</v>
      </c>
      <c r="JB39" s="25" t="s">
        <v>38</v>
      </c>
      <c r="JC39" s="25"/>
      <c r="JD39" s="24"/>
      <c r="JE39" s="25"/>
      <c r="JF39" s="25" t="s">
        <v>38</v>
      </c>
      <c r="JG39" s="25"/>
      <c r="JH39" s="25" t="s">
        <v>38</v>
      </c>
      <c r="JI39" s="25" t="s">
        <v>38</v>
      </c>
      <c r="JJ39" s="25"/>
      <c r="JK39" s="24"/>
      <c r="JL39" s="25"/>
      <c r="JM39" s="25" t="s">
        <v>38</v>
      </c>
      <c r="JN39" s="25"/>
      <c r="JO39" s="25" t="s">
        <v>38</v>
      </c>
      <c r="JP39" s="25" t="s">
        <v>38</v>
      </c>
      <c r="JQ39" s="25"/>
      <c r="JR39" s="24"/>
      <c r="JS39" s="25"/>
      <c r="JT39" s="25" t="s">
        <v>38</v>
      </c>
      <c r="JU39" s="25"/>
      <c r="JV39" s="25" t="s">
        <v>38</v>
      </c>
      <c r="JW39" s="25" t="s">
        <v>38</v>
      </c>
      <c r="JX39" s="25"/>
      <c r="JY39" s="24"/>
      <c r="JZ39" s="25"/>
      <c r="KA39" s="25" t="s">
        <v>38</v>
      </c>
      <c r="KB39" s="25"/>
      <c r="KC39" s="25" t="s">
        <v>38</v>
      </c>
      <c r="KD39" s="25" t="s">
        <v>38</v>
      </c>
      <c r="KE39" s="25"/>
      <c r="KF39" s="24"/>
      <c r="KG39" s="25"/>
      <c r="KH39" s="25" t="s">
        <v>38</v>
      </c>
      <c r="KI39" s="25"/>
      <c r="KJ39" s="25" t="s">
        <v>38</v>
      </c>
      <c r="KK39" s="25" t="s">
        <v>38</v>
      </c>
      <c r="KL39" s="25"/>
      <c r="KM39" s="24"/>
      <c r="KN39" s="25"/>
      <c r="KO39" s="25" t="s">
        <v>38</v>
      </c>
      <c r="KP39" s="25"/>
      <c r="KQ39" s="25" t="s">
        <v>38</v>
      </c>
      <c r="KR39" s="25" t="s">
        <v>38</v>
      </c>
      <c r="KS39" s="25"/>
      <c r="KT39" s="24"/>
      <c r="KU39" s="25"/>
      <c r="KV39" s="25" t="s">
        <v>38</v>
      </c>
      <c r="KW39" s="25"/>
      <c r="KX39" s="25" t="s">
        <v>38</v>
      </c>
      <c r="KY39" s="25" t="s">
        <v>38</v>
      </c>
      <c r="KZ39" s="25"/>
      <c r="LA39" s="24"/>
      <c r="LB39" s="25"/>
      <c r="LC39" s="25" t="s">
        <v>38</v>
      </c>
      <c r="LD39" s="25"/>
      <c r="LE39" s="25" t="s">
        <v>38</v>
      </c>
      <c r="LF39" s="25"/>
      <c r="LG39" s="25"/>
      <c r="LH39" s="26"/>
      <c r="LI39" s="25"/>
      <c r="LJ39" s="25" t="s">
        <v>38</v>
      </c>
      <c r="LK39" s="25"/>
      <c r="LL39" s="25" t="s">
        <v>38</v>
      </c>
      <c r="LM39" s="25"/>
      <c r="LN39" s="25"/>
      <c r="LO39" s="24"/>
      <c r="LP39" s="25"/>
      <c r="LQ39" s="25"/>
      <c r="LR39" s="25"/>
      <c r="LS39" s="25"/>
      <c r="LT39" s="25"/>
      <c r="LU39" s="25"/>
      <c r="LV39" s="24"/>
      <c r="LW39" s="25"/>
      <c r="LX39" s="25"/>
      <c r="LY39" s="25"/>
      <c r="LZ39" s="25"/>
      <c r="MA39" s="25"/>
      <c r="MB39" s="25"/>
      <c r="MC39" s="24"/>
      <c r="MD39" s="25"/>
      <c r="ME39" s="25"/>
      <c r="MF39" s="25"/>
      <c r="MG39" s="25"/>
      <c r="MH39" s="25"/>
      <c r="MI39" s="25"/>
      <c r="MJ39" s="24"/>
    </row>
    <row r="40" spans="1:348" x14ac:dyDescent="0.25">
      <c r="A40" s="11" t="s">
        <v>148</v>
      </c>
      <c r="B40" s="11"/>
      <c r="C40" s="11"/>
      <c r="D40" s="11"/>
      <c r="E40" s="11"/>
      <c r="F40" s="13" t="s">
        <v>147</v>
      </c>
      <c r="G40" s="40" t="s">
        <v>146</v>
      </c>
      <c r="H40" s="40" t="s">
        <v>119</v>
      </c>
      <c r="I40" s="11" t="s">
        <v>41</v>
      </c>
      <c r="J40" s="11" t="s">
        <v>118</v>
      </c>
      <c r="K40" s="11" t="s">
        <v>42</v>
      </c>
      <c r="L40" s="11" t="s">
        <v>117</v>
      </c>
      <c r="M40" s="11" t="s">
        <v>47</v>
      </c>
      <c r="N40" s="11" t="s">
        <v>100</v>
      </c>
      <c r="O40" s="12" t="s">
        <v>46</v>
      </c>
      <c r="P40" s="11"/>
      <c r="Q40" s="11"/>
      <c r="R40" s="12"/>
      <c r="S40" s="12"/>
      <c r="T40" s="11"/>
      <c r="U40" s="11"/>
      <c r="V40" s="11"/>
      <c r="W40" s="11"/>
      <c r="X40" s="11"/>
      <c r="Y40" s="11"/>
      <c r="Z40" s="12"/>
      <c r="AA40" s="11"/>
      <c r="AB40" s="11"/>
      <c r="AC40" s="11"/>
      <c r="AD40" s="11"/>
      <c r="AE40" s="11"/>
      <c r="AF40" s="11"/>
      <c r="AG40" s="12"/>
      <c r="AH40" s="11"/>
      <c r="AI40" s="11"/>
      <c r="AJ40" s="11"/>
      <c r="AK40" s="11"/>
      <c r="AL40" s="11"/>
      <c r="AM40" s="11"/>
      <c r="AN40" s="12"/>
      <c r="AO40" s="11"/>
      <c r="AP40" s="11"/>
      <c r="AQ40" s="11"/>
      <c r="AR40" s="11"/>
      <c r="AS40" s="11"/>
      <c r="AT40" s="11"/>
      <c r="AU40" s="12"/>
      <c r="AV40" s="11"/>
      <c r="AW40" s="11"/>
      <c r="AX40" s="11"/>
      <c r="AY40" s="11"/>
      <c r="AZ40" s="11"/>
      <c r="BA40" s="11"/>
      <c r="BB40" s="12"/>
      <c r="BC40" s="11"/>
      <c r="BD40" s="11"/>
      <c r="BE40" s="11"/>
      <c r="BF40" s="11"/>
      <c r="BG40" s="11"/>
      <c r="BH40" s="11"/>
      <c r="BI40" s="12"/>
      <c r="BJ40" s="11"/>
      <c r="BK40" s="11"/>
      <c r="BL40" s="11"/>
      <c r="BM40" s="11"/>
      <c r="BN40" s="11"/>
      <c r="BO40" s="11"/>
      <c r="BP40" s="12"/>
      <c r="BQ40" s="11"/>
      <c r="BR40" s="11"/>
      <c r="BS40" s="11"/>
      <c r="BT40" s="11"/>
      <c r="BU40" s="11"/>
      <c r="BV40" s="11"/>
      <c r="BW40" s="11"/>
      <c r="BX40" s="11"/>
      <c r="BY40" s="12"/>
      <c r="BZ40" s="11"/>
      <c r="CA40" s="11"/>
      <c r="CB40" s="11"/>
      <c r="CC40" s="11"/>
      <c r="CD40" s="11"/>
      <c r="CE40" s="11"/>
      <c r="CF40" s="11"/>
      <c r="CG40" s="11"/>
      <c r="CH40" s="12"/>
      <c r="CI40" s="11"/>
      <c r="CJ40" s="11"/>
      <c r="CK40" s="11"/>
      <c r="CL40" s="11"/>
      <c r="CM40" s="11"/>
      <c r="CN40" s="11"/>
      <c r="CO40" s="11"/>
      <c r="CP40" s="11"/>
      <c r="CQ40" s="12"/>
      <c r="CR40" s="11"/>
      <c r="CS40" s="11"/>
      <c r="CT40" s="11"/>
      <c r="CU40" s="11"/>
      <c r="CV40" s="11"/>
      <c r="CW40" s="11"/>
      <c r="CX40" s="11"/>
      <c r="CY40" s="11"/>
      <c r="CZ40" s="12"/>
      <c r="DA40" s="11"/>
      <c r="DB40" s="11"/>
      <c r="DC40" s="11"/>
      <c r="DD40" s="11"/>
      <c r="DE40" s="11"/>
      <c r="DF40" s="11"/>
      <c r="DG40" s="11"/>
      <c r="DH40" s="11"/>
      <c r="DI40" s="12"/>
      <c r="DJ40" s="11"/>
      <c r="DK40" s="11"/>
      <c r="DL40" s="11"/>
      <c r="DM40" s="11"/>
      <c r="DN40" s="11"/>
      <c r="DO40" s="11"/>
      <c r="DP40" s="11"/>
      <c r="DQ40" s="11"/>
      <c r="DR40" s="12"/>
      <c r="DS40" s="11"/>
      <c r="DT40" s="11"/>
      <c r="DU40" s="11"/>
      <c r="DV40" s="11"/>
      <c r="DW40" s="11"/>
      <c r="DX40" s="11"/>
      <c r="DY40" s="11"/>
      <c r="DZ40" s="11"/>
      <c r="EA40" s="12"/>
      <c r="EB40" s="11"/>
      <c r="EC40" s="11"/>
      <c r="ED40" s="11"/>
      <c r="EE40" s="11"/>
      <c r="EF40" s="11"/>
      <c r="EG40" s="11"/>
      <c r="EH40" s="12"/>
      <c r="EI40" s="11"/>
      <c r="EJ40" s="11"/>
      <c r="EK40" s="11"/>
      <c r="EL40" s="11"/>
      <c r="EM40" s="11"/>
      <c r="EN40" s="11"/>
      <c r="EO40" s="12"/>
      <c r="EP40" s="11"/>
      <c r="EQ40" s="11"/>
      <c r="ER40" s="11"/>
      <c r="ES40" s="11"/>
      <c r="ET40" s="11"/>
      <c r="EU40" s="11"/>
      <c r="EV40" s="12"/>
      <c r="EW40" s="11"/>
      <c r="EX40" s="11"/>
      <c r="EY40" s="11"/>
      <c r="EZ40" s="11"/>
      <c r="FA40" s="11"/>
      <c r="FB40" s="11"/>
      <c r="FC40" s="12"/>
      <c r="FD40" s="11"/>
      <c r="FE40" s="11"/>
      <c r="FF40" s="11"/>
      <c r="FG40" s="11"/>
      <c r="FH40" s="11"/>
      <c r="FI40" s="11"/>
      <c r="FJ40" s="12"/>
      <c r="FK40" s="11"/>
      <c r="FL40" s="11"/>
      <c r="FM40" s="11"/>
      <c r="FN40" s="11"/>
      <c r="FO40" s="11"/>
      <c r="FP40" s="11"/>
      <c r="FQ40" s="12"/>
      <c r="FR40" s="11"/>
      <c r="FS40" s="11"/>
      <c r="FT40" s="11"/>
      <c r="FU40" s="11"/>
      <c r="FV40" s="11"/>
      <c r="FW40" s="11"/>
      <c r="FX40" s="12"/>
      <c r="FY40" s="11"/>
      <c r="FZ40" s="11"/>
      <c r="GA40" s="11"/>
      <c r="GB40" s="11"/>
      <c r="GC40" s="11"/>
      <c r="GD40" s="11"/>
      <c r="GE40" s="12"/>
      <c r="GF40" s="11"/>
      <c r="GG40" s="11"/>
      <c r="GH40" s="11"/>
      <c r="GI40" s="11"/>
      <c r="GJ40" s="11"/>
      <c r="GK40" s="11"/>
      <c r="GL40" s="12"/>
      <c r="GM40" s="11"/>
      <c r="GN40" s="11"/>
      <c r="GO40" s="11"/>
      <c r="GP40" s="11"/>
      <c r="GQ40" s="11"/>
      <c r="GR40" s="11"/>
      <c r="GS40" s="12"/>
      <c r="GT40" s="11"/>
      <c r="GU40" s="11"/>
      <c r="GV40" s="11"/>
      <c r="GW40" s="11"/>
      <c r="GX40" s="11"/>
      <c r="GY40" s="11"/>
      <c r="GZ40" s="12"/>
      <c r="HA40" s="11"/>
      <c r="HB40" s="11"/>
      <c r="HC40" s="11"/>
      <c r="HD40" s="11"/>
      <c r="HE40" s="11"/>
      <c r="HF40" s="11"/>
      <c r="HG40" s="12"/>
      <c r="HH40" s="11"/>
      <c r="HI40" s="11"/>
      <c r="HJ40" s="11"/>
      <c r="HK40" s="11"/>
      <c r="HL40" s="11"/>
      <c r="HM40" s="11"/>
      <c r="HN40" s="12"/>
      <c r="HO40" s="11"/>
      <c r="HP40" s="11"/>
      <c r="HQ40" s="11"/>
      <c r="HR40" s="11"/>
      <c r="HS40" s="11"/>
      <c r="HT40" s="11"/>
      <c r="HU40" s="12"/>
      <c r="HV40" s="11"/>
      <c r="HW40" s="11"/>
      <c r="HX40" s="11"/>
      <c r="HY40" s="11"/>
      <c r="HZ40" s="11"/>
      <c r="IA40" s="11"/>
      <c r="IB40" s="12"/>
      <c r="IC40" s="11"/>
      <c r="ID40" s="11"/>
      <c r="IE40" s="11"/>
      <c r="IF40" s="11"/>
      <c r="IG40" s="11"/>
      <c r="IH40" s="11"/>
      <c r="II40" s="12"/>
      <c r="IJ40" s="11"/>
      <c r="IK40" s="11"/>
      <c r="IL40" s="11"/>
      <c r="IM40" s="11"/>
      <c r="IN40" s="11"/>
      <c r="IO40" s="11"/>
      <c r="IP40" s="12"/>
      <c r="IQ40" s="11"/>
      <c r="IR40" s="11"/>
      <c r="IS40" s="11"/>
      <c r="IT40" s="11"/>
      <c r="IU40" s="11"/>
      <c r="IV40" s="11"/>
      <c r="IW40" s="12"/>
      <c r="IX40" s="11"/>
      <c r="IY40" s="11"/>
      <c r="IZ40" s="11"/>
      <c r="JA40" s="11"/>
      <c r="JB40" s="11"/>
      <c r="JC40" s="11"/>
      <c r="JD40" s="12"/>
      <c r="JE40" s="11"/>
      <c r="JF40" s="11"/>
      <c r="JG40" s="11"/>
      <c r="JH40" s="11"/>
      <c r="JI40" s="11"/>
      <c r="JJ40" s="11"/>
      <c r="JK40" s="12"/>
      <c r="JL40" s="11"/>
      <c r="JM40" s="11"/>
      <c r="JN40" s="11"/>
      <c r="JO40" s="11"/>
      <c r="JP40" s="11"/>
      <c r="JQ40" s="11"/>
      <c r="JR40" s="12"/>
      <c r="JS40" s="11"/>
      <c r="JT40" s="11"/>
      <c r="JU40" s="11"/>
      <c r="JV40" s="11"/>
      <c r="JW40" s="11"/>
      <c r="JX40" s="11"/>
      <c r="JY40" s="12"/>
      <c r="JZ40" s="11"/>
      <c r="KA40" s="11"/>
      <c r="KB40" s="11"/>
      <c r="KC40" s="11"/>
      <c r="KD40" s="11"/>
      <c r="KE40" s="11"/>
      <c r="KF40" s="12"/>
      <c r="KG40" s="11"/>
      <c r="KH40" s="11"/>
      <c r="KI40" s="11"/>
      <c r="KJ40" s="11"/>
      <c r="KK40" s="11"/>
      <c r="KL40" s="11"/>
      <c r="KM40" s="12"/>
      <c r="KN40" s="11"/>
      <c r="KO40" s="11"/>
      <c r="KP40" s="11"/>
      <c r="KQ40" s="11"/>
      <c r="KR40" s="11"/>
      <c r="KS40" s="11"/>
      <c r="KT40" s="12"/>
      <c r="KU40" s="11"/>
      <c r="KV40" s="11"/>
      <c r="KW40" s="11"/>
      <c r="KX40" s="11"/>
      <c r="KY40" s="11"/>
      <c r="KZ40" s="11"/>
      <c r="LA40" s="12"/>
      <c r="LB40" s="11"/>
      <c r="LC40" s="11"/>
      <c r="LD40" s="11"/>
      <c r="LE40" s="11"/>
      <c r="LF40" s="11"/>
      <c r="LG40" s="11"/>
      <c r="LH40" s="12"/>
      <c r="LI40" s="11"/>
      <c r="LJ40" s="11"/>
      <c r="LK40" s="11"/>
      <c r="LL40" s="11"/>
      <c r="LM40" s="11"/>
      <c r="LN40" s="11"/>
      <c r="LO40" s="12"/>
      <c r="LP40" s="11"/>
      <c r="LQ40" s="11"/>
      <c r="LR40" s="11"/>
      <c r="LS40" s="11"/>
      <c r="LT40" s="11"/>
      <c r="LU40" s="11"/>
      <c r="LV40" s="12"/>
      <c r="LW40" s="11"/>
      <c r="LX40" s="11"/>
      <c r="LY40" s="11"/>
      <c r="LZ40" s="11"/>
      <c r="MA40" s="11"/>
      <c r="MB40" s="11"/>
      <c r="MC40" s="12"/>
      <c r="MD40" s="11"/>
      <c r="ME40" s="11"/>
      <c r="MF40" s="11"/>
      <c r="MG40" s="11"/>
      <c r="MH40" s="11"/>
      <c r="MI40" s="11"/>
      <c r="MJ40" s="12"/>
    </row>
    <row r="41" spans="1:348" hidden="1" x14ac:dyDescent="0.25">
      <c r="A41" s="11"/>
      <c r="B41" s="11"/>
      <c r="C41" s="11"/>
      <c r="D41" s="11"/>
      <c r="E41" s="11"/>
      <c r="F41" s="33">
        <v>37257</v>
      </c>
      <c r="G41" s="32">
        <v>37987</v>
      </c>
      <c r="H41" s="32">
        <v>38718</v>
      </c>
      <c r="I41" s="32">
        <v>39083</v>
      </c>
      <c r="J41" s="32">
        <v>39448</v>
      </c>
      <c r="K41" s="32">
        <v>39814</v>
      </c>
      <c r="L41" s="32">
        <v>40179</v>
      </c>
      <c r="M41" s="11"/>
      <c r="N41" s="11"/>
      <c r="O41" s="12"/>
      <c r="P41" s="11"/>
      <c r="Q41" s="11"/>
      <c r="R41" s="12"/>
      <c r="S41" s="12"/>
      <c r="T41" s="11"/>
      <c r="U41" s="11"/>
      <c r="V41" s="11"/>
      <c r="W41" s="11"/>
      <c r="X41" s="11"/>
      <c r="Y41" s="11"/>
      <c r="Z41" s="12"/>
      <c r="AA41" s="11"/>
      <c r="AB41" s="11"/>
      <c r="AC41" s="11"/>
      <c r="AD41" s="11"/>
      <c r="AE41" s="11"/>
      <c r="AF41" s="11"/>
      <c r="AG41" s="12"/>
      <c r="AH41" s="11"/>
      <c r="AI41" s="11"/>
      <c r="AJ41" s="11"/>
      <c r="AK41" s="11"/>
      <c r="AL41" s="11"/>
      <c r="AM41" s="11"/>
      <c r="AN41" s="12"/>
      <c r="AO41" s="11"/>
      <c r="AP41" s="11"/>
      <c r="AQ41" s="11"/>
      <c r="AR41" s="11"/>
      <c r="AS41" s="11"/>
      <c r="AT41" s="11"/>
      <c r="AU41" s="12"/>
      <c r="AV41" s="11"/>
      <c r="AW41" s="11"/>
      <c r="AX41" s="11"/>
      <c r="AY41" s="11"/>
      <c r="AZ41" s="11"/>
      <c r="BA41" s="11"/>
      <c r="BB41" s="12"/>
      <c r="BC41" s="11"/>
      <c r="BD41" s="11"/>
      <c r="BE41" s="11"/>
      <c r="BF41" s="11"/>
      <c r="BG41" s="11"/>
      <c r="BH41" s="11"/>
      <c r="BI41" s="12"/>
      <c r="BJ41" s="11"/>
      <c r="BK41" s="11"/>
      <c r="BL41" s="11"/>
      <c r="BM41" s="11"/>
      <c r="BN41" s="11"/>
      <c r="BO41" s="11"/>
      <c r="BP41" s="12"/>
      <c r="BQ41" s="11"/>
      <c r="BR41" s="11"/>
      <c r="BS41" s="11"/>
      <c r="BT41" s="11"/>
      <c r="BU41" s="11"/>
      <c r="BV41" s="11"/>
      <c r="BW41" s="11"/>
      <c r="BX41" s="11"/>
      <c r="BY41" s="12"/>
      <c r="BZ41" s="11"/>
      <c r="CA41" s="11"/>
      <c r="CB41" s="11"/>
      <c r="CC41" s="11"/>
      <c r="CD41" s="11"/>
      <c r="CE41" s="11"/>
      <c r="CF41" s="11"/>
      <c r="CG41" s="11"/>
      <c r="CH41" s="12"/>
      <c r="CI41" s="11"/>
      <c r="CJ41" s="11"/>
      <c r="CK41" s="11"/>
      <c r="CL41" s="11"/>
      <c r="CM41" s="11"/>
      <c r="CN41" s="11"/>
      <c r="CO41" s="11"/>
      <c r="CP41" s="11"/>
      <c r="CQ41" s="12"/>
      <c r="CR41" s="11"/>
      <c r="CS41" s="11"/>
      <c r="CT41" s="11"/>
      <c r="CU41" s="11"/>
      <c r="CV41" s="11"/>
      <c r="CW41" s="11"/>
      <c r="CX41" s="11"/>
      <c r="CY41" s="11"/>
      <c r="CZ41" s="12"/>
      <c r="DA41" s="11"/>
      <c r="DB41" s="11"/>
      <c r="DC41" s="11"/>
      <c r="DD41" s="11"/>
      <c r="DE41" s="11"/>
      <c r="DF41" s="11"/>
      <c r="DG41" s="11"/>
      <c r="DH41" s="11"/>
      <c r="DI41" s="12"/>
      <c r="DJ41" s="11"/>
      <c r="DK41" s="11"/>
      <c r="DL41" s="11"/>
      <c r="DM41" s="11"/>
      <c r="DN41" s="11"/>
      <c r="DO41" s="11"/>
      <c r="DP41" s="11"/>
      <c r="DQ41" s="11"/>
      <c r="DR41" s="12"/>
      <c r="DS41" s="11"/>
      <c r="DT41" s="11"/>
      <c r="DU41" s="11"/>
      <c r="DV41" s="11"/>
      <c r="DW41" s="11"/>
      <c r="DX41" s="11"/>
      <c r="DY41" s="11"/>
      <c r="DZ41" s="11"/>
      <c r="EA41" s="12"/>
      <c r="EB41" s="11"/>
      <c r="EC41" s="11"/>
      <c r="ED41" s="11"/>
      <c r="EE41" s="11"/>
      <c r="EF41" s="11"/>
      <c r="EG41" s="11"/>
      <c r="EH41" s="12"/>
      <c r="EI41" s="11"/>
      <c r="EJ41" s="11"/>
      <c r="EK41" s="11"/>
      <c r="EL41" s="11"/>
      <c r="EM41" s="11"/>
      <c r="EN41" s="11"/>
      <c r="EO41" s="12"/>
      <c r="EP41" s="11"/>
      <c r="EQ41" s="11"/>
      <c r="ER41" s="11"/>
      <c r="ES41" s="11"/>
      <c r="ET41" s="11"/>
      <c r="EU41" s="11"/>
      <c r="EV41" s="12"/>
      <c r="EW41" s="11"/>
      <c r="EX41" s="11"/>
      <c r="EY41" s="11"/>
      <c r="EZ41" s="11"/>
      <c r="FA41" s="11"/>
      <c r="FB41" s="11"/>
      <c r="FC41" s="12"/>
      <c r="FD41" s="11"/>
      <c r="FE41" s="11"/>
      <c r="FF41" s="11"/>
      <c r="FG41" s="11"/>
      <c r="FH41" s="11"/>
      <c r="FI41" s="11"/>
      <c r="FJ41" s="12"/>
      <c r="FK41" s="11"/>
      <c r="FL41" s="11"/>
      <c r="FM41" s="11"/>
      <c r="FN41" s="11"/>
      <c r="FO41" s="11"/>
      <c r="FP41" s="11"/>
      <c r="FQ41" s="12"/>
      <c r="FR41" s="11"/>
      <c r="FS41" s="11"/>
      <c r="FT41" s="11"/>
      <c r="FU41" s="11"/>
      <c r="FV41" s="11"/>
      <c r="FW41" s="11"/>
      <c r="FX41" s="12"/>
      <c r="FY41" s="11"/>
      <c r="FZ41" s="11"/>
      <c r="GA41" s="11"/>
      <c r="GB41" s="11"/>
      <c r="GC41" s="11"/>
      <c r="GD41" s="11"/>
      <c r="GE41" s="12"/>
      <c r="GF41" s="11"/>
      <c r="GG41" s="11"/>
      <c r="GH41" s="11"/>
      <c r="GI41" s="11"/>
      <c r="GJ41" s="11"/>
      <c r="GK41" s="11"/>
      <c r="GL41" s="12"/>
      <c r="GM41" s="11"/>
      <c r="GN41" s="11"/>
      <c r="GO41" s="11"/>
      <c r="GP41" s="11"/>
      <c r="GQ41" s="11"/>
      <c r="GR41" s="11"/>
      <c r="GS41" s="12"/>
      <c r="GT41" s="11"/>
      <c r="GU41" s="11"/>
      <c r="GV41" s="11"/>
      <c r="GW41" s="11"/>
      <c r="GX41" s="11"/>
      <c r="GY41" s="11"/>
      <c r="GZ41" s="12"/>
      <c r="HA41" s="11"/>
      <c r="HB41" s="11"/>
      <c r="HC41" s="11"/>
      <c r="HD41" s="11"/>
      <c r="HE41" s="11"/>
      <c r="HF41" s="11"/>
      <c r="HG41" s="12"/>
      <c r="HH41" s="11"/>
      <c r="HI41" s="11"/>
      <c r="HJ41" s="11"/>
      <c r="HK41" s="11"/>
      <c r="HL41" s="11"/>
      <c r="HM41" s="11"/>
      <c r="HN41" s="12"/>
      <c r="HO41" s="11"/>
      <c r="HP41" s="11"/>
      <c r="HQ41" s="11"/>
      <c r="HR41" s="11"/>
      <c r="HS41" s="11"/>
      <c r="HT41" s="11"/>
      <c r="HU41" s="12"/>
      <c r="HV41" s="11"/>
      <c r="HW41" s="11"/>
      <c r="HX41" s="11"/>
      <c r="HY41" s="11"/>
      <c r="HZ41" s="11"/>
      <c r="IA41" s="11"/>
      <c r="IB41" s="12"/>
      <c r="IC41" s="11"/>
      <c r="ID41" s="11"/>
      <c r="IE41" s="11"/>
      <c r="IF41" s="11"/>
      <c r="IG41" s="11"/>
      <c r="IH41" s="11"/>
      <c r="II41" s="12"/>
      <c r="IJ41" s="11"/>
      <c r="IK41" s="11"/>
      <c r="IL41" s="11"/>
      <c r="IM41" s="11"/>
      <c r="IN41" s="11"/>
      <c r="IO41" s="11"/>
      <c r="IP41" s="12"/>
      <c r="IQ41" s="11"/>
      <c r="IR41" s="11"/>
      <c r="IS41" s="11"/>
      <c r="IT41" s="11"/>
      <c r="IU41" s="11"/>
      <c r="IV41" s="11"/>
      <c r="IW41" s="12"/>
      <c r="IX41" s="11"/>
      <c r="IY41" s="11"/>
      <c r="IZ41" s="11"/>
      <c r="JA41" s="11"/>
      <c r="JB41" s="11"/>
      <c r="JC41" s="11"/>
      <c r="JD41" s="12"/>
      <c r="JE41" s="11"/>
      <c r="JF41" s="11"/>
      <c r="JG41" s="11"/>
      <c r="JH41" s="11"/>
      <c r="JI41" s="11"/>
      <c r="JJ41" s="11"/>
      <c r="JK41" s="12"/>
      <c r="JL41" s="11"/>
      <c r="JM41" s="11"/>
      <c r="JN41" s="11"/>
      <c r="JO41" s="11"/>
      <c r="JP41" s="11"/>
      <c r="JQ41" s="11"/>
      <c r="JR41" s="12"/>
      <c r="JS41" s="11"/>
      <c r="JT41" s="11"/>
      <c r="JU41" s="11"/>
      <c r="JV41" s="11"/>
      <c r="JW41" s="11"/>
      <c r="JX41" s="11"/>
      <c r="JY41" s="12"/>
      <c r="JZ41" s="11"/>
      <c r="KA41" s="11"/>
      <c r="KB41" s="11"/>
      <c r="KC41" s="11"/>
      <c r="KD41" s="11"/>
      <c r="KE41" s="11"/>
      <c r="KF41" s="12"/>
      <c r="KG41" s="11"/>
      <c r="KH41" s="11"/>
      <c r="KI41" s="11"/>
      <c r="KJ41" s="11"/>
      <c r="KK41" s="11"/>
      <c r="KL41" s="11"/>
      <c r="KM41" s="12"/>
      <c r="KN41" s="11"/>
      <c r="KO41" s="11"/>
      <c r="KP41" s="11"/>
      <c r="KQ41" s="11"/>
      <c r="KR41" s="11"/>
      <c r="KS41" s="11"/>
      <c r="KT41" s="12"/>
      <c r="KU41" s="11"/>
      <c r="KV41" s="11"/>
      <c r="KW41" s="11"/>
      <c r="KX41" s="11"/>
      <c r="KY41" s="11"/>
      <c r="KZ41" s="11"/>
      <c r="LA41" s="12"/>
      <c r="LB41" s="11"/>
      <c r="LC41" s="11"/>
      <c r="LD41" s="11"/>
      <c r="LE41" s="11"/>
      <c r="LF41" s="11"/>
      <c r="LG41" s="11"/>
      <c r="LH41" s="12"/>
      <c r="LI41" s="11"/>
      <c r="LJ41" s="11"/>
      <c r="LK41" s="11"/>
      <c r="LL41" s="11"/>
      <c r="LM41" s="11"/>
      <c r="LN41" s="11"/>
      <c r="LO41" s="12"/>
      <c r="LP41" s="11"/>
      <c r="LQ41" s="11"/>
      <c r="LR41" s="11"/>
      <c r="LS41" s="11"/>
      <c r="LT41" s="11"/>
      <c r="LU41" s="11"/>
      <c r="LV41" s="12"/>
      <c r="LW41" s="11"/>
      <c r="LX41" s="11"/>
      <c r="LY41" s="11"/>
      <c r="LZ41" s="11"/>
      <c r="MA41" s="11"/>
      <c r="MB41" s="11"/>
      <c r="MC41" s="12"/>
      <c r="MD41" s="11"/>
      <c r="ME41" s="11"/>
      <c r="MF41" s="11"/>
      <c r="MG41" s="11"/>
      <c r="MH41" s="11"/>
      <c r="MI41" s="11"/>
      <c r="MJ41" s="12"/>
    </row>
    <row r="42" spans="1:348" ht="7.5" customHeight="1" x14ac:dyDescent="0.25">
      <c r="A42" s="8"/>
      <c r="B42" s="8"/>
      <c r="C42" s="8"/>
      <c r="D42" s="8"/>
      <c r="E42" s="8"/>
      <c r="F42" s="10"/>
      <c r="G42" s="19"/>
      <c r="H42" s="19"/>
      <c r="I42" s="8"/>
      <c r="J42" s="8"/>
      <c r="K42" s="8"/>
      <c r="L42" s="8"/>
      <c r="M42" s="8"/>
      <c r="N42" s="8"/>
      <c r="O42" s="9"/>
      <c r="P42" s="8" t="str">
        <f>IF(SUM(R42:MJ42) &gt; 0, SUM(R42:MJ42), "")</f>
        <v/>
      </c>
      <c r="Q42" s="8"/>
      <c r="R42" s="84"/>
      <c r="S42" s="7"/>
      <c r="Z42" s="7"/>
      <c r="AG42" s="7"/>
      <c r="AN42" s="7"/>
      <c r="AU42" s="7"/>
      <c r="BB42" s="7"/>
      <c r="BI42" s="7"/>
      <c r="BP42" s="7"/>
      <c r="BY42" s="7"/>
      <c r="CH42" s="7"/>
      <c r="CQ42" s="7"/>
      <c r="CZ42" s="7"/>
      <c r="DI42" s="7"/>
      <c r="DR42" s="7"/>
      <c r="EA42" s="7"/>
      <c r="EH42" s="7"/>
      <c r="EO42" s="7"/>
      <c r="EV42" s="7"/>
      <c r="FC42" s="7"/>
      <c r="FJ42" s="7"/>
      <c r="FQ42" s="7"/>
      <c r="FX42" s="7"/>
      <c r="GE42" s="7"/>
      <c r="GL42" s="7"/>
      <c r="GS42" s="7"/>
      <c r="GZ42" s="7"/>
      <c r="HG42" s="7"/>
      <c r="HN42" s="7"/>
      <c r="HU42" s="7"/>
      <c r="IB42" s="7"/>
      <c r="II42" s="7"/>
      <c r="IP42" s="7"/>
      <c r="IW42" s="7"/>
      <c r="JD42" s="7"/>
      <c r="JK42" s="7"/>
      <c r="JR42" s="7"/>
      <c r="JY42" s="7"/>
      <c r="KF42" s="7"/>
      <c r="KM42" s="7"/>
      <c r="KT42" s="7"/>
      <c r="LA42" s="7"/>
      <c r="LH42" s="7"/>
      <c r="LO42" s="7"/>
      <c r="LV42" s="7"/>
      <c r="MC42" s="7"/>
      <c r="MJ42" s="7"/>
    </row>
    <row r="43" spans="1:348" ht="15" customHeight="1" x14ac:dyDescent="0.25">
      <c r="A43" s="8" t="s">
        <v>116</v>
      </c>
      <c r="B43" s="8" t="s">
        <v>115</v>
      </c>
      <c r="C43" s="8" t="s">
        <v>114</v>
      </c>
      <c r="D43" s="8" t="s">
        <v>113</v>
      </c>
      <c r="E43" s="56">
        <v>40073</v>
      </c>
      <c r="F43" s="19">
        <f t="shared" ref="F43:L55" si="354">IF($E43 &gt;= F$41, 1, "")</f>
        <v>1</v>
      </c>
      <c r="G43" s="19">
        <f t="shared" si="354"/>
        <v>1</v>
      </c>
      <c r="H43" s="19">
        <f t="shared" si="354"/>
        <v>1</v>
      </c>
      <c r="I43" s="19">
        <f t="shared" si="354"/>
        <v>1</v>
      </c>
      <c r="J43" s="19">
        <f t="shared" si="354"/>
        <v>1</v>
      </c>
      <c r="K43" s="19">
        <f t="shared" si="354"/>
        <v>1</v>
      </c>
      <c r="L43" s="19" t="str">
        <f t="shared" si="354"/>
        <v/>
      </c>
      <c r="M43" s="8">
        <v>1</v>
      </c>
      <c r="N43" s="8"/>
      <c r="O43" s="9"/>
      <c r="P43" s="8">
        <f t="shared" ref="P43:P62" si="355">IF(SUM(S43:MJ43) &gt; 0, SUM(S43:MJ43), "")</f>
        <v>12</v>
      </c>
      <c r="Q43" s="109">
        <f>IF(SUM(S43:XFD43) &gt; 0, SUM(S43:XFD43) / $P$63 * 100, "")</f>
        <v>70.588235294117652</v>
      </c>
      <c r="R43" s="84"/>
      <c r="S43" s="7"/>
      <c r="Z43" s="7"/>
      <c r="AG43" s="7"/>
      <c r="AK43">
        <v>1</v>
      </c>
      <c r="AN43" s="7"/>
      <c r="AR43">
        <v>1</v>
      </c>
      <c r="AU43" s="7"/>
      <c r="AX43">
        <v>1</v>
      </c>
      <c r="AY43">
        <v>1</v>
      </c>
      <c r="BB43" s="7"/>
      <c r="BF43">
        <v>1</v>
      </c>
      <c r="BI43" s="7"/>
      <c r="BM43">
        <v>1</v>
      </c>
      <c r="BN43">
        <v>1</v>
      </c>
      <c r="BP43" s="7">
        <v>1</v>
      </c>
      <c r="BW43">
        <v>1</v>
      </c>
      <c r="BY43" s="7"/>
      <c r="CH43" s="7"/>
      <c r="CQ43" s="7"/>
      <c r="CZ43" s="7"/>
      <c r="DI43" s="7"/>
      <c r="DR43" s="7"/>
      <c r="DT43">
        <v>1</v>
      </c>
      <c r="DV43">
        <v>1</v>
      </c>
      <c r="DW43">
        <v>1</v>
      </c>
      <c r="EA43" s="7"/>
      <c r="EC43" t="s">
        <v>58</v>
      </c>
      <c r="EH43" s="7"/>
      <c r="EO43" s="7"/>
      <c r="EV43" s="7"/>
      <c r="FC43" s="7"/>
      <c r="FJ43" s="7"/>
      <c r="FQ43" s="7"/>
      <c r="FX43" s="7"/>
      <c r="GE43" s="7"/>
      <c r="GL43" s="7"/>
      <c r="GS43" s="7"/>
      <c r="GZ43" s="7"/>
      <c r="HG43" s="7"/>
      <c r="HN43" s="7"/>
      <c r="HU43" s="7"/>
      <c r="IB43" s="7"/>
      <c r="II43" s="7"/>
      <c r="IP43" s="7"/>
      <c r="IW43" s="7"/>
      <c r="JD43" s="7"/>
      <c r="JK43" s="7"/>
      <c r="JR43" s="7"/>
      <c r="JY43" s="7"/>
      <c r="KF43" s="7"/>
      <c r="KM43" s="7"/>
      <c r="KT43" s="7"/>
      <c r="LA43" s="7"/>
      <c r="LH43" s="7"/>
      <c r="LO43" s="7"/>
      <c r="LV43" s="7"/>
      <c r="MC43" s="7"/>
      <c r="MJ43" s="7"/>
    </row>
    <row r="44" spans="1:348" ht="15" customHeight="1" x14ac:dyDescent="0.25">
      <c r="A44" s="8" t="s">
        <v>112</v>
      </c>
      <c r="B44" s="8" t="s">
        <v>111</v>
      </c>
      <c r="C44" s="8" t="s">
        <v>110</v>
      </c>
      <c r="D44" s="8" t="s">
        <v>109</v>
      </c>
      <c r="E44" s="56">
        <v>40099</v>
      </c>
      <c r="F44" s="19">
        <f t="shared" si="354"/>
        <v>1</v>
      </c>
      <c r="G44" s="19">
        <f t="shared" si="354"/>
        <v>1</v>
      </c>
      <c r="H44" s="19">
        <f t="shared" si="354"/>
        <v>1</v>
      </c>
      <c r="I44" s="19">
        <f t="shared" si="354"/>
        <v>1</v>
      </c>
      <c r="J44" s="19">
        <f t="shared" si="354"/>
        <v>1</v>
      </c>
      <c r="K44" s="19">
        <f t="shared" si="354"/>
        <v>1</v>
      </c>
      <c r="L44" s="19" t="str">
        <f t="shared" si="354"/>
        <v/>
      </c>
      <c r="M44" s="8">
        <v>1</v>
      </c>
      <c r="N44" s="8"/>
      <c r="O44" s="9"/>
      <c r="P44" s="8">
        <f t="shared" ref="P44" si="356">IF(SUM(S44:MJ44) &gt; 0, SUM(S44:MJ44), "")</f>
        <v>2</v>
      </c>
      <c r="Q44" s="109">
        <f>IF(SUM(S44:XFD44) &gt; 0, SUM(S44:XFD44) / $P$63 * 100, "")</f>
        <v>11.76470588235294</v>
      </c>
      <c r="R44" s="84"/>
      <c r="S44" s="7"/>
      <c r="Z44" s="7"/>
      <c r="AG44" s="7"/>
      <c r="AN44" s="7"/>
      <c r="AU44" s="7"/>
      <c r="BB44" s="7"/>
      <c r="BI44" s="7"/>
      <c r="BP44" s="7"/>
      <c r="BY44" s="7"/>
      <c r="CH44" s="7"/>
      <c r="CQ44" s="7"/>
      <c r="CZ44" s="7"/>
      <c r="DI44" s="7"/>
      <c r="DR44" s="7"/>
      <c r="DT44">
        <v>1</v>
      </c>
      <c r="DW44">
        <v>1</v>
      </c>
      <c r="EA44" s="7"/>
      <c r="EC44" t="s">
        <v>55</v>
      </c>
      <c r="EH44" s="7"/>
      <c r="EO44" s="7"/>
      <c r="EV44" s="7"/>
      <c r="FC44" s="7"/>
      <c r="FJ44" s="7"/>
      <c r="FQ44" s="7"/>
      <c r="FX44" s="7"/>
      <c r="GE44" s="7"/>
      <c r="GL44" s="7"/>
      <c r="GS44" s="7"/>
      <c r="GZ44" s="7"/>
      <c r="HG44" s="7"/>
      <c r="HN44" s="7"/>
      <c r="HU44" s="7"/>
      <c r="IB44" s="7"/>
      <c r="II44" s="7"/>
      <c r="IP44" s="7"/>
      <c r="IW44" s="7"/>
      <c r="JD44" s="7"/>
      <c r="JK44" s="7"/>
      <c r="JR44" s="7"/>
      <c r="JY44" s="7"/>
      <c r="KF44" s="7"/>
      <c r="KM44" s="7"/>
      <c r="KT44" s="7"/>
      <c r="LA44" s="7"/>
      <c r="LH44" s="7"/>
      <c r="LO44" s="7"/>
      <c r="LV44" s="7"/>
      <c r="MC44" s="7"/>
      <c r="MJ44" s="7"/>
    </row>
    <row r="45" spans="1:348" ht="15" customHeight="1" x14ac:dyDescent="0.25">
      <c r="A45" s="8" t="s">
        <v>73</v>
      </c>
      <c r="B45" s="8" t="s">
        <v>108</v>
      </c>
      <c r="C45" s="8" t="s">
        <v>107</v>
      </c>
      <c r="D45" s="8" t="s">
        <v>106</v>
      </c>
      <c r="E45" s="18">
        <v>39474</v>
      </c>
      <c r="F45" s="10">
        <f t="shared" si="354"/>
        <v>1</v>
      </c>
      <c r="G45" s="19">
        <f t="shared" si="354"/>
        <v>1</v>
      </c>
      <c r="H45" s="19">
        <f t="shared" si="354"/>
        <v>1</v>
      </c>
      <c r="I45" s="19">
        <f t="shared" si="354"/>
        <v>1</v>
      </c>
      <c r="J45" s="19">
        <f t="shared" si="354"/>
        <v>1</v>
      </c>
      <c r="K45" s="19" t="str">
        <f t="shared" si="354"/>
        <v/>
      </c>
      <c r="L45" s="19" t="str">
        <f t="shared" si="354"/>
        <v/>
      </c>
      <c r="M45" s="8">
        <v>1</v>
      </c>
      <c r="N45" s="8"/>
      <c r="O45" s="9"/>
      <c r="P45" s="8">
        <f t="shared" si="355"/>
        <v>16</v>
      </c>
      <c r="Q45" s="109">
        <f>IF(SUM(S45:XFD45) &gt; 0, SUM(S45:XFD45) / $P$63 * 100, "")</f>
        <v>94.117647058823522</v>
      </c>
      <c r="R45" s="84"/>
      <c r="S45" s="7"/>
      <c r="Z45" s="7"/>
      <c r="AG45" s="7"/>
      <c r="AI45">
        <v>1</v>
      </c>
      <c r="AK45">
        <v>1</v>
      </c>
      <c r="AN45" s="7"/>
      <c r="AP45">
        <v>1</v>
      </c>
      <c r="AR45">
        <v>1</v>
      </c>
      <c r="AU45" s="7"/>
      <c r="AW45">
        <v>1</v>
      </c>
      <c r="AX45">
        <v>1</v>
      </c>
      <c r="AY45">
        <v>1</v>
      </c>
      <c r="BB45" s="7"/>
      <c r="BD45">
        <v>1</v>
      </c>
      <c r="BF45">
        <v>1</v>
      </c>
      <c r="BI45" s="7"/>
      <c r="BK45">
        <v>1</v>
      </c>
      <c r="BM45">
        <v>1</v>
      </c>
      <c r="BN45">
        <v>1</v>
      </c>
      <c r="BP45" s="7">
        <v>1</v>
      </c>
      <c r="BW45">
        <v>1</v>
      </c>
      <c r="BY45" s="7"/>
      <c r="CH45" s="7"/>
      <c r="CQ45" s="7"/>
      <c r="CZ45" s="7"/>
      <c r="DI45" s="7"/>
      <c r="DR45" s="7"/>
      <c r="DT45">
        <v>1</v>
      </c>
      <c r="DV45">
        <v>1</v>
      </c>
      <c r="EA45" s="7"/>
      <c r="EH45" s="7"/>
      <c r="EO45" s="7"/>
      <c r="EV45" s="7"/>
      <c r="FC45" s="7"/>
      <c r="FJ45" s="7"/>
      <c r="FQ45" s="7"/>
      <c r="FX45" s="7"/>
      <c r="GE45" s="7"/>
      <c r="GL45" s="7"/>
      <c r="GS45" s="7"/>
      <c r="GZ45" s="7"/>
      <c r="HG45" s="7"/>
      <c r="HN45" s="7"/>
      <c r="HU45" s="7"/>
      <c r="IB45" s="7"/>
      <c r="II45" s="7"/>
      <c r="IP45" s="7"/>
      <c r="IW45" s="7"/>
      <c r="JD45" s="7"/>
      <c r="JK45" s="7"/>
      <c r="JR45" s="7"/>
      <c r="JY45" s="7"/>
      <c r="KF45" s="7"/>
      <c r="KM45" s="7"/>
      <c r="KT45" s="7"/>
      <c r="LA45" s="7"/>
      <c r="LH45" s="7"/>
      <c r="LO45" s="7"/>
      <c r="LV45" s="7"/>
      <c r="MC45" s="7"/>
      <c r="MJ45" s="7"/>
    </row>
    <row r="46" spans="1:348" ht="15" customHeight="1" x14ac:dyDescent="0.25">
      <c r="A46" s="8" t="s">
        <v>237</v>
      </c>
      <c r="B46" s="8" t="s">
        <v>238</v>
      </c>
      <c r="C46" s="8" t="s">
        <v>239</v>
      </c>
      <c r="D46" s="8" t="s">
        <v>240</v>
      </c>
      <c r="E46" s="18">
        <v>39425</v>
      </c>
      <c r="F46" s="10">
        <f t="shared" si="354"/>
        <v>1</v>
      </c>
      <c r="G46" s="19">
        <f t="shared" si="354"/>
        <v>1</v>
      </c>
      <c r="H46" s="19">
        <f t="shared" si="354"/>
        <v>1</v>
      </c>
      <c r="I46" s="19">
        <f t="shared" si="354"/>
        <v>1</v>
      </c>
      <c r="J46" s="19" t="str">
        <f t="shared" si="354"/>
        <v/>
      </c>
      <c r="K46" s="19" t="str">
        <f t="shared" si="354"/>
        <v/>
      </c>
      <c r="L46" s="19" t="str">
        <f t="shared" si="354"/>
        <v/>
      </c>
      <c r="M46" s="8">
        <v>1</v>
      </c>
      <c r="N46" s="8"/>
      <c r="O46" s="9"/>
      <c r="P46" s="8">
        <f t="shared" si="355"/>
        <v>15</v>
      </c>
      <c r="Q46" s="109">
        <f>IF(SUM(S46:XFD46) &gt; 0, SUM(S46:XFD46) / $P$63 * 100, "")</f>
        <v>88.235294117647058</v>
      </c>
      <c r="R46" s="84"/>
      <c r="S46" s="7"/>
      <c r="Z46" s="7"/>
      <c r="AG46" s="7"/>
      <c r="AI46">
        <v>1</v>
      </c>
      <c r="AK46">
        <v>1</v>
      </c>
      <c r="AN46" s="7"/>
      <c r="AP46">
        <v>1</v>
      </c>
      <c r="AR46">
        <v>1</v>
      </c>
      <c r="AU46" s="7"/>
      <c r="AW46">
        <v>1</v>
      </c>
      <c r="AX46">
        <v>1</v>
      </c>
      <c r="AY46">
        <v>1</v>
      </c>
      <c r="BB46" s="7"/>
      <c r="BD46">
        <v>1</v>
      </c>
      <c r="BF46">
        <v>1</v>
      </c>
      <c r="BI46" s="7"/>
      <c r="BK46">
        <v>1</v>
      </c>
      <c r="BM46">
        <v>1</v>
      </c>
      <c r="BN46">
        <v>1</v>
      </c>
      <c r="BP46" s="7"/>
      <c r="BY46" s="7"/>
      <c r="CH46" s="7"/>
      <c r="CQ46" s="7"/>
      <c r="CZ46" s="7"/>
      <c r="DI46" s="7"/>
      <c r="DR46" s="7"/>
      <c r="DT46">
        <v>1</v>
      </c>
      <c r="DV46">
        <v>1</v>
      </c>
      <c r="DW46">
        <v>1</v>
      </c>
      <c r="EA46" s="7"/>
      <c r="EH46" s="7"/>
      <c r="EO46" s="7"/>
      <c r="EV46" s="7"/>
      <c r="FC46" s="7"/>
      <c r="FJ46" s="7"/>
      <c r="FQ46" s="7"/>
      <c r="FX46" s="7"/>
      <c r="GE46" s="7"/>
      <c r="GL46" s="7"/>
      <c r="GS46" s="7"/>
      <c r="GZ46" s="7"/>
      <c r="HG46" s="7"/>
      <c r="HN46" s="7"/>
      <c r="HU46" s="7"/>
      <c r="IB46" s="7"/>
      <c r="II46" s="7"/>
      <c r="IP46" s="7"/>
      <c r="IW46" s="7"/>
      <c r="JD46" s="7"/>
      <c r="JK46" s="7"/>
      <c r="JR46" s="7"/>
      <c r="JY46" s="7"/>
      <c r="KF46" s="7"/>
      <c r="KM46" s="7"/>
      <c r="KT46" s="7"/>
      <c r="LA46" s="7"/>
      <c r="LH46" s="7"/>
      <c r="LO46" s="7"/>
      <c r="LV46" s="7"/>
      <c r="MC46" s="7"/>
      <c r="MJ46" s="7"/>
    </row>
    <row r="47" spans="1:348" ht="15" hidden="1" customHeight="1" x14ac:dyDescent="0.25">
      <c r="A47" s="8" t="s">
        <v>234</v>
      </c>
      <c r="B47" s="8"/>
      <c r="C47" s="8" t="s">
        <v>36</v>
      </c>
      <c r="D47" s="8" t="s">
        <v>235</v>
      </c>
      <c r="E47" s="18">
        <v>38536</v>
      </c>
      <c r="F47" s="10">
        <f t="shared" si="354"/>
        <v>1</v>
      </c>
      <c r="G47" s="19">
        <f t="shared" si="354"/>
        <v>1</v>
      </c>
      <c r="H47" s="19" t="str">
        <f t="shared" si="354"/>
        <v/>
      </c>
      <c r="I47" s="19" t="str">
        <f t="shared" si="354"/>
        <v/>
      </c>
      <c r="J47" s="19" t="str">
        <f t="shared" si="354"/>
        <v/>
      </c>
      <c r="K47" s="19" t="str">
        <f t="shared" si="354"/>
        <v/>
      </c>
      <c r="L47" s="19" t="str">
        <f t="shared" si="354"/>
        <v/>
      </c>
      <c r="M47" s="8">
        <v>1</v>
      </c>
      <c r="N47" s="8"/>
      <c r="O47" s="9"/>
      <c r="P47" s="8">
        <f t="shared" si="355"/>
        <v>5</v>
      </c>
      <c r="Q47" s="109">
        <f>IF(SUM(S47:XFD47) &gt; 0, SUM(S47:XFD47) / $P$63 * 100, "")</f>
        <v>29.411764705882355</v>
      </c>
      <c r="R47" s="84"/>
      <c r="S47" s="7"/>
      <c r="Z47" s="7"/>
      <c r="AG47" s="7"/>
      <c r="AI47">
        <v>1</v>
      </c>
      <c r="AN47" s="7"/>
      <c r="AR47">
        <v>1</v>
      </c>
      <c r="AU47" s="7"/>
      <c r="BB47" s="7"/>
      <c r="BD47">
        <v>1</v>
      </c>
      <c r="BI47" s="7"/>
      <c r="BM47">
        <v>1</v>
      </c>
      <c r="BN47">
        <v>1</v>
      </c>
      <c r="BP47" s="7"/>
      <c r="BY47" s="7"/>
      <c r="CH47" s="7"/>
      <c r="CQ47" s="7"/>
      <c r="CZ47" s="7"/>
      <c r="DI47" s="7"/>
      <c r="DR47" s="7"/>
      <c r="DT47" t="s">
        <v>449</v>
      </c>
      <c r="EA47" s="7"/>
      <c r="EH47" s="7"/>
      <c r="EO47" s="7"/>
      <c r="EV47" s="7"/>
      <c r="FC47" s="7"/>
      <c r="FJ47" s="7"/>
      <c r="FQ47" s="7"/>
      <c r="FX47" s="7"/>
      <c r="GE47" s="7"/>
      <c r="GL47" s="7"/>
      <c r="GS47" s="7"/>
      <c r="GZ47" s="7"/>
      <c r="HG47" s="7"/>
      <c r="HN47" s="7"/>
      <c r="HU47" s="7"/>
      <c r="IB47" s="7"/>
      <c r="II47" s="7"/>
      <c r="IP47" s="7"/>
      <c r="IW47" s="7"/>
      <c r="JD47" s="7"/>
      <c r="JK47" s="7"/>
      <c r="JR47" s="7"/>
      <c r="JY47" s="7"/>
      <c r="KF47" s="7"/>
      <c r="KM47" s="7"/>
      <c r="KT47" s="7"/>
      <c r="LA47" s="7"/>
      <c r="LH47" s="7"/>
      <c r="LO47" s="7"/>
      <c r="LV47" s="7"/>
      <c r="MC47" s="7"/>
      <c r="MJ47" s="7"/>
    </row>
    <row r="48" spans="1:348" hidden="1" x14ac:dyDescent="0.25">
      <c r="A48" s="8" t="s">
        <v>230</v>
      </c>
      <c r="B48" s="8" t="s">
        <v>231</v>
      </c>
      <c r="C48" s="8" t="s">
        <v>233</v>
      </c>
      <c r="D48" s="8" t="s">
        <v>232</v>
      </c>
      <c r="E48" s="18">
        <v>38679</v>
      </c>
      <c r="F48" s="10">
        <f t="shared" si="354"/>
        <v>1</v>
      </c>
      <c r="G48" s="19">
        <f t="shared" si="354"/>
        <v>1</v>
      </c>
      <c r="H48" s="19" t="str">
        <f t="shared" si="354"/>
        <v/>
      </c>
      <c r="I48" s="19" t="str">
        <f t="shared" si="354"/>
        <v/>
      </c>
      <c r="J48" s="19" t="str">
        <f t="shared" si="354"/>
        <v/>
      </c>
      <c r="K48" s="19" t="str">
        <f t="shared" si="354"/>
        <v/>
      </c>
      <c r="L48" s="19" t="str">
        <f t="shared" si="354"/>
        <v/>
      </c>
      <c r="M48" s="8">
        <v>1</v>
      </c>
      <c r="N48" s="8"/>
      <c r="O48" s="9"/>
      <c r="P48" s="8">
        <f t="shared" si="355"/>
        <v>5</v>
      </c>
      <c r="Q48" s="109">
        <f>IF(SUM(S48:XFD48) &gt; 0, SUM(S48:XFD48) / $P$63 * 100, "")</f>
        <v>29.411764705882355</v>
      </c>
      <c r="R48" s="84"/>
      <c r="S48" s="7"/>
      <c r="Z48" s="7"/>
      <c r="AG48" s="7"/>
      <c r="AI48">
        <v>1</v>
      </c>
      <c r="AN48" s="7"/>
      <c r="AR48">
        <v>1</v>
      </c>
      <c r="AU48" s="7"/>
      <c r="BB48" s="7"/>
      <c r="BD48">
        <v>1</v>
      </c>
      <c r="BI48" s="7"/>
      <c r="BM48">
        <v>1</v>
      </c>
      <c r="BN48">
        <v>1</v>
      </c>
      <c r="BP48" s="7"/>
      <c r="BY48" s="7"/>
      <c r="CH48" s="7"/>
      <c r="CQ48" s="7"/>
      <c r="CZ48" s="7"/>
      <c r="DI48" s="7"/>
      <c r="DR48" s="7"/>
      <c r="DT48" t="s">
        <v>449</v>
      </c>
      <c r="EA48" s="7"/>
      <c r="EH48" s="7"/>
      <c r="EO48" s="7"/>
      <c r="EV48" s="7"/>
      <c r="FC48" s="7"/>
      <c r="FJ48" s="7"/>
      <c r="FQ48" s="7"/>
      <c r="FX48" s="7"/>
      <c r="GE48" s="7"/>
      <c r="GL48" s="7"/>
      <c r="GS48" s="7"/>
      <c r="GZ48" s="7"/>
      <c r="HG48" s="7"/>
      <c r="HN48" s="7"/>
      <c r="HU48" s="7"/>
      <c r="IB48" s="7"/>
      <c r="II48" s="7"/>
      <c r="IP48" s="7"/>
      <c r="IW48" s="7"/>
      <c r="JD48" s="7"/>
      <c r="JK48" s="7"/>
      <c r="JR48" s="7"/>
      <c r="JY48" s="7"/>
      <c r="KF48" s="7"/>
      <c r="KM48" s="7"/>
      <c r="KT48" s="7"/>
      <c r="LA48" s="7"/>
      <c r="LH48" s="7"/>
      <c r="LO48" s="7"/>
      <c r="LV48" s="7"/>
      <c r="MC48" s="7"/>
      <c r="MJ48" s="7"/>
    </row>
    <row r="49" spans="1:348" hidden="1" x14ac:dyDescent="0.25">
      <c r="A49" s="8" t="s">
        <v>62</v>
      </c>
      <c r="B49" s="8"/>
      <c r="C49" s="8" t="s">
        <v>293</v>
      </c>
      <c r="D49" s="8" t="s">
        <v>294</v>
      </c>
      <c r="E49" s="18">
        <v>39814</v>
      </c>
      <c r="F49" s="10">
        <f t="shared" si="354"/>
        <v>1</v>
      </c>
      <c r="G49" s="19">
        <f t="shared" si="354"/>
        <v>1</v>
      </c>
      <c r="H49" s="19">
        <f t="shared" si="354"/>
        <v>1</v>
      </c>
      <c r="I49" s="8">
        <f t="shared" si="354"/>
        <v>1</v>
      </c>
      <c r="J49" s="8">
        <f t="shared" si="354"/>
        <v>1</v>
      </c>
      <c r="K49" s="8">
        <f t="shared" si="354"/>
        <v>1</v>
      </c>
      <c r="L49" s="8" t="str">
        <f t="shared" si="354"/>
        <v/>
      </c>
      <c r="M49" s="8">
        <v>1</v>
      </c>
      <c r="N49" s="8"/>
      <c r="O49" s="9"/>
      <c r="P49" s="8">
        <f t="shared" si="355"/>
        <v>3</v>
      </c>
      <c r="Q49" s="109">
        <f>IF(SUM(S49:XFD49) &gt; 0, SUM(S49:XFD49) / $P$63 * 100, "")</f>
        <v>17.647058823529413</v>
      </c>
      <c r="R49" s="84"/>
      <c r="S49" s="7"/>
      <c r="Z49" s="7"/>
      <c r="AG49" s="7"/>
      <c r="AN49" s="7"/>
      <c r="AP49">
        <v>1</v>
      </c>
      <c r="AU49" s="7"/>
      <c r="AY49">
        <v>1</v>
      </c>
      <c r="BB49" s="7"/>
      <c r="BF49">
        <v>1</v>
      </c>
      <c r="BI49" s="7"/>
      <c r="BP49" s="7"/>
      <c r="BY49" s="7"/>
      <c r="CH49" s="7"/>
      <c r="CQ49" s="7"/>
      <c r="CZ49" s="7"/>
      <c r="DI49" s="7"/>
      <c r="DR49" s="7"/>
      <c r="EA49" s="7"/>
      <c r="EH49" s="7"/>
      <c r="EO49" s="7"/>
      <c r="EV49" s="7"/>
      <c r="FC49" s="7"/>
      <c r="FJ49" s="7"/>
      <c r="FQ49" s="7"/>
      <c r="FX49" s="7"/>
      <c r="GE49" s="7"/>
      <c r="GL49" s="7"/>
      <c r="GS49" s="7"/>
      <c r="GZ49" s="7"/>
      <c r="HG49" s="7"/>
      <c r="HN49" s="7"/>
      <c r="HU49" s="7"/>
      <c r="IB49" s="7"/>
      <c r="II49" s="7"/>
      <c r="IP49" s="7"/>
      <c r="IW49" s="7"/>
      <c r="JD49" s="7"/>
      <c r="JK49" s="7"/>
      <c r="JR49" s="7"/>
      <c r="JY49" s="7"/>
      <c r="KF49" s="7"/>
      <c r="KM49" s="7"/>
      <c r="KT49" s="7"/>
      <c r="LA49" s="7"/>
      <c r="LH49" s="7"/>
      <c r="LO49" s="7"/>
      <c r="LV49" s="7"/>
      <c r="MC49" s="7"/>
      <c r="MJ49" s="7"/>
    </row>
    <row r="50" spans="1:348" x14ac:dyDescent="0.25">
      <c r="A50" s="8" t="s">
        <v>92</v>
      </c>
      <c r="B50" s="8"/>
      <c r="C50" s="8" t="s">
        <v>91</v>
      </c>
      <c r="D50" s="8" t="s">
        <v>90</v>
      </c>
      <c r="E50" s="18">
        <v>39507</v>
      </c>
      <c r="F50" s="10">
        <f t="shared" si="354"/>
        <v>1</v>
      </c>
      <c r="G50" s="19">
        <f t="shared" si="354"/>
        <v>1</v>
      </c>
      <c r="H50" s="19">
        <f t="shared" si="354"/>
        <v>1</v>
      </c>
      <c r="I50" s="19">
        <f t="shared" si="354"/>
        <v>1</v>
      </c>
      <c r="J50" s="19">
        <f t="shared" si="354"/>
        <v>1</v>
      </c>
      <c r="K50" s="19" t="str">
        <f t="shared" si="354"/>
        <v/>
      </c>
      <c r="L50" s="19" t="str">
        <f t="shared" si="354"/>
        <v/>
      </c>
      <c r="M50" s="8">
        <v>1</v>
      </c>
      <c r="N50" s="8"/>
      <c r="O50" s="9"/>
      <c r="P50" s="8">
        <f t="shared" si="355"/>
        <v>13</v>
      </c>
      <c r="Q50" s="109">
        <f>IF(SUM(S50:XFD50) &gt; 0, SUM(S50:XFD50) / $P$63 * 100, "")</f>
        <v>76.470588235294116</v>
      </c>
      <c r="R50" s="84"/>
      <c r="S50" s="7"/>
      <c r="Z50" s="7"/>
      <c r="AG50" s="7"/>
      <c r="AI50">
        <v>1</v>
      </c>
      <c r="AN50" s="7"/>
      <c r="AP50">
        <v>1</v>
      </c>
      <c r="AR50">
        <v>1</v>
      </c>
      <c r="AU50" s="7"/>
      <c r="AW50">
        <v>1</v>
      </c>
      <c r="AX50">
        <v>1</v>
      </c>
      <c r="AY50">
        <v>1</v>
      </c>
      <c r="BB50" s="7"/>
      <c r="BD50">
        <v>1</v>
      </c>
      <c r="BF50">
        <v>1</v>
      </c>
      <c r="BI50" s="7"/>
      <c r="BK50">
        <v>1</v>
      </c>
      <c r="BM50">
        <v>1</v>
      </c>
      <c r="BN50">
        <v>1</v>
      </c>
      <c r="BP50" s="7">
        <v>1</v>
      </c>
      <c r="BY50" s="7"/>
      <c r="CH50" s="7"/>
      <c r="CQ50" s="7"/>
      <c r="CZ50" s="7"/>
      <c r="DI50" s="7"/>
      <c r="DR50" s="7"/>
      <c r="DT50">
        <v>1</v>
      </c>
      <c r="EA50" s="7"/>
      <c r="EH50" s="7"/>
      <c r="EO50" s="7"/>
      <c r="EV50" s="7"/>
      <c r="FC50" s="7"/>
      <c r="FJ50" s="7"/>
      <c r="FQ50" s="7"/>
      <c r="FX50" s="7"/>
      <c r="GE50" s="7"/>
      <c r="GL50" s="7"/>
      <c r="GS50" s="7"/>
      <c r="GZ50" s="7"/>
      <c r="HG50" s="7"/>
      <c r="HN50" s="7"/>
      <c r="HU50" s="7"/>
      <c r="IB50" s="7"/>
      <c r="II50" s="7"/>
      <c r="IP50" s="7"/>
      <c r="IW50" s="7"/>
      <c r="JD50" s="7"/>
      <c r="JK50" s="7"/>
      <c r="JR50" s="7"/>
      <c r="JY50" s="7"/>
      <c r="KF50" s="7"/>
      <c r="KM50" s="7"/>
      <c r="KT50" s="7"/>
      <c r="LA50" s="7"/>
      <c r="LH50" s="7"/>
      <c r="LO50" s="7"/>
      <c r="LV50" s="7"/>
      <c r="MC50" s="7"/>
      <c r="MJ50" s="7"/>
    </row>
    <row r="51" spans="1:348" hidden="1" x14ac:dyDescent="0.25">
      <c r="A51" s="8" t="s">
        <v>89</v>
      </c>
      <c r="B51" s="8"/>
      <c r="C51" s="8" t="s">
        <v>88</v>
      </c>
      <c r="D51" s="8" t="s">
        <v>87</v>
      </c>
      <c r="E51" s="18">
        <v>39651</v>
      </c>
      <c r="F51" s="10">
        <f t="shared" si="354"/>
        <v>1</v>
      </c>
      <c r="G51" s="19">
        <f t="shared" si="354"/>
        <v>1</v>
      </c>
      <c r="H51" s="19">
        <f t="shared" si="354"/>
        <v>1</v>
      </c>
      <c r="I51" s="8">
        <f t="shared" si="354"/>
        <v>1</v>
      </c>
      <c r="J51" s="8">
        <f t="shared" si="354"/>
        <v>1</v>
      </c>
      <c r="K51" s="8" t="str">
        <f t="shared" si="354"/>
        <v/>
      </c>
      <c r="L51" s="8" t="str">
        <f t="shared" si="354"/>
        <v/>
      </c>
      <c r="M51" s="8">
        <v>1</v>
      </c>
      <c r="N51" s="8"/>
      <c r="O51" s="9"/>
      <c r="P51" s="8">
        <f t="shared" si="355"/>
        <v>3</v>
      </c>
      <c r="Q51" s="109">
        <f>IF(SUM(S51:XFD51) &gt; 0, SUM(S51:XFD51) / $P$63 * 100, "")</f>
        <v>17.647058823529413</v>
      </c>
      <c r="R51" s="84"/>
      <c r="S51" s="7"/>
      <c r="Z51" s="7"/>
      <c r="AG51" s="7"/>
      <c r="AI51">
        <v>1</v>
      </c>
      <c r="AK51">
        <v>1</v>
      </c>
      <c r="AN51" s="7"/>
      <c r="AU51" s="7"/>
      <c r="AW51">
        <v>1</v>
      </c>
      <c r="BB51" s="7"/>
      <c r="BI51" s="7"/>
      <c r="BP51" s="7"/>
      <c r="BY51" s="7"/>
      <c r="CH51" s="7"/>
      <c r="CQ51" s="7"/>
      <c r="CZ51" s="7"/>
      <c r="DI51" s="7"/>
      <c r="DR51" s="7"/>
      <c r="EA51" s="7"/>
      <c r="EH51" s="7"/>
      <c r="EO51" s="7"/>
      <c r="EV51" s="7"/>
      <c r="FC51" s="7"/>
      <c r="FJ51" s="7"/>
      <c r="FQ51" s="7"/>
      <c r="FX51" s="7"/>
      <c r="GE51" s="7"/>
      <c r="GL51" s="7"/>
      <c r="GS51" s="7"/>
      <c r="GZ51" s="7"/>
      <c r="HG51" s="7"/>
      <c r="HN51" s="7"/>
      <c r="HU51" s="7"/>
      <c r="IB51" s="7"/>
      <c r="II51" s="7"/>
      <c r="IP51" s="7"/>
      <c r="IW51" s="7"/>
      <c r="JD51" s="7"/>
      <c r="JK51" s="7"/>
      <c r="JR51" s="7"/>
      <c r="JY51" s="7"/>
      <c r="KF51" s="7"/>
      <c r="KM51" s="7"/>
      <c r="KT51" s="7"/>
      <c r="LA51" s="7"/>
      <c r="LH51" s="7"/>
      <c r="LO51" s="7"/>
      <c r="LV51" s="7"/>
      <c r="MC51" s="7"/>
      <c r="MJ51" s="7"/>
    </row>
    <row r="52" spans="1:348" x14ac:dyDescent="0.25">
      <c r="A52" s="8" t="s">
        <v>134</v>
      </c>
      <c r="B52" s="8" t="s">
        <v>133</v>
      </c>
      <c r="C52" s="8" t="s">
        <v>236</v>
      </c>
      <c r="D52" s="8" t="s">
        <v>87</v>
      </c>
      <c r="E52" s="18">
        <v>38979</v>
      </c>
      <c r="F52" s="10">
        <f t="shared" si="354"/>
        <v>1</v>
      </c>
      <c r="G52" s="19">
        <f t="shared" si="354"/>
        <v>1</v>
      </c>
      <c r="H52" s="19">
        <f t="shared" si="354"/>
        <v>1</v>
      </c>
      <c r="I52" s="8" t="str">
        <f t="shared" si="354"/>
        <v/>
      </c>
      <c r="J52" s="8" t="str">
        <f t="shared" si="354"/>
        <v/>
      </c>
      <c r="K52" s="8" t="str">
        <f t="shared" si="354"/>
        <v/>
      </c>
      <c r="L52" s="8" t="str">
        <f t="shared" si="354"/>
        <v/>
      </c>
      <c r="M52" s="8">
        <v>1</v>
      </c>
      <c r="N52" s="8"/>
      <c r="O52" s="9"/>
      <c r="P52" s="8">
        <f t="shared" si="355"/>
        <v>10</v>
      </c>
      <c r="Q52" s="109">
        <f>IF(SUM(S52:XFD52) &gt; 0, SUM(S52:XFD52) / $P$63 * 100, "")</f>
        <v>58.82352941176471</v>
      </c>
      <c r="R52" s="84"/>
      <c r="S52" s="7"/>
      <c r="Z52" s="7"/>
      <c r="AG52" s="7"/>
      <c r="AI52">
        <v>1</v>
      </c>
      <c r="AK52">
        <v>1</v>
      </c>
      <c r="AN52" s="7"/>
      <c r="AU52" s="7"/>
      <c r="AW52">
        <v>1</v>
      </c>
      <c r="AX52">
        <v>1</v>
      </c>
      <c r="BB52" s="7"/>
      <c r="BI52" s="7"/>
      <c r="BK52">
        <v>1</v>
      </c>
      <c r="BM52">
        <v>1</v>
      </c>
      <c r="BN52">
        <v>1</v>
      </c>
      <c r="BP52" s="7">
        <v>1</v>
      </c>
      <c r="BY52" s="7"/>
      <c r="CH52" s="7"/>
      <c r="CQ52" s="7"/>
      <c r="CZ52" s="7"/>
      <c r="DI52" s="7"/>
      <c r="DR52" s="7"/>
      <c r="DT52">
        <v>1</v>
      </c>
      <c r="DV52">
        <v>1</v>
      </c>
      <c r="EA52" s="7"/>
      <c r="EH52" s="7"/>
      <c r="EO52" s="7"/>
      <c r="EV52" s="7"/>
      <c r="FC52" s="7"/>
      <c r="FJ52" s="7"/>
      <c r="FQ52" s="7"/>
      <c r="FX52" s="7"/>
      <c r="GE52" s="7"/>
      <c r="GL52" s="7"/>
      <c r="GS52" s="7"/>
      <c r="GZ52" s="7"/>
      <c r="HG52" s="7"/>
      <c r="HN52" s="7"/>
      <c r="HU52" s="7"/>
      <c r="IB52" s="7"/>
      <c r="II52" s="7"/>
      <c r="IP52" s="7"/>
      <c r="IW52" s="7"/>
      <c r="JD52" s="7"/>
      <c r="JK52" s="7"/>
      <c r="JR52" s="7"/>
      <c r="JY52" s="7"/>
      <c r="KF52" s="7"/>
      <c r="KM52" s="7"/>
      <c r="KT52" s="7"/>
      <c r="LA52" s="7"/>
      <c r="LH52" s="7"/>
      <c r="LO52" s="7"/>
      <c r="LV52" s="7"/>
      <c r="MC52" s="7"/>
      <c r="MJ52" s="7"/>
    </row>
    <row r="53" spans="1:348" x14ac:dyDescent="0.25">
      <c r="A53" s="8" t="s">
        <v>86</v>
      </c>
      <c r="B53" s="8"/>
      <c r="C53" s="8" t="s">
        <v>85</v>
      </c>
      <c r="D53" s="8" t="s">
        <v>84</v>
      </c>
      <c r="E53" s="18">
        <v>39562</v>
      </c>
      <c r="F53" s="10">
        <f t="shared" si="354"/>
        <v>1</v>
      </c>
      <c r="G53" s="19">
        <f t="shared" si="354"/>
        <v>1</v>
      </c>
      <c r="H53" s="19">
        <f t="shared" si="354"/>
        <v>1</v>
      </c>
      <c r="I53" s="8">
        <f t="shared" si="354"/>
        <v>1</v>
      </c>
      <c r="J53" s="8">
        <f t="shared" si="354"/>
        <v>1</v>
      </c>
      <c r="K53" s="8" t="str">
        <f t="shared" si="354"/>
        <v/>
      </c>
      <c r="L53" s="8" t="str">
        <f t="shared" si="354"/>
        <v/>
      </c>
      <c r="M53" s="8">
        <v>1</v>
      </c>
      <c r="N53" s="8"/>
      <c r="O53" s="9"/>
      <c r="P53" s="8">
        <f t="shared" si="355"/>
        <v>5</v>
      </c>
      <c r="Q53" s="109">
        <f>IF(SUM(S53:XFD53) &gt; 0, SUM(S53:XFD53) / $P$63 * 100, "")</f>
        <v>29.411764705882355</v>
      </c>
      <c r="R53" s="84"/>
      <c r="S53" s="7"/>
      <c r="Z53" s="7"/>
      <c r="AG53" s="7"/>
      <c r="AN53" s="7"/>
      <c r="AP53">
        <v>1</v>
      </c>
      <c r="AR53">
        <v>1</v>
      </c>
      <c r="AU53" s="7"/>
      <c r="AW53">
        <v>1</v>
      </c>
      <c r="BB53" s="7"/>
      <c r="BI53" s="7"/>
      <c r="BM53">
        <v>1</v>
      </c>
      <c r="BN53">
        <v>1</v>
      </c>
      <c r="BP53" s="7"/>
      <c r="BY53" s="7"/>
      <c r="CH53" s="7"/>
      <c r="CQ53" s="7"/>
      <c r="CZ53" s="7"/>
      <c r="DI53" s="7"/>
      <c r="DR53" s="7"/>
      <c r="EA53" s="7"/>
      <c r="EH53" s="7"/>
      <c r="EO53" s="7"/>
      <c r="EV53" s="7"/>
      <c r="FC53" s="7"/>
      <c r="FJ53" s="7"/>
      <c r="FQ53" s="7"/>
      <c r="FX53" s="7"/>
      <c r="GE53" s="7"/>
      <c r="GL53" s="7"/>
      <c r="GS53" s="7"/>
      <c r="GZ53" s="7"/>
      <c r="HG53" s="7"/>
      <c r="HN53" s="7"/>
      <c r="HU53" s="7"/>
      <c r="IB53" s="7"/>
      <c r="II53" s="7"/>
      <c r="IP53" s="7"/>
      <c r="IW53" s="7"/>
      <c r="JD53" s="7"/>
      <c r="JK53" s="7"/>
      <c r="JR53" s="7"/>
      <c r="JY53" s="7"/>
      <c r="KF53" s="7"/>
      <c r="KM53" s="7"/>
      <c r="KT53" s="7"/>
      <c r="LA53" s="7"/>
      <c r="LH53" s="7"/>
      <c r="LO53" s="7"/>
      <c r="LV53" s="7"/>
      <c r="MC53" s="7"/>
      <c r="MJ53" s="7"/>
    </row>
    <row r="54" spans="1:348" x14ac:dyDescent="0.25">
      <c r="A54" s="8" t="s">
        <v>83</v>
      </c>
      <c r="B54" s="8"/>
      <c r="C54" s="8" t="s">
        <v>82</v>
      </c>
      <c r="D54" s="8" t="s">
        <v>81</v>
      </c>
      <c r="E54" s="18">
        <v>39475</v>
      </c>
      <c r="F54" s="10">
        <f t="shared" si="354"/>
        <v>1</v>
      </c>
      <c r="G54" s="19">
        <f t="shared" si="354"/>
        <v>1</v>
      </c>
      <c r="H54" s="19">
        <f t="shared" si="354"/>
        <v>1</v>
      </c>
      <c r="I54" s="8">
        <f t="shared" si="354"/>
        <v>1</v>
      </c>
      <c r="J54" s="8">
        <f t="shared" si="354"/>
        <v>1</v>
      </c>
      <c r="K54" s="8" t="str">
        <f t="shared" si="354"/>
        <v/>
      </c>
      <c r="L54" s="8" t="str">
        <f t="shared" si="354"/>
        <v/>
      </c>
      <c r="M54" s="8">
        <v>1</v>
      </c>
      <c r="N54" s="8"/>
      <c r="O54" s="9"/>
      <c r="P54" s="8">
        <f t="shared" si="355"/>
        <v>13</v>
      </c>
      <c r="Q54" s="109">
        <f>IF(SUM(S54:XFD54) &gt; 0, SUM(S54:XFD54) / $P$63 * 100, "")</f>
        <v>76.470588235294116</v>
      </c>
      <c r="R54" s="84"/>
      <c r="S54" s="7"/>
      <c r="Z54" s="7"/>
      <c r="AG54" s="7"/>
      <c r="AI54">
        <v>1</v>
      </c>
      <c r="AK54">
        <v>1</v>
      </c>
      <c r="AN54" s="7"/>
      <c r="AP54">
        <v>1</v>
      </c>
      <c r="AR54">
        <v>1</v>
      </c>
      <c r="AU54" s="7"/>
      <c r="AY54">
        <v>1</v>
      </c>
      <c r="BB54" s="7"/>
      <c r="BD54">
        <v>1</v>
      </c>
      <c r="BF54">
        <v>1</v>
      </c>
      <c r="BI54" s="7"/>
      <c r="BK54">
        <v>1</v>
      </c>
      <c r="BM54">
        <v>1</v>
      </c>
      <c r="BN54">
        <v>1</v>
      </c>
      <c r="BP54" s="7"/>
      <c r="BY54" s="7"/>
      <c r="CH54" s="7"/>
      <c r="CQ54" s="7"/>
      <c r="CZ54" s="7"/>
      <c r="DI54" s="7"/>
      <c r="DR54" s="7"/>
      <c r="DT54">
        <v>1</v>
      </c>
      <c r="DV54">
        <v>1</v>
      </c>
      <c r="DW54">
        <v>1</v>
      </c>
      <c r="EA54" s="7"/>
      <c r="EH54" s="7"/>
      <c r="EO54" s="7"/>
      <c r="EV54" s="7"/>
      <c r="FC54" s="7"/>
      <c r="FJ54" s="7"/>
      <c r="FQ54" s="7"/>
      <c r="FX54" s="7"/>
      <c r="GE54" s="7"/>
      <c r="GL54" s="7"/>
      <c r="GS54" s="7"/>
      <c r="GZ54" s="7"/>
      <c r="HG54" s="7"/>
      <c r="HN54" s="7"/>
      <c r="HU54" s="7"/>
      <c r="IB54" s="7"/>
      <c r="II54" s="7"/>
      <c r="IP54" s="7"/>
      <c r="IW54" s="7"/>
      <c r="JD54" s="7"/>
      <c r="JK54" s="7"/>
      <c r="JR54" s="7"/>
      <c r="JY54" s="7"/>
      <c r="KF54" s="7"/>
      <c r="KM54" s="7"/>
      <c r="KT54" s="7"/>
      <c r="LA54" s="7"/>
      <c r="LH54" s="7"/>
      <c r="LO54" s="7"/>
      <c r="LV54" s="7"/>
      <c r="MC54" s="7"/>
      <c r="MJ54" s="7"/>
    </row>
    <row r="55" spans="1:348" x14ac:dyDescent="0.25">
      <c r="A55" s="8" t="s">
        <v>80</v>
      </c>
      <c r="B55" s="8"/>
      <c r="C55" s="8" t="s">
        <v>79</v>
      </c>
      <c r="D55" s="8" t="s">
        <v>78</v>
      </c>
      <c r="E55" s="18">
        <v>39927</v>
      </c>
      <c r="F55" s="10">
        <f t="shared" si="354"/>
        <v>1</v>
      </c>
      <c r="G55" s="19">
        <f t="shared" si="354"/>
        <v>1</v>
      </c>
      <c r="H55" s="19">
        <f t="shared" si="354"/>
        <v>1</v>
      </c>
      <c r="I55" s="8">
        <f t="shared" si="354"/>
        <v>1</v>
      </c>
      <c r="J55" s="8">
        <f t="shared" si="354"/>
        <v>1</v>
      </c>
      <c r="K55" s="8">
        <f t="shared" si="354"/>
        <v>1</v>
      </c>
      <c r="L55" s="8" t="str">
        <f t="shared" si="354"/>
        <v/>
      </c>
      <c r="M55" s="8">
        <v>1</v>
      </c>
      <c r="N55" s="8"/>
      <c r="O55" s="9"/>
      <c r="P55" s="8">
        <f t="shared" si="355"/>
        <v>4</v>
      </c>
      <c r="Q55" s="109">
        <f>IF(SUM(S55:XFD55) &gt; 0, SUM(S55:XFD55) / $P$63 * 100, "")</f>
        <v>23.52941176470588</v>
      </c>
      <c r="R55" s="84"/>
      <c r="S55" s="7"/>
      <c r="Z55" s="7"/>
      <c r="AG55" s="7"/>
      <c r="AI55">
        <v>1</v>
      </c>
      <c r="AK55">
        <v>1</v>
      </c>
      <c r="AN55" s="7"/>
      <c r="AP55">
        <v>1</v>
      </c>
      <c r="AU55" s="7"/>
      <c r="AW55">
        <v>1</v>
      </c>
      <c r="BB55" s="7"/>
      <c r="BI55" s="7"/>
      <c r="BP55" s="7"/>
      <c r="BY55" s="7"/>
      <c r="CH55" s="7"/>
      <c r="CQ55" s="7"/>
      <c r="CZ55" s="7"/>
      <c r="DI55" s="7"/>
      <c r="DR55" s="7"/>
      <c r="EA55" s="7"/>
      <c r="EH55" s="7"/>
      <c r="EO55" s="7"/>
      <c r="EQ55" t="s">
        <v>448</v>
      </c>
      <c r="EV55" s="7"/>
      <c r="FC55" s="7"/>
      <c r="FJ55" s="7"/>
      <c r="FQ55" s="7"/>
      <c r="FX55" s="7"/>
      <c r="GE55" s="7"/>
      <c r="GL55" s="7"/>
      <c r="GS55" s="7"/>
      <c r="GZ55" s="7"/>
      <c r="HG55" s="7"/>
      <c r="HN55" s="7"/>
      <c r="HU55" s="7"/>
      <c r="IB55" s="7"/>
      <c r="II55" s="7"/>
      <c r="IP55" s="7"/>
      <c r="IW55" s="7"/>
      <c r="JD55" s="7"/>
      <c r="JK55" s="7"/>
      <c r="JR55" s="7"/>
      <c r="JY55" s="7"/>
      <c r="KF55" s="7"/>
      <c r="KM55" s="7"/>
      <c r="KT55" s="7"/>
      <c r="LA55" s="7"/>
      <c r="LH55" s="7"/>
      <c r="LO55" s="7"/>
      <c r="LV55" s="7"/>
      <c r="MC55" s="7"/>
      <c r="MJ55" s="7"/>
    </row>
    <row r="56" spans="1:348" x14ac:dyDescent="0.25">
      <c r="A56" s="8" t="s">
        <v>77</v>
      </c>
      <c r="B56" s="8" t="s">
        <v>76</v>
      </c>
      <c r="C56" s="8" t="s">
        <v>75</v>
      </c>
      <c r="D56" s="8" t="s">
        <v>74</v>
      </c>
      <c r="E56" s="18">
        <v>40051</v>
      </c>
      <c r="F56" s="10">
        <f t="shared" ref="F56:L62" si="357">IF($E56 &gt;= F$41, 1, "")</f>
        <v>1</v>
      </c>
      <c r="G56" s="19">
        <f t="shared" si="357"/>
        <v>1</v>
      </c>
      <c r="H56" s="19">
        <f t="shared" si="357"/>
        <v>1</v>
      </c>
      <c r="I56" s="8">
        <f t="shared" si="357"/>
        <v>1</v>
      </c>
      <c r="J56" s="8">
        <f t="shared" si="357"/>
        <v>1</v>
      </c>
      <c r="K56" s="8">
        <f t="shared" si="357"/>
        <v>1</v>
      </c>
      <c r="L56" s="8" t="str">
        <f t="shared" si="357"/>
        <v/>
      </c>
      <c r="M56" s="8">
        <v>1</v>
      </c>
      <c r="N56" s="8"/>
      <c r="O56" s="9"/>
      <c r="P56" s="8">
        <f t="shared" si="355"/>
        <v>7</v>
      </c>
      <c r="Q56" s="109">
        <f>IF(SUM(S56:XFD56) &gt; 0, SUM(S56:XFD56) / $P$63 * 100, "")</f>
        <v>41.17647058823529</v>
      </c>
      <c r="R56" s="84"/>
      <c r="S56" s="7"/>
      <c r="Z56" s="7"/>
      <c r="AG56" s="7"/>
      <c r="AI56">
        <v>1</v>
      </c>
      <c r="AN56" s="7"/>
      <c r="AP56">
        <v>1</v>
      </c>
      <c r="AU56" s="7"/>
      <c r="AW56">
        <v>1</v>
      </c>
      <c r="AX56">
        <v>1</v>
      </c>
      <c r="BB56" s="7"/>
      <c r="BD56">
        <v>1</v>
      </c>
      <c r="BI56" s="7"/>
      <c r="BK56">
        <v>1</v>
      </c>
      <c r="BN56">
        <v>1</v>
      </c>
      <c r="BP56" s="7"/>
      <c r="BY56" s="7"/>
      <c r="CH56" s="7"/>
      <c r="CQ56" s="7"/>
      <c r="CZ56" s="7"/>
      <c r="DI56" s="7"/>
      <c r="DR56" s="7"/>
      <c r="EA56" s="7"/>
      <c r="EC56" t="s">
        <v>367</v>
      </c>
      <c r="EH56" s="7"/>
      <c r="EO56" s="7"/>
      <c r="EV56" s="7"/>
      <c r="FC56" s="7"/>
      <c r="FJ56" s="7"/>
      <c r="FQ56" s="7"/>
      <c r="FX56" s="7"/>
      <c r="GE56" s="7"/>
      <c r="GL56" s="7"/>
      <c r="GS56" s="7"/>
      <c r="GZ56" s="7"/>
      <c r="HG56" s="7"/>
      <c r="HN56" s="7"/>
      <c r="HU56" s="7"/>
      <c r="IB56" s="7"/>
      <c r="II56" s="7"/>
      <c r="IP56" s="7"/>
      <c r="IW56" s="7"/>
      <c r="JD56" s="7"/>
      <c r="JK56" s="7"/>
      <c r="JR56" s="7"/>
      <c r="JY56" s="7"/>
      <c r="KF56" s="7"/>
      <c r="KM56" s="7"/>
      <c r="KT56" s="7"/>
      <c r="LA56" s="7"/>
      <c r="LH56" s="7"/>
      <c r="LO56" s="7"/>
      <c r="LV56" s="7"/>
      <c r="MC56" s="7"/>
      <c r="MJ56" s="7"/>
    </row>
    <row r="57" spans="1:348" x14ac:dyDescent="0.25">
      <c r="A57" s="8" t="s">
        <v>73</v>
      </c>
      <c r="B57" s="8"/>
      <c r="C57" s="8" t="s">
        <v>27</v>
      </c>
      <c r="D57" s="8" t="s">
        <v>70</v>
      </c>
      <c r="E57" s="18">
        <v>40004</v>
      </c>
      <c r="F57" s="10">
        <f t="shared" si="357"/>
        <v>1</v>
      </c>
      <c r="G57" s="19">
        <f t="shared" si="357"/>
        <v>1</v>
      </c>
      <c r="H57" s="19">
        <f t="shared" si="357"/>
        <v>1</v>
      </c>
      <c r="I57" s="8">
        <f t="shared" si="357"/>
        <v>1</v>
      </c>
      <c r="J57" s="8">
        <f t="shared" si="357"/>
        <v>1</v>
      </c>
      <c r="K57" s="8">
        <f t="shared" si="357"/>
        <v>1</v>
      </c>
      <c r="L57" s="8" t="str">
        <f t="shared" si="357"/>
        <v/>
      </c>
      <c r="M57" s="8">
        <v>1</v>
      </c>
      <c r="N57" s="8"/>
      <c r="O57" s="9"/>
      <c r="P57" s="8">
        <f t="shared" si="355"/>
        <v>8</v>
      </c>
      <c r="Q57" s="109">
        <f>IF(SUM(S57:XFD57) &gt; 0, SUM(S57:XFD57) / $P$63 * 100, "")</f>
        <v>47.058823529411761</v>
      </c>
      <c r="R57" s="84"/>
      <c r="S57" s="7"/>
      <c r="Z57" s="7"/>
      <c r="AG57" s="7"/>
      <c r="AI57">
        <v>1</v>
      </c>
      <c r="AN57" s="7"/>
      <c r="AP57">
        <v>1</v>
      </c>
      <c r="AR57">
        <v>1</v>
      </c>
      <c r="AU57" s="7"/>
      <c r="AW57">
        <v>1</v>
      </c>
      <c r="AY57">
        <v>1</v>
      </c>
      <c r="BB57" s="7"/>
      <c r="BD57">
        <v>1</v>
      </c>
      <c r="BI57" s="7"/>
      <c r="BK57">
        <v>1</v>
      </c>
      <c r="BM57">
        <v>1</v>
      </c>
      <c r="BP57" s="7"/>
      <c r="BY57" s="7"/>
      <c r="CH57" s="7"/>
      <c r="CQ57" s="7"/>
      <c r="CZ57" s="7"/>
      <c r="DI57" s="7"/>
      <c r="DR57" s="7"/>
      <c r="EA57" s="7"/>
      <c r="EH57" s="7"/>
      <c r="EO57" s="7"/>
      <c r="EQ57" t="s">
        <v>448</v>
      </c>
      <c r="EV57" s="7"/>
      <c r="FC57" s="7"/>
      <c r="FJ57" s="7"/>
      <c r="FQ57" s="7"/>
      <c r="FX57" s="7"/>
      <c r="GE57" s="7"/>
      <c r="GL57" s="7"/>
      <c r="GS57" s="7"/>
      <c r="GZ57" s="7"/>
      <c r="HG57" s="7"/>
      <c r="HN57" s="7"/>
      <c r="HU57" s="7"/>
      <c r="IB57" s="7"/>
      <c r="II57" s="7"/>
      <c r="IP57" s="7"/>
      <c r="IW57" s="7"/>
      <c r="JD57" s="7"/>
      <c r="JK57" s="7"/>
      <c r="JR57" s="7"/>
      <c r="JY57" s="7"/>
      <c r="KF57" s="7"/>
      <c r="KM57" s="7"/>
      <c r="KT57" s="7"/>
      <c r="LA57" s="7"/>
      <c r="LH57" s="7"/>
      <c r="LO57" s="7"/>
      <c r="LV57" s="7"/>
      <c r="MC57" s="7"/>
      <c r="MJ57" s="7"/>
    </row>
    <row r="58" spans="1:348" hidden="1" x14ac:dyDescent="0.25">
      <c r="A58" s="8"/>
      <c r="B58" s="8"/>
      <c r="C58" s="8"/>
      <c r="D58" s="8"/>
      <c r="E58" s="18"/>
      <c r="F58" s="10" t="str">
        <f t="shared" si="357"/>
        <v/>
      </c>
      <c r="G58" s="19" t="str">
        <f t="shared" si="357"/>
        <v/>
      </c>
      <c r="H58" s="19" t="str">
        <f t="shared" si="357"/>
        <v/>
      </c>
      <c r="I58" s="8" t="str">
        <f t="shared" si="357"/>
        <v/>
      </c>
      <c r="J58" s="8" t="str">
        <f t="shared" si="357"/>
        <v/>
      </c>
      <c r="K58" s="8" t="str">
        <f t="shared" si="357"/>
        <v/>
      </c>
      <c r="L58" s="8" t="str">
        <f t="shared" si="357"/>
        <v/>
      </c>
      <c r="M58" s="8"/>
      <c r="N58" s="8"/>
      <c r="O58" s="9"/>
      <c r="P58" s="8" t="str">
        <f t="shared" si="355"/>
        <v/>
      </c>
      <c r="Q58" s="109" t="str">
        <f>IF(SUM(S58:XFD58) &gt; 0, SUM(S58:XFD58) / $P$63 * 100, "")</f>
        <v/>
      </c>
      <c r="R58" s="84" t="str">
        <f>IF(SUM(S58:XFD58) &gt; 0, SUM(S58:XFD58) / $P$63 * 100, "")</f>
        <v/>
      </c>
      <c r="S58" s="7"/>
      <c r="Z58" s="7"/>
      <c r="AG58" s="7"/>
      <c r="AN58" s="7"/>
      <c r="AU58" s="7"/>
      <c r="BB58" s="7"/>
      <c r="BI58" s="7"/>
      <c r="BP58" s="7"/>
      <c r="BY58" s="7"/>
      <c r="CH58" s="7"/>
      <c r="CQ58" s="7"/>
      <c r="CZ58" s="7"/>
      <c r="DI58" s="7"/>
      <c r="DR58" s="7"/>
      <c r="EA58" s="7"/>
      <c r="EH58" s="7"/>
      <c r="EO58" s="7"/>
      <c r="EV58" s="7"/>
      <c r="FC58" s="7"/>
      <c r="FJ58" s="7"/>
      <c r="FQ58" s="7"/>
      <c r="FX58" s="7"/>
      <c r="GE58" s="7"/>
      <c r="GL58" s="7"/>
      <c r="GS58" s="7"/>
      <c r="GZ58" s="7"/>
      <c r="HG58" s="7"/>
      <c r="HN58" s="7"/>
      <c r="HU58" s="7"/>
      <c r="IB58" s="7"/>
      <c r="II58" s="7"/>
      <c r="IP58" s="7"/>
      <c r="IW58" s="7"/>
      <c r="JD58" s="7"/>
      <c r="JK58" s="7"/>
      <c r="JR58" s="7"/>
      <c r="JY58" s="7"/>
      <c r="KF58" s="7"/>
      <c r="KM58" s="7"/>
      <c r="KT58" s="7"/>
      <c r="LA58" s="7"/>
      <c r="LH58" s="7"/>
      <c r="LO58" s="7"/>
      <c r="LV58" s="7"/>
      <c r="MC58" s="7"/>
      <c r="MJ58" s="7"/>
    </row>
    <row r="59" spans="1:348" hidden="1" x14ac:dyDescent="0.25">
      <c r="A59" s="8"/>
      <c r="B59" s="8"/>
      <c r="C59" s="8"/>
      <c r="D59" s="8"/>
      <c r="E59" s="18"/>
      <c r="F59" s="10" t="str">
        <f t="shared" si="357"/>
        <v/>
      </c>
      <c r="G59" s="19" t="str">
        <f t="shared" si="357"/>
        <v/>
      </c>
      <c r="H59" s="19" t="str">
        <f t="shared" si="357"/>
        <v/>
      </c>
      <c r="I59" s="8" t="str">
        <f t="shared" si="357"/>
        <v/>
      </c>
      <c r="J59" s="8" t="str">
        <f t="shared" si="357"/>
        <v/>
      </c>
      <c r="K59" s="8" t="str">
        <f t="shared" si="357"/>
        <v/>
      </c>
      <c r="L59" s="8" t="str">
        <f t="shared" si="357"/>
        <v/>
      </c>
      <c r="M59" s="8"/>
      <c r="N59" s="8"/>
      <c r="O59" s="9"/>
      <c r="P59" s="8" t="str">
        <f t="shared" si="355"/>
        <v/>
      </c>
      <c r="Q59" s="109" t="str">
        <f>IF(SUM(S59:XFD59) &gt; 0, SUM(S59:XFD59) / $P$63 * 100, "")</f>
        <v/>
      </c>
      <c r="R59" s="84" t="str">
        <f>IF(SUM(S59:XFD59) &gt; 0, SUM(S59:XFD59) / $P$63 * 100, "")</f>
        <v/>
      </c>
      <c r="S59" s="7"/>
      <c r="Z59" s="7"/>
      <c r="AG59" s="7"/>
      <c r="AN59" s="7"/>
      <c r="AU59" s="7"/>
      <c r="BB59" s="7"/>
      <c r="BI59" s="7"/>
      <c r="BP59" s="7"/>
      <c r="BY59" s="7"/>
      <c r="CH59" s="7"/>
      <c r="CQ59" s="7"/>
      <c r="CZ59" s="7"/>
      <c r="DI59" s="7"/>
      <c r="DR59" s="7"/>
      <c r="EA59" s="7"/>
      <c r="EH59" s="7"/>
      <c r="EO59" s="7"/>
      <c r="EV59" s="7"/>
      <c r="FC59" s="7"/>
      <c r="FJ59" s="7"/>
      <c r="FQ59" s="7"/>
      <c r="FX59" s="7"/>
      <c r="GE59" s="7"/>
      <c r="GL59" s="7"/>
      <c r="GS59" s="7"/>
      <c r="GZ59" s="7"/>
      <c r="HG59" s="7"/>
      <c r="HN59" s="7"/>
      <c r="HU59" s="7"/>
      <c r="IB59" s="7"/>
      <c r="II59" s="7"/>
      <c r="IP59" s="7"/>
      <c r="IW59" s="7"/>
      <c r="JD59" s="7"/>
      <c r="JK59" s="7"/>
      <c r="JR59" s="7"/>
      <c r="JY59" s="7"/>
      <c r="KF59" s="7"/>
      <c r="KM59" s="7"/>
      <c r="KT59" s="7"/>
      <c r="LA59" s="7"/>
      <c r="LH59" s="7"/>
      <c r="LO59" s="7"/>
      <c r="LV59" s="7"/>
      <c r="MC59" s="7"/>
      <c r="MJ59" s="7"/>
    </row>
    <row r="60" spans="1:348" hidden="1" x14ac:dyDescent="0.25">
      <c r="A60" s="8"/>
      <c r="B60" s="8"/>
      <c r="C60" s="8"/>
      <c r="D60" s="8"/>
      <c r="E60" s="18"/>
      <c r="F60" s="10" t="str">
        <f t="shared" si="357"/>
        <v/>
      </c>
      <c r="G60" s="19" t="str">
        <f t="shared" si="357"/>
        <v/>
      </c>
      <c r="H60" s="19" t="str">
        <f t="shared" si="357"/>
        <v/>
      </c>
      <c r="I60" s="8" t="str">
        <f t="shared" si="357"/>
        <v/>
      </c>
      <c r="J60" s="8" t="str">
        <f t="shared" si="357"/>
        <v/>
      </c>
      <c r="K60" s="8" t="str">
        <f t="shared" si="357"/>
        <v/>
      </c>
      <c r="L60" s="8" t="str">
        <f t="shared" si="357"/>
        <v/>
      </c>
      <c r="M60" s="8"/>
      <c r="N60" s="8"/>
      <c r="O60" s="9"/>
      <c r="P60" s="8" t="str">
        <f t="shared" si="355"/>
        <v/>
      </c>
      <c r="Q60" s="109" t="str">
        <f>IF(SUM(S60:XFD60) &gt; 0, SUM(S60:XFD60) / $P$63 * 100, "")</f>
        <v/>
      </c>
      <c r="R60" s="84" t="str">
        <f>IF(SUM(S60:XFD60) &gt; 0, SUM(S60:XFD60) / $P$63 * 100, "")</f>
        <v/>
      </c>
      <c r="S60" s="7"/>
      <c r="Z60" s="7"/>
      <c r="AG60" s="7"/>
      <c r="AN60" s="7"/>
      <c r="AU60" s="7"/>
      <c r="BB60" s="7"/>
      <c r="BI60" s="7"/>
      <c r="BP60" s="7"/>
      <c r="BY60" s="7"/>
      <c r="CH60" s="7"/>
      <c r="CQ60" s="7"/>
      <c r="CZ60" s="7"/>
      <c r="DI60" s="7"/>
      <c r="DR60" s="7"/>
      <c r="EA60" s="7"/>
      <c r="EH60" s="7"/>
      <c r="EO60" s="7"/>
      <c r="EV60" s="7"/>
      <c r="FC60" s="7"/>
      <c r="FJ60" s="7"/>
      <c r="FQ60" s="7"/>
      <c r="FX60" s="7"/>
      <c r="GE60" s="7"/>
      <c r="GL60" s="7"/>
      <c r="GS60" s="7"/>
      <c r="GZ60" s="7"/>
      <c r="HG60" s="7"/>
      <c r="HN60" s="7"/>
      <c r="HU60" s="7"/>
      <c r="IB60" s="7"/>
      <c r="II60" s="7"/>
      <c r="IP60" s="7"/>
      <c r="IW60" s="7"/>
      <c r="JD60" s="7"/>
      <c r="JK60" s="7"/>
      <c r="JR60" s="7"/>
      <c r="JY60" s="7"/>
      <c r="KF60" s="7"/>
      <c r="KM60" s="7"/>
      <c r="KT60" s="7"/>
      <c r="LA60" s="7"/>
      <c r="LH60" s="7"/>
      <c r="LO60" s="7"/>
      <c r="LV60" s="7"/>
      <c r="MC60" s="7"/>
      <c r="MJ60" s="7"/>
    </row>
    <row r="61" spans="1:348" hidden="1" x14ac:dyDescent="0.25">
      <c r="A61" s="8"/>
      <c r="B61" s="8"/>
      <c r="C61" s="8"/>
      <c r="D61" s="8"/>
      <c r="E61" s="18"/>
      <c r="F61" s="10" t="str">
        <f t="shared" si="357"/>
        <v/>
      </c>
      <c r="G61" s="19" t="str">
        <f t="shared" si="357"/>
        <v/>
      </c>
      <c r="H61" s="19" t="str">
        <f t="shared" si="357"/>
        <v/>
      </c>
      <c r="I61" s="8" t="str">
        <f t="shared" si="357"/>
        <v/>
      </c>
      <c r="J61" s="8" t="str">
        <f t="shared" si="357"/>
        <v/>
      </c>
      <c r="K61" s="8" t="str">
        <f t="shared" si="357"/>
        <v/>
      </c>
      <c r="L61" s="8" t="str">
        <f t="shared" si="357"/>
        <v/>
      </c>
      <c r="M61" s="8"/>
      <c r="N61" s="8"/>
      <c r="O61" s="9"/>
      <c r="P61" s="8" t="str">
        <f t="shared" si="355"/>
        <v/>
      </c>
      <c r="Q61" s="109" t="str">
        <f>IF(SUM(S61:XFD61) &gt; 0, SUM(S61:XFD61) / $P$63 * 100, "")</f>
        <v/>
      </c>
      <c r="R61" s="84" t="str">
        <f>IF(SUM(S61:XFD61) &gt; 0, SUM(S61:XFD61) / $P$63 * 100, "")</f>
        <v/>
      </c>
      <c r="S61" s="7"/>
      <c r="Z61" s="7"/>
      <c r="AG61" s="7"/>
      <c r="AN61" s="7"/>
      <c r="AU61" s="7"/>
      <c r="BB61" s="7"/>
      <c r="BI61" s="7"/>
      <c r="BP61" s="7"/>
      <c r="BY61" s="7"/>
      <c r="CH61" s="7"/>
      <c r="CQ61" s="7"/>
      <c r="CZ61" s="7"/>
      <c r="DI61" s="7"/>
      <c r="DR61" s="7"/>
      <c r="EA61" s="7"/>
      <c r="EH61" s="7"/>
      <c r="EO61" s="7"/>
      <c r="EV61" s="7"/>
      <c r="FC61" s="7"/>
      <c r="FJ61" s="7"/>
      <c r="FQ61" s="7"/>
      <c r="FX61" s="7"/>
      <c r="GE61" s="7"/>
      <c r="GL61" s="7"/>
      <c r="GS61" s="7"/>
      <c r="GZ61" s="7"/>
      <c r="HG61" s="7"/>
      <c r="HN61" s="7"/>
      <c r="HU61" s="7"/>
      <c r="IB61" s="7"/>
      <c r="II61" s="7"/>
      <c r="IP61" s="7"/>
      <c r="IW61" s="7"/>
      <c r="JD61" s="7"/>
      <c r="JK61" s="7"/>
      <c r="JR61" s="7"/>
      <c r="JY61" s="7"/>
      <c r="KF61" s="7"/>
      <c r="KM61" s="7"/>
      <c r="KT61" s="7"/>
      <c r="LA61" s="7"/>
      <c r="LH61" s="7"/>
      <c r="LO61" s="7"/>
      <c r="LV61" s="7"/>
      <c r="MC61" s="7"/>
      <c r="MJ61" s="7"/>
    </row>
    <row r="62" spans="1:348" ht="7.5" customHeight="1" x14ac:dyDescent="0.25">
      <c r="A62" s="8"/>
      <c r="B62" s="8"/>
      <c r="C62" s="8"/>
      <c r="D62" s="8"/>
      <c r="E62" s="18"/>
      <c r="F62" s="10" t="str">
        <f t="shared" si="357"/>
        <v/>
      </c>
      <c r="G62" s="19" t="str">
        <f t="shared" si="357"/>
        <v/>
      </c>
      <c r="H62" s="19" t="str">
        <f t="shared" si="357"/>
        <v/>
      </c>
      <c r="I62" s="19" t="str">
        <f t="shared" si="357"/>
        <v/>
      </c>
      <c r="J62" s="19" t="str">
        <f t="shared" si="357"/>
        <v/>
      </c>
      <c r="K62" s="19" t="str">
        <f t="shared" si="357"/>
        <v/>
      </c>
      <c r="L62" s="19" t="str">
        <f t="shared" si="357"/>
        <v/>
      </c>
      <c r="M62" s="8"/>
      <c r="N62" s="8"/>
      <c r="O62" s="9"/>
      <c r="P62" s="8" t="str">
        <f t="shared" si="355"/>
        <v/>
      </c>
      <c r="Q62" s="109" t="str">
        <f>IF(SUM(S62:XFD62) &gt; 0, SUM(S62:XFD62) / $P$63 * 100, "")</f>
        <v/>
      </c>
      <c r="R62" s="84"/>
      <c r="S62" s="7"/>
      <c r="Z62" s="7"/>
      <c r="AG62" s="7"/>
      <c r="AN62" s="7"/>
      <c r="AU62" s="7"/>
      <c r="BB62" s="7"/>
      <c r="BI62" s="7"/>
      <c r="BP62" s="7"/>
      <c r="BY62" s="7"/>
      <c r="CH62" s="7"/>
      <c r="CQ62" s="7"/>
      <c r="CZ62" s="7"/>
      <c r="DI62" s="7"/>
      <c r="DR62" s="7"/>
      <c r="EA62" s="7"/>
      <c r="EH62" s="7"/>
      <c r="EO62" s="7"/>
      <c r="EV62" s="7"/>
      <c r="FC62" s="7"/>
      <c r="FJ62" s="7"/>
      <c r="FQ62" s="7"/>
      <c r="FX62" s="7"/>
      <c r="GE62" s="7"/>
      <c r="GL62" s="7"/>
      <c r="GS62" s="7"/>
      <c r="GZ62" s="7"/>
      <c r="HG62" s="7"/>
      <c r="HN62" s="7"/>
      <c r="HU62" s="7"/>
      <c r="IB62" s="7"/>
      <c r="II62" s="7"/>
      <c r="IP62" s="7"/>
      <c r="IW62" s="7"/>
      <c r="JD62" s="7"/>
      <c r="JK62" s="7"/>
      <c r="JR62" s="7"/>
      <c r="JY62" s="7"/>
      <c r="KF62" s="7"/>
      <c r="KM62" s="7"/>
      <c r="KT62" s="7"/>
      <c r="LA62" s="7"/>
      <c r="LH62" s="7"/>
      <c r="LO62" s="7"/>
      <c r="LV62" s="7"/>
      <c r="MC62" s="7"/>
      <c r="MJ62" s="7"/>
    </row>
    <row r="63" spans="1:348" ht="15" customHeight="1" x14ac:dyDescent="0.25">
      <c r="A63" s="23" t="s">
        <v>18</v>
      </c>
      <c r="B63" s="20"/>
      <c r="C63" s="20"/>
      <c r="D63" s="20"/>
      <c r="E63" s="59"/>
      <c r="F63" s="20"/>
      <c r="G63" s="20"/>
      <c r="H63" s="20"/>
      <c r="I63" s="20"/>
      <c r="J63" s="20"/>
      <c r="K63" s="20"/>
      <c r="L63" s="20"/>
      <c r="M63" s="20"/>
      <c r="N63" s="20"/>
      <c r="O63" s="21"/>
      <c r="P63" s="3">
        <f>SUM(S63:MJ63)</f>
        <v>17</v>
      </c>
      <c r="Q63" s="60"/>
      <c r="R63" s="82"/>
      <c r="S63" s="21"/>
      <c r="T63" s="20"/>
      <c r="U63" s="20"/>
      <c r="V63" s="20"/>
      <c r="W63" s="20"/>
      <c r="X63" s="20"/>
      <c r="Y63" s="20"/>
      <c r="Z63" s="21"/>
      <c r="AA63" s="20"/>
      <c r="AB63" s="20"/>
      <c r="AC63" s="20"/>
      <c r="AD63" s="20"/>
      <c r="AE63" s="20"/>
      <c r="AF63" s="20"/>
      <c r="AG63" s="21"/>
      <c r="AH63" s="20"/>
      <c r="AI63" s="20">
        <v>1</v>
      </c>
      <c r="AJ63" s="20"/>
      <c r="AK63" s="20">
        <v>1</v>
      </c>
      <c r="AL63" s="20"/>
      <c r="AM63" s="20"/>
      <c r="AN63" s="21"/>
      <c r="AO63" s="20"/>
      <c r="AP63" s="20">
        <v>1</v>
      </c>
      <c r="AQ63" s="20"/>
      <c r="AR63" s="20">
        <v>1</v>
      </c>
      <c r="AS63" s="20"/>
      <c r="AT63" s="20"/>
      <c r="AU63" s="21"/>
      <c r="AV63" s="20"/>
      <c r="AW63" s="20">
        <v>1</v>
      </c>
      <c r="AX63" s="20">
        <v>1</v>
      </c>
      <c r="AY63" s="20">
        <v>1</v>
      </c>
      <c r="AZ63" s="20"/>
      <c r="BA63" s="20"/>
      <c r="BB63" s="21"/>
      <c r="BC63" s="20"/>
      <c r="BD63" s="20">
        <v>1</v>
      </c>
      <c r="BE63" s="20"/>
      <c r="BF63" s="20">
        <v>1</v>
      </c>
      <c r="BG63" s="20"/>
      <c r="BH63" s="20"/>
      <c r="BI63" s="21"/>
      <c r="BJ63" s="20"/>
      <c r="BK63" s="20">
        <v>1</v>
      </c>
      <c r="BL63" s="20"/>
      <c r="BM63" s="20">
        <v>1</v>
      </c>
      <c r="BN63" s="20">
        <v>1</v>
      </c>
      <c r="BO63" s="20"/>
      <c r="BP63" s="21">
        <v>1</v>
      </c>
      <c r="BQ63" s="20"/>
      <c r="BR63" s="20"/>
      <c r="BS63" s="20"/>
      <c r="BT63" s="20"/>
      <c r="BU63" s="20"/>
      <c r="BV63" s="20"/>
      <c r="BW63" s="20">
        <v>1</v>
      </c>
      <c r="BX63" s="20"/>
      <c r="BY63" s="21"/>
      <c r="BZ63" s="20"/>
      <c r="CA63" s="20"/>
      <c r="CB63" s="20"/>
      <c r="CC63" s="20"/>
      <c r="CD63" s="20"/>
      <c r="CE63" s="20"/>
      <c r="CF63" s="20"/>
      <c r="CG63" s="20"/>
      <c r="CH63" s="21"/>
      <c r="CI63" s="20"/>
      <c r="CJ63" s="20"/>
      <c r="CK63" s="20"/>
      <c r="CL63" s="20"/>
      <c r="CM63" s="20"/>
      <c r="CN63" s="20"/>
      <c r="CO63" s="20"/>
      <c r="CP63" s="20"/>
      <c r="CQ63" s="21"/>
      <c r="CR63" s="20"/>
      <c r="CS63" s="20"/>
      <c r="CT63" s="20"/>
      <c r="CU63" s="20"/>
      <c r="CV63" s="20"/>
      <c r="CW63" s="20"/>
      <c r="CX63" s="20"/>
      <c r="CY63" s="20"/>
      <c r="CZ63" s="21"/>
      <c r="DA63" s="20"/>
      <c r="DB63" s="20"/>
      <c r="DC63" s="20"/>
      <c r="DD63" s="20"/>
      <c r="DE63" s="20"/>
      <c r="DF63" s="20"/>
      <c r="DG63" s="20"/>
      <c r="DH63" s="20"/>
      <c r="DI63" s="21"/>
      <c r="DJ63" s="20"/>
      <c r="DK63" s="20"/>
      <c r="DL63" s="20"/>
      <c r="DM63" s="20"/>
      <c r="DN63" s="20"/>
      <c r="DO63" s="20"/>
      <c r="DP63" s="20"/>
      <c r="DQ63" s="20"/>
      <c r="DR63" s="21"/>
      <c r="DS63" s="20"/>
      <c r="DT63" s="20">
        <v>1</v>
      </c>
      <c r="DU63" s="20"/>
      <c r="DV63" s="20">
        <v>1</v>
      </c>
      <c r="DW63" s="20">
        <v>1</v>
      </c>
      <c r="DX63" s="20"/>
      <c r="DY63" s="20"/>
      <c r="DZ63" s="20"/>
      <c r="EA63" s="21"/>
      <c r="EB63" s="20"/>
      <c r="EC63" s="20"/>
      <c r="ED63" s="20"/>
      <c r="EE63" s="20"/>
      <c r="EF63" s="20"/>
      <c r="EG63" s="20"/>
      <c r="EH63" s="21"/>
      <c r="EI63" s="20"/>
      <c r="EJ63" s="20"/>
      <c r="EK63" s="20"/>
      <c r="EL63" s="20"/>
      <c r="EM63" s="20"/>
      <c r="EN63" s="20"/>
      <c r="EO63" s="21"/>
      <c r="EP63" s="20"/>
      <c r="EQ63" s="20"/>
      <c r="ER63" s="20"/>
      <c r="ES63" s="20"/>
      <c r="ET63" s="20"/>
      <c r="EU63" s="20"/>
      <c r="EV63" s="21"/>
      <c r="EW63" s="20"/>
      <c r="EX63" s="20"/>
      <c r="EY63" s="20"/>
      <c r="EZ63" s="20"/>
      <c r="FA63" s="20"/>
      <c r="FB63" s="20"/>
      <c r="FC63" s="21"/>
      <c r="FD63" s="20"/>
      <c r="FE63" s="20"/>
      <c r="FF63" s="20"/>
      <c r="FG63" s="20"/>
      <c r="FH63" s="20"/>
      <c r="FI63" s="20"/>
      <c r="FJ63" s="21"/>
      <c r="FK63" s="20"/>
      <c r="FL63" s="20"/>
      <c r="FM63" s="20"/>
      <c r="FN63" s="20"/>
      <c r="FO63" s="20"/>
      <c r="FP63" s="20"/>
      <c r="FQ63" s="21"/>
      <c r="FR63" s="20"/>
      <c r="FS63" s="20"/>
      <c r="FT63" s="20"/>
      <c r="FU63" s="20"/>
      <c r="FV63" s="20"/>
      <c r="FW63" s="20"/>
      <c r="FX63" s="21"/>
      <c r="FY63" s="20"/>
      <c r="FZ63" s="20"/>
      <c r="GA63" s="20"/>
      <c r="GB63" s="20"/>
      <c r="GC63" s="20"/>
      <c r="GD63" s="20"/>
      <c r="GE63" s="21"/>
      <c r="GF63" s="20"/>
      <c r="GG63" s="20"/>
      <c r="GH63" s="20"/>
      <c r="GI63" s="20"/>
      <c r="GJ63" s="20"/>
      <c r="GK63" s="20"/>
      <c r="GL63" s="21"/>
      <c r="GM63" s="20"/>
      <c r="GN63" s="20"/>
      <c r="GO63" s="20"/>
      <c r="GP63" s="20"/>
      <c r="GQ63" s="20"/>
      <c r="GR63" s="20"/>
      <c r="GS63" s="21"/>
      <c r="GT63" s="20"/>
      <c r="GU63" s="20"/>
      <c r="GV63" s="20"/>
      <c r="GW63" s="20"/>
      <c r="GX63" s="20"/>
      <c r="GY63" s="20"/>
      <c r="GZ63" s="21"/>
      <c r="HA63" s="20"/>
      <c r="HB63" s="20"/>
      <c r="HC63" s="20"/>
      <c r="HD63" s="20"/>
      <c r="HE63" s="20"/>
      <c r="HF63" s="20"/>
      <c r="HG63" s="21"/>
      <c r="HH63" s="20"/>
      <c r="HI63" s="20"/>
      <c r="HJ63" s="20"/>
      <c r="HK63" s="20"/>
      <c r="HL63" s="20"/>
      <c r="HM63" s="20"/>
      <c r="HN63" s="21"/>
      <c r="HO63" s="20"/>
      <c r="HP63" s="20"/>
      <c r="HQ63" s="20"/>
      <c r="HR63" s="20"/>
      <c r="HS63" s="20"/>
      <c r="HT63" s="20"/>
      <c r="HU63" s="21"/>
      <c r="HV63" s="20"/>
      <c r="HW63" s="20"/>
      <c r="HX63" s="20"/>
      <c r="HY63" s="20"/>
      <c r="HZ63" s="20"/>
      <c r="IA63" s="20"/>
      <c r="IB63" s="21"/>
      <c r="IC63" s="20"/>
      <c r="ID63" s="20"/>
      <c r="IE63" s="20"/>
      <c r="IF63" s="20"/>
      <c r="IG63" s="20"/>
      <c r="IH63" s="20"/>
      <c r="II63" s="21"/>
      <c r="IJ63" s="20"/>
      <c r="IK63" s="20"/>
      <c r="IL63" s="20"/>
      <c r="IM63" s="20"/>
      <c r="IN63" s="20"/>
      <c r="IO63" s="20"/>
      <c r="IP63" s="21"/>
      <c r="IQ63" s="20"/>
      <c r="IR63" s="20"/>
      <c r="IS63" s="20"/>
      <c r="IT63" s="20"/>
      <c r="IU63" s="20"/>
      <c r="IV63" s="20"/>
      <c r="IW63" s="21"/>
      <c r="IX63" s="20"/>
      <c r="IY63" s="20"/>
      <c r="IZ63" s="20"/>
      <c r="JA63" s="20"/>
      <c r="JB63" s="20"/>
      <c r="JC63" s="20"/>
      <c r="JD63" s="21"/>
      <c r="JE63" s="20"/>
      <c r="JF63" s="20"/>
      <c r="JG63" s="20"/>
      <c r="JH63" s="20"/>
      <c r="JI63" s="20"/>
      <c r="JJ63" s="20"/>
      <c r="JK63" s="21"/>
      <c r="JL63" s="20"/>
      <c r="JM63" s="20"/>
      <c r="JN63" s="20"/>
      <c r="JO63" s="20"/>
      <c r="JP63" s="20"/>
      <c r="JQ63" s="20"/>
      <c r="JR63" s="21"/>
      <c r="JS63" s="20"/>
      <c r="JT63" s="20"/>
      <c r="JU63" s="20"/>
      <c r="JV63" s="20"/>
      <c r="JW63" s="20"/>
      <c r="JX63" s="20"/>
      <c r="JY63" s="21"/>
      <c r="JZ63" s="20"/>
      <c r="KA63" s="20"/>
      <c r="KB63" s="20"/>
      <c r="KC63" s="20"/>
      <c r="KD63" s="20"/>
      <c r="KE63" s="20"/>
      <c r="KF63" s="21"/>
      <c r="KG63" s="20"/>
      <c r="KH63" s="20"/>
      <c r="KI63" s="20"/>
      <c r="KJ63" s="20"/>
      <c r="KK63" s="20"/>
      <c r="KL63" s="20"/>
      <c r="KM63" s="21"/>
      <c r="KN63" s="20"/>
      <c r="KO63" s="20"/>
      <c r="KP63" s="20"/>
      <c r="KQ63" s="20"/>
      <c r="KR63" s="20"/>
      <c r="KS63" s="20"/>
      <c r="KT63" s="21"/>
      <c r="KU63" s="20"/>
      <c r="KV63" s="20"/>
      <c r="KW63" s="20"/>
      <c r="KX63" s="20"/>
      <c r="KY63" s="20"/>
      <c r="KZ63" s="20"/>
      <c r="LA63" s="21"/>
      <c r="LB63" s="20"/>
      <c r="LC63" s="20"/>
      <c r="LD63" s="20"/>
      <c r="LE63" s="20"/>
      <c r="LF63" s="20"/>
      <c r="LG63" s="20"/>
      <c r="LH63" s="21"/>
      <c r="LI63" s="20"/>
      <c r="LJ63" s="20"/>
      <c r="LK63" s="20"/>
      <c r="LL63" s="20"/>
      <c r="LM63" s="20"/>
      <c r="LN63" s="20"/>
      <c r="LO63" s="21"/>
      <c r="LP63" s="20"/>
      <c r="LQ63" s="20"/>
      <c r="LR63" s="20"/>
      <c r="LS63" s="20"/>
      <c r="LT63" s="20"/>
      <c r="LU63" s="20"/>
      <c r="LV63" s="21"/>
      <c r="LW63" s="20"/>
      <c r="LX63" s="20"/>
      <c r="LY63" s="20"/>
      <c r="LZ63" s="20"/>
      <c r="MA63" s="20"/>
      <c r="MB63" s="20"/>
      <c r="MC63" s="21"/>
      <c r="MD63" s="20"/>
      <c r="ME63" s="20"/>
      <c r="MF63" s="20"/>
      <c r="MG63" s="20"/>
      <c r="MH63" s="20"/>
      <c r="MI63" s="20"/>
      <c r="MJ63" s="21"/>
    </row>
    <row r="64" spans="1:348" ht="15" customHeight="1" x14ac:dyDescent="0.25">
      <c r="A64" s="127" t="s">
        <v>241</v>
      </c>
      <c r="B64" s="128"/>
      <c r="C64" s="128"/>
      <c r="D64" s="128"/>
      <c r="E64" s="59"/>
      <c r="F64" s="128"/>
      <c r="G64" s="128"/>
      <c r="H64" s="128"/>
      <c r="I64" s="128"/>
      <c r="J64" s="128"/>
      <c r="K64" s="128"/>
      <c r="L64" s="128"/>
      <c r="M64" s="128"/>
      <c r="N64" s="128"/>
      <c r="O64" s="61"/>
      <c r="P64" s="81">
        <f>VisibleSum(P42:P62)</f>
        <v>9.545454545454545</v>
      </c>
      <c r="Q64" s="117">
        <f>P64 / P63 * 100</f>
        <v>56.149732620320862</v>
      </c>
      <c r="R64" s="83"/>
      <c r="S64" s="61" t="str">
        <f t="shared" ref="S64:CH64" si="358">IF(SUM(S41:S62) &gt; 0, SUM(S41:S62), "")</f>
        <v/>
      </c>
      <c r="T64" s="128" t="str">
        <f t="shared" si="358"/>
        <v/>
      </c>
      <c r="U64" s="128" t="str">
        <f t="shared" si="358"/>
        <v/>
      </c>
      <c r="V64" s="128" t="str">
        <f t="shared" si="358"/>
        <v/>
      </c>
      <c r="W64" s="128" t="str">
        <f t="shared" si="358"/>
        <v/>
      </c>
      <c r="X64" s="128" t="str">
        <f t="shared" si="358"/>
        <v/>
      </c>
      <c r="Y64" s="128" t="str">
        <f t="shared" si="358"/>
        <v/>
      </c>
      <c r="Z64" s="61" t="str">
        <f t="shared" si="358"/>
        <v/>
      </c>
      <c r="AA64" s="128" t="str">
        <f t="shared" si="358"/>
        <v/>
      </c>
      <c r="AB64" s="128" t="str">
        <f t="shared" si="358"/>
        <v/>
      </c>
      <c r="AC64" s="128" t="str">
        <f t="shared" si="358"/>
        <v/>
      </c>
      <c r="AD64" s="128" t="str">
        <f t="shared" si="358"/>
        <v/>
      </c>
      <c r="AE64" s="128" t="str">
        <f t="shared" si="358"/>
        <v/>
      </c>
      <c r="AF64" s="128" t="str">
        <f t="shared" si="358"/>
        <v/>
      </c>
      <c r="AG64" s="61" t="str">
        <f t="shared" si="358"/>
        <v/>
      </c>
      <c r="AH64" s="128" t="str">
        <f t="shared" si="358"/>
        <v/>
      </c>
      <c r="AI64" s="128">
        <f t="shared" si="358"/>
        <v>11</v>
      </c>
      <c r="AJ64" s="128" t="str">
        <f t="shared" si="358"/>
        <v/>
      </c>
      <c r="AK64" s="128">
        <f t="shared" si="358"/>
        <v>7</v>
      </c>
      <c r="AL64" s="128" t="str">
        <f t="shared" si="358"/>
        <v/>
      </c>
      <c r="AM64" s="128" t="str">
        <f t="shared" si="358"/>
        <v/>
      </c>
      <c r="AN64" s="61" t="str">
        <f t="shared" si="358"/>
        <v/>
      </c>
      <c r="AO64" s="128" t="str">
        <f t="shared" si="358"/>
        <v/>
      </c>
      <c r="AP64" s="128">
        <f t="shared" si="358"/>
        <v>9</v>
      </c>
      <c r="AQ64" s="128" t="str">
        <f t="shared" si="358"/>
        <v/>
      </c>
      <c r="AR64" s="128">
        <f t="shared" si="358"/>
        <v>9</v>
      </c>
      <c r="AS64" s="128" t="str">
        <f t="shared" si="358"/>
        <v/>
      </c>
      <c r="AT64" s="128" t="str">
        <f t="shared" si="358"/>
        <v/>
      </c>
      <c r="AU64" s="61" t="str">
        <f t="shared" si="358"/>
        <v/>
      </c>
      <c r="AV64" s="128" t="str">
        <f t="shared" si="358"/>
        <v/>
      </c>
      <c r="AW64" s="128">
        <f t="shared" si="358"/>
        <v>9</v>
      </c>
      <c r="AX64" s="128">
        <f t="shared" si="358"/>
        <v>6</v>
      </c>
      <c r="AY64" s="128">
        <f t="shared" si="358"/>
        <v>7</v>
      </c>
      <c r="AZ64" s="128" t="str">
        <f t="shared" si="358"/>
        <v/>
      </c>
      <c r="BA64" s="128" t="str">
        <f t="shared" si="358"/>
        <v/>
      </c>
      <c r="BB64" s="61" t="str">
        <f t="shared" si="358"/>
        <v/>
      </c>
      <c r="BC64" s="128" t="str">
        <f t="shared" si="358"/>
        <v/>
      </c>
      <c r="BD64" s="128">
        <f t="shared" si="358"/>
        <v>8</v>
      </c>
      <c r="BE64" s="128" t="str">
        <f t="shared" si="358"/>
        <v/>
      </c>
      <c r="BF64" s="128">
        <f t="shared" si="358"/>
        <v>6</v>
      </c>
      <c r="BG64" s="128" t="str">
        <f t="shared" si="358"/>
        <v/>
      </c>
      <c r="BH64" s="128" t="str">
        <f t="shared" si="358"/>
        <v/>
      </c>
      <c r="BI64" s="61" t="str">
        <f t="shared" si="358"/>
        <v/>
      </c>
      <c r="BJ64" s="128" t="str">
        <f t="shared" si="358"/>
        <v/>
      </c>
      <c r="BK64" s="128">
        <f t="shared" si="358"/>
        <v>7</v>
      </c>
      <c r="BL64" s="128" t="str">
        <f t="shared" si="358"/>
        <v/>
      </c>
      <c r="BM64" s="128">
        <f t="shared" si="358"/>
        <v>10</v>
      </c>
      <c r="BN64" s="128">
        <f t="shared" si="358"/>
        <v>10</v>
      </c>
      <c r="BO64" s="128" t="str">
        <f t="shared" si="358"/>
        <v/>
      </c>
      <c r="BP64" s="61">
        <f t="shared" si="358"/>
        <v>4</v>
      </c>
      <c r="BQ64" s="128" t="str">
        <f t="shared" si="358"/>
        <v/>
      </c>
      <c r="BR64" s="128" t="str">
        <f t="shared" si="358"/>
        <v/>
      </c>
      <c r="BS64" s="128" t="str">
        <f t="shared" si="358"/>
        <v/>
      </c>
      <c r="BT64" s="128" t="str">
        <f t="shared" si="358"/>
        <v/>
      </c>
      <c r="BU64" s="128" t="str">
        <f t="shared" si="358"/>
        <v/>
      </c>
      <c r="BV64" s="128" t="str">
        <f t="shared" si="358"/>
        <v/>
      </c>
      <c r="BW64" s="128"/>
      <c r="BX64" s="128"/>
      <c r="BY64" s="61" t="str">
        <f t="shared" si="358"/>
        <v/>
      </c>
      <c r="BZ64" s="128" t="str">
        <f t="shared" si="358"/>
        <v/>
      </c>
      <c r="CA64" s="128" t="str">
        <f t="shared" si="358"/>
        <v/>
      </c>
      <c r="CB64" s="128" t="str">
        <f t="shared" si="358"/>
        <v/>
      </c>
      <c r="CC64" s="128" t="str">
        <f t="shared" si="358"/>
        <v/>
      </c>
      <c r="CD64" s="128" t="str">
        <f t="shared" si="358"/>
        <v/>
      </c>
      <c r="CE64" s="128" t="str">
        <f t="shared" si="358"/>
        <v/>
      </c>
      <c r="CF64" s="128"/>
      <c r="CG64" s="128"/>
      <c r="CH64" s="61" t="str">
        <f t="shared" si="358"/>
        <v/>
      </c>
      <c r="CI64" s="128" t="str">
        <f t="shared" ref="CI64:FD64" si="359">IF(SUM(CI41:CI62) &gt; 0, SUM(CI41:CI62), "")</f>
        <v/>
      </c>
      <c r="CJ64" s="128" t="str">
        <f t="shared" si="359"/>
        <v/>
      </c>
      <c r="CK64" s="128" t="str">
        <f t="shared" si="359"/>
        <v/>
      </c>
      <c r="CL64" s="128" t="str">
        <f t="shared" si="359"/>
        <v/>
      </c>
      <c r="CM64" s="128" t="str">
        <f t="shared" si="359"/>
        <v/>
      </c>
      <c r="CN64" s="128" t="str">
        <f t="shared" si="359"/>
        <v/>
      </c>
      <c r="CO64" s="128" t="str">
        <f t="shared" ref="CO64" si="360">IF(SUM(CO41:CO62) &gt; 0, SUM(CO41:CO62), "")</f>
        <v/>
      </c>
      <c r="CP64" s="128"/>
      <c r="CQ64" s="61" t="str">
        <f t="shared" si="359"/>
        <v/>
      </c>
      <c r="CR64" s="128" t="str">
        <f t="shared" si="359"/>
        <v/>
      </c>
      <c r="CS64" s="128" t="str">
        <f t="shared" si="359"/>
        <v/>
      </c>
      <c r="CT64" s="128" t="str">
        <f t="shared" si="359"/>
        <v/>
      </c>
      <c r="CU64" s="128" t="str">
        <f t="shared" si="359"/>
        <v/>
      </c>
      <c r="CV64" s="128" t="str">
        <f t="shared" si="359"/>
        <v/>
      </c>
      <c r="CW64" s="128"/>
      <c r="CX64" s="128"/>
      <c r="CY64" s="128" t="str">
        <f t="shared" si="359"/>
        <v/>
      </c>
      <c r="CZ64" s="61" t="str">
        <f t="shared" si="359"/>
        <v/>
      </c>
      <c r="DA64" s="128" t="str">
        <f t="shared" si="359"/>
        <v/>
      </c>
      <c r="DB64" s="128" t="str">
        <f t="shared" si="359"/>
        <v/>
      </c>
      <c r="DC64" s="128" t="str">
        <f t="shared" si="359"/>
        <v/>
      </c>
      <c r="DD64" s="128" t="str">
        <f t="shared" si="359"/>
        <v/>
      </c>
      <c r="DE64" s="128" t="str">
        <f t="shared" si="359"/>
        <v/>
      </c>
      <c r="DF64" s="128" t="str">
        <f t="shared" si="359"/>
        <v/>
      </c>
      <c r="DG64" s="128"/>
      <c r="DH64" s="128"/>
      <c r="DI64" s="61" t="str">
        <f t="shared" si="359"/>
        <v/>
      </c>
      <c r="DJ64" s="128" t="str">
        <f t="shared" si="359"/>
        <v/>
      </c>
      <c r="DK64" s="128" t="str">
        <f t="shared" si="359"/>
        <v/>
      </c>
      <c r="DL64" s="128" t="str">
        <f t="shared" si="359"/>
        <v/>
      </c>
      <c r="DM64" s="128" t="str">
        <f t="shared" si="359"/>
        <v/>
      </c>
      <c r="DN64" s="128" t="str">
        <f t="shared" si="359"/>
        <v/>
      </c>
      <c r="DO64" s="128" t="str">
        <f t="shared" si="359"/>
        <v/>
      </c>
      <c r="DP64" s="128"/>
      <c r="DQ64" s="128"/>
      <c r="DR64" s="61" t="str">
        <f t="shared" si="359"/>
        <v/>
      </c>
      <c r="DS64" s="128" t="str">
        <f t="shared" si="359"/>
        <v/>
      </c>
      <c r="DT64" s="128">
        <f t="shared" si="359"/>
        <v>7</v>
      </c>
      <c r="DU64" s="128" t="str">
        <f t="shared" si="359"/>
        <v/>
      </c>
      <c r="DV64" s="128">
        <f t="shared" si="359"/>
        <v>5</v>
      </c>
      <c r="DW64" s="128">
        <f t="shared" si="359"/>
        <v>4</v>
      </c>
      <c r="DX64" s="128"/>
      <c r="DY64" s="128"/>
      <c r="DZ64" s="128" t="str">
        <f t="shared" si="359"/>
        <v/>
      </c>
      <c r="EA64" s="61" t="str">
        <f t="shared" si="359"/>
        <v/>
      </c>
      <c r="EB64" s="128" t="str">
        <f t="shared" si="359"/>
        <v/>
      </c>
      <c r="EC64" s="128" t="str">
        <f t="shared" si="359"/>
        <v/>
      </c>
      <c r="ED64" s="128" t="str">
        <f t="shared" si="359"/>
        <v/>
      </c>
      <c r="EE64" s="128" t="str">
        <f t="shared" si="359"/>
        <v/>
      </c>
      <c r="EF64" s="128" t="str">
        <f t="shared" si="359"/>
        <v/>
      </c>
      <c r="EG64" s="128" t="str">
        <f t="shared" si="359"/>
        <v/>
      </c>
      <c r="EH64" s="61" t="str">
        <f t="shared" si="359"/>
        <v/>
      </c>
      <c r="EI64" s="128" t="str">
        <f t="shared" si="359"/>
        <v/>
      </c>
      <c r="EJ64" s="128" t="str">
        <f t="shared" si="359"/>
        <v/>
      </c>
      <c r="EK64" s="128" t="str">
        <f t="shared" si="359"/>
        <v/>
      </c>
      <c r="EL64" s="128" t="str">
        <f t="shared" si="359"/>
        <v/>
      </c>
      <c r="EM64" s="128" t="str">
        <f t="shared" si="359"/>
        <v/>
      </c>
      <c r="EN64" s="128" t="str">
        <f t="shared" si="359"/>
        <v/>
      </c>
      <c r="EO64" s="61" t="str">
        <f t="shared" si="359"/>
        <v/>
      </c>
      <c r="EP64" s="128" t="str">
        <f t="shared" si="359"/>
        <v/>
      </c>
      <c r="EQ64" s="128" t="str">
        <f t="shared" si="359"/>
        <v/>
      </c>
      <c r="ER64" s="128" t="str">
        <f t="shared" si="359"/>
        <v/>
      </c>
      <c r="ES64" s="128" t="str">
        <f t="shared" si="359"/>
        <v/>
      </c>
      <c r="ET64" s="128" t="str">
        <f t="shared" si="359"/>
        <v/>
      </c>
      <c r="EU64" s="128" t="str">
        <f t="shared" si="359"/>
        <v/>
      </c>
      <c r="EV64" s="61" t="str">
        <f t="shared" si="359"/>
        <v/>
      </c>
      <c r="EW64" s="128" t="str">
        <f t="shared" si="359"/>
        <v/>
      </c>
      <c r="EX64" s="128" t="str">
        <f t="shared" si="359"/>
        <v/>
      </c>
      <c r="EY64" s="128" t="str">
        <f t="shared" si="359"/>
        <v/>
      </c>
      <c r="EZ64" s="128" t="str">
        <f t="shared" si="359"/>
        <v/>
      </c>
      <c r="FA64" s="128" t="str">
        <f t="shared" si="359"/>
        <v/>
      </c>
      <c r="FB64" s="128" t="str">
        <f t="shared" si="359"/>
        <v/>
      </c>
      <c r="FC64" s="61" t="str">
        <f t="shared" si="359"/>
        <v/>
      </c>
      <c r="FD64" s="128" t="str">
        <f t="shared" si="359"/>
        <v/>
      </c>
      <c r="FE64" s="128" t="str">
        <f t="shared" ref="FE64:HP64" si="361">IF(SUM(FE41:FE62) &gt; 0, SUM(FE41:FE62), "")</f>
        <v/>
      </c>
      <c r="FF64" s="128" t="str">
        <f t="shared" si="361"/>
        <v/>
      </c>
      <c r="FG64" s="128" t="str">
        <f t="shared" si="361"/>
        <v/>
      </c>
      <c r="FH64" s="128" t="str">
        <f t="shared" si="361"/>
        <v/>
      </c>
      <c r="FI64" s="128" t="str">
        <f t="shared" si="361"/>
        <v/>
      </c>
      <c r="FJ64" s="61" t="str">
        <f t="shared" si="361"/>
        <v/>
      </c>
      <c r="FK64" s="128" t="str">
        <f t="shared" si="361"/>
        <v/>
      </c>
      <c r="FL64" s="128" t="str">
        <f t="shared" si="361"/>
        <v/>
      </c>
      <c r="FM64" s="128" t="str">
        <f t="shared" si="361"/>
        <v/>
      </c>
      <c r="FN64" s="128" t="str">
        <f t="shared" si="361"/>
        <v/>
      </c>
      <c r="FO64" s="128" t="str">
        <f t="shared" si="361"/>
        <v/>
      </c>
      <c r="FP64" s="128" t="str">
        <f t="shared" si="361"/>
        <v/>
      </c>
      <c r="FQ64" s="61" t="str">
        <f t="shared" si="361"/>
        <v/>
      </c>
      <c r="FR64" s="128" t="str">
        <f t="shared" si="361"/>
        <v/>
      </c>
      <c r="FS64" s="128" t="str">
        <f t="shared" si="361"/>
        <v/>
      </c>
      <c r="FT64" s="128" t="str">
        <f t="shared" si="361"/>
        <v/>
      </c>
      <c r="FU64" s="128" t="str">
        <f t="shared" si="361"/>
        <v/>
      </c>
      <c r="FV64" s="128" t="str">
        <f t="shared" si="361"/>
        <v/>
      </c>
      <c r="FW64" s="128" t="str">
        <f t="shared" si="361"/>
        <v/>
      </c>
      <c r="FX64" s="61" t="str">
        <f t="shared" si="361"/>
        <v/>
      </c>
      <c r="FY64" s="128" t="str">
        <f t="shared" si="361"/>
        <v/>
      </c>
      <c r="FZ64" s="128" t="str">
        <f t="shared" si="361"/>
        <v/>
      </c>
      <c r="GA64" s="128" t="str">
        <f t="shared" si="361"/>
        <v/>
      </c>
      <c r="GB64" s="128" t="str">
        <f t="shared" si="361"/>
        <v/>
      </c>
      <c r="GC64" s="128" t="str">
        <f t="shared" si="361"/>
        <v/>
      </c>
      <c r="GD64" s="128" t="str">
        <f t="shared" si="361"/>
        <v/>
      </c>
      <c r="GE64" s="61" t="str">
        <f t="shared" si="361"/>
        <v/>
      </c>
      <c r="GF64" s="128" t="str">
        <f t="shared" si="361"/>
        <v/>
      </c>
      <c r="GG64" s="128" t="str">
        <f t="shared" si="361"/>
        <v/>
      </c>
      <c r="GH64" s="128" t="str">
        <f t="shared" si="361"/>
        <v/>
      </c>
      <c r="GI64" s="128" t="str">
        <f t="shared" si="361"/>
        <v/>
      </c>
      <c r="GJ64" s="128" t="str">
        <f t="shared" si="361"/>
        <v/>
      </c>
      <c r="GK64" s="128" t="str">
        <f t="shared" si="361"/>
        <v/>
      </c>
      <c r="GL64" s="61" t="str">
        <f t="shared" si="361"/>
        <v/>
      </c>
      <c r="GM64" s="128" t="str">
        <f t="shared" si="361"/>
        <v/>
      </c>
      <c r="GN64" s="128" t="str">
        <f t="shared" si="361"/>
        <v/>
      </c>
      <c r="GO64" s="128" t="str">
        <f t="shared" si="361"/>
        <v/>
      </c>
      <c r="GP64" s="128" t="str">
        <f t="shared" si="361"/>
        <v/>
      </c>
      <c r="GQ64" s="128" t="str">
        <f t="shared" si="361"/>
        <v/>
      </c>
      <c r="GR64" s="128" t="str">
        <f t="shared" si="361"/>
        <v/>
      </c>
      <c r="GS64" s="61" t="str">
        <f t="shared" si="361"/>
        <v/>
      </c>
      <c r="GT64" s="128" t="str">
        <f t="shared" si="361"/>
        <v/>
      </c>
      <c r="GU64" s="128" t="str">
        <f t="shared" si="361"/>
        <v/>
      </c>
      <c r="GV64" s="128" t="str">
        <f t="shared" si="361"/>
        <v/>
      </c>
      <c r="GW64" s="128" t="str">
        <f t="shared" si="361"/>
        <v/>
      </c>
      <c r="GX64" s="128" t="str">
        <f t="shared" si="361"/>
        <v/>
      </c>
      <c r="GY64" s="128" t="str">
        <f t="shared" si="361"/>
        <v/>
      </c>
      <c r="GZ64" s="61" t="str">
        <f t="shared" si="361"/>
        <v/>
      </c>
      <c r="HA64" s="128" t="str">
        <f t="shared" si="361"/>
        <v/>
      </c>
      <c r="HB64" s="128" t="str">
        <f t="shared" si="361"/>
        <v/>
      </c>
      <c r="HC64" s="128" t="str">
        <f t="shared" si="361"/>
        <v/>
      </c>
      <c r="HD64" s="128" t="str">
        <f t="shared" si="361"/>
        <v/>
      </c>
      <c r="HE64" s="128" t="str">
        <f t="shared" si="361"/>
        <v/>
      </c>
      <c r="HF64" s="128" t="str">
        <f t="shared" si="361"/>
        <v/>
      </c>
      <c r="HG64" s="61" t="str">
        <f t="shared" si="361"/>
        <v/>
      </c>
      <c r="HH64" s="128" t="str">
        <f t="shared" si="361"/>
        <v/>
      </c>
      <c r="HI64" s="128" t="str">
        <f t="shared" si="361"/>
        <v/>
      </c>
      <c r="HJ64" s="128" t="str">
        <f t="shared" si="361"/>
        <v/>
      </c>
      <c r="HK64" s="128" t="str">
        <f t="shared" si="361"/>
        <v/>
      </c>
      <c r="HL64" s="128" t="str">
        <f t="shared" si="361"/>
        <v/>
      </c>
      <c r="HM64" s="128" t="str">
        <f t="shared" si="361"/>
        <v/>
      </c>
      <c r="HN64" s="61" t="str">
        <f t="shared" si="361"/>
        <v/>
      </c>
      <c r="HO64" s="128" t="str">
        <f t="shared" si="361"/>
        <v/>
      </c>
      <c r="HP64" s="128" t="str">
        <f t="shared" si="361"/>
        <v/>
      </c>
      <c r="HQ64" s="128" t="str">
        <f t="shared" ref="HQ64:KB64" si="362">IF(SUM(HQ41:HQ62) &gt; 0, SUM(HQ41:HQ62), "")</f>
        <v/>
      </c>
      <c r="HR64" s="128" t="str">
        <f t="shared" si="362"/>
        <v/>
      </c>
      <c r="HS64" s="128" t="str">
        <f t="shared" si="362"/>
        <v/>
      </c>
      <c r="HT64" s="128" t="str">
        <f t="shared" si="362"/>
        <v/>
      </c>
      <c r="HU64" s="61" t="str">
        <f t="shared" si="362"/>
        <v/>
      </c>
      <c r="HV64" s="128" t="str">
        <f t="shared" si="362"/>
        <v/>
      </c>
      <c r="HW64" s="128" t="str">
        <f t="shared" si="362"/>
        <v/>
      </c>
      <c r="HX64" s="128" t="str">
        <f t="shared" si="362"/>
        <v/>
      </c>
      <c r="HY64" s="128" t="str">
        <f t="shared" si="362"/>
        <v/>
      </c>
      <c r="HZ64" s="128" t="str">
        <f t="shared" si="362"/>
        <v/>
      </c>
      <c r="IA64" s="128" t="str">
        <f t="shared" si="362"/>
        <v/>
      </c>
      <c r="IB64" s="61" t="str">
        <f t="shared" si="362"/>
        <v/>
      </c>
      <c r="IC64" s="128" t="str">
        <f t="shared" si="362"/>
        <v/>
      </c>
      <c r="ID64" s="128" t="str">
        <f t="shared" si="362"/>
        <v/>
      </c>
      <c r="IE64" s="128" t="str">
        <f t="shared" si="362"/>
        <v/>
      </c>
      <c r="IF64" s="128" t="str">
        <f t="shared" si="362"/>
        <v/>
      </c>
      <c r="IG64" s="128" t="str">
        <f t="shared" si="362"/>
        <v/>
      </c>
      <c r="IH64" s="128" t="str">
        <f t="shared" si="362"/>
        <v/>
      </c>
      <c r="II64" s="61" t="str">
        <f t="shared" si="362"/>
        <v/>
      </c>
      <c r="IJ64" s="128" t="str">
        <f t="shared" si="362"/>
        <v/>
      </c>
      <c r="IK64" s="128" t="str">
        <f t="shared" si="362"/>
        <v/>
      </c>
      <c r="IL64" s="128" t="str">
        <f t="shared" si="362"/>
        <v/>
      </c>
      <c r="IM64" s="128" t="str">
        <f t="shared" si="362"/>
        <v/>
      </c>
      <c r="IN64" s="128" t="str">
        <f t="shared" si="362"/>
        <v/>
      </c>
      <c r="IO64" s="128" t="str">
        <f t="shared" si="362"/>
        <v/>
      </c>
      <c r="IP64" s="61" t="str">
        <f t="shared" si="362"/>
        <v/>
      </c>
      <c r="IQ64" s="128" t="str">
        <f t="shared" si="362"/>
        <v/>
      </c>
      <c r="IR64" s="128" t="str">
        <f t="shared" si="362"/>
        <v/>
      </c>
      <c r="IS64" s="128" t="str">
        <f t="shared" si="362"/>
        <v/>
      </c>
      <c r="IT64" s="128" t="str">
        <f t="shared" si="362"/>
        <v/>
      </c>
      <c r="IU64" s="128" t="str">
        <f t="shared" si="362"/>
        <v/>
      </c>
      <c r="IV64" s="128" t="str">
        <f t="shared" si="362"/>
        <v/>
      </c>
      <c r="IW64" s="61" t="str">
        <f t="shared" si="362"/>
        <v/>
      </c>
      <c r="IX64" s="128" t="str">
        <f t="shared" si="362"/>
        <v/>
      </c>
      <c r="IY64" s="128" t="str">
        <f t="shared" si="362"/>
        <v/>
      </c>
      <c r="IZ64" s="128" t="str">
        <f t="shared" si="362"/>
        <v/>
      </c>
      <c r="JA64" s="128" t="str">
        <f t="shared" si="362"/>
        <v/>
      </c>
      <c r="JB64" s="128" t="str">
        <f t="shared" si="362"/>
        <v/>
      </c>
      <c r="JC64" s="128" t="str">
        <f t="shared" si="362"/>
        <v/>
      </c>
      <c r="JD64" s="61" t="str">
        <f t="shared" si="362"/>
        <v/>
      </c>
      <c r="JE64" s="128" t="str">
        <f t="shared" si="362"/>
        <v/>
      </c>
      <c r="JF64" s="128" t="str">
        <f t="shared" si="362"/>
        <v/>
      </c>
      <c r="JG64" s="128" t="str">
        <f t="shared" si="362"/>
        <v/>
      </c>
      <c r="JH64" s="128" t="str">
        <f t="shared" si="362"/>
        <v/>
      </c>
      <c r="JI64" s="128" t="str">
        <f t="shared" si="362"/>
        <v/>
      </c>
      <c r="JJ64" s="128" t="str">
        <f t="shared" si="362"/>
        <v/>
      </c>
      <c r="JK64" s="61" t="str">
        <f t="shared" si="362"/>
        <v/>
      </c>
      <c r="JL64" s="128" t="str">
        <f t="shared" si="362"/>
        <v/>
      </c>
      <c r="JM64" s="128" t="str">
        <f t="shared" si="362"/>
        <v/>
      </c>
      <c r="JN64" s="128" t="str">
        <f t="shared" si="362"/>
        <v/>
      </c>
      <c r="JO64" s="128" t="str">
        <f t="shared" si="362"/>
        <v/>
      </c>
      <c r="JP64" s="128" t="str">
        <f t="shared" si="362"/>
        <v/>
      </c>
      <c r="JQ64" s="128" t="str">
        <f t="shared" si="362"/>
        <v/>
      </c>
      <c r="JR64" s="61" t="str">
        <f t="shared" si="362"/>
        <v/>
      </c>
      <c r="JS64" s="128" t="str">
        <f t="shared" si="362"/>
        <v/>
      </c>
      <c r="JT64" s="128" t="str">
        <f t="shared" si="362"/>
        <v/>
      </c>
      <c r="JU64" s="128" t="str">
        <f t="shared" si="362"/>
        <v/>
      </c>
      <c r="JV64" s="128" t="str">
        <f t="shared" si="362"/>
        <v/>
      </c>
      <c r="JW64" s="128" t="str">
        <f t="shared" si="362"/>
        <v/>
      </c>
      <c r="JX64" s="128" t="str">
        <f t="shared" si="362"/>
        <v/>
      </c>
      <c r="JY64" s="61" t="str">
        <f t="shared" si="362"/>
        <v/>
      </c>
      <c r="JZ64" s="128" t="str">
        <f t="shared" si="362"/>
        <v/>
      </c>
      <c r="KA64" s="128" t="str">
        <f t="shared" si="362"/>
        <v/>
      </c>
      <c r="KB64" s="128" t="str">
        <f t="shared" si="362"/>
        <v/>
      </c>
      <c r="KC64" s="128" t="str">
        <f t="shared" ref="KC64:MJ64" si="363">IF(SUM(KC41:KC62) &gt; 0, SUM(KC41:KC62), "")</f>
        <v/>
      </c>
      <c r="KD64" s="128" t="str">
        <f t="shared" si="363"/>
        <v/>
      </c>
      <c r="KE64" s="128" t="str">
        <f t="shared" si="363"/>
        <v/>
      </c>
      <c r="KF64" s="61" t="str">
        <f t="shared" si="363"/>
        <v/>
      </c>
      <c r="KG64" s="128" t="str">
        <f t="shared" si="363"/>
        <v/>
      </c>
      <c r="KH64" s="128" t="str">
        <f t="shared" si="363"/>
        <v/>
      </c>
      <c r="KI64" s="128" t="str">
        <f t="shared" si="363"/>
        <v/>
      </c>
      <c r="KJ64" s="128" t="str">
        <f t="shared" si="363"/>
        <v/>
      </c>
      <c r="KK64" s="128" t="str">
        <f t="shared" si="363"/>
        <v/>
      </c>
      <c r="KL64" s="128" t="str">
        <f t="shared" si="363"/>
        <v/>
      </c>
      <c r="KM64" s="61" t="str">
        <f t="shared" si="363"/>
        <v/>
      </c>
      <c r="KN64" s="128" t="str">
        <f t="shared" si="363"/>
        <v/>
      </c>
      <c r="KO64" s="128" t="str">
        <f t="shared" si="363"/>
        <v/>
      </c>
      <c r="KP64" s="128" t="str">
        <f t="shared" si="363"/>
        <v/>
      </c>
      <c r="KQ64" s="128" t="str">
        <f t="shared" si="363"/>
        <v/>
      </c>
      <c r="KR64" s="128" t="str">
        <f t="shared" si="363"/>
        <v/>
      </c>
      <c r="KS64" s="128" t="str">
        <f t="shared" si="363"/>
        <v/>
      </c>
      <c r="KT64" s="61" t="str">
        <f t="shared" si="363"/>
        <v/>
      </c>
      <c r="KU64" s="128" t="str">
        <f t="shared" si="363"/>
        <v/>
      </c>
      <c r="KV64" s="128" t="str">
        <f t="shared" si="363"/>
        <v/>
      </c>
      <c r="KW64" s="128" t="str">
        <f t="shared" si="363"/>
        <v/>
      </c>
      <c r="KX64" s="128" t="str">
        <f t="shared" si="363"/>
        <v/>
      </c>
      <c r="KY64" s="128" t="str">
        <f t="shared" si="363"/>
        <v/>
      </c>
      <c r="KZ64" s="128" t="str">
        <f t="shared" si="363"/>
        <v/>
      </c>
      <c r="LA64" s="61" t="str">
        <f t="shared" si="363"/>
        <v/>
      </c>
      <c r="LB64" s="128" t="str">
        <f t="shared" si="363"/>
        <v/>
      </c>
      <c r="LC64" s="128" t="str">
        <f t="shared" si="363"/>
        <v/>
      </c>
      <c r="LD64" s="128" t="str">
        <f t="shared" si="363"/>
        <v/>
      </c>
      <c r="LE64" s="128" t="str">
        <f t="shared" si="363"/>
        <v/>
      </c>
      <c r="LF64" s="128" t="str">
        <f t="shared" si="363"/>
        <v/>
      </c>
      <c r="LG64" s="128" t="str">
        <f t="shared" si="363"/>
        <v/>
      </c>
      <c r="LH64" s="61" t="str">
        <f t="shared" si="363"/>
        <v/>
      </c>
      <c r="LI64" s="128" t="str">
        <f t="shared" si="363"/>
        <v/>
      </c>
      <c r="LJ64" s="128" t="str">
        <f t="shared" si="363"/>
        <v/>
      </c>
      <c r="LK64" s="128" t="str">
        <f t="shared" si="363"/>
        <v/>
      </c>
      <c r="LL64" s="128" t="str">
        <f t="shared" si="363"/>
        <v/>
      </c>
      <c r="LM64" s="128" t="str">
        <f t="shared" si="363"/>
        <v/>
      </c>
      <c r="LN64" s="128" t="str">
        <f t="shared" si="363"/>
        <v/>
      </c>
      <c r="LO64" s="61" t="str">
        <f t="shared" si="363"/>
        <v/>
      </c>
      <c r="LP64" s="128" t="str">
        <f t="shared" si="363"/>
        <v/>
      </c>
      <c r="LQ64" s="128" t="str">
        <f t="shared" si="363"/>
        <v/>
      </c>
      <c r="LR64" s="128" t="str">
        <f t="shared" si="363"/>
        <v/>
      </c>
      <c r="LS64" s="128" t="str">
        <f t="shared" si="363"/>
        <v/>
      </c>
      <c r="LT64" s="128" t="str">
        <f t="shared" si="363"/>
        <v/>
      </c>
      <c r="LU64" s="128" t="str">
        <f t="shared" si="363"/>
        <v/>
      </c>
      <c r="LV64" s="61" t="str">
        <f t="shared" si="363"/>
        <v/>
      </c>
      <c r="LW64" s="128" t="str">
        <f t="shared" si="363"/>
        <v/>
      </c>
      <c r="LX64" s="128" t="str">
        <f t="shared" si="363"/>
        <v/>
      </c>
      <c r="LY64" s="128" t="str">
        <f t="shared" si="363"/>
        <v/>
      </c>
      <c r="LZ64" s="128" t="str">
        <f t="shared" si="363"/>
        <v/>
      </c>
      <c r="MA64" s="128" t="str">
        <f t="shared" si="363"/>
        <v/>
      </c>
      <c r="MB64" s="128" t="str">
        <f t="shared" si="363"/>
        <v/>
      </c>
      <c r="MC64" s="61" t="str">
        <f t="shared" si="363"/>
        <v/>
      </c>
      <c r="MD64" s="128" t="str">
        <f t="shared" si="363"/>
        <v/>
      </c>
      <c r="ME64" s="128" t="str">
        <f t="shared" si="363"/>
        <v/>
      </c>
      <c r="MF64" s="128" t="str">
        <f t="shared" si="363"/>
        <v/>
      </c>
      <c r="MG64" s="128" t="str">
        <f t="shared" si="363"/>
        <v/>
      </c>
      <c r="MH64" s="128" t="str">
        <f t="shared" si="363"/>
        <v/>
      </c>
      <c r="MI64" s="128" t="str">
        <f t="shared" si="363"/>
        <v/>
      </c>
      <c r="MJ64" s="61" t="str">
        <f t="shared" si="363"/>
        <v/>
      </c>
    </row>
    <row r="65" spans="1:348" ht="72.75" hidden="1" customHeight="1" x14ac:dyDescent="0.25">
      <c r="A65" s="122"/>
      <c r="B65" s="118"/>
      <c r="C65" s="118"/>
      <c r="D65" s="118"/>
      <c r="E65" s="123"/>
      <c r="F65" s="118"/>
      <c r="G65" s="118"/>
      <c r="H65" s="118"/>
      <c r="I65" s="118"/>
      <c r="J65" s="118"/>
      <c r="K65" s="118"/>
      <c r="L65" s="118"/>
      <c r="M65" s="118"/>
      <c r="N65" s="118"/>
      <c r="O65" s="118"/>
      <c r="P65" s="124" t="s">
        <v>410</v>
      </c>
      <c r="Q65" s="125" t="s">
        <v>410</v>
      </c>
      <c r="R65" s="126"/>
      <c r="S65" s="49">
        <f t="shared" ref="S65:AX65" si="364">S1</f>
        <v>43975</v>
      </c>
      <c r="T65" s="49">
        <f t="shared" si="364"/>
        <v>43976</v>
      </c>
      <c r="U65" s="49">
        <f t="shared" si="364"/>
        <v>43977</v>
      </c>
      <c r="V65" s="49">
        <f t="shared" si="364"/>
        <v>43978</v>
      </c>
      <c r="W65" s="49">
        <f t="shared" si="364"/>
        <v>43979</v>
      </c>
      <c r="X65" s="49">
        <f t="shared" si="364"/>
        <v>43980</v>
      </c>
      <c r="Y65" s="49">
        <f t="shared" si="364"/>
        <v>43981</v>
      </c>
      <c r="Z65" s="49">
        <f t="shared" si="364"/>
        <v>43982</v>
      </c>
      <c r="AA65" s="49">
        <f t="shared" si="364"/>
        <v>43983</v>
      </c>
      <c r="AB65" s="49">
        <f t="shared" si="364"/>
        <v>43984</v>
      </c>
      <c r="AC65" s="49">
        <f t="shared" si="364"/>
        <v>43985</v>
      </c>
      <c r="AD65" s="49">
        <f t="shared" si="364"/>
        <v>43986</v>
      </c>
      <c r="AE65" s="49">
        <f t="shared" si="364"/>
        <v>43987</v>
      </c>
      <c r="AF65" s="49">
        <f t="shared" si="364"/>
        <v>43988</v>
      </c>
      <c r="AG65" s="49">
        <f t="shared" si="364"/>
        <v>43989</v>
      </c>
      <c r="AH65" s="49">
        <f t="shared" si="364"/>
        <v>43990</v>
      </c>
      <c r="AI65" s="49">
        <f t="shared" si="364"/>
        <v>43991</v>
      </c>
      <c r="AJ65" s="49">
        <f t="shared" si="364"/>
        <v>43992</v>
      </c>
      <c r="AK65" s="49">
        <f t="shared" si="364"/>
        <v>43993</v>
      </c>
      <c r="AL65" s="49">
        <f t="shared" si="364"/>
        <v>43994</v>
      </c>
      <c r="AM65" s="49">
        <f t="shared" si="364"/>
        <v>43995</v>
      </c>
      <c r="AN65" s="49">
        <f t="shared" si="364"/>
        <v>43996</v>
      </c>
      <c r="AO65" s="49">
        <f t="shared" si="364"/>
        <v>43997</v>
      </c>
      <c r="AP65" s="49">
        <f t="shared" si="364"/>
        <v>43998</v>
      </c>
      <c r="AQ65" s="49">
        <f t="shared" si="364"/>
        <v>43999</v>
      </c>
      <c r="AR65" s="49">
        <f t="shared" si="364"/>
        <v>44000</v>
      </c>
      <c r="AS65" s="49">
        <f t="shared" si="364"/>
        <v>44001</v>
      </c>
      <c r="AT65" s="49">
        <f t="shared" si="364"/>
        <v>44002</v>
      </c>
      <c r="AU65" s="49">
        <f t="shared" si="364"/>
        <v>44003</v>
      </c>
      <c r="AV65" s="49">
        <f t="shared" si="364"/>
        <v>44004</v>
      </c>
      <c r="AW65" s="49">
        <f t="shared" si="364"/>
        <v>44005</v>
      </c>
      <c r="AX65" s="49">
        <f t="shared" si="364"/>
        <v>44006</v>
      </c>
      <c r="AY65" s="49">
        <f t="shared" ref="AY65:BW65" si="365">AY1</f>
        <v>44007</v>
      </c>
      <c r="AZ65" s="49">
        <f t="shared" si="365"/>
        <v>44008</v>
      </c>
      <c r="BA65" s="49">
        <f t="shared" si="365"/>
        <v>44009</v>
      </c>
      <c r="BB65" s="49">
        <f t="shared" si="365"/>
        <v>44010</v>
      </c>
      <c r="BC65" s="49">
        <f t="shared" si="365"/>
        <v>44011</v>
      </c>
      <c r="BD65" s="49">
        <f t="shared" si="365"/>
        <v>44012</v>
      </c>
      <c r="BE65" s="49">
        <f t="shared" si="365"/>
        <v>44013</v>
      </c>
      <c r="BF65" s="49">
        <f t="shared" si="365"/>
        <v>44014</v>
      </c>
      <c r="BG65" s="49">
        <f t="shared" si="365"/>
        <v>44015</v>
      </c>
      <c r="BH65" s="49">
        <f t="shared" si="365"/>
        <v>44016</v>
      </c>
      <c r="BI65" s="49">
        <f t="shared" si="365"/>
        <v>44017</v>
      </c>
      <c r="BJ65" s="49">
        <f t="shared" si="365"/>
        <v>44018</v>
      </c>
      <c r="BK65" s="49">
        <f t="shared" si="365"/>
        <v>44019</v>
      </c>
      <c r="BL65" s="49">
        <f t="shared" si="365"/>
        <v>44020</v>
      </c>
      <c r="BM65" s="49">
        <f t="shared" si="365"/>
        <v>44021</v>
      </c>
      <c r="BN65" s="49">
        <f t="shared" si="365"/>
        <v>44022</v>
      </c>
      <c r="BO65" s="49">
        <f t="shared" si="365"/>
        <v>44023</v>
      </c>
      <c r="BP65" s="49">
        <f t="shared" si="365"/>
        <v>44024</v>
      </c>
      <c r="BQ65" s="49">
        <f t="shared" si="365"/>
        <v>44025</v>
      </c>
      <c r="BR65" s="49">
        <f t="shared" si="365"/>
        <v>44026</v>
      </c>
      <c r="BS65" s="49">
        <f t="shared" si="365"/>
        <v>44027</v>
      </c>
      <c r="BT65" s="49">
        <f t="shared" si="365"/>
        <v>44028</v>
      </c>
      <c r="BU65" s="49">
        <f t="shared" si="365"/>
        <v>44029</v>
      </c>
      <c r="BV65" s="49">
        <f t="shared" si="365"/>
        <v>44030</v>
      </c>
      <c r="BW65" s="49">
        <f t="shared" si="365"/>
        <v>44031</v>
      </c>
      <c r="BX65" s="49"/>
      <c r="BY65" s="49"/>
      <c r="BZ65" s="49"/>
      <c r="CA65" s="49"/>
      <c r="CB65" s="49"/>
      <c r="CC65" s="49"/>
      <c r="CD65" s="49"/>
      <c r="CE65" s="49"/>
      <c r="CF65" s="49"/>
      <c r="CG65" s="49"/>
      <c r="CH65" s="49"/>
      <c r="CI65" s="49"/>
      <c r="CJ65" s="49"/>
      <c r="CK65" s="49"/>
      <c r="CL65" s="49"/>
      <c r="CM65" s="49"/>
      <c r="CN65" s="49"/>
      <c r="CO65" s="49"/>
      <c r="CP65" s="49"/>
      <c r="CQ65" s="49"/>
      <c r="CR65" s="49"/>
      <c r="CS65" s="49"/>
      <c r="CT65" s="49"/>
      <c r="CU65" s="49"/>
      <c r="CV65" s="49"/>
      <c r="CW65" s="49"/>
      <c r="CX65" s="49"/>
      <c r="CY65" s="49"/>
      <c r="CZ65" s="49"/>
      <c r="DA65" s="49"/>
      <c r="DB65" s="49"/>
      <c r="DC65" s="49"/>
      <c r="DD65" s="49"/>
      <c r="DE65" s="49"/>
      <c r="DF65" s="49"/>
      <c r="DG65" s="49"/>
      <c r="DH65" s="49"/>
      <c r="DI65" s="49"/>
      <c r="DJ65" s="49"/>
      <c r="DK65" s="49"/>
      <c r="DL65" s="49"/>
      <c r="DM65" s="49"/>
      <c r="DN65" s="49"/>
      <c r="DO65" s="49"/>
      <c r="DP65" s="49"/>
      <c r="DQ65" s="49"/>
      <c r="DR65" s="49"/>
      <c r="DS65" s="49">
        <f t="shared" ref="DS65:FK65" si="366">DS1</f>
        <v>44067</v>
      </c>
      <c r="DT65" s="49">
        <f t="shared" si="366"/>
        <v>44068</v>
      </c>
      <c r="DU65" s="49">
        <f t="shared" si="366"/>
        <v>44069</v>
      </c>
      <c r="DV65" s="49">
        <f t="shared" si="366"/>
        <v>44070</v>
      </c>
      <c r="DW65" s="49">
        <f t="shared" si="366"/>
        <v>44071</v>
      </c>
      <c r="DX65" s="49">
        <f t="shared" si="366"/>
        <v>44072</v>
      </c>
      <c r="DY65" s="49">
        <f t="shared" si="366"/>
        <v>44073</v>
      </c>
      <c r="DZ65" s="49"/>
      <c r="EA65" s="49"/>
      <c r="EB65" s="49">
        <f t="shared" si="366"/>
        <v>44074</v>
      </c>
      <c r="EC65" s="49">
        <f t="shared" si="366"/>
        <v>44075</v>
      </c>
      <c r="ED65" s="49">
        <f t="shared" si="366"/>
        <v>44076</v>
      </c>
      <c r="EE65" s="49">
        <f t="shared" si="366"/>
        <v>44077</v>
      </c>
      <c r="EF65" s="49">
        <f t="shared" si="366"/>
        <v>44078</v>
      </c>
      <c r="EG65" s="49">
        <f t="shared" si="366"/>
        <v>44079</v>
      </c>
      <c r="EH65" s="49">
        <f t="shared" si="366"/>
        <v>44080</v>
      </c>
      <c r="EI65" s="49">
        <f t="shared" si="366"/>
        <v>44081</v>
      </c>
      <c r="EJ65" s="49">
        <f t="shared" si="366"/>
        <v>44082</v>
      </c>
      <c r="EK65" s="49">
        <f t="shared" si="366"/>
        <v>44083</v>
      </c>
      <c r="EL65" s="49">
        <f t="shared" si="366"/>
        <v>44084</v>
      </c>
      <c r="EM65" s="49">
        <f t="shared" si="366"/>
        <v>44085</v>
      </c>
      <c r="EN65" s="49">
        <f t="shared" si="366"/>
        <v>44086</v>
      </c>
      <c r="EO65" s="49">
        <f t="shared" si="366"/>
        <v>44087</v>
      </c>
      <c r="EP65" s="49">
        <f t="shared" si="366"/>
        <v>44088</v>
      </c>
      <c r="EQ65" s="49">
        <f t="shared" si="366"/>
        <v>44089</v>
      </c>
      <c r="ER65" s="49">
        <f t="shared" si="366"/>
        <v>44090</v>
      </c>
      <c r="ES65" s="49">
        <f t="shared" si="366"/>
        <v>44091</v>
      </c>
      <c r="ET65" s="49">
        <f t="shared" si="366"/>
        <v>44092</v>
      </c>
      <c r="EU65" s="49">
        <f t="shared" si="366"/>
        <v>44093</v>
      </c>
      <c r="EV65" s="49">
        <f t="shared" si="366"/>
        <v>44094</v>
      </c>
      <c r="EW65" s="49">
        <f t="shared" si="366"/>
        <v>44095</v>
      </c>
      <c r="EX65" s="49">
        <f t="shared" si="366"/>
        <v>44096</v>
      </c>
      <c r="EY65" s="49">
        <f t="shared" si="366"/>
        <v>44097</v>
      </c>
      <c r="EZ65" s="49">
        <f t="shared" si="366"/>
        <v>44098</v>
      </c>
      <c r="FA65" s="49">
        <f t="shared" si="366"/>
        <v>44099</v>
      </c>
      <c r="FB65" s="49">
        <f t="shared" si="366"/>
        <v>44100</v>
      </c>
      <c r="FC65" s="49">
        <f t="shared" si="366"/>
        <v>44101</v>
      </c>
      <c r="FD65" s="49">
        <f t="shared" si="366"/>
        <v>44102</v>
      </c>
      <c r="FE65" s="49">
        <f t="shared" si="366"/>
        <v>44103</v>
      </c>
      <c r="FF65" s="49">
        <f t="shared" si="366"/>
        <v>44104</v>
      </c>
      <c r="FG65" s="49">
        <f t="shared" si="366"/>
        <v>44105</v>
      </c>
      <c r="FH65" s="49">
        <f t="shared" si="366"/>
        <v>44106</v>
      </c>
      <c r="FI65" s="49">
        <f t="shared" si="366"/>
        <v>44107</v>
      </c>
      <c r="FJ65" s="49">
        <f t="shared" si="366"/>
        <v>44108</v>
      </c>
      <c r="FK65" s="49">
        <f t="shared" si="366"/>
        <v>44109</v>
      </c>
      <c r="FL65" s="49">
        <f t="shared" ref="FL65:HW65" si="367">FL1</f>
        <v>44110</v>
      </c>
      <c r="FM65" s="49">
        <f t="shared" si="367"/>
        <v>44111</v>
      </c>
      <c r="FN65" s="49">
        <f t="shared" si="367"/>
        <v>44112</v>
      </c>
      <c r="FO65" s="49">
        <f t="shared" si="367"/>
        <v>44113</v>
      </c>
      <c r="FP65" s="49">
        <f t="shared" si="367"/>
        <v>44114</v>
      </c>
      <c r="FQ65" s="49">
        <f t="shared" si="367"/>
        <v>44115</v>
      </c>
      <c r="FR65" s="49">
        <f t="shared" si="367"/>
        <v>44116</v>
      </c>
      <c r="FS65" s="49">
        <f t="shared" si="367"/>
        <v>44117</v>
      </c>
      <c r="FT65" s="49">
        <f t="shared" si="367"/>
        <v>44118</v>
      </c>
      <c r="FU65" s="49">
        <f t="shared" si="367"/>
        <v>44119</v>
      </c>
      <c r="FV65" s="49">
        <f t="shared" si="367"/>
        <v>44120</v>
      </c>
      <c r="FW65" s="49">
        <f t="shared" si="367"/>
        <v>44121</v>
      </c>
      <c r="FX65" s="49">
        <f t="shared" si="367"/>
        <v>44122</v>
      </c>
      <c r="FY65" s="49">
        <f t="shared" si="367"/>
        <v>44123</v>
      </c>
      <c r="FZ65" s="49">
        <f t="shared" si="367"/>
        <v>44124</v>
      </c>
      <c r="GA65" s="49">
        <f t="shared" si="367"/>
        <v>44125</v>
      </c>
      <c r="GB65" s="49">
        <f t="shared" si="367"/>
        <v>44126</v>
      </c>
      <c r="GC65" s="49">
        <f t="shared" si="367"/>
        <v>44127</v>
      </c>
      <c r="GD65" s="49">
        <f t="shared" si="367"/>
        <v>44128</v>
      </c>
      <c r="GE65" s="49">
        <f t="shared" si="367"/>
        <v>44129</v>
      </c>
      <c r="GF65" s="49">
        <f t="shared" si="367"/>
        <v>44130</v>
      </c>
      <c r="GG65" s="49">
        <f t="shared" si="367"/>
        <v>44131</v>
      </c>
      <c r="GH65" s="49">
        <f t="shared" si="367"/>
        <v>44132</v>
      </c>
      <c r="GI65" s="49">
        <f t="shared" si="367"/>
        <v>44133</v>
      </c>
      <c r="GJ65" s="49">
        <f t="shared" si="367"/>
        <v>44134</v>
      </c>
      <c r="GK65" s="49">
        <f t="shared" si="367"/>
        <v>44135</v>
      </c>
      <c r="GL65" s="49">
        <f t="shared" si="367"/>
        <v>44136</v>
      </c>
      <c r="GM65" s="49">
        <f t="shared" si="367"/>
        <v>44137</v>
      </c>
      <c r="GN65" s="49">
        <f t="shared" si="367"/>
        <v>44138</v>
      </c>
      <c r="GO65" s="49">
        <f t="shared" si="367"/>
        <v>44139</v>
      </c>
      <c r="GP65" s="49">
        <f t="shared" si="367"/>
        <v>44140</v>
      </c>
      <c r="GQ65" s="49">
        <f t="shared" si="367"/>
        <v>44141</v>
      </c>
      <c r="GR65" s="49">
        <f t="shared" si="367"/>
        <v>44142</v>
      </c>
      <c r="GS65" s="49">
        <f t="shared" si="367"/>
        <v>44143</v>
      </c>
      <c r="GT65" s="49">
        <f t="shared" si="367"/>
        <v>44144</v>
      </c>
      <c r="GU65" s="49">
        <f t="shared" si="367"/>
        <v>44145</v>
      </c>
      <c r="GV65" s="49">
        <f t="shared" si="367"/>
        <v>44146</v>
      </c>
      <c r="GW65" s="49">
        <f t="shared" si="367"/>
        <v>44147</v>
      </c>
      <c r="GX65" s="49">
        <f t="shared" si="367"/>
        <v>44148</v>
      </c>
      <c r="GY65" s="49">
        <f t="shared" si="367"/>
        <v>44149</v>
      </c>
      <c r="GZ65" s="49">
        <f t="shared" si="367"/>
        <v>44150</v>
      </c>
      <c r="HA65" s="49">
        <f t="shared" si="367"/>
        <v>44151</v>
      </c>
      <c r="HB65" s="49">
        <f t="shared" si="367"/>
        <v>44152</v>
      </c>
      <c r="HC65" s="49">
        <f t="shared" si="367"/>
        <v>44153</v>
      </c>
      <c r="HD65" s="49">
        <f t="shared" si="367"/>
        <v>44154</v>
      </c>
      <c r="HE65" s="49">
        <f t="shared" si="367"/>
        <v>44155</v>
      </c>
      <c r="HF65" s="49">
        <f t="shared" si="367"/>
        <v>44156</v>
      </c>
      <c r="HG65" s="49">
        <f t="shared" si="367"/>
        <v>44157</v>
      </c>
      <c r="HH65" s="49">
        <f t="shared" si="367"/>
        <v>44158</v>
      </c>
      <c r="HI65" s="49">
        <f t="shared" si="367"/>
        <v>44159</v>
      </c>
      <c r="HJ65" s="49">
        <f t="shared" si="367"/>
        <v>44160</v>
      </c>
      <c r="HK65" s="49">
        <f t="shared" si="367"/>
        <v>44161</v>
      </c>
      <c r="HL65" s="49">
        <f t="shared" si="367"/>
        <v>44162</v>
      </c>
      <c r="HM65" s="49">
        <f t="shared" si="367"/>
        <v>44163</v>
      </c>
      <c r="HN65" s="49">
        <f t="shared" si="367"/>
        <v>44164</v>
      </c>
      <c r="HO65" s="49">
        <f t="shared" si="367"/>
        <v>44165</v>
      </c>
      <c r="HP65" s="49">
        <f t="shared" si="367"/>
        <v>44166</v>
      </c>
      <c r="HQ65" s="49">
        <f t="shared" si="367"/>
        <v>44167</v>
      </c>
      <c r="HR65" s="49">
        <f t="shared" si="367"/>
        <v>44168</v>
      </c>
      <c r="HS65" s="49">
        <f t="shared" si="367"/>
        <v>44169</v>
      </c>
      <c r="HT65" s="49">
        <f t="shared" si="367"/>
        <v>44170</v>
      </c>
      <c r="HU65" s="49">
        <f t="shared" si="367"/>
        <v>44171</v>
      </c>
      <c r="HV65" s="49">
        <f t="shared" si="367"/>
        <v>44172</v>
      </c>
      <c r="HW65" s="49">
        <f t="shared" si="367"/>
        <v>44173</v>
      </c>
      <c r="HX65" s="49">
        <f t="shared" ref="HX65:KI65" si="368">HX1</f>
        <v>44174</v>
      </c>
      <c r="HY65" s="49">
        <f t="shared" si="368"/>
        <v>44175</v>
      </c>
      <c r="HZ65" s="49">
        <f t="shared" si="368"/>
        <v>44176</v>
      </c>
      <c r="IA65" s="49">
        <f t="shared" si="368"/>
        <v>44177</v>
      </c>
      <c r="IB65" s="49">
        <f t="shared" si="368"/>
        <v>44178</v>
      </c>
      <c r="IC65" s="49">
        <f t="shared" si="368"/>
        <v>44179</v>
      </c>
      <c r="ID65" s="49">
        <f t="shared" si="368"/>
        <v>44180</v>
      </c>
      <c r="IE65" s="49">
        <f t="shared" si="368"/>
        <v>44181</v>
      </c>
      <c r="IF65" s="49">
        <f t="shared" si="368"/>
        <v>44182</v>
      </c>
      <c r="IG65" s="49">
        <f t="shared" si="368"/>
        <v>44183</v>
      </c>
      <c r="IH65" s="49">
        <f t="shared" si="368"/>
        <v>44184</v>
      </c>
      <c r="II65" s="49">
        <f t="shared" si="368"/>
        <v>44185</v>
      </c>
      <c r="IJ65" s="49">
        <f t="shared" si="368"/>
        <v>44186</v>
      </c>
      <c r="IK65" s="49">
        <f t="shared" si="368"/>
        <v>44187</v>
      </c>
      <c r="IL65" s="49">
        <f t="shared" si="368"/>
        <v>44188</v>
      </c>
      <c r="IM65" s="49">
        <f t="shared" si="368"/>
        <v>44189</v>
      </c>
      <c r="IN65" s="49">
        <f t="shared" si="368"/>
        <v>44190</v>
      </c>
      <c r="IO65" s="49">
        <f t="shared" si="368"/>
        <v>44191</v>
      </c>
      <c r="IP65" s="49">
        <f t="shared" si="368"/>
        <v>44192</v>
      </c>
      <c r="IQ65" s="49">
        <f t="shared" si="368"/>
        <v>44193</v>
      </c>
      <c r="IR65" s="49">
        <f t="shared" si="368"/>
        <v>44194</v>
      </c>
      <c r="IS65" s="49">
        <f t="shared" si="368"/>
        <v>44195</v>
      </c>
      <c r="IT65" s="49">
        <f t="shared" si="368"/>
        <v>44196</v>
      </c>
      <c r="IU65" s="49">
        <f t="shared" si="368"/>
        <v>44197</v>
      </c>
      <c r="IV65" s="49">
        <f t="shared" si="368"/>
        <v>44198</v>
      </c>
      <c r="IW65" s="49">
        <f t="shared" si="368"/>
        <v>44199</v>
      </c>
      <c r="IX65" s="49">
        <f t="shared" si="368"/>
        <v>44200</v>
      </c>
      <c r="IY65" s="49">
        <f t="shared" si="368"/>
        <v>44201</v>
      </c>
      <c r="IZ65" s="49">
        <f t="shared" si="368"/>
        <v>44202</v>
      </c>
      <c r="JA65" s="49">
        <f t="shared" si="368"/>
        <v>44203</v>
      </c>
      <c r="JB65" s="49">
        <f t="shared" si="368"/>
        <v>44204</v>
      </c>
      <c r="JC65" s="49">
        <f t="shared" si="368"/>
        <v>44205</v>
      </c>
      <c r="JD65" s="49">
        <f t="shared" si="368"/>
        <v>44206</v>
      </c>
      <c r="JE65" s="49">
        <f t="shared" si="368"/>
        <v>44207</v>
      </c>
      <c r="JF65" s="49">
        <f t="shared" si="368"/>
        <v>44208</v>
      </c>
      <c r="JG65" s="49">
        <f t="shared" si="368"/>
        <v>44209</v>
      </c>
      <c r="JH65" s="49">
        <f t="shared" si="368"/>
        <v>44210</v>
      </c>
      <c r="JI65" s="49">
        <f t="shared" si="368"/>
        <v>44211</v>
      </c>
      <c r="JJ65" s="49">
        <f t="shared" si="368"/>
        <v>44212</v>
      </c>
      <c r="JK65" s="49">
        <f t="shared" si="368"/>
        <v>44213</v>
      </c>
      <c r="JL65" s="49">
        <f t="shared" si="368"/>
        <v>44214</v>
      </c>
      <c r="JM65" s="49">
        <f t="shared" si="368"/>
        <v>44215</v>
      </c>
      <c r="JN65" s="49">
        <f t="shared" si="368"/>
        <v>44216</v>
      </c>
      <c r="JO65" s="49">
        <f t="shared" si="368"/>
        <v>44217</v>
      </c>
      <c r="JP65" s="49">
        <f t="shared" si="368"/>
        <v>44218</v>
      </c>
      <c r="JQ65" s="49">
        <f t="shared" si="368"/>
        <v>44219</v>
      </c>
      <c r="JR65" s="49">
        <f t="shared" si="368"/>
        <v>44220</v>
      </c>
      <c r="JS65" s="49">
        <f t="shared" si="368"/>
        <v>44221</v>
      </c>
      <c r="JT65" s="49">
        <f t="shared" si="368"/>
        <v>44222</v>
      </c>
      <c r="JU65" s="49">
        <f t="shared" si="368"/>
        <v>44223</v>
      </c>
      <c r="JV65" s="49">
        <f t="shared" si="368"/>
        <v>44224</v>
      </c>
      <c r="JW65" s="49">
        <f t="shared" si="368"/>
        <v>44225</v>
      </c>
      <c r="JX65" s="49">
        <f t="shared" si="368"/>
        <v>44226</v>
      </c>
      <c r="JY65" s="49">
        <f t="shared" si="368"/>
        <v>44227</v>
      </c>
      <c r="JZ65" s="49">
        <f t="shared" si="368"/>
        <v>44228</v>
      </c>
      <c r="KA65" s="49">
        <f t="shared" si="368"/>
        <v>44229</v>
      </c>
      <c r="KB65" s="49">
        <f t="shared" si="368"/>
        <v>44230</v>
      </c>
      <c r="KC65" s="49">
        <f t="shared" si="368"/>
        <v>44231</v>
      </c>
      <c r="KD65" s="49">
        <f t="shared" si="368"/>
        <v>44232</v>
      </c>
      <c r="KE65" s="49">
        <f t="shared" si="368"/>
        <v>44233</v>
      </c>
      <c r="KF65" s="49">
        <f t="shared" si="368"/>
        <v>44234</v>
      </c>
      <c r="KG65" s="49">
        <f t="shared" si="368"/>
        <v>44235</v>
      </c>
      <c r="KH65" s="49">
        <f t="shared" si="368"/>
        <v>44236</v>
      </c>
      <c r="KI65" s="49">
        <f t="shared" si="368"/>
        <v>44237</v>
      </c>
      <c r="KJ65" s="49">
        <f t="shared" ref="KJ65:MJ65" si="369">KJ1</f>
        <v>44238</v>
      </c>
      <c r="KK65" s="49">
        <f t="shared" si="369"/>
        <v>44239</v>
      </c>
      <c r="KL65" s="49">
        <f t="shared" si="369"/>
        <v>44240</v>
      </c>
      <c r="KM65" s="49">
        <f t="shared" si="369"/>
        <v>44241</v>
      </c>
      <c r="KN65" s="49">
        <f t="shared" si="369"/>
        <v>44242</v>
      </c>
      <c r="KO65" s="49">
        <f t="shared" si="369"/>
        <v>44243</v>
      </c>
      <c r="KP65" s="49">
        <f t="shared" si="369"/>
        <v>44244</v>
      </c>
      <c r="KQ65" s="49">
        <f t="shared" si="369"/>
        <v>44245</v>
      </c>
      <c r="KR65" s="49">
        <f t="shared" si="369"/>
        <v>44246</v>
      </c>
      <c r="KS65" s="49">
        <f t="shared" si="369"/>
        <v>44247</v>
      </c>
      <c r="KT65" s="49">
        <f t="shared" si="369"/>
        <v>44248</v>
      </c>
      <c r="KU65" s="49">
        <f t="shared" si="369"/>
        <v>44249</v>
      </c>
      <c r="KV65" s="49">
        <f t="shared" si="369"/>
        <v>44250</v>
      </c>
      <c r="KW65" s="49">
        <f t="shared" si="369"/>
        <v>44251</v>
      </c>
      <c r="KX65" s="49">
        <f t="shared" si="369"/>
        <v>44252</v>
      </c>
      <c r="KY65" s="49">
        <f t="shared" si="369"/>
        <v>44253</v>
      </c>
      <c r="KZ65" s="49">
        <f t="shared" si="369"/>
        <v>44254</v>
      </c>
      <c r="LA65" s="49">
        <f t="shared" si="369"/>
        <v>44255</v>
      </c>
      <c r="LB65" s="49">
        <f t="shared" si="369"/>
        <v>44256</v>
      </c>
      <c r="LC65" s="49">
        <f t="shared" si="369"/>
        <v>44257</v>
      </c>
      <c r="LD65" s="49">
        <f t="shared" si="369"/>
        <v>44258</v>
      </c>
      <c r="LE65" s="49">
        <f t="shared" si="369"/>
        <v>44259</v>
      </c>
      <c r="LF65" s="49">
        <f t="shared" si="369"/>
        <v>44260</v>
      </c>
      <c r="LG65" s="49">
        <f t="shared" si="369"/>
        <v>44261</v>
      </c>
      <c r="LH65" s="49">
        <f t="shared" si="369"/>
        <v>44262</v>
      </c>
      <c r="LI65" s="49">
        <f t="shared" si="369"/>
        <v>44263</v>
      </c>
      <c r="LJ65" s="49">
        <f t="shared" si="369"/>
        <v>44264</v>
      </c>
      <c r="LK65" s="49">
        <f t="shared" si="369"/>
        <v>44265</v>
      </c>
      <c r="LL65" s="49">
        <f t="shared" si="369"/>
        <v>44266</v>
      </c>
      <c r="LM65" s="49">
        <f t="shared" si="369"/>
        <v>44267</v>
      </c>
      <c r="LN65" s="49">
        <f t="shared" si="369"/>
        <v>44268</v>
      </c>
      <c r="LO65" s="49">
        <f t="shared" si="369"/>
        <v>44269</v>
      </c>
      <c r="LP65" s="49">
        <f t="shared" si="369"/>
        <v>44270</v>
      </c>
      <c r="LQ65" s="49">
        <f t="shared" si="369"/>
        <v>44271</v>
      </c>
      <c r="LR65" s="49">
        <f t="shared" si="369"/>
        <v>44272</v>
      </c>
      <c r="LS65" s="49">
        <f t="shared" si="369"/>
        <v>44273</v>
      </c>
      <c r="LT65" s="49">
        <f t="shared" si="369"/>
        <v>44274</v>
      </c>
      <c r="LU65" s="49">
        <f t="shared" si="369"/>
        <v>44275</v>
      </c>
      <c r="LV65" s="49">
        <f t="shared" si="369"/>
        <v>44276</v>
      </c>
      <c r="LW65" s="49">
        <f t="shared" si="369"/>
        <v>44277</v>
      </c>
      <c r="LX65" s="49">
        <f t="shared" si="369"/>
        <v>44278</v>
      </c>
      <c r="LY65" s="49">
        <f t="shared" si="369"/>
        <v>44279</v>
      </c>
      <c r="LZ65" s="49">
        <f t="shared" si="369"/>
        <v>44280</v>
      </c>
      <c r="MA65" s="49">
        <f t="shared" si="369"/>
        <v>44281</v>
      </c>
      <c r="MB65" s="49">
        <f t="shared" si="369"/>
        <v>44282</v>
      </c>
      <c r="MC65" s="49">
        <f t="shared" si="369"/>
        <v>44283</v>
      </c>
      <c r="MD65" s="49">
        <f t="shared" si="369"/>
        <v>44284</v>
      </c>
      <c r="ME65" s="49">
        <f t="shared" si="369"/>
        <v>44285</v>
      </c>
      <c r="MF65" s="49">
        <f t="shared" si="369"/>
        <v>44286</v>
      </c>
      <c r="MG65" s="49">
        <f t="shared" si="369"/>
        <v>44287</v>
      </c>
      <c r="MH65" s="49">
        <f t="shared" si="369"/>
        <v>44288</v>
      </c>
      <c r="MI65" s="49">
        <f t="shared" si="369"/>
        <v>44289</v>
      </c>
      <c r="MJ65" s="49">
        <f t="shared" si="369"/>
        <v>44290</v>
      </c>
    </row>
    <row r="66" spans="1:348" ht="15" customHeight="1" x14ac:dyDescent="0.25">
      <c r="A66" s="138" t="s">
        <v>144</v>
      </c>
      <c r="B66" s="138"/>
      <c r="C66" s="138"/>
      <c r="D66" s="138"/>
      <c r="E66" s="139"/>
      <c r="F66" s="30"/>
      <c r="G66" s="30"/>
      <c r="H66" s="30"/>
      <c r="I66" s="30"/>
      <c r="J66" s="30"/>
      <c r="K66" s="30"/>
      <c r="L66" s="30"/>
      <c r="M66" s="30"/>
      <c r="N66" s="30"/>
      <c r="O66" s="29"/>
      <c r="P66" s="142" t="s">
        <v>49</v>
      </c>
      <c r="Q66" s="142" t="s">
        <v>48</v>
      </c>
      <c r="R66" s="144"/>
      <c r="S66" s="57">
        <f t="shared" ref="S66:BV66" si="370">S38</f>
        <v>43975</v>
      </c>
      <c r="T66" s="58">
        <f t="shared" si="370"/>
        <v>43976</v>
      </c>
      <c r="U66" s="58">
        <f t="shared" si="370"/>
        <v>43977</v>
      </c>
      <c r="V66" s="58">
        <f t="shared" si="370"/>
        <v>43978</v>
      </c>
      <c r="W66" s="58">
        <f t="shared" si="370"/>
        <v>43979</v>
      </c>
      <c r="X66" s="58">
        <f t="shared" si="370"/>
        <v>43980</v>
      </c>
      <c r="Y66" s="58">
        <f t="shared" si="370"/>
        <v>43981</v>
      </c>
      <c r="Z66" s="57">
        <f t="shared" si="370"/>
        <v>43982</v>
      </c>
      <c r="AA66" s="58">
        <f t="shared" si="370"/>
        <v>43983</v>
      </c>
      <c r="AB66" s="58">
        <f t="shared" si="370"/>
        <v>43984</v>
      </c>
      <c r="AC66" s="58">
        <f t="shared" si="370"/>
        <v>43985</v>
      </c>
      <c r="AD66" s="58">
        <f t="shared" si="370"/>
        <v>43986</v>
      </c>
      <c r="AE66" s="58">
        <f t="shared" si="370"/>
        <v>43987</v>
      </c>
      <c r="AF66" s="58">
        <f t="shared" si="370"/>
        <v>43988</v>
      </c>
      <c r="AG66" s="57">
        <f t="shared" si="370"/>
        <v>43989</v>
      </c>
      <c r="AH66" s="58">
        <f t="shared" si="370"/>
        <v>43990</v>
      </c>
      <c r="AI66" s="58">
        <f t="shared" si="370"/>
        <v>43991</v>
      </c>
      <c r="AJ66" s="58">
        <f t="shared" si="370"/>
        <v>43992</v>
      </c>
      <c r="AK66" s="58">
        <f t="shared" si="370"/>
        <v>43993</v>
      </c>
      <c r="AL66" s="58">
        <f t="shared" si="370"/>
        <v>43994</v>
      </c>
      <c r="AM66" s="58">
        <f t="shared" si="370"/>
        <v>43995</v>
      </c>
      <c r="AN66" s="57">
        <f t="shared" si="370"/>
        <v>43996</v>
      </c>
      <c r="AO66" s="58">
        <f t="shared" si="370"/>
        <v>43997</v>
      </c>
      <c r="AP66" s="58">
        <f t="shared" si="370"/>
        <v>43998</v>
      </c>
      <c r="AQ66" s="58">
        <f t="shared" si="370"/>
        <v>43999</v>
      </c>
      <c r="AR66" s="58">
        <f t="shared" si="370"/>
        <v>44000</v>
      </c>
      <c r="AS66" s="58">
        <f t="shared" si="370"/>
        <v>44001</v>
      </c>
      <c r="AT66" s="58">
        <f t="shared" si="370"/>
        <v>44002</v>
      </c>
      <c r="AU66" s="57">
        <f t="shared" si="370"/>
        <v>44003</v>
      </c>
      <c r="AV66" s="58">
        <f t="shared" si="370"/>
        <v>44004</v>
      </c>
      <c r="AW66" s="58">
        <f t="shared" si="370"/>
        <v>44005</v>
      </c>
      <c r="AX66" s="58">
        <f t="shared" si="370"/>
        <v>44006</v>
      </c>
      <c r="AY66" s="58">
        <f t="shared" si="370"/>
        <v>44007</v>
      </c>
      <c r="AZ66" s="58">
        <f t="shared" si="370"/>
        <v>44008</v>
      </c>
      <c r="BA66" s="58">
        <f t="shared" si="370"/>
        <v>44009</v>
      </c>
      <c r="BB66" s="57">
        <f t="shared" si="370"/>
        <v>44010</v>
      </c>
      <c r="BC66" s="58">
        <f t="shared" si="370"/>
        <v>44011</v>
      </c>
      <c r="BD66" s="58">
        <f t="shared" si="370"/>
        <v>44012</v>
      </c>
      <c r="BE66" s="58">
        <f t="shared" si="370"/>
        <v>44013</v>
      </c>
      <c r="BF66" s="58">
        <f t="shared" si="370"/>
        <v>44014</v>
      </c>
      <c r="BG66" s="58">
        <f t="shared" si="370"/>
        <v>44015</v>
      </c>
      <c r="BH66" s="58">
        <f t="shared" si="370"/>
        <v>44016</v>
      </c>
      <c r="BI66" s="57">
        <f t="shared" si="370"/>
        <v>44017</v>
      </c>
      <c r="BJ66" s="58">
        <f t="shared" si="370"/>
        <v>44018</v>
      </c>
      <c r="BK66" s="58">
        <f t="shared" si="370"/>
        <v>44019</v>
      </c>
      <c r="BL66" s="58">
        <f t="shared" si="370"/>
        <v>44020</v>
      </c>
      <c r="BM66" s="58">
        <f t="shared" si="370"/>
        <v>44021</v>
      </c>
      <c r="BN66" s="58">
        <f t="shared" si="370"/>
        <v>44022</v>
      </c>
      <c r="BO66" s="58">
        <f t="shared" si="370"/>
        <v>44023</v>
      </c>
      <c r="BP66" s="57">
        <v>12</v>
      </c>
      <c r="BQ66" s="58">
        <f t="shared" si="370"/>
        <v>44025</v>
      </c>
      <c r="BR66" s="58">
        <f t="shared" si="370"/>
        <v>44026</v>
      </c>
      <c r="BS66" s="58">
        <f t="shared" si="370"/>
        <v>44027</v>
      </c>
      <c r="BT66" s="58">
        <f t="shared" si="370"/>
        <v>44028</v>
      </c>
      <c r="BU66" s="58">
        <f t="shared" si="370"/>
        <v>44029</v>
      </c>
      <c r="BV66" s="58">
        <f t="shared" si="370"/>
        <v>44030</v>
      </c>
      <c r="BW66" s="58">
        <v>19</v>
      </c>
      <c r="BX66" s="58"/>
      <c r="BY66" s="57"/>
      <c r="BZ66" s="58"/>
      <c r="CA66" s="58"/>
      <c r="CB66" s="58"/>
      <c r="CC66" s="58"/>
      <c r="CD66" s="58"/>
      <c r="CE66" s="58"/>
      <c r="CF66" s="58"/>
      <c r="CG66" s="58"/>
      <c r="CH66" s="57"/>
      <c r="CI66" s="58"/>
      <c r="CJ66" s="58"/>
      <c r="CK66" s="58"/>
      <c r="CL66" s="58"/>
      <c r="CM66" s="58"/>
      <c r="CN66" s="58"/>
      <c r="CO66" s="58"/>
      <c r="CP66" s="58"/>
      <c r="CQ66" s="57"/>
      <c r="CR66" s="58"/>
      <c r="CS66" s="58"/>
      <c r="CT66" s="58"/>
      <c r="CU66" s="58"/>
      <c r="CV66" s="58"/>
      <c r="CW66" s="58"/>
      <c r="CX66" s="58"/>
      <c r="CY66" s="58"/>
      <c r="CZ66" s="57"/>
      <c r="DA66" s="58"/>
      <c r="DB66" s="58"/>
      <c r="DC66" s="58"/>
      <c r="DD66" s="58"/>
      <c r="DE66" s="58"/>
      <c r="DF66" s="58"/>
      <c r="DG66" s="58"/>
      <c r="DH66" s="58"/>
      <c r="DI66" s="57"/>
      <c r="DJ66" s="58"/>
      <c r="DK66" s="58"/>
      <c r="DL66" s="58"/>
      <c r="DM66" s="58"/>
      <c r="DN66" s="58"/>
      <c r="DO66" s="58"/>
      <c r="DP66" s="58"/>
      <c r="DQ66" s="58"/>
      <c r="DR66" s="57"/>
      <c r="DS66" s="58">
        <f t="shared" ref="DS66:FD66" si="371">DS38</f>
        <v>44067</v>
      </c>
      <c r="DT66" s="58">
        <f t="shared" si="371"/>
        <v>44068</v>
      </c>
      <c r="DU66" s="58">
        <f t="shared" si="371"/>
        <v>44069</v>
      </c>
      <c r="DV66" s="58">
        <f t="shared" si="371"/>
        <v>44070</v>
      </c>
      <c r="DW66" s="58">
        <f t="shared" si="371"/>
        <v>44071</v>
      </c>
      <c r="DX66" s="58">
        <f t="shared" si="371"/>
        <v>44072</v>
      </c>
      <c r="DY66" s="58">
        <f t="shared" si="371"/>
        <v>44073</v>
      </c>
      <c r="DZ66" s="58"/>
      <c r="EA66" s="57"/>
      <c r="EB66" s="58">
        <f t="shared" si="371"/>
        <v>44074</v>
      </c>
      <c r="EC66" s="58">
        <f t="shared" si="371"/>
        <v>44075</v>
      </c>
      <c r="ED66" s="58">
        <f t="shared" si="371"/>
        <v>44076</v>
      </c>
      <c r="EE66" s="58">
        <f t="shared" si="371"/>
        <v>44077</v>
      </c>
      <c r="EF66" s="58">
        <f t="shared" si="371"/>
        <v>44078</v>
      </c>
      <c r="EG66" s="58">
        <f t="shared" si="371"/>
        <v>44079</v>
      </c>
      <c r="EH66" s="57">
        <f t="shared" si="371"/>
        <v>44080</v>
      </c>
      <c r="EI66" s="58">
        <f t="shared" si="371"/>
        <v>44081</v>
      </c>
      <c r="EJ66" s="58">
        <f t="shared" si="371"/>
        <v>44082</v>
      </c>
      <c r="EK66" s="58">
        <f t="shared" si="371"/>
        <v>44083</v>
      </c>
      <c r="EL66" s="58">
        <f t="shared" si="371"/>
        <v>44084</v>
      </c>
      <c r="EM66" s="58">
        <f t="shared" si="371"/>
        <v>44085</v>
      </c>
      <c r="EN66" s="58">
        <f t="shared" si="371"/>
        <v>44086</v>
      </c>
      <c r="EO66" s="57">
        <f t="shared" si="371"/>
        <v>44087</v>
      </c>
      <c r="EP66" s="58">
        <f t="shared" si="371"/>
        <v>44088</v>
      </c>
      <c r="EQ66" s="58">
        <f t="shared" si="371"/>
        <v>44089</v>
      </c>
      <c r="ER66" s="58">
        <f t="shared" si="371"/>
        <v>44090</v>
      </c>
      <c r="ES66" s="58">
        <f t="shared" si="371"/>
        <v>44091</v>
      </c>
      <c r="ET66" s="58">
        <f t="shared" si="371"/>
        <v>44092</v>
      </c>
      <c r="EU66" s="58">
        <f t="shared" si="371"/>
        <v>44093</v>
      </c>
      <c r="EV66" s="57">
        <f t="shared" si="371"/>
        <v>44094</v>
      </c>
      <c r="EW66" s="58">
        <f t="shared" si="371"/>
        <v>44095</v>
      </c>
      <c r="EX66" s="58">
        <f t="shared" si="371"/>
        <v>44096</v>
      </c>
      <c r="EY66" s="58">
        <f t="shared" si="371"/>
        <v>44097</v>
      </c>
      <c r="EZ66" s="58">
        <f t="shared" si="371"/>
        <v>44098</v>
      </c>
      <c r="FA66" s="58">
        <f t="shared" si="371"/>
        <v>44099</v>
      </c>
      <c r="FB66" s="58">
        <f t="shared" si="371"/>
        <v>44100</v>
      </c>
      <c r="FC66" s="57">
        <f t="shared" si="371"/>
        <v>44101</v>
      </c>
      <c r="FD66" s="58">
        <f t="shared" si="371"/>
        <v>44102</v>
      </c>
      <c r="FE66" s="58">
        <f t="shared" ref="FE66:HP66" si="372">FE38</f>
        <v>44103</v>
      </c>
      <c r="FF66" s="58">
        <f t="shared" si="372"/>
        <v>44104</v>
      </c>
      <c r="FG66" s="58">
        <f t="shared" si="372"/>
        <v>44105</v>
      </c>
      <c r="FH66" s="58">
        <f t="shared" si="372"/>
        <v>44106</v>
      </c>
      <c r="FI66" s="58">
        <f t="shared" si="372"/>
        <v>44107</v>
      </c>
      <c r="FJ66" s="57">
        <f t="shared" si="372"/>
        <v>44108</v>
      </c>
      <c r="FK66" s="58">
        <f t="shared" si="372"/>
        <v>44109</v>
      </c>
      <c r="FL66" s="58">
        <f t="shared" si="372"/>
        <v>44110</v>
      </c>
      <c r="FM66" s="58">
        <f t="shared" si="372"/>
        <v>44111</v>
      </c>
      <c r="FN66" s="58">
        <f t="shared" si="372"/>
        <v>44112</v>
      </c>
      <c r="FO66" s="58">
        <f t="shared" si="372"/>
        <v>44113</v>
      </c>
      <c r="FP66" s="58">
        <f t="shared" si="372"/>
        <v>44114</v>
      </c>
      <c r="FQ66" s="57">
        <f t="shared" si="372"/>
        <v>44115</v>
      </c>
      <c r="FR66" s="58">
        <f t="shared" si="372"/>
        <v>44116</v>
      </c>
      <c r="FS66" s="58">
        <f t="shared" si="372"/>
        <v>44117</v>
      </c>
      <c r="FT66" s="58">
        <f t="shared" si="372"/>
        <v>44118</v>
      </c>
      <c r="FU66" s="58">
        <f t="shared" si="372"/>
        <v>44119</v>
      </c>
      <c r="FV66" s="58">
        <f t="shared" si="372"/>
        <v>44120</v>
      </c>
      <c r="FW66" s="58">
        <f t="shared" si="372"/>
        <v>44121</v>
      </c>
      <c r="FX66" s="57">
        <f t="shared" si="372"/>
        <v>44122</v>
      </c>
      <c r="FY66" s="58">
        <f t="shared" si="372"/>
        <v>44123</v>
      </c>
      <c r="FZ66" s="58">
        <f t="shared" si="372"/>
        <v>44124</v>
      </c>
      <c r="GA66" s="58">
        <f t="shared" si="372"/>
        <v>44125</v>
      </c>
      <c r="GB66" s="58">
        <f t="shared" si="372"/>
        <v>44126</v>
      </c>
      <c r="GC66" s="58">
        <f t="shared" si="372"/>
        <v>44127</v>
      </c>
      <c r="GD66" s="58">
        <f t="shared" si="372"/>
        <v>44128</v>
      </c>
      <c r="GE66" s="57">
        <f t="shared" si="372"/>
        <v>44129</v>
      </c>
      <c r="GF66" s="58">
        <f t="shared" si="372"/>
        <v>44130</v>
      </c>
      <c r="GG66" s="58">
        <f t="shared" si="372"/>
        <v>44131</v>
      </c>
      <c r="GH66" s="58">
        <f t="shared" si="372"/>
        <v>44132</v>
      </c>
      <c r="GI66" s="58">
        <f t="shared" si="372"/>
        <v>44133</v>
      </c>
      <c r="GJ66" s="58">
        <f t="shared" si="372"/>
        <v>44134</v>
      </c>
      <c r="GK66" s="58">
        <f t="shared" si="372"/>
        <v>44135</v>
      </c>
      <c r="GL66" s="57">
        <f t="shared" si="372"/>
        <v>44136</v>
      </c>
      <c r="GM66" s="58">
        <f t="shared" si="372"/>
        <v>44137</v>
      </c>
      <c r="GN66" s="58">
        <f t="shared" si="372"/>
        <v>44138</v>
      </c>
      <c r="GO66" s="58">
        <f t="shared" si="372"/>
        <v>44139</v>
      </c>
      <c r="GP66" s="58">
        <f t="shared" si="372"/>
        <v>44140</v>
      </c>
      <c r="GQ66" s="58">
        <f t="shared" si="372"/>
        <v>44141</v>
      </c>
      <c r="GR66" s="58">
        <f t="shared" si="372"/>
        <v>44142</v>
      </c>
      <c r="GS66" s="57">
        <f t="shared" si="372"/>
        <v>44143</v>
      </c>
      <c r="GT66" s="58">
        <f t="shared" si="372"/>
        <v>44144</v>
      </c>
      <c r="GU66" s="58">
        <f t="shared" si="372"/>
        <v>44145</v>
      </c>
      <c r="GV66" s="58">
        <f t="shared" si="372"/>
        <v>44146</v>
      </c>
      <c r="GW66" s="58">
        <f t="shared" si="372"/>
        <v>44147</v>
      </c>
      <c r="GX66" s="58">
        <f t="shared" si="372"/>
        <v>44148</v>
      </c>
      <c r="GY66" s="58">
        <f t="shared" si="372"/>
        <v>44149</v>
      </c>
      <c r="GZ66" s="57">
        <f t="shared" si="372"/>
        <v>44150</v>
      </c>
      <c r="HA66" s="58">
        <f t="shared" si="372"/>
        <v>44151</v>
      </c>
      <c r="HB66" s="58">
        <f t="shared" si="372"/>
        <v>44152</v>
      </c>
      <c r="HC66" s="58">
        <f t="shared" si="372"/>
        <v>44153</v>
      </c>
      <c r="HD66" s="58">
        <f t="shared" si="372"/>
        <v>44154</v>
      </c>
      <c r="HE66" s="58">
        <f t="shared" si="372"/>
        <v>44155</v>
      </c>
      <c r="HF66" s="58">
        <f t="shared" si="372"/>
        <v>44156</v>
      </c>
      <c r="HG66" s="57">
        <f t="shared" si="372"/>
        <v>44157</v>
      </c>
      <c r="HH66" s="58">
        <f t="shared" si="372"/>
        <v>44158</v>
      </c>
      <c r="HI66" s="58">
        <f t="shared" si="372"/>
        <v>44159</v>
      </c>
      <c r="HJ66" s="58">
        <f t="shared" si="372"/>
        <v>44160</v>
      </c>
      <c r="HK66" s="58">
        <f t="shared" si="372"/>
        <v>44161</v>
      </c>
      <c r="HL66" s="58">
        <f t="shared" si="372"/>
        <v>44162</v>
      </c>
      <c r="HM66" s="58">
        <f t="shared" si="372"/>
        <v>44163</v>
      </c>
      <c r="HN66" s="57">
        <f t="shared" si="372"/>
        <v>44164</v>
      </c>
      <c r="HO66" s="58">
        <f t="shared" si="372"/>
        <v>44165</v>
      </c>
      <c r="HP66" s="58">
        <f t="shared" si="372"/>
        <v>44166</v>
      </c>
      <c r="HQ66" s="58">
        <f t="shared" ref="HQ66:KB66" si="373">HQ38</f>
        <v>44167</v>
      </c>
      <c r="HR66" s="58">
        <f t="shared" si="373"/>
        <v>44168</v>
      </c>
      <c r="HS66" s="58">
        <f t="shared" si="373"/>
        <v>44169</v>
      </c>
      <c r="HT66" s="58">
        <f t="shared" si="373"/>
        <v>44170</v>
      </c>
      <c r="HU66" s="57">
        <f t="shared" si="373"/>
        <v>44171</v>
      </c>
      <c r="HV66" s="58">
        <f t="shared" si="373"/>
        <v>44172</v>
      </c>
      <c r="HW66" s="58">
        <f t="shared" si="373"/>
        <v>44173</v>
      </c>
      <c r="HX66" s="58">
        <f t="shared" si="373"/>
        <v>44174</v>
      </c>
      <c r="HY66" s="58">
        <f t="shared" si="373"/>
        <v>44175</v>
      </c>
      <c r="HZ66" s="58">
        <f t="shared" si="373"/>
        <v>44176</v>
      </c>
      <c r="IA66" s="58">
        <f t="shared" si="373"/>
        <v>44177</v>
      </c>
      <c r="IB66" s="57">
        <f t="shared" si="373"/>
        <v>44178</v>
      </c>
      <c r="IC66" s="58">
        <f t="shared" si="373"/>
        <v>44179</v>
      </c>
      <c r="ID66" s="58">
        <f t="shared" si="373"/>
        <v>44180</v>
      </c>
      <c r="IE66" s="58">
        <f t="shared" si="373"/>
        <v>44181</v>
      </c>
      <c r="IF66" s="58">
        <f t="shared" si="373"/>
        <v>44182</v>
      </c>
      <c r="IG66" s="58">
        <f t="shared" si="373"/>
        <v>44183</v>
      </c>
      <c r="IH66" s="58">
        <f t="shared" si="373"/>
        <v>44184</v>
      </c>
      <c r="II66" s="57">
        <f t="shared" si="373"/>
        <v>44185</v>
      </c>
      <c r="IJ66" s="58">
        <f t="shared" si="373"/>
        <v>44186</v>
      </c>
      <c r="IK66" s="58">
        <f t="shared" si="373"/>
        <v>44187</v>
      </c>
      <c r="IL66" s="58">
        <f t="shared" si="373"/>
        <v>44188</v>
      </c>
      <c r="IM66" s="58">
        <f t="shared" si="373"/>
        <v>44189</v>
      </c>
      <c r="IN66" s="58">
        <f t="shared" si="373"/>
        <v>44190</v>
      </c>
      <c r="IO66" s="58">
        <f t="shared" si="373"/>
        <v>44191</v>
      </c>
      <c r="IP66" s="57">
        <f t="shared" si="373"/>
        <v>44192</v>
      </c>
      <c r="IQ66" s="58">
        <f t="shared" si="373"/>
        <v>44193</v>
      </c>
      <c r="IR66" s="58">
        <f t="shared" si="373"/>
        <v>44194</v>
      </c>
      <c r="IS66" s="58">
        <f t="shared" si="373"/>
        <v>44195</v>
      </c>
      <c r="IT66" s="58">
        <f t="shared" si="373"/>
        <v>44196</v>
      </c>
      <c r="IU66" s="58">
        <f t="shared" si="373"/>
        <v>44197</v>
      </c>
      <c r="IV66" s="58">
        <f t="shared" si="373"/>
        <v>44198</v>
      </c>
      <c r="IW66" s="57">
        <f t="shared" si="373"/>
        <v>44199</v>
      </c>
      <c r="IX66" s="58">
        <f t="shared" si="373"/>
        <v>44200</v>
      </c>
      <c r="IY66" s="58">
        <f t="shared" si="373"/>
        <v>44201</v>
      </c>
      <c r="IZ66" s="58">
        <f t="shared" si="373"/>
        <v>44202</v>
      </c>
      <c r="JA66" s="58">
        <f t="shared" si="373"/>
        <v>44203</v>
      </c>
      <c r="JB66" s="58">
        <f t="shared" si="373"/>
        <v>44204</v>
      </c>
      <c r="JC66" s="58">
        <f t="shared" si="373"/>
        <v>44205</v>
      </c>
      <c r="JD66" s="57">
        <f t="shared" si="373"/>
        <v>44206</v>
      </c>
      <c r="JE66" s="58">
        <f t="shared" si="373"/>
        <v>44207</v>
      </c>
      <c r="JF66" s="58">
        <f t="shared" si="373"/>
        <v>44208</v>
      </c>
      <c r="JG66" s="58">
        <f t="shared" si="373"/>
        <v>44209</v>
      </c>
      <c r="JH66" s="58">
        <f t="shared" si="373"/>
        <v>44210</v>
      </c>
      <c r="JI66" s="58">
        <f t="shared" si="373"/>
        <v>44211</v>
      </c>
      <c r="JJ66" s="58">
        <f t="shared" si="373"/>
        <v>44212</v>
      </c>
      <c r="JK66" s="57">
        <f t="shared" si="373"/>
        <v>44213</v>
      </c>
      <c r="JL66" s="58">
        <f t="shared" si="373"/>
        <v>44214</v>
      </c>
      <c r="JM66" s="58">
        <f t="shared" si="373"/>
        <v>44215</v>
      </c>
      <c r="JN66" s="58">
        <f t="shared" si="373"/>
        <v>44216</v>
      </c>
      <c r="JO66" s="58">
        <f t="shared" si="373"/>
        <v>44217</v>
      </c>
      <c r="JP66" s="58">
        <f t="shared" si="373"/>
        <v>44218</v>
      </c>
      <c r="JQ66" s="58">
        <f t="shared" si="373"/>
        <v>44219</v>
      </c>
      <c r="JR66" s="57">
        <f t="shared" si="373"/>
        <v>44220</v>
      </c>
      <c r="JS66" s="58">
        <f t="shared" si="373"/>
        <v>44221</v>
      </c>
      <c r="JT66" s="58">
        <f t="shared" si="373"/>
        <v>44222</v>
      </c>
      <c r="JU66" s="58">
        <f t="shared" si="373"/>
        <v>44223</v>
      </c>
      <c r="JV66" s="58">
        <f t="shared" si="373"/>
        <v>44224</v>
      </c>
      <c r="JW66" s="58">
        <f t="shared" si="373"/>
        <v>44225</v>
      </c>
      <c r="JX66" s="58">
        <f t="shared" si="373"/>
        <v>44226</v>
      </c>
      <c r="JY66" s="57">
        <f t="shared" si="373"/>
        <v>44227</v>
      </c>
      <c r="JZ66" s="58">
        <f t="shared" si="373"/>
        <v>44228</v>
      </c>
      <c r="KA66" s="58">
        <f t="shared" si="373"/>
        <v>44229</v>
      </c>
      <c r="KB66" s="58">
        <f t="shared" si="373"/>
        <v>44230</v>
      </c>
      <c r="KC66" s="58">
        <f t="shared" ref="KC66:MJ66" si="374">KC38</f>
        <v>44231</v>
      </c>
      <c r="KD66" s="58">
        <f t="shared" si="374"/>
        <v>44232</v>
      </c>
      <c r="KE66" s="58">
        <f t="shared" si="374"/>
        <v>44233</v>
      </c>
      <c r="KF66" s="57">
        <f t="shared" si="374"/>
        <v>44234</v>
      </c>
      <c r="KG66" s="58">
        <f t="shared" si="374"/>
        <v>44235</v>
      </c>
      <c r="KH66" s="58">
        <f t="shared" si="374"/>
        <v>44236</v>
      </c>
      <c r="KI66" s="58">
        <f t="shared" si="374"/>
        <v>44237</v>
      </c>
      <c r="KJ66" s="58">
        <f t="shared" si="374"/>
        <v>44238</v>
      </c>
      <c r="KK66" s="58">
        <f t="shared" si="374"/>
        <v>44239</v>
      </c>
      <c r="KL66" s="58">
        <f t="shared" si="374"/>
        <v>44240</v>
      </c>
      <c r="KM66" s="57">
        <f t="shared" si="374"/>
        <v>44241</v>
      </c>
      <c r="KN66" s="58">
        <f t="shared" si="374"/>
        <v>44242</v>
      </c>
      <c r="KO66" s="58">
        <f t="shared" si="374"/>
        <v>44243</v>
      </c>
      <c r="KP66" s="58">
        <f t="shared" si="374"/>
        <v>44244</v>
      </c>
      <c r="KQ66" s="58">
        <f t="shared" si="374"/>
        <v>44245</v>
      </c>
      <c r="KR66" s="58">
        <f t="shared" si="374"/>
        <v>44246</v>
      </c>
      <c r="KS66" s="58">
        <f t="shared" si="374"/>
        <v>44247</v>
      </c>
      <c r="KT66" s="57">
        <f t="shared" si="374"/>
        <v>44248</v>
      </c>
      <c r="KU66" s="58">
        <f t="shared" si="374"/>
        <v>44249</v>
      </c>
      <c r="KV66" s="58">
        <f t="shared" si="374"/>
        <v>44250</v>
      </c>
      <c r="KW66" s="58">
        <f t="shared" si="374"/>
        <v>44251</v>
      </c>
      <c r="KX66" s="58">
        <f t="shared" si="374"/>
        <v>44252</v>
      </c>
      <c r="KY66" s="58">
        <f t="shared" si="374"/>
        <v>44253</v>
      </c>
      <c r="KZ66" s="58">
        <f t="shared" si="374"/>
        <v>44254</v>
      </c>
      <c r="LA66" s="57">
        <f t="shared" si="374"/>
        <v>44255</v>
      </c>
      <c r="LB66" s="58">
        <f t="shared" si="374"/>
        <v>44256</v>
      </c>
      <c r="LC66" s="58">
        <f t="shared" si="374"/>
        <v>44257</v>
      </c>
      <c r="LD66" s="58">
        <f t="shared" si="374"/>
        <v>44258</v>
      </c>
      <c r="LE66" s="58">
        <f t="shared" si="374"/>
        <v>44259</v>
      </c>
      <c r="LF66" s="58">
        <f t="shared" si="374"/>
        <v>44260</v>
      </c>
      <c r="LG66" s="58">
        <f t="shared" si="374"/>
        <v>44261</v>
      </c>
      <c r="LH66" s="57">
        <f t="shared" si="374"/>
        <v>44262</v>
      </c>
      <c r="LI66" s="58">
        <f t="shared" si="374"/>
        <v>44263</v>
      </c>
      <c r="LJ66" s="58">
        <f t="shared" si="374"/>
        <v>44264</v>
      </c>
      <c r="LK66" s="58">
        <f t="shared" si="374"/>
        <v>44265</v>
      </c>
      <c r="LL66" s="58">
        <f t="shared" si="374"/>
        <v>44266</v>
      </c>
      <c r="LM66" s="58">
        <f t="shared" si="374"/>
        <v>44267</v>
      </c>
      <c r="LN66" s="58">
        <f t="shared" si="374"/>
        <v>44268</v>
      </c>
      <c r="LO66" s="57">
        <f t="shared" si="374"/>
        <v>44269</v>
      </c>
      <c r="LP66" s="58">
        <f t="shared" si="374"/>
        <v>44270</v>
      </c>
      <c r="LQ66" s="58">
        <f t="shared" si="374"/>
        <v>44271</v>
      </c>
      <c r="LR66" s="58">
        <f t="shared" si="374"/>
        <v>44272</v>
      </c>
      <c r="LS66" s="58">
        <f t="shared" si="374"/>
        <v>44273</v>
      </c>
      <c r="LT66" s="58">
        <f t="shared" si="374"/>
        <v>44274</v>
      </c>
      <c r="LU66" s="58">
        <f t="shared" si="374"/>
        <v>44275</v>
      </c>
      <c r="LV66" s="57">
        <f t="shared" si="374"/>
        <v>44276</v>
      </c>
      <c r="LW66" s="58">
        <f t="shared" si="374"/>
        <v>44277</v>
      </c>
      <c r="LX66" s="58">
        <f t="shared" si="374"/>
        <v>44278</v>
      </c>
      <c r="LY66" s="58">
        <f t="shared" si="374"/>
        <v>44279</v>
      </c>
      <c r="LZ66" s="58">
        <f t="shared" si="374"/>
        <v>44280</v>
      </c>
      <c r="MA66" s="58">
        <f t="shared" si="374"/>
        <v>44281</v>
      </c>
      <c r="MB66" s="58">
        <f t="shared" si="374"/>
        <v>44282</v>
      </c>
      <c r="MC66" s="57">
        <f t="shared" si="374"/>
        <v>44283</v>
      </c>
      <c r="MD66" s="58">
        <f t="shared" si="374"/>
        <v>44284</v>
      </c>
      <c r="ME66" s="58">
        <f t="shared" si="374"/>
        <v>44285</v>
      </c>
      <c r="MF66" s="58">
        <f t="shared" si="374"/>
        <v>44286</v>
      </c>
      <c r="MG66" s="58">
        <f t="shared" si="374"/>
        <v>44287</v>
      </c>
      <c r="MH66" s="58">
        <f t="shared" si="374"/>
        <v>44288</v>
      </c>
      <c r="MI66" s="58">
        <f t="shared" si="374"/>
        <v>44289</v>
      </c>
      <c r="MJ66" s="57">
        <f t="shared" si="374"/>
        <v>44290</v>
      </c>
    </row>
    <row r="67" spans="1:348" ht="15" customHeight="1" x14ac:dyDescent="0.25">
      <c r="A67" s="140"/>
      <c r="B67" s="140"/>
      <c r="C67" s="140"/>
      <c r="D67" s="140"/>
      <c r="E67" s="141"/>
      <c r="F67" s="28"/>
      <c r="G67" s="28"/>
      <c r="H67" s="28"/>
      <c r="I67" s="28"/>
      <c r="J67" s="28"/>
      <c r="K67" s="28"/>
      <c r="L67" s="28"/>
      <c r="M67" s="28"/>
      <c r="N67" s="28"/>
      <c r="O67" s="27"/>
      <c r="P67" s="143"/>
      <c r="Q67" s="151"/>
      <c r="R67" s="145"/>
      <c r="S67" s="24"/>
      <c r="T67" s="25"/>
      <c r="U67" s="25"/>
      <c r="V67" s="25"/>
      <c r="W67" s="25"/>
      <c r="X67" s="25"/>
      <c r="Y67" s="25"/>
      <c r="Z67" s="24"/>
      <c r="AA67" s="25"/>
      <c r="AB67" s="25"/>
      <c r="AC67" s="25"/>
      <c r="AD67" s="25"/>
      <c r="AE67" s="25"/>
      <c r="AF67" s="25"/>
      <c r="AG67" s="24"/>
      <c r="AH67" s="25"/>
      <c r="AI67" s="25" t="s">
        <v>38</v>
      </c>
      <c r="AJ67" s="25"/>
      <c r="AK67" s="25" t="s">
        <v>38</v>
      </c>
      <c r="AL67" s="25"/>
      <c r="AM67" s="25"/>
      <c r="AN67" s="24"/>
      <c r="AO67" s="25"/>
      <c r="AP67" s="25" t="s">
        <v>38</v>
      </c>
      <c r="AQ67" s="25"/>
      <c r="AR67" s="25" t="s">
        <v>38</v>
      </c>
      <c r="AS67" s="25"/>
      <c r="AT67" s="25"/>
      <c r="AU67" s="24"/>
      <c r="AV67" s="25"/>
      <c r="AW67" s="25" t="s">
        <v>38</v>
      </c>
      <c r="AX67" s="25" t="s">
        <v>263</v>
      </c>
      <c r="AY67" s="25" t="s">
        <v>38</v>
      </c>
      <c r="AZ67" s="25"/>
      <c r="BA67" s="25"/>
      <c r="BB67" s="24"/>
      <c r="BC67" s="25"/>
      <c r="BD67" s="25" t="s">
        <v>38</v>
      </c>
      <c r="BE67" s="25"/>
      <c r="BF67" s="25" t="s">
        <v>38</v>
      </c>
      <c r="BG67" s="25"/>
      <c r="BH67" s="25"/>
      <c r="BI67" s="24"/>
      <c r="BJ67" s="25"/>
      <c r="BK67" s="25" t="s">
        <v>38</v>
      </c>
      <c r="BL67" s="25"/>
      <c r="BM67" s="25" t="s">
        <v>38</v>
      </c>
      <c r="BN67" s="25"/>
      <c r="BO67" s="25"/>
      <c r="BP67" s="24" t="s">
        <v>148</v>
      </c>
      <c r="BQ67" s="25"/>
      <c r="BR67" s="25"/>
      <c r="BS67" s="25"/>
      <c r="BT67" s="25"/>
      <c r="BU67" s="25"/>
      <c r="BV67" s="25"/>
      <c r="BW67" s="25" t="s">
        <v>148</v>
      </c>
      <c r="BX67" s="25"/>
      <c r="BY67" s="24"/>
      <c r="BZ67" s="25"/>
      <c r="CA67" s="25"/>
      <c r="CB67" s="25"/>
      <c r="CC67" s="25"/>
      <c r="CD67" s="25"/>
      <c r="CE67" s="25"/>
      <c r="CF67" s="25"/>
      <c r="CG67" s="25"/>
      <c r="CH67" s="24"/>
      <c r="CI67" s="25"/>
      <c r="CJ67" s="25"/>
      <c r="CK67" s="25"/>
      <c r="CL67" s="25"/>
      <c r="CM67" s="25"/>
      <c r="CN67" s="25"/>
      <c r="CO67" s="25"/>
      <c r="CP67" s="25"/>
      <c r="CQ67" s="24"/>
      <c r="CR67" s="25"/>
      <c r="CS67" s="25"/>
      <c r="CT67" s="25"/>
      <c r="CU67" s="25"/>
      <c r="CV67" s="25"/>
      <c r="CW67" s="25"/>
      <c r="CX67" s="25"/>
      <c r="CY67" s="25"/>
      <c r="CZ67" s="24"/>
      <c r="DA67" s="25"/>
      <c r="DB67" s="25"/>
      <c r="DC67" s="25"/>
      <c r="DD67" s="25"/>
      <c r="DE67" s="25"/>
      <c r="DF67" s="25"/>
      <c r="DG67" s="25"/>
      <c r="DH67" s="25"/>
      <c r="DI67" s="24"/>
      <c r="DJ67" s="25"/>
      <c r="DK67" s="25"/>
      <c r="DL67" s="25"/>
      <c r="DM67" s="25"/>
      <c r="DN67" s="25"/>
      <c r="DO67" s="25"/>
      <c r="DP67" s="25"/>
      <c r="DQ67" s="25"/>
      <c r="DR67" s="24"/>
      <c r="DS67" s="25"/>
      <c r="DT67" s="25" t="s">
        <v>393</v>
      </c>
      <c r="DU67" s="25"/>
      <c r="DV67" s="25" t="s">
        <v>38</v>
      </c>
      <c r="DW67" s="25" t="s">
        <v>38</v>
      </c>
      <c r="DX67" s="25"/>
      <c r="DY67" s="25"/>
      <c r="DZ67" s="25"/>
      <c r="EA67" s="24"/>
      <c r="EB67" s="25"/>
      <c r="EC67" s="25" t="s">
        <v>38</v>
      </c>
      <c r="ED67" s="25"/>
      <c r="EE67" s="25" t="s">
        <v>38</v>
      </c>
      <c r="EF67" s="25" t="s">
        <v>38</v>
      </c>
      <c r="EG67" s="25"/>
      <c r="EH67" s="24"/>
      <c r="EI67" s="25"/>
      <c r="EJ67" s="25"/>
      <c r="EK67" s="25"/>
      <c r="EL67" s="25"/>
      <c r="EM67" s="25"/>
      <c r="EN67" s="25"/>
      <c r="EO67" s="24"/>
      <c r="EP67" s="25"/>
      <c r="EQ67" s="25" t="s">
        <v>38</v>
      </c>
      <c r="ER67" s="25"/>
      <c r="ES67" s="25" t="s">
        <v>38</v>
      </c>
      <c r="ET67" s="25"/>
      <c r="EU67" s="25"/>
      <c r="EV67" s="24"/>
      <c r="EW67" s="25"/>
      <c r="EX67" s="25" t="s">
        <v>38</v>
      </c>
      <c r="EY67" s="25"/>
      <c r="EZ67" s="25" t="s">
        <v>38</v>
      </c>
      <c r="FA67" s="25"/>
      <c r="FB67" s="25"/>
      <c r="FC67" s="24"/>
      <c r="FD67" s="25"/>
      <c r="FE67" s="25"/>
      <c r="FF67" s="25"/>
      <c r="FG67" s="25"/>
      <c r="FH67" s="25" t="s">
        <v>38</v>
      </c>
      <c r="FI67" s="25"/>
      <c r="FJ67" s="24"/>
      <c r="FK67" s="25"/>
      <c r="FL67" s="25" t="s">
        <v>38</v>
      </c>
      <c r="FM67" s="25"/>
      <c r="FN67" s="25" t="s">
        <v>38</v>
      </c>
      <c r="FO67" s="25"/>
      <c r="FP67" s="25"/>
      <c r="FQ67" s="24"/>
      <c r="FR67" s="25"/>
      <c r="FS67" s="25" t="s">
        <v>38</v>
      </c>
      <c r="FT67" s="25"/>
      <c r="FU67" s="25" t="s">
        <v>38</v>
      </c>
      <c r="FV67" s="25"/>
      <c r="FW67" s="25"/>
      <c r="FX67" s="24"/>
      <c r="FY67" s="25"/>
      <c r="FZ67" s="25" t="s">
        <v>38</v>
      </c>
      <c r="GA67" s="25"/>
      <c r="GB67" s="25" t="s">
        <v>38</v>
      </c>
      <c r="GC67" s="25"/>
      <c r="GD67" s="25"/>
      <c r="GE67" s="24"/>
      <c r="GF67" s="25"/>
      <c r="GG67" s="25" t="s">
        <v>38</v>
      </c>
      <c r="GH67" s="25"/>
      <c r="GI67" s="25" t="s">
        <v>38</v>
      </c>
      <c r="GJ67" s="25"/>
      <c r="GK67" s="25"/>
      <c r="GL67" s="24"/>
      <c r="GM67" s="25"/>
      <c r="GN67" s="25" t="s">
        <v>38</v>
      </c>
      <c r="GO67" s="25"/>
      <c r="GP67" s="25" t="s">
        <v>38</v>
      </c>
      <c r="GQ67" s="25"/>
      <c r="GR67" s="25"/>
      <c r="GS67" s="24"/>
      <c r="GT67" s="25"/>
      <c r="GU67" s="25" t="s">
        <v>38</v>
      </c>
      <c r="GV67" s="25"/>
      <c r="GW67" s="25" t="s">
        <v>38</v>
      </c>
      <c r="GX67" s="25"/>
      <c r="GY67" s="25"/>
      <c r="GZ67" s="24"/>
      <c r="HA67" s="25"/>
      <c r="HB67" s="25" t="s">
        <v>38</v>
      </c>
      <c r="HC67" s="25"/>
      <c r="HD67" s="25" t="s">
        <v>38</v>
      </c>
      <c r="HE67" s="25"/>
      <c r="HF67" s="25"/>
      <c r="HG67" s="24"/>
      <c r="HH67" s="25"/>
      <c r="HI67" s="25" t="s">
        <v>38</v>
      </c>
      <c r="HJ67" s="25"/>
      <c r="HK67" s="25" t="s">
        <v>38</v>
      </c>
      <c r="HL67" s="25"/>
      <c r="HM67" s="25"/>
      <c r="HN67" s="24"/>
      <c r="HO67" s="25"/>
      <c r="HP67" s="25" t="s">
        <v>38</v>
      </c>
      <c r="HQ67" s="25"/>
      <c r="HR67" s="25" t="s">
        <v>38</v>
      </c>
      <c r="HS67" s="25"/>
      <c r="HT67" s="25"/>
      <c r="HU67" s="24"/>
      <c r="HV67" s="25"/>
      <c r="HW67" s="25" t="s">
        <v>38</v>
      </c>
      <c r="HX67" s="25"/>
      <c r="HY67" s="25" t="s">
        <v>38</v>
      </c>
      <c r="HZ67" s="25"/>
      <c r="IA67" s="25"/>
      <c r="IB67" s="24"/>
      <c r="IC67" s="25"/>
      <c r="ID67" s="25" t="s">
        <v>38</v>
      </c>
      <c r="IE67" s="25"/>
      <c r="IF67" s="25" t="s">
        <v>38</v>
      </c>
      <c r="IG67" s="25"/>
      <c r="IH67" s="25"/>
      <c r="II67" s="24"/>
      <c r="IJ67" s="25"/>
      <c r="IK67" s="25" t="s">
        <v>38</v>
      </c>
      <c r="IL67" s="25"/>
      <c r="IM67" s="25" t="s">
        <v>38</v>
      </c>
      <c r="IN67" s="25"/>
      <c r="IO67" s="25"/>
      <c r="IP67" s="24"/>
      <c r="IQ67" s="25"/>
      <c r="IR67" s="25" t="s">
        <v>38</v>
      </c>
      <c r="IS67" s="25"/>
      <c r="IT67" s="25" t="s">
        <v>38</v>
      </c>
      <c r="IU67" s="25"/>
      <c r="IV67" s="25"/>
      <c r="IW67" s="24"/>
      <c r="IX67" s="25"/>
      <c r="IY67" s="25" t="s">
        <v>38</v>
      </c>
      <c r="IZ67" s="25"/>
      <c r="JA67" s="25" t="s">
        <v>38</v>
      </c>
      <c r="JB67" s="25"/>
      <c r="JC67" s="25"/>
      <c r="JD67" s="24"/>
      <c r="JE67" s="25"/>
      <c r="JF67" s="25" t="s">
        <v>38</v>
      </c>
      <c r="JG67" s="25"/>
      <c r="JH67" s="25" t="s">
        <v>38</v>
      </c>
      <c r="JI67" s="25"/>
      <c r="JJ67" s="25"/>
      <c r="JK67" s="24"/>
      <c r="JL67" s="25"/>
      <c r="JM67" s="25" t="s">
        <v>38</v>
      </c>
      <c r="JN67" s="25"/>
      <c r="JO67" s="25" t="s">
        <v>38</v>
      </c>
      <c r="JP67" s="25"/>
      <c r="JQ67" s="25"/>
      <c r="JR67" s="24"/>
      <c r="JS67" s="25"/>
      <c r="JT67" s="25" t="s">
        <v>38</v>
      </c>
      <c r="JU67" s="25"/>
      <c r="JV67" s="25" t="s">
        <v>38</v>
      </c>
      <c r="JW67" s="25"/>
      <c r="JX67" s="25"/>
      <c r="JY67" s="24"/>
      <c r="JZ67" s="25"/>
      <c r="KA67" s="25" t="s">
        <v>38</v>
      </c>
      <c r="KB67" s="25"/>
      <c r="KC67" s="25" t="s">
        <v>38</v>
      </c>
      <c r="KD67" s="25"/>
      <c r="KE67" s="25"/>
      <c r="KF67" s="24"/>
      <c r="KG67" s="25"/>
      <c r="KH67" s="25" t="s">
        <v>38</v>
      </c>
      <c r="KI67" s="25"/>
      <c r="KJ67" s="25" t="s">
        <v>38</v>
      </c>
      <c r="KK67" s="25"/>
      <c r="KL67" s="25"/>
      <c r="KM67" s="24"/>
      <c r="KN67" s="25"/>
      <c r="KO67" s="25" t="s">
        <v>38</v>
      </c>
      <c r="KP67" s="25"/>
      <c r="KQ67" s="25" t="s">
        <v>38</v>
      </c>
      <c r="KR67" s="25"/>
      <c r="KS67" s="25"/>
      <c r="KT67" s="24"/>
      <c r="KU67" s="25"/>
      <c r="KV67" s="25" t="s">
        <v>38</v>
      </c>
      <c r="KW67" s="25"/>
      <c r="KX67" s="25" t="s">
        <v>38</v>
      </c>
      <c r="KY67" s="25"/>
      <c r="KZ67" s="25"/>
      <c r="LA67" s="24"/>
      <c r="LB67" s="25"/>
      <c r="LC67" s="25" t="s">
        <v>38</v>
      </c>
      <c r="LD67" s="25"/>
      <c r="LE67" s="25" t="s">
        <v>38</v>
      </c>
      <c r="LF67" s="25"/>
      <c r="LG67" s="25"/>
      <c r="LH67" s="26"/>
      <c r="LI67" s="25"/>
      <c r="LJ67" s="25" t="s">
        <v>38</v>
      </c>
      <c r="LK67" s="25"/>
      <c r="LL67" s="25" t="s">
        <v>38</v>
      </c>
      <c r="LM67" s="25"/>
      <c r="LN67" s="25"/>
      <c r="LO67" s="24"/>
      <c r="LP67" s="25"/>
      <c r="LQ67" s="25"/>
      <c r="LR67" s="25"/>
      <c r="LS67" s="25"/>
      <c r="LT67" s="25"/>
      <c r="LU67" s="25"/>
      <c r="LV67" s="24"/>
      <c r="LW67" s="25"/>
      <c r="LX67" s="25"/>
      <c r="LY67" s="25"/>
      <c r="LZ67" s="25"/>
      <c r="MA67" s="25"/>
      <c r="MB67" s="25"/>
      <c r="MC67" s="24"/>
      <c r="MD67" s="25"/>
      <c r="ME67" s="25"/>
      <c r="MF67" s="25"/>
      <c r="MG67" s="25"/>
      <c r="MH67" s="25"/>
      <c r="MI67" s="25"/>
      <c r="MJ67" s="24"/>
    </row>
    <row r="68" spans="1:348" x14ac:dyDescent="0.25">
      <c r="A68" s="23" t="s">
        <v>16</v>
      </c>
      <c r="B68" s="20"/>
      <c r="C68" s="20"/>
      <c r="D68" s="20"/>
      <c r="E68" s="20"/>
      <c r="F68" s="22" t="str">
        <f t="shared" ref="F68:F73" si="375">IF($E68 &gt;= F$41, 1, "")</f>
        <v/>
      </c>
      <c r="G68" s="20"/>
      <c r="H68" s="20"/>
      <c r="I68" s="20" t="str">
        <f t="shared" ref="I68:L69" si="376">IF($E68 &gt;= I$41, 1, "")</f>
        <v/>
      </c>
      <c r="J68" s="20" t="str">
        <f t="shared" si="376"/>
        <v/>
      </c>
      <c r="K68" s="20" t="str">
        <f t="shared" si="376"/>
        <v/>
      </c>
      <c r="L68" s="20" t="str">
        <f t="shared" si="376"/>
        <v/>
      </c>
      <c r="M68" s="20"/>
      <c r="N68" s="20"/>
      <c r="O68" s="21"/>
      <c r="P68" s="20" t="str">
        <f t="shared" ref="P68:P73" si="377">IF(SUM(S68:MJ68) &gt; 0, SUM(S68:MJ68), "")</f>
        <v/>
      </c>
      <c r="Q68" s="118"/>
      <c r="R68" s="82"/>
      <c r="S68" s="21"/>
      <c r="T68" s="20"/>
      <c r="U68" s="20"/>
      <c r="V68" s="20"/>
      <c r="W68" s="20"/>
      <c r="X68" s="20"/>
      <c r="Y68" s="20"/>
      <c r="Z68" s="21"/>
      <c r="AA68" s="20"/>
      <c r="AB68" s="20"/>
      <c r="AC68" s="20"/>
      <c r="AD68" s="20"/>
      <c r="AE68" s="20"/>
      <c r="AF68" s="20"/>
      <c r="AG68" s="21"/>
      <c r="AH68" s="20"/>
      <c r="AI68" s="20"/>
      <c r="AJ68" s="20"/>
      <c r="AK68" s="20"/>
      <c r="AL68" s="20"/>
      <c r="AM68" s="20"/>
      <c r="AN68" s="21"/>
      <c r="AO68" s="20"/>
      <c r="AP68" s="20"/>
      <c r="AQ68" s="20"/>
      <c r="AR68" s="20"/>
      <c r="AS68" s="20"/>
      <c r="AT68" s="20"/>
      <c r="AU68" s="21"/>
      <c r="AV68" s="20"/>
      <c r="AW68" s="20"/>
      <c r="AX68" s="20"/>
      <c r="AY68" s="20"/>
      <c r="AZ68" s="20"/>
      <c r="BA68" s="20"/>
      <c r="BB68" s="21"/>
      <c r="BC68" s="20"/>
      <c r="BD68" s="20"/>
      <c r="BE68" s="20"/>
      <c r="BF68" s="20"/>
      <c r="BG68" s="20"/>
      <c r="BH68" s="20"/>
      <c r="BI68" s="21"/>
      <c r="BJ68" s="20"/>
      <c r="BK68" s="20"/>
      <c r="BL68" s="20"/>
      <c r="BM68" s="20"/>
      <c r="BN68" s="20"/>
      <c r="BO68" s="20"/>
      <c r="BP68" s="21"/>
      <c r="BQ68" s="20"/>
      <c r="BR68" s="20"/>
      <c r="BS68" s="20"/>
      <c r="BT68" s="20"/>
      <c r="BU68" s="20"/>
      <c r="BV68" s="20"/>
      <c r="BW68" s="20"/>
      <c r="BX68" s="20"/>
      <c r="BY68" s="21"/>
      <c r="BZ68" s="20"/>
      <c r="CA68" s="20"/>
      <c r="CB68" s="20"/>
      <c r="CC68" s="20"/>
      <c r="CD68" s="20"/>
      <c r="CE68" s="20"/>
      <c r="CF68" s="20"/>
      <c r="CG68" s="20"/>
      <c r="CH68" s="21"/>
      <c r="CI68" s="20"/>
      <c r="CJ68" s="20"/>
      <c r="CK68" s="20"/>
      <c r="CL68" s="20"/>
      <c r="CM68" s="20"/>
      <c r="CN68" s="20"/>
      <c r="CO68" s="20"/>
      <c r="CP68" s="20"/>
      <c r="CQ68" s="21"/>
      <c r="CR68" s="20"/>
      <c r="CS68" s="20"/>
      <c r="CT68" s="20"/>
      <c r="CU68" s="20"/>
      <c r="CV68" s="20"/>
      <c r="CW68" s="20"/>
      <c r="CX68" s="20"/>
      <c r="CY68" s="20"/>
      <c r="CZ68" s="21"/>
      <c r="DA68" s="20"/>
      <c r="DB68" s="20"/>
      <c r="DC68" s="20"/>
      <c r="DD68" s="20"/>
      <c r="DE68" s="20"/>
      <c r="DF68" s="20"/>
      <c r="DG68" s="20"/>
      <c r="DH68" s="20"/>
      <c r="DI68" s="21"/>
      <c r="DJ68" s="20"/>
      <c r="DK68" s="20"/>
      <c r="DL68" s="20"/>
      <c r="DM68" s="20"/>
      <c r="DN68" s="20"/>
      <c r="DO68" s="20"/>
      <c r="DP68" s="20"/>
      <c r="DQ68" s="20"/>
      <c r="DR68" s="21"/>
      <c r="DS68" s="20"/>
      <c r="DT68" s="20"/>
      <c r="DU68" s="20"/>
      <c r="DV68" s="20"/>
      <c r="DW68" s="20"/>
      <c r="DX68" s="20"/>
      <c r="DY68" s="20"/>
      <c r="DZ68" s="20"/>
      <c r="EA68" s="21"/>
      <c r="EB68" s="20"/>
      <c r="EC68" s="20"/>
      <c r="ED68" s="20"/>
      <c r="EE68" s="20"/>
      <c r="EF68" s="20"/>
      <c r="EG68" s="20"/>
      <c r="EH68" s="21"/>
      <c r="EI68" s="20"/>
      <c r="EJ68" s="20"/>
      <c r="EK68" s="20"/>
      <c r="EL68" s="20"/>
      <c r="EM68" s="20"/>
      <c r="EN68" s="20"/>
      <c r="EO68" s="21"/>
      <c r="EP68" s="20"/>
      <c r="EQ68" s="20"/>
      <c r="ER68" s="20"/>
      <c r="ES68" s="20"/>
      <c r="ET68" s="20"/>
      <c r="EU68" s="20"/>
      <c r="EV68" s="21"/>
      <c r="EW68" s="20"/>
      <c r="EX68" s="20"/>
      <c r="EY68" s="20"/>
      <c r="EZ68" s="20"/>
      <c r="FA68" s="20"/>
      <c r="FB68" s="20"/>
      <c r="FC68" s="21"/>
      <c r="FD68" s="20"/>
      <c r="FE68" s="20"/>
      <c r="FF68" s="20"/>
      <c r="FG68" s="20"/>
      <c r="FH68" s="20"/>
      <c r="FI68" s="20"/>
      <c r="FJ68" s="21"/>
      <c r="FK68" s="20"/>
      <c r="FL68" s="20"/>
      <c r="FM68" s="20"/>
      <c r="FN68" s="20"/>
      <c r="FO68" s="20"/>
      <c r="FP68" s="20"/>
      <c r="FQ68" s="21"/>
      <c r="FR68" s="20"/>
      <c r="FS68" s="20"/>
      <c r="FT68" s="20"/>
      <c r="FU68" s="20"/>
      <c r="FV68" s="20"/>
      <c r="FW68" s="20"/>
      <c r="FX68" s="21"/>
      <c r="FY68" s="20"/>
      <c r="FZ68" s="20"/>
      <c r="GA68" s="20"/>
      <c r="GB68" s="20"/>
      <c r="GC68" s="20"/>
      <c r="GD68" s="20"/>
      <c r="GE68" s="21"/>
      <c r="GF68" s="20"/>
      <c r="GG68" s="20"/>
      <c r="GH68" s="20"/>
      <c r="GI68" s="20"/>
      <c r="GJ68" s="20"/>
      <c r="GK68" s="20"/>
      <c r="GL68" s="21"/>
      <c r="GM68" s="20"/>
      <c r="GN68" s="20"/>
      <c r="GO68" s="20"/>
      <c r="GP68" s="20"/>
      <c r="GQ68" s="20"/>
      <c r="GR68" s="20"/>
      <c r="GS68" s="21"/>
      <c r="GT68" s="20"/>
      <c r="GU68" s="20"/>
      <c r="GV68" s="20"/>
      <c r="GW68" s="20"/>
      <c r="GX68" s="20"/>
      <c r="GY68" s="20"/>
      <c r="GZ68" s="21"/>
      <c r="HA68" s="20"/>
      <c r="HB68" s="20"/>
      <c r="HC68" s="20"/>
      <c r="HD68" s="20"/>
      <c r="HE68" s="20"/>
      <c r="HF68" s="20"/>
      <c r="HG68" s="21"/>
      <c r="HH68" s="20"/>
      <c r="HI68" s="20"/>
      <c r="HJ68" s="20"/>
      <c r="HK68" s="20"/>
      <c r="HL68" s="20"/>
      <c r="HM68" s="20"/>
      <c r="HN68" s="21"/>
      <c r="HO68" s="20"/>
      <c r="HP68" s="20"/>
      <c r="HQ68" s="20"/>
      <c r="HR68" s="20"/>
      <c r="HS68" s="20"/>
      <c r="HT68" s="20"/>
      <c r="HU68" s="21"/>
      <c r="HV68" s="20"/>
      <c r="HW68" s="20"/>
      <c r="HX68" s="20"/>
      <c r="HY68" s="20"/>
      <c r="HZ68" s="20"/>
      <c r="IA68" s="20"/>
      <c r="IB68" s="21"/>
      <c r="IC68" s="20"/>
      <c r="ID68" s="20"/>
      <c r="IE68" s="20"/>
      <c r="IF68" s="20"/>
      <c r="IG68" s="20"/>
      <c r="IH68" s="20"/>
      <c r="II68" s="21"/>
      <c r="IJ68" s="20"/>
      <c r="IK68" s="20"/>
      <c r="IL68" s="20"/>
      <c r="IM68" s="20"/>
      <c r="IN68" s="20"/>
      <c r="IO68" s="20"/>
      <c r="IP68" s="21"/>
      <c r="IQ68" s="20"/>
      <c r="IR68" s="20"/>
      <c r="IS68" s="20"/>
      <c r="IT68" s="20"/>
      <c r="IU68" s="20"/>
      <c r="IV68" s="20"/>
      <c r="IW68" s="21"/>
      <c r="IX68" s="20"/>
      <c r="IY68" s="20"/>
      <c r="IZ68" s="20"/>
      <c r="JA68" s="20"/>
      <c r="JB68" s="20"/>
      <c r="JC68" s="20"/>
      <c r="JD68" s="21"/>
      <c r="JE68" s="20"/>
      <c r="JF68" s="20"/>
      <c r="JG68" s="20"/>
      <c r="JH68" s="20"/>
      <c r="JI68" s="20"/>
      <c r="JJ68" s="20"/>
      <c r="JK68" s="21"/>
      <c r="JL68" s="20"/>
      <c r="JM68" s="20"/>
      <c r="JN68" s="20"/>
      <c r="JO68" s="20"/>
      <c r="JP68" s="20"/>
      <c r="JQ68" s="20"/>
      <c r="JR68" s="21"/>
      <c r="JS68" s="20"/>
      <c r="JT68" s="20"/>
      <c r="JU68" s="20"/>
      <c r="JV68" s="20"/>
      <c r="JW68" s="20"/>
      <c r="JX68" s="20"/>
      <c r="JY68" s="21"/>
      <c r="JZ68" s="20"/>
      <c r="KA68" s="20"/>
      <c r="KB68" s="20"/>
      <c r="KC68" s="20"/>
      <c r="KD68" s="20"/>
      <c r="KE68" s="20"/>
      <c r="KF68" s="21"/>
      <c r="KG68" s="20"/>
      <c r="KH68" s="20"/>
      <c r="KI68" s="20"/>
      <c r="KJ68" s="20"/>
      <c r="KK68" s="20"/>
      <c r="KL68" s="20"/>
      <c r="KM68" s="21"/>
      <c r="KN68" s="20"/>
      <c r="KO68" s="20"/>
      <c r="KP68" s="20"/>
      <c r="KQ68" s="20"/>
      <c r="KR68" s="20"/>
      <c r="KS68" s="20"/>
      <c r="KT68" s="21"/>
      <c r="KU68" s="20"/>
      <c r="KV68" s="20"/>
      <c r="KW68" s="20"/>
      <c r="KX68" s="20"/>
      <c r="KY68" s="20"/>
      <c r="KZ68" s="20"/>
      <c r="LA68" s="21"/>
      <c r="LB68" s="20"/>
      <c r="LC68" s="20"/>
      <c r="LD68" s="20"/>
      <c r="LE68" s="20"/>
      <c r="LF68" s="20"/>
      <c r="LG68" s="20"/>
      <c r="LH68" s="21"/>
      <c r="LI68" s="20"/>
      <c r="LJ68" s="20"/>
      <c r="LK68" s="20"/>
      <c r="LL68" s="20"/>
      <c r="LM68" s="20"/>
      <c r="LN68" s="20"/>
      <c r="LO68" s="21"/>
      <c r="LP68" s="20"/>
      <c r="LQ68" s="20"/>
      <c r="LR68" s="20"/>
      <c r="LS68" s="20"/>
      <c r="LT68" s="20"/>
      <c r="LU68" s="20"/>
      <c r="LV68" s="21"/>
      <c r="LW68" s="20"/>
      <c r="LX68" s="20"/>
      <c r="LY68" s="20"/>
      <c r="LZ68" s="20"/>
      <c r="MA68" s="20"/>
      <c r="MB68" s="20"/>
      <c r="MC68" s="21"/>
      <c r="MD68" s="20"/>
      <c r="ME68" s="20"/>
      <c r="MF68" s="20"/>
      <c r="MG68" s="20"/>
      <c r="MH68" s="20"/>
      <c r="MI68" s="20"/>
      <c r="MJ68" s="21"/>
    </row>
    <row r="69" spans="1:348" ht="7.5" customHeight="1" x14ac:dyDescent="0.25">
      <c r="A69" s="8"/>
      <c r="B69" s="8"/>
      <c r="C69" s="8"/>
      <c r="D69" s="8"/>
      <c r="E69" s="8"/>
      <c r="F69" s="10" t="str">
        <f t="shared" si="375"/>
        <v/>
      </c>
      <c r="G69" s="19"/>
      <c r="H69" s="19"/>
      <c r="I69" s="19" t="str">
        <f t="shared" si="376"/>
        <v/>
      </c>
      <c r="J69" s="19" t="str">
        <f t="shared" si="376"/>
        <v/>
      </c>
      <c r="K69" s="19" t="str">
        <f t="shared" si="376"/>
        <v/>
      </c>
      <c r="L69" s="19" t="str">
        <f t="shared" si="376"/>
        <v/>
      </c>
      <c r="M69" s="8"/>
      <c r="N69" s="8"/>
      <c r="O69" s="9"/>
      <c r="P69" s="8" t="str">
        <f t="shared" si="377"/>
        <v/>
      </c>
      <c r="Q69" s="109" t="str">
        <f t="shared" ref="Q69:Q74" si="378">IF(SUM(S69:XFD69) &gt; 0, SUM(S69:XFD69) / $P$75 * 100, "")</f>
        <v/>
      </c>
      <c r="R69" s="84"/>
      <c r="S69" s="7"/>
      <c r="Z69" s="7"/>
      <c r="AG69" s="7"/>
      <c r="AN69" s="7"/>
      <c r="AU69" s="7"/>
      <c r="BB69" s="7"/>
      <c r="BI69" s="7"/>
      <c r="BP69" s="7"/>
      <c r="BY69" s="7"/>
      <c r="CH69" s="7"/>
      <c r="CQ69" s="7"/>
      <c r="CZ69" s="7"/>
      <c r="DI69" s="7"/>
      <c r="DR69" s="7"/>
      <c r="EA69" s="7"/>
      <c r="EH69" s="7"/>
      <c r="EO69" s="7"/>
      <c r="EV69" s="7"/>
      <c r="FC69" s="7"/>
      <c r="FJ69" s="7"/>
      <c r="FQ69" s="7"/>
      <c r="FX69" s="7"/>
      <c r="GE69" s="7"/>
      <c r="GL69" s="7"/>
      <c r="GS69" s="7"/>
      <c r="GZ69" s="7"/>
      <c r="HG69" s="7"/>
      <c r="HN69" s="7"/>
      <c r="HU69" s="7"/>
      <c r="IB69" s="7"/>
      <c r="II69" s="7"/>
      <c r="IP69" s="7"/>
      <c r="IW69" s="7"/>
      <c r="JD69" s="7"/>
      <c r="JK69" s="7"/>
      <c r="JR69" s="7"/>
      <c r="JY69" s="7"/>
      <c r="KF69" s="7"/>
      <c r="KM69" s="7"/>
      <c r="KT69" s="7"/>
      <c r="LA69" s="7"/>
      <c r="LH69" s="7"/>
      <c r="LO69" s="7"/>
      <c r="LV69" s="7"/>
      <c r="MC69" s="7"/>
      <c r="MJ69" s="7"/>
    </row>
    <row r="70" spans="1:348" x14ac:dyDescent="0.25">
      <c r="A70" s="8" t="s">
        <v>37</v>
      </c>
      <c r="B70" s="8"/>
      <c r="C70" s="8" t="s">
        <v>36</v>
      </c>
      <c r="D70" s="8" t="s">
        <v>35</v>
      </c>
      <c r="E70" s="18">
        <v>39448</v>
      </c>
      <c r="F70" s="10">
        <f t="shared" si="375"/>
        <v>1</v>
      </c>
      <c r="G70" s="19">
        <f t="shared" ref="G70:H73" si="379">IF($E70 &gt;= G$41, 1, "")</f>
        <v>1</v>
      </c>
      <c r="H70" s="19">
        <f t="shared" si="379"/>
        <v>1</v>
      </c>
      <c r="I70" s="8">
        <f t="shared" ref="I70:L73" si="380">IF($E70 &gt;= I$41, 1, "")</f>
        <v>1</v>
      </c>
      <c r="J70" s="8">
        <f t="shared" si="380"/>
        <v>1</v>
      </c>
      <c r="K70" s="8" t="str">
        <f t="shared" si="380"/>
        <v/>
      </c>
      <c r="L70" s="8" t="str">
        <f t="shared" si="380"/>
        <v/>
      </c>
      <c r="M70" s="8"/>
      <c r="N70" s="8"/>
      <c r="O70" s="9"/>
      <c r="P70" s="8">
        <f t="shared" si="377"/>
        <v>8</v>
      </c>
      <c r="Q70" s="109">
        <f t="shared" si="378"/>
        <v>47.058823529411761</v>
      </c>
      <c r="R70" s="84"/>
      <c r="S70" s="7"/>
      <c r="Z70" s="7"/>
      <c r="AG70" s="7"/>
      <c r="AK70">
        <v>1</v>
      </c>
      <c r="AN70" s="7"/>
      <c r="AP70">
        <v>1</v>
      </c>
      <c r="AU70" s="7"/>
      <c r="AW70">
        <v>1</v>
      </c>
      <c r="BB70" s="7"/>
      <c r="BD70">
        <v>1</v>
      </c>
      <c r="BI70" s="7"/>
      <c r="BK70">
        <v>1</v>
      </c>
      <c r="BM70">
        <v>1</v>
      </c>
      <c r="BN70">
        <v>1</v>
      </c>
      <c r="BP70" s="7"/>
      <c r="BW70">
        <v>1</v>
      </c>
      <c r="BY70" s="7"/>
      <c r="CH70" s="7"/>
      <c r="CQ70" s="7"/>
      <c r="CZ70" s="7"/>
      <c r="DI70" s="7"/>
      <c r="DR70" s="7"/>
      <c r="EA70" s="7"/>
      <c r="EH70" s="7"/>
      <c r="EO70" s="7"/>
      <c r="EV70" s="7"/>
      <c r="FC70" s="7"/>
      <c r="FJ70" s="7"/>
      <c r="FQ70" s="7"/>
      <c r="FX70" s="7"/>
      <c r="GE70" s="7"/>
      <c r="GL70" s="7"/>
      <c r="GS70" s="7"/>
      <c r="GZ70" s="7"/>
      <c r="HG70" s="7"/>
      <c r="HN70" s="7"/>
      <c r="HU70" s="7"/>
      <c r="IB70" s="7"/>
      <c r="II70" s="7"/>
      <c r="IP70" s="7"/>
      <c r="IW70" s="7"/>
      <c r="JD70" s="7"/>
      <c r="JK70" s="7"/>
      <c r="JR70" s="7"/>
      <c r="JY70" s="7"/>
      <c r="KF70" s="7"/>
      <c r="KM70" s="7"/>
      <c r="KT70" s="7"/>
      <c r="LA70" s="7"/>
      <c r="LH70" s="7"/>
      <c r="LO70" s="7"/>
      <c r="LV70" s="7"/>
      <c r="MC70" s="7"/>
      <c r="MJ70" s="7"/>
    </row>
    <row r="71" spans="1:348" x14ac:dyDescent="0.25">
      <c r="A71" s="8" t="s">
        <v>34</v>
      </c>
      <c r="B71" s="8"/>
      <c r="C71" s="8" t="s">
        <v>33</v>
      </c>
      <c r="D71" s="8" t="s">
        <v>32</v>
      </c>
      <c r="E71" s="18">
        <v>39649</v>
      </c>
      <c r="F71" s="10">
        <f t="shared" si="375"/>
        <v>1</v>
      </c>
      <c r="G71" s="19">
        <f t="shared" si="379"/>
        <v>1</v>
      </c>
      <c r="H71" s="19">
        <f t="shared" si="379"/>
        <v>1</v>
      </c>
      <c r="I71" s="8">
        <f t="shared" si="380"/>
        <v>1</v>
      </c>
      <c r="J71" s="8">
        <f t="shared" si="380"/>
        <v>1</v>
      </c>
      <c r="K71" s="8" t="str">
        <f t="shared" si="380"/>
        <v/>
      </c>
      <c r="L71" s="8" t="str">
        <f t="shared" si="380"/>
        <v/>
      </c>
      <c r="M71" s="8"/>
      <c r="N71" s="8"/>
      <c r="O71" s="9"/>
      <c r="P71" s="8" t="str">
        <f t="shared" si="377"/>
        <v/>
      </c>
      <c r="Q71" s="109" t="str">
        <f t="shared" si="378"/>
        <v/>
      </c>
      <c r="R71" s="84"/>
      <c r="S71" s="7"/>
      <c r="Z71" s="7"/>
      <c r="AG71" s="7"/>
      <c r="AN71" s="7"/>
      <c r="AU71" s="7"/>
      <c r="BB71" s="7"/>
      <c r="BI71" s="7"/>
      <c r="BP71" s="7"/>
      <c r="BY71" s="7"/>
      <c r="CH71" s="7"/>
      <c r="CQ71" s="7"/>
      <c r="CZ71" s="7"/>
      <c r="DI71" s="7"/>
      <c r="DR71" s="7"/>
      <c r="EA71" s="7"/>
      <c r="EH71" s="7"/>
      <c r="EO71" s="7"/>
      <c r="EV71" s="7"/>
      <c r="FC71" s="7"/>
      <c r="FJ71" s="7"/>
      <c r="FQ71" s="7"/>
      <c r="FX71" s="7"/>
      <c r="GE71" s="7"/>
      <c r="GL71" s="7"/>
      <c r="GS71" s="7"/>
      <c r="GZ71" s="7"/>
      <c r="HG71" s="7"/>
      <c r="HN71" s="7"/>
      <c r="HU71" s="7"/>
      <c r="IB71" s="7"/>
      <c r="II71" s="7"/>
      <c r="IP71" s="7"/>
      <c r="IW71" s="7"/>
      <c r="JD71" s="7"/>
      <c r="JK71" s="7"/>
      <c r="JR71" s="7"/>
      <c r="JY71" s="7"/>
      <c r="KF71" s="7"/>
      <c r="KM71" s="7"/>
      <c r="KT71" s="7"/>
      <c r="LA71" s="7"/>
      <c r="LH71" s="7"/>
      <c r="LO71" s="7"/>
      <c r="LV71" s="7"/>
      <c r="MC71" s="7"/>
      <c r="MJ71" s="7"/>
    </row>
    <row r="72" spans="1:348" x14ac:dyDescent="0.25">
      <c r="A72" s="8" t="s">
        <v>31</v>
      </c>
      <c r="B72" s="8"/>
      <c r="C72" s="8" t="s">
        <v>30</v>
      </c>
      <c r="D72" s="8" t="s">
        <v>29</v>
      </c>
      <c r="E72" s="18">
        <v>39453</v>
      </c>
      <c r="F72" s="10">
        <f t="shared" si="375"/>
        <v>1</v>
      </c>
      <c r="G72" s="19">
        <f t="shared" si="379"/>
        <v>1</v>
      </c>
      <c r="H72" s="19">
        <f t="shared" si="379"/>
        <v>1</v>
      </c>
      <c r="I72" s="8">
        <f t="shared" si="380"/>
        <v>1</v>
      </c>
      <c r="J72" s="8">
        <f t="shared" si="380"/>
        <v>1</v>
      </c>
      <c r="K72" s="8" t="str">
        <f t="shared" si="380"/>
        <v/>
      </c>
      <c r="L72" s="8" t="str">
        <f t="shared" si="380"/>
        <v/>
      </c>
      <c r="M72" s="8"/>
      <c r="N72" s="8"/>
      <c r="O72" s="9"/>
      <c r="P72" s="8">
        <f t="shared" si="377"/>
        <v>11</v>
      </c>
      <c r="Q72" s="109">
        <f t="shared" si="378"/>
        <v>64.705882352941174</v>
      </c>
      <c r="R72" s="84"/>
      <c r="S72" s="7"/>
      <c r="Z72" s="7"/>
      <c r="AG72" s="7"/>
      <c r="AK72">
        <v>1</v>
      </c>
      <c r="AN72" s="7"/>
      <c r="AR72">
        <v>1</v>
      </c>
      <c r="AU72" s="7"/>
      <c r="BB72" s="7"/>
      <c r="BD72">
        <v>1</v>
      </c>
      <c r="BF72">
        <v>1</v>
      </c>
      <c r="BI72" s="7"/>
      <c r="BK72">
        <v>1</v>
      </c>
      <c r="BM72">
        <v>1</v>
      </c>
      <c r="BN72">
        <v>1</v>
      </c>
      <c r="BP72" s="7">
        <v>1</v>
      </c>
      <c r="BW72">
        <v>1</v>
      </c>
      <c r="BY72" s="7"/>
      <c r="CH72" s="7"/>
      <c r="CQ72" s="7"/>
      <c r="CZ72" s="7"/>
      <c r="DI72" s="7"/>
      <c r="DR72" s="7"/>
      <c r="DT72">
        <v>1</v>
      </c>
      <c r="DV72">
        <v>1</v>
      </c>
      <c r="EA72" s="7"/>
      <c r="EH72" s="7"/>
      <c r="EO72" s="7"/>
      <c r="EV72" s="7"/>
      <c r="FC72" s="7"/>
      <c r="FJ72" s="7"/>
      <c r="FQ72" s="7"/>
      <c r="FX72" s="7"/>
      <c r="GE72" s="7"/>
      <c r="GL72" s="7"/>
      <c r="GS72" s="7"/>
      <c r="GZ72" s="7"/>
      <c r="HG72" s="7"/>
      <c r="HN72" s="7"/>
      <c r="HU72" s="7"/>
      <c r="IB72" s="7"/>
      <c r="II72" s="7"/>
      <c r="IP72" s="7"/>
      <c r="IW72" s="7"/>
      <c r="JD72" s="7"/>
      <c r="JK72" s="7"/>
      <c r="JR72" s="7"/>
      <c r="JY72" s="7"/>
      <c r="KF72" s="7"/>
      <c r="KM72" s="7"/>
      <c r="KT72" s="7"/>
      <c r="LA72" s="7"/>
      <c r="LH72" s="7"/>
      <c r="LO72" s="7"/>
      <c r="LV72" s="7"/>
      <c r="MC72" s="7"/>
      <c r="MJ72" s="7"/>
    </row>
    <row r="73" spans="1:348" x14ac:dyDescent="0.25">
      <c r="A73" s="8" t="s">
        <v>28</v>
      </c>
      <c r="B73" s="8"/>
      <c r="C73" s="8" t="s">
        <v>27</v>
      </c>
      <c r="D73" s="8" t="s">
        <v>26</v>
      </c>
      <c r="E73" s="18">
        <v>39802</v>
      </c>
      <c r="F73" s="10">
        <f t="shared" si="375"/>
        <v>1</v>
      </c>
      <c r="G73" s="19">
        <f t="shared" si="379"/>
        <v>1</v>
      </c>
      <c r="H73" s="19">
        <f t="shared" si="379"/>
        <v>1</v>
      </c>
      <c r="I73" s="8">
        <f t="shared" si="380"/>
        <v>1</v>
      </c>
      <c r="J73" s="8">
        <f t="shared" si="380"/>
        <v>1</v>
      </c>
      <c r="K73" s="8" t="str">
        <f t="shared" si="380"/>
        <v/>
      </c>
      <c r="L73" s="8" t="str">
        <f t="shared" si="380"/>
        <v/>
      </c>
      <c r="M73" s="8"/>
      <c r="N73" s="8"/>
      <c r="O73" s="9"/>
      <c r="P73" s="8">
        <f t="shared" si="377"/>
        <v>9</v>
      </c>
      <c r="Q73" s="109">
        <f t="shared" si="378"/>
        <v>52.941176470588239</v>
      </c>
      <c r="R73" s="84"/>
      <c r="S73" s="7"/>
      <c r="Z73" s="7"/>
      <c r="AG73" s="7"/>
      <c r="AK73">
        <v>1</v>
      </c>
      <c r="AN73" s="7"/>
      <c r="AP73">
        <v>1</v>
      </c>
      <c r="AU73" s="7"/>
      <c r="AW73">
        <v>1</v>
      </c>
      <c r="AY73">
        <v>1</v>
      </c>
      <c r="BB73" s="7"/>
      <c r="BD73">
        <v>1</v>
      </c>
      <c r="BF73">
        <v>1</v>
      </c>
      <c r="BI73" s="7"/>
      <c r="BM73">
        <v>1</v>
      </c>
      <c r="BP73" s="7"/>
      <c r="BY73" s="7"/>
      <c r="CH73" s="7"/>
      <c r="CQ73" s="7"/>
      <c r="CZ73" s="7"/>
      <c r="DI73" s="7"/>
      <c r="DR73" s="7"/>
      <c r="DV73">
        <v>1</v>
      </c>
      <c r="DW73">
        <v>1</v>
      </c>
      <c r="EA73" s="7"/>
      <c r="EH73" s="7"/>
      <c r="EO73" s="7"/>
      <c r="EV73" s="7"/>
      <c r="FC73" s="7"/>
      <c r="FJ73" s="7"/>
      <c r="FQ73" s="7"/>
      <c r="FX73" s="7"/>
      <c r="GE73" s="7"/>
      <c r="GL73" s="7"/>
      <c r="GS73" s="7"/>
      <c r="GZ73" s="7"/>
      <c r="HG73" s="7"/>
      <c r="HN73" s="7"/>
      <c r="HU73" s="7"/>
      <c r="IB73" s="7"/>
      <c r="II73" s="7"/>
      <c r="IP73" s="7"/>
      <c r="IW73" s="7"/>
      <c r="JD73" s="7"/>
      <c r="JK73" s="7"/>
      <c r="JR73" s="7"/>
      <c r="JY73" s="7"/>
      <c r="KF73" s="7"/>
      <c r="KM73" s="7"/>
      <c r="KT73" s="7"/>
      <c r="LA73" s="7"/>
      <c r="LH73" s="7"/>
      <c r="LO73" s="7"/>
      <c r="LV73" s="7"/>
      <c r="MC73" s="7"/>
      <c r="MJ73" s="7"/>
    </row>
    <row r="74" spans="1:348" ht="7.5" customHeight="1" x14ac:dyDescent="0.25">
      <c r="A74" s="8"/>
      <c r="B74" s="8"/>
      <c r="C74" s="8"/>
      <c r="D74" s="8"/>
      <c r="E74" s="8"/>
      <c r="F74" s="10"/>
      <c r="G74" s="19"/>
      <c r="H74" s="19"/>
      <c r="I74" s="8"/>
      <c r="J74" s="8"/>
      <c r="K74" s="8"/>
      <c r="L74" s="8"/>
      <c r="M74" s="8"/>
      <c r="N74" s="8"/>
      <c r="O74" s="9"/>
      <c r="P74" s="8" t="str">
        <f>IF(SUM(R74:MJ74) &gt; 0, SUM(R74:MJ74), "")</f>
        <v/>
      </c>
      <c r="Q74" s="109" t="str">
        <f t="shared" si="378"/>
        <v/>
      </c>
      <c r="R74" s="84"/>
      <c r="S74" s="7"/>
      <c r="Z74" s="7"/>
      <c r="AG74" s="7"/>
      <c r="AN74" s="7"/>
      <c r="AU74" s="7"/>
      <c r="BB74" s="7"/>
      <c r="BI74" s="7"/>
      <c r="BP74" s="7"/>
      <c r="BY74" s="7"/>
      <c r="CH74" s="7"/>
      <c r="CQ74" s="7"/>
      <c r="CZ74" s="7"/>
      <c r="DI74" s="7"/>
      <c r="DR74" s="7"/>
      <c r="EA74" s="7"/>
      <c r="EH74" s="7"/>
      <c r="EO74" s="7"/>
      <c r="EV74" s="7"/>
      <c r="FC74" s="7"/>
      <c r="FJ74" s="7"/>
      <c r="FQ74" s="7"/>
      <c r="FX74" s="7"/>
      <c r="GE74" s="7"/>
      <c r="GL74" s="7"/>
      <c r="GS74" s="7"/>
      <c r="GZ74" s="7"/>
      <c r="HG74" s="7"/>
      <c r="HN74" s="7"/>
      <c r="HU74" s="7"/>
      <c r="IB74" s="7"/>
      <c r="II74" s="7"/>
      <c r="IP74" s="7"/>
      <c r="IW74" s="7"/>
      <c r="JD74" s="7"/>
      <c r="JK74" s="7"/>
      <c r="JR74" s="7"/>
      <c r="JY74" s="7"/>
      <c r="KF74" s="7"/>
      <c r="KM74" s="7"/>
      <c r="KT74" s="7"/>
      <c r="LA74" s="7"/>
      <c r="LH74" s="7"/>
      <c r="LO74" s="7"/>
      <c r="LV74" s="7"/>
      <c r="MC74" s="7"/>
      <c r="MJ74" s="7"/>
    </row>
    <row r="75" spans="1:348" ht="15" customHeight="1" thickBot="1" x14ac:dyDescent="0.3">
      <c r="A75" s="20" t="s">
        <v>18</v>
      </c>
      <c r="B75" s="20"/>
      <c r="C75" s="20"/>
      <c r="D75" s="20"/>
      <c r="E75" s="21"/>
      <c r="F75" s="20"/>
      <c r="G75" s="20"/>
      <c r="H75" s="20"/>
      <c r="I75" s="20"/>
      <c r="J75" s="20"/>
      <c r="K75" s="20"/>
      <c r="L75" s="20"/>
      <c r="M75" s="20"/>
      <c r="N75" s="20"/>
      <c r="O75" s="21"/>
      <c r="P75" s="60">
        <f>SUM(S75:MJ75)</f>
        <v>17</v>
      </c>
      <c r="Q75" s="60"/>
      <c r="R75" s="21"/>
      <c r="S75" s="21"/>
      <c r="T75" s="20"/>
      <c r="U75" s="20"/>
      <c r="V75" s="20"/>
      <c r="W75" s="20"/>
      <c r="X75" s="20"/>
      <c r="Y75" s="20"/>
      <c r="Z75" s="21"/>
      <c r="AA75" s="20"/>
      <c r="AB75" s="20"/>
      <c r="AC75" s="20"/>
      <c r="AD75" s="20"/>
      <c r="AE75" s="20"/>
      <c r="AF75" s="20"/>
      <c r="AG75" s="21"/>
      <c r="AH75" s="20"/>
      <c r="AI75" s="20">
        <v>1</v>
      </c>
      <c r="AJ75" s="20"/>
      <c r="AK75" s="20">
        <v>1</v>
      </c>
      <c r="AL75" s="20"/>
      <c r="AM75" s="20"/>
      <c r="AN75" s="21"/>
      <c r="AO75" s="20"/>
      <c r="AP75" s="20">
        <v>1</v>
      </c>
      <c r="AQ75" s="20"/>
      <c r="AR75" s="20">
        <v>1</v>
      </c>
      <c r="AS75" s="20"/>
      <c r="AT75" s="20"/>
      <c r="AU75" s="21"/>
      <c r="AV75" s="20"/>
      <c r="AW75" s="20">
        <v>1</v>
      </c>
      <c r="AX75" s="20">
        <v>1</v>
      </c>
      <c r="AY75" s="20">
        <v>1</v>
      </c>
      <c r="AZ75" s="20"/>
      <c r="BA75" s="20"/>
      <c r="BB75" s="21"/>
      <c r="BC75" s="20"/>
      <c r="BD75" s="20">
        <v>1</v>
      </c>
      <c r="BE75" s="20"/>
      <c r="BF75" s="20">
        <v>1</v>
      </c>
      <c r="BG75" s="20"/>
      <c r="BH75" s="20"/>
      <c r="BI75" s="21"/>
      <c r="BJ75" s="20"/>
      <c r="BK75" s="20">
        <v>1</v>
      </c>
      <c r="BL75" s="20"/>
      <c r="BM75" s="20">
        <v>1</v>
      </c>
      <c r="BN75" s="20">
        <v>1</v>
      </c>
      <c r="BO75" s="20"/>
      <c r="BP75" s="21">
        <v>1</v>
      </c>
      <c r="BQ75" s="20"/>
      <c r="BR75" s="20"/>
      <c r="BS75" s="20"/>
      <c r="BT75" s="20"/>
      <c r="BU75" s="20"/>
      <c r="BV75" s="20"/>
      <c r="BW75" s="20">
        <v>1</v>
      </c>
      <c r="BX75" s="20"/>
      <c r="BY75" s="21"/>
      <c r="BZ75" s="20"/>
      <c r="CA75" s="20"/>
      <c r="CB75" s="20"/>
      <c r="CC75" s="20"/>
      <c r="CD75" s="20"/>
      <c r="CE75" s="20"/>
      <c r="CF75" s="20"/>
      <c r="CG75" s="20"/>
      <c r="CH75" s="21"/>
      <c r="CI75" s="20"/>
      <c r="CJ75" s="20"/>
      <c r="CK75" s="20"/>
      <c r="CL75" s="20"/>
      <c r="CM75" s="20"/>
      <c r="CN75" s="20"/>
      <c r="CO75" s="20"/>
      <c r="CP75" s="20"/>
      <c r="CQ75" s="21"/>
      <c r="CR75" s="20"/>
      <c r="CS75" s="20"/>
      <c r="CT75" s="20"/>
      <c r="CU75" s="20"/>
      <c r="CV75" s="20"/>
      <c r="CW75" s="20"/>
      <c r="CX75" s="20"/>
      <c r="CY75" s="20"/>
      <c r="CZ75" s="21"/>
      <c r="DA75" s="20"/>
      <c r="DB75" s="20"/>
      <c r="DC75" s="20"/>
      <c r="DD75" s="20"/>
      <c r="DE75" s="20"/>
      <c r="DF75" s="20"/>
      <c r="DG75" s="20"/>
      <c r="DH75" s="20"/>
      <c r="DI75" s="21"/>
      <c r="DJ75" s="20"/>
      <c r="DK75" s="20"/>
      <c r="DL75" s="20"/>
      <c r="DM75" s="20"/>
      <c r="DN75" s="20"/>
      <c r="DO75" s="20"/>
      <c r="DP75" s="20"/>
      <c r="DQ75" s="20"/>
      <c r="DR75" s="21"/>
      <c r="DS75" s="20"/>
      <c r="DT75" s="20">
        <v>1</v>
      </c>
      <c r="DU75" s="20"/>
      <c r="DV75" s="20">
        <v>1</v>
      </c>
      <c r="DW75" s="20">
        <v>1</v>
      </c>
      <c r="DX75" s="20"/>
      <c r="DY75" s="20"/>
      <c r="DZ75" s="20"/>
      <c r="EA75" s="21"/>
      <c r="EB75" s="20"/>
      <c r="EC75" s="20"/>
      <c r="ED75" s="20"/>
      <c r="EE75" s="20"/>
      <c r="EF75" s="20"/>
      <c r="EG75" s="20"/>
      <c r="EH75" s="21"/>
      <c r="EI75" s="20"/>
      <c r="EJ75" s="20"/>
      <c r="EK75" s="20"/>
      <c r="EL75" s="20"/>
      <c r="EM75" s="20"/>
      <c r="EN75" s="20"/>
      <c r="EO75" s="21"/>
      <c r="EP75" s="20"/>
      <c r="EQ75" s="20"/>
      <c r="ER75" s="20"/>
      <c r="ES75" s="20"/>
      <c r="ET75" s="20"/>
      <c r="EU75" s="20"/>
      <c r="EV75" s="21"/>
      <c r="EW75" s="20"/>
      <c r="EX75" s="20"/>
      <c r="EY75" s="20"/>
      <c r="EZ75" s="20"/>
      <c r="FA75" s="20"/>
      <c r="FB75" s="20"/>
      <c r="FC75" s="21"/>
      <c r="FD75" s="20"/>
      <c r="FE75" s="20"/>
      <c r="FF75" s="20"/>
      <c r="FG75" s="20"/>
      <c r="FH75" s="20"/>
      <c r="FI75" s="20"/>
      <c r="FJ75" s="21"/>
      <c r="FK75" s="20"/>
      <c r="FL75" s="20"/>
      <c r="FM75" s="20"/>
      <c r="FN75" s="20"/>
      <c r="FO75" s="20"/>
      <c r="FP75" s="20"/>
      <c r="FQ75" s="21"/>
      <c r="FR75" s="20"/>
      <c r="FS75" s="20"/>
      <c r="FT75" s="20"/>
      <c r="FU75" s="20"/>
      <c r="FV75" s="20"/>
      <c r="FW75" s="20"/>
      <c r="FX75" s="21"/>
      <c r="FY75" s="20"/>
      <c r="FZ75" s="20"/>
      <c r="GA75" s="20"/>
      <c r="GB75" s="20"/>
      <c r="GC75" s="20"/>
      <c r="GD75" s="20"/>
      <c r="GE75" s="21"/>
      <c r="GF75" s="20"/>
      <c r="GG75" s="20"/>
      <c r="GH75" s="20"/>
      <c r="GI75" s="20"/>
      <c r="GJ75" s="20"/>
      <c r="GK75" s="20"/>
      <c r="GL75" s="21"/>
      <c r="GM75" s="20"/>
      <c r="GN75" s="20"/>
      <c r="GO75" s="20"/>
      <c r="GP75" s="20"/>
      <c r="GQ75" s="20"/>
      <c r="GR75" s="20"/>
      <c r="GS75" s="21"/>
      <c r="GT75" s="20"/>
      <c r="GU75" s="20"/>
      <c r="GV75" s="20"/>
      <c r="GW75" s="20"/>
      <c r="GX75" s="20"/>
      <c r="GY75" s="20"/>
      <c r="GZ75" s="21"/>
      <c r="HA75" s="20"/>
      <c r="HB75" s="20"/>
      <c r="HC75" s="20"/>
      <c r="HD75" s="20"/>
      <c r="HE75" s="20"/>
      <c r="HF75" s="20"/>
      <c r="HG75" s="21"/>
      <c r="HH75" s="20"/>
      <c r="HI75" s="20"/>
      <c r="HJ75" s="20"/>
      <c r="HK75" s="20"/>
      <c r="HL75" s="20"/>
      <c r="HM75" s="20"/>
      <c r="HN75" s="21"/>
      <c r="HO75" s="20"/>
      <c r="HP75" s="20"/>
      <c r="HQ75" s="20"/>
      <c r="HR75" s="20"/>
      <c r="HS75" s="20"/>
      <c r="HT75" s="20"/>
      <c r="HU75" s="21"/>
      <c r="HV75" s="20"/>
      <c r="HW75" s="20"/>
      <c r="HX75" s="20"/>
      <c r="HY75" s="20"/>
      <c r="HZ75" s="20"/>
      <c r="IA75" s="20"/>
      <c r="IB75" s="21"/>
      <c r="IC75" s="20"/>
      <c r="ID75" s="20"/>
      <c r="IE75" s="20"/>
      <c r="IF75" s="20"/>
      <c r="IG75" s="20"/>
      <c r="IH75" s="20"/>
      <c r="II75" s="21"/>
      <c r="IJ75" s="20"/>
      <c r="IK75" s="20"/>
      <c r="IL75" s="20"/>
      <c r="IM75" s="20"/>
      <c r="IN75" s="20"/>
      <c r="IO75" s="20"/>
      <c r="IP75" s="21"/>
      <c r="IQ75" s="20"/>
      <c r="IR75" s="20"/>
      <c r="IS75" s="20"/>
      <c r="IT75" s="20"/>
      <c r="IU75" s="20"/>
      <c r="IV75" s="20"/>
      <c r="IW75" s="21"/>
      <c r="IX75" s="20"/>
      <c r="IY75" s="20"/>
      <c r="IZ75" s="20"/>
      <c r="JA75" s="20"/>
      <c r="JB75" s="20"/>
      <c r="JC75" s="20"/>
      <c r="JD75" s="21"/>
      <c r="JE75" s="20"/>
      <c r="JF75" s="20"/>
      <c r="JG75" s="20"/>
      <c r="JH75" s="20"/>
      <c r="JI75" s="20"/>
      <c r="JJ75" s="20"/>
      <c r="JK75" s="21"/>
      <c r="JL75" s="20"/>
      <c r="JM75" s="20"/>
      <c r="JN75" s="20"/>
      <c r="JO75" s="20"/>
      <c r="JP75" s="20"/>
      <c r="JQ75" s="20"/>
      <c r="JR75" s="21"/>
      <c r="JS75" s="20"/>
      <c r="JT75" s="20"/>
      <c r="JU75" s="20"/>
      <c r="JV75" s="20"/>
      <c r="JW75" s="20"/>
      <c r="JX75" s="20"/>
      <c r="JY75" s="21"/>
      <c r="JZ75" s="20"/>
      <c r="KA75" s="20"/>
      <c r="KB75" s="20"/>
      <c r="KC75" s="20"/>
      <c r="KD75" s="20"/>
      <c r="KE75" s="20"/>
      <c r="KF75" s="21"/>
      <c r="KG75" s="20"/>
      <c r="KH75" s="20"/>
      <c r="KI75" s="20"/>
      <c r="KJ75" s="20"/>
      <c r="KK75" s="20"/>
      <c r="KL75" s="20"/>
      <c r="KM75" s="21"/>
      <c r="KN75" s="20"/>
      <c r="KO75" s="20"/>
      <c r="KP75" s="20"/>
      <c r="KQ75" s="20"/>
      <c r="KR75" s="20"/>
      <c r="KS75" s="20"/>
      <c r="KT75" s="21"/>
      <c r="KU75" s="20"/>
      <c r="KV75" s="20"/>
      <c r="KW75" s="20"/>
      <c r="KX75" s="20"/>
      <c r="KY75" s="20"/>
      <c r="KZ75" s="20"/>
      <c r="LA75" s="21"/>
      <c r="LB75" s="20"/>
      <c r="LC75" s="20"/>
      <c r="LD75" s="20"/>
      <c r="LE75" s="20"/>
      <c r="LF75" s="20"/>
      <c r="LG75" s="20"/>
      <c r="LH75" s="21"/>
      <c r="LI75" s="20"/>
      <c r="LJ75" s="20"/>
      <c r="LK75" s="20"/>
      <c r="LL75" s="20"/>
      <c r="LM75" s="20"/>
      <c r="LN75" s="20"/>
      <c r="LO75" s="21"/>
      <c r="LP75" s="20"/>
      <c r="LQ75" s="20"/>
      <c r="LR75" s="20"/>
      <c r="LS75" s="20"/>
      <c r="LT75" s="20"/>
      <c r="LU75" s="20"/>
      <c r="LV75" s="21"/>
      <c r="LW75" s="20"/>
      <c r="LX75" s="20"/>
      <c r="LY75" s="20"/>
      <c r="LZ75" s="20"/>
      <c r="MA75" s="20"/>
      <c r="MB75" s="20"/>
      <c r="MC75" s="21"/>
      <c r="MD75" s="20"/>
      <c r="ME75" s="20"/>
      <c r="MF75" s="20"/>
      <c r="MG75" s="20"/>
      <c r="MH75" s="20"/>
      <c r="MI75" s="20"/>
      <c r="MJ75" s="21"/>
    </row>
    <row r="76" spans="1:348" ht="15.75" thickBot="1" x14ac:dyDescent="0.3">
      <c r="A76" s="64" t="s">
        <v>249</v>
      </c>
      <c r="B76" s="62"/>
      <c r="C76" s="62"/>
      <c r="D76" s="62"/>
      <c r="E76" s="63"/>
      <c r="F76" s="62"/>
      <c r="G76" s="62"/>
      <c r="H76" s="62"/>
      <c r="I76" s="62"/>
      <c r="J76" s="62"/>
      <c r="K76" s="62"/>
      <c r="L76" s="62"/>
      <c r="M76" s="62"/>
      <c r="N76" s="62"/>
      <c r="O76" s="63"/>
      <c r="P76" s="85">
        <f>VisibleSum(P69:P74)</f>
        <v>9</v>
      </c>
      <c r="Q76" s="62">
        <f>P76 / P75 * 100</f>
        <v>52.941176470588239</v>
      </c>
      <c r="R76" s="86"/>
      <c r="S76" s="63" t="str">
        <f>IF(SUM(S42:S62, S70:S73) &gt; 0, SUM(S42:S62, S70:S73), "")</f>
        <v/>
      </c>
      <c r="T76" s="62" t="str">
        <f t="shared" ref="T76:U76" si="381">IF(SUM(T69:T74) &gt; 0, SUM(T69:T74), "")</f>
        <v/>
      </c>
      <c r="U76" s="62" t="str">
        <f t="shared" si="381"/>
        <v/>
      </c>
      <c r="V76" s="62" t="str">
        <f t="shared" ref="V76" si="382">IF(SUM(V69:V74) &gt; 0, SUM(V69:V74), "")</f>
        <v/>
      </c>
      <c r="W76" s="62" t="str">
        <f t="shared" ref="W76" si="383">IF(SUM(W69:W74) &gt; 0, SUM(W69:W74), "")</f>
        <v/>
      </c>
      <c r="X76" s="62" t="str">
        <f t="shared" ref="X76" si="384">IF(SUM(X69:X74) &gt; 0, SUM(X69:X74), "")</f>
        <v/>
      </c>
      <c r="Y76" s="62" t="str">
        <f t="shared" ref="Y76" si="385">IF(SUM(Y69:Y74) &gt; 0, SUM(Y69:Y74), "")</f>
        <v/>
      </c>
      <c r="Z76" s="63" t="str">
        <f t="shared" ref="Z76:AB76" si="386">IF(SUM(Z69:Z74) &gt; 0, SUM(Z69:Z74), "")</f>
        <v/>
      </c>
      <c r="AA76" s="62" t="str">
        <f t="shared" si="386"/>
        <v/>
      </c>
      <c r="AB76" s="62" t="str">
        <f t="shared" si="386"/>
        <v/>
      </c>
      <c r="AC76" s="62" t="str">
        <f t="shared" ref="AC76" si="387">IF(SUM(AC69:AC74) &gt; 0, SUM(AC69:AC74), "")</f>
        <v/>
      </c>
      <c r="AD76" s="62" t="str">
        <f t="shared" ref="AD76" si="388">IF(SUM(AD69:AD74) &gt; 0, SUM(AD69:AD74), "")</f>
        <v/>
      </c>
      <c r="AE76" s="62" t="str">
        <f t="shared" ref="AE76" si="389">IF(SUM(AE69:AE74) &gt; 0, SUM(AE69:AE74), "")</f>
        <v/>
      </c>
      <c r="AF76" s="62" t="str">
        <f t="shared" ref="AF76" si="390">IF(SUM(AF69:AF74) &gt; 0, SUM(AF69:AF74), "")</f>
        <v/>
      </c>
      <c r="AG76" s="63" t="str">
        <f t="shared" ref="AG76" si="391">IF(SUM(AG69:AG74) &gt; 0, SUM(AG69:AG74), "")</f>
        <v/>
      </c>
      <c r="AH76" s="62" t="str">
        <f>IF(SUM(AH69:AH74) &gt; 0, SUM(AH69:AH74), "")</f>
        <v/>
      </c>
      <c r="AI76" s="62" t="str">
        <f>IF(SUM(AI69:AI74) &gt; 0, SUM(AI69:AI74), "")</f>
        <v/>
      </c>
      <c r="AJ76" s="62" t="str">
        <f t="shared" ref="AJ76:AN76" si="392">IF(SUM(AJ69:AJ74) &gt; 0, SUM(AJ69:AJ74), "")</f>
        <v/>
      </c>
      <c r="AK76" s="62">
        <f t="shared" si="392"/>
        <v>3</v>
      </c>
      <c r="AL76" s="62" t="str">
        <f t="shared" si="392"/>
        <v/>
      </c>
      <c r="AM76" s="62" t="str">
        <f t="shared" si="392"/>
        <v/>
      </c>
      <c r="AN76" s="63" t="str">
        <f t="shared" si="392"/>
        <v/>
      </c>
      <c r="AO76" s="62" t="str">
        <f>IF(SUM(AO69:AO74) &gt; 0, SUM(AO69:AO74), "")</f>
        <v/>
      </c>
      <c r="AP76" s="62">
        <f>IF(SUM(AP69:AP74) &gt; 0, SUM(AP69:AP74), "")</f>
        <v>2</v>
      </c>
      <c r="AQ76" s="62" t="str">
        <f t="shared" ref="AQ76" si="393">IF(SUM(AQ69:AQ74) &gt; 0, SUM(AQ69:AQ74), "")</f>
        <v/>
      </c>
      <c r="AR76" s="62">
        <f t="shared" ref="AR76" si="394">IF(SUM(AR69:AR74) &gt; 0, SUM(AR69:AR74), "")</f>
        <v>1</v>
      </c>
      <c r="AS76" s="62" t="str">
        <f t="shared" ref="AS76" si="395">IF(SUM(AS69:AS74) &gt; 0, SUM(AS69:AS74), "")</f>
        <v/>
      </c>
      <c r="AT76" s="62" t="str">
        <f t="shared" ref="AT76" si="396">IF(SUM(AT69:AT74) &gt; 0, SUM(AT69:AT74), "")</f>
        <v/>
      </c>
      <c r="AU76" s="63" t="str">
        <f t="shared" ref="AU76" si="397">IF(SUM(AU69:AU74) &gt; 0, SUM(AU69:AU74), "")</f>
        <v/>
      </c>
      <c r="AV76" s="62" t="str">
        <f>IF(SUM(AV69:AV74) &gt; 0, SUM(AV69:AV74), "")</f>
        <v/>
      </c>
      <c r="AW76" s="62">
        <f>IF(SUM(AW69:AW74) &gt; 0, SUM(AW69:AW74), "")</f>
        <v>2</v>
      </c>
      <c r="AX76" s="62" t="str">
        <f t="shared" ref="AX76" si="398">IF(SUM(AX69:AX74) &gt; 0, SUM(AX69:AX74), "")</f>
        <v/>
      </c>
      <c r="AY76" s="62">
        <f t="shared" ref="AY76" si="399">IF(SUM(AY69:AY74) &gt; 0, SUM(AY69:AY74), "")</f>
        <v>1</v>
      </c>
      <c r="AZ76" s="62" t="str">
        <f t="shared" ref="AZ76" si="400">IF(SUM(AZ69:AZ74) &gt; 0, SUM(AZ69:AZ74), "")</f>
        <v/>
      </c>
      <c r="BA76" s="62" t="str">
        <f t="shared" ref="BA76" si="401">IF(SUM(BA69:BA74) &gt; 0, SUM(BA69:BA74), "")</f>
        <v/>
      </c>
      <c r="BB76" s="63" t="str">
        <f t="shared" ref="BB76" si="402">IF(SUM(BB69:BB74) &gt; 0, SUM(BB69:BB74), "")</f>
        <v/>
      </c>
      <c r="BC76" s="62" t="str">
        <f>IF(SUM(BC69:BC74) &gt; 0, SUM(BC69:BC74), "")</f>
        <v/>
      </c>
      <c r="BD76" s="62">
        <f>IF(SUM(BD69:BD74) &gt; 0, SUM(BD69:BD74), "")</f>
        <v>3</v>
      </c>
      <c r="BE76" s="62" t="str">
        <f t="shared" ref="BE76:ED76" si="403">IF(SUM(BE69:BE74) &gt; 0, SUM(BE69:BE74), "")</f>
        <v/>
      </c>
      <c r="BF76" s="62">
        <f t="shared" si="403"/>
        <v>2</v>
      </c>
      <c r="BG76" s="62" t="str">
        <f t="shared" si="403"/>
        <v/>
      </c>
      <c r="BH76" s="62" t="str">
        <f t="shared" si="403"/>
        <v/>
      </c>
      <c r="BI76" s="63" t="str">
        <f t="shared" si="403"/>
        <v/>
      </c>
      <c r="BJ76" s="62" t="str">
        <f t="shared" si="403"/>
        <v/>
      </c>
      <c r="BK76" s="62">
        <f t="shared" si="403"/>
        <v>2</v>
      </c>
      <c r="BL76" s="62" t="str">
        <f t="shared" si="403"/>
        <v/>
      </c>
      <c r="BM76" s="62">
        <f t="shared" si="403"/>
        <v>3</v>
      </c>
      <c r="BN76" s="62">
        <f t="shared" si="403"/>
        <v>2</v>
      </c>
      <c r="BO76" s="62" t="str">
        <f t="shared" si="403"/>
        <v/>
      </c>
      <c r="BP76" s="63">
        <f t="shared" si="403"/>
        <v>1</v>
      </c>
      <c r="BQ76" s="62" t="str">
        <f t="shared" si="403"/>
        <v/>
      </c>
      <c r="BR76" s="62" t="str">
        <f t="shared" si="403"/>
        <v/>
      </c>
      <c r="BS76" s="62" t="str">
        <f t="shared" si="403"/>
        <v/>
      </c>
      <c r="BT76" s="62" t="str">
        <f t="shared" si="403"/>
        <v/>
      </c>
      <c r="BU76" s="62" t="str">
        <f t="shared" si="403"/>
        <v/>
      </c>
      <c r="BV76" s="62" t="str">
        <f t="shared" si="403"/>
        <v/>
      </c>
      <c r="BW76" s="62">
        <f t="shared" ref="BW76" si="404">IF(SUM(BW69:BW74) &gt; 0, SUM(BW69:BW74), "")</f>
        <v>2</v>
      </c>
      <c r="BX76" s="62"/>
      <c r="BY76" s="63" t="str">
        <f t="shared" si="403"/>
        <v/>
      </c>
      <c r="BZ76" s="62" t="str">
        <f t="shared" si="403"/>
        <v/>
      </c>
      <c r="CA76" s="62" t="str">
        <f t="shared" si="403"/>
        <v/>
      </c>
      <c r="CB76" s="62" t="str">
        <f t="shared" si="403"/>
        <v/>
      </c>
      <c r="CC76" s="62" t="str">
        <f t="shared" si="403"/>
        <v/>
      </c>
      <c r="CD76" s="62" t="str">
        <f t="shared" si="403"/>
        <v/>
      </c>
      <c r="CE76" s="62" t="str">
        <f t="shared" si="403"/>
        <v/>
      </c>
      <c r="CF76" s="62"/>
      <c r="CG76" s="62"/>
      <c r="CH76" s="63" t="str">
        <f t="shared" si="403"/>
        <v/>
      </c>
      <c r="CI76" s="62" t="str">
        <f t="shared" si="403"/>
        <v/>
      </c>
      <c r="CJ76" s="62" t="str">
        <f t="shared" si="403"/>
        <v/>
      </c>
      <c r="CK76" s="62" t="str">
        <f t="shared" si="403"/>
        <v/>
      </c>
      <c r="CL76" s="62" t="str">
        <f t="shared" si="403"/>
        <v/>
      </c>
      <c r="CM76" s="62" t="str">
        <f t="shared" si="403"/>
        <v/>
      </c>
      <c r="CN76" s="62" t="str">
        <f t="shared" si="403"/>
        <v/>
      </c>
      <c r="CO76" s="62" t="str">
        <f t="shared" ref="CO76" si="405">IF(SUM(CO69:CO74) &gt; 0, SUM(CO69:CO74), "")</f>
        <v/>
      </c>
      <c r="CP76" s="62"/>
      <c r="CQ76" s="63" t="str">
        <f t="shared" si="403"/>
        <v/>
      </c>
      <c r="CR76" s="62" t="str">
        <f t="shared" si="403"/>
        <v/>
      </c>
      <c r="CS76" s="62" t="str">
        <f t="shared" si="403"/>
        <v/>
      </c>
      <c r="CT76" s="62" t="str">
        <f t="shared" si="403"/>
        <v/>
      </c>
      <c r="CU76" s="62" t="str">
        <f t="shared" si="403"/>
        <v/>
      </c>
      <c r="CV76" s="62" t="str">
        <f t="shared" si="403"/>
        <v/>
      </c>
      <c r="CW76" s="62"/>
      <c r="CX76" s="62"/>
      <c r="CY76" s="62" t="str">
        <f t="shared" si="403"/>
        <v/>
      </c>
      <c r="CZ76" s="63" t="str">
        <f t="shared" si="403"/>
        <v/>
      </c>
      <c r="DA76" s="62" t="str">
        <f t="shared" si="403"/>
        <v/>
      </c>
      <c r="DB76" s="62" t="str">
        <f t="shared" si="403"/>
        <v/>
      </c>
      <c r="DC76" s="62" t="str">
        <f t="shared" si="403"/>
        <v/>
      </c>
      <c r="DD76" s="62" t="str">
        <f t="shared" si="403"/>
        <v/>
      </c>
      <c r="DE76" s="62" t="str">
        <f t="shared" si="403"/>
        <v/>
      </c>
      <c r="DF76" s="62" t="str">
        <f t="shared" si="403"/>
        <v/>
      </c>
      <c r="DG76" s="62"/>
      <c r="DH76" s="62"/>
      <c r="DI76" s="63" t="str">
        <f t="shared" si="403"/>
        <v/>
      </c>
      <c r="DJ76" s="62" t="str">
        <f t="shared" si="403"/>
        <v/>
      </c>
      <c r="DK76" s="62" t="str">
        <f t="shared" si="403"/>
        <v/>
      </c>
      <c r="DL76" s="62" t="str">
        <f t="shared" si="403"/>
        <v/>
      </c>
      <c r="DM76" s="62" t="str">
        <f t="shared" si="403"/>
        <v/>
      </c>
      <c r="DN76" s="62" t="str">
        <f t="shared" si="403"/>
        <v/>
      </c>
      <c r="DO76" s="62" t="str">
        <f t="shared" si="403"/>
        <v/>
      </c>
      <c r="DP76" s="62"/>
      <c r="DQ76" s="62"/>
      <c r="DR76" s="63" t="str">
        <f t="shared" si="403"/>
        <v/>
      </c>
      <c r="DS76" s="62" t="str">
        <f t="shared" si="403"/>
        <v/>
      </c>
      <c r="DT76" s="62">
        <f t="shared" si="403"/>
        <v>1</v>
      </c>
      <c r="DU76" s="62" t="str">
        <f t="shared" si="403"/>
        <v/>
      </c>
      <c r="DV76" s="62">
        <f t="shared" si="403"/>
        <v>2</v>
      </c>
      <c r="DW76" s="62">
        <f t="shared" si="403"/>
        <v>1</v>
      </c>
      <c r="DX76" s="62"/>
      <c r="DY76" s="62"/>
      <c r="DZ76" s="62" t="str">
        <f t="shared" si="403"/>
        <v/>
      </c>
      <c r="EA76" s="63" t="str">
        <f t="shared" si="403"/>
        <v/>
      </c>
      <c r="EB76" s="62" t="str">
        <f t="shared" si="403"/>
        <v/>
      </c>
      <c r="EC76" s="62" t="str">
        <f t="shared" si="403"/>
        <v/>
      </c>
      <c r="ED76" s="62" t="str">
        <f t="shared" si="403"/>
        <v/>
      </c>
      <c r="EE76" s="62" t="str">
        <f t="shared" ref="EE76:GP76" si="406">IF(SUM(EE69:EE74) &gt; 0, SUM(EE69:EE74), "")</f>
        <v/>
      </c>
      <c r="EF76" s="62" t="str">
        <f t="shared" si="406"/>
        <v/>
      </c>
      <c r="EG76" s="62" t="str">
        <f t="shared" si="406"/>
        <v/>
      </c>
      <c r="EH76" s="63" t="str">
        <f t="shared" si="406"/>
        <v/>
      </c>
      <c r="EI76" s="62" t="str">
        <f t="shared" si="406"/>
        <v/>
      </c>
      <c r="EJ76" s="62" t="str">
        <f t="shared" si="406"/>
        <v/>
      </c>
      <c r="EK76" s="62" t="str">
        <f t="shared" si="406"/>
        <v/>
      </c>
      <c r="EL76" s="62" t="str">
        <f t="shared" si="406"/>
        <v/>
      </c>
      <c r="EM76" s="62" t="str">
        <f t="shared" si="406"/>
        <v/>
      </c>
      <c r="EN76" s="62" t="str">
        <f t="shared" si="406"/>
        <v/>
      </c>
      <c r="EO76" s="63" t="str">
        <f t="shared" si="406"/>
        <v/>
      </c>
      <c r="EP76" s="62" t="str">
        <f t="shared" si="406"/>
        <v/>
      </c>
      <c r="EQ76" s="62" t="str">
        <f t="shared" si="406"/>
        <v/>
      </c>
      <c r="ER76" s="62" t="str">
        <f t="shared" si="406"/>
        <v/>
      </c>
      <c r="ES76" s="62" t="str">
        <f t="shared" si="406"/>
        <v/>
      </c>
      <c r="ET76" s="62" t="str">
        <f t="shared" si="406"/>
        <v/>
      </c>
      <c r="EU76" s="62" t="str">
        <f t="shared" si="406"/>
        <v/>
      </c>
      <c r="EV76" s="63" t="str">
        <f t="shared" si="406"/>
        <v/>
      </c>
      <c r="EW76" s="62" t="str">
        <f t="shared" si="406"/>
        <v/>
      </c>
      <c r="EX76" s="62" t="str">
        <f t="shared" si="406"/>
        <v/>
      </c>
      <c r="EY76" s="62" t="str">
        <f t="shared" si="406"/>
        <v/>
      </c>
      <c r="EZ76" s="62" t="str">
        <f t="shared" si="406"/>
        <v/>
      </c>
      <c r="FA76" s="62" t="str">
        <f t="shared" si="406"/>
        <v/>
      </c>
      <c r="FB76" s="62" t="str">
        <f t="shared" si="406"/>
        <v/>
      </c>
      <c r="FC76" s="63" t="str">
        <f t="shared" si="406"/>
        <v/>
      </c>
      <c r="FD76" s="62" t="str">
        <f t="shared" si="406"/>
        <v/>
      </c>
      <c r="FE76" s="62" t="str">
        <f t="shared" si="406"/>
        <v/>
      </c>
      <c r="FF76" s="62" t="str">
        <f t="shared" si="406"/>
        <v/>
      </c>
      <c r="FG76" s="62" t="str">
        <f t="shared" si="406"/>
        <v/>
      </c>
      <c r="FH76" s="62" t="str">
        <f t="shared" si="406"/>
        <v/>
      </c>
      <c r="FI76" s="62" t="str">
        <f t="shared" si="406"/>
        <v/>
      </c>
      <c r="FJ76" s="63" t="str">
        <f t="shared" si="406"/>
        <v/>
      </c>
      <c r="FK76" s="62" t="str">
        <f t="shared" si="406"/>
        <v/>
      </c>
      <c r="FL76" s="62" t="str">
        <f t="shared" si="406"/>
        <v/>
      </c>
      <c r="FM76" s="62" t="str">
        <f t="shared" si="406"/>
        <v/>
      </c>
      <c r="FN76" s="62" t="str">
        <f t="shared" si="406"/>
        <v/>
      </c>
      <c r="FO76" s="62" t="str">
        <f t="shared" si="406"/>
        <v/>
      </c>
      <c r="FP76" s="62" t="str">
        <f t="shared" si="406"/>
        <v/>
      </c>
      <c r="FQ76" s="63" t="str">
        <f t="shared" si="406"/>
        <v/>
      </c>
      <c r="FR76" s="62" t="str">
        <f t="shared" si="406"/>
        <v/>
      </c>
      <c r="FS76" s="62" t="str">
        <f t="shared" si="406"/>
        <v/>
      </c>
      <c r="FT76" s="62" t="str">
        <f t="shared" si="406"/>
        <v/>
      </c>
      <c r="FU76" s="62" t="str">
        <f t="shared" si="406"/>
        <v/>
      </c>
      <c r="FV76" s="62" t="str">
        <f t="shared" si="406"/>
        <v/>
      </c>
      <c r="FW76" s="62" t="str">
        <f t="shared" si="406"/>
        <v/>
      </c>
      <c r="FX76" s="63" t="str">
        <f t="shared" si="406"/>
        <v/>
      </c>
      <c r="FY76" s="62" t="str">
        <f t="shared" si="406"/>
        <v/>
      </c>
      <c r="FZ76" s="62" t="str">
        <f t="shared" si="406"/>
        <v/>
      </c>
      <c r="GA76" s="62" t="str">
        <f t="shared" si="406"/>
        <v/>
      </c>
      <c r="GB76" s="62" t="str">
        <f t="shared" si="406"/>
        <v/>
      </c>
      <c r="GC76" s="62" t="str">
        <f t="shared" si="406"/>
        <v/>
      </c>
      <c r="GD76" s="62" t="str">
        <f t="shared" si="406"/>
        <v/>
      </c>
      <c r="GE76" s="63" t="str">
        <f t="shared" si="406"/>
        <v/>
      </c>
      <c r="GF76" s="62" t="str">
        <f t="shared" si="406"/>
        <v/>
      </c>
      <c r="GG76" s="62" t="str">
        <f t="shared" si="406"/>
        <v/>
      </c>
      <c r="GH76" s="62" t="str">
        <f t="shared" si="406"/>
        <v/>
      </c>
      <c r="GI76" s="62" t="str">
        <f t="shared" si="406"/>
        <v/>
      </c>
      <c r="GJ76" s="62" t="str">
        <f t="shared" si="406"/>
        <v/>
      </c>
      <c r="GK76" s="62" t="str">
        <f t="shared" si="406"/>
        <v/>
      </c>
      <c r="GL76" s="63" t="str">
        <f t="shared" si="406"/>
        <v/>
      </c>
      <c r="GM76" s="62" t="str">
        <f t="shared" si="406"/>
        <v/>
      </c>
      <c r="GN76" s="62" t="str">
        <f t="shared" si="406"/>
        <v/>
      </c>
      <c r="GO76" s="62" t="str">
        <f t="shared" si="406"/>
        <v/>
      </c>
      <c r="GP76" s="62" t="str">
        <f t="shared" si="406"/>
        <v/>
      </c>
      <c r="GQ76" s="62" t="str">
        <f t="shared" ref="GQ76:JB76" si="407">IF(SUM(GQ69:GQ74) &gt; 0, SUM(GQ69:GQ74), "")</f>
        <v/>
      </c>
      <c r="GR76" s="62" t="str">
        <f t="shared" si="407"/>
        <v/>
      </c>
      <c r="GS76" s="63" t="str">
        <f t="shared" si="407"/>
        <v/>
      </c>
      <c r="GT76" s="62" t="str">
        <f t="shared" si="407"/>
        <v/>
      </c>
      <c r="GU76" s="62" t="str">
        <f t="shared" si="407"/>
        <v/>
      </c>
      <c r="GV76" s="62" t="str">
        <f t="shared" si="407"/>
        <v/>
      </c>
      <c r="GW76" s="62" t="str">
        <f t="shared" si="407"/>
        <v/>
      </c>
      <c r="GX76" s="62" t="str">
        <f t="shared" si="407"/>
        <v/>
      </c>
      <c r="GY76" s="62" t="str">
        <f t="shared" si="407"/>
        <v/>
      </c>
      <c r="GZ76" s="63" t="str">
        <f t="shared" si="407"/>
        <v/>
      </c>
      <c r="HA76" s="62" t="str">
        <f t="shared" si="407"/>
        <v/>
      </c>
      <c r="HB76" s="62" t="str">
        <f t="shared" si="407"/>
        <v/>
      </c>
      <c r="HC76" s="62" t="str">
        <f t="shared" si="407"/>
        <v/>
      </c>
      <c r="HD76" s="62" t="str">
        <f t="shared" si="407"/>
        <v/>
      </c>
      <c r="HE76" s="62" t="str">
        <f t="shared" si="407"/>
        <v/>
      </c>
      <c r="HF76" s="62" t="str">
        <f t="shared" si="407"/>
        <v/>
      </c>
      <c r="HG76" s="63" t="str">
        <f t="shared" si="407"/>
        <v/>
      </c>
      <c r="HH76" s="62" t="str">
        <f t="shared" si="407"/>
        <v/>
      </c>
      <c r="HI76" s="62" t="str">
        <f t="shared" si="407"/>
        <v/>
      </c>
      <c r="HJ76" s="62" t="str">
        <f t="shared" si="407"/>
        <v/>
      </c>
      <c r="HK76" s="62" t="str">
        <f t="shared" si="407"/>
        <v/>
      </c>
      <c r="HL76" s="62" t="str">
        <f t="shared" si="407"/>
        <v/>
      </c>
      <c r="HM76" s="62" t="str">
        <f t="shared" si="407"/>
        <v/>
      </c>
      <c r="HN76" s="63" t="str">
        <f t="shared" si="407"/>
        <v/>
      </c>
      <c r="HO76" s="62" t="str">
        <f t="shared" si="407"/>
        <v/>
      </c>
      <c r="HP76" s="62" t="str">
        <f t="shared" si="407"/>
        <v/>
      </c>
      <c r="HQ76" s="62" t="str">
        <f t="shared" si="407"/>
        <v/>
      </c>
      <c r="HR76" s="62" t="str">
        <f t="shared" si="407"/>
        <v/>
      </c>
      <c r="HS76" s="62" t="str">
        <f t="shared" si="407"/>
        <v/>
      </c>
      <c r="HT76" s="62" t="str">
        <f t="shared" si="407"/>
        <v/>
      </c>
      <c r="HU76" s="63" t="str">
        <f t="shared" si="407"/>
        <v/>
      </c>
      <c r="HV76" s="62" t="str">
        <f t="shared" si="407"/>
        <v/>
      </c>
      <c r="HW76" s="62" t="str">
        <f t="shared" si="407"/>
        <v/>
      </c>
      <c r="HX76" s="62" t="str">
        <f t="shared" si="407"/>
        <v/>
      </c>
      <c r="HY76" s="62" t="str">
        <f t="shared" si="407"/>
        <v/>
      </c>
      <c r="HZ76" s="62" t="str">
        <f t="shared" si="407"/>
        <v/>
      </c>
      <c r="IA76" s="62" t="str">
        <f t="shared" si="407"/>
        <v/>
      </c>
      <c r="IB76" s="63" t="str">
        <f t="shared" si="407"/>
        <v/>
      </c>
      <c r="IC76" s="62" t="str">
        <f t="shared" si="407"/>
        <v/>
      </c>
      <c r="ID76" s="62" t="str">
        <f t="shared" si="407"/>
        <v/>
      </c>
      <c r="IE76" s="62" t="str">
        <f t="shared" si="407"/>
        <v/>
      </c>
      <c r="IF76" s="62" t="str">
        <f t="shared" si="407"/>
        <v/>
      </c>
      <c r="IG76" s="62" t="str">
        <f t="shared" si="407"/>
        <v/>
      </c>
      <c r="IH76" s="62" t="str">
        <f t="shared" si="407"/>
        <v/>
      </c>
      <c r="II76" s="63" t="str">
        <f t="shared" si="407"/>
        <v/>
      </c>
      <c r="IJ76" s="62" t="str">
        <f t="shared" si="407"/>
        <v/>
      </c>
      <c r="IK76" s="62" t="str">
        <f t="shared" si="407"/>
        <v/>
      </c>
      <c r="IL76" s="62" t="str">
        <f t="shared" si="407"/>
        <v/>
      </c>
      <c r="IM76" s="62" t="str">
        <f t="shared" si="407"/>
        <v/>
      </c>
      <c r="IN76" s="62" t="str">
        <f t="shared" si="407"/>
        <v/>
      </c>
      <c r="IO76" s="62" t="str">
        <f t="shared" si="407"/>
        <v/>
      </c>
      <c r="IP76" s="63" t="str">
        <f t="shared" si="407"/>
        <v/>
      </c>
      <c r="IQ76" s="62" t="str">
        <f t="shared" si="407"/>
        <v/>
      </c>
      <c r="IR76" s="62" t="str">
        <f t="shared" si="407"/>
        <v/>
      </c>
      <c r="IS76" s="62" t="str">
        <f t="shared" si="407"/>
        <v/>
      </c>
      <c r="IT76" s="62" t="str">
        <f t="shared" si="407"/>
        <v/>
      </c>
      <c r="IU76" s="62" t="str">
        <f t="shared" si="407"/>
        <v/>
      </c>
      <c r="IV76" s="62" t="str">
        <f t="shared" si="407"/>
        <v/>
      </c>
      <c r="IW76" s="63" t="str">
        <f t="shared" si="407"/>
        <v/>
      </c>
      <c r="IX76" s="62" t="str">
        <f t="shared" si="407"/>
        <v/>
      </c>
      <c r="IY76" s="62" t="str">
        <f t="shared" si="407"/>
        <v/>
      </c>
      <c r="IZ76" s="62" t="str">
        <f t="shared" si="407"/>
        <v/>
      </c>
      <c r="JA76" s="62" t="str">
        <f t="shared" si="407"/>
        <v/>
      </c>
      <c r="JB76" s="62" t="str">
        <f t="shared" si="407"/>
        <v/>
      </c>
      <c r="JC76" s="62" t="str">
        <f t="shared" ref="JC76:LN76" si="408">IF(SUM(JC69:JC74) &gt; 0, SUM(JC69:JC74), "")</f>
        <v/>
      </c>
      <c r="JD76" s="63" t="str">
        <f t="shared" si="408"/>
        <v/>
      </c>
      <c r="JE76" s="62" t="str">
        <f t="shared" si="408"/>
        <v/>
      </c>
      <c r="JF76" s="62" t="str">
        <f t="shared" si="408"/>
        <v/>
      </c>
      <c r="JG76" s="62" t="str">
        <f t="shared" si="408"/>
        <v/>
      </c>
      <c r="JH76" s="62" t="str">
        <f t="shared" si="408"/>
        <v/>
      </c>
      <c r="JI76" s="62" t="str">
        <f t="shared" si="408"/>
        <v/>
      </c>
      <c r="JJ76" s="62" t="str">
        <f t="shared" si="408"/>
        <v/>
      </c>
      <c r="JK76" s="63" t="str">
        <f t="shared" si="408"/>
        <v/>
      </c>
      <c r="JL76" s="62" t="str">
        <f t="shared" si="408"/>
        <v/>
      </c>
      <c r="JM76" s="62" t="str">
        <f t="shared" si="408"/>
        <v/>
      </c>
      <c r="JN76" s="62" t="str">
        <f t="shared" si="408"/>
        <v/>
      </c>
      <c r="JO76" s="62" t="str">
        <f t="shared" si="408"/>
        <v/>
      </c>
      <c r="JP76" s="62" t="str">
        <f t="shared" si="408"/>
        <v/>
      </c>
      <c r="JQ76" s="62" t="str">
        <f t="shared" si="408"/>
        <v/>
      </c>
      <c r="JR76" s="63" t="str">
        <f t="shared" si="408"/>
        <v/>
      </c>
      <c r="JS76" s="62" t="str">
        <f t="shared" si="408"/>
        <v/>
      </c>
      <c r="JT76" s="62" t="str">
        <f t="shared" si="408"/>
        <v/>
      </c>
      <c r="JU76" s="62" t="str">
        <f t="shared" si="408"/>
        <v/>
      </c>
      <c r="JV76" s="62" t="str">
        <f t="shared" si="408"/>
        <v/>
      </c>
      <c r="JW76" s="62" t="str">
        <f t="shared" si="408"/>
        <v/>
      </c>
      <c r="JX76" s="62" t="str">
        <f t="shared" si="408"/>
        <v/>
      </c>
      <c r="JY76" s="63" t="str">
        <f t="shared" si="408"/>
        <v/>
      </c>
      <c r="JZ76" s="62" t="str">
        <f t="shared" si="408"/>
        <v/>
      </c>
      <c r="KA76" s="62" t="str">
        <f t="shared" si="408"/>
        <v/>
      </c>
      <c r="KB76" s="62" t="str">
        <f t="shared" si="408"/>
        <v/>
      </c>
      <c r="KC76" s="62" t="str">
        <f t="shared" si="408"/>
        <v/>
      </c>
      <c r="KD76" s="62" t="str">
        <f t="shared" si="408"/>
        <v/>
      </c>
      <c r="KE76" s="62" t="str">
        <f t="shared" si="408"/>
        <v/>
      </c>
      <c r="KF76" s="63" t="str">
        <f t="shared" si="408"/>
        <v/>
      </c>
      <c r="KG76" s="62" t="str">
        <f t="shared" si="408"/>
        <v/>
      </c>
      <c r="KH76" s="62" t="str">
        <f t="shared" si="408"/>
        <v/>
      </c>
      <c r="KI76" s="62" t="str">
        <f t="shared" si="408"/>
        <v/>
      </c>
      <c r="KJ76" s="62" t="str">
        <f t="shared" si="408"/>
        <v/>
      </c>
      <c r="KK76" s="62" t="str">
        <f t="shared" si="408"/>
        <v/>
      </c>
      <c r="KL76" s="62" t="str">
        <f t="shared" si="408"/>
        <v/>
      </c>
      <c r="KM76" s="63" t="str">
        <f t="shared" si="408"/>
        <v/>
      </c>
      <c r="KN76" s="62" t="str">
        <f t="shared" si="408"/>
        <v/>
      </c>
      <c r="KO76" s="62" t="str">
        <f t="shared" si="408"/>
        <v/>
      </c>
      <c r="KP76" s="62" t="str">
        <f t="shared" si="408"/>
        <v/>
      </c>
      <c r="KQ76" s="62" t="str">
        <f t="shared" si="408"/>
        <v/>
      </c>
      <c r="KR76" s="62" t="str">
        <f t="shared" si="408"/>
        <v/>
      </c>
      <c r="KS76" s="62" t="str">
        <f t="shared" si="408"/>
        <v/>
      </c>
      <c r="KT76" s="63" t="str">
        <f t="shared" si="408"/>
        <v/>
      </c>
      <c r="KU76" s="62" t="str">
        <f t="shared" si="408"/>
        <v/>
      </c>
      <c r="KV76" s="62" t="str">
        <f t="shared" si="408"/>
        <v/>
      </c>
      <c r="KW76" s="62" t="str">
        <f t="shared" si="408"/>
        <v/>
      </c>
      <c r="KX76" s="62" t="str">
        <f t="shared" si="408"/>
        <v/>
      </c>
      <c r="KY76" s="62" t="str">
        <f t="shared" si="408"/>
        <v/>
      </c>
      <c r="KZ76" s="62" t="str">
        <f t="shared" si="408"/>
        <v/>
      </c>
      <c r="LA76" s="63" t="str">
        <f t="shared" si="408"/>
        <v/>
      </c>
      <c r="LB76" s="62" t="str">
        <f t="shared" si="408"/>
        <v/>
      </c>
      <c r="LC76" s="62" t="str">
        <f t="shared" si="408"/>
        <v/>
      </c>
      <c r="LD76" s="62" t="str">
        <f t="shared" si="408"/>
        <v/>
      </c>
      <c r="LE76" s="62" t="str">
        <f t="shared" si="408"/>
        <v/>
      </c>
      <c r="LF76" s="62" t="str">
        <f t="shared" si="408"/>
        <v/>
      </c>
      <c r="LG76" s="62" t="str">
        <f t="shared" si="408"/>
        <v/>
      </c>
      <c r="LH76" s="63" t="str">
        <f t="shared" si="408"/>
        <v/>
      </c>
      <c r="LI76" s="62" t="str">
        <f t="shared" si="408"/>
        <v/>
      </c>
      <c r="LJ76" s="62" t="str">
        <f t="shared" si="408"/>
        <v/>
      </c>
      <c r="LK76" s="62" t="str">
        <f t="shared" si="408"/>
        <v/>
      </c>
      <c r="LL76" s="62" t="str">
        <f t="shared" si="408"/>
        <v/>
      </c>
      <c r="LM76" s="62" t="str">
        <f t="shared" si="408"/>
        <v/>
      </c>
      <c r="LN76" s="62" t="str">
        <f t="shared" si="408"/>
        <v/>
      </c>
      <c r="LO76" s="63" t="str">
        <f t="shared" ref="LO76:MJ76" si="409">IF(SUM(LO69:LO74) &gt; 0, SUM(LO69:LO74), "")</f>
        <v/>
      </c>
      <c r="LP76" s="62" t="str">
        <f t="shared" si="409"/>
        <v/>
      </c>
      <c r="LQ76" s="62" t="str">
        <f t="shared" si="409"/>
        <v/>
      </c>
      <c r="LR76" s="62" t="str">
        <f t="shared" si="409"/>
        <v/>
      </c>
      <c r="LS76" s="62" t="str">
        <f t="shared" si="409"/>
        <v/>
      </c>
      <c r="LT76" s="62" t="str">
        <f t="shared" si="409"/>
        <v/>
      </c>
      <c r="LU76" s="62" t="str">
        <f t="shared" si="409"/>
        <v/>
      </c>
      <c r="LV76" s="63" t="str">
        <f t="shared" si="409"/>
        <v/>
      </c>
      <c r="LW76" s="62" t="str">
        <f t="shared" si="409"/>
        <v/>
      </c>
      <c r="LX76" s="62" t="str">
        <f t="shared" si="409"/>
        <v/>
      </c>
      <c r="LY76" s="62" t="str">
        <f t="shared" si="409"/>
        <v/>
      </c>
      <c r="LZ76" s="62" t="str">
        <f t="shared" si="409"/>
        <v/>
      </c>
      <c r="MA76" s="62" t="str">
        <f t="shared" si="409"/>
        <v/>
      </c>
      <c r="MB76" s="62" t="str">
        <f t="shared" si="409"/>
        <v/>
      </c>
      <c r="MC76" s="63" t="str">
        <f t="shared" si="409"/>
        <v/>
      </c>
      <c r="MD76" s="62" t="str">
        <f t="shared" si="409"/>
        <v/>
      </c>
      <c r="ME76" s="62" t="str">
        <f t="shared" si="409"/>
        <v/>
      </c>
      <c r="MF76" s="62" t="str">
        <f t="shared" si="409"/>
        <v/>
      </c>
      <c r="MG76" s="62" t="str">
        <f t="shared" si="409"/>
        <v/>
      </c>
      <c r="MH76" s="62" t="str">
        <f t="shared" si="409"/>
        <v/>
      </c>
      <c r="MI76" s="62" t="str">
        <f t="shared" si="409"/>
        <v/>
      </c>
      <c r="MJ76" s="87" t="str">
        <f t="shared" si="409"/>
        <v/>
      </c>
    </row>
    <row r="77" spans="1:348" ht="15.75" thickBot="1" x14ac:dyDescent="0.3">
      <c r="A77" s="64" t="s">
        <v>250</v>
      </c>
      <c r="B77" s="62"/>
      <c r="C77" s="62"/>
      <c r="D77" s="62"/>
      <c r="E77" s="63"/>
      <c r="F77" s="62"/>
      <c r="G77" s="62"/>
      <c r="H77" s="62"/>
      <c r="I77" s="62"/>
      <c r="J77" s="62"/>
      <c r="K77" s="62"/>
      <c r="L77" s="62"/>
      <c r="M77" s="62"/>
      <c r="N77" s="62"/>
      <c r="O77" s="63"/>
      <c r="P77" s="62"/>
      <c r="Q77" s="62"/>
      <c r="R77" s="63"/>
      <c r="S77" s="62" t="str">
        <f>IF(SUM(S64, S76) &gt; 0, SUM(S64, S76), "")</f>
        <v/>
      </c>
      <c r="T77" s="65" t="str">
        <f t="shared" ref="T77:Z77" si="410">IF(SUM(T64, T76) &gt; 0, SUM(T64, T76), "")</f>
        <v/>
      </c>
      <c r="U77" s="62" t="str">
        <f t="shared" si="410"/>
        <v/>
      </c>
      <c r="V77" s="62" t="str">
        <f t="shared" si="410"/>
        <v/>
      </c>
      <c r="W77" s="62" t="str">
        <f t="shared" si="410"/>
        <v/>
      </c>
      <c r="X77" s="62" t="str">
        <f t="shared" si="410"/>
        <v/>
      </c>
      <c r="Y77" s="62" t="str">
        <f t="shared" si="410"/>
        <v/>
      </c>
      <c r="Z77" s="63" t="str">
        <f t="shared" si="410"/>
        <v/>
      </c>
      <c r="AA77" s="65" t="str">
        <f t="shared" ref="AA77" si="411">IF(SUM(AA64, AA76) &gt; 0, SUM(AA64, AA76), "")</f>
        <v/>
      </c>
      <c r="AB77" s="62" t="str">
        <f t="shared" ref="AB77" si="412">IF(SUM(AB64, AB76) &gt; 0, SUM(AB64, AB76), "")</f>
        <v/>
      </c>
      <c r="AC77" s="62" t="str">
        <f t="shared" ref="AC77" si="413">IF(SUM(AC64, AC76) &gt; 0, SUM(AC64, AC76), "")</f>
        <v/>
      </c>
      <c r="AD77" s="62" t="str">
        <f t="shared" ref="AD77" si="414">IF(SUM(AD64, AD76) &gt; 0, SUM(AD64, AD76), "")</f>
        <v/>
      </c>
      <c r="AE77" s="62" t="str">
        <f t="shared" ref="AE77" si="415">IF(SUM(AE64, AE76) &gt; 0, SUM(AE64, AE76), "")</f>
        <v/>
      </c>
      <c r="AF77" s="62" t="str">
        <f t="shared" ref="AF77" si="416">IF(SUM(AF64, AF76) &gt; 0, SUM(AF64, AF76), "")</f>
        <v/>
      </c>
      <c r="AG77" s="63" t="str">
        <f t="shared" ref="AG77" si="417">IF(SUM(AG64, AG76) &gt; 0, SUM(AG64, AG76), "")</f>
        <v/>
      </c>
      <c r="AH77" s="65" t="str">
        <f t="shared" ref="AH77" si="418">IF(SUM(AH64, AH76) &gt; 0, SUM(AH64, AH76), "")</f>
        <v/>
      </c>
      <c r="AI77" s="62">
        <f t="shared" ref="AI77" si="419">IF(SUM(AI64, AI76) &gt; 0, SUM(AI64, AI76), "")</f>
        <v>11</v>
      </c>
      <c r="AJ77" s="62" t="str">
        <f t="shared" ref="AJ77" si="420">IF(SUM(AJ64, AJ76) &gt; 0, SUM(AJ64, AJ76), "")</f>
        <v/>
      </c>
      <c r="AK77" s="62">
        <f t="shared" ref="AK77" si="421">IF(SUM(AK64, AK76) &gt; 0, SUM(AK64, AK76), "")</f>
        <v>10</v>
      </c>
      <c r="AL77" s="62" t="str">
        <f t="shared" ref="AL77" si="422">IF(SUM(AL64, AL76) &gt; 0, SUM(AL64, AL76), "")</f>
        <v/>
      </c>
      <c r="AM77" s="62" t="str">
        <f t="shared" ref="AM77" si="423">IF(SUM(AM64, AM76) &gt; 0, SUM(AM64, AM76), "")</f>
        <v/>
      </c>
      <c r="AN77" s="63" t="str">
        <f t="shared" ref="AN77" si="424">IF(SUM(AN64, AN76) &gt; 0, SUM(AN64, AN76), "")</f>
        <v/>
      </c>
      <c r="AO77" s="65" t="str">
        <f t="shared" ref="AO77" si="425">IF(SUM(AO64, AO76) &gt; 0, SUM(AO64, AO76), "")</f>
        <v/>
      </c>
      <c r="AP77" s="62">
        <f t="shared" ref="AP77" si="426">IF(SUM(AP64, AP76) &gt; 0, SUM(AP64, AP76), "")</f>
        <v>11</v>
      </c>
      <c r="AQ77" s="62" t="str">
        <f t="shared" ref="AQ77" si="427">IF(SUM(AQ64, AQ76) &gt; 0, SUM(AQ64, AQ76), "")</f>
        <v/>
      </c>
      <c r="AR77" s="62">
        <f t="shared" ref="AR77" si="428">IF(SUM(AR64, AR76) &gt; 0, SUM(AR64, AR76), "")</f>
        <v>10</v>
      </c>
      <c r="AS77" s="62" t="str">
        <f t="shared" ref="AS77" si="429">IF(SUM(AS64, AS76) &gt; 0, SUM(AS64, AS76), "")</f>
        <v/>
      </c>
      <c r="AT77" s="62" t="str">
        <f t="shared" ref="AT77" si="430">IF(SUM(AT64, AT76) &gt; 0, SUM(AT64, AT76), "")</f>
        <v/>
      </c>
      <c r="AU77" s="63" t="str">
        <f t="shared" ref="AU77" si="431">IF(SUM(AU64, AU76) &gt; 0, SUM(AU64, AU76), "")</f>
        <v/>
      </c>
      <c r="AV77" s="65" t="str">
        <f t="shared" ref="AV77" si="432">IF(SUM(AV64, AV76) &gt; 0, SUM(AV64, AV76), "")</f>
        <v/>
      </c>
      <c r="AW77" s="62">
        <f t="shared" ref="AW77" si="433">IF(SUM(AW64, AW76) &gt; 0, SUM(AW64, AW76), "")</f>
        <v>11</v>
      </c>
      <c r="AX77" s="62">
        <f t="shared" ref="AX77" si="434">IF(SUM(AX64, AX76) &gt; 0, SUM(AX64, AX76), "")</f>
        <v>6</v>
      </c>
      <c r="AY77" s="62">
        <f t="shared" ref="AY77" si="435">IF(SUM(AY64, AY76) &gt; 0, SUM(AY64, AY76), "")</f>
        <v>8</v>
      </c>
      <c r="AZ77" s="62" t="str">
        <f t="shared" ref="AZ77" si="436">IF(SUM(AZ64, AZ76) &gt; 0, SUM(AZ64, AZ76), "")</f>
        <v/>
      </c>
      <c r="BA77" s="62" t="str">
        <f t="shared" ref="BA77" si="437">IF(SUM(BA64, BA76) &gt; 0, SUM(BA64, BA76), "")</f>
        <v/>
      </c>
      <c r="BB77" s="63" t="str">
        <f t="shared" ref="BB77" si="438">IF(SUM(BB64, BB76) &gt; 0, SUM(BB64, BB76), "")</f>
        <v/>
      </c>
      <c r="BC77" s="65" t="str">
        <f t="shared" ref="BC77" si="439">IF(SUM(BC64, BC76) &gt; 0, SUM(BC64, BC76), "")</f>
        <v/>
      </c>
      <c r="BD77" s="62">
        <f t="shared" ref="BD77" si="440">IF(SUM(BD64, BD76) &gt; 0, SUM(BD64, BD76), "")</f>
        <v>11</v>
      </c>
      <c r="BE77" s="62" t="str">
        <f t="shared" ref="BE77" si="441">IF(SUM(BE64, BE76) &gt; 0, SUM(BE64, BE76), "")</f>
        <v/>
      </c>
      <c r="BF77" s="62">
        <f t="shared" ref="BF77" si="442">IF(SUM(BF64, BF76) &gt; 0, SUM(BF64, BF76), "")</f>
        <v>8</v>
      </c>
      <c r="BG77" s="62" t="str">
        <f t="shared" ref="BG77" si="443">IF(SUM(BG64, BG76) &gt; 0, SUM(BG64, BG76), "")</f>
        <v/>
      </c>
      <c r="BH77" s="62" t="str">
        <f t="shared" ref="BH77" si="444">IF(SUM(BH64, BH76) &gt; 0, SUM(BH64, BH76), "")</f>
        <v/>
      </c>
      <c r="BI77" s="63" t="str">
        <f t="shared" ref="BI77" si="445">IF(SUM(BI64, BI76) &gt; 0, SUM(BI64, BI76), "")</f>
        <v/>
      </c>
      <c r="BJ77" s="65" t="str">
        <f t="shared" ref="BJ77" si="446">IF(SUM(BJ64, BJ76) &gt; 0, SUM(BJ64, BJ76), "")</f>
        <v/>
      </c>
      <c r="BK77" s="62">
        <f t="shared" ref="BK77" si="447">IF(SUM(BK64, BK76) &gt; 0, SUM(BK64, BK76), "")</f>
        <v>9</v>
      </c>
      <c r="BL77" s="62" t="str">
        <f t="shared" ref="BL77" si="448">IF(SUM(BL64, BL76) &gt; 0, SUM(BL64, BL76), "")</f>
        <v/>
      </c>
      <c r="BM77" s="62">
        <f t="shared" ref="BM77" si="449">IF(SUM(BM64, BM76) &gt; 0, SUM(BM64, BM76), "")</f>
        <v>13</v>
      </c>
      <c r="BN77" s="62">
        <f t="shared" ref="BN77" si="450">IF(SUM(BN64, BN76) &gt; 0, SUM(BN64, BN76), "")</f>
        <v>12</v>
      </c>
      <c r="BO77" s="62" t="str">
        <f t="shared" ref="BO77:BP77" si="451">IF(SUM(BO64, BO76) &gt; 0, SUM(BO64, BO76), "")</f>
        <v/>
      </c>
      <c r="BP77" s="63">
        <f t="shared" si="451"/>
        <v>5</v>
      </c>
      <c r="BQ77" s="62" t="str">
        <f t="shared" ref="BQ77" si="452">IF(SUM(BQ64, BQ76) &gt; 0, SUM(BQ64, BQ76), "")</f>
        <v/>
      </c>
      <c r="BR77" s="62" t="str">
        <f t="shared" ref="BR77" si="453">IF(SUM(BR64, BR76) &gt; 0, SUM(BR64, BR76), "")</f>
        <v/>
      </c>
      <c r="BS77" s="62" t="str">
        <f t="shared" ref="BS77" si="454">IF(SUM(BS64, BS76) &gt; 0, SUM(BS64, BS76), "")</f>
        <v/>
      </c>
      <c r="BT77" s="62" t="str">
        <f t="shared" ref="BT77" si="455">IF(SUM(BT64, BT76) &gt; 0, SUM(BT64, BT76), "")</f>
        <v/>
      </c>
      <c r="BU77" s="62" t="str">
        <f t="shared" ref="BU77" si="456">IF(SUM(BU64, BU76) &gt; 0, SUM(BU64, BU76), "")</f>
        <v/>
      </c>
      <c r="BV77" s="62" t="str">
        <f t="shared" ref="BV77:BW77" si="457">IF(SUM(BV64, BV76) &gt; 0, SUM(BV64, BV76), "")</f>
        <v/>
      </c>
      <c r="BW77" s="62">
        <f t="shared" si="457"/>
        <v>2</v>
      </c>
      <c r="BX77" s="62"/>
      <c r="BY77" s="63" t="str">
        <f t="shared" ref="BY77" si="458">IF(SUM(BY64, BY76) &gt; 0, SUM(BY64, BY76), "")</f>
        <v/>
      </c>
      <c r="BZ77" s="65" t="str">
        <f t="shared" ref="BZ77" si="459">IF(SUM(BZ64, BZ76) &gt; 0, SUM(BZ64, BZ76), "")</f>
        <v/>
      </c>
      <c r="CA77" s="62" t="str">
        <f t="shared" ref="CA77" si="460">IF(SUM(CA64, CA76) &gt; 0, SUM(CA64, CA76), "")</f>
        <v/>
      </c>
      <c r="CB77" s="62" t="str">
        <f t="shared" ref="CB77" si="461">IF(SUM(CB64, CB76) &gt; 0, SUM(CB64, CB76), "")</f>
        <v/>
      </c>
      <c r="CC77" s="62" t="str">
        <f t="shared" ref="CC77" si="462">IF(SUM(CC64, CC76) &gt; 0, SUM(CC64, CC76), "")</f>
        <v/>
      </c>
      <c r="CD77" s="62" t="str">
        <f t="shared" ref="CD77" si="463">IF(SUM(CD64, CD76) &gt; 0, SUM(CD64, CD76), "")</f>
        <v/>
      </c>
      <c r="CE77" s="62" t="str">
        <f t="shared" ref="CE77" si="464">IF(SUM(CE64, CE76) &gt; 0, SUM(CE64, CE76), "")</f>
        <v/>
      </c>
      <c r="CF77" s="62"/>
      <c r="CG77" s="62"/>
      <c r="CH77" s="63" t="str">
        <f t="shared" ref="CH77" si="465">IF(SUM(CH64, CH76) &gt; 0, SUM(CH64, CH76), "")</f>
        <v/>
      </c>
      <c r="CI77" s="65" t="str">
        <f t="shared" ref="CI77" si="466">IF(SUM(CI64, CI76) &gt; 0, SUM(CI64, CI76), "")</f>
        <v/>
      </c>
      <c r="CJ77" s="62" t="str">
        <f t="shared" ref="CJ77" si="467">IF(SUM(CJ64, CJ76) &gt; 0, SUM(CJ64, CJ76), "")</f>
        <v/>
      </c>
      <c r="CK77" s="62" t="str">
        <f t="shared" ref="CK77" si="468">IF(SUM(CK64, CK76) &gt; 0, SUM(CK64, CK76), "")</f>
        <v/>
      </c>
      <c r="CL77" s="62" t="str">
        <f t="shared" ref="CL77" si="469">IF(SUM(CL64, CL76) &gt; 0, SUM(CL64, CL76), "")</f>
        <v/>
      </c>
      <c r="CM77" s="62" t="str">
        <f t="shared" ref="CM77" si="470">IF(SUM(CM64, CM76) &gt; 0, SUM(CM64, CM76), "")</f>
        <v/>
      </c>
      <c r="CN77" s="62" t="str">
        <f t="shared" ref="CN77:CO77" si="471">IF(SUM(CN64, CN76) &gt; 0, SUM(CN64, CN76), "")</f>
        <v/>
      </c>
      <c r="CO77" s="62" t="str">
        <f t="shared" si="471"/>
        <v/>
      </c>
      <c r="CP77" s="62"/>
      <c r="CQ77" s="63" t="str">
        <f t="shared" ref="CQ77" si="472">IF(SUM(CQ64, CQ76) &gt; 0, SUM(CQ64, CQ76), "")</f>
        <v/>
      </c>
      <c r="CR77" s="65" t="str">
        <f t="shared" ref="CR77" si="473">IF(SUM(CR64, CR76) &gt; 0, SUM(CR64, CR76), "")</f>
        <v/>
      </c>
      <c r="CS77" s="62" t="str">
        <f t="shared" ref="CS77" si="474">IF(SUM(CS64, CS76) &gt; 0, SUM(CS64, CS76), "")</f>
        <v/>
      </c>
      <c r="CT77" s="62" t="str">
        <f t="shared" ref="CT77" si="475">IF(SUM(CT64, CT76) &gt; 0, SUM(CT64, CT76), "")</f>
        <v/>
      </c>
      <c r="CU77" s="62" t="str">
        <f t="shared" ref="CU77" si="476">IF(SUM(CU64, CU76) &gt; 0, SUM(CU64, CU76), "")</f>
        <v/>
      </c>
      <c r="CV77" s="62" t="str">
        <f t="shared" ref="CV77" si="477">IF(SUM(CV64, CV76) &gt; 0, SUM(CV64, CV76), "")</f>
        <v/>
      </c>
      <c r="CW77" s="62"/>
      <c r="CX77" s="62"/>
      <c r="CY77" s="62" t="str">
        <f t="shared" ref="CY77" si="478">IF(SUM(CY64, CY76) &gt; 0, SUM(CY64, CY76), "")</f>
        <v/>
      </c>
      <c r="CZ77" s="63" t="str">
        <f t="shared" ref="CZ77" si="479">IF(SUM(CZ64, CZ76) &gt; 0, SUM(CZ64, CZ76), "")</f>
        <v/>
      </c>
      <c r="DA77" s="65" t="str">
        <f t="shared" ref="DA77" si="480">IF(SUM(DA64, DA76) &gt; 0, SUM(DA64, DA76), "")</f>
        <v/>
      </c>
      <c r="DB77" s="62" t="str">
        <f t="shared" ref="DB77" si="481">IF(SUM(DB64, DB76) &gt; 0, SUM(DB64, DB76), "")</f>
        <v/>
      </c>
      <c r="DC77" s="62" t="str">
        <f t="shared" ref="DC77" si="482">IF(SUM(DC64, DC76) &gt; 0, SUM(DC64, DC76), "")</f>
        <v/>
      </c>
      <c r="DD77" s="62" t="str">
        <f t="shared" ref="DD77" si="483">IF(SUM(DD64, DD76) &gt; 0, SUM(DD64, DD76), "")</f>
        <v/>
      </c>
      <c r="DE77" s="62" t="str">
        <f t="shared" ref="DE77" si="484">IF(SUM(DE64, DE76) &gt; 0, SUM(DE64, DE76), "")</f>
        <v/>
      </c>
      <c r="DF77" s="62" t="str">
        <f t="shared" ref="DF77" si="485">IF(SUM(DF64, DF76) &gt; 0, SUM(DF64, DF76), "")</f>
        <v/>
      </c>
      <c r="DG77" s="62"/>
      <c r="DH77" s="62"/>
      <c r="DI77" s="63" t="str">
        <f t="shared" ref="DI77" si="486">IF(SUM(DI64, DI76) &gt; 0, SUM(DI64, DI76), "")</f>
        <v/>
      </c>
      <c r="DJ77" s="65" t="str">
        <f t="shared" ref="DJ77" si="487">IF(SUM(DJ64, DJ76) &gt; 0, SUM(DJ64, DJ76), "")</f>
        <v/>
      </c>
      <c r="DK77" s="62" t="str">
        <f t="shared" ref="DK77" si="488">IF(SUM(DK64, DK76) &gt; 0, SUM(DK64, DK76), "")</f>
        <v/>
      </c>
      <c r="DL77" s="62" t="str">
        <f t="shared" ref="DL77" si="489">IF(SUM(DL64, DL76) &gt; 0, SUM(DL64, DL76), "")</f>
        <v/>
      </c>
      <c r="DM77" s="62" t="str">
        <f t="shared" ref="DM77" si="490">IF(SUM(DM64, DM76) &gt; 0, SUM(DM64, DM76), "")</f>
        <v/>
      </c>
      <c r="DN77" s="62" t="str">
        <f t="shared" ref="DN77" si="491">IF(SUM(DN64, DN76) &gt; 0, SUM(DN64, DN76), "")</f>
        <v/>
      </c>
      <c r="DO77" s="62" t="str">
        <f t="shared" ref="DO77" si="492">IF(SUM(DO64, DO76) &gt; 0, SUM(DO64, DO76), "")</f>
        <v/>
      </c>
      <c r="DP77" s="62"/>
      <c r="DQ77" s="62"/>
      <c r="DR77" s="63" t="str">
        <f t="shared" ref="DR77" si="493">IF(SUM(DR64, DR76) &gt; 0, SUM(DR64, DR76), "")</f>
        <v/>
      </c>
      <c r="DS77" s="65" t="str">
        <f t="shared" ref="DS77" si="494">IF(SUM(DS64, DS76) &gt; 0, SUM(DS64, DS76), "")</f>
        <v/>
      </c>
      <c r="DT77" s="62">
        <f t="shared" ref="DT77" si="495">IF(SUM(DT64, DT76) &gt; 0, SUM(DT64, DT76), "")</f>
        <v>8</v>
      </c>
      <c r="DU77" s="62" t="str">
        <f t="shared" ref="DU77" si="496">IF(SUM(DU64, DU76) &gt; 0, SUM(DU64, DU76), "")</f>
        <v/>
      </c>
      <c r="DV77" s="62">
        <f t="shared" ref="DV77" si="497">IF(SUM(DV64, DV76) &gt; 0, SUM(DV64, DV76), "")</f>
        <v>7</v>
      </c>
      <c r="DW77" s="62">
        <f t="shared" ref="DW77" si="498">IF(SUM(DW64, DW76) &gt; 0, SUM(DW64, DW76), "")</f>
        <v>5</v>
      </c>
      <c r="DX77" s="62"/>
      <c r="DY77" s="62"/>
      <c r="DZ77" s="62" t="str">
        <f t="shared" ref="DZ77" si="499">IF(SUM(DZ64, DZ76) &gt; 0, SUM(DZ64, DZ76), "")</f>
        <v/>
      </c>
      <c r="EA77" s="63" t="str">
        <f t="shared" ref="EA77" si="500">IF(SUM(EA64, EA76) &gt; 0, SUM(EA64, EA76), "")</f>
        <v/>
      </c>
      <c r="EB77" s="65" t="str">
        <f t="shared" ref="EB77" si="501">IF(SUM(EB64, EB76) &gt; 0, SUM(EB64, EB76), "")</f>
        <v/>
      </c>
      <c r="EC77" s="62" t="str">
        <f t="shared" ref="EC77" si="502">IF(SUM(EC64, EC76) &gt; 0, SUM(EC64, EC76), "")</f>
        <v/>
      </c>
      <c r="ED77" s="62" t="str">
        <f t="shared" ref="ED77" si="503">IF(SUM(ED64, ED76) &gt; 0, SUM(ED64, ED76), "")</f>
        <v/>
      </c>
      <c r="EE77" s="62" t="str">
        <f t="shared" ref="EE77" si="504">IF(SUM(EE64, EE76) &gt; 0, SUM(EE64, EE76), "")</f>
        <v/>
      </c>
      <c r="EF77" s="62" t="str">
        <f t="shared" ref="EF77" si="505">IF(SUM(EF64, EF76) &gt; 0, SUM(EF64, EF76), "")</f>
        <v/>
      </c>
      <c r="EG77" s="62" t="str">
        <f t="shared" ref="EG77" si="506">IF(SUM(EG64, EG76) &gt; 0, SUM(EG64, EG76), "")</f>
        <v/>
      </c>
      <c r="EH77" s="63" t="str">
        <f t="shared" ref="EH77" si="507">IF(SUM(EH64, EH76) &gt; 0, SUM(EH64, EH76), "")</f>
        <v/>
      </c>
      <c r="EI77" s="65" t="str">
        <f t="shared" ref="EI77" si="508">IF(SUM(EI64, EI76) &gt; 0, SUM(EI64, EI76), "")</f>
        <v/>
      </c>
      <c r="EJ77" s="62" t="str">
        <f t="shared" ref="EJ77" si="509">IF(SUM(EJ64, EJ76) &gt; 0, SUM(EJ64, EJ76), "")</f>
        <v/>
      </c>
      <c r="EK77" s="62" t="str">
        <f t="shared" ref="EK77" si="510">IF(SUM(EK64, EK76) &gt; 0, SUM(EK64, EK76), "")</f>
        <v/>
      </c>
      <c r="EL77" s="62" t="str">
        <f t="shared" ref="EL77" si="511">IF(SUM(EL64, EL76) &gt; 0, SUM(EL64, EL76), "")</f>
        <v/>
      </c>
      <c r="EM77" s="62" t="str">
        <f t="shared" ref="EM77" si="512">IF(SUM(EM64, EM76) &gt; 0, SUM(EM64, EM76), "")</f>
        <v/>
      </c>
      <c r="EN77" s="62" t="str">
        <f t="shared" ref="EN77" si="513">IF(SUM(EN64, EN76) &gt; 0, SUM(EN64, EN76), "")</f>
        <v/>
      </c>
      <c r="EO77" s="63" t="str">
        <f t="shared" ref="EO77" si="514">IF(SUM(EO64, EO76) &gt; 0, SUM(EO64, EO76), "")</f>
        <v/>
      </c>
      <c r="EP77" s="65" t="str">
        <f t="shared" ref="EP77" si="515">IF(SUM(EP64, EP76) &gt; 0, SUM(EP64, EP76), "")</f>
        <v/>
      </c>
      <c r="EQ77" s="62" t="str">
        <f t="shared" ref="EQ77" si="516">IF(SUM(EQ64, EQ76) &gt; 0, SUM(EQ64, EQ76), "")</f>
        <v/>
      </c>
      <c r="ER77" s="62" t="str">
        <f t="shared" ref="ER77" si="517">IF(SUM(ER64, ER76) &gt; 0, SUM(ER64, ER76), "")</f>
        <v/>
      </c>
      <c r="ES77" s="62" t="str">
        <f t="shared" ref="ES77" si="518">IF(SUM(ES64, ES76) &gt; 0, SUM(ES64, ES76), "")</f>
        <v/>
      </c>
      <c r="ET77" s="62" t="str">
        <f t="shared" ref="ET77" si="519">IF(SUM(ET64, ET76) &gt; 0, SUM(ET64, ET76), "")</f>
        <v/>
      </c>
      <c r="EU77" s="62" t="str">
        <f t="shared" ref="EU77" si="520">IF(SUM(EU64, EU76) &gt; 0, SUM(EU64, EU76), "")</f>
        <v/>
      </c>
      <c r="EV77" s="63" t="str">
        <f t="shared" ref="EV77" si="521">IF(SUM(EV64, EV76) &gt; 0, SUM(EV64, EV76), "")</f>
        <v/>
      </c>
      <c r="EW77" s="65" t="str">
        <f t="shared" ref="EW77" si="522">IF(SUM(EW64, EW76) &gt; 0, SUM(EW64, EW76), "")</f>
        <v/>
      </c>
      <c r="EX77" s="62" t="str">
        <f t="shared" ref="EX77" si="523">IF(SUM(EX64, EX76) &gt; 0, SUM(EX64, EX76), "")</f>
        <v/>
      </c>
      <c r="EY77" s="62" t="str">
        <f t="shared" ref="EY77" si="524">IF(SUM(EY64, EY76) &gt; 0, SUM(EY64, EY76), "")</f>
        <v/>
      </c>
      <c r="EZ77" s="62" t="str">
        <f t="shared" ref="EZ77" si="525">IF(SUM(EZ64, EZ76) &gt; 0, SUM(EZ64, EZ76), "")</f>
        <v/>
      </c>
      <c r="FA77" s="62" t="str">
        <f t="shared" ref="FA77" si="526">IF(SUM(FA64, FA76) &gt; 0, SUM(FA64, FA76), "")</f>
        <v/>
      </c>
      <c r="FB77" s="62" t="str">
        <f t="shared" ref="FB77" si="527">IF(SUM(FB64, FB76) &gt; 0, SUM(FB64, FB76), "")</f>
        <v/>
      </c>
      <c r="FC77" s="63" t="str">
        <f t="shared" ref="FC77" si="528">IF(SUM(FC64, FC76) &gt; 0, SUM(FC64, FC76), "")</f>
        <v/>
      </c>
      <c r="FD77" s="65" t="str">
        <f t="shared" ref="FD77" si="529">IF(SUM(FD64, FD76) &gt; 0, SUM(FD64, FD76), "")</f>
        <v/>
      </c>
      <c r="FE77" s="62" t="str">
        <f t="shared" ref="FE77" si="530">IF(SUM(FE64, FE76) &gt; 0, SUM(FE64, FE76), "")</f>
        <v/>
      </c>
      <c r="FF77" s="62" t="str">
        <f t="shared" ref="FF77" si="531">IF(SUM(FF64, FF76) &gt; 0, SUM(FF64, FF76), "")</f>
        <v/>
      </c>
      <c r="FG77" s="62" t="str">
        <f t="shared" ref="FG77" si="532">IF(SUM(FG64, FG76) &gt; 0, SUM(FG64, FG76), "")</f>
        <v/>
      </c>
      <c r="FH77" s="62" t="str">
        <f t="shared" ref="FH77" si="533">IF(SUM(FH64, FH76) &gt; 0, SUM(FH64, FH76), "")</f>
        <v/>
      </c>
      <c r="FI77" s="62" t="str">
        <f t="shared" ref="FI77" si="534">IF(SUM(FI64, FI76) &gt; 0, SUM(FI64, FI76), "")</f>
        <v/>
      </c>
      <c r="FJ77" s="63" t="str">
        <f t="shared" ref="FJ77" si="535">IF(SUM(FJ64, FJ76) &gt; 0, SUM(FJ64, FJ76), "")</f>
        <v/>
      </c>
      <c r="FK77" s="65" t="str">
        <f t="shared" ref="FK77" si="536">IF(SUM(FK64, FK76) &gt; 0, SUM(FK64, FK76), "")</f>
        <v/>
      </c>
      <c r="FL77" s="62" t="str">
        <f t="shared" ref="FL77" si="537">IF(SUM(FL64, FL76) &gt; 0, SUM(FL64, FL76), "")</f>
        <v/>
      </c>
      <c r="FM77" s="62" t="str">
        <f t="shared" ref="FM77" si="538">IF(SUM(FM64, FM76) &gt; 0, SUM(FM64, FM76), "")</f>
        <v/>
      </c>
      <c r="FN77" s="62" t="str">
        <f t="shared" ref="FN77" si="539">IF(SUM(FN64, FN76) &gt; 0, SUM(FN64, FN76), "")</f>
        <v/>
      </c>
      <c r="FO77" s="62" t="str">
        <f t="shared" ref="FO77" si="540">IF(SUM(FO64, FO76) &gt; 0, SUM(FO64, FO76), "")</f>
        <v/>
      </c>
      <c r="FP77" s="62" t="str">
        <f t="shared" ref="FP77" si="541">IF(SUM(FP64, FP76) &gt; 0, SUM(FP64, FP76), "")</f>
        <v/>
      </c>
      <c r="FQ77" s="63" t="str">
        <f t="shared" ref="FQ77" si="542">IF(SUM(FQ64, FQ76) &gt; 0, SUM(FQ64, FQ76), "")</f>
        <v/>
      </c>
      <c r="FR77" s="65" t="str">
        <f t="shared" ref="FR77" si="543">IF(SUM(FR64, FR76) &gt; 0, SUM(FR64, FR76), "")</f>
        <v/>
      </c>
      <c r="FS77" s="62" t="str">
        <f t="shared" ref="FS77" si="544">IF(SUM(FS64, FS76) &gt; 0, SUM(FS64, FS76), "")</f>
        <v/>
      </c>
      <c r="FT77" s="62" t="str">
        <f t="shared" ref="FT77" si="545">IF(SUM(FT64, FT76) &gt; 0, SUM(FT64, FT76), "")</f>
        <v/>
      </c>
      <c r="FU77" s="62" t="str">
        <f t="shared" ref="FU77" si="546">IF(SUM(FU64, FU76) &gt; 0, SUM(FU64, FU76), "")</f>
        <v/>
      </c>
      <c r="FV77" s="62" t="str">
        <f t="shared" ref="FV77" si="547">IF(SUM(FV64, FV76) &gt; 0, SUM(FV64, FV76), "")</f>
        <v/>
      </c>
      <c r="FW77" s="62" t="str">
        <f t="shared" ref="FW77" si="548">IF(SUM(FW64, FW76) &gt; 0, SUM(FW64, FW76), "")</f>
        <v/>
      </c>
      <c r="FX77" s="63" t="str">
        <f t="shared" ref="FX77" si="549">IF(SUM(FX64, FX76) &gt; 0, SUM(FX64, FX76), "")</f>
        <v/>
      </c>
      <c r="FY77" s="65" t="str">
        <f t="shared" ref="FY77" si="550">IF(SUM(FY64, FY76) &gt; 0, SUM(FY64, FY76), "")</f>
        <v/>
      </c>
      <c r="FZ77" s="62" t="str">
        <f t="shared" ref="FZ77" si="551">IF(SUM(FZ64, FZ76) &gt; 0, SUM(FZ64, FZ76), "")</f>
        <v/>
      </c>
      <c r="GA77" s="62" t="str">
        <f t="shared" ref="GA77" si="552">IF(SUM(GA64, GA76) &gt; 0, SUM(GA64, GA76), "")</f>
        <v/>
      </c>
      <c r="GB77" s="62" t="str">
        <f t="shared" ref="GB77" si="553">IF(SUM(GB64, GB76) &gt; 0, SUM(GB64, GB76), "")</f>
        <v/>
      </c>
      <c r="GC77" s="62" t="str">
        <f t="shared" ref="GC77" si="554">IF(SUM(GC64, GC76) &gt; 0, SUM(GC64, GC76), "")</f>
        <v/>
      </c>
      <c r="GD77" s="62" t="str">
        <f t="shared" ref="GD77" si="555">IF(SUM(GD64, GD76) &gt; 0, SUM(GD64, GD76), "")</f>
        <v/>
      </c>
      <c r="GE77" s="63" t="str">
        <f t="shared" ref="GE77" si="556">IF(SUM(GE64, GE76) &gt; 0, SUM(GE64, GE76), "")</f>
        <v/>
      </c>
      <c r="GF77" s="65" t="str">
        <f t="shared" ref="GF77" si="557">IF(SUM(GF64, GF76) &gt; 0, SUM(GF64, GF76), "")</f>
        <v/>
      </c>
      <c r="GG77" s="62" t="str">
        <f t="shared" ref="GG77" si="558">IF(SUM(GG64, GG76) &gt; 0, SUM(GG64, GG76), "")</f>
        <v/>
      </c>
      <c r="GH77" s="62" t="str">
        <f t="shared" ref="GH77" si="559">IF(SUM(GH64, GH76) &gt; 0, SUM(GH64, GH76), "")</f>
        <v/>
      </c>
      <c r="GI77" s="62" t="str">
        <f t="shared" ref="GI77" si="560">IF(SUM(GI64, GI76) &gt; 0, SUM(GI64, GI76), "")</f>
        <v/>
      </c>
      <c r="GJ77" s="62" t="str">
        <f t="shared" ref="GJ77" si="561">IF(SUM(GJ64, GJ76) &gt; 0, SUM(GJ64, GJ76), "")</f>
        <v/>
      </c>
      <c r="GK77" s="62" t="str">
        <f t="shared" ref="GK77" si="562">IF(SUM(GK64, GK76) &gt; 0, SUM(GK64, GK76), "")</f>
        <v/>
      </c>
      <c r="GL77" s="63" t="str">
        <f t="shared" ref="GL77" si="563">IF(SUM(GL64, GL76) &gt; 0, SUM(GL64, GL76), "")</f>
        <v/>
      </c>
      <c r="GM77" s="65" t="str">
        <f t="shared" ref="GM77" si="564">IF(SUM(GM64, GM76) &gt; 0, SUM(GM64, GM76), "")</f>
        <v/>
      </c>
      <c r="GN77" s="62" t="str">
        <f t="shared" ref="GN77" si="565">IF(SUM(GN64, GN76) &gt; 0, SUM(GN64, GN76), "")</f>
        <v/>
      </c>
      <c r="GO77" s="62" t="str">
        <f t="shared" ref="GO77" si="566">IF(SUM(GO64, GO76) &gt; 0, SUM(GO64, GO76), "")</f>
        <v/>
      </c>
      <c r="GP77" s="62" t="str">
        <f t="shared" ref="GP77" si="567">IF(SUM(GP64, GP76) &gt; 0, SUM(GP64, GP76), "")</f>
        <v/>
      </c>
      <c r="GQ77" s="62" t="str">
        <f t="shared" ref="GQ77" si="568">IF(SUM(GQ64, GQ76) &gt; 0, SUM(GQ64, GQ76), "")</f>
        <v/>
      </c>
      <c r="GR77" s="62" t="str">
        <f t="shared" ref="GR77" si="569">IF(SUM(GR64, GR76) &gt; 0, SUM(GR64, GR76), "")</f>
        <v/>
      </c>
      <c r="GS77" s="63" t="str">
        <f t="shared" ref="GS77" si="570">IF(SUM(GS64, GS76) &gt; 0, SUM(GS64, GS76), "")</f>
        <v/>
      </c>
      <c r="GT77" s="65" t="str">
        <f t="shared" ref="GT77" si="571">IF(SUM(GT64, GT76) &gt; 0, SUM(GT64, GT76), "")</f>
        <v/>
      </c>
      <c r="GU77" s="62" t="str">
        <f t="shared" ref="GU77" si="572">IF(SUM(GU64, GU76) &gt; 0, SUM(GU64, GU76), "")</f>
        <v/>
      </c>
      <c r="GV77" s="62" t="str">
        <f t="shared" ref="GV77" si="573">IF(SUM(GV64, GV76) &gt; 0, SUM(GV64, GV76), "")</f>
        <v/>
      </c>
      <c r="GW77" s="62" t="str">
        <f t="shared" ref="GW77" si="574">IF(SUM(GW64, GW76) &gt; 0, SUM(GW64, GW76), "")</f>
        <v/>
      </c>
      <c r="GX77" s="62" t="str">
        <f t="shared" ref="GX77" si="575">IF(SUM(GX64, GX76) &gt; 0, SUM(GX64, GX76), "")</f>
        <v/>
      </c>
      <c r="GY77" s="62" t="str">
        <f t="shared" ref="GY77" si="576">IF(SUM(GY64, GY76) &gt; 0, SUM(GY64, GY76), "")</f>
        <v/>
      </c>
      <c r="GZ77" s="63" t="str">
        <f t="shared" ref="GZ77" si="577">IF(SUM(GZ64, GZ76) &gt; 0, SUM(GZ64, GZ76), "")</f>
        <v/>
      </c>
      <c r="HA77" s="65" t="str">
        <f t="shared" ref="HA77" si="578">IF(SUM(HA64, HA76) &gt; 0, SUM(HA64, HA76), "")</f>
        <v/>
      </c>
      <c r="HB77" s="62" t="str">
        <f t="shared" ref="HB77" si="579">IF(SUM(HB64, HB76) &gt; 0, SUM(HB64, HB76), "")</f>
        <v/>
      </c>
      <c r="HC77" s="62" t="str">
        <f t="shared" ref="HC77" si="580">IF(SUM(HC64, HC76) &gt; 0, SUM(HC64, HC76), "")</f>
        <v/>
      </c>
      <c r="HD77" s="62" t="str">
        <f t="shared" ref="HD77" si="581">IF(SUM(HD64, HD76) &gt; 0, SUM(HD64, HD76), "")</f>
        <v/>
      </c>
      <c r="HE77" s="62" t="str">
        <f t="shared" ref="HE77" si="582">IF(SUM(HE64, HE76) &gt; 0, SUM(HE64, HE76), "")</f>
        <v/>
      </c>
      <c r="HF77" s="62" t="str">
        <f t="shared" ref="HF77" si="583">IF(SUM(HF64, HF76) &gt; 0, SUM(HF64, HF76), "")</f>
        <v/>
      </c>
      <c r="HG77" s="63" t="str">
        <f t="shared" ref="HG77" si="584">IF(SUM(HG64, HG76) &gt; 0, SUM(HG64, HG76), "")</f>
        <v/>
      </c>
      <c r="HH77" s="65" t="str">
        <f t="shared" ref="HH77" si="585">IF(SUM(HH64, HH76) &gt; 0, SUM(HH64, HH76), "")</f>
        <v/>
      </c>
      <c r="HI77" s="62" t="str">
        <f t="shared" ref="HI77" si="586">IF(SUM(HI64, HI76) &gt; 0, SUM(HI64, HI76), "")</f>
        <v/>
      </c>
      <c r="HJ77" s="62" t="str">
        <f t="shared" ref="HJ77" si="587">IF(SUM(HJ64, HJ76) &gt; 0, SUM(HJ64, HJ76), "")</f>
        <v/>
      </c>
      <c r="HK77" s="62" t="str">
        <f t="shared" ref="HK77" si="588">IF(SUM(HK64, HK76) &gt; 0, SUM(HK64, HK76), "")</f>
        <v/>
      </c>
      <c r="HL77" s="62" t="str">
        <f t="shared" ref="HL77" si="589">IF(SUM(HL64, HL76) &gt; 0, SUM(HL64, HL76), "")</f>
        <v/>
      </c>
      <c r="HM77" s="62" t="str">
        <f t="shared" ref="HM77" si="590">IF(SUM(HM64, HM76) &gt; 0, SUM(HM64, HM76), "")</f>
        <v/>
      </c>
      <c r="HN77" s="63" t="str">
        <f t="shared" ref="HN77" si="591">IF(SUM(HN64, HN76) &gt; 0, SUM(HN64, HN76), "")</f>
        <v/>
      </c>
      <c r="HO77" s="65" t="str">
        <f t="shared" ref="HO77" si="592">IF(SUM(HO64, HO76) &gt; 0, SUM(HO64, HO76), "")</f>
        <v/>
      </c>
      <c r="HP77" s="62" t="str">
        <f t="shared" ref="HP77" si="593">IF(SUM(HP64, HP76) &gt; 0, SUM(HP64, HP76), "")</f>
        <v/>
      </c>
      <c r="HQ77" s="62" t="str">
        <f t="shared" ref="HQ77" si="594">IF(SUM(HQ64, HQ76) &gt; 0, SUM(HQ64, HQ76), "")</f>
        <v/>
      </c>
      <c r="HR77" s="62" t="str">
        <f t="shared" ref="HR77" si="595">IF(SUM(HR64, HR76) &gt; 0, SUM(HR64, HR76), "")</f>
        <v/>
      </c>
      <c r="HS77" s="62" t="str">
        <f t="shared" ref="HS77" si="596">IF(SUM(HS64, HS76) &gt; 0, SUM(HS64, HS76), "")</f>
        <v/>
      </c>
      <c r="HT77" s="62" t="str">
        <f t="shared" ref="HT77" si="597">IF(SUM(HT64, HT76) &gt; 0, SUM(HT64, HT76), "")</f>
        <v/>
      </c>
      <c r="HU77" s="63" t="str">
        <f t="shared" ref="HU77" si="598">IF(SUM(HU64, HU76) &gt; 0, SUM(HU64, HU76), "")</f>
        <v/>
      </c>
      <c r="HV77" s="65" t="str">
        <f t="shared" ref="HV77" si="599">IF(SUM(HV64, HV76) &gt; 0, SUM(HV64, HV76), "")</f>
        <v/>
      </c>
      <c r="HW77" s="62" t="str">
        <f t="shared" ref="HW77" si="600">IF(SUM(HW64, HW76) &gt; 0, SUM(HW64, HW76), "")</f>
        <v/>
      </c>
      <c r="HX77" s="62" t="str">
        <f t="shared" ref="HX77" si="601">IF(SUM(HX64, HX76) &gt; 0, SUM(HX64, HX76), "")</f>
        <v/>
      </c>
      <c r="HY77" s="62" t="str">
        <f t="shared" ref="HY77" si="602">IF(SUM(HY64, HY76) &gt; 0, SUM(HY64, HY76), "")</f>
        <v/>
      </c>
      <c r="HZ77" s="62" t="str">
        <f t="shared" ref="HZ77" si="603">IF(SUM(HZ64, HZ76) &gt; 0, SUM(HZ64, HZ76), "")</f>
        <v/>
      </c>
      <c r="IA77" s="62" t="str">
        <f t="shared" ref="IA77" si="604">IF(SUM(IA64, IA76) &gt; 0, SUM(IA64, IA76), "")</f>
        <v/>
      </c>
      <c r="IB77" s="63" t="str">
        <f t="shared" ref="IB77" si="605">IF(SUM(IB64, IB76) &gt; 0, SUM(IB64, IB76), "")</f>
        <v/>
      </c>
      <c r="IC77" s="65" t="str">
        <f t="shared" ref="IC77" si="606">IF(SUM(IC64, IC76) &gt; 0, SUM(IC64, IC76), "")</f>
        <v/>
      </c>
      <c r="ID77" s="62" t="str">
        <f t="shared" ref="ID77" si="607">IF(SUM(ID64, ID76) &gt; 0, SUM(ID64, ID76), "")</f>
        <v/>
      </c>
      <c r="IE77" s="62" t="str">
        <f t="shared" ref="IE77" si="608">IF(SUM(IE64, IE76) &gt; 0, SUM(IE64, IE76), "")</f>
        <v/>
      </c>
      <c r="IF77" s="62" t="str">
        <f t="shared" ref="IF77" si="609">IF(SUM(IF64, IF76) &gt; 0, SUM(IF64, IF76), "")</f>
        <v/>
      </c>
      <c r="IG77" s="62" t="str">
        <f t="shared" ref="IG77" si="610">IF(SUM(IG64, IG76) &gt; 0, SUM(IG64, IG76), "")</f>
        <v/>
      </c>
      <c r="IH77" s="62" t="str">
        <f t="shared" ref="IH77" si="611">IF(SUM(IH64, IH76) &gt; 0, SUM(IH64, IH76), "")</f>
        <v/>
      </c>
      <c r="II77" s="63" t="str">
        <f t="shared" ref="II77" si="612">IF(SUM(II64, II76) &gt; 0, SUM(II64, II76), "")</f>
        <v/>
      </c>
      <c r="IJ77" s="65" t="str">
        <f t="shared" ref="IJ77" si="613">IF(SUM(IJ64, IJ76) &gt; 0, SUM(IJ64, IJ76), "")</f>
        <v/>
      </c>
      <c r="IK77" s="62" t="str">
        <f t="shared" ref="IK77" si="614">IF(SUM(IK64, IK76) &gt; 0, SUM(IK64, IK76), "")</f>
        <v/>
      </c>
      <c r="IL77" s="62" t="str">
        <f t="shared" ref="IL77" si="615">IF(SUM(IL64, IL76) &gt; 0, SUM(IL64, IL76), "")</f>
        <v/>
      </c>
      <c r="IM77" s="62" t="str">
        <f t="shared" ref="IM77" si="616">IF(SUM(IM64, IM76) &gt; 0, SUM(IM64, IM76), "")</f>
        <v/>
      </c>
      <c r="IN77" s="62" t="str">
        <f t="shared" ref="IN77" si="617">IF(SUM(IN64, IN76) &gt; 0, SUM(IN64, IN76), "")</f>
        <v/>
      </c>
      <c r="IO77" s="62" t="str">
        <f t="shared" ref="IO77" si="618">IF(SUM(IO64, IO76) &gt; 0, SUM(IO64, IO76), "")</f>
        <v/>
      </c>
      <c r="IP77" s="63" t="str">
        <f t="shared" ref="IP77" si="619">IF(SUM(IP64, IP76) &gt; 0, SUM(IP64, IP76), "")</f>
        <v/>
      </c>
      <c r="IQ77" s="65" t="str">
        <f t="shared" ref="IQ77" si="620">IF(SUM(IQ64, IQ76) &gt; 0, SUM(IQ64, IQ76), "")</f>
        <v/>
      </c>
      <c r="IR77" s="62" t="str">
        <f t="shared" ref="IR77" si="621">IF(SUM(IR64, IR76) &gt; 0, SUM(IR64, IR76), "")</f>
        <v/>
      </c>
      <c r="IS77" s="62" t="str">
        <f t="shared" ref="IS77" si="622">IF(SUM(IS64, IS76) &gt; 0, SUM(IS64, IS76), "")</f>
        <v/>
      </c>
      <c r="IT77" s="62" t="str">
        <f t="shared" ref="IT77" si="623">IF(SUM(IT64, IT76) &gt; 0, SUM(IT64, IT76), "")</f>
        <v/>
      </c>
      <c r="IU77" s="62" t="str">
        <f t="shared" ref="IU77" si="624">IF(SUM(IU64, IU76) &gt; 0, SUM(IU64, IU76), "")</f>
        <v/>
      </c>
      <c r="IV77" s="62" t="str">
        <f t="shared" ref="IV77" si="625">IF(SUM(IV64, IV76) &gt; 0, SUM(IV64, IV76), "")</f>
        <v/>
      </c>
      <c r="IW77" s="63" t="str">
        <f t="shared" ref="IW77" si="626">IF(SUM(IW64, IW76) &gt; 0, SUM(IW64, IW76), "")</f>
        <v/>
      </c>
      <c r="IX77" s="65" t="str">
        <f t="shared" ref="IX77" si="627">IF(SUM(IX64, IX76) &gt; 0, SUM(IX64, IX76), "")</f>
        <v/>
      </c>
      <c r="IY77" s="62" t="str">
        <f t="shared" ref="IY77" si="628">IF(SUM(IY64, IY76) &gt; 0, SUM(IY64, IY76), "")</f>
        <v/>
      </c>
      <c r="IZ77" s="62" t="str">
        <f t="shared" ref="IZ77" si="629">IF(SUM(IZ64, IZ76) &gt; 0, SUM(IZ64, IZ76), "")</f>
        <v/>
      </c>
      <c r="JA77" s="62" t="str">
        <f t="shared" ref="JA77" si="630">IF(SUM(JA64, JA76) &gt; 0, SUM(JA64, JA76), "")</f>
        <v/>
      </c>
      <c r="JB77" s="62" t="str">
        <f t="shared" ref="JB77" si="631">IF(SUM(JB64, JB76) &gt; 0, SUM(JB64, JB76), "")</f>
        <v/>
      </c>
      <c r="JC77" s="62" t="str">
        <f t="shared" ref="JC77" si="632">IF(SUM(JC64, JC76) &gt; 0, SUM(JC64, JC76), "")</f>
        <v/>
      </c>
      <c r="JD77" s="63" t="str">
        <f t="shared" ref="JD77" si="633">IF(SUM(JD64, JD76) &gt; 0, SUM(JD64, JD76), "")</f>
        <v/>
      </c>
      <c r="JE77" s="65" t="str">
        <f t="shared" ref="JE77" si="634">IF(SUM(JE64, JE76) &gt; 0, SUM(JE64, JE76), "")</f>
        <v/>
      </c>
      <c r="JF77" s="62" t="str">
        <f t="shared" ref="JF77" si="635">IF(SUM(JF64, JF76) &gt; 0, SUM(JF64, JF76), "")</f>
        <v/>
      </c>
      <c r="JG77" s="62" t="str">
        <f t="shared" ref="JG77" si="636">IF(SUM(JG64, JG76) &gt; 0, SUM(JG64, JG76), "")</f>
        <v/>
      </c>
      <c r="JH77" s="62" t="str">
        <f t="shared" ref="JH77" si="637">IF(SUM(JH64, JH76) &gt; 0, SUM(JH64, JH76), "")</f>
        <v/>
      </c>
      <c r="JI77" s="62" t="str">
        <f t="shared" ref="JI77" si="638">IF(SUM(JI64, JI76) &gt; 0, SUM(JI64, JI76), "")</f>
        <v/>
      </c>
      <c r="JJ77" s="62" t="str">
        <f t="shared" ref="JJ77" si="639">IF(SUM(JJ64, JJ76) &gt; 0, SUM(JJ64, JJ76), "")</f>
        <v/>
      </c>
      <c r="JK77" s="63" t="str">
        <f t="shared" ref="JK77" si="640">IF(SUM(JK64, JK76) &gt; 0, SUM(JK64, JK76), "")</f>
        <v/>
      </c>
      <c r="JL77" s="65" t="str">
        <f t="shared" ref="JL77" si="641">IF(SUM(JL64, JL76) &gt; 0, SUM(JL64, JL76), "")</f>
        <v/>
      </c>
      <c r="JM77" s="62" t="str">
        <f t="shared" ref="JM77" si="642">IF(SUM(JM64, JM76) &gt; 0, SUM(JM64, JM76), "")</f>
        <v/>
      </c>
      <c r="JN77" s="62" t="str">
        <f t="shared" ref="JN77" si="643">IF(SUM(JN64, JN76) &gt; 0, SUM(JN64, JN76), "")</f>
        <v/>
      </c>
      <c r="JO77" s="62" t="str">
        <f t="shared" ref="JO77" si="644">IF(SUM(JO64, JO76) &gt; 0, SUM(JO64, JO76), "")</f>
        <v/>
      </c>
      <c r="JP77" s="62" t="str">
        <f t="shared" ref="JP77" si="645">IF(SUM(JP64, JP76) &gt; 0, SUM(JP64, JP76), "")</f>
        <v/>
      </c>
      <c r="JQ77" s="62" t="str">
        <f t="shared" ref="JQ77" si="646">IF(SUM(JQ64, JQ76) &gt; 0, SUM(JQ64, JQ76), "")</f>
        <v/>
      </c>
      <c r="JR77" s="63" t="str">
        <f t="shared" ref="JR77" si="647">IF(SUM(JR64, JR76) &gt; 0, SUM(JR64, JR76), "")</f>
        <v/>
      </c>
      <c r="JS77" s="65" t="str">
        <f t="shared" ref="JS77" si="648">IF(SUM(JS64, JS76) &gt; 0, SUM(JS64, JS76), "")</f>
        <v/>
      </c>
      <c r="JT77" s="62" t="str">
        <f t="shared" ref="JT77" si="649">IF(SUM(JT64, JT76) &gt; 0, SUM(JT64, JT76), "")</f>
        <v/>
      </c>
      <c r="JU77" s="62" t="str">
        <f t="shared" ref="JU77" si="650">IF(SUM(JU64, JU76) &gt; 0, SUM(JU64, JU76), "")</f>
        <v/>
      </c>
      <c r="JV77" s="62" t="str">
        <f t="shared" ref="JV77" si="651">IF(SUM(JV64, JV76) &gt; 0, SUM(JV64, JV76), "")</f>
        <v/>
      </c>
      <c r="JW77" s="62" t="str">
        <f t="shared" ref="JW77" si="652">IF(SUM(JW64, JW76) &gt; 0, SUM(JW64, JW76), "")</f>
        <v/>
      </c>
      <c r="JX77" s="62" t="str">
        <f t="shared" ref="JX77" si="653">IF(SUM(JX64, JX76) &gt; 0, SUM(JX64, JX76), "")</f>
        <v/>
      </c>
      <c r="JY77" s="63" t="str">
        <f t="shared" ref="JY77" si="654">IF(SUM(JY64, JY76) &gt; 0, SUM(JY64, JY76), "")</f>
        <v/>
      </c>
      <c r="JZ77" s="65" t="str">
        <f t="shared" ref="JZ77" si="655">IF(SUM(JZ64, JZ76) &gt; 0, SUM(JZ64, JZ76), "")</f>
        <v/>
      </c>
      <c r="KA77" s="62" t="str">
        <f t="shared" ref="KA77" si="656">IF(SUM(KA64, KA76) &gt; 0, SUM(KA64, KA76), "")</f>
        <v/>
      </c>
      <c r="KB77" s="62" t="str">
        <f t="shared" ref="KB77" si="657">IF(SUM(KB64, KB76) &gt; 0, SUM(KB64, KB76), "")</f>
        <v/>
      </c>
      <c r="KC77" s="62" t="str">
        <f t="shared" ref="KC77" si="658">IF(SUM(KC64, KC76) &gt; 0, SUM(KC64, KC76), "")</f>
        <v/>
      </c>
      <c r="KD77" s="62" t="str">
        <f t="shared" ref="KD77" si="659">IF(SUM(KD64, KD76) &gt; 0, SUM(KD64, KD76), "")</f>
        <v/>
      </c>
      <c r="KE77" s="62" t="str">
        <f t="shared" ref="KE77" si="660">IF(SUM(KE64, KE76) &gt; 0, SUM(KE64, KE76), "")</f>
        <v/>
      </c>
      <c r="KF77" s="63" t="str">
        <f t="shared" ref="KF77" si="661">IF(SUM(KF64, KF76) &gt; 0, SUM(KF64, KF76), "")</f>
        <v/>
      </c>
      <c r="KG77" s="65" t="str">
        <f t="shared" ref="KG77" si="662">IF(SUM(KG64, KG76) &gt; 0, SUM(KG64, KG76), "")</f>
        <v/>
      </c>
      <c r="KH77" s="62" t="str">
        <f t="shared" ref="KH77" si="663">IF(SUM(KH64, KH76) &gt; 0, SUM(KH64, KH76), "")</f>
        <v/>
      </c>
      <c r="KI77" s="62" t="str">
        <f t="shared" ref="KI77" si="664">IF(SUM(KI64, KI76) &gt; 0, SUM(KI64, KI76), "")</f>
        <v/>
      </c>
      <c r="KJ77" s="62" t="str">
        <f t="shared" ref="KJ77" si="665">IF(SUM(KJ64, KJ76) &gt; 0, SUM(KJ64, KJ76), "")</f>
        <v/>
      </c>
      <c r="KK77" s="62" t="str">
        <f t="shared" ref="KK77" si="666">IF(SUM(KK64, KK76) &gt; 0, SUM(KK64, KK76), "")</f>
        <v/>
      </c>
      <c r="KL77" s="62" t="str">
        <f t="shared" ref="KL77" si="667">IF(SUM(KL64, KL76) &gt; 0, SUM(KL64, KL76), "")</f>
        <v/>
      </c>
      <c r="KM77" s="63" t="str">
        <f t="shared" ref="KM77" si="668">IF(SUM(KM64, KM76) &gt; 0, SUM(KM64, KM76), "")</f>
        <v/>
      </c>
      <c r="KN77" s="65" t="str">
        <f t="shared" ref="KN77" si="669">IF(SUM(KN64, KN76) &gt; 0, SUM(KN64, KN76), "")</f>
        <v/>
      </c>
      <c r="KO77" s="62" t="str">
        <f t="shared" ref="KO77" si="670">IF(SUM(KO64, KO76) &gt; 0, SUM(KO64, KO76), "")</f>
        <v/>
      </c>
      <c r="KP77" s="62" t="str">
        <f t="shared" ref="KP77" si="671">IF(SUM(KP64, KP76) &gt; 0, SUM(KP64, KP76), "")</f>
        <v/>
      </c>
      <c r="KQ77" s="62" t="str">
        <f t="shared" ref="KQ77" si="672">IF(SUM(KQ64, KQ76) &gt; 0, SUM(KQ64, KQ76), "")</f>
        <v/>
      </c>
      <c r="KR77" s="62" t="str">
        <f t="shared" ref="KR77" si="673">IF(SUM(KR64, KR76) &gt; 0, SUM(KR64, KR76), "")</f>
        <v/>
      </c>
      <c r="KS77" s="62" t="str">
        <f t="shared" ref="KS77" si="674">IF(SUM(KS64, KS76) &gt; 0, SUM(KS64, KS76), "")</f>
        <v/>
      </c>
      <c r="KT77" s="63" t="str">
        <f t="shared" ref="KT77" si="675">IF(SUM(KT64, KT76) &gt; 0, SUM(KT64, KT76), "")</f>
        <v/>
      </c>
      <c r="KU77" s="65" t="str">
        <f t="shared" ref="KU77" si="676">IF(SUM(KU64, KU76) &gt; 0, SUM(KU64, KU76), "")</f>
        <v/>
      </c>
      <c r="KV77" s="62" t="str">
        <f t="shared" ref="KV77" si="677">IF(SUM(KV64, KV76) &gt; 0, SUM(KV64, KV76), "")</f>
        <v/>
      </c>
      <c r="KW77" s="62" t="str">
        <f t="shared" ref="KW77" si="678">IF(SUM(KW64, KW76) &gt; 0, SUM(KW64, KW76), "")</f>
        <v/>
      </c>
      <c r="KX77" s="62" t="str">
        <f t="shared" ref="KX77" si="679">IF(SUM(KX64, KX76) &gt; 0, SUM(KX64, KX76), "")</f>
        <v/>
      </c>
      <c r="KY77" s="62" t="str">
        <f t="shared" ref="KY77" si="680">IF(SUM(KY64, KY76) &gt; 0, SUM(KY64, KY76), "")</f>
        <v/>
      </c>
      <c r="KZ77" s="62" t="str">
        <f t="shared" ref="KZ77" si="681">IF(SUM(KZ64, KZ76) &gt; 0, SUM(KZ64, KZ76), "")</f>
        <v/>
      </c>
      <c r="LA77" s="63" t="str">
        <f t="shared" ref="LA77" si="682">IF(SUM(LA64, LA76) &gt; 0, SUM(LA64, LA76), "")</f>
        <v/>
      </c>
      <c r="LB77" s="65" t="str">
        <f t="shared" ref="LB77" si="683">IF(SUM(LB64, LB76) &gt; 0, SUM(LB64, LB76), "")</f>
        <v/>
      </c>
      <c r="LC77" s="62" t="str">
        <f t="shared" ref="LC77" si="684">IF(SUM(LC64, LC76) &gt; 0, SUM(LC64, LC76), "")</f>
        <v/>
      </c>
      <c r="LD77" s="62" t="str">
        <f t="shared" ref="LD77" si="685">IF(SUM(LD64, LD76) &gt; 0, SUM(LD64, LD76), "")</f>
        <v/>
      </c>
      <c r="LE77" s="62" t="str">
        <f t="shared" ref="LE77" si="686">IF(SUM(LE64, LE76) &gt; 0, SUM(LE64, LE76), "")</f>
        <v/>
      </c>
      <c r="LF77" s="62" t="str">
        <f t="shared" ref="LF77" si="687">IF(SUM(LF64, LF76) &gt; 0, SUM(LF64, LF76), "")</f>
        <v/>
      </c>
      <c r="LG77" s="62" t="str">
        <f t="shared" ref="LG77" si="688">IF(SUM(LG64, LG76) &gt; 0, SUM(LG64, LG76), "")</f>
        <v/>
      </c>
      <c r="LH77" s="63" t="str">
        <f t="shared" ref="LH77" si="689">IF(SUM(LH64, LH76) &gt; 0, SUM(LH64, LH76), "")</f>
        <v/>
      </c>
      <c r="LI77" s="65" t="str">
        <f t="shared" ref="LI77" si="690">IF(SUM(LI64, LI76) &gt; 0, SUM(LI64, LI76), "")</f>
        <v/>
      </c>
      <c r="LJ77" s="62" t="str">
        <f t="shared" ref="LJ77" si="691">IF(SUM(LJ64, LJ76) &gt; 0, SUM(LJ64, LJ76), "")</f>
        <v/>
      </c>
      <c r="LK77" s="62" t="str">
        <f t="shared" ref="LK77" si="692">IF(SUM(LK64, LK76) &gt; 0, SUM(LK64, LK76), "")</f>
        <v/>
      </c>
      <c r="LL77" s="62" t="str">
        <f t="shared" ref="LL77" si="693">IF(SUM(LL64, LL76) &gt; 0, SUM(LL64, LL76), "")</f>
        <v/>
      </c>
      <c r="LM77" s="62" t="str">
        <f t="shared" ref="LM77" si="694">IF(SUM(LM64, LM76) &gt; 0, SUM(LM64, LM76), "")</f>
        <v/>
      </c>
      <c r="LN77" s="62" t="str">
        <f t="shared" ref="LN77" si="695">IF(SUM(LN64, LN76) &gt; 0, SUM(LN64, LN76), "")</f>
        <v/>
      </c>
      <c r="LO77" s="63" t="str">
        <f t="shared" ref="LO77" si="696">IF(SUM(LO64, LO76) &gt; 0, SUM(LO64, LO76), "")</f>
        <v/>
      </c>
      <c r="LP77" s="65" t="str">
        <f t="shared" ref="LP77" si="697">IF(SUM(LP64, LP76) &gt; 0, SUM(LP64, LP76), "")</f>
        <v/>
      </c>
      <c r="LQ77" s="62" t="str">
        <f t="shared" ref="LQ77" si="698">IF(SUM(LQ64, LQ76) &gt; 0, SUM(LQ64, LQ76), "")</f>
        <v/>
      </c>
      <c r="LR77" s="62" t="str">
        <f t="shared" ref="LR77" si="699">IF(SUM(LR64, LR76) &gt; 0, SUM(LR64, LR76), "")</f>
        <v/>
      </c>
      <c r="LS77" s="62" t="str">
        <f t="shared" ref="LS77" si="700">IF(SUM(LS64, LS76) &gt; 0, SUM(LS64, LS76), "")</f>
        <v/>
      </c>
      <c r="LT77" s="62" t="str">
        <f t="shared" ref="LT77" si="701">IF(SUM(LT64, LT76) &gt; 0, SUM(LT64, LT76), "")</f>
        <v/>
      </c>
      <c r="LU77" s="62" t="str">
        <f t="shared" ref="LU77" si="702">IF(SUM(LU64, LU76) &gt; 0, SUM(LU64, LU76), "")</f>
        <v/>
      </c>
      <c r="LV77" s="63" t="str">
        <f t="shared" ref="LV77" si="703">IF(SUM(LV64, LV76) &gt; 0, SUM(LV64, LV76), "")</f>
        <v/>
      </c>
      <c r="LW77" s="65" t="str">
        <f t="shared" ref="LW77" si="704">IF(SUM(LW64, LW76) &gt; 0, SUM(LW64, LW76), "")</f>
        <v/>
      </c>
      <c r="LX77" s="62" t="str">
        <f t="shared" ref="LX77" si="705">IF(SUM(LX64, LX76) &gt; 0, SUM(LX64, LX76), "")</f>
        <v/>
      </c>
      <c r="LY77" s="62" t="str">
        <f t="shared" ref="LY77" si="706">IF(SUM(LY64, LY76) &gt; 0, SUM(LY64, LY76), "")</f>
        <v/>
      </c>
      <c r="LZ77" s="62" t="str">
        <f t="shared" ref="LZ77" si="707">IF(SUM(LZ64, LZ76) &gt; 0, SUM(LZ64, LZ76), "")</f>
        <v/>
      </c>
      <c r="MA77" s="62" t="str">
        <f t="shared" ref="MA77" si="708">IF(SUM(MA64, MA76) &gt; 0, SUM(MA64, MA76), "")</f>
        <v/>
      </c>
      <c r="MB77" s="62" t="str">
        <f t="shared" ref="MB77" si="709">IF(SUM(MB64, MB76) &gt; 0, SUM(MB64, MB76), "")</f>
        <v/>
      </c>
      <c r="MC77" s="63" t="str">
        <f t="shared" ref="MC77" si="710">IF(SUM(MC64, MC76) &gt; 0, SUM(MC64, MC76), "")</f>
        <v/>
      </c>
      <c r="MD77" s="65" t="str">
        <f t="shared" ref="MD77" si="711">IF(SUM(MD64, MD76) &gt; 0, SUM(MD64, MD76), "")</f>
        <v/>
      </c>
      <c r="ME77" s="62" t="str">
        <f t="shared" ref="ME77" si="712">IF(SUM(ME64, ME76) &gt; 0, SUM(ME64, ME76), "")</f>
        <v/>
      </c>
      <c r="MF77" s="62" t="str">
        <f t="shared" ref="MF77" si="713">IF(SUM(MF64, MF76) &gt; 0, SUM(MF64, MF76), "")</f>
        <v/>
      </c>
      <c r="MG77" s="62" t="str">
        <f t="shared" ref="MG77" si="714">IF(SUM(MG64, MG76) &gt; 0, SUM(MG64, MG76), "")</f>
        <v/>
      </c>
      <c r="MH77" s="62" t="str">
        <f t="shared" ref="MH77" si="715">IF(SUM(MH64, MH76) &gt; 0, SUM(MH64, MH76), "")</f>
        <v/>
      </c>
      <c r="MI77" s="62" t="str">
        <f t="shared" ref="MI77" si="716">IF(SUM(MI64, MI76) &gt; 0, SUM(MI64, MI76), "")</f>
        <v/>
      </c>
      <c r="MJ77" s="63" t="str">
        <f t="shared" ref="MJ77" si="717">IF(SUM(MJ64, MJ76) &gt; 0, SUM(MJ64, MJ76), "")</f>
        <v/>
      </c>
    </row>
    <row r="78" spans="1:348" ht="7.5" customHeight="1" x14ac:dyDescent="0.25">
      <c r="A78" s="8"/>
      <c r="B78" s="8"/>
      <c r="C78" s="8"/>
      <c r="D78" s="8"/>
      <c r="E78" s="8"/>
      <c r="F78" s="10"/>
      <c r="G78" s="19"/>
      <c r="H78" s="19"/>
      <c r="I78" s="8"/>
      <c r="J78" s="8"/>
      <c r="K78" s="8"/>
      <c r="L78" s="8"/>
      <c r="M78" s="8"/>
      <c r="N78" s="8"/>
      <c r="O78" s="9"/>
      <c r="P78" s="8"/>
      <c r="Q78" s="8"/>
      <c r="R78" s="9"/>
      <c r="S78" s="7"/>
      <c r="Z78" s="7"/>
      <c r="AG78" s="7"/>
      <c r="AN78" s="7"/>
      <c r="AU78" s="7"/>
      <c r="BB78" s="7"/>
      <c r="BI78" s="7"/>
      <c r="BP78" s="7"/>
      <c r="BY78" s="7"/>
      <c r="CH78" s="7"/>
      <c r="CQ78" s="7"/>
      <c r="CZ78" s="7"/>
      <c r="DI78" s="7"/>
      <c r="DR78" s="7"/>
      <c r="EA78" s="7"/>
      <c r="EH78" s="7"/>
      <c r="EO78" s="7"/>
      <c r="EV78" s="7"/>
      <c r="FC78" s="7"/>
      <c r="FJ78" s="7"/>
      <c r="FQ78" s="7"/>
      <c r="FX78" s="7"/>
      <c r="GE78" s="7"/>
      <c r="GL78" s="7"/>
      <c r="GS78" s="7"/>
      <c r="GZ78" s="7"/>
      <c r="HG78" s="7"/>
      <c r="HN78" s="7"/>
      <c r="HU78" s="7"/>
      <c r="IB78" s="7"/>
      <c r="II78" s="7"/>
      <c r="IP78" s="7"/>
      <c r="IW78" s="7"/>
      <c r="JD78" s="7"/>
      <c r="JK78" s="7"/>
      <c r="JR78" s="7"/>
      <c r="JY78" s="7"/>
      <c r="KF78" s="7"/>
      <c r="KM78" s="7"/>
      <c r="KT78" s="7"/>
      <c r="LA78" s="7"/>
      <c r="LH78" s="7"/>
      <c r="LO78" s="7"/>
      <c r="LV78" s="7"/>
      <c r="MC78" s="7"/>
      <c r="MJ78" s="7"/>
    </row>
    <row r="79" spans="1:348" x14ac:dyDescent="0.25">
      <c r="A79" s="11" t="s">
        <v>24</v>
      </c>
      <c r="B79" s="11"/>
      <c r="C79" s="11"/>
      <c r="D79" s="11"/>
      <c r="E79" s="11"/>
      <c r="F79" s="13"/>
      <c r="G79" s="40"/>
      <c r="H79" s="40"/>
      <c r="I79" s="11"/>
      <c r="J79" s="11"/>
      <c r="K79" s="11"/>
      <c r="L79" s="11"/>
      <c r="M79" s="11"/>
      <c r="N79" s="11"/>
      <c r="O79" s="12"/>
      <c r="P79" s="11"/>
      <c r="Q79" s="11"/>
      <c r="R79" s="12"/>
      <c r="S79" s="12"/>
      <c r="T79" s="11"/>
      <c r="U79" s="11"/>
      <c r="V79" s="11"/>
      <c r="W79" s="11"/>
      <c r="X79" s="11"/>
      <c r="Y79" s="11"/>
      <c r="Z79" s="12"/>
      <c r="AA79" s="11"/>
      <c r="AB79" s="11"/>
      <c r="AC79" s="11"/>
      <c r="AD79" s="11"/>
      <c r="AE79" s="11"/>
      <c r="AF79" s="11"/>
      <c r="AG79" s="12"/>
      <c r="AH79" s="11"/>
      <c r="AI79" s="11"/>
      <c r="AJ79" s="11"/>
      <c r="AK79" s="11"/>
      <c r="AL79" s="11"/>
      <c r="AM79" s="11"/>
      <c r="AN79" s="12"/>
      <c r="AO79" s="11"/>
      <c r="AP79" s="11"/>
      <c r="AQ79" s="11"/>
      <c r="AR79" s="11"/>
      <c r="AS79" s="11"/>
      <c r="AT79" s="11"/>
      <c r="AU79" s="12"/>
      <c r="AV79" s="11"/>
      <c r="AW79" s="11"/>
      <c r="AX79" s="11"/>
      <c r="AY79" s="11"/>
      <c r="AZ79" s="11"/>
      <c r="BA79" s="11"/>
      <c r="BB79" s="12"/>
      <c r="BC79" s="11"/>
      <c r="BD79" s="11"/>
      <c r="BE79" s="11"/>
      <c r="BF79" s="11"/>
      <c r="BG79" s="11"/>
      <c r="BH79" s="11"/>
      <c r="BI79" s="12"/>
      <c r="BJ79" s="11"/>
      <c r="BK79" s="11"/>
      <c r="BL79" s="11"/>
      <c r="BM79" s="11"/>
      <c r="BN79" s="11"/>
      <c r="BO79" s="11"/>
      <c r="BP79" s="12"/>
      <c r="BQ79" s="11"/>
      <c r="BR79" s="11"/>
      <c r="BS79" s="11"/>
      <c r="BT79" s="11"/>
      <c r="BU79" s="11"/>
      <c r="BV79" s="11"/>
      <c r="BW79" s="11"/>
      <c r="BX79" s="11"/>
      <c r="BY79" s="12"/>
      <c r="BZ79" s="11"/>
      <c r="CA79" s="11"/>
      <c r="CB79" s="11"/>
      <c r="CC79" s="11"/>
      <c r="CD79" s="11"/>
      <c r="CE79" s="11"/>
      <c r="CF79" s="11"/>
      <c r="CG79" s="11"/>
      <c r="CH79" s="12"/>
      <c r="CI79" s="11"/>
      <c r="CJ79" s="11"/>
      <c r="CK79" s="11"/>
      <c r="CL79" s="11"/>
      <c r="CM79" s="11"/>
      <c r="CN79" s="11"/>
      <c r="CO79" s="11"/>
      <c r="CP79" s="11"/>
      <c r="CQ79" s="12"/>
      <c r="CR79" s="11"/>
      <c r="CS79" s="11"/>
      <c r="CT79" s="11"/>
      <c r="CU79" s="11"/>
      <c r="CV79" s="11"/>
      <c r="CW79" s="11"/>
      <c r="CX79" s="11"/>
      <c r="CY79" s="11"/>
      <c r="CZ79" s="12"/>
      <c r="DA79" s="11"/>
      <c r="DB79" s="11"/>
      <c r="DC79" s="11"/>
      <c r="DD79" s="11"/>
      <c r="DE79" s="11"/>
      <c r="DF79" s="11"/>
      <c r="DG79" s="11"/>
      <c r="DH79" s="11"/>
      <c r="DI79" s="12"/>
      <c r="DJ79" s="11"/>
      <c r="DK79" s="11"/>
      <c r="DL79" s="11"/>
      <c r="DM79" s="11"/>
      <c r="DN79" s="11"/>
      <c r="DO79" s="11"/>
      <c r="DP79" s="11"/>
      <c r="DQ79" s="11"/>
      <c r="DR79" s="12"/>
      <c r="DS79" s="11"/>
      <c r="DT79" s="11"/>
      <c r="DU79" s="11"/>
      <c r="DV79" s="11"/>
      <c r="DW79" s="11"/>
      <c r="DX79" s="11"/>
      <c r="DY79" s="11"/>
      <c r="DZ79" s="11"/>
      <c r="EA79" s="12"/>
      <c r="EB79" s="11"/>
      <c r="EC79" s="11"/>
      <c r="ED79" s="11"/>
      <c r="EE79" s="11"/>
      <c r="EF79" s="11"/>
      <c r="EG79" s="11"/>
      <c r="EH79" s="12"/>
      <c r="EI79" s="11"/>
      <c r="EJ79" s="11"/>
      <c r="EK79" s="11"/>
      <c r="EL79" s="11"/>
      <c r="EM79" s="11"/>
      <c r="EN79" s="11"/>
      <c r="EO79" s="12"/>
      <c r="EP79" s="11"/>
      <c r="EQ79" s="11"/>
      <c r="ER79" s="11"/>
      <c r="ES79" s="11"/>
      <c r="ET79" s="11"/>
      <c r="EU79" s="11"/>
      <c r="EV79" s="12"/>
      <c r="EW79" s="11"/>
      <c r="EX79" s="11"/>
      <c r="EY79" s="11"/>
      <c r="EZ79" s="11"/>
      <c r="FA79" s="11"/>
      <c r="FB79" s="11"/>
      <c r="FC79" s="12"/>
      <c r="FD79" s="11"/>
      <c r="FE79" s="11"/>
      <c r="FF79" s="11"/>
      <c r="FG79" s="11"/>
      <c r="FH79" s="11"/>
      <c r="FI79" s="11"/>
      <c r="FJ79" s="12"/>
      <c r="FK79" s="11"/>
      <c r="FL79" s="11"/>
      <c r="FM79" s="11"/>
      <c r="FN79" s="11"/>
      <c r="FO79" s="11"/>
      <c r="FP79" s="11"/>
      <c r="FQ79" s="12"/>
      <c r="FR79" s="11"/>
      <c r="FS79" s="11"/>
      <c r="FT79" s="11"/>
      <c r="FU79" s="11"/>
      <c r="FV79" s="11"/>
      <c r="FW79" s="11"/>
      <c r="FX79" s="12"/>
      <c r="FY79" s="11"/>
      <c r="FZ79" s="11"/>
      <c r="GA79" s="11"/>
      <c r="GB79" s="11"/>
      <c r="GC79" s="11"/>
      <c r="GD79" s="11"/>
      <c r="GE79" s="12"/>
      <c r="GF79" s="11"/>
      <c r="GG79" s="11"/>
      <c r="GH79" s="11"/>
      <c r="GI79" s="11"/>
      <c r="GJ79" s="11"/>
      <c r="GK79" s="11"/>
      <c r="GL79" s="12"/>
      <c r="GM79" s="11"/>
      <c r="GN79" s="11"/>
      <c r="GO79" s="11"/>
      <c r="GP79" s="11"/>
      <c r="GQ79" s="11"/>
      <c r="GR79" s="11"/>
      <c r="GS79" s="12"/>
      <c r="GT79" s="11"/>
      <c r="GU79" s="11"/>
      <c r="GV79" s="11"/>
      <c r="GW79" s="11"/>
      <c r="GX79" s="11"/>
      <c r="GY79" s="11"/>
      <c r="GZ79" s="12"/>
      <c r="HA79" s="11"/>
      <c r="HB79" s="11"/>
      <c r="HC79" s="11"/>
      <c r="HD79" s="11"/>
      <c r="HE79" s="11"/>
      <c r="HF79" s="11"/>
      <c r="HG79" s="12"/>
      <c r="HH79" s="11"/>
      <c r="HI79" s="11"/>
      <c r="HJ79" s="11"/>
      <c r="HK79" s="11"/>
      <c r="HL79" s="11"/>
      <c r="HM79" s="11"/>
      <c r="HN79" s="12"/>
      <c r="HO79" s="11"/>
      <c r="HP79" s="11"/>
      <c r="HQ79" s="11"/>
      <c r="HR79" s="11"/>
      <c r="HS79" s="11"/>
      <c r="HT79" s="11"/>
      <c r="HU79" s="12"/>
      <c r="HV79" s="11"/>
      <c r="HW79" s="11"/>
      <c r="HX79" s="11"/>
      <c r="HY79" s="11"/>
      <c r="HZ79" s="11"/>
      <c r="IA79" s="11"/>
      <c r="IB79" s="12"/>
      <c r="IC79" s="11"/>
      <c r="ID79" s="11"/>
      <c r="IE79" s="11"/>
      <c r="IF79" s="11"/>
      <c r="IG79" s="11"/>
      <c r="IH79" s="11"/>
      <c r="II79" s="12"/>
      <c r="IJ79" s="11"/>
      <c r="IK79" s="11"/>
      <c r="IL79" s="11"/>
      <c r="IM79" s="11"/>
      <c r="IN79" s="11"/>
      <c r="IO79" s="11"/>
      <c r="IP79" s="12"/>
      <c r="IQ79" s="11"/>
      <c r="IR79" s="11"/>
      <c r="IS79" s="11"/>
      <c r="IT79" s="11"/>
      <c r="IU79" s="11"/>
      <c r="IV79" s="11"/>
      <c r="IW79" s="12"/>
      <c r="IX79" s="11"/>
      <c r="IY79" s="11"/>
      <c r="IZ79" s="11"/>
      <c r="JA79" s="11"/>
      <c r="JB79" s="11"/>
      <c r="JC79" s="11"/>
      <c r="JD79" s="12"/>
      <c r="JE79" s="11"/>
      <c r="JF79" s="11"/>
      <c r="JG79" s="11"/>
      <c r="JH79" s="11"/>
      <c r="JI79" s="11"/>
      <c r="JJ79" s="11"/>
      <c r="JK79" s="12"/>
      <c r="JL79" s="11"/>
      <c r="JM79" s="11"/>
      <c r="JN79" s="11"/>
      <c r="JO79" s="11"/>
      <c r="JP79" s="11"/>
      <c r="JQ79" s="11"/>
      <c r="JR79" s="12"/>
      <c r="JS79" s="11"/>
      <c r="JT79" s="11"/>
      <c r="JU79" s="11"/>
      <c r="JV79" s="11"/>
      <c r="JW79" s="11"/>
      <c r="JX79" s="11"/>
      <c r="JY79" s="12"/>
      <c r="JZ79" s="11"/>
      <c r="KA79" s="11"/>
      <c r="KB79" s="11"/>
      <c r="KC79" s="11"/>
      <c r="KD79" s="11"/>
      <c r="KE79" s="11"/>
      <c r="KF79" s="12"/>
      <c r="KG79" s="11"/>
      <c r="KH79" s="11"/>
      <c r="KI79" s="11"/>
      <c r="KJ79" s="11"/>
      <c r="KK79" s="11"/>
      <c r="KL79" s="11"/>
      <c r="KM79" s="12"/>
      <c r="KN79" s="11"/>
      <c r="KO79" s="11"/>
      <c r="KP79" s="11"/>
      <c r="KQ79" s="11"/>
      <c r="KR79" s="11"/>
      <c r="KS79" s="11"/>
      <c r="KT79" s="12"/>
      <c r="KU79" s="11"/>
      <c r="KV79" s="11"/>
      <c r="KW79" s="11"/>
      <c r="KX79" s="11"/>
      <c r="KY79" s="11"/>
      <c r="KZ79" s="11"/>
      <c r="LA79" s="12"/>
      <c r="LB79" s="11"/>
      <c r="LC79" s="11"/>
      <c r="LD79" s="11"/>
      <c r="LE79" s="11"/>
      <c r="LF79" s="11"/>
      <c r="LG79" s="11"/>
      <c r="LH79" s="12"/>
      <c r="LI79" s="11"/>
      <c r="LJ79" s="11"/>
      <c r="LK79" s="11"/>
      <c r="LL79" s="11"/>
      <c r="LM79" s="11"/>
      <c r="LN79" s="11"/>
      <c r="LO79" s="12"/>
      <c r="LP79" s="11"/>
      <c r="LQ79" s="11"/>
      <c r="LR79" s="11"/>
      <c r="LS79" s="11"/>
      <c r="LT79" s="11"/>
      <c r="LU79" s="11"/>
      <c r="LV79" s="12"/>
      <c r="LW79" s="11"/>
      <c r="LX79" s="11"/>
      <c r="LY79" s="11"/>
      <c r="LZ79" s="11"/>
      <c r="MA79" s="11"/>
      <c r="MB79" s="11"/>
      <c r="MC79" s="12"/>
      <c r="MD79" s="11"/>
      <c r="ME79" s="11"/>
      <c r="MF79" s="11"/>
      <c r="MG79" s="11"/>
      <c r="MH79" s="11"/>
      <c r="MI79" s="11"/>
      <c r="MJ79" s="12"/>
    </row>
    <row r="80" spans="1:348" x14ac:dyDescent="0.25">
      <c r="A80" s="8" t="s">
        <v>23</v>
      </c>
      <c r="B80" s="8"/>
      <c r="C80" s="8"/>
      <c r="D80" s="8"/>
      <c r="E80" s="8"/>
      <c r="F80" s="10"/>
      <c r="G80" s="19"/>
      <c r="H80" s="19"/>
      <c r="I80" s="8"/>
      <c r="J80" s="8"/>
      <c r="K80" s="8"/>
      <c r="L80" s="8"/>
      <c r="M80" s="8"/>
      <c r="N80" s="8"/>
      <c r="O80" s="9"/>
      <c r="P80" s="8">
        <f>IF(SUM(S80:MJ80) &gt; 0, SUM(S80:MJ80), "")</f>
        <v>44</v>
      </c>
      <c r="Q80" s="109">
        <f t="shared" ref="Q80:Q85" si="718">IF(SUM(S80:XFD80) &gt; 0, SUM(S80:XFD80) / $P$86 * 100, "")</f>
        <v>100</v>
      </c>
      <c r="R80" s="84"/>
      <c r="S80" s="7">
        <v>1</v>
      </c>
      <c r="U80">
        <v>1</v>
      </c>
      <c r="V80">
        <v>1</v>
      </c>
      <c r="X80">
        <v>1</v>
      </c>
      <c r="Z80" s="7"/>
      <c r="AB80">
        <v>1</v>
      </c>
      <c r="AD80">
        <v>1</v>
      </c>
      <c r="AE80">
        <v>1</v>
      </c>
      <c r="AG80" s="7"/>
      <c r="AI80">
        <v>1</v>
      </c>
      <c r="AK80">
        <v>1</v>
      </c>
      <c r="AL80">
        <v>1</v>
      </c>
      <c r="AN80" s="7"/>
      <c r="AP80">
        <v>1</v>
      </c>
      <c r="AR80">
        <v>1</v>
      </c>
      <c r="AS80">
        <v>1</v>
      </c>
      <c r="AU80" s="7"/>
      <c r="AW80">
        <v>1</v>
      </c>
      <c r="AX80">
        <v>1</v>
      </c>
      <c r="AY80">
        <v>1</v>
      </c>
      <c r="AZ80">
        <v>1</v>
      </c>
      <c r="BB80" s="7"/>
      <c r="BD80">
        <v>1</v>
      </c>
      <c r="BF80">
        <v>1</v>
      </c>
      <c r="BG80">
        <v>1</v>
      </c>
      <c r="BI80" s="7"/>
      <c r="BK80">
        <v>1</v>
      </c>
      <c r="BM80">
        <v>1</v>
      </c>
      <c r="BN80">
        <v>1</v>
      </c>
      <c r="BP80" s="7">
        <v>1</v>
      </c>
      <c r="BR80">
        <v>1</v>
      </c>
      <c r="BT80">
        <v>1</v>
      </c>
      <c r="BW80">
        <v>1</v>
      </c>
      <c r="BY80" s="7"/>
      <c r="CC80">
        <v>1</v>
      </c>
      <c r="CF80">
        <v>1</v>
      </c>
      <c r="CH80" s="7"/>
      <c r="CL80">
        <v>1</v>
      </c>
      <c r="CO80">
        <v>1</v>
      </c>
      <c r="CQ80" s="7"/>
      <c r="CS80">
        <v>1</v>
      </c>
      <c r="CU80">
        <v>1</v>
      </c>
      <c r="CV80">
        <v>1</v>
      </c>
      <c r="CX80">
        <v>1</v>
      </c>
      <c r="CZ80" s="7"/>
      <c r="DB80">
        <v>1</v>
      </c>
      <c r="DE80">
        <v>1</v>
      </c>
      <c r="DG80">
        <v>1</v>
      </c>
      <c r="DI80" s="7"/>
      <c r="DK80">
        <v>1</v>
      </c>
      <c r="DM80">
        <v>1</v>
      </c>
      <c r="DN80">
        <v>1</v>
      </c>
      <c r="DR80" s="7"/>
      <c r="DT80">
        <v>1</v>
      </c>
      <c r="DV80">
        <v>1</v>
      </c>
      <c r="DW80">
        <v>1</v>
      </c>
      <c r="EA80" s="7"/>
      <c r="EH80" s="7"/>
      <c r="EO80" s="7"/>
      <c r="EV80" s="7"/>
      <c r="FC80" s="7"/>
      <c r="FJ80" s="7"/>
      <c r="FQ80" s="7"/>
      <c r="FX80" s="7"/>
      <c r="GE80" s="7"/>
      <c r="GL80" s="7"/>
      <c r="GS80" s="7"/>
      <c r="GZ80" s="7"/>
      <c r="HG80" s="7"/>
      <c r="HN80" s="7"/>
      <c r="HU80" s="7"/>
      <c r="IB80" s="7"/>
      <c r="II80" s="7"/>
      <c r="IP80" s="7"/>
      <c r="IW80" s="7"/>
      <c r="JD80" s="7"/>
      <c r="JK80" s="7"/>
      <c r="JR80" s="7"/>
      <c r="JY80" s="7"/>
      <c r="KF80" s="7"/>
      <c r="KM80" s="7"/>
      <c r="KT80" s="7"/>
      <c r="LA80" s="7"/>
      <c r="LH80" s="7"/>
      <c r="LO80" s="7"/>
      <c r="LV80" s="7"/>
      <c r="MC80" s="7"/>
      <c r="MJ80" s="7"/>
    </row>
    <row r="81" spans="1:348" x14ac:dyDescent="0.25">
      <c r="A81" s="8" t="s">
        <v>22</v>
      </c>
      <c r="B81" s="8"/>
      <c r="C81" s="8"/>
      <c r="D81" s="8"/>
      <c r="E81" s="8"/>
      <c r="F81" s="10"/>
      <c r="G81" s="19"/>
      <c r="H81" s="19"/>
      <c r="I81" s="8"/>
      <c r="J81" s="8"/>
      <c r="K81" s="8"/>
      <c r="L81" s="8"/>
      <c r="M81" s="8"/>
      <c r="N81" s="8"/>
      <c r="O81" s="9"/>
      <c r="P81" s="8" t="str">
        <f>IF(SUM(S81:MJ81) &gt; 0, SUM(S81:MJ81), "")</f>
        <v/>
      </c>
      <c r="Q81" s="109" t="str">
        <f t="shared" si="718"/>
        <v/>
      </c>
      <c r="R81" s="84"/>
      <c r="S81" s="7"/>
      <c r="Z81" s="7"/>
      <c r="AG81" s="7"/>
      <c r="AN81" s="7"/>
      <c r="AU81" s="7"/>
      <c r="BB81" s="7"/>
      <c r="BI81" s="7"/>
      <c r="BP81" s="7"/>
      <c r="BY81" s="7"/>
      <c r="CH81" s="7"/>
      <c r="CQ81" s="7"/>
      <c r="CZ81" s="7"/>
      <c r="DI81" s="7"/>
      <c r="DR81" s="7"/>
      <c r="EA81" s="7"/>
      <c r="EH81" s="7"/>
      <c r="EO81" s="7"/>
      <c r="EV81" s="7"/>
      <c r="FC81" s="7"/>
      <c r="FJ81" s="7"/>
      <c r="FQ81" s="7"/>
      <c r="FX81" s="7"/>
      <c r="GE81" s="7"/>
      <c r="GL81" s="7"/>
      <c r="GS81" s="7"/>
      <c r="GZ81" s="7"/>
      <c r="HG81" s="7"/>
      <c r="HN81" s="7"/>
      <c r="HU81" s="7"/>
      <c r="IB81" s="7"/>
      <c r="II81" s="7"/>
      <c r="IP81" s="7"/>
      <c r="IW81" s="7"/>
      <c r="JD81" s="7"/>
      <c r="JK81" s="7"/>
      <c r="JR81" s="7"/>
      <c r="JY81" s="7"/>
      <c r="KF81" s="7"/>
      <c r="KM81" s="7"/>
      <c r="KT81" s="7"/>
      <c r="LA81" s="7"/>
      <c r="LH81" s="7"/>
      <c r="LO81" s="7"/>
      <c r="LV81" s="7"/>
      <c r="MC81" s="7"/>
      <c r="MJ81" s="7"/>
    </row>
    <row r="82" spans="1:348" x14ac:dyDescent="0.25">
      <c r="A82" s="8" t="s">
        <v>21</v>
      </c>
      <c r="B82" s="8"/>
      <c r="C82" s="8"/>
      <c r="D82" s="8"/>
      <c r="E82" s="8"/>
      <c r="F82" s="10"/>
      <c r="G82" s="19"/>
      <c r="H82" s="19"/>
      <c r="I82" s="8"/>
      <c r="J82" s="8"/>
      <c r="K82" s="8"/>
      <c r="L82" s="8"/>
      <c r="M82" s="8"/>
      <c r="N82" s="8"/>
      <c r="O82" s="9"/>
      <c r="P82" s="8" t="str">
        <f>IF(SUM(S82:MJ82) &gt; 0, SUM(S82:MJ82), "")</f>
        <v/>
      </c>
      <c r="Q82" s="109" t="str">
        <f t="shared" si="718"/>
        <v/>
      </c>
      <c r="R82" s="84"/>
      <c r="S82" s="7"/>
      <c r="Z82" s="7"/>
      <c r="AG82" s="7"/>
      <c r="AN82" s="7"/>
      <c r="AU82" s="7"/>
      <c r="BB82" s="7"/>
      <c r="BI82" s="7"/>
      <c r="BP82" s="7"/>
      <c r="BY82" s="7"/>
      <c r="CH82" s="7"/>
      <c r="CQ82" s="7"/>
      <c r="CZ82" s="7"/>
      <c r="DI82" s="7"/>
      <c r="DR82" s="7"/>
      <c r="EA82" s="7"/>
      <c r="EH82" s="7"/>
      <c r="EO82" s="7"/>
      <c r="EV82" s="7"/>
      <c r="FC82" s="7"/>
      <c r="FJ82" s="7"/>
      <c r="FQ82" s="7"/>
      <c r="FX82" s="7"/>
      <c r="GE82" s="7"/>
      <c r="GL82" s="7"/>
      <c r="GS82" s="7"/>
      <c r="GZ82" s="7"/>
      <c r="HG82" s="7"/>
      <c r="HN82" s="7"/>
      <c r="HU82" s="7"/>
      <c r="IB82" s="7"/>
      <c r="II82" s="7"/>
      <c r="IP82" s="7"/>
      <c r="IW82" s="7"/>
      <c r="JD82" s="7"/>
      <c r="JK82" s="7"/>
      <c r="JR82" s="7"/>
      <c r="JY82" s="7"/>
      <c r="KF82" s="7"/>
      <c r="KM82" s="7"/>
      <c r="KT82" s="7"/>
      <c r="LA82" s="7"/>
      <c r="LH82" s="7"/>
      <c r="LO82" s="7"/>
      <c r="LV82" s="7"/>
      <c r="MC82" s="7"/>
      <c r="MJ82" s="7"/>
    </row>
    <row r="83" spans="1:348" x14ac:dyDescent="0.25">
      <c r="A83" s="8" t="s">
        <v>20</v>
      </c>
      <c r="B83" s="8"/>
      <c r="C83" s="8"/>
      <c r="D83" s="8"/>
      <c r="E83" s="8"/>
      <c r="F83" s="10"/>
      <c r="G83" s="19"/>
      <c r="H83" s="19"/>
      <c r="I83" s="8"/>
      <c r="J83" s="8"/>
      <c r="K83" s="8"/>
      <c r="L83" s="8"/>
      <c r="M83" s="8"/>
      <c r="N83" s="8"/>
      <c r="O83" s="9"/>
      <c r="P83" s="8" t="str">
        <f>IF(SUM(S83:MJ83) &gt; 0, SUM(S83:MJ83), "")</f>
        <v/>
      </c>
      <c r="Q83" s="109" t="str">
        <f t="shared" si="718"/>
        <v/>
      </c>
      <c r="R83" s="84"/>
      <c r="S83" s="7"/>
      <c r="Z83" s="7"/>
      <c r="AG83" s="7"/>
      <c r="AN83" s="7"/>
      <c r="AU83" s="7"/>
      <c r="BB83" s="7"/>
      <c r="BI83" s="7"/>
      <c r="BP83" s="7"/>
      <c r="BY83" s="7"/>
      <c r="CH83" s="7"/>
      <c r="CQ83" s="7"/>
      <c r="CZ83" s="7"/>
      <c r="DI83" s="7"/>
      <c r="DR83" s="7"/>
      <c r="EA83" s="7"/>
      <c r="EH83" s="7"/>
      <c r="EO83" s="7"/>
      <c r="EV83" s="7"/>
      <c r="FC83" s="7"/>
      <c r="FJ83" s="7"/>
      <c r="FQ83" s="7"/>
      <c r="FX83" s="7"/>
      <c r="GE83" s="7"/>
      <c r="GL83" s="7"/>
      <c r="GS83" s="7"/>
      <c r="GZ83" s="7"/>
      <c r="HG83" s="7"/>
      <c r="HN83" s="7"/>
      <c r="HU83" s="7"/>
      <c r="IB83" s="7"/>
      <c r="II83" s="7"/>
      <c r="IP83" s="7"/>
      <c r="IW83" s="7"/>
      <c r="JD83" s="7"/>
      <c r="JK83" s="7"/>
      <c r="JR83" s="7"/>
      <c r="JY83" s="7"/>
      <c r="KF83" s="7"/>
      <c r="KM83" s="7"/>
      <c r="KT83" s="7"/>
      <c r="LA83" s="7"/>
      <c r="LH83" s="7"/>
      <c r="LO83" s="7"/>
      <c r="LV83" s="7"/>
      <c r="MC83" s="7"/>
      <c r="MJ83" s="7"/>
    </row>
    <row r="84" spans="1:348" x14ac:dyDescent="0.25">
      <c r="A84" s="8" t="s">
        <v>19</v>
      </c>
      <c r="B84" s="8"/>
      <c r="C84" s="8"/>
      <c r="D84" s="8"/>
      <c r="E84" s="8"/>
      <c r="F84" s="10"/>
      <c r="G84" s="19"/>
      <c r="H84" s="19"/>
      <c r="I84" s="8"/>
      <c r="J84" s="8"/>
      <c r="K84" s="8"/>
      <c r="L84" s="8"/>
      <c r="M84" s="8"/>
      <c r="N84" s="8"/>
      <c r="O84" s="9"/>
      <c r="P84" s="8">
        <f>IF(SUM(S84:MJ84) &gt; 0, SUM(S84:MJ84), "")</f>
        <v>6</v>
      </c>
      <c r="Q84" s="109">
        <f t="shared" si="718"/>
        <v>13.636363636363635</v>
      </c>
      <c r="R84" s="84"/>
      <c r="S84" s="7"/>
      <c r="Z84" s="7"/>
      <c r="AG84" s="7"/>
      <c r="AK84">
        <v>1</v>
      </c>
      <c r="AN84" s="7"/>
      <c r="AU84" s="7"/>
      <c r="AW84">
        <v>1</v>
      </c>
      <c r="AY84">
        <v>1</v>
      </c>
      <c r="BB84" s="7"/>
      <c r="BF84">
        <v>1</v>
      </c>
      <c r="BI84" s="7"/>
      <c r="BN84">
        <v>1</v>
      </c>
      <c r="BP84" s="7"/>
      <c r="BY84" s="7"/>
      <c r="CH84" s="7"/>
      <c r="CQ84" s="7"/>
      <c r="CZ84" s="7"/>
      <c r="DI84" s="7"/>
      <c r="DR84" s="7"/>
      <c r="DT84">
        <v>1</v>
      </c>
      <c r="EA84" s="7"/>
      <c r="EH84" s="7"/>
      <c r="EO84" s="7"/>
      <c r="EV84" s="7"/>
      <c r="FC84" s="7"/>
      <c r="FJ84" s="7"/>
      <c r="FQ84" s="7"/>
      <c r="FX84" s="7"/>
      <c r="GE84" s="7"/>
      <c r="GL84" s="7"/>
      <c r="GS84" s="7"/>
      <c r="GZ84" s="7"/>
      <c r="HG84" s="7"/>
      <c r="HN84" s="7"/>
      <c r="HU84" s="7"/>
      <c r="IB84" s="7"/>
      <c r="II84" s="7"/>
      <c r="IP84" s="7"/>
      <c r="IW84" s="7"/>
      <c r="JD84" s="7"/>
      <c r="JK84" s="7"/>
      <c r="JR84" s="7"/>
      <c r="JY84" s="7"/>
      <c r="KF84" s="7"/>
      <c r="KM84" s="7"/>
      <c r="KT84" s="7"/>
      <c r="LA84" s="7"/>
      <c r="LH84" s="7"/>
      <c r="LO84" s="7"/>
      <c r="LV84" s="7"/>
      <c r="MC84" s="7"/>
      <c r="MJ84" s="7"/>
    </row>
    <row r="85" spans="1:348" ht="5.25" customHeight="1" x14ac:dyDescent="0.25">
      <c r="A85" s="8"/>
      <c r="B85" s="8"/>
      <c r="C85" s="8"/>
      <c r="D85" s="8"/>
      <c r="E85" s="8"/>
      <c r="F85" s="10"/>
      <c r="G85" s="19"/>
      <c r="H85" s="19"/>
      <c r="I85" s="8"/>
      <c r="J85" s="8"/>
      <c r="K85" s="8"/>
      <c r="L85" s="8"/>
      <c r="M85" s="8"/>
      <c r="N85" s="8"/>
      <c r="O85" s="9"/>
      <c r="P85" s="8" t="str">
        <f>IF(SUM(R85:MJ85) &gt; 0, SUM(R85:MJ85), "")</f>
        <v/>
      </c>
      <c r="Q85" s="109" t="str">
        <f t="shared" si="718"/>
        <v/>
      </c>
      <c r="R85" s="9"/>
      <c r="S85" s="7"/>
      <c r="Z85" s="7"/>
      <c r="AG85" s="7"/>
      <c r="AN85" s="7"/>
      <c r="AU85" s="7"/>
      <c r="BB85" s="7"/>
      <c r="BI85" s="7"/>
      <c r="BP85" s="7"/>
      <c r="BY85" s="7"/>
      <c r="CH85" s="7"/>
      <c r="CQ85" s="7"/>
      <c r="CZ85" s="7"/>
      <c r="DI85" s="7"/>
      <c r="DR85" s="7"/>
      <c r="EA85" s="7"/>
      <c r="EH85" s="7"/>
      <c r="EO85" s="7"/>
      <c r="EV85" s="7"/>
      <c r="FC85" s="7"/>
      <c r="FJ85" s="7"/>
      <c r="FQ85" s="7"/>
      <c r="FX85" s="7"/>
      <c r="GE85" s="7"/>
      <c r="GL85" s="7"/>
      <c r="GS85" s="7"/>
      <c r="GZ85" s="7"/>
      <c r="HG85" s="7"/>
      <c r="HN85" s="7"/>
      <c r="HU85" s="7"/>
      <c r="IB85" s="7"/>
      <c r="II85" s="7"/>
      <c r="IP85" s="7"/>
      <c r="IW85" s="7"/>
      <c r="JD85" s="7"/>
      <c r="JK85" s="7"/>
      <c r="JR85" s="7"/>
      <c r="JY85" s="7"/>
      <c r="KF85" s="7"/>
      <c r="KM85" s="7"/>
      <c r="KT85" s="7"/>
      <c r="LA85" s="7"/>
      <c r="LH85" s="7"/>
      <c r="LO85" s="7"/>
      <c r="LV85" s="7"/>
      <c r="MC85" s="7"/>
      <c r="MJ85" s="7"/>
    </row>
    <row r="86" spans="1:348" x14ac:dyDescent="0.25">
      <c r="A86" s="6" t="s">
        <v>18</v>
      </c>
      <c r="B86" s="3"/>
      <c r="C86" s="3"/>
      <c r="D86" s="3"/>
      <c r="E86" s="3"/>
      <c r="F86" s="5"/>
      <c r="G86" s="3"/>
      <c r="H86" s="3"/>
      <c r="I86" s="3"/>
      <c r="J86" s="3"/>
      <c r="K86" s="3"/>
      <c r="L86" s="3"/>
      <c r="M86" s="3"/>
      <c r="N86" s="3"/>
      <c r="O86" s="4"/>
      <c r="P86" s="3">
        <f>SUM(S86:MJ86)</f>
        <v>44</v>
      </c>
      <c r="Q86" s="3"/>
      <c r="R86" s="4"/>
      <c r="S86" s="4">
        <v>1</v>
      </c>
      <c r="T86" s="3"/>
      <c r="U86" s="3">
        <v>1</v>
      </c>
      <c r="V86" s="3">
        <v>1</v>
      </c>
      <c r="W86" s="3"/>
      <c r="X86" s="3">
        <v>1</v>
      </c>
      <c r="Y86" s="3"/>
      <c r="Z86" s="4"/>
      <c r="AA86" s="3"/>
      <c r="AB86" s="3">
        <v>1</v>
      </c>
      <c r="AC86" s="3"/>
      <c r="AD86" s="3">
        <v>1</v>
      </c>
      <c r="AE86" s="3">
        <v>1</v>
      </c>
      <c r="AF86" s="3"/>
      <c r="AG86" s="4"/>
      <c r="AH86" s="3"/>
      <c r="AI86" s="3">
        <v>1</v>
      </c>
      <c r="AJ86" s="3"/>
      <c r="AK86" s="3">
        <v>1</v>
      </c>
      <c r="AL86" s="3">
        <v>1</v>
      </c>
      <c r="AM86" s="3"/>
      <c r="AN86" s="4"/>
      <c r="AO86" s="3"/>
      <c r="AP86" s="3">
        <v>1</v>
      </c>
      <c r="AQ86" s="3"/>
      <c r="AR86" s="3">
        <v>1</v>
      </c>
      <c r="AS86" s="3">
        <v>1</v>
      </c>
      <c r="AT86" s="3"/>
      <c r="AU86" s="4"/>
      <c r="AV86" s="3"/>
      <c r="AW86" s="3">
        <v>1</v>
      </c>
      <c r="AX86" s="3">
        <v>1</v>
      </c>
      <c r="AY86" s="3">
        <v>1</v>
      </c>
      <c r="AZ86" s="3">
        <v>1</v>
      </c>
      <c r="BA86" s="3"/>
      <c r="BB86" s="4"/>
      <c r="BC86" s="3"/>
      <c r="BD86" s="3">
        <v>1</v>
      </c>
      <c r="BE86" s="3"/>
      <c r="BF86" s="3">
        <v>1</v>
      </c>
      <c r="BG86" s="3">
        <v>1</v>
      </c>
      <c r="BH86" s="3"/>
      <c r="BI86" s="4"/>
      <c r="BJ86" s="3"/>
      <c r="BK86" s="3">
        <v>1</v>
      </c>
      <c r="BL86" s="3"/>
      <c r="BM86" s="3">
        <v>1</v>
      </c>
      <c r="BN86" s="3">
        <v>1</v>
      </c>
      <c r="BO86" s="3"/>
      <c r="BP86" s="4">
        <v>1</v>
      </c>
      <c r="BQ86" s="3"/>
      <c r="BR86" s="3">
        <v>1</v>
      </c>
      <c r="BS86" s="3"/>
      <c r="BT86" s="3">
        <v>1</v>
      </c>
      <c r="BU86" s="3"/>
      <c r="BV86" s="3"/>
      <c r="BW86" s="3">
        <v>1</v>
      </c>
      <c r="BX86" s="3"/>
      <c r="BY86" s="4"/>
      <c r="BZ86" s="3"/>
      <c r="CA86" s="3"/>
      <c r="CB86" s="3"/>
      <c r="CC86" s="3">
        <v>1</v>
      </c>
      <c r="CD86" s="3"/>
      <c r="CE86" s="3"/>
      <c r="CF86" s="3">
        <v>1</v>
      </c>
      <c r="CG86" s="3"/>
      <c r="CH86" s="4"/>
      <c r="CI86" s="3"/>
      <c r="CJ86" s="3"/>
      <c r="CK86" s="3"/>
      <c r="CL86" s="3">
        <v>1</v>
      </c>
      <c r="CM86" s="3"/>
      <c r="CN86" s="3"/>
      <c r="CO86" s="3">
        <v>1</v>
      </c>
      <c r="CP86" s="3"/>
      <c r="CQ86" s="4"/>
      <c r="CR86" s="3"/>
      <c r="CS86" s="3">
        <v>1</v>
      </c>
      <c r="CT86" s="3"/>
      <c r="CU86" s="3">
        <v>1</v>
      </c>
      <c r="CV86" s="3">
        <v>1</v>
      </c>
      <c r="CW86" s="3"/>
      <c r="CX86" s="3">
        <v>1</v>
      </c>
      <c r="CY86" s="3"/>
      <c r="CZ86" s="4"/>
      <c r="DA86" s="3"/>
      <c r="DB86" s="3">
        <v>1</v>
      </c>
      <c r="DC86" s="3"/>
      <c r="DD86" s="3"/>
      <c r="DE86" s="3">
        <v>1</v>
      </c>
      <c r="DF86" s="3"/>
      <c r="DG86" s="3">
        <v>1</v>
      </c>
      <c r="DH86" s="3"/>
      <c r="DI86" s="4"/>
      <c r="DJ86" s="3"/>
      <c r="DK86" s="3">
        <v>1</v>
      </c>
      <c r="DL86" s="3"/>
      <c r="DM86" s="3">
        <v>1</v>
      </c>
      <c r="DN86" s="3">
        <v>1</v>
      </c>
      <c r="DO86" s="3"/>
      <c r="DP86" s="3"/>
      <c r="DQ86" s="3"/>
      <c r="DR86" s="4"/>
      <c r="DS86" s="3"/>
      <c r="DT86" s="3">
        <v>1</v>
      </c>
      <c r="DU86" s="3"/>
      <c r="DV86" s="3">
        <v>1</v>
      </c>
      <c r="DW86" s="3">
        <v>1</v>
      </c>
      <c r="DX86" s="3"/>
      <c r="DY86" s="3"/>
      <c r="DZ86" s="3"/>
      <c r="EA86" s="4"/>
      <c r="EB86" s="3"/>
      <c r="EC86" s="3"/>
      <c r="ED86" s="3"/>
      <c r="EE86" s="3"/>
      <c r="EF86" s="3"/>
      <c r="EG86" s="3"/>
      <c r="EH86" s="4"/>
      <c r="EI86" s="3"/>
      <c r="EJ86" s="3"/>
      <c r="EK86" s="3"/>
      <c r="EL86" s="3"/>
      <c r="EM86" s="3"/>
      <c r="EN86" s="3"/>
      <c r="EO86" s="4"/>
      <c r="EP86" s="3"/>
      <c r="EQ86" s="3"/>
      <c r="ER86" s="3"/>
      <c r="ES86" s="3"/>
      <c r="ET86" s="3"/>
      <c r="EU86" s="3"/>
      <c r="EV86" s="4"/>
      <c r="EW86" s="3"/>
      <c r="EX86" s="3"/>
      <c r="EY86" s="3"/>
      <c r="EZ86" s="3"/>
      <c r="FA86" s="3"/>
      <c r="FB86" s="3"/>
      <c r="FC86" s="4"/>
      <c r="FD86" s="3"/>
      <c r="FE86" s="3"/>
      <c r="FF86" s="3"/>
      <c r="FG86" s="3"/>
      <c r="FH86" s="3"/>
      <c r="FI86" s="3"/>
      <c r="FJ86" s="4"/>
      <c r="FK86" s="3"/>
      <c r="FL86" s="3"/>
      <c r="FM86" s="3"/>
      <c r="FN86" s="3"/>
      <c r="FO86" s="3"/>
      <c r="FP86" s="3"/>
      <c r="FQ86" s="4"/>
      <c r="FR86" s="3"/>
      <c r="FS86" s="3"/>
      <c r="FT86" s="3"/>
      <c r="FU86" s="3"/>
      <c r="FV86" s="3"/>
      <c r="FW86" s="3"/>
      <c r="FX86" s="4"/>
      <c r="FY86" s="3"/>
      <c r="FZ86" s="3"/>
      <c r="GA86" s="3"/>
      <c r="GB86" s="3"/>
      <c r="GC86" s="3"/>
      <c r="GD86" s="3"/>
      <c r="GE86" s="4"/>
      <c r="GF86" s="3"/>
      <c r="GG86" s="3"/>
      <c r="GH86" s="3"/>
      <c r="GI86" s="3"/>
      <c r="GJ86" s="3"/>
      <c r="GK86" s="3"/>
      <c r="GL86" s="4"/>
      <c r="GM86" s="3"/>
      <c r="GN86" s="3"/>
      <c r="GO86" s="3"/>
      <c r="GP86" s="3"/>
      <c r="GQ86" s="3"/>
      <c r="GR86" s="3"/>
      <c r="GS86" s="4"/>
      <c r="GT86" s="3"/>
      <c r="GU86" s="3"/>
      <c r="GV86" s="3"/>
      <c r="GW86" s="3"/>
      <c r="GX86" s="3"/>
      <c r="GY86" s="3"/>
      <c r="GZ86" s="4"/>
      <c r="HA86" s="3"/>
      <c r="HB86" s="3"/>
      <c r="HC86" s="3"/>
      <c r="HD86" s="3"/>
      <c r="HE86" s="3"/>
      <c r="HF86" s="3"/>
      <c r="HG86" s="4"/>
      <c r="HH86" s="3"/>
      <c r="HI86" s="3"/>
      <c r="HJ86" s="3"/>
      <c r="HK86" s="3"/>
      <c r="HL86" s="3"/>
      <c r="HM86" s="3"/>
      <c r="HN86" s="4"/>
      <c r="HO86" s="3"/>
      <c r="HP86" s="3"/>
      <c r="HQ86" s="3"/>
      <c r="HR86" s="3"/>
      <c r="HS86" s="3"/>
      <c r="HT86" s="3"/>
      <c r="HU86" s="4"/>
      <c r="HV86" s="3"/>
      <c r="HW86" s="3"/>
      <c r="HX86" s="3"/>
      <c r="HY86" s="3"/>
      <c r="HZ86" s="3"/>
      <c r="IA86" s="3"/>
      <c r="IB86" s="4"/>
      <c r="IC86" s="3"/>
      <c r="ID86" s="3"/>
      <c r="IE86" s="3"/>
      <c r="IF86" s="3"/>
      <c r="IG86" s="3"/>
      <c r="IH86" s="3"/>
      <c r="II86" s="4"/>
      <c r="IJ86" s="3"/>
      <c r="IK86" s="3"/>
      <c r="IL86" s="3"/>
      <c r="IM86" s="3"/>
      <c r="IN86" s="3"/>
      <c r="IO86" s="3"/>
      <c r="IP86" s="4"/>
      <c r="IQ86" s="3"/>
      <c r="IR86" s="3"/>
      <c r="IS86" s="3"/>
      <c r="IT86" s="3"/>
      <c r="IU86" s="3"/>
      <c r="IV86" s="3"/>
      <c r="IW86" s="4"/>
      <c r="IX86" s="3"/>
      <c r="IY86" s="3"/>
      <c r="IZ86" s="3"/>
      <c r="JA86" s="3"/>
      <c r="JB86" s="3"/>
      <c r="JC86" s="3"/>
      <c r="JD86" s="4"/>
      <c r="JE86" s="3"/>
      <c r="JF86" s="3"/>
      <c r="JG86" s="3"/>
      <c r="JH86" s="3"/>
      <c r="JI86" s="3"/>
      <c r="JJ86" s="3"/>
      <c r="JK86" s="4"/>
      <c r="JL86" s="3"/>
      <c r="JM86" s="3"/>
      <c r="JN86" s="3"/>
      <c r="JO86" s="3"/>
      <c r="JP86" s="3"/>
      <c r="JQ86" s="3"/>
      <c r="JR86" s="4"/>
      <c r="JS86" s="3"/>
      <c r="JT86" s="3"/>
      <c r="JU86" s="3"/>
      <c r="JV86" s="3"/>
      <c r="JW86" s="3"/>
      <c r="JX86" s="3"/>
      <c r="JY86" s="4"/>
      <c r="JZ86" s="3"/>
      <c r="KA86" s="3"/>
      <c r="KB86" s="3"/>
      <c r="KC86" s="3"/>
      <c r="KD86" s="3"/>
      <c r="KE86" s="3"/>
      <c r="KF86" s="4"/>
      <c r="KG86" s="3"/>
      <c r="KH86" s="3"/>
      <c r="KI86" s="3"/>
      <c r="KJ86" s="3"/>
      <c r="KK86" s="3"/>
      <c r="KL86" s="3"/>
      <c r="KM86" s="4"/>
      <c r="KN86" s="3"/>
      <c r="KO86" s="3"/>
      <c r="KP86" s="3"/>
      <c r="KQ86" s="3"/>
      <c r="KR86" s="3"/>
      <c r="KS86" s="3"/>
      <c r="KT86" s="4"/>
      <c r="KU86" s="3"/>
      <c r="KV86" s="3"/>
      <c r="KW86" s="3"/>
      <c r="KX86" s="3"/>
      <c r="KY86" s="3"/>
      <c r="KZ86" s="3"/>
      <c r="LA86" s="4"/>
      <c r="LB86" s="3"/>
      <c r="LC86" s="3"/>
      <c r="LD86" s="3"/>
      <c r="LE86" s="3"/>
      <c r="LF86" s="3"/>
      <c r="LG86" s="3"/>
      <c r="LH86" s="4"/>
      <c r="LI86" s="3"/>
      <c r="LJ86" s="3"/>
      <c r="LK86" s="3"/>
      <c r="LL86" s="3"/>
      <c r="LM86" s="3"/>
      <c r="LN86" s="3"/>
      <c r="LO86" s="4"/>
      <c r="LP86" s="3"/>
      <c r="LQ86" s="3"/>
      <c r="LR86" s="3"/>
      <c r="LS86" s="3"/>
      <c r="LT86" s="3"/>
      <c r="LU86" s="3"/>
      <c r="LV86" s="4"/>
      <c r="LW86" s="3"/>
      <c r="LX86" s="3"/>
      <c r="LY86" s="3"/>
      <c r="LZ86" s="3"/>
      <c r="MA86" s="3"/>
      <c r="MB86" s="3"/>
      <c r="MC86" s="4"/>
      <c r="MD86" s="3"/>
      <c r="ME86" s="3"/>
      <c r="MF86" s="3"/>
      <c r="MG86" s="3"/>
      <c r="MH86" s="3"/>
      <c r="MI86" s="3"/>
      <c r="MJ86" s="4"/>
    </row>
    <row r="88" spans="1:348" x14ac:dyDescent="0.25">
      <c r="B88" t="s">
        <v>200</v>
      </c>
      <c r="C88" t="s">
        <v>201</v>
      </c>
      <c r="D88" t="s">
        <v>202</v>
      </c>
      <c r="E88" t="s">
        <v>203</v>
      </c>
      <c r="F88" t="s">
        <v>208</v>
      </c>
      <c r="G88" t="s">
        <v>204</v>
      </c>
      <c r="H88" t="s">
        <v>205</v>
      </c>
      <c r="I88" t="s">
        <v>48</v>
      </c>
      <c r="J88" t="s">
        <v>408</v>
      </c>
      <c r="K88" t="s">
        <v>206</v>
      </c>
      <c r="L88" t="s">
        <v>207</v>
      </c>
    </row>
    <row r="89" spans="1:348" ht="15" customHeight="1" x14ac:dyDescent="0.25">
      <c r="A89" t="s">
        <v>17</v>
      </c>
      <c r="B89" t="s">
        <v>145</v>
      </c>
      <c r="C89">
        <v>7</v>
      </c>
      <c r="D89">
        <v>26</v>
      </c>
      <c r="E89">
        <v>34</v>
      </c>
      <c r="F89">
        <v>1</v>
      </c>
      <c r="G89" t="s">
        <v>15</v>
      </c>
      <c r="H89" t="s">
        <v>13</v>
      </c>
      <c r="I89" t="s">
        <v>188</v>
      </c>
      <c r="J89" t="s">
        <v>189</v>
      </c>
      <c r="K89" t="s">
        <v>409</v>
      </c>
      <c r="L89" s="51" t="str">
        <f>FindEnd(S35:MJ35)</f>
        <v>EA</v>
      </c>
      <c r="N89" s="101"/>
      <c r="O89" s="102"/>
      <c r="P89" s="102"/>
      <c r="Q89" s="102"/>
      <c r="R89" s="103"/>
      <c r="S89" s="102"/>
      <c r="V89" s="34"/>
    </row>
    <row r="90" spans="1:348" x14ac:dyDescent="0.25">
      <c r="B90" t="s">
        <v>148</v>
      </c>
      <c r="C90">
        <v>43</v>
      </c>
      <c r="D90">
        <v>60</v>
      </c>
      <c r="E90">
        <v>64</v>
      </c>
      <c r="F90">
        <v>37</v>
      </c>
      <c r="G90" t="s">
        <v>15</v>
      </c>
      <c r="H90" t="s">
        <v>13</v>
      </c>
      <c r="I90" t="s">
        <v>188</v>
      </c>
      <c r="K90" t="s">
        <v>105</v>
      </c>
      <c r="L90" s="51" t="str">
        <f>FindEnd(S63:MJ63)</f>
        <v>EA</v>
      </c>
    </row>
    <row r="91" spans="1:348" x14ac:dyDescent="0.25">
      <c r="B91" t="s">
        <v>16</v>
      </c>
      <c r="C91">
        <v>70</v>
      </c>
      <c r="D91">
        <v>73</v>
      </c>
      <c r="E91">
        <v>76</v>
      </c>
      <c r="F91">
        <v>65</v>
      </c>
      <c r="G91" t="s">
        <v>15</v>
      </c>
      <c r="H91" t="s">
        <v>13</v>
      </c>
      <c r="I91" t="s">
        <v>188</v>
      </c>
      <c r="K91" t="s">
        <v>105</v>
      </c>
      <c r="L91" s="51" t="str">
        <f>FindEnd(S75:MJ75)</f>
        <v>EA</v>
      </c>
    </row>
    <row r="92" spans="1:348" x14ac:dyDescent="0.25">
      <c r="F92" s="106" t="s">
        <v>404</v>
      </c>
      <c r="K92" s="51"/>
    </row>
    <row r="93" spans="1:348" x14ac:dyDescent="0.25">
      <c r="K93" s="51"/>
    </row>
    <row r="94" spans="1:348" x14ac:dyDescent="0.25">
      <c r="K94" s="51"/>
    </row>
    <row r="95" spans="1:348" x14ac:dyDescent="0.25">
      <c r="K95" s="51"/>
    </row>
    <row r="96" spans="1:348" x14ac:dyDescent="0.25">
      <c r="A96" s="160" t="s">
        <v>109</v>
      </c>
      <c r="B96" s="160" t="s">
        <v>112</v>
      </c>
      <c r="C96" s="160"/>
      <c r="D96" s="161">
        <v>40099</v>
      </c>
    </row>
    <row r="97" spans="1:5" hidden="1" x14ac:dyDescent="0.25">
      <c r="A97" s="8" t="s">
        <v>112</v>
      </c>
      <c r="B97" s="8" t="s">
        <v>111</v>
      </c>
      <c r="C97" s="8" t="s">
        <v>110</v>
      </c>
      <c r="D97" s="8" t="s">
        <v>109</v>
      </c>
      <c r="E97" s="18">
        <v>40099</v>
      </c>
    </row>
    <row r="98" spans="1:5" hidden="1" x14ac:dyDescent="0.25">
      <c r="A98" s="8" t="s">
        <v>83</v>
      </c>
      <c r="B98" s="8"/>
      <c r="C98" s="8" t="s">
        <v>105</v>
      </c>
      <c r="D98" s="8" t="s">
        <v>104</v>
      </c>
      <c r="E98" s="18">
        <v>39365</v>
      </c>
    </row>
    <row r="99" spans="1:5" hidden="1" x14ac:dyDescent="0.25">
      <c r="A99" s="8" t="s">
        <v>103</v>
      </c>
      <c r="B99" s="8"/>
      <c r="C99" s="8" t="s">
        <v>102</v>
      </c>
      <c r="D99" s="8" t="s">
        <v>101</v>
      </c>
      <c r="E99" s="18">
        <v>39705</v>
      </c>
    </row>
    <row r="100" spans="1:5" hidden="1" x14ac:dyDescent="0.25">
      <c r="A100" s="8" t="s">
        <v>86</v>
      </c>
      <c r="B100" s="8"/>
      <c r="C100" s="8" t="s">
        <v>100</v>
      </c>
      <c r="D100" s="8" t="s">
        <v>97</v>
      </c>
      <c r="E100" s="18">
        <v>39386</v>
      </c>
    </row>
    <row r="101" spans="1:5" hidden="1" x14ac:dyDescent="0.25">
      <c r="A101" s="8" t="s">
        <v>99</v>
      </c>
      <c r="B101" s="8"/>
      <c r="C101" s="8" t="s">
        <v>98</v>
      </c>
      <c r="D101" s="8" t="s">
        <v>97</v>
      </c>
      <c r="E101" s="18">
        <v>39386</v>
      </c>
    </row>
    <row r="102" spans="1:5" hidden="1" x14ac:dyDescent="0.25">
      <c r="A102" s="8" t="s">
        <v>96</v>
      </c>
      <c r="B102" s="8" t="s">
        <v>95</v>
      </c>
      <c r="C102" s="8" t="s">
        <v>94</v>
      </c>
      <c r="D102" s="8" t="s">
        <v>93</v>
      </c>
      <c r="E102" s="18">
        <v>39590</v>
      </c>
    </row>
    <row r="103" spans="1:5" x14ac:dyDescent="0.25">
      <c r="A103" s="8" t="s">
        <v>72</v>
      </c>
      <c r="B103" s="8"/>
      <c r="C103" s="8" t="s">
        <v>71</v>
      </c>
      <c r="D103" s="8" t="s">
        <v>70</v>
      </c>
      <c r="E103" s="18">
        <v>40754</v>
      </c>
    </row>
    <row r="104" spans="1:5" x14ac:dyDescent="0.25">
      <c r="A104" s="8" t="s">
        <v>69</v>
      </c>
      <c r="B104" s="8"/>
      <c r="C104" s="8" t="s">
        <v>68</v>
      </c>
      <c r="D104" s="8" t="s">
        <v>67</v>
      </c>
      <c r="E104" s="18"/>
    </row>
    <row r="105" spans="1:5" hidden="1" x14ac:dyDescent="0.25">
      <c r="A105" s="8" t="s">
        <v>66</v>
      </c>
      <c r="B105" s="8" t="s">
        <v>65</v>
      </c>
      <c r="C105" s="8" t="s">
        <v>64</v>
      </c>
      <c r="D105" s="8" t="s">
        <v>63</v>
      </c>
      <c r="E105" s="18">
        <v>39713</v>
      </c>
    </row>
    <row r="106" spans="1:5" x14ac:dyDescent="0.25">
      <c r="A106" s="8" t="s">
        <v>61</v>
      </c>
      <c r="B106" s="8"/>
      <c r="C106" s="8" t="s">
        <v>60</v>
      </c>
      <c r="D106" s="8" t="s">
        <v>59</v>
      </c>
      <c r="E106" s="18"/>
    </row>
    <row r="107" spans="1:5" x14ac:dyDescent="0.25">
      <c r="A107" s="8" t="s">
        <v>58</v>
      </c>
      <c r="B107" s="8"/>
      <c r="C107" s="8" t="s">
        <v>57</v>
      </c>
      <c r="D107" s="8"/>
      <c r="E107" s="18"/>
    </row>
    <row r="108" spans="1:5" x14ac:dyDescent="0.25">
      <c r="A108" s="8" t="s">
        <v>56</v>
      </c>
      <c r="B108" s="8"/>
      <c r="C108" s="8" t="s">
        <v>14</v>
      </c>
      <c r="D108" s="8"/>
      <c r="E108" s="18"/>
    </row>
    <row r="109" spans="1:5" x14ac:dyDescent="0.25">
      <c r="A109" s="8" t="s">
        <v>55</v>
      </c>
      <c r="B109" s="8"/>
      <c r="C109" s="31" t="s">
        <v>54</v>
      </c>
      <c r="D109" s="8"/>
      <c r="E109" s="18"/>
    </row>
    <row r="110" spans="1:5" x14ac:dyDescent="0.25">
      <c r="A110" s="8" t="s">
        <v>53</v>
      </c>
      <c r="B110" s="8"/>
      <c r="C110" s="31" t="s">
        <v>52</v>
      </c>
      <c r="D110" s="8"/>
      <c r="E110" s="18"/>
    </row>
    <row r="111" spans="1:5" x14ac:dyDescent="0.25">
      <c r="A111" s="8" t="s">
        <v>51</v>
      </c>
      <c r="B111" s="8"/>
      <c r="C111" s="31" t="s">
        <v>50</v>
      </c>
      <c r="D111" s="8"/>
      <c r="E111" s="18"/>
    </row>
  </sheetData>
  <dataConsolidate/>
  <mergeCells count="12">
    <mergeCell ref="A66:E67"/>
    <mergeCell ref="P66:P67"/>
    <mergeCell ref="R66:R67"/>
    <mergeCell ref="R2:R3"/>
    <mergeCell ref="A2:E3"/>
    <mergeCell ref="P2:P3"/>
    <mergeCell ref="A38:E39"/>
    <mergeCell ref="P38:P39"/>
    <mergeCell ref="R38:R39"/>
    <mergeCell ref="Q2:Q3"/>
    <mergeCell ref="Q38:Q39"/>
    <mergeCell ref="Q66:Q67"/>
  </mergeCells>
  <pageMargins left="0.7" right="0.7" top="0.75" bottom="0.75" header="0.3" footer="0.3"/>
  <pageSetup paperSize="9" orientation="portrait" r:id="rId1"/>
  <ignoredErrors>
    <ignoredError sqref="BY7 BY9:BY11 BX7:BX11 BY25:BY26 CH8:CH11 CH7 CG8:CG11 CG7 BX25:BX26 CH19:CH21 CH13:CH14 CG13:CG14 CG23 CG15:CG17 CG18:CG21 CG25:CG26 CH23 CH15:CH16 CH18 CH17 CH25:CH26 CG12:CH12 CG24:CH24 BX13:BX16 BY13:BY16 BX12:BY12 BX24 BX23 BY23:BY24 CP24:CP26 CP20:CP21 CP23:CQ23 CQ20:CQ21 CQ24:CQ26 BY20 BX20 BX17:BY19 BX21:BY21 BX22:CQ22 CY20:CY26 CZ20:CZ26 CZ18 CY18 CZ11:CZ16 CY11:CY16 CQ11:CQ15 CP11:CP15 CZ8:CZ9 CY8:CY9 CQ18:CQ19 CQ8:CQ9 CP16:CQ17 CP7:CQ7 CP8:CP9 CP18:CP19 CR7:CZ7 CR19:CZ19 CP10:CZ10 CR8:CX9 CR17:CZ17 CR11:CX15 CR16:CX16 CR18:CX18 DH26 DH24 DH25:DI25 DH22 DH21 DH23 DH18 DH20:DI20 DI22 DH19:DI19 DI18 DI24 DI23 DI21 DI26 DI16 DI15 DI9 DI11 DH12:DI12 DH10:DI10 DH8:DI8 DH13:DI14 DH11 DH9 DH15 DH16 DH7:DI7 DH17:DI17 DQ20:DQ26 DQ13:DQ16 DQ7:DQ9 DQ12:DR12 DR8:DR9 DQ17:DR19 DR13:DR16 DR20:DR26 DQ11 DR11 DQ10:DR10 DZ7:EA26" numberStoredAsText="1"/>
    <ignoredError sqref="P29:P30 Q7 CZ34 Q34 EA34" formula="1"/>
    <ignoredError sqref="AI64:CV64 CY67 DZ64:MJ64 AI76:CV79 AI75:BL75 BN75:CV75 AI81:CV85 AI80:CR80 CT80 AI86:CR86 CT86 CY68:DF79 DA67:DF67 CY64:DF64 CY81:DF85 CY80:DA80 DC80:DD80 CY86:DA86 DC86:DD86 DI67:DO79 DI64:DO64 DZ68:MJ86 EB65:MJ65 EB66:MJ66 DS66:DW66 DS65:DW65 DR67:DS67 DR64:DW64 DI81:DO85 DI80:DJ80 DL80 DF80 DF86 DI86:DJ86 DL86 DO80 DO86 AI67:CV74 AI65:BY65 AI66:BY66 DR74:DU74 DR72:DS72 DU72 DR69:DW69 DR68:DS68 DU68 DU67 DR71:DW71 DR70:DS70 DU70 DR73:DT73 DR76:DW79 DR75:DS75 DU75 DR81:DW83 DR80:DS80 DU80 DR85:DW85 DR84:DS84 DU84:DW84 DR86:DS86 DU86 DZ67:EB67 ED67 EG67:MJ67 DW74"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88</xdr:row>
                    <xdr:rowOff>28575</xdr:rowOff>
                  </from>
                  <to>
                    <xdr:col>0</xdr:col>
                    <xdr:colOff>676275</xdr:colOff>
                    <xdr:row>90</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92</xdr:row>
                    <xdr:rowOff>28575</xdr:rowOff>
                  </from>
                  <to>
                    <xdr:col>9</xdr:col>
                    <xdr:colOff>47625</xdr:colOff>
                    <xdr:row>93</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15"/>
  <sheetViews>
    <sheetView workbookViewId="0">
      <selection activeCell="B11" sqref="B11"/>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197</v>
      </c>
      <c r="B1" s="71" t="s">
        <v>190</v>
      </c>
      <c r="C1" s="71"/>
      <c r="D1" s="71" t="s">
        <v>191</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2"/>
      <c r="B9" s="73"/>
      <c r="C9" s="74"/>
      <c r="D9" s="73"/>
    </row>
    <row r="10" spans="1:4" x14ac:dyDescent="0.25">
      <c r="A10" s="75">
        <v>44071</v>
      </c>
      <c r="B10" s="74" t="s">
        <v>458</v>
      </c>
      <c r="C10" s="74"/>
      <c r="D10" s="74" t="s">
        <v>459</v>
      </c>
    </row>
    <row r="11" spans="1:4" ht="105" x14ac:dyDescent="0.25">
      <c r="A11" s="72"/>
      <c r="B11" s="76" t="s">
        <v>461</v>
      </c>
      <c r="C11" s="74"/>
      <c r="D11" s="76" t="s">
        <v>460</v>
      </c>
    </row>
    <row r="12" spans="1:4" x14ac:dyDescent="0.25">
      <c r="A12" s="75">
        <v>44070</v>
      </c>
      <c r="B12" s="74" t="s">
        <v>454</v>
      </c>
      <c r="C12" s="74"/>
      <c r="D12" s="74" t="s">
        <v>455</v>
      </c>
    </row>
    <row r="13" spans="1:4" ht="90" x14ac:dyDescent="0.25">
      <c r="A13" s="72"/>
      <c r="B13" s="76" t="s">
        <v>456</v>
      </c>
      <c r="C13" s="74"/>
      <c r="D13" s="76" t="s">
        <v>457</v>
      </c>
    </row>
    <row r="14" spans="1:4" x14ac:dyDescent="0.25">
      <c r="A14" s="75">
        <v>44068</v>
      </c>
      <c r="B14" s="74" t="s">
        <v>450</v>
      </c>
      <c r="C14" s="74"/>
      <c r="D14" s="74" t="s">
        <v>451</v>
      </c>
    </row>
    <row r="15" spans="1:4" ht="75" x14ac:dyDescent="0.25">
      <c r="A15" s="72"/>
      <c r="B15" s="76" t="s">
        <v>452</v>
      </c>
      <c r="C15" s="74"/>
      <c r="D15" s="76" t="s">
        <v>453</v>
      </c>
    </row>
    <row r="16" spans="1:4" x14ac:dyDescent="0.25">
      <c r="A16" s="72"/>
      <c r="B16" s="73"/>
      <c r="C16" s="74"/>
      <c r="D16" s="73"/>
    </row>
    <row r="17" spans="1:4" x14ac:dyDescent="0.25">
      <c r="A17" s="75">
        <v>44066</v>
      </c>
      <c r="B17" s="74" t="s">
        <v>446</v>
      </c>
      <c r="C17" s="74"/>
      <c r="D17" s="73"/>
    </row>
    <row r="18" spans="1:4" ht="60" x14ac:dyDescent="0.25">
      <c r="A18" s="72"/>
      <c r="B18" s="76" t="s">
        <v>447</v>
      </c>
      <c r="C18" s="74"/>
      <c r="D18" s="73"/>
    </row>
    <row r="19" spans="1:4" x14ac:dyDescent="0.25">
      <c r="A19" s="75">
        <v>44064</v>
      </c>
      <c r="B19" s="74" t="s">
        <v>442</v>
      </c>
      <c r="C19" s="74"/>
      <c r="D19" s="73"/>
    </row>
    <row r="20" spans="1:4" ht="90" x14ac:dyDescent="0.25">
      <c r="A20" s="72"/>
      <c r="B20" s="76" t="s">
        <v>443</v>
      </c>
      <c r="C20" s="74"/>
      <c r="D20" s="73"/>
    </row>
    <row r="21" spans="1:4" x14ac:dyDescent="0.25">
      <c r="A21" s="75">
        <v>44063</v>
      </c>
      <c r="B21" s="74" t="s">
        <v>440</v>
      </c>
      <c r="C21" s="74"/>
      <c r="D21" s="73"/>
    </row>
    <row r="22" spans="1:4" ht="75" x14ac:dyDescent="0.25">
      <c r="A22" s="72"/>
      <c r="B22" s="76" t="s">
        <v>441</v>
      </c>
      <c r="C22" s="74"/>
      <c r="D22" s="73"/>
    </row>
    <row r="23" spans="1:4" x14ac:dyDescent="0.25">
      <c r="A23" s="75">
        <v>44061</v>
      </c>
      <c r="B23" s="74" t="s">
        <v>435</v>
      </c>
      <c r="C23" s="74"/>
      <c r="D23" s="73"/>
    </row>
    <row r="24" spans="1:4" ht="120" x14ac:dyDescent="0.25">
      <c r="A24" s="72"/>
      <c r="B24" s="76" t="s">
        <v>436</v>
      </c>
      <c r="C24" s="74"/>
      <c r="D24" s="73"/>
    </row>
    <row r="25" spans="1:4" x14ac:dyDescent="0.25">
      <c r="A25" s="72"/>
      <c r="B25" s="76"/>
      <c r="C25" s="74"/>
      <c r="D25" s="73"/>
    </row>
    <row r="26" spans="1:4" x14ac:dyDescent="0.25">
      <c r="A26" s="75">
        <v>44059</v>
      </c>
      <c r="B26" s="74" t="s">
        <v>373</v>
      </c>
      <c r="C26" s="74"/>
      <c r="D26" s="73"/>
    </row>
    <row r="27" spans="1:4" ht="45" x14ac:dyDescent="0.25">
      <c r="A27" s="72"/>
      <c r="B27" s="76" t="s">
        <v>422</v>
      </c>
      <c r="C27" s="74"/>
      <c r="D27" s="73"/>
    </row>
    <row r="28" spans="1:4" x14ac:dyDescent="0.25">
      <c r="A28" s="75">
        <v>44057</v>
      </c>
      <c r="B28" s="74" t="s">
        <v>425</v>
      </c>
      <c r="C28" s="74"/>
      <c r="D28" s="73"/>
    </row>
    <row r="29" spans="1:4" ht="60" x14ac:dyDescent="0.25">
      <c r="A29" s="72"/>
      <c r="B29" s="76" t="s">
        <v>420</v>
      </c>
      <c r="C29" s="74"/>
      <c r="D29" s="73"/>
    </row>
    <row r="30" spans="1:4" x14ac:dyDescent="0.25">
      <c r="A30" s="75">
        <v>44056</v>
      </c>
      <c r="B30" s="74" t="s">
        <v>418</v>
      </c>
      <c r="C30" s="74"/>
      <c r="D30" s="73"/>
    </row>
    <row r="31" spans="1:4" x14ac:dyDescent="0.25">
      <c r="A31" s="72"/>
      <c r="B31" s="73" t="s">
        <v>419</v>
      </c>
      <c r="C31" s="74"/>
      <c r="D31" s="73"/>
    </row>
    <row r="32" spans="1:4" x14ac:dyDescent="0.25">
      <c r="A32" s="75">
        <v>44054</v>
      </c>
      <c r="B32" s="74" t="s">
        <v>416</v>
      </c>
      <c r="C32" s="74"/>
      <c r="D32" s="73"/>
    </row>
    <row r="33" spans="1:4" ht="75" x14ac:dyDescent="0.25">
      <c r="A33" s="72"/>
      <c r="B33" s="76" t="s">
        <v>417</v>
      </c>
      <c r="C33" s="74"/>
      <c r="D33" s="73"/>
    </row>
    <row r="34" spans="1:4" x14ac:dyDescent="0.25">
      <c r="A34" s="72"/>
      <c r="B34" s="73"/>
      <c r="C34" s="74"/>
      <c r="D34" s="73"/>
    </row>
    <row r="35" spans="1:4" x14ac:dyDescent="0.25">
      <c r="A35" s="75">
        <v>44052</v>
      </c>
      <c r="B35" s="74" t="s">
        <v>347</v>
      </c>
      <c r="C35" s="74"/>
      <c r="D35" s="73"/>
    </row>
    <row r="36" spans="1:4" ht="90" x14ac:dyDescent="0.25">
      <c r="A36" s="72"/>
      <c r="B36" s="76" t="s">
        <v>411</v>
      </c>
      <c r="C36" s="74"/>
      <c r="D36" s="73"/>
    </row>
    <row r="37" spans="1:4" x14ac:dyDescent="0.25">
      <c r="A37" s="75">
        <v>44050</v>
      </c>
      <c r="B37" s="74" t="s">
        <v>398</v>
      </c>
      <c r="C37" s="74"/>
      <c r="D37" s="73"/>
    </row>
    <row r="38" spans="1:4" ht="90" x14ac:dyDescent="0.25">
      <c r="A38" s="72"/>
      <c r="B38" s="76" t="s">
        <v>401</v>
      </c>
      <c r="C38" s="74"/>
      <c r="D38" s="73"/>
    </row>
    <row r="39" spans="1:4" x14ac:dyDescent="0.25">
      <c r="A39" s="75">
        <v>44049</v>
      </c>
      <c r="B39" s="74" t="s">
        <v>403</v>
      </c>
      <c r="C39" s="74"/>
      <c r="D39" s="73"/>
    </row>
    <row r="40" spans="1:4" ht="75" x14ac:dyDescent="0.25">
      <c r="A40" s="72"/>
      <c r="B40" s="76" t="s">
        <v>402</v>
      </c>
      <c r="C40" s="74"/>
      <c r="D40" s="73"/>
    </row>
    <row r="41" spans="1:4" x14ac:dyDescent="0.25">
      <c r="A41" s="75">
        <v>44047</v>
      </c>
      <c r="B41" s="74" t="s">
        <v>398</v>
      </c>
      <c r="C41" s="74"/>
      <c r="D41" s="73"/>
    </row>
    <row r="42" spans="1:4" ht="90" x14ac:dyDescent="0.25">
      <c r="A42" s="72"/>
      <c r="B42" s="76" t="s">
        <v>399</v>
      </c>
      <c r="C42" s="74"/>
      <c r="D42" s="73"/>
    </row>
    <row r="43" spans="1:4" x14ac:dyDescent="0.25">
      <c r="A43" s="72"/>
      <c r="B43" s="73"/>
      <c r="C43" s="74"/>
      <c r="D43" s="73"/>
    </row>
    <row r="44" spans="1:4" x14ac:dyDescent="0.25">
      <c r="A44" s="75">
        <v>44045</v>
      </c>
      <c r="B44" s="74" t="s">
        <v>396</v>
      </c>
      <c r="C44" s="74"/>
      <c r="D44" s="73"/>
    </row>
    <row r="45" spans="1:4" ht="60" x14ac:dyDescent="0.25">
      <c r="A45" s="72"/>
      <c r="B45" s="76" t="s">
        <v>397</v>
      </c>
      <c r="C45" s="74"/>
      <c r="D45" s="73"/>
    </row>
    <row r="46" spans="1:4" x14ac:dyDescent="0.25">
      <c r="A46" s="75">
        <v>44042</v>
      </c>
      <c r="B46" s="74" t="s">
        <v>392</v>
      </c>
      <c r="C46" s="74"/>
      <c r="D46" s="73"/>
    </row>
    <row r="47" spans="1:4" ht="45" x14ac:dyDescent="0.25">
      <c r="A47" s="72"/>
      <c r="B47" s="76" t="s">
        <v>391</v>
      </c>
      <c r="C47" s="74"/>
      <c r="D47" s="73"/>
    </row>
    <row r="48" spans="1:4" x14ac:dyDescent="0.25">
      <c r="A48" s="72"/>
      <c r="B48" s="73"/>
      <c r="C48" s="74"/>
      <c r="D48" s="73"/>
    </row>
    <row r="49" spans="1:4" x14ac:dyDescent="0.25">
      <c r="A49" s="75">
        <v>44038</v>
      </c>
      <c r="B49" s="74" t="s">
        <v>387</v>
      </c>
      <c r="C49" s="74"/>
      <c r="D49" s="73"/>
    </row>
    <row r="50" spans="1:4" ht="60" x14ac:dyDescent="0.25">
      <c r="A50" s="72"/>
      <c r="B50" s="76" t="s">
        <v>388</v>
      </c>
      <c r="C50" s="74"/>
      <c r="D50" s="73"/>
    </row>
    <row r="51" spans="1:4" x14ac:dyDescent="0.25">
      <c r="A51" s="75">
        <v>44035</v>
      </c>
      <c r="B51" s="74" t="s">
        <v>375</v>
      </c>
      <c r="C51" s="74"/>
      <c r="D51" s="73"/>
    </row>
    <row r="52" spans="1:4" ht="45" x14ac:dyDescent="0.25">
      <c r="A52" s="72"/>
      <c r="B52" s="76" t="s">
        <v>374</v>
      </c>
      <c r="C52" s="74"/>
      <c r="D52" s="73"/>
    </row>
    <row r="53" spans="1:4" x14ac:dyDescent="0.25">
      <c r="A53" s="72"/>
      <c r="B53" s="73"/>
      <c r="C53" s="74"/>
      <c r="D53" s="73"/>
    </row>
    <row r="54" spans="1:4" x14ac:dyDescent="0.25">
      <c r="A54" s="75">
        <v>44031</v>
      </c>
      <c r="B54" s="74" t="s">
        <v>371</v>
      </c>
      <c r="C54" s="74"/>
      <c r="D54" s="74" t="s">
        <v>373</v>
      </c>
    </row>
    <row r="55" spans="1:4" ht="30" x14ac:dyDescent="0.25">
      <c r="A55" s="72"/>
      <c r="B55" s="76" t="s">
        <v>372</v>
      </c>
      <c r="C55" s="74"/>
      <c r="D55" s="73" t="s">
        <v>348</v>
      </c>
    </row>
    <row r="56" spans="1:4" x14ac:dyDescent="0.25">
      <c r="A56" s="75">
        <v>44028</v>
      </c>
      <c r="B56" s="74" t="s">
        <v>353</v>
      </c>
      <c r="C56" s="74"/>
      <c r="D56" s="73"/>
    </row>
    <row r="57" spans="1:4" x14ac:dyDescent="0.25">
      <c r="A57" s="72"/>
      <c r="B57" s="73" t="s">
        <v>354</v>
      </c>
      <c r="C57" s="74"/>
      <c r="D57" s="73"/>
    </row>
    <row r="58" spans="1:4" x14ac:dyDescent="0.25">
      <c r="A58" s="75">
        <v>44026</v>
      </c>
      <c r="B58" s="74" t="s">
        <v>351</v>
      </c>
      <c r="C58" s="74"/>
      <c r="D58" s="73"/>
    </row>
    <row r="59" spans="1:4" x14ac:dyDescent="0.25">
      <c r="A59" s="72"/>
      <c r="B59" s="73" t="s">
        <v>7</v>
      </c>
      <c r="C59" s="74"/>
      <c r="D59" s="73"/>
    </row>
    <row r="60" spans="1:4" x14ac:dyDescent="0.25">
      <c r="A60" s="72"/>
      <c r="B60" s="73"/>
      <c r="C60" s="74"/>
      <c r="D60" s="73"/>
    </row>
    <row r="61" spans="1:4" x14ac:dyDescent="0.25">
      <c r="A61" s="75">
        <v>44024</v>
      </c>
      <c r="B61" s="74" t="s">
        <v>347</v>
      </c>
      <c r="C61" s="74"/>
      <c r="D61" s="74" t="s">
        <v>350</v>
      </c>
    </row>
    <row r="62" spans="1:4" ht="30" x14ac:dyDescent="0.25">
      <c r="A62" s="72"/>
      <c r="B62" s="76" t="s">
        <v>355</v>
      </c>
      <c r="C62" s="74"/>
      <c r="D62" s="73" t="s">
        <v>348</v>
      </c>
    </row>
    <row r="63" spans="1:4" x14ac:dyDescent="0.25">
      <c r="A63" s="75">
        <v>44022</v>
      </c>
      <c r="B63" s="76"/>
      <c r="C63" s="74"/>
      <c r="D63" s="74" t="s">
        <v>351</v>
      </c>
    </row>
    <row r="64" spans="1:4" x14ac:dyDescent="0.25">
      <c r="A64" s="72"/>
      <c r="B64" s="76"/>
      <c r="C64" s="74"/>
      <c r="D64" s="73" t="s">
        <v>352</v>
      </c>
    </row>
    <row r="65" spans="1:4" x14ac:dyDescent="0.25">
      <c r="A65" s="75">
        <v>44021</v>
      </c>
      <c r="B65" s="74" t="s">
        <v>242</v>
      </c>
      <c r="C65" s="74"/>
      <c r="D65" s="74" t="s">
        <v>296</v>
      </c>
    </row>
    <row r="66" spans="1:4" x14ac:dyDescent="0.25">
      <c r="A66" s="72"/>
      <c r="B66" s="73" t="s">
        <v>346</v>
      </c>
      <c r="C66" s="74"/>
      <c r="D66" s="73" t="s">
        <v>345</v>
      </c>
    </row>
    <row r="67" spans="1:4" x14ac:dyDescent="0.25">
      <c r="A67" s="75">
        <v>44019</v>
      </c>
      <c r="B67" s="74" t="s">
        <v>242</v>
      </c>
      <c r="C67" s="74"/>
      <c r="D67" s="74" t="s">
        <v>296</v>
      </c>
    </row>
    <row r="68" spans="1:4" x14ac:dyDescent="0.25">
      <c r="A68" s="72"/>
      <c r="B68" s="73" t="s">
        <v>300</v>
      </c>
      <c r="C68" s="74"/>
      <c r="D68" s="73" t="s">
        <v>315</v>
      </c>
    </row>
    <row r="69" spans="1:4" x14ac:dyDescent="0.25">
      <c r="A69" s="72"/>
      <c r="B69" s="73"/>
      <c r="C69" s="74"/>
      <c r="D69" s="73"/>
    </row>
    <row r="70" spans="1:4" x14ac:dyDescent="0.25">
      <c r="A70" s="75">
        <v>44015</v>
      </c>
      <c r="B70" s="74" t="s">
        <v>246</v>
      </c>
      <c r="C70" s="74"/>
      <c r="D70" s="73"/>
    </row>
    <row r="71" spans="1:4" ht="75.75" customHeight="1" x14ac:dyDescent="0.25">
      <c r="A71" s="72"/>
      <c r="B71" s="76" t="s">
        <v>314</v>
      </c>
      <c r="C71" s="74"/>
      <c r="D71" s="73"/>
    </row>
    <row r="72" spans="1:4" x14ac:dyDescent="0.25">
      <c r="A72" s="75">
        <v>44014</v>
      </c>
      <c r="B72" s="74" t="s">
        <v>264</v>
      </c>
      <c r="C72" s="74"/>
      <c r="D72" s="74" t="s">
        <v>307</v>
      </c>
    </row>
    <row r="73" spans="1:4" ht="75" x14ac:dyDescent="0.25">
      <c r="A73" s="72"/>
      <c r="B73" s="76" t="s">
        <v>309</v>
      </c>
      <c r="C73" s="74"/>
      <c r="D73" s="76" t="s">
        <v>308</v>
      </c>
    </row>
    <row r="74" spans="1:4" x14ac:dyDescent="0.25">
      <c r="A74" s="75">
        <v>44012</v>
      </c>
      <c r="B74" s="74" t="s">
        <v>264</v>
      </c>
      <c r="C74" s="74"/>
      <c r="D74" s="74" t="s">
        <v>246</v>
      </c>
    </row>
    <row r="75" spans="1:4" ht="45" x14ac:dyDescent="0.25">
      <c r="A75" s="72"/>
      <c r="B75" s="76" t="s">
        <v>301</v>
      </c>
      <c r="C75" s="74"/>
      <c r="D75" s="73" t="s">
        <v>300</v>
      </c>
    </row>
    <row r="76" spans="1:4" x14ac:dyDescent="0.25">
      <c r="A76" s="72"/>
      <c r="B76" s="73"/>
      <c r="C76" s="74"/>
      <c r="D76" s="73"/>
    </row>
    <row r="77" spans="1:4" x14ac:dyDescent="0.25">
      <c r="A77" s="75">
        <v>44008</v>
      </c>
      <c r="B77" s="74" t="s">
        <v>216</v>
      </c>
      <c r="C77" s="74"/>
      <c r="D77" s="73"/>
    </row>
    <row r="78" spans="1:4" ht="105" x14ac:dyDescent="0.25">
      <c r="A78" s="72"/>
      <c r="B78" s="76" t="s">
        <v>297</v>
      </c>
      <c r="C78" s="74"/>
      <c r="D78" s="73"/>
    </row>
    <row r="79" spans="1:4" x14ac:dyDescent="0.25">
      <c r="A79" s="75">
        <v>44007</v>
      </c>
      <c r="B79" s="74" t="s">
        <v>295</v>
      </c>
      <c r="C79" s="74"/>
      <c r="D79" s="74" t="s">
        <v>296</v>
      </c>
    </row>
    <row r="80" spans="1:4" ht="60" x14ac:dyDescent="0.25">
      <c r="A80" s="72"/>
      <c r="B80" s="76" t="s">
        <v>292</v>
      </c>
      <c r="C80" s="74"/>
      <c r="D80" s="76" t="s">
        <v>266</v>
      </c>
    </row>
    <row r="81" spans="1:4" x14ac:dyDescent="0.25">
      <c r="A81" s="75">
        <v>44006</v>
      </c>
      <c r="B81" s="74" t="s">
        <v>290</v>
      </c>
      <c r="C81" s="74"/>
      <c r="D81" s="74" t="s">
        <v>291</v>
      </c>
    </row>
    <row r="82" spans="1:4" x14ac:dyDescent="0.25">
      <c r="A82" s="72"/>
      <c r="B82" s="73" t="s">
        <v>289</v>
      </c>
      <c r="C82" s="74"/>
      <c r="D82" s="73" t="s">
        <v>289</v>
      </c>
    </row>
    <row r="83" spans="1:4" x14ac:dyDescent="0.25">
      <c r="A83" s="75">
        <v>44005</v>
      </c>
      <c r="B83" s="74" t="s">
        <v>264</v>
      </c>
      <c r="C83" s="74"/>
      <c r="D83" s="74" t="s">
        <v>246</v>
      </c>
    </row>
    <row r="84" spans="1:4" ht="45" x14ac:dyDescent="0.25">
      <c r="A84" s="72"/>
      <c r="B84" s="73" t="s">
        <v>265</v>
      </c>
      <c r="C84" s="74"/>
      <c r="D84" s="76" t="s">
        <v>266</v>
      </c>
    </row>
    <row r="85" spans="1:4" x14ac:dyDescent="0.25">
      <c r="A85" s="72"/>
      <c r="B85" s="73"/>
      <c r="C85" s="74"/>
      <c r="D85" s="73"/>
    </row>
    <row r="86" spans="1:4" x14ac:dyDescent="0.25">
      <c r="A86" s="75">
        <v>44001</v>
      </c>
      <c r="B86" s="74" t="s">
        <v>246</v>
      </c>
      <c r="C86" s="74"/>
      <c r="D86" s="73"/>
    </row>
    <row r="87" spans="1:4" ht="135" x14ac:dyDescent="0.25">
      <c r="A87" s="72"/>
      <c r="B87" s="76" t="s">
        <v>262</v>
      </c>
      <c r="C87" s="74"/>
      <c r="D87" s="73"/>
    </row>
    <row r="88" spans="1:4" x14ac:dyDescent="0.25">
      <c r="A88" s="75">
        <v>44000</v>
      </c>
      <c r="B88" s="74" t="s">
        <v>242</v>
      </c>
      <c r="C88" s="74"/>
      <c r="D88" s="74" t="s">
        <v>259</v>
      </c>
    </row>
    <row r="89" spans="1:4" ht="105" x14ac:dyDescent="0.25">
      <c r="A89" s="72"/>
      <c r="B89" s="76" t="s">
        <v>261</v>
      </c>
      <c r="C89" s="74"/>
      <c r="D89" s="76" t="s">
        <v>260</v>
      </c>
    </row>
    <row r="90" spans="1:4" x14ac:dyDescent="0.25">
      <c r="A90" s="75">
        <v>43998</v>
      </c>
      <c r="B90" s="74" t="s">
        <v>213</v>
      </c>
      <c r="C90" s="74"/>
      <c r="D90" s="74" t="s">
        <v>256</v>
      </c>
    </row>
    <row r="91" spans="1:4" ht="120" x14ac:dyDescent="0.25">
      <c r="A91" s="72"/>
      <c r="B91" s="76" t="s">
        <v>257</v>
      </c>
      <c r="C91" s="74"/>
      <c r="D91" s="1" t="s">
        <v>258</v>
      </c>
    </row>
    <row r="92" spans="1:4" x14ac:dyDescent="0.25">
      <c r="A92" s="72"/>
      <c r="B92" s="73"/>
      <c r="C92" s="74"/>
      <c r="D92" s="73"/>
    </row>
    <row r="93" spans="1:4" x14ac:dyDescent="0.25">
      <c r="A93" s="75">
        <v>43994</v>
      </c>
      <c r="B93" s="74" t="s">
        <v>254</v>
      </c>
      <c r="C93" s="74"/>
      <c r="D93" s="73"/>
    </row>
    <row r="94" spans="1:4" ht="75" x14ac:dyDescent="0.25">
      <c r="A94" s="72"/>
      <c r="B94" s="76" t="s">
        <v>255</v>
      </c>
      <c r="C94" s="74"/>
      <c r="D94" s="73"/>
    </row>
    <row r="95" spans="1:4" x14ac:dyDescent="0.25">
      <c r="A95" s="75">
        <v>43993</v>
      </c>
      <c r="B95" s="74" t="s">
        <v>213</v>
      </c>
      <c r="C95" s="74"/>
      <c r="D95" s="74" t="s">
        <v>251</v>
      </c>
    </row>
    <row r="96" spans="1:4" ht="120" x14ac:dyDescent="0.25">
      <c r="A96" s="72"/>
      <c r="B96" s="69" t="s">
        <v>252</v>
      </c>
      <c r="C96" s="74"/>
      <c r="D96" s="76" t="s">
        <v>253</v>
      </c>
    </row>
    <row r="97" spans="1:4" x14ac:dyDescent="0.25">
      <c r="A97" s="75">
        <v>43991</v>
      </c>
      <c r="B97" s="74" t="s">
        <v>242</v>
      </c>
      <c r="C97" s="74"/>
      <c r="D97" s="74" t="s">
        <v>246</v>
      </c>
    </row>
    <row r="98" spans="1:4" ht="105" x14ac:dyDescent="0.25">
      <c r="A98" s="66"/>
      <c r="B98" s="67" t="s">
        <v>243</v>
      </c>
      <c r="C98" s="68"/>
      <c r="D98" s="69" t="s">
        <v>247</v>
      </c>
    </row>
    <row r="99" spans="1:4" x14ac:dyDescent="0.25">
      <c r="A99" s="66"/>
      <c r="B99" s="67"/>
      <c r="C99" s="68"/>
      <c r="D99" s="69"/>
    </row>
    <row r="100" spans="1:4" x14ac:dyDescent="0.25">
      <c r="A100" s="46">
        <v>43987</v>
      </c>
      <c r="B100" s="41" t="s">
        <v>213</v>
      </c>
    </row>
    <row r="101" spans="1:4" ht="195.75" customHeight="1" x14ac:dyDescent="0.25">
      <c r="B101" s="1" t="s">
        <v>215</v>
      </c>
    </row>
    <row r="102" spans="1:4" x14ac:dyDescent="0.25">
      <c r="A102" s="46">
        <v>43986</v>
      </c>
      <c r="B102" s="41" t="s">
        <v>216</v>
      </c>
    </row>
    <row r="103" spans="1:4" ht="165" customHeight="1" x14ac:dyDescent="0.25">
      <c r="B103" s="1" t="s">
        <v>214</v>
      </c>
    </row>
    <row r="104" spans="1:4" x14ac:dyDescent="0.25">
      <c r="A104" s="46">
        <v>43984</v>
      </c>
      <c r="B104" s="41" t="s">
        <v>223</v>
      </c>
    </row>
    <row r="105" spans="1:4" ht="120" x14ac:dyDescent="0.25">
      <c r="B105" s="1" t="s">
        <v>222</v>
      </c>
    </row>
    <row r="107" spans="1:4" x14ac:dyDescent="0.25">
      <c r="A107" s="46">
        <v>43980</v>
      </c>
      <c r="B107" s="41" t="s">
        <v>217</v>
      </c>
    </row>
    <row r="108" spans="1:4" ht="165" x14ac:dyDescent="0.25">
      <c r="B108" s="1" t="s">
        <v>221</v>
      </c>
    </row>
    <row r="109" spans="1:4" x14ac:dyDescent="0.25">
      <c r="A109" s="46">
        <v>43978</v>
      </c>
      <c r="B109" s="41" t="s">
        <v>220</v>
      </c>
    </row>
    <row r="110" spans="1:4" ht="120" x14ac:dyDescent="0.25">
      <c r="B110" s="1" t="s">
        <v>219</v>
      </c>
    </row>
    <row r="111" spans="1:4" x14ac:dyDescent="0.25">
      <c r="A111" s="46">
        <v>43977</v>
      </c>
      <c r="B111" s="41" t="s">
        <v>217</v>
      </c>
    </row>
    <row r="112" spans="1:4" ht="90" x14ac:dyDescent="0.25">
      <c r="B112" s="1" t="s">
        <v>218</v>
      </c>
    </row>
    <row r="114" spans="1:2" x14ac:dyDescent="0.25">
      <c r="A114" s="46">
        <v>43975</v>
      </c>
      <c r="B114" s="41" t="s">
        <v>198</v>
      </c>
    </row>
    <row r="115" spans="1:2" ht="60" x14ac:dyDescent="0.25">
      <c r="B115" s="1" t="s">
        <v>199</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0"/>
  <sheetViews>
    <sheetView workbookViewId="0">
      <selection activeCell="C20" sqref="C20"/>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438</v>
      </c>
    </row>
    <row r="2" spans="1:5" hidden="1" x14ac:dyDescent="0.25">
      <c r="A2" s="52" t="s">
        <v>151</v>
      </c>
      <c r="B2" s="52" t="s">
        <v>153</v>
      </c>
      <c r="C2" s="1" t="s">
        <v>310</v>
      </c>
      <c r="E2" t="s">
        <v>311</v>
      </c>
    </row>
    <row r="3" spans="1:5" ht="45" x14ac:dyDescent="0.25">
      <c r="A3" s="52" t="s">
        <v>20</v>
      </c>
      <c r="B3" s="52" t="s">
        <v>149</v>
      </c>
      <c r="C3" s="1" t="s">
        <v>437</v>
      </c>
    </row>
    <row r="4" spans="1:5" ht="30" x14ac:dyDescent="0.25">
      <c r="A4" s="52" t="s">
        <v>178</v>
      </c>
      <c r="B4" s="52" t="s">
        <v>179</v>
      </c>
      <c r="C4" s="1" t="s">
        <v>316</v>
      </c>
    </row>
    <row r="5" spans="1:5" ht="30" x14ac:dyDescent="0.25">
      <c r="A5" s="52" t="s">
        <v>161</v>
      </c>
      <c r="B5" s="52" t="s">
        <v>176</v>
      </c>
      <c r="C5" s="1" t="s">
        <v>228</v>
      </c>
    </row>
    <row r="6" spans="1:5" ht="45" x14ac:dyDescent="0.25">
      <c r="A6" s="52" t="s">
        <v>424</v>
      </c>
      <c r="B6" s="52" t="s">
        <v>163</v>
      </c>
      <c r="C6" s="1" t="s">
        <v>304</v>
      </c>
    </row>
    <row r="7" spans="1:5" hidden="1" x14ac:dyDescent="0.25">
      <c r="A7" s="52" t="s">
        <v>178</v>
      </c>
      <c r="B7" s="52" t="s">
        <v>180</v>
      </c>
    </row>
    <row r="8" spans="1:5" hidden="1" x14ac:dyDescent="0.25">
      <c r="A8" s="52" t="s">
        <v>172</v>
      </c>
      <c r="B8" s="52" t="s">
        <v>174</v>
      </c>
      <c r="C8" s="1" t="s">
        <v>229</v>
      </c>
      <c r="E8" t="s">
        <v>312</v>
      </c>
    </row>
    <row r="9" spans="1:5" ht="45" x14ac:dyDescent="0.25">
      <c r="A9" s="52" t="s">
        <v>124</v>
      </c>
      <c r="B9" s="52" t="s">
        <v>158</v>
      </c>
      <c r="C9" s="1" t="s">
        <v>439</v>
      </c>
    </row>
    <row r="10" spans="1:5" ht="45" x14ac:dyDescent="0.25">
      <c r="A10" s="52" t="s">
        <v>226</v>
      </c>
      <c r="B10" s="52" t="s">
        <v>160</v>
      </c>
      <c r="C10" s="1" t="s">
        <v>305</v>
      </c>
    </row>
    <row r="11" spans="1:5" ht="30" x14ac:dyDescent="0.25">
      <c r="A11" s="52" t="s">
        <v>155</v>
      </c>
      <c r="B11" s="52" t="s">
        <v>156</v>
      </c>
      <c r="C11" s="1" t="s">
        <v>303</v>
      </c>
    </row>
    <row r="12" spans="1:5" ht="30" x14ac:dyDescent="0.25">
      <c r="A12" s="52" t="s">
        <v>227</v>
      </c>
      <c r="B12" s="52" t="s">
        <v>143</v>
      </c>
      <c r="C12" s="1" t="s">
        <v>357</v>
      </c>
    </row>
    <row r="13" spans="1:5" ht="30" x14ac:dyDescent="0.25">
      <c r="A13" s="52" t="s">
        <v>141</v>
      </c>
      <c r="B13" s="52" t="s">
        <v>140</v>
      </c>
      <c r="C13" s="1" t="s">
        <v>306</v>
      </c>
    </row>
    <row r="14" spans="1:5" hidden="1" x14ac:dyDescent="0.25">
      <c r="A14" s="52" t="s">
        <v>162</v>
      </c>
      <c r="B14" s="52" t="s">
        <v>187</v>
      </c>
    </row>
    <row r="15" spans="1:5" ht="30" x14ac:dyDescent="0.25">
      <c r="A15" s="52" t="s">
        <v>137</v>
      </c>
      <c r="B15" s="52" t="s">
        <v>136</v>
      </c>
      <c r="C15" s="1" t="s">
        <v>224</v>
      </c>
    </row>
    <row r="16" spans="1:5" ht="45" x14ac:dyDescent="0.25">
      <c r="A16" s="52" t="s">
        <v>133</v>
      </c>
      <c r="B16" s="52" t="s">
        <v>170</v>
      </c>
      <c r="C16" s="1" t="s">
        <v>423</v>
      </c>
      <c r="E16" t="s">
        <v>313</v>
      </c>
    </row>
    <row r="17" spans="1:5" ht="30" x14ac:dyDescent="0.25">
      <c r="A17" s="52" t="s">
        <v>167</v>
      </c>
      <c r="B17" s="52" t="s">
        <v>168</v>
      </c>
      <c r="C17" s="1" t="s">
        <v>302</v>
      </c>
      <c r="E17" t="s">
        <v>356</v>
      </c>
    </row>
    <row r="18" spans="1:5" ht="30" x14ac:dyDescent="0.25">
      <c r="A18" s="52" t="s">
        <v>22</v>
      </c>
      <c r="B18" s="52" t="s">
        <v>184</v>
      </c>
      <c r="C18" s="1" t="s">
        <v>358</v>
      </c>
    </row>
    <row r="19" spans="1:5" hidden="1" x14ac:dyDescent="0.25">
      <c r="A19" s="52" t="s">
        <v>129</v>
      </c>
      <c r="B19" s="52" t="s">
        <v>165</v>
      </c>
    </row>
    <row r="20" spans="1:5" x14ac:dyDescent="0.25">
      <c r="A20" s="52" t="s">
        <v>132</v>
      </c>
      <c r="B20" s="52" t="s">
        <v>131</v>
      </c>
      <c r="C20" t="s">
        <v>225</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55" t="s">
        <v>341</v>
      </c>
      <c r="B1" s="155"/>
    </row>
    <row r="2" spans="1:2" x14ac:dyDescent="0.25">
      <c r="A2" t="s">
        <v>340</v>
      </c>
    </row>
    <row r="3" spans="1:2" x14ac:dyDescent="0.25">
      <c r="A3" t="s">
        <v>344</v>
      </c>
    </row>
    <row r="4" spans="1:2" x14ac:dyDescent="0.25">
      <c r="A4" t="s">
        <v>338</v>
      </c>
    </row>
    <row r="5" spans="1:2" x14ac:dyDescent="0.25">
      <c r="A5" t="s">
        <v>339</v>
      </c>
    </row>
    <row r="7" spans="1:2" s="78" customFormat="1" ht="21" x14ac:dyDescent="0.35">
      <c r="A7" s="155" t="s">
        <v>342</v>
      </c>
      <c r="B7" s="155"/>
    </row>
    <row r="8" spans="1:2" ht="15.75" x14ac:dyDescent="0.25">
      <c r="A8" s="153" t="s">
        <v>333</v>
      </c>
      <c r="B8" s="153"/>
    </row>
    <row r="9" spans="1:2" x14ac:dyDescent="0.25">
      <c r="A9" t="s">
        <v>334</v>
      </c>
    </row>
    <row r="11" spans="1:2" ht="15.75" x14ac:dyDescent="0.25">
      <c r="A11" s="154" t="s">
        <v>330</v>
      </c>
      <c r="B11" s="154"/>
    </row>
    <row r="12" spans="1:2" ht="30" x14ac:dyDescent="0.25">
      <c r="A12" s="73" t="s">
        <v>317</v>
      </c>
      <c r="B12" s="76" t="s">
        <v>331</v>
      </c>
    </row>
    <row r="13" spans="1:2" ht="30" x14ac:dyDescent="0.25">
      <c r="A13" s="73" t="s">
        <v>318</v>
      </c>
      <c r="B13" s="76" t="s">
        <v>319</v>
      </c>
    </row>
    <row r="14" spans="1:2" ht="30" x14ac:dyDescent="0.25">
      <c r="A14" s="76" t="s">
        <v>337</v>
      </c>
      <c r="B14" s="73" t="s">
        <v>320</v>
      </c>
    </row>
    <row r="15" spans="1:2" x14ac:dyDescent="0.25">
      <c r="A15" s="73" t="s">
        <v>321</v>
      </c>
      <c r="B15" s="73" t="s">
        <v>322</v>
      </c>
    </row>
    <row r="16" spans="1:2" x14ac:dyDescent="0.25">
      <c r="A16" s="73"/>
      <c r="B16" s="73"/>
    </row>
    <row r="17" spans="1:2" x14ac:dyDescent="0.25">
      <c r="A17" s="73" t="s">
        <v>323</v>
      </c>
      <c r="B17" s="73" t="s">
        <v>324</v>
      </c>
    </row>
    <row r="18" spans="1:2" ht="30" x14ac:dyDescent="0.25">
      <c r="A18" s="76" t="s">
        <v>325</v>
      </c>
      <c r="B18" s="76" t="s">
        <v>326</v>
      </c>
    </row>
    <row r="19" spans="1:2" ht="30" x14ac:dyDescent="0.25">
      <c r="A19" s="76" t="s">
        <v>327</v>
      </c>
      <c r="B19" s="73" t="s">
        <v>328</v>
      </c>
    </row>
    <row r="20" spans="1:2" x14ac:dyDescent="0.25">
      <c r="A20" s="73"/>
      <c r="B20" s="73"/>
    </row>
    <row r="21" spans="1:2" ht="45" x14ac:dyDescent="0.25">
      <c r="A21" s="73" t="s">
        <v>329</v>
      </c>
      <c r="B21" s="76" t="s">
        <v>332</v>
      </c>
    </row>
    <row r="23" spans="1:2" ht="36" customHeight="1" x14ac:dyDescent="0.25">
      <c r="A23" s="152" t="s">
        <v>343</v>
      </c>
      <c r="B23" s="152"/>
    </row>
    <row r="25" spans="1:2" ht="15.75" x14ac:dyDescent="0.25">
      <c r="A25" s="153" t="s">
        <v>335</v>
      </c>
      <c r="B25" s="153"/>
    </row>
    <row r="26" spans="1:2" x14ac:dyDescent="0.25">
      <c r="A26" t="s">
        <v>336</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287</v>
      </c>
    </row>
    <row r="2" spans="1:70" x14ac:dyDescent="0.25">
      <c r="A2" s="2" t="s">
        <v>0</v>
      </c>
    </row>
    <row r="3" spans="1:70" x14ac:dyDescent="0.25">
      <c r="A3" t="s">
        <v>212</v>
      </c>
    </row>
    <row r="4" spans="1:70" x14ac:dyDescent="0.25">
      <c r="B4" s="2" t="s">
        <v>1</v>
      </c>
    </row>
    <row r="5" spans="1:70" ht="60.75" customHeight="1" x14ac:dyDescent="0.25">
      <c r="B5" s="156" t="s">
        <v>298</v>
      </c>
      <c r="C5" s="157"/>
      <c r="D5" s="157"/>
      <c r="E5" s="157"/>
      <c r="F5" s="157"/>
      <c r="G5" s="157"/>
      <c r="H5" s="157"/>
      <c r="I5" s="157"/>
      <c r="J5" s="157"/>
      <c r="K5" s="157"/>
      <c r="L5" s="157"/>
      <c r="M5" s="157"/>
      <c r="N5" s="157"/>
      <c r="O5" s="157"/>
      <c r="P5" s="157"/>
      <c r="Q5" s="157"/>
      <c r="R5" s="157"/>
      <c r="S5" s="157"/>
      <c r="T5" s="157"/>
      <c r="U5" s="157"/>
      <c r="V5" s="157"/>
      <c r="W5" s="157"/>
      <c r="X5" s="157"/>
      <c r="Y5" s="157"/>
      <c r="Z5" s="157"/>
      <c r="AA5" s="157"/>
      <c r="AB5" s="157"/>
      <c r="AC5" s="157"/>
      <c r="AD5" s="157"/>
      <c r="AE5" s="157"/>
      <c r="AF5" s="157"/>
      <c r="AG5" s="157"/>
      <c r="AH5" s="157"/>
      <c r="AI5" s="157"/>
      <c r="AJ5" s="157"/>
      <c r="AK5" s="157"/>
      <c r="AL5" s="157"/>
      <c r="AM5" s="157"/>
      <c r="AN5" s="157"/>
      <c r="AO5" s="157"/>
      <c r="AP5" s="157"/>
      <c r="AQ5" s="157"/>
      <c r="AR5" s="157"/>
      <c r="AS5" s="157"/>
      <c r="AT5" s="157"/>
      <c r="AU5" s="157"/>
      <c r="AV5" s="157"/>
      <c r="AW5" s="157"/>
      <c r="AX5" s="157"/>
      <c r="AY5" s="157"/>
      <c r="AZ5" s="157"/>
      <c r="BA5" s="157"/>
      <c r="BB5" s="157"/>
      <c r="BC5" s="157"/>
      <c r="BD5" s="157"/>
      <c r="BE5" s="157"/>
      <c r="BF5" s="157"/>
      <c r="BG5" s="157"/>
      <c r="BH5" s="157"/>
      <c r="BI5" s="157"/>
      <c r="BJ5" s="157"/>
      <c r="BK5" s="157"/>
      <c r="BL5" s="157"/>
      <c r="BM5" s="157"/>
      <c r="BN5" s="157"/>
      <c r="BO5" s="157"/>
      <c r="BP5" s="157"/>
      <c r="BQ5" s="157"/>
      <c r="BR5" s="157"/>
    </row>
    <row r="6" spans="1:70" x14ac:dyDescent="0.25">
      <c r="C6" s="2" t="s">
        <v>3</v>
      </c>
    </row>
    <row r="7" spans="1:70" ht="45" customHeight="1" x14ac:dyDescent="0.25">
      <c r="C7" s="156" t="s">
        <v>282</v>
      </c>
      <c r="D7" s="157"/>
      <c r="E7" s="157"/>
      <c r="F7" s="157"/>
      <c r="G7" s="157"/>
      <c r="H7" s="157"/>
      <c r="I7" s="157"/>
      <c r="J7" s="157"/>
      <c r="K7" s="157"/>
      <c r="L7" s="157"/>
      <c r="M7" s="157"/>
      <c r="N7" s="157"/>
      <c r="O7" s="157"/>
      <c r="P7" s="157"/>
      <c r="Q7" s="157"/>
      <c r="R7" s="157"/>
      <c r="S7" s="157"/>
      <c r="T7" s="157"/>
      <c r="U7" s="157"/>
      <c r="V7" s="157"/>
      <c r="W7" s="157"/>
      <c r="X7" s="157"/>
      <c r="Y7" s="157"/>
      <c r="Z7" s="157"/>
      <c r="AA7" s="157"/>
      <c r="AB7" s="157"/>
      <c r="AC7" s="157"/>
      <c r="AD7" s="157"/>
      <c r="AE7" s="157"/>
      <c r="AF7" s="157"/>
      <c r="AG7" s="157"/>
      <c r="AH7" s="157"/>
      <c r="AI7" s="157"/>
      <c r="AJ7" s="157"/>
      <c r="AK7" s="157"/>
      <c r="AL7" s="157"/>
      <c r="AM7" s="157"/>
      <c r="AN7" s="157"/>
      <c r="AO7" s="157"/>
      <c r="AP7" s="157"/>
      <c r="AQ7" s="157"/>
      <c r="AR7" s="157"/>
      <c r="AS7" s="157"/>
      <c r="AT7" s="157"/>
      <c r="AU7" s="157"/>
      <c r="AV7" s="157"/>
      <c r="AW7" s="157"/>
      <c r="AX7" s="157"/>
      <c r="AY7" s="157"/>
      <c r="AZ7" s="157"/>
      <c r="BA7" s="157"/>
      <c r="BB7" s="157"/>
      <c r="BC7" s="157"/>
      <c r="BD7" s="157"/>
      <c r="BE7" s="157"/>
      <c r="BF7" s="157"/>
      <c r="BG7" s="157"/>
      <c r="BH7" s="157"/>
      <c r="BI7" s="157"/>
      <c r="BJ7" s="157"/>
      <c r="BK7" s="157"/>
      <c r="BL7" s="157"/>
      <c r="BM7" s="157"/>
      <c r="BN7" s="157"/>
      <c r="BO7" s="157"/>
      <c r="BP7" s="157"/>
      <c r="BQ7" s="157"/>
      <c r="BR7" s="157"/>
    </row>
    <row r="8" spans="1:70" x14ac:dyDescent="0.25">
      <c r="C8" s="2" t="s">
        <v>4</v>
      </c>
    </row>
    <row r="9" spans="1:70" ht="75" customHeight="1" x14ac:dyDescent="0.25">
      <c r="C9" s="156" t="s">
        <v>275</v>
      </c>
      <c r="D9" s="157"/>
      <c r="E9" s="157"/>
      <c r="F9" s="157"/>
      <c r="G9" s="157"/>
      <c r="H9" s="157"/>
      <c r="I9" s="157"/>
      <c r="J9" s="157"/>
      <c r="K9" s="157"/>
      <c r="L9" s="157"/>
      <c r="M9" s="157"/>
      <c r="N9" s="157"/>
      <c r="O9" s="157"/>
      <c r="P9" s="157"/>
      <c r="Q9" s="157"/>
      <c r="R9" s="157"/>
      <c r="S9" s="157"/>
      <c r="T9" s="157"/>
      <c r="U9" s="157"/>
      <c r="V9" s="157"/>
      <c r="W9" s="157"/>
      <c r="X9" s="157"/>
      <c r="Y9" s="157"/>
      <c r="Z9" s="157"/>
      <c r="AA9" s="157"/>
      <c r="AB9" s="157"/>
      <c r="AC9" s="157"/>
      <c r="AD9" s="157"/>
      <c r="AE9" s="157"/>
      <c r="AF9" s="157"/>
      <c r="AG9" s="157"/>
      <c r="AH9" s="157"/>
      <c r="AI9" s="157"/>
      <c r="AJ9" s="157"/>
      <c r="AK9" s="157"/>
      <c r="AL9" s="157"/>
      <c r="AM9" s="157"/>
      <c r="AN9" s="157"/>
      <c r="AO9" s="157"/>
      <c r="AP9" s="157"/>
      <c r="AQ9" s="157"/>
      <c r="AR9" s="157"/>
      <c r="AS9" s="157"/>
      <c r="AT9" s="157"/>
      <c r="AU9" s="157"/>
      <c r="AV9" s="157"/>
      <c r="AW9" s="157"/>
      <c r="AX9" s="157"/>
      <c r="AY9" s="157"/>
      <c r="AZ9" s="157"/>
      <c r="BA9" s="157"/>
      <c r="BB9" s="157"/>
      <c r="BC9" s="157"/>
      <c r="BD9" s="157"/>
      <c r="BE9" s="157"/>
      <c r="BF9" s="157"/>
      <c r="BG9" s="157"/>
      <c r="BH9" s="157"/>
      <c r="BI9" s="157"/>
      <c r="BJ9" s="157"/>
      <c r="BK9" s="157"/>
      <c r="BL9" s="157"/>
      <c r="BM9" s="157"/>
      <c r="BN9" s="157"/>
      <c r="BO9" s="157"/>
      <c r="BP9" s="157"/>
      <c r="BQ9" s="157"/>
      <c r="BR9" s="157"/>
    </row>
    <row r="10" spans="1:70" x14ac:dyDescent="0.25">
      <c r="C10" s="2" t="s">
        <v>5</v>
      </c>
    </row>
    <row r="11" spans="1:70" ht="75" customHeight="1" x14ac:dyDescent="0.25">
      <c r="C11" s="156" t="s">
        <v>299</v>
      </c>
      <c r="D11" s="157"/>
      <c r="E11" s="157"/>
      <c r="F11" s="157"/>
      <c r="G11" s="157"/>
      <c r="H11" s="157"/>
      <c r="I11" s="157"/>
      <c r="J11" s="157"/>
      <c r="K11" s="157"/>
      <c r="L11" s="157"/>
      <c r="M11" s="157"/>
      <c r="N11" s="157"/>
      <c r="O11" s="157"/>
      <c r="P11" s="157"/>
      <c r="Q11" s="157"/>
      <c r="R11" s="157"/>
      <c r="S11" s="157"/>
      <c r="T11" s="157"/>
      <c r="U11" s="157"/>
      <c r="V11" s="157"/>
      <c r="W11" s="157"/>
      <c r="X11" s="157"/>
      <c r="Y11" s="157"/>
      <c r="Z11" s="157"/>
      <c r="AA11" s="157"/>
      <c r="AB11" s="157"/>
      <c r="AC11" s="157"/>
      <c r="AD11" s="157"/>
      <c r="AE11" s="157"/>
      <c r="AF11" s="157"/>
      <c r="AG11" s="157"/>
      <c r="AH11" s="157"/>
      <c r="AI11" s="157"/>
      <c r="AJ11" s="157"/>
      <c r="AK11" s="157"/>
      <c r="AL11" s="157"/>
      <c r="AM11" s="157"/>
      <c r="AN11" s="157"/>
      <c r="AO11" s="157"/>
      <c r="AP11" s="157"/>
      <c r="AQ11" s="157"/>
      <c r="AR11" s="157"/>
      <c r="AS11" s="157"/>
      <c r="AT11" s="157"/>
      <c r="AU11" s="157"/>
      <c r="AV11" s="157"/>
      <c r="AW11" s="157"/>
      <c r="AX11" s="157"/>
      <c r="AY11" s="157"/>
      <c r="AZ11" s="157"/>
      <c r="BA11" s="157"/>
      <c r="BB11" s="157"/>
      <c r="BC11" s="157"/>
      <c r="BD11" s="157"/>
      <c r="BE11" s="157"/>
      <c r="BF11" s="157"/>
      <c r="BG11" s="157"/>
      <c r="BH11" s="157"/>
      <c r="BI11" s="157"/>
      <c r="BJ11" s="157"/>
      <c r="BK11" s="157"/>
      <c r="BL11" s="157"/>
      <c r="BM11" s="157"/>
      <c r="BN11" s="157"/>
      <c r="BO11" s="157"/>
      <c r="BP11" s="157"/>
      <c r="BQ11" s="157"/>
      <c r="BR11" s="157"/>
    </row>
    <row r="12" spans="1:70" x14ac:dyDescent="0.25">
      <c r="C12" s="2" t="s">
        <v>6</v>
      </c>
    </row>
    <row r="13" spans="1:70" ht="90.75" customHeight="1" x14ac:dyDescent="0.25">
      <c r="C13" s="156" t="s">
        <v>286</v>
      </c>
      <c r="D13" s="157"/>
      <c r="E13" s="157"/>
      <c r="F13" s="157"/>
      <c r="G13" s="157"/>
      <c r="H13" s="157"/>
      <c r="I13" s="157"/>
      <c r="J13" s="157"/>
      <c r="K13" s="157"/>
      <c r="L13" s="157"/>
      <c r="M13" s="157"/>
      <c r="N13" s="157"/>
      <c r="O13" s="157"/>
      <c r="P13" s="157"/>
      <c r="Q13" s="157"/>
      <c r="R13" s="157"/>
      <c r="S13" s="157"/>
      <c r="T13" s="157"/>
      <c r="U13" s="157"/>
      <c r="V13" s="157"/>
      <c r="W13" s="157"/>
      <c r="X13" s="157"/>
      <c r="Y13" s="157"/>
      <c r="Z13" s="157"/>
      <c r="AA13" s="157"/>
      <c r="AB13" s="157"/>
      <c r="AC13" s="157"/>
      <c r="AD13" s="157"/>
      <c r="AE13" s="157"/>
      <c r="AF13" s="157"/>
      <c r="AG13" s="157"/>
      <c r="AH13" s="157"/>
      <c r="AI13" s="157"/>
      <c r="AJ13" s="157"/>
      <c r="AK13" s="157"/>
      <c r="AL13" s="157"/>
      <c r="AM13" s="157"/>
      <c r="AN13" s="157"/>
      <c r="AO13" s="157"/>
      <c r="AP13" s="157"/>
      <c r="AQ13" s="157"/>
      <c r="AR13" s="157"/>
      <c r="AS13" s="157"/>
      <c r="AT13" s="157"/>
      <c r="AU13" s="157"/>
      <c r="AV13" s="157"/>
      <c r="AW13" s="157"/>
      <c r="AX13" s="157"/>
      <c r="AY13" s="157"/>
      <c r="AZ13" s="157"/>
      <c r="BA13" s="157"/>
      <c r="BB13" s="157"/>
      <c r="BC13" s="157"/>
      <c r="BD13" s="157"/>
      <c r="BE13" s="157"/>
      <c r="BF13" s="157"/>
      <c r="BG13" s="157"/>
      <c r="BH13" s="157"/>
      <c r="BI13" s="157"/>
      <c r="BJ13" s="157"/>
      <c r="BK13" s="157"/>
      <c r="BL13" s="157"/>
      <c r="BM13" s="157"/>
      <c r="BN13" s="157"/>
      <c r="BO13" s="157"/>
      <c r="BP13" s="157"/>
      <c r="BQ13" s="157"/>
      <c r="BR13" s="157"/>
    </row>
    <row r="14" spans="1:70" x14ac:dyDescent="0.25">
      <c r="D14" s="2" t="s">
        <v>285</v>
      </c>
    </row>
    <row r="15" spans="1:70" ht="62.25" customHeight="1" x14ac:dyDescent="0.25">
      <c r="D15" s="156" t="s">
        <v>288</v>
      </c>
      <c r="E15" s="156"/>
      <c r="F15" s="156"/>
      <c r="G15" s="156"/>
      <c r="H15" s="156"/>
      <c r="I15" s="156"/>
      <c r="J15" s="156"/>
      <c r="K15" s="156"/>
      <c r="L15" s="156"/>
      <c r="M15" s="156"/>
      <c r="N15" s="156"/>
      <c r="O15" s="156"/>
      <c r="P15" s="156"/>
      <c r="Q15" s="156"/>
      <c r="R15" s="156"/>
      <c r="S15" s="156"/>
      <c r="T15" s="156"/>
      <c r="U15" s="156"/>
      <c r="V15" s="156"/>
      <c r="W15" s="156"/>
      <c r="X15" s="156"/>
      <c r="Y15" s="156"/>
      <c r="Z15" s="156"/>
      <c r="AA15" s="156"/>
      <c r="AB15" s="156"/>
      <c r="AC15" s="156"/>
      <c r="AD15" s="156"/>
      <c r="AE15" s="156"/>
      <c r="AF15" s="156"/>
      <c r="AG15" s="156"/>
      <c r="AH15" s="156"/>
      <c r="AI15" s="156"/>
      <c r="AJ15" s="156"/>
      <c r="AK15" s="156"/>
      <c r="AL15" s="156"/>
      <c r="AM15" s="156"/>
      <c r="AN15" s="156"/>
      <c r="AO15" s="156"/>
      <c r="AP15" s="156"/>
      <c r="AQ15" s="156"/>
      <c r="AR15" s="156"/>
      <c r="AS15" s="156"/>
      <c r="AT15" s="156"/>
      <c r="AU15" s="156"/>
      <c r="AV15" s="156"/>
      <c r="AW15" s="156"/>
      <c r="AX15" s="156"/>
      <c r="AY15" s="156"/>
      <c r="AZ15" s="156"/>
      <c r="BA15" s="156"/>
      <c r="BB15" s="156"/>
      <c r="BC15" s="156"/>
      <c r="BD15" s="156"/>
      <c r="BE15" s="156"/>
      <c r="BF15" s="156"/>
      <c r="BG15" s="156"/>
      <c r="BH15" s="156"/>
      <c r="BI15" s="156"/>
      <c r="BJ15" s="156"/>
      <c r="BK15" s="156"/>
      <c r="BL15" s="156"/>
      <c r="BM15" s="156"/>
      <c r="BN15" s="156"/>
      <c r="BO15" s="156"/>
      <c r="BP15" s="156"/>
      <c r="BQ15" s="156"/>
      <c r="BR15" s="156"/>
    </row>
    <row r="16" spans="1:70" x14ac:dyDescent="0.25">
      <c r="D16" s="2" t="s">
        <v>196</v>
      </c>
    </row>
    <row r="17" spans="1:70" ht="47.25" customHeight="1" x14ac:dyDescent="0.25">
      <c r="D17" s="156" t="s">
        <v>268</v>
      </c>
      <c r="E17" s="156"/>
      <c r="F17" s="156"/>
      <c r="G17" s="156"/>
      <c r="H17" s="156"/>
      <c r="I17" s="156"/>
      <c r="J17" s="156"/>
      <c r="K17" s="156"/>
      <c r="L17" s="156"/>
      <c r="M17" s="156"/>
      <c r="N17" s="156"/>
      <c r="O17" s="156"/>
      <c r="P17" s="156"/>
      <c r="Q17" s="156"/>
      <c r="R17" s="156"/>
      <c r="S17" s="156"/>
      <c r="T17" s="156"/>
      <c r="U17" s="156"/>
      <c r="V17" s="156"/>
      <c r="W17" s="156"/>
      <c r="X17" s="156"/>
      <c r="Y17" s="156"/>
      <c r="Z17" s="156"/>
      <c r="AA17" s="156"/>
      <c r="AB17" s="156"/>
      <c r="AC17" s="156"/>
      <c r="AD17" s="156"/>
      <c r="AE17" s="156"/>
      <c r="AF17" s="156"/>
      <c r="AG17" s="156"/>
      <c r="AH17" s="156"/>
      <c r="AI17" s="156"/>
      <c r="AJ17" s="156"/>
      <c r="AK17" s="156"/>
      <c r="AL17" s="156"/>
      <c r="AM17" s="156"/>
      <c r="AN17" s="156"/>
      <c r="AO17" s="156"/>
      <c r="AP17" s="156"/>
      <c r="AQ17" s="156"/>
      <c r="AR17" s="156"/>
      <c r="AS17" s="156"/>
      <c r="AT17" s="156"/>
      <c r="AU17" s="156"/>
      <c r="AV17" s="156"/>
      <c r="AW17" s="156"/>
      <c r="AX17" s="156"/>
      <c r="AY17" s="156"/>
      <c r="AZ17" s="156"/>
      <c r="BA17" s="156"/>
      <c r="BB17" s="156"/>
      <c r="BC17" s="156"/>
      <c r="BD17" s="156"/>
      <c r="BE17" s="156"/>
      <c r="BF17" s="156"/>
      <c r="BG17" s="156"/>
      <c r="BH17" s="156"/>
      <c r="BI17" s="156"/>
      <c r="BJ17" s="156"/>
      <c r="BK17" s="156"/>
      <c r="BL17" s="156"/>
      <c r="BM17" s="156"/>
      <c r="BN17" s="156"/>
      <c r="BO17" s="156"/>
      <c r="BP17" s="156"/>
      <c r="BQ17" s="156"/>
      <c r="BR17" s="156"/>
    </row>
    <row r="18" spans="1:70" ht="15.75" customHeight="1" x14ac:dyDescent="0.25">
      <c r="D18" s="158" t="s">
        <v>267</v>
      </c>
      <c r="E18" s="158"/>
      <c r="F18" s="158"/>
      <c r="G18" s="158"/>
      <c r="H18" s="158"/>
      <c r="I18" s="158"/>
      <c r="J18" s="158"/>
      <c r="K18" s="158"/>
      <c r="L18" s="158"/>
      <c r="M18" s="158"/>
      <c r="N18" s="158"/>
      <c r="O18" s="158"/>
      <c r="P18" s="158"/>
      <c r="Q18" s="158"/>
      <c r="R18" s="158"/>
      <c r="S18" s="158"/>
      <c r="T18" s="158"/>
      <c r="U18" s="158"/>
      <c r="V18" s="158"/>
      <c r="W18" s="158"/>
      <c r="X18" s="158"/>
      <c r="Y18" s="158"/>
      <c r="Z18" s="158"/>
      <c r="AA18" s="158"/>
      <c r="AB18" s="158"/>
      <c r="AC18" s="158"/>
      <c r="AD18" s="158"/>
      <c r="AE18" s="158"/>
      <c r="AF18" s="158"/>
      <c r="AG18" s="158"/>
      <c r="AH18" s="158"/>
      <c r="AI18" s="158"/>
      <c r="AJ18" s="158"/>
      <c r="AK18" s="158"/>
      <c r="AL18" s="158"/>
      <c r="AM18" s="158"/>
      <c r="AN18" s="158"/>
      <c r="AO18" s="158"/>
      <c r="AP18" s="158"/>
      <c r="AQ18" s="158"/>
      <c r="AR18" s="158"/>
      <c r="AS18" s="158"/>
      <c r="AT18" s="158"/>
      <c r="AU18" s="158"/>
      <c r="AV18" s="158"/>
      <c r="AW18" s="158"/>
      <c r="AX18" s="158"/>
      <c r="AY18" s="158"/>
      <c r="AZ18" s="158"/>
      <c r="BA18" s="158"/>
      <c r="BB18" s="158"/>
      <c r="BC18" s="158"/>
      <c r="BD18" s="158"/>
      <c r="BE18" s="158"/>
      <c r="BF18" s="158"/>
      <c r="BG18" s="158"/>
      <c r="BH18" s="158"/>
      <c r="BI18" s="158"/>
      <c r="BJ18" s="158"/>
      <c r="BK18" s="158"/>
      <c r="BL18" s="158"/>
      <c r="BM18" s="158"/>
      <c r="BN18" s="158"/>
      <c r="BO18" s="158"/>
      <c r="BP18" s="158"/>
      <c r="BQ18" s="158"/>
      <c r="BR18" s="158"/>
    </row>
    <row r="19" spans="1:70" ht="45.75" customHeight="1" x14ac:dyDescent="0.25">
      <c r="D19" s="156" t="s">
        <v>276</v>
      </c>
      <c r="E19" s="156"/>
      <c r="F19" s="156"/>
      <c r="G19" s="156"/>
      <c r="H19" s="156"/>
      <c r="I19" s="156"/>
      <c r="J19" s="156"/>
      <c r="K19" s="156"/>
      <c r="L19" s="156"/>
      <c r="M19" s="156"/>
      <c r="N19" s="156"/>
      <c r="O19" s="156"/>
      <c r="P19" s="156"/>
      <c r="Q19" s="156"/>
      <c r="R19" s="156"/>
      <c r="S19" s="156"/>
      <c r="T19" s="156"/>
      <c r="U19" s="156"/>
      <c r="V19" s="156"/>
      <c r="W19" s="156"/>
      <c r="X19" s="156"/>
      <c r="Y19" s="156"/>
      <c r="Z19" s="156"/>
      <c r="AA19" s="156"/>
      <c r="AB19" s="156"/>
      <c r="AC19" s="156"/>
      <c r="AD19" s="156"/>
      <c r="AE19" s="156"/>
      <c r="AF19" s="156"/>
      <c r="AG19" s="156"/>
      <c r="AH19" s="156"/>
      <c r="AI19" s="156"/>
      <c r="AJ19" s="156"/>
      <c r="AK19" s="156"/>
      <c r="AL19" s="156"/>
      <c r="AM19" s="156"/>
      <c r="AN19" s="156"/>
      <c r="AO19" s="156"/>
      <c r="AP19" s="156"/>
      <c r="AQ19" s="156"/>
      <c r="AR19" s="156"/>
      <c r="AS19" s="156"/>
      <c r="AT19" s="156"/>
      <c r="AU19" s="156"/>
      <c r="AV19" s="156"/>
      <c r="AW19" s="156"/>
      <c r="AX19" s="156"/>
      <c r="AY19" s="156"/>
      <c r="AZ19" s="156"/>
      <c r="BA19" s="156"/>
      <c r="BB19" s="156"/>
      <c r="BC19" s="156"/>
      <c r="BD19" s="156"/>
      <c r="BE19" s="156"/>
      <c r="BF19" s="156"/>
      <c r="BG19" s="156"/>
      <c r="BH19" s="156"/>
      <c r="BI19" s="156"/>
      <c r="BJ19" s="156"/>
      <c r="BK19" s="156"/>
      <c r="BL19" s="156"/>
      <c r="BM19" s="156"/>
      <c r="BN19" s="156"/>
      <c r="BO19" s="156"/>
      <c r="BP19" s="156"/>
      <c r="BQ19" s="156"/>
      <c r="BR19" s="156"/>
    </row>
    <row r="20" spans="1:70" ht="15.75" customHeight="1" x14ac:dyDescent="0.25">
      <c r="D20" s="158" t="s">
        <v>284</v>
      </c>
      <c r="E20" s="158"/>
      <c r="F20" s="158"/>
      <c r="G20" s="158"/>
      <c r="H20" s="158"/>
      <c r="I20" s="158"/>
      <c r="J20" s="158"/>
      <c r="K20" s="158"/>
      <c r="L20" s="158"/>
      <c r="M20" s="158"/>
      <c r="N20" s="158"/>
      <c r="O20" s="158"/>
      <c r="P20" s="158"/>
      <c r="Q20" s="158"/>
      <c r="R20" s="158"/>
      <c r="S20" s="158"/>
      <c r="T20" s="158"/>
      <c r="U20" s="158"/>
      <c r="V20" s="158"/>
      <c r="W20" s="158"/>
      <c r="X20" s="158"/>
      <c r="Y20" s="158"/>
      <c r="Z20" s="158"/>
      <c r="AA20" s="158"/>
      <c r="AB20" s="158"/>
      <c r="AC20" s="158"/>
      <c r="AD20" s="158"/>
      <c r="AE20" s="158"/>
      <c r="AF20" s="158"/>
      <c r="AG20" s="158"/>
      <c r="AH20" s="158"/>
      <c r="AI20" s="158"/>
      <c r="AJ20" s="158"/>
      <c r="AK20" s="158"/>
      <c r="AL20" s="158"/>
      <c r="AM20" s="158"/>
      <c r="AN20" s="158"/>
      <c r="AO20" s="158"/>
      <c r="AP20" s="158"/>
      <c r="AQ20" s="158"/>
      <c r="AR20" s="158"/>
      <c r="AS20" s="158"/>
      <c r="AT20" s="158"/>
      <c r="AU20" s="158"/>
      <c r="AV20" s="158"/>
      <c r="AW20" s="158"/>
      <c r="AX20" s="158"/>
      <c r="AY20" s="158"/>
      <c r="AZ20" s="158"/>
      <c r="BA20" s="158"/>
      <c r="BB20" s="158"/>
      <c r="BC20" s="158"/>
      <c r="BD20" s="158"/>
      <c r="BE20" s="158"/>
      <c r="BF20" s="158"/>
      <c r="BG20" s="158"/>
      <c r="BH20" s="158"/>
      <c r="BI20" s="158"/>
      <c r="BJ20" s="158"/>
      <c r="BK20" s="158"/>
      <c r="BL20" s="158"/>
      <c r="BM20" s="158"/>
      <c r="BN20" s="158"/>
      <c r="BO20" s="158"/>
      <c r="BP20" s="158"/>
      <c r="BQ20" s="158"/>
      <c r="BR20" s="158"/>
    </row>
    <row r="21" spans="1:70" ht="44.25" customHeight="1" x14ac:dyDescent="0.25">
      <c r="D21" s="156" t="s">
        <v>277</v>
      </c>
      <c r="E21" s="156"/>
      <c r="F21" s="156"/>
      <c r="G21" s="156"/>
      <c r="H21" s="156"/>
      <c r="I21" s="156"/>
      <c r="J21" s="156"/>
      <c r="K21" s="156"/>
      <c r="L21" s="156"/>
      <c r="M21" s="156"/>
      <c r="N21" s="156"/>
      <c r="O21" s="156"/>
      <c r="P21" s="156"/>
      <c r="Q21" s="156"/>
      <c r="R21" s="156"/>
      <c r="S21" s="156"/>
      <c r="T21" s="156"/>
      <c r="U21" s="156"/>
      <c r="V21" s="156"/>
      <c r="W21" s="156"/>
      <c r="X21" s="156"/>
      <c r="Y21" s="156"/>
      <c r="Z21" s="156"/>
      <c r="AA21" s="156"/>
      <c r="AB21" s="156"/>
      <c r="AC21" s="156"/>
      <c r="AD21" s="156"/>
      <c r="AE21" s="156"/>
      <c r="AF21" s="156"/>
      <c r="AG21" s="156"/>
      <c r="AH21" s="156"/>
      <c r="AI21" s="156"/>
      <c r="AJ21" s="156"/>
      <c r="AK21" s="156"/>
      <c r="AL21" s="156"/>
      <c r="AM21" s="156"/>
      <c r="AN21" s="156"/>
      <c r="AO21" s="156"/>
      <c r="AP21" s="156"/>
      <c r="AQ21" s="156"/>
      <c r="AR21" s="156"/>
      <c r="AS21" s="156"/>
      <c r="AT21" s="156"/>
      <c r="AU21" s="156"/>
      <c r="AV21" s="156"/>
      <c r="AW21" s="156"/>
      <c r="AX21" s="156"/>
      <c r="AY21" s="156"/>
      <c r="AZ21" s="156"/>
      <c r="BA21" s="156"/>
      <c r="BB21" s="156"/>
      <c r="BC21" s="156"/>
      <c r="BD21" s="156"/>
      <c r="BE21" s="156"/>
      <c r="BF21" s="156"/>
      <c r="BG21" s="156"/>
      <c r="BH21" s="156"/>
      <c r="BI21" s="156"/>
      <c r="BJ21" s="156"/>
      <c r="BK21" s="156"/>
      <c r="BL21" s="156"/>
      <c r="BM21" s="156"/>
      <c r="BN21" s="156"/>
      <c r="BO21" s="156"/>
      <c r="BP21" s="156"/>
      <c r="BQ21" s="156"/>
      <c r="BR21" s="156"/>
    </row>
    <row r="22" spans="1:70" x14ac:dyDescent="0.25">
      <c r="B22" s="2" t="s">
        <v>192</v>
      </c>
      <c r="C22" s="2"/>
    </row>
    <row r="23" spans="1:70" ht="69.75" customHeight="1" x14ac:dyDescent="0.25">
      <c r="B23" s="156" t="s">
        <v>269</v>
      </c>
      <c r="C23" s="156"/>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156"/>
      <c r="AB23" s="156"/>
      <c r="AC23" s="156"/>
      <c r="AD23" s="156"/>
      <c r="AE23" s="156"/>
      <c r="AF23" s="156"/>
      <c r="AG23" s="156"/>
      <c r="AH23" s="156"/>
      <c r="AI23" s="156"/>
      <c r="AJ23" s="156"/>
      <c r="AK23" s="156"/>
      <c r="AL23" s="156"/>
      <c r="AM23" s="156"/>
      <c r="AN23" s="156"/>
      <c r="AO23" s="156"/>
      <c r="AP23" s="156"/>
      <c r="AQ23" s="156"/>
      <c r="AR23" s="156"/>
      <c r="AS23" s="156"/>
      <c r="AT23" s="156"/>
      <c r="AU23" s="156"/>
      <c r="AV23" s="156"/>
      <c r="AW23" s="156"/>
      <c r="AX23" s="156"/>
      <c r="AY23" s="156"/>
      <c r="AZ23" s="156"/>
      <c r="BA23" s="156"/>
      <c r="BB23" s="156"/>
      <c r="BC23" s="156"/>
      <c r="BD23" s="156"/>
      <c r="BE23" s="156"/>
      <c r="BF23" s="156"/>
      <c r="BG23" s="156"/>
      <c r="BH23" s="156"/>
      <c r="BI23" s="156"/>
      <c r="BJ23" s="156"/>
      <c r="BK23" s="156"/>
      <c r="BL23" s="156"/>
      <c r="BM23" s="156"/>
      <c r="BN23" s="156"/>
      <c r="BO23" s="156"/>
      <c r="BP23" s="156"/>
      <c r="BQ23" s="156"/>
      <c r="BR23" s="156"/>
    </row>
    <row r="24" spans="1:70" x14ac:dyDescent="0.25">
      <c r="C24" s="2" t="s">
        <v>193</v>
      </c>
    </row>
    <row r="25" spans="1:70" ht="204.75" customHeight="1" x14ac:dyDescent="0.25">
      <c r="C25" s="159" t="s">
        <v>211</v>
      </c>
      <c r="D25" s="159"/>
      <c r="E25" s="159"/>
      <c r="F25" s="159"/>
      <c r="G25" s="159"/>
      <c r="H25" s="159"/>
      <c r="I25" s="159"/>
      <c r="J25" s="159"/>
      <c r="K25" s="159"/>
      <c r="L25" s="159"/>
      <c r="M25" s="159"/>
      <c r="N25" s="159"/>
      <c r="O25" s="159"/>
      <c r="P25" s="159"/>
      <c r="Q25" s="159"/>
      <c r="R25" s="159"/>
      <c r="S25" s="159"/>
      <c r="T25" s="159"/>
      <c r="U25" s="159"/>
      <c r="V25" s="159"/>
      <c r="W25" s="159"/>
      <c r="X25" s="159"/>
      <c r="Y25" s="159"/>
      <c r="Z25" s="159"/>
      <c r="AA25" s="159"/>
      <c r="AB25" s="159"/>
      <c r="AC25" s="159"/>
      <c r="AD25" s="159"/>
      <c r="AE25" s="159"/>
      <c r="AF25" s="159"/>
      <c r="AG25" s="159"/>
      <c r="AH25" s="159"/>
      <c r="AI25" s="159"/>
      <c r="AJ25" s="159"/>
      <c r="AK25" s="159"/>
      <c r="AL25" s="159"/>
      <c r="AM25" s="159"/>
      <c r="AN25" s="159"/>
      <c r="AO25" s="159"/>
      <c r="AP25" s="159"/>
      <c r="AQ25" s="159"/>
      <c r="AR25" s="159"/>
      <c r="AS25" s="159"/>
      <c r="AT25" s="159"/>
      <c r="AU25" s="159"/>
      <c r="AV25" s="159"/>
      <c r="AW25" s="159"/>
      <c r="AX25" s="159"/>
      <c r="AY25" s="159"/>
      <c r="AZ25" s="159"/>
      <c r="BA25" s="159"/>
      <c r="BB25" s="159"/>
      <c r="BC25" s="159"/>
      <c r="BD25" s="159"/>
      <c r="BE25" s="159"/>
      <c r="BF25" s="159"/>
      <c r="BG25" s="159"/>
      <c r="BH25" s="159"/>
      <c r="BI25" s="159"/>
      <c r="BJ25" s="159"/>
      <c r="BK25" s="159"/>
      <c r="BL25" s="159"/>
      <c r="BM25" s="159"/>
      <c r="BN25" s="159"/>
      <c r="BO25" s="159"/>
      <c r="BP25" s="159"/>
      <c r="BQ25" s="159"/>
      <c r="BR25" s="159"/>
    </row>
    <row r="26" spans="1:70" x14ac:dyDescent="0.25">
      <c r="C26" s="2" t="s">
        <v>194</v>
      </c>
    </row>
    <row r="27" spans="1:70" ht="244.5" customHeight="1" x14ac:dyDescent="0.25">
      <c r="A27" s="1"/>
      <c r="C27" s="159" t="s">
        <v>195</v>
      </c>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159"/>
      <c r="AK27" s="159"/>
      <c r="AL27" s="159"/>
      <c r="AM27" s="159"/>
      <c r="AN27" s="159"/>
      <c r="AO27" s="159"/>
      <c r="AP27" s="159"/>
      <c r="AQ27" s="159"/>
      <c r="AR27" s="159"/>
      <c r="AS27" s="159"/>
      <c r="AT27" s="159"/>
      <c r="AU27" s="159"/>
      <c r="AV27" s="159"/>
      <c r="AW27" s="159"/>
      <c r="AX27" s="159"/>
      <c r="AY27" s="159"/>
      <c r="AZ27" s="159"/>
      <c r="BA27" s="159"/>
      <c r="BB27" s="159"/>
      <c r="BC27" s="159"/>
      <c r="BD27" s="159"/>
      <c r="BE27" s="159"/>
      <c r="BF27" s="159"/>
      <c r="BG27" s="159"/>
      <c r="BH27" s="159"/>
      <c r="BI27" s="159"/>
      <c r="BJ27" s="159"/>
      <c r="BK27" s="159"/>
      <c r="BL27" s="159"/>
      <c r="BM27" s="159"/>
      <c r="BN27" s="159"/>
      <c r="BO27" s="159"/>
      <c r="BP27" s="159"/>
      <c r="BQ27" s="159"/>
      <c r="BR27" s="159"/>
    </row>
    <row r="28" spans="1:70" x14ac:dyDescent="0.25">
      <c r="B28" s="2" t="s">
        <v>270</v>
      </c>
      <c r="C28" s="43"/>
    </row>
    <row r="29" spans="1:70" ht="75" customHeight="1" x14ac:dyDescent="0.25">
      <c r="A29" s="1"/>
      <c r="B29" s="156" t="s">
        <v>281</v>
      </c>
      <c r="C29" s="156"/>
      <c r="D29" s="156"/>
      <c r="E29" s="156"/>
      <c r="F29" s="156"/>
      <c r="G29" s="156"/>
      <c r="H29" s="156"/>
      <c r="I29" s="156"/>
      <c r="J29" s="156"/>
      <c r="K29" s="156"/>
      <c r="L29" s="156"/>
      <c r="M29" s="156"/>
      <c r="N29" s="156"/>
      <c r="O29" s="156"/>
      <c r="P29" s="156"/>
      <c r="Q29" s="156"/>
      <c r="R29" s="156"/>
      <c r="S29" s="156"/>
      <c r="T29" s="156"/>
      <c r="U29" s="156"/>
      <c r="V29" s="156"/>
      <c r="W29" s="156"/>
      <c r="X29" s="156"/>
      <c r="Y29" s="156"/>
      <c r="Z29" s="156"/>
      <c r="AA29" s="156"/>
      <c r="AB29" s="156"/>
      <c r="AC29" s="156"/>
      <c r="AD29" s="156"/>
      <c r="AE29" s="156"/>
      <c r="AF29" s="156"/>
      <c r="AG29" s="156"/>
      <c r="AH29" s="156"/>
      <c r="AI29" s="156"/>
      <c r="AJ29" s="156"/>
      <c r="AK29" s="156"/>
      <c r="AL29" s="156"/>
      <c r="AM29" s="156"/>
      <c r="AN29" s="156"/>
      <c r="AO29" s="156"/>
      <c r="AP29" s="156"/>
      <c r="AQ29" s="156"/>
      <c r="AR29" s="156"/>
      <c r="AS29" s="156"/>
      <c r="AT29" s="156"/>
      <c r="AU29" s="156"/>
      <c r="AV29" s="156"/>
      <c r="AW29" s="156"/>
      <c r="AX29" s="156"/>
      <c r="AY29" s="156"/>
      <c r="AZ29" s="156"/>
      <c r="BA29" s="156"/>
      <c r="BB29" s="156"/>
      <c r="BC29" s="156"/>
      <c r="BD29" s="156"/>
      <c r="BE29" s="156"/>
      <c r="BF29" s="156"/>
      <c r="BG29" s="156"/>
      <c r="BH29" s="156"/>
      <c r="BI29" s="156"/>
      <c r="BJ29" s="156"/>
      <c r="BK29" s="156"/>
      <c r="BL29" s="156"/>
      <c r="BM29" s="156"/>
      <c r="BN29" s="156"/>
      <c r="BO29" s="156"/>
      <c r="BP29" s="156"/>
      <c r="BQ29" s="156"/>
      <c r="BR29" s="156"/>
    </row>
    <row r="30" spans="1:70" x14ac:dyDescent="0.25">
      <c r="C30" s="2" t="s">
        <v>274</v>
      </c>
    </row>
    <row r="31" spans="1:70" ht="46.5" customHeight="1" x14ac:dyDescent="0.25">
      <c r="A31" s="1"/>
      <c r="C31" s="159" t="s">
        <v>280</v>
      </c>
      <c r="D31" s="159"/>
      <c r="E31" s="159"/>
      <c r="F31" s="159"/>
      <c r="G31" s="159"/>
      <c r="H31" s="159"/>
      <c r="I31" s="159"/>
      <c r="J31" s="159"/>
      <c r="K31" s="159"/>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159"/>
      <c r="BA31" s="159"/>
      <c r="BB31" s="159"/>
      <c r="BC31" s="159"/>
      <c r="BD31" s="159"/>
      <c r="BE31" s="159"/>
      <c r="BF31" s="159"/>
      <c r="BG31" s="159"/>
      <c r="BH31" s="159"/>
      <c r="BI31" s="159"/>
      <c r="BJ31" s="159"/>
      <c r="BK31" s="159"/>
      <c r="BL31" s="159"/>
      <c r="BM31" s="159"/>
      <c r="BN31" s="159"/>
      <c r="BO31" s="159"/>
      <c r="BP31" s="159"/>
      <c r="BQ31" s="159"/>
      <c r="BR31" s="159"/>
    </row>
    <row r="32" spans="1:70" ht="15.75" customHeight="1" x14ac:dyDescent="0.25">
      <c r="C32" s="158" t="s">
        <v>271</v>
      </c>
      <c r="D32" s="158"/>
      <c r="E32" s="158"/>
      <c r="F32" s="158"/>
      <c r="G32" s="158"/>
      <c r="H32" s="158"/>
      <c r="I32" s="158"/>
      <c r="J32" s="158"/>
      <c r="K32" s="158"/>
      <c r="L32" s="158"/>
      <c r="M32" s="158"/>
      <c r="N32" s="158"/>
      <c r="O32" s="158"/>
      <c r="P32" s="158"/>
      <c r="Q32" s="158"/>
      <c r="R32" s="158"/>
      <c r="S32" s="158"/>
      <c r="T32" s="158"/>
      <c r="U32" s="158"/>
      <c r="V32" s="158"/>
      <c r="W32" s="158"/>
      <c r="X32" s="158"/>
      <c r="Y32" s="158"/>
      <c r="Z32" s="158"/>
      <c r="AA32" s="158"/>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c r="BF32" s="158"/>
      <c r="BG32" s="158"/>
      <c r="BH32" s="158"/>
      <c r="BI32" s="158"/>
      <c r="BJ32" s="158"/>
      <c r="BK32" s="158"/>
      <c r="BL32" s="158"/>
      <c r="BM32" s="158"/>
      <c r="BN32" s="158"/>
      <c r="BO32" s="158"/>
      <c r="BP32" s="158"/>
      <c r="BQ32" s="158"/>
      <c r="BR32" s="158"/>
    </row>
    <row r="33" spans="1:70" ht="120" customHeight="1" x14ac:dyDescent="0.25">
      <c r="A33" s="43"/>
      <c r="C33" s="156" t="s">
        <v>273</v>
      </c>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156"/>
      <c r="AB33" s="156"/>
      <c r="AC33" s="156"/>
      <c r="AD33" s="156"/>
      <c r="AE33" s="156"/>
      <c r="AF33" s="156"/>
      <c r="AG33" s="156"/>
      <c r="AH33" s="156"/>
      <c r="AI33" s="156"/>
      <c r="AJ33" s="156"/>
      <c r="AK33" s="156"/>
      <c r="AL33" s="156"/>
      <c r="AM33" s="156"/>
      <c r="AN33" s="156"/>
      <c r="AO33" s="156"/>
      <c r="AP33" s="156"/>
      <c r="AQ33" s="156"/>
      <c r="AR33" s="156"/>
      <c r="AS33" s="156"/>
      <c r="AT33" s="156"/>
      <c r="AU33" s="156"/>
      <c r="AV33" s="156"/>
      <c r="AW33" s="156"/>
      <c r="AX33" s="156"/>
      <c r="AY33" s="156"/>
      <c r="AZ33" s="156"/>
      <c r="BA33" s="156"/>
      <c r="BB33" s="156"/>
      <c r="BC33" s="156"/>
      <c r="BD33" s="156"/>
      <c r="BE33" s="156"/>
      <c r="BF33" s="156"/>
      <c r="BG33" s="156"/>
      <c r="BH33" s="156"/>
      <c r="BI33" s="156"/>
      <c r="BJ33" s="156"/>
      <c r="BK33" s="156"/>
      <c r="BL33" s="156"/>
      <c r="BM33" s="156"/>
      <c r="BN33" s="156"/>
      <c r="BO33" s="156"/>
      <c r="BP33" s="156"/>
      <c r="BQ33" s="156"/>
      <c r="BR33" s="156"/>
    </row>
    <row r="34" spans="1:70" ht="15.75" customHeight="1" x14ac:dyDescent="0.25">
      <c r="C34" s="158" t="s">
        <v>272</v>
      </c>
      <c r="D34" s="158"/>
      <c r="E34" s="158"/>
      <c r="F34" s="158"/>
      <c r="G34" s="158"/>
      <c r="H34" s="158"/>
      <c r="I34" s="158"/>
      <c r="J34" s="158"/>
      <c r="K34" s="158"/>
      <c r="L34" s="158"/>
      <c r="M34" s="158"/>
      <c r="N34" s="158"/>
      <c r="O34" s="158"/>
      <c r="P34" s="158"/>
      <c r="Q34" s="158"/>
      <c r="R34" s="158"/>
      <c r="S34" s="158"/>
      <c r="T34" s="158"/>
      <c r="U34" s="158"/>
      <c r="V34" s="158"/>
      <c r="W34" s="158"/>
      <c r="X34" s="158"/>
      <c r="Y34" s="158"/>
      <c r="Z34" s="158"/>
      <c r="AA34" s="158"/>
      <c r="AB34" s="158"/>
      <c r="AC34" s="158"/>
      <c r="AD34" s="158"/>
      <c r="AE34" s="158"/>
      <c r="AF34" s="158"/>
      <c r="AG34" s="158"/>
      <c r="AH34" s="158"/>
      <c r="AI34" s="158"/>
      <c r="AJ34" s="158"/>
      <c r="AK34" s="158"/>
      <c r="AL34" s="158"/>
      <c r="AM34" s="158"/>
      <c r="AN34" s="158"/>
      <c r="AO34" s="158"/>
      <c r="AP34" s="158"/>
      <c r="AQ34" s="158"/>
      <c r="AR34" s="158"/>
      <c r="AS34" s="158"/>
      <c r="AT34" s="158"/>
      <c r="AU34" s="158"/>
      <c r="AV34" s="158"/>
      <c r="AW34" s="158"/>
      <c r="AX34" s="158"/>
      <c r="AY34" s="158"/>
      <c r="AZ34" s="158"/>
      <c r="BA34" s="158"/>
      <c r="BB34" s="158"/>
      <c r="BC34" s="158"/>
      <c r="BD34" s="158"/>
      <c r="BE34" s="158"/>
      <c r="BF34" s="158"/>
      <c r="BG34" s="158"/>
      <c r="BH34" s="158"/>
      <c r="BI34" s="158"/>
      <c r="BJ34" s="158"/>
      <c r="BK34" s="158"/>
      <c r="BL34" s="158"/>
      <c r="BM34" s="158"/>
      <c r="BN34" s="158"/>
      <c r="BO34" s="158"/>
      <c r="BP34" s="158"/>
      <c r="BQ34" s="158"/>
      <c r="BR34" s="158"/>
    </row>
    <row r="35" spans="1:70" ht="47.25" customHeight="1" x14ac:dyDescent="0.25">
      <c r="C35" s="159" t="s">
        <v>279</v>
      </c>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c r="AD35" s="159"/>
      <c r="AE35" s="159"/>
      <c r="AF35" s="159"/>
      <c r="AG35" s="159"/>
      <c r="AH35" s="159"/>
      <c r="AI35" s="159"/>
      <c r="AJ35" s="159"/>
      <c r="AK35" s="159"/>
      <c r="AL35" s="159"/>
      <c r="AM35" s="159"/>
      <c r="AN35" s="159"/>
      <c r="AO35" s="159"/>
      <c r="AP35" s="159"/>
      <c r="AQ35" s="159"/>
      <c r="AR35" s="159"/>
      <c r="AS35" s="159"/>
      <c r="AT35" s="159"/>
      <c r="AU35" s="159"/>
      <c r="AV35" s="159"/>
      <c r="AW35" s="159"/>
      <c r="AX35" s="159"/>
      <c r="AY35" s="159"/>
      <c r="AZ35" s="159"/>
      <c r="BA35" s="159"/>
      <c r="BB35" s="159"/>
      <c r="BC35" s="159"/>
      <c r="BD35" s="159"/>
      <c r="BE35" s="159"/>
      <c r="BF35" s="159"/>
      <c r="BG35" s="159"/>
      <c r="BH35" s="159"/>
      <c r="BI35" s="159"/>
      <c r="BJ35" s="159"/>
      <c r="BK35" s="159"/>
      <c r="BL35" s="159"/>
      <c r="BM35" s="159"/>
      <c r="BN35" s="159"/>
      <c r="BO35" s="159"/>
      <c r="BP35" s="159"/>
      <c r="BQ35" s="159"/>
      <c r="BR35" s="159"/>
    </row>
    <row r="36" spans="1:70" x14ac:dyDescent="0.25">
      <c r="B36" s="2" t="s">
        <v>2</v>
      </c>
    </row>
    <row r="37" spans="1:70" x14ac:dyDescent="0.25">
      <c r="B37" s="157" t="s">
        <v>12</v>
      </c>
      <c r="C37" s="157"/>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157"/>
      <c r="AB37" s="157"/>
      <c r="AC37" s="157"/>
      <c r="AD37" s="157"/>
      <c r="AE37" s="157"/>
      <c r="AF37" s="157"/>
      <c r="AG37" s="157"/>
      <c r="AH37" s="157"/>
      <c r="AI37" s="157"/>
      <c r="AJ37" s="157"/>
      <c r="AK37" s="157"/>
      <c r="AL37" s="157"/>
      <c r="AM37" s="157"/>
      <c r="AN37" s="157"/>
      <c r="AO37" s="157"/>
      <c r="AP37" s="157"/>
      <c r="AQ37" s="157"/>
      <c r="AR37" s="157"/>
      <c r="AS37" s="157"/>
      <c r="AT37" s="157"/>
      <c r="AU37" s="157"/>
      <c r="AV37" s="157"/>
      <c r="AW37" s="157"/>
      <c r="AX37" s="157"/>
      <c r="AY37" s="157"/>
      <c r="AZ37" s="157"/>
      <c r="BA37" s="157"/>
      <c r="BB37" s="157"/>
      <c r="BC37" s="157"/>
      <c r="BD37" s="157"/>
      <c r="BE37" s="157"/>
      <c r="BF37" s="157"/>
      <c r="BG37" s="157"/>
      <c r="BH37" s="157"/>
      <c r="BI37" s="157"/>
      <c r="BJ37" s="157"/>
      <c r="BK37" s="157"/>
      <c r="BL37" s="157"/>
      <c r="BM37" s="157"/>
      <c r="BN37" s="157"/>
      <c r="BO37" s="157"/>
      <c r="BP37" s="157"/>
      <c r="BQ37" s="157"/>
      <c r="BR37" s="157"/>
    </row>
    <row r="38" spans="1:70" x14ac:dyDescent="0.25">
      <c r="C38" s="2" t="s">
        <v>7</v>
      </c>
    </row>
    <row r="39" spans="1:70" ht="45.75" customHeight="1" x14ac:dyDescent="0.25">
      <c r="C39" s="156" t="s">
        <v>8</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6"/>
      <c r="AB39" s="156"/>
      <c r="AC39" s="156"/>
      <c r="AD39" s="156"/>
      <c r="AE39" s="156"/>
      <c r="AF39" s="156"/>
      <c r="AG39" s="156"/>
      <c r="AH39" s="156"/>
      <c r="AI39" s="156"/>
      <c r="AJ39" s="156"/>
      <c r="AK39" s="156"/>
      <c r="AL39" s="156"/>
      <c r="AM39" s="156"/>
      <c r="AN39" s="156"/>
      <c r="AO39" s="156"/>
      <c r="AP39" s="156"/>
      <c r="AQ39" s="156"/>
      <c r="AR39" s="156"/>
      <c r="AS39" s="156"/>
      <c r="AT39" s="156"/>
      <c r="AU39" s="156"/>
      <c r="AV39" s="156"/>
      <c r="AW39" s="156"/>
      <c r="AX39" s="156"/>
      <c r="AY39" s="156"/>
      <c r="AZ39" s="156"/>
      <c r="BA39" s="156"/>
      <c r="BB39" s="156"/>
      <c r="BC39" s="156"/>
      <c r="BD39" s="156"/>
      <c r="BE39" s="156"/>
      <c r="BF39" s="156"/>
      <c r="BG39" s="156"/>
      <c r="BH39" s="156"/>
      <c r="BI39" s="156"/>
      <c r="BJ39" s="156"/>
      <c r="BK39" s="156"/>
      <c r="BL39" s="156"/>
      <c r="BM39" s="156"/>
      <c r="BN39" s="156"/>
      <c r="BO39" s="156"/>
      <c r="BP39" s="156"/>
      <c r="BQ39" s="156"/>
      <c r="BR39" s="156"/>
    </row>
    <row r="40" spans="1:70" x14ac:dyDescent="0.25">
      <c r="D40" s="2" t="s">
        <v>9</v>
      </c>
    </row>
    <row r="41" spans="1:70" x14ac:dyDescent="0.25">
      <c r="D41" t="s">
        <v>209</v>
      </c>
    </row>
    <row r="42" spans="1:70" x14ac:dyDescent="0.25">
      <c r="E42" s="2" t="s">
        <v>10</v>
      </c>
    </row>
    <row r="44" spans="1:70" x14ac:dyDescent="0.25">
      <c r="D44" s="2" t="s">
        <v>11</v>
      </c>
    </row>
    <row r="45" spans="1:70" x14ac:dyDescent="0.25">
      <c r="D45" t="s">
        <v>210</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287</v>
      </c>
    </row>
    <row r="2" spans="1:4" x14ac:dyDescent="0.25">
      <c r="A2" s="2" t="s">
        <v>0</v>
      </c>
    </row>
    <row r="3" spans="1:4" x14ac:dyDescent="0.25">
      <c r="A3" t="s">
        <v>212</v>
      </c>
    </row>
    <row r="4" spans="1:4" x14ac:dyDescent="0.25">
      <c r="B4" s="2" t="s">
        <v>1</v>
      </c>
    </row>
    <row r="5" spans="1:4" ht="90" x14ac:dyDescent="0.25">
      <c r="B5" s="1" t="s">
        <v>278</v>
      </c>
    </row>
    <row r="6" spans="1:4" x14ac:dyDescent="0.25">
      <c r="C6" s="2" t="s">
        <v>3</v>
      </c>
    </row>
    <row r="7" spans="1:4" ht="45" x14ac:dyDescent="0.25">
      <c r="C7" s="1" t="s">
        <v>282</v>
      </c>
    </row>
    <row r="8" spans="1:4" x14ac:dyDescent="0.25">
      <c r="C8" s="2" t="s">
        <v>4</v>
      </c>
    </row>
    <row r="9" spans="1:4" ht="75" x14ac:dyDescent="0.25">
      <c r="C9" s="1" t="s">
        <v>275</v>
      </c>
    </row>
    <row r="10" spans="1:4" x14ac:dyDescent="0.25">
      <c r="C10" s="2" t="s">
        <v>5</v>
      </c>
    </row>
    <row r="11" spans="1:4" ht="90" x14ac:dyDescent="0.25">
      <c r="C11" s="1" t="s">
        <v>283</v>
      </c>
    </row>
    <row r="12" spans="1:4" x14ac:dyDescent="0.25">
      <c r="C12" s="2" t="s">
        <v>6</v>
      </c>
    </row>
    <row r="13" spans="1:4" ht="105" x14ac:dyDescent="0.25">
      <c r="C13" s="43" t="s">
        <v>286</v>
      </c>
    </row>
    <row r="14" spans="1:4" x14ac:dyDescent="0.25">
      <c r="C14" s="43"/>
      <c r="D14" s="2" t="s">
        <v>285</v>
      </c>
    </row>
    <row r="15" spans="1:4" ht="90" x14ac:dyDescent="0.25">
      <c r="C15" s="43"/>
      <c r="D15" s="1" t="s">
        <v>288</v>
      </c>
    </row>
    <row r="16" spans="1:4" x14ac:dyDescent="0.25">
      <c r="C16" s="44"/>
      <c r="D16" s="2" t="s">
        <v>196</v>
      </c>
    </row>
    <row r="17" spans="2:4" ht="45" x14ac:dyDescent="0.25">
      <c r="C17" s="44"/>
      <c r="D17" s="1" t="s">
        <v>268</v>
      </c>
    </row>
    <row r="18" spans="2:4" x14ac:dyDescent="0.25">
      <c r="C18" s="44"/>
      <c r="D18" s="77" t="s">
        <v>267</v>
      </c>
    </row>
    <row r="19" spans="2:4" ht="45" x14ac:dyDescent="0.25">
      <c r="C19" s="44"/>
      <c r="D19" s="1" t="s">
        <v>276</v>
      </c>
    </row>
    <row r="20" spans="2:4" x14ac:dyDescent="0.25">
      <c r="C20" s="44"/>
      <c r="D20" s="77" t="s">
        <v>284</v>
      </c>
    </row>
    <row r="21" spans="2:4" ht="45" x14ac:dyDescent="0.25">
      <c r="C21" s="44"/>
      <c r="D21" s="1" t="s">
        <v>277</v>
      </c>
    </row>
    <row r="22" spans="2:4" x14ac:dyDescent="0.25">
      <c r="B22" s="2" t="s">
        <v>192</v>
      </c>
      <c r="C22" s="2"/>
    </row>
    <row r="23" spans="2:4" ht="60" x14ac:dyDescent="0.25">
      <c r="B23" s="1" t="s">
        <v>269</v>
      </c>
      <c r="C23" s="2"/>
    </row>
    <row r="24" spans="2:4" x14ac:dyDescent="0.25">
      <c r="C24" s="2" t="s">
        <v>193</v>
      </c>
    </row>
    <row r="25" spans="2:4" ht="210" x14ac:dyDescent="0.25">
      <c r="C25" s="43" t="s">
        <v>211</v>
      </c>
    </row>
    <row r="26" spans="2:4" x14ac:dyDescent="0.25">
      <c r="C26" s="2" t="s">
        <v>194</v>
      </c>
    </row>
    <row r="27" spans="2:4" ht="240" x14ac:dyDescent="0.25">
      <c r="C27" s="43" t="s">
        <v>195</v>
      </c>
    </row>
    <row r="28" spans="2:4" x14ac:dyDescent="0.25">
      <c r="B28" s="2" t="s">
        <v>270</v>
      </c>
      <c r="C28" s="43"/>
    </row>
    <row r="29" spans="2:4" ht="75" x14ac:dyDescent="0.25">
      <c r="B29" s="1" t="s">
        <v>281</v>
      </c>
      <c r="C29" s="43"/>
    </row>
    <row r="30" spans="2:4" x14ac:dyDescent="0.25">
      <c r="C30" s="2" t="s">
        <v>274</v>
      </c>
    </row>
    <row r="31" spans="2:4" ht="45" x14ac:dyDescent="0.25">
      <c r="C31" s="43" t="s">
        <v>280</v>
      </c>
    </row>
    <row r="32" spans="2:4" x14ac:dyDescent="0.25">
      <c r="C32" s="77" t="s">
        <v>271</v>
      </c>
    </row>
    <row r="33" spans="2:5" ht="165" x14ac:dyDescent="0.25">
      <c r="C33" s="1" t="s">
        <v>273</v>
      </c>
    </row>
    <row r="34" spans="2:5" x14ac:dyDescent="0.25">
      <c r="C34" s="77" t="s">
        <v>272</v>
      </c>
    </row>
    <row r="35" spans="2:5" ht="75" x14ac:dyDescent="0.25">
      <c r="C35" s="43" t="s">
        <v>279</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209</v>
      </c>
    </row>
    <row r="42" spans="2:5" x14ac:dyDescent="0.25">
      <c r="E42" s="2" t="s">
        <v>10</v>
      </c>
    </row>
    <row r="44" spans="2:5" x14ac:dyDescent="0.25">
      <c r="D44" s="2" t="s">
        <v>11</v>
      </c>
    </row>
    <row r="45" spans="2:5" x14ac:dyDescent="0.25">
      <c r="D45" t="s">
        <v>210</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2020-08-28T22:00:43Z</dcterms:modified>
</cp:coreProperties>
</file>