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405CE55-8006-4721-8D3D-445EC05532B3}"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1" i="3" l="1"/>
  <c r="K11" i="3"/>
  <c r="J11" i="3"/>
  <c r="I11" i="3"/>
  <c r="H11" i="3"/>
  <c r="G11" i="3"/>
  <c r="F11" i="3"/>
  <c r="P11" i="3"/>
  <c r="EI35" i="3" l="1"/>
  <c r="EJ35" i="3"/>
  <c r="ES35" i="3"/>
  <c r="P16" i="3" l="1"/>
  <c r="L16" i="3"/>
  <c r="K16" i="3"/>
  <c r="J16" i="3"/>
  <c r="I16" i="3"/>
  <c r="H16" i="3"/>
  <c r="G16" i="3"/>
  <c r="F16" i="3"/>
  <c r="P45" i="3" l="1"/>
  <c r="L45" i="3"/>
  <c r="K45" i="3"/>
  <c r="J45" i="3"/>
  <c r="I45" i="3"/>
  <c r="H45" i="3"/>
  <c r="G45" i="3"/>
  <c r="F45" i="3"/>
  <c r="P33" i="3" l="1"/>
  <c r="DP35" i="3"/>
  <c r="EA35" i="3"/>
  <c r="P31" i="3" l="1"/>
  <c r="DG35" i="3" l="1"/>
  <c r="DR35" i="3"/>
  <c r="Q86" i="3" l="1"/>
  <c r="Q84" i="3"/>
  <c r="Q83" i="3"/>
  <c r="Q82" i="3"/>
  <c r="Q75" i="3"/>
  <c r="Q70" i="3"/>
  <c r="Q63" i="3"/>
  <c r="Q62" i="3"/>
  <c r="Q61" i="3"/>
  <c r="Q60" i="3"/>
  <c r="Q59" i="3"/>
  <c r="Q27" i="3"/>
  <c r="Q34" i="3"/>
  <c r="Q6" i="3"/>
  <c r="CX35" i="3"/>
  <c r="L92" i="3"/>
  <c r="L90" i="3"/>
  <c r="DI35" i="3"/>
  <c r="CH35" i="3"/>
  <c r="CQ35" i="3"/>
  <c r="R35" i="3"/>
  <c r="P35" i="3"/>
  <c r="BY35" i="3"/>
  <c r="CZ35" i="3"/>
  <c r="L91" i="3"/>
  <c r="CO77" i="3" l="1"/>
  <c r="CO65" i="3"/>
  <c r="CO35" i="3"/>
  <c r="CF35" i="3"/>
  <c r="P77" i="3"/>
  <c r="P6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2" i="3"/>
  <c r="L12" i="3"/>
  <c r="K12" i="3"/>
  <c r="J12" i="3"/>
  <c r="I12" i="3"/>
  <c r="H12" i="3"/>
  <c r="G12" i="3"/>
  <c r="F12"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5" i="3"/>
  <c r="F7" i="3"/>
  <c r="P7" i="3"/>
  <c r="P9" i="3"/>
  <c r="P10" i="3"/>
  <c r="P13" i="3"/>
  <c r="P14" i="3"/>
  <c r="P15" i="3"/>
  <c r="P17" i="3"/>
  <c r="P18" i="3"/>
  <c r="P19" i="3"/>
  <c r="P20" i="3"/>
  <c r="P21" i="3"/>
  <c r="P22" i="3"/>
  <c r="P23" i="3"/>
  <c r="P24" i="3"/>
  <c r="P25" i="3"/>
  <c r="P26" i="3"/>
  <c r="P27" i="3"/>
  <c r="P28" i="3"/>
  <c r="P29" i="3"/>
  <c r="P30"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Q11" i="3" s="1"/>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6" i="3" l="1"/>
  <c r="Q8" i="3"/>
  <c r="Q31" i="3"/>
  <c r="Q33" i="3"/>
  <c r="Q25" i="3"/>
  <c r="Q17" i="3"/>
  <c r="Q12" i="3"/>
  <c r="Q26" i="3"/>
  <c r="Q24" i="3"/>
  <c r="Q15" i="3"/>
  <c r="Q30" i="3"/>
  <c r="Q20" i="3"/>
  <c r="Q9" i="3"/>
  <c r="Q7" i="3"/>
  <c r="Q23" i="3"/>
  <c r="Q14" i="3"/>
  <c r="Q22" i="3"/>
  <c r="Q10" i="3"/>
  <c r="Q19" i="3"/>
  <c r="Q13" i="3"/>
  <c r="Q21" i="3"/>
  <c r="Q28" i="3"/>
  <c r="Q18"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11" i="3"/>
  <c r="R33" i="3"/>
  <c r="R15" i="3"/>
  <c r="R25" i="3"/>
  <c r="R13" i="3"/>
  <c r="R20" i="3"/>
  <c r="R19" i="3"/>
  <c r="R17" i="3"/>
  <c r="R27" i="3"/>
  <c r="R29" i="3"/>
  <c r="R24" i="3"/>
  <c r="R12" i="3"/>
  <c r="R30" i="3"/>
  <c r="R23" i="3"/>
  <c r="R22" i="3"/>
  <c r="R16" i="3"/>
  <c r="R14" i="3"/>
  <c r="R21" i="3"/>
  <c r="R10" i="3"/>
  <c r="R9" i="3"/>
  <c r="R8" i="3"/>
  <c r="R18" i="3"/>
  <c r="R28" i="3"/>
  <c r="R26" i="3"/>
  <c r="R31" i="3"/>
  <c r="R7" i="3"/>
  <c r="Q29" i="3" l="1"/>
  <c r="MN38" i="3"/>
  <c r="MN39" i="3" s="1"/>
  <c r="MN67" i="3" s="1"/>
  <c r="MN66" i="3"/>
  <c r="MN2" i="3"/>
</calcChain>
</file>

<file path=xl/sharedStrings.xml><?xml version="1.0" encoding="utf-8"?>
<sst xmlns="http://schemas.openxmlformats.org/spreadsheetml/2006/main" count="1386" uniqueCount="497">
  <si>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</si>
  <si>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</si>
  <si>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</si>
  <si>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</si>
  <si>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</si>
  <si>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</si>
  <si>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</si>
  <si>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</si>
  <si>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</si>
  <si>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</si>
  <si>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</si>
  <si>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</si>
  <si>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</si>
  <si>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</si>
  <si>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</si>
  <si>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</si>
  <si>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</si>
  <si>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</si>
  <si>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</si>
  <si>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</si>
  <si>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</si>
  <si>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</si>
  <si>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</si>
  <si>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</si>
  <si>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</si>
  <si>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</si>
  <si>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</si>
  <si>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</si>
  <si>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</si>
  <si>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</si>
  <si>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</si>
  <si>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</si>
  <si>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</si>
  <si>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</si>
  <si>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</si>
  <si>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</si>
  <si>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</si>
  <si>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</si>
  <si>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</si>
  <si>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</si>
  <si>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</si>
  <si>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</si>
  <si>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</si>
  <si>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</si>
  <si>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</si>
  <si>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</si>
  <si>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</si>
  <si>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</si>
  <si>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</si>
  <si>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</si>
  <si>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</si>
  <si>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</si>
  <si>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</si>
  <si>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</si>
  <si>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</si>
  <si>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</si>
  <si>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</si>
  <si>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</si>
  <si>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</si>
  <si>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</si>
  <si>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</si>
  <si>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</si>
  <si>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</si>
  <si>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</si>
  <si>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</si>
  <si>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</si>
  <si>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</si>
  <si>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</si>
  <si>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</si>
  <si>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</si>
  <si>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</si>
  <si>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</si>
  <si>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</si>
  <si>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</si>
  <si>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</si>
  <si>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</si>
  <si>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</si>
  <si>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</si>
  <si>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</si>
  <si>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</si>
  <si>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</si>
  <si>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</si>
  <si>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</si>
  <si>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</si>
  <si>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</si>
  <si>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</si>
  <si>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</si>
  <si>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</si>
  <si>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</si>
  <si>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</si>
  <si>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</si>
  <si>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</si>
  <si>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</si>
  <si>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</si>
  <si>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</si>
  <si>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</si>
  <si>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</si>
  <si>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</si>
  <si>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</si>
  <si>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</si>
  <si>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</si>
  <si>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</si>
  <si>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</si>
  <si>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</si>
  <si>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</si>
  <si>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</si>
  <si>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</si>
  <si>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</si>
  <si>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</si>
  <si>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</si>
  <si>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</si>
  <si>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</si>
  <si>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</si>
  <si>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</si>
  <si>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</si>
  <si>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</si>
  <si>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</si>
  <si>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</si>
  <si>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</si>
  <si>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</si>
  <si>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</si>
  <si>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</si>
  <si>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</si>
  <si>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</si>
  <si>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</si>
  <si>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</si>
  <si>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</si>
  <si>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</si>
  <si>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</si>
  <si>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</si>
  <si>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</si>
  <si>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</si>
  <si>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</si>
  <si>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</si>
  <si>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</si>
  <si>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</si>
  <si>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</si>
  <si>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</si>
  <si>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</si>
  <si>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</si>
  <si>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</si>
  <si>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</si>
  <si>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</si>
  <si>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</si>
  <si>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</si>
  <si>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</si>
  <si>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</si>
  <si>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</si>
  <si>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</si>
  <si>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</si>
  <si>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</si>
  <si>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</si>
  <si>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</si>
  <si>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</si>
  <si>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</si>
  <si>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</si>
  <si>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</si>
  <si>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</si>
  <si>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</si>
  <si>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</si>
  <si>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</si>
  <si>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</si>
  <si>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</si>
  <si>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</si>
  <si>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</si>
  <si>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</si>
  <si>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</si>
  <si>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</si>
  <si>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</si>
  <si>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</si>
  <si>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</si>
  <si>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</si>
  <si>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</si>
  <si>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</si>
  <si>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</si>
  <si>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</si>
  <si>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</si>
  <si>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</si>
  <si>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</si>
  <si>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</si>
  <si>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</si>
  <si>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</si>
  <si>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</si>
  <si>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</si>
  <si>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</si>
  <si>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</si>
  <si>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</si>
  <si>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</si>
  <si>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</si>
  <si>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</si>
  <si>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</si>
  <si>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</si>
  <si>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</si>
  <si>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</si>
  <si>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</si>
  <si>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</si>
  <si>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</si>
  <si>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</si>
  <si>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</si>
  <si>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</si>
  <si>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</si>
  <si>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</si>
  <si>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</si>
  <si>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</si>
  <si>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</si>
  <si>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</si>
  <si>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</si>
  <si>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</si>
  <si>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</si>
  <si>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</si>
  <si>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</si>
  <si>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</si>
  <si>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</si>
  <si>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</si>
  <si>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</si>
  <si>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</si>
  <si>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</si>
  <si>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</si>
  <si>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</si>
  <si>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</si>
  <si>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</si>
  <si>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</si>
  <si>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</si>
  <si>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</si>
  <si>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</si>
  <si>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</si>
  <si>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</si>
  <si>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</si>
  <si>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</si>
  <si>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</si>
  <si>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</si>
  <si>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</si>
  <si>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</si>
  <si>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</si>
  <si>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</si>
  <si>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</si>
  <si>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</si>
  <si>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</si>
  <si>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</si>
  <si>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</si>
  <si>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</si>
  <si>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</si>
  <si>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</si>
  <si>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</si>
  <si>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</si>
  <si>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</si>
  <si>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</si>
  <si>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</si>
  <si>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</si>
  <si>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</si>
  <si>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</si>
  <si>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</si>
  <si>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</si>
  <si>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</si>
  <si>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</si>
  <si>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</si>
  <si>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</si>
  <si>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</si>
  <si>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</si>
  <si>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</si>
  <si>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</si>
  <si>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</si>
  <si>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</si>
  <si>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</si>
  <si>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</si>
  <si>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</si>
  <si>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</si>
  <si>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</si>
  <si>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</si>
  <si>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</si>
  <si>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</si>
  <si>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</si>
  <si>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</si>
  <si>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</si>
  <si>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</si>
  <si>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</si>
  <si>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</si>
  <si>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</si>
  <si>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</si>
  <si>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</si>
  <si>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</si>
  <si>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</si>
  <si>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</si>
  <si>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</si>
  <si>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</si>
  <si>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</si>
  <si>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</si>
  <si>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</si>
  <si>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</si>
  <si>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</si>
  <si>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</si>
  <si>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</si>
  <si>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</si>
  <si>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</si>
  <si>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</si>
  <si>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</si>
  <si>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</si>
  <si>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</si>
  <si>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</si>
  <si>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</si>
  <si>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</si>
  <si>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</si>
  <si>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</si>
  <si>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</si>
  <si>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</si>
  <si>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</si>
  <si>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</si>
  <si>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</si>
  <si>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</si>
  <si>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</si>
  <si>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</si>
  <si>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</si>
  <si>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</si>
  <si>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</si>
  <si>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</si>
  <si>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</si>
  <si>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</si>
  <si>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</si>
  <si>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</si>
  <si>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</si>
  <si>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</si>
  <si>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</si>
  <si>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</si>
  <si>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</si>
  <si>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</si>
  <si>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</si>
  <si>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</si>
  <si>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</si>
  <si>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</si>
  <si>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</si>
  <si>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</si>
  <si>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</si>
  <si>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</si>
  <si>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</si>
  <si>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</si>
  <si>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</si>
  <si>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</si>
  <si>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</si>
  <si>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</si>
  <si>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</si>
  <si>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</si>
  <si>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</si>
  <si>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</si>
  <si>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</si>
  <si>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</si>
  <si>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</si>
  <si>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</si>
  <si>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</si>
  <si>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</si>
  <si>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</si>
  <si>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</si>
  <si>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</si>
  <si>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</si>
  <si>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</si>
  <si>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</si>
  <si>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</si>
  <si>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</si>
  <si>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</si>
  <si>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</si>
  <si>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</si>
  <si>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</si>
  <si>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</si>
  <si>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</si>
  <si>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</si>
  <si>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</si>
  <si>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</si>
  <si>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</si>
  <si>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</si>
  <si>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</si>
  <si>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</si>
  <si>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</si>
  <si>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</si>
  <si>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</si>
  <si>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</si>
  <si>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</si>
  <si>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</si>
  <si>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</si>
  <si>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</si>
  <si>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</si>
  <si>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</si>
  <si>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</si>
  <si>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</si>
  <si>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</si>
  <si>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</si>
  <si>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</si>
  <si>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</si>
  <si>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</si>
  <si>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</si>
  <si>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</si>
  <si>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</si>
  <si>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</si>
  <si>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</si>
  <si>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</si>
  <si>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</si>
  <si>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</si>
  <si>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</si>
  <si>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</si>
  <si>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</si>
  <si>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</si>
  <si>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</si>
  <si>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</si>
  <si>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</si>
  <si>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</si>
  <si>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</si>
  <si>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</si>
  <si>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</si>
  <si>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</si>
  <si>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</si>
  <si>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</si>
  <si>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</si>
  <si>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</si>
  <si>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</si>
  <si>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</si>
  <si>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</si>
  <si>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</si>
  <si>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</si>
  <si>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</si>
  <si>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</si>
  <si>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</si>
  <si>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</si>
  <si>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</si>
  <si>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</si>
  <si>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</si>
  <si>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</si>
  <si>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</si>
  <si>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</si>
  <si>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</si>
  <si>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</si>
  <si>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</si>
  <si>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</si>
  <si>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</si>
  <si>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</si>
  <si>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</si>
  <si>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</si>
  <si>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</si>
  <si>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</si>
  <si>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</si>
  <si>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</si>
  <si>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</si>
  <si>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</si>
  <si>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</si>
  <si>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</si>
  <si>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</si>
  <si>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</si>
  <si>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</si>
  <si>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</si>
  <si>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</si>
  <si>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</si>
  <si>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</si>
  <si>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</si>
  <si>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</si>
  <si>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</si>
  <si>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</si>
  <si>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</si>
  <si>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</si>
  <si>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</si>
  <si>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</si>
  <si>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</si>
  <si>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</si>
  <si>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</si>
  <si>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</si>
  <si>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</si>
  <si>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</si>
  <si>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</si>
  <si>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</si>
  <si>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</si>
  <si>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</si>
  <si>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</si>
  <si>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</si>
  <si>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</si>
  <si>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</si>
  <si>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</si>
  <si>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</si>
  <si>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</si>
  <si>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</si>
  <si>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</si>
  <si>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</si>
  <si>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</si>
  <si>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</si>
  <si>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</si>
  <si>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</si>
  <si>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</si>
  <si>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</si>
  <si>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</si>
  <si>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</si>
  <si>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
  </si>
  <si>
    <t>(tw. Trainingsspiel U16)
Winners Score (4:4:4:5)
4x Service - Annahme - Fangen im Wechsel, 3x je 5 gelungene Annahmen
Einschlagen
Winners Score (6:6:5)</t>
  </si>
  <si>
    <t>*</t>
  </si>
  <si>
    <t>o</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</si>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</sst>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0" fillId="0" borderId="0" xfId="0" applyAlignment="1">
      <alignment horizontal="center"/>
    </xf>
    <xf numFmtId="0" fontId="0" fillId="0" borderId="16" xfId="0"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0" fillId="0" borderId="0" xfId="0" quotePrefix="1" applyFill="1" applyBorder="1" applyAlignment="1">
      <alignment horizontal="right"/>
    </xf>
    <xf numFmtId="0" fontId="0" fillId="0" borderId="5" xfId="0" quotePrefix="1" applyBorder="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tabSelected="1" zoomScaleNormal="100" workbookViewId="0">
      <pane xSplit="18" ySplit="3" topLeftCell="DP67" activePane="bottomRight" state="frozen"/>
      <selection pane="topRight" activeCell="F1" sqref="F1"/>
      <selection pane="bottomLeft" activeCell="A3" sqref="A3"/>
      <selection pane="bottomRight" activeCell="N103" sqref="N103"/>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472</v>
      </c>
      <c r="EJ1" s="49" t="s">
        <v>473</v>
      </c>
      <c r="EK1" s="47">
        <f>EH1 + 1</f>
        <v>44081</v>
      </c>
      <c r="EL1" s="47">
        <f t="shared" si="1"/>
        <v>44082</v>
      </c>
      <c r="EM1" s="47">
        <f t="shared" si="1"/>
        <v>44083</v>
      </c>
      <c r="EN1" s="47">
        <f t="shared" si="1"/>
        <v>44084</v>
      </c>
      <c r="EO1" s="47">
        <f t="shared" si="1"/>
        <v>44085</v>
      </c>
      <c r="EP1" s="47">
        <f t="shared" si="1"/>
        <v>44086</v>
      </c>
      <c r="EQ1" s="47">
        <f t="shared" si="1"/>
        <v>44087</v>
      </c>
      <c r="ER1" s="47" t="s">
        <v>475</v>
      </c>
      <c r="ES1" s="49" t="s">
        <v>476</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52" t="s">
        <v>144</v>
      </c>
      <c r="B2" s="152"/>
      <c r="C2" s="152"/>
      <c r="D2" s="152"/>
      <c r="E2" s="152"/>
      <c r="F2" s="39"/>
      <c r="G2" s="39"/>
      <c r="H2" s="39"/>
      <c r="I2" s="39"/>
      <c r="J2" s="39"/>
      <c r="K2" s="39"/>
      <c r="L2" s="39"/>
      <c r="M2" s="39"/>
      <c r="N2" s="39"/>
      <c r="O2" s="27"/>
      <c r="P2" s="153" t="s">
        <v>49</v>
      </c>
      <c r="Q2" s="148" t="s">
        <v>48</v>
      </c>
      <c r="R2" s="150"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474</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477</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483</v>
      </c>
      <c r="EF3" s="38" t="s">
        <v>38</v>
      </c>
      <c r="EG3" s="38"/>
      <c r="EH3" s="38"/>
      <c r="EI3" s="38"/>
      <c r="EJ3" s="24"/>
      <c r="EK3" s="38" t="s">
        <v>38</v>
      </c>
      <c r="EL3" s="38" t="s">
        <v>38</v>
      </c>
      <c r="EM3" s="38"/>
      <c r="EN3" s="38" t="s">
        <v>490</v>
      </c>
      <c r="EO3" s="38" t="s">
        <v>483</v>
      </c>
      <c r="EP3" s="38"/>
      <c r="EQ3" s="38" t="s">
        <v>478</v>
      </c>
      <c r="ER3" s="38"/>
      <c r="ES3" s="24"/>
      <c r="ET3" s="38" t="s">
        <v>38</v>
      </c>
      <c r="EU3" s="38" t="s">
        <v>38</v>
      </c>
      <c r="EV3" s="38"/>
      <c r="EW3" s="38" t="s">
        <v>38</v>
      </c>
      <c r="EX3" s="38" t="s">
        <v>38</v>
      </c>
      <c r="EY3" s="38"/>
      <c r="EZ3" s="24"/>
      <c r="FA3" s="38" t="s">
        <v>38</v>
      </c>
      <c r="FB3" s="38" t="s">
        <v>38</v>
      </c>
      <c r="FC3" s="38"/>
      <c r="FD3" s="38" t="s">
        <v>38</v>
      </c>
      <c r="FE3" s="38" t="s">
        <v>38</v>
      </c>
      <c r="FF3" s="38" t="s">
        <v>46</v>
      </c>
      <c r="FG3" s="24"/>
      <c r="FH3" s="38" t="s">
        <v>38</v>
      </c>
      <c r="FI3" s="38" t="s">
        <v>38</v>
      </c>
      <c r="FJ3" s="38"/>
      <c r="FK3" s="38" t="s">
        <v>38</v>
      </c>
      <c r="FL3" s="38" t="s">
        <v>38</v>
      </c>
      <c r="FM3" s="38" t="s">
        <v>46</v>
      </c>
      <c r="FN3" s="24"/>
      <c r="FO3" s="38" t="s">
        <v>38</v>
      </c>
      <c r="FP3" s="38" t="s">
        <v>38</v>
      </c>
      <c r="FQ3" s="38"/>
      <c r="FR3" s="38" t="s">
        <v>38</v>
      </c>
      <c r="FS3" s="38" t="s">
        <v>38</v>
      </c>
      <c r="FT3" s="38"/>
      <c r="FU3" s="24"/>
      <c r="FV3" s="38" t="s">
        <v>38</v>
      </c>
      <c r="FW3" s="38" t="s">
        <v>38</v>
      </c>
      <c r="FX3" s="38"/>
      <c r="FY3" s="38" t="s">
        <v>38</v>
      </c>
      <c r="FZ3" s="38" t="s">
        <v>38</v>
      </c>
      <c r="GA3" s="38"/>
      <c r="GB3" s="24"/>
      <c r="GC3" s="38" t="s">
        <v>38</v>
      </c>
      <c r="GD3" s="38" t="s">
        <v>38</v>
      </c>
      <c r="GE3" s="38"/>
      <c r="GF3" s="38" t="s">
        <v>38</v>
      </c>
      <c r="GG3" s="38" t="s">
        <v>38</v>
      </c>
      <c r="GH3" s="38"/>
      <c r="GI3" s="24"/>
      <c r="GJ3" s="38" t="s">
        <v>38</v>
      </c>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40" t="s">
        <v>147</v>
      </c>
      <c r="G4" s="141" t="s">
        <v>146</v>
      </c>
      <c r="H4" s="141" t="s">
        <v>119</v>
      </c>
      <c r="I4" s="142" t="s">
        <v>41</v>
      </c>
      <c r="J4" s="142" t="s">
        <v>118</v>
      </c>
      <c r="K4" s="142" t="s">
        <v>42</v>
      </c>
      <c r="L4" s="142" t="s">
        <v>117</v>
      </c>
      <c r="M4" s="142" t="s">
        <v>47</v>
      </c>
      <c r="N4" s="142" t="s">
        <v>100</v>
      </c>
      <c r="O4" s="143"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42</v>
      </c>
      <c r="Q7" s="109">
        <f>IF(SUM(S7:XFD7) &gt; 0, SUM(S7:XFD7) / $P$36 * 100, "")</f>
        <v>85.714285714285708</v>
      </c>
      <c r="R7" s="133" t="str">
        <f t="shared" ref="R7:R31" si="317">KStateSum(S7:MN7,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t="s">
        <v>488</v>
      </c>
      <c r="ER7" s="99" t="s">
        <v>365</v>
      </c>
      <c r="ES7" s="80" t="s">
        <v>367</v>
      </c>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8">IF($E8 &gt;= F$5, 1, "")</f>
        <v/>
      </c>
      <c r="G8" s="19" t="str">
        <f t="shared" si="318"/>
        <v/>
      </c>
      <c r="H8" s="19" t="str">
        <f t="shared" si="318"/>
        <v/>
      </c>
      <c r="I8" s="19" t="str">
        <f t="shared" si="318"/>
        <v/>
      </c>
      <c r="J8" s="19" t="str">
        <f t="shared" si="318"/>
        <v/>
      </c>
      <c r="K8" s="19" t="str">
        <f t="shared" si="318"/>
        <v/>
      </c>
      <c r="L8" s="19" t="str">
        <f t="shared" si="318"/>
        <v/>
      </c>
      <c r="M8" s="8"/>
      <c r="N8" s="8"/>
      <c r="O8" s="9">
        <v>1</v>
      </c>
      <c r="P8" s="8">
        <f t="shared" si="315"/>
        <v>16</v>
      </c>
      <c r="Q8" s="109">
        <f>IF(SUM(S8:XFD8) &gt; 0, SUM(S8:XFD8) / $P$36 * 100, "")</f>
        <v>32.653061224489797</v>
      </c>
      <c r="R8" s="133" t="str">
        <f t="shared" si="317"/>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t="s">
        <v>487</v>
      </c>
      <c r="ER8" s="99" t="s">
        <v>365</v>
      </c>
      <c r="ES8" s="80" t="s">
        <v>367</v>
      </c>
      <c r="EZ8" s="7"/>
      <c r="FB8" t="s">
        <v>464</v>
      </c>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 t="shared" si="315"/>
        <v>44</v>
      </c>
      <c r="Q9" s="109">
        <f>IF(SUM(S9:XFD9) &gt; 0, SUM(S9:XFD9) / $P$36 * 100, "")</f>
        <v>89.795918367346943</v>
      </c>
      <c r="R9" s="133" t="str">
        <f t="shared" si="317"/>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t="s">
        <v>487</v>
      </c>
      <c r="ER9" s="99" t="s">
        <v>365</v>
      </c>
      <c r="ES9" s="80" t="s">
        <v>367</v>
      </c>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 t="shared" si="315"/>
        <v>36</v>
      </c>
      <c r="Q10" s="109">
        <f>IF(SUM(S10:XFD10) &gt; 0, SUM(S10:XFD10) / $P$36 * 100, "")</f>
        <v>73.469387755102048</v>
      </c>
      <c r="R10" s="133" t="str">
        <f t="shared" si="317"/>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t="s">
        <v>488</v>
      </c>
      <c r="ER10" s="99" t="s">
        <v>365</v>
      </c>
      <c r="ES10" s="80" t="s">
        <v>367</v>
      </c>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ht="15" customHeight="1" x14ac:dyDescent="0.25">
      <c r="A11" s="8" t="s">
        <v>388</v>
      </c>
      <c r="B11" s="8"/>
      <c r="C11" s="8" t="s">
        <v>239</v>
      </c>
      <c r="D11" s="8" t="s">
        <v>164</v>
      </c>
      <c r="E11" s="18">
        <v>36672</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 t="shared" ref="P11" si="319">IF(SUM(S11:MN11) &gt; 0, SUM(S11:MN11), "")</f>
        <v>7</v>
      </c>
      <c r="Q11" s="109">
        <f>IF(SUM(S11:XFD11) &gt; 0, SUM(S11:XFD11) / $P$36 * 100, "")</f>
        <v>14.285714285714285</v>
      </c>
      <c r="R11" s="133" t="str">
        <f t="shared" ref="R11" si="320">KStateSum(S11:MN11, 1)</f>
        <v>-38</v>
      </c>
      <c r="S11" s="7"/>
      <c r="Z11" s="7"/>
      <c r="AG11" s="7"/>
      <c r="AN11" s="7"/>
      <c r="AU11" s="7"/>
      <c r="BB11" s="7"/>
      <c r="BI11" s="7"/>
      <c r="BP11" s="7"/>
      <c r="BX11" s="95" t="s">
        <v>365</v>
      </c>
      <c r="BY11" s="80" t="s">
        <v>369</v>
      </c>
      <c r="CG11" s="95" t="s">
        <v>365</v>
      </c>
      <c r="CH11" s="80" t="s">
        <v>369</v>
      </c>
      <c r="CL11">
        <v>1</v>
      </c>
      <c r="CP11" s="166" t="s">
        <v>399</v>
      </c>
      <c r="CQ11" s="167" t="s">
        <v>495</v>
      </c>
      <c r="CS11">
        <v>1</v>
      </c>
      <c r="CV11">
        <v>1</v>
      </c>
      <c r="CY11" s="166" t="s">
        <v>365</v>
      </c>
      <c r="CZ11" s="167" t="s">
        <v>363</v>
      </c>
      <c r="DH11" s="166" t="s">
        <v>365</v>
      </c>
      <c r="DI11" s="167" t="s">
        <v>366</v>
      </c>
      <c r="DK11">
        <v>1</v>
      </c>
      <c r="DQ11" s="166" t="s">
        <v>365</v>
      </c>
      <c r="DR11" s="167" t="s">
        <v>394</v>
      </c>
      <c r="DT11">
        <v>1</v>
      </c>
      <c r="DZ11" s="95" t="s">
        <v>365</v>
      </c>
      <c r="EA11" s="80" t="s">
        <v>394</v>
      </c>
      <c r="EC11">
        <v>1</v>
      </c>
      <c r="EI11" s="166" t="s">
        <v>365</v>
      </c>
      <c r="EJ11" s="80" t="s">
        <v>394</v>
      </c>
      <c r="EL11">
        <v>1</v>
      </c>
      <c r="EN11" s="95"/>
      <c r="ER11" s="99" t="s">
        <v>365</v>
      </c>
      <c r="ES11" s="80" t="s">
        <v>367</v>
      </c>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162</v>
      </c>
      <c r="B12" s="8"/>
      <c r="C12" s="8" t="s">
        <v>163</v>
      </c>
      <c r="D12" s="8" t="s">
        <v>164</v>
      </c>
      <c r="E12" s="18">
        <v>37133</v>
      </c>
      <c r="F12" s="10" t="str">
        <f t="shared" si="318"/>
        <v/>
      </c>
      <c r="G12" s="19" t="str">
        <f t="shared" si="318"/>
        <v/>
      </c>
      <c r="H12" s="19" t="str">
        <f t="shared" si="318"/>
        <v/>
      </c>
      <c r="I12" s="19" t="str">
        <f t="shared" si="318"/>
        <v/>
      </c>
      <c r="J12" s="19" t="str">
        <f t="shared" si="318"/>
        <v/>
      </c>
      <c r="K12" s="19" t="str">
        <f t="shared" si="318"/>
        <v/>
      </c>
      <c r="L12" s="19" t="str">
        <f t="shared" si="318"/>
        <v/>
      </c>
      <c r="M12" s="8"/>
      <c r="N12" s="8"/>
      <c r="O12" s="9">
        <v>1</v>
      </c>
      <c r="P12" s="8">
        <f t="shared" si="315"/>
        <v>39</v>
      </c>
      <c r="Q12" s="109">
        <f>IF(SUM(S12:XFD12) &gt; 0, SUM(S12:XFD12) / $P$36 * 100, "")</f>
        <v>79.591836734693871</v>
      </c>
      <c r="R12" s="133" t="str">
        <f t="shared" si="317"/>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365</v>
      </c>
      <c r="BY12" s="80" t="s">
        <v>366</v>
      </c>
      <c r="CC12">
        <v>1</v>
      </c>
      <c r="CF12">
        <v>1</v>
      </c>
      <c r="CG12" s="95" t="s">
        <v>365</v>
      </c>
      <c r="CH12" s="80" t="s">
        <v>366</v>
      </c>
      <c r="CL12">
        <v>1</v>
      </c>
      <c r="CP12" s="99" t="s">
        <v>365</v>
      </c>
      <c r="CQ12" s="80" t="s">
        <v>368</v>
      </c>
      <c r="CS12">
        <v>1</v>
      </c>
      <c r="CU12">
        <v>1</v>
      </c>
      <c r="CV12">
        <v>1</v>
      </c>
      <c r="CY12" s="99" t="s">
        <v>365</v>
      </c>
      <c r="CZ12" s="80" t="s">
        <v>364</v>
      </c>
      <c r="DB12">
        <v>1</v>
      </c>
      <c r="DE12">
        <v>1</v>
      </c>
      <c r="DH12" s="99" t="s">
        <v>365</v>
      </c>
      <c r="DI12" s="80" t="s">
        <v>363</v>
      </c>
      <c r="DK12">
        <v>1</v>
      </c>
      <c r="DM12">
        <v>1</v>
      </c>
      <c r="DN12">
        <v>1</v>
      </c>
      <c r="DP12">
        <v>1</v>
      </c>
      <c r="DQ12" s="99" t="s">
        <v>365</v>
      </c>
      <c r="DR12" s="80" t="s">
        <v>365</v>
      </c>
      <c r="DT12">
        <v>1</v>
      </c>
      <c r="DV12" t="s">
        <v>389</v>
      </c>
      <c r="DZ12" s="95" t="s">
        <v>365</v>
      </c>
      <c r="EA12" s="80" t="s">
        <v>394</v>
      </c>
      <c r="EB12">
        <v>1</v>
      </c>
      <c r="EC12">
        <v>1</v>
      </c>
      <c r="EE12">
        <v>1</v>
      </c>
      <c r="EF12">
        <v>1</v>
      </c>
      <c r="EI12" s="99" t="s">
        <v>365</v>
      </c>
      <c r="EJ12" s="80" t="s">
        <v>365</v>
      </c>
      <c r="EK12">
        <v>1</v>
      </c>
      <c r="EL12">
        <v>1</v>
      </c>
      <c r="EN12" s="95" t="s">
        <v>487</v>
      </c>
      <c r="ER12" s="99" t="s">
        <v>365</v>
      </c>
      <c r="ES12" s="80" t="s">
        <v>367</v>
      </c>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x14ac:dyDescent="0.25">
      <c r="A13" s="8" t="s">
        <v>120</v>
      </c>
      <c r="B13" s="8" t="s">
        <v>161</v>
      </c>
      <c r="C13" s="8" t="s">
        <v>176</v>
      </c>
      <c r="D13" s="8" t="s">
        <v>177</v>
      </c>
      <c r="E13" s="18">
        <v>37808</v>
      </c>
      <c r="F13" s="10">
        <f t="shared" si="318"/>
        <v>1</v>
      </c>
      <c r="G13" s="19" t="str">
        <f t="shared" si="318"/>
        <v/>
      </c>
      <c r="H13" s="19" t="str">
        <f t="shared" si="318"/>
        <v/>
      </c>
      <c r="I13" s="19" t="str">
        <f t="shared" si="318"/>
        <v/>
      </c>
      <c r="J13" s="19" t="str">
        <f t="shared" si="318"/>
        <v/>
      </c>
      <c r="K13" s="19" t="str">
        <f t="shared" si="318"/>
        <v/>
      </c>
      <c r="L13" s="19" t="str">
        <f t="shared" si="318"/>
        <v/>
      </c>
      <c r="M13" s="8"/>
      <c r="N13" s="8">
        <v>1</v>
      </c>
      <c r="O13" s="9">
        <v>1</v>
      </c>
      <c r="P13" s="8">
        <f t="shared" si="315"/>
        <v>38</v>
      </c>
      <c r="Q13" s="109">
        <f>IF(SUM(S13:XFD13) &gt; 0, SUM(S13:XFD13) / $P$36 * 100, "")</f>
        <v>77.551020408163268</v>
      </c>
      <c r="R13" s="133" t="str">
        <f t="shared" si="317"/>
        <v>-12</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379</v>
      </c>
      <c r="BY13" s="80" t="s">
        <v>365</v>
      </c>
      <c r="CC13">
        <v>1</v>
      </c>
      <c r="CG13" s="95" t="s">
        <v>379</v>
      </c>
      <c r="CH13" s="80" t="s">
        <v>365</v>
      </c>
      <c r="CL13">
        <v>1</v>
      </c>
      <c r="CO13">
        <v>1</v>
      </c>
      <c r="CP13" s="99" t="s">
        <v>365</v>
      </c>
      <c r="CQ13" s="80" t="s">
        <v>366</v>
      </c>
      <c r="CS13">
        <v>1</v>
      </c>
      <c r="CU13">
        <v>1</v>
      </c>
      <c r="CV13">
        <v>1</v>
      </c>
      <c r="CY13" s="99" t="s">
        <v>365</v>
      </c>
      <c r="CZ13" s="80" t="s">
        <v>364</v>
      </c>
      <c r="DB13">
        <v>1</v>
      </c>
      <c r="DG13">
        <v>1</v>
      </c>
      <c r="DH13" s="99" t="s">
        <v>399</v>
      </c>
      <c r="DI13" s="80" t="s">
        <v>364</v>
      </c>
      <c r="DK13">
        <v>1</v>
      </c>
      <c r="DM13">
        <v>1</v>
      </c>
      <c r="DQ13" s="99" t="s">
        <v>399</v>
      </c>
      <c r="DR13" s="80" t="s">
        <v>364</v>
      </c>
      <c r="DT13" t="s">
        <v>389</v>
      </c>
      <c r="DZ13" s="95" t="s">
        <v>365</v>
      </c>
      <c r="EA13" s="80" t="s">
        <v>366</v>
      </c>
      <c r="EB13">
        <v>1</v>
      </c>
      <c r="EC13">
        <v>1</v>
      </c>
      <c r="EE13">
        <v>1</v>
      </c>
      <c r="EI13" s="99" t="s">
        <v>365</v>
      </c>
      <c r="EJ13" s="80" t="s">
        <v>364</v>
      </c>
      <c r="EK13">
        <v>1</v>
      </c>
      <c r="EL13">
        <v>1</v>
      </c>
      <c r="EN13" s="95" t="s">
        <v>487</v>
      </c>
      <c r="ER13" s="99" t="s">
        <v>365</v>
      </c>
      <c r="ES13" s="80" t="s">
        <v>367</v>
      </c>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178</v>
      </c>
      <c r="B14" s="8"/>
      <c r="C14" s="8" t="s">
        <v>180</v>
      </c>
      <c r="D14" s="8" t="s">
        <v>181</v>
      </c>
      <c r="E14" s="18"/>
      <c r="F14" s="10" t="str">
        <f t="shared" si="318"/>
        <v/>
      </c>
      <c r="G14" s="19" t="str">
        <f t="shared" si="318"/>
        <v/>
      </c>
      <c r="H14" s="19" t="str">
        <f t="shared" si="318"/>
        <v/>
      </c>
      <c r="I14" s="19" t="str">
        <f t="shared" si="318"/>
        <v/>
      </c>
      <c r="J14" s="19" t="str">
        <f t="shared" si="318"/>
        <v/>
      </c>
      <c r="K14" s="19" t="str">
        <f t="shared" si="318"/>
        <v/>
      </c>
      <c r="L14" s="19" t="str">
        <f t="shared" si="318"/>
        <v/>
      </c>
      <c r="M14" s="8"/>
      <c r="N14" s="8">
        <v>1</v>
      </c>
      <c r="O14" s="9"/>
      <c r="P14" s="8">
        <f t="shared" si="315"/>
        <v>1</v>
      </c>
      <c r="Q14" s="109">
        <f>IF(SUM(S14:XFD14) &gt; 0, SUM(S14:XFD14) / $P$36 * 100, "")</f>
        <v>2.0408163265306123</v>
      </c>
      <c r="R14" s="133" t="str">
        <f t="shared" si="317"/>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R14" s="99" t="s">
        <v>365</v>
      </c>
      <c r="ES14" s="80" t="s">
        <v>367</v>
      </c>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hidden="1" x14ac:dyDescent="0.25">
      <c r="A15" s="8" t="s">
        <v>172</v>
      </c>
      <c r="B15" s="8" t="s">
        <v>173</v>
      </c>
      <c r="C15" s="8" t="s">
        <v>174</v>
      </c>
      <c r="D15" s="8" t="s">
        <v>175</v>
      </c>
      <c r="E15" s="18">
        <v>36556</v>
      </c>
      <c r="F15" s="10" t="str">
        <f t="shared" si="318"/>
        <v/>
      </c>
      <c r="G15" s="19" t="str">
        <f t="shared" si="318"/>
        <v/>
      </c>
      <c r="H15" s="19" t="str">
        <f t="shared" si="318"/>
        <v/>
      </c>
      <c r="I15" s="19" t="str">
        <f t="shared" si="318"/>
        <v/>
      </c>
      <c r="J15" s="19" t="str">
        <f t="shared" si="318"/>
        <v/>
      </c>
      <c r="K15" s="19" t="str">
        <f t="shared" si="318"/>
        <v/>
      </c>
      <c r="L15" s="19" t="str">
        <f t="shared" si="318"/>
        <v/>
      </c>
      <c r="M15" s="8"/>
      <c r="N15" s="8"/>
      <c r="O15" s="9"/>
      <c r="P15" s="8">
        <f t="shared" si="315"/>
        <v>1</v>
      </c>
      <c r="Q15" s="109">
        <f>IF(SUM(S15:XFD15) &gt; 0, SUM(S15:XFD15) / $P$36 * 100, "")</f>
        <v>2.0408163265306123</v>
      </c>
      <c r="R15" s="133" t="str">
        <f t="shared" si="317"/>
        <v>-8</v>
      </c>
      <c r="S15" s="7">
        <v>1</v>
      </c>
      <c r="Z15" s="7"/>
      <c r="AG15" s="7"/>
      <c r="AN15" s="7"/>
      <c r="AU15" s="7"/>
      <c r="BB15" s="7"/>
      <c r="BI15" s="7"/>
      <c r="BP15" s="7"/>
      <c r="BX15" s="96"/>
      <c r="BY15" s="79"/>
      <c r="CG15" s="95" t="s">
        <v>365</v>
      </c>
      <c r="CH15" s="80" t="s">
        <v>368</v>
      </c>
      <c r="CP15" s="99" t="s">
        <v>365</v>
      </c>
      <c r="CQ15" s="80" t="s">
        <v>367</v>
      </c>
      <c r="CY15" s="99" t="s">
        <v>365</v>
      </c>
      <c r="CZ15" s="80" t="s">
        <v>364</v>
      </c>
      <c r="DH15" s="99" t="s">
        <v>365</v>
      </c>
      <c r="DI15" s="80" t="s">
        <v>367</v>
      </c>
      <c r="DQ15" s="99" t="s">
        <v>365</v>
      </c>
      <c r="DR15" s="80" t="s">
        <v>367</v>
      </c>
      <c r="DZ15" s="95" t="s">
        <v>365</v>
      </c>
      <c r="EA15" s="80" t="s">
        <v>364</v>
      </c>
      <c r="EI15" s="99" t="s">
        <v>365</v>
      </c>
      <c r="EJ15" s="80" t="s">
        <v>365</v>
      </c>
      <c r="EN15" s="95" t="s">
        <v>399</v>
      </c>
      <c r="ER15" s="99" t="s">
        <v>365</v>
      </c>
      <c r="ES15" s="80" t="s">
        <v>367</v>
      </c>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461</v>
      </c>
      <c r="B16" s="8" t="s">
        <v>231</v>
      </c>
      <c r="C16" s="8" t="s">
        <v>233</v>
      </c>
      <c r="D16" s="8" t="s">
        <v>232</v>
      </c>
      <c r="E16" s="18">
        <v>38679</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c r="P16" s="8">
        <f t="shared" si="315"/>
        <v>12</v>
      </c>
      <c r="Q16" s="109">
        <f>IF(SUM(S16:XFD16) &gt; 0, SUM(S16:XFD16) / $P$36 * 100, "")</f>
        <v>24.489795918367346</v>
      </c>
      <c r="R16" s="133" t="str">
        <f t="shared" si="317"/>
        <v>-39</v>
      </c>
      <c r="S16" s="7"/>
      <c r="Z16" s="7"/>
      <c r="AG16" s="7"/>
      <c r="AN16" s="7"/>
      <c r="AU16" s="7"/>
      <c r="BB16" s="7"/>
      <c r="BI16" s="7"/>
      <c r="BP16" s="7"/>
      <c r="BX16" s="96">
        <v>5</v>
      </c>
      <c r="BY16" s="80" t="s">
        <v>369</v>
      </c>
      <c r="CG16" s="95" t="s">
        <v>365</v>
      </c>
      <c r="CH16" s="80" t="s">
        <v>369</v>
      </c>
      <c r="CP16" s="95" t="s">
        <v>365</v>
      </c>
      <c r="CQ16" s="80" t="s">
        <v>369</v>
      </c>
      <c r="CY16" s="99" t="s">
        <v>365</v>
      </c>
      <c r="CZ16" s="80" t="s">
        <v>366</v>
      </c>
      <c r="DH16" s="99" t="s">
        <v>365</v>
      </c>
      <c r="DI16" s="80" t="s">
        <v>366</v>
      </c>
      <c r="DQ16" s="99" t="s">
        <v>365</v>
      </c>
      <c r="DR16" s="80" t="s">
        <v>366</v>
      </c>
      <c r="DZ16" s="95">
        <v>1</v>
      </c>
      <c r="EA16" s="80" t="s">
        <v>394</v>
      </c>
      <c r="EB16">
        <v>1</v>
      </c>
      <c r="EC16">
        <v>1</v>
      </c>
      <c r="EE16">
        <v>1</v>
      </c>
      <c r="EF16">
        <v>1</v>
      </c>
      <c r="EI16" s="99" t="s">
        <v>365</v>
      </c>
      <c r="EJ16" s="80" t="s">
        <v>365</v>
      </c>
      <c r="EK16">
        <v>1</v>
      </c>
      <c r="EL16">
        <v>1</v>
      </c>
      <c r="EN16" s="95" t="s">
        <v>488</v>
      </c>
      <c r="ER16" s="99" t="s">
        <v>365</v>
      </c>
      <c r="ES16" s="80" t="s">
        <v>367</v>
      </c>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125</v>
      </c>
      <c r="B17" s="8" t="s">
        <v>124</v>
      </c>
      <c r="C17" s="8" t="s">
        <v>158</v>
      </c>
      <c r="D17" s="8" t="s">
        <v>123</v>
      </c>
      <c r="E17" s="18">
        <v>38491</v>
      </c>
      <c r="F17" s="10">
        <f t="shared" si="318"/>
        <v>1</v>
      </c>
      <c r="G17" s="19">
        <f t="shared" si="318"/>
        <v>1</v>
      </c>
      <c r="H17" s="19" t="str">
        <f t="shared" si="318"/>
        <v/>
      </c>
      <c r="I17" s="19" t="str">
        <f t="shared" si="318"/>
        <v/>
      </c>
      <c r="J17" s="19" t="str">
        <f t="shared" si="318"/>
        <v/>
      </c>
      <c r="K17" s="19" t="str">
        <f t="shared" si="318"/>
        <v/>
      </c>
      <c r="L17" s="19" t="str">
        <f t="shared" si="318"/>
        <v/>
      </c>
      <c r="M17" s="8"/>
      <c r="N17" s="8">
        <v>1</v>
      </c>
      <c r="O17" s="9">
        <v>1</v>
      </c>
      <c r="P17" s="8">
        <f t="shared" si="315"/>
        <v>37</v>
      </c>
      <c r="Q17" s="109">
        <f>IF(SUM(S17:XFD17) &gt; 0, SUM(S17:XFD17) / $P$36 * 100, "")</f>
        <v>75.510204081632651</v>
      </c>
      <c r="R17" s="133" t="str">
        <f t="shared" si="31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379</v>
      </c>
      <c r="BY17" s="80" t="s">
        <v>365</v>
      </c>
      <c r="CC17">
        <v>1</v>
      </c>
      <c r="CG17" s="95" t="s">
        <v>381</v>
      </c>
      <c r="CH17" s="80" t="s">
        <v>364</v>
      </c>
      <c r="CL17">
        <v>1</v>
      </c>
      <c r="CP17" s="99" t="s">
        <v>365</v>
      </c>
      <c r="CQ17" s="80" t="s">
        <v>368</v>
      </c>
      <c r="CS17">
        <v>1</v>
      </c>
      <c r="CU17">
        <v>1</v>
      </c>
      <c r="CV17">
        <v>1</v>
      </c>
      <c r="CY17" s="99" t="s">
        <v>365</v>
      </c>
      <c r="CZ17" s="80" t="s">
        <v>364</v>
      </c>
      <c r="DH17" s="99" t="s">
        <v>365</v>
      </c>
      <c r="DI17" s="80" t="s">
        <v>366</v>
      </c>
      <c r="DK17">
        <v>1</v>
      </c>
      <c r="DM17">
        <v>1</v>
      </c>
      <c r="DN17">
        <v>1</v>
      </c>
      <c r="DQ17" s="99" t="s">
        <v>365</v>
      </c>
      <c r="DR17" s="80" t="s">
        <v>364</v>
      </c>
      <c r="DT17">
        <v>1</v>
      </c>
      <c r="DV17">
        <v>1</v>
      </c>
      <c r="DW17">
        <v>1</v>
      </c>
      <c r="DZ17" s="95" t="s">
        <v>365</v>
      </c>
      <c r="EA17" s="80" t="s">
        <v>364</v>
      </c>
      <c r="EC17">
        <v>1</v>
      </c>
      <c r="EE17">
        <v>1</v>
      </c>
      <c r="EF17">
        <v>1</v>
      </c>
      <c r="EI17" s="99" t="s">
        <v>365</v>
      </c>
      <c r="EJ17" s="80" t="s">
        <v>364</v>
      </c>
      <c r="EK17">
        <v>1</v>
      </c>
      <c r="EL17">
        <v>1</v>
      </c>
      <c r="EN17" s="95" t="s">
        <v>488</v>
      </c>
      <c r="ER17" s="99" t="s">
        <v>365</v>
      </c>
      <c r="ES17" s="80" t="s">
        <v>367</v>
      </c>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80</v>
      </c>
      <c r="B18" s="8"/>
      <c r="C18" s="8" t="s">
        <v>160</v>
      </c>
      <c r="D18" s="8" t="s">
        <v>122</v>
      </c>
      <c r="E18" s="18">
        <v>38655</v>
      </c>
      <c r="F18" s="10">
        <f t="shared" si="318"/>
        <v>1</v>
      </c>
      <c r="G18" s="19">
        <f t="shared" si="318"/>
        <v>1</v>
      </c>
      <c r="H18" s="19" t="str">
        <f t="shared" si="318"/>
        <v/>
      </c>
      <c r="I18" s="19" t="str">
        <f t="shared" si="318"/>
        <v/>
      </c>
      <c r="J18" s="19" t="str">
        <f t="shared" si="318"/>
        <v/>
      </c>
      <c r="K18" s="19" t="str">
        <f t="shared" si="318"/>
        <v/>
      </c>
      <c r="L18" s="19" t="str">
        <f t="shared" si="318"/>
        <v/>
      </c>
      <c r="M18" s="8"/>
      <c r="N18" s="8">
        <v>1</v>
      </c>
      <c r="O18" s="9">
        <v>1</v>
      </c>
      <c r="P18" s="8">
        <f t="shared" si="315"/>
        <v>38</v>
      </c>
      <c r="Q18" s="109">
        <f>IF(SUM(S18:XFD18) &gt; 0, SUM(S18:XFD18) / $P$36 * 100, "")</f>
        <v>77.551020408163268</v>
      </c>
      <c r="R18" s="133" t="str">
        <f t="shared" si="317"/>
        <v>-8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381</v>
      </c>
      <c r="BY18" s="80" t="s">
        <v>364</v>
      </c>
      <c r="CC18">
        <v>1</v>
      </c>
      <c r="CG18" s="95" t="s">
        <v>380</v>
      </c>
      <c r="CH18" s="80" t="s">
        <v>363</v>
      </c>
      <c r="CL18">
        <v>1</v>
      </c>
      <c r="CP18" s="99" t="s">
        <v>380</v>
      </c>
      <c r="CQ18" s="80" t="s">
        <v>363</v>
      </c>
      <c r="CV18">
        <v>1</v>
      </c>
      <c r="CY18" s="99" t="s">
        <v>365</v>
      </c>
      <c r="CZ18" s="80" t="s">
        <v>394</v>
      </c>
      <c r="DB18">
        <v>1</v>
      </c>
      <c r="DH18" s="99" t="s">
        <v>365</v>
      </c>
      <c r="DI18" s="80" t="s">
        <v>394</v>
      </c>
      <c r="DK18">
        <v>1</v>
      </c>
      <c r="DM18">
        <v>1</v>
      </c>
      <c r="DN18">
        <v>1</v>
      </c>
      <c r="DQ18" s="99" t="s">
        <v>365</v>
      </c>
      <c r="DR18" s="80" t="s">
        <v>364</v>
      </c>
      <c r="DT18" t="s">
        <v>414</v>
      </c>
      <c r="DW18">
        <v>1</v>
      </c>
      <c r="DZ18" s="95">
        <v>8</v>
      </c>
      <c r="EA18" s="80" t="s">
        <v>381</v>
      </c>
      <c r="EB18">
        <v>1</v>
      </c>
      <c r="EC18">
        <v>1</v>
      </c>
      <c r="EE18">
        <v>1</v>
      </c>
      <c r="EI18" s="99" t="s">
        <v>365</v>
      </c>
      <c r="EJ18" s="80" t="s">
        <v>364</v>
      </c>
      <c r="EK18">
        <v>1</v>
      </c>
      <c r="EL18">
        <v>1</v>
      </c>
      <c r="EN18" s="95" t="s">
        <v>488</v>
      </c>
      <c r="ER18" s="99" t="s">
        <v>365</v>
      </c>
      <c r="ES18" s="80" t="s">
        <v>367</v>
      </c>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155</v>
      </c>
      <c r="B19" s="8"/>
      <c r="C19" s="8" t="s">
        <v>156</v>
      </c>
      <c r="D19" s="8" t="s">
        <v>139</v>
      </c>
      <c r="E19" s="18">
        <v>37863</v>
      </c>
      <c r="F19" s="10">
        <f t="shared" si="318"/>
        <v>1</v>
      </c>
      <c r="G19" s="19" t="str">
        <f t="shared" si="318"/>
        <v/>
      </c>
      <c r="H19" s="19" t="str">
        <f t="shared" si="318"/>
        <v/>
      </c>
      <c r="I19" s="19" t="str">
        <f t="shared" si="318"/>
        <v/>
      </c>
      <c r="J19" s="19" t="str">
        <f t="shared" si="318"/>
        <v/>
      </c>
      <c r="K19" s="19" t="str">
        <f t="shared" si="318"/>
        <v/>
      </c>
      <c r="L19" s="19" t="str">
        <f t="shared" si="318"/>
        <v/>
      </c>
      <c r="M19" s="8"/>
      <c r="N19" s="8">
        <v>1</v>
      </c>
      <c r="O19" s="9">
        <v>1</v>
      </c>
      <c r="P19" s="8">
        <f t="shared" si="315"/>
        <v>37</v>
      </c>
      <c r="Q19" s="109">
        <f>IF(SUM(S19:XFD19) &gt; 0, SUM(S19:XFD19) / $P$36 * 100, "")</f>
        <v>75.510204081632651</v>
      </c>
      <c r="R19" s="133" t="str">
        <f t="shared" si="317"/>
        <v>-5</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379</v>
      </c>
      <c r="BY19" s="80" t="s">
        <v>365</v>
      </c>
      <c r="CG19" s="95" t="s">
        <v>385</v>
      </c>
      <c r="CH19" s="80" t="s">
        <v>384</v>
      </c>
      <c r="CO19">
        <v>1</v>
      </c>
      <c r="CP19" s="99" t="s">
        <v>380</v>
      </c>
      <c r="CQ19" s="80" t="s">
        <v>363</v>
      </c>
      <c r="CS19">
        <v>1</v>
      </c>
      <c r="CU19">
        <v>1</v>
      </c>
      <c r="CV19">
        <v>1</v>
      </c>
      <c r="CX19">
        <v>1</v>
      </c>
      <c r="CY19" s="99" t="s">
        <v>381</v>
      </c>
      <c r="CZ19" s="80" t="s">
        <v>381</v>
      </c>
      <c r="DB19">
        <v>1</v>
      </c>
      <c r="DE19">
        <v>1</v>
      </c>
      <c r="DH19" s="99" t="s">
        <v>381</v>
      </c>
      <c r="DI19" s="80" t="s">
        <v>385</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t="s">
        <v>488</v>
      </c>
      <c r="ER19" s="99" t="s">
        <v>365</v>
      </c>
      <c r="ES19" s="80" t="s">
        <v>367</v>
      </c>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80</v>
      </c>
      <c r="B20" s="8"/>
      <c r="C20" s="8" t="s">
        <v>143</v>
      </c>
      <c r="D20" s="8" t="s">
        <v>139</v>
      </c>
      <c r="E20" s="18">
        <v>37863</v>
      </c>
      <c r="F20" s="10">
        <f t="shared" si="318"/>
        <v>1</v>
      </c>
      <c r="G20" s="19" t="str">
        <f t="shared" si="318"/>
        <v/>
      </c>
      <c r="H20" s="19" t="str">
        <f t="shared" si="318"/>
        <v/>
      </c>
      <c r="I20" s="19" t="str">
        <f t="shared" si="318"/>
        <v/>
      </c>
      <c r="J20" s="19" t="str">
        <f t="shared" si="318"/>
        <v/>
      </c>
      <c r="K20" s="19" t="str">
        <f t="shared" si="318"/>
        <v/>
      </c>
      <c r="L20" s="19" t="str">
        <f t="shared" si="318"/>
        <v/>
      </c>
      <c r="M20" s="8"/>
      <c r="N20" s="8">
        <v>1</v>
      </c>
      <c r="O20" s="9">
        <v>1</v>
      </c>
      <c r="P20" s="8">
        <f t="shared" si="315"/>
        <v>35</v>
      </c>
      <c r="Q20" s="109">
        <f>IF(SUM(S20:XFD20) &gt; 0, SUM(S20:XFD20) / $P$36 * 100, "")</f>
        <v>71.428571428571431</v>
      </c>
      <c r="R20" s="133" t="str">
        <f t="shared" si="317"/>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379</v>
      </c>
      <c r="BY20" s="80" t="s">
        <v>365</v>
      </c>
      <c r="CG20" s="95" t="s">
        <v>365</v>
      </c>
      <c r="CH20" s="80" t="s">
        <v>369</v>
      </c>
      <c r="CO20">
        <v>1</v>
      </c>
      <c r="CP20" s="99" t="s">
        <v>365</v>
      </c>
      <c r="CQ20" s="80" t="s">
        <v>368</v>
      </c>
      <c r="CS20">
        <v>1</v>
      </c>
      <c r="CU20">
        <v>1</v>
      </c>
      <c r="CV20">
        <v>1</v>
      </c>
      <c r="CX20">
        <v>1</v>
      </c>
      <c r="CY20" s="99" t="s">
        <v>365</v>
      </c>
      <c r="CZ20" s="80" t="s">
        <v>365</v>
      </c>
      <c r="DB20">
        <v>1</v>
      </c>
      <c r="DE20">
        <v>1</v>
      </c>
      <c r="DH20" s="99" t="s">
        <v>365</v>
      </c>
      <c r="DI20" s="80" t="s">
        <v>363</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95" t="s">
        <v>488</v>
      </c>
      <c r="ER20" s="99" t="s">
        <v>365</v>
      </c>
      <c r="ES20" s="80" t="s">
        <v>367</v>
      </c>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x14ac:dyDescent="0.25">
      <c r="A21" s="8" t="s">
        <v>142</v>
      </c>
      <c r="B21" s="8" t="s">
        <v>141</v>
      </c>
      <c r="C21" s="8" t="s">
        <v>140</v>
      </c>
      <c r="D21" s="8" t="s">
        <v>139</v>
      </c>
      <c r="E21" s="18">
        <v>38954</v>
      </c>
      <c r="F21" s="10">
        <f t="shared" si="318"/>
        <v>1</v>
      </c>
      <c r="G21" s="19">
        <f t="shared" si="318"/>
        <v>1</v>
      </c>
      <c r="H21" s="19">
        <f t="shared" si="318"/>
        <v>1</v>
      </c>
      <c r="I21" s="19" t="str">
        <f t="shared" si="318"/>
        <v/>
      </c>
      <c r="J21" s="19" t="str">
        <f t="shared" si="318"/>
        <v/>
      </c>
      <c r="K21" s="19" t="str">
        <f t="shared" si="318"/>
        <v/>
      </c>
      <c r="L21" s="19" t="str">
        <f t="shared" si="318"/>
        <v/>
      </c>
      <c r="M21" s="8">
        <v>1</v>
      </c>
      <c r="N21" s="8">
        <v>1</v>
      </c>
      <c r="O21" s="9"/>
      <c r="P21" s="8">
        <f t="shared" si="315"/>
        <v>36</v>
      </c>
      <c r="Q21" s="109">
        <f>IF(SUM(S21:XFD21) &gt; 0, SUM(S21:XFD21) / $P$36 * 100, "")</f>
        <v>73.469387755102048</v>
      </c>
      <c r="R21" s="133" t="str">
        <f t="shared" si="317"/>
        <v>-12</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379</v>
      </c>
      <c r="BY21" s="80" t="s">
        <v>365</v>
      </c>
      <c r="CG21" s="95" t="s">
        <v>365</v>
      </c>
      <c r="CH21" s="80" t="s">
        <v>369</v>
      </c>
      <c r="CO21">
        <v>1</v>
      </c>
      <c r="CP21" s="99" t="s">
        <v>365</v>
      </c>
      <c r="CQ21" s="80" t="s">
        <v>368</v>
      </c>
      <c r="CS21">
        <v>1</v>
      </c>
      <c r="CU21">
        <v>1</v>
      </c>
      <c r="CV21">
        <v>1</v>
      </c>
      <c r="CX21">
        <v>1</v>
      </c>
      <c r="CY21" s="99" t="s">
        <v>381</v>
      </c>
      <c r="CZ21" s="80" t="s">
        <v>381</v>
      </c>
      <c r="DB21">
        <v>1</v>
      </c>
      <c r="DE21">
        <v>1</v>
      </c>
      <c r="DH21" s="99" t="s">
        <v>420</v>
      </c>
      <c r="DI21" s="80" t="s">
        <v>385</v>
      </c>
      <c r="DK21">
        <v>1</v>
      </c>
      <c r="DM21">
        <v>1</v>
      </c>
      <c r="DN21">
        <v>1</v>
      </c>
      <c r="DQ21" s="99" t="s">
        <v>399</v>
      </c>
      <c r="DR21" s="80" t="s">
        <v>365</v>
      </c>
      <c r="DT21" t="s">
        <v>389</v>
      </c>
      <c r="DW21">
        <v>1</v>
      </c>
      <c r="DZ21" s="95" t="s">
        <v>365</v>
      </c>
      <c r="EA21" s="80" t="s">
        <v>394</v>
      </c>
      <c r="EB21" t="s">
        <v>389</v>
      </c>
      <c r="EE21">
        <v>1</v>
      </c>
      <c r="EI21" s="99" t="s">
        <v>365</v>
      </c>
      <c r="EJ21" s="80" t="s">
        <v>394</v>
      </c>
      <c r="EK21">
        <v>1</v>
      </c>
      <c r="EL21">
        <v>1</v>
      </c>
      <c r="EN21" s="138" t="s">
        <v>407</v>
      </c>
      <c r="ER21" s="99" t="s">
        <v>365</v>
      </c>
      <c r="ES21" s="80" t="s">
        <v>367</v>
      </c>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hidden="1" x14ac:dyDescent="0.25">
      <c r="A22" s="8" t="s">
        <v>162</v>
      </c>
      <c r="B22" s="8" t="s">
        <v>185</v>
      </c>
      <c r="C22" s="8" t="s">
        <v>187</v>
      </c>
      <c r="D22" s="8" t="s">
        <v>186</v>
      </c>
      <c r="E22" s="18"/>
      <c r="F22" s="10" t="str">
        <f t="shared" si="318"/>
        <v/>
      </c>
      <c r="G22" s="19" t="str">
        <f t="shared" si="318"/>
        <v/>
      </c>
      <c r="H22" s="19" t="str">
        <f t="shared" si="318"/>
        <v/>
      </c>
      <c r="I22" s="19" t="str">
        <f t="shared" si="318"/>
        <v/>
      </c>
      <c r="J22" s="19" t="str">
        <f t="shared" si="318"/>
        <v/>
      </c>
      <c r="K22" s="19" t="str">
        <f t="shared" si="318"/>
        <v/>
      </c>
      <c r="L22" s="19" t="str">
        <f t="shared" si="318"/>
        <v/>
      </c>
      <c r="M22" s="8"/>
      <c r="N22" s="8">
        <v>1</v>
      </c>
      <c r="O22" s="9"/>
      <c r="P22" s="8">
        <f t="shared" si="315"/>
        <v>1</v>
      </c>
      <c r="Q22" s="109">
        <f>IF(SUM(S22:XFD22) &gt; 0, SUM(S22:XFD22) / $P$36 * 100, "")</f>
        <v>2.0408163265306123</v>
      </c>
      <c r="R22" s="133" t="str">
        <f t="shared" si="317"/>
        <v>-15</v>
      </c>
      <c r="S22" s="7">
        <v>1</v>
      </c>
      <c r="Z22" s="7"/>
      <c r="AG22" s="7"/>
      <c r="AN22" s="7"/>
      <c r="AU22" s="7"/>
      <c r="BB22" s="7"/>
      <c r="BI22" s="7"/>
      <c r="BP22" s="7"/>
      <c r="BX22" s="95" t="s">
        <v>365</v>
      </c>
      <c r="BY22" s="80" t="s">
        <v>368</v>
      </c>
      <c r="CG22" s="95" t="s">
        <v>365</v>
      </c>
      <c r="CH22" s="80" t="s">
        <v>369</v>
      </c>
      <c r="CP22" s="99" t="s">
        <v>365</v>
      </c>
      <c r="CQ22" s="80" t="s">
        <v>367</v>
      </c>
      <c r="CY22" s="99" t="s">
        <v>365</v>
      </c>
      <c r="CZ22" s="80" t="s">
        <v>367</v>
      </c>
      <c r="DH22" s="99" t="s">
        <v>365</v>
      </c>
      <c r="DI22" s="80" t="s">
        <v>367</v>
      </c>
      <c r="DQ22" s="99" t="s">
        <v>365</v>
      </c>
      <c r="DR22" s="80" t="s">
        <v>367</v>
      </c>
      <c r="DZ22" s="95" t="s">
        <v>365</v>
      </c>
      <c r="EA22" s="80" t="s">
        <v>364</v>
      </c>
      <c r="EI22" s="99" t="s">
        <v>365</v>
      </c>
      <c r="EJ22" s="80" t="s">
        <v>365</v>
      </c>
      <c r="EN22" s="138"/>
      <c r="ER22" s="99" t="s">
        <v>365</v>
      </c>
      <c r="ES22" s="80" t="s">
        <v>367</v>
      </c>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138</v>
      </c>
      <c r="B23" s="8" t="s">
        <v>137</v>
      </c>
      <c r="C23" s="8" t="s">
        <v>136</v>
      </c>
      <c r="D23" s="8" t="s">
        <v>135</v>
      </c>
      <c r="E23" s="18">
        <v>39155</v>
      </c>
      <c r="F23" s="10">
        <f t="shared" si="318"/>
        <v>1</v>
      </c>
      <c r="G23" s="19">
        <f t="shared" si="318"/>
        <v>1</v>
      </c>
      <c r="H23" s="19">
        <f t="shared" si="318"/>
        <v>1</v>
      </c>
      <c r="I23" s="19">
        <f t="shared" si="318"/>
        <v>1</v>
      </c>
      <c r="J23" s="19" t="str">
        <f t="shared" si="318"/>
        <v/>
      </c>
      <c r="K23" s="19" t="str">
        <f t="shared" si="318"/>
        <v/>
      </c>
      <c r="L23" s="19" t="str">
        <f t="shared" si="318"/>
        <v/>
      </c>
      <c r="M23" s="8">
        <v>1</v>
      </c>
      <c r="N23" s="8">
        <v>1</v>
      </c>
      <c r="O23" s="9"/>
      <c r="P23" s="8">
        <f t="shared" si="315"/>
        <v>30</v>
      </c>
      <c r="Q23" s="109">
        <f>IF(SUM(S23:XFD23) &gt; 0, SUM(S23:XFD23) / $P$36 * 100, "")</f>
        <v>61.224489795918366</v>
      </c>
      <c r="R23" s="133" t="str">
        <f t="shared" si="317"/>
        <v>-29</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379</v>
      </c>
      <c r="BY23" s="80" t="s">
        <v>365</v>
      </c>
      <c r="CG23" s="95" t="s">
        <v>365</v>
      </c>
      <c r="CH23" s="80" t="s">
        <v>369</v>
      </c>
      <c r="CP23" s="99" t="s">
        <v>365</v>
      </c>
      <c r="CQ23" s="80" t="s">
        <v>369</v>
      </c>
      <c r="CY23" s="99" t="s">
        <v>365</v>
      </c>
      <c r="CZ23" s="80" t="s">
        <v>366</v>
      </c>
      <c r="DH23" s="99" t="s">
        <v>365</v>
      </c>
      <c r="DI23" s="80" t="s">
        <v>366</v>
      </c>
      <c r="DN23">
        <v>1</v>
      </c>
      <c r="DQ23" s="99" t="s">
        <v>365</v>
      </c>
      <c r="DR23" s="80" t="s">
        <v>394</v>
      </c>
      <c r="DV23">
        <v>1</v>
      </c>
      <c r="DW23">
        <v>1</v>
      </c>
      <c r="DZ23" s="95" t="s">
        <v>365</v>
      </c>
      <c r="EA23" s="80" t="s">
        <v>363</v>
      </c>
      <c r="EB23">
        <v>1</v>
      </c>
      <c r="EC23">
        <v>1</v>
      </c>
      <c r="EE23">
        <v>1</v>
      </c>
      <c r="EF23">
        <v>1</v>
      </c>
      <c r="EI23" s="99" t="s">
        <v>365</v>
      </c>
      <c r="EJ23" s="80" t="s">
        <v>365</v>
      </c>
      <c r="EN23" s="138" t="s">
        <v>407</v>
      </c>
      <c r="ER23" s="99" t="s">
        <v>365</v>
      </c>
      <c r="ES23" s="80" t="s">
        <v>367</v>
      </c>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134</v>
      </c>
      <c r="B24" s="8" t="s">
        <v>133</v>
      </c>
      <c r="C24" s="8" t="s">
        <v>170</v>
      </c>
      <c r="D24" s="8" t="s">
        <v>171</v>
      </c>
      <c r="E24" s="18">
        <v>37177</v>
      </c>
      <c r="F24" s="10" t="str">
        <f t="shared" si="318"/>
        <v/>
      </c>
      <c r="G24" s="19" t="str">
        <f t="shared" si="318"/>
        <v/>
      </c>
      <c r="H24" s="19" t="str">
        <f t="shared" si="318"/>
        <v/>
      </c>
      <c r="I24" s="19" t="str">
        <f t="shared" si="318"/>
        <v/>
      </c>
      <c r="J24" s="19" t="str">
        <f t="shared" si="318"/>
        <v/>
      </c>
      <c r="K24" s="19" t="str">
        <f t="shared" si="318"/>
        <v/>
      </c>
      <c r="L24" s="19" t="str">
        <f t="shared" si="318"/>
        <v/>
      </c>
      <c r="M24" s="8"/>
      <c r="N24" s="8"/>
      <c r="O24" s="9">
        <v>1</v>
      </c>
      <c r="P24" s="8">
        <f t="shared" si="315"/>
        <v>34</v>
      </c>
      <c r="Q24" s="109">
        <f>IF(SUM(S24:XFD24) &gt; 0, SUM(S24:XFD24) / $P$36 * 100, "")</f>
        <v>69.387755102040813</v>
      </c>
      <c r="R24" s="133" t="str">
        <f t="shared" si="317"/>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393</v>
      </c>
      <c r="BY24" s="80" t="s">
        <v>363</v>
      </c>
      <c r="CC24">
        <v>1</v>
      </c>
      <c r="CF24">
        <v>1</v>
      </c>
      <c r="CG24" s="95" t="s">
        <v>385</v>
      </c>
      <c r="CH24" s="80" t="s">
        <v>364</v>
      </c>
      <c r="CL24">
        <v>1</v>
      </c>
      <c r="CO24">
        <v>1</v>
      </c>
      <c r="CP24" s="99" t="s">
        <v>381</v>
      </c>
      <c r="CQ24" s="80" t="s">
        <v>399</v>
      </c>
      <c r="CS24">
        <v>1</v>
      </c>
      <c r="CU24">
        <v>1</v>
      </c>
      <c r="CV24">
        <v>1</v>
      </c>
      <c r="CX24">
        <v>1</v>
      </c>
      <c r="CY24" s="99" t="s">
        <v>365</v>
      </c>
      <c r="CZ24" s="80" t="s">
        <v>365</v>
      </c>
      <c r="DB24">
        <v>1</v>
      </c>
      <c r="DE24">
        <v>1</v>
      </c>
      <c r="DH24" s="99" t="s">
        <v>365</v>
      </c>
      <c r="DI24" s="80" t="s">
        <v>363</v>
      </c>
      <c r="DK24">
        <v>1</v>
      </c>
      <c r="DN24">
        <v>1</v>
      </c>
      <c r="DQ24" s="99" t="s">
        <v>365</v>
      </c>
      <c r="DR24" s="80" t="s">
        <v>363</v>
      </c>
      <c r="DT24">
        <v>1</v>
      </c>
      <c r="DV24">
        <v>1</v>
      </c>
      <c r="DW24">
        <v>1</v>
      </c>
      <c r="DZ24" s="95" t="s">
        <v>365</v>
      </c>
      <c r="EA24" s="80" t="s">
        <v>364</v>
      </c>
      <c r="EB24">
        <v>1</v>
      </c>
      <c r="EC24">
        <v>1</v>
      </c>
      <c r="EE24">
        <v>1</v>
      </c>
      <c r="EF24">
        <v>1</v>
      </c>
      <c r="EI24" s="99" t="s">
        <v>365</v>
      </c>
      <c r="EJ24" s="80" t="s">
        <v>365</v>
      </c>
      <c r="EK24">
        <v>1</v>
      </c>
      <c r="EL24">
        <v>1</v>
      </c>
      <c r="EN24" s="95" t="s">
        <v>487</v>
      </c>
      <c r="ER24" s="99" t="s">
        <v>365</v>
      </c>
      <c r="ES24" s="80" t="s">
        <v>367</v>
      </c>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125</v>
      </c>
      <c r="B25" s="8" t="s">
        <v>167</v>
      </c>
      <c r="C25" s="8" t="s">
        <v>168</v>
      </c>
      <c r="D25" s="8" t="s">
        <v>169</v>
      </c>
      <c r="E25" s="18">
        <v>36870</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f t="shared" si="315"/>
        <v>40</v>
      </c>
      <c r="Q25" s="109">
        <f>IF(SUM(S25:XFD25) &gt; 0, SUM(S25:XFD25) / $P$36 * 100, "")</f>
        <v>81.632653061224488</v>
      </c>
      <c r="R25" s="133" t="str">
        <f t="shared" si="317"/>
        <v>-13</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365</v>
      </c>
      <c r="BY25" s="80" t="s">
        <v>369</v>
      </c>
      <c r="CC25">
        <v>1</v>
      </c>
      <c r="CF25">
        <v>1</v>
      </c>
      <c r="CG25" s="95" t="s">
        <v>393</v>
      </c>
      <c r="CH25" s="80" t="s">
        <v>363</v>
      </c>
      <c r="CJ25" s="34"/>
      <c r="CL25">
        <v>1</v>
      </c>
      <c r="CO25">
        <v>1</v>
      </c>
      <c r="CP25" s="99" t="s">
        <v>380</v>
      </c>
      <c r="CQ25" s="80" t="s">
        <v>365</v>
      </c>
      <c r="CS25">
        <v>1</v>
      </c>
      <c r="CU25">
        <v>1</v>
      </c>
      <c r="CV25">
        <v>1</v>
      </c>
      <c r="CX25">
        <v>1</v>
      </c>
      <c r="CY25" s="99" t="s">
        <v>365</v>
      </c>
      <c r="CZ25" s="80" t="s">
        <v>365</v>
      </c>
      <c r="DB25">
        <v>1</v>
      </c>
      <c r="DE25">
        <v>1</v>
      </c>
      <c r="DG25">
        <v>1</v>
      </c>
      <c r="DH25" s="99" t="s">
        <v>365</v>
      </c>
      <c r="DI25" s="80" t="s">
        <v>364</v>
      </c>
      <c r="DK25">
        <v>1</v>
      </c>
      <c r="DM25">
        <v>1</v>
      </c>
      <c r="DN25">
        <v>1</v>
      </c>
      <c r="DQ25" s="99" t="s">
        <v>365</v>
      </c>
      <c r="DR25" s="80" t="s">
        <v>364</v>
      </c>
      <c r="DT25">
        <v>1</v>
      </c>
      <c r="DV25">
        <v>1</v>
      </c>
      <c r="DW25">
        <v>1</v>
      </c>
      <c r="DZ25" s="95" t="s">
        <v>365</v>
      </c>
      <c r="EA25" s="80" t="s">
        <v>364</v>
      </c>
      <c r="EB25">
        <v>1</v>
      </c>
      <c r="EC25">
        <v>1</v>
      </c>
      <c r="EE25">
        <v>1</v>
      </c>
      <c r="EF25">
        <v>1</v>
      </c>
      <c r="EI25" s="99" t="s">
        <v>365</v>
      </c>
      <c r="EJ25" s="80" t="s">
        <v>365</v>
      </c>
      <c r="EK25">
        <v>1</v>
      </c>
      <c r="EL25">
        <v>1</v>
      </c>
      <c r="EN25" s="95" t="s">
        <v>488</v>
      </c>
      <c r="ER25" s="99" t="s">
        <v>365</v>
      </c>
      <c r="ES25" s="80" t="s">
        <v>367</v>
      </c>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x14ac:dyDescent="0.25">
      <c r="A26" s="8" t="s">
        <v>182</v>
      </c>
      <c r="B26" s="8" t="s">
        <v>183</v>
      </c>
      <c r="C26" s="8" t="s">
        <v>184</v>
      </c>
      <c r="D26" s="8" t="s">
        <v>81</v>
      </c>
      <c r="E26" s="18">
        <v>38054</v>
      </c>
      <c r="F26" s="10">
        <f t="shared" si="318"/>
        <v>1</v>
      </c>
      <c r="G26" s="19">
        <f t="shared" si="318"/>
        <v>1</v>
      </c>
      <c r="H26" s="19" t="str">
        <f t="shared" si="318"/>
        <v/>
      </c>
      <c r="I26" s="19" t="str">
        <f t="shared" si="318"/>
        <v/>
      </c>
      <c r="J26" s="19" t="str">
        <f t="shared" si="318"/>
        <v/>
      </c>
      <c r="K26" s="19" t="str">
        <f t="shared" si="318"/>
        <v/>
      </c>
      <c r="L26" s="19" t="str">
        <f t="shared" si="318"/>
        <v/>
      </c>
      <c r="M26" s="8"/>
      <c r="N26" s="8">
        <v>1</v>
      </c>
      <c r="O26" s="9">
        <v>1</v>
      </c>
      <c r="P26" s="8">
        <f t="shared" si="315"/>
        <v>46</v>
      </c>
      <c r="Q26" s="109">
        <f>IF(SUM(S26:XFD26) &gt; 0, SUM(S26:XFD26) / $P$36 * 100, "")</f>
        <v>93.877551020408163</v>
      </c>
      <c r="R26" s="133" t="str">
        <f t="shared" si="317"/>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393</v>
      </c>
      <c r="BY26" s="80" t="s">
        <v>368</v>
      </c>
      <c r="CF26">
        <v>1</v>
      </c>
      <c r="CG26" s="95" t="s">
        <v>385</v>
      </c>
      <c r="CH26" s="80" t="s">
        <v>394</v>
      </c>
      <c r="CL26">
        <v>1</v>
      </c>
      <c r="CO26">
        <v>1</v>
      </c>
      <c r="CP26" s="99" t="s">
        <v>365</v>
      </c>
      <c r="CQ26" s="80" t="s">
        <v>366</v>
      </c>
      <c r="CS26">
        <v>1</v>
      </c>
      <c r="CU26">
        <v>1</v>
      </c>
      <c r="CV26">
        <v>1</v>
      </c>
      <c r="CX26">
        <v>1</v>
      </c>
      <c r="CY26" s="99" t="s">
        <v>365</v>
      </c>
      <c r="CZ26" s="80" t="s">
        <v>365</v>
      </c>
      <c r="DB26">
        <v>1</v>
      </c>
      <c r="DE26">
        <v>1</v>
      </c>
      <c r="DG26">
        <v>1</v>
      </c>
      <c r="DH26" s="99" t="s">
        <v>365</v>
      </c>
      <c r="DI26" s="80" t="s">
        <v>364</v>
      </c>
      <c r="DK26">
        <v>1</v>
      </c>
      <c r="DP26">
        <v>1</v>
      </c>
      <c r="DQ26" s="99" t="s">
        <v>365</v>
      </c>
      <c r="DR26" s="80" t="s">
        <v>363</v>
      </c>
      <c r="DT26" t="s">
        <v>414</v>
      </c>
      <c r="DW26">
        <v>1</v>
      </c>
      <c r="DZ26" s="95">
        <v>8</v>
      </c>
      <c r="EA26" s="80" t="s">
        <v>381</v>
      </c>
      <c r="EB26">
        <v>1</v>
      </c>
      <c r="EC26">
        <v>1</v>
      </c>
      <c r="EE26">
        <v>1</v>
      </c>
      <c r="EI26" s="99" t="s">
        <v>365</v>
      </c>
      <c r="EJ26" s="80" t="s">
        <v>364</v>
      </c>
      <c r="EK26">
        <v>1</v>
      </c>
      <c r="EL26">
        <v>1</v>
      </c>
      <c r="EN26" s="95" t="s">
        <v>487</v>
      </c>
      <c r="ER26" s="99" t="s">
        <v>365</v>
      </c>
      <c r="ES26" s="80" t="s">
        <v>367</v>
      </c>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hidden="1" x14ac:dyDescent="0.25">
      <c r="A27" s="8" t="s">
        <v>129</v>
      </c>
      <c r="B27" s="8"/>
      <c r="C27" s="8" t="s">
        <v>165</v>
      </c>
      <c r="D27" s="8" t="s">
        <v>166</v>
      </c>
      <c r="E27" s="18">
        <v>36892</v>
      </c>
      <c r="F27" s="10" t="str">
        <f t="shared" si="318"/>
        <v/>
      </c>
      <c r="G27" s="19" t="str">
        <f t="shared" si="318"/>
        <v/>
      </c>
      <c r="H27" s="19" t="str">
        <f t="shared" si="318"/>
        <v/>
      </c>
      <c r="I27" s="19" t="str">
        <f t="shared" si="318"/>
        <v/>
      </c>
      <c r="J27" s="19" t="str">
        <f t="shared" si="318"/>
        <v/>
      </c>
      <c r="K27" s="19" t="str">
        <f t="shared" si="318"/>
        <v/>
      </c>
      <c r="L27" s="19" t="str">
        <f t="shared" si="318"/>
        <v/>
      </c>
      <c r="M27" s="8"/>
      <c r="N27" s="8"/>
      <c r="O27" s="9">
        <v>1</v>
      </c>
      <c r="P27" s="8" t="str">
        <f t="shared" si="315"/>
        <v/>
      </c>
      <c r="Q27" s="109" t="str">
        <f>IF(SUM(S27:XFD27) &gt; 0, SUM(S27:XFD27) / $P$36 * 100, "")</f>
        <v/>
      </c>
      <c r="R27" s="133" t="str">
        <f t="shared" si="317"/>
        <v>-1</v>
      </c>
      <c r="S27" s="7"/>
      <c r="Z27" s="7"/>
      <c r="AG27" s="7"/>
      <c r="AN27" s="7"/>
      <c r="AU27" s="7"/>
      <c r="BB27" s="7"/>
      <c r="BI27" s="7"/>
      <c r="BP27" s="7"/>
      <c r="BX27" s="95" t="s">
        <v>365</v>
      </c>
      <c r="BY27" s="79"/>
      <c r="CG27" s="95" t="s">
        <v>365</v>
      </c>
      <c r="CH27" s="80" t="s">
        <v>367</v>
      </c>
      <c r="CP27" s="99" t="s">
        <v>365</v>
      </c>
      <c r="CQ27" s="80" t="s">
        <v>367</v>
      </c>
      <c r="CY27" s="99" t="s">
        <v>365</v>
      </c>
      <c r="CZ27" s="80" t="s">
        <v>367</v>
      </c>
      <c r="DH27" s="99" t="s">
        <v>365</v>
      </c>
      <c r="DI27" s="80" t="s">
        <v>367</v>
      </c>
      <c r="DQ27" s="96"/>
      <c r="DR27" s="80" t="s">
        <v>367</v>
      </c>
      <c r="DZ27" s="95" t="s">
        <v>365</v>
      </c>
      <c r="EA27" s="80" t="s">
        <v>364</v>
      </c>
      <c r="EI27" s="99" t="s">
        <v>365</v>
      </c>
      <c r="EJ27" s="80" t="s">
        <v>365</v>
      </c>
      <c r="EN27" s="96"/>
      <c r="ER27" s="99" t="s">
        <v>365</v>
      </c>
      <c r="ES27" s="80" t="s">
        <v>496</v>
      </c>
      <c r="EZ27" s="7"/>
      <c r="FG27" s="7"/>
      <c r="FN27" s="7"/>
      <c r="FU27" s="7"/>
      <c r="GB27" s="7"/>
      <c r="GI27" s="7"/>
      <c r="GP27" s="7"/>
      <c r="GW27" s="7"/>
      <c r="HD27" s="7"/>
      <c r="HK27" s="7"/>
      <c r="HR27" s="7"/>
      <c r="HY27" s="7"/>
      <c r="IF27" s="7"/>
      <c r="IM27" s="7"/>
      <c r="IT27" s="7"/>
      <c r="JA27" s="7"/>
      <c r="JH27" s="7"/>
      <c r="JO27" s="7"/>
      <c r="JV27" s="7"/>
      <c r="KC27" s="7"/>
      <c r="KJ27" s="7"/>
      <c r="KQ27" s="7"/>
      <c r="KX27" s="7"/>
      <c r="LE27" s="7"/>
      <c r="LL27" s="7"/>
      <c r="LS27" s="7"/>
      <c r="LZ27" s="7"/>
      <c r="MG27" s="7"/>
      <c r="MN27" s="7"/>
    </row>
    <row r="28" spans="1:352" x14ac:dyDescent="0.25">
      <c r="A28" s="88" t="s">
        <v>132</v>
      </c>
      <c r="B28" s="88"/>
      <c r="C28" s="88" t="s">
        <v>131</v>
      </c>
      <c r="D28" s="88" t="s">
        <v>130</v>
      </c>
      <c r="E28" s="89">
        <v>39280</v>
      </c>
      <c r="F28" s="90">
        <f t="shared" si="318"/>
        <v>1</v>
      </c>
      <c r="G28" s="88">
        <f t="shared" si="318"/>
        <v>1</v>
      </c>
      <c r="H28" s="88">
        <f t="shared" si="318"/>
        <v>1</v>
      </c>
      <c r="I28" s="88">
        <f t="shared" si="318"/>
        <v>1</v>
      </c>
      <c r="J28" s="88" t="str">
        <f t="shared" si="318"/>
        <v/>
      </c>
      <c r="K28" s="88" t="str">
        <f t="shared" si="318"/>
        <v/>
      </c>
      <c r="L28" s="88" t="str">
        <f t="shared" si="318"/>
        <v/>
      </c>
      <c r="M28" s="88">
        <v>1</v>
      </c>
      <c r="N28" s="88">
        <v>1</v>
      </c>
      <c r="O28" s="91"/>
      <c r="P28" s="88">
        <f t="shared" si="315"/>
        <v>24</v>
      </c>
      <c r="Q28" s="110">
        <f>IF(SUM(S28:XFD28) &gt; 0, SUM(S28:XFD28) / $P$36 * 100, "")</f>
        <v>48.979591836734691</v>
      </c>
      <c r="R28" s="134" t="str">
        <f t="shared" si="317"/>
        <v>-38</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365</v>
      </c>
      <c r="BY28" s="94" t="s">
        <v>369</v>
      </c>
      <c r="BZ28" s="93"/>
      <c r="CA28" s="93"/>
      <c r="CB28" s="93"/>
      <c r="CC28" s="93"/>
      <c r="CD28" s="93"/>
      <c r="CE28" s="93"/>
      <c r="CF28" s="93"/>
      <c r="CG28" s="97" t="s">
        <v>365</v>
      </c>
      <c r="CH28" s="94" t="s">
        <v>369</v>
      </c>
      <c r="CI28" s="93"/>
      <c r="CJ28" s="93"/>
      <c r="CK28" s="93"/>
      <c r="CL28" s="93"/>
      <c r="CM28" s="93"/>
      <c r="CN28" s="93"/>
      <c r="CO28" s="93"/>
      <c r="CP28" s="97" t="s">
        <v>365</v>
      </c>
      <c r="CQ28" s="94" t="s">
        <v>369</v>
      </c>
      <c r="CR28" s="93"/>
      <c r="CS28" s="93">
        <v>1</v>
      </c>
      <c r="CT28" s="93"/>
      <c r="CU28" s="93"/>
      <c r="CV28" s="93">
        <v>1</v>
      </c>
      <c r="CW28" s="93"/>
      <c r="CX28" s="93"/>
      <c r="CY28" s="97" t="s">
        <v>365</v>
      </c>
      <c r="CZ28" s="94" t="s">
        <v>363</v>
      </c>
      <c r="DA28" s="93"/>
      <c r="DB28" s="93"/>
      <c r="DC28" s="93"/>
      <c r="DD28" s="93"/>
      <c r="DE28" s="93"/>
      <c r="DF28" s="93"/>
      <c r="DG28" s="93"/>
      <c r="DH28" s="97" t="s">
        <v>365</v>
      </c>
      <c r="DI28" s="94" t="s">
        <v>366</v>
      </c>
      <c r="DJ28" s="93"/>
      <c r="DK28" s="93"/>
      <c r="DL28" s="93"/>
      <c r="DM28" s="93"/>
      <c r="DN28" s="93"/>
      <c r="DO28" s="93"/>
      <c r="DP28" s="93"/>
      <c r="DQ28" s="97" t="s">
        <v>365</v>
      </c>
      <c r="DR28" s="94" t="s">
        <v>366</v>
      </c>
      <c r="DS28" s="93"/>
      <c r="DT28" s="93"/>
      <c r="DU28" s="93"/>
      <c r="DV28" s="93">
        <v>1</v>
      </c>
      <c r="DW28" s="93">
        <v>1</v>
      </c>
      <c r="DX28" s="93"/>
      <c r="DY28" s="93"/>
      <c r="DZ28" s="97" t="s">
        <v>365</v>
      </c>
      <c r="EA28" s="94" t="s">
        <v>363</v>
      </c>
      <c r="EB28" s="93"/>
      <c r="EC28" s="93">
        <v>1</v>
      </c>
      <c r="ED28" s="93"/>
      <c r="EE28" s="93">
        <v>1</v>
      </c>
      <c r="EF28" s="93"/>
      <c r="EG28" s="93"/>
      <c r="EH28" s="93"/>
      <c r="EI28" s="97" t="s">
        <v>365</v>
      </c>
      <c r="EJ28" s="94" t="s">
        <v>363</v>
      </c>
      <c r="EK28" s="93"/>
      <c r="EL28" s="93">
        <v>1</v>
      </c>
      <c r="EM28" s="93"/>
      <c r="EN28" s="139" t="s">
        <v>407</v>
      </c>
      <c r="EO28" s="93"/>
      <c r="EP28" s="93"/>
      <c r="EQ28" s="93"/>
      <c r="ER28" s="97" t="s">
        <v>365</v>
      </c>
      <c r="ES28" s="94" t="s">
        <v>367</v>
      </c>
      <c r="ET28" s="93"/>
      <c r="EU28" s="93"/>
      <c r="EV28" s="93"/>
      <c r="EW28" s="93"/>
      <c r="EX28" s="93"/>
      <c r="EY28" s="93"/>
      <c r="EZ28" s="92"/>
      <c r="FA28" s="93"/>
      <c r="FB28" s="93"/>
      <c r="FC28" s="93"/>
      <c r="FD28" s="93"/>
      <c r="FE28" s="93"/>
      <c r="FF28" s="93"/>
      <c r="FG28" s="92"/>
      <c r="FH28" s="93"/>
      <c r="FI28" s="93"/>
      <c r="FJ28" s="93"/>
      <c r="FK28" s="93"/>
      <c r="FL28" s="93"/>
      <c r="FM28" s="93"/>
      <c r="FN28" s="92"/>
      <c r="FO28" s="93"/>
      <c r="FP28" s="93"/>
      <c r="FQ28" s="93"/>
      <c r="FR28" s="93"/>
      <c r="FS28" s="93"/>
      <c r="FT28" s="93"/>
      <c r="FU28" s="92"/>
      <c r="FV28" s="93"/>
      <c r="FW28" s="93"/>
      <c r="FX28" s="93"/>
      <c r="FY28" s="93"/>
      <c r="FZ28" s="93"/>
      <c r="GA28" s="93"/>
      <c r="GB28" s="92"/>
      <c r="GC28" s="93"/>
      <c r="GD28" s="93"/>
      <c r="GE28" s="93"/>
      <c r="GF28" s="93"/>
      <c r="GG28" s="93"/>
      <c r="GH28" s="93"/>
      <c r="GI28" s="92"/>
      <c r="GJ28" s="93"/>
      <c r="GK28" s="93"/>
      <c r="GL28" s="93"/>
      <c r="GM28" s="93"/>
      <c r="GN28" s="93"/>
      <c r="GO28" s="93"/>
      <c r="GP28" s="92"/>
      <c r="GQ28" s="93"/>
      <c r="GR28" s="93"/>
      <c r="GS28" s="93"/>
      <c r="GT28" s="93"/>
      <c r="GU28" s="93"/>
      <c r="GV28" s="93"/>
      <c r="GW28" s="92"/>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row>
    <row r="29" spans="1:352" hidden="1" x14ac:dyDescent="0.25">
      <c r="A29" s="19" t="s">
        <v>92</v>
      </c>
      <c r="B29" s="19"/>
      <c r="C29" s="19" t="s">
        <v>159</v>
      </c>
      <c r="D29" s="19" t="s">
        <v>121</v>
      </c>
      <c r="E29" s="56">
        <v>38544</v>
      </c>
      <c r="F29" s="10">
        <f t="shared" si="318"/>
        <v>1</v>
      </c>
      <c r="G29" s="19">
        <f t="shared" si="318"/>
        <v>1</v>
      </c>
      <c r="H29" s="19" t="str">
        <f t="shared" si="318"/>
        <v/>
      </c>
      <c r="I29" s="19" t="str">
        <f t="shared" si="318"/>
        <v/>
      </c>
      <c r="J29" s="19" t="str">
        <f t="shared" si="318"/>
        <v/>
      </c>
      <c r="K29" s="19" t="str">
        <f t="shared" si="318"/>
        <v/>
      </c>
      <c r="L29" s="19" t="str">
        <f t="shared" si="318"/>
        <v/>
      </c>
      <c r="M29" s="8"/>
      <c r="N29" s="8">
        <v>1</v>
      </c>
      <c r="O29" s="9"/>
      <c r="P29" s="8" t="str">
        <f t="shared" si="315"/>
        <v/>
      </c>
      <c r="Q29" s="84" t="str">
        <f>IF(SUM(R29:XFD29) &gt; 0, SUM(R29:XFD29) / $P$87 * 100, "")</f>
        <v/>
      </c>
      <c r="R29" s="133" t="str">
        <f t="shared" si="317"/>
        <v>?</v>
      </c>
      <c r="S29" s="7"/>
      <c r="Z29" s="7"/>
      <c r="AG29" s="7"/>
      <c r="AN29" s="7"/>
      <c r="AU29" s="7"/>
      <c r="BB29" s="7"/>
      <c r="BI29" s="7"/>
      <c r="BP29" s="7"/>
      <c r="BX29" s="96"/>
      <c r="BY29" s="79"/>
      <c r="CG29" s="96"/>
      <c r="CH29" s="80"/>
      <c r="CQ29" s="7"/>
      <c r="CZ29" s="7"/>
      <c r="DI29" s="7"/>
      <c r="DR29" s="7"/>
      <c r="DZ29" s="96"/>
      <c r="EA29" s="79"/>
      <c r="EJ29" s="7"/>
      <c r="EN29" s="96"/>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hidden="1" x14ac:dyDescent="0.25">
      <c r="A30" s="8" t="s">
        <v>115</v>
      </c>
      <c r="B30" s="8"/>
      <c r="C30" s="8" t="s">
        <v>244</v>
      </c>
      <c r="D30" s="8" t="s">
        <v>245</v>
      </c>
      <c r="E30" s="18">
        <v>36526</v>
      </c>
      <c r="F30" s="10" t="str">
        <f t="shared" si="318"/>
        <v/>
      </c>
      <c r="G30" s="19" t="str">
        <f t="shared" ref="G30:L30" si="321">IF($E30 &gt;= G$5, 1, "")</f>
        <v/>
      </c>
      <c r="H30" s="19" t="str">
        <f t="shared" si="321"/>
        <v/>
      </c>
      <c r="I30" s="19" t="str">
        <f t="shared" si="321"/>
        <v/>
      </c>
      <c r="J30" s="19" t="str">
        <f t="shared" si="321"/>
        <v/>
      </c>
      <c r="K30" s="19" t="str">
        <f t="shared" si="321"/>
        <v/>
      </c>
      <c r="L30" s="19" t="str">
        <f t="shared" si="321"/>
        <v/>
      </c>
      <c r="M30" s="8"/>
      <c r="N30" s="8"/>
      <c r="O30" s="9"/>
      <c r="P30" s="8">
        <f t="shared" si="315"/>
        <v>14</v>
      </c>
      <c r="Q30" s="109">
        <f>IF(SUM(S30:XFD30) &gt; 0, SUM(S30:XFD30) / $P$36 * 100, "")</f>
        <v>28.571428571428569</v>
      </c>
      <c r="R30" s="133" t="str">
        <f t="shared" si="31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4.0816326530612246</v>
      </c>
      <c r="R31" s="133" t="str">
        <f t="shared" si="317"/>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12.411495210329029</v>
      </c>
      <c r="R32" s="84">
        <f>IF(SUM(S32:XFD32) &gt; 0, SUM(S32:XFD32) / $P$87 * 100, "")</f>
        <v>4.0816326530612246</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443</v>
      </c>
      <c r="B33" s="8"/>
      <c r="C33" s="8"/>
      <c r="D33" s="8" t="s">
        <v>444</v>
      </c>
      <c r="E33" s="18"/>
      <c r="F33" s="10"/>
      <c r="G33" s="19"/>
      <c r="H33" s="19"/>
      <c r="I33" s="19"/>
      <c r="J33" s="19"/>
      <c r="K33" s="19"/>
      <c r="L33" s="19"/>
      <c r="M33" s="8"/>
      <c r="N33" s="8"/>
      <c r="O33" s="9"/>
      <c r="P33" s="8">
        <f t="shared" si="315"/>
        <v>1</v>
      </c>
      <c r="Q33" s="109">
        <f>IF(SUM(S33:XFD33) &gt; 0, SUM(S33:XFD33) / $P$36 * 100, "")</f>
        <v>2.0408163265306123</v>
      </c>
      <c r="R33" s="133" t="str">
        <f>KStateSum(S33:MN33, 1)</f>
        <v>?</v>
      </c>
      <c r="S33" s="7"/>
      <c r="Z33" s="7"/>
      <c r="AG33" s="7"/>
      <c r="AN33" s="7"/>
      <c r="AU33" s="7"/>
      <c r="BB33" s="7"/>
      <c r="BI33" s="7"/>
      <c r="BP33" s="7"/>
      <c r="BX33" s="96"/>
      <c r="BY33" s="79"/>
      <c r="CG33" s="96"/>
      <c r="CH33" s="80"/>
      <c r="CQ33" s="7"/>
      <c r="CZ33" s="7"/>
      <c r="DI33" s="7"/>
      <c r="DP33">
        <v>1</v>
      </c>
      <c r="DR33" s="7"/>
      <c r="DZ33" s="96"/>
      <c r="EA33" s="79"/>
      <c r="EJ33" s="7"/>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SUM(F6:F34)</f>
        <v>14</v>
      </c>
      <c r="G35" s="16">
        <f>SUM(G6:G34)</f>
        <v>9</v>
      </c>
      <c r="H35" s="16">
        <f>SUM(H6:H34)</f>
        <v>3</v>
      </c>
      <c r="I35" s="16">
        <f>SUM(I6:I34)</f>
        <v>2</v>
      </c>
      <c r="J35" s="16">
        <f>SUM(J6:J34)</f>
        <v>0</v>
      </c>
      <c r="K35" s="16">
        <f>SUM(K6:K34)</f>
        <v>0</v>
      </c>
      <c r="L35" s="16">
        <f>SUM(L6:L34)</f>
        <v>0</v>
      </c>
      <c r="M35" s="16">
        <v>0</v>
      </c>
      <c r="N35" s="16">
        <f>SUM(N6:N34)</f>
        <v>16</v>
      </c>
      <c r="O35" s="17">
        <f>SUM(O6:O34)+ SUM(O43:O75)</f>
        <v>15</v>
      </c>
      <c r="P35" s="16">
        <f>VisibleSum(P6:P28)</f>
        <v>32.833333333333336</v>
      </c>
      <c r="Q35" s="16">
        <f>P35 / P36 * 100</f>
        <v>67.006802721088448</v>
      </c>
      <c r="R35" s="17">
        <f>VisibleSum(R6:R28)</f>
        <v>-17.352941176470587</v>
      </c>
      <c r="S35" s="15">
        <f>IF(SUM(S6:S34) &gt; 0, SUM(S6:S34), "")</f>
        <v>15</v>
      </c>
      <c r="T35" s="14" t="str">
        <f>IF(SUM(T6:T34) &gt; 0, SUM(T6:T34), "")</f>
        <v/>
      </c>
      <c r="U35" s="14">
        <f>IF(SUM(U6:U34) &gt; 0, SUM(U6:U34), "")</f>
        <v>12</v>
      </c>
      <c r="V35" s="14">
        <f>IF(SUM(V6:V34) &gt; 0, SUM(V6:V34), "")</f>
        <v>13</v>
      </c>
      <c r="W35" s="14" t="str">
        <f>IF(SUM(W6:W34) &gt; 0, SUM(W6:W34), "")</f>
        <v/>
      </c>
      <c r="X35" s="14">
        <f>IF(SUM(X6:X34) &gt; 0, SUM(X6:X34), "")</f>
        <v>12</v>
      </c>
      <c r="Y35" s="14" t="str">
        <f>IF(SUM(Y6:Y34) &gt; 0, SUM(Y6:Y34), "")</f>
        <v/>
      </c>
      <c r="Z35" s="15" t="str">
        <f>IF(SUM(Z6:Z34) &gt; 0, SUM(Z6:Z34), "")</f>
        <v/>
      </c>
      <c r="AA35" s="14" t="str">
        <f>IF(SUM(AA6:AA34) &gt; 0, SUM(AA6:AA34), "")</f>
        <v/>
      </c>
      <c r="AB35" s="14">
        <f>IF(SUM(AB6:AB34) &gt; 0, SUM(AB6:AB34), "")</f>
        <v>15</v>
      </c>
      <c r="AC35" s="14" t="str">
        <f>IF(SUM(AC6:AC34) &gt; 0, SUM(AC6:AC34), "")</f>
        <v/>
      </c>
      <c r="AD35" s="14">
        <f>IF(SUM(AD6:AD34) &gt; 0, SUM(AD6:AD34), "")</f>
        <v>12</v>
      </c>
      <c r="AE35" s="14">
        <f>IF(SUM(AE6:AE34) &gt; 0, SUM(AE6:AE34), "")</f>
        <v>15</v>
      </c>
      <c r="AF35" s="14" t="str">
        <f>IF(SUM(AF6:AF34) &gt; 0, SUM(AF6:AF34), "")</f>
        <v/>
      </c>
      <c r="AG35" s="15" t="str">
        <f>IF(SUM(AG6:AG34) &gt; 0, SUM(AG6:AG34), "")</f>
        <v/>
      </c>
      <c r="AH35" s="14" t="str">
        <f>IF(SUM(AH6:AH34) &gt; 0, SUM(AH6:AH34), "")</f>
        <v/>
      </c>
      <c r="AI35" s="14">
        <f>IF(SUM(AI6:AI34) &gt; 0, SUM(AI6:AI34), "")</f>
        <v>16</v>
      </c>
      <c r="AJ35" s="14" t="str">
        <f>IF(SUM(AJ6:AJ34) &gt; 0, SUM(AJ6:AJ34), "")</f>
        <v/>
      </c>
      <c r="AK35" s="14">
        <f>IF(SUM(AK6:AK34) &gt; 0, SUM(AK6:AK34), "")</f>
        <v>15</v>
      </c>
      <c r="AL35" s="14">
        <f>IF(SUM(AL6:AL34) &gt; 0, SUM(AL6:AL34), "")</f>
        <v>10</v>
      </c>
      <c r="AM35" s="14" t="str">
        <f>IF(SUM(AM6:AM34) &gt; 0, SUM(AM6:AM34), "")</f>
        <v/>
      </c>
      <c r="AN35" s="15" t="str">
        <f>IF(SUM(AN6:AN34) &gt; 0, SUM(AN6:AN34), "")</f>
        <v/>
      </c>
      <c r="AO35" s="14" t="str">
        <f>IF(SUM(AO6:AO34) &gt; 0, SUM(AO6:AO34), "")</f>
        <v/>
      </c>
      <c r="AP35" s="14">
        <f>IF(SUM(AP6:AP34) &gt; 0, SUM(AP6:AP34), "")</f>
        <v>15</v>
      </c>
      <c r="AQ35" s="14" t="str">
        <f>IF(SUM(AQ6:AQ34) &gt; 0, SUM(AQ6:AQ34), "")</f>
        <v/>
      </c>
      <c r="AR35" s="14">
        <f>IF(SUM(AR6:AR34) &gt; 0, SUM(AR6:AR34), "")</f>
        <v>16</v>
      </c>
      <c r="AS35" s="14">
        <f>IF(SUM(AS6:AS34) &gt; 0, SUM(AS6:AS34), "")</f>
        <v>11</v>
      </c>
      <c r="AT35" s="14" t="str">
        <f>IF(SUM(AT6:AT34) &gt; 0, SUM(AT6:AT34), "")</f>
        <v/>
      </c>
      <c r="AU35" s="15" t="str">
        <f>IF(SUM(AU6:AU34) &gt; 0, SUM(AU6:AU34), "")</f>
        <v/>
      </c>
      <c r="AV35" s="14" t="str">
        <f>IF(SUM(AV6:AV34) &gt; 0, SUM(AV6:AV34), "")</f>
        <v/>
      </c>
      <c r="AW35" s="14">
        <f>IF(SUM(AW6:AW34) &gt; 0, SUM(AW6:AW34), "")</f>
        <v>14</v>
      </c>
      <c r="AX35" s="14">
        <f>IF(SUM(AX6:AX34) &gt; 0, SUM(AX6:AX34), "")</f>
        <v>2</v>
      </c>
      <c r="AY35" s="14">
        <f>IF(SUM(AY6:AY34) &gt; 0, SUM(AY6:AY34), "")</f>
        <v>13</v>
      </c>
      <c r="AZ35" s="14">
        <f>IF(SUM(AZ6:AZ34) &gt; 0, SUM(AZ6:AZ34), "")</f>
        <v>12</v>
      </c>
      <c r="BA35" s="14" t="str">
        <f>IF(SUM(BA6:BA34) &gt; 0, SUM(BA6:BA34), "")</f>
        <v/>
      </c>
      <c r="BB35" s="15" t="str">
        <f>IF(SUM(BB6:BB34) &gt; 0, SUM(BB6:BB34), "")</f>
        <v/>
      </c>
      <c r="BC35" s="14" t="str">
        <f>IF(SUM(BC6:BC34) &gt; 0, SUM(BC6:BC34), "")</f>
        <v/>
      </c>
      <c r="BD35" s="14">
        <f>IF(SUM(BD6:BD34) &gt; 0, SUM(BD6:BD34), "")</f>
        <v>14</v>
      </c>
      <c r="BE35" s="14" t="str">
        <f>IF(SUM(BE6:BE34) &gt; 0, SUM(BE6:BE34), "")</f>
        <v/>
      </c>
      <c r="BF35" s="14">
        <f>IF(SUM(BF6:BF34) &gt; 0, SUM(BF6:BF34), "")</f>
        <v>14</v>
      </c>
      <c r="BG35" s="14">
        <f>IF(SUM(BG6:BG34) &gt; 0, SUM(BG6:BG34), "")</f>
        <v>11</v>
      </c>
      <c r="BH35" s="14" t="str">
        <f>IF(SUM(BH6:BH34) &gt; 0, SUM(BH6:BH34), "")</f>
        <v/>
      </c>
      <c r="BI35" s="15" t="str">
        <f>IF(SUM(BI6:BI34) &gt; 0, SUM(BI6:BI34), "")</f>
        <v/>
      </c>
      <c r="BJ35" s="14" t="str">
        <f>IF(SUM(BJ6:BJ34) &gt; 0, SUM(BJ6:BJ34), "")</f>
        <v/>
      </c>
      <c r="BK35" s="14">
        <f>IF(SUM(BK6:BK34) &gt; 0, SUM(BK6:BK34), "")</f>
        <v>16</v>
      </c>
      <c r="BL35" s="14" t="str">
        <f>IF(SUM(BL6:BL34) &gt; 0, SUM(BL6:BL34), "")</f>
        <v/>
      </c>
      <c r="BM35" s="14">
        <f>IF(SUM(BM6:BM34) &gt; 0, SUM(BM6:BM34), "")</f>
        <v>16</v>
      </c>
      <c r="BN35" s="14" t="str">
        <f>IF(SUM(BN6:BN34) &gt; 0, SUM(BN6:BN34), "")</f>
        <v/>
      </c>
      <c r="BO35" s="14" t="str">
        <f>IF(SUM(BO6:BO34) &gt; 0, SUM(BO6:BO34), "")</f>
        <v/>
      </c>
      <c r="BP35" s="15">
        <f>IF(SUM(BP6:BP34) &gt; 0, SUM(BP6:BP34), "")</f>
        <v>8</v>
      </c>
      <c r="BQ35" s="14" t="str">
        <f>IF(SUM(BQ6:BQ34) &gt; 0, SUM(BQ6:BQ34), "")</f>
        <v/>
      </c>
      <c r="BR35" s="14">
        <f>IF(SUM(BR6:BR34) &gt; 0, SUM(BR6:BR34), "")</f>
        <v>17</v>
      </c>
      <c r="BS35" s="14" t="str">
        <f>IF(SUM(BS6:BS34) &gt; 0, SUM(BS6:BS34), "")</f>
        <v/>
      </c>
      <c r="BT35" s="14">
        <f>IF(SUM(BT6:BT34) &gt; 0, SUM(BT6:BT34), "")</f>
        <v>14</v>
      </c>
      <c r="BU35" s="14" t="str">
        <f>IF(SUM(BU6:BU34) &gt; 0, SUM(BU6:BU34), "")</f>
        <v/>
      </c>
      <c r="BV35" s="14" t="str">
        <f>IF(SUM(BV6:BV34) &gt; 0, SUM(BV6:BV34), "")</f>
        <v/>
      </c>
      <c r="BW35" s="14">
        <f>IF(SUM(BW6:BW34) &gt; 0, SUM(BW6:BW34), "")</f>
        <v>3</v>
      </c>
      <c r="BX35" s="14"/>
      <c r="BY35" s="15">
        <f>VisibleSum(BY6:BY28)</f>
        <v>-3.3529411764705883</v>
      </c>
      <c r="BZ35" s="14" t="str">
        <f>IF(SUM(BZ6:BZ34) &gt; 0, SUM(BZ6:BZ34), "")</f>
        <v/>
      </c>
      <c r="CA35" s="14" t="str">
        <f>IF(SUM(CA6:CA34) &gt; 0, SUM(CA6:CA34), "")</f>
        <v/>
      </c>
      <c r="CB35" s="14" t="str">
        <f>IF(SUM(CB6:CB34) &gt; 0, SUM(CB6:CB34), "")</f>
        <v/>
      </c>
      <c r="CC35" s="14">
        <f>IF(SUM(CC6:CC34) &gt; 0, SUM(CC6:CC34), "")</f>
        <v>9</v>
      </c>
      <c r="CD35" s="14" t="str">
        <f>IF(SUM(CD6:CD34) &gt; 0, SUM(CD6:CD34), "")</f>
        <v/>
      </c>
      <c r="CE35" s="14" t="str">
        <f>IF(SUM(CE6:CE34) &gt; 0, SUM(CE6:CE34), "")</f>
        <v/>
      </c>
      <c r="CF35" s="14">
        <f>IF(SUM(CF6:CF34) &gt; 0, SUM(CF6:CF34), "")</f>
        <v>6</v>
      </c>
      <c r="CG35" s="14"/>
      <c r="CH35" s="15">
        <f>VisibleSum(CH6:CH28)</f>
        <v>-4.3529411764705879</v>
      </c>
      <c r="CI35" s="14" t="str">
        <f>IF(SUM(CI6:CI34) &gt; 0, SUM(CI6:CI34), "")</f>
        <v/>
      </c>
      <c r="CJ35" s="14" t="str">
        <f>IF(SUM(CJ6:CJ34) &gt; 0, SUM(CJ6:CJ34), "")</f>
        <v/>
      </c>
      <c r="CK35" s="14" t="str">
        <f>IF(SUM(CK6:CK34) &gt; 0, SUM(CK6:CK34), "")</f>
        <v/>
      </c>
      <c r="CL35" s="14">
        <f>IF(SUM(CL6:CL34) &gt; 0, SUM(CL6:CL34), "")</f>
        <v>10</v>
      </c>
      <c r="CM35" s="14" t="str">
        <f>IF(SUM(CM6:CM34) &gt; 0, SUM(CM6:CM34), "")</f>
        <v/>
      </c>
      <c r="CN35" s="14" t="str">
        <f>IF(SUM(CN6:CN34) &gt; 0, SUM(CN6:CN34), "")</f>
        <v/>
      </c>
      <c r="CO35" s="14">
        <f>IF(SUM(CO6:CO34) &gt; 0, SUM(CO6:CO34), "")</f>
        <v>8</v>
      </c>
      <c r="CP35" s="14"/>
      <c r="CQ35" s="15">
        <f>VisibleSum(CQ6:CQ28)</f>
        <v>-4.4705882352941178</v>
      </c>
      <c r="CR35" s="14" t="str">
        <f>IF(SUM(CR6:CR34) &gt; 0, SUM(CR6:CR34), "")</f>
        <v/>
      </c>
      <c r="CS35" s="14">
        <f>IF(SUM(CS6:CS34) &gt; 0, SUM(CS6:CS34), "")</f>
        <v>13</v>
      </c>
      <c r="CT35" s="14" t="str">
        <f>IF(SUM(CT6:CT34) &gt; 0, SUM(CT6:CT34), "")</f>
        <v/>
      </c>
      <c r="CU35" s="14">
        <f>IF(SUM(CU6:CU34) &gt; 0, SUM(CU6:CU34), "")</f>
        <v>10</v>
      </c>
      <c r="CV35" s="14">
        <f>IF(SUM(CV6:CV34) &gt; 0, SUM(CV6:CV34), "")</f>
        <v>13</v>
      </c>
      <c r="CW35" s="14"/>
      <c r="CX35" s="14">
        <f>IF(SUM(CX6:CX34) &gt; 0, SUM(CX6:CX34), "")</f>
        <v>7</v>
      </c>
      <c r="CY35" s="14" t="str">
        <f>IF(SUM(CY6:CY34) &gt; 0, SUM(CY6:CY34), "")</f>
        <v/>
      </c>
      <c r="CZ35" s="15">
        <f>VisibleSum(CZ6:CZ28)</f>
        <v>-0.29411764705882354</v>
      </c>
      <c r="DA35" s="14" t="str">
        <f>IF(SUM(DA6:DA34) &gt; 0, SUM(DA6:DA34), "")</f>
        <v/>
      </c>
      <c r="DB35" s="14">
        <f>IF(SUM(DB6:DB34) &gt; 0, SUM(DB6:DB34), "")</f>
        <v>11</v>
      </c>
      <c r="DC35" s="14" t="str">
        <f>IF(SUM(DC6:DC34) &gt; 0, SUM(DC6:DC34), "")</f>
        <v/>
      </c>
      <c r="DD35" s="14" t="str">
        <f>IF(SUM(DD6:DD34) &gt; 0, SUM(DD6:DD34), "")</f>
        <v/>
      </c>
      <c r="DE35" s="14">
        <f>IF(SUM(DE6:DE34) &gt; 0, SUM(DE6:DE34), "")</f>
        <v>8</v>
      </c>
      <c r="DF35" s="14" t="str">
        <f>IF(SUM(DF6:DF34) &gt; 0, SUM(DF6:DF34), "")</f>
        <v/>
      </c>
      <c r="DG35" s="14">
        <f>IF(SUM(DG6:DG34) &gt; 0, SUM(DG6:DG34), "")</f>
        <v>4</v>
      </c>
      <c r="DH35" s="14"/>
      <c r="DI35" s="135">
        <f>IF(VisibleSum(DI6:DI28) = "", "??", VisibleSum(DI6:DI28))</f>
        <v>-1.4705882352941178</v>
      </c>
      <c r="DJ35" s="14" t="str">
        <f>IF(SUM(DJ6:DJ34) &gt; 0, SUM(DJ6:DJ34), "")</f>
        <v/>
      </c>
      <c r="DK35" s="14">
        <f>IF(SUM(DK6:DK34) &gt; 0, SUM(DK6:DK34), "")</f>
        <v>15</v>
      </c>
      <c r="DL35" s="14" t="str">
        <f>IF(SUM(DL6:DL34) &gt; 0, SUM(DL6:DL34), "")</f>
        <v/>
      </c>
      <c r="DM35" s="14">
        <f>IF(SUM(DM6:DM34) &gt; 0, SUM(DM6:DM34), "")</f>
        <v>12</v>
      </c>
      <c r="DN35" s="14">
        <f>IF(SUM(DN6:DN34) &gt; 0, SUM(DN6:DN34), "")</f>
        <v>11</v>
      </c>
      <c r="DO35" s="14" t="str">
        <f>IF(SUM(DO6:DO34) &gt; 0, SUM(DO6:DO34), "")</f>
        <v/>
      </c>
      <c r="DP35" s="14">
        <f>IF(SUM(DP6:DP34) &gt; 0, SUM(DP6:DP34), "")</f>
        <v>7</v>
      </c>
      <c r="DQ35" s="14"/>
      <c r="DR35" s="135">
        <f>IF(VisibleSum(DR6:DR28) = "", "??", VisibleSum(DR6:DR28))</f>
        <v>-1.1764705882352942</v>
      </c>
      <c r="DS35" s="14" t="str">
        <f>IF(SUM(DS6:DS34) &gt; 0, SUM(DS6:DS34), "")</f>
        <v/>
      </c>
      <c r="DT35" s="14">
        <f>IF(SUM(DT6:DT34) &gt; 0, SUM(DT6:DT34), "")</f>
        <v>8</v>
      </c>
      <c r="DU35" s="14" t="str">
        <f>IF(SUM(DU6:DU34) &gt; 0, SUM(DU6:DU34), "")</f>
        <v/>
      </c>
      <c r="DV35" s="14">
        <f>IF(SUM(DV6:DV34) &gt; 0, SUM(DV6:DV34), "")</f>
        <v>8</v>
      </c>
      <c r="DW35" s="14">
        <f>IF(SUM(DW6:DW34) &gt; 0, SUM(DW6:DW34), "")</f>
        <v>12</v>
      </c>
      <c r="DX35" s="14"/>
      <c r="DY35" s="14"/>
      <c r="DZ35" s="137"/>
      <c r="EA35" s="135">
        <f>IF(VisibleSum(EA6:EA28) = "", "??", VisibleSum(EA6:EA28))</f>
        <v>-1.1764705882352942</v>
      </c>
      <c r="EB35" s="14">
        <f>IF(SUM(EB6:EB34) &gt; 0, SUM(EB6:EB34), "")</f>
        <v>12</v>
      </c>
      <c r="EC35" s="14">
        <f>IF(SUM(EC6:EC34) &gt; 0, SUM(EC6:EC34), "")</f>
        <v>14</v>
      </c>
      <c r="ED35" s="14" t="str">
        <f>IF(SUM(ED6:ED34) &gt; 0, SUM(ED6:ED34), "")</f>
        <v/>
      </c>
      <c r="EE35" s="14">
        <f>IF(SUM(EE6:EE34) &gt; 0, SUM(EE6:EE34), "")</f>
        <v>17</v>
      </c>
      <c r="EF35" s="14">
        <f>IF(SUM(EF6:EF34) &gt; 0, SUM(EF6:EF34), "")</f>
        <v>10</v>
      </c>
      <c r="EG35" s="14"/>
      <c r="EH35" s="14"/>
      <c r="EI35" s="137" t="str">
        <f>IF(SUM(EI6:EI34) &gt; 0, SUM(EI6:EI34), "")</f>
        <v/>
      </c>
      <c r="EJ35" s="135">
        <f>IF(VisibleSum(EJ6:EJ28) = "", "??", VisibleSum(EJ6:EJ28))</f>
        <v>-1.0588235294117647</v>
      </c>
      <c r="EK35" s="14">
        <f>IF(SUM(EK6:EK34) &gt; 0, SUM(EK6:EK34), "")</f>
        <v>15</v>
      </c>
      <c r="EL35" s="14">
        <f>IF(SUM(EL6:EL34) &gt; 0, SUM(EL6:EL34), "")</f>
        <v>17</v>
      </c>
      <c r="EM35" s="14" t="str">
        <f>IF(SUM(EM6:EM34) &gt; 0, SUM(EM6:EM34), "")</f>
        <v/>
      </c>
      <c r="EN35" s="14" t="str">
        <f>IF(SUM(EN6:EN34) &gt; 0, SUM(EN6:EN34), "")</f>
        <v/>
      </c>
      <c r="EO35" s="14" t="str">
        <f>IF(SUM(EO6:EO34) &gt; 0, SUM(EO6:EO34), "")</f>
        <v/>
      </c>
      <c r="EP35" s="14" t="str">
        <f>IF(SUM(EP6:EP34) &gt; 0, SUM(EP6:EP34), "")</f>
        <v/>
      </c>
      <c r="EQ35" s="14"/>
      <c r="ER35" s="14"/>
      <c r="ES35" s="135" t="str">
        <f>IF(VisibleSum(ES6:ES28) = "", "??", VisibleSum(ES6:ES28))</f>
        <v>??</v>
      </c>
      <c r="ET35" s="14" t="str">
        <f>IF(SUM(ET6:ET34) &gt; 0, SUM(ET6:ET34), "")</f>
        <v/>
      </c>
      <c r="EU35" s="14" t="str">
        <f>IF(SUM(EU6:EU34) &gt; 0, SUM(EU6:EU34), "")</f>
        <v/>
      </c>
      <c r="EV35" s="14" t="str">
        <f>IF(SUM(EV6:EV34) &gt; 0, SUM(EV6:EV34), "")</f>
        <v/>
      </c>
      <c r="EW35" s="14" t="str">
        <f>IF(SUM(EW6:EW34) &gt; 0, SUM(EW6:EW34), "")</f>
        <v/>
      </c>
      <c r="EX35" s="14" t="str">
        <f>IF(SUM(EX6:EX34) &gt; 0, SUM(EX6:EX34), "")</f>
        <v/>
      </c>
      <c r="EY35" s="14" t="str">
        <f>IF(SUM(EY6:EY34) &gt; 0, SUM(EY6:EY34), "")</f>
        <v/>
      </c>
      <c r="EZ35" s="15" t="str">
        <f>IF(SUM(EZ6:EZ34) &gt; 0, SUM(EZ6:EZ34), "")</f>
        <v/>
      </c>
      <c r="FA35" s="14" t="str">
        <f>IF(SUM(FA6:FA34) &gt; 0, SUM(FA6:FA34), "")</f>
        <v/>
      </c>
      <c r="FB35" s="14" t="str">
        <f>IF(SUM(FB6:FB34) &gt; 0, SUM(FB6:FB34), "")</f>
        <v/>
      </c>
      <c r="FC35" s="14" t="str">
        <f>IF(SUM(FC6:FC34) &gt; 0, SUM(FC6:FC34), "")</f>
        <v/>
      </c>
      <c r="FD35" s="14" t="str">
        <f>IF(SUM(FD6:FD34) &gt; 0, SUM(FD6:FD34), "")</f>
        <v/>
      </c>
      <c r="FE35" s="14" t="str">
        <f>IF(SUM(FE6:FE34) &gt; 0, SUM(FE6:FE34), "")</f>
        <v/>
      </c>
      <c r="FF35" s="14" t="str">
        <f>IF(SUM(FF6:FF34) &gt; 0, SUM(FF6:FF34), "")</f>
        <v/>
      </c>
      <c r="FG35" s="15" t="str">
        <f>IF(SUM(FG6:FG34) &gt; 0, SUM(FG6:FG34), "")</f>
        <v/>
      </c>
      <c r="FH35" s="14" t="str">
        <f>IF(SUM(FH6:FH34) &gt; 0, SUM(FH6:FH34), "")</f>
        <v/>
      </c>
      <c r="FI35" s="14" t="str">
        <f>IF(SUM(FI6:FI34) &gt; 0, SUM(FI6:FI34), "")</f>
        <v/>
      </c>
      <c r="FJ35" s="14" t="str">
        <f>IF(SUM(FJ6:FJ34) &gt; 0, SUM(FJ6:FJ34), "")</f>
        <v/>
      </c>
      <c r="FK35" s="14" t="str">
        <f>IF(SUM(FK6:FK34) &gt; 0, SUM(FK6:FK34), "")</f>
        <v/>
      </c>
      <c r="FL35" s="14" t="str">
        <f>IF(SUM(FL6:FL34) &gt; 0, SUM(FL6:FL34), "")</f>
        <v/>
      </c>
      <c r="FM35" s="14" t="str">
        <f>IF(SUM(FM6:FM34) &gt; 0, SUM(FM6:FM34), "")</f>
        <v/>
      </c>
      <c r="FN35" s="15" t="str">
        <f>IF(SUM(FN6:FN34) &gt; 0, SUM(FN6:FN34), "")</f>
        <v/>
      </c>
      <c r="FO35" s="14" t="str">
        <f>IF(SUM(FO6:FO34) &gt; 0, SUM(FO6:FO34), "")</f>
        <v/>
      </c>
      <c r="FP35" s="14" t="str">
        <f>IF(SUM(FP6:FP34) &gt; 0, SUM(FP6:FP34), "")</f>
        <v/>
      </c>
      <c r="FQ35" s="14" t="str">
        <f>IF(SUM(FQ6:FQ34) &gt; 0, SUM(FQ6:FQ34), "")</f>
        <v/>
      </c>
      <c r="FR35" s="14" t="str">
        <f>IF(SUM(FR6:FR34) &gt; 0, SUM(FR6:FR34), "")</f>
        <v/>
      </c>
      <c r="FS35" s="14" t="str">
        <f>IF(SUM(FS6:FS34) &gt; 0, SUM(FS6:FS34), "")</f>
        <v/>
      </c>
      <c r="FT35" s="14" t="str">
        <f>IF(SUM(FT6:FT34) &gt; 0, SUM(FT6:FT34), "")</f>
        <v/>
      </c>
      <c r="FU35" s="15" t="str">
        <f>IF(SUM(FU6:FU34) &gt; 0, SUM(FU6:FU34), "")</f>
        <v/>
      </c>
      <c r="FV35" s="14" t="str">
        <f>IF(SUM(FV6:FV34) &gt; 0, SUM(FV6:FV34), "")</f>
        <v/>
      </c>
      <c r="FW35" s="14" t="str">
        <f>IF(SUM(FW6:FW34) &gt; 0, SUM(FW6:FW34), "")</f>
        <v/>
      </c>
      <c r="FX35" s="14" t="str">
        <f>IF(SUM(FX6:FX34) &gt; 0, SUM(FX6:FX34), "")</f>
        <v/>
      </c>
      <c r="FY35" s="14" t="str">
        <f>IF(SUM(FY6:FY34) &gt; 0, SUM(FY6:FY34), "")</f>
        <v/>
      </c>
      <c r="FZ35" s="14" t="str">
        <f>IF(SUM(FZ6:FZ34) &gt; 0, SUM(FZ6:FZ34), "")</f>
        <v/>
      </c>
      <c r="GA35" s="14" t="str">
        <f>IF(SUM(GA6:GA34) &gt; 0, SUM(GA6:GA34), "")</f>
        <v/>
      </c>
      <c r="GB35" s="15" t="str">
        <f>IF(SUM(GB6:GB34) &gt; 0, SUM(GB6:GB34), "")</f>
        <v/>
      </c>
      <c r="GC35" s="14" t="str">
        <f>IF(SUM(GC6:GC34) &gt; 0, SUM(GC6:GC34), "")</f>
        <v/>
      </c>
      <c r="GD35" s="14" t="str">
        <f>IF(SUM(GD6:GD34) &gt; 0, SUM(GD6:GD34), "")</f>
        <v/>
      </c>
      <c r="GE35" s="14" t="str">
        <f>IF(SUM(GE6:GE34) &gt; 0, SUM(GE6:GE34), "")</f>
        <v/>
      </c>
      <c r="GF35" s="14" t="str">
        <f>IF(SUM(GF6:GF34) &gt; 0, SUM(GF6:GF34), "")</f>
        <v/>
      </c>
      <c r="GG35" s="14" t="str">
        <f>IF(SUM(GG6:GG34) &gt; 0, SUM(GG6:GG34), "")</f>
        <v/>
      </c>
      <c r="GH35" s="14" t="str">
        <f>IF(SUM(GH6:GH34) &gt; 0, SUM(GH6:GH34), "")</f>
        <v/>
      </c>
      <c r="GI35" s="15" t="str">
        <f>IF(SUM(GI6:GI34) &gt; 0, SUM(GI6:GI34), "")</f>
        <v/>
      </c>
      <c r="GJ35" s="14" t="str">
        <f>IF(SUM(GJ6:GJ34) &gt; 0, SUM(GJ6:GJ34), "")</f>
        <v/>
      </c>
      <c r="GK35" s="14" t="str">
        <f>IF(SUM(GK6:GK34) &gt; 0, SUM(GK6:GK34), "")</f>
        <v/>
      </c>
      <c r="GL35" s="14" t="str">
        <f>IF(SUM(GL6:GL34) &gt; 0, SUM(GL6:GL34), "")</f>
        <v/>
      </c>
      <c r="GM35" s="14" t="str">
        <f>IF(SUM(GM6:GM34) &gt; 0, SUM(GM6:GM34), "")</f>
        <v/>
      </c>
      <c r="GN35" s="14" t="str">
        <f>IF(SUM(GN6:GN34) &gt; 0, SUM(GN6:GN34), "")</f>
        <v/>
      </c>
      <c r="GO35" s="14" t="str">
        <f>IF(SUM(GO6:GO34) &gt; 0, SUM(GO6:GO34), "")</f>
        <v/>
      </c>
      <c r="GP35" s="15" t="str">
        <f>IF(SUM(GP6:GP34) &gt; 0, SUM(GP6:GP34), "")</f>
        <v/>
      </c>
      <c r="GQ35" s="14" t="str">
        <f>IF(SUM(GQ6:GQ34) &gt; 0, SUM(GQ6:GQ34), "")</f>
        <v/>
      </c>
      <c r="GR35" s="14" t="str">
        <f>IF(SUM(GR6:GR34) &gt; 0, SUM(GR6:GR34), "")</f>
        <v/>
      </c>
      <c r="GS35" s="14" t="str">
        <f>IF(SUM(GS6:GS34) &gt; 0, SUM(GS6:GS34), "")</f>
        <v/>
      </c>
      <c r="GT35" s="14" t="str">
        <f>IF(SUM(GT6:GT34) &gt; 0, SUM(GT6:GT34), "")</f>
        <v/>
      </c>
      <c r="GU35" s="14" t="str">
        <f>IF(SUM(GU6:GU34) &gt; 0, SUM(GU6:GU34), "")</f>
        <v/>
      </c>
      <c r="GV35" s="14"/>
      <c r="GW35" s="15" t="str">
        <f>IF(SUM(GW6:GW34) &gt; 0, SUM(GW6:GW34), "")</f>
        <v/>
      </c>
      <c r="GX35" s="14" t="str">
        <f>IF(SUM(GX6:GX34) &gt; 0, SUM(GX6:GX34), "")</f>
        <v/>
      </c>
      <c r="GY35" s="14" t="str">
        <f>IF(SUM(GY6:GY34) &gt; 0, SUM(GY6:GY34), "")</f>
        <v/>
      </c>
      <c r="GZ35" s="14" t="str">
        <f>IF(SUM(GZ6:GZ34) &gt; 0, SUM(GZ6:GZ34), "")</f>
        <v/>
      </c>
      <c r="HA35" s="14" t="str">
        <f>IF(SUM(HA6:HA34) &gt; 0, SUM(HA6:HA34), "")</f>
        <v/>
      </c>
      <c r="HB35" s="14" t="str">
        <f>IF(SUM(HB6:HB34) &gt; 0, SUM(HB6:HB34), "")</f>
        <v/>
      </c>
      <c r="HC35" s="14" t="str">
        <f>IF(SUM(HC6:HC34) &gt; 0, SUM(HC6:HC34), "")</f>
        <v/>
      </c>
      <c r="HD35" s="15" t="str">
        <f>IF(SUM(HD6:HD34) &gt; 0, SUM(HD6:HD34), "")</f>
        <v/>
      </c>
      <c r="HE35" s="14" t="str">
        <f>IF(SUM(HE6:HE34) &gt; 0, SUM(HE6:HE34), "")</f>
        <v/>
      </c>
      <c r="HF35" s="14" t="str">
        <f>IF(SUM(HF6:HF34) &gt; 0, SUM(HF6:HF34), "")</f>
        <v/>
      </c>
      <c r="HG35" s="14" t="str">
        <f>IF(SUM(HG6:HG34) &gt; 0, SUM(HG6:HG34), "")</f>
        <v/>
      </c>
      <c r="HH35" s="14" t="str">
        <f>IF(SUM(HH6:HH34) &gt; 0, SUM(HH6:HH34), "")</f>
        <v/>
      </c>
      <c r="HI35" s="14" t="str">
        <f>IF(SUM(HI6:HI34) &gt; 0, SUM(HI6:HI34), "")</f>
        <v/>
      </c>
      <c r="HJ35" s="14" t="str">
        <f>IF(SUM(HJ6:HJ34) &gt; 0, SUM(HJ6:HJ34), "")</f>
        <v/>
      </c>
      <c r="HK35" s="15" t="str">
        <f>IF(SUM(HK6:HK34) &gt; 0, SUM(HK6:HK34), "")</f>
        <v/>
      </c>
      <c r="HL35" s="14" t="str">
        <f>IF(SUM(HL6:HL34) &gt; 0, SUM(HL6:HL34), "")</f>
        <v/>
      </c>
      <c r="HM35" s="14" t="str">
        <f>IF(SUM(HM6:HM34) &gt; 0, SUM(HM6:HM34), "")</f>
        <v/>
      </c>
      <c r="HN35" s="14" t="str">
        <f>IF(SUM(HN6:HN34) &gt; 0, SUM(HN6:HN34), "")</f>
        <v/>
      </c>
      <c r="HO35" s="14" t="str">
        <f>IF(SUM(HO6:HO34) &gt; 0, SUM(HO6:HO34), "")</f>
        <v/>
      </c>
      <c r="HP35" s="14" t="str">
        <f>IF(SUM(HP6:HP34) &gt; 0, SUM(HP6:HP34), "")</f>
        <v/>
      </c>
      <c r="HQ35" s="14" t="str">
        <f>IF(SUM(HQ6:HQ34) &gt; 0, SUM(HQ6:HQ34), "")</f>
        <v/>
      </c>
      <c r="HR35" s="15" t="str">
        <f>IF(SUM(HR6:HR34) &gt; 0, SUM(HR6:HR34), "")</f>
        <v/>
      </c>
      <c r="HS35" s="14" t="str">
        <f>IF(SUM(HS6:HS34) &gt; 0, SUM(HS6:HS34), "")</f>
        <v/>
      </c>
      <c r="HT35" s="14" t="str">
        <f>IF(SUM(HT6:HT34) &gt; 0, SUM(HT6:HT34), "")</f>
        <v/>
      </c>
      <c r="HU35" s="14" t="str">
        <f>IF(SUM(HU6:HU34) &gt; 0, SUM(HU6:HU34), "")</f>
        <v/>
      </c>
      <c r="HV35" s="14" t="str">
        <f>IF(SUM(HV6:HV34) &gt; 0, SUM(HV6:HV34), "")</f>
        <v/>
      </c>
      <c r="HW35" s="14" t="str">
        <f>IF(SUM(HW6:HW34) &gt; 0, SUM(HW6:HW34), "")</f>
        <v/>
      </c>
      <c r="HX35" s="14" t="str">
        <f>IF(SUM(HX6:HX34) &gt; 0, SUM(HX6:HX34), "")</f>
        <v/>
      </c>
      <c r="HY35" s="15" t="str">
        <f>IF(SUM(HY6:HY34) &gt; 0, SUM(HY6:HY34), "")</f>
        <v/>
      </c>
      <c r="HZ35" s="14" t="str">
        <f>IF(SUM(HZ6:HZ34) &gt; 0, SUM(HZ6:HZ34), "")</f>
        <v/>
      </c>
      <c r="IA35" s="14" t="str">
        <f>IF(SUM(IA6:IA34) &gt; 0, SUM(IA6:IA34), "")</f>
        <v/>
      </c>
      <c r="IB35" s="14" t="str">
        <f>IF(SUM(IB6:IB34) &gt; 0, SUM(IB6:IB34), "")</f>
        <v/>
      </c>
      <c r="IC35" s="14" t="str">
        <f>IF(SUM(IC6:IC34) &gt; 0, SUM(IC6:IC34), "")</f>
        <v/>
      </c>
      <c r="ID35" s="14" t="str">
        <f>IF(SUM(ID6:ID34) &gt; 0, SUM(ID6:ID34), "")</f>
        <v/>
      </c>
      <c r="IE35" s="14" t="str">
        <f>IF(SUM(IE6:IE34) &gt; 0, SUM(IE6:IE34), "")</f>
        <v/>
      </c>
      <c r="IF35" s="15" t="str">
        <f>IF(SUM(IF6:IF34) &gt; 0, SUM(IF6:IF34), "")</f>
        <v/>
      </c>
      <c r="IG35" s="14" t="str">
        <f>IF(SUM(IG6:IG34) &gt; 0, SUM(IG6:IG34), "")</f>
        <v/>
      </c>
      <c r="IH35" s="14" t="str">
        <f>IF(SUM(IH6:IH34) &gt; 0, SUM(IH6:IH34), "")</f>
        <v/>
      </c>
      <c r="II35" s="14" t="str">
        <f>IF(SUM(II6:II34) &gt; 0, SUM(II6:II34), "")</f>
        <v/>
      </c>
      <c r="IJ35" s="14" t="str">
        <f>IF(SUM(IJ6:IJ34) &gt; 0, SUM(IJ6:IJ34), "")</f>
        <v/>
      </c>
      <c r="IK35" s="14" t="str">
        <f>IF(SUM(IK6:IK34) &gt; 0, SUM(IK6:IK34), "")</f>
        <v/>
      </c>
      <c r="IL35" s="14" t="str">
        <f>IF(SUM(IL6:IL34) &gt; 0, SUM(IL6:IL34), "")</f>
        <v/>
      </c>
      <c r="IM35" s="15" t="str">
        <f>IF(SUM(IM6:IM34) &gt; 0, SUM(IM6:IM34), "")</f>
        <v/>
      </c>
      <c r="IN35" s="14" t="str">
        <f>IF(SUM(IN6:IN34) &gt; 0, SUM(IN6:IN34), "")</f>
        <v/>
      </c>
      <c r="IO35" s="14" t="str">
        <f>IF(SUM(IO6:IO34) &gt; 0, SUM(IO6:IO34), "")</f>
        <v/>
      </c>
      <c r="IP35" s="14" t="str">
        <f>IF(SUM(IP6:IP34) &gt; 0, SUM(IP6:IP34), "")</f>
        <v/>
      </c>
      <c r="IQ35" s="14" t="str">
        <f>IF(SUM(IQ6:IQ34) &gt; 0, SUM(IQ6:IQ34), "")</f>
        <v/>
      </c>
      <c r="IR35" s="14" t="str">
        <f>IF(SUM(IR6:IR34) &gt; 0, SUM(IR6:IR34), "")</f>
        <v/>
      </c>
      <c r="IS35" s="14" t="str">
        <f>IF(SUM(IS6:IS34) &gt; 0, SUM(IS6:IS34), "")</f>
        <v/>
      </c>
      <c r="IT35" s="15" t="str">
        <f>IF(SUM(IT6:IT34) &gt; 0, SUM(IT6:IT34), "")</f>
        <v/>
      </c>
      <c r="IU35" s="14" t="str">
        <f>IF(SUM(IU6:IU34) &gt; 0, SUM(IU6:IU34), "")</f>
        <v/>
      </c>
      <c r="IV35" s="14" t="str">
        <f>IF(SUM(IV6:IV34) &gt; 0, SUM(IV6:IV34), "")</f>
        <v/>
      </c>
      <c r="IW35" s="14" t="str">
        <f>IF(SUM(IW6:IW34) &gt; 0, SUM(IW6:IW34), "")</f>
        <v/>
      </c>
      <c r="IX35" s="14" t="str">
        <f>IF(SUM(IX6:IX34) &gt; 0, SUM(IX6:IX34), "")</f>
        <v/>
      </c>
      <c r="IY35" s="14" t="str">
        <f>IF(SUM(IY6:IY34) &gt; 0, SUM(IY6:IY34), "")</f>
        <v/>
      </c>
      <c r="IZ35" s="14" t="str">
        <f>IF(SUM(IZ6:IZ34) &gt; 0, SUM(IZ6:IZ34), "")</f>
        <v/>
      </c>
      <c r="JA35" s="15" t="str">
        <f>IF(SUM(JA6:JA34) &gt; 0, SUM(JA6:JA34), "")</f>
        <v/>
      </c>
      <c r="JB35" s="14" t="str">
        <f>IF(SUM(JB6:JB34) &gt; 0, SUM(JB6:JB34), "")</f>
        <v/>
      </c>
      <c r="JC35" s="14" t="str">
        <f>IF(SUM(JC6:JC34) &gt; 0, SUM(JC6:JC34), "")</f>
        <v/>
      </c>
      <c r="JD35" s="14" t="str">
        <f>IF(SUM(JD6:JD34) &gt; 0, SUM(JD6:JD34), "")</f>
        <v/>
      </c>
      <c r="JE35" s="14" t="str">
        <f>IF(SUM(JE6:JE34) &gt; 0, SUM(JE6:JE34), "")</f>
        <v/>
      </c>
      <c r="JF35" s="14" t="str">
        <f>IF(SUM(JF6:JF34) &gt; 0, SUM(JF6:JF34), "")</f>
        <v/>
      </c>
      <c r="JG35" s="14" t="str">
        <f>IF(SUM(JG6:JG34) &gt; 0, SUM(JG6:JG34), "")</f>
        <v/>
      </c>
      <c r="JH35" s="15" t="str">
        <f>IF(SUM(JH6:JH34) &gt; 0, SUM(JH6:JH34), "")</f>
        <v/>
      </c>
      <c r="JI35" s="14" t="str">
        <f>IF(SUM(JI6:JI34) &gt; 0, SUM(JI6:JI34), "")</f>
        <v/>
      </c>
      <c r="JJ35" s="14" t="str">
        <f>IF(SUM(JJ6:JJ34) &gt; 0, SUM(JJ6:JJ34), "")</f>
        <v/>
      </c>
      <c r="JK35" s="14" t="str">
        <f>IF(SUM(JK6:JK34) &gt; 0, SUM(JK6:JK34), "")</f>
        <v/>
      </c>
      <c r="JL35" s="14" t="str">
        <f>IF(SUM(JL6:JL34) &gt; 0, SUM(JL6:JL34), "")</f>
        <v/>
      </c>
      <c r="JM35" s="14" t="str">
        <f>IF(SUM(JM6:JM34) &gt; 0, SUM(JM6:JM34), "")</f>
        <v/>
      </c>
      <c r="JN35" s="14" t="str">
        <f>IF(SUM(JN6:JN34) &gt; 0, SUM(JN6:JN34), "")</f>
        <v/>
      </c>
      <c r="JO35" s="15" t="str">
        <f>IF(SUM(JO6:JO34) &gt; 0, SUM(JO6:JO34), "")</f>
        <v/>
      </c>
      <c r="JP35" s="14" t="str">
        <f>IF(SUM(JP6:JP34) &gt; 0, SUM(JP6:JP34), "")</f>
        <v/>
      </c>
      <c r="JQ35" s="14" t="str">
        <f>IF(SUM(JQ6:JQ34) &gt; 0, SUM(JQ6:JQ34), "")</f>
        <v/>
      </c>
      <c r="JR35" s="14" t="str">
        <f>IF(SUM(JR6:JR34) &gt; 0, SUM(JR6:JR34), "")</f>
        <v/>
      </c>
      <c r="JS35" s="14" t="str">
        <f>IF(SUM(JS6:JS34) &gt; 0, SUM(JS6:JS34), "")</f>
        <v/>
      </c>
      <c r="JT35" s="14" t="str">
        <f>IF(SUM(JT6:JT34) &gt; 0, SUM(JT6:JT34), "")</f>
        <v/>
      </c>
      <c r="JU35" s="14" t="str">
        <f>IF(SUM(JU6:JU34) &gt; 0, SUM(JU6:JU34), "")</f>
        <v/>
      </c>
      <c r="JV35" s="15" t="str">
        <f>IF(SUM(JV6:JV34) &gt; 0, SUM(JV6:JV34), "")</f>
        <v/>
      </c>
      <c r="JW35" s="14" t="str">
        <f>IF(SUM(JW6:JW34) &gt; 0, SUM(JW6:JW34), "")</f>
        <v/>
      </c>
      <c r="JX35" s="14" t="str">
        <f>IF(SUM(JX6:JX34) &gt; 0, SUM(JX6:JX34), "")</f>
        <v/>
      </c>
      <c r="JY35" s="14" t="str">
        <f>IF(SUM(JY6:JY34) &gt; 0, SUM(JY6:JY34), "")</f>
        <v/>
      </c>
      <c r="JZ35" s="14" t="str">
        <f>IF(SUM(JZ6:JZ34) &gt; 0, SUM(JZ6:JZ34), "")</f>
        <v/>
      </c>
      <c r="KA35" s="14" t="str">
        <f>IF(SUM(KA6:KA34) &gt; 0, SUM(KA6:KA34), "")</f>
        <v/>
      </c>
      <c r="KB35" s="14" t="str">
        <f>IF(SUM(KB6:KB34) &gt; 0, SUM(KB6:KB34), "")</f>
        <v/>
      </c>
      <c r="KC35" s="15" t="str">
        <f>IF(SUM(KC6:KC34) &gt; 0, SUM(KC6:KC34), "")</f>
        <v/>
      </c>
      <c r="KD35" s="14" t="str">
        <f>IF(SUM(KD6:KD34) &gt; 0, SUM(KD6:KD34), "")</f>
        <v/>
      </c>
      <c r="KE35" s="14" t="str">
        <f>IF(SUM(KE6:KE34) &gt; 0, SUM(KE6:KE34), "")</f>
        <v/>
      </c>
      <c r="KF35" s="14" t="str">
        <f>IF(SUM(KF6:KF34) &gt; 0, SUM(KF6:KF34), "")</f>
        <v/>
      </c>
      <c r="KG35" s="14" t="str">
        <f>IF(SUM(KG6:KG34) &gt; 0, SUM(KG6:KG34), "")</f>
        <v/>
      </c>
      <c r="KH35" s="14" t="str">
        <f>IF(SUM(KH6:KH34) &gt; 0, SUM(KH6:KH34), "")</f>
        <v/>
      </c>
      <c r="KI35" s="14" t="str">
        <f>IF(SUM(KI6:KI34) &gt; 0, SUM(KI6:KI34), "")</f>
        <v/>
      </c>
      <c r="KJ35" s="15" t="str">
        <f>IF(SUM(KJ6:KJ34) &gt; 0, SUM(KJ6:KJ34), "")</f>
        <v/>
      </c>
      <c r="KK35" s="14" t="str">
        <f>IF(SUM(KK6:KK34) &gt; 0, SUM(KK6:KK34), "")</f>
        <v/>
      </c>
      <c r="KL35" s="14" t="str">
        <f>IF(SUM(KL6:KL34) &gt; 0, SUM(KL6:KL34), "")</f>
        <v/>
      </c>
      <c r="KM35" s="14" t="str">
        <f>IF(SUM(KM6:KM34) &gt; 0, SUM(KM6:KM34), "")</f>
        <v/>
      </c>
      <c r="KN35" s="14" t="str">
        <f>IF(SUM(KN6:KN34) &gt; 0, SUM(KN6:KN34), "")</f>
        <v/>
      </c>
      <c r="KO35" s="14" t="str">
        <f>IF(SUM(KO6:KO34) &gt; 0, SUM(KO6:KO34), "")</f>
        <v/>
      </c>
      <c r="KP35" s="14" t="str">
        <f>IF(SUM(KP6:KP34) &gt; 0, SUM(KP6:KP34), "")</f>
        <v/>
      </c>
      <c r="KQ35" s="15" t="str">
        <f>IF(SUM(KQ6:KQ34) &gt; 0, SUM(KQ6:KQ34), "")</f>
        <v/>
      </c>
      <c r="KR35" s="14" t="str">
        <f>IF(SUM(KR6:KR34) &gt; 0, SUM(KR6:KR34), "")</f>
        <v/>
      </c>
      <c r="KS35" s="14" t="str">
        <f>IF(SUM(KS6:KS34) &gt; 0, SUM(KS6:KS34), "")</f>
        <v/>
      </c>
      <c r="KT35" s="14" t="str">
        <f>IF(SUM(KT6:KT34) &gt; 0, SUM(KT6:KT34), "")</f>
        <v/>
      </c>
      <c r="KU35" s="14" t="str">
        <f>IF(SUM(KU6:KU34) &gt; 0, SUM(KU6:KU34), "")</f>
        <v/>
      </c>
      <c r="KV35" s="14" t="str">
        <f>IF(SUM(KV6:KV34) &gt; 0, SUM(KV6:KV34), "")</f>
        <v/>
      </c>
      <c r="KW35" s="14" t="str">
        <f>IF(SUM(KW6:KW34) &gt; 0, SUM(KW6:KW34), "")</f>
        <v/>
      </c>
      <c r="KX35" s="15" t="str">
        <f>IF(SUM(KX6:KX34) &gt; 0, SUM(KX6:KX34), "")</f>
        <v/>
      </c>
      <c r="KY35" s="14" t="str">
        <f>IF(SUM(KY6:KY34) &gt; 0, SUM(KY6:KY34), "")</f>
        <v/>
      </c>
      <c r="KZ35" s="14" t="str">
        <f>IF(SUM(KZ6:KZ34) &gt; 0, SUM(KZ6:KZ34), "")</f>
        <v/>
      </c>
      <c r="LA35" s="14" t="str">
        <f>IF(SUM(LA6:LA34) &gt; 0, SUM(LA6:LA34), "")</f>
        <v/>
      </c>
      <c r="LB35" s="14" t="str">
        <f>IF(SUM(LB6:LB34) &gt; 0, SUM(LB6:LB34), "")</f>
        <v/>
      </c>
      <c r="LC35" s="14" t="str">
        <f>IF(SUM(LC6:LC34) &gt; 0, SUM(LC6:LC34), "")</f>
        <v/>
      </c>
      <c r="LD35" s="14" t="str">
        <f>IF(SUM(LD6:LD34) &gt; 0, SUM(LD6:LD34), "")</f>
        <v/>
      </c>
      <c r="LE35" s="15" t="str">
        <f>IF(SUM(LE6:LE34) &gt; 0, SUM(LE6:LE34), "")</f>
        <v/>
      </c>
      <c r="LF35" s="14" t="str">
        <f>IF(SUM(LF6:LF34) &gt; 0, SUM(LF6:LF34), "")</f>
        <v/>
      </c>
      <c r="LG35" s="14" t="str">
        <f>IF(SUM(LG6:LG34) &gt; 0, SUM(LG6:LG34), "")</f>
        <v/>
      </c>
      <c r="LH35" s="14" t="str">
        <f>IF(SUM(LH6:LH34) &gt; 0, SUM(LH6:LH34), "")</f>
        <v/>
      </c>
      <c r="LI35" s="14" t="str">
        <f>IF(SUM(LI6:LI34) &gt; 0, SUM(LI6:LI34), "")</f>
        <v/>
      </c>
      <c r="LJ35" s="14" t="str">
        <f>IF(SUM(LJ6:LJ34) &gt; 0, SUM(LJ6:LJ34), "")</f>
        <v/>
      </c>
      <c r="LK35" s="14" t="str">
        <f>IF(SUM(LK6:LK34) &gt; 0, SUM(LK6:LK34), "")</f>
        <v/>
      </c>
      <c r="LL35" s="15" t="str">
        <f>IF(SUM(LL6:LL34) &gt; 0, SUM(LL6:LL34), "")</f>
        <v/>
      </c>
      <c r="LM35" s="14" t="str">
        <f>IF(SUM(LM6:LM34) &gt; 0, SUM(LM6:LM34), "")</f>
        <v/>
      </c>
      <c r="LN35" s="14" t="str">
        <f>IF(SUM(LN6:LN34) &gt; 0, SUM(LN6:LN34), "")</f>
        <v/>
      </c>
      <c r="LO35" s="14" t="str">
        <f>IF(SUM(LO6:LO34) &gt; 0, SUM(LO6:LO34), "")</f>
        <v/>
      </c>
      <c r="LP35" s="14" t="str">
        <f>IF(SUM(LP6:LP34) &gt; 0, SUM(LP6:LP34), "")</f>
        <v/>
      </c>
      <c r="LQ35" s="14" t="str">
        <f>IF(SUM(LQ6:LQ34) &gt; 0, SUM(LQ6:LQ34), "")</f>
        <v/>
      </c>
      <c r="LR35" s="14" t="str">
        <f>IF(SUM(LR6:LR34) &gt; 0, SUM(LR6:LR34), "")</f>
        <v/>
      </c>
      <c r="LS35" s="15" t="str">
        <f>IF(SUM(LS6:LS34) &gt; 0, SUM(LS6:LS34), "")</f>
        <v/>
      </c>
      <c r="LT35" s="14" t="str">
        <f>IF(SUM(LT6:LT34) &gt; 0, SUM(LT6:LT34), "")</f>
        <v/>
      </c>
      <c r="LU35" s="14" t="str">
        <f>IF(SUM(LU6:LU34) &gt; 0, SUM(LU6:LU34), "")</f>
        <v/>
      </c>
      <c r="LV35" s="14" t="str">
        <f>IF(SUM(LV6:LV34) &gt; 0, SUM(LV6:LV34), "")</f>
        <v/>
      </c>
      <c r="LW35" s="14" t="str">
        <f>IF(SUM(LW6:LW34) &gt; 0, SUM(LW6:LW34), "")</f>
        <v/>
      </c>
      <c r="LX35" s="14" t="str">
        <f>IF(SUM(LX6:LX34) &gt; 0, SUM(LX6:LX34), "")</f>
        <v/>
      </c>
      <c r="LY35" s="14" t="str">
        <f>IF(SUM(LY6:LY34) &gt; 0, SUM(LY6:LY34), "")</f>
        <v/>
      </c>
      <c r="LZ35" s="15" t="str">
        <f>IF(SUM(LZ6:LZ34) &gt; 0, SUM(LZ6:LZ34), "")</f>
        <v/>
      </c>
      <c r="MA35" s="14" t="str">
        <f>IF(SUM(MA6:MA34) &gt; 0, SUM(MA6:MA34), "")</f>
        <v/>
      </c>
      <c r="MB35" s="14" t="str">
        <f>IF(SUM(MB6:MB34) &gt; 0, SUM(MB6:MB34), "")</f>
        <v/>
      </c>
      <c r="MC35" s="14" t="str">
        <f>IF(SUM(MC6:MC34) &gt; 0, SUM(MC6:MC34), "")</f>
        <v/>
      </c>
      <c r="MD35" s="14" t="str">
        <f>IF(SUM(MD6:MD34) &gt; 0, SUM(MD6:MD34), "")</f>
        <v/>
      </c>
      <c r="ME35" s="14" t="str">
        <f>IF(SUM(ME6:ME34) &gt; 0, SUM(ME6:ME34), "")</f>
        <v/>
      </c>
      <c r="MF35" s="14" t="str">
        <f>IF(SUM(MF6:MF34) &gt; 0, SUM(MF6:MF34), "")</f>
        <v/>
      </c>
      <c r="MG35" s="15" t="str">
        <f>IF(SUM(MG6:MG34) &gt; 0, SUM(MG6:MG34), "")</f>
        <v/>
      </c>
      <c r="MH35" s="14" t="str">
        <f>IF(SUM(MH6:MH34) &gt; 0, SUM(MH6:MH34), "")</f>
        <v/>
      </c>
      <c r="MI35" s="14" t="str">
        <f>IF(SUM(MI6:MI34) &gt; 0, SUM(MI6:MI34), "")</f>
        <v/>
      </c>
      <c r="MJ35" s="14" t="str">
        <f>IF(SUM(MJ6:MJ34) &gt; 0, SUM(MJ6:MJ34), "")</f>
        <v/>
      </c>
      <c r="MK35" s="14" t="str">
        <f>IF(SUM(MK6:MK34) &gt; 0, SUM(MK6:MK34), "")</f>
        <v/>
      </c>
      <c r="ML35" s="14" t="str">
        <f>IF(SUM(ML6:ML34) &gt; 0, SUM(ML6:ML34), "")</f>
        <v/>
      </c>
      <c r="MM35" s="14" t="str">
        <f>IF(SUM(MM6:MM34) &gt; 0, SUM(MM6:MM34), "")</f>
        <v/>
      </c>
      <c r="MN35" s="116" t="str">
        <f>IF(SUM(MN6:MN34) &gt; 0, SUM(MN6:MN34), "")</f>
        <v/>
      </c>
    </row>
    <row r="36" spans="1:352" x14ac:dyDescent="0.25">
      <c r="A36" s="112" t="s">
        <v>18</v>
      </c>
      <c r="B36" s="111"/>
      <c r="C36" s="111"/>
      <c r="D36" s="111"/>
      <c r="E36" s="111"/>
      <c r="F36" s="113"/>
      <c r="G36" s="111"/>
      <c r="H36" s="111"/>
      <c r="I36" s="111"/>
      <c r="J36" s="111"/>
      <c r="K36" s="111"/>
      <c r="L36" s="111"/>
      <c r="M36" s="111"/>
      <c r="N36" s="111"/>
      <c r="O36" s="114"/>
      <c r="P36" s="111">
        <f>SUM(S36:MN36)</f>
        <v>49</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v>1</v>
      </c>
      <c r="EL36" s="111">
        <v>1</v>
      </c>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S1</f>
        <v>43975</v>
      </c>
      <c r="T38" s="49">
        <f>T1</f>
        <v>43976</v>
      </c>
      <c r="U38" s="49">
        <f>U1</f>
        <v>43977</v>
      </c>
      <c r="V38" s="49">
        <f>V1</f>
        <v>43978</v>
      </c>
      <c r="W38" s="49">
        <f>W1</f>
        <v>43979</v>
      </c>
      <c r="X38" s="49">
        <f>X1</f>
        <v>43980</v>
      </c>
      <c r="Y38" s="49">
        <f>Y1</f>
        <v>43981</v>
      </c>
      <c r="Z38" s="49">
        <f>Z1</f>
        <v>43982</v>
      </c>
      <c r="AA38" s="49">
        <f>AA1</f>
        <v>43983</v>
      </c>
      <c r="AB38" s="49">
        <f>AB1</f>
        <v>43984</v>
      </c>
      <c r="AC38" s="49">
        <f>AC1</f>
        <v>43985</v>
      </c>
      <c r="AD38" s="49">
        <f>AD1</f>
        <v>43986</v>
      </c>
      <c r="AE38" s="49">
        <f>AE1</f>
        <v>43987</v>
      </c>
      <c r="AF38" s="49">
        <f>AF1</f>
        <v>43988</v>
      </c>
      <c r="AG38" s="49">
        <f>AG1</f>
        <v>43989</v>
      </c>
      <c r="AH38" s="49">
        <f>AH1</f>
        <v>43990</v>
      </c>
      <c r="AI38" s="49">
        <f>AI1</f>
        <v>43991</v>
      </c>
      <c r="AJ38" s="49">
        <f>AJ1</f>
        <v>43992</v>
      </c>
      <c r="AK38" s="49">
        <f>AK1</f>
        <v>43993</v>
      </c>
      <c r="AL38" s="49">
        <f>AL1</f>
        <v>43994</v>
      </c>
      <c r="AM38" s="49">
        <f>AM1</f>
        <v>43995</v>
      </c>
      <c r="AN38" s="49">
        <f>AN1</f>
        <v>43996</v>
      </c>
      <c r="AO38" s="49">
        <f>AO1</f>
        <v>43997</v>
      </c>
      <c r="AP38" s="49">
        <f>AP1</f>
        <v>43998</v>
      </c>
      <c r="AQ38" s="49">
        <f>AQ1</f>
        <v>43999</v>
      </c>
      <c r="AR38" s="49">
        <f>AR1</f>
        <v>44000</v>
      </c>
      <c r="AS38" s="49">
        <f>AS1</f>
        <v>44001</v>
      </c>
      <c r="AT38" s="49">
        <f>AT1</f>
        <v>44002</v>
      </c>
      <c r="AU38" s="49">
        <f>AU1</f>
        <v>44003</v>
      </c>
      <c r="AV38" s="49">
        <f>AV1</f>
        <v>44004</v>
      </c>
      <c r="AW38" s="49">
        <f>AW1</f>
        <v>44005</v>
      </c>
      <c r="AX38" s="49">
        <f>AX1</f>
        <v>44006</v>
      </c>
      <c r="AY38" s="49">
        <f>AY1</f>
        <v>44007</v>
      </c>
      <c r="AZ38" s="49">
        <f>AZ1</f>
        <v>44008</v>
      </c>
      <c r="BA38" s="49">
        <f>BA1</f>
        <v>44009</v>
      </c>
      <c r="BB38" s="49">
        <f>BB1</f>
        <v>44010</v>
      </c>
      <c r="BC38" s="49">
        <f>BC1</f>
        <v>44011</v>
      </c>
      <c r="BD38" s="49">
        <f>BD1</f>
        <v>44012</v>
      </c>
      <c r="BE38" s="49">
        <f>BE1</f>
        <v>44013</v>
      </c>
      <c r="BF38" s="49">
        <f>BF1</f>
        <v>44014</v>
      </c>
      <c r="BG38" s="49">
        <f>BG1</f>
        <v>44015</v>
      </c>
      <c r="BH38" s="49">
        <f>BH1</f>
        <v>44016</v>
      </c>
      <c r="BI38" s="49">
        <f>BI1</f>
        <v>44017</v>
      </c>
      <c r="BJ38" s="49">
        <f>BJ1</f>
        <v>44018</v>
      </c>
      <c r="BK38" s="49">
        <f>BK1</f>
        <v>44019</v>
      </c>
      <c r="BL38" s="49">
        <f>BL1</f>
        <v>44020</v>
      </c>
      <c r="BM38" s="49">
        <f>BM1</f>
        <v>44021</v>
      </c>
      <c r="BN38" s="49">
        <f>BN1</f>
        <v>44022</v>
      </c>
      <c r="BO38" s="49">
        <f>BO1</f>
        <v>44023</v>
      </c>
      <c r="BP38" s="49">
        <f>BP1</f>
        <v>44024</v>
      </c>
      <c r="BQ38" s="49">
        <f>BQ1</f>
        <v>44025</v>
      </c>
      <c r="BR38" s="49">
        <f>BR1</f>
        <v>44026</v>
      </c>
      <c r="BS38" s="49">
        <f>BS1</f>
        <v>44027</v>
      </c>
      <c r="BT38" s="49">
        <f>BT1</f>
        <v>44028</v>
      </c>
      <c r="BU38" s="49">
        <f>BU1</f>
        <v>44029</v>
      </c>
      <c r="BV38" s="49">
        <f>BV1</f>
        <v>44030</v>
      </c>
      <c r="BW38" s="49">
        <f>BW1</f>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DS1</f>
        <v>44067</v>
      </c>
      <c r="DT38" s="49">
        <f>DT1</f>
        <v>44068</v>
      </c>
      <c r="DU38" s="49">
        <f>DU1</f>
        <v>44069</v>
      </c>
      <c r="DV38" s="49">
        <f>DV1</f>
        <v>44070</v>
      </c>
      <c r="DW38" s="49">
        <f>DW1</f>
        <v>44071</v>
      </c>
      <c r="DX38" s="49">
        <f>DX1</f>
        <v>44072</v>
      </c>
      <c r="DY38" s="49">
        <f>DY1</f>
        <v>44073</v>
      </c>
      <c r="DZ38" s="49"/>
      <c r="EA38" s="49"/>
      <c r="EB38" s="49">
        <f>EB1</f>
        <v>44074</v>
      </c>
      <c r="EC38" s="49">
        <f>EC1</f>
        <v>44075</v>
      </c>
      <c r="ED38" s="49">
        <f>ED1</f>
        <v>44076</v>
      </c>
      <c r="EE38" s="49">
        <f>EE1</f>
        <v>44077</v>
      </c>
      <c r="EF38" s="49">
        <f>EF1</f>
        <v>44078</v>
      </c>
      <c r="EG38" s="49">
        <f>EG1</f>
        <v>44079</v>
      </c>
      <c r="EH38" s="49">
        <f>EH1</f>
        <v>44080</v>
      </c>
      <c r="EI38" s="49"/>
      <c r="EJ38" s="49"/>
      <c r="EK38" s="49">
        <f>EK1</f>
        <v>44081</v>
      </c>
      <c r="EL38" s="49">
        <f>EL1</f>
        <v>44082</v>
      </c>
      <c r="EM38" s="49">
        <f>EM1</f>
        <v>44083</v>
      </c>
      <c r="EN38" s="49">
        <f>EN1</f>
        <v>44084</v>
      </c>
      <c r="EO38" s="49">
        <f>EO1</f>
        <v>44085</v>
      </c>
      <c r="EP38" s="49">
        <f>EP1</f>
        <v>44086</v>
      </c>
      <c r="EQ38" s="49">
        <f>EQ1</f>
        <v>44087</v>
      </c>
      <c r="ER38" s="49"/>
      <c r="ES38" s="49"/>
      <c r="ET38" s="49">
        <f>ET1</f>
        <v>44088</v>
      </c>
      <c r="EU38" s="49">
        <f>EU1</f>
        <v>44089</v>
      </c>
      <c r="EV38" s="49">
        <f>EV1</f>
        <v>44090</v>
      </c>
      <c r="EW38" s="49">
        <f>EW1</f>
        <v>44091</v>
      </c>
      <c r="EX38" s="49">
        <f>EX1</f>
        <v>44092</v>
      </c>
      <c r="EY38" s="49">
        <f>EY1</f>
        <v>44093</v>
      </c>
      <c r="EZ38" s="49">
        <f>EZ1</f>
        <v>44094</v>
      </c>
      <c r="FA38" s="49">
        <f>FA1</f>
        <v>44095</v>
      </c>
      <c r="FB38" s="49">
        <f>FB1</f>
        <v>44096</v>
      </c>
      <c r="FC38" s="49">
        <f>FC1</f>
        <v>44097</v>
      </c>
      <c r="FD38" s="49">
        <f>FD1</f>
        <v>44098</v>
      </c>
      <c r="FE38" s="49">
        <f>FE1</f>
        <v>44099</v>
      </c>
      <c r="FF38" s="49">
        <f>FF1</f>
        <v>44100</v>
      </c>
      <c r="FG38" s="49">
        <f>FG1</f>
        <v>44101</v>
      </c>
      <c r="FH38" s="49">
        <f>FH1</f>
        <v>44102</v>
      </c>
      <c r="FI38" s="49">
        <f>FI1</f>
        <v>44103</v>
      </c>
      <c r="FJ38" s="49">
        <f>FJ1</f>
        <v>44104</v>
      </c>
      <c r="FK38" s="49">
        <f>FK1</f>
        <v>44105</v>
      </c>
      <c r="FL38" s="49">
        <f>FL1</f>
        <v>44106</v>
      </c>
      <c r="FM38" s="49">
        <f>FM1</f>
        <v>44107</v>
      </c>
      <c r="FN38" s="49">
        <f>FN1</f>
        <v>44108</v>
      </c>
      <c r="FO38" s="49">
        <f>FO1</f>
        <v>44109</v>
      </c>
      <c r="FP38" s="49">
        <f>FP1</f>
        <v>44110</v>
      </c>
      <c r="FQ38" s="49">
        <f>FQ1</f>
        <v>44111</v>
      </c>
      <c r="FR38" s="49">
        <f>FR1</f>
        <v>44112</v>
      </c>
      <c r="FS38" s="49">
        <f>FS1</f>
        <v>44113</v>
      </c>
      <c r="FT38" s="49">
        <f>FT1</f>
        <v>44114</v>
      </c>
      <c r="FU38" s="49">
        <f>FU1</f>
        <v>44115</v>
      </c>
      <c r="FV38" s="49">
        <f>FV1</f>
        <v>44116</v>
      </c>
      <c r="FW38" s="49">
        <f>FW1</f>
        <v>44117</v>
      </c>
      <c r="FX38" s="49">
        <f>FX1</f>
        <v>44118</v>
      </c>
      <c r="FY38" s="49">
        <f>FY1</f>
        <v>44119</v>
      </c>
      <c r="FZ38" s="49">
        <f>FZ1</f>
        <v>44120</v>
      </c>
      <c r="GA38" s="49">
        <f>GA1</f>
        <v>44121</v>
      </c>
      <c r="GB38" s="49">
        <f>GB1</f>
        <v>44122</v>
      </c>
      <c r="GC38" s="49">
        <f>GC1</f>
        <v>44123</v>
      </c>
      <c r="GD38" s="49">
        <f>GD1</f>
        <v>44124</v>
      </c>
      <c r="GE38" s="49">
        <f>GE1</f>
        <v>44125</v>
      </c>
      <c r="GF38" s="49">
        <f>GF1</f>
        <v>44126</v>
      </c>
      <c r="GG38" s="49">
        <f>GG1</f>
        <v>44127</v>
      </c>
      <c r="GH38" s="49">
        <f>GH1</f>
        <v>44128</v>
      </c>
      <c r="GI38" s="49">
        <f>GI1</f>
        <v>44129</v>
      </c>
      <c r="GJ38" s="49">
        <f>GJ1</f>
        <v>44130</v>
      </c>
      <c r="GK38" s="49">
        <f>GK1</f>
        <v>44131</v>
      </c>
      <c r="GL38" s="49">
        <f>GL1</f>
        <v>44132</v>
      </c>
      <c r="GM38" s="49">
        <f>GM1</f>
        <v>44133</v>
      </c>
      <c r="GN38" s="49">
        <f>GN1</f>
        <v>44134</v>
      </c>
      <c r="GO38" s="49">
        <f>GO1</f>
        <v>44135</v>
      </c>
      <c r="GP38" s="49">
        <f>GP1</f>
        <v>44136</v>
      </c>
      <c r="GQ38" s="49">
        <f>GQ1</f>
        <v>44137</v>
      </c>
      <c r="GR38" s="49">
        <f>GR1</f>
        <v>44138</v>
      </c>
      <c r="GS38" s="49">
        <f>GS1</f>
        <v>44139</v>
      </c>
      <c r="GT38" s="49">
        <f>GT1</f>
        <v>44140</v>
      </c>
      <c r="GU38" s="49">
        <f>GU1</f>
        <v>44141</v>
      </c>
      <c r="GV38" s="49">
        <f>GV1</f>
        <v>44142</v>
      </c>
      <c r="GW38" s="49">
        <f>GW1</f>
        <v>44143</v>
      </c>
      <c r="GX38" s="49">
        <f>GX1</f>
        <v>44144</v>
      </c>
      <c r="GY38" s="49">
        <f>GY1</f>
        <v>44145</v>
      </c>
      <c r="GZ38" s="49">
        <f>GZ1</f>
        <v>44146</v>
      </c>
      <c r="HA38" s="49">
        <f>HA1</f>
        <v>44147</v>
      </c>
      <c r="HB38" s="49">
        <f>HB1</f>
        <v>44148</v>
      </c>
      <c r="HC38" s="49">
        <f>HC1</f>
        <v>44149</v>
      </c>
      <c r="HD38" s="49">
        <f>HD1</f>
        <v>44150</v>
      </c>
      <c r="HE38" s="49">
        <f>HE1</f>
        <v>44151</v>
      </c>
      <c r="HF38" s="49">
        <f>HF1</f>
        <v>44152</v>
      </c>
      <c r="HG38" s="49">
        <f>HG1</f>
        <v>44153</v>
      </c>
      <c r="HH38" s="49">
        <f>HH1</f>
        <v>44154</v>
      </c>
      <c r="HI38" s="49">
        <f>HI1</f>
        <v>44155</v>
      </c>
      <c r="HJ38" s="49">
        <f>HJ1</f>
        <v>44156</v>
      </c>
      <c r="HK38" s="49">
        <f>HK1</f>
        <v>44157</v>
      </c>
      <c r="HL38" s="49">
        <f>HL1</f>
        <v>44158</v>
      </c>
      <c r="HM38" s="49">
        <f>HM1</f>
        <v>44159</v>
      </c>
      <c r="HN38" s="49">
        <f>HN1</f>
        <v>44160</v>
      </c>
      <c r="HO38" s="49">
        <f>HO1</f>
        <v>44161</v>
      </c>
      <c r="HP38" s="49">
        <f>HP1</f>
        <v>44162</v>
      </c>
      <c r="HQ38" s="49">
        <f>HQ1</f>
        <v>44163</v>
      </c>
      <c r="HR38" s="49">
        <f>HR1</f>
        <v>44164</v>
      </c>
      <c r="HS38" s="49">
        <f>HS1</f>
        <v>44165</v>
      </c>
      <c r="HT38" s="49">
        <f>HT1</f>
        <v>44166</v>
      </c>
      <c r="HU38" s="49">
        <f>HU1</f>
        <v>44167</v>
      </c>
      <c r="HV38" s="49">
        <f>HV1</f>
        <v>44168</v>
      </c>
      <c r="HW38" s="49">
        <f>HW1</f>
        <v>44169</v>
      </c>
      <c r="HX38" s="49">
        <f>HX1</f>
        <v>44170</v>
      </c>
      <c r="HY38" s="49">
        <f>HY1</f>
        <v>44171</v>
      </c>
      <c r="HZ38" s="49">
        <f>HZ1</f>
        <v>44172</v>
      </c>
      <c r="IA38" s="49">
        <f>IA1</f>
        <v>44173</v>
      </c>
      <c r="IB38" s="49">
        <f>IB1</f>
        <v>44174</v>
      </c>
      <c r="IC38" s="49">
        <f>IC1</f>
        <v>44175</v>
      </c>
      <c r="ID38" s="49">
        <f>ID1</f>
        <v>44176</v>
      </c>
      <c r="IE38" s="49">
        <f>IE1</f>
        <v>44177</v>
      </c>
      <c r="IF38" s="49">
        <f>IF1</f>
        <v>44178</v>
      </c>
      <c r="IG38" s="49">
        <f>IG1</f>
        <v>44179</v>
      </c>
      <c r="IH38" s="49">
        <f>IH1</f>
        <v>44180</v>
      </c>
      <c r="II38" s="49">
        <f>II1</f>
        <v>44181</v>
      </c>
      <c r="IJ38" s="49">
        <f>IJ1</f>
        <v>44182</v>
      </c>
      <c r="IK38" s="49">
        <f>IK1</f>
        <v>44183</v>
      </c>
      <c r="IL38" s="49">
        <f>IL1</f>
        <v>44184</v>
      </c>
      <c r="IM38" s="49">
        <f>IM1</f>
        <v>44185</v>
      </c>
      <c r="IN38" s="49">
        <f>IN1</f>
        <v>44186</v>
      </c>
      <c r="IO38" s="49">
        <f>IO1</f>
        <v>44187</v>
      </c>
      <c r="IP38" s="49">
        <f>IP1</f>
        <v>44188</v>
      </c>
      <c r="IQ38" s="49">
        <f>IQ1</f>
        <v>44189</v>
      </c>
      <c r="IR38" s="49">
        <f>IR1</f>
        <v>44190</v>
      </c>
      <c r="IS38" s="49">
        <f>IS1</f>
        <v>44191</v>
      </c>
      <c r="IT38" s="49">
        <f>IT1</f>
        <v>44192</v>
      </c>
      <c r="IU38" s="49">
        <f>IU1</f>
        <v>44193</v>
      </c>
      <c r="IV38" s="49">
        <f>IV1</f>
        <v>44194</v>
      </c>
      <c r="IW38" s="49">
        <f>IW1</f>
        <v>44195</v>
      </c>
      <c r="IX38" s="49">
        <f>IX1</f>
        <v>44196</v>
      </c>
      <c r="IY38" s="49">
        <f>IY1</f>
        <v>44197</v>
      </c>
      <c r="IZ38" s="49">
        <f>IZ1</f>
        <v>44198</v>
      </c>
      <c r="JA38" s="49">
        <f>JA1</f>
        <v>44199</v>
      </c>
      <c r="JB38" s="49">
        <f>JB1</f>
        <v>44200</v>
      </c>
      <c r="JC38" s="49">
        <f>JC1</f>
        <v>44201</v>
      </c>
      <c r="JD38" s="49">
        <f>JD1</f>
        <v>44202</v>
      </c>
      <c r="JE38" s="49">
        <f>JE1</f>
        <v>44203</v>
      </c>
      <c r="JF38" s="49">
        <f>JF1</f>
        <v>44204</v>
      </c>
      <c r="JG38" s="49">
        <f>JG1</f>
        <v>44205</v>
      </c>
      <c r="JH38" s="49">
        <f>JH1</f>
        <v>44206</v>
      </c>
      <c r="JI38" s="49">
        <f>JI1</f>
        <v>44207</v>
      </c>
      <c r="JJ38" s="49">
        <f>JJ1</f>
        <v>44208</v>
      </c>
      <c r="JK38" s="49">
        <f>JK1</f>
        <v>44209</v>
      </c>
      <c r="JL38" s="49">
        <f>JL1</f>
        <v>44210</v>
      </c>
      <c r="JM38" s="49">
        <f>JM1</f>
        <v>44211</v>
      </c>
      <c r="JN38" s="49">
        <f>JN1</f>
        <v>44212</v>
      </c>
      <c r="JO38" s="49">
        <f>JO1</f>
        <v>44213</v>
      </c>
      <c r="JP38" s="49">
        <f>JP1</f>
        <v>44214</v>
      </c>
      <c r="JQ38" s="49">
        <f>JQ1</f>
        <v>44215</v>
      </c>
      <c r="JR38" s="49">
        <f>JR1</f>
        <v>44216</v>
      </c>
      <c r="JS38" s="49">
        <f>JS1</f>
        <v>44217</v>
      </c>
      <c r="JT38" s="49">
        <f>JT1</f>
        <v>44218</v>
      </c>
      <c r="JU38" s="49">
        <f>JU1</f>
        <v>44219</v>
      </c>
      <c r="JV38" s="49">
        <f>JV1</f>
        <v>44220</v>
      </c>
      <c r="JW38" s="49">
        <f>JW1</f>
        <v>44221</v>
      </c>
      <c r="JX38" s="49">
        <f>JX1</f>
        <v>44222</v>
      </c>
      <c r="JY38" s="49">
        <f>JY1</f>
        <v>44223</v>
      </c>
      <c r="JZ38" s="49">
        <f>JZ1</f>
        <v>44224</v>
      </c>
      <c r="KA38" s="49">
        <f>KA1</f>
        <v>44225</v>
      </c>
      <c r="KB38" s="49">
        <f>KB1</f>
        <v>44226</v>
      </c>
      <c r="KC38" s="49">
        <f>KC1</f>
        <v>44227</v>
      </c>
      <c r="KD38" s="49">
        <f>KD1</f>
        <v>44228</v>
      </c>
      <c r="KE38" s="49">
        <f>KE1</f>
        <v>44229</v>
      </c>
      <c r="KF38" s="49">
        <f>KF1</f>
        <v>44230</v>
      </c>
      <c r="KG38" s="49">
        <f>KG1</f>
        <v>44231</v>
      </c>
      <c r="KH38" s="49">
        <f>KH1</f>
        <v>44232</v>
      </c>
      <c r="KI38" s="49">
        <f>KI1</f>
        <v>44233</v>
      </c>
      <c r="KJ38" s="49">
        <f>KJ1</f>
        <v>44234</v>
      </c>
      <c r="KK38" s="49">
        <f>KK1</f>
        <v>44235</v>
      </c>
      <c r="KL38" s="49">
        <f>KL1</f>
        <v>44236</v>
      </c>
      <c r="KM38" s="49">
        <f>KM1</f>
        <v>44237</v>
      </c>
      <c r="KN38" s="49">
        <f>KN1</f>
        <v>44238</v>
      </c>
      <c r="KO38" s="49">
        <f>KO1</f>
        <v>44239</v>
      </c>
      <c r="KP38" s="49">
        <f>KP1</f>
        <v>44240</v>
      </c>
      <c r="KQ38" s="49">
        <f>KQ1</f>
        <v>44241</v>
      </c>
      <c r="KR38" s="49">
        <f>KR1</f>
        <v>44242</v>
      </c>
      <c r="KS38" s="49">
        <f>KS1</f>
        <v>44243</v>
      </c>
      <c r="KT38" s="49">
        <f>KT1</f>
        <v>44244</v>
      </c>
      <c r="KU38" s="49">
        <f>KU1</f>
        <v>44245</v>
      </c>
      <c r="KV38" s="49">
        <f>KV1</f>
        <v>44246</v>
      </c>
      <c r="KW38" s="49">
        <f>KW1</f>
        <v>44247</v>
      </c>
      <c r="KX38" s="49">
        <f>KX1</f>
        <v>44248</v>
      </c>
      <c r="KY38" s="49">
        <f>KY1</f>
        <v>44249</v>
      </c>
      <c r="KZ38" s="49">
        <f>KZ1</f>
        <v>44250</v>
      </c>
      <c r="LA38" s="49">
        <f>LA1</f>
        <v>44251</v>
      </c>
      <c r="LB38" s="49">
        <f>LB1</f>
        <v>44252</v>
      </c>
      <c r="LC38" s="49">
        <f>LC1</f>
        <v>44253</v>
      </c>
      <c r="LD38" s="49">
        <f>LD1</f>
        <v>44254</v>
      </c>
      <c r="LE38" s="49">
        <f>LE1</f>
        <v>44255</v>
      </c>
      <c r="LF38" s="49">
        <f>LF1</f>
        <v>44256</v>
      </c>
      <c r="LG38" s="49">
        <f>LG1</f>
        <v>44257</v>
      </c>
      <c r="LH38" s="49">
        <f>LH1</f>
        <v>44258</v>
      </c>
      <c r="LI38" s="49">
        <f>LI1</f>
        <v>44259</v>
      </c>
      <c r="LJ38" s="49">
        <f>LJ1</f>
        <v>44260</v>
      </c>
      <c r="LK38" s="49">
        <f>LK1</f>
        <v>44261</v>
      </c>
      <c r="LL38" s="49">
        <f>LL1</f>
        <v>44262</v>
      </c>
      <c r="LM38" s="49">
        <f>LM1</f>
        <v>44263</v>
      </c>
      <c r="LN38" s="49">
        <f>LN1</f>
        <v>44264</v>
      </c>
      <c r="LO38" s="49">
        <f>LO1</f>
        <v>44265</v>
      </c>
      <c r="LP38" s="49">
        <f>LP1</f>
        <v>44266</v>
      </c>
      <c r="LQ38" s="49">
        <f>LQ1</f>
        <v>44267</v>
      </c>
      <c r="LR38" s="49">
        <f>LR1</f>
        <v>44268</v>
      </c>
      <c r="LS38" s="49">
        <f>LS1</f>
        <v>44269</v>
      </c>
      <c r="LT38" s="49">
        <f>LT1</f>
        <v>44270</v>
      </c>
      <c r="LU38" s="49">
        <f>LU1</f>
        <v>44271</v>
      </c>
      <c r="LV38" s="49">
        <f>LV1</f>
        <v>44272</v>
      </c>
      <c r="LW38" s="49">
        <f>LW1</f>
        <v>44273</v>
      </c>
      <c r="LX38" s="49">
        <f>LX1</f>
        <v>44274</v>
      </c>
      <c r="LY38" s="49">
        <f>LY1</f>
        <v>44275</v>
      </c>
      <c r="LZ38" s="49">
        <f>LZ1</f>
        <v>44276</v>
      </c>
      <c r="MA38" s="49">
        <f>MA1</f>
        <v>44277</v>
      </c>
      <c r="MB38" s="49">
        <f>MB1</f>
        <v>44278</v>
      </c>
      <c r="MC38" s="49">
        <f>MC1</f>
        <v>44279</v>
      </c>
      <c r="MD38" s="49">
        <f>MD1</f>
        <v>44280</v>
      </c>
      <c r="ME38" s="49">
        <f>ME1</f>
        <v>44281</v>
      </c>
      <c r="MF38" s="49">
        <f>MF1</f>
        <v>44282</v>
      </c>
      <c r="MG38" s="49">
        <f>MG1</f>
        <v>44283</v>
      </c>
      <c r="MH38" s="49">
        <f>MH1</f>
        <v>44284</v>
      </c>
      <c r="MI38" s="49">
        <f>MI1</f>
        <v>44285</v>
      </c>
      <c r="MJ38" s="49">
        <f>MJ1</f>
        <v>44286</v>
      </c>
      <c r="MK38" s="49">
        <f>MK1</f>
        <v>44287</v>
      </c>
      <c r="ML38" s="49">
        <f>ML1</f>
        <v>44288</v>
      </c>
      <c r="MM38" s="49">
        <f>MM1</f>
        <v>44289</v>
      </c>
      <c r="MN38" s="49">
        <f>MN1</f>
        <v>44290</v>
      </c>
    </row>
    <row r="39" spans="1:352" ht="15" customHeight="1" x14ac:dyDescent="0.25">
      <c r="A39" s="144" t="s">
        <v>144</v>
      </c>
      <c r="B39" s="144"/>
      <c r="C39" s="144"/>
      <c r="D39" s="144"/>
      <c r="E39" s="145"/>
      <c r="F39" s="36"/>
      <c r="G39" s="36"/>
      <c r="H39" s="36"/>
      <c r="I39" s="36"/>
      <c r="J39" s="36"/>
      <c r="K39" s="36"/>
      <c r="L39" s="36"/>
      <c r="M39" s="36"/>
      <c r="N39" s="36"/>
      <c r="O39" s="35"/>
      <c r="P39" s="155" t="s">
        <v>49</v>
      </c>
      <c r="Q39" s="155" t="s">
        <v>48</v>
      </c>
      <c r="R39" s="156"/>
      <c r="S39" s="54">
        <f>S38</f>
        <v>43975</v>
      </c>
      <c r="T39" s="55">
        <f t="shared" ref="T39:BV39" si="322">T38</f>
        <v>43976</v>
      </c>
      <c r="U39" s="54">
        <f t="shared" si="322"/>
        <v>43977</v>
      </c>
      <c r="V39" s="54">
        <f t="shared" si="322"/>
        <v>43978</v>
      </c>
      <c r="W39" s="54">
        <f t="shared" si="322"/>
        <v>43979</v>
      </c>
      <c r="X39" s="54">
        <f t="shared" si="322"/>
        <v>43980</v>
      </c>
      <c r="Y39" s="54">
        <f t="shared" si="322"/>
        <v>43981</v>
      </c>
      <c r="Z39" s="53">
        <f t="shared" si="322"/>
        <v>43982</v>
      </c>
      <c r="AA39" s="54">
        <f t="shared" si="322"/>
        <v>43983</v>
      </c>
      <c r="AB39" s="54">
        <f t="shared" si="322"/>
        <v>43984</v>
      </c>
      <c r="AC39" s="54">
        <f t="shared" si="322"/>
        <v>43985</v>
      </c>
      <c r="AD39" s="54">
        <f t="shared" si="322"/>
        <v>43986</v>
      </c>
      <c r="AE39" s="54">
        <f t="shared" si="322"/>
        <v>43987</v>
      </c>
      <c r="AF39" s="54">
        <f t="shared" si="322"/>
        <v>43988</v>
      </c>
      <c r="AG39" s="53">
        <f t="shared" si="322"/>
        <v>43989</v>
      </c>
      <c r="AH39" s="54">
        <f t="shared" si="322"/>
        <v>43990</v>
      </c>
      <c r="AI39" s="54">
        <f t="shared" si="322"/>
        <v>43991</v>
      </c>
      <c r="AJ39" s="54">
        <f t="shared" si="322"/>
        <v>43992</v>
      </c>
      <c r="AK39" s="54">
        <f t="shared" si="322"/>
        <v>43993</v>
      </c>
      <c r="AL39" s="54">
        <f t="shared" si="322"/>
        <v>43994</v>
      </c>
      <c r="AM39" s="54">
        <f t="shared" si="322"/>
        <v>43995</v>
      </c>
      <c r="AN39" s="53">
        <f t="shared" si="322"/>
        <v>43996</v>
      </c>
      <c r="AO39" s="54">
        <f t="shared" si="322"/>
        <v>43997</v>
      </c>
      <c r="AP39" s="54">
        <f t="shared" si="322"/>
        <v>43998</v>
      </c>
      <c r="AQ39" s="54">
        <f t="shared" si="322"/>
        <v>43999</v>
      </c>
      <c r="AR39" s="54">
        <f t="shared" si="322"/>
        <v>44000</v>
      </c>
      <c r="AS39" s="54">
        <f t="shared" si="322"/>
        <v>44001</v>
      </c>
      <c r="AT39" s="54">
        <f t="shared" si="322"/>
        <v>44002</v>
      </c>
      <c r="AU39" s="53">
        <f t="shared" si="322"/>
        <v>44003</v>
      </c>
      <c r="AV39" s="54">
        <f t="shared" si="322"/>
        <v>44004</v>
      </c>
      <c r="AW39" s="54">
        <f t="shared" si="322"/>
        <v>44005</v>
      </c>
      <c r="AX39" s="54">
        <f t="shared" si="322"/>
        <v>44006</v>
      </c>
      <c r="AY39" s="54">
        <f t="shared" si="322"/>
        <v>44007</v>
      </c>
      <c r="AZ39" s="54">
        <f t="shared" si="322"/>
        <v>44008</v>
      </c>
      <c r="BA39" s="54">
        <f t="shared" si="322"/>
        <v>44009</v>
      </c>
      <c r="BB39" s="53">
        <f t="shared" si="322"/>
        <v>44010</v>
      </c>
      <c r="BC39" s="54">
        <f t="shared" si="322"/>
        <v>44011</v>
      </c>
      <c r="BD39" s="54">
        <f t="shared" si="322"/>
        <v>44012</v>
      </c>
      <c r="BE39" s="54">
        <f t="shared" si="322"/>
        <v>44013</v>
      </c>
      <c r="BF39" s="54">
        <f t="shared" si="322"/>
        <v>44014</v>
      </c>
      <c r="BG39" s="54">
        <f t="shared" si="322"/>
        <v>44015</v>
      </c>
      <c r="BH39" s="54">
        <f t="shared" si="322"/>
        <v>44016</v>
      </c>
      <c r="BI39" s="53">
        <f t="shared" si="322"/>
        <v>44017</v>
      </c>
      <c r="BJ39" s="54">
        <f t="shared" si="322"/>
        <v>44018</v>
      </c>
      <c r="BK39" s="54">
        <f t="shared" si="322"/>
        <v>44019</v>
      </c>
      <c r="BL39" s="54">
        <f t="shared" si="322"/>
        <v>44020</v>
      </c>
      <c r="BM39" s="54">
        <f t="shared" si="322"/>
        <v>44021</v>
      </c>
      <c r="BN39" s="54">
        <f t="shared" si="322"/>
        <v>44022</v>
      </c>
      <c r="BO39" s="54">
        <f t="shared" si="322"/>
        <v>44023</v>
      </c>
      <c r="BP39" s="53">
        <v>12</v>
      </c>
      <c r="BQ39" s="54">
        <f t="shared" si="322"/>
        <v>44025</v>
      </c>
      <c r="BR39" s="54">
        <f t="shared" si="322"/>
        <v>44026</v>
      </c>
      <c r="BS39" s="54">
        <f t="shared" si="322"/>
        <v>44027</v>
      </c>
      <c r="BT39" s="54">
        <f t="shared" si="322"/>
        <v>44028</v>
      </c>
      <c r="BU39" s="54">
        <f t="shared" si="322"/>
        <v>44029</v>
      </c>
      <c r="BV39" s="54">
        <f t="shared" si="322"/>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23">DS38</f>
        <v>44067</v>
      </c>
      <c r="DT39" s="54">
        <f t="shared" si="323"/>
        <v>44068</v>
      </c>
      <c r="DU39" s="54">
        <f t="shared" si="323"/>
        <v>44069</v>
      </c>
      <c r="DV39" s="54">
        <f t="shared" si="323"/>
        <v>44070</v>
      </c>
      <c r="DW39" s="54">
        <f t="shared" si="323"/>
        <v>44071</v>
      </c>
      <c r="DX39" s="54">
        <f t="shared" ref="DX39:DY39" si="324">DX38</f>
        <v>44072</v>
      </c>
      <c r="DY39" s="54">
        <f t="shared" si="324"/>
        <v>44073</v>
      </c>
      <c r="DZ39" s="54"/>
      <c r="EA39" s="53"/>
      <c r="EB39" s="54">
        <f t="shared" si="323"/>
        <v>44074</v>
      </c>
      <c r="EC39" s="54">
        <f t="shared" si="323"/>
        <v>44075</v>
      </c>
      <c r="ED39" s="54">
        <f t="shared" si="323"/>
        <v>44076</v>
      </c>
      <c r="EE39" s="54">
        <f t="shared" si="323"/>
        <v>44077</v>
      </c>
      <c r="EF39" s="54">
        <f t="shared" si="323"/>
        <v>44078</v>
      </c>
      <c r="EG39" s="54">
        <f t="shared" si="323"/>
        <v>44079</v>
      </c>
      <c r="EH39" s="54">
        <f t="shared" si="323"/>
        <v>44080</v>
      </c>
      <c r="EI39" s="54"/>
      <c r="EJ39" s="53"/>
      <c r="EK39" s="54">
        <f t="shared" si="323"/>
        <v>44081</v>
      </c>
      <c r="EL39" s="54">
        <f t="shared" si="323"/>
        <v>44082</v>
      </c>
      <c r="EM39" s="54">
        <f t="shared" si="323"/>
        <v>44083</v>
      </c>
      <c r="EN39" s="54">
        <f t="shared" si="323"/>
        <v>44084</v>
      </c>
      <c r="EO39" s="54">
        <f t="shared" si="323"/>
        <v>44085</v>
      </c>
      <c r="EP39" s="54">
        <f t="shared" si="323"/>
        <v>44086</v>
      </c>
      <c r="EQ39" s="54">
        <f t="shared" si="323"/>
        <v>44087</v>
      </c>
      <c r="ER39" s="54"/>
      <c r="ES39" s="53"/>
      <c r="ET39" s="54">
        <f t="shared" si="323"/>
        <v>44088</v>
      </c>
      <c r="EU39" s="54">
        <f t="shared" si="323"/>
        <v>44089</v>
      </c>
      <c r="EV39" s="54">
        <f t="shared" si="323"/>
        <v>44090</v>
      </c>
      <c r="EW39" s="54">
        <f t="shared" si="323"/>
        <v>44091</v>
      </c>
      <c r="EX39" s="54">
        <f t="shared" si="323"/>
        <v>44092</v>
      </c>
      <c r="EY39" s="54">
        <f t="shared" si="323"/>
        <v>44093</v>
      </c>
      <c r="EZ39" s="53">
        <f t="shared" si="323"/>
        <v>44094</v>
      </c>
      <c r="FA39" s="54">
        <f t="shared" si="323"/>
        <v>44095</v>
      </c>
      <c r="FB39" s="54">
        <f t="shared" si="323"/>
        <v>44096</v>
      </c>
      <c r="FC39" s="54">
        <f t="shared" si="323"/>
        <v>44097</v>
      </c>
      <c r="FD39" s="54">
        <f t="shared" si="323"/>
        <v>44098</v>
      </c>
      <c r="FE39" s="54">
        <f t="shared" si="323"/>
        <v>44099</v>
      </c>
      <c r="FF39" s="54">
        <f t="shared" si="323"/>
        <v>44100</v>
      </c>
      <c r="FG39" s="53">
        <f t="shared" si="323"/>
        <v>44101</v>
      </c>
      <c r="FH39" s="54">
        <f t="shared" si="323"/>
        <v>44102</v>
      </c>
      <c r="FI39" s="54">
        <f t="shared" ref="FI39:HT39" si="325">FI38</f>
        <v>44103</v>
      </c>
      <c r="FJ39" s="54">
        <f t="shared" si="325"/>
        <v>44104</v>
      </c>
      <c r="FK39" s="54">
        <f t="shared" si="325"/>
        <v>44105</v>
      </c>
      <c r="FL39" s="54">
        <f t="shared" si="325"/>
        <v>44106</v>
      </c>
      <c r="FM39" s="54">
        <f t="shared" si="325"/>
        <v>44107</v>
      </c>
      <c r="FN39" s="53">
        <f t="shared" si="325"/>
        <v>44108</v>
      </c>
      <c r="FO39" s="54">
        <f t="shared" si="325"/>
        <v>44109</v>
      </c>
      <c r="FP39" s="54">
        <f t="shared" si="325"/>
        <v>44110</v>
      </c>
      <c r="FQ39" s="54">
        <f t="shared" si="325"/>
        <v>44111</v>
      </c>
      <c r="FR39" s="54">
        <f t="shared" si="325"/>
        <v>44112</v>
      </c>
      <c r="FS39" s="54">
        <f t="shared" si="325"/>
        <v>44113</v>
      </c>
      <c r="FT39" s="54">
        <f t="shared" si="325"/>
        <v>44114</v>
      </c>
      <c r="FU39" s="53">
        <f t="shared" si="325"/>
        <v>44115</v>
      </c>
      <c r="FV39" s="54">
        <f t="shared" si="325"/>
        <v>44116</v>
      </c>
      <c r="FW39" s="54">
        <f t="shared" si="325"/>
        <v>44117</v>
      </c>
      <c r="FX39" s="54">
        <f t="shared" si="325"/>
        <v>44118</v>
      </c>
      <c r="FY39" s="54">
        <f t="shared" si="325"/>
        <v>44119</v>
      </c>
      <c r="FZ39" s="54">
        <f t="shared" si="325"/>
        <v>44120</v>
      </c>
      <c r="GA39" s="54">
        <f t="shared" si="325"/>
        <v>44121</v>
      </c>
      <c r="GB39" s="53">
        <f t="shared" si="325"/>
        <v>44122</v>
      </c>
      <c r="GC39" s="54">
        <f t="shared" si="325"/>
        <v>44123</v>
      </c>
      <c r="GD39" s="54">
        <f t="shared" si="325"/>
        <v>44124</v>
      </c>
      <c r="GE39" s="54">
        <f t="shared" si="325"/>
        <v>44125</v>
      </c>
      <c r="GF39" s="54">
        <f t="shared" si="325"/>
        <v>44126</v>
      </c>
      <c r="GG39" s="54">
        <f t="shared" si="325"/>
        <v>44127</v>
      </c>
      <c r="GH39" s="54">
        <f t="shared" si="325"/>
        <v>44128</v>
      </c>
      <c r="GI39" s="53">
        <f t="shared" si="325"/>
        <v>44129</v>
      </c>
      <c r="GJ39" s="54">
        <f t="shared" si="325"/>
        <v>44130</v>
      </c>
      <c r="GK39" s="54">
        <f t="shared" si="325"/>
        <v>44131</v>
      </c>
      <c r="GL39" s="54">
        <f t="shared" si="325"/>
        <v>44132</v>
      </c>
      <c r="GM39" s="54">
        <f t="shared" si="325"/>
        <v>44133</v>
      </c>
      <c r="GN39" s="54">
        <f t="shared" si="325"/>
        <v>44134</v>
      </c>
      <c r="GO39" s="54">
        <f t="shared" si="325"/>
        <v>44135</v>
      </c>
      <c r="GP39" s="53">
        <f t="shared" si="325"/>
        <v>44136</v>
      </c>
      <c r="GQ39" s="54">
        <f t="shared" si="325"/>
        <v>44137</v>
      </c>
      <c r="GR39" s="54">
        <f t="shared" si="325"/>
        <v>44138</v>
      </c>
      <c r="GS39" s="54">
        <f t="shared" si="325"/>
        <v>44139</v>
      </c>
      <c r="GT39" s="54">
        <f t="shared" si="325"/>
        <v>44140</v>
      </c>
      <c r="GU39" s="54">
        <f t="shared" si="325"/>
        <v>44141</v>
      </c>
      <c r="GV39" s="54">
        <f t="shared" si="325"/>
        <v>44142</v>
      </c>
      <c r="GW39" s="53">
        <f t="shared" si="325"/>
        <v>44143</v>
      </c>
      <c r="GX39" s="54">
        <f t="shared" si="325"/>
        <v>44144</v>
      </c>
      <c r="GY39" s="54">
        <f t="shared" si="325"/>
        <v>44145</v>
      </c>
      <c r="GZ39" s="54">
        <f t="shared" si="325"/>
        <v>44146</v>
      </c>
      <c r="HA39" s="54">
        <f t="shared" si="325"/>
        <v>44147</v>
      </c>
      <c r="HB39" s="54">
        <f t="shared" si="325"/>
        <v>44148</v>
      </c>
      <c r="HC39" s="54">
        <f t="shared" si="325"/>
        <v>44149</v>
      </c>
      <c r="HD39" s="53">
        <f t="shared" si="325"/>
        <v>44150</v>
      </c>
      <c r="HE39" s="54">
        <f t="shared" si="325"/>
        <v>44151</v>
      </c>
      <c r="HF39" s="54">
        <f t="shared" si="325"/>
        <v>44152</v>
      </c>
      <c r="HG39" s="54">
        <f t="shared" si="325"/>
        <v>44153</v>
      </c>
      <c r="HH39" s="54">
        <f t="shared" si="325"/>
        <v>44154</v>
      </c>
      <c r="HI39" s="54">
        <f t="shared" si="325"/>
        <v>44155</v>
      </c>
      <c r="HJ39" s="54">
        <f t="shared" si="325"/>
        <v>44156</v>
      </c>
      <c r="HK39" s="53">
        <f t="shared" si="325"/>
        <v>44157</v>
      </c>
      <c r="HL39" s="54">
        <f t="shared" si="325"/>
        <v>44158</v>
      </c>
      <c r="HM39" s="54">
        <f t="shared" si="325"/>
        <v>44159</v>
      </c>
      <c r="HN39" s="54">
        <f t="shared" si="325"/>
        <v>44160</v>
      </c>
      <c r="HO39" s="54">
        <f t="shared" si="325"/>
        <v>44161</v>
      </c>
      <c r="HP39" s="54">
        <f t="shared" si="325"/>
        <v>44162</v>
      </c>
      <c r="HQ39" s="54">
        <f t="shared" si="325"/>
        <v>44163</v>
      </c>
      <c r="HR39" s="53">
        <f t="shared" si="325"/>
        <v>44164</v>
      </c>
      <c r="HS39" s="54">
        <f t="shared" si="325"/>
        <v>44165</v>
      </c>
      <c r="HT39" s="54">
        <f t="shared" si="325"/>
        <v>44166</v>
      </c>
      <c r="HU39" s="54">
        <f t="shared" ref="HU39:KF39" si="326">HU38</f>
        <v>44167</v>
      </c>
      <c r="HV39" s="54">
        <f t="shared" si="326"/>
        <v>44168</v>
      </c>
      <c r="HW39" s="54">
        <f t="shared" si="326"/>
        <v>44169</v>
      </c>
      <c r="HX39" s="54">
        <f t="shared" si="326"/>
        <v>44170</v>
      </c>
      <c r="HY39" s="53">
        <f t="shared" si="326"/>
        <v>44171</v>
      </c>
      <c r="HZ39" s="54">
        <f t="shared" si="326"/>
        <v>44172</v>
      </c>
      <c r="IA39" s="54">
        <f t="shared" si="326"/>
        <v>44173</v>
      </c>
      <c r="IB39" s="54">
        <f t="shared" si="326"/>
        <v>44174</v>
      </c>
      <c r="IC39" s="54">
        <f t="shared" si="326"/>
        <v>44175</v>
      </c>
      <c r="ID39" s="54">
        <f t="shared" si="326"/>
        <v>44176</v>
      </c>
      <c r="IE39" s="54">
        <f t="shared" si="326"/>
        <v>44177</v>
      </c>
      <c r="IF39" s="53">
        <f t="shared" si="326"/>
        <v>44178</v>
      </c>
      <c r="IG39" s="54">
        <f t="shared" si="326"/>
        <v>44179</v>
      </c>
      <c r="IH39" s="54">
        <f t="shared" si="326"/>
        <v>44180</v>
      </c>
      <c r="II39" s="54">
        <f t="shared" si="326"/>
        <v>44181</v>
      </c>
      <c r="IJ39" s="54">
        <f t="shared" si="326"/>
        <v>44182</v>
      </c>
      <c r="IK39" s="54">
        <f t="shared" si="326"/>
        <v>44183</v>
      </c>
      <c r="IL39" s="54">
        <f t="shared" si="326"/>
        <v>44184</v>
      </c>
      <c r="IM39" s="53">
        <f t="shared" si="326"/>
        <v>44185</v>
      </c>
      <c r="IN39" s="54">
        <f t="shared" si="326"/>
        <v>44186</v>
      </c>
      <c r="IO39" s="54">
        <f t="shared" si="326"/>
        <v>44187</v>
      </c>
      <c r="IP39" s="54">
        <f t="shared" si="326"/>
        <v>44188</v>
      </c>
      <c r="IQ39" s="54">
        <f t="shared" si="326"/>
        <v>44189</v>
      </c>
      <c r="IR39" s="54">
        <f t="shared" si="326"/>
        <v>44190</v>
      </c>
      <c r="IS39" s="54">
        <f t="shared" si="326"/>
        <v>44191</v>
      </c>
      <c r="IT39" s="53">
        <f t="shared" si="326"/>
        <v>44192</v>
      </c>
      <c r="IU39" s="54">
        <f t="shared" si="326"/>
        <v>44193</v>
      </c>
      <c r="IV39" s="54">
        <f t="shared" si="326"/>
        <v>44194</v>
      </c>
      <c r="IW39" s="54">
        <f t="shared" si="326"/>
        <v>44195</v>
      </c>
      <c r="IX39" s="54">
        <f t="shared" si="326"/>
        <v>44196</v>
      </c>
      <c r="IY39" s="54">
        <f t="shared" si="326"/>
        <v>44197</v>
      </c>
      <c r="IZ39" s="54">
        <f t="shared" si="326"/>
        <v>44198</v>
      </c>
      <c r="JA39" s="53">
        <f t="shared" si="326"/>
        <v>44199</v>
      </c>
      <c r="JB39" s="54">
        <f t="shared" si="326"/>
        <v>44200</v>
      </c>
      <c r="JC39" s="54">
        <f t="shared" si="326"/>
        <v>44201</v>
      </c>
      <c r="JD39" s="54">
        <f t="shared" si="326"/>
        <v>44202</v>
      </c>
      <c r="JE39" s="54">
        <f t="shared" si="326"/>
        <v>44203</v>
      </c>
      <c r="JF39" s="54">
        <f t="shared" si="326"/>
        <v>44204</v>
      </c>
      <c r="JG39" s="54">
        <f t="shared" si="326"/>
        <v>44205</v>
      </c>
      <c r="JH39" s="53">
        <f t="shared" si="326"/>
        <v>44206</v>
      </c>
      <c r="JI39" s="54">
        <f t="shared" si="326"/>
        <v>44207</v>
      </c>
      <c r="JJ39" s="54">
        <f t="shared" si="326"/>
        <v>44208</v>
      </c>
      <c r="JK39" s="54">
        <f t="shared" si="326"/>
        <v>44209</v>
      </c>
      <c r="JL39" s="54">
        <f t="shared" si="326"/>
        <v>44210</v>
      </c>
      <c r="JM39" s="54">
        <f t="shared" si="326"/>
        <v>44211</v>
      </c>
      <c r="JN39" s="54">
        <f t="shared" si="326"/>
        <v>44212</v>
      </c>
      <c r="JO39" s="53">
        <f t="shared" si="326"/>
        <v>44213</v>
      </c>
      <c r="JP39" s="54">
        <f t="shared" si="326"/>
        <v>44214</v>
      </c>
      <c r="JQ39" s="54">
        <f t="shared" si="326"/>
        <v>44215</v>
      </c>
      <c r="JR39" s="54">
        <f t="shared" si="326"/>
        <v>44216</v>
      </c>
      <c r="JS39" s="54">
        <f t="shared" si="326"/>
        <v>44217</v>
      </c>
      <c r="JT39" s="54">
        <f t="shared" si="326"/>
        <v>44218</v>
      </c>
      <c r="JU39" s="54">
        <f t="shared" si="326"/>
        <v>44219</v>
      </c>
      <c r="JV39" s="53">
        <f t="shared" si="326"/>
        <v>44220</v>
      </c>
      <c r="JW39" s="54">
        <f t="shared" si="326"/>
        <v>44221</v>
      </c>
      <c r="JX39" s="54">
        <f t="shared" si="326"/>
        <v>44222</v>
      </c>
      <c r="JY39" s="54">
        <f t="shared" si="326"/>
        <v>44223</v>
      </c>
      <c r="JZ39" s="54">
        <f t="shared" si="326"/>
        <v>44224</v>
      </c>
      <c r="KA39" s="54">
        <f t="shared" si="326"/>
        <v>44225</v>
      </c>
      <c r="KB39" s="54">
        <f t="shared" si="326"/>
        <v>44226</v>
      </c>
      <c r="KC39" s="53">
        <f t="shared" si="326"/>
        <v>44227</v>
      </c>
      <c r="KD39" s="54">
        <f t="shared" si="326"/>
        <v>44228</v>
      </c>
      <c r="KE39" s="54">
        <f t="shared" si="326"/>
        <v>44229</v>
      </c>
      <c r="KF39" s="54">
        <f t="shared" si="326"/>
        <v>44230</v>
      </c>
      <c r="KG39" s="54">
        <f t="shared" ref="KG39:MN39" si="327">KG38</f>
        <v>44231</v>
      </c>
      <c r="KH39" s="54">
        <f t="shared" si="327"/>
        <v>44232</v>
      </c>
      <c r="KI39" s="54">
        <f t="shared" si="327"/>
        <v>44233</v>
      </c>
      <c r="KJ39" s="53">
        <f t="shared" si="327"/>
        <v>44234</v>
      </c>
      <c r="KK39" s="54">
        <f t="shared" si="327"/>
        <v>44235</v>
      </c>
      <c r="KL39" s="54">
        <f t="shared" si="327"/>
        <v>44236</v>
      </c>
      <c r="KM39" s="54">
        <f t="shared" si="327"/>
        <v>44237</v>
      </c>
      <c r="KN39" s="54">
        <f t="shared" si="327"/>
        <v>44238</v>
      </c>
      <c r="KO39" s="54">
        <f t="shared" si="327"/>
        <v>44239</v>
      </c>
      <c r="KP39" s="54">
        <f t="shared" si="327"/>
        <v>44240</v>
      </c>
      <c r="KQ39" s="53">
        <f t="shared" si="327"/>
        <v>44241</v>
      </c>
      <c r="KR39" s="54">
        <f t="shared" si="327"/>
        <v>44242</v>
      </c>
      <c r="KS39" s="54">
        <f t="shared" si="327"/>
        <v>44243</v>
      </c>
      <c r="KT39" s="54">
        <f t="shared" si="327"/>
        <v>44244</v>
      </c>
      <c r="KU39" s="54">
        <f t="shared" si="327"/>
        <v>44245</v>
      </c>
      <c r="KV39" s="54">
        <f t="shared" si="327"/>
        <v>44246</v>
      </c>
      <c r="KW39" s="54">
        <f t="shared" si="327"/>
        <v>44247</v>
      </c>
      <c r="KX39" s="53">
        <f t="shared" si="327"/>
        <v>44248</v>
      </c>
      <c r="KY39" s="54">
        <f t="shared" si="327"/>
        <v>44249</v>
      </c>
      <c r="KZ39" s="54">
        <f t="shared" si="327"/>
        <v>44250</v>
      </c>
      <c r="LA39" s="54">
        <f t="shared" si="327"/>
        <v>44251</v>
      </c>
      <c r="LB39" s="54">
        <f t="shared" si="327"/>
        <v>44252</v>
      </c>
      <c r="LC39" s="54">
        <f t="shared" si="327"/>
        <v>44253</v>
      </c>
      <c r="LD39" s="54">
        <f t="shared" si="327"/>
        <v>44254</v>
      </c>
      <c r="LE39" s="53">
        <f t="shared" si="327"/>
        <v>44255</v>
      </c>
      <c r="LF39" s="54">
        <f t="shared" si="327"/>
        <v>44256</v>
      </c>
      <c r="LG39" s="54">
        <f t="shared" si="327"/>
        <v>44257</v>
      </c>
      <c r="LH39" s="54">
        <f t="shared" si="327"/>
        <v>44258</v>
      </c>
      <c r="LI39" s="54">
        <f t="shared" si="327"/>
        <v>44259</v>
      </c>
      <c r="LJ39" s="54">
        <f t="shared" si="327"/>
        <v>44260</v>
      </c>
      <c r="LK39" s="54">
        <f t="shared" si="327"/>
        <v>44261</v>
      </c>
      <c r="LL39" s="53">
        <f t="shared" si="327"/>
        <v>44262</v>
      </c>
      <c r="LM39" s="54">
        <f t="shared" si="327"/>
        <v>44263</v>
      </c>
      <c r="LN39" s="54">
        <f t="shared" si="327"/>
        <v>44264</v>
      </c>
      <c r="LO39" s="54">
        <f t="shared" si="327"/>
        <v>44265</v>
      </c>
      <c r="LP39" s="54">
        <f t="shared" si="327"/>
        <v>44266</v>
      </c>
      <c r="LQ39" s="54">
        <f t="shared" si="327"/>
        <v>44267</v>
      </c>
      <c r="LR39" s="54">
        <f t="shared" si="327"/>
        <v>44268</v>
      </c>
      <c r="LS39" s="53">
        <f t="shared" si="327"/>
        <v>44269</v>
      </c>
      <c r="LT39" s="54">
        <f t="shared" si="327"/>
        <v>44270</v>
      </c>
      <c r="LU39" s="54">
        <f t="shared" si="327"/>
        <v>44271</v>
      </c>
      <c r="LV39" s="54">
        <f t="shared" si="327"/>
        <v>44272</v>
      </c>
      <c r="LW39" s="54">
        <f t="shared" si="327"/>
        <v>44273</v>
      </c>
      <c r="LX39" s="54">
        <f t="shared" si="327"/>
        <v>44274</v>
      </c>
      <c r="LY39" s="54">
        <f t="shared" si="327"/>
        <v>44275</v>
      </c>
      <c r="LZ39" s="53">
        <f t="shared" si="327"/>
        <v>44276</v>
      </c>
      <c r="MA39" s="54">
        <f t="shared" si="327"/>
        <v>44277</v>
      </c>
      <c r="MB39" s="54">
        <f t="shared" si="327"/>
        <v>44278</v>
      </c>
      <c r="MC39" s="54">
        <f t="shared" si="327"/>
        <v>44279</v>
      </c>
      <c r="MD39" s="54">
        <f t="shared" si="327"/>
        <v>44280</v>
      </c>
      <c r="ME39" s="54">
        <f t="shared" si="327"/>
        <v>44281</v>
      </c>
      <c r="MF39" s="54">
        <f t="shared" si="327"/>
        <v>44282</v>
      </c>
      <c r="MG39" s="53">
        <f t="shared" si="327"/>
        <v>44283</v>
      </c>
      <c r="MH39" s="54">
        <f t="shared" si="327"/>
        <v>44284</v>
      </c>
      <c r="MI39" s="54">
        <f t="shared" si="327"/>
        <v>44285</v>
      </c>
      <c r="MJ39" s="54">
        <f t="shared" si="327"/>
        <v>44286</v>
      </c>
      <c r="MK39" s="54">
        <f t="shared" si="327"/>
        <v>44287</v>
      </c>
      <c r="ML39" s="54">
        <f t="shared" si="327"/>
        <v>44288</v>
      </c>
      <c r="MM39" s="54">
        <f t="shared" si="327"/>
        <v>44289</v>
      </c>
      <c r="MN39" s="53">
        <f t="shared" si="327"/>
        <v>44290</v>
      </c>
    </row>
    <row r="40" spans="1:352" ht="15" customHeight="1" x14ac:dyDescent="0.25">
      <c r="A40" s="146"/>
      <c r="B40" s="146"/>
      <c r="C40" s="146"/>
      <c r="D40" s="146"/>
      <c r="E40" s="147"/>
      <c r="F40" s="19"/>
      <c r="G40" s="19"/>
      <c r="H40" s="19"/>
      <c r="I40" s="19"/>
      <c r="J40" s="19"/>
      <c r="K40" s="19"/>
      <c r="L40" s="19"/>
      <c r="M40" s="19"/>
      <c r="N40" s="19"/>
      <c r="O40" s="9"/>
      <c r="P40" s="149"/>
      <c r="Q40" s="149"/>
      <c r="R40" s="151"/>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483</v>
      </c>
      <c r="EF40" s="25" t="s">
        <v>38</v>
      </c>
      <c r="EG40" s="25"/>
      <c r="EH40" s="25"/>
      <c r="EI40" s="25"/>
      <c r="EJ40" s="24"/>
      <c r="EK40" s="25"/>
      <c r="EL40" s="25" t="s">
        <v>38</v>
      </c>
      <c r="EM40" s="25"/>
      <c r="EN40" s="25" t="s">
        <v>38</v>
      </c>
      <c r="EO40" s="25" t="s">
        <v>483</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40" t="s">
        <v>147</v>
      </c>
      <c r="G41" s="141" t="s">
        <v>146</v>
      </c>
      <c r="H41" s="141" t="s">
        <v>119</v>
      </c>
      <c r="I41" s="142" t="s">
        <v>41</v>
      </c>
      <c r="J41" s="142" t="s">
        <v>118</v>
      </c>
      <c r="K41" s="142" t="s">
        <v>42</v>
      </c>
      <c r="L41" s="142" t="s">
        <v>117</v>
      </c>
      <c r="M41" s="142" t="s">
        <v>47</v>
      </c>
      <c r="N41" s="142" t="s">
        <v>100</v>
      </c>
      <c r="O41" s="143"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28">IF($E44 &gt;= F$42, 1, "")</f>
        <v>1</v>
      </c>
      <c r="G44" s="19">
        <f t="shared" si="328"/>
        <v>1</v>
      </c>
      <c r="H44" s="19">
        <f t="shared" si="328"/>
        <v>1</v>
      </c>
      <c r="I44" s="19">
        <f t="shared" si="328"/>
        <v>1</v>
      </c>
      <c r="J44" s="19">
        <f t="shared" si="328"/>
        <v>1</v>
      </c>
      <c r="K44" s="19">
        <f t="shared" si="328"/>
        <v>1</v>
      </c>
      <c r="L44" s="19" t="str">
        <f t="shared" si="328"/>
        <v/>
      </c>
      <c r="M44" s="8">
        <v>1</v>
      </c>
      <c r="N44" s="8"/>
      <c r="O44" s="9"/>
      <c r="P44" s="8">
        <f t="shared" ref="P44:P63" si="329">IF(SUM(S44:MN44) &gt; 0, SUM(S44:MN44), "")</f>
        <v>15</v>
      </c>
      <c r="Q44" s="109">
        <f t="shared" ref="Q44:Q63" si="330">IF(SUM(S44:XFD44) &gt; 0, SUM(S44:XFD44) / $P$64 * 100, "")</f>
        <v>71.428571428571431</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L44">
        <v>1</v>
      </c>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28"/>
        <v>1</v>
      </c>
      <c r="G45" s="19">
        <f t="shared" si="328"/>
        <v>1</v>
      </c>
      <c r="H45" s="19">
        <f t="shared" si="328"/>
        <v>1</v>
      </c>
      <c r="I45" s="19">
        <f t="shared" si="328"/>
        <v>1</v>
      </c>
      <c r="J45" s="19">
        <f t="shared" si="328"/>
        <v>1</v>
      </c>
      <c r="K45" s="19">
        <f t="shared" si="328"/>
        <v>1</v>
      </c>
      <c r="L45" s="19" t="str">
        <f t="shared" si="328"/>
        <v/>
      </c>
      <c r="M45" s="8">
        <v>1</v>
      </c>
      <c r="N45" s="8"/>
      <c r="O45" s="9"/>
      <c r="P45" s="8">
        <f t="shared" si="329"/>
        <v>3</v>
      </c>
      <c r="Q45" s="109">
        <f t="shared" si="330"/>
        <v>14.285714285714285</v>
      </c>
      <c r="R45" s="84"/>
      <c r="S45" s="7"/>
      <c r="Z45" s="7"/>
      <c r="AG45" s="7"/>
      <c r="AN45" s="7"/>
      <c r="AU45" s="7"/>
      <c r="BB45" s="7"/>
      <c r="BI45" s="7"/>
      <c r="BP45" s="7"/>
      <c r="BY45" s="7"/>
      <c r="CH45" s="7"/>
      <c r="CQ45" s="7"/>
      <c r="CZ45" s="7"/>
      <c r="DI45" s="7"/>
      <c r="DR45" s="7"/>
      <c r="DT45">
        <v>1</v>
      </c>
      <c r="DW45">
        <v>1</v>
      </c>
      <c r="EA45" s="7"/>
      <c r="EC45" t="s">
        <v>466</v>
      </c>
      <c r="EJ45" s="7"/>
      <c r="EL45">
        <v>1</v>
      </c>
      <c r="ES45" s="7"/>
      <c r="EU45" t="s">
        <v>465</v>
      </c>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28"/>
        <v>1</v>
      </c>
      <c r="G46" s="19">
        <f t="shared" si="328"/>
        <v>1</v>
      </c>
      <c r="H46" s="19">
        <f t="shared" si="328"/>
        <v>1</v>
      </c>
      <c r="I46" s="19">
        <f t="shared" si="328"/>
        <v>1</v>
      </c>
      <c r="J46" s="19">
        <f t="shared" si="328"/>
        <v>1</v>
      </c>
      <c r="K46" s="19" t="str">
        <f t="shared" si="328"/>
        <v/>
      </c>
      <c r="L46" s="19" t="str">
        <f t="shared" si="328"/>
        <v/>
      </c>
      <c r="M46" s="8">
        <v>1</v>
      </c>
      <c r="N46" s="8"/>
      <c r="O46" s="9"/>
      <c r="P46" s="8">
        <f t="shared" si="329"/>
        <v>20</v>
      </c>
      <c r="Q46" s="109">
        <f t="shared" si="330"/>
        <v>95.238095238095227</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L46">
        <v>1</v>
      </c>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28"/>
        <v>1</v>
      </c>
      <c r="G47" s="19">
        <f t="shared" si="328"/>
        <v>1</v>
      </c>
      <c r="H47" s="19">
        <f t="shared" si="328"/>
        <v>1</v>
      </c>
      <c r="I47" s="19">
        <f t="shared" si="328"/>
        <v>1</v>
      </c>
      <c r="J47" s="19" t="str">
        <f t="shared" si="328"/>
        <v/>
      </c>
      <c r="K47" s="19" t="str">
        <f t="shared" si="328"/>
        <v/>
      </c>
      <c r="L47" s="19" t="str">
        <f t="shared" si="328"/>
        <v/>
      </c>
      <c r="M47" s="8">
        <v>1</v>
      </c>
      <c r="N47" s="8"/>
      <c r="O47" s="9"/>
      <c r="P47" s="8">
        <f t="shared" si="329"/>
        <v>18</v>
      </c>
      <c r="Q47" s="109">
        <f t="shared" si="330"/>
        <v>85.714285714285708</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28"/>
        <v>1</v>
      </c>
      <c r="G48" s="19">
        <f t="shared" si="328"/>
        <v>1</v>
      </c>
      <c r="H48" s="19" t="str">
        <f t="shared" si="328"/>
        <v/>
      </c>
      <c r="I48" s="19" t="str">
        <f t="shared" si="328"/>
        <v/>
      </c>
      <c r="J48" s="19" t="str">
        <f t="shared" si="328"/>
        <v/>
      </c>
      <c r="K48" s="19" t="str">
        <f t="shared" si="328"/>
        <v/>
      </c>
      <c r="L48" s="19" t="str">
        <f t="shared" si="328"/>
        <v/>
      </c>
      <c r="M48" s="8">
        <v>1</v>
      </c>
      <c r="N48" s="8"/>
      <c r="O48" s="9"/>
      <c r="P48" s="8">
        <f t="shared" si="329"/>
        <v>5</v>
      </c>
      <c r="Q48" s="109">
        <f t="shared" si="330"/>
        <v>23.809523809523807</v>
      </c>
      <c r="R48" s="84"/>
      <c r="S48" s="7"/>
      <c r="Z48" s="7"/>
      <c r="AG48" s="7"/>
      <c r="AI48">
        <v>1</v>
      </c>
      <c r="AN48" s="7"/>
      <c r="AR48">
        <v>1</v>
      </c>
      <c r="AU48" s="7"/>
      <c r="BB48" s="7"/>
      <c r="BD48">
        <v>1</v>
      </c>
      <c r="BI48" s="7"/>
      <c r="BM48">
        <v>1</v>
      </c>
      <c r="BN48">
        <v>1</v>
      </c>
      <c r="BP48" s="7"/>
      <c r="BY48" s="7"/>
      <c r="CH48" s="7"/>
      <c r="CQ48" s="7"/>
      <c r="CZ48" s="7"/>
      <c r="DI48" s="7"/>
      <c r="DR48" s="7"/>
      <c r="DT48" t="s">
        <v>448</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28"/>
        <v>1</v>
      </c>
      <c r="G49" s="19">
        <f t="shared" si="328"/>
        <v>1</v>
      </c>
      <c r="H49" s="19" t="str">
        <f t="shared" si="328"/>
        <v/>
      </c>
      <c r="I49" s="19" t="str">
        <f t="shared" si="328"/>
        <v/>
      </c>
      <c r="J49" s="19" t="str">
        <f t="shared" si="328"/>
        <v/>
      </c>
      <c r="K49" s="19" t="str">
        <f t="shared" si="328"/>
        <v/>
      </c>
      <c r="L49" s="19" t="str">
        <f t="shared" si="328"/>
        <v/>
      </c>
      <c r="M49" s="8">
        <v>1</v>
      </c>
      <c r="N49" s="8"/>
      <c r="O49" s="9"/>
      <c r="P49" s="8">
        <f t="shared" si="329"/>
        <v>6</v>
      </c>
      <c r="Q49" s="109">
        <f t="shared" si="330"/>
        <v>28.571428571428569</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28"/>
        <v>1</v>
      </c>
      <c r="G50" s="19">
        <f t="shared" si="328"/>
        <v>1</v>
      </c>
      <c r="H50" s="19">
        <f t="shared" si="328"/>
        <v>1</v>
      </c>
      <c r="I50" s="8">
        <f t="shared" si="328"/>
        <v>1</v>
      </c>
      <c r="J50" s="8">
        <f t="shared" si="328"/>
        <v>1</v>
      </c>
      <c r="K50" s="8">
        <f t="shared" si="328"/>
        <v>1</v>
      </c>
      <c r="L50" s="8" t="str">
        <f t="shared" si="328"/>
        <v/>
      </c>
      <c r="M50" s="8">
        <v>1</v>
      </c>
      <c r="N50" s="8"/>
      <c r="O50" s="9"/>
      <c r="P50" s="8">
        <f t="shared" si="329"/>
        <v>3</v>
      </c>
      <c r="Q50" s="109">
        <f t="shared" si="330"/>
        <v>14.285714285714285</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28"/>
        <v>1</v>
      </c>
      <c r="G51" s="19">
        <f t="shared" si="328"/>
        <v>1</v>
      </c>
      <c r="H51" s="19">
        <f t="shared" si="328"/>
        <v>1</v>
      </c>
      <c r="I51" s="19">
        <f t="shared" si="328"/>
        <v>1</v>
      </c>
      <c r="J51" s="19">
        <f t="shared" si="328"/>
        <v>1</v>
      </c>
      <c r="K51" s="19" t="str">
        <f t="shared" si="328"/>
        <v/>
      </c>
      <c r="L51" s="19" t="str">
        <f t="shared" si="328"/>
        <v/>
      </c>
      <c r="M51" s="8">
        <v>1</v>
      </c>
      <c r="N51" s="8"/>
      <c r="O51" s="9"/>
      <c r="P51" s="8">
        <f t="shared" si="329"/>
        <v>17</v>
      </c>
      <c r="Q51" s="109">
        <f t="shared" si="330"/>
        <v>80.952380952380949</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L51">
        <v>1</v>
      </c>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28"/>
        <v>1</v>
      </c>
      <c r="G52" s="19">
        <f t="shared" si="328"/>
        <v>1</v>
      </c>
      <c r="H52" s="19">
        <f t="shared" si="328"/>
        <v>1</v>
      </c>
      <c r="I52" s="8">
        <f t="shared" si="328"/>
        <v>1</v>
      </c>
      <c r="J52" s="8">
        <f t="shared" si="328"/>
        <v>1</v>
      </c>
      <c r="K52" s="8" t="str">
        <f t="shared" si="328"/>
        <v/>
      </c>
      <c r="L52" s="8" t="str">
        <f t="shared" si="328"/>
        <v/>
      </c>
      <c r="M52" s="8">
        <v>1</v>
      </c>
      <c r="N52" s="8"/>
      <c r="O52" s="9"/>
      <c r="P52" s="8">
        <f t="shared" si="329"/>
        <v>3</v>
      </c>
      <c r="Q52" s="109">
        <f t="shared" si="330"/>
        <v>14.285714285714285</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28"/>
        <v>1</v>
      </c>
      <c r="G53" s="19">
        <f t="shared" si="328"/>
        <v>1</v>
      </c>
      <c r="H53" s="19">
        <f t="shared" si="328"/>
        <v>1</v>
      </c>
      <c r="I53" s="8" t="str">
        <f t="shared" si="328"/>
        <v/>
      </c>
      <c r="J53" s="8" t="str">
        <f t="shared" si="328"/>
        <v/>
      </c>
      <c r="K53" s="8" t="str">
        <f t="shared" si="328"/>
        <v/>
      </c>
      <c r="L53" s="8" t="str">
        <f t="shared" si="328"/>
        <v/>
      </c>
      <c r="M53" s="8">
        <v>1</v>
      </c>
      <c r="N53" s="8"/>
      <c r="O53" s="9"/>
      <c r="P53" s="8">
        <f t="shared" si="329"/>
        <v>13</v>
      </c>
      <c r="Q53" s="109">
        <f t="shared" si="330"/>
        <v>61.904761904761905</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L53">
        <v>1</v>
      </c>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28"/>
        <v>1</v>
      </c>
      <c r="G54" s="19">
        <f t="shared" si="328"/>
        <v>1</v>
      </c>
      <c r="H54" s="19">
        <f t="shared" si="328"/>
        <v>1</v>
      </c>
      <c r="I54" s="8">
        <f t="shared" si="328"/>
        <v>1</v>
      </c>
      <c r="J54" s="8">
        <f t="shared" si="328"/>
        <v>1</v>
      </c>
      <c r="K54" s="8" t="str">
        <f t="shared" si="328"/>
        <v/>
      </c>
      <c r="L54" s="8" t="str">
        <f t="shared" si="328"/>
        <v/>
      </c>
      <c r="M54" s="8">
        <v>1</v>
      </c>
      <c r="N54" s="8"/>
      <c r="O54" s="9"/>
      <c r="P54" s="8">
        <f t="shared" si="329"/>
        <v>5</v>
      </c>
      <c r="Q54" s="109">
        <f t="shared" si="330"/>
        <v>23.809523809523807</v>
      </c>
      <c r="R54" s="84"/>
      <c r="S54" s="7"/>
      <c r="Z54" s="7"/>
      <c r="AG54" s="7"/>
      <c r="AN54" s="7"/>
      <c r="AP54">
        <v>1</v>
      </c>
      <c r="AR54">
        <v>1</v>
      </c>
      <c r="AU54" s="7"/>
      <c r="AW54">
        <v>1</v>
      </c>
      <c r="BB54" s="7"/>
      <c r="BI54" s="7"/>
      <c r="BM54">
        <v>1</v>
      </c>
      <c r="BN54">
        <v>1</v>
      </c>
      <c r="BP54" s="7"/>
      <c r="BY54" s="7"/>
      <c r="CH54" s="7"/>
      <c r="CQ54" s="7"/>
      <c r="CZ54" s="7"/>
      <c r="DI54" s="7"/>
      <c r="DR54" s="7"/>
      <c r="EA54" s="7"/>
      <c r="EJ54" s="7"/>
      <c r="ES54" s="7"/>
      <c r="EU54" t="s">
        <v>484</v>
      </c>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28"/>
        <v>1</v>
      </c>
      <c r="G55" s="19">
        <f t="shared" si="328"/>
        <v>1</v>
      </c>
      <c r="H55" s="19">
        <f t="shared" si="328"/>
        <v>1</v>
      </c>
      <c r="I55" s="8">
        <f t="shared" si="328"/>
        <v>1</v>
      </c>
      <c r="J55" s="8">
        <f t="shared" si="328"/>
        <v>1</v>
      </c>
      <c r="K55" s="8" t="str">
        <f t="shared" si="328"/>
        <v/>
      </c>
      <c r="L55" s="8" t="str">
        <f t="shared" si="328"/>
        <v/>
      </c>
      <c r="M55" s="8">
        <v>1</v>
      </c>
      <c r="N55" s="8"/>
      <c r="O55" s="9"/>
      <c r="P55" s="8">
        <f t="shared" si="329"/>
        <v>16</v>
      </c>
      <c r="Q55" s="109">
        <f t="shared" si="330"/>
        <v>76.19047619047619</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L55">
        <v>1</v>
      </c>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28"/>
        <v>1</v>
      </c>
      <c r="G56" s="19">
        <f t="shared" si="328"/>
        <v>1</v>
      </c>
      <c r="H56" s="19">
        <f t="shared" si="328"/>
        <v>1</v>
      </c>
      <c r="I56" s="8">
        <f t="shared" si="328"/>
        <v>1</v>
      </c>
      <c r="J56" s="8">
        <f t="shared" si="328"/>
        <v>1</v>
      </c>
      <c r="K56" s="8">
        <f t="shared" si="328"/>
        <v>1</v>
      </c>
      <c r="L56" s="8" t="str">
        <f t="shared" si="328"/>
        <v/>
      </c>
      <c r="M56" s="8">
        <v>1</v>
      </c>
      <c r="N56" s="8"/>
      <c r="O56" s="9"/>
      <c r="P56" s="8">
        <f t="shared" si="329"/>
        <v>4</v>
      </c>
      <c r="Q56" s="109">
        <f t="shared" si="330"/>
        <v>19.047619047619047</v>
      </c>
      <c r="R56" s="84"/>
      <c r="S56" s="7"/>
      <c r="Z56" s="7"/>
      <c r="AG56" s="7"/>
      <c r="AI56">
        <v>1</v>
      </c>
      <c r="AK56">
        <v>1</v>
      </c>
      <c r="AN56" s="7"/>
      <c r="AP56">
        <v>1</v>
      </c>
      <c r="AU56" s="7"/>
      <c r="AW56">
        <v>1</v>
      </c>
      <c r="BB56" s="7"/>
      <c r="BI56" s="7"/>
      <c r="BP56" s="7"/>
      <c r="BY56" s="7"/>
      <c r="CH56" s="7"/>
      <c r="CQ56" s="7"/>
      <c r="CZ56" s="7"/>
      <c r="DI56" s="7"/>
      <c r="DR56" s="7"/>
      <c r="EA56" s="7"/>
      <c r="EJ56" s="7"/>
      <c r="ES56" s="7"/>
      <c r="EU56" t="s">
        <v>447</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31">IF($E57 &gt;= F$42, 1, "")</f>
        <v>1</v>
      </c>
      <c r="G57" s="19">
        <f t="shared" si="331"/>
        <v>1</v>
      </c>
      <c r="H57" s="19">
        <f t="shared" si="331"/>
        <v>1</v>
      </c>
      <c r="I57" s="8">
        <f t="shared" si="331"/>
        <v>1</v>
      </c>
      <c r="J57" s="8">
        <f t="shared" si="331"/>
        <v>1</v>
      </c>
      <c r="K57" s="8">
        <f t="shared" si="331"/>
        <v>1</v>
      </c>
      <c r="L57" s="8" t="str">
        <f t="shared" si="331"/>
        <v/>
      </c>
      <c r="M57" s="8">
        <v>1</v>
      </c>
      <c r="N57" s="8"/>
      <c r="O57" s="9"/>
      <c r="P57" s="8">
        <f t="shared" si="329"/>
        <v>7</v>
      </c>
      <c r="Q57" s="109">
        <f t="shared" si="330"/>
        <v>33.333333333333329</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U57" t="s">
        <v>485</v>
      </c>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31"/>
        <v>1</v>
      </c>
      <c r="G58" s="19">
        <f t="shared" si="331"/>
        <v>1</v>
      </c>
      <c r="H58" s="19">
        <f t="shared" si="331"/>
        <v>1</v>
      </c>
      <c r="I58" s="8">
        <f t="shared" si="331"/>
        <v>1</v>
      </c>
      <c r="J58" s="8">
        <f t="shared" si="331"/>
        <v>1</v>
      </c>
      <c r="K58" s="8">
        <f t="shared" si="331"/>
        <v>1</v>
      </c>
      <c r="L58" s="8" t="str">
        <f t="shared" si="331"/>
        <v/>
      </c>
      <c r="M58" s="8">
        <v>1</v>
      </c>
      <c r="N58" s="8"/>
      <c r="O58" s="9"/>
      <c r="P58" s="8">
        <f t="shared" si="329"/>
        <v>8</v>
      </c>
      <c r="Q58" s="109">
        <f t="shared" si="330"/>
        <v>38.095238095238095</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447</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31"/>
        <v/>
      </c>
      <c r="G59" s="19" t="str">
        <f t="shared" si="331"/>
        <v/>
      </c>
      <c r="H59" s="19" t="str">
        <f t="shared" si="331"/>
        <v/>
      </c>
      <c r="I59" s="8" t="str">
        <f t="shared" si="331"/>
        <v/>
      </c>
      <c r="J59" s="8" t="str">
        <f t="shared" si="331"/>
        <v/>
      </c>
      <c r="K59" s="8" t="str">
        <f t="shared" si="331"/>
        <v/>
      </c>
      <c r="L59" s="8" t="str">
        <f t="shared" si="331"/>
        <v/>
      </c>
      <c r="M59" s="8"/>
      <c r="N59" s="8"/>
      <c r="O59" s="9"/>
      <c r="P59" s="8" t="str">
        <f t="shared" si="329"/>
        <v/>
      </c>
      <c r="Q59" s="109" t="str">
        <f t="shared" si="330"/>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31"/>
        <v/>
      </c>
      <c r="G60" s="19" t="str">
        <f t="shared" si="331"/>
        <v/>
      </c>
      <c r="H60" s="19" t="str">
        <f t="shared" si="331"/>
        <v/>
      </c>
      <c r="I60" s="8" t="str">
        <f t="shared" si="331"/>
        <v/>
      </c>
      <c r="J60" s="8" t="str">
        <f t="shared" si="331"/>
        <v/>
      </c>
      <c r="K60" s="8" t="str">
        <f t="shared" si="331"/>
        <v/>
      </c>
      <c r="L60" s="8" t="str">
        <f t="shared" si="331"/>
        <v/>
      </c>
      <c r="M60" s="8"/>
      <c r="N60" s="8"/>
      <c r="O60" s="9"/>
      <c r="P60" s="8" t="str">
        <f t="shared" si="329"/>
        <v/>
      </c>
      <c r="Q60" s="109" t="str">
        <f t="shared" si="330"/>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31"/>
        <v/>
      </c>
      <c r="G61" s="19" t="str">
        <f t="shared" si="331"/>
        <v/>
      </c>
      <c r="H61" s="19" t="str">
        <f t="shared" si="331"/>
        <v/>
      </c>
      <c r="I61" s="8" t="str">
        <f t="shared" si="331"/>
        <v/>
      </c>
      <c r="J61" s="8" t="str">
        <f t="shared" si="331"/>
        <v/>
      </c>
      <c r="K61" s="8" t="str">
        <f t="shared" si="331"/>
        <v/>
      </c>
      <c r="L61" s="8" t="str">
        <f t="shared" si="331"/>
        <v/>
      </c>
      <c r="M61" s="8"/>
      <c r="N61" s="8"/>
      <c r="O61" s="9"/>
      <c r="P61" s="8" t="str">
        <f t="shared" si="329"/>
        <v/>
      </c>
      <c r="Q61" s="109" t="str">
        <f t="shared" si="330"/>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31"/>
        <v/>
      </c>
      <c r="G62" s="19" t="str">
        <f t="shared" si="331"/>
        <v/>
      </c>
      <c r="H62" s="19" t="str">
        <f t="shared" si="331"/>
        <v/>
      </c>
      <c r="I62" s="8" t="str">
        <f t="shared" si="331"/>
        <v/>
      </c>
      <c r="J62" s="8" t="str">
        <f t="shared" si="331"/>
        <v/>
      </c>
      <c r="K62" s="8" t="str">
        <f t="shared" si="331"/>
        <v/>
      </c>
      <c r="L62" s="8" t="str">
        <f t="shared" si="331"/>
        <v/>
      </c>
      <c r="M62" s="8"/>
      <c r="N62" s="8"/>
      <c r="O62" s="9"/>
      <c r="P62" s="8" t="str">
        <f t="shared" si="329"/>
        <v/>
      </c>
      <c r="Q62" s="109" t="str">
        <f t="shared" si="330"/>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31"/>
        <v/>
      </c>
      <c r="G63" s="19" t="str">
        <f t="shared" si="331"/>
        <v/>
      </c>
      <c r="H63" s="19" t="str">
        <f t="shared" si="331"/>
        <v/>
      </c>
      <c r="I63" s="19" t="str">
        <f t="shared" si="331"/>
        <v/>
      </c>
      <c r="J63" s="19" t="str">
        <f t="shared" si="331"/>
        <v/>
      </c>
      <c r="K63" s="19" t="str">
        <f t="shared" si="331"/>
        <v/>
      </c>
      <c r="L63" s="19" t="str">
        <f t="shared" si="331"/>
        <v/>
      </c>
      <c r="M63" s="8"/>
      <c r="N63" s="8"/>
      <c r="O63" s="9"/>
      <c r="P63" s="8" t="str">
        <f t="shared" si="329"/>
        <v/>
      </c>
      <c r="Q63" s="109" t="str">
        <f t="shared" si="330"/>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21</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v>1</v>
      </c>
      <c r="EM64" s="20"/>
      <c r="EN64" s="20"/>
      <c r="EO64" s="20"/>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11.454545454545455</v>
      </c>
      <c r="Q65" s="117">
        <f>P65 / P64 * 100</f>
        <v>54.545454545454554</v>
      </c>
      <c r="R65" s="83"/>
      <c r="S65" s="61" t="str">
        <f t="shared" ref="S65:CH65" si="332">IF(SUM(S42:S63) &gt; 0, SUM(S42:S63), "")</f>
        <v/>
      </c>
      <c r="T65" s="128" t="str">
        <f t="shared" si="332"/>
        <v/>
      </c>
      <c r="U65" s="128" t="str">
        <f t="shared" si="332"/>
        <v/>
      </c>
      <c r="V65" s="128" t="str">
        <f t="shared" si="332"/>
        <v/>
      </c>
      <c r="W65" s="128" t="str">
        <f t="shared" si="332"/>
        <v/>
      </c>
      <c r="X65" s="128" t="str">
        <f t="shared" si="332"/>
        <v/>
      </c>
      <c r="Y65" s="128" t="str">
        <f t="shared" si="332"/>
        <v/>
      </c>
      <c r="Z65" s="61" t="str">
        <f t="shared" si="332"/>
        <v/>
      </c>
      <c r="AA65" s="128" t="str">
        <f t="shared" si="332"/>
        <v/>
      </c>
      <c r="AB65" s="128" t="str">
        <f t="shared" si="332"/>
        <v/>
      </c>
      <c r="AC65" s="128" t="str">
        <f t="shared" si="332"/>
        <v/>
      </c>
      <c r="AD65" s="128" t="str">
        <f t="shared" si="332"/>
        <v/>
      </c>
      <c r="AE65" s="128" t="str">
        <f t="shared" si="332"/>
        <v/>
      </c>
      <c r="AF65" s="128" t="str">
        <f t="shared" si="332"/>
        <v/>
      </c>
      <c r="AG65" s="61" t="str">
        <f t="shared" si="332"/>
        <v/>
      </c>
      <c r="AH65" s="128" t="str">
        <f t="shared" si="332"/>
        <v/>
      </c>
      <c r="AI65" s="128">
        <f t="shared" si="332"/>
        <v>11</v>
      </c>
      <c r="AJ65" s="128" t="str">
        <f t="shared" si="332"/>
        <v/>
      </c>
      <c r="AK65" s="128">
        <f t="shared" si="332"/>
        <v>7</v>
      </c>
      <c r="AL65" s="128" t="str">
        <f t="shared" si="332"/>
        <v/>
      </c>
      <c r="AM65" s="128" t="str">
        <f t="shared" si="332"/>
        <v/>
      </c>
      <c r="AN65" s="61" t="str">
        <f t="shared" si="332"/>
        <v/>
      </c>
      <c r="AO65" s="128" t="str">
        <f t="shared" si="332"/>
        <v/>
      </c>
      <c r="AP65" s="128">
        <f t="shared" si="332"/>
        <v>9</v>
      </c>
      <c r="AQ65" s="128" t="str">
        <f t="shared" si="332"/>
        <v/>
      </c>
      <c r="AR65" s="128">
        <f t="shared" si="332"/>
        <v>9</v>
      </c>
      <c r="AS65" s="128" t="str">
        <f t="shared" si="332"/>
        <v/>
      </c>
      <c r="AT65" s="128" t="str">
        <f t="shared" si="332"/>
        <v/>
      </c>
      <c r="AU65" s="61" t="str">
        <f t="shared" si="332"/>
        <v/>
      </c>
      <c r="AV65" s="128" t="str">
        <f t="shared" si="332"/>
        <v/>
      </c>
      <c r="AW65" s="128">
        <f t="shared" si="332"/>
        <v>9</v>
      </c>
      <c r="AX65" s="128">
        <f t="shared" si="332"/>
        <v>6</v>
      </c>
      <c r="AY65" s="128">
        <f t="shared" si="332"/>
        <v>7</v>
      </c>
      <c r="AZ65" s="128" t="str">
        <f t="shared" si="332"/>
        <v/>
      </c>
      <c r="BA65" s="128" t="str">
        <f t="shared" si="332"/>
        <v/>
      </c>
      <c r="BB65" s="61" t="str">
        <f t="shared" si="332"/>
        <v/>
      </c>
      <c r="BC65" s="128" t="str">
        <f t="shared" si="332"/>
        <v/>
      </c>
      <c r="BD65" s="128">
        <f t="shared" si="332"/>
        <v>8</v>
      </c>
      <c r="BE65" s="128" t="str">
        <f t="shared" si="332"/>
        <v/>
      </c>
      <c r="BF65" s="128">
        <f t="shared" si="332"/>
        <v>6</v>
      </c>
      <c r="BG65" s="128" t="str">
        <f t="shared" si="332"/>
        <v/>
      </c>
      <c r="BH65" s="128" t="str">
        <f t="shared" si="332"/>
        <v/>
      </c>
      <c r="BI65" s="61" t="str">
        <f t="shared" si="332"/>
        <v/>
      </c>
      <c r="BJ65" s="128" t="str">
        <f t="shared" si="332"/>
        <v/>
      </c>
      <c r="BK65" s="128">
        <f t="shared" si="332"/>
        <v>7</v>
      </c>
      <c r="BL65" s="128" t="str">
        <f t="shared" si="332"/>
        <v/>
      </c>
      <c r="BM65" s="128">
        <f t="shared" si="332"/>
        <v>10</v>
      </c>
      <c r="BN65" s="128">
        <f t="shared" si="332"/>
        <v>10</v>
      </c>
      <c r="BO65" s="128" t="str">
        <f t="shared" si="332"/>
        <v/>
      </c>
      <c r="BP65" s="61">
        <f t="shared" si="332"/>
        <v>4</v>
      </c>
      <c r="BQ65" s="128" t="str">
        <f t="shared" si="332"/>
        <v/>
      </c>
      <c r="BR65" s="128" t="str">
        <f t="shared" si="332"/>
        <v/>
      </c>
      <c r="BS65" s="128" t="str">
        <f t="shared" si="332"/>
        <v/>
      </c>
      <c r="BT65" s="128" t="str">
        <f t="shared" si="332"/>
        <v/>
      </c>
      <c r="BU65" s="128" t="str">
        <f t="shared" si="332"/>
        <v/>
      </c>
      <c r="BV65" s="128" t="str">
        <f t="shared" si="332"/>
        <v/>
      </c>
      <c r="BW65" s="128"/>
      <c r="BX65" s="128"/>
      <c r="BY65" s="61" t="str">
        <f t="shared" si="332"/>
        <v/>
      </c>
      <c r="BZ65" s="128" t="str">
        <f t="shared" si="332"/>
        <v/>
      </c>
      <c r="CA65" s="128" t="str">
        <f t="shared" si="332"/>
        <v/>
      </c>
      <c r="CB65" s="128" t="str">
        <f t="shared" si="332"/>
        <v/>
      </c>
      <c r="CC65" s="128" t="str">
        <f t="shared" si="332"/>
        <v/>
      </c>
      <c r="CD65" s="128" t="str">
        <f t="shared" si="332"/>
        <v/>
      </c>
      <c r="CE65" s="128" t="str">
        <f t="shared" si="332"/>
        <v/>
      </c>
      <c r="CF65" s="128"/>
      <c r="CG65" s="128"/>
      <c r="CH65" s="61" t="str">
        <f t="shared" si="332"/>
        <v/>
      </c>
      <c r="CI65" s="128" t="str">
        <f t="shared" ref="CI65:FH65" si="333">IF(SUM(CI42:CI63) &gt; 0, SUM(CI42:CI63), "")</f>
        <v/>
      </c>
      <c r="CJ65" s="128" t="str">
        <f t="shared" si="333"/>
        <v/>
      </c>
      <c r="CK65" s="128" t="str">
        <f t="shared" si="333"/>
        <v/>
      </c>
      <c r="CL65" s="128" t="str">
        <f t="shared" si="333"/>
        <v/>
      </c>
      <c r="CM65" s="128" t="str">
        <f t="shared" si="333"/>
        <v/>
      </c>
      <c r="CN65" s="128" t="str">
        <f t="shared" si="333"/>
        <v/>
      </c>
      <c r="CO65" s="128" t="str">
        <f t="shared" ref="CO65" si="334">IF(SUM(CO42:CO63) &gt; 0, SUM(CO42:CO63), "")</f>
        <v/>
      </c>
      <c r="CP65" s="128"/>
      <c r="CQ65" s="61" t="str">
        <f t="shared" si="333"/>
        <v/>
      </c>
      <c r="CR65" s="128" t="str">
        <f t="shared" si="333"/>
        <v/>
      </c>
      <c r="CS65" s="128" t="str">
        <f t="shared" si="333"/>
        <v/>
      </c>
      <c r="CT65" s="128" t="str">
        <f t="shared" si="333"/>
        <v/>
      </c>
      <c r="CU65" s="128" t="str">
        <f t="shared" si="333"/>
        <v/>
      </c>
      <c r="CV65" s="128" t="str">
        <f t="shared" si="333"/>
        <v/>
      </c>
      <c r="CW65" s="128"/>
      <c r="CX65" s="128"/>
      <c r="CY65" s="128" t="str">
        <f t="shared" si="333"/>
        <v/>
      </c>
      <c r="CZ65" s="61" t="str">
        <f t="shared" si="333"/>
        <v/>
      </c>
      <c r="DA65" s="128" t="str">
        <f t="shared" si="333"/>
        <v/>
      </c>
      <c r="DB65" s="128" t="str">
        <f t="shared" si="333"/>
        <v/>
      </c>
      <c r="DC65" s="128" t="str">
        <f t="shared" si="333"/>
        <v/>
      </c>
      <c r="DD65" s="128" t="str">
        <f t="shared" si="333"/>
        <v/>
      </c>
      <c r="DE65" s="128" t="str">
        <f t="shared" si="333"/>
        <v/>
      </c>
      <c r="DF65" s="128" t="str">
        <f t="shared" si="333"/>
        <v/>
      </c>
      <c r="DG65" s="128"/>
      <c r="DH65" s="128"/>
      <c r="DI65" s="61" t="str">
        <f t="shared" si="333"/>
        <v/>
      </c>
      <c r="DJ65" s="128" t="str">
        <f t="shared" si="333"/>
        <v/>
      </c>
      <c r="DK65" s="128" t="str">
        <f t="shared" si="333"/>
        <v/>
      </c>
      <c r="DL65" s="128" t="str">
        <f t="shared" si="333"/>
        <v/>
      </c>
      <c r="DM65" s="128" t="str">
        <f t="shared" si="333"/>
        <v/>
      </c>
      <c r="DN65" s="128" t="str">
        <f t="shared" si="333"/>
        <v/>
      </c>
      <c r="DO65" s="128" t="str">
        <f t="shared" si="333"/>
        <v/>
      </c>
      <c r="DP65" s="128"/>
      <c r="DQ65" s="128"/>
      <c r="DR65" s="61" t="str">
        <f t="shared" si="333"/>
        <v/>
      </c>
      <c r="DS65" s="128" t="str">
        <f t="shared" si="333"/>
        <v/>
      </c>
      <c r="DT65" s="128">
        <f t="shared" si="333"/>
        <v>7</v>
      </c>
      <c r="DU65" s="128" t="str">
        <f t="shared" si="333"/>
        <v/>
      </c>
      <c r="DV65" s="128">
        <f t="shared" si="333"/>
        <v>5</v>
      </c>
      <c r="DW65" s="128">
        <f t="shared" si="333"/>
        <v>5</v>
      </c>
      <c r="DX65" s="128"/>
      <c r="DY65" s="128"/>
      <c r="DZ65" s="128" t="str">
        <f t="shared" si="333"/>
        <v/>
      </c>
      <c r="EA65" s="61" t="str">
        <f t="shared" si="333"/>
        <v/>
      </c>
      <c r="EB65" s="128" t="str">
        <f t="shared" si="333"/>
        <v/>
      </c>
      <c r="EC65" s="128">
        <f t="shared" si="333"/>
        <v>6</v>
      </c>
      <c r="ED65" s="128" t="str">
        <f t="shared" si="333"/>
        <v/>
      </c>
      <c r="EE65" s="128">
        <f t="shared" si="333"/>
        <v>5</v>
      </c>
      <c r="EF65" s="128">
        <f t="shared" si="333"/>
        <v>4</v>
      </c>
      <c r="EG65" s="128"/>
      <c r="EH65" s="128"/>
      <c r="EI65" s="128" t="str">
        <f t="shared" si="333"/>
        <v/>
      </c>
      <c r="EJ65" s="61" t="str">
        <f t="shared" si="333"/>
        <v/>
      </c>
      <c r="EK65" s="128" t="str">
        <f t="shared" si="333"/>
        <v/>
      </c>
      <c r="EL65" s="128">
        <f t="shared" si="333"/>
        <v>6</v>
      </c>
      <c r="EM65" s="128" t="str">
        <f t="shared" si="333"/>
        <v/>
      </c>
      <c r="EN65" s="128" t="str">
        <f t="shared" si="333"/>
        <v/>
      </c>
      <c r="EO65" s="128" t="str">
        <f t="shared" si="333"/>
        <v/>
      </c>
      <c r="EP65" s="128" t="str">
        <f t="shared" si="333"/>
        <v/>
      </c>
      <c r="EQ65" s="128"/>
      <c r="ER65" s="128"/>
      <c r="ES65" s="61" t="str">
        <f t="shared" si="333"/>
        <v/>
      </c>
      <c r="ET65" s="128" t="str">
        <f t="shared" si="333"/>
        <v/>
      </c>
      <c r="EU65" s="128" t="str">
        <f t="shared" si="333"/>
        <v/>
      </c>
      <c r="EV65" s="128" t="str">
        <f t="shared" si="333"/>
        <v/>
      </c>
      <c r="EW65" s="128" t="str">
        <f t="shared" si="333"/>
        <v/>
      </c>
      <c r="EX65" s="128" t="str">
        <f t="shared" si="333"/>
        <v/>
      </c>
      <c r="EY65" s="128" t="str">
        <f t="shared" si="333"/>
        <v/>
      </c>
      <c r="EZ65" s="61" t="str">
        <f t="shared" si="333"/>
        <v/>
      </c>
      <c r="FA65" s="128" t="str">
        <f t="shared" si="333"/>
        <v/>
      </c>
      <c r="FB65" s="128" t="str">
        <f t="shared" si="333"/>
        <v/>
      </c>
      <c r="FC65" s="128" t="str">
        <f t="shared" si="333"/>
        <v/>
      </c>
      <c r="FD65" s="128" t="str">
        <f t="shared" si="333"/>
        <v/>
      </c>
      <c r="FE65" s="128" t="str">
        <f t="shared" si="333"/>
        <v/>
      </c>
      <c r="FF65" s="128" t="str">
        <f t="shared" si="333"/>
        <v/>
      </c>
      <c r="FG65" s="61" t="str">
        <f t="shared" si="333"/>
        <v/>
      </c>
      <c r="FH65" s="128" t="str">
        <f t="shared" si="333"/>
        <v/>
      </c>
      <c r="FI65" s="128" t="str">
        <f t="shared" ref="FI65:HT65" si="335">IF(SUM(FI42:FI63) &gt; 0, SUM(FI42:FI63), "")</f>
        <v/>
      </c>
      <c r="FJ65" s="128" t="str">
        <f t="shared" si="335"/>
        <v/>
      </c>
      <c r="FK65" s="128" t="str">
        <f t="shared" si="335"/>
        <v/>
      </c>
      <c r="FL65" s="128" t="str">
        <f t="shared" si="335"/>
        <v/>
      </c>
      <c r="FM65" s="128" t="str">
        <f t="shared" si="335"/>
        <v/>
      </c>
      <c r="FN65" s="61" t="str">
        <f t="shared" si="335"/>
        <v/>
      </c>
      <c r="FO65" s="128" t="str">
        <f t="shared" si="335"/>
        <v/>
      </c>
      <c r="FP65" s="128" t="str">
        <f t="shared" si="335"/>
        <v/>
      </c>
      <c r="FQ65" s="128" t="str">
        <f t="shared" si="335"/>
        <v/>
      </c>
      <c r="FR65" s="128" t="str">
        <f t="shared" si="335"/>
        <v/>
      </c>
      <c r="FS65" s="128" t="str">
        <f t="shared" si="335"/>
        <v/>
      </c>
      <c r="FT65" s="128" t="str">
        <f t="shared" si="335"/>
        <v/>
      </c>
      <c r="FU65" s="61" t="str">
        <f t="shared" si="335"/>
        <v/>
      </c>
      <c r="FV65" s="128" t="str">
        <f t="shared" si="335"/>
        <v/>
      </c>
      <c r="FW65" s="128" t="str">
        <f t="shared" si="335"/>
        <v/>
      </c>
      <c r="FX65" s="128" t="str">
        <f t="shared" si="335"/>
        <v/>
      </c>
      <c r="FY65" s="128" t="str">
        <f t="shared" si="335"/>
        <v/>
      </c>
      <c r="FZ65" s="128" t="str">
        <f t="shared" si="335"/>
        <v/>
      </c>
      <c r="GA65" s="128" t="str">
        <f t="shared" si="335"/>
        <v/>
      </c>
      <c r="GB65" s="61" t="str">
        <f t="shared" si="335"/>
        <v/>
      </c>
      <c r="GC65" s="128" t="str">
        <f t="shared" si="335"/>
        <v/>
      </c>
      <c r="GD65" s="128" t="str">
        <f t="shared" si="335"/>
        <v/>
      </c>
      <c r="GE65" s="128" t="str">
        <f t="shared" si="335"/>
        <v/>
      </c>
      <c r="GF65" s="128" t="str">
        <f t="shared" si="335"/>
        <v/>
      </c>
      <c r="GG65" s="128" t="str">
        <f t="shared" si="335"/>
        <v/>
      </c>
      <c r="GH65" s="128" t="str">
        <f t="shared" si="335"/>
        <v/>
      </c>
      <c r="GI65" s="61" t="str">
        <f t="shared" si="335"/>
        <v/>
      </c>
      <c r="GJ65" s="128" t="str">
        <f t="shared" si="335"/>
        <v/>
      </c>
      <c r="GK65" s="128" t="str">
        <f t="shared" si="335"/>
        <v/>
      </c>
      <c r="GL65" s="128" t="str">
        <f t="shared" si="335"/>
        <v/>
      </c>
      <c r="GM65" s="128" t="str">
        <f t="shared" si="335"/>
        <v/>
      </c>
      <c r="GN65" s="128" t="str">
        <f t="shared" si="335"/>
        <v/>
      </c>
      <c r="GO65" s="128" t="str">
        <f t="shared" si="335"/>
        <v/>
      </c>
      <c r="GP65" s="61" t="str">
        <f t="shared" si="335"/>
        <v/>
      </c>
      <c r="GQ65" s="128" t="str">
        <f t="shared" si="335"/>
        <v/>
      </c>
      <c r="GR65" s="128" t="str">
        <f t="shared" si="335"/>
        <v/>
      </c>
      <c r="GS65" s="128" t="str">
        <f t="shared" si="335"/>
        <v/>
      </c>
      <c r="GT65" s="128" t="str">
        <f t="shared" si="335"/>
        <v/>
      </c>
      <c r="GU65" s="128" t="str">
        <f t="shared" si="335"/>
        <v/>
      </c>
      <c r="GV65" s="128" t="str">
        <f t="shared" si="335"/>
        <v/>
      </c>
      <c r="GW65" s="61" t="str">
        <f t="shared" si="335"/>
        <v/>
      </c>
      <c r="GX65" s="128" t="str">
        <f t="shared" si="335"/>
        <v/>
      </c>
      <c r="GY65" s="128" t="str">
        <f t="shared" si="335"/>
        <v/>
      </c>
      <c r="GZ65" s="128" t="str">
        <f t="shared" si="335"/>
        <v/>
      </c>
      <c r="HA65" s="128" t="str">
        <f t="shared" si="335"/>
        <v/>
      </c>
      <c r="HB65" s="128" t="str">
        <f t="shared" si="335"/>
        <v/>
      </c>
      <c r="HC65" s="128" t="str">
        <f t="shared" si="335"/>
        <v/>
      </c>
      <c r="HD65" s="61" t="str">
        <f t="shared" si="335"/>
        <v/>
      </c>
      <c r="HE65" s="128" t="str">
        <f t="shared" si="335"/>
        <v/>
      </c>
      <c r="HF65" s="128" t="str">
        <f t="shared" si="335"/>
        <v/>
      </c>
      <c r="HG65" s="128" t="str">
        <f t="shared" si="335"/>
        <v/>
      </c>
      <c r="HH65" s="128" t="str">
        <f t="shared" si="335"/>
        <v/>
      </c>
      <c r="HI65" s="128" t="str">
        <f t="shared" si="335"/>
        <v/>
      </c>
      <c r="HJ65" s="128" t="str">
        <f t="shared" si="335"/>
        <v/>
      </c>
      <c r="HK65" s="61" t="str">
        <f t="shared" si="335"/>
        <v/>
      </c>
      <c r="HL65" s="128" t="str">
        <f t="shared" si="335"/>
        <v/>
      </c>
      <c r="HM65" s="128" t="str">
        <f t="shared" si="335"/>
        <v/>
      </c>
      <c r="HN65" s="128" t="str">
        <f t="shared" si="335"/>
        <v/>
      </c>
      <c r="HO65" s="128" t="str">
        <f t="shared" si="335"/>
        <v/>
      </c>
      <c r="HP65" s="128" t="str">
        <f t="shared" si="335"/>
        <v/>
      </c>
      <c r="HQ65" s="128" t="str">
        <f t="shared" si="335"/>
        <v/>
      </c>
      <c r="HR65" s="61" t="str">
        <f t="shared" si="335"/>
        <v/>
      </c>
      <c r="HS65" s="128" t="str">
        <f t="shared" si="335"/>
        <v/>
      </c>
      <c r="HT65" s="128" t="str">
        <f t="shared" si="335"/>
        <v/>
      </c>
      <c r="HU65" s="128" t="str">
        <f t="shared" ref="HU65:KF65" si="336">IF(SUM(HU42:HU63) &gt; 0, SUM(HU42:HU63), "")</f>
        <v/>
      </c>
      <c r="HV65" s="128" t="str">
        <f t="shared" si="336"/>
        <v/>
      </c>
      <c r="HW65" s="128" t="str">
        <f t="shared" si="336"/>
        <v/>
      </c>
      <c r="HX65" s="128" t="str">
        <f t="shared" si="336"/>
        <v/>
      </c>
      <c r="HY65" s="61" t="str">
        <f t="shared" si="336"/>
        <v/>
      </c>
      <c r="HZ65" s="128" t="str">
        <f t="shared" si="336"/>
        <v/>
      </c>
      <c r="IA65" s="128" t="str">
        <f t="shared" si="336"/>
        <v/>
      </c>
      <c r="IB65" s="128" t="str">
        <f t="shared" si="336"/>
        <v/>
      </c>
      <c r="IC65" s="128" t="str">
        <f t="shared" si="336"/>
        <v/>
      </c>
      <c r="ID65" s="128" t="str">
        <f t="shared" si="336"/>
        <v/>
      </c>
      <c r="IE65" s="128" t="str">
        <f t="shared" si="336"/>
        <v/>
      </c>
      <c r="IF65" s="61" t="str">
        <f t="shared" si="336"/>
        <v/>
      </c>
      <c r="IG65" s="128" t="str">
        <f t="shared" si="336"/>
        <v/>
      </c>
      <c r="IH65" s="128" t="str">
        <f t="shared" si="336"/>
        <v/>
      </c>
      <c r="II65" s="128" t="str">
        <f t="shared" si="336"/>
        <v/>
      </c>
      <c r="IJ65" s="128" t="str">
        <f t="shared" si="336"/>
        <v/>
      </c>
      <c r="IK65" s="128" t="str">
        <f t="shared" si="336"/>
        <v/>
      </c>
      <c r="IL65" s="128" t="str">
        <f t="shared" si="336"/>
        <v/>
      </c>
      <c r="IM65" s="61" t="str">
        <f t="shared" si="336"/>
        <v/>
      </c>
      <c r="IN65" s="128" t="str">
        <f t="shared" si="336"/>
        <v/>
      </c>
      <c r="IO65" s="128" t="str">
        <f t="shared" si="336"/>
        <v/>
      </c>
      <c r="IP65" s="128" t="str">
        <f t="shared" si="336"/>
        <v/>
      </c>
      <c r="IQ65" s="128" t="str">
        <f t="shared" si="336"/>
        <v/>
      </c>
      <c r="IR65" s="128" t="str">
        <f t="shared" si="336"/>
        <v/>
      </c>
      <c r="IS65" s="128" t="str">
        <f t="shared" si="336"/>
        <v/>
      </c>
      <c r="IT65" s="61" t="str">
        <f t="shared" si="336"/>
        <v/>
      </c>
      <c r="IU65" s="128" t="str">
        <f t="shared" si="336"/>
        <v/>
      </c>
      <c r="IV65" s="128" t="str">
        <f t="shared" si="336"/>
        <v/>
      </c>
      <c r="IW65" s="128" t="str">
        <f t="shared" si="336"/>
        <v/>
      </c>
      <c r="IX65" s="128" t="str">
        <f t="shared" si="336"/>
        <v/>
      </c>
      <c r="IY65" s="128" t="str">
        <f t="shared" si="336"/>
        <v/>
      </c>
      <c r="IZ65" s="128" t="str">
        <f t="shared" si="336"/>
        <v/>
      </c>
      <c r="JA65" s="61" t="str">
        <f t="shared" si="336"/>
        <v/>
      </c>
      <c r="JB65" s="128" t="str">
        <f t="shared" si="336"/>
        <v/>
      </c>
      <c r="JC65" s="128" t="str">
        <f t="shared" si="336"/>
        <v/>
      </c>
      <c r="JD65" s="128" t="str">
        <f t="shared" si="336"/>
        <v/>
      </c>
      <c r="JE65" s="128" t="str">
        <f t="shared" si="336"/>
        <v/>
      </c>
      <c r="JF65" s="128" t="str">
        <f t="shared" si="336"/>
        <v/>
      </c>
      <c r="JG65" s="128" t="str">
        <f t="shared" si="336"/>
        <v/>
      </c>
      <c r="JH65" s="61" t="str">
        <f t="shared" si="336"/>
        <v/>
      </c>
      <c r="JI65" s="128" t="str">
        <f t="shared" si="336"/>
        <v/>
      </c>
      <c r="JJ65" s="128" t="str">
        <f t="shared" si="336"/>
        <v/>
      </c>
      <c r="JK65" s="128" t="str">
        <f t="shared" si="336"/>
        <v/>
      </c>
      <c r="JL65" s="128" t="str">
        <f t="shared" si="336"/>
        <v/>
      </c>
      <c r="JM65" s="128" t="str">
        <f t="shared" si="336"/>
        <v/>
      </c>
      <c r="JN65" s="128" t="str">
        <f t="shared" si="336"/>
        <v/>
      </c>
      <c r="JO65" s="61" t="str">
        <f t="shared" si="336"/>
        <v/>
      </c>
      <c r="JP65" s="128" t="str">
        <f t="shared" si="336"/>
        <v/>
      </c>
      <c r="JQ65" s="128" t="str">
        <f t="shared" si="336"/>
        <v/>
      </c>
      <c r="JR65" s="128" t="str">
        <f t="shared" si="336"/>
        <v/>
      </c>
      <c r="JS65" s="128" t="str">
        <f t="shared" si="336"/>
        <v/>
      </c>
      <c r="JT65" s="128" t="str">
        <f t="shared" si="336"/>
        <v/>
      </c>
      <c r="JU65" s="128" t="str">
        <f t="shared" si="336"/>
        <v/>
      </c>
      <c r="JV65" s="61" t="str">
        <f t="shared" si="336"/>
        <v/>
      </c>
      <c r="JW65" s="128" t="str">
        <f t="shared" si="336"/>
        <v/>
      </c>
      <c r="JX65" s="128" t="str">
        <f t="shared" si="336"/>
        <v/>
      </c>
      <c r="JY65" s="128" t="str">
        <f t="shared" si="336"/>
        <v/>
      </c>
      <c r="JZ65" s="128" t="str">
        <f t="shared" si="336"/>
        <v/>
      </c>
      <c r="KA65" s="128" t="str">
        <f t="shared" si="336"/>
        <v/>
      </c>
      <c r="KB65" s="128" t="str">
        <f t="shared" si="336"/>
        <v/>
      </c>
      <c r="KC65" s="61" t="str">
        <f t="shared" si="336"/>
        <v/>
      </c>
      <c r="KD65" s="128" t="str">
        <f t="shared" si="336"/>
        <v/>
      </c>
      <c r="KE65" s="128" t="str">
        <f t="shared" si="336"/>
        <v/>
      </c>
      <c r="KF65" s="128" t="str">
        <f t="shared" si="336"/>
        <v/>
      </c>
      <c r="KG65" s="128" t="str">
        <f t="shared" ref="KG65:MN65" si="337">IF(SUM(KG42:KG63) &gt; 0, SUM(KG42:KG63), "")</f>
        <v/>
      </c>
      <c r="KH65" s="128" t="str">
        <f t="shared" si="337"/>
        <v/>
      </c>
      <c r="KI65" s="128" t="str">
        <f t="shared" si="337"/>
        <v/>
      </c>
      <c r="KJ65" s="61" t="str">
        <f t="shared" si="337"/>
        <v/>
      </c>
      <c r="KK65" s="128" t="str">
        <f t="shared" si="337"/>
        <v/>
      </c>
      <c r="KL65" s="128" t="str">
        <f t="shared" si="337"/>
        <v/>
      </c>
      <c r="KM65" s="128" t="str">
        <f t="shared" si="337"/>
        <v/>
      </c>
      <c r="KN65" s="128" t="str">
        <f t="shared" si="337"/>
        <v/>
      </c>
      <c r="KO65" s="128" t="str">
        <f t="shared" si="337"/>
        <v/>
      </c>
      <c r="KP65" s="128" t="str">
        <f t="shared" si="337"/>
        <v/>
      </c>
      <c r="KQ65" s="61" t="str">
        <f t="shared" si="337"/>
        <v/>
      </c>
      <c r="KR65" s="128" t="str">
        <f t="shared" si="337"/>
        <v/>
      </c>
      <c r="KS65" s="128" t="str">
        <f t="shared" si="337"/>
        <v/>
      </c>
      <c r="KT65" s="128" t="str">
        <f t="shared" si="337"/>
        <v/>
      </c>
      <c r="KU65" s="128" t="str">
        <f t="shared" si="337"/>
        <v/>
      </c>
      <c r="KV65" s="128" t="str">
        <f t="shared" si="337"/>
        <v/>
      </c>
      <c r="KW65" s="128" t="str">
        <f t="shared" si="337"/>
        <v/>
      </c>
      <c r="KX65" s="61" t="str">
        <f t="shared" si="337"/>
        <v/>
      </c>
      <c r="KY65" s="128" t="str">
        <f t="shared" si="337"/>
        <v/>
      </c>
      <c r="KZ65" s="128" t="str">
        <f t="shared" si="337"/>
        <v/>
      </c>
      <c r="LA65" s="128" t="str">
        <f t="shared" si="337"/>
        <v/>
      </c>
      <c r="LB65" s="128" t="str">
        <f t="shared" si="337"/>
        <v/>
      </c>
      <c r="LC65" s="128" t="str">
        <f t="shared" si="337"/>
        <v/>
      </c>
      <c r="LD65" s="128" t="str">
        <f t="shared" si="337"/>
        <v/>
      </c>
      <c r="LE65" s="61" t="str">
        <f t="shared" si="337"/>
        <v/>
      </c>
      <c r="LF65" s="128" t="str">
        <f t="shared" si="337"/>
        <v/>
      </c>
      <c r="LG65" s="128" t="str">
        <f t="shared" si="337"/>
        <v/>
      </c>
      <c r="LH65" s="128" t="str">
        <f t="shared" si="337"/>
        <v/>
      </c>
      <c r="LI65" s="128" t="str">
        <f t="shared" si="337"/>
        <v/>
      </c>
      <c r="LJ65" s="128" t="str">
        <f t="shared" si="337"/>
        <v/>
      </c>
      <c r="LK65" s="128" t="str">
        <f t="shared" si="337"/>
        <v/>
      </c>
      <c r="LL65" s="61" t="str">
        <f t="shared" si="337"/>
        <v/>
      </c>
      <c r="LM65" s="128" t="str">
        <f t="shared" si="337"/>
        <v/>
      </c>
      <c r="LN65" s="128" t="str">
        <f t="shared" si="337"/>
        <v/>
      </c>
      <c r="LO65" s="128" t="str">
        <f t="shared" si="337"/>
        <v/>
      </c>
      <c r="LP65" s="128" t="str">
        <f t="shared" si="337"/>
        <v/>
      </c>
      <c r="LQ65" s="128" t="str">
        <f t="shared" si="337"/>
        <v/>
      </c>
      <c r="LR65" s="128" t="str">
        <f t="shared" si="337"/>
        <v/>
      </c>
      <c r="LS65" s="61" t="str">
        <f t="shared" si="337"/>
        <v/>
      </c>
      <c r="LT65" s="128" t="str">
        <f t="shared" si="337"/>
        <v/>
      </c>
      <c r="LU65" s="128" t="str">
        <f t="shared" si="337"/>
        <v/>
      </c>
      <c r="LV65" s="128" t="str">
        <f t="shared" si="337"/>
        <v/>
      </c>
      <c r="LW65" s="128" t="str">
        <f t="shared" si="337"/>
        <v/>
      </c>
      <c r="LX65" s="128" t="str">
        <f t="shared" si="337"/>
        <v/>
      </c>
      <c r="LY65" s="128" t="str">
        <f t="shared" si="337"/>
        <v/>
      </c>
      <c r="LZ65" s="61" t="str">
        <f t="shared" si="337"/>
        <v/>
      </c>
      <c r="MA65" s="128" t="str">
        <f t="shared" si="337"/>
        <v/>
      </c>
      <c r="MB65" s="128" t="str">
        <f t="shared" si="337"/>
        <v/>
      </c>
      <c r="MC65" s="128" t="str">
        <f t="shared" si="337"/>
        <v/>
      </c>
      <c r="MD65" s="128" t="str">
        <f t="shared" si="337"/>
        <v/>
      </c>
      <c r="ME65" s="128" t="str">
        <f t="shared" si="337"/>
        <v/>
      </c>
      <c r="MF65" s="128" t="str">
        <f t="shared" si="337"/>
        <v/>
      </c>
      <c r="MG65" s="61" t="str">
        <f t="shared" si="337"/>
        <v/>
      </c>
      <c r="MH65" s="128" t="str">
        <f t="shared" si="337"/>
        <v/>
      </c>
      <c r="MI65" s="128" t="str">
        <f t="shared" si="337"/>
        <v/>
      </c>
      <c r="MJ65" s="128" t="str">
        <f t="shared" si="337"/>
        <v/>
      </c>
      <c r="MK65" s="128" t="str">
        <f t="shared" si="337"/>
        <v/>
      </c>
      <c r="ML65" s="128" t="str">
        <f t="shared" si="337"/>
        <v/>
      </c>
      <c r="MM65" s="128" t="str">
        <f t="shared" si="337"/>
        <v/>
      </c>
      <c r="MN65" s="61" t="str">
        <f t="shared" si="337"/>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S1</f>
        <v>43975</v>
      </c>
      <c r="T66" s="49">
        <f>T1</f>
        <v>43976</v>
      </c>
      <c r="U66" s="49">
        <f>U1</f>
        <v>43977</v>
      </c>
      <c r="V66" s="49">
        <f>V1</f>
        <v>43978</v>
      </c>
      <c r="W66" s="49">
        <f>W1</f>
        <v>43979</v>
      </c>
      <c r="X66" s="49">
        <f>X1</f>
        <v>43980</v>
      </c>
      <c r="Y66" s="49">
        <f>Y1</f>
        <v>43981</v>
      </c>
      <c r="Z66" s="49">
        <f>Z1</f>
        <v>43982</v>
      </c>
      <c r="AA66" s="49">
        <f>AA1</f>
        <v>43983</v>
      </c>
      <c r="AB66" s="49">
        <f>AB1</f>
        <v>43984</v>
      </c>
      <c r="AC66" s="49">
        <f>AC1</f>
        <v>43985</v>
      </c>
      <c r="AD66" s="49">
        <f>AD1</f>
        <v>43986</v>
      </c>
      <c r="AE66" s="49">
        <f>AE1</f>
        <v>43987</v>
      </c>
      <c r="AF66" s="49">
        <f>AF1</f>
        <v>43988</v>
      </c>
      <c r="AG66" s="49">
        <f>AG1</f>
        <v>43989</v>
      </c>
      <c r="AH66" s="49">
        <f>AH1</f>
        <v>43990</v>
      </c>
      <c r="AI66" s="49">
        <f>AI1</f>
        <v>43991</v>
      </c>
      <c r="AJ66" s="49">
        <f>AJ1</f>
        <v>43992</v>
      </c>
      <c r="AK66" s="49">
        <f>AK1</f>
        <v>43993</v>
      </c>
      <c r="AL66" s="49">
        <f>AL1</f>
        <v>43994</v>
      </c>
      <c r="AM66" s="49">
        <f>AM1</f>
        <v>43995</v>
      </c>
      <c r="AN66" s="49">
        <f>AN1</f>
        <v>43996</v>
      </c>
      <c r="AO66" s="49">
        <f>AO1</f>
        <v>43997</v>
      </c>
      <c r="AP66" s="49">
        <f>AP1</f>
        <v>43998</v>
      </c>
      <c r="AQ66" s="49">
        <f>AQ1</f>
        <v>43999</v>
      </c>
      <c r="AR66" s="49">
        <f>AR1</f>
        <v>44000</v>
      </c>
      <c r="AS66" s="49">
        <f>AS1</f>
        <v>44001</v>
      </c>
      <c r="AT66" s="49">
        <f>AT1</f>
        <v>44002</v>
      </c>
      <c r="AU66" s="49">
        <f>AU1</f>
        <v>44003</v>
      </c>
      <c r="AV66" s="49">
        <f>AV1</f>
        <v>44004</v>
      </c>
      <c r="AW66" s="49">
        <f>AW1</f>
        <v>44005</v>
      </c>
      <c r="AX66" s="49">
        <f>AX1</f>
        <v>44006</v>
      </c>
      <c r="AY66" s="49">
        <f>AY1</f>
        <v>44007</v>
      </c>
      <c r="AZ66" s="49">
        <f>AZ1</f>
        <v>44008</v>
      </c>
      <c r="BA66" s="49">
        <f>BA1</f>
        <v>44009</v>
      </c>
      <c r="BB66" s="49">
        <f>BB1</f>
        <v>44010</v>
      </c>
      <c r="BC66" s="49">
        <f>BC1</f>
        <v>44011</v>
      </c>
      <c r="BD66" s="49">
        <f>BD1</f>
        <v>44012</v>
      </c>
      <c r="BE66" s="49">
        <f>BE1</f>
        <v>44013</v>
      </c>
      <c r="BF66" s="49">
        <f>BF1</f>
        <v>44014</v>
      </c>
      <c r="BG66" s="49">
        <f>BG1</f>
        <v>44015</v>
      </c>
      <c r="BH66" s="49">
        <f>BH1</f>
        <v>44016</v>
      </c>
      <c r="BI66" s="49">
        <f>BI1</f>
        <v>44017</v>
      </c>
      <c r="BJ66" s="49">
        <f>BJ1</f>
        <v>44018</v>
      </c>
      <c r="BK66" s="49">
        <f>BK1</f>
        <v>44019</v>
      </c>
      <c r="BL66" s="49">
        <f>BL1</f>
        <v>44020</v>
      </c>
      <c r="BM66" s="49">
        <f>BM1</f>
        <v>44021</v>
      </c>
      <c r="BN66" s="49">
        <f>BN1</f>
        <v>44022</v>
      </c>
      <c r="BO66" s="49">
        <f>BO1</f>
        <v>44023</v>
      </c>
      <c r="BP66" s="49">
        <f>BP1</f>
        <v>44024</v>
      </c>
      <c r="BQ66" s="49">
        <f>BQ1</f>
        <v>44025</v>
      </c>
      <c r="BR66" s="49">
        <f>BR1</f>
        <v>44026</v>
      </c>
      <c r="BS66" s="49">
        <f>BS1</f>
        <v>44027</v>
      </c>
      <c r="BT66" s="49">
        <f>BT1</f>
        <v>44028</v>
      </c>
      <c r="BU66" s="49">
        <f>BU1</f>
        <v>44029</v>
      </c>
      <c r="BV66" s="49">
        <f>BV1</f>
        <v>44030</v>
      </c>
      <c r="BW66" s="49">
        <f>BW1</f>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DS1</f>
        <v>44067</v>
      </c>
      <c r="DT66" s="49">
        <f>DT1</f>
        <v>44068</v>
      </c>
      <c r="DU66" s="49">
        <f>DU1</f>
        <v>44069</v>
      </c>
      <c r="DV66" s="49">
        <f>DV1</f>
        <v>44070</v>
      </c>
      <c r="DW66" s="49">
        <f>DW1</f>
        <v>44071</v>
      </c>
      <c r="DX66" s="49">
        <f>DX1</f>
        <v>44072</v>
      </c>
      <c r="DY66" s="49">
        <f>DY1</f>
        <v>44073</v>
      </c>
      <c r="DZ66" s="49"/>
      <c r="EA66" s="49"/>
      <c r="EB66" s="49">
        <f>EB1</f>
        <v>44074</v>
      </c>
      <c r="EC66" s="49">
        <f>EC1</f>
        <v>44075</v>
      </c>
      <c r="ED66" s="49">
        <f>ED1</f>
        <v>44076</v>
      </c>
      <c r="EE66" s="49">
        <f>EE1</f>
        <v>44077</v>
      </c>
      <c r="EF66" s="49">
        <f>EF1</f>
        <v>44078</v>
      </c>
      <c r="EG66" s="49">
        <f>EG1</f>
        <v>44079</v>
      </c>
      <c r="EH66" s="49">
        <f>EH1</f>
        <v>44080</v>
      </c>
      <c r="EI66" s="49"/>
      <c r="EJ66" s="49"/>
      <c r="EK66" s="49">
        <f>EK1</f>
        <v>44081</v>
      </c>
      <c r="EL66" s="49">
        <f>EL1</f>
        <v>44082</v>
      </c>
      <c r="EM66" s="49">
        <f>EM1</f>
        <v>44083</v>
      </c>
      <c r="EN66" s="49">
        <f>EN1</f>
        <v>44084</v>
      </c>
      <c r="EO66" s="49">
        <f>EO1</f>
        <v>44085</v>
      </c>
      <c r="EP66" s="49">
        <f>EP1</f>
        <v>44086</v>
      </c>
      <c r="EQ66" s="49">
        <f>EQ1</f>
        <v>44087</v>
      </c>
      <c r="ER66" s="49"/>
      <c r="ES66" s="49"/>
      <c r="ET66" s="49">
        <f>ET1</f>
        <v>44088</v>
      </c>
      <c r="EU66" s="49">
        <f>EU1</f>
        <v>44089</v>
      </c>
      <c r="EV66" s="49">
        <f>EV1</f>
        <v>44090</v>
      </c>
      <c r="EW66" s="49">
        <f>EW1</f>
        <v>44091</v>
      </c>
      <c r="EX66" s="49">
        <f>EX1</f>
        <v>44092</v>
      </c>
      <c r="EY66" s="49">
        <f>EY1</f>
        <v>44093</v>
      </c>
      <c r="EZ66" s="49">
        <f>EZ1</f>
        <v>44094</v>
      </c>
      <c r="FA66" s="49">
        <f>FA1</f>
        <v>44095</v>
      </c>
      <c r="FB66" s="49">
        <f>FB1</f>
        <v>44096</v>
      </c>
      <c r="FC66" s="49">
        <f>FC1</f>
        <v>44097</v>
      </c>
      <c r="FD66" s="49">
        <f>FD1</f>
        <v>44098</v>
      </c>
      <c r="FE66" s="49">
        <f>FE1</f>
        <v>44099</v>
      </c>
      <c r="FF66" s="49">
        <f>FF1</f>
        <v>44100</v>
      </c>
      <c r="FG66" s="49">
        <f>FG1</f>
        <v>44101</v>
      </c>
      <c r="FH66" s="49">
        <f>FH1</f>
        <v>44102</v>
      </c>
      <c r="FI66" s="49">
        <f>FI1</f>
        <v>44103</v>
      </c>
      <c r="FJ66" s="49">
        <f>FJ1</f>
        <v>44104</v>
      </c>
      <c r="FK66" s="49">
        <f>FK1</f>
        <v>44105</v>
      </c>
      <c r="FL66" s="49">
        <f>FL1</f>
        <v>44106</v>
      </c>
      <c r="FM66" s="49">
        <f>FM1</f>
        <v>44107</v>
      </c>
      <c r="FN66" s="49">
        <f>FN1</f>
        <v>44108</v>
      </c>
      <c r="FO66" s="49">
        <f>FO1</f>
        <v>44109</v>
      </c>
      <c r="FP66" s="49">
        <f>FP1</f>
        <v>44110</v>
      </c>
      <c r="FQ66" s="49">
        <f>FQ1</f>
        <v>44111</v>
      </c>
      <c r="FR66" s="49">
        <f>FR1</f>
        <v>44112</v>
      </c>
      <c r="FS66" s="49">
        <f>FS1</f>
        <v>44113</v>
      </c>
      <c r="FT66" s="49">
        <f>FT1</f>
        <v>44114</v>
      </c>
      <c r="FU66" s="49">
        <f>FU1</f>
        <v>44115</v>
      </c>
      <c r="FV66" s="49">
        <f>FV1</f>
        <v>44116</v>
      </c>
      <c r="FW66" s="49">
        <f>FW1</f>
        <v>44117</v>
      </c>
      <c r="FX66" s="49">
        <f>FX1</f>
        <v>44118</v>
      </c>
      <c r="FY66" s="49">
        <f>FY1</f>
        <v>44119</v>
      </c>
      <c r="FZ66" s="49">
        <f>FZ1</f>
        <v>44120</v>
      </c>
      <c r="GA66" s="49">
        <f>GA1</f>
        <v>44121</v>
      </c>
      <c r="GB66" s="49">
        <f>GB1</f>
        <v>44122</v>
      </c>
      <c r="GC66" s="49">
        <f>GC1</f>
        <v>44123</v>
      </c>
      <c r="GD66" s="49">
        <f>GD1</f>
        <v>44124</v>
      </c>
      <c r="GE66" s="49">
        <f>GE1</f>
        <v>44125</v>
      </c>
      <c r="GF66" s="49">
        <f>GF1</f>
        <v>44126</v>
      </c>
      <c r="GG66" s="49">
        <f>GG1</f>
        <v>44127</v>
      </c>
      <c r="GH66" s="49">
        <f>GH1</f>
        <v>44128</v>
      </c>
      <c r="GI66" s="49">
        <f>GI1</f>
        <v>44129</v>
      </c>
      <c r="GJ66" s="49">
        <f>GJ1</f>
        <v>44130</v>
      </c>
      <c r="GK66" s="49">
        <f>GK1</f>
        <v>44131</v>
      </c>
      <c r="GL66" s="49">
        <f>GL1</f>
        <v>44132</v>
      </c>
      <c r="GM66" s="49">
        <f>GM1</f>
        <v>44133</v>
      </c>
      <c r="GN66" s="49">
        <f>GN1</f>
        <v>44134</v>
      </c>
      <c r="GO66" s="49">
        <f>GO1</f>
        <v>44135</v>
      </c>
      <c r="GP66" s="49">
        <f>GP1</f>
        <v>44136</v>
      </c>
      <c r="GQ66" s="49">
        <f>GQ1</f>
        <v>44137</v>
      </c>
      <c r="GR66" s="49">
        <f>GR1</f>
        <v>44138</v>
      </c>
      <c r="GS66" s="49">
        <f>GS1</f>
        <v>44139</v>
      </c>
      <c r="GT66" s="49">
        <f>GT1</f>
        <v>44140</v>
      </c>
      <c r="GU66" s="49">
        <f>GU1</f>
        <v>44141</v>
      </c>
      <c r="GV66" s="49">
        <f>GV1</f>
        <v>44142</v>
      </c>
      <c r="GW66" s="49">
        <f>GW1</f>
        <v>44143</v>
      </c>
      <c r="GX66" s="49">
        <f>GX1</f>
        <v>44144</v>
      </c>
      <c r="GY66" s="49">
        <f>GY1</f>
        <v>44145</v>
      </c>
      <c r="GZ66" s="49">
        <f>GZ1</f>
        <v>44146</v>
      </c>
      <c r="HA66" s="49">
        <f>HA1</f>
        <v>44147</v>
      </c>
      <c r="HB66" s="49">
        <f>HB1</f>
        <v>44148</v>
      </c>
      <c r="HC66" s="49">
        <f>HC1</f>
        <v>44149</v>
      </c>
      <c r="HD66" s="49">
        <f>HD1</f>
        <v>44150</v>
      </c>
      <c r="HE66" s="49">
        <f>HE1</f>
        <v>44151</v>
      </c>
      <c r="HF66" s="49">
        <f>HF1</f>
        <v>44152</v>
      </c>
      <c r="HG66" s="49">
        <f>HG1</f>
        <v>44153</v>
      </c>
      <c r="HH66" s="49">
        <f>HH1</f>
        <v>44154</v>
      </c>
      <c r="HI66" s="49">
        <f>HI1</f>
        <v>44155</v>
      </c>
      <c r="HJ66" s="49">
        <f>HJ1</f>
        <v>44156</v>
      </c>
      <c r="HK66" s="49">
        <f>HK1</f>
        <v>44157</v>
      </c>
      <c r="HL66" s="49">
        <f>HL1</f>
        <v>44158</v>
      </c>
      <c r="HM66" s="49">
        <f>HM1</f>
        <v>44159</v>
      </c>
      <c r="HN66" s="49">
        <f>HN1</f>
        <v>44160</v>
      </c>
      <c r="HO66" s="49">
        <f>HO1</f>
        <v>44161</v>
      </c>
      <c r="HP66" s="49">
        <f>HP1</f>
        <v>44162</v>
      </c>
      <c r="HQ66" s="49">
        <f>HQ1</f>
        <v>44163</v>
      </c>
      <c r="HR66" s="49">
        <f>HR1</f>
        <v>44164</v>
      </c>
      <c r="HS66" s="49">
        <f>HS1</f>
        <v>44165</v>
      </c>
      <c r="HT66" s="49">
        <f>HT1</f>
        <v>44166</v>
      </c>
      <c r="HU66" s="49">
        <f>HU1</f>
        <v>44167</v>
      </c>
      <c r="HV66" s="49">
        <f>HV1</f>
        <v>44168</v>
      </c>
      <c r="HW66" s="49">
        <f>HW1</f>
        <v>44169</v>
      </c>
      <c r="HX66" s="49">
        <f>HX1</f>
        <v>44170</v>
      </c>
      <c r="HY66" s="49">
        <f>HY1</f>
        <v>44171</v>
      </c>
      <c r="HZ66" s="49">
        <f>HZ1</f>
        <v>44172</v>
      </c>
      <c r="IA66" s="49">
        <f>IA1</f>
        <v>44173</v>
      </c>
      <c r="IB66" s="49">
        <f>IB1</f>
        <v>44174</v>
      </c>
      <c r="IC66" s="49">
        <f>IC1</f>
        <v>44175</v>
      </c>
      <c r="ID66" s="49">
        <f>ID1</f>
        <v>44176</v>
      </c>
      <c r="IE66" s="49">
        <f>IE1</f>
        <v>44177</v>
      </c>
      <c r="IF66" s="49">
        <f>IF1</f>
        <v>44178</v>
      </c>
      <c r="IG66" s="49">
        <f>IG1</f>
        <v>44179</v>
      </c>
      <c r="IH66" s="49">
        <f>IH1</f>
        <v>44180</v>
      </c>
      <c r="II66" s="49">
        <f>II1</f>
        <v>44181</v>
      </c>
      <c r="IJ66" s="49">
        <f>IJ1</f>
        <v>44182</v>
      </c>
      <c r="IK66" s="49">
        <f>IK1</f>
        <v>44183</v>
      </c>
      <c r="IL66" s="49">
        <f>IL1</f>
        <v>44184</v>
      </c>
      <c r="IM66" s="49">
        <f>IM1</f>
        <v>44185</v>
      </c>
      <c r="IN66" s="49">
        <f>IN1</f>
        <v>44186</v>
      </c>
      <c r="IO66" s="49">
        <f>IO1</f>
        <v>44187</v>
      </c>
      <c r="IP66" s="49">
        <f>IP1</f>
        <v>44188</v>
      </c>
      <c r="IQ66" s="49">
        <f>IQ1</f>
        <v>44189</v>
      </c>
      <c r="IR66" s="49">
        <f>IR1</f>
        <v>44190</v>
      </c>
      <c r="IS66" s="49">
        <f>IS1</f>
        <v>44191</v>
      </c>
      <c r="IT66" s="49">
        <f>IT1</f>
        <v>44192</v>
      </c>
      <c r="IU66" s="49">
        <f>IU1</f>
        <v>44193</v>
      </c>
      <c r="IV66" s="49">
        <f>IV1</f>
        <v>44194</v>
      </c>
      <c r="IW66" s="49">
        <f>IW1</f>
        <v>44195</v>
      </c>
      <c r="IX66" s="49">
        <f>IX1</f>
        <v>44196</v>
      </c>
      <c r="IY66" s="49">
        <f>IY1</f>
        <v>44197</v>
      </c>
      <c r="IZ66" s="49">
        <f>IZ1</f>
        <v>44198</v>
      </c>
      <c r="JA66" s="49">
        <f>JA1</f>
        <v>44199</v>
      </c>
      <c r="JB66" s="49">
        <f>JB1</f>
        <v>44200</v>
      </c>
      <c r="JC66" s="49">
        <f>JC1</f>
        <v>44201</v>
      </c>
      <c r="JD66" s="49">
        <f>JD1</f>
        <v>44202</v>
      </c>
      <c r="JE66" s="49">
        <f>JE1</f>
        <v>44203</v>
      </c>
      <c r="JF66" s="49">
        <f>JF1</f>
        <v>44204</v>
      </c>
      <c r="JG66" s="49">
        <f>JG1</f>
        <v>44205</v>
      </c>
      <c r="JH66" s="49">
        <f>JH1</f>
        <v>44206</v>
      </c>
      <c r="JI66" s="49">
        <f>JI1</f>
        <v>44207</v>
      </c>
      <c r="JJ66" s="49">
        <f>JJ1</f>
        <v>44208</v>
      </c>
      <c r="JK66" s="49">
        <f>JK1</f>
        <v>44209</v>
      </c>
      <c r="JL66" s="49">
        <f>JL1</f>
        <v>44210</v>
      </c>
      <c r="JM66" s="49">
        <f>JM1</f>
        <v>44211</v>
      </c>
      <c r="JN66" s="49">
        <f>JN1</f>
        <v>44212</v>
      </c>
      <c r="JO66" s="49">
        <f>JO1</f>
        <v>44213</v>
      </c>
      <c r="JP66" s="49">
        <f>JP1</f>
        <v>44214</v>
      </c>
      <c r="JQ66" s="49">
        <f>JQ1</f>
        <v>44215</v>
      </c>
      <c r="JR66" s="49">
        <f>JR1</f>
        <v>44216</v>
      </c>
      <c r="JS66" s="49">
        <f>JS1</f>
        <v>44217</v>
      </c>
      <c r="JT66" s="49">
        <f>JT1</f>
        <v>44218</v>
      </c>
      <c r="JU66" s="49">
        <f>JU1</f>
        <v>44219</v>
      </c>
      <c r="JV66" s="49">
        <f>JV1</f>
        <v>44220</v>
      </c>
      <c r="JW66" s="49">
        <f>JW1</f>
        <v>44221</v>
      </c>
      <c r="JX66" s="49">
        <f>JX1</f>
        <v>44222</v>
      </c>
      <c r="JY66" s="49">
        <f>JY1</f>
        <v>44223</v>
      </c>
      <c r="JZ66" s="49">
        <f>JZ1</f>
        <v>44224</v>
      </c>
      <c r="KA66" s="49">
        <f>KA1</f>
        <v>44225</v>
      </c>
      <c r="KB66" s="49">
        <f>KB1</f>
        <v>44226</v>
      </c>
      <c r="KC66" s="49">
        <f>KC1</f>
        <v>44227</v>
      </c>
      <c r="KD66" s="49">
        <f>KD1</f>
        <v>44228</v>
      </c>
      <c r="KE66" s="49">
        <f>KE1</f>
        <v>44229</v>
      </c>
      <c r="KF66" s="49">
        <f>KF1</f>
        <v>44230</v>
      </c>
      <c r="KG66" s="49">
        <f>KG1</f>
        <v>44231</v>
      </c>
      <c r="KH66" s="49">
        <f>KH1</f>
        <v>44232</v>
      </c>
      <c r="KI66" s="49">
        <f>KI1</f>
        <v>44233</v>
      </c>
      <c r="KJ66" s="49">
        <f>KJ1</f>
        <v>44234</v>
      </c>
      <c r="KK66" s="49">
        <f>KK1</f>
        <v>44235</v>
      </c>
      <c r="KL66" s="49">
        <f>KL1</f>
        <v>44236</v>
      </c>
      <c r="KM66" s="49">
        <f>KM1</f>
        <v>44237</v>
      </c>
      <c r="KN66" s="49">
        <f>KN1</f>
        <v>44238</v>
      </c>
      <c r="KO66" s="49">
        <f>KO1</f>
        <v>44239</v>
      </c>
      <c r="KP66" s="49">
        <f>KP1</f>
        <v>44240</v>
      </c>
      <c r="KQ66" s="49">
        <f>KQ1</f>
        <v>44241</v>
      </c>
      <c r="KR66" s="49">
        <f>KR1</f>
        <v>44242</v>
      </c>
      <c r="KS66" s="49">
        <f>KS1</f>
        <v>44243</v>
      </c>
      <c r="KT66" s="49">
        <f>KT1</f>
        <v>44244</v>
      </c>
      <c r="KU66" s="49">
        <f>KU1</f>
        <v>44245</v>
      </c>
      <c r="KV66" s="49">
        <f>KV1</f>
        <v>44246</v>
      </c>
      <c r="KW66" s="49">
        <f>KW1</f>
        <v>44247</v>
      </c>
      <c r="KX66" s="49">
        <f>KX1</f>
        <v>44248</v>
      </c>
      <c r="KY66" s="49">
        <f>KY1</f>
        <v>44249</v>
      </c>
      <c r="KZ66" s="49">
        <f>KZ1</f>
        <v>44250</v>
      </c>
      <c r="LA66" s="49">
        <f>LA1</f>
        <v>44251</v>
      </c>
      <c r="LB66" s="49">
        <f>LB1</f>
        <v>44252</v>
      </c>
      <c r="LC66" s="49">
        <f>LC1</f>
        <v>44253</v>
      </c>
      <c r="LD66" s="49">
        <f>LD1</f>
        <v>44254</v>
      </c>
      <c r="LE66" s="49">
        <f>LE1</f>
        <v>44255</v>
      </c>
      <c r="LF66" s="49">
        <f>LF1</f>
        <v>44256</v>
      </c>
      <c r="LG66" s="49">
        <f>LG1</f>
        <v>44257</v>
      </c>
      <c r="LH66" s="49">
        <f>LH1</f>
        <v>44258</v>
      </c>
      <c r="LI66" s="49">
        <f>LI1</f>
        <v>44259</v>
      </c>
      <c r="LJ66" s="49">
        <f>LJ1</f>
        <v>44260</v>
      </c>
      <c r="LK66" s="49">
        <f>LK1</f>
        <v>44261</v>
      </c>
      <c r="LL66" s="49">
        <f>LL1</f>
        <v>44262</v>
      </c>
      <c r="LM66" s="49">
        <f>LM1</f>
        <v>44263</v>
      </c>
      <c r="LN66" s="49">
        <f>LN1</f>
        <v>44264</v>
      </c>
      <c r="LO66" s="49">
        <f>LO1</f>
        <v>44265</v>
      </c>
      <c r="LP66" s="49">
        <f>LP1</f>
        <v>44266</v>
      </c>
      <c r="LQ66" s="49">
        <f>LQ1</f>
        <v>44267</v>
      </c>
      <c r="LR66" s="49">
        <f>LR1</f>
        <v>44268</v>
      </c>
      <c r="LS66" s="49">
        <f>LS1</f>
        <v>44269</v>
      </c>
      <c r="LT66" s="49">
        <f>LT1</f>
        <v>44270</v>
      </c>
      <c r="LU66" s="49">
        <f>LU1</f>
        <v>44271</v>
      </c>
      <c r="LV66" s="49">
        <f>LV1</f>
        <v>44272</v>
      </c>
      <c r="LW66" s="49">
        <f>LW1</f>
        <v>44273</v>
      </c>
      <c r="LX66" s="49">
        <f>LX1</f>
        <v>44274</v>
      </c>
      <c r="LY66" s="49">
        <f>LY1</f>
        <v>44275</v>
      </c>
      <c r="LZ66" s="49">
        <f>LZ1</f>
        <v>44276</v>
      </c>
      <c r="MA66" s="49">
        <f>MA1</f>
        <v>44277</v>
      </c>
      <c r="MB66" s="49">
        <f>MB1</f>
        <v>44278</v>
      </c>
      <c r="MC66" s="49">
        <f>MC1</f>
        <v>44279</v>
      </c>
      <c r="MD66" s="49">
        <f>MD1</f>
        <v>44280</v>
      </c>
      <c r="ME66" s="49">
        <f>ME1</f>
        <v>44281</v>
      </c>
      <c r="MF66" s="49">
        <f>MF1</f>
        <v>44282</v>
      </c>
      <c r="MG66" s="49">
        <f>MG1</f>
        <v>44283</v>
      </c>
      <c r="MH66" s="49">
        <f>MH1</f>
        <v>44284</v>
      </c>
      <c r="MI66" s="49">
        <f>MI1</f>
        <v>44285</v>
      </c>
      <c r="MJ66" s="49">
        <f>MJ1</f>
        <v>44286</v>
      </c>
      <c r="MK66" s="49">
        <f>MK1</f>
        <v>44287</v>
      </c>
      <c r="ML66" s="49">
        <f>ML1</f>
        <v>44288</v>
      </c>
      <c r="MM66" s="49">
        <f>MM1</f>
        <v>44289</v>
      </c>
      <c r="MN66" s="49">
        <f>MN1</f>
        <v>44290</v>
      </c>
    </row>
    <row r="67" spans="1:352" ht="15" customHeight="1" x14ac:dyDescent="0.25">
      <c r="A67" s="144" t="s">
        <v>144</v>
      </c>
      <c r="B67" s="144"/>
      <c r="C67" s="144"/>
      <c r="D67" s="144"/>
      <c r="E67" s="145"/>
      <c r="F67" s="30"/>
      <c r="G67" s="30"/>
      <c r="H67" s="30"/>
      <c r="I67" s="30"/>
      <c r="J67" s="30"/>
      <c r="K67" s="30"/>
      <c r="L67" s="30"/>
      <c r="M67" s="30"/>
      <c r="N67" s="30"/>
      <c r="O67" s="29"/>
      <c r="P67" s="148" t="s">
        <v>49</v>
      </c>
      <c r="Q67" s="148" t="s">
        <v>48</v>
      </c>
      <c r="R67" s="150"/>
      <c r="S67" s="57">
        <f t="shared" ref="S67:BV67" si="338">S39</f>
        <v>43975</v>
      </c>
      <c r="T67" s="58">
        <f t="shared" si="338"/>
        <v>43976</v>
      </c>
      <c r="U67" s="58">
        <f t="shared" si="338"/>
        <v>43977</v>
      </c>
      <c r="V67" s="58">
        <f t="shared" si="338"/>
        <v>43978</v>
      </c>
      <c r="W67" s="58">
        <f t="shared" si="338"/>
        <v>43979</v>
      </c>
      <c r="X67" s="58">
        <f t="shared" si="338"/>
        <v>43980</v>
      </c>
      <c r="Y67" s="58">
        <f t="shared" si="338"/>
        <v>43981</v>
      </c>
      <c r="Z67" s="57">
        <f t="shared" si="338"/>
        <v>43982</v>
      </c>
      <c r="AA67" s="58">
        <f t="shared" si="338"/>
        <v>43983</v>
      </c>
      <c r="AB67" s="58">
        <f t="shared" si="338"/>
        <v>43984</v>
      </c>
      <c r="AC67" s="58">
        <f t="shared" si="338"/>
        <v>43985</v>
      </c>
      <c r="AD67" s="58">
        <f t="shared" si="338"/>
        <v>43986</v>
      </c>
      <c r="AE67" s="58">
        <f t="shared" si="338"/>
        <v>43987</v>
      </c>
      <c r="AF67" s="58">
        <f t="shared" si="338"/>
        <v>43988</v>
      </c>
      <c r="AG67" s="57">
        <f t="shared" si="338"/>
        <v>43989</v>
      </c>
      <c r="AH67" s="58">
        <f t="shared" si="338"/>
        <v>43990</v>
      </c>
      <c r="AI67" s="58">
        <f t="shared" si="338"/>
        <v>43991</v>
      </c>
      <c r="AJ67" s="58">
        <f t="shared" si="338"/>
        <v>43992</v>
      </c>
      <c r="AK67" s="58">
        <f t="shared" si="338"/>
        <v>43993</v>
      </c>
      <c r="AL67" s="58">
        <f t="shared" si="338"/>
        <v>43994</v>
      </c>
      <c r="AM67" s="58">
        <f t="shared" si="338"/>
        <v>43995</v>
      </c>
      <c r="AN67" s="57">
        <f t="shared" si="338"/>
        <v>43996</v>
      </c>
      <c r="AO67" s="58">
        <f t="shared" si="338"/>
        <v>43997</v>
      </c>
      <c r="AP67" s="58">
        <f t="shared" si="338"/>
        <v>43998</v>
      </c>
      <c r="AQ67" s="58">
        <f t="shared" si="338"/>
        <v>43999</v>
      </c>
      <c r="AR67" s="58">
        <f t="shared" si="338"/>
        <v>44000</v>
      </c>
      <c r="AS67" s="58">
        <f t="shared" si="338"/>
        <v>44001</v>
      </c>
      <c r="AT67" s="58">
        <f t="shared" si="338"/>
        <v>44002</v>
      </c>
      <c r="AU67" s="57">
        <f t="shared" si="338"/>
        <v>44003</v>
      </c>
      <c r="AV67" s="58">
        <f t="shared" si="338"/>
        <v>44004</v>
      </c>
      <c r="AW67" s="58">
        <f t="shared" si="338"/>
        <v>44005</v>
      </c>
      <c r="AX67" s="58">
        <f t="shared" si="338"/>
        <v>44006</v>
      </c>
      <c r="AY67" s="58">
        <f t="shared" si="338"/>
        <v>44007</v>
      </c>
      <c r="AZ67" s="58">
        <f t="shared" si="338"/>
        <v>44008</v>
      </c>
      <c r="BA67" s="58">
        <f t="shared" si="338"/>
        <v>44009</v>
      </c>
      <c r="BB67" s="57">
        <f t="shared" si="338"/>
        <v>44010</v>
      </c>
      <c r="BC67" s="58">
        <f t="shared" si="338"/>
        <v>44011</v>
      </c>
      <c r="BD67" s="58">
        <f t="shared" si="338"/>
        <v>44012</v>
      </c>
      <c r="BE67" s="58">
        <f t="shared" si="338"/>
        <v>44013</v>
      </c>
      <c r="BF67" s="58">
        <f t="shared" si="338"/>
        <v>44014</v>
      </c>
      <c r="BG67" s="58">
        <f t="shared" si="338"/>
        <v>44015</v>
      </c>
      <c r="BH67" s="58">
        <f t="shared" si="338"/>
        <v>44016</v>
      </c>
      <c r="BI67" s="57">
        <f t="shared" si="338"/>
        <v>44017</v>
      </c>
      <c r="BJ67" s="58">
        <f t="shared" si="338"/>
        <v>44018</v>
      </c>
      <c r="BK67" s="58">
        <f t="shared" si="338"/>
        <v>44019</v>
      </c>
      <c r="BL67" s="58">
        <f t="shared" si="338"/>
        <v>44020</v>
      </c>
      <c r="BM67" s="58">
        <f t="shared" si="338"/>
        <v>44021</v>
      </c>
      <c r="BN67" s="58">
        <f t="shared" si="338"/>
        <v>44022</v>
      </c>
      <c r="BO67" s="58">
        <f t="shared" si="338"/>
        <v>44023</v>
      </c>
      <c r="BP67" s="57">
        <v>12</v>
      </c>
      <c r="BQ67" s="58">
        <f t="shared" si="338"/>
        <v>44025</v>
      </c>
      <c r="BR67" s="58">
        <f t="shared" si="338"/>
        <v>44026</v>
      </c>
      <c r="BS67" s="58">
        <f t="shared" si="338"/>
        <v>44027</v>
      </c>
      <c r="BT67" s="58">
        <f t="shared" si="338"/>
        <v>44028</v>
      </c>
      <c r="BU67" s="58">
        <f t="shared" si="338"/>
        <v>44029</v>
      </c>
      <c r="BV67" s="58">
        <f t="shared" si="338"/>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39">DS39</f>
        <v>44067</v>
      </c>
      <c r="DT67" s="58">
        <f t="shared" si="339"/>
        <v>44068</v>
      </c>
      <c r="DU67" s="58">
        <f t="shared" si="339"/>
        <v>44069</v>
      </c>
      <c r="DV67" s="58">
        <f t="shared" si="339"/>
        <v>44070</v>
      </c>
      <c r="DW67" s="58">
        <f t="shared" si="339"/>
        <v>44071</v>
      </c>
      <c r="DX67" s="58">
        <f t="shared" si="339"/>
        <v>44072</v>
      </c>
      <c r="DY67" s="58">
        <f t="shared" si="339"/>
        <v>44073</v>
      </c>
      <c r="DZ67" s="58"/>
      <c r="EA67" s="57"/>
      <c r="EB67" s="58">
        <f t="shared" si="339"/>
        <v>44074</v>
      </c>
      <c r="EC67" s="58">
        <f t="shared" si="339"/>
        <v>44075</v>
      </c>
      <c r="ED67" s="58">
        <f t="shared" si="339"/>
        <v>44076</v>
      </c>
      <c r="EE67" s="58">
        <f t="shared" si="339"/>
        <v>44077</v>
      </c>
      <c r="EF67" s="58">
        <f t="shared" si="339"/>
        <v>44078</v>
      </c>
      <c r="EG67" s="58">
        <f t="shared" si="339"/>
        <v>44079</v>
      </c>
      <c r="EH67" s="58">
        <f t="shared" si="339"/>
        <v>44080</v>
      </c>
      <c r="EI67" s="58"/>
      <c r="EJ67" s="57"/>
      <c r="EK67" s="58">
        <f t="shared" si="339"/>
        <v>44081</v>
      </c>
      <c r="EL67" s="58">
        <f t="shared" si="339"/>
        <v>44082</v>
      </c>
      <c r="EM67" s="58">
        <f t="shared" si="339"/>
        <v>44083</v>
      </c>
      <c r="EN67" s="58">
        <f t="shared" si="339"/>
        <v>44084</v>
      </c>
      <c r="EO67" s="58">
        <f t="shared" si="339"/>
        <v>44085</v>
      </c>
      <c r="EP67" s="58">
        <f t="shared" si="339"/>
        <v>44086</v>
      </c>
      <c r="EQ67" s="58">
        <f t="shared" si="339"/>
        <v>44087</v>
      </c>
      <c r="ER67" s="58"/>
      <c r="ES67" s="57"/>
      <c r="ET67" s="58">
        <f t="shared" si="339"/>
        <v>44088</v>
      </c>
      <c r="EU67" s="58">
        <f t="shared" si="339"/>
        <v>44089</v>
      </c>
      <c r="EV67" s="58">
        <f t="shared" si="339"/>
        <v>44090</v>
      </c>
      <c r="EW67" s="58">
        <f t="shared" si="339"/>
        <v>44091</v>
      </c>
      <c r="EX67" s="58">
        <f t="shared" si="339"/>
        <v>44092</v>
      </c>
      <c r="EY67" s="58">
        <f t="shared" si="339"/>
        <v>44093</v>
      </c>
      <c r="EZ67" s="57">
        <f t="shared" si="339"/>
        <v>44094</v>
      </c>
      <c r="FA67" s="58">
        <f t="shared" si="339"/>
        <v>44095</v>
      </c>
      <c r="FB67" s="58">
        <f t="shared" si="339"/>
        <v>44096</v>
      </c>
      <c r="FC67" s="58">
        <f t="shared" si="339"/>
        <v>44097</v>
      </c>
      <c r="FD67" s="58">
        <f t="shared" si="339"/>
        <v>44098</v>
      </c>
      <c r="FE67" s="58">
        <f t="shared" si="339"/>
        <v>44099</v>
      </c>
      <c r="FF67" s="58">
        <f t="shared" si="339"/>
        <v>44100</v>
      </c>
      <c r="FG67" s="57">
        <f t="shared" si="339"/>
        <v>44101</v>
      </c>
      <c r="FH67" s="58">
        <f t="shared" si="339"/>
        <v>44102</v>
      </c>
      <c r="FI67" s="58">
        <f t="shared" ref="FI67:HT67" si="340">FI39</f>
        <v>44103</v>
      </c>
      <c r="FJ67" s="58">
        <f t="shared" si="340"/>
        <v>44104</v>
      </c>
      <c r="FK67" s="58">
        <f t="shared" si="340"/>
        <v>44105</v>
      </c>
      <c r="FL67" s="58">
        <f t="shared" si="340"/>
        <v>44106</v>
      </c>
      <c r="FM67" s="58">
        <f t="shared" si="340"/>
        <v>44107</v>
      </c>
      <c r="FN67" s="57">
        <f t="shared" si="340"/>
        <v>44108</v>
      </c>
      <c r="FO67" s="58">
        <f t="shared" si="340"/>
        <v>44109</v>
      </c>
      <c r="FP67" s="58">
        <f t="shared" si="340"/>
        <v>44110</v>
      </c>
      <c r="FQ67" s="58">
        <f t="shared" si="340"/>
        <v>44111</v>
      </c>
      <c r="FR67" s="58">
        <f t="shared" si="340"/>
        <v>44112</v>
      </c>
      <c r="FS67" s="58">
        <f t="shared" si="340"/>
        <v>44113</v>
      </c>
      <c r="FT67" s="58">
        <f t="shared" si="340"/>
        <v>44114</v>
      </c>
      <c r="FU67" s="57">
        <f t="shared" si="340"/>
        <v>44115</v>
      </c>
      <c r="FV67" s="58">
        <f t="shared" si="340"/>
        <v>44116</v>
      </c>
      <c r="FW67" s="58">
        <f t="shared" si="340"/>
        <v>44117</v>
      </c>
      <c r="FX67" s="58">
        <f t="shared" si="340"/>
        <v>44118</v>
      </c>
      <c r="FY67" s="58">
        <f t="shared" si="340"/>
        <v>44119</v>
      </c>
      <c r="FZ67" s="58">
        <f t="shared" si="340"/>
        <v>44120</v>
      </c>
      <c r="GA67" s="58">
        <f t="shared" si="340"/>
        <v>44121</v>
      </c>
      <c r="GB67" s="57">
        <f t="shared" si="340"/>
        <v>44122</v>
      </c>
      <c r="GC67" s="58">
        <f t="shared" si="340"/>
        <v>44123</v>
      </c>
      <c r="GD67" s="58">
        <f t="shared" si="340"/>
        <v>44124</v>
      </c>
      <c r="GE67" s="58">
        <f t="shared" si="340"/>
        <v>44125</v>
      </c>
      <c r="GF67" s="58">
        <f t="shared" si="340"/>
        <v>44126</v>
      </c>
      <c r="GG67" s="58">
        <f t="shared" si="340"/>
        <v>44127</v>
      </c>
      <c r="GH67" s="58">
        <f t="shared" si="340"/>
        <v>44128</v>
      </c>
      <c r="GI67" s="57">
        <f t="shared" si="340"/>
        <v>44129</v>
      </c>
      <c r="GJ67" s="58">
        <f t="shared" si="340"/>
        <v>44130</v>
      </c>
      <c r="GK67" s="58">
        <f t="shared" si="340"/>
        <v>44131</v>
      </c>
      <c r="GL67" s="58">
        <f t="shared" si="340"/>
        <v>44132</v>
      </c>
      <c r="GM67" s="58">
        <f t="shared" si="340"/>
        <v>44133</v>
      </c>
      <c r="GN67" s="58">
        <f t="shared" si="340"/>
        <v>44134</v>
      </c>
      <c r="GO67" s="58">
        <f t="shared" si="340"/>
        <v>44135</v>
      </c>
      <c r="GP67" s="57">
        <f t="shared" si="340"/>
        <v>44136</v>
      </c>
      <c r="GQ67" s="58">
        <f t="shared" si="340"/>
        <v>44137</v>
      </c>
      <c r="GR67" s="58">
        <f t="shared" si="340"/>
        <v>44138</v>
      </c>
      <c r="GS67" s="58">
        <f t="shared" si="340"/>
        <v>44139</v>
      </c>
      <c r="GT67" s="58">
        <f t="shared" si="340"/>
        <v>44140</v>
      </c>
      <c r="GU67" s="58">
        <f t="shared" si="340"/>
        <v>44141</v>
      </c>
      <c r="GV67" s="58">
        <f t="shared" si="340"/>
        <v>44142</v>
      </c>
      <c r="GW67" s="57">
        <f t="shared" si="340"/>
        <v>44143</v>
      </c>
      <c r="GX67" s="58">
        <f t="shared" si="340"/>
        <v>44144</v>
      </c>
      <c r="GY67" s="58">
        <f t="shared" si="340"/>
        <v>44145</v>
      </c>
      <c r="GZ67" s="58">
        <f t="shared" si="340"/>
        <v>44146</v>
      </c>
      <c r="HA67" s="58">
        <f t="shared" si="340"/>
        <v>44147</v>
      </c>
      <c r="HB67" s="58">
        <f t="shared" si="340"/>
        <v>44148</v>
      </c>
      <c r="HC67" s="58">
        <f t="shared" si="340"/>
        <v>44149</v>
      </c>
      <c r="HD67" s="57">
        <f t="shared" si="340"/>
        <v>44150</v>
      </c>
      <c r="HE67" s="58">
        <f t="shared" si="340"/>
        <v>44151</v>
      </c>
      <c r="HF67" s="58">
        <f t="shared" si="340"/>
        <v>44152</v>
      </c>
      <c r="HG67" s="58">
        <f t="shared" si="340"/>
        <v>44153</v>
      </c>
      <c r="HH67" s="58">
        <f t="shared" si="340"/>
        <v>44154</v>
      </c>
      <c r="HI67" s="58">
        <f t="shared" si="340"/>
        <v>44155</v>
      </c>
      <c r="HJ67" s="58">
        <f t="shared" si="340"/>
        <v>44156</v>
      </c>
      <c r="HK67" s="57">
        <f t="shared" si="340"/>
        <v>44157</v>
      </c>
      <c r="HL67" s="58">
        <f t="shared" si="340"/>
        <v>44158</v>
      </c>
      <c r="HM67" s="58">
        <f t="shared" si="340"/>
        <v>44159</v>
      </c>
      <c r="HN67" s="58">
        <f t="shared" si="340"/>
        <v>44160</v>
      </c>
      <c r="HO67" s="58">
        <f t="shared" si="340"/>
        <v>44161</v>
      </c>
      <c r="HP67" s="58">
        <f t="shared" si="340"/>
        <v>44162</v>
      </c>
      <c r="HQ67" s="58">
        <f t="shared" si="340"/>
        <v>44163</v>
      </c>
      <c r="HR67" s="57">
        <f t="shared" si="340"/>
        <v>44164</v>
      </c>
      <c r="HS67" s="58">
        <f t="shared" si="340"/>
        <v>44165</v>
      </c>
      <c r="HT67" s="58">
        <f t="shared" si="340"/>
        <v>44166</v>
      </c>
      <c r="HU67" s="58">
        <f t="shared" ref="HU67:KF67" si="341">HU39</f>
        <v>44167</v>
      </c>
      <c r="HV67" s="58">
        <f t="shared" si="341"/>
        <v>44168</v>
      </c>
      <c r="HW67" s="58">
        <f t="shared" si="341"/>
        <v>44169</v>
      </c>
      <c r="HX67" s="58">
        <f t="shared" si="341"/>
        <v>44170</v>
      </c>
      <c r="HY67" s="57">
        <f t="shared" si="341"/>
        <v>44171</v>
      </c>
      <c r="HZ67" s="58">
        <f t="shared" si="341"/>
        <v>44172</v>
      </c>
      <c r="IA67" s="58">
        <f t="shared" si="341"/>
        <v>44173</v>
      </c>
      <c r="IB67" s="58">
        <f t="shared" si="341"/>
        <v>44174</v>
      </c>
      <c r="IC67" s="58">
        <f t="shared" si="341"/>
        <v>44175</v>
      </c>
      <c r="ID67" s="58">
        <f t="shared" si="341"/>
        <v>44176</v>
      </c>
      <c r="IE67" s="58">
        <f t="shared" si="341"/>
        <v>44177</v>
      </c>
      <c r="IF67" s="57">
        <f t="shared" si="341"/>
        <v>44178</v>
      </c>
      <c r="IG67" s="58">
        <f t="shared" si="341"/>
        <v>44179</v>
      </c>
      <c r="IH67" s="58">
        <f t="shared" si="341"/>
        <v>44180</v>
      </c>
      <c r="II67" s="58">
        <f t="shared" si="341"/>
        <v>44181</v>
      </c>
      <c r="IJ67" s="58">
        <f t="shared" si="341"/>
        <v>44182</v>
      </c>
      <c r="IK67" s="58">
        <f t="shared" si="341"/>
        <v>44183</v>
      </c>
      <c r="IL67" s="58">
        <f t="shared" si="341"/>
        <v>44184</v>
      </c>
      <c r="IM67" s="57">
        <f t="shared" si="341"/>
        <v>44185</v>
      </c>
      <c r="IN67" s="58">
        <f t="shared" si="341"/>
        <v>44186</v>
      </c>
      <c r="IO67" s="58">
        <f t="shared" si="341"/>
        <v>44187</v>
      </c>
      <c r="IP67" s="58">
        <f t="shared" si="341"/>
        <v>44188</v>
      </c>
      <c r="IQ67" s="58">
        <f t="shared" si="341"/>
        <v>44189</v>
      </c>
      <c r="IR67" s="58">
        <f t="shared" si="341"/>
        <v>44190</v>
      </c>
      <c r="IS67" s="58">
        <f t="shared" si="341"/>
        <v>44191</v>
      </c>
      <c r="IT67" s="57">
        <f t="shared" si="341"/>
        <v>44192</v>
      </c>
      <c r="IU67" s="58">
        <f t="shared" si="341"/>
        <v>44193</v>
      </c>
      <c r="IV67" s="58">
        <f t="shared" si="341"/>
        <v>44194</v>
      </c>
      <c r="IW67" s="58">
        <f t="shared" si="341"/>
        <v>44195</v>
      </c>
      <c r="IX67" s="58">
        <f t="shared" si="341"/>
        <v>44196</v>
      </c>
      <c r="IY67" s="58">
        <f t="shared" si="341"/>
        <v>44197</v>
      </c>
      <c r="IZ67" s="58">
        <f t="shared" si="341"/>
        <v>44198</v>
      </c>
      <c r="JA67" s="57">
        <f t="shared" si="341"/>
        <v>44199</v>
      </c>
      <c r="JB67" s="58">
        <f t="shared" si="341"/>
        <v>44200</v>
      </c>
      <c r="JC67" s="58">
        <f t="shared" si="341"/>
        <v>44201</v>
      </c>
      <c r="JD67" s="58">
        <f t="shared" si="341"/>
        <v>44202</v>
      </c>
      <c r="JE67" s="58">
        <f t="shared" si="341"/>
        <v>44203</v>
      </c>
      <c r="JF67" s="58">
        <f t="shared" si="341"/>
        <v>44204</v>
      </c>
      <c r="JG67" s="58">
        <f t="shared" si="341"/>
        <v>44205</v>
      </c>
      <c r="JH67" s="57">
        <f t="shared" si="341"/>
        <v>44206</v>
      </c>
      <c r="JI67" s="58">
        <f t="shared" si="341"/>
        <v>44207</v>
      </c>
      <c r="JJ67" s="58">
        <f t="shared" si="341"/>
        <v>44208</v>
      </c>
      <c r="JK67" s="58">
        <f t="shared" si="341"/>
        <v>44209</v>
      </c>
      <c r="JL67" s="58">
        <f t="shared" si="341"/>
        <v>44210</v>
      </c>
      <c r="JM67" s="58">
        <f t="shared" si="341"/>
        <v>44211</v>
      </c>
      <c r="JN67" s="58">
        <f t="shared" si="341"/>
        <v>44212</v>
      </c>
      <c r="JO67" s="57">
        <f t="shared" si="341"/>
        <v>44213</v>
      </c>
      <c r="JP67" s="58">
        <f t="shared" si="341"/>
        <v>44214</v>
      </c>
      <c r="JQ67" s="58">
        <f t="shared" si="341"/>
        <v>44215</v>
      </c>
      <c r="JR67" s="58">
        <f t="shared" si="341"/>
        <v>44216</v>
      </c>
      <c r="JS67" s="58">
        <f t="shared" si="341"/>
        <v>44217</v>
      </c>
      <c r="JT67" s="58">
        <f t="shared" si="341"/>
        <v>44218</v>
      </c>
      <c r="JU67" s="58">
        <f t="shared" si="341"/>
        <v>44219</v>
      </c>
      <c r="JV67" s="57">
        <f t="shared" si="341"/>
        <v>44220</v>
      </c>
      <c r="JW67" s="58">
        <f t="shared" si="341"/>
        <v>44221</v>
      </c>
      <c r="JX67" s="58">
        <f t="shared" si="341"/>
        <v>44222</v>
      </c>
      <c r="JY67" s="58">
        <f t="shared" si="341"/>
        <v>44223</v>
      </c>
      <c r="JZ67" s="58">
        <f t="shared" si="341"/>
        <v>44224</v>
      </c>
      <c r="KA67" s="58">
        <f t="shared" si="341"/>
        <v>44225</v>
      </c>
      <c r="KB67" s="58">
        <f t="shared" si="341"/>
        <v>44226</v>
      </c>
      <c r="KC67" s="57">
        <f t="shared" si="341"/>
        <v>44227</v>
      </c>
      <c r="KD67" s="58">
        <f t="shared" si="341"/>
        <v>44228</v>
      </c>
      <c r="KE67" s="58">
        <f t="shared" si="341"/>
        <v>44229</v>
      </c>
      <c r="KF67" s="58">
        <f t="shared" si="341"/>
        <v>44230</v>
      </c>
      <c r="KG67" s="58">
        <f t="shared" ref="KG67:MN67" si="342">KG39</f>
        <v>44231</v>
      </c>
      <c r="KH67" s="58">
        <f t="shared" si="342"/>
        <v>44232</v>
      </c>
      <c r="KI67" s="58">
        <f t="shared" si="342"/>
        <v>44233</v>
      </c>
      <c r="KJ67" s="57">
        <f t="shared" si="342"/>
        <v>44234</v>
      </c>
      <c r="KK67" s="58">
        <f t="shared" si="342"/>
        <v>44235</v>
      </c>
      <c r="KL67" s="58">
        <f t="shared" si="342"/>
        <v>44236</v>
      </c>
      <c r="KM67" s="58">
        <f t="shared" si="342"/>
        <v>44237</v>
      </c>
      <c r="KN67" s="58">
        <f t="shared" si="342"/>
        <v>44238</v>
      </c>
      <c r="KO67" s="58">
        <f t="shared" si="342"/>
        <v>44239</v>
      </c>
      <c r="KP67" s="58">
        <f t="shared" si="342"/>
        <v>44240</v>
      </c>
      <c r="KQ67" s="57">
        <f t="shared" si="342"/>
        <v>44241</v>
      </c>
      <c r="KR67" s="58">
        <f t="shared" si="342"/>
        <v>44242</v>
      </c>
      <c r="KS67" s="58">
        <f t="shared" si="342"/>
        <v>44243</v>
      </c>
      <c r="KT67" s="58">
        <f t="shared" si="342"/>
        <v>44244</v>
      </c>
      <c r="KU67" s="58">
        <f t="shared" si="342"/>
        <v>44245</v>
      </c>
      <c r="KV67" s="58">
        <f t="shared" si="342"/>
        <v>44246</v>
      </c>
      <c r="KW67" s="58">
        <f t="shared" si="342"/>
        <v>44247</v>
      </c>
      <c r="KX67" s="57">
        <f t="shared" si="342"/>
        <v>44248</v>
      </c>
      <c r="KY67" s="58">
        <f t="shared" si="342"/>
        <v>44249</v>
      </c>
      <c r="KZ67" s="58">
        <f t="shared" si="342"/>
        <v>44250</v>
      </c>
      <c r="LA67" s="58">
        <f t="shared" si="342"/>
        <v>44251</v>
      </c>
      <c r="LB67" s="58">
        <f t="shared" si="342"/>
        <v>44252</v>
      </c>
      <c r="LC67" s="58">
        <f t="shared" si="342"/>
        <v>44253</v>
      </c>
      <c r="LD67" s="58">
        <f t="shared" si="342"/>
        <v>44254</v>
      </c>
      <c r="LE67" s="57">
        <f t="shared" si="342"/>
        <v>44255</v>
      </c>
      <c r="LF67" s="58">
        <f t="shared" si="342"/>
        <v>44256</v>
      </c>
      <c r="LG67" s="58">
        <f t="shared" si="342"/>
        <v>44257</v>
      </c>
      <c r="LH67" s="58">
        <f t="shared" si="342"/>
        <v>44258</v>
      </c>
      <c r="LI67" s="58">
        <f t="shared" si="342"/>
        <v>44259</v>
      </c>
      <c r="LJ67" s="58">
        <f t="shared" si="342"/>
        <v>44260</v>
      </c>
      <c r="LK67" s="58">
        <f t="shared" si="342"/>
        <v>44261</v>
      </c>
      <c r="LL67" s="57">
        <f t="shared" si="342"/>
        <v>44262</v>
      </c>
      <c r="LM67" s="58">
        <f t="shared" si="342"/>
        <v>44263</v>
      </c>
      <c r="LN67" s="58">
        <f t="shared" si="342"/>
        <v>44264</v>
      </c>
      <c r="LO67" s="58">
        <f t="shared" si="342"/>
        <v>44265</v>
      </c>
      <c r="LP67" s="58">
        <f t="shared" si="342"/>
        <v>44266</v>
      </c>
      <c r="LQ67" s="58">
        <f t="shared" si="342"/>
        <v>44267</v>
      </c>
      <c r="LR67" s="58">
        <f t="shared" si="342"/>
        <v>44268</v>
      </c>
      <c r="LS67" s="57">
        <f t="shared" si="342"/>
        <v>44269</v>
      </c>
      <c r="LT67" s="58">
        <f t="shared" si="342"/>
        <v>44270</v>
      </c>
      <c r="LU67" s="58">
        <f t="shared" si="342"/>
        <v>44271</v>
      </c>
      <c r="LV67" s="58">
        <f t="shared" si="342"/>
        <v>44272</v>
      </c>
      <c r="LW67" s="58">
        <f t="shared" si="342"/>
        <v>44273</v>
      </c>
      <c r="LX67" s="58">
        <f t="shared" si="342"/>
        <v>44274</v>
      </c>
      <c r="LY67" s="58">
        <f t="shared" si="342"/>
        <v>44275</v>
      </c>
      <c r="LZ67" s="57">
        <f t="shared" si="342"/>
        <v>44276</v>
      </c>
      <c r="MA67" s="58">
        <f t="shared" si="342"/>
        <v>44277</v>
      </c>
      <c r="MB67" s="58">
        <f t="shared" si="342"/>
        <v>44278</v>
      </c>
      <c r="MC67" s="58">
        <f t="shared" si="342"/>
        <v>44279</v>
      </c>
      <c r="MD67" s="58">
        <f t="shared" si="342"/>
        <v>44280</v>
      </c>
      <c r="ME67" s="58">
        <f t="shared" si="342"/>
        <v>44281</v>
      </c>
      <c r="MF67" s="58">
        <f t="shared" si="342"/>
        <v>44282</v>
      </c>
      <c r="MG67" s="57">
        <f t="shared" si="342"/>
        <v>44283</v>
      </c>
      <c r="MH67" s="58">
        <f t="shared" si="342"/>
        <v>44284</v>
      </c>
      <c r="MI67" s="58">
        <f t="shared" si="342"/>
        <v>44285</v>
      </c>
      <c r="MJ67" s="58">
        <f t="shared" si="342"/>
        <v>44286</v>
      </c>
      <c r="MK67" s="58">
        <f t="shared" si="342"/>
        <v>44287</v>
      </c>
      <c r="ML67" s="58">
        <f t="shared" si="342"/>
        <v>44288</v>
      </c>
      <c r="MM67" s="58">
        <f t="shared" si="342"/>
        <v>44289</v>
      </c>
      <c r="MN67" s="57">
        <f t="shared" si="342"/>
        <v>44290</v>
      </c>
    </row>
    <row r="68" spans="1:352" ht="15" customHeight="1" x14ac:dyDescent="0.25">
      <c r="A68" s="146"/>
      <c r="B68" s="146"/>
      <c r="C68" s="146"/>
      <c r="D68" s="146"/>
      <c r="E68" s="147"/>
      <c r="F68" s="28"/>
      <c r="G68" s="28"/>
      <c r="H68" s="28"/>
      <c r="I68" s="28"/>
      <c r="J68" s="28"/>
      <c r="K68" s="28"/>
      <c r="L68" s="28"/>
      <c r="M68" s="28"/>
      <c r="N68" s="28"/>
      <c r="O68" s="27"/>
      <c r="P68" s="149"/>
      <c r="Q68" s="157"/>
      <c r="R68" s="151"/>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t="s">
        <v>38</v>
      </c>
      <c r="EM68" s="25"/>
      <c r="EN68" s="25" t="s">
        <v>38</v>
      </c>
      <c r="EO68" s="25" t="s">
        <v>38</v>
      </c>
      <c r="EP68" s="25"/>
      <c r="EQ68" s="25"/>
      <c r="ER68" s="25"/>
      <c r="ES68" s="24"/>
      <c r="ET68" s="25"/>
      <c r="EU68" s="25" t="s">
        <v>38</v>
      </c>
      <c r="EV68" s="25"/>
      <c r="EW68" s="25" t="s">
        <v>38</v>
      </c>
      <c r="EX68" s="25" t="s">
        <v>38</v>
      </c>
      <c r="EY68" s="25"/>
      <c r="EZ68" s="24"/>
      <c r="FA68" s="25"/>
      <c r="FB68" s="25" t="s">
        <v>38</v>
      </c>
      <c r="FC68" s="25"/>
      <c r="FD68" s="25" t="s">
        <v>38</v>
      </c>
      <c r="FE68" s="25" t="s">
        <v>38</v>
      </c>
      <c r="FF68" s="25"/>
      <c r="FG68" s="24"/>
      <c r="FH68" s="25"/>
      <c r="FI68" s="25" t="s">
        <v>38</v>
      </c>
      <c r="FJ68" s="25"/>
      <c r="FK68" s="25" t="s">
        <v>38</v>
      </c>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43">IF($E69 &gt;= F$42, 1, "")</f>
        <v/>
      </c>
      <c r="G69" s="20"/>
      <c r="H69" s="20"/>
      <c r="I69" s="20" t="str">
        <f t="shared" ref="I69:L70" si="344">IF($E69 &gt;= I$42, 1, "")</f>
        <v/>
      </c>
      <c r="J69" s="20" t="str">
        <f t="shared" si="344"/>
        <v/>
      </c>
      <c r="K69" s="20" t="str">
        <f t="shared" si="344"/>
        <v/>
      </c>
      <c r="L69" s="20" t="str">
        <f t="shared" si="344"/>
        <v/>
      </c>
      <c r="M69" s="20"/>
      <c r="N69" s="20"/>
      <c r="O69" s="21"/>
      <c r="P69" s="20" t="str">
        <f t="shared" ref="P69:P74" si="345">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43"/>
        <v/>
      </c>
      <c r="G70" s="19"/>
      <c r="H70" s="19"/>
      <c r="I70" s="19" t="str">
        <f t="shared" si="344"/>
        <v/>
      </c>
      <c r="J70" s="19" t="str">
        <f t="shared" si="344"/>
        <v/>
      </c>
      <c r="K70" s="19" t="str">
        <f t="shared" si="344"/>
        <v/>
      </c>
      <c r="L70" s="19" t="str">
        <f t="shared" si="344"/>
        <v/>
      </c>
      <c r="M70" s="8"/>
      <c r="N70" s="8"/>
      <c r="O70" s="9"/>
      <c r="P70" s="8" t="str">
        <f t="shared" si="345"/>
        <v/>
      </c>
      <c r="Q70" s="109" t="str">
        <f t="shared" ref="Q70:Q75" si="346">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43"/>
        <v>1</v>
      </c>
      <c r="G71" s="19">
        <f t="shared" ref="G71:H74" si="347">IF($E71 &gt;= G$42, 1, "")</f>
        <v>1</v>
      </c>
      <c r="H71" s="19">
        <f t="shared" si="347"/>
        <v>1</v>
      </c>
      <c r="I71" s="8">
        <f t="shared" ref="I71:L74" si="348">IF($E71 &gt;= I$42, 1, "")</f>
        <v>1</v>
      </c>
      <c r="J71" s="8">
        <f t="shared" si="348"/>
        <v>1</v>
      </c>
      <c r="K71" s="8" t="str">
        <f t="shared" si="348"/>
        <v/>
      </c>
      <c r="L71" s="8" t="str">
        <f t="shared" si="348"/>
        <v/>
      </c>
      <c r="M71" s="8"/>
      <c r="N71" s="8"/>
      <c r="O71" s="9"/>
      <c r="P71" s="8">
        <f t="shared" si="345"/>
        <v>8</v>
      </c>
      <c r="Q71" s="109">
        <f t="shared" si="346"/>
        <v>38.095238095238095</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43"/>
        <v>1</v>
      </c>
      <c r="G72" s="19">
        <f t="shared" si="347"/>
        <v>1</v>
      </c>
      <c r="H72" s="19">
        <f t="shared" si="347"/>
        <v>1</v>
      </c>
      <c r="I72" s="8">
        <f t="shared" si="348"/>
        <v>1</v>
      </c>
      <c r="J72" s="8">
        <f t="shared" si="348"/>
        <v>1</v>
      </c>
      <c r="K72" s="8" t="str">
        <f t="shared" si="348"/>
        <v/>
      </c>
      <c r="L72" s="8" t="str">
        <f t="shared" si="348"/>
        <v/>
      </c>
      <c r="M72" s="8"/>
      <c r="N72" s="8"/>
      <c r="O72" s="9"/>
      <c r="P72" s="8">
        <f t="shared" si="345"/>
        <v>1</v>
      </c>
      <c r="Q72" s="109">
        <f t="shared" si="346"/>
        <v>4.7619047619047619</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43"/>
        <v>1</v>
      </c>
      <c r="G73" s="19">
        <f t="shared" si="347"/>
        <v>1</v>
      </c>
      <c r="H73" s="19">
        <f t="shared" si="347"/>
        <v>1</v>
      </c>
      <c r="I73" s="8">
        <f t="shared" si="348"/>
        <v>1</v>
      </c>
      <c r="J73" s="8">
        <f t="shared" si="348"/>
        <v>1</v>
      </c>
      <c r="K73" s="8" t="str">
        <f t="shared" si="348"/>
        <v/>
      </c>
      <c r="L73" s="8" t="str">
        <f t="shared" si="348"/>
        <v/>
      </c>
      <c r="M73" s="8"/>
      <c r="N73" s="8"/>
      <c r="O73" s="9"/>
      <c r="P73" s="8">
        <f t="shared" si="345"/>
        <v>13</v>
      </c>
      <c r="Q73" s="109">
        <f t="shared" si="346"/>
        <v>61.904761904761905</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L73">
        <v>1</v>
      </c>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43"/>
        <v>1</v>
      </c>
      <c r="G74" s="19">
        <f t="shared" si="347"/>
        <v>1</v>
      </c>
      <c r="H74" s="19">
        <f t="shared" si="347"/>
        <v>1</v>
      </c>
      <c r="I74" s="8">
        <f t="shared" si="348"/>
        <v>1</v>
      </c>
      <c r="J74" s="8">
        <f t="shared" si="348"/>
        <v>1</v>
      </c>
      <c r="K74" s="8" t="str">
        <f t="shared" si="348"/>
        <v/>
      </c>
      <c r="L74" s="8" t="str">
        <f t="shared" si="348"/>
        <v/>
      </c>
      <c r="M74" s="8"/>
      <c r="N74" s="8"/>
      <c r="O74" s="9"/>
      <c r="P74" s="8">
        <f t="shared" si="345"/>
        <v>9</v>
      </c>
      <c r="Q74" s="109">
        <f t="shared" si="346"/>
        <v>42.857142857142854</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46"/>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21</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v>1</v>
      </c>
      <c r="EM76" s="20"/>
      <c r="EN76" s="20"/>
      <c r="EO76" s="20"/>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VisibleSum(P70:P75)</f>
        <v>7.75</v>
      </c>
      <c r="Q77" s="62">
        <f>P77 / P76 * 100</f>
        <v>36.904761904761905</v>
      </c>
      <c r="R77" s="86"/>
      <c r="S77" s="63" t="str">
        <f>IF(SUM(S43:S63, S71:S74) &gt; 0, SUM(S43:S63, S71:S74), "")</f>
        <v/>
      </c>
      <c r="T77" s="62" t="str">
        <f t="shared" ref="T77:U77" si="349">IF(SUM(T70:T75) &gt; 0, SUM(T70:T75), "")</f>
        <v/>
      </c>
      <c r="U77" s="62" t="str">
        <f t="shared" si="349"/>
        <v/>
      </c>
      <c r="V77" s="62" t="str">
        <f t="shared" ref="V77" si="350">IF(SUM(V70:V75) &gt; 0, SUM(V70:V75), "")</f>
        <v/>
      </c>
      <c r="W77" s="62" t="str">
        <f t="shared" ref="W77" si="351">IF(SUM(W70:W75) &gt; 0, SUM(W70:W75), "")</f>
        <v/>
      </c>
      <c r="X77" s="62" t="str">
        <f t="shared" ref="X77" si="352">IF(SUM(X70:X75) &gt; 0, SUM(X70:X75), "")</f>
        <v/>
      </c>
      <c r="Y77" s="62" t="str">
        <f t="shared" ref="Y77" si="353">IF(SUM(Y70:Y75) &gt; 0, SUM(Y70:Y75), "")</f>
        <v/>
      </c>
      <c r="Z77" s="63" t="str">
        <f t="shared" ref="Z77:AB77" si="354">IF(SUM(Z70:Z75) &gt; 0, SUM(Z70:Z75), "")</f>
        <v/>
      </c>
      <c r="AA77" s="62" t="str">
        <f t="shared" si="354"/>
        <v/>
      </c>
      <c r="AB77" s="62" t="str">
        <f t="shared" si="354"/>
        <v/>
      </c>
      <c r="AC77" s="62" t="str">
        <f t="shared" ref="AC77" si="355">IF(SUM(AC70:AC75) &gt; 0, SUM(AC70:AC75), "")</f>
        <v/>
      </c>
      <c r="AD77" s="62" t="str">
        <f t="shared" ref="AD77" si="356">IF(SUM(AD70:AD75) &gt; 0, SUM(AD70:AD75), "")</f>
        <v/>
      </c>
      <c r="AE77" s="62" t="str">
        <f t="shared" ref="AE77" si="357">IF(SUM(AE70:AE75) &gt; 0, SUM(AE70:AE75), "")</f>
        <v/>
      </c>
      <c r="AF77" s="62" t="str">
        <f t="shared" ref="AF77" si="358">IF(SUM(AF70:AF75) &gt; 0, SUM(AF70:AF75), "")</f>
        <v/>
      </c>
      <c r="AG77" s="63" t="str">
        <f t="shared" ref="AG77" si="359">IF(SUM(AG70:AG75) &gt; 0, SUM(AG70:AG75), "")</f>
        <v/>
      </c>
      <c r="AH77" s="62" t="str">
        <f>IF(SUM(AH70:AH75) &gt; 0, SUM(AH70:AH75), "")</f>
        <v/>
      </c>
      <c r="AI77" s="62" t="str">
        <f>IF(SUM(AI70:AI75) &gt; 0, SUM(AI70:AI75), "")</f>
        <v/>
      </c>
      <c r="AJ77" s="62" t="str">
        <f t="shared" ref="AJ77:AN77" si="360">IF(SUM(AJ70:AJ75) &gt; 0, SUM(AJ70:AJ75), "")</f>
        <v/>
      </c>
      <c r="AK77" s="62">
        <f t="shared" si="360"/>
        <v>3</v>
      </c>
      <c r="AL77" s="62" t="str">
        <f t="shared" si="360"/>
        <v/>
      </c>
      <c r="AM77" s="62" t="str">
        <f t="shared" si="360"/>
        <v/>
      </c>
      <c r="AN77" s="63" t="str">
        <f t="shared" si="360"/>
        <v/>
      </c>
      <c r="AO77" s="62" t="str">
        <f>IF(SUM(AO70:AO75) &gt; 0, SUM(AO70:AO75), "")</f>
        <v/>
      </c>
      <c r="AP77" s="62">
        <f>IF(SUM(AP70:AP75) &gt; 0, SUM(AP70:AP75), "")</f>
        <v>2</v>
      </c>
      <c r="AQ77" s="62" t="str">
        <f t="shared" ref="AQ77" si="361">IF(SUM(AQ70:AQ75) &gt; 0, SUM(AQ70:AQ75), "")</f>
        <v/>
      </c>
      <c r="AR77" s="62">
        <f t="shared" ref="AR77" si="362">IF(SUM(AR70:AR75) &gt; 0, SUM(AR70:AR75), "")</f>
        <v>1</v>
      </c>
      <c r="AS77" s="62" t="str">
        <f t="shared" ref="AS77" si="363">IF(SUM(AS70:AS75) &gt; 0, SUM(AS70:AS75), "")</f>
        <v/>
      </c>
      <c r="AT77" s="62" t="str">
        <f t="shared" ref="AT77" si="364">IF(SUM(AT70:AT75) &gt; 0, SUM(AT70:AT75), "")</f>
        <v/>
      </c>
      <c r="AU77" s="63" t="str">
        <f t="shared" ref="AU77" si="365">IF(SUM(AU70:AU75) &gt; 0, SUM(AU70:AU75), "")</f>
        <v/>
      </c>
      <c r="AV77" s="62" t="str">
        <f>IF(SUM(AV70:AV75) &gt; 0, SUM(AV70:AV75), "")</f>
        <v/>
      </c>
      <c r="AW77" s="62">
        <f>IF(SUM(AW70:AW75) &gt; 0, SUM(AW70:AW75), "")</f>
        <v>2</v>
      </c>
      <c r="AX77" s="62" t="str">
        <f t="shared" ref="AX77" si="366">IF(SUM(AX70:AX75) &gt; 0, SUM(AX70:AX75), "")</f>
        <v/>
      </c>
      <c r="AY77" s="62">
        <f t="shared" ref="AY77" si="367">IF(SUM(AY70:AY75) &gt; 0, SUM(AY70:AY75), "")</f>
        <v>1</v>
      </c>
      <c r="AZ77" s="62" t="str">
        <f t="shared" ref="AZ77" si="368">IF(SUM(AZ70:AZ75) &gt; 0, SUM(AZ70:AZ75), "")</f>
        <v/>
      </c>
      <c r="BA77" s="62" t="str">
        <f t="shared" ref="BA77" si="369">IF(SUM(BA70:BA75) &gt; 0, SUM(BA70:BA75), "")</f>
        <v/>
      </c>
      <c r="BB77" s="63" t="str">
        <f t="shared" ref="BB77" si="370">IF(SUM(BB70:BB75) &gt; 0, SUM(BB70:BB75), "")</f>
        <v/>
      </c>
      <c r="BC77" s="62" t="str">
        <f>IF(SUM(BC70:BC75) &gt; 0, SUM(BC70:BC75), "")</f>
        <v/>
      </c>
      <c r="BD77" s="62">
        <f>IF(SUM(BD70:BD75) &gt; 0, SUM(BD70:BD75), "")</f>
        <v>3</v>
      </c>
      <c r="BE77" s="62" t="str">
        <f t="shared" ref="BE77:ED77" si="371">IF(SUM(BE70:BE75) &gt; 0, SUM(BE70:BE75), "")</f>
        <v/>
      </c>
      <c r="BF77" s="62">
        <f t="shared" si="371"/>
        <v>2</v>
      </c>
      <c r="BG77" s="62" t="str">
        <f t="shared" si="371"/>
        <v/>
      </c>
      <c r="BH77" s="62" t="str">
        <f t="shared" si="371"/>
        <v/>
      </c>
      <c r="BI77" s="63" t="str">
        <f t="shared" si="371"/>
        <v/>
      </c>
      <c r="BJ77" s="62" t="str">
        <f t="shared" si="371"/>
        <v/>
      </c>
      <c r="BK77" s="62">
        <f t="shared" si="371"/>
        <v>2</v>
      </c>
      <c r="BL77" s="62" t="str">
        <f t="shared" si="371"/>
        <v/>
      </c>
      <c r="BM77" s="62">
        <f t="shared" si="371"/>
        <v>3</v>
      </c>
      <c r="BN77" s="62">
        <f t="shared" si="371"/>
        <v>2</v>
      </c>
      <c r="BO77" s="62" t="str">
        <f t="shared" si="371"/>
        <v/>
      </c>
      <c r="BP77" s="63">
        <f t="shared" si="371"/>
        <v>1</v>
      </c>
      <c r="BQ77" s="62" t="str">
        <f t="shared" si="371"/>
        <v/>
      </c>
      <c r="BR77" s="62" t="str">
        <f t="shared" si="371"/>
        <v/>
      </c>
      <c r="BS77" s="62" t="str">
        <f t="shared" si="371"/>
        <v/>
      </c>
      <c r="BT77" s="62" t="str">
        <f t="shared" si="371"/>
        <v/>
      </c>
      <c r="BU77" s="62" t="str">
        <f t="shared" si="371"/>
        <v/>
      </c>
      <c r="BV77" s="62" t="str">
        <f t="shared" si="371"/>
        <v/>
      </c>
      <c r="BW77" s="62">
        <f t="shared" ref="BW77" si="372">IF(SUM(BW70:BW75) &gt; 0, SUM(BW70:BW75), "")</f>
        <v>2</v>
      </c>
      <c r="BX77" s="62"/>
      <c r="BY77" s="63" t="str">
        <f t="shared" si="371"/>
        <v/>
      </c>
      <c r="BZ77" s="62" t="str">
        <f t="shared" si="371"/>
        <v/>
      </c>
      <c r="CA77" s="62" t="str">
        <f t="shared" si="371"/>
        <v/>
      </c>
      <c r="CB77" s="62" t="str">
        <f t="shared" si="371"/>
        <v/>
      </c>
      <c r="CC77" s="62" t="str">
        <f t="shared" si="371"/>
        <v/>
      </c>
      <c r="CD77" s="62" t="str">
        <f t="shared" si="371"/>
        <v/>
      </c>
      <c r="CE77" s="62" t="str">
        <f t="shared" si="371"/>
        <v/>
      </c>
      <c r="CF77" s="62"/>
      <c r="CG77" s="62"/>
      <c r="CH77" s="63" t="str">
        <f t="shared" si="371"/>
        <v/>
      </c>
      <c r="CI77" s="62" t="str">
        <f t="shared" si="371"/>
        <v/>
      </c>
      <c r="CJ77" s="62" t="str">
        <f t="shared" si="371"/>
        <v/>
      </c>
      <c r="CK77" s="62" t="str">
        <f t="shared" si="371"/>
        <v/>
      </c>
      <c r="CL77" s="62" t="str">
        <f t="shared" si="371"/>
        <v/>
      </c>
      <c r="CM77" s="62" t="str">
        <f t="shared" si="371"/>
        <v/>
      </c>
      <c r="CN77" s="62" t="str">
        <f t="shared" si="371"/>
        <v/>
      </c>
      <c r="CO77" s="62" t="str">
        <f t="shared" ref="CO77" si="373">IF(SUM(CO70:CO75) &gt; 0, SUM(CO70:CO75), "")</f>
        <v/>
      </c>
      <c r="CP77" s="62"/>
      <c r="CQ77" s="63" t="str">
        <f t="shared" si="371"/>
        <v/>
      </c>
      <c r="CR77" s="62" t="str">
        <f t="shared" si="371"/>
        <v/>
      </c>
      <c r="CS77" s="62" t="str">
        <f t="shared" si="371"/>
        <v/>
      </c>
      <c r="CT77" s="62" t="str">
        <f t="shared" si="371"/>
        <v/>
      </c>
      <c r="CU77" s="62" t="str">
        <f t="shared" si="371"/>
        <v/>
      </c>
      <c r="CV77" s="62" t="str">
        <f t="shared" si="371"/>
        <v/>
      </c>
      <c r="CW77" s="62"/>
      <c r="CX77" s="62"/>
      <c r="CY77" s="62" t="str">
        <f t="shared" si="371"/>
        <v/>
      </c>
      <c r="CZ77" s="63" t="str">
        <f t="shared" si="371"/>
        <v/>
      </c>
      <c r="DA77" s="62" t="str">
        <f t="shared" si="371"/>
        <v/>
      </c>
      <c r="DB77" s="62" t="str">
        <f t="shared" si="371"/>
        <v/>
      </c>
      <c r="DC77" s="62" t="str">
        <f t="shared" si="371"/>
        <v/>
      </c>
      <c r="DD77" s="62" t="str">
        <f t="shared" si="371"/>
        <v/>
      </c>
      <c r="DE77" s="62" t="str">
        <f t="shared" si="371"/>
        <v/>
      </c>
      <c r="DF77" s="62" t="str">
        <f t="shared" si="371"/>
        <v/>
      </c>
      <c r="DG77" s="62"/>
      <c r="DH77" s="62"/>
      <c r="DI77" s="63" t="str">
        <f t="shared" si="371"/>
        <v/>
      </c>
      <c r="DJ77" s="62" t="str">
        <f t="shared" si="371"/>
        <v/>
      </c>
      <c r="DK77" s="62" t="str">
        <f t="shared" si="371"/>
        <v/>
      </c>
      <c r="DL77" s="62" t="str">
        <f t="shared" si="371"/>
        <v/>
      </c>
      <c r="DM77" s="62" t="str">
        <f t="shared" si="371"/>
        <v/>
      </c>
      <c r="DN77" s="62" t="str">
        <f t="shared" si="371"/>
        <v/>
      </c>
      <c r="DO77" s="62" t="str">
        <f t="shared" si="371"/>
        <v/>
      </c>
      <c r="DP77" s="62"/>
      <c r="DQ77" s="62"/>
      <c r="DR77" s="63" t="str">
        <f t="shared" si="371"/>
        <v/>
      </c>
      <c r="DS77" s="62" t="str">
        <f t="shared" si="371"/>
        <v/>
      </c>
      <c r="DT77" s="62">
        <f t="shared" si="371"/>
        <v>1</v>
      </c>
      <c r="DU77" s="62" t="str">
        <f t="shared" si="371"/>
        <v/>
      </c>
      <c r="DV77" s="62">
        <f t="shared" si="371"/>
        <v>2</v>
      </c>
      <c r="DW77" s="62">
        <f t="shared" si="371"/>
        <v>1</v>
      </c>
      <c r="DX77" s="62"/>
      <c r="DY77" s="62"/>
      <c r="DZ77" s="62" t="str">
        <f t="shared" si="371"/>
        <v/>
      </c>
      <c r="EA77" s="63" t="str">
        <f t="shared" si="371"/>
        <v/>
      </c>
      <c r="EB77" s="62" t="str">
        <f t="shared" si="371"/>
        <v/>
      </c>
      <c r="EC77" s="62">
        <f t="shared" si="371"/>
        <v>1</v>
      </c>
      <c r="ED77" s="62" t="str">
        <f t="shared" si="371"/>
        <v/>
      </c>
      <c r="EE77" s="62">
        <f t="shared" ref="EE77:GT77" si="374">IF(SUM(EE70:EE75) &gt; 0, SUM(EE70:EE75), "")</f>
        <v>1</v>
      </c>
      <c r="EF77" s="62">
        <v>0</v>
      </c>
      <c r="EG77" s="62"/>
      <c r="EH77" s="62"/>
      <c r="EI77" s="62" t="str">
        <f t="shared" si="374"/>
        <v/>
      </c>
      <c r="EJ77" s="63" t="str">
        <f t="shared" si="374"/>
        <v/>
      </c>
      <c r="EK77" s="62" t="str">
        <f t="shared" si="374"/>
        <v/>
      </c>
      <c r="EL77" s="62">
        <f t="shared" si="374"/>
        <v>1</v>
      </c>
      <c r="EM77" s="62" t="str">
        <f t="shared" si="374"/>
        <v/>
      </c>
      <c r="EN77" s="62" t="str">
        <f t="shared" si="374"/>
        <v/>
      </c>
      <c r="EO77" s="62" t="str">
        <f t="shared" si="374"/>
        <v/>
      </c>
      <c r="EP77" s="62" t="str">
        <f t="shared" si="374"/>
        <v/>
      </c>
      <c r="EQ77" s="62"/>
      <c r="ER77" s="62"/>
      <c r="ES77" s="63" t="str">
        <f t="shared" si="374"/>
        <v/>
      </c>
      <c r="ET77" s="62" t="str">
        <f t="shared" si="374"/>
        <v/>
      </c>
      <c r="EU77" s="62" t="str">
        <f t="shared" si="374"/>
        <v/>
      </c>
      <c r="EV77" s="62" t="str">
        <f t="shared" si="374"/>
        <v/>
      </c>
      <c r="EW77" s="62" t="str">
        <f t="shared" si="374"/>
        <v/>
      </c>
      <c r="EX77" s="62" t="str">
        <f t="shared" si="374"/>
        <v/>
      </c>
      <c r="EY77" s="62" t="str">
        <f t="shared" si="374"/>
        <v/>
      </c>
      <c r="EZ77" s="63" t="str">
        <f t="shared" si="374"/>
        <v/>
      </c>
      <c r="FA77" s="62" t="str">
        <f t="shared" si="374"/>
        <v/>
      </c>
      <c r="FB77" s="62" t="str">
        <f t="shared" si="374"/>
        <v/>
      </c>
      <c r="FC77" s="62" t="str">
        <f t="shared" si="374"/>
        <v/>
      </c>
      <c r="FD77" s="62" t="str">
        <f t="shared" si="374"/>
        <v/>
      </c>
      <c r="FE77" s="62" t="str">
        <f t="shared" si="374"/>
        <v/>
      </c>
      <c r="FF77" s="62" t="str">
        <f t="shared" si="374"/>
        <v/>
      </c>
      <c r="FG77" s="63" t="str">
        <f t="shared" si="374"/>
        <v/>
      </c>
      <c r="FH77" s="62" t="str">
        <f t="shared" si="374"/>
        <v/>
      </c>
      <c r="FI77" s="62" t="str">
        <f t="shared" si="374"/>
        <v/>
      </c>
      <c r="FJ77" s="62" t="str">
        <f t="shared" si="374"/>
        <v/>
      </c>
      <c r="FK77" s="62" t="str">
        <f t="shared" si="374"/>
        <v/>
      </c>
      <c r="FL77" s="62" t="str">
        <f t="shared" si="374"/>
        <v/>
      </c>
      <c r="FM77" s="62" t="str">
        <f t="shared" si="374"/>
        <v/>
      </c>
      <c r="FN77" s="63" t="str">
        <f t="shared" si="374"/>
        <v/>
      </c>
      <c r="FO77" s="62" t="str">
        <f t="shared" si="374"/>
        <v/>
      </c>
      <c r="FP77" s="62" t="str">
        <f t="shared" si="374"/>
        <v/>
      </c>
      <c r="FQ77" s="62" t="str">
        <f t="shared" si="374"/>
        <v/>
      </c>
      <c r="FR77" s="62" t="str">
        <f t="shared" si="374"/>
        <v/>
      </c>
      <c r="FS77" s="62" t="str">
        <f t="shared" si="374"/>
        <v/>
      </c>
      <c r="FT77" s="62" t="str">
        <f t="shared" si="374"/>
        <v/>
      </c>
      <c r="FU77" s="63" t="str">
        <f t="shared" si="374"/>
        <v/>
      </c>
      <c r="FV77" s="62" t="str">
        <f t="shared" si="374"/>
        <v/>
      </c>
      <c r="FW77" s="62" t="str">
        <f t="shared" si="374"/>
        <v/>
      </c>
      <c r="FX77" s="62" t="str">
        <f t="shared" si="374"/>
        <v/>
      </c>
      <c r="FY77" s="62" t="str">
        <f t="shared" si="374"/>
        <v/>
      </c>
      <c r="FZ77" s="62" t="str">
        <f t="shared" si="374"/>
        <v/>
      </c>
      <c r="GA77" s="62" t="str">
        <f t="shared" si="374"/>
        <v/>
      </c>
      <c r="GB77" s="63" t="str">
        <f t="shared" si="374"/>
        <v/>
      </c>
      <c r="GC77" s="62" t="str">
        <f t="shared" si="374"/>
        <v/>
      </c>
      <c r="GD77" s="62" t="str">
        <f t="shared" si="374"/>
        <v/>
      </c>
      <c r="GE77" s="62" t="str">
        <f t="shared" si="374"/>
        <v/>
      </c>
      <c r="GF77" s="62" t="str">
        <f t="shared" si="374"/>
        <v/>
      </c>
      <c r="GG77" s="62" t="str">
        <f t="shared" si="374"/>
        <v/>
      </c>
      <c r="GH77" s="62" t="str">
        <f t="shared" si="374"/>
        <v/>
      </c>
      <c r="GI77" s="63" t="str">
        <f t="shared" si="374"/>
        <v/>
      </c>
      <c r="GJ77" s="62" t="str">
        <f t="shared" si="374"/>
        <v/>
      </c>
      <c r="GK77" s="62" t="str">
        <f t="shared" si="374"/>
        <v/>
      </c>
      <c r="GL77" s="62" t="str">
        <f t="shared" si="374"/>
        <v/>
      </c>
      <c r="GM77" s="62" t="str">
        <f t="shared" si="374"/>
        <v/>
      </c>
      <c r="GN77" s="62" t="str">
        <f t="shared" si="374"/>
        <v/>
      </c>
      <c r="GO77" s="62" t="str">
        <f t="shared" si="374"/>
        <v/>
      </c>
      <c r="GP77" s="63" t="str">
        <f t="shared" si="374"/>
        <v/>
      </c>
      <c r="GQ77" s="62" t="str">
        <f t="shared" si="374"/>
        <v/>
      </c>
      <c r="GR77" s="62" t="str">
        <f t="shared" si="374"/>
        <v/>
      </c>
      <c r="GS77" s="62" t="str">
        <f t="shared" si="374"/>
        <v/>
      </c>
      <c r="GT77" s="62" t="str">
        <f t="shared" si="374"/>
        <v/>
      </c>
      <c r="GU77" s="62" t="str">
        <f t="shared" ref="GU77:JF77" si="375">IF(SUM(GU70:GU75) &gt; 0, SUM(GU70:GU75), "")</f>
        <v/>
      </c>
      <c r="GV77" s="62" t="str">
        <f t="shared" si="375"/>
        <v/>
      </c>
      <c r="GW77" s="63" t="str">
        <f t="shared" si="375"/>
        <v/>
      </c>
      <c r="GX77" s="62" t="str">
        <f t="shared" si="375"/>
        <v/>
      </c>
      <c r="GY77" s="62" t="str">
        <f t="shared" si="375"/>
        <v/>
      </c>
      <c r="GZ77" s="62" t="str">
        <f t="shared" si="375"/>
        <v/>
      </c>
      <c r="HA77" s="62" t="str">
        <f t="shared" si="375"/>
        <v/>
      </c>
      <c r="HB77" s="62" t="str">
        <f t="shared" si="375"/>
        <v/>
      </c>
      <c r="HC77" s="62" t="str">
        <f t="shared" si="375"/>
        <v/>
      </c>
      <c r="HD77" s="63" t="str">
        <f t="shared" si="375"/>
        <v/>
      </c>
      <c r="HE77" s="62" t="str">
        <f t="shared" si="375"/>
        <v/>
      </c>
      <c r="HF77" s="62" t="str">
        <f t="shared" si="375"/>
        <v/>
      </c>
      <c r="HG77" s="62" t="str">
        <f t="shared" si="375"/>
        <v/>
      </c>
      <c r="HH77" s="62" t="str">
        <f t="shared" si="375"/>
        <v/>
      </c>
      <c r="HI77" s="62" t="str">
        <f t="shared" si="375"/>
        <v/>
      </c>
      <c r="HJ77" s="62" t="str">
        <f t="shared" si="375"/>
        <v/>
      </c>
      <c r="HK77" s="63" t="str">
        <f t="shared" si="375"/>
        <v/>
      </c>
      <c r="HL77" s="62" t="str">
        <f t="shared" si="375"/>
        <v/>
      </c>
      <c r="HM77" s="62" t="str">
        <f t="shared" si="375"/>
        <v/>
      </c>
      <c r="HN77" s="62" t="str">
        <f t="shared" si="375"/>
        <v/>
      </c>
      <c r="HO77" s="62" t="str">
        <f t="shared" si="375"/>
        <v/>
      </c>
      <c r="HP77" s="62" t="str">
        <f t="shared" si="375"/>
        <v/>
      </c>
      <c r="HQ77" s="62" t="str">
        <f t="shared" si="375"/>
        <v/>
      </c>
      <c r="HR77" s="63" t="str">
        <f t="shared" si="375"/>
        <v/>
      </c>
      <c r="HS77" s="62" t="str">
        <f t="shared" si="375"/>
        <v/>
      </c>
      <c r="HT77" s="62" t="str">
        <f t="shared" si="375"/>
        <v/>
      </c>
      <c r="HU77" s="62" t="str">
        <f t="shared" si="375"/>
        <v/>
      </c>
      <c r="HV77" s="62" t="str">
        <f t="shared" si="375"/>
        <v/>
      </c>
      <c r="HW77" s="62" t="str">
        <f t="shared" si="375"/>
        <v/>
      </c>
      <c r="HX77" s="62" t="str">
        <f t="shared" si="375"/>
        <v/>
      </c>
      <c r="HY77" s="63" t="str">
        <f t="shared" si="375"/>
        <v/>
      </c>
      <c r="HZ77" s="62" t="str">
        <f t="shared" si="375"/>
        <v/>
      </c>
      <c r="IA77" s="62" t="str">
        <f t="shared" si="375"/>
        <v/>
      </c>
      <c r="IB77" s="62" t="str">
        <f t="shared" si="375"/>
        <v/>
      </c>
      <c r="IC77" s="62" t="str">
        <f t="shared" si="375"/>
        <v/>
      </c>
      <c r="ID77" s="62" t="str">
        <f t="shared" si="375"/>
        <v/>
      </c>
      <c r="IE77" s="62" t="str">
        <f t="shared" si="375"/>
        <v/>
      </c>
      <c r="IF77" s="63" t="str">
        <f t="shared" si="375"/>
        <v/>
      </c>
      <c r="IG77" s="62" t="str">
        <f t="shared" si="375"/>
        <v/>
      </c>
      <c r="IH77" s="62" t="str">
        <f t="shared" si="375"/>
        <v/>
      </c>
      <c r="II77" s="62" t="str">
        <f t="shared" si="375"/>
        <v/>
      </c>
      <c r="IJ77" s="62" t="str">
        <f t="shared" si="375"/>
        <v/>
      </c>
      <c r="IK77" s="62" t="str">
        <f t="shared" si="375"/>
        <v/>
      </c>
      <c r="IL77" s="62" t="str">
        <f t="shared" si="375"/>
        <v/>
      </c>
      <c r="IM77" s="63" t="str">
        <f t="shared" si="375"/>
        <v/>
      </c>
      <c r="IN77" s="62" t="str">
        <f t="shared" si="375"/>
        <v/>
      </c>
      <c r="IO77" s="62" t="str">
        <f t="shared" si="375"/>
        <v/>
      </c>
      <c r="IP77" s="62" t="str">
        <f t="shared" si="375"/>
        <v/>
      </c>
      <c r="IQ77" s="62" t="str">
        <f t="shared" si="375"/>
        <v/>
      </c>
      <c r="IR77" s="62" t="str">
        <f t="shared" si="375"/>
        <v/>
      </c>
      <c r="IS77" s="62" t="str">
        <f t="shared" si="375"/>
        <v/>
      </c>
      <c r="IT77" s="63" t="str">
        <f t="shared" si="375"/>
        <v/>
      </c>
      <c r="IU77" s="62" t="str">
        <f t="shared" si="375"/>
        <v/>
      </c>
      <c r="IV77" s="62" t="str">
        <f t="shared" si="375"/>
        <v/>
      </c>
      <c r="IW77" s="62" t="str">
        <f t="shared" si="375"/>
        <v/>
      </c>
      <c r="IX77" s="62" t="str">
        <f t="shared" si="375"/>
        <v/>
      </c>
      <c r="IY77" s="62" t="str">
        <f t="shared" si="375"/>
        <v/>
      </c>
      <c r="IZ77" s="62" t="str">
        <f t="shared" si="375"/>
        <v/>
      </c>
      <c r="JA77" s="63" t="str">
        <f t="shared" si="375"/>
        <v/>
      </c>
      <c r="JB77" s="62" t="str">
        <f t="shared" si="375"/>
        <v/>
      </c>
      <c r="JC77" s="62" t="str">
        <f t="shared" si="375"/>
        <v/>
      </c>
      <c r="JD77" s="62" t="str">
        <f t="shared" si="375"/>
        <v/>
      </c>
      <c r="JE77" s="62" t="str">
        <f t="shared" si="375"/>
        <v/>
      </c>
      <c r="JF77" s="62" t="str">
        <f t="shared" si="375"/>
        <v/>
      </c>
      <c r="JG77" s="62" t="str">
        <f t="shared" ref="JG77:LR77" si="376">IF(SUM(JG70:JG75) &gt; 0, SUM(JG70:JG75), "")</f>
        <v/>
      </c>
      <c r="JH77" s="63" t="str">
        <f t="shared" si="376"/>
        <v/>
      </c>
      <c r="JI77" s="62" t="str">
        <f t="shared" si="376"/>
        <v/>
      </c>
      <c r="JJ77" s="62" t="str">
        <f t="shared" si="376"/>
        <v/>
      </c>
      <c r="JK77" s="62" t="str">
        <f t="shared" si="376"/>
        <v/>
      </c>
      <c r="JL77" s="62" t="str">
        <f t="shared" si="376"/>
        <v/>
      </c>
      <c r="JM77" s="62" t="str">
        <f t="shared" si="376"/>
        <v/>
      </c>
      <c r="JN77" s="62" t="str">
        <f t="shared" si="376"/>
        <v/>
      </c>
      <c r="JO77" s="63" t="str">
        <f t="shared" si="376"/>
        <v/>
      </c>
      <c r="JP77" s="62" t="str">
        <f t="shared" si="376"/>
        <v/>
      </c>
      <c r="JQ77" s="62" t="str">
        <f t="shared" si="376"/>
        <v/>
      </c>
      <c r="JR77" s="62" t="str">
        <f t="shared" si="376"/>
        <v/>
      </c>
      <c r="JS77" s="62" t="str">
        <f t="shared" si="376"/>
        <v/>
      </c>
      <c r="JT77" s="62" t="str">
        <f t="shared" si="376"/>
        <v/>
      </c>
      <c r="JU77" s="62" t="str">
        <f t="shared" si="376"/>
        <v/>
      </c>
      <c r="JV77" s="63" t="str">
        <f t="shared" si="376"/>
        <v/>
      </c>
      <c r="JW77" s="62" t="str">
        <f t="shared" si="376"/>
        <v/>
      </c>
      <c r="JX77" s="62" t="str">
        <f t="shared" si="376"/>
        <v/>
      </c>
      <c r="JY77" s="62" t="str">
        <f t="shared" si="376"/>
        <v/>
      </c>
      <c r="JZ77" s="62" t="str">
        <f t="shared" si="376"/>
        <v/>
      </c>
      <c r="KA77" s="62" t="str">
        <f t="shared" si="376"/>
        <v/>
      </c>
      <c r="KB77" s="62" t="str">
        <f t="shared" si="376"/>
        <v/>
      </c>
      <c r="KC77" s="63" t="str">
        <f t="shared" si="376"/>
        <v/>
      </c>
      <c r="KD77" s="62" t="str">
        <f t="shared" si="376"/>
        <v/>
      </c>
      <c r="KE77" s="62" t="str">
        <f t="shared" si="376"/>
        <v/>
      </c>
      <c r="KF77" s="62" t="str">
        <f t="shared" si="376"/>
        <v/>
      </c>
      <c r="KG77" s="62" t="str">
        <f t="shared" si="376"/>
        <v/>
      </c>
      <c r="KH77" s="62" t="str">
        <f t="shared" si="376"/>
        <v/>
      </c>
      <c r="KI77" s="62" t="str">
        <f t="shared" si="376"/>
        <v/>
      </c>
      <c r="KJ77" s="63" t="str">
        <f t="shared" si="376"/>
        <v/>
      </c>
      <c r="KK77" s="62" t="str">
        <f t="shared" si="376"/>
        <v/>
      </c>
      <c r="KL77" s="62" t="str">
        <f t="shared" si="376"/>
        <v/>
      </c>
      <c r="KM77" s="62" t="str">
        <f t="shared" si="376"/>
        <v/>
      </c>
      <c r="KN77" s="62" t="str">
        <f t="shared" si="376"/>
        <v/>
      </c>
      <c r="KO77" s="62" t="str">
        <f t="shared" si="376"/>
        <v/>
      </c>
      <c r="KP77" s="62" t="str">
        <f t="shared" si="376"/>
        <v/>
      </c>
      <c r="KQ77" s="63" t="str">
        <f t="shared" si="376"/>
        <v/>
      </c>
      <c r="KR77" s="62" t="str">
        <f t="shared" si="376"/>
        <v/>
      </c>
      <c r="KS77" s="62" t="str">
        <f t="shared" si="376"/>
        <v/>
      </c>
      <c r="KT77" s="62" t="str">
        <f t="shared" si="376"/>
        <v/>
      </c>
      <c r="KU77" s="62" t="str">
        <f t="shared" si="376"/>
        <v/>
      </c>
      <c r="KV77" s="62" t="str">
        <f t="shared" si="376"/>
        <v/>
      </c>
      <c r="KW77" s="62" t="str">
        <f t="shared" si="376"/>
        <v/>
      </c>
      <c r="KX77" s="63" t="str">
        <f t="shared" si="376"/>
        <v/>
      </c>
      <c r="KY77" s="62" t="str">
        <f t="shared" si="376"/>
        <v/>
      </c>
      <c r="KZ77" s="62" t="str">
        <f t="shared" si="376"/>
        <v/>
      </c>
      <c r="LA77" s="62" t="str">
        <f t="shared" si="376"/>
        <v/>
      </c>
      <c r="LB77" s="62" t="str">
        <f t="shared" si="376"/>
        <v/>
      </c>
      <c r="LC77" s="62" t="str">
        <f t="shared" si="376"/>
        <v/>
      </c>
      <c r="LD77" s="62" t="str">
        <f t="shared" si="376"/>
        <v/>
      </c>
      <c r="LE77" s="63" t="str">
        <f t="shared" si="376"/>
        <v/>
      </c>
      <c r="LF77" s="62" t="str">
        <f t="shared" si="376"/>
        <v/>
      </c>
      <c r="LG77" s="62" t="str">
        <f t="shared" si="376"/>
        <v/>
      </c>
      <c r="LH77" s="62" t="str">
        <f t="shared" si="376"/>
        <v/>
      </c>
      <c r="LI77" s="62" t="str">
        <f t="shared" si="376"/>
        <v/>
      </c>
      <c r="LJ77" s="62" t="str">
        <f t="shared" si="376"/>
        <v/>
      </c>
      <c r="LK77" s="62" t="str">
        <f t="shared" si="376"/>
        <v/>
      </c>
      <c r="LL77" s="63" t="str">
        <f t="shared" si="376"/>
        <v/>
      </c>
      <c r="LM77" s="62" t="str">
        <f t="shared" si="376"/>
        <v/>
      </c>
      <c r="LN77" s="62" t="str">
        <f t="shared" si="376"/>
        <v/>
      </c>
      <c r="LO77" s="62" t="str">
        <f t="shared" si="376"/>
        <v/>
      </c>
      <c r="LP77" s="62" t="str">
        <f t="shared" si="376"/>
        <v/>
      </c>
      <c r="LQ77" s="62" t="str">
        <f t="shared" si="376"/>
        <v/>
      </c>
      <c r="LR77" s="62" t="str">
        <f t="shared" si="376"/>
        <v/>
      </c>
      <c r="LS77" s="63" t="str">
        <f t="shared" ref="LS77:MN77" si="377">IF(SUM(LS70:LS75) &gt; 0, SUM(LS70:LS75), "")</f>
        <v/>
      </c>
      <c r="LT77" s="62" t="str">
        <f t="shared" si="377"/>
        <v/>
      </c>
      <c r="LU77" s="62" t="str">
        <f t="shared" si="377"/>
        <v/>
      </c>
      <c r="LV77" s="62" t="str">
        <f t="shared" si="377"/>
        <v/>
      </c>
      <c r="LW77" s="62" t="str">
        <f t="shared" si="377"/>
        <v/>
      </c>
      <c r="LX77" s="62" t="str">
        <f t="shared" si="377"/>
        <v/>
      </c>
      <c r="LY77" s="62" t="str">
        <f t="shared" si="377"/>
        <v/>
      </c>
      <c r="LZ77" s="63" t="str">
        <f t="shared" si="377"/>
        <v/>
      </c>
      <c r="MA77" s="62" t="str">
        <f t="shared" si="377"/>
        <v/>
      </c>
      <c r="MB77" s="62" t="str">
        <f t="shared" si="377"/>
        <v/>
      </c>
      <c r="MC77" s="62" t="str">
        <f t="shared" si="377"/>
        <v/>
      </c>
      <c r="MD77" s="62" t="str">
        <f t="shared" si="377"/>
        <v/>
      </c>
      <c r="ME77" s="62" t="str">
        <f t="shared" si="377"/>
        <v/>
      </c>
      <c r="MF77" s="62" t="str">
        <f t="shared" si="377"/>
        <v/>
      </c>
      <c r="MG77" s="63" t="str">
        <f t="shared" si="377"/>
        <v/>
      </c>
      <c r="MH77" s="62" t="str">
        <f t="shared" si="377"/>
        <v/>
      </c>
      <c r="MI77" s="62" t="str">
        <f t="shared" si="377"/>
        <v/>
      </c>
      <c r="MJ77" s="62" t="str">
        <f t="shared" si="377"/>
        <v/>
      </c>
      <c r="MK77" s="62" t="str">
        <f t="shared" si="377"/>
        <v/>
      </c>
      <c r="ML77" s="62" t="str">
        <f t="shared" si="377"/>
        <v/>
      </c>
      <c r="MM77" s="62" t="str">
        <f t="shared" si="377"/>
        <v/>
      </c>
      <c r="MN77" s="87" t="str">
        <f t="shared" si="377"/>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378">IF(SUM(T65, T77) &gt; 0, SUM(T65, T77), "")</f>
        <v/>
      </c>
      <c r="U78" s="62" t="str">
        <f t="shared" si="378"/>
        <v/>
      </c>
      <c r="V78" s="62" t="str">
        <f t="shared" si="378"/>
        <v/>
      </c>
      <c r="W78" s="62" t="str">
        <f t="shared" si="378"/>
        <v/>
      </c>
      <c r="X78" s="62" t="str">
        <f t="shared" si="378"/>
        <v/>
      </c>
      <c r="Y78" s="62" t="str">
        <f t="shared" si="378"/>
        <v/>
      </c>
      <c r="Z78" s="63" t="str">
        <f t="shared" si="378"/>
        <v/>
      </c>
      <c r="AA78" s="65" t="str">
        <f t="shared" ref="AA78" si="379">IF(SUM(AA65, AA77) &gt; 0, SUM(AA65, AA77), "")</f>
        <v/>
      </c>
      <c r="AB78" s="62" t="str">
        <f t="shared" ref="AB78" si="380">IF(SUM(AB65, AB77) &gt; 0, SUM(AB65, AB77), "")</f>
        <v/>
      </c>
      <c r="AC78" s="62" t="str">
        <f t="shared" ref="AC78" si="381">IF(SUM(AC65, AC77) &gt; 0, SUM(AC65, AC77), "")</f>
        <v/>
      </c>
      <c r="AD78" s="62" t="str">
        <f t="shared" ref="AD78" si="382">IF(SUM(AD65, AD77) &gt; 0, SUM(AD65, AD77), "")</f>
        <v/>
      </c>
      <c r="AE78" s="62" t="str">
        <f t="shared" ref="AE78" si="383">IF(SUM(AE65, AE77) &gt; 0, SUM(AE65, AE77), "")</f>
        <v/>
      </c>
      <c r="AF78" s="62" t="str">
        <f t="shared" ref="AF78" si="384">IF(SUM(AF65, AF77) &gt; 0, SUM(AF65, AF77), "")</f>
        <v/>
      </c>
      <c r="AG78" s="63" t="str">
        <f t="shared" ref="AG78" si="385">IF(SUM(AG65, AG77) &gt; 0, SUM(AG65, AG77), "")</f>
        <v/>
      </c>
      <c r="AH78" s="65" t="str">
        <f t="shared" ref="AH78" si="386">IF(SUM(AH65, AH77) &gt; 0, SUM(AH65, AH77), "")</f>
        <v/>
      </c>
      <c r="AI78" s="62">
        <f t="shared" ref="AI78" si="387">IF(SUM(AI65, AI77) &gt; 0, SUM(AI65, AI77), "")</f>
        <v>11</v>
      </c>
      <c r="AJ78" s="62" t="str">
        <f t="shared" ref="AJ78" si="388">IF(SUM(AJ65, AJ77) &gt; 0, SUM(AJ65, AJ77), "")</f>
        <v/>
      </c>
      <c r="AK78" s="62">
        <f t="shared" ref="AK78" si="389">IF(SUM(AK65, AK77) &gt; 0, SUM(AK65, AK77), "")</f>
        <v>10</v>
      </c>
      <c r="AL78" s="62" t="str">
        <f t="shared" ref="AL78" si="390">IF(SUM(AL65, AL77) &gt; 0, SUM(AL65, AL77), "")</f>
        <v/>
      </c>
      <c r="AM78" s="62" t="str">
        <f t="shared" ref="AM78" si="391">IF(SUM(AM65, AM77) &gt; 0, SUM(AM65, AM77), "")</f>
        <v/>
      </c>
      <c r="AN78" s="63" t="str">
        <f t="shared" ref="AN78" si="392">IF(SUM(AN65, AN77) &gt; 0, SUM(AN65, AN77), "")</f>
        <v/>
      </c>
      <c r="AO78" s="65" t="str">
        <f t="shared" ref="AO78" si="393">IF(SUM(AO65, AO77) &gt; 0, SUM(AO65, AO77), "")</f>
        <v/>
      </c>
      <c r="AP78" s="62">
        <f t="shared" ref="AP78" si="394">IF(SUM(AP65, AP77) &gt; 0, SUM(AP65, AP77), "")</f>
        <v>11</v>
      </c>
      <c r="AQ78" s="62" t="str">
        <f t="shared" ref="AQ78" si="395">IF(SUM(AQ65, AQ77) &gt; 0, SUM(AQ65, AQ77), "")</f>
        <v/>
      </c>
      <c r="AR78" s="62">
        <f t="shared" ref="AR78" si="396">IF(SUM(AR65, AR77) &gt; 0, SUM(AR65, AR77), "")</f>
        <v>10</v>
      </c>
      <c r="AS78" s="62" t="str">
        <f t="shared" ref="AS78" si="397">IF(SUM(AS65, AS77) &gt; 0, SUM(AS65, AS77), "")</f>
        <v/>
      </c>
      <c r="AT78" s="62" t="str">
        <f t="shared" ref="AT78" si="398">IF(SUM(AT65, AT77) &gt; 0, SUM(AT65, AT77), "")</f>
        <v/>
      </c>
      <c r="AU78" s="63" t="str">
        <f t="shared" ref="AU78" si="399">IF(SUM(AU65, AU77) &gt; 0, SUM(AU65, AU77), "")</f>
        <v/>
      </c>
      <c r="AV78" s="65" t="str">
        <f t="shared" ref="AV78" si="400">IF(SUM(AV65, AV77) &gt; 0, SUM(AV65, AV77), "")</f>
        <v/>
      </c>
      <c r="AW78" s="62">
        <f t="shared" ref="AW78" si="401">IF(SUM(AW65, AW77) &gt; 0, SUM(AW65, AW77), "")</f>
        <v>11</v>
      </c>
      <c r="AX78" s="62">
        <f t="shared" ref="AX78" si="402">IF(SUM(AX65, AX77) &gt; 0, SUM(AX65, AX77), "")</f>
        <v>6</v>
      </c>
      <c r="AY78" s="62">
        <f t="shared" ref="AY78" si="403">IF(SUM(AY65, AY77) &gt; 0, SUM(AY65, AY77), "")</f>
        <v>8</v>
      </c>
      <c r="AZ78" s="62" t="str">
        <f t="shared" ref="AZ78" si="404">IF(SUM(AZ65, AZ77) &gt; 0, SUM(AZ65, AZ77), "")</f>
        <v/>
      </c>
      <c r="BA78" s="62" t="str">
        <f t="shared" ref="BA78" si="405">IF(SUM(BA65, BA77) &gt; 0, SUM(BA65, BA77), "")</f>
        <v/>
      </c>
      <c r="BB78" s="63" t="str">
        <f t="shared" ref="BB78" si="406">IF(SUM(BB65, BB77) &gt; 0, SUM(BB65, BB77), "")</f>
        <v/>
      </c>
      <c r="BC78" s="65" t="str">
        <f t="shared" ref="BC78" si="407">IF(SUM(BC65, BC77) &gt; 0, SUM(BC65, BC77), "")</f>
        <v/>
      </c>
      <c r="BD78" s="62">
        <f t="shared" ref="BD78" si="408">IF(SUM(BD65, BD77) &gt; 0, SUM(BD65, BD77), "")</f>
        <v>11</v>
      </c>
      <c r="BE78" s="62" t="str">
        <f t="shared" ref="BE78" si="409">IF(SUM(BE65, BE77) &gt; 0, SUM(BE65, BE77), "")</f>
        <v/>
      </c>
      <c r="BF78" s="62">
        <f t="shared" ref="BF78" si="410">IF(SUM(BF65, BF77) &gt; 0, SUM(BF65, BF77), "")</f>
        <v>8</v>
      </c>
      <c r="BG78" s="62" t="str">
        <f t="shared" ref="BG78" si="411">IF(SUM(BG65, BG77) &gt; 0, SUM(BG65, BG77), "")</f>
        <v/>
      </c>
      <c r="BH78" s="62" t="str">
        <f t="shared" ref="BH78" si="412">IF(SUM(BH65, BH77) &gt; 0, SUM(BH65, BH77), "")</f>
        <v/>
      </c>
      <c r="BI78" s="63" t="str">
        <f t="shared" ref="BI78" si="413">IF(SUM(BI65, BI77) &gt; 0, SUM(BI65, BI77), "")</f>
        <v/>
      </c>
      <c r="BJ78" s="65" t="str">
        <f t="shared" ref="BJ78" si="414">IF(SUM(BJ65, BJ77) &gt; 0, SUM(BJ65, BJ77), "")</f>
        <v/>
      </c>
      <c r="BK78" s="62">
        <f t="shared" ref="BK78" si="415">IF(SUM(BK65, BK77) &gt; 0, SUM(BK65, BK77), "")</f>
        <v>9</v>
      </c>
      <c r="BL78" s="62" t="str">
        <f t="shared" ref="BL78" si="416">IF(SUM(BL65, BL77) &gt; 0, SUM(BL65, BL77), "")</f>
        <v/>
      </c>
      <c r="BM78" s="62">
        <f t="shared" ref="BM78" si="417">IF(SUM(BM65, BM77) &gt; 0, SUM(BM65, BM77), "")</f>
        <v>13</v>
      </c>
      <c r="BN78" s="62">
        <f t="shared" ref="BN78" si="418">IF(SUM(BN65, BN77) &gt; 0, SUM(BN65, BN77), "")</f>
        <v>12</v>
      </c>
      <c r="BO78" s="62" t="str">
        <f t="shared" ref="BO78:BP78" si="419">IF(SUM(BO65, BO77) &gt; 0, SUM(BO65, BO77), "")</f>
        <v/>
      </c>
      <c r="BP78" s="63">
        <f t="shared" si="419"/>
        <v>5</v>
      </c>
      <c r="BQ78" s="62" t="str">
        <f t="shared" ref="BQ78" si="420">IF(SUM(BQ65, BQ77) &gt; 0, SUM(BQ65, BQ77), "")</f>
        <v/>
      </c>
      <c r="BR78" s="62" t="str">
        <f t="shared" ref="BR78" si="421">IF(SUM(BR65, BR77) &gt; 0, SUM(BR65, BR77), "")</f>
        <v/>
      </c>
      <c r="BS78" s="62" t="str">
        <f t="shared" ref="BS78" si="422">IF(SUM(BS65, BS77) &gt; 0, SUM(BS65, BS77), "")</f>
        <v/>
      </c>
      <c r="BT78" s="62" t="str">
        <f t="shared" ref="BT78" si="423">IF(SUM(BT65, BT77) &gt; 0, SUM(BT65, BT77), "")</f>
        <v/>
      </c>
      <c r="BU78" s="62" t="str">
        <f t="shared" ref="BU78" si="424">IF(SUM(BU65, BU77) &gt; 0, SUM(BU65, BU77), "")</f>
        <v/>
      </c>
      <c r="BV78" s="62" t="str">
        <f t="shared" ref="BV78:BW78" si="425">IF(SUM(BV65, BV77) &gt; 0, SUM(BV65, BV77), "")</f>
        <v/>
      </c>
      <c r="BW78" s="62">
        <f t="shared" si="425"/>
        <v>2</v>
      </c>
      <c r="BX78" s="62"/>
      <c r="BY78" s="63" t="str">
        <f t="shared" ref="BY78" si="426">IF(SUM(BY65, BY77) &gt; 0, SUM(BY65, BY77), "")</f>
        <v/>
      </c>
      <c r="BZ78" s="65" t="str">
        <f t="shared" ref="BZ78" si="427">IF(SUM(BZ65, BZ77) &gt; 0, SUM(BZ65, BZ77), "")</f>
        <v/>
      </c>
      <c r="CA78" s="62" t="str">
        <f t="shared" ref="CA78" si="428">IF(SUM(CA65, CA77) &gt; 0, SUM(CA65, CA77), "")</f>
        <v/>
      </c>
      <c r="CB78" s="62" t="str">
        <f t="shared" ref="CB78" si="429">IF(SUM(CB65, CB77) &gt; 0, SUM(CB65, CB77), "")</f>
        <v/>
      </c>
      <c r="CC78" s="62" t="str">
        <f t="shared" ref="CC78" si="430">IF(SUM(CC65, CC77) &gt; 0, SUM(CC65, CC77), "")</f>
        <v/>
      </c>
      <c r="CD78" s="62" t="str">
        <f t="shared" ref="CD78" si="431">IF(SUM(CD65, CD77) &gt; 0, SUM(CD65, CD77), "")</f>
        <v/>
      </c>
      <c r="CE78" s="62" t="str">
        <f t="shared" ref="CE78" si="432">IF(SUM(CE65, CE77) &gt; 0, SUM(CE65, CE77), "")</f>
        <v/>
      </c>
      <c r="CF78" s="62"/>
      <c r="CG78" s="62"/>
      <c r="CH78" s="63" t="str">
        <f t="shared" ref="CH78" si="433">IF(SUM(CH65, CH77) &gt; 0, SUM(CH65, CH77), "")</f>
        <v/>
      </c>
      <c r="CI78" s="65" t="str">
        <f t="shared" ref="CI78" si="434">IF(SUM(CI65, CI77) &gt; 0, SUM(CI65, CI77), "")</f>
        <v/>
      </c>
      <c r="CJ78" s="62" t="str">
        <f t="shared" ref="CJ78" si="435">IF(SUM(CJ65, CJ77) &gt; 0, SUM(CJ65, CJ77), "")</f>
        <v/>
      </c>
      <c r="CK78" s="62" t="str">
        <f t="shared" ref="CK78" si="436">IF(SUM(CK65, CK77) &gt; 0, SUM(CK65, CK77), "")</f>
        <v/>
      </c>
      <c r="CL78" s="62" t="str">
        <f t="shared" ref="CL78" si="437">IF(SUM(CL65, CL77) &gt; 0, SUM(CL65, CL77), "")</f>
        <v/>
      </c>
      <c r="CM78" s="62" t="str">
        <f t="shared" ref="CM78" si="438">IF(SUM(CM65, CM77) &gt; 0, SUM(CM65, CM77), "")</f>
        <v/>
      </c>
      <c r="CN78" s="62" t="str">
        <f t="shared" ref="CN78:CO78" si="439">IF(SUM(CN65, CN77) &gt; 0, SUM(CN65, CN77), "")</f>
        <v/>
      </c>
      <c r="CO78" s="62" t="str">
        <f t="shared" si="439"/>
        <v/>
      </c>
      <c r="CP78" s="62"/>
      <c r="CQ78" s="63" t="str">
        <f t="shared" ref="CQ78" si="440">IF(SUM(CQ65, CQ77) &gt; 0, SUM(CQ65, CQ77), "")</f>
        <v/>
      </c>
      <c r="CR78" s="65" t="str">
        <f t="shared" ref="CR78" si="441">IF(SUM(CR65, CR77) &gt; 0, SUM(CR65, CR77), "")</f>
        <v/>
      </c>
      <c r="CS78" s="62" t="str">
        <f t="shared" ref="CS78" si="442">IF(SUM(CS65, CS77) &gt; 0, SUM(CS65, CS77), "")</f>
        <v/>
      </c>
      <c r="CT78" s="62" t="str">
        <f t="shared" ref="CT78" si="443">IF(SUM(CT65, CT77) &gt; 0, SUM(CT65, CT77), "")</f>
        <v/>
      </c>
      <c r="CU78" s="62" t="str">
        <f t="shared" ref="CU78" si="444">IF(SUM(CU65, CU77) &gt; 0, SUM(CU65, CU77), "")</f>
        <v/>
      </c>
      <c r="CV78" s="62" t="str">
        <f t="shared" ref="CV78" si="445">IF(SUM(CV65, CV77) &gt; 0, SUM(CV65, CV77), "")</f>
        <v/>
      </c>
      <c r="CW78" s="62"/>
      <c r="CX78" s="62"/>
      <c r="CY78" s="62" t="str">
        <f t="shared" ref="CY78" si="446">IF(SUM(CY65, CY77) &gt; 0, SUM(CY65, CY77), "")</f>
        <v/>
      </c>
      <c r="CZ78" s="63" t="str">
        <f t="shared" ref="CZ78" si="447">IF(SUM(CZ65, CZ77) &gt; 0, SUM(CZ65, CZ77), "")</f>
        <v/>
      </c>
      <c r="DA78" s="65" t="str">
        <f t="shared" ref="DA78" si="448">IF(SUM(DA65, DA77) &gt; 0, SUM(DA65, DA77), "")</f>
        <v/>
      </c>
      <c r="DB78" s="62" t="str">
        <f t="shared" ref="DB78" si="449">IF(SUM(DB65, DB77) &gt; 0, SUM(DB65, DB77), "")</f>
        <v/>
      </c>
      <c r="DC78" s="62" t="str">
        <f t="shared" ref="DC78" si="450">IF(SUM(DC65, DC77) &gt; 0, SUM(DC65, DC77), "")</f>
        <v/>
      </c>
      <c r="DD78" s="62" t="str">
        <f t="shared" ref="DD78" si="451">IF(SUM(DD65, DD77) &gt; 0, SUM(DD65, DD77), "")</f>
        <v/>
      </c>
      <c r="DE78" s="62" t="str">
        <f t="shared" ref="DE78" si="452">IF(SUM(DE65, DE77) &gt; 0, SUM(DE65, DE77), "")</f>
        <v/>
      </c>
      <c r="DF78" s="62" t="str">
        <f t="shared" ref="DF78" si="453">IF(SUM(DF65, DF77) &gt; 0, SUM(DF65, DF77), "")</f>
        <v/>
      </c>
      <c r="DG78" s="62"/>
      <c r="DH78" s="62"/>
      <c r="DI78" s="63" t="str">
        <f t="shared" ref="DI78" si="454">IF(SUM(DI65, DI77) &gt; 0, SUM(DI65, DI77), "")</f>
        <v/>
      </c>
      <c r="DJ78" s="65" t="str">
        <f t="shared" ref="DJ78" si="455">IF(SUM(DJ65, DJ77) &gt; 0, SUM(DJ65, DJ77), "")</f>
        <v/>
      </c>
      <c r="DK78" s="62" t="str">
        <f t="shared" ref="DK78" si="456">IF(SUM(DK65, DK77) &gt; 0, SUM(DK65, DK77), "")</f>
        <v/>
      </c>
      <c r="DL78" s="62" t="str">
        <f t="shared" ref="DL78" si="457">IF(SUM(DL65, DL77) &gt; 0, SUM(DL65, DL77), "")</f>
        <v/>
      </c>
      <c r="DM78" s="62" t="str">
        <f t="shared" ref="DM78" si="458">IF(SUM(DM65, DM77) &gt; 0, SUM(DM65, DM77), "")</f>
        <v/>
      </c>
      <c r="DN78" s="62" t="str">
        <f t="shared" ref="DN78" si="459">IF(SUM(DN65, DN77) &gt; 0, SUM(DN65, DN77), "")</f>
        <v/>
      </c>
      <c r="DO78" s="62" t="str">
        <f t="shared" ref="DO78" si="460">IF(SUM(DO65, DO77) &gt; 0, SUM(DO65, DO77), "")</f>
        <v/>
      </c>
      <c r="DP78" s="62"/>
      <c r="DQ78" s="62"/>
      <c r="DR78" s="63" t="str">
        <f t="shared" ref="DR78" si="461">IF(SUM(DR65, DR77) &gt; 0, SUM(DR65, DR77), "")</f>
        <v/>
      </c>
      <c r="DS78" s="65" t="str">
        <f t="shared" ref="DS78" si="462">IF(SUM(DS65, DS77) &gt; 0, SUM(DS65, DS77), "")</f>
        <v/>
      </c>
      <c r="DT78" s="62">
        <f t="shared" ref="DT78" si="463">IF(SUM(DT65, DT77) &gt; 0, SUM(DT65, DT77), "")</f>
        <v>8</v>
      </c>
      <c r="DU78" s="62" t="str">
        <f t="shared" ref="DU78" si="464">IF(SUM(DU65, DU77) &gt; 0, SUM(DU65, DU77), "")</f>
        <v/>
      </c>
      <c r="DV78" s="62">
        <f t="shared" ref="DV78" si="465">IF(SUM(DV65, DV77) &gt; 0, SUM(DV65, DV77), "")</f>
        <v>7</v>
      </c>
      <c r="DW78" s="62">
        <f t="shared" ref="DW78" si="466">IF(SUM(DW65, DW77) &gt; 0, SUM(DW65, DW77), "")</f>
        <v>6</v>
      </c>
      <c r="DX78" s="62"/>
      <c r="DY78" s="62"/>
      <c r="DZ78" s="62" t="str">
        <f t="shared" ref="DZ78" si="467">IF(SUM(DZ65, DZ77) &gt; 0, SUM(DZ65, DZ77), "")</f>
        <v/>
      </c>
      <c r="EA78" s="63" t="str">
        <f t="shared" ref="EA78" si="468">IF(SUM(EA65, EA77) &gt; 0, SUM(EA65, EA77), "")</f>
        <v/>
      </c>
      <c r="EB78" s="65" t="str">
        <f t="shared" ref="EB78" si="469">IF(SUM(EB65, EB77) &gt; 0, SUM(EB65, EB77), "")</f>
        <v/>
      </c>
      <c r="EC78" s="62">
        <f t="shared" ref="EC78" si="470">IF(SUM(EC65, EC77) &gt; 0, SUM(EC65, EC77), "")</f>
        <v>7</v>
      </c>
      <c r="ED78" s="62" t="str">
        <f t="shared" ref="ED78" si="471">IF(SUM(ED65, ED77) &gt; 0, SUM(ED65, ED77), "")</f>
        <v/>
      </c>
      <c r="EE78" s="62">
        <f t="shared" ref="EE78" si="472">IF(SUM(EE65, EE77) &gt; 0, SUM(EE65, EE77), "")</f>
        <v>6</v>
      </c>
      <c r="EF78" s="62">
        <f t="shared" ref="EF78" si="473">IF(SUM(EF65, EF77) &gt; 0, SUM(EF65, EF77), "")</f>
        <v>4</v>
      </c>
      <c r="EG78" s="62"/>
      <c r="EH78" s="62"/>
      <c r="EI78" s="62" t="str">
        <f t="shared" ref="EI78" si="474">IF(SUM(EI65, EI77) &gt; 0, SUM(EI65, EI77), "")</f>
        <v/>
      </c>
      <c r="EJ78" s="63" t="str">
        <f t="shared" ref="EJ78" si="475">IF(SUM(EJ65, EJ77) &gt; 0, SUM(EJ65, EJ77), "")</f>
        <v/>
      </c>
      <c r="EK78" s="65" t="str">
        <f t="shared" ref="EK78" si="476">IF(SUM(EK65, EK77) &gt; 0, SUM(EK65, EK77), "")</f>
        <v/>
      </c>
      <c r="EL78" s="62">
        <f t="shared" ref="EL78" si="477">IF(SUM(EL65, EL77) &gt; 0, SUM(EL65, EL77), "")</f>
        <v>7</v>
      </c>
      <c r="EM78" s="62" t="str">
        <f t="shared" ref="EM78" si="478">IF(SUM(EM65, EM77) &gt; 0, SUM(EM65, EM77), "")</f>
        <v/>
      </c>
      <c r="EN78" s="62" t="str">
        <f t="shared" ref="EN78" si="479">IF(SUM(EN65, EN77) &gt; 0, SUM(EN65, EN77), "")</f>
        <v/>
      </c>
      <c r="EO78" s="62" t="str">
        <f t="shared" ref="EO78" si="480">IF(SUM(EO65, EO77) &gt; 0, SUM(EO65, EO77), "")</f>
        <v/>
      </c>
      <c r="EP78" s="62" t="str">
        <f t="shared" ref="EP78" si="481">IF(SUM(EP65, EP77) &gt; 0, SUM(EP65, EP77), "")</f>
        <v/>
      </c>
      <c r="EQ78" s="62"/>
      <c r="ER78" s="62"/>
      <c r="ES78" s="63" t="str">
        <f t="shared" ref="ES78" si="482">IF(SUM(ES65, ES77) &gt; 0, SUM(ES65, ES77), "")</f>
        <v/>
      </c>
      <c r="ET78" s="65" t="str">
        <f t="shared" ref="ET78" si="483">IF(SUM(ET65, ET77) &gt; 0, SUM(ET65, ET77), "")</f>
        <v/>
      </c>
      <c r="EU78" s="62" t="str">
        <f t="shared" ref="EU78" si="484">IF(SUM(EU65, EU77) &gt; 0, SUM(EU65, EU77), "")</f>
        <v/>
      </c>
      <c r="EV78" s="62" t="str">
        <f t="shared" ref="EV78" si="485">IF(SUM(EV65, EV77) &gt; 0, SUM(EV65, EV77), "")</f>
        <v/>
      </c>
      <c r="EW78" s="62" t="str">
        <f t="shared" ref="EW78" si="486">IF(SUM(EW65, EW77) &gt; 0, SUM(EW65, EW77), "")</f>
        <v/>
      </c>
      <c r="EX78" s="62" t="str">
        <f t="shared" ref="EX78" si="487">IF(SUM(EX65, EX77) &gt; 0, SUM(EX65, EX77), "")</f>
        <v/>
      </c>
      <c r="EY78" s="62" t="str">
        <f t="shared" ref="EY78" si="488">IF(SUM(EY65, EY77) &gt; 0, SUM(EY65, EY77), "")</f>
        <v/>
      </c>
      <c r="EZ78" s="63" t="str">
        <f t="shared" ref="EZ78" si="489">IF(SUM(EZ65, EZ77) &gt; 0, SUM(EZ65, EZ77), "")</f>
        <v/>
      </c>
      <c r="FA78" s="65" t="str">
        <f t="shared" ref="FA78" si="490">IF(SUM(FA65, FA77) &gt; 0, SUM(FA65, FA77), "")</f>
        <v/>
      </c>
      <c r="FB78" s="62" t="str">
        <f t="shared" ref="FB78" si="491">IF(SUM(FB65, FB77) &gt; 0, SUM(FB65, FB77), "")</f>
        <v/>
      </c>
      <c r="FC78" s="62" t="str">
        <f t="shared" ref="FC78" si="492">IF(SUM(FC65, FC77) &gt; 0, SUM(FC65, FC77), "")</f>
        <v/>
      </c>
      <c r="FD78" s="62" t="str">
        <f t="shared" ref="FD78" si="493">IF(SUM(FD65, FD77) &gt; 0, SUM(FD65, FD77), "")</f>
        <v/>
      </c>
      <c r="FE78" s="62" t="str">
        <f t="shared" ref="FE78" si="494">IF(SUM(FE65, FE77) &gt; 0, SUM(FE65, FE77), "")</f>
        <v/>
      </c>
      <c r="FF78" s="62" t="str">
        <f t="shared" ref="FF78" si="495">IF(SUM(FF65, FF77) &gt; 0, SUM(FF65, FF77), "")</f>
        <v/>
      </c>
      <c r="FG78" s="63" t="str">
        <f t="shared" ref="FG78" si="496">IF(SUM(FG65, FG77) &gt; 0, SUM(FG65, FG77), "")</f>
        <v/>
      </c>
      <c r="FH78" s="65" t="str">
        <f t="shared" ref="FH78" si="497">IF(SUM(FH65, FH77) &gt; 0, SUM(FH65, FH77), "")</f>
        <v/>
      </c>
      <c r="FI78" s="62" t="str">
        <f t="shared" ref="FI78" si="498">IF(SUM(FI65, FI77) &gt; 0, SUM(FI65, FI77), "")</f>
        <v/>
      </c>
      <c r="FJ78" s="62" t="str">
        <f t="shared" ref="FJ78" si="499">IF(SUM(FJ65, FJ77) &gt; 0, SUM(FJ65, FJ77), "")</f>
        <v/>
      </c>
      <c r="FK78" s="62" t="str">
        <f t="shared" ref="FK78" si="500">IF(SUM(FK65, FK77) &gt; 0, SUM(FK65, FK77), "")</f>
        <v/>
      </c>
      <c r="FL78" s="62" t="str">
        <f t="shared" ref="FL78" si="501">IF(SUM(FL65, FL77) &gt; 0, SUM(FL65, FL77), "")</f>
        <v/>
      </c>
      <c r="FM78" s="62" t="str">
        <f t="shared" ref="FM78" si="502">IF(SUM(FM65, FM77) &gt; 0, SUM(FM65, FM77), "")</f>
        <v/>
      </c>
      <c r="FN78" s="63" t="str">
        <f t="shared" ref="FN78" si="503">IF(SUM(FN65, FN77) &gt; 0, SUM(FN65, FN77), "")</f>
        <v/>
      </c>
      <c r="FO78" s="65" t="str">
        <f t="shared" ref="FO78" si="504">IF(SUM(FO65, FO77) &gt; 0, SUM(FO65, FO77), "")</f>
        <v/>
      </c>
      <c r="FP78" s="62" t="str">
        <f t="shared" ref="FP78" si="505">IF(SUM(FP65, FP77) &gt; 0, SUM(FP65, FP77), "")</f>
        <v/>
      </c>
      <c r="FQ78" s="62" t="str">
        <f t="shared" ref="FQ78" si="506">IF(SUM(FQ65, FQ77) &gt; 0, SUM(FQ65, FQ77), "")</f>
        <v/>
      </c>
      <c r="FR78" s="62" t="str">
        <f t="shared" ref="FR78" si="507">IF(SUM(FR65, FR77) &gt; 0, SUM(FR65, FR77), "")</f>
        <v/>
      </c>
      <c r="FS78" s="62" t="str">
        <f t="shared" ref="FS78" si="508">IF(SUM(FS65, FS77) &gt; 0, SUM(FS65, FS77), "")</f>
        <v/>
      </c>
      <c r="FT78" s="62" t="str">
        <f t="shared" ref="FT78" si="509">IF(SUM(FT65, FT77) &gt; 0, SUM(FT65, FT77), "")</f>
        <v/>
      </c>
      <c r="FU78" s="63" t="str">
        <f t="shared" ref="FU78" si="510">IF(SUM(FU65, FU77) &gt; 0, SUM(FU65, FU77), "")</f>
        <v/>
      </c>
      <c r="FV78" s="65" t="str">
        <f t="shared" ref="FV78" si="511">IF(SUM(FV65, FV77) &gt; 0, SUM(FV65, FV77), "")</f>
        <v/>
      </c>
      <c r="FW78" s="62" t="str">
        <f t="shared" ref="FW78" si="512">IF(SUM(FW65, FW77) &gt; 0, SUM(FW65, FW77), "")</f>
        <v/>
      </c>
      <c r="FX78" s="62" t="str">
        <f t="shared" ref="FX78" si="513">IF(SUM(FX65, FX77) &gt; 0, SUM(FX65, FX77), "")</f>
        <v/>
      </c>
      <c r="FY78" s="62" t="str">
        <f t="shared" ref="FY78" si="514">IF(SUM(FY65, FY77) &gt; 0, SUM(FY65, FY77), "")</f>
        <v/>
      </c>
      <c r="FZ78" s="62" t="str">
        <f t="shared" ref="FZ78" si="515">IF(SUM(FZ65, FZ77) &gt; 0, SUM(FZ65, FZ77), "")</f>
        <v/>
      </c>
      <c r="GA78" s="62" t="str">
        <f t="shared" ref="GA78" si="516">IF(SUM(GA65, GA77) &gt; 0, SUM(GA65, GA77), "")</f>
        <v/>
      </c>
      <c r="GB78" s="63" t="str">
        <f t="shared" ref="GB78" si="517">IF(SUM(GB65, GB77) &gt; 0, SUM(GB65, GB77), "")</f>
        <v/>
      </c>
      <c r="GC78" s="65" t="str">
        <f t="shared" ref="GC78" si="518">IF(SUM(GC65, GC77) &gt; 0, SUM(GC65, GC77), "")</f>
        <v/>
      </c>
      <c r="GD78" s="62" t="str">
        <f t="shared" ref="GD78" si="519">IF(SUM(GD65, GD77) &gt; 0, SUM(GD65, GD77), "")</f>
        <v/>
      </c>
      <c r="GE78" s="62" t="str">
        <f t="shared" ref="GE78" si="520">IF(SUM(GE65, GE77) &gt; 0, SUM(GE65, GE77), "")</f>
        <v/>
      </c>
      <c r="GF78" s="62" t="str">
        <f t="shared" ref="GF78" si="521">IF(SUM(GF65, GF77) &gt; 0, SUM(GF65, GF77), "")</f>
        <v/>
      </c>
      <c r="GG78" s="62" t="str">
        <f t="shared" ref="GG78" si="522">IF(SUM(GG65, GG77) &gt; 0, SUM(GG65, GG77), "")</f>
        <v/>
      </c>
      <c r="GH78" s="62" t="str">
        <f t="shared" ref="GH78" si="523">IF(SUM(GH65, GH77) &gt; 0, SUM(GH65, GH77), "")</f>
        <v/>
      </c>
      <c r="GI78" s="63" t="str">
        <f t="shared" ref="GI78" si="524">IF(SUM(GI65, GI77) &gt; 0, SUM(GI65, GI77), "")</f>
        <v/>
      </c>
      <c r="GJ78" s="65" t="str">
        <f t="shared" ref="GJ78" si="525">IF(SUM(GJ65, GJ77) &gt; 0, SUM(GJ65, GJ77), "")</f>
        <v/>
      </c>
      <c r="GK78" s="62" t="str">
        <f t="shared" ref="GK78" si="526">IF(SUM(GK65, GK77) &gt; 0, SUM(GK65, GK77), "")</f>
        <v/>
      </c>
      <c r="GL78" s="62" t="str">
        <f t="shared" ref="GL78" si="527">IF(SUM(GL65, GL77) &gt; 0, SUM(GL65, GL77), "")</f>
        <v/>
      </c>
      <c r="GM78" s="62" t="str">
        <f t="shared" ref="GM78" si="528">IF(SUM(GM65, GM77) &gt; 0, SUM(GM65, GM77), "")</f>
        <v/>
      </c>
      <c r="GN78" s="62" t="str">
        <f t="shared" ref="GN78" si="529">IF(SUM(GN65, GN77) &gt; 0, SUM(GN65, GN77), "")</f>
        <v/>
      </c>
      <c r="GO78" s="62" t="str">
        <f t="shared" ref="GO78" si="530">IF(SUM(GO65, GO77) &gt; 0, SUM(GO65, GO77), "")</f>
        <v/>
      </c>
      <c r="GP78" s="63" t="str">
        <f t="shared" ref="GP78" si="531">IF(SUM(GP65, GP77) &gt; 0, SUM(GP65, GP77), "")</f>
        <v/>
      </c>
      <c r="GQ78" s="65" t="str">
        <f t="shared" ref="GQ78" si="532">IF(SUM(GQ65, GQ77) &gt; 0, SUM(GQ65, GQ77), "")</f>
        <v/>
      </c>
      <c r="GR78" s="62" t="str">
        <f t="shared" ref="GR78" si="533">IF(SUM(GR65, GR77) &gt; 0, SUM(GR65, GR77), "")</f>
        <v/>
      </c>
      <c r="GS78" s="62" t="str">
        <f t="shared" ref="GS78" si="534">IF(SUM(GS65, GS77) &gt; 0, SUM(GS65, GS77), "")</f>
        <v/>
      </c>
      <c r="GT78" s="62" t="str">
        <f t="shared" ref="GT78" si="535">IF(SUM(GT65, GT77) &gt; 0, SUM(GT65, GT77), "")</f>
        <v/>
      </c>
      <c r="GU78" s="62" t="str">
        <f t="shared" ref="GU78" si="536">IF(SUM(GU65, GU77) &gt; 0, SUM(GU65, GU77), "")</f>
        <v/>
      </c>
      <c r="GV78" s="62" t="str">
        <f t="shared" ref="GV78" si="537">IF(SUM(GV65, GV77) &gt; 0, SUM(GV65, GV77), "")</f>
        <v/>
      </c>
      <c r="GW78" s="63" t="str">
        <f t="shared" ref="GW78" si="538">IF(SUM(GW65, GW77) &gt; 0, SUM(GW65, GW77), "")</f>
        <v/>
      </c>
      <c r="GX78" s="65" t="str">
        <f t="shared" ref="GX78" si="539">IF(SUM(GX65, GX77) &gt; 0, SUM(GX65, GX77), "")</f>
        <v/>
      </c>
      <c r="GY78" s="62" t="str">
        <f t="shared" ref="GY78" si="540">IF(SUM(GY65, GY77) &gt; 0, SUM(GY65, GY77), "")</f>
        <v/>
      </c>
      <c r="GZ78" s="62" t="str">
        <f t="shared" ref="GZ78" si="541">IF(SUM(GZ65, GZ77) &gt; 0, SUM(GZ65, GZ77), "")</f>
        <v/>
      </c>
      <c r="HA78" s="62" t="str">
        <f t="shared" ref="HA78" si="542">IF(SUM(HA65, HA77) &gt; 0, SUM(HA65, HA77), "")</f>
        <v/>
      </c>
      <c r="HB78" s="62" t="str">
        <f t="shared" ref="HB78" si="543">IF(SUM(HB65, HB77) &gt; 0, SUM(HB65, HB77), "")</f>
        <v/>
      </c>
      <c r="HC78" s="62" t="str">
        <f t="shared" ref="HC78" si="544">IF(SUM(HC65, HC77) &gt; 0, SUM(HC65, HC77), "")</f>
        <v/>
      </c>
      <c r="HD78" s="63" t="str">
        <f t="shared" ref="HD78" si="545">IF(SUM(HD65, HD77) &gt; 0, SUM(HD65, HD77), "")</f>
        <v/>
      </c>
      <c r="HE78" s="65" t="str">
        <f t="shared" ref="HE78" si="546">IF(SUM(HE65, HE77) &gt; 0, SUM(HE65, HE77), "")</f>
        <v/>
      </c>
      <c r="HF78" s="62" t="str">
        <f t="shared" ref="HF78" si="547">IF(SUM(HF65, HF77) &gt; 0, SUM(HF65, HF77), "")</f>
        <v/>
      </c>
      <c r="HG78" s="62" t="str">
        <f t="shared" ref="HG78" si="548">IF(SUM(HG65, HG77) &gt; 0, SUM(HG65, HG77), "")</f>
        <v/>
      </c>
      <c r="HH78" s="62" t="str">
        <f t="shared" ref="HH78" si="549">IF(SUM(HH65, HH77) &gt; 0, SUM(HH65, HH77), "")</f>
        <v/>
      </c>
      <c r="HI78" s="62" t="str">
        <f t="shared" ref="HI78" si="550">IF(SUM(HI65, HI77) &gt; 0, SUM(HI65, HI77), "")</f>
        <v/>
      </c>
      <c r="HJ78" s="62" t="str">
        <f t="shared" ref="HJ78" si="551">IF(SUM(HJ65, HJ77) &gt; 0, SUM(HJ65, HJ77), "")</f>
        <v/>
      </c>
      <c r="HK78" s="63" t="str">
        <f t="shared" ref="HK78" si="552">IF(SUM(HK65, HK77) &gt; 0, SUM(HK65, HK77), "")</f>
        <v/>
      </c>
      <c r="HL78" s="65" t="str">
        <f t="shared" ref="HL78" si="553">IF(SUM(HL65, HL77) &gt; 0, SUM(HL65, HL77), "")</f>
        <v/>
      </c>
      <c r="HM78" s="62" t="str">
        <f t="shared" ref="HM78" si="554">IF(SUM(HM65, HM77) &gt; 0, SUM(HM65, HM77), "")</f>
        <v/>
      </c>
      <c r="HN78" s="62" t="str">
        <f t="shared" ref="HN78" si="555">IF(SUM(HN65, HN77) &gt; 0, SUM(HN65, HN77), "")</f>
        <v/>
      </c>
      <c r="HO78" s="62" t="str">
        <f t="shared" ref="HO78" si="556">IF(SUM(HO65, HO77) &gt; 0, SUM(HO65, HO77), "")</f>
        <v/>
      </c>
      <c r="HP78" s="62" t="str">
        <f t="shared" ref="HP78" si="557">IF(SUM(HP65, HP77) &gt; 0, SUM(HP65, HP77), "")</f>
        <v/>
      </c>
      <c r="HQ78" s="62" t="str">
        <f t="shared" ref="HQ78" si="558">IF(SUM(HQ65, HQ77) &gt; 0, SUM(HQ65, HQ77), "")</f>
        <v/>
      </c>
      <c r="HR78" s="63" t="str">
        <f t="shared" ref="HR78" si="559">IF(SUM(HR65, HR77) &gt; 0, SUM(HR65, HR77), "")</f>
        <v/>
      </c>
      <c r="HS78" s="65" t="str">
        <f t="shared" ref="HS78" si="560">IF(SUM(HS65, HS77) &gt; 0, SUM(HS65, HS77), "")</f>
        <v/>
      </c>
      <c r="HT78" s="62" t="str">
        <f t="shared" ref="HT78" si="561">IF(SUM(HT65, HT77) &gt; 0, SUM(HT65, HT77), "")</f>
        <v/>
      </c>
      <c r="HU78" s="62" t="str">
        <f t="shared" ref="HU78" si="562">IF(SUM(HU65, HU77) &gt; 0, SUM(HU65, HU77), "")</f>
        <v/>
      </c>
      <c r="HV78" s="62" t="str">
        <f t="shared" ref="HV78" si="563">IF(SUM(HV65, HV77) &gt; 0, SUM(HV65, HV77), "")</f>
        <v/>
      </c>
      <c r="HW78" s="62" t="str">
        <f t="shared" ref="HW78" si="564">IF(SUM(HW65, HW77) &gt; 0, SUM(HW65, HW77), "")</f>
        <v/>
      </c>
      <c r="HX78" s="62" t="str">
        <f t="shared" ref="HX78" si="565">IF(SUM(HX65, HX77) &gt; 0, SUM(HX65, HX77), "")</f>
        <v/>
      </c>
      <c r="HY78" s="63" t="str">
        <f t="shared" ref="HY78" si="566">IF(SUM(HY65, HY77) &gt; 0, SUM(HY65, HY77), "")</f>
        <v/>
      </c>
      <c r="HZ78" s="65" t="str">
        <f t="shared" ref="HZ78" si="567">IF(SUM(HZ65, HZ77) &gt; 0, SUM(HZ65, HZ77), "")</f>
        <v/>
      </c>
      <c r="IA78" s="62" t="str">
        <f t="shared" ref="IA78" si="568">IF(SUM(IA65, IA77) &gt; 0, SUM(IA65, IA77), "")</f>
        <v/>
      </c>
      <c r="IB78" s="62" t="str">
        <f t="shared" ref="IB78" si="569">IF(SUM(IB65, IB77) &gt; 0, SUM(IB65, IB77), "")</f>
        <v/>
      </c>
      <c r="IC78" s="62" t="str">
        <f t="shared" ref="IC78" si="570">IF(SUM(IC65, IC77) &gt; 0, SUM(IC65, IC77), "")</f>
        <v/>
      </c>
      <c r="ID78" s="62" t="str">
        <f t="shared" ref="ID78" si="571">IF(SUM(ID65, ID77) &gt; 0, SUM(ID65, ID77), "")</f>
        <v/>
      </c>
      <c r="IE78" s="62" t="str">
        <f t="shared" ref="IE78" si="572">IF(SUM(IE65, IE77) &gt; 0, SUM(IE65, IE77), "")</f>
        <v/>
      </c>
      <c r="IF78" s="63" t="str">
        <f t="shared" ref="IF78" si="573">IF(SUM(IF65, IF77) &gt; 0, SUM(IF65, IF77), "")</f>
        <v/>
      </c>
      <c r="IG78" s="65" t="str">
        <f t="shared" ref="IG78" si="574">IF(SUM(IG65, IG77) &gt; 0, SUM(IG65, IG77), "")</f>
        <v/>
      </c>
      <c r="IH78" s="62" t="str">
        <f t="shared" ref="IH78" si="575">IF(SUM(IH65, IH77) &gt; 0, SUM(IH65, IH77), "")</f>
        <v/>
      </c>
      <c r="II78" s="62" t="str">
        <f t="shared" ref="II78" si="576">IF(SUM(II65, II77) &gt; 0, SUM(II65, II77), "")</f>
        <v/>
      </c>
      <c r="IJ78" s="62" t="str">
        <f t="shared" ref="IJ78" si="577">IF(SUM(IJ65, IJ77) &gt; 0, SUM(IJ65, IJ77), "")</f>
        <v/>
      </c>
      <c r="IK78" s="62" t="str">
        <f t="shared" ref="IK78" si="578">IF(SUM(IK65, IK77) &gt; 0, SUM(IK65, IK77), "")</f>
        <v/>
      </c>
      <c r="IL78" s="62" t="str">
        <f t="shared" ref="IL78" si="579">IF(SUM(IL65, IL77) &gt; 0, SUM(IL65, IL77), "")</f>
        <v/>
      </c>
      <c r="IM78" s="63" t="str">
        <f t="shared" ref="IM78" si="580">IF(SUM(IM65, IM77) &gt; 0, SUM(IM65, IM77), "")</f>
        <v/>
      </c>
      <c r="IN78" s="65" t="str">
        <f t="shared" ref="IN78" si="581">IF(SUM(IN65, IN77) &gt; 0, SUM(IN65, IN77), "")</f>
        <v/>
      </c>
      <c r="IO78" s="62" t="str">
        <f t="shared" ref="IO78" si="582">IF(SUM(IO65, IO77) &gt; 0, SUM(IO65, IO77), "")</f>
        <v/>
      </c>
      <c r="IP78" s="62" t="str">
        <f t="shared" ref="IP78" si="583">IF(SUM(IP65, IP77) &gt; 0, SUM(IP65, IP77), "")</f>
        <v/>
      </c>
      <c r="IQ78" s="62" t="str">
        <f t="shared" ref="IQ78" si="584">IF(SUM(IQ65, IQ77) &gt; 0, SUM(IQ65, IQ77), "")</f>
        <v/>
      </c>
      <c r="IR78" s="62" t="str">
        <f t="shared" ref="IR78" si="585">IF(SUM(IR65, IR77) &gt; 0, SUM(IR65, IR77), "")</f>
        <v/>
      </c>
      <c r="IS78" s="62" t="str">
        <f t="shared" ref="IS78" si="586">IF(SUM(IS65, IS77) &gt; 0, SUM(IS65, IS77), "")</f>
        <v/>
      </c>
      <c r="IT78" s="63" t="str">
        <f t="shared" ref="IT78" si="587">IF(SUM(IT65, IT77) &gt; 0, SUM(IT65, IT77), "")</f>
        <v/>
      </c>
      <c r="IU78" s="65" t="str">
        <f t="shared" ref="IU78" si="588">IF(SUM(IU65, IU77) &gt; 0, SUM(IU65, IU77), "")</f>
        <v/>
      </c>
      <c r="IV78" s="62" t="str">
        <f t="shared" ref="IV78" si="589">IF(SUM(IV65, IV77) &gt; 0, SUM(IV65, IV77), "")</f>
        <v/>
      </c>
      <c r="IW78" s="62" t="str">
        <f t="shared" ref="IW78" si="590">IF(SUM(IW65, IW77) &gt; 0, SUM(IW65, IW77), "")</f>
        <v/>
      </c>
      <c r="IX78" s="62" t="str">
        <f t="shared" ref="IX78" si="591">IF(SUM(IX65, IX77) &gt; 0, SUM(IX65, IX77), "")</f>
        <v/>
      </c>
      <c r="IY78" s="62" t="str">
        <f t="shared" ref="IY78" si="592">IF(SUM(IY65, IY77) &gt; 0, SUM(IY65, IY77), "")</f>
        <v/>
      </c>
      <c r="IZ78" s="62" t="str">
        <f t="shared" ref="IZ78" si="593">IF(SUM(IZ65, IZ77) &gt; 0, SUM(IZ65, IZ77), "")</f>
        <v/>
      </c>
      <c r="JA78" s="63" t="str">
        <f t="shared" ref="JA78" si="594">IF(SUM(JA65, JA77) &gt; 0, SUM(JA65, JA77), "")</f>
        <v/>
      </c>
      <c r="JB78" s="65" t="str">
        <f t="shared" ref="JB78" si="595">IF(SUM(JB65, JB77) &gt; 0, SUM(JB65, JB77), "")</f>
        <v/>
      </c>
      <c r="JC78" s="62" t="str">
        <f t="shared" ref="JC78" si="596">IF(SUM(JC65, JC77) &gt; 0, SUM(JC65, JC77), "")</f>
        <v/>
      </c>
      <c r="JD78" s="62" t="str">
        <f t="shared" ref="JD78" si="597">IF(SUM(JD65, JD77) &gt; 0, SUM(JD65, JD77), "")</f>
        <v/>
      </c>
      <c r="JE78" s="62" t="str">
        <f t="shared" ref="JE78" si="598">IF(SUM(JE65, JE77) &gt; 0, SUM(JE65, JE77), "")</f>
        <v/>
      </c>
      <c r="JF78" s="62" t="str">
        <f t="shared" ref="JF78" si="599">IF(SUM(JF65, JF77) &gt; 0, SUM(JF65, JF77), "")</f>
        <v/>
      </c>
      <c r="JG78" s="62" t="str">
        <f t="shared" ref="JG78" si="600">IF(SUM(JG65, JG77) &gt; 0, SUM(JG65, JG77), "")</f>
        <v/>
      </c>
      <c r="JH78" s="63" t="str">
        <f t="shared" ref="JH78" si="601">IF(SUM(JH65, JH77) &gt; 0, SUM(JH65, JH77), "")</f>
        <v/>
      </c>
      <c r="JI78" s="65" t="str">
        <f t="shared" ref="JI78" si="602">IF(SUM(JI65, JI77) &gt; 0, SUM(JI65, JI77), "")</f>
        <v/>
      </c>
      <c r="JJ78" s="62" t="str">
        <f t="shared" ref="JJ78" si="603">IF(SUM(JJ65, JJ77) &gt; 0, SUM(JJ65, JJ77), "")</f>
        <v/>
      </c>
      <c r="JK78" s="62" t="str">
        <f t="shared" ref="JK78" si="604">IF(SUM(JK65, JK77) &gt; 0, SUM(JK65, JK77), "")</f>
        <v/>
      </c>
      <c r="JL78" s="62" t="str">
        <f t="shared" ref="JL78" si="605">IF(SUM(JL65, JL77) &gt; 0, SUM(JL65, JL77), "")</f>
        <v/>
      </c>
      <c r="JM78" s="62" t="str">
        <f t="shared" ref="JM78" si="606">IF(SUM(JM65, JM77) &gt; 0, SUM(JM65, JM77), "")</f>
        <v/>
      </c>
      <c r="JN78" s="62" t="str">
        <f t="shared" ref="JN78" si="607">IF(SUM(JN65, JN77) &gt; 0, SUM(JN65, JN77), "")</f>
        <v/>
      </c>
      <c r="JO78" s="63" t="str">
        <f t="shared" ref="JO78" si="608">IF(SUM(JO65, JO77) &gt; 0, SUM(JO65, JO77), "")</f>
        <v/>
      </c>
      <c r="JP78" s="65" t="str">
        <f t="shared" ref="JP78" si="609">IF(SUM(JP65, JP77) &gt; 0, SUM(JP65, JP77), "")</f>
        <v/>
      </c>
      <c r="JQ78" s="62" t="str">
        <f t="shared" ref="JQ78" si="610">IF(SUM(JQ65, JQ77) &gt; 0, SUM(JQ65, JQ77), "")</f>
        <v/>
      </c>
      <c r="JR78" s="62" t="str">
        <f t="shared" ref="JR78" si="611">IF(SUM(JR65, JR77) &gt; 0, SUM(JR65, JR77), "")</f>
        <v/>
      </c>
      <c r="JS78" s="62" t="str">
        <f t="shared" ref="JS78" si="612">IF(SUM(JS65, JS77) &gt; 0, SUM(JS65, JS77), "")</f>
        <v/>
      </c>
      <c r="JT78" s="62" t="str">
        <f t="shared" ref="JT78" si="613">IF(SUM(JT65, JT77) &gt; 0, SUM(JT65, JT77), "")</f>
        <v/>
      </c>
      <c r="JU78" s="62" t="str">
        <f t="shared" ref="JU78" si="614">IF(SUM(JU65, JU77) &gt; 0, SUM(JU65, JU77), "")</f>
        <v/>
      </c>
      <c r="JV78" s="63" t="str">
        <f t="shared" ref="JV78" si="615">IF(SUM(JV65, JV77) &gt; 0, SUM(JV65, JV77), "")</f>
        <v/>
      </c>
      <c r="JW78" s="65" t="str">
        <f t="shared" ref="JW78" si="616">IF(SUM(JW65, JW77) &gt; 0, SUM(JW65, JW77), "")</f>
        <v/>
      </c>
      <c r="JX78" s="62" t="str">
        <f t="shared" ref="JX78" si="617">IF(SUM(JX65, JX77) &gt; 0, SUM(JX65, JX77), "")</f>
        <v/>
      </c>
      <c r="JY78" s="62" t="str">
        <f t="shared" ref="JY78" si="618">IF(SUM(JY65, JY77) &gt; 0, SUM(JY65, JY77), "")</f>
        <v/>
      </c>
      <c r="JZ78" s="62" t="str">
        <f t="shared" ref="JZ78" si="619">IF(SUM(JZ65, JZ77) &gt; 0, SUM(JZ65, JZ77), "")</f>
        <v/>
      </c>
      <c r="KA78" s="62" t="str">
        <f t="shared" ref="KA78" si="620">IF(SUM(KA65, KA77) &gt; 0, SUM(KA65, KA77), "")</f>
        <v/>
      </c>
      <c r="KB78" s="62" t="str">
        <f t="shared" ref="KB78" si="621">IF(SUM(KB65, KB77) &gt; 0, SUM(KB65, KB77), "")</f>
        <v/>
      </c>
      <c r="KC78" s="63" t="str">
        <f t="shared" ref="KC78" si="622">IF(SUM(KC65, KC77) &gt; 0, SUM(KC65, KC77), "")</f>
        <v/>
      </c>
      <c r="KD78" s="65" t="str">
        <f t="shared" ref="KD78" si="623">IF(SUM(KD65, KD77) &gt; 0, SUM(KD65, KD77), "")</f>
        <v/>
      </c>
      <c r="KE78" s="62" t="str">
        <f t="shared" ref="KE78" si="624">IF(SUM(KE65, KE77) &gt; 0, SUM(KE65, KE77), "")</f>
        <v/>
      </c>
      <c r="KF78" s="62" t="str">
        <f t="shared" ref="KF78" si="625">IF(SUM(KF65, KF77) &gt; 0, SUM(KF65, KF77), "")</f>
        <v/>
      </c>
      <c r="KG78" s="62" t="str">
        <f t="shared" ref="KG78" si="626">IF(SUM(KG65, KG77) &gt; 0, SUM(KG65, KG77), "")</f>
        <v/>
      </c>
      <c r="KH78" s="62" t="str">
        <f t="shared" ref="KH78" si="627">IF(SUM(KH65, KH77) &gt; 0, SUM(KH65, KH77), "")</f>
        <v/>
      </c>
      <c r="KI78" s="62" t="str">
        <f t="shared" ref="KI78" si="628">IF(SUM(KI65, KI77) &gt; 0, SUM(KI65, KI77), "")</f>
        <v/>
      </c>
      <c r="KJ78" s="63" t="str">
        <f t="shared" ref="KJ78" si="629">IF(SUM(KJ65, KJ77) &gt; 0, SUM(KJ65, KJ77), "")</f>
        <v/>
      </c>
      <c r="KK78" s="65" t="str">
        <f t="shared" ref="KK78" si="630">IF(SUM(KK65, KK77) &gt; 0, SUM(KK65, KK77), "")</f>
        <v/>
      </c>
      <c r="KL78" s="62" t="str">
        <f t="shared" ref="KL78" si="631">IF(SUM(KL65, KL77) &gt; 0, SUM(KL65, KL77), "")</f>
        <v/>
      </c>
      <c r="KM78" s="62" t="str">
        <f t="shared" ref="KM78" si="632">IF(SUM(KM65, KM77) &gt; 0, SUM(KM65, KM77), "")</f>
        <v/>
      </c>
      <c r="KN78" s="62" t="str">
        <f t="shared" ref="KN78" si="633">IF(SUM(KN65, KN77) &gt; 0, SUM(KN65, KN77), "")</f>
        <v/>
      </c>
      <c r="KO78" s="62" t="str">
        <f t="shared" ref="KO78" si="634">IF(SUM(KO65, KO77) &gt; 0, SUM(KO65, KO77), "")</f>
        <v/>
      </c>
      <c r="KP78" s="62" t="str">
        <f t="shared" ref="KP78" si="635">IF(SUM(KP65, KP77) &gt; 0, SUM(KP65, KP77), "")</f>
        <v/>
      </c>
      <c r="KQ78" s="63" t="str">
        <f t="shared" ref="KQ78" si="636">IF(SUM(KQ65, KQ77) &gt; 0, SUM(KQ65, KQ77), "")</f>
        <v/>
      </c>
      <c r="KR78" s="65" t="str">
        <f t="shared" ref="KR78" si="637">IF(SUM(KR65, KR77) &gt; 0, SUM(KR65, KR77), "")</f>
        <v/>
      </c>
      <c r="KS78" s="62" t="str">
        <f t="shared" ref="KS78" si="638">IF(SUM(KS65, KS77) &gt; 0, SUM(KS65, KS77), "")</f>
        <v/>
      </c>
      <c r="KT78" s="62" t="str">
        <f t="shared" ref="KT78" si="639">IF(SUM(KT65, KT77) &gt; 0, SUM(KT65, KT77), "")</f>
        <v/>
      </c>
      <c r="KU78" s="62" t="str">
        <f t="shared" ref="KU78" si="640">IF(SUM(KU65, KU77) &gt; 0, SUM(KU65, KU77), "")</f>
        <v/>
      </c>
      <c r="KV78" s="62" t="str">
        <f t="shared" ref="KV78" si="641">IF(SUM(KV65, KV77) &gt; 0, SUM(KV65, KV77), "")</f>
        <v/>
      </c>
      <c r="KW78" s="62" t="str">
        <f t="shared" ref="KW78" si="642">IF(SUM(KW65, KW77) &gt; 0, SUM(KW65, KW77), "")</f>
        <v/>
      </c>
      <c r="KX78" s="63" t="str">
        <f t="shared" ref="KX78" si="643">IF(SUM(KX65, KX77) &gt; 0, SUM(KX65, KX77), "")</f>
        <v/>
      </c>
      <c r="KY78" s="65" t="str">
        <f t="shared" ref="KY78" si="644">IF(SUM(KY65, KY77) &gt; 0, SUM(KY65, KY77), "")</f>
        <v/>
      </c>
      <c r="KZ78" s="62" t="str">
        <f t="shared" ref="KZ78" si="645">IF(SUM(KZ65, KZ77) &gt; 0, SUM(KZ65, KZ77), "")</f>
        <v/>
      </c>
      <c r="LA78" s="62" t="str">
        <f t="shared" ref="LA78" si="646">IF(SUM(LA65, LA77) &gt; 0, SUM(LA65, LA77), "")</f>
        <v/>
      </c>
      <c r="LB78" s="62" t="str">
        <f t="shared" ref="LB78" si="647">IF(SUM(LB65, LB77) &gt; 0, SUM(LB65, LB77), "")</f>
        <v/>
      </c>
      <c r="LC78" s="62" t="str">
        <f t="shared" ref="LC78" si="648">IF(SUM(LC65, LC77) &gt; 0, SUM(LC65, LC77), "")</f>
        <v/>
      </c>
      <c r="LD78" s="62" t="str">
        <f t="shared" ref="LD78" si="649">IF(SUM(LD65, LD77) &gt; 0, SUM(LD65, LD77), "")</f>
        <v/>
      </c>
      <c r="LE78" s="63" t="str">
        <f t="shared" ref="LE78" si="650">IF(SUM(LE65, LE77) &gt; 0, SUM(LE65, LE77), "")</f>
        <v/>
      </c>
      <c r="LF78" s="65" t="str">
        <f t="shared" ref="LF78" si="651">IF(SUM(LF65, LF77) &gt; 0, SUM(LF65, LF77), "")</f>
        <v/>
      </c>
      <c r="LG78" s="62" t="str">
        <f t="shared" ref="LG78" si="652">IF(SUM(LG65, LG77) &gt; 0, SUM(LG65, LG77), "")</f>
        <v/>
      </c>
      <c r="LH78" s="62" t="str">
        <f t="shared" ref="LH78" si="653">IF(SUM(LH65, LH77) &gt; 0, SUM(LH65, LH77), "")</f>
        <v/>
      </c>
      <c r="LI78" s="62" t="str">
        <f t="shared" ref="LI78" si="654">IF(SUM(LI65, LI77) &gt; 0, SUM(LI65, LI77), "")</f>
        <v/>
      </c>
      <c r="LJ78" s="62" t="str">
        <f t="shared" ref="LJ78" si="655">IF(SUM(LJ65, LJ77) &gt; 0, SUM(LJ65, LJ77), "")</f>
        <v/>
      </c>
      <c r="LK78" s="62" t="str">
        <f t="shared" ref="LK78" si="656">IF(SUM(LK65, LK77) &gt; 0, SUM(LK65, LK77), "")</f>
        <v/>
      </c>
      <c r="LL78" s="63" t="str">
        <f t="shared" ref="LL78" si="657">IF(SUM(LL65, LL77) &gt; 0, SUM(LL65, LL77), "")</f>
        <v/>
      </c>
      <c r="LM78" s="65" t="str">
        <f t="shared" ref="LM78" si="658">IF(SUM(LM65, LM77) &gt; 0, SUM(LM65, LM77), "")</f>
        <v/>
      </c>
      <c r="LN78" s="62" t="str">
        <f t="shared" ref="LN78" si="659">IF(SUM(LN65, LN77) &gt; 0, SUM(LN65, LN77), "")</f>
        <v/>
      </c>
      <c r="LO78" s="62" t="str">
        <f t="shared" ref="LO78" si="660">IF(SUM(LO65, LO77) &gt; 0, SUM(LO65, LO77), "")</f>
        <v/>
      </c>
      <c r="LP78" s="62" t="str">
        <f t="shared" ref="LP78" si="661">IF(SUM(LP65, LP77) &gt; 0, SUM(LP65, LP77), "")</f>
        <v/>
      </c>
      <c r="LQ78" s="62" t="str">
        <f t="shared" ref="LQ78" si="662">IF(SUM(LQ65, LQ77) &gt; 0, SUM(LQ65, LQ77), "")</f>
        <v/>
      </c>
      <c r="LR78" s="62" t="str">
        <f t="shared" ref="LR78" si="663">IF(SUM(LR65, LR77) &gt; 0, SUM(LR65, LR77), "")</f>
        <v/>
      </c>
      <c r="LS78" s="63" t="str">
        <f t="shared" ref="LS78" si="664">IF(SUM(LS65, LS77) &gt; 0, SUM(LS65, LS77), "")</f>
        <v/>
      </c>
      <c r="LT78" s="65" t="str">
        <f t="shared" ref="LT78" si="665">IF(SUM(LT65, LT77) &gt; 0, SUM(LT65, LT77), "")</f>
        <v/>
      </c>
      <c r="LU78" s="62" t="str">
        <f t="shared" ref="LU78" si="666">IF(SUM(LU65, LU77) &gt; 0, SUM(LU65, LU77), "")</f>
        <v/>
      </c>
      <c r="LV78" s="62" t="str">
        <f t="shared" ref="LV78" si="667">IF(SUM(LV65, LV77) &gt; 0, SUM(LV65, LV77), "")</f>
        <v/>
      </c>
      <c r="LW78" s="62" t="str">
        <f t="shared" ref="LW78" si="668">IF(SUM(LW65, LW77) &gt; 0, SUM(LW65, LW77), "")</f>
        <v/>
      </c>
      <c r="LX78" s="62" t="str">
        <f t="shared" ref="LX78" si="669">IF(SUM(LX65, LX77) &gt; 0, SUM(LX65, LX77), "")</f>
        <v/>
      </c>
      <c r="LY78" s="62" t="str">
        <f t="shared" ref="LY78" si="670">IF(SUM(LY65, LY77) &gt; 0, SUM(LY65, LY77), "")</f>
        <v/>
      </c>
      <c r="LZ78" s="63" t="str">
        <f t="shared" ref="LZ78" si="671">IF(SUM(LZ65, LZ77) &gt; 0, SUM(LZ65, LZ77), "")</f>
        <v/>
      </c>
      <c r="MA78" s="65" t="str">
        <f t="shared" ref="MA78" si="672">IF(SUM(MA65, MA77) &gt; 0, SUM(MA65, MA77), "")</f>
        <v/>
      </c>
      <c r="MB78" s="62" t="str">
        <f t="shared" ref="MB78" si="673">IF(SUM(MB65, MB77) &gt; 0, SUM(MB65, MB77), "")</f>
        <v/>
      </c>
      <c r="MC78" s="62" t="str">
        <f t="shared" ref="MC78" si="674">IF(SUM(MC65, MC77) &gt; 0, SUM(MC65, MC77), "")</f>
        <v/>
      </c>
      <c r="MD78" s="62" t="str">
        <f t="shared" ref="MD78" si="675">IF(SUM(MD65, MD77) &gt; 0, SUM(MD65, MD77), "")</f>
        <v/>
      </c>
      <c r="ME78" s="62" t="str">
        <f t="shared" ref="ME78" si="676">IF(SUM(ME65, ME77) &gt; 0, SUM(ME65, ME77), "")</f>
        <v/>
      </c>
      <c r="MF78" s="62" t="str">
        <f t="shared" ref="MF78" si="677">IF(SUM(MF65, MF77) &gt; 0, SUM(MF65, MF77), "")</f>
        <v/>
      </c>
      <c r="MG78" s="63" t="str">
        <f t="shared" ref="MG78" si="678">IF(SUM(MG65, MG77) &gt; 0, SUM(MG65, MG77), "")</f>
        <v/>
      </c>
      <c r="MH78" s="65" t="str">
        <f t="shared" ref="MH78" si="679">IF(SUM(MH65, MH77) &gt; 0, SUM(MH65, MH77), "")</f>
        <v/>
      </c>
      <c r="MI78" s="62" t="str">
        <f t="shared" ref="MI78" si="680">IF(SUM(MI65, MI77) &gt; 0, SUM(MI65, MI77), "")</f>
        <v/>
      </c>
      <c r="MJ78" s="62" t="str">
        <f t="shared" ref="MJ78" si="681">IF(SUM(MJ65, MJ77) &gt; 0, SUM(MJ65, MJ77), "")</f>
        <v/>
      </c>
      <c r="MK78" s="62" t="str">
        <f t="shared" ref="MK78" si="682">IF(SUM(MK65, MK77) &gt; 0, SUM(MK65, MK77), "")</f>
        <v/>
      </c>
      <c r="ML78" s="62" t="str">
        <f t="shared" ref="ML78" si="683">IF(SUM(ML65, ML77) &gt; 0, SUM(ML65, ML77), "")</f>
        <v/>
      </c>
      <c r="MM78" s="62" t="str">
        <f t="shared" ref="MM78" si="684">IF(SUM(MM65, MM77) &gt; 0, SUM(MM65, MM77), "")</f>
        <v/>
      </c>
      <c r="MN78" s="63" t="str">
        <f t="shared" ref="MN78" si="685">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49</v>
      </c>
      <c r="Q81" s="109">
        <f t="shared" ref="Q81:Q86" si="686">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F81">
        <v>1</v>
      </c>
      <c r="EJ81" s="7"/>
      <c r="EL81">
        <v>1</v>
      </c>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686"/>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686"/>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686"/>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9</v>
      </c>
      <c r="Q85" s="109">
        <f t="shared" si="686"/>
        <v>18.367346938775512</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L85">
        <v>1</v>
      </c>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686"/>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49</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v>1</v>
      </c>
      <c r="EG87" s="3"/>
      <c r="EH87" s="3"/>
      <c r="EI87" s="3"/>
      <c r="EJ87" s="4"/>
      <c r="EK87" s="3"/>
      <c r="EL87" s="3">
        <v>1</v>
      </c>
      <c r="EM87" s="3"/>
      <c r="EN87" s="3"/>
      <c r="EO87" s="3"/>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28</v>
      </c>
      <c r="E90">
        <v>35</v>
      </c>
      <c r="F90">
        <v>1</v>
      </c>
      <c r="G90" t="s">
        <v>15</v>
      </c>
      <c r="H90" t="s">
        <v>13</v>
      </c>
      <c r="I90" t="s">
        <v>188</v>
      </c>
      <c r="J90" t="s">
        <v>189</v>
      </c>
      <c r="K90" t="s">
        <v>408</v>
      </c>
      <c r="L90" s="51" t="str">
        <f>FindEnd(S36:MN36)</f>
        <v>ES</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ES</v>
      </c>
    </row>
    <row r="92" spans="1:352" x14ac:dyDescent="0.25">
      <c r="B92" t="s">
        <v>16</v>
      </c>
      <c r="C92">
        <v>71</v>
      </c>
      <c r="D92">
        <v>74</v>
      </c>
      <c r="E92">
        <v>77</v>
      </c>
      <c r="F92">
        <v>66</v>
      </c>
      <c r="G92" t="s">
        <v>15</v>
      </c>
      <c r="H92" t="s">
        <v>13</v>
      </c>
      <c r="I92" t="s">
        <v>188</v>
      </c>
      <c r="K92" t="s">
        <v>105</v>
      </c>
      <c r="L92" s="51" t="str">
        <f>FindEnd(S76:MN76)</f>
        <v>ES</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1:EN23 EN14:EN15 EN27:EN30 EI7:EJ10 CG9:CH10 DZ9:EA10 DQ9:DR10 DH9:DI10 BX7:BX10 BY9:BY10 EI11:EJ11 BX11:EH11 EK11:EN11 CG16:EA16 BY16 ER7:ER28" numberStoredAsText="1"/>
    <ignoredError sqref="P31 Q7 CZ35 Q35 EA35 EJ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5 EF72 DZ86:EF86 DZ82:EF84 DZ78:EF80 ED73:EF73 DZ74:EF75 EB66:EF67 DZ69:EF71 DZ65:EF65 EI65:EP65 EI69:EP72 EK66:EP66 EK67:EP67 ES69:MN87 ET66:MN66 ET67:MN67 DZ77:EE77 ES68:EW68 EY68:FD68 FF68:FH68 FJ68 FL68:MN68 EI74:EP75 EI73:EK73 EM73:EP73 EI77:EP80 EI76:EK76 EM76:EP76 EI82:EP84 EI81:EK81 EM81:EP81 EI86:EP86 EI85:EK85 EM85:EP85 EI87:EK87 EM87:EP87 EI68:EK68 EM68 EP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22"/>
  <sheetViews>
    <sheetView workbookViewId="0">
      <selection activeCell="B4" sqref="B4"/>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44082</v>
      </c>
      <c r="B3" s="74" t="s">
        <v>470</v>
      </c>
      <c r="C3" s="74"/>
      <c r="D3" s="74" t="s">
        <v>454</v>
      </c>
    </row>
    <row r="4" spans="1:4" ht="90" x14ac:dyDescent="0.25">
      <c r="A4" s="72"/>
      <c r="B4" s="76" t="s">
        <v>493</v>
      </c>
      <c r="C4" s="74"/>
      <c r="D4" s="76" t="s">
        <v>491</v>
      </c>
    </row>
    <row r="5" spans="1:4" x14ac:dyDescent="0.25">
      <c r="A5" s="75">
        <v>44081</v>
      </c>
      <c r="B5" s="74" t="s">
        <v>489</v>
      </c>
      <c r="C5" s="74"/>
      <c r="D5" s="73"/>
    </row>
    <row r="6" spans="1:4" ht="120" x14ac:dyDescent="0.25">
      <c r="A6" s="72"/>
      <c r="B6" s="76" t="s">
        <v>492</v>
      </c>
      <c r="C6" s="74"/>
      <c r="D6" s="73"/>
    </row>
    <row r="7" spans="1:4" x14ac:dyDescent="0.25">
      <c r="A7" s="72"/>
      <c r="B7" s="73"/>
      <c r="C7" s="74"/>
      <c r="D7" s="73"/>
    </row>
    <row r="8" spans="1:4" x14ac:dyDescent="0.25">
      <c r="A8" s="75">
        <v>44078</v>
      </c>
      <c r="B8" s="74" t="s">
        <v>479</v>
      </c>
      <c r="C8" s="74"/>
      <c r="D8" s="74" t="s">
        <v>480</v>
      </c>
    </row>
    <row r="9" spans="1:4" ht="75" x14ac:dyDescent="0.25">
      <c r="A9" s="72"/>
      <c r="B9" s="76" t="s">
        <v>482</v>
      </c>
      <c r="C9" s="74"/>
      <c r="D9" s="76" t="s">
        <v>481</v>
      </c>
    </row>
    <row r="10" spans="1:4" x14ac:dyDescent="0.25">
      <c r="A10" s="75">
        <v>44077</v>
      </c>
      <c r="B10" s="74" t="s">
        <v>470</v>
      </c>
      <c r="C10" s="74"/>
      <c r="D10" s="74" t="s">
        <v>458</v>
      </c>
    </row>
    <row r="11" spans="1:4" ht="75" x14ac:dyDescent="0.25">
      <c r="A11" s="72"/>
      <c r="B11" s="76" t="s">
        <v>486</v>
      </c>
      <c r="C11" s="74"/>
      <c r="D11" s="76" t="s">
        <v>471</v>
      </c>
    </row>
    <row r="12" spans="1:4" x14ac:dyDescent="0.25">
      <c r="A12" s="75">
        <v>44075</v>
      </c>
      <c r="B12" s="74" t="s">
        <v>467</v>
      </c>
      <c r="C12" s="74"/>
      <c r="D12" s="74" t="s">
        <v>454</v>
      </c>
    </row>
    <row r="13" spans="1:4" ht="60" x14ac:dyDescent="0.25">
      <c r="A13" s="72"/>
      <c r="B13" s="76" t="s">
        <v>469</v>
      </c>
      <c r="C13" s="74"/>
      <c r="D13" s="76" t="s">
        <v>468</v>
      </c>
    </row>
    <row r="14" spans="1:4" x14ac:dyDescent="0.25">
      <c r="A14" s="75">
        <v>44074</v>
      </c>
      <c r="B14" s="74" t="s">
        <v>457</v>
      </c>
      <c r="C14" s="74"/>
      <c r="D14" s="73"/>
    </row>
    <row r="15" spans="1:4" ht="74.25" customHeight="1" x14ac:dyDescent="0.25">
      <c r="A15" s="72"/>
      <c r="B15" s="76" t="s">
        <v>462</v>
      </c>
      <c r="C15" s="74"/>
      <c r="D15" s="73"/>
    </row>
    <row r="16" spans="1:4" x14ac:dyDescent="0.25">
      <c r="A16" s="72"/>
      <c r="B16" s="73"/>
      <c r="C16" s="74"/>
      <c r="D16" s="73"/>
    </row>
    <row r="17" spans="1:4" x14ac:dyDescent="0.25">
      <c r="A17" s="75">
        <v>44071</v>
      </c>
      <c r="B17" s="74" t="s">
        <v>457</v>
      </c>
      <c r="C17" s="74"/>
      <c r="D17" s="74" t="s">
        <v>458</v>
      </c>
    </row>
    <row r="18" spans="1:4" ht="105" x14ac:dyDescent="0.25">
      <c r="A18" s="72"/>
      <c r="B18" s="76" t="s">
        <v>460</v>
      </c>
      <c r="C18" s="74"/>
      <c r="D18" s="76" t="s">
        <v>459</v>
      </c>
    </row>
    <row r="19" spans="1:4" x14ac:dyDescent="0.25">
      <c r="A19" s="75">
        <v>44070</v>
      </c>
      <c r="B19" s="74" t="s">
        <v>453</v>
      </c>
      <c r="C19" s="74"/>
      <c r="D19" s="74" t="s">
        <v>454</v>
      </c>
    </row>
    <row r="20" spans="1:4" ht="90" x14ac:dyDescent="0.25">
      <c r="A20" s="72"/>
      <c r="B20" s="76" t="s">
        <v>455</v>
      </c>
      <c r="C20" s="74"/>
      <c r="D20" s="76" t="s">
        <v>456</v>
      </c>
    </row>
    <row r="21" spans="1:4" x14ac:dyDescent="0.25">
      <c r="A21" s="75">
        <v>44068</v>
      </c>
      <c r="B21" s="74" t="s">
        <v>449</v>
      </c>
      <c r="C21" s="74"/>
      <c r="D21" s="74" t="s">
        <v>450</v>
      </c>
    </row>
    <row r="22" spans="1:4" ht="75" x14ac:dyDescent="0.25">
      <c r="A22" s="72"/>
      <c r="B22" s="76" t="s">
        <v>451</v>
      </c>
      <c r="C22" s="74"/>
      <c r="D22" s="76" t="s">
        <v>452</v>
      </c>
    </row>
    <row r="23" spans="1:4" x14ac:dyDescent="0.25">
      <c r="A23" s="72"/>
      <c r="B23" s="73"/>
      <c r="C23" s="74"/>
      <c r="D23" s="73"/>
    </row>
    <row r="24" spans="1:4" x14ac:dyDescent="0.25">
      <c r="A24" s="75">
        <v>44066</v>
      </c>
      <c r="B24" s="74" t="s">
        <v>445</v>
      </c>
      <c r="C24" s="74"/>
      <c r="D24" s="73"/>
    </row>
    <row r="25" spans="1:4" ht="60" x14ac:dyDescent="0.25">
      <c r="A25" s="72"/>
      <c r="B25" s="76" t="s">
        <v>446</v>
      </c>
      <c r="C25" s="74"/>
      <c r="D25" s="73"/>
    </row>
    <row r="26" spans="1:4" x14ac:dyDescent="0.25">
      <c r="A26" s="75">
        <v>44064</v>
      </c>
      <c r="B26" s="74" t="s">
        <v>441</v>
      </c>
      <c r="C26" s="74"/>
      <c r="D26" s="73"/>
    </row>
    <row r="27" spans="1:4" ht="90" x14ac:dyDescent="0.25">
      <c r="A27" s="72"/>
      <c r="B27" s="76" t="s">
        <v>442</v>
      </c>
      <c r="C27" s="74"/>
      <c r="D27" s="73"/>
    </row>
    <row r="28" spans="1:4" x14ac:dyDescent="0.25">
      <c r="A28" s="75">
        <v>44063</v>
      </c>
      <c r="B28" s="74" t="s">
        <v>439</v>
      </c>
      <c r="C28" s="74"/>
      <c r="D28" s="73"/>
    </row>
    <row r="29" spans="1:4" ht="75" x14ac:dyDescent="0.25">
      <c r="A29" s="72"/>
      <c r="B29" s="76" t="s">
        <v>440</v>
      </c>
      <c r="C29" s="74"/>
      <c r="D29" s="73"/>
    </row>
    <row r="30" spans="1:4" x14ac:dyDescent="0.25">
      <c r="A30" s="75">
        <v>44061</v>
      </c>
      <c r="B30" s="74" t="s">
        <v>434</v>
      </c>
      <c r="C30" s="74"/>
      <c r="D30" s="73"/>
    </row>
    <row r="31" spans="1:4" ht="120" x14ac:dyDescent="0.25">
      <c r="A31" s="72"/>
      <c r="B31" s="76" t="s">
        <v>435</v>
      </c>
      <c r="C31" s="74"/>
      <c r="D31" s="73"/>
    </row>
    <row r="32" spans="1:4" x14ac:dyDescent="0.25">
      <c r="A32" s="72"/>
      <c r="B32" s="76"/>
      <c r="C32" s="74"/>
      <c r="D32" s="73"/>
    </row>
    <row r="33" spans="1:4" x14ac:dyDescent="0.25">
      <c r="A33" s="75">
        <v>44059</v>
      </c>
      <c r="B33" s="74" t="s">
        <v>373</v>
      </c>
      <c r="C33" s="74"/>
      <c r="D33" s="73"/>
    </row>
    <row r="34" spans="1:4" ht="45" x14ac:dyDescent="0.25">
      <c r="A34" s="72"/>
      <c r="B34" s="76" t="s">
        <v>421</v>
      </c>
      <c r="C34" s="74"/>
      <c r="D34" s="73"/>
    </row>
    <row r="35" spans="1:4" x14ac:dyDescent="0.25">
      <c r="A35" s="75">
        <v>44057</v>
      </c>
      <c r="B35" s="74" t="s">
        <v>424</v>
      </c>
      <c r="C35" s="74"/>
      <c r="D35" s="73"/>
    </row>
    <row r="36" spans="1:4" ht="60" x14ac:dyDescent="0.25">
      <c r="A36" s="72"/>
      <c r="B36" s="76" t="s">
        <v>419</v>
      </c>
      <c r="C36" s="74"/>
      <c r="D36" s="73"/>
    </row>
    <row r="37" spans="1:4" x14ac:dyDescent="0.25">
      <c r="A37" s="75">
        <v>44056</v>
      </c>
      <c r="B37" s="74" t="s">
        <v>417</v>
      </c>
      <c r="C37" s="74"/>
      <c r="D37" s="73"/>
    </row>
    <row r="38" spans="1:4" x14ac:dyDescent="0.25">
      <c r="A38" s="72"/>
      <c r="B38" s="73" t="s">
        <v>418</v>
      </c>
      <c r="C38" s="74"/>
      <c r="D38" s="73"/>
    </row>
    <row r="39" spans="1:4" x14ac:dyDescent="0.25">
      <c r="A39" s="75">
        <v>44054</v>
      </c>
      <c r="B39" s="74" t="s">
        <v>415</v>
      </c>
      <c r="C39" s="74"/>
      <c r="D39" s="73"/>
    </row>
    <row r="40" spans="1:4" ht="75" x14ac:dyDescent="0.25">
      <c r="A40" s="72"/>
      <c r="B40" s="76" t="s">
        <v>416</v>
      </c>
      <c r="C40" s="74"/>
      <c r="D40" s="73"/>
    </row>
    <row r="41" spans="1:4" x14ac:dyDescent="0.25">
      <c r="A41" s="72"/>
      <c r="B41" s="73"/>
      <c r="C41" s="74"/>
      <c r="D41" s="73"/>
    </row>
    <row r="42" spans="1:4" x14ac:dyDescent="0.25">
      <c r="A42" s="75">
        <v>44052</v>
      </c>
      <c r="B42" s="74" t="s">
        <v>347</v>
      </c>
      <c r="C42" s="74"/>
      <c r="D42" s="73"/>
    </row>
    <row r="43" spans="1:4" ht="90" x14ac:dyDescent="0.25">
      <c r="A43" s="72"/>
      <c r="B43" s="76" t="s">
        <v>410</v>
      </c>
      <c r="C43" s="74"/>
      <c r="D43" s="73"/>
    </row>
    <row r="44" spans="1:4" x14ac:dyDescent="0.25">
      <c r="A44" s="75">
        <v>44050</v>
      </c>
      <c r="B44" s="74" t="s">
        <v>397</v>
      </c>
      <c r="C44" s="74"/>
      <c r="D44" s="73"/>
    </row>
    <row r="45" spans="1:4" ht="90" x14ac:dyDescent="0.25">
      <c r="A45" s="72"/>
      <c r="B45" s="76" t="s">
        <v>400</v>
      </c>
      <c r="C45" s="74"/>
      <c r="D45" s="73"/>
    </row>
    <row r="46" spans="1:4" x14ac:dyDescent="0.25">
      <c r="A46" s="75">
        <v>44049</v>
      </c>
      <c r="B46" s="74" t="s">
        <v>402</v>
      </c>
      <c r="C46" s="74"/>
      <c r="D46" s="73"/>
    </row>
    <row r="47" spans="1:4" ht="75" x14ac:dyDescent="0.25">
      <c r="A47" s="72"/>
      <c r="B47" s="76" t="s">
        <v>401</v>
      </c>
      <c r="C47" s="74"/>
      <c r="D47" s="73"/>
    </row>
    <row r="48" spans="1:4" x14ac:dyDescent="0.25">
      <c r="A48" s="75">
        <v>44047</v>
      </c>
      <c r="B48" s="74" t="s">
        <v>397</v>
      </c>
      <c r="C48" s="74"/>
      <c r="D48" s="73"/>
    </row>
    <row r="49" spans="1:4" ht="90" x14ac:dyDescent="0.25">
      <c r="A49" s="72"/>
      <c r="B49" s="76" t="s">
        <v>398</v>
      </c>
      <c r="C49" s="74"/>
      <c r="D49" s="73"/>
    </row>
    <row r="50" spans="1:4" x14ac:dyDescent="0.25">
      <c r="A50" s="72"/>
      <c r="B50" s="73"/>
      <c r="C50" s="74"/>
      <c r="D50" s="73"/>
    </row>
    <row r="51" spans="1:4" x14ac:dyDescent="0.25">
      <c r="A51" s="75">
        <v>44045</v>
      </c>
      <c r="B51" s="74" t="s">
        <v>395</v>
      </c>
      <c r="C51" s="74"/>
      <c r="D51" s="73"/>
    </row>
    <row r="52" spans="1:4" ht="60" x14ac:dyDescent="0.25">
      <c r="A52" s="72"/>
      <c r="B52" s="76" t="s">
        <v>396</v>
      </c>
      <c r="C52" s="74"/>
      <c r="D52" s="73"/>
    </row>
    <row r="53" spans="1:4" x14ac:dyDescent="0.25">
      <c r="A53" s="75">
        <v>44042</v>
      </c>
      <c r="B53" s="74" t="s">
        <v>391</v>
      </c>
      <c r="C53" s="74"/>
      <c r="D53" s="73"/>
    </row>
    <row r="54" spans="1:4" ht="45" x14ac:dyDescent="0.25">
      <c r="A54" s="72"/>
      <c r="B54" s="76" t="s">
        <v>390</v>
      </c>
      <c r="C54" s="74"/>
      <c r="D54" s="73"/>
    </row>
    <row r="55" spans="1:4" x14ac:dyDescent="0.25">
      <c r="A55" s="72"/>
      <c r="B55" s="73"/>
      <c r="C55" s="74"/>
      <c r="D55" s="73"/>
    </row>
    <row r="56" spans="1:4" x14ac:dyDescent="0.25">
      <c r="A56" s="75">
        <v>44038</v>
      </c>
      <c r="B56" s="74" t="s">
        <v>386</v>
      </c>
      <c r="C56" s="74"/>
      <c r="D56" s="73"/>
    </row>
    <row r="57" spans="1:4" ht="60" x14ac:dyDescent="0.25">
      <c r="A57" s="72"/>
      <c r="B57" s="76" t="s">
        <v>387</v>
      </c>
      <c r="C57" s="74"/>
      <c r="D57" s="73"/>
    </row>
    <row r="58" spans="1:4" x14ac:dyDescent="0.25">
      <c r="A58" s="75">
        <v>44035</v>
      </c>
      <c r="B58" s="74" t="s">
        <v>375</v>
      </c>
      <c r="C58" s="74"/>
      <c r="D58" s="73"/>
    </row>
    <row r="59" spans="1:4" ht="45" x14ac:dyDescent="0.25">
      <c r="A59" s="72"/>
      <c r="B59" s="76" t="s">
        <v>374</v>
      </c>
      <c r="C59" s="74"/>
      <c r="D59" s="73"/>
    </row>
    <row r="60" spans="1:4" x14ac:dyDescent="0.25">
      <c r="A60" s="72"/>
      <c r="B60" s="73"/>
      <c r="C60" s="74"/>
      <c r="D60" s="73"/>
    </row>
    <row r="61" spans="1:4" x14ac:dyDescent="0.25">
      <c r="A61" s="75">
        <v>44031</v>
      </c>
      <c r="B61" s="74" t="s">
        <v>371</v>
      </c>
      <c r="C61" s="74"/>
      <c r="D61" s="74" t="s">
        <v>373</v>
      </c>
    </row>
    <row r="62" spans="1:4" ht="30" x14ac:dyDescent="0.25">
      <c r="A62" s="72"/>
      <c r="B62" s="76" t="s">
        <v>372</v>
      </c>
      <c r="C62" s="74"/>
      <c r="D62" s="73" t="s">
        <v>348</v>
      </c>
    </row>
    <row r="63" spans="1:4" x14ac:dyDescent="0.25">
      <c r="A63" s="75">
        <v>44028</v>
      </c>
      <c r="B63" s="74" t="s">
        <v>353</v>
      </c>
      <c r="C63" s="74"/>
      <c r="D63" s="73"/>
    </row>
    <row r="64" spans="1:4" x14ac:dyDescent="0.25">
      <c r="A64" s="72"/>
      <c r="B64" s="73" t="s">
        <v>354</v>
      </c>
      <c r="C64" s="74"/>
      <c r="D64" s="73"/>
    </row>
    <row r="65" spans="1:4" x14ac:dyDescent="0.25">
      <c r="A65" s="75">
        <v>44026</v>
      </c>
      <c r="B65" s="74" t="s">
        <v>351</v>
      </c>
      <c r="C65" s="74"/>
      <c r="D65" s="73"/>
    </row>
    <row r="66" spans="1:4" x14ac:dyDescent="0.25">
      <c r="A66" s="72"/>
      <c r="B66" s="73" t="s">
        <v>7</v>
      </c>
      <c r="C66" s="74"/>
      <c r="D66" s="73"/>
    </row>
    <row r="67" spans="1:4" x14ac:dyDescent="0.25">
      <c r="A67" s="72"/>
      <c r="B67" s="73"/>
      <c r="C67" s="74"/>
      <c r="D67" s="73"/>
    </row>
    <row r="68" spans="1:4" x14ac:dyDescent="0.25">
      <c r="A68" s="75">
        <v>44024</v>
      </c>
      <c r="B68" s="74" t="s">
        <v>347</v>
      </c>
      <c r="C68" s="74"/>
      <c r="D68" s="74" t="s">
        <v>350</v>
      </c>
    </row>
    <row r="69" spans="1:4" ht="30" x14ac:dyDescent="0.25">
      <c r="A69" s="72"/>
      <c r="B69" s="76" t="s">
        <v>355</v>
      </c>
      <c r="C69" s="74"/>
      <c r="D69" s="73" t="s">
        <v>348</v>
      </c>
    </row>
    <row r="70" spans="1:4" x14ac:dyDescent="0.25">
      <c r="A70" s="75">
        <v>44022</v>
      </c>
      <c r="B70" s="76"/>
      <c r="C70" s="74"/>
      <c r="D70" s="74" t="s">
        <v>351</v>
      </c>
    </row>
    <row r="71" spans="1:4" x14ac:dyDescent="0.25">
      <c r="A71" s="72"/>
      <c r="B71" s="76"/>
      <c r="C71" s="74"/>
      <c r="D71" s="73" t="s">
        <v>352</v>
      </c>
    </row>
    <row r="72" spans="1:4" x14ac:dyDescent="0.25">
      <c r="A72" s="75">
        <v>44021</v>
      </c>
      <c r="B72" s="74" t="s">
        <v>242</v>
      </c>
      <c r="C72" s="74"/>
      <c r="D72" s="74" t="s">
        <v>296</v>
      </c>
    </row>
    <row r="73" spans="1:4" x14ac:dyDescent="0.25">
      <c r="A73" s="72"/>
      <c r="B73" s="73" t="s">
        <v>346</v>
      </c>
      <c r="C73" s="74"/>
      <c r="D73" s="73" t="s">
        <v>345</v>
      </c>
    </row>
    <row r="74" spans="1:4" x14ac:dyDescent="0.25">
      <c r="A74" s="75">
        <v>44019</v>
      </c>
      <c r="B74" s="74" t="s">
        <v>242</v>
      </c>
      <c r="C74" s="74"/>
      <c r="D74" s="74" t="s">
        <v>296</v>
      </c>
    </row>
    <row r="75" spans="1:4" x14ac:dyDescent="0.25">
      <c r="A75" s="72"/>
      <c r="B75" s="73" t="s">
        <v>300</v>
      </c>
      <c r="C75" s="74"/>
      <c r="D75" s="73" t="s">
        <v>315</v>
      </c>
    </row>
    <row r="76" spans="1:4" x14ac:dyDescent="0.25">
      <c r="A76" s="72"/>
      <c r="B76" s="73"/>
      <c r="C76" s="74"/>
      <c r="D76" s="73"/>
    </row>
    <row r="77" spans="1:4" x14ac:dyDescent="0.25">
      <c r="A77" s="75">
        <v>44015</v>
      </c>
      <c r="B77" s="74" t="s">
        <v>246</v>
      </c>
      <c r="C77" s="74"/>
      <c r="D77" s="73"/>
    </row>
    <row r="78" spans="1:4" ht="75.75" customHeight="1" x14ac:dyDescent="0.25">
      <c r="A78" s="72"/>
      <c r="B78" s="76" t="s">
        <v>314</v>
      </c>
      <c r="C78" s="74"/>
      <c r="D78" s="73"/>
    </row>
    <row r="79" spans="1:4" x14ac:dyDescent="0.25">
      <c r="A79" s="75">
        <v>44014</v>
      </c>
      <c r="B79" s="74" t="s">
        <v>264</v>
      </c>
      <c r="C79" s="74"/>
      <c r="D79" s="74" t="s">
        <v>307</v>
      </c>
    </row>
    <row r="80" spans="1:4" ht="75" x14ac:dyDescent="0.25">
      <c r="A80" s="72"/>
      <c r="B80" s="76" t="s">
        <v>309</v>
      </c>
      <c r="C80" s="74"/>
      <c r="D80" s="76" t="s">
        <v>308</v>
      </c>
    </row>
    <row r="81" spans="1:4" x14ac:dyDescent="0.25">
      <c r="A81" s="75">
        <v>44012</v>
      </c>
      <c r="B81" s="74" t="s">
        <v>264</v>
      </c>
      <c r="C81" s="74"/>
      <c r="D81" s="74" t="s">
        <v>246</v>
      </c>
    </row>
    <row r="82" spans="1:4" ht="45" x14ac:dyDescent="0.25">
      <c r="A82" s="72"/>
      <c r="B82" s="76" t="s">
        <v>301</v>
      </c>
      <c r="C82" s="74"/>
      <c r="D82" s="73" t="s">
        <v>300</v>
      </c>
    </row>
    <row r="83" spans="1:4" x14ac:dyDescent="0.25">
      <c r="A83" s="72"/>
      <c r="B83" s="73"/>
      <c r="C83" s="74"/>
      <c r="D83" s="73"/>
    </row>
    <row r="84" spans="1:4" x14ac:dyDescent="0.25">
      <c r="A84" s="75">
        <v>44008</v>
      </c>
      <c r="B84" s="74" t="s">
        <v>216</v>
      </c>
      <c r="C84" s="74"/>
      <c r="D84" s="73"/>
    </row>
    <row r="85" spans="1:4" ht="105" x14ac:dyDescent="0.25">
      <c r="A85" s="72"/>
      <c r="B85" s="76" t="s">
        <v>297</v>
      </c>
      <c r="C85" s="74"/>
      <c r="D85" s="73"/>
    </row>
    <row r="86" spans="1:4" x14ac:dyDescent="0.25">
      <c r="A86" s="75">
        <v>44007</v>
      </c>
      <c r="B86" s="74" t="s">
        <v>295</v>
      </c>
      <c r="C86" s="74"/>
      <c r="D86" s="74" t="s">
        <v>296</v>
      </c>
    </row>
    <row r="87" spans="1:4" ht="60" x14ac:dyDescent="0.25">
      <c r="A87" s="72"/>
      <c r="B87" s="76" t="s">
        <v>292</v>
      </c>
      <c r="C87" s="74"/>
      <c r="D87" s="76" t="s">
        <v>266</v>
      </c>
    </row>
    <row r="88" spans="1:4" x14ac:dyDescent="0.25">
      <c r="A88" s="75">
        <v>44006</v>
      </c>
      <c r="B88" s="74" t="s">
        <v>290</v>
      </c>
      <c r="C88" s="74"/>
      <c r="D88" s="74" t="s">
        <v>291</v>
      </c>
    </row>
    <row r="89" spans="1:4" x14ac:dyDescent="0.25">
      <c r="A89" s="72"/>
      <c r="B89" s="73" t="s">
        <v>289</v>
      </c>
      <c r="C89" s="74"/>
      <c r="D89" s="73" t="s">
        <v>289</v>
      </c>
    </row>
    <row r="90" spans="1:4" x14ac:dyDescent="0.25">
      <c r="A90" s="75">
        <v>44005</v>
      </c>
      <c r="B90" s="74" t="s">
        <v>264</v>
      </c>
      <c r="C90" s="74"/>
      <c r="D90" s="74" t="s">
        <v>246</v>
      </c>
    </row>
    <row r="91" spans="1:4" ht="45" x14ac:dyDescent="0.25">
      <c r="A91" s="72"/>
      <c r="B91" s="73" t="s">
        <v>265</v>
      </c>
      <c r="C91" s="74"/>
      <c r="D91" s="76" t="s">
        <v>266</v>
      </c>
    </row>
    <row r="92" spans="1:4" x14ac:dyDescent="0.25">
      <c r="A92" s="72"/>
      <c r="B92" s="73"/>
      <c r="C92" s="74"/>
      <c r="D92" s="73"/>
    </row>
    <row r="93" spans="1:4" x14ac:dyDescent="0.25">
      <c r="A93" s="75">
        <v>44001</v>
      </c>
      <c r="B93" s="74" t="s">
        <v>246</v>
      </c>
      <c r="C93" s="74"/>
      <c r="D93" s="73"/>
    </row>
    <row r="94" spans="1:4" ht="135" x14ac:dyDescent="0.25">
      <c r="A94" s="72"/>
      <c r="B94" s="76" t="s">
        <v>262</v>
      </c>
      <c r="C94" s="74"/>
      <c r="D94" s="73"/>
    </row>
    <row r="95" spans="1:4" x14ac:dyDescent="0.25">
      <c r="A95" s="75">
        <v>44000</v>
      </c>
      <c r="B95" s="74" t="s">
        <v>242</v>
      </c>
      <c r="C95" s="74"/>
      <c r="D95" s="74" t="s">
        <v>259</v>
      </c>
    </row>
    <row r="96" spans="1:4" ht="105" x14ac:dyDescent="0.25">
      <c r="A96" s="72"/>
      <c r="B96" s="76" t="s">
        <v>261</v>
      </c>
      <c r="C96" s="74"/>
      <c r="D96" s="76" t="s">
        <v>260</v>
      </c>
    </row>
    <row r="97" spans="1:4" x14ac:dyDescent="0.25">
      <c r="A97" s="75">
        <v>43998</v>
      </c>
      <c r="B97" s="74" t="s">
        <v>213</v>
      </c>
      <c r="C97" s="74"/>
      <c r="D97" s="74" t="s">
        <v>256</v>
      </c>
    </row>
    <row r="98" spans="1:4" ht="120" x14ac:dyDescent="0.25">
      <c r="A98" s="72"/>
      <c r="B98" s="76" t="s">
        <v>257</v>
      </c>
      <c r="C98" s="74"/>
      <c r="D98" s="1" t="s">
        <v>258</v>
      </c>
    </row>
    <row r="99" spans="1:4" x14ac:dyDescent="0.25">
      <c r="A99" s="72"/>
      <c r="B99" s="73"/>
      <c r="C99" s="74"/>
      <c r="D99" s="73"/>
    </row>
    <row r="100" spans="1:4" x14ac:dyDescent="0.25">
      <c r="A100" s="75">
        <v>43994</v>
      </c>
      <c r="B100" s="74" t="s">
        <v>254</v>
      </c>
      <c r="C100" s="74"/>
      <c r="D100" s="73"/>
    </row>
    <row r="101" spans="1:4" ht="75" x14ac:dyDescent="0.25">
      <c r="A101" s="72"/>
      <c r="B101" s="76" t="s">
        <v>255</v>
      </c>
      <c r="C101" s="74"/>
      <c r="D101" s="73"/>
    </row>
    <row r="102" spans="1:4" x14ac:dyDescent="0.25">
      <c r="A102" s="75">
        <v>43993</v>
      </c>
      <c r="B102" s="74" t="s">
        <v>213</v>
      </c>
      <c r="C102" s="74"/>
      <c r="D102" s="74" t="s">
        <v>251</v>
      </c>
    </row>
    <row r="103" spans="1:4" ht="120" x14ac:dyDescent="0.25">
      <c r="A103" s="72"/>
      <c r="B103" s="69" t="s">
        <v>252</v>
      </c>
      <c r="C103" s="74"/>
      <c r="D103" s="76" t="s">
        <v>253</v>
      </c>
    </row>
    <row r="104" spans="1:4" x14ac:dyDescent="0.25">
      <c r="A104" s="75">
        <v>43991</v>
      </c>
      <c r="B104" s="74" t="s">
        <v>242</v>
      </c>
      <c r="C104" s="74"/>
      <c r="D104" s="74" t="s">
        <v>246</v>
      </c>
    </row>
    <row r="105" spans="1:4" ht="105" x14ac:dyDescent="0.25">
      <c r="A105" s="66"/>
      <c r="B105" s="67" t="s">
        <v>243</v>
      </c>
      <c r="C105" s="68"/>
      <c r="D105" s="69" t="s">
        <v>247</v>
      </c>
    </row>
    <row r="106" spans="1:4" x14ac:dyDescent="0.25">
      <c r="A106" s="66"/>
      <c r="B106" s="67"/>
      <c r="C106" s="68"/>
      <c r="D106" s="69"/>
    </row>
    <row r="107" spans="1:4" x14ac:dyDescent="0.25">
      <c r="A107" s="46">
        <v>43987</v>
      </c>
      <c r="B107" s="41" t="s">
        <v>213</v>
      </c>
    </row>
    <row r="108" spans="1:4" ht="195.75" customHeight="1" x14ac:dyDescent="0.25">
      <c r="B108" s="1" t="s">
        <v>215</v>
      </c>
    </row>
    <row r="109" spans="1:4" x14ac:dyDescent="0.25">
      <c r="A109" s="46">
        <v>43986</v>
      </c>
      <c r="B109" s="41" t="s">
        <v>216</v>
      </c>
    </row>
    <row r="110" spans="1:4" ht="165" customHeight="1" x14ac:dyDescent="0.25">
      <c r="B110" s="1" t="s">
        <v>214</v>
      </c>
    </row>
    <row r="111" spans="1:4" x14ac:dyDescent="0.25">
      <c r="A111" s="46">
        <v>43984</v>
      </c>
      <c r="B111" s="41" t="s">
        <v>223</v>
      </c>
    </row>
    <row r="112" spans="1:4" ht="120" x14ac:dyDescent="0.25">
      <c r="B112" s="1" t="s">
        <v>222</v>
      </c>
    </row>
    <row r="114" spans="1:2" x14ac:dyDescent="0.25">
      <c r="A114" s="46">
        <v>43980</v>
      </c>
      <c r="B114" s="41" t="s">
        <v>217</v>
      </c>
    </row>
    <row r="115" spans="1:2" ht="165" x14ac:dyDescent="0.25">
      <c r="B115" s="1" t="s">
        <v>221</v>
      </c>
    </row>
    <row r="116" spans="1:2" x14ac:dyDescent="0.25">
      <c r="A116" s="46">
        <v>43978</v>
      </c>
      <c r="B116" s="41" t="s">
        <v>220</v>
      </c>
    </row>
    <row r="117" spans="1:2" ht="120" x14ac:dyDescent="0.25">
      <c r="B117" s="1" t="s">
        <v>219</v>
      </c>
    </row>
    <row r="118" spans="1:2" x14ac:dyDescent="0.25">
      <c r="A118" s="46">
        <v>43977</v>
      </c>
      <c r="B118" s="41" t="s">
        <v>217</v>
      </c>
    </row>
    <row r="119" spans="1:2" ht="90" x14ac:dyDescent="0.25">
      <c r="B119" s="1" t="s">
        <v>218</v>
      </c>
    </row>
    <row r="121" spans="1:2" x14ac:dyDescent="0.25">
      <c r="A121" s="46">
        <v>43975</v>
      </c>
      <c r="B121" s="41" t="s">
        <v>198</v>
      </c>
    </row>
    <row r="122" spans="1:2" ht="60" x14ac:dyDescent="0.25">
      <c r="B122"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C6" sqref="C6"/>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494</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463</v>
      </c>
    </row>
    <row r="11" spans="1:5" ht="45" x14ac:dyDescent="0.25">
      <c r="A11" s="52" t="s">
        <v>124</v>
      </c>
      <c r="B11" s="52" t="s">
        <v>158</v>
      </c>
      <c r="C11" s="1" t="s">
        <v>438</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167</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341</v>
      </c>
      <c r="B1" s="161"/>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1" t="s">
        <v>342</v>
      </c>
      <c r="B7" s="161"/>
    </row>
    <row r="8" spans="1:2" ht="15.75" x14ac:dyDescent="0.25">
      <c r="A8" s="159" t="s">
        <v>333</v>
      </c>
      <c r="B8" s="159"/>
    </row>
    <row r="9" spans="1:2" x14ac:dyDescent="0.25">
      <c r="A9" t="s">
        <v>334</v>
      </c>
    </row>
    <row r="11" spans="1:2" ht="15.75" x14ac:dyDescent="0.25">
      <c r="A11" s="160" t="s">
        <v>330</v>
      </c>
      <c r="B11" s="160"/>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8" t="s">
        <v>343</v>
      </c>
      <c r="B23" s="158"/>
    </row>
    <row r="25" spans="1:2" ht="15.75" x14ac:dyDescent="0.25">
      <c r="A25" s="159" t="s">
        <v>335</v>
      </c>
      <c r="B25" s="159"/>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2" t="s">
        <v>298</v>
      </c>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row>
    <row r="6" spans="1:70" x14ac:dyDescent="0.25">
      <c r="C6" s="2" t="s">
        <v>3</v>
      </c>
    </row>
    <row r="7" spans="1:70" ht="45" customHeight="1" x14ac:dyDescent="0.25">
      <c r="C7" s="162" t="s">
        <v>282</v>
      </c>
      <c r="D7" s="163"/>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row>
    <row r="8" spans="1:70" x14ac:dyDescent="0.25">
      <c r="C8" s="2" t="s">
        <v>4</v>
      </c>
    </row>
    <row r="9" spans="1:70" ht="75" customHeight="1" x14ac:dyDescent="0.25">
      <c r="C9" s="162" t="s">
        <v>275</v>
      </c>
      <c r="D9" s="163"/>
      <c r="E9" s="163"/>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row>
    <row r="10" spans="1:70" x14ac:dyDescent="0.25">
      <c r="C10" s="2" t="s">
        <v>5</v>
      </c>
    </row>
    <row r="11" spans="1:70" ht="75" customHeight="1" x14ac:dyDescent="0.25">
      <c r="C11" s="162" t="s">
        <v>299</v>
      </c>
      <c r="D11" s="163"/>
      <c r="E11" s="163"/>
      <c r="F11" s="163"/>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row>
    <row r="12" spans="1:70" x14ac:dyDescent="0.25">
      <c r="C12" s="2" t="s">
        <v>6</v>
      </c>
    </row>
    <row r="13" spans="1:70" ht="90.75" customHeight="1" x14ac:dyDescent="0.25">
      <c r="C13" s="162" t="s">
        <v>286</v>
      </c>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row>
    <row r="14" spans="1:70" x14ac:dyDescent="0.25">
      <c r="D14" s="2" t="s">
        <v>285</v>
      </c>
    </row>
    <row r="15" spans="1:70" ht="62.25" customHeight="1" x14ac:dyDescent="0.25">
      <c r="D15" s="162" t="s">
        <v>288</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196</v>
      </c>
    </row>
    <row r="17" spans="1:70" ht="47.25" customHeight="1" x14ac:dyDescent="0.25">
      <c r="D17" s="162" t="s">
        <v>268</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267</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276</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284</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277</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192</v>
      </c>
      <c r="C22" s="2"/>
    </row>
    <row r="23" spans="1:70" ht="69.75" customHeight="1" x14ac:dyDescent="0.25">
      <c r="B23" s="162" t="s">
        <v>269</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193</v>
      </c>
    </row>
    <row r="25" spans="1:70" ht="204.75" customHeight="1" x14ac:dyDescent="0.25">
      <c r="C25" s="165" t="s">
        <v>211</v>
      </c>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row>
    <row r="26" spans="1:70" x14ac:dyDescent="0.25">
      <c r="C26" s="2" t="s">
        <v>194</v>
      </c>
    </row>
    <row r="27" spans="1:70" ht="244.5" customHeight="1" x14ac:dyDescent="0.25">
      <c r="A27" s="1"/>
      <c r="C27" s="165" t="s">
        <v>195</v>
      </c>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5"/>
      <c r="BG27" s="165"/>
      <c r="BH27" s="165"/>
      <c r="BI27" s="165"/>
      <c r="BJ27" s="165"/>
      <c r="BK27" s="165"/>
      <c r="BL27" s="165"/>
      <c r="BM27" s="165"/>
      <c r="BN27" s="165"/>
      <c r="BO27" s="165"/>
      <c r="BP27" s="165"/>
      <c r="BQ27" s="165"/>
      <c r="BR27" s="165"/>
    </row>
    <row r="28" spans="1:70" x14ac:dyDescent="0.25">
      <c r="B28" s="2" t="s">
        <v>270</v>
      </c>
      <c r="C28" s="43"/>
    </row>
    <row r="29" spans="1:70" ht="75" customHeight="1" x14ac:dyDescent="0.25">
      <c r="A29" s="1"/>
      <c r="B29" s="162" t="s">
        <v>281</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274</v>
      </c>
    </row>
    <row r="31" spans="1:70" ht="46.5" customHeight="1" x14ac:dyDescent="0.25">
      <c r="A31" s="1"/>
      <c r="C31" s="165" t="s">
        <v>280</v>
      </c>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row>
    <row r="32" spans="1:70" ht="15.75" customHeight="1" x14ac:dyDescent="0.25">
      <c r="C32" s="164" t="s">
        <v>271</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273</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272</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5" t="s">
        <v>279</v>
      </c>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row>
    <row r="36" spans="1:70" x14ac:dyDescent="0.25">
      <c r="B36" s="2" t="s">
        <v>2</v>
      </c>
    </row>
    <row r="37" spans="1:70" x14ac:dyDescent="0.25">
      <c r="B37" s="163" t="s">
        <v>12</v>
      </c>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2020-09-09T10:04:54Z</dcterms:modified>
</cp:coreProperties>
</file>