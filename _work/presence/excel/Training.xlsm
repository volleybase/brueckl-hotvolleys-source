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8F7062C2-1109-4A30-9796-90E0C472EA4F}"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67" i="3" l="1"/>
  <c r="GC38" i="3" l="1"/>
  <c r="P66" i="3" l="1"/>
  <c r="FT38" i="3"/>
  <c r="FK38" i="3" l="1"/>
  <c r="P61" i="3" l="1"/>
  <c r="FI38" i="3"/>
  <c r="FH38" i="3"/>
  <c r="EZ38" i="3"/>
  <c r="EY38" i="3"/>
  <c r="EX38" i="3"/>
  <c r="F61" i="3"/>
  <c r="G61" i="3"/>
  <c r="H61" i="3"/>
  <c r="I61" i="3"/>
  <c r="J61" i="3"/>
  <c r="K61" i="3"/>
  <c r="L61" i="3"/>
  <c r="P37" i="3" l="1"/>
  <c r="Q12" i="3" s="1"/>
  <c r="L96" i="3"/>
  <c r="Q28" i="3" l="1"/>
  <c r="Q30" i="3"/>
  <c r="Q13" i="3"/>
  <c r="Q8" i="3"/>
  <c r="Q9" i="3"/>
  <c r="Q16" i="3"/>
  <c r="Q20" i="3"/>
  <c r="Q21" i="3"/>
  <c r="Q24" i="3"/>
  <c r="Q14" i="3"/>
  <c r="Q22" i="3"/>
  <c r="Q7" i="3"/>
  <c r="Q15" i="3"/>
  <c r="Q23" i="3"/>
  <c r="Q17" i="3"/>
  <c r="Q25" i="3"/>
  <c r="Q10" i="3"/>
  <c r="Q18" i="3"/>
  <c r="Q26" i="3"/>
  <c r="Q11" i="3"/>
  <c r="Q19" i="3"/>
  <c r="M38" i="3"/>
  <c r="Q29" i="3" l="1"/>
  <c r="P62" i="3" l="1"/>
  <c r="P90" i="3"/>
  <c r="FB38" i="3"/>
  <c r="EQ38" i="3" l="1"/>
  <c r="L11" i="3" l="1"/>
  <c r="K11" i="3"/>
  <c r="J11" i="3"/>
  <c r="I11" i="3"/>
  <c r="H11" i="3"/>
  <c r="G11" i="3"/>
  <c r="F11" i="3"/>
  <c r="P11" i="3"/>
  <c r="P82" i="3"/>
  <c r="EI38" i="3" l="1"/>
  <c r="EJ38" i="3"/>
  <c r="ES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5" i="3"/>
  <c r="Q64" i="3"/>
  <c r="Q63" i="3"/>
  <c r="Q27" i="3"/>
  <c r="Q36" i="3"/>
  <c r="Q6" i="3"/>
  <c r="CX38" i="3"/>
  <c r="CH38" i="3"/>
  <c r="BY38" i="3"/>
  <c r="DI38" i="3"/>
  <c r="CZ38" i="3"/>
  <c r="CQ38" i="3"/>
  <c r="L98" i="3"/>
  <c r="L97" i="3"/>
  <c r="P38" i="3"/>
  <c r="R38" i="3"/>
  <c r="Q38" i="3" l="1"/>
  <c r="CO82" i="3"/>
  <c r="CO70" i="3"/>
  <c r="CO38" i="3"/>
  <c r="CF38" i="3"/>
  <c r="P70" i="3"/>
  <c r="CO83" i="3" l="1"/>
  <c r="BW82" i="3"/>
  <c r="BW83" i="3" s="1"/>
  <c r="BP82" i="3"/>
  <c r="BP70" i="3"/>
  <c r="BW38" i="3"/>
  <c r="BP38" i="3"/>
  <c r="BP83" i="3" l="1"/>
  <c r="P32" i="3"/>
  <c r="MV82" i="3" l="1"/>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C82" i="3"/>
  <c r="HB82" i="3"/>
  <c r="HA82" i="3"/>
  <c r="GZ82" i="3"/>
  <c r="GY82" i="3"/>
  <c r="GX82" i="3"/>
  <c r="GW82" i="3"/>
  <c r="GV82" i="3"/>
  <c r="GU82" i="3"/>
  <c r="GT82" i="3"/>
  <c r="GS82" i="3"/>
  <c r="GR82" i="3"/>
  <c r="GQ82" i="3"/>
  <c r="GP82" i="3"/>
  <c r="GO82" i="3"/>
  <c r="GN82" i="3"/>
  <c r="GM82" i="3"/>
  <c r="GL82" i="3"/>
  <c r="GK82" i="3"/>
  <c r="GJ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0" i="3" l="1"/>
  <c r="L60" i="3"/>
  <c r="K60" i="3"/>
  <c r="J60" i="3"/>
  <c r="I60" i="3"/>
  <c r="H60" i="3"/>
  <c r="G60" i="3"/>
  <c r="F60"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5" i="3"/>
  <c r="K65" i="3"/>
  <c r="J65" i="3"/>
  <c r="I65" i="3"/>
  <c r="H65" i="3"/>
  <c r="G65" i="3"/>
  <c r="F65" i="3"/>
  <c r="L64" i="3"/>
  <c r="K64" i="3"/>
  <c r="J64" i="3"/>
  <c r="I64" i="3"/>
  <c r="H64" i="3"/>
  <c r="G64" i="3"/>
  <c r="F64" i="3"/>
  <c r="L63" i="3"/>
  <c r="K63" i="3"/>
  <c r="J63" i="3"/>
  <c r="I63" i="3"/>
  <c r="H63" i="3"/>
  <c r="G63" i="3"/>
  <c r="F63" i="3"/>
  <c r="L62" i="3"/>
  <c r="K62" i="3"/>
  <c r="J62" i="3"/>
  <c r="I62" i="3"/>
  <c r="H62" i="3"/>
  <c r="G62" i="3"/>
  <c r="F62"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C70" i="3"/>
  <c r="HB70" i="3"/>
  <c r="HA70" i="3"/>
  <c r="GZ70" i="3"/>
  <c r="GY70" i="3"/>
  <c r="GX70" i="3"/>
  <c r="GW70" i="3"/>
  <c r="GV70" i="3"/>
  <c r="GU70" i="3"/>
  <c r="GT70" i="3"/>
  <c r="GS70" i="3"/>
  <c r="GR70" i="3"/>
  <c r="GQ70" i="3"/>
  <c r="GP70" i="3"/>
  <c r="GO70" i="3"/>
  <c r="GN70" i="3"/>
  <c r="GM70" i="3"/>
  <c r="GL70" i="3"/>
  <c r="GK70" i="3"/>
  <c r="GJ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B83" i="3" s="1"/>
  <c r="AA70" i="3"/>
  <c r="Z70" i="3"/>
  <c r="Y70" i="3"/>
  <c r="X70" i="3"/>
  <c r="W70" i="3"/>
  <c r="V70" i="3"/>
  <c r="U70" i="3"/>
  <c r="T70" i="3"/>
  <c r="T83" i="3" s="1"/>
  <c r="AN70" i="3"/>
  <c r="AM70" i="3"/>
  <c r="AL70" i="3"/>
  <c r="AK70" i="3"/>
  <c r="AJ70" i="3"/>
  <c r="AH70" i="3"/>
  <c r="AI70" i="3"/>
  <c r="R65" i="3"/>
  <c r="R64" i="3"/>
  <c r="P69" i="3"/>
  <c r="Q67" i="3" s="1"/>
  <c r="P49" i="3"/>
  <c r="L49" i="3"/>
  <c r="K49" i="3"/>
  <c r="J49" i="3"/>
  <c r="I49" i="3"/>
  <c r="H49" i="3"/>
  <c r="G49" i="3"/>
  <c r="F49" i="3"/>
  <c r="H68" i="3"/>
  <c r="G68" i="3"/>
  <c r="H59" i="3"/>
  <c r="G59" i="3"/>
  <c r="H58" i="3"/>
  <c r="G58" i="3"/>
  <c r="H57" i="3"/>
  <c r="G57" i="3"/>
  <c r="H55" i="3"/>
  <c r="G55" i="3"/>
  <c r="H54" i="3"/>
  <c r="G54" i="3"/>
  <c r="H53" i="3"/>
  <c r="G53" i="3"/>
  <c r="H51" i="3"/>
  <c r="G51" i="3"/>
  <c r="H48" i="3"/>
  <c r="G48" i="3"/>
  <c r="H46" i="3"/>
  <c r="G46" i="3"/>
  <c r="L59" i="3"/>
  <c r="K59" i="3"/>
  <c r="J59" i="3"/>
  <c r="I59" i="3"/>
  <c r="F59" i="3"/>
  <c r="L58" i="3"/>
  <c r="K58" i="3"/>
  <c r="J58" i="3"/>
  <c r="I58" i="3"/>
  <c r="F58" i="3"/>
  <c r="L57" i="3"/>
  <c r="K57" i="3"/>
  <c r="J57" i="3"/>
  <c r="I57" i="3"/>
  <c r="F57" i="3"/>
  <c r="L51" i="3"/>
  <c r="K51" i="3"/>
  <c r="J51" i="3"/>
  <c r="I51" i="3"/>
  <c r="F51" i="3"/>
  <c r="S40" i="3"/>
  <c r="S41" i="3" s="1"/>
  <c r="S72" i="3" s="1"/>
  <c r="Q61" i="3" l="1"/>
  <c r="Q66" i="3"/>
  <c r="Q47" i="3"/>
  <c r="Q62" i="3"/>
  <c r="AN83" i="3"/>
  <c r="AA83" i="3"/>
  <c r="AG83" i="3"/>
  <c r="AM83" i="3"/>
  <c r="Z83" i="3"/>
  <c r="Q79" i="3"/>
  <c r="Q78" i="3"/>
  <c r="Q76" i="3"/>
  <c r="Q82" i="3"/>
  <c r="Q58" i="3"/>
  <c r="Q50" i="3"/>
  <c r="Q48" i="3"/>
  <c r="Q59" i="3"/>
  <c r="Q57" i="3"/>
  <c r="Q49" i="3"/>
  <c r="Q60"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3" i="3"/>
  <c r="S2" i="3"/>
  <c r="GW38" i="3"/>
  <c r="GW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J38" i="3"/>
  <c r="GK38" i="3"/>
  <c r="GL38" i="3"/>
  <c r="GM38" i="3"/>
  <c r="GN38" i="3"/>
  <c r="GO38" i="3"/>
  <c r="GP38" i="3"/>
  <c r="GQ38" i="3"/>
  <c r="GR38" i="3"/>
  <c r="GS38" i="3"/>
  <c r="GT38" i="3"/>
  <c r="GU38" i="3"/>
  <c r="GV38" i="3"/>
  <c r="GX38" i="3"/>
  <c r="GY38" i="3"/>
  <c r="GZ38" i="3"/>
  <c r="HA38" i="3"/>
  <c r="HB38" i="3"/>
  <c r="HC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8" i="3"/>
  <c r="P59" i="3"/>
  <c r="P63" i="3"/>
  <c r="P64" i="3"/>
  <c r="P65"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J83" i="3"/>
  <c r="GK83" i="3"/>
  <c r="GL83" i="3"/>
  <c r="GM83" i="3"/>
  <c r="GN83" i="3"/>
  <c r="GO83" i="3"/>
  <c r="GP83" i="3"/>
  <c r="GQ83" i="3"/>
  <c r="GR83" i="3"/>
  <c r="GS83" i="3"/>
  <c r="GT83" i="3"/>
  <c r="GU83" i="3"/>
  <c r="GV83" i="3"/>
  <c r="GX83" i="3"/>
  <c r="GY83" i="3"/>
  <c r="GZ83" i="3"/>
  <c r="HA83" i="3"/>
  <c r="HB83" i="3"/>
  <c r="HC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B71" i="3"/>
  <c r="EC40" i="3"/>
  <c r="EC41" i="3" s="1"/>
  <c r="EC72" i="3" s="1"/>
  <c r="EC71" i="3"/>
  <c r="ED1" i="3"/>
  <c r="EC2" i="3"/>
  <c r="ED40" i="3" l="1"/>
  <c r="ED41" i="3" s="1"/>
  <c r="ED72" i="3" s="1"/>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F1" i="3"/>
  <c r="FE2" i="3"/>
  <c r="FE71" i="3" l="1"/>
  <c r="FF40" i="3"/>
  <c r="FF41" i="3" s="1"/>
  <c r="FF72" i="3" s="1"/>
  <c r="FF71" i="3"/>
  <c r="FG1" i="3"/>
  <c r="FF2" i="3"/>
  <c r="FG40" i="3" l="1"/>
  <c r="FG41" i="3" s="1"/>
  <c r="FG72" i="3" s="1"/>
  <c r="FG71" i="3"/>
  <c r="FH1" i="3"/>
  <c r="FI1" i="3" s="1"/>
  <c r="FG2" i="3"/>
  <c r="FI2" i="3" l="1"/>
  <c r="FI40" i="3"/>
  <c r="FI41" i="3" s="1"/>
  <c r="FI72" i="3" s="1"/>
  <c r="FL1" i="3"/>
  <c r="FI71" i="3"/>
  <c r="FH40" i="3"/>
  <c r="FH41" i="3" s="1"/>
  <c r="FH72" i="3" s="1"/>
  <c r="FH71" i="3"/>
  <c r="FH2" i="3"/>
  <c r="FL40" i="3" l="1"/>
  <c r="FL41" i="3" s="1"/>
  <c r="FL72" i="3" s="1"/>
  <c r="FL71" i="3"/>
  <c r="FM1" i="3"/>
  <c r="FL2" i="3"/>
  <c r="FM40" i="3" l="1"/>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H2" i="3"/>
  <c r="GI40" i="3" l="1"/>
  <c r="GI41" i="3" s="1"/>
  <c r="GI72" i="3" s="1"/>
  <c r="GI71" i="3"/>
  <c r="GJ1" i="3"/>
  <c r="GI2" i="3"/>
  <c r="GJ40" i="3" l="1"/>
  <c r="GJ41" i="3" s="1"/>
  <c r="GJ72" i="3" s="1"/>
  <c r="GJ71" i="3"/>
  <c r="GK1" i="3"/>
  <c r="GJ2" i="3"/>
  <c r="GK40" i="3" l="1"/>
  <c r="GK41" i="3" s="1"/>
  <c r="GK72" i="3" s="1"/>
  <c r="GK71" i="3"/>
  <c r="GL1" i="3"/>
  <c r="GK2" i="3"/>
  <c r="GL40" i="3" l="1"/>
  <c r="GL41" i="3" s="1"/>
  <c r="GL72" i="3" s="1"/>
  <c r="GL71" i="3"/>
  <c r="GM1" i="3"/>
  <c r="GL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Q2" i="3"/>
  <c r="GR40" i="3" l="1"/>
  <c r="GR41" i="3" s="1"/>
  <c r="GR72" i="3" s="1"/>
  <c r="GR71" i="3"/>
  <c r="GS1" i="3"/>
  <c r="GR2" i="3"/>
  <c r="GS40" i="3" l="1"/>
  <c r="GS41" i="3" s="1"/>
  <c r="GS72" i="3" s="1"/>
  <c r="GS71" i="3"/>
  <c r="GT1" i="3"/>
  <c r="GS2" i="3"/>
  <c r="GT40" i="3" l="1"/>
  <c r="GT41" i="3" s="1"/>
  <c r="GT72" i="3" s="1"/>
  <c r="GT71" i="3"/>
  <c r="GU1" i="3"/>
  <c r="GT2" i="3"/>
  <c r="GU40" i="3" l="1"/>
  <c r="GU41" i="3" s="1"/>
  <c r="GU72" i="3" s="1"/>
  <c r="GU71" i="3"/>
  <c r="GV1" i="3"/>
  <c r="GU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GZ2" i="3"/>
  <c r="HA40" i="3" l="1"/>
  <c r="HA41" i="3" s="1"/>
  <c r="HA72" i="3" s="1"/>
  <c r="HA71" i="3"/>
  <c r="HB1" i="3"/>
  <c r="HA2" i="3"/>
  <c r="HB40" i="3" l="1"/>
  <c r="HB41" i="3" s="1"/>
  <c r="HB72" i="3" s="1"/>
  <c r="HB71" i="3"/>
  <c r="HC1" i="3"/>
  <c r="HB2" i="3"/>
  <c r="HC40" i="3" l="1"/>
  <c r="HC41" i="3" s="1"/>
  <c r="HC72" i="3" s="1"/>
  <c r="HC71" i="3"/>
  <c r="HD1" i="3"/>
  <c r="HC2" i="3"/>
  <c r="HD40" i="3" l="1"/>
  <c r="HD41" i="3" s="1"/>
  <c r="HD72" i="3" s="1"/>
  <c r="HD71" i="3"/>
  <c r="HE1" i="3"/>
  <c r="HD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R33" i="3"/>
  <c r="R30" i="3"/>
  <c r="R27" i="3"/>
  <c r="R15" i="3"/>
  <c r="R22" i="3"/>
  <c r="R14" i="3"/>
  <c r="R32" i="3"/>
  <c r="R28" i="3"/>
  <c r="R20" i="3"/>
  <c r="R16" i="3"/>
  <c r="R24" i="3"/>
  <c r="R23" i="3"/>
  <c r="R17" i="3"/>
  <c r="R12" i="3"/>
  <c r="MV40" i="3" l="1"/>
  <c r="MV41" i="3" s="1"/>
  <c r="MV72" i="3" s="1"/>
  <c r="MV71" i="3"/>
  <c r="MV2" i="3"/>
  <c r="R29" i="3"/>
  <c r="R21" i="3"/>
  <c r="R31" i="3"/>
  <c r="R25" i="3"/>
  <c r="R19" i="3"/>
  <c r="R18" i="3"/>
  <c r="R8" i="3"/>
  <c r="R26" i="3"/>
  <c r="R13" i="3"/>
  <c r="R11" i="3"/>
  <c r="R10" i="3"/>
  <c r="R9" i="3"/>
  <c r="R7" i="3"/>
</calcChain>
</file>

<file path=xl/sharedStrings.xml><?xml version="1.0" encoding="utf-8"?>
<sst xmlns="http://schemas.openxmlformats.org/spreadsheetml/2006/main" count="1632" uniqueCount="575">
  <si>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</si>
  <si>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</si>
  <si>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</si>
  <si>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</si>
  <si>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</si>
  <si>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</si>
  <si>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</si>
  <si>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</si>
  <si>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</si>
  <si>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</si>
  <si>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</si>
  <si>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</si>
  <si>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</si>
  <si>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</si>
  <si>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</si>
  <si>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</si>
  <si>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</si>
  <si>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</si>
  <si>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</si>
  <si>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</si>
  <si>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</si>
  <si>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</si>
  <si>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</si>
  <si>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</si>
  <si>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</si>
  <si>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</si>
  <si>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</si>
  <si>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</si>
  <si>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</si>
  <si>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</si>
  <si>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</si>
  <si>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</si>
  <si>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</si>
  <si>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</si>
  <si>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</si>
  <si>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</si>
  <si>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</si>
  <si>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</si>
  <si>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</si>
  <si>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</si>
  <si>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</si>
  <si>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</si>
  <si>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</si>
  <si>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</si>
  <si>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</si>
  <si>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</si>
  <si>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</si>
  <si>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</si>
  <si>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</si>
  <si>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</si>
  <si>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</si>
  <si>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</si>
  <si>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</si>
  <si>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</si>
  <si>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</si>
  <si>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</si>
  <si>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</si>
  <si>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</si>
  <si>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</si>
  <si>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</si>
  <si>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</si>
  <si>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</si>
  <si>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</si>
  <si>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</si>
  <si>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</si>
  <si>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</si>
  <si>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</si>
  <si>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</si>
  <si>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</si>
  <si>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</si>
  <si>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</si>
  <si>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</si>
  <si>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</si>
  <si>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</si>
  <si>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</si>
  <si>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</si>
  <si>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</si>
  <si>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</si>
  <si>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</si>
  <si>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</si>
  <si>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</si>
  <si>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</si>
  <si>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</si>
  <si>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</si>
  <si>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</si>
  <si>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</si>
  <si>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</si>
  <si>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</si>
  <si>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</si>
  <si>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</si>
  <si>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</si>
  <si>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</si>
  <si>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</si>
  <si>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</si>
  <si>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</si>
  <si>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</si>
  <si>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</si>
  <si>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</si>
  <si>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</si>
  <si>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</si>
  <si>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</si>
  <si>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</si>
  <si>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</si>
  <si>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</si>
  <si>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</si>
  <si>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</si>
  <si>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</si>
  <si>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</si>
  <si>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</si>
  <si>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</si>
  <si>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</si>
  <si>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</si>
  <si>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</si>
  <si>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</si>
  <si>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</si>
  <si>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</si>
  <si>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</si>
  <si>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</si>
  <si>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</si>
  <si>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</si>
  <si>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</si>
  <si>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</si>
  <si>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</si>
  <si>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</si>
  <si>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</si>
  <si>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</si>
  <si>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</si>
  <si>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</si>
  <si>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</si>
  <si>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</si>
  <si>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</si>
  <si>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</si>
  <si>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</si>
  <si>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</si>
  <si>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</si>
  <si>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</si>
  <si>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</si>
  <si>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</si>
  <si>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</si>
  <si>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</si>
  <si>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</si>
  <si>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</si>
  <si>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</si>
  <si>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</si>
  <si>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</si>
  <si>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</si>
  <si>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</si>
  <si>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</si>
  <si>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</si>
  <si>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</si>
  <si>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</si>
  <si>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</si>
  <si>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</si>
  <si>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</si>
  <si>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</si>
  <si>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</si>
  <si>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</si>
  <si>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</si>
  <si>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</si>
  <si>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</si>
  <si>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</si>
  <si>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</si>
  <si>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</si>
  <si>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</si>
  <si>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</si>
  <si>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</si>
  <si>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</si>
  <si>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</si>
  <si>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</si>
  <si>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</si>
  <si>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</si>
  <si>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</si>
  <si>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</si>
  <si>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</si>
  <si>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</si>
  <si>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</si>
  <si>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</si>
  <si>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</si>
  <si>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</si>
  <si>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</si>
  <si>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</si>
  <si>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</si>
  <si>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</si>
  <si>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</si>
  <si>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</si>
  <si>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</si>
  <si>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</si>
  <si>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</si>
  <si>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</si>
  <si>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</si>
  <si>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</si>
  <si>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</si>
  <si>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</si>
  <si>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</si>
  <si>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</si>
  <si>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</si>
  <si>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</si>
  <si>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</si>
  <si>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</si>
  <si>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</si>
  <si>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</si>
  <si>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</si>
  <si>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</si>
  <si>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</si>
  <si>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</si>
  <si>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</si>
  <si>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</si>
  <si>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</si>
  <si>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</si>
  <si>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</si>
  <si>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</si>
  <si>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</si>
  <si>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</si>
  <si>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</si>
  <si>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</si>
  <si>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</si>
  <si>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</si>
  <si>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</si>
  <si>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</si>
  <si>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</si>
  <si>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</si>
  <si>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</si>
  <si>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</si>
  <si>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</si>
  <si>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</si>
  <si>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</si>
  <si>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</si>
  <si>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</si>
  <si>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</si>
  <si>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</si>
  <si>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</si>
  <si>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</si>
  <si>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</si>
  <si>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</si>
  <si>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</si>
  <si>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</si>
  <si>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</si>
  <si>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</si>
  <si>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</si>
  <si>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</si>
  <si>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</si>
  <si>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</si>
  <si>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</si>
  <si>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</si>
  <si>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</si>
  <si>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</si>
  <si>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</si>
  <si>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</si>
  <si>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</si>
  <si>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</si>
  <si>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</si>
  <si>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</si>
  <si>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</si>
  <si>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</si>
  <si>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</si>
  <si>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</si>
  <si>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</si>
  <si>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</si>
  <si>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</si>
  <si>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</si>
  <si>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</si>
  <si>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</si>
  <si>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</si>
  <si>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</si>
  <si>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</si>
  <si>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</si>
  <si>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</si>
  <si>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</si>
  <si>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</si>
  <si>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</si>
  <si>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</si>
  <si>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</si>
  <si>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</si>
  <si>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</si>
  <si>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</si>
  <si>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</si>
  <si>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</si>
  <si>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</si>
  <si>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</si>
  <si>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</si>
  <si>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</si>
  <si>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</si>
  <si>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</si>
  <si>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</si>
  <si>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</si>
  <si>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</si>
  <si>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</si>
  <si>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</si>
  <si>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</si>
  <si>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</si>
  <si>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</si>
  <si>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</si>
  <si>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</si>
  <si>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</si>
  <si>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</si>
  <si>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</si>
  <si>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</si>
  <si>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</si>
  <si>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</si>
  <si>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</si>
  <si>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</si>
  <si>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</si>
  <si>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</si>
  <si>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</si>
  <si>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</si>
  <si>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</si>
  <si>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</si>
  <si>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</si>
  <si>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</si>
  <si>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</si>
  <si>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</si>
  <si>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</si>
  <si>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</si>
  <si>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</si>
  <si>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</si>
  <si>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</si>
  <si>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</si>
  <si>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</si>
  <si>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</si>
  <si>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</si>
  <si>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</si>
  <si>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</si>
  <si>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</si>
  <si>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</si>
  <si>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</si>
  <si>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</si>
  <si>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</si>
  <si>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</si>
  <si>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</si>
  <si>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</si>
  <si>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</si>
  <si>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</si>
  <si>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</si>
  <si>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</si>
  <si>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</si>
  <si>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</si>
  <si>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</si>
  <si>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</si>
  <si>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</si>
  <si>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</si>
  <si>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</si>
  <si>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</si>
  <si>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</si>
  <si>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</si>
  <si>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</si>
  <si>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</si>
  <si>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</si>
  <si>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</si>
  <si>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</si>
  <si>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</si>
  <si>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</si>
  <si>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</si>
  <si>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</si>
  <si>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</si>
  <si>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</si>
  <si>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</si>
  <si>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</si>
  <si>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</si>
  <si>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</si>
  <si>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</si>
  <si>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</si>
  <si>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</si>
  <si>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</si>
  <si>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</si>
  <si>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</si>
  <si>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</si>
  <si>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</si>
  <si>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</si>
  <si>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</si>
  <si>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</si>
  <si>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</si>
  <si>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</si>
  <si>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</si>
  <si>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</si>
  <si>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</si>
  <si>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</si>
  <si>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</si>
  <si>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</si>
  <si>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</si>
  <si>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</si>
  <si>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</si>
  <si>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</si>
  <si>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</si>
  <si>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</si>
  <si>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</si>
  <si>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</si>
  <si>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</si>
  <si>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</si>
  <si>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</si>
  <si>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</si>
  <si>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</si>
  <si>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</si>
  <si>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</si>
  <si>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</si>
  <si>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</si>
  <si>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</si>
  <si>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</si>
  <si>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</si>
  <si>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</si>
  <si>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</si>
  <si>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</si>
  <si>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</si>
  <si>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</si>
  <si>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</si>
  <si>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</si>
  <si>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</si>
  <si>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</si>
  <si>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</si>
  <si>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</si>
  <si>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</si>
  <si>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</si>
  <si>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</si>
  <si>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</si>
  <si>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</si>
  <si>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</si>
  <si>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</si>
  <si>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</si>
  <si>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</si>
  <si>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</si>
  <si>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</si>
  <si>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</si>
  <si>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</si>
  <si>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</si>
  <si>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</si>
  <si>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</si>
  <si>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</si>
  <si>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</si>
  <si>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</si>
  <si>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</si>
  <si>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</si>
  <si>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</si>
  <si>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</si>
  <si>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</si>
  <si>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</si>
  <si>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</si>
  <si>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</si>
  <si>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</si>
  <si>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</si>
  <si>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</si>
  <si>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</si>
  <si>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</si>
  <si>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</si>
  <si>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</si>
  <si>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</si>
  <si>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</si>
  <si>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</si>
  <si>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</si>
  <si>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</si>
  <si>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</si>
  <si>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</si>
  <si>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</si>
  <si>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</si>
  <si>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</si>
  <si>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</si>
  <si>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</si>
  <si>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</si>
  <si>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</si>
  <si>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</si>
  <si>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</si>
  <si>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</si>
  <si>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</si>
  <si>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</si>
  <si>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</si>
  <si>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</si>
  <si>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</si>
  <si>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</si>
  <si>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</si>
  <si>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</si>
  <si>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</si>
  <si>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</si>
  <si>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</si>
  <si>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</si>
  <si>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</si>
  <si>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</si>
  <si>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</si>
  <si>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</si>
  <si>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</si>
  <si>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</si>
  <si>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</si>
  <si>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</si>
  <si>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</si>
  <si>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</si>
  <si>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</si>
  <si>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</si>
  <si>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</si>
  <si>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</si>
  <si>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</si>
  <si>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</si>
  <si>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</si>
  <si>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</si>
  <si>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</si>
  <si>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</si>
  <si>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</si>
  <si>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</si>
  <si>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</si>
  <si>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</si>
  <si>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</si>
  <si>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</si>
  <si>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</si>
  <si>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</si>
  <si>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</si>
  <si>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</si>
  <si>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</si>
  <si>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</si>
  <si>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</si>
  <si>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</si>
  <si>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</si>
  <si>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</si>
  <si>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</si>
  <si>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</si>
  <si>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</si>
  <si>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</si>
  <si>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</si>
  <si>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</si>
  <si>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</si>
  <si>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</si>
  <si>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</si>
  <si>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</si>
  <si>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</si>
  <si>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</si>
  <si>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</si>
  <si>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</si>
  <si>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</si>
  <si>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</si>
  <si>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</si>
  <si>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</si>
  <si>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</si>
  <si>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</si>
  <si>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</si>
  <si>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</si>
  <si>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</si>
  <si>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</si>
  <si>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</si>
  <si>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</si>
  <si>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</si>
  <si>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</si>
  <si>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</si>
  <si>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</si>
  <si>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</si>
  <si>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</si>
  <si>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</si>
  <si>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</si>
  <si>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</si>
  <si>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</si>
  <si>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</si>
  <si>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</si>
  <si>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</si>
  <si>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</si>
  <si>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</si>
  <si>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MS (6) - Kleinfeld</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</si>
  <si>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</si>
  <si>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</si>
  <si>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</si>
  <si>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</si>
  <si>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</si>
  <si>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</si>
  <si>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</si>
  <si>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</si>
  <si>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</si>
  <si>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</si>
  <si>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</si>
  <si>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</si>
  <si>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</si>
  <si>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</si>
  <si>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</si>
  <si>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</si>
  <si>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</si>
  <si>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</si>
  <si>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</si>
  <si>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MS (8 + 6)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</si>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</sst>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V123"/>
  <sheetViews>
    <sheetView zoomScaleNormal="100" workbookViewId="0">
      <pane xSplit="18" ySplit="3" topLeftCell="EU48" activePane="bottomRight" state="frozen"/>
      <selection pane="topRight" activeCell="F1" sqref="F1"/>
      <selection pane="bottomLeft" activeCell="A3" sqref="A3"/>
      <selection pane="bottomRight" activeCell="FX86" sqref="FX8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0" width="3.140625" customWidth="1"/>
  </cols>
  <sheetData>
    <row r="1" spans="1:360"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B1" si="5">FL1 + 1</f>
        <v>44103</v>
      </c>
      <c r="FN1" s="47">
        <f t="shared" si="5"/>
        <v>44104</v>
      </c>
      <c r="FO1" s="47">
        <f t="shared" si="5"/>
        <v>44105</v>
      </c>
      <c r="FP1" s="47">
        <f t="shared" si="5"/>
        <v>44106</v>
      </c>
      <c r="FQ1" s="47">
        <f t="shared" si="5"/>
        <v>44107</v>
      </c>
      <c r="FR1" s="47">
        <f t="shared" si="5"/>
        <v>44108</v>
      </c>
      <c r="FS1" s="47" t="s">
        <v>543</v>
      </c>
      <c r="FT1" s="49" t="s">
        <v>544</v>
      </c>
      <c r="FU1" s="47">
        <f>FR1 + 1</f>
        <v>44109</v>
      </c>
      <c r="FV1" s="47">
        <f t="shared" si="5"/>
        <v>44110</v>
      </c>
      <c r="FW1" s="47">
        <f t="shared" si="5"/>
        <v>44111</v>
      </c>
      <c r="FX1" s="47">
        <f t="shared" si="5"/>
        <v>44112</v>
      </c>
      <c r="FY1" s="47">
        <f t="shared" si="5"/>
        <v>44113</v>
      </c>
      <c r="FZ1" s="47">
        <f t="shared" si="5"/>
        <v>44114</v>
      </c>
      <c r="GA1" s="47">
        <f t="shared" si="5"/>
        <v>44115</v>
      </c>
      <c r="GB1" s="47" t="s">
        <v>566</v>
      </c>
      <c r="GC1" s="49" t="s">
        <v>567</v>
      </c>
      <c r="GD1" s="47">
        <f>GA1 + 1</f>
        <v>44116</v>
      </c>
      <c r="GE1" s="47">
        <f t="shared" si="5"/>
        <v>44117</v>
      </c>
      <c r="GF1" s="47">
        <f t="shared" si="5"/>
        <v>44118</v>
      </c>
      <c r="GG1" s="47">
        <f t="shared" si="5"/>
        <v>44119</v>
      </c>
      <c r="GH1" s="47">
        <f t="shared" si="5"/>
        <v>44120</v>
      </c>
      <c r="GI1" s="47">
        <f t="shared" si="5"/>
        <v>44121</v>
      </c>
      <c r="GJ1" s="49">
        <f t="shared" si="5"/>
        <v>44122</v>
      </c>
      <c r="GK1" s="47">
        <f t="shared" si="5"/>
        <v>44123</v>
      </c>
      <c r="GL1" s="47">
        <f t="shared" si="5"/>
        <v>44124</v>
      </c>
      <c r="GM1" s="47">
        <f t="shared" si="5"/>
        <v>44125</v>
      </c>
      <c r="GN1" s="47">
        <f t="shared" si="5"/>
        <v>44126</v>
      </c>
      <c r="GO1" s="47">
        <f t="shared" si="5"/>
        <v>44127</v>
      </c>
      <c r="GP1" s="47">
        <f t="shared" si="5"/>
        <v>44128</v>
      </c>
      <c r="GQ1" s="49">
        <f t="shared" si="5"/>
        <v>44129</v>
      </c>
      <c r="GR1" s="47">
        <f t="shared" si="5"/>
        <v>44130</v>
      </c>
      <c r="GS1" s="47">
        <f t="shared" si="5"/>
        <v>44131</v>
      </c>
      <c r="GT1" s="47">
        <f t="shared" si="5"/>
        <v>44132</v>
      </c>
      <c r="GU1" s="47">
        <f t="shared" si="5"/>
        <v>44133</v>
      </c>
      <c r="GV1" s="47">
        <f t="shared" si="5"/>
        <v>44134</v>
      </c>
      <c r="GW1" s="47">
        <f t="shared" si="5"/>
        <v>44135</v>
      </c>
      <c r="GX1" s="49">
        <f t="shared" si="5"/>
        <v>44136</v>
      </c>
      <c r="GY1" s="47">
        <f t="shared" si="5"/>
        <v>44137</v>
      </c>
      <c r="GZ1" s="47">
        <f t="shared" si="5"/>
        <v>44138</v>
      </c>
      <c r="HA1" s="47">
        <f t="shared" si="5"/>
        <v>44139</v>
      </c>
      <c r="HB1" s="47">
        <f t="shared" si="5"/>
        <v>44140</v>
      </c>
      <c r="HC1" s="47">
        <f t="shared" si="5"/>
        <v>44141</v>
      </c>
      <c r="HD1" s="47">
        <f t="shared" si="5"/>
        <v>44142</v>
      </c>
      <c r="HE1" s="49">
        <f t="shared" si="5"/>
        <v>44143</v>
      </c>
      <c r="HF1" s="47">
        <f t="shared" si="5"/>
        <v>44144</v>
      </c>
      <c r="HG1" s="47">
        <f t="shared" si="5"/>
        <v>44145</v>
      </c>
      <c r="HH1" s="47">
        <f t="shared" si="5"/>
        <v>44146</v>
      </c>
      <c r="HI1" s="47">
        <f t="shared" si="5"/>
        <v>44147</v>
      </c>
      <c r="HJ1" s="47">
        <f t="shared" si="5"/>
        <v>44148</v>
      </c>
      <c r="HK1" s="47">
        <f t="shared" si="5"/>
        <v>44149</v>
      </c>
      <c r="HL1" s="49">
        <f t="shared" si="5"/>
        <v>44150</v>
      </c>
      <c r="HM1" s="47">
        <f t="shared" si="5"/>
        <v>44151</v>
      </c>
      <c r="HN1" s="47">
        <f t="shared" si="5"/>
        <v>44152</v>
      </c>
      <c r="HO1" s="47">
        <f t="shared" si="5"/>
        <v>44153</v>
      </c>
      <c r="HP1" s="47">
        <f t="shared" si="5"/>
        <v>44154</v>
      </c>
      <c r="HQ1" s="47">
        <f t="shared" si="5"/>
        <v>44155</v>
      </c>
      <c r="HR1" s="47">
        <f t="shared" si="5"/>
        <v>44156</v>
      </c>
      <c r="HS1" s="49">
        <f t="shared" si="5"/>
        <v>44157</v>
      </c>
      <c r="HT1" s="47">
        <f t="shared" si="5"/>
        <v>44158</v>
      </c>
      <c r="HU1" s="47">
        <f t="shared" si="5"/>
        <v>44159</v>
      </c>
      <c r="HV1" s="47">
        <f t="shared" si="5"/>
        <v>44160</v>
      </c>
      <c r="HW1" s="47">
        <f t="shared" si="5"/>
        <v>44161</v>
      </c>
      <c r="HX1" s="47">
        <f t="shared" si="5"/>
        <v>44162</v>
      </c>
      <c r="HY1" s="47">
        <f t="shared" si="5"/>
        <v>44163</v>
      </c>
      <c r="HZ1" s="49">
        <f t="shared" si="5"/>
        <v>44164</v>
      </c>
      <c r="IA1" s="47">
        <f t="shared" si="5"/>
        <v>44165</v>
      </c>
      <c r="IB1" s="47">
        <f t="shared" si="5"/>
        <v>44166</v>
      </c>
      <c r="IC1" s="47">
        <f t="shared" ref="IC1:KN1" si="6">IB1 + 1</f>
        <v>44167</v>
      </c>
      <c r="ID1" s="47">
        <f t="shared" si="6"/>
        <v>44168</v>
      </c>
      <c r="IE1" s="47">
        <f t="shared" si="6"/>
        <v>44169</v>
      </c>
      <c r="IF1" s="47">
        <f t="shared" si="6"/>
        <v>44170</v>
      </c>
      <c r="IG1" s="49">
        <f t="shared" si="6"/>
        <v>44171</v>
      </c>
      <c r="IH1" s="47">
        <f t="shared" si="6"/>
        <v>44172</v>
      </c>
      <c r="II1" s="47">
        <f t="shared" si="6"/>
        <v>44173</v>
      </c>
      <c r="IJ1" s="47">
        <f t="shared" si="6"/>
        <v>44174</v>
      </c>
      <c r="IK1" s="47">
        <f t="shared" si="6"/>
        <v>44175</v>
      </c>
      <c r="IL1" s="47">
        <f t="shared" si="6"/>
        <v>44176</v>
      </c>
      <c r="IM1" s="47">
        <f t="shared" si="6"/>
        <v>44177</v>
      </c>
      <c r="IN1" s="49">
        <f t="shared" si="6"/>
        <v>44178</v>
      </c>
      <c r="IO1" s="47">
        <f t="shared" si="6"/>
        <v>44179</v>
      </c>
      <c r="IP1" s="47">
        <f t="shared" si="6"/>
        <v>44180</v>
      </c>
      <c r="IQ1" s="47">
        <f t="shared" si="6"/>
        <v>44181</v>
      </c>
      <c r="IR1" s="47">
        <f t="shared" si="6"/>
        <v>44182</v>
      </c>
      <c r="IS1" s="47">
        <f t="shared" si="6"/>
        <v>44183</v>
      </c>
      <c r="IT1" s="47">
        <f t="shared" si="6"/>
        <v>44184</v>
      </c>
      <c r="IU1" s="49">
        <f t="shared" si="6"/>
        <v>44185</v>
      </c>
      <c r="IV1" s="47">
        <f t="shared" si="6"/>
        <v>44186</v>
      </c>
      <c r="IW1" s="47">
        <f t="shared" si="6"/>
        <v>44187</v>
      </c>
      <c r="IX1" s="47">
        <f t="shared" si="6"/>
        <v>44188</v>
      </c>
      <c r="IY1" s="47">
        <f t="shared" si="6"/>
        <v>44189</v>
      </c>
      <c r="IZ1" s="47">
        <f t="shared" si="6"/>
        <v>44190</v>
      </c>
      <c r="JA1" s="47">
        <f t="shared" si="6"/>
        <v>44191</v>
      </c>
      <c r="JB1" s="49">
        <f t="shared" si="6"/>
        <v>44192</v>
      </c>
      <c r="JC1" s="47">
        <f t="shared" si="6"/>
        <v>44193</v>
      </c>
      <c r="JD1" s="47">
        <f t="shared" si="6"/>
        <v>44194</v>
      </c>
      <c r="JE1" s="47">
        <f t="shared" si="6"/>
        <v>44195</v>
      </c>
      <c r="JF1" s="47">
        <f t="shared" si="6"/>
        <v>44196</v>
      </c>
      <c r="JG1" s="47">
        <f t="shared" si="6"/>
        <v>44197</v>
      </c>
      <c r="JH1" s="47">
        <f t="shared" si="6"/>
        <v>44198</v>
      </c>
      <c r="JI1" s="49">
        <f t="shared" si="6"/>
        <v>44199</v>
      </c>
      <c r="JJ1" s="47">
        <f t="shared" si="6"/>
        <v>44200</v>
      </c>
      <c r="JK1" s="47">
        <f t="shared" si="6"/>
        <v>44201</v>
      </c>
      <c r="JL1" s="47">
        <f t="shared" si="6"/>
        <v>44202</v>
      </c>
      <c r="JM1" s="47">
        <f t="shared" si="6"/>
        <v>44203</v>
      </c>
      <c r="JN1" s="47">
        <f t="shared" si="6"/>
        <v>44204</v>
      </c>
      <c r="JO1" s="47">
        <f t="shared" si="6"/>
        <v>44205</v>
      </c>
      <c r="JP1" s="49">
        <f t="shared" si="6"/>
        <v>44206</v>
      </c>
      <c r="JQ1" s="47">
        <f t="shared" si="6"/>
        <v>44207</v>
      </c>
      <c r="JR1" s="47">
        <f t="shared" si="6"/>
        <v>44208</v>
      </c>
      <c r="JS1" s="47">
        <f t="shared" si="6"/>
        <v>44209</v>
      </c>
      <c r="JT1" s="47">
        <f t="shared" si="6"/>
        <v>44210</v>
      </c>
      <c r="JU1" s="47">
        <f t="shared" si="6"/>
        <v>44211</v>
      </c>
      <c r="JV1" s="47">
        <f t="shared" si="6"/>
        <v>44212</v>
      </c>
      <c r="JW1" s="49">
        <f t="shared" si="6"/>
        <v>44213</v>
      </c>
      <c r="JX1" s="47">
        <f t="shared" si="6"/>
        <v>44214</v>
      </c>
      <c r="JY1" s="47">
        <f t="shared" si="6"/>
        <v>44215</v>
      </c>
      <c r="JZ1" s="47">
        <f t="shared" si="6"/>
        <v>44216</v>
      </c>
      <c r="KA1" s="47">
        <f t="shared" si="6"/>
        <v>44217</v>
      </c>
      <c r="KB1" s="47">
        <f t="shared" si="6"/>
        <v>44218</v>
      </c>
      <c r="KC1" s="47">
        <f t="shared" si="6"/>
        <v>44219</v>
      </c>
      <c r="KD1" s="49">
        <f t="shared" si="6"/>
        <v>44220</v>
      </c>
      <c r="KE1" s="47">
        <f t="shared" si="6"/>
        <v>44221</v>
      </c>
      <c r="KF1" s="47">
        <f t="shared" si="6"/>
        <v>44222</v>
      </c>
      <c r="KG1" s="47">
        <f t="shared" si="6"/>
        <v>44223</v>
      </c>
      <c r="KH1" s="47">
        <f t="shared" si="6"/>
        <v>44224</v>
      </c>
      <c r="KI1" s="47">
        <f t="shared" si="6"/>
        <v>44225</v>
      </c>
      <c r="KJ1" s="47">
        <f t="shared" si="6"/>
        <v>44226</v>
      </c>
      <c r="KK1" s="49">
        <f t="shared" si="6"/>
        <v>44227</v>
      </c>
      <c r="KL1" s="47">
        <f t="shared" si="6"/>
        <v>44228</v>
      </c>
      <c r="KM1" s="47">
        <f t="shared" si="6"/>
        <v>44229</v>
      </c>
      <c r="KN1" s="47">
        <f t="shared" si="6"/>
        <v>44230</v>
      </c>
      <c r="KO1" s="47">
        <f t="shared" ref="KO1:MV1" si="7">KN1 + 1</f>
        <v>44231</v>
      </c>
      <c r="KP1" s="47">
        <f t="shared" si="7"/>
        <v>44232</v>
      </c>
      <c r="KQ1" s="47">
        <f t="shared" si="7"/>
        <v>44233</v>
      </c>
      <c r="KR1" s="49">
        <f t="shared" si="7"/>
        <v>44234</v>
      </c>
      <c r="KS1" s="47">
        <f t="shared" si="7"/>
        <v>44235</v>
      </c>
      <c r="KT1" s="47">
        <f t="shared" si="7"/>
        <v>44236</v>
      </c>
      <c r="KU1" s="47">
        <f t="shared" si="7"/>
        <v>44237</v>
      </c>
      <c r="KV1" s="47">
        <f t="shared" si="7"/>
        <v>44238</v>
      </c>
      <c r="KW1" s="47">
        <f t="shared" si="7"/>
        <v>44239</v>
      </c>
      <c r="KX1" s="47">
        <f t="shared" si="7"/>
        <v>44240</v>
      </c>
      <c r="KY1" s="49">
        <f t="shared" si="7"/>
        <v>44241</v>
      </c>
      <c r="KZ1" s="47">
        <f t="shared" si="7"/>
        <v>44242</v>
      </c>
      <c r="LA1" s="47">
        <f t="shared" si="7"/>
        <v>44243</v>
      </c>
      <c r="LB1" s="47">
        <f t="shared" si="7"/>
        <v>44244</v>
      </c>
      <c r="LC1" s="47">
        <f t="shared" si="7"/>
        <v>44245</v>
      </c>
      <c r="LD1" s="47">
        <f t="shared" si="7"/>
        <v>44246</v>
      </c>
      <c r="LE1" s="47">
        <f t="shared" si="7"/>
        <v>44247</v>
      </c>
      <c r="LF1" s="49">
        <f t="shared" si="7"/>
        <v>44248</v>
      </c>
      <c r="LG1" s="47">
        <f t="shared" si="7"/>
        <v>44249</v>
      </c>
      <c r="LH1" s="47">
        <f t="shared" si="7"/>
        <v>44250</v>
      </c>
      <c r="LI1" s="47">
        <f t="shared" si="7"/>
        <v>44251</v>
      </c>
      <c r="LJ1" s="47">
        <f t="shared" si="7"/>
        <v>44252</v>
      </c>
      <c r="LK1" s="47">
        <f t="shared" si="7"/>
        <v>44253</v>
      </c>
      <c r="LL1" s="47">
        <f t="shared" si="7"/>
        <v>44254</v>
      </c>
      <c r="LM1" s="49">
        <f t="shared" si="7"/>
        <v>44255</v>
      </c>
      <c r="LN1" s="47">
        <f t="shared" si="7"/>
        <v>44256</v>
      </c>
      <c r="LO1" s="47">
        <f t="shared" si="7"/>
        <v>44257</v>
      </c>
      <c r="LP1" s="47">
        <f t="shared" si="7"/>
        <v>44258</v>
      </c>
      <c r="LQ1" s="47">
        <f t="shared" si="7"/>
        <v>44259</v>
      </c>
      <c r="LR1" s="47">
        <f t="shared" si="7"/>
        <v>44260</v>
      </c>
      <c r="LS1" s="47">
        <f t="shared" si="7"/>
        <v>44261</v>
      </c>
      <c r="LT1" s="49">
        <f t="shared" si="7"/>
        <v>44262</v>
      </c>
      <c r="LU1" s="47">
        <f t="shared" si="7"/>
        <v>44263</v>
      </c>
      <c r="LV1" s="47">
        <f t="shared" si="7"/>
        <v>44264</v>
      </c>
      <c r="LW1" s="47">
        <f t="shared" si="7"/>
        <v>44265</v>
      </c>
      <c r="LX1" s="47">
        <f t="shared" si="7"/>
        <v>44266</v>
      </c>
      <c r="LY1" s="47">
        <f t="shared" si="7"/>
        <v>44267</v>
      </c>
      <c r="LZ1" s="47">
        <f t="shared" si="7"/>
        <v>44268</v>
      </c>
      <c r="MA1" s="49">
        <f t="shared" si="7"/>
        <v>44269</v>
      </c>
      <c r="MB1" s="47">
        <f t="shared" si="7"/>
        <v>44270</v>
      </c>
      <c r="MC1" s="47">
        <f t="shared" si="7"/>
        <v>44271</v>
      </c>
      <c r="MD1" s="47">
        <f t="shared" si="7"/>
        <v>44272</v>
      </c>
      <c r="ME1" s="47">
        <f t="shared" si="7"/>
        <v>44273</v>
      </c>
      <c r="MF1" s="47">
        <f t="shared" si="7"/>
        <v>44274</v>
      </c>
      <c r="MG1" s="47">
        <f t="shared" si="7"/>
        <v>44275</v>
      </c>
      <c r="MH1" s="49">
        <f t="shared" si="7"/>
        <v>44276</v>
      </c>
      <c r="MI1" s="47">
        <f t="shared" si="7"/>
        <v>44277</v>
      </c>
      <c r="MJ1" s="47">
        <f t="shared" si="7"/>
        <v>44278</v>
      </c>
      <c r="MK1" s="47">
        <f t="shared" si="7"/>
        <v>44279</v>
      </c>
      <c r="ML1" s="47">
        <f t="shared" si="7"/>
        <v>44280</v>
      </c>
      <c r="MM1" s="47">
        <f t="shared" si="7"/>
        <v>44281</v>
      </c>
      <c r="MN1" s="47">
        <f t="shared" si="7"/>
        <v>44282</v>
      </c>
      <c r="MO1" s="49">
        <f t="shared" si="7"/>
        <v>44283</v>
      </c>
      <c r="MP1" s="47">
        <f t="shared" si="7"/>
        <v>44284</v>
      </c>
      <c r="MQ1" s="47">
        <f t="shared" si="7"/>
        <v>44285</v>
      </c>
      <c r="MR1" s="47">
        <f t="shared" si="7"/>
        <v>44286</v>
      </c>
      <c r="MS1" s="47">
        <f t="shared" si="7"/>
        <v>44287</v>
      </c>
      <c r="MT1" s="47">
        <f t="shared" si="7"/>
        <v>44288</v>
      </c>
      <c r="MU1" s="47">
        <f t="shared" si="7"/>
        <v>44289</v>
      </c>
      <c r="MV1" s="49">
        <f t="shared" si="7"/>
        <v>44290</v>
      </c>
    </row>
    <row r="2" spans="1:360" ht="15" customHeight="1" x14ac:dyDescent="0.25">
      <c r="A2" s="155" t="s">
        <v>144</v>
      </c>
      <c r="B2" s="155"/>
      <c r="C2" s="155"/>
      <c r="D2" s="155"/>
      <c r="E2" s="155"/>
      <c r="F2" s="39"/>
      <c r="G2" s="39"/>
      <c r="H2" s="39"/>
      <c r="I2" s="39"/>
      <c r="J2" s="39"/>
      <c r="K2" s="39"/>
      <c r="L2" s="39"/>
      <c r="M2" s="39"/>
      <c r="N2" s="39"/>
      <c r="O2" s="27"/>
      <c r="P2" s="156" t="s">
        <v>49</v>
      </c>
      <c r="Q2" s="151" t="s">
        <v>48</v>
      </c>
      <c r="R2" s="153"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 si="141">GI1</f>
        <v>44121</v>
      </c>
      <c r="GJ2" s="50">
        <f t="shared" ref="GJ2" si="142">GJ1</f>
        <v>44122</v>
      </c>
      <c r="GK2" s="48">
        <f t="shared" ref="GK2" si="143">GK1</f>
        <v>44123</v>
      </c>
      <c r="GL2" s="48">
        <f t="shared" ref="GL2" si="144">GL1</f>
        <v>44124</v>
      </c>
      <c r="GM2" s="48">
        <f t="shared" ref="GM2" si="145">GM1</f>
        <v>44125</v>
      </c>
      <c r="GN2" s="48">
        <f t="shared" ref="GN2" si="146">GN1</f>
        <v>44126</v>
      </c>
      <c r="GO2" s="48">
        <f t="shared" ref="GO2" si="147">GO1</f>
        <v>44127</v>
      </c>
      <c r="GP2" s="48">
        <f t="shared" ref="GP2" si="148">GP1</f>
        <v>44128</v>
      </c>
      <c r="GQ2" s="50">
        <f t="shared" ref="GQ2" si="149">GQ1</f>
        <v>44129</v>
      </c>
      <c r="GR2" s="48">
        <f t="shared" ref="GR2" si="150">GR1</f>
        <v>44130</v>
      </c>
      <c r="GS2" s="48">
        <f t="shared" ref="GS2" si="151">GS1</f>
        <v>44131</v>
      </c>
      <c r="GT2" s="48">
        <f t="shared" ref="GT2" si="152">GT1</f>
        <v>44132</v>
      </c>
      <c r="GU2" s="48">
        <f t="shared" ref="GU2" si="153">GU1</f>
        <v>44133</v>
      </c>
      <c r="GV2" s="48">
        <f t="shared" ref="GV2" si="154">GV1</f>
        <v>44134</v>
      </c>
      <c r="GW2" s="48">
        <f t="shared" ref="GW2" si="155">GW1</f>
        <v>44135</v>
      </c>
      <c r="GX2" s="50">
        <f t="shared" ref="GX2" si="156">GX1</f>
        <v>44136</v>
      </c>
      <c r="GY2" s="48">
        <f t="shared" ref="GY2" si="157">GY1</f>
        <v>44137</v>
      </c>
      <c r="GZ2" s="48">
        <f t="shared" ref="GZ2" si="158">GZ1</f>
        <v>44138</v>
      </c>
      <c r="HA2" s="48">
        <f t="shared" ref="HA2" si="159">HA1</f>
        <v>44139</v>
      </c>
      <c r="HB2" s="48">
        <f t="shared" ref="HB2" si="160">HB1</f>
        <v>44140</v>
      </c>
      <c r="HC2" s="48">
        <f t="shared" ref="HC2" si="161">HC1</f>
        <v>44141</v>
      </c>
      <c r="HD2" s="48">
        <f t="shared" ref="HD2" si="162">HD1</f>
        <v>44142</v>
      </c>
      <c r="HE2" s="50">
        <f t="shared" ref="HE2" si="163">HE1</f>
        <v>44143</v>
      </c>
      <c r="HF2" s="48">
        <f t="shared" ref="HF2" si="164">HF1</f>
        <v>44144</v>
      </c>
      <c r="HG2" s="48">
        <f t="shared" ref="HG2" si="165">HG1</f>
        <v>44145</v>
      </c>
      <c r="HH2" s="48">
        <f t="shared" ref="HH2" si="166">HH1</f>
        <v>44146</v>
      </c>
      <c r="HI2" s="48">
        <f t="shared" ref="HI2" si="167">HI1</f>
        <v>44147</v>
      </c>
      <c r="HJ2" s="48">
        <f t="shared" ref="HJ2" si="168">HJ1</f>
        <v>44148</v>
      </c>
      <c r="HK2" s="48">
        <f t="shared" ref="HK2" si="169">HK1</f>
        <v>44149</v>
      </c>
      <c r="HL2" s="50">
        <f t="shared" ref="HL2" si="170">HL1</f>
        <v>44150</v>
      </c>
      <c r="HM2" s="48">
        <f t="shared" ref="HM2" si="171">HM1</f>
        <v>44151</v>
      </c>
      <c r="HN2" s="48">
        <f t="shared" ref="HN2" si="172">HN1</f>
        <v>44152</v>
      </c>
      <c r="HO2" s="48">
        <f t="shared" ref="HO2" si="173">HO1</f>
        <v>44153</v>
      </c>
      <c r="HP2" s="48">
        <f t="shared" ref="HP2" si="174">HP1</f>
        <v>44154</v>
      </c>
      <c r="HQ2" s="48">
        <f t="shared" ref="HQ2" si="175">HQ1</f>
        <v>44155</v>
      </c>
      <c r="HR2" s="48">
        <f t="shared" ref="HR2" si="176">HR1</f>
        <v>44156</v>
      </c>
      <c r="HS2" s="50">
        <f t="shared" ref="HS2" si="177">HS1</f>
        <v>44157</v>
      </c>
      <c r="HT2" s="48">
        <f t="shared" ref="HT2" si="178">HT1</f>
        <v>44158</v>
      </c>
      <c r="HU2" s="48">
        <f t="shared" ref="HU2" si="179">HU1</f>
        <v>44159</v>
      </c>
      <c r="HV2" s="48">
        <f t="shared" ref="HV2" si="180">HV1</f>
        <v>44160</v>
      </c>
      <c r="HW2" s="48">
        <f t="shared" ref="HW2" si="181">HW1</f>
        <v>44161</v>
      </c>
      <c r="HX2" s="48">
        <f t="shared" ref="HX2" si="182">HX1</f>
        <v>44162</v>
      </c>
      <c r="HY2" s="48">
        <f t="shared" ref="HY2" si="183">HY1</f>
        <v>44163</v>
      </c>
      <c r="HZ2" s="50">
        <f t="shared" ref="HZ2" si="184">HZ1</f>
        <v>44164</v>
      </c>
      <c r="IA2" s="48">
        <f t="shared" ref="IA2" si="185">IA1</f>
        <v>44165</v>
      </c>
      <c r="IB2" s="48">
        <f t="shared" ref="IB2" si="186">IB1</f>
        <v>44166</v>
      </c>
      <c r="IC2" s="48">
        <f t="shared" ref="IC2" si="187">IC1</f>
        <v>44167</v>
      </c>
      <c r="ID2" s="48">
        <f t="shared" ref="ID2" si="188">ID1</f>
        <v>44168</v>
      </c>
      <c r="IE2" s="48">
        <f t="shared" ref="IE2" si="189">IE1</f>
        <v>44169</v>
      </c>
      <c r="IF2" s="48">
        <f t="shared" ref="IF2" si="190">IF1</f>
        <v>44170</v>
      </c>
      <c r="IG2" s="50">
        <f t="shared" ref="IG2" si="191">IG1</f>
        <v>44171</v>
      </c>
      <c r="IH2" s="48">
        <f t="shared" ref="IH2" si="192">IH1</f>
        <v>44172</v>
      </c>
      <c r="II2" s="48">
        <f t="shared" ref="II2" si="193">II1</f>
        <v>44173</v>
      </c>
      <c r="IJ2" s="48">
        <f t="shared" ref="IJ2" si="194">IJ1</f>
        <v>44174</v>
      </c>
      <c r="IK2" s="48">
        <f t="shared" ref="IK2" si="195">IK1</f>
        <v>44175</v>
      </c>
      <c r="IL2" s="48">
        <f t="shared" ref="IL2" si="196">IL1</f>
        <v>44176</v>
      </c>
      <c r="IM2" s="48">
        <f t="shared" ref="IM2" si="197">IM1</f>
        <v>44177</v>
      </c>
      <c r="IN2" s="50">
        <f t="shared" ref="IN2" si="198">IN1</f>
        <v>44178</v>
      </c>
      <c r="IO2" s="48">
        <f t="shared" ref="IO2" si="199">IO1</f>
        <v>44179</v>
      </c>
      <c r="IP2" s="48">
        <f t="shared" ref="IP2" si="200">IP1</f>
        <v>44180</v>
      </c>
      <c r="IQ2" s="48">
        <f t="shared" ref="IQ2" si="201">IQ1</f>
        <v>44181</v>
      </c>
      <c r="IR2" s="48">
        <f t="shared" ref="IR2" si="202">IR1</f>
        <v>44182</v>
      </c>
      <c r="IS2" s="48">
        <f t="shared" ref="IS2" si="203">IS1</f>
        <v>44183</v>
      </c>
      <c r="IT2" s="48">
        <f t="shared" ref="IT2" si="204">IT1</f>
        <v>44184</v>
      </c>
      <c r="IU2" s="50">
        <f t="shared" ref="IU2" si="205">IU1</f>
        <v>44185</v>
      </c>
      <c r="IV2" s="48">
        <f t="shared" ref="IV2" si="206">IV1</f>
        <v>44186</v>
      </c>
      <c r="IW2" s="48">
        <f t="shared" ref="IW2" si="207">IW1</f>
        <v>44187</v>
      </c>
      <c r="IX2" s="48">
        <f t="shared" ref="IX2" si="208">IX1</f>
        <v>44188</v>
      </c>
      <c r="IY2" s="48">
        <f t="shared" ref="IY2" si="209">IY1</f>
        <v>44189</v>
      </c>
      <c r="IZ2" s="48">
        <f t="shared" ref="IZ2" si="210">IZ1</f>
        <v>44190</v>
      </c>
      <c r="JA2" s="48">
        <f t="shared" ref="JA2" si="211">JA1</f>
        <v>44191</v>
      </c>
      <c r="JB2" s="50">
        <f t="shared" ref="JB2" si="212">JB1</f>
        <v>44192</v>
      </c>
      <c r="JC2" s="48">
        <f t="shared" ref="JC2" si="213">JC1</f>
        <v>44193</v>
      </c>
      <c r="JD2" s="48">
        <f t="shared" ref="JD2" si="214">JD1</f>
        <v>44194</v>
      </c>
      <c r="JE2" s="48">
        <f t="shared" ref="JE2" si="215">JE1</f>
        <v>44195</v>
      </c>
      <c r="JF2" s="48">
        <f t="shared" ref="JF2" si="216">JF1</f>
        <v>44196</v>
      </c>
      <c r="JG2" s="48">
        <f t="shared" ref="JG2" si="217">JG1</f>
        <v>44197</v>
      </c>
      <c r="JH2" s="48">
        <f t="shared" ref="JH2" si="218">JH1</f>
        <v>44198</v>
      </c>
      <c r="JI2" s="50">
        <f t="shared" ref="JI2" si="219">JI1</f>
        <v>44199</v>
      </c>
      <c r="JJ2" s="48">
        <f t="shared" ref="JJ2" si="220">JJ1</f>
        <v>44200</v>
      </c>
      <c r="JK2" s="48">
        <f t="shared" ref="JK2" si="221">JK1</f>
        <v>44201</v>
      </c>
      <c r="JL2" s="48">
        <f t="shared" ref="JL2" si="222">JL1</f>
        <v>44202</v>
      </c>
      <c r="JM2" s="48">
        <f t="shared" ref="JM2" si="223">JM1</f>
        <v>44203</v>
      </c>
      <c r="JN2" s="48">
        <f t="shared" ref="JN2" si="224">JN1</f>
        <v>44204</v>
      </c>
      <c r="JO2" s="48">
        <f t="shared" ref="JO2" si="225">JO1</f>
        <v>44205</v>
      </c>
      <c r="JP2" s="50">
        <f t="shared" ref="JP2" si="226">JP1</f>
        <v>44206</v>
      </c>
      <c r="JQ2" s="48">
        <f t="shared" ref="JQ2" si="227">JQ1</f>
        <v>44207</v>
      </c>
      <c r="JR2" s="48">
        <f t="shared" ref="JR2" si="228">JR1</f>
        <v>44208</v>
      </c>
      <c r="JS2" s="48">
        <f t="shared" ref="JS2" si="229">JS1</f>
        <v>44209</v>
      </c>
      <c r="JT2" s="48">
        <f t="shared" ref="JT2" si="230">JT1</f>
        <v>44210</v>
      </c>
      <c r="JU2" s="48">
        <f t="shared" ref="JU2" si="231">JU1</f>
        <v>44211</v>
      </c>
      <c r="JV2" s="48">
        <f t="shared" ref="JV2" si="232">JV1</f>
        <v>44212</v>
      </c>
      <c r="JW2" s="50">
        <f t="shared" ref="JW2" si="233">JW1</f>
        <v>44213</v>
      </c>
      <c r="JX2" s="48">
        <f t="shared" ref="JX2" si="234">JX1</f>
        <v>44214</v>
      </c>
      <c r="JY2" s="48">
        <f t="shared" ref="JY2" si="235">JY1</f>
        <v>44215</v>
      </c>
      <c r="JZ2" s="48">
        <f t="shared" ref="JZ2" si="236">JZ1</f>
        <v>44216</v>
      </c>
      <c r="KA2" s="48">
        <f t="shared" ref="KA2" si="237">KA1</f>
        <v>44217</v>
      </c>
      <c r="KB2" s="48">
        <f t="shared" ref="KB2" si="238">KB1</f>
        <v>44218</v>
      </c>
      <c r="KC2" s="48">
        <f t="shared" ref="KC2" si="239">KC1</f>
        <v>44219</v>
      </c>
      <c r="KD2" s="50">
        <f t="shared" ref="KD2" si="240">KD1</f>
        <v>44220</v>
      </c>
      <c r="KE2" s="48">
        <f t="shared" ref="KE2" si="241">KE1</f>
        <v>44221</v>
      </c>
      <c r="KF2" s="48">
        <f t="shared" ref="KF2" si="242">KF1</f>
        <v>44222</v>
      </c>
      <c r="KG2" s="48">
        <f t="shared" ref="KG2" si="243">KG1</f>
        <v>44223</v>
      </c>
      <c r="KH2" s="48">
        <f t="shared" ref="KH2" si="244">KH1</f>
        <v>44224</v>
      </c>
      <c r="KI2" s="48">
        <f t="shared" ref="KI2" si="245">KI1</f>
        <v>44225</v>
      </c>
      <c r="KJ2" s="48">
        <f t="shared" ref="KJ2" si="246">KJ1</f>
        <v>44226</v>
      </c>
      <c r="KK2" s="50">
        <f t="shared" ref="KK2" si="247">KK1</f>
        <v>44227</v>
      </c>
      <c r="KL2" s="48">
        <f t="shared" ref="KL2" si="248">KL1</f>
        <v>44228</v>
      </c>
      <c r="KM2" s="48">
        <f t="shared" ref="KM2" si="249">KM1</f>
        <v>44229</v>
      </c>
      <c r="KN2" s="48">
        <f t="shared" ref="KN2" si="250">KN1</f>
        <v>44230</v>
      </c>
      <c r="KO2" s="48">
        <f t="shared" ref="KO2" si="251">KO1</f>
        <v>44231</v>
      </c>
      <c r="KP2" s="48">
        <f t="shared" ref="KP2" si="252">KP1</f>
        <v>44232</v>
      </c>
      <c r="KQ2" s="48">
        <f t="shared" ref="KQ2" si="253">KQ1</f>
        <v>44233</v>
      </c>
      <c r="KR2" s="50">
        <f t="shared" ref="KR2" si="254">KR1</f>
        <v>44234</v>
      </c>
      <c r="KS2" s="48">
        <f t="shared" ref="KS2" si="255">KS1</f>
        <v>44235</v>
      </c>
      <c r="KT2" s="48">
        <f t="shared" ref="KT2" si="256">KT1</f>
        <v>44236</v>
      </c>
      <c r="KU2" s="48">
        <f t="shared" ref="KU2" si="257">KU1</f>
        <v>44237</v>
      </c>
      <c r="KV2" s="48">
        <f t="shared" ref="KV2" si="258">KV1</f>
        <v>44238</v>
      </c>
      <c r="KW2" s="48">
        <f t="shared" ref="KW2" si="259">KW1</f>
        <v>44239</v>
      </c>
      <c r="KX2" s="48">
        <f t="shared" ref="KX2" si="260">KX1</f>
        <v>44240</v>
      </c>
      <c r="KY2" s="50">
        <f t="shared" ref="KY2" si="261">KY1</f>
        <v>44241</v>
      </c>
      <c r="KZ2" s="48">
        <f t="shared" ref="KZ2" si="262">KZ1</f>
        <v>44242</v>
      </c>
      <c r="LA2" s="48">
        <f t="shared" ref="LA2" si="263">LA1</f>
        <v>44243</v>
      </c>
      <c r="LB2" s="48">
        <f t="shared" ref="LB2" si="264">LB1</f>
        <v>44244</v>
      </c>
      <c r="LC2" s="48">
        <f t="shared" ref="LC2" si="265">LC1</f>
        <v>44245</v>
      </c>
      <c r="LD2" s="48">
        <f t="shared" ref="LD2" si="266">LD1</f>
        <v>44246</v>
      </c>
      <c r="LE2" s="48">
        <f t="shared" ref="LE2" si="267">LE1</f>
        <v>44247</v>
      </c>
      <c r="LF2" s="50">
        <f t="shared" ref="LF2" si="268">LF1</f>
        <v>44248</v>
      </c>
      <c r="LG2" s="48">
        <f t="shared" ref="LG2" si="269">LG1</f>
        <v>44249</v>
      </c>
      <c r="LH2" s="48">
        <f t="shared" ref="LH2" si="270">LH1</f>
        <v>44250</v>
      </c>
      <c r="LI2" s="48">
        <f t="shared" ref="LI2" si="271">LI1</f>
        <v>44251</v>
      </c>
      <c r="LJ2" s="48">
        <f t="shared" ref="LJ2" si="272">LJ1</f>
        <v>44252</v>
      </c>
      <c r="LK2" s="48">
        <f t="shared" ref="LK2" si="273">LK1</f>
        <v>44253</v>
      </c>
      <c r="LL2" s="48">
        <f t="shared" ref="LL2" si="274">LL1</f>
        <v>44254</v>
      </c>
      <c r="LM2" s="50">
        <f t="shared" ref="LM2" si="275">LM1</f>
        <v>44255</v>
      </c>
      <c r="LN2" s="48">
        <f t="shared" ref="LN2" si="276">LN1</f>
        <v>44256</v>
      </c>
      <c r="LO2" s="48">
        <f t="shared" ref="LO2" si="277">LO1</f>
        <v>44257</v>
      </c>
      <c r="LP2" s="48">
        <f t="shared" ref="LP2" si="278">LP1</f>
        <v>44258</v>
      </c>
      <c r="LQ2" s="48">
        <f t="shared" ref="LQ2" si="279">LQ1</f>
        <v>44259</v>
      </c>
      <c r="LR2" s="48">
        <f t="shared" ref="LR2" si="280">LR1</f>
        <v>44260</v>
      </c>
      <c r="LS2" s="48">
        <f t="shared" ref="LS2" si="281">LS1</f>
        <v>44261</v>
      </c>
      <c r="LT2" s="50">
        <f t="shared" ref="LT2" si="282">LT1</f>
        <v>44262</v>
      </c>
      <c r="LU2" s="48">
        <f t="shared" ref="LU2" si="283">LU1</f>
        <v>44263</v>
      </c>
      <c r="LV2" s="48">
        <f t="shared" ref="LV2" si="284">LV1</f>
        <v>44264</v>
      </c>
      <c r="LW2" s="48">
        <f t="shared" ref="LW2" si="285">LW1</f>
        <v>44265</v>
      </c>
      <c r="LX2" s="48">
        <f t="shared" ref="LX2" si="286">LX1</f>
        <v>44266</v>
      </c>
      <c r="LY2" s="48">
        <f t="shared" ref="LY2" si="287">LY1</f>
        <v>44267</v>
      </c>
      <c r="LZ2" s="48">
        <f t="shared" ref="LZ2" si="288">LZ1</f>
        <v>44268</v>
      </c>
      <c r="MA2" s="50">
        <f t="shared" ref="MA2" si="289">MA1</f>
        <v>44269</v>
      </c>
      <c r="MB2" s="48">
        <f t="shared" ref="MB2" si="290">MB1</f>
        <v>44270</v>
      </c>
      <c r="MC2" s="48">
        <f t="shared" ref="MC2" si="291">MC1</f>
        <v>44271</v>
      </c>
      <c r="MD2" s="48">
        <f t="shared" ref="MD2" si="292">MD1</f>
        <v>44272</v>
      </c>
      <c r="ME2" s="48">
        <f t="shared" ref="ME2" si="293">ME1</f>
        <v>44273</v>
      </c>
      <c r="MF2" s="48">
        <f t="shared" ref="MF2" si="294">MF1</f>
        <v>44274</v>
      </c>
      <c r="MG2" s="48">
        <f t="shared" ref="MG2" si="295">MG1</f>
        <v>44275</v>
      </c>
      <c r="MH2" s="50">
        <f t="shared" ref="MH2" si="296">MH1</f>
        <v>44276</v>
      </c>
      <c r="MI2" s="48">
        <f t="shared" ref="MI2" si="297">MI1</f>
        <v>44277</v>
      </c>
      <c r="MJ2" s="48">
        <f t="shared" ref="MJ2" si="298">MJ1</f>
        <v>44278</v>
      </c>
      <c r="MK2" s="48">
        <f t="shared" ref="MK2" si="299">MK1</f>
        <v>44279</v>
      </c>
      <c r="ML2" s="48">
        <f t="shared" ref="ML2" si="300">ML1</f>
        <v>44280</v>
      </c>
      <c r="MM2" s="48">
        <f t="shared" ref="MM2" si="301">MM1</f>
        <v>44281</v>
      </c>
      <c r="MN2" s="48">
        <f t="shared" ref="MN2" si="302">MN1</f>
        <v>44282</v>
      </c>
      <c r="MO2" s="50">
        <f t="shared" ref="MO2" si="303">MO1</f>
        <v>44283</v>
      </c>
      <c r="MP2" s="48">
        <f t="shared" ref="MP2" si="304">MP1</f>
        <v>44284</v>
      </c>
      <c r="MQ2" s="48">
        <f t="shared" ref="MQ2" si="305">MQ1</f>
        <v>44285</v>
      </c>
      <c r="MR2" s="48">
        <f t="shared" ref="MR2" si="306">MR1</f>
        <v>44286</v>
      </c>
      <c r="MS2" s="48">
        <f t="shared" ref="MS2" si="307">MS1</f>
        <v>44287</v>
      </c>
      <c r="MT2" s="48">
        <f t="shared" ref="MT2" si="308">MT1</f>
        <v>44288</v>
      </c>
      <c r="MU2" s="48">
        <f t="shared" ref="MU2" si="309">MU1</f>
        <v>44289</v>
      </c>
      <c r="MV2" s="50">
        <f t="shared" ref="MV2" si="310">MV1</f>
        <v>44290</v>
      </c>
    </row>
    <row r="3" spans="1:360" ht="15" customHeight="1" x14ac:dyDescent="0.25">
      <c r="A3" s="155"/>
      <c r="B3" s="155"/>
      <c r="C3" s="155"/>
      <c r="D3" s="155"/>
      <c r="E3" s="155"/>
      <c r="F3" s="39"/>
      <c r="G3" s="39"/>
      <c r="H3" s="39"/>
      <c r="I3" s="39"/>
      <c r="J3" s="39"/>
      <c r="K3" s="39"/>
      <c r="L3" s="39"/>
      <c r="M3" s="39"/>
      <c r="N3" s="39"/>
      <c r="O3" s="27"/>
      <c r="P3" s="157"/>
      <c r="Q3" s="152"/>
      <c r="R3" s="15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c r="GJ3" s="24"/>
      <c r="GK3" s="38" t="s">
        <v>38</v>
      </c>
      <c r="GL3" s="38" t="s">
        <v>38</v>
      </c>
      <c r="GM3" s="38"/>
      <c r="GN3" s="38" t="s">
        <v>38</v>
      </c>
      <c r="GO3" s="38" t="s">
        <v>38</v>
      </c>
      <c r="GP3" s="38"/>
      <c r="GQ3" s="24"/>
      <c r="GR3" s="38" t="s">
        <v>38</v>
      </c>
      <c r="GS3" s="38" t="s">
        <v>38</v>
      </c>
      <c r="GT3" s="38"/>
      <c r="GU3" s="38" t="s">
        <v>38</v>
      </c>
      <c r="GV3" s="38" t="s">
        <v>38</v>
      </c>
      <c r="GW3" s="38"/>
      <c r="GX3" s="24"/>
      <c r="GY3" s="38"/>
      <c r="GZ3" s="38" t="s">
        <v>38</v>
      </c>
      <c r="HA3" s="38"/>
      <c r="HB3" s="38" t="s">
        <v>38</v>
      </c>
      <c r="HC3" s="38" t="s">
        <v>38</v>
      </c>
      <c r="HD3" s="38"/>
      <c r="HE3" s="24"/>
      <c r="HF3" s="38"/>
      <c r="HG3" s="38" t="s">
        <v>38</v>
      </c>
      <c r="HH3" s="38"/>
      <c r="HI3" s="38" t="s">
        <v>38</v>
      </c>
      <c r="HJ3" s="38" t="s">
        <v>38</v>
      </c>
      <c r="HK3" s="38"/>
      <c r="HL3" s="24"/>
      <c r="HM3" s="38"/>
      <c r="HN3" s="38" t="s">
        <v>38</v>
      </c>
      <c r="HO3" s="38"/>
      <c r="HP3" s="38" t="s">
        <v>38</v>
      </c>
      <c r="HQ3" s="38" t="s">
        <v>38</v>
      </c>
      <c r="HR3" s="38"/>
      <c r="HS3" s="24"/>
      <c r="HT3" s="38"/>
      <c r="HU3" s="38" t="s">
        <v>38</v>
      </c>
      <c r="HV3" s="38"/>
      <c r="HW3" s="38" t="s">
        <v>38</v>
      </c>
      <c r="HX3" s="38" t="s">
        <v>38</v>
      </c>
      <c r="HY3" s="38"/>
      <c r="HZ3" s="24"/>
      <c r="IA3" s="38"/>
      <c r="IB3" s="38" t="s">
        <v>38</v>
      </c>
      <c r="IC3" s="38" t="s">
        <v>38</v>
      </c>
      <c r="ID3" s="38"/>
      <c r="IE3" s="38" t="s">
        <v>38</v>
      </c>
      <c r="IF3" s="38">
        <v>14</v>
      </c>
      <c r="IG3" s="24"/>
      <c r="IH3" s="38"/>
      <c r="II3" s="38" t="s">
        <v>38</v>
      </c>
      <c r="IJ3" s="38"/>
      <c r="IK3" s="38" t="s">
        <v>38</v>
      </c>
      <c r="IL3" s="38" t="s">
        <v>38</v>
      </c>
      <c r="IM3" s="38"/>
      <c r="IN3" s="24"/>
      <c r="IO3" s="38"/>
      <c r="IP3" s="38" t="s">
        <v>38</v>
      </c>
      <c r="IQ3" s="38"/>
      <c r="IR3" s="38" t="s">
        <v>38</v>
      </c>
      <c r="IS3" s="38" t="s">
        <v>38</v>
      </c>
      <c r="IT3" s="38">
        <v>10</v>
      </c>
      <c r="IU3" s="24"/>
      <c r="IV3" s="38"/>
      <c r="IW3" s="38" t="s">
        <v>38</v>
      </c>
      <c r="IX3" s="38"/>
      <c r="IY3" s="38" t="s">
        <v>38</v>
      </c>
      <c r="IZ3" s="38" t="s">
        <v>38</v>
      </c>
      <c r="JA3" s="38">
        <v>11</v>
      </c>
      <c r="JB3" s="24" t="s">
        <v>47</v>
      </c>
      <c r="JC3" s="38"/>
      <c r="JD3" s="38" t="s">
        <v>38</v>
      </c>
      <c r="JE3" s="38" t="s">
        <v>40</v>
      </c>
      <c r="JF3" s="38" t="s">
        <v>38</v>
      </c>
      <c r="JG3" s="38" t="s">
        <v>38</v>
      </c>
      <c r="JH3" s="38">
        <v>11</v>
      </c>
      <c r="JI3" s="24">
        <v>13</v>
      </c>
      <c r="JJ3" s="38"/>
      <c r="JK3" s="38" t="s">
        <v>38</v>
      </c>
      <c r="JL3" s="38"/>
      <c r="JM3" s="38" t="s">
        <v>38</v>
      </c>
      <c r="JN3" s="38" t="s">
        <v>38</v>
      </c>
      <c r="JO3" s="38" t="s">
        <v>40</v>
      </c>
      <c r="JP3" s="24">
        <v>12</v>
      </c>
      <c r="JQ3" s="38"/>
      <c r="JR3" s="38" t="s">
        <v>38</v>
      </c>
      <c r="JS3" s="38"/>
      <c r="JT3" s="38" t="s">
        <v>38</v>
      </c>
      <c r="JU3" s="38"/>
      <c r="JV3" s="38" t="s">
        <v>45</v>
      </c>
      <c r="JW3" s="24" t="s">
        <v>45</v>
      </c>
      <c r="JX3" s="38"/>
      <c r="JY3" s="38"/>
      <c r="JZ3" s="38"/>
      <c r="KA3" s="38" t="s">
        <v>38</v>
      </c>
      <c r="KB3" s="38" t="s">
        <v>44</v>
      </c>
      <c r="KC3" s="38" t="s">
        <v>44</v>
      </c>
      <c r="KD3" s="24"/>
      <c r="KE3" s="38" t="s">
        <v>38</v>
      </c>
      <c r="KF3" s="38" t="s">
        <v>38</v>
      </c>
      <c r="KG3" s="38"/>
      <c r="KH3" s="38" t="s">
        <v>38</v>
      </c>
      <c r="KI3" s="38" t="s">
        <v>38</v>
      </c>
      <c r="KJ3" s="38"/>
      <c r="KK3" s="24" t="s">
        <v>43</v>
      </c>
      <c r="KL3" s="38"/>
      <c r="KM3" s="38" t="s">
        <v>38</v>
      </c>
      <c r="KN3" s="38" t="s">
        <v>43</v>
      </c>
      <c r="KO3" s="38" t="s">
        <v>38</v>
      </c>
      <c r="KP3" s="38" t="s">
        <v>38</v>
      </c>
      <c r="KQ3" s="38" t="s">
        <v>43</v>
      </c>
      <c r="KR3" s="24" t="s">
        <v>41</v>
      </c>
      <c r="KS3" s="38" t="s">
        <v>40</v>
      </c>
      <c r="KT3" s="38" t="s">
        <v>38</v>
      </c>
      <c r="KU3" s="38"/>
      <c r="KV3" s="38" t="s">
        <v>38</v>
      </c>
      <c r="KW3" s="38" t="s">
        <v>38</v>
      </c>
      <c r="KX3" s="38">
        <v>12</v>
      </c>
      <c r="KY3" s="24">
        <v>12</v>
      </c>
      <c r="KZ3" s="38"/>
      <c r="LA3" s="38" t="s">
        <v>38</v>
      </c>
      <c r="LB3" s="38"/>
      <c r="LC3" s="38" t="s">
        <v>38</v>
      </c>
      <c r="LD3" s="38" t="s">
        <v>38</v>
      </c>
      <c r="LE3" s="38" t="s">
        <v>38</v>
      </c>
      <c r="LF3" s="24">
        <v>11</v>
      </c>
      <c r="LG3" s="38"/>
      <c r="LH3" s="38" t="s">
        <v>38</v>
      </c>
      <c r="LI3" s="38"/>
      <c r="LJ3" s="38" t="s">
        <v>38</v>
      </c>
      <c r="LK3" s="38" t="s">
        <v>38</v>
      </c>
      <c r="LL3" s="38">
        <v>13</v>
      </c>
      <c r="LM3" s="24">
        <v>13</v>
      </c>
      <c r="LN3" s="38"/>
      <c r="LO3" s="38" t="s">
        <v>38</v>
      </c>
      <c r="LP3" s="38"/>
      <c r="LQ3" s="38">
        <v>10</v>
      </c>
      <c r="LR3" s="38"/>
      <c r="LS3" s="38"/>
      <c r="LT3" s="26" t="s">
        <v>39</v>
      </c>
      <c r="LU3" s="38"/>
      <c r="LV3" s="38" t="s">
        <v>38</v>
      </c>
      <c r="LW3" s="38"/>
      <c r="LX3" s="38" t="s">
        <v>38</v>
      </c>
      <c r="LY3" s="38" t="s">
        <v>38</v>
      </c>
      <c r="LZ3" s="38"/>
      <c r="MA3" s="24"/>
      <c r="MB3" s="38"/>
      <c r="MC3" s="38"/>
      <c r="MD3" s="38"/>
      <c r="ME3" s="38"/>
      <c r="MF3" s="38"/>
      <c r="MG3" s="38"/>
      <c r="MH3" s="24"/>
      <c r="MI3" s="38"/>
      <c r="MJ3" s="38"/>
      <c r="MK3" s="38"/>
      <c r="ML3" s="38"/>
      <c r="MM3" s="38"/>
      <c r="MN3" s="38"/>
      <c r="MO3" s="24"/>
      <c r="MP3" s="38"/>
      <c r="MQ3" s="38"/>
      <c r="MR3" s="38"/>
      <c r="MS3" s="38"/>
      <c r="MT3" s="38"/>
      <c r="MU3" s="38"/>
      <c r="MV3" s="24"/>
    </row>
    <row r="4" spans="1:360"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2"/>
      <c r="GK4" s="11"/>
      <c r="GL4" s="11"/>
      <c r="GM4" s="11"/>
      <c r="GN4" s="11"/>
      <c r="GO4" s="11"/>
      <c r="GP4" s="11"/>
      <c r="GQ4" s="12"/>
      <c r="GR4" s="11"/>
      <c r="GS4" s="11"/>
      <c r="GT4" s="11"/>
      <c r="GU4" s="11"/>
      <c r="GV4" s="11"/>
      <c r="GW4" s="11"/>
      <c r="GX4" s="12"/>
      <c r="GY4" s="11"/>
      <c r="GZ4" s="11"/>
      <c r="HA4" s="11"/>
      <c r="HB4" s="11"/>
      <c r="HC4" s="11"/>
      <c r="HD4" s="11"/>
      <c r="HE4" s="12"/>
      <c r="HF4" s="11"/>
      <c r="HG4" s="11"/>
      <c r="HH4" s="11"/>
      <c r="HI4" s="11"/>
      <c r="HJ4" s="11"/>
      <c r="HK4" s="11"/>
      <c r="HL4" s="12"/>
      <c r="HM4" s="11"/>
      <c r="HN4" s="11"/>
      <c r="HO4" s="11"/>
      <c r="HP4" s="11"/>
      <c r="HQ4" s="11"/>
      <c r="HR4" s="11"/>
      <c r="HS4" s="12"/>
      <c r="HT4" s="11"/>
      <c r="HU4" s="11"/>
      <c r="HV4" s="11"/>
      <c r="HW4" s="11"/>
      <c r="HX4" s="11"/>
      <c r="HY4" s="11"/>
      <c r="HZ4" s="12"/>
      <c r="IA4" s="11"/>
      <c r="IB4" s="11"/>
      <c r="IC4" s="11"/>
      <c r="ID4" s="11"/>
      <c r="IE4" s="11"/>
      <c r="IF4" s="11"/>
      <c r="IG4" s="12"/>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row>
    <row r="5" spans="1:360"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2"/>
      <c r="GK5" s="11"/>
      <c r="GL5" s="11"/>
      <c r="GM5" s="11"/>
      <c r="GN5" s="11"/>
      <c r="GO5" s="11"/>
      <c r="GP5" s="11"/>
      <c r="GQ5" s="12"/>
      <c r="GR5" s="11"/>
      <c r="GS5" s="11"/>
      <c r="GT5" s="11"/>
      <c r="GU5" s="11"/>
      <c r="GV5" s="11"/>
      <c r="GW5" s="11"/>
      <c r="GX5" s="12"/>
      <c r="GY5" s="11"/>
      <c r="GZ5" s="11"/>
      <c r="HA5" s="11"/>
      <c r="HB5" s="11"/>
      <c r="HC5" s="11"/>
      <c r="HD5" s="11"/>
      <c r="HE5" s="12"/>
      <c r="HF5" s="11"/>
      <c r="HG5" s="11"/>
      <c r="HH5" s="11"/>
      <c r="HI5" s="11"/>
      <c r="HJ5" s="11"/>
      <c r="HK5" s="11"/>
      <c r="HL5" s="12"/>
      <c r="HM5" s="11"/>
      <c r="HN5" s="11"/>
      <c r="HO5" s="11"/>
      <c r="HP5" s="11"/>
      <c r="HQ5" s="11"/>
      <c r="HR5" s="11"/>
      <c r="HS5" s="12"/>
      <c r="HT5" s="11"/>
      <c r="HU5" s="11"/>
      <c r="HV5" s="11"/>
      <c r="HW5" s="11"/>
      <c r="HX5" s="11"/>
      <c r="HY5" s="11"/>
      <c r="HZ5" s="12"/>
      <c r="IA5" s="11"/>
      <c r="IB5" s="11"/>
      <c r="IC5" s="11"/>
      <c r="ID5" s="11"/>
      <c r="IE5" s="11"/>
      <c r="IF5" s="11"/>
      <c r="IG5" s="12"/>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row>
    <row r="6" spans="1:360" ht="7.5" customHeight="1" x14ac:dyDescent="0.25">
      <c r="A6" s="8"/>
      <c r="B6" s="8"/>
      <c r="C6" s="8"/>
      <c r="D6" s="8"/>
      <c r="E6" s="8"/>
      <c r="F6" s="10"/>
      <c r="G6" s="19"/>
      <c r="H6" s="19"/>
      <c r="I6" s="8"/>
      <c r="J6" s="8"/>
      <c r="K6" s="8"/>
      <c r="L6" s="8"/>
      <c r="M6" s="8"/>
      <c r="N6" s="8"/>
      <c r="O6" s="9"/>
      <c r="P6" s="8" t="str">
        <f t="shared" ref="P6:P33" si="311">IF(SUM(S6:MV6) &gt; 0, SUM(S6:MV6), "")</f>
        <v/>
      </c>
      <c r="Q6" s="109" t="str">
        <f>IF(SUM(R6:XFD6) &gt; 0, SUM(R6:XFD6) /#REF! * 100, "")</f>
        <v/>
      </c>
      <c r="R6" s="84"/>
      <c r="S6" s="7"/>
      <c r="Z6" s="7"/>
      <c r="AG6" s="7"/>
      <c r="AN6" s="7"/>
      <c r="AU6" s="7"/>
      <c r="BB6" s="7"/>
      <c r="BI6" s="7"/>
      <c r="BP6" s="7"/>
      <c r="BY6" s="79"/>
      <c r="CH6" s="7"/>
      <c r="CQ6" s="7"/>
      <c r="CZ6" s="7"/>
      <c r="DI6" s="7"/>
      <c r="DR6" s="7"/>
      <c r="EA6" s="79"/>
      <c r="EJ6" s="7"/>
      <c r="ES6" s="7"/>
      <c r="FB6" s="7"/>
      <c r="FK6" s="7"/>
      <c r="FT6" s="7"/>
      <c r="GC6" s="7"/>
      <c r="GJ6" s="7"/>
      <c r="GQ6" s="7"/>
      <c r="GX6" s="7"/>
      <c r="HE6" s="7"/>
      <c r="HL6" s="7"/>
      <c r="HS6" s="7"/>
      <c r="HZ6" s="7"/>
      <c r="IG6" s="7"/>
      <c r="IN6" s="7"/>
      <c r="IU6" s="7"/>
      <c r="JB6" s="7"/>
      <c r="JI6" s="7"/>
      <c r="JP6" s="7"/>
      <c r="JW6" s="7"/>
      <c r="KD6" s="7"/>
      <c r="KK6" s="7"/>
      <c r="KR6" s="7"/>
      <c r="KY6" s="7"/>
      <c r="LF6" s="7"/>
      <c r="LM6" s="7"/>
      <c r="LT6" s="7"/>
      <c r="MA6" s="7"/>
      <c r="MH6" s="7"/>
      <c r="MO6" s="7"/>
      <c r="MV6" s="7"/>
    </row>
    <row r="7" spans="1:360" ht="15" customHeight="1" x14ac:dyDescent="0.25">
      <c r="A7" s="8" t="s">
        <v>128</v>
      </c>
      <c r="B7" s="8" t="s">
        <v>127</v>
      </c>
      <c r="C7" s="8" t="s">
        <v>157</v>
      </c>
      <c r="D7" s="8" t="s">
        <v>126</v>
      </c>
      <c r="E7" s="18">
        <v>38532</v>
      </c>
      <c r="F7" s="10">
        <f>IF($E7 &gt;= F$5, 1, "")</f>
        <v>1</v>
      </c>
      <c r="G7" s="19">
        <f>IF($E7 &gt;= G$5, 1, "")</f>
        <v>1</v>
      </c>
      <c r="H7" s="19" t="str">
        <f t="shared" ref="H7:L7" si="312">IF($E7 &gt;= H$5, 1, "")</f>
        <v/>
      </c>
      <c r="I7" s="19" t="str">
        <f t="shared" si="312"/>
        <v/>
      </c>
      <c r="J7" s="19" t="str">
        <f t="shared" si="312"/>
        <v/>
      </c>
      <c r="K7" s="19" t="str">
        <f t="shared" si="312"/>
        <v/>
      </c>
      <c r="L7" s="19" t="str">
        <f t="shared" si="312"/>
        <v/>
      </c>
      <c r="M7" s="8"/>
      <c r="N7" s="8">
        <v>1</v>
      </c>
      <c r="O7" s="9">
        <v>1</v>
      </c>
      <c r="P7" s="8">
        <f t="shared" si="311"/>
        <v>62</v>
      </c>
      <c r="Q7" s="109">
        <f t="shared" ref="Q7:Q26" si="313">IF(SUM(S7:XFD7) &gt; 0, SUM(S7:XFD7) /P$37 * 100, "")</f>
        <v>89.85507246376811</v>
      </c>
      <c r="R7" s="129" t="str">
        <f t="shared" ref="R7:R33" si="314">KStateSum(S7:MV7, 1)</f>
        <v>7</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GB7">
        <v>0</v>
      </c>
      <c r="GC7" s="80" t="s">
        <v>366</v>
      </c>
      <c r="GJ7" s="7"/>
      <c r="GQ7" s="7"/>
      <c r="GX7" s="7"/>
      <c r="HE7" s="7"/>
      <c r="HL7" s="7"/>
      <c r="HS7" s="7"/>
      <c r="HZ7" s="7"/>
      <c r="IG7" s="7"/>
      <c r="IN7" s="7"/>
      <c r="IU7" s="7"/>
      <c r="JB7" s="7"/>
      <c r="JI7" s="7"/>
      <c r="JP7" s="7"/>
      <c r="JW7" s="7"/>
      <c r="KD7" s="7"/>
      <c r="KK7" s="7"/>
      <c r="KR7" s="7"/>
      <c r="KY7" s="7"/>
      <c r="LF7" s="7"/>
      <c r="LM7" s="7"/>
      <c r="LT7" s="7"/>
      <c r="MA7" s="7"/>
      <c r="MH7" s="7"/>
      <c r="MO7" s="7"/>
      <c r="MV7" s="7"/>
    </row>
    <row r="8" spans="1:360" ht="15" customHeight="1" x14ac:dyDescent="0.25">
      <c r="A8" s="8" t="s">
        <v>151</v>
      </c>
      <c r="B8" s="8" t="s">
        <v>152</v>
      </c>
      <c r="C8" s="8" t="s">
        <v>153</v>
      </c>
      <c r="D8" s="8" t="s">
        <v>154</v>
      </c>
      <c r="E8" s="18">
        <v>36859</v>
      </c>
      <c r="F8" s="10" t="str">
        <f t="shared" ref="F8:L30" si="315">IF($E8 &gt;= F$5, 1, "")</f>
        <v/>
      </c>
      <c r="G8" s="19" t="str">
        <f t="shared" si="315"/>
        <v/>
      </c>
      <c r="H8" s="19" t="str">
        <f t="shared" si="315"/>
        <v/>
      </c>
      <c r="I8" s="19" t="str">
        <f t="shared" si="315"/>
        <v/>
      </c>
      <c r="J8" s="19" t="str">
        <f t="shared" si="315"/>
        <v/>
      </c>
      <c r="K8" s="19" t="str">
        <f t="shared" si="315"/>
        <v/>
      </c>
      <c r="L8" s="19" t="str">
        <f t="shared" si="315"/>
        <v/>
      </c>
      <c r="M8" s="8"/>
      <c r="N8" s="8"/>
      <c r="O8" s="9"/>
      <c r="P8" s="8">
        <f t="shared" si="311"/>
        <v>31</v>
      </c>
      <c r="Q8" s="109">
        <f t="shared" si="313"/>
        <v>44.927536231884055</v>
      </c>
      <c r="R8" s="129" t="str">
        <f t="shared" si="314"/>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GB8">
        <v>0</v>
      </c>
      <c r="GC8" s="80" t="s">
        <v>366</v>
      </c>
      <c r="GJ8" s="7"/>
      <c r="GQ8" s="7"/>
      <c r="GX8" s="7"/>
      <c r="HE8" s="7"/>
      <c r="HL8" s="7"/>
      <c r="HS8" s="7"/>
      <c r="HZ8" s="7"/>
      <c r="IG8" s="7"/>
      <c r="IN8" s="7"/>
      <c r="IU8" s="7"/>
      <c r="JB8" s="7"/>
      <c r="JI8" s="7"/>
      <c r="JP8" s="7"/>
      <c r="JW8" s="7"/>
      <c r="KD8" s="7"/>
      <c r="KK8" s="7"/>
      <c r="KR8" s="7"/>
      <c r="KY8" s="7"/>
      <c r="LF8" s="7"/>
      <c r="LM8" s="7"/>
      <c r="LT8" s="7"/>
      <c r="MA8" s="7"/>
      <c r="MH8" s="7"/>
      <c r="MO8" s="7"/>
      <c r="MV8" s="7"/>
    </row>
    <row r="9" spans="1:360" ht="15" customHeight="1" x14ac:dyDescent="0.25">
      <c r="A9" s="8" t="s">
        <v>20</v>
      </c>
      <c r="B9" s="8"/>
      <c r="C9" s="8" t="s">
        <v>149</v>
      </c>
      <c r="D9" s="8" t="s">
        <v>150</v>
      </c>
      <c r="E9" s="18">
        <v>37414</v>
      </c>
      <c r="F9" s="10">
        <f t="shared" si="315"/>
        <v>1</v>
      </c>
      <c r="G9" s="19" t="str">
        <f t="shared" si="315"/>
        <v/>
      </c>
      <c r="H9" s="19" t="str">
        <f t="shared" si="315"/>
        <v/>
      </c>
      <c r="I9" s="19" t="str">
        <f t="shared" si="315"/>
        <v/>
      </c>
      <c r="J9" s="19" t="str">
        <f t="shared" si="315"/>
        <v/>
      </c>
      <c r="K9" s="19" t="str">
        <f t="shared" si="315"/>
        <v/>
      </c>
      <c r="L9" s="19" t="str">
        <f t="shared" si="315"/>
        <v/>
      </c>
      <c r="M9" s="8"/>
      <c r="N9" s="8">
        <v>1</v>
      </c>
      <c r="O9" s="9">
        <v>1</v>
      </c>
      <c r="P9" s="8">
        <f t="shared" si="311"/>
        <v>60</v>
      </c>
      <c r="Q9" s="109">
        <f t="shared" si="313"/>
        <v>86.956521739130437</v>
      </c>
      <c r="R9" s="129" t="str">
        <f t="shared" si="314"/>
        <v>-16</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GB9">
        <v>0</v>
      </c>
      <c r="GC9" s="80" t="s">
        <v>366</v>
      </c>
      <c r="GJ9" s="7"/>
      <c r="GQ9" s="7"/>
      <c r="GX9" s="7"/>
      <c r="HE9" s="7"/>
      <c r="HL9" s="7"/>
      <c r="HS9" s="7"/>
      <c r="HZ9" s="7"/>
      <c r="IG9" s="7"/>
      <c r="IN9" s="7"/>
      <c r="IU9" s="7"/>
      <c r="JB9" s="7"/>
      <c r="JI9" s="7"/>
      <c r="JP9" s="7"/>
      <c r="JW9" s="7"/>
      <c r="KD9" s="7"/>
      <c r="KK9" s="7"/>
      <c r="KR9" s="7"/>
      <c r="KY9" s="7"/>
      <c r="LF9" s="7"/>
      <c r="LM9" s="7"/>
      <c r="LT9" s="7"/>
      <c r="MA9" s="7"/>
      <c r="MH9" s="7"/>
      <c r="MO9" s="7"/>
      <c r="MV9" s="7"/>
    </row>
    <row r="10" spans="1:360" ht="15" customHeight="1" x14ac:dyDescent="0.25">
      <c r="A10" s="8" t="s">
        <v>247</v>
      </c>
      <c r="B10" s="8" t="s">
        <v>177</v>
      </c>
      <c r="C10" s="8" t="s">
        <v>178</v>
      </c>
      <c r="D10" s="8" t="s">
        <v>113</v>
      </c>
      <c r="E10" s="18">
        <v>37608</v>
      </c>
      <c r="F10" s="10">
        <f t="shared" si="315"/>
        <v>1</v>
      </c>
      <c r="G10" s="19" t="str">
        <f t="shared" si="315"/>
        <v/>
      </c>
      <c r="H10" s="19" t="str">
        <f t="shared" si="315"/>
        <v/>
      </c>
      <c r="I10" s="19" t="str">
        <f t="shared" si="315"/>
        <v/>
      </c>
      <c r="J10" s="19" t="str">
        <f t="shared" si="315"/>
        <v/>
      </c>
      <c r="K10" s="19" t="str">
        <f t="shared" si="315"/>
        <v/>
      </c>
      <c r="L10" s="19" t="str">
        <f t="shared" si="315"/>
        <v/>
      </c>
      <c r="M10" s="8"/>
      <c r="N10" s="8">
        <v>1</v>
      </c>
      <c r="O10" s="9">
        <v>1</v>
      </c>
      <c r="P10" s="8">
        <f t="shared" si="311"/>
        <v>51</v>
      </c>
      <c r="Q10" s="109">
        <f t="shared" si="313"/>
        <v>73.91304347826086</v>
      </c>
      <c r="R10" s="129" t="str">
        <f t="shared" si="314"/>
        <v>-16</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366</v>
      </c>
      <c r="GJ10" s="7"/>
      <c r="GQ10" s="7"/>
      <c r="GX10" s="7"/>
      <c r="HE10" s="7"/>
      <c r="HL10" s="7"/>
      <c r="HS10" s="7"/>
      <c r="HZ10" s="7"/>
      <c r="IG10" s="7"/>
      <c r="IN10" s="7"/>
      <c r="IU10" s="7"/>
      <c r="JB10" s="7"/>
      <c r="JI10" s="7"/>
      <c r="JP10" s="7"/>
      <c r="JW10" s="7"/>
      <c r="KD10" s="7"/>
      <c r="KK10" s="7"/>
      <c r="KR10" s="7"/>
      <c r="KY10" s="7"/>
      <c r="LF10" s="7"/>
      <c r="LM10" s="7"/>
      <c r="LT10" s="7"/>
      <c r="MA10" s="7"/>
      <c r="MH10" s="7"/>
      <c r="MO10" s="7"/>
      <c r="MV10" s="7"/>
    </row>
    <row r="11" spans="1:360" ht="15" customHeight="1" x14ac:dyDescent="0.25">
      <c r="A11" s="8" t="s">
        <v>387</v>
      </c>
      <c r="B11" s="8"/>
      <c r="C11" s="8" t="s">
        <v>238</v>
      </c>
      <c r="D11" s="8" t="s">
        <v>164</v>
      </c>
      <c r="E11" s="18">
        <v>36672</v>
      </c>
      <c r="F11" s="10" t="str">
        <f t="shared" si="315"/>
        <v/>
      </c>
      <c r="G11" s="19" t="str">
        <f t="shared" si="315"/>
        <v/>
      </c>
      <c r="H11" s="19" t="str">
        <f t="shared" si="315"/>
        <v/>
      </c>
      <c r="I11" s="19" t="str">
        <f t="shared" si="315"/>
        <v/>
      </c>
      <c r="J11" s="19" t="str">
        <f t="shared" si="315"/>
        <v/>
      </c>
      <c r="K11" s="19" t="str">
        <f t="shared" si="315"/>
        <v/>
      </c>
      <c r="L11" s="19" t="str">
        <f t="shared" si="315"/>
        <v/>
      </c>
      <c r="M11" s="8"/>
      <c r="N11" s="8"/>
      <c r="O11" s="9"/>
      <c r="P11" s="8">
        <f t="shared" si="311"/>
        <v>22</v>
      </c>
      <c r="Q11" s="109">
        <f t="shared" si="313"/>
        <v>31.884057971014489</v>
      </c>
      <c r="R11" s="129" t="str">
        <f t="shared" si="314"/>
        <v>-41</v>
      </c>
      <c r="S11" s="7"/>
      <c r="Z11" s="7"/>
      <c r="AG11" s="7"/>
      <c r="AN11" s="7"/>
      <c r="AU11" s="7"/>
      <c r="BB11" s="7"/>
      <c r="BI11" s="7"/>
      <c r="BP11" s="7"/>
      <c r="BX11" s="95" t="s">
        <v>364</v>
      </c>
      <c r="BY11" s="80" t="s">
        <v>368</v>
      </c>
      <c r="CG11" s="95" t="s">
        <v>364</v>
      </c>
      <c r="CH11" s="80" t="s">
        <v>368</v>
      </c>
      <c r="CL11">
        <v>1</v>
      </c>
      <c r="CP11" s="138" t="s">
        <v>398</v>
      </c>
      <c r="CQ11" s="139" t="s">
        <v>486</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GB11">
        <v>0</v>
      </c>
      <c r="GC11" s="80" t="s">
        <v>366</v>
      </c>
      <c r="GJ11" s="7"/>
      <c r="GQ11" s="7"/>
      <c r="GX11" s="7"/>
      <c r="HE11" s="7"/>
      <c r="HL11" s="7"/>
      <c r="HS11" s="7"/>
      <c r="HZ11" s="7"/>
      <c r="IG11" s="7"/>
      <c r="IN11" s="7"/>
      <c r="IU11" s="7"/>
      <c r="JB11" s="7"/>
      <c r="JI11" s="7"/>
      <c r="JP11" s="7"/>
      <c r="JW11" s="7"/>
      <c r="KD11" s="7"/>
      <c r="KK11" s="7"/>
      <c r="KR11" s="7"/>
      <c r="KY11" s="7"/>
      <c r="LF11" s="7"/>
      <c r="LM11" s="7"/>
      <c r="LT11" s="7"/>
      <c r="MA11" s="7"/>
      <c r="MH11" s="7"/>
      <c r="MO11" s="7"/>
      <c r="MV11" s="7"/>
    </row>
    <row r="12" spans="1:360" x14ac:dyDescent="0.25">
      <c r="A12" s="8" t="s">
        <v>162</v>
      </c>
      <c r="B12" s="8"/>
      <c r="C12" s="8" t="s">
        <v>163</v>
      </c>
      <c r="D12" s="8" t="s">
        <v>164</v>
      </c>
      <c r="E12" s="18">
        <v>37133</v>
      </c>
      <c r="F12" s="10" t="str">
        <f t="shared" si="315"/>
        <v/>
      </c>
      <c r="G12" s="19" t="str">
        <f t="shared" si="315"/>
        <v/>
      </c>
      <c r="H12" s="19" t="str">
        <f t="shared" si="315"/>
        <v/>
      </c>
      <c r="I12" s="19" t="str">
        <f t="shared" si="315"/>
        <v/>
      </c>
      <c r="J12" s="19" t="str">
        <f t="shared" si="315"/>
        <v/>
      </c>
      <c r="K12" s="19" t="str">
        <f t="shared" si="315"/>
        <v/>
      </c>
      <c r="L12" s="19" t="str">
        <f t="shared" si="315"/>
        <v/>
      </c>
      <c r="M12" s="8"/>
      <c r="N12" s="8"/>
      <c r="O12" s="9">
        <v>1</v>
      </c>
      <c r="P12" s="8">
        <f t="shared" si="311"/>
        <v>55</v>
      </c>
      <c r="Q12" s="109">
        <f t="shared" si="313"/>
        <v>79.710144927536234</v>
      </c>
      <c r="R12" s="129" t="str">
        <f t="shared" si="314"/>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GB12">
        <v>0</v>
      </c>
      <c r="GC12" s="80" t="s">
        <v>366</v>
      </c>
      <c r="GJ12" s="7"/>
      <c r="GQ12" s="7"/>
      <c r="GX12" s="7"/>
      <c r="HE12" s="7"/>
      <c r="HL12" s="7"/>
      <c r="HS12" s="7"/>
      <c r="HZ12" s="7"/>
      <c r="IG12" s="7"/>
      <c r="IN12" s="7"/>
      <c r="IU12" s="7"/>
      <c r="JB12" s="7"/>
      <c r="JI12" s="7"/>
      <c r="JP12" s="7"/>
      <c r="JW12" s="7"/>
      <c r="KD12" s="7"/>
      <c r="KK12" s="7"/>
      <c r="KR12" s="7"/>
      <c r="KY12" s="7"/>
      <c r="LF12" s="7"/>
      <c r="LM12" s="7"/>
      <c r="LT12" s="7"/>
      <c r="MA12" s="7"/>
      <c r="MH12" s="7"/>
      <c r="MO12" s="7"/>
      <c r="MV12" s="7"/>
    </row>
    <row r="13" spans="1:360" x14ac:dyDescent="0.25">
      <c r="A13" s="8" t="s">
        <v>120</v>
      </c>
      <c r="B13" s="8" t="s">
        <v>161</v>
      </c>
      <c r="C13" s="8" t="s">
        <v>175</v>
      </c>
      <c r="D13" s="8" t="s">
        <v>176</v>
      </c>
      <c r="E13" s="18">
        <v>37808</v>
      </c>
      <c r="F13" s="10">
        <f t="shared" si="315"/>
        <v>1</v>
      </c>
      <c r="G13" s="19" t="str">
        <f t="shared" si="315"/>
        <v/>
      </c>
      <c r="H13" s="19" t="str">
        <f t="shared" si="315"/>
        <v/>
      </c>
      <c r="I13" s="19" t="str">
        <f t="shared" si="315"/>
        <v/>
      </c>
      <c r="J13" s="19" t="str">
        <f t="shared" si="315"/>
        <v/>
      </c>
      <c r="K13" s="19" t="str">
        <f t="shared" si="315"/>
        <v/>
      </c>
      <c r="L13" s="19" t="str">
        <f t="shared" si="315"/>
        <v/>
      </c>
      <c r="M13" s="8"/>
      <c r="N13" s="8">
        <v>1</v>
      </c>
      <c r="O13" s="9">
        <v>1</v>
      </c>
      <c r="P13" s="8">
        <f t="shared" si="311"/>
        <v>56</v>
      </c>
      <c r="Q13" s="109">
        <f t="shared" si="313"/>
        <v>81.159420289855078</v>
      </c>
      <c r="R13" s="129" t="str">
        <f t="shared" si="314"/>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GB13">
        <v>0</v>
      </c>
      <c r="GC13" s="80" t="s">
        <v>366</v>
      </c>
      <c r="GJ13" s="7"/>
      <c r="GQ13" s="7"/>
      <c r="GX13" s="7"/>
      <c r="HE13" s="7"/>
      <c r="HL13" s="7"/>
      <c r="HS13" s="7"/>
      <c r="HZ13" s="7"/>
      <c r="IG13" s="7"/>
      <c r="IN13" s="7"/>
      <c r="IU13" s="7"/>
      <c r="JB13" s="7"/>
      <c r="JI13" s="7"/>
      <c r="JP13" s="7"/>
      <c r="JW13" s="7"/>
      <c r="KD13" s="7"/>
      <c r="KK13" s="7"/>
      <c r="KR13" s="7"/>
      <c r="KY13" s="7"/>
      <c r="LF13" s="7"/>
      <c r="LM13" s="7"/>
      <c r="LT13" s="7"/>
      <c r="MA13" s="7"/>
      <c r="MH13" s="7"/>
      <c r="MO13" s="7"/>
      <c r="MV13" s="7"/>
    </row>
    <row r="14" spans="1:360" hidden="1" x14ac:dyDescent="0.25">
      <c r="A14" s="8" t="s">
        <v>177</v>
      </c>
      <c r="B14" s="8"/>
      <c r="C14" s="8" t="s">
        <v>179</v>
      </c>
      <c r="D14" s="8" t="s">
        <v>180</v>
      </c>
      <c r="E14" s="18"/>
      <c r="F14" s="10" t="str">
        <f t="shared" si="315"/>
        <v/>
      </c>
      <c r="G14" s="19" t="str">
        <f t="shared" si="315"/>
        <v/>
      </c>
      <c r="H14" s="19" t="str">
        <f t="shared" si="315"/>
        <v/>
      </c>
      <c r="I14" s="19" t="str">
        <f t="shared" si="315"/>
        <v/>
      </c>
      <c r="J14" s="19" t="str">
        <f t="shared" si="315"/>
        <v/>
      </c>
      <c r="K14" s="19" t="str">
        <f t="shared" si="315"/>
        <v/>
      </c>
      <c r="L14" s="19" t="str">
        <f t="shared" si="315"/>
        <v/>
      </c>
      <c r="M14" s="8"/>
      <c r="N14" s="8">
        <v>1</v>
      </c>
      <c r="O14" s="9"/>
      <c r="P14" s="8">
        <f t="shared" si="311"/>
        <v>1</v>
      </c>
      <c r="Q14" s="109">
        <f t="shared" si="313"/>
        <v>1.4492753623188406</v>
      </c>
      <c r="R14" s="129" t="str">
        <f t="shared" si="314"/>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J14" s="7"/>
      <c r="GQ14" s="7"/>
      <c r="GX14" s="7"/>
      <c r="HE14" s="7"/>
      <c r="HL14" s="7"/>
      <c r="HS14" s="7"/>
      <c r="HZ14" s="7"/>
      <c r="IG14" s="7"/>
      <c r="IN14" s="7"/>
      <c r="IU14" s="7"/>
      <c r="JB14" s="7"/>
      <c r="JI14" s="7"/>
      <c r="JP14" s="7"/>
      <c r="JW14" s="7"/>
      <c r="KD14" s="7"/>
      <c r="KK14" s="7"/>
      <c r="KR14" s="7"/>
      <c r="KY14" s="7"/>
      <c r="LF14" s="7"/>
      <c r="LM14" s="7"/>
      <c r="LT14" s="7"/>
      <c r="MA14" s="7"/>
      <c r="MH14" s="7"/>
      <c r="MO14" s="7"/>
      <c r="MV14" s="7"/>
    </row>
    <row r="15" spans="1:360" hidden="1" x14ac:dyDescent="0.25">
      <c r="A15" s="8" t="s">
        <v>171</v>
      </c>
      <c r="B15" s="8" t="s">
        <v>172</v>
      </c>
      <c r="C15" s="8" t="s">
        <v>173</v>
      </c>
      <c r="D15" s="8" t="s">
        <v>174</v>
      </c>
      <c r="E15" s="18">
        <v>36556</v>
      </c>
      <c r="F15" s="10" t="str">
        <f t="shared" si="315"/>
        <v/>
      </c>
      <c r="G15" s="19" t="str">
        <f t="shared" si="315"/>
        <v/>
      </c>
      <c r="H15" s="19" t="str">
        <f t="shared" si="315"/>
        <v/>
      </c>
      <c r="I15" s="19" t="str">
        <f t="shared" si="315"/>
        <v/>
      </c>
      <c r="J15" s="19" t="str">
        <f t="shared" si="315"/>
        <v/>
      </c>
      <c r="K15" s="19" t="str">
        <f t="shared" si="315"/>
        <v/>
      </c>
      <c r="L15" s="19" t="str">
        <f t="shared" si="315"/>
        <v/>
      </c>
      <c r="M15" s="8"/>
      <c r="N15" s="8"/>
      <c r="O15" s="9"/>
      <c r="P15" s="8">
        <f t="shared" si="311"/>
        <v>1</v>
      </c>
      <c r="Q15" s="109">
        <f t="shared" si="313"/>
        <v>1.4492753623188406</v>
      </c>
      <c r="R15" s="129" t="str">
        <f t="shared" si="314"/>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J15" s="7"/>
      <c r="GQ15" s="7"/>
      <c r="GX15" s="7"/>
      <c r="HE15" s="7"/>
      <c r="HL15" s="7"/>
      <c r="HS15" s="7"/>
      <c r="HZ15" s="7"/>
      <c r="IG15" s="7"/>
      <c r="IN15" s="7"/>
      <c r="IU15" s="7"/>
      <c r="JB15" s="7"/>
      <c r="JI15" s="7"/>
      <c r="JP15" s="7"/>
      <c r="JW15" s="7"/>
      <c r="KD15" s="7"/>
      <c r="KK15" s="7"/>
      <c r="KR15" s="7"/>
      <c r="KY15" s="7"/>
      <c r="LF15" s="7"/>
      <c r="LM15" s="7"/>
      <c r="LT15" s="7"/>
      <c r="MA15" s="7"/>
      <c r="MH15" s="7"/>
      <c r="MO15" s="7"/>
      <c r="MV15" s="7"/>
    </row>
    <row r="16" spans="1:360" x14ac:dyDescent="0.25">
      <c r="A16" s="8" t="s">
        <v>457</v>
      </c>
      <c r="B16" s="8" t="s">
        <v>230</v>
      </c>
      <c r="C16" s="8" t="s">
        <v>232</v>
      </c>
      <c r="D16" s="8" t="s">
        <v>231</v>
      </c>
      <c r="E16" s="18">
        <v>38679</v>
      </c>
      <c r="F16" s="10">
        <f t="shared" si="315"/>
        <v>1</v>
      </c>
      <c r="G16" s="19">
        <f t="shared" si="315"/>
        <v>1</v>
      </c>
      <c r="H16" s="19" t="str">
        <f t="shared" si="315"/>
        <v/>
      </c>
      <c r="I16" s="19" t="str">
        <f t="shared" si="315"/>
        <v/>
      </c>
      <c r="J16" s="19" t="str">
        <f t="shared" si="315"/>
        <v/>
      </c>
      <c r="K16" s="19" t="str">
        <f t="shared" si="315"/>
        <v/>
      </c>
      <c r="L16" s="19" t="str">
        <f t="shared" si="315"/>
        <v/>
      </c>
      <c r="M16" s="8">
        <v>1</v>
      </c>
      <c r="N16" s="8">
        <v>1</v>
      </c>
      <c r="O16" s="9"/>
      <c r="P16" s="8">
        <f t="shared" si="311"/>
        <v>21</v>
      </c>
      <c r="Q16" s="109">
        <f t="shared" si="313"/>
        <v>30.434782608695656</v>
      </c>
      <c r="R16" s="129" t="str">
        <f t="shared" si="314"/>
        <v>-46</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366</v>
      </c>
      <c r="GJ16" s="7"/>
      <c r="GQ16" s="7"/>
      <c r="GX16" s="7"/>
      <c r="HE16" s="7"/>
      <c r="HL16" s="7"/>
      <c r="HS16" s="7"/>
      <c r="HZ16" s="7"/>
      <c r="IG16" s="7"/>
      <c r="IN16" s="7"/>
      <c r="IU16" s="7"/>
      <c r="JB16" s="7"/>
      <c r="JI16" s="7"/>
      <c r="JP16" s="7"/>
      <c r="JW16" s="7"/>
      <c r="KD16" s="7"/>
      <c r="KK16" s="7"/>
      <c r="KR16" s="7"/>
      <c r="KY16" s="7"/>
      <c r="LF16" s="7"/>
      <c r="LM16" s="7"/>
      <c r="LT16" s="7"/>
      <c r="MA16" s="7"/>
      <c r="MH16" s="7"/>
      <c r="MO16" s="7"/>
      <c r="MV16" s="7"/>
    </row>
    <row r="17" spans="1:360" x14ac:dyDescent="0.25">
      <c r="A17" s="8" t="s">
        <v>125</v>
      </c>
      <c r="B17" s="8" t="s">
        <v>124</v>
      </c>
      <c r="C17" s="8" t="s">
        <v>158</v>
      </c>
      <c r="D17" s="8" t="s">
        <v>123</v>
      </c>
      <c r="E17" s="18">
        <v>38491</v>
      </c>
      <c r="F17" s="10">
        <f t="shared" si="315"/>
        <v>1</v>
      </c>
      <c r="G17" s="19">
        <f t="shared" si="315"/>
        <v>1</v>
      </c>
      <c r="H17" s="19" t="str">
        <f t="shared" si="315"/>
        <v/>
      </c>
      <c r="I17" s="19" t="str">
        <f t="shared" si="315"/>
        <v/>
      </c>
      <c r="J17" s="19" t="str">
        <f t="shared" si="315"/>
        <v/>
      </c>
      <c r="K17" s="19" t="str">
        <f t="shared" si="315"/>
        <v/>
      </c>
      <c r="L17" s="19" t="str">
        <f t="shared" si="315"/>
        <v/>
      </c>
      <c r="M17" s="8"/>
      <c r="N17" s="8">
        <v>1</v>
      </c>
      <c r="O17" s="9">
        <v>1</v>
      </c>
      <c r="P17" s="8">
        <f t="shared" si="311"/>
        <v>55</v>
      </c>
      <c r="Q17" s="109">
        <f t="shared" si="313"/>
        <v>79.710144927536234</v>
      </c>
      <c r="R17" s="129" t="str">
        <f t="shared" si="314"/>
        <v>-14</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GB17">
        <v>0</v>
      </c>
      <c r="GC17" s="80" t="s">
        <v>366</v>
      </c>
      <c r="GJ17" s="7"/>
      <c r="GQ17" s="7"/>
      <c r="GX17" s="7"/>
      <c r="HE17" s="7"/>
      <c r="HL17" s="7"/>
      <c r="HS17" s="7"/>
      <c r="HZ17" s="7"/>
      <c r="IG17" s="7"/>
      <c r="IN17" s="7"/>
      <c r="IU17" s="7"/>
      <c r="JB17" s="7"/>
      <c r="JI17" s="7"/>
      <c r="JP17" s="7"/>
      <c r="JW17" s="7"/>
      <c r="KD17" s="7"/>
      <c r="KK17" s="7"/>
      <c r="KR17" s="7"/>
      <c r="KY17" s="7"/>
      <c r="LF17" s="7"/>
      <c r="LM17" s="7"/>
      <c r="LT17" s="7"/>
      <c r="MA17" s="7"/>
      <c r="MH17" s="7"/>
      <c r="MO17" s="7"/>
      <c r="MV17" s="7"/>
    </row>
    <row r="18" spans="1:360" x14ac:dyDescent="0.25">
      <c r="A18" s="8" t="s">
        <v>80</v>
      </c>
      <c r="B18" s="8"/>
      <c r="C18" s="8" t="s">
        <v>160</v>
      </c>
      <c r="D18" s="8" t="s">
        <v>122</v>
      </c>
      <c r="E18" s="18">
        <v>38655</v>
      </c>
      <c r="F18" s="10">
        <f t="shared" si="315"/>
        <v>1</v>
      </c>
      <c r="G18" s="19">
        <f t="shared" si="315"/>
        <v>1</v>
      </c>
      <c r="H18" s="19" t="str">
        <f t="shared" si="315"/>
        <v/>
      </c>
      <c r="I18" s="19" t="str">
        <f t="shared" si="315"/>
        <v/>
      </c>
      <c r="J18" s="19" t="str">
        <f t="shared" si="315"/>
        <v/>
      </c>
      <c r="K18" s="19" t="str">
        <f t="shared" si="315"/>
        <v/>
      </c>
      <c r="L18" s="19" t="str">
        <f t="shared" si="315"/>
        <v/>
      </c>
      <c r="M18" s="8"/>
      <c r="N18" s="8">
        <v>1</v>
      </c>
      <c r="O18" s="9">
        <v>1</v>
      </c>
      <c r="P18" s="8">
        <f t="shared" si="311"/>
        <v>51</v>
      </c>
      <c r="Q18" s="109">
        <f t="shared" si="313"/>
        <v>73.91304347826086</v>
      </c>
      <c r="R18" s="129" t="str">
        <f t="shared" si="314"/>
        <v>-11</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GB18">
        <v>0</v>
      </c>
      <c r="GC18" s="80" t="s">
        <v>366</v>
      </c>
      <c r="GJ18" s="7"/>
      <c r="GQ18" s="7"/>
      <c r="GX18" s="7"/>
      <c r="HE18" s="7"/>
      <c r="HL18" s="7"/>
      <c r="HS18" s="7"/>
      <c r="HZ18" s="7"/>
      <c r="IG18" s="7"/>
      <c r="IN18" s="7"/>
      <c r="IU18" s="7"/>
      <c r="JB18" s="7"/>
      <c r="JI18" s="7"/>
      <c r="JP18" s="7"/>
      <c r="JW18" s="7"/>
      <c r="KD18" s="7"/>
      <c r="KK18" s="7"/>
      <c r="KR18" s="7"/>
      <c r="KY18" s="7"/>
      <c r="LF18" s="7"/>
      <c r="LM18" s="7"/>
      <c r="LT18" s="7"/>
      <c r="MA18" s="7"/>
      <c r="MH18" s="7"/>
      <c r="MO18" s="7"/>
      <c r="MV18" s="7"/>
    </row>
    <row r="19" spans="1:360" x14ac:dyDescent="0.25">
      <c r="A19" s="8" t="s">
        <v>155</v>
      </c>
      <c r="B19" s="8"/>
      <c r="C19" s="8" t="s">
        <v>156</v>
      </c>
      <c r="D19" s="8" t="s">
        <v>139</v>
      </c>
      <c r="E19" s="18">
        <v>37863</v>
      </c>
      <c r="F19" s="10">
        <f t="shared" si="315"/>
        <v>1</v>
      </c>
      <c r="G19" s="19" t="str">
        <f t="shared" si="315"/>
        <v/>
      </c>
      <c r="H19" s="19" t="str">
        <f t="shared" si="315"/>
        <v/>
      </c>
      <c r="I19" s="19" t="str">
        <f t="shared" si="315"/>
        <v/>
      </c>
      <c r="J19" s="19" t="str">
        <f t="shared" si="315"/>
        <v/>
      </c>
      <c r="K19" s="19" t="str">
        <f t="shared" si="315"/>
        <v/>
      </c>
      <c r="L19" s="19" t="str">
        <f t="shared" si="315"/>
        <v/>
      </c>
      <c r="M19" s="8"/>
      <c r="N19" s="8">
        <v>1</v>
      </c>
      <c r="O19" s="9">
        <v>1</v>
      </c>
      <c r="P19" s="8">
        <f t="shared" si="311"/>
        <v>53</v>
      </c>
      <c r="Q19" s="109">
        <f t="shared" si="313"/>
        <v>76.811594202898547</v>
      </c>
      <c r="R19" s="129" t="str">
        <f t="shared" si="314"/>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366</v>
      </c>
      <c r="GJ19" s="7"/>
      <c r="GQ19" s="7"/>
      <c r="GX19" s="7"/>
      <c r="HE19" s="7"/>
      <c r="HL19" s="7"/>
      <c r="HS19" s="7"/>
      <c r="HZ19" s="7"/>
      <c r="IG19" s="7"/>
      <c r="IN19" s="7"/>
      <c r="IU19" s="7"/>
      <c r="JB19" s="7"/>
      <c r="JI19" s="7"/>
      <c r="JP19" s="7"/>
      <c r="JW19" s="7"/>
      <c r="KD19" s="7"/>
      <c r="KK19" s="7"/>
      <c r="KR19" s="7"/>
      <c r="KY19" s="7"/>
      <c r="LF19" s="7"/>
      <c r="LM19" s="7"/>
      <c r="LT19" s="7"/>
      <c r="MA19" s="7"/>
      <c r="MH19" s="7"/>
      <c r="MO19" s="7"/>
      <c r="MV19" s="7"/>
    </row>
    <row r="20" spans="1:360" x14ac:dyDescent="0.25">
      <c r="A20" s="8" t="s">
        <v>80</v>
      </c>
      <c r="B20" s="8"/>
      <c r="C20" s="8" t="s">
        <v>143</v>
      </c>
      <c r="D20" s="8" t="s">
        <v>139</v>
      </c>
      <c r="E20" s="18">
        <v>37863</v>
      </c>
      <c r="F20" s="10">
        <f t="shared" si="315"/>
        <v>1</v>
      </c>
      <c r="G20" s="19" t="str">
        <f t="shared" si="315"/>
        <v/>
      </c>
      <c r="H20" s="19" t="str">
        <f t="shared" si="315"/>
        <v/>
      </c>
      <c r="I20" s="19" t="str">
        <f t="shared" si="315"/>
        <v/>
      </c>
      <c r="J20" s="19" t="str">
        <f t="shared" si="315"/>
        <v/>
      </c>
      <c r="K20" s="19" t="str">
        <f t="shared" si="315"/>
        <v/>
      </c>
      <c r="L20" s="19" t="str">
        <f t="shared" si="315"/>
        <v/>
      </c>
      <c r="M20" s="8"/>
      <c r="N20" s="8">
        <v>1</v>
      </c>
      <c r="O20" s="9">
        <v>1</v>
      </c>
      <c r="P20" s="8">
        <f t="shared" si="311"/>
        <v>48</v>
      </c>
      <c r="Q20" s="109">
        <f t="shared" si="313"/>
        <v>69.565217391304344</v>
      </c>
      <c r="R20" s="129" t="str">
        <f t="shared" si="314"/>
        <v>-24</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366</v>
      </c>
      <c r="GJ20" s="7"/>
      <c r="GQ20" s="7"/>
      <c r="GX20" s="7"/>
      <c r="HE20" s="7"/>
      <c r="HL20" s="7"/>
      <c r="HS20" s="7"/>
      <c r="HZ20" s="7"/>
      <c r="IG20" s="7"/>
      <c r="IN20" s="7"/>
      <c r="IU20" s="7"/>
      <c r="JB20" s="7"/>
      <c r="JI20" s="7"/>
      <c r="JP20" s="7"/>
      <c r="JW20" s="7"/>
      <c r="KD20" s="7"/>
      <c r="KK20" s="7"/>
      <c r="KR20" s="7"/>
      <c r="KY20" s="7"/>
      <c r="LF20" s="7"/>
      <c r="LM20" s="7"/>
      <c r="LT20" s="7"/>
      <c r="MA20" s="7"/>
      <c r="MH20" s="7"/>
      <c r="MO20" s="7"/>
      <c r="MV20" s="7"/>
    </row>
    <row r="21" spans="1:360" x14ac:dyDescent="0.25">
      <c r="A21" s="8" t="s">
        <v>142</v>
      </c>
      <c r="B21" s="8" t="s">
        <v>141</v>
      </c>
      <c r="C21" s="8" t="s">
        <v>140</v>
      </c>
      <c r="D21" s="8" t="s">
        <v>139</v>
      </c>
      <c r="E21" s="18">
        <v>38954</v>
      </c>
      <c r="F21" s="10">
        <f t="shared" si="315"/>
        <v>1</v>
      </c>
      <c r="G21" s="19">
        <f t="shared" si="315"/>
        <v>1</v>
      </c>
      <c r="H21" s="19">
        <f t="shared" si="315"/>
        <v>1</v>
      </c>
      <c r="I21" s="19" t="str">
        <f t="shared" si="315"/>
        <v/>
      </c>
      <c r="J21" s="19" t="str">
        <f t="shared" si="315"/>
        <v/>
      </c>
      <c r="K21" s="19" t="str">
        <f t="shared" si="315"/>
        <v/>
      </c>
      <c r="L21" s="19" t="str">
        <f t="shared" si="315"/>
        <v/>
      </c>
      <c r="M21" s="8">
        <v>1</v>
      </c>
      <c r="N21" s="8">
        <v>1</v>
      </c>
      <c r="O21" s="9"/>
      <c r="P21" s="8">
        <f t="shared" si="311"/>
        <v>47</v>
      </c>
      <c r="Q21" s="109">
        <f t="shared" si="313"/>
        <v>68.115942028985515</v>
      </c>
      <c r="R21" s="129" t="str">
        <f t="shared" si="314"/>
        <v>-14</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366</v>
      </c>
      <c r="GJ21" s="7"/>
      <c r="GQ21" s="7"/>
      <c r="GX21" s="7"/>
      <c r="HE21" s="7"/>
      <c r="HL21" s="7"/>
      <c r="HS21" s="7"/>
      <c r="HZ21" s="7"/>
      <c r="IG21" s="7"/>
      <c r="IN21" s="7"/>
      <c r="IU21" s="7"/>
      <c r="JB21" s="7"/>
      <c r="JI21" s="7"/>
      <c r="JP21" s="7"/>
      <c r="JW21" s="7"/>
      <c r="KD21" s="7"/>
      <c r="KK21" s="7"/>
      <c r="KR21" s="7"/>
      <c r="KY21" s="7"/>
      <c r="LF21" s="7"/>
      <c r="LM21" s="7"/>
      <c r="LT21" s="7"/>
      <c r="MA21" s="7"/>
      <c r="MH21" s="7"/>
      <c r="MO21" s="7"/>
      <c r="MV21" s="7"/>
    </row>
    <row r="22" spans="1:360" hidden="1" x14ac:dyDescent="0.25">
      <c r="A22" s="8" t="s">
        <v>162</v>
      </c>
      <c r="B22" s="8" t="s">
        <v>184</v>
      </c>
      <c r="C22" s="8" t="s">
        <v>186</v>
      </c>
      <c r="D22" s="8" t="s">
        <v>185</v>
      </c>
      <c r="E22" s="18"/>
      <c r="F22" s="10" t="str">
        <f t="shared" si="315"/>
        <v/>
      </c>
      <c r="G22" s="19" t="str">
        <f t="shared" si="315"/>
        <v/>
      </c>
      <c r="H22" s="19" t="str">
        <f t="shared" si="315"/>
        <v/>
      </c>
      <c r="I22" s="19" t="str">
        <f t="shared" si="315"/>
        <v/>
      </c>
      <c r="J22" s="19" t="str">
        <f t="shared" si="315"/>
        <v/>
      </c>
      <c r="K22" s="19" t="str">
        <f t="shared" si="315"/>
        <v/>
      </c>
      <c r="L22" s="19" t="str">
        <f t="shared" si="315"/>
        <v/>
      </c>
      <c r="M22" s="8"/>
      <c r="N22" s="8">
        <v>1</v>
      </c>
      <c r="O22" s="9"/>
      <c r="P22" s="8">
        <f t="shared" si="311"/>
        <v>1</v>
      </c>
      <c r="Q22" s="109">
        <f t="shared" si="313"/>
        <v>1.4492753623188406</v>
      </c>
      <c r="R22" s="129" t="str">
        <f t="shared" si="314"/>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J22" s="7"/>
      <c r="GQ22" s="7"/>
      <c r="GX22" s="7"/>
      <c r="HE22" s="7"/>
      <c r="HL22" s="7"/>
      <c r="HS22" s="7"/>
      <c r="HZ22" s="7"/>
      <c r="IG22" s="7"/>
      <c r="IN22" s="7"/>
      <c r="IU22" s="7"/>
      <c r="JB22" s="7"/>
      <c r="JI22" s="7"/>
      <c r="JP22" s="7"/>
      <c r="JW22" s="7"/>
      <c r="KD22" s="7"/>
      <c r="KK22" s="7"/>
      <c r="KR22" s="7"/>
      <c r="KY22" s="7"/>
      <c r="LF22" s="7"/>
      <c r="LM22" s="7"/>
      <c r="LT22" s="7"/>
      <c r="MA22" s="7"/>
      <c r="MH22" s="7"/>
      <c r="MO22" s="7"/>
      <c r="MV22" s="7"/>
    </row>
    <row r="23" spans="1:360" x14ac:dyDescent="0.25">
      <c r="A23" s="8" t="s">
        <v>138</v>
      </c>
      <c r="B23" s="8" t="s">
        <v>137</v>
      </c>
      <c r="C23" s="8" t="s">
        <v>136</v>
      </c>
      <c r="D23" s="8" t="s">
        <v>135</v>
      </c>
      <c r="E23" s="18">
        <v>39155</v>
      </c>
      <c r="F23" s="10">
        <f t="shared" si="315"/>
        <v>1</v>
      </c>
      <c r="G23" s="19">
        <f t="shared" si="315"/>
        <v>1</v>
      </c>
      <c r="H23" s="19">
        <f t="shared" si="315"/>
        <v>1</v>
      </c>
      <c r="I23" s="19">
        <f t="shared" si="315"/>
        <v>1</v>
      </c>
      <c r="J23" s="19" t="str">
        <f t="shared" si="315"/>
        <v/>
      </c>
      <c r="K23" s="19" t="str">
        <f t="shared" si="315"/>
        <v/>
      </c>
      <c r="L23" s="19" t="str">
        <f t="shared" si="315"/>
        <v/>
      </c>
      <c r="M23" s="8">
        <v>1</v>
      </c>
      <c r="N23" s="8">
        <v>1</v>
      </c>
      <c r="O23" s="9"/>
      <c r="P23" s="8">
        <f t="shared" si="311"/>
        <v>48</v>
      </c>
      <c r="Q23" s="109">
        <f t="shared" si="313"/>
        <v>69.565217391304344</v>
      </c>
      <c r="R23" s="129" t="str">
        <f t="shared" si="314"/>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366</v>
      </c>
      <c r="GJ23" s="7"/>
      <c r="GQ23" s="7"/>
      <c r="GX23" s="7"/>
      <c r="HE23" s="7"/>
      <c r="HL23" s="7"/>
      <c r="HS23" s="7"/>
      <c r="HZ23" s="7"/>
      <c r="IG23" s="7"/>
      <c r="IN23" s="7"/>
      <c r="IU23" s="7"/>
      <c r="JB23" s="7"/>
      <c r="JI23" s="7"/>
      <c r="JP23" s="7"/>
      <c r="JW23" s="7"/>
      <c r="KD23" s="7"/>
      <c r="KK23" s="7"/>
      <c r="KR23" s="7"/>
      <c r="KY23" s="7"/>
      <c r="LF23" s="7"/>
      <c r="LM23" s="7"/>
      <c r="LT23" s="7"/>
      <c r="MA23" s="7"/>
      <c r="MH23" s="7"/>
      <c r="MO23" s="7"/>
      <c r="MV23" s="7"/>
    </row>
    <row r="24" spans="1:360" x14ac:dyDescent="0.25">
      <c r="A24" s="8" t="s">
        <v>134</v>
      </c>
      <c r="B24" s="8" t="s">
        <v>133</v>
      </c>
      <c r="C24" s="8" t="s">
        <v>169</v>
      </c>
      <c r="D24" s="8" t="s">
        <v>170</v>
      </c>
      <c r="E24" s="18">
        <v>37177</v>
      </c>
      <c r="F24" s="10" t="str">
        <f t="shared" si="315"/>
        <v/>
      </c>
      <c r="G24" s="19" t="str">
        <f t="shared" si="315"/>
        <v/>
      </c>
      <c r="H24" s="19" t="str">
        <f t="shared" si="315"/>
        <v/>
      </c>
      <c r="I24" s="19" t="str">
        <f t="shared" si="315"/>
        <v/>
      </c>
      <c r="J24" s="19" t="str">
        <f t="shared" si="315"/>
        <v/>
      </c>
      <c r="K24" s="19" t="str">
        <f t="shared" si="315"/>
        <v/>
      </c>
      <c r="L24" s="19" t="str">
        <f t="shared" si="315"/>
        <v/>
      </c>
      <c r="M24" s="8"/>
      <c r="N24" s="8"/>
      <c r="O24" s="9">
        <v>1</v>
      </c>
      <c r="P24" s="8">
        <f t="shared" si="311"/>
        <v>51</v>
      </c>
      <c r="Q24" s="109">
        <f t="shared" si="313"/>
        <v>73.91304347826086</v>
      </c>
      <c r="R24" s="129" t="str">
        <f t="shared" si="314"/>
        <v>-7</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GB24">
        <v>0</v>
      </c>
      <c r="GC24" s="80" t="s">
        <v>366</v>
      </c>
      <c r="GJ24" s="7"/>
      <c r="GQ24" s="7"/>
      <c r="GX24" s="7"/>
      <c r="HE24" s="7"/>
      <c r="HL24" s="7"/>
      <c r="HS24" s="7"/>
      <c r="HZ24" s="7"/>
      <c r="IG24" s="7"/>
      <c r="IN24" s="7"/>
      <c r="IU24" s="7"/>
      <c r="JB24" s="7"/>
      <c r="JI24" s="7"/>
      <c r="JP24" s="7"/>
      <c r="JW24" s="7"/>
      <c r="KD24" s="7"/>
      <c r="KK24" s="7"/>
      <c r="KR24" s="7"/>
      <c r="KY24" s="7"/>
      <c r="LF24" s="7"/>
      <c r="LM24" s="7"/>
      <c r="LT24" s="7"/>
      <c r="MA24" s="7"/>
      <c r="MH24" s="7"/>
      <c r="MO24" s="7"/>
      <c r="MV24" s="7"/>
    </row>
    <row r="25" spans="1:360" x14ac:dyDescent="0.25">
      <c r="A25" s="8" t="s">
        <v>125</v>
      </c>
      <c r="B25" s="8" t="s">
        <v>124</v>
      </c>
      <c r="C25" s="8" t="s">
        <v>167</v>
      </c>
      <c r="D25" s="8" t="s">
        <v>168</v>
      </c>
      <c r="E25" s="18">
        <v>36870</v>
      </c>
      <c r="F25" s="10" t="str">
        <f t="shared" si="315"/>
        <v/>
      </c>
      <c r="G25" s="19" t="str">
        <f t="shared" si="315"/>
        <v/>
      </c>
      <c r="H25" s="19" t="str">
        <f t="shared" si="315"/>
        <v/>
      </c>
      <c r="I25" s="19" t="str">
        <f t="shared" si="315"/>
        <v/>
      </c>
      <c r="J25" s="19" t="str">
        <f t="shared" si="315"/>
        <v/>
      </c>
      <c r="K25" s="19" t="str">
        <f t="shared" si="315"/>
        <v/>
      </c>
      <c r="L25" s="19" t="str">
        <f t="shared" si="315"/>
        <v/>
      </c>
      <c r="M25" s="8"/>
      <c r="N25" s="8"/>
      <c r="O25" s="9">
        <v>1</v>
      </c>
      <c r="P25" s="8">
        <f t="shared" si="311"/>
        <v>57</v>
      </c>
      <c r="Q25" s="109">
        <f t="shared" si="313"/>
        <v>82.608695652173907</v>
      </c>
      <c r="R25" s="129" t="str">
        <f t="shared" si="314"/>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GB25">
        <v>0</v>
      </c>
      <c r="GC25" s="80" t="s">
        <v>366</v>
      </c>
      <c r="GJ25" s="7"/>
      <c r="GQ25" s="7"/>
      <c r="GX25" s="7"/>
      <c r="HE25" s="7"/>
      <c r="HL25" s="7"/>
      <c r="HS25" s="7"/>
      <c r="HZ25" s="7"/>
      <c r="IG25" s="7"/>
      <c r="IN25" s="7"/>
      <c r="IU25" s="7"/>
      <c r="JB25" s="7"/>
      <c r="JI25" s="7"/>
      <c r="JP25" s="7"/>
      <c r="JW25" s="7"/>
      <c r="KD25" s="7"/>
      <c r="KK25" s="7"/>
      <c r="KR25" s="7"/>
      <c r="KY25" s="7"/>
      <c r="LF25" s="7"/>
      <c r="LM25" s="7"/>
      <c r="LT25" s="7"/>
      <c r="MA25" s="7"/>
      <c r="MH25" s="7"/>
      <c r="MO25" s="7"/>
      <c r="MV25" s="7"/>
    </row>
    <row r="26" spans="1:360" x14ac:dyDescent="0.25">
      <c r="A26" s="8" t="s">
        <v>181</v>
      </c>
      <c r="B26" s="8" t="s">
        <v>182</v>
      </c>
      <c r="C26" s="8" t="s">
        <v>183</v>
      </c>
      <c r="D26" s="8" t="s">
        <v>81</v>
      </c>
      <c r="E26" s="18">
        <v>38054</v>
      </c>
      <c r="F26" s="10">
        <f t="shared" si="315"/>
        <v>1</v>
      </c>
      <c r="G26" s="19">
        <f t="shared" si="315"/>
        <v>1</v>
      </c>
      <c r="H26" s="19" t="str">
        <f t="shared" si="315"/>
        <v/>
      </c>
      <c r="I26" s="19" t="str">
        <f t="shared" si="315"/>
        <v/>
      </c>
      <c r="J26" s="19" t="str">
        <f t="shared" si="315"/>
        <v/>
      </c>
      <c r="K26" s="19" t="str">
        <f t="shared" si="315"/>
        <v/>
      </c>
      <c r="L26" s="19" t="str">
        <f t="shared" si="315"/>
        <v/>
      </c>
      <c r="M26" s="8"/>
      <c r="N26" s="8">
        <v>1</v>
      </c>
      <c r="O26" s="9">
        <v>1</v>
      </c>
      <c r="P26" s="8">
        <f t="shared" si="311"/>
        <v>63</v>
      </c>
      <c r="Q26" s="109">
        <f t="shared" si="313"/>
        <v>91.304347826086953</v>
      </c>
      <c r="R26" s="129" t="str">
        <f t="shared" si="314"/>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GB26">
        <v>0</v>
      </c>
      <c r="GC26" s="80" t="s">
        <v>366</v>
      </c>
      <c r="GJ26" s="7"/>
      <c r="GQ26" s="7"/>
      <c r="GX26" s="7"/>
      <c r="HE26" s="7"/>
      <c r="HL26" s="7"/>
      <c r="HS26" s="7"/>
      <c r="HZ26" s="7"/>
      <c r="IG26" s="7"/>
      <c r="IN26" s="7"/>
      <c r="IU26" s="7"/>
      <c r="JB26" s="7"/>
      <c r="JI26" s="7"/>
      <c r="JP26" s="7"/>
      <c r="JW26" s="7"/>
      <c r="KD26" s="7"/>
      <c r="KK26" s="7"/>
      <c r="KR26" s="7"/>
      <c r="KY26" s="7"/>
      <c r="LF26" s="7"/>
      <c r="LM26" s="7"/>
      <c r="LT26" s="7"/>
      <c r="MA26" s="7"/>
      <c r="MH26" s="7"/>
      <c r="MO26" s="7"/>
      <c r="MV26" s="7"/>
    </row>
    <row r="27" spans="1:360" hidden="1" x14ac:dyDescent="0.25">
      <c r="A27" s="8" t="s">
        <v>129</v>
      </c>
      <c r="B27" s="8"/>
      <c r="C27" s="8" t="s">
        <v>165</v>
      </c>
      <c r="D27" s="8" t="s">
        <v>166</v>
      </c>
      <c r="E27" s="18">
        <v>36892</v>
      </c>
      <c r="F27" s="10" t="str">
        <f t="shared" si="315"/>
        <v/>
      </c>
      <c r="G27" s="19" t="str">
        <f t="shared" si="315"/>
        <v/>
      </c>
      <c r="H27" s="19" t="str">
        <f t="shared" si="315"/>
        <v/>
      </c>
      <c r="I27" s="19" t="str">
        <f t="shared" si="315"/>
        <v/>
      </c>
      <c r="J27" s="19" t="str">
        <f t="shared" si="315"/>
        <v/>
      </c>
      <c r="K27" s="19" t="str">
        <f t="shared" si="315"/>
        <v/>
      </c>
      <c r="L27" s="19" t="str">
        <f t="shared" si="315"/>
        <v/>
      </c>
      <c r="M27" s="8"/>
      <c r="N27" s="8"/>
      <c r="O27" s="9"/>
      <c r="P27" s="8" t="str">
        <f t="shared" si="311"/>
        <v/>
      </c>
      <c r="Q27" s="109" t="str">
        <f>IF(SUM(S27:XFD27) &gt; 0, SUM(S27:XFD27) /#REF! * 100, "")</f>
        <v/>
      </c>
      <c r="R27" s="129" t="str">
        <f t="shared" si="314"/>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J27" s="7"/>
      <c r="GQ27" s="7"/>
      <c r="GX27" s="7"/>
      <c r="HE27" s="7"/>
      <c r="HL27" s="7"/>
      <c r="HS27" s="7"/>
      <c r="HZ27" s="7"/>
      <c r="IG27" s="7"/>
      <c r="IN27" s="7"/>
      <c r="IU27" s="7"/>
      <c r="JB27" s="7"/>
      <c r="JI27" s="7"/>
      <c r="JP27" s="7"/>
      <c r="JW27" s="7"/>
      <c r="KD27" s="7"/>
      <c r="KK27" s="7"/>
      <c r="KR27" s="7"/>
      <c r="KY27" s="7"/>
      <c r="LF27" s="7"/>
      <c r="LM27" s="7"/>
      <c r="LT27" s="7"/>
      <c r="MA27" s="7"/>
      <c r="MH27" s="7"/>
      <c r="MO27" s="7"/>
      <c r="MV27" s="7"/>
    </row>
    <row r="28" spans="1:360" x14ac:dyDescent="0.25">
      <c r="A28" s="88" t="s">
        <v>132</v>
      </c>
      <c r="B28" s="88"/>
      <c r="C28" s="88" t="s">
        <v>131</v>
      </c>
      <c r="D28" s="88" t="s">
        <v>130</v>
      </c>
      <c r="E28" s="89">
        <v>39280</v>
      </c>
      <c r="F28" s="90">
        <f t="shared" si="315"/>
        <v>1</v>
      </c>
      <c r="G28" s="88">
        <f t="shared" si="315"/>
        <v>1</v>
      </c>
      <c r="H28" s="88">
        <f t="shared" si="315"/>
        <v>1</v>
      </c>
      <c r="I28" s="88">
        <f t="shared" si="315"/>
        <v>1</v>
      </c>
      <c r="J28" s="88" t="str">
        <f t="shared" si="315"/>
        <v/>
      </c>
      <c r="K28" s="88" t="str">
        <f t="shared" si="315"/>
        <v/>
      </c>
      <c r="L28" s="88" t="str">
        <f t="shared" si="315"/>
        <v/>
      </c>
      <c r="M28" s="88">
        <v>1</v>
      </c>
      <c r="N28" s="88">
        <v>1</v>
      </c>
      <c r="O28" s="91"/>
      <c r="P28" s="88">
        <f t="shared" si="311"/>
        <v>30</v>
      </c>
      <c r="Q28" s="110">
        <f>IF(SUM(S28:XFD28) &gt; 0, SUM(S28:XFD28) /P$37 * 100, "")</f>
        <v>43.478260869565219</v>
      </c>
      <c r="R28" s="130" t="str">
        <f t="shared" si="314"/>
        <v>-47</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366</v>
      </c>
      <c r="GD28" s="93"/>
      <c r="GE28" s="93"/>
      <c r="GF28" s="93"/>
      <c r="GG28" s="93"/>
      <c r="GH28" s="93"/>
      <c r="GI28" s="93"/>
      <c r="GJ28" s="92"/>
      <c r="GK28" s="93"/>
      <c r="GL28" s="93"/>
      <c r="GM28" s="93"/>
      <c r="GN28" s="93"/>
      <c r="GO28" s="93"/>
      <c r="GP28" s="93"/>
      <c r="GQ28" s="92"/>
      <c r="GR28" s="93"/>
      <c r="GS28" s="93"/>
      <c r="GT28" s="93"/>
      <c r="GU28" s="93"/>
      <c r="GV28" s="93"/>
      <c r="GW28" s="93"/>
      <c r="GX28" s="92"/>
      <c r="GY28" s="93"/>
      <c r="GZ28" s="93"/>
      <c r="HA28" s="93"/>
      <c r="HB28" s="93"/>
      <c r="HC28" s="93"/>
      <c r="HD28" s="93"/>
      <c r="HE28" s="92"/>
      <c r="HF28" s="93"/>
      <c r="HG28" s="93"/>
      <c r="HH28" s="93"/>
      <c r="HI28" s="93"/>
      <c r="HJ28" s="93"/>
      <c r="HK28" s="93"/>
      <c r="HL28" s="92"/>
      <c r="HM28" s="93"/>
      <c r="HN28" s="93"/>
      <c r="HO28" s="93"/>
      <c r="HP28" s="93"/>
      <c r="HQ28" s="93"/>
      <c r="HR28" s="93"/>
      <c r="HS28" s="92"/>
      <c r="HT28" s="93"/>
      <c r="HU28" s="93"/>
      <c r="HV28" s="93"/>
      <c r="HW28" s="93"/>
      <c r="HX28" s="93"/>
      <c r="HY28" s="93"/>
      <c r="HZ28" s="92"/>
      <c r="IA28" s="93"/>
      <c r="IB28" s="93"/>
      <c r="IC28" s="93"/>
      <c r="ID28" s="93"/>
      <c r="IE28" s="93"/>
      <c r="IF28" s="93"/>
      <c r="IG28" s="92"/>
      <c r="IH28" s="93"/>
      <c r="II28" s="93"/>
      <c r="IJ28" s="93"/>
      <c r="IK28" s="93"/>
      <c r="IL28" s="93"/>
      <c r="IM28" s="93"/>
      <c r="IN28" s="92"/>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row>
    <row r="29" spans="1:360" hidden="1" x14ac:dyDescent="0.25">
      <c r="A29" s="19" t="s">
        <v>92</v>
      </c>
      <c r="B29" s="19"/>
      <c r="C29" s="19" t="s">
        <v>159</v>
      </c>
      <c r="D29" s="19" t="s">
        <v>121</v>
      </c>
      <c r="E29" s="56">
        <v>38544</v>
      </c>
      <c r="F29" s="10">
        <f t="shared" si="315"/>
        <v>1</v>
      </c>
      <c r="G29" s="19">
        <f t="shared" si="315"/>
        <v>1</v>
      </c>
      <c r="H29" s="19" t="str">
        <f t="shared" si="315"/>
        <v/>
      </c>
      <c r="I29" s="19" t="str">
        <f t="shared" si="315"/>
        <v/>
      </c>
      <c r="J29" s="19" t="str">
        <f t="shared" si="315"/>
        <v/>
      </c>
      <c r="K29" s="19" t="str">
        <f t="shared" si="315"/>
        <v/>
      </c>
      <c r="L29" s="19" t="str">
        <f t="shared" si="315"/>
        <v/>
      </c>
      <c r="M29" s="8"/>
      <c r="N29" s="8">
        <v>1</v>
      </c>
      <c r="O29" s="9"/>
      <c r="P29" s="8" t="str">
        <f t="shared" si="311"/>
        <v/>
      </c>
      <c r="Q29" s="109" t="str">
        <f>IF(SUM(S29:XFD29) &gt; 0, SUM(S29:XFD29) /#REF! * 100, "")</f>
        <v/>
      </c>
      <c r="R29" s="129" t="str">
        <f t="shared" si="314"/>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J29" s="7"/>
      <c r="GQ29" s="7"/>
      <c r="GX29" s="7"/>
      <c r="HE29" s="7"/>
      <c r="HL29" s="7"/>
      <c r="HS29" s="7"/>
      <c r="HZ29" s="7"/>
      <c r="IG29" s="7"/>
      <c r="IN29" s="7"/>
      <c r="IU29" s="7"/>
      <c r="JB29" s="7"/>
      <c r="JI29" s="7"/>
      <c r="JP29" s="7"/>
      <c r="JW29" s="7"/>
      <c r="KD29" s="7"/>
      <c r="KK29" s="7"/>
      <c r="KR29" s="7"/>
      <c r="KY29" s="7"/>
      <c r="LF29" s="7"/>
      <c r="LM29" s="7"/>
      <c r="LT29" s="7"/>
      <c r="MA29" s="7"/>
      <c r="MH29" s="7"/>
      <c r="MO29" s="7"/>
      <c r="MV29" s="7"/>
    </row>
    <row r="30" spans="1:360" x14ac:dyDescent="0.25">
      <c r="A30" s="8" t="s">
        <v>115</v>
      </c>
      <c r="B30" s="8"/>
      <c r="C30" s="8" t="s">
        <v>243</v>
      </c>
      <c r="D30" s="8" t="s">
        <v>244</v>
      </c>
      <c r="E30" s="18">
        <v>36526</v>
      </c>
      <c r="F30" s="10" t="str">
        <f t="shared" si="315"/>
        <v/>
      </c>
      <c r="G30" s="19" t="str">
        <f t="shared" ref="G30:L30" si="316">IF($E30 &gt;= G$5, 1, "")</f>
        <v/>
      </c>
      <c r="H30" s="19" t="str">
        <f t="shared" si="316"/>
        <v/>
      </c>
      <c r="I30" s="19" t="str">
        <f t="shared" si="316"/>
        <v/>
      </c>
      <c r="J30" s="19" t="str">
        <f t="shared" si="316"/>
        <v/>
      </c>
      <c r="K30" s="19" t="str">
        <f t="shared" si="316"/>
        <v/>
      </c>
      <c r="L30" s="19" t="str">
        <f t="shared" si="316"/>
        <v/>
      </c>
      <c r="M30" s="8"/>
      <c r="N30" s="8"/>
      <c r="O30" s="9"/>
      <c r="P30" s="8">
        <f t="shared" si="311"/>
        <v>15</v>
      </c>
      <c r="Q30" s="109">
        <f>IF(SUM(S30:XFD30) &gt; 0, SUM(S30:XFD30) /P$37 * 100, "")</f>
        <v>21.739130434782609</v>
      </c>
      <c r="R30" s="143" t="str">
        <f t="shared" si="314"/>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J30" s="7"/>
      <c r="GQ30" s="7"/>
      <c r="GX30" s="7"/>
      <c r="HE30" s="7"/>
      <c r="HL30" s="7"/>
      <c r="HS30" s="7"/>
      <c r="HZ30" s="7"/>
      <c r="IG30" s="7"/>
      <c r="IN30" s="7"/>
      <c r="IU30" s="7"/>
      <c r="JB30" s="7"/>
      <c r="JI30" s="7"/>
      <c r="JP30" s="7"/>
      <c r="JW30" s="7"/>
      <c r="KD30" s="7"/>
      <c r="KK30" s="7"/>
      <c r="KR30" s="7"/>
      <c r="KY30" s="7"/>
      <c r="LF30" s="7"/>
      <c r="LM30" s="7"/>
      <c r="LT30" s="7"/>
      <c r="MA30" s="7"/>
      <c r="MH30" s="7"/>
      <c r="MO30" s="7"/>
      <c r="MV30" s="7"/>
    </row>
    <row r="31" spans="1:360" hidden="1" x14ac:dyDescent="0.25">
      <c r="A31" s="8" t="s">
        <v>430</v>
      </c>
      <c r="B31" s="8"/>
      <c r="C31" s="8" t="s">
        <v>431</v>
      </c>
      <c r="D31" s="8" t="s">
        <v>432</v>
      </c>
      <c r="E31" s="18"/>
      <c r="F31" s="10"/>
      <c r="G31" s="19"/>
      <c r="H31" s="19"/>
      <c r="I31" s="19"/>
      <c r="J31" s="19"/>
      <c r="K31" s="19"/>
      <c r="L31" s="19"/>
      <c r="M31" s="8"/>
      <c r="N31" s="8"/>
      <c r="O31" s="9"/>
      <c r="P31" s="8">
        <f t="shared" si="311"/>
        <v>2</v>
      </c>
      <c r="Q31" s="109" t="e">
        <f>IF(SUM(S31:XFD31) &gt; 0, SUM(S31:XFD31) /#REF! * 100, "")</f>
        <v>#REF!</v>
      </c>
      <c r="R31" s="129" t="str">
        <f t="shared" si="314"/>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J31" s="7"/>
      <c r="GQ31" s="7"/>
      <c r="GX31" s="7"/>
      <c r="HE31" s="7"/>
      <c r="HL31" s="7"/>
      <c r="HS31" s="7"/>
      <c r="HZ31" s="7"/>
      <c r="IG31" s="7"/>
      <c r="IN31" s="7"/>
      <c r="IU31" s="7"/>
      <c r="JB31" s="7"/>
      <c r="JI31" s="7"/>
      <c r="JP31" s="7"/>
      <c r="JW31" s="7"/>
      <c r="KD31" s="7"/>
      <c r="KK31" s="7"/>
      <c r="KR31" s="7"/>
      <c r="KY31" s="7"/>
      <c r="LF31" s="7"/>
      <c r="LM31" s="7"/>
      <c r="LT31" s="7"/>
      <c r="MA31" s="7"/>
      <c r="MH31" s="7"/>
      <c r="MO31" s="7"/>
      <c r="MV31" s="7"/>
    </row>
    <row r="32" spans="1:360" hidden="1" x14ac:dyDescent="0.25">
      <c r="A32" s="8" t="s">
        <v>348</v>
      </c>
      <c r="B32" s="8"/>
      <c r="C32" s="8"/>
      <c r="D32" s="8" t="s">
        <v>522</v>
      </c>
      <c r="E32" s="18"/>
      <c r="F32" s="10"/>
      <c r="G32" s="19"/>
      <c r="H32" s="19"/>
      <c r="I32" s="19"/>
      <c r="J32" s="19"/>
      <c r="K32" s="19"/>
      <c r="L32" s="19"/>
      <c r="M32" s="8"/>
      <c r="N32" s="8"/>
      <c r="O32" s="9"/>
      <c r="P32" s="8">
        <f t="shared" si="311"/>
        <v>2</v>
      </c>
      <c r="Q32" s="109" t="e">
        <f>IF(SUM(S32:XFD32) &gt; 0, SUM(S32:XFD32) /#REF! * 100, "")</f>
        <v>#REF!</v>
      </c>
      <c r="R32" s="129" t="str">
        <f t="shared" si="314"/>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J32" s="7"/>
      <c r="GQ32" s="7"/>
      <c r="GX32" s="7"/>
      <c r="HE32" s="7"/>
      <c r="HL32" s="7"/>
      <c r="HS32" s="7"/>
      <c r="HZ32" s="7"/>
      <c r="IG32" s="7"/>
      <c r="IN32" s="7"/>
      <c r="IU32" s="7"/>
      <c r="JB32" s="7"/>
      <c r="JI32" s="7"/>
      <c r="JP32" s="7"/>
      <c r="JW32" s="7"/>
      <c r="KD32" s="7"/>
      <c r="KK32" s="7"/>
      <c r="KR32" s="7"/>
      <c r="KY32" s="7"/>
      <c r="LF32" s="7"/>
      <c r="LM32" s="7"/>
      <c r="LT32" s="7"/>
      <c r="MA32" s="7"/>
      <c r="MH32" s="7"/>
      <c r="MO32" s="7"/>
      <c r="MV32" s="7"/>
    </row>
    <row r="33" spans="1:360" hidden="1" x14ac:dyDescent="0.25">
      <c r="A33" s="8" t="s">
        <v>487</v>
      </c>
      <c r="B33" s="8"/>
      <c r="C33" s="8"/>
      <c r="D33" s="8" t="s">
        <v>441</v>
      </c>
      <c r="E33" s="18"/>
      <c r="F33" s="10"/>
      <c r="G33" s="19"/>
      <c r="H33" s="19"/>
      <c r="I33" s="19"/>
      <c r="J33" s="19"/>
      <c r="K33" s="19"/>
      <c r="L33" s="19"/>
      <c r="M33" s="8"/>
      <c r="N33" s="8"/>
      <c r="O33" s="9"/>
      <c r="P33" s="8">
        <f t="shared" si="311"/>
        <v>2</v>
      </c>
      <c r="Q33" s="109" t="e">
        <f>IF(SUM(S33:XFD33) &gt; 0, SUM(S33:XFD33) /#REF! * 100, "")</f>
        <v>#REF!</v>
      </c>
      <c r="R33" s="129" t="str">
        <f t="shared" si="314"/>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J33" s="7"/>
      <c r="GQ33" s="7"/>
      <c r="GX33" s="7"/>
      <c r="HE33" s="7"/>
      <c r="HL33" s="7"/>
      <c r="HS33" s="7"/>
      <c r="HZ33" s="7"/>
      <c r="IG33" s="7"/>
      <c r="IN33" s="7"/>
      <c r="IU33" s="7"/>
      <c r="JB33" s="7"/>
      <c r="JI33" s="7"/>
      <c r="JP33" s="7"/>
      <c r="JW33" s="7"/>
      <c r="KD33" s="7"/>
      <c r="KK33" s="7"/>
      <c r="KR33" s="7"/>
      <c r="KY33" s="7"/>
      <c r="LF33" s="7"/>
      <c r="LM33" s="7"/>
      <c r="LT33" s="7"/>
      <c r="MA33" s="7"/>
      <c r="MH33" s="7"/>
      <c r="MO33" s="7"/>
      <c r="MV33" s="7"/>
    </row>
    <row r="34" spans="1:360" x14ac:dyDescent="0.25">
      <c r="A34" s="8" t="s">
        <v>514</v>
      </c>
      <c r="B34" s="8"/>
      <c r="C34" s="8"/>
      <c r="D34" s="8" t="s">
        <v>554</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J34" s="7"/>
      <c r="GQ34" s="7"/>
      <c r="GX34" s="7"/>
      <c r="HE34" s="7"/>
      <c r="HL34" s="7"/>
      <c r="HS34" s="7"/>
      <c r="HZ34" s="7"/>
      <c r="IG34" s="7"/>
      <c r="IN34" s="7"/>
      <c r="IU34" s="7"/>
      <c r="JB34" s="7"/>
      <c r="JI34" s="7"/>
      <c r="JP34" s="7"/>
      <c r="JW34" s="7"/>
      <c r="KD34" s="7"/>
      <c r="KK34" s="7"/>
      <c r="KR34" s="7"/>
      <c r="KY34" s="7"/>
      <c r="LF34" s="7"/>
      <c r="LM34" s="7"/>
      <c r="LT34" s="7"/>
      <c r="MA34" s="7"/>
      <c r="MH34" s="7"/>
      <c r="MO34" s="7"/>
      <c r="MV34" s="7"/>
    </row>
    <row r="35" spans="1:360" x14ac:dyDescent="0.25">
      <c r="A35" s="8" t="s">
        <v>552</v>
      </c>
      <c r="B35" s="8"/>
      <c r="C35" s="8"/>
      <c r="D35" s="8" t="s">
        <v>553</v>
      </c>
      <c r="E35" s="18"/>
      <c r="F35" s="10"/>
      <c r="G35" s="19"/>
      <c r="H35" s="19"/>
      <c r="I35" s="19"/>
      <c r="J35" s="19"/>
      <c r="K35" s="19"/>
      <c r="L35" s="19"/>
      <c r="M35" s="8"/>
      <c r="N35" s="8"/>
      <c r="O35" s="9"/>
      <c r="P35" s="8"/>
      <c r="Q35" s="109"/>
      <c r="R35" s="129"/>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J35" s="7"/>
      <c r="GQ35" s="7"/>
      <c r="GX35" s="7"/>
      <c r="HE35" s="7"/>
      <c r="HL35" s="7"/>
      <c r="HS35" s="7"/>
      <c r="HZ35" s="7"/>
      <c r="IG35" s="7"/>
      <c r="IN35" s="7"/>
      <c r="IU35" s="7"/>
      <c r="JB35" s="7"/>
      <c r="JI35" s="7"/>
      <c r="JP35" s="7"/>
      <c r="JW35" s="7"/>
      <c r="KD35" s="7"/>
      <c r="KK35" s="7"/>
      <c r="KR35" s="7"/>
      <c r="KY35" s="7"/>
      <c r="LF35" s="7"/>
      <c r="LM35" s="7"/>
      <c r="LT35" s="7"/>
      <c r="MA35" s="7"/>
      <c r="MH35" s="7"/>
      <c r="MO35" s="7"/>
      <c r="MV35" s="7"/>
    </row>
    <row r="36" spans="1:360" ht="7.5" customHeight="1" x14ac:dyDescent="0.25">
      <c r="A36" s="8"/>
      <c r="B36" s="8"/>
      <c r="C36" s="8"/>
      <c r="D36" s="8"/>
      <c r="E36" s="8"/>
      <c r="F36" s="10"/>
      <c r="G36" s="19"/>
      <c r="H36" s="19"/>
      <c r="I36" s="8"/>
      <c r="J36" s="8"/>
      <c r="K36" s="8"/>
      <c r="L36" s="8"/>
      <c r="M36" s="8"/>
      <c r="N36" s="8"/>
      <c r="O36" s="9"/>
      <c r="P36" s="8" t="str">
        <f>IF(SUM(R36:MV36) &gt; 0, SUM(R36:MV36),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J36" s="7"/>
      <c r="GQ36" s="7"/>
      <c r="GX36" s="7"/>
      <c r="HE36" s="7"/>
      <c r="HL36" s="7"/>
      <c r="HS36" s="7"/>
      <c r="HZ36" s="7"/>
      <c r="IG36" s="7"/>
      <c r="IN36" s="7"/>
      <c r="IU36" s="7"/>
      <c r="JB36" s="7"/>
      <c r="JI36" s="7"/>
      <c r="JP36" s="7"/>
      <c r="JW36" s="7"/>
      <c r="KD36" s="7"/>
      <c r="KK36" s="7"/>
      <c r="KR36" s="7"/>
      <c r="KY36" s="7"/>
      <c r="LF36" s="7"/>
      <c r="LM36" s="7"/>
      <c r="LT36" s="7"/>
      <c r="MA36" s="7"/>
      <c r="MH36" s="7"/>
      <c r="MO36" s="7"/>
      <c r="MV36" s="7"/>
    </row>
    <row r="37" spans="1:360" s="142" customFormat="1" ht="15.75" thickBot="1" x14ac:dyDescent="0.3">
      <c r="A37" s="6" t="s">
        <v>18</v>
      </c>
      <c r="B37" s="3"/>
      <c r="C37" s="3"/>
      <c r="D37" s="3"/>
      <c r="E37" s="3"/>
      <c r="F37" s="5"/>
      <c r="G37" s="3"/>
      <c r="H37" s="3"/>
      <c r="I37" s="3"/>
      <c r="J37" s="3"/>
      <c r="K37" s="3"/>
      <c r="L37" s="3"/>
      <c r="M37" s="3"/>
      <c r="N37" s="3"/>
      <c r="O37" s="4"/>
      <c r="P37" s="3">
        <f>SUM(S37:MV37)</f>
        <v>69</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c r="FZ37" s="3"/>
      <c r="GA37" s="3"/>
      <c r="GB37" s="3"/>
      <c r="GC37" s="4"/>
      <c r="GD37" s="3"/>
      <c r="GE37" s="3"/>
      <c r="GF37" s="3"/>
      <c r="GG37" s="3"/>
      <c r="GH37" s="3"/>
      <c r="GI37" s="3"/>
      <c r="GJ37" s="4"/>
      <c r="GK37" s="3"/>
      <c r="GL37" s="3"/>
      <c r="GM37" s="3"/>
      <c r="GN37" s="3"/>
      <c r="GO37" s="3"/>
      <c r="GP37" s="3"/>
      <c r="GQ37" s="4"/>
      <c r="GR37" s="3"/>
      <c r="GS37" s="3"/>
      <c r="GT37" s="3"/>
      <c r="GU37" s="3"/>
      <c r="GV37" s="3"/>
      <c r="GW37" s="3"/>
      <c r="GX37" s="4"/>
      <c r="GY37" s="3"/>
      <c r="GZ37" s="3"/>
      <c r="HA37" s="3"/>
      <c r="HB37" s="3"/>
      <c r="HC37" s="3"/>
      <c r="HD37" s="3"/>
      <c r="HE37" s="4"/>
      <c r="HF37" s="3"/>
      <c r="HG37" s="3"/>
      <c r="HH37" s="3"/>
      <c r="HI37" s="3"/>
      <c r="HJ37" s="3"/>
      <c r="HK37" s="3"/>
      <c r="HL37" s="4"/>
      <c r="HM37" s="3"/>
      <c r="HN37" s="3"/>
      <c r="HO37" s="3"/>
      <c r="HP37" s="3"/>
      <c r="HQ37" s="3"/>
      <c r="HR37" s="3"/>
      <c r="HS37" s="4"/>
      <c r="HT37" s="3"/>
      <c r="HU37" s="3"/>
      <c r="HV37" s="3"/>
      <c r="HW37" s="3"/>
      <c r="HX37" s="3"/>
      <c r="HY37" s="3"/>
      <c r="HZ37" s="4"/>
      <c r="IA37" s="3"/>
      <c r="IB37" s="3"/>
      <c r="IC37" s="3"/>
      <c r="ID37" s="3"/>
      <c r="IE37" s="3"/>
      <c r="IF37" s="3"/>
      <c r="IG37" s="4"/>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row>
    <row r="38" spans="1:360" ht="15.75" thickBot="1" x14ac:dyDescent="0.3">
      <c r="A38" s="111" t="s">
        <v>25</v>
      </c>
      <c r="B38" s="16"/>
      <c r="C38" s="16"/>
      <c r="D38" s="16"/>
      <c r="E38" s="17"/>
      <c r="F38" s="16">
        <f t="shared" ref="F38:N38" si="317">SUM(F6:F36)</f>
        <v>14</v>
      </c>
      <c r="G38" s="16">
        <f t="shared" si="317"/>
        <v>9</v>
      </c>
      <c r="H38" s="16">
        <f t="shared" si="317"/>
        <v>3</v>
      </c>
      <c r="I38" s="16">
        <f t="shared" si="317"/>
        <v>2</v>
      </c>
      <c r="J38" s="16">
        <f t="shared" si="317"/>
        <v>0</v>
      </c>
      <c r="K38" s="16">
        <f t="shared" si="317"/>
        <v>0</v>
      </c>
      <c r="L38" s="16">
        <f t="shared" si="317"/>
        <v>0</v>
      </c>
      <c r="M38" s="16">
        <f t="shared" si="317"/>
        <v>4</v>
      </c>
      <c r="N38" s="16">
        <f t="shared" si="317"/>
        <v>16</v>
      </c>
      <c r="O38" s="17">
        <f>SUM(O6:O36)+ SUM(O45:O80)</f>
        <v>12</v>
      </c>
      <c r="P38" s="16">
        <f>VisibleSum(P6:P28)</f>
        <v>47.777777777777779</v>
      </c>
      <c r="Q38" s="16">
        <f>P38 / P37 * 100</f>
        <v>69.243156199677941</v>
      </c>
      <c r="R38" s="17">
        <f>VisibleSum(R6:R28)</f>
        <v>-17.611111111111111</v>
      </c>
      <c r="S38" s="15">
        <f t="shared" ref="S38:AX38" si="318">IF(SUM(S6:S36) &gt; 0, SUM(S6:S36), "")</f>
        <v>15</v>
      </c>
      <c r="T38" s="14" t="str">
        <f t="shared" si="318"/>
        <v/>
      </c>
      <c r="U38" s="14">
        <f t="shared" si="318"/>
        <v>12</v>
      </c>
      <c r="V38" s="14">
        <f t="shared" si="318"/>
        <v>13</v>
      </c>
      <c r="W38" s="14" t="str">
        <f t="shared" si="318"/>
        <v/>
      </c>
      <c r="X38" s="14">
        <f t="shared" si="318"/>
        <v>12</v>
      </c>
      <c r="Y38" s="14" t="str">
        <f t="shared" si="318"/>
        <v/>
      </c>
      <c r="Z38" s="15" t="str">
        <f t="shared" si="318"/>
        <v/>
      </c>
      <c r="AA38" s="14" t="str">
        <f t="shared" si="318"/>
        <v/>
      </c>
      <c r="AB38" s="14">
        <f t="shared" si="318"/>
        <v>15</v>
      </c>
      <c r="AC38" s="14" t="str">
        <f t="shared" si="318"/>
        <v/>
      </c>
      <c r="AD38" s="14">
        <f t="shared" si="318"/>
        <v>12</v>
      </c>
      <c r="AE38" s="14">
        <f t="shared" si="318"/>
        <v>15</v>
      </c>
      <c r="AF38" s="14" t="str">
        <f t="shared" si="318"/>
        <v/>
      </c>
      <c r="AG38" s="15" t="str">
        <f t="shared" si="318"/>
        <v/>
      </c>
      <c r="AH38" s="14" t="str">
        <f t="shared" si="318"/>
        <v/>
      </c>
      <c r="AI38" s="14">
        <f t="shared" si="318"/>
        <v>16</v>
      </c>
      <c r="AJ38" s="14" t="str">
        <f t="shared" si="318"/>
        <v/>
      </c>
      <c r="AK38" s="14">
        <f t="shared" si="318"/>
        <v>15</v>
      </c>
      <c r="AL38" s="14">
        <f t="shared" si="318"/>
        <v>10</v>
      </c>
      <c r="AM38" s="14" t="str">
        <f t="shared" si="318"/>
        <v/>
      </c>
      <c r="AN38" s="15" t="str">
        <f t="shared" si="318"/>
        <v/>
      </c>
      <c r="AO38" s="14" t="str">
        <f t="shared" si="318"/>
        <v/>
      </c>
      <c r="AP38" s="14">
        <f t="shared" si="318"/>
        <v>15</v>
      </c>
      <c r="AQ38" s="14" t="str">
        <f t="shared" si="318"/>
        <v/>
      </c>
      <c r="AR38" s="14">
        <f t="shared" si="318"/>
        <v>16</v>
      </c>
      <c r="AS38" s="14">
        <f t="shared" si="318"/>
        <v>11</v>
      </c>
      <c r="AT38" s="14" t="str">
        <f t="shared" si="318"/>
        <v/>
      </c>
      <c r="AU38" s="15" t="str">
        <f t="shared" si="318"/>
        <v/>
      </c>
      <c r="AV38" s="14" t="str">
        <f t="shared" si="318"/>
        <v/>
      </c>
      <c r="AW38" s="14">
        <f t="shared" si="318"/>
        <v>14</v>
      </c>
      <c r="AX38" s="14">
        <f t="shared" si="318"/>
        <v>2</v>
      </c>
      <c r="AY38" s="14">
        <f t="shared" ref="AY38:BW38" si="319">IF(SUM(AY6:AY36) &gt; 0, SUM(AY6:AY36), "")</f>
        <v>13</v>
      </c>
      <c r="AZ38" s="14">
        <f t="shared" si="319"/>
        <v>12</v>
      </c>
      <c r="BA38" s="14" t="str">
        <f t="shared" si="319"/>
        <v/>
      </c>
      <c r="BB38" s="15" t="str">
        <f t="shared" si="319"/>
        <v/>
      </c>
      <c r="BC38" s="14" t="str">
        <f t="shared" si="319"/>
        <v/>
      </c>
      <c r="BD38" s="14">
        <f t="shared" si="319"/>
        <v>14</v>
      </c>
      <c r="BE38" s="14" t="str">
        <f t="shared" si="319"/>
        <v/>
      </c>
      <c r="BF38" s="14">
        <f t="shared" si="319"/>
        <v>14</v>
      </c>
      <c r="BG38" s="14">
        <f t="shared" si="319"/>
        <v>11</v>
      </c>
      <c r="BH38" s="14" t="str">
        <f t="shared" si="319"/>
        <v/>
      </c>
      <c r="BI38" s="15" t="str">
        <f t="shared" si="319"/>
        <v/>
      </c>
      <c r="BJ38" s="14" t="str">
        <f t="shared" si="319"/>
        <v/>
      </c>
      <c r="BK38" s="14">
        <f t="shared" si="319"/>
        <v>16</v>
      </c>
      <c r="BL38" s="14" t="str">
        <f t="shared" si="319"/>
        <v/>
      </c>
      <c r="BM38" s="14">
        <f t="shared" si="319"/>
        <v>16</v>
      </c>
      <c r="BN38" s="14" t="str">
        <f t="shared" si="319"/>
        <v/>
      </c>
      <c r="BO38" s="14" t="str">
        <f t="shared" si="319"/>
        <v/>
      </c>
      <c r="BP38" s="15">
        <f t="shared" si="319"/>
        <v>8</v>
      </c>
      <c r="BQ38" s="14" t="str">
        <f t="shared" si="319"/>
        <v/>
      </c>
      <c r="BR38" s="14">
        <f t="shared" si="319"/>
        <v>17</v>
      </c>
      <c r="BS38" s="14" t="str">
        <f t="shared" si="319"/>
        <v/>
      </c>
      <c r="BT38" s="14">
        <f t="shared" si="319"/>
        <v>14</v>
      </c>
      <c r="BU38" s="14" t="str">
        <f t="shared" si="319"/>
        <v/>
      </c>
      <c r="BV38" s="14" t="str">
        <f t="shared" si="319"/>
        <v/>
      </c>
      <c r="BW38" s="14">
        <f t="shared" si="319"/>
        <v>3</v>
      </c>
      <c r="BX38" s="14"/>
      <c r="BY38" s="15">
        <f>VisibleSum(BY6:BY28)</f>
        <v>-3.3529411764705883</v>
      </c>
      <c r="BZ38" s="14" t="str">
        <f t="shared" ref="BZ38:CF38" si="320">IF(SUM(BZ6:BZ36) &gt; 0, SUM(BZ6:BZ36), "")</f>
        <v/>
      </c>
      <c r="CA38" s="14" t="str">
        <f t="shared" si="320"/>
        <v/>
      </c>
      <c r="CB38" s="14" t="str">
        <f t="shared" si="320"/>
        <v/>
      </c>
      <c r="CC38" s="14">
        <f t="shared" si="320"/>
        <v>9</v>
      </c>
      <c r="CD38" s="14" t="str">
        <f t="shared" si="320"/>
        <v/>
      </c>
      <c r="CE38" s="14" t="str">
        <f t="shared" si="320"/>
        <v/>
      </c>
      <c r="CF38" s="14">
        <f t="shared" si="320"/>
        <v>6</v>
      </c>
      <c r="CG38" s="14"/>
      <c r="CH38" s="15">
        <f>VisibleSum(CH6:CH28)</f>
        <v>-4.3529411764705879</v>
      </c>
      <c r="CI38" s="14" t="str">
        <f t="shared" ref="CI38:CO38" si="321">IF(SUM(CI6:CI36) &gt; 0, SUM(CI6:CI36), "")</f>
        <v/>
      </c>
      <c r="CJ38" s="14" t="str">
        <f t="shared" si="321"/>
        <v/>
      </c>
      <c r="CK38" s="14" t="str">
        <f t="shared" si="321"/>
        <v/>
      </c>
      <c r="CL38" s="14">
        <f t="shared" si="321"/>
        <v>10</v>
      </c>
      <c r="CM38" s="14" t="str">
        <f t="shared" si="321"/>
        <v/>
      </c>
      <c r="CN38" s="14" t="str">
        <f t="shared" si="321"/>
        <v/>
      </c>
      <c r="CO38" s="14">
        <f t="shared" si="321"/>
        <v>8</v>
      </c>
      <c r="CP38" s="14"/>
      <c r="CQ38" s="15">
        <f>VisibleSum(CQ6:CQ28)</f>
        <v>-4.4705882352941178</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-0.29411764705882354</v>
      </c>
      <c r="DA38" s="14" t="str">
        <f t="shared" ref="DA38:DG38" si="322">IF(SUM(DA6:DA36) &gt; 0, SUM(DA6:DA36), "")</f>
        <v/>
      </c>
      <c r="DB38" s="14">
        <f t="shared" si="322"/>
        <v>11</v>
      </c>
      <c r="DC38" s="14" t="str">
        <f t="shared" si="322"/>
        <v/>
      </c>
      <c r="DD38" s="14" t="str">
        <f t="shared" si="322"/>
        <v/>
      </c>
      <c r="DE38" s="14">
        <f t="shared" si="322"/>
        <v>8</v>
      </c>
      <c r="DF38" s="14" t="str">
        <f t="shared" si="322"/>
        <v/>
      </c>
      <c r="DG38" s="14">
        <f t="shared" si="322"/>
        <v>4</v>
      </c>
      <c r="DH38" s="14"/>
      <c r="DI38" s="131">
        <f>IF(VisibleSum(DI6:DI28) = "", "??", VisibleSum(DI6:DI28))</f>
        <v>-1.4705882352941178</v>
      </c>
      <c r="DJ38" s="14" t="str">
        <f t="shared" ref="DJ38:DP38" si="323">IF(SUM(DJ6:DJ36) &gt; 0, SUM(DJ6:DJ36), "")</f>
        <v/>
      </c>
      <c r="DK38" s="14">
        <f t="shared" si="323"/>
        <v>15</v>
      </c>
      <c r="DL38" s="14" t="str">
        <f t="shared" si="323"/>
        <v/>
      </c>
      <c r="DM38" s="14">
        <f t="shared" si="323"/>
        <v>12</v>
      </c>
      <c r="DN38" s="14">
        <f t="shared" si="323"/>
        <v>11</v>
      </c>
      <c r="DO38" s="14" t="str">
        <f t="shared" si="323"/>
        <v/>
      </c>
      <c r="DP38" s="14">
        <f t="shared" si="323"/>
        <v>7</v>
      </c>
      <c r="DQ38" s="14"/>
      <c r="DR38" s="131">
        <f>IF(VisibleSum(DR6:DR28) = "", "??", VisibleSum(DR6:DR28))</f>
        <v>-1.1764705882352942</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3"/>
      <c r="EA38" s="131">
        <f>IF(VisibleSum(EA6:EA28) = "", "??", VisibleSum(EA6:EA28))</f>
        <v>-1.1764705882352942</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3" t="str">
        <f>IF(SUM(EI6:EI36) &gt; 0, SUM(EI6:EI36), "")</f>
        <v/>
      </c>
      <c r="EJ38" s="131">
        <f>IF(VisibleSum(EJ6:EJ28) = "", "??", VisibleSum(EJ6:EJ28))</f>
        <v>-1.0588235294117647</v>
      </c>
      <c r="EK38" s="14">
        <f t="shared" ref="EK38:EQ38" si="324">IF(SUM(EK6:EK36) &gt; 0, SUM(EK6:EK36), "")</f>
        <v>15</v>
      </c>
      <c r="EL38" s="14">
        <f t="shared" si="324"/>
        <v>17</v>
      </c>
      <c r="EM38" s="14" t="str">
        <f t="shared" si="324"/>
        <v/>
      </c>
      <c r="EN38" s="14">
        <f t="shared" si="324"/>
        <v>14</v>
      </c>
      <c r="EO38" s="14">
        <f t="shared" si="324"/>
        <v>16</v>
      </c>
      <c r="EP38" s="14" t="str">
        <f t="shared" si="324"/>
        <v/>
      </c>
      <c r="EQ38" s="14">
        <f t="shared" si="324"/>
        <v>15</v>
      </c>
      <c r="ER38" s="14"/>
      <c r="ES38" s="131">
        <f>IF(VisibleSum(ES6:ES28) = "", "??", VisibleSum(ES6:ES28))</f>
        <v>0.88888888888888884</v>
      </c>
      <c r="ET38" s="14">
        <f t="shared" ref="ET38:EZ38" si="325">IF(SUM(ET6:ET36) &gt; 0, SUM(ET6:ET36), "")</f>
        <v>13</v>
      </c>
      <c r="EU38" s="14">
        <f t="shared" si="325"/>
        <v>14</v>
      </c>
      <c r="EV38" s="14">
        <f t="shared" si="325"/>
        <v>13</v>
      </c>
      <c r="EW38" s="14">
        <f t="shared" si="325"/>
        <v>16</v>
      </c>
      <c r="EX38" s="14" t="str">
        <f t="shared" si="325"/>
        <v/>
      </c>
      <c r="EY38" s="14" t="str">
        <f t="shared" si="325"/>
        <v/>
      </c>
      <c r="EZ38" s="14" t="str">
        <f t="shared" si="325"/>
        <v/>
      </c>
      <c r="FA38" s="14"/>
      <c r="FB38" s="131">
        <f>IF(VisibleSum(FB6:FB28) = "", "??", VisibleSum(FB6:FB28))</f>
        <v>-1</v>
      </c>
      <c r="FC38" s="14">
        <f t="shared" ref="FC38:FI38" si="326">IF(SUM(FC6:FC36) &gt; 0, SUM(FC6:FC36), "")</f>
        <v>11</v>
      </c>
      <c r="FD38" s="14">
        <f t="shared" si="326"/>
        <v>3</v>
      </c>
      <c r="FE38" s="14">
        <f t="shared" si="326"/>
        <v>14</v>
      </c>
      <c r="FF38" s="14">
        <f t="shared" si="326"/>
        <v>15</v>
      </c>
      <c r="FG38" s="14">
        <f t="shared" si="326"/>
        <v>11</v>
      </c>
      <c r="FH38" s="14">
        <f t="shared" si="326"/>
        <v>14</v>
      </c>
      <c r="FI38" s="14" t="str">
        <f t="shared" si="326"/>
        <v/>
      </c>
      <c r="FJ38" s="14"/>
      <c r="FK38" s="131">
        <f>IF(VisibleSum(FK6:FK28) = "", "??", VisibleSum(FK6:FK28))</f>
        <v>-0.22222222222222221</v>
      </c>
      <c r="FL38" s="14">
        <f t="shared" ref="FL38:HC38" si="327">IF(SUM(FL6:FL36) &gt; 0, SUM(FL6:FL36), "")</f>
        <v>6</v>
      </c>
      <c r="FM38" s="14">
        <f t="shared" si="327"/>
        <v>11</v>
      </c>
      <c r="FN38" s="14" t="str">
        <f t="shared" si="327"/>
        <v/>
      </c>
      <c r="FO38" s="14">
        <f t="shared" si="327"/>
        <v>12</v>
      </c>
      <c r="FP38" s="14">
        <f t="shared" si="327"/>
        <v>15</v>
      </c>
      <c r="FQ38" s="14">
        <f t="shared" si="327"/>
        <v>14</v>
      </c>
      <c r="FR38" s="14"/>
      <c r="FS38" s="14"/>
      <c r="FT38" s="131">
        <f>IF(VisibleSum(FT6:FT28) = "", "??", VisibleSum(FT6:FT28))</f>
        <v>-0.88888888888888884</v>
      </c>
      <c r="FU38" s="14">
        <f t="shared" si="327"/>
        <v>14</v>
      </c>
      <c r="FV38" s="14">
        <f t="shared" si="327"/>
        <v>15</v>
      </c>
      <c r="FW38" s="14" t="str">
        <f t="shared" si="327"/>
        <v/>
      </c>
      <c r="FX38" s="14">
        <f t="shared" si="327"/>
        <v>11</v>
      </c>
      <c r="FY38" s="14" t="str">
        <f t="shared" si="327"/>
        <v/>
      </c>
      <c r="FZ38" s="14" t="str">
        <f t="shared" si="327"/>
        <v/>
      </c>
      <c r="GA38" s="14"/>
      <c r="GB38" s="14"/>
      <c r="GC38" s="131" t="str">
        <f>IF(VisibleSum(GC6:GC28) = "", "??", VisibleSum(GC6:GC28))</f>
        <v>??</v>
      </c>
      <c r="GD38" s="14" t="str">
        <f t="shared" si="327"/>
        <v/>
      </c>
      <c r="GE38" s="14" t="str">
        <f t="shared" si="327"/>
        <v/>
      </c>
      <c r="GF38" s="14" t="str">
        <f t="shared" si="327"/>
        <v/>
      </c>
      <c r="GG38" s="14" t="str">
        <f t="shared" si="327"/>
        <v/>
      </c>
      <c r="GH38" s="14" t="str">
        <f t="shared" si="327"/>
        <v/>
      </c>
      <c r="GI38" s="14" t="str">
        <f t="shared" si="327"/>
        <v/>
      </c>
      <c r="GJ38" s="15" t="str">
        <f t="shared" si="327"/>
        <v/>
      </c>
      <c r="GK38" s="14" t="str">
        <f t="shared" si="327"/>
        <v/>
      </c>
      <c r="GL38" s="14" t="str">
        <f t="shared" si="327"/>
        <v/>
      </c>
      <c r="GM38" s="14" t="str">
        <f t="shared" si="327"/>
        <v/>
      </c>
      <c r="GN38" s="14" t="str">
        <f t="shared" si="327"/>
        <v/>
      </c>
      <c r="GO38" s="14" t="str">
        <f t="shared" si="327"/>
        <v/>
      </c>
      <c r="GP38" s="14" t="str">
        <f t="shared" si="327"/>
        <v/>
      </c>
      <c r="GQ38" s="15" t="str">
        <f t="shared" si="327"/>
        <v/>
      </c>
      <c r="GR38" s="14" t="str">
        <f t="shared" si="327"/>
        <v/>
      </c>
      <c r="GS38" s="14" t="str">
        <f t="shared" si="327"/>
        <v/>
      </c>
      <c r="GT38" s="14" t="str">
        <f t="shared" si="327"/>
        <v/>
      </c>
      <c r="GU38" s="14" t="str">
        <f t="shared" si="327"/>
        <v/>
      </c>
      <c r="GV38" s="14" t="str">
        <f t="shared" si="327"/>
        <v/>
      </c>
      <c r="GW38" s="14" t="str">
        <f t="shared" si="327"/>
        <v/>
      </c>
      <c r="GX38" s="15" t="str">
        <f t="shared" si="327"/>
        <v/>
      </c>
      <c r="GY38" s="14" t="str">
        <f t="shared" si="327"/>
        <v/>
      </c>
      <c r="GZ38" s="14" t="str">
        <f t="shared" si="327"/>
        <v/>
      </c>
      <c r="HA38" s="14" t="str">
        <f t="shared" si="327"/>
        <v/>
      </c>
      <c r="HB38" s="14" t="str">
        <f t="shared" si="327"/>
        <v/>
      </c>
      <c r="HC38" s="14" t="str">
        <f t="shared" si="327"/>
        <v/>
      </c>
      <c r="HD38" s="14"/>
      <c r="HE38" s="15" t="str">
        <f t="shared" ref="HE38:IJ38" si="328">IF(SUM(HE6:HE36) &gt; 0, SUM(HE6:HE36), "")</f>
        <v/>
      </c>
      <c r="HF38" s="14" t="str">
        <f t="shared" si="328"/>
        <v/>
      </c>
      <c r="HG38" s="14" t="str">
        <f t="shared" si="328"/>
        <v/>
      </c>
      <c r="HH38" s="14" t="str">
        <f t="shared" si="328"/>
        <v/>
      </c>
      <c r="HI38" s="14" t="str">
        <f t="shared" si="328"/>
        <v/>
      </c>
      <c r="HJ38" s="14" t="str">
        <f t="shared" si="328"/>
        <v/>
      </c>
      <c r="HK38" s="14" t="str">
        <f t="shared" si="328"/>
        <v/>
      </c>
      <c r="HL38" s="15" t="str">
        <f t="shared" si="328"/>
        <v/>
      </c>
      <c r="HM38" s="14" t="str">
        <f t="shared" si="328"/>
        <v/>
      </c>
      <c r="HN38" s="14" t="str">
        <f t="shared" si="328"/>
        <v/>
      </c>
      <c r="HO38" s="14" t="str">
        <f t="shared" si="328"/>
        <v/>
      </c>
      <c r="HP38" s="14" t="str">
        <f t="shared" si="328"/>
        <v/>
      </c>
      <c r="HQ38" s="14" t="str">
        <f t="shared" si="328"/>
        <v/>
      </c>
      <c r="HR38" s="14" t="str">
        <f t="shared" si="328"/>
        <v/>
      </c>
      <c r="HS38" s="15" t="str">
        <f t="shared" si="328"/>
        <v/>
      </c>
      <c r="HT38" s="14" t="str">
        <f t="shared" si="328"/>
        <v/>
      </c>
      <c r="HU38" s="14" t="str">
        <f t="shared" si="328"/>
        <v/>
      </c>
      <c r="HV38" s="14" t="str">
        <f t="shared" si="328"/>
        <v/>
      </c>
      <c r="HW38" s="14" t="str">
        <f t="shared" si="328"/>
        <v/>
      </c>
      <c r="HX38" s="14" t="str">
        <f t="shared" si="328"/>
        <v/>
      </c>
      <c r="HY38" s="14" t="str">
        <f t="shared" si="328"/>
        <v/>
      </c>
      <c r="HZ38" s="15" t="str">
        <f t="shared" si="328"/>
        <v/>
      </c>
      <c r="IA38" s="14" t="str">
        <f t="shared" si="328"/>
        <v/>
      </c>
      <c r="IB38" s="14" t="str">
        <f t="shared" si="328"/>
        <v/>
      </c>
      <c r="IC38" s="14" t="str">
        <f t="shared" si="328"/>
        <v/>
      </c>
      <c r="ID38" s="14" t="str">
        <f t="shared" si="328"/>
        <v/>
      </c>
      <c r="IE38" s="14" t="str">
        <f t="shared" si="328"/>
        <v/>
      </c>
      <c r="IF38" s="14" t="str">
        <f t="shared" si="328"/>
        <v/>
      </c>
      <c r="IG38" s="15" t="str">
        <f t="shared" si="328"/>
        <v/>
      </c>
      <c r="IH38" s="14" t="str">
        <f t="shared" si="328"/>
        <v/>
      </c>
      <c r="II38" s="14" t="str">
        <f t="shared" si="328"/>
        <v/>
      </c>
      <c r="IJ38" s="14" t="str">
        <f t="shared" si="328"/>
        <v/>
      </c>
      <c r="IK38" s="14" t="str">
        <f t="shared" ref="IK38:JP38" si="329">IF(SUM(IK6:IK36) &gt; 0, SUM(IK6:IK36), "")</f>
        <v/>
      </c>
      <c r="IL38" s="14" t="str">
        <f t="shared" si="329"/>
        <v/>
      </c>
      <c r="IM38" s="14" t="str">
        <f t="shared" si="329"/>
        <v/>
      </c>
      <c r="IN38" s="15" t="str">
        <f t="shared" si="329"/>
        <v/>
      </c>
      <c r="IO38" s="14" t="str">
        <f t="shared" si="329"/>
        <v/>
      </c>
      <c r="IP38" s="14" t="str">
        <f t="shared" si="329"/>
        <v/>
      </c>
      <c r="IQ38" s="14" t="str">
        <f t="shared" si="329"/>
        <v/>
      </c>
      <c r="IR38" s="14" t="str">
        <f t="shared" si="329"/>
        <v/>
      </c>
      <c r="IS38" s="14" t="str">
        <f t="shared" si="329"/>
        <v/>
      </c>
      <c r="IT38" s="14" t="str">
        <f t="shared" si="329"/>
        <v/>
      </c>
      <c r="IU38" s="15" t="str">
        <f t="shared" si="329"/>
        <v/>
      </c>
      <c r="IV38" s="14" t="str">
        <f t="shared" si="329"/>
        <v/>
      </c>
      <c r="IW38" s="14" t="str">
        <f t="shared" si="329"/>
        <v/>
      </c>
      <c r="IX38" s="14" t="str">
        <f t="shared" si="329"/>
        <v/>
      </c>
      <c r="IY38" s="14" t="str">
        <f t="shared" si="329"/>
        <v/>
      </c>
      <c r="IZ38" s="14" t="str">
        <f t="shared" si="329"/>
        <v/>
      </c>
      <c r="JA38" s="14" t="str">
        <f t="shared" si="329"/>
        <v/>
      </c>
      <c r="JB38" s="15" t="str">
        <f t="shared" si="329"/>
        <v/>
      </c>
      <c r="JC38" s="14" t="str">
        <f t="shared" si="329"/>
        <v/>
      </c>
      <c r="JD38" s="14" t="str">
        <f t="shared" si="329"/>
        <v/>
      </c>
      <c r="JE38" s="14" t="str">
        <f t="shared" si="329"/>
        <v/>
      </c>
      <c r="JF38" s="14" t="str">
        <f t="shared" si="329"/>
        <v/>
      </c>
      <c r="JG38" s="14" t="str">
        <f t="shared" si="329"/>
        <v/>
      </c>
      <c r="JH38" s="14" t="str">
        <f t="shared" si="329"/>
        <v/>
      </c>
      <c r="JI38" s="15" t="str">
        <f t="shared" si="329"/>
        <v/>
      </c>
      <c r="JJ38" s="14" t="str">
        <f t="shared" si="329"/>
        <v/>
      </c>
      <c r="JK38" s="14" t="str">
        <f t="shared" si="329"/>
        <v/>
      </c>
      <c r="JL38" s="14" t="str">
        <f t="shared" si="329"/>
        <v/>
      </c>
      <c r="JM38" s="14" t="str">
        <f t="shared" si="329"/>
        <v/>
      </c>
      <c r="JN38" s="14" t="str">
        <f t="shared" si="329"/>
        <v/>
      </c>
      <c r="JO38" s="14" t="str">
        <f t="shared" si="329"/>
        <v/>
      </c>
      <c r="JP38" s="15" t="str">
        <f t="shared" si="329"/>
        <v/>
      </c>
      <c r="JQ38" s="14" t="str">
        <f t="shared" ref="JQ38:KV38" si="330">IF(SUM(JQ6:JQ36) &gt; 0, SUM(JQ6:JQ36), "")</f>
        <v/>
      </c>
      <c r="JR38" s="14" t="str">
        <f t="shared" si="330"/>
        <v/>
      </c>
      <c r="JS38" s="14" t="str">
        <f t="shared" si="330"/>
        <v/>
      </c>
      <c r="JT38" s="14" t="str">
        <f t="shared" si="330"/>
        <v/>
      </c>
      <c r="JU38" s="14" t="str">
        <f t="shared" si="330"/>
        <v/>
      </c>
      <c r="JV38" s="14" t="str">
        <f t="shared" si="330"/>
        <v/>
      </c>
      <c r="JW38" s="15" t="str">
        <f t="shared" si="330"/>
        <v/>
      </c>
      <c r="JX38" s="14" t="str">
        <f t="shared" si="330"/>
        <v/>
      </c>
      <c r="JY38" s="14" t="str">
        <f t="shared" si="330"/>
        <v/>
      </c>
      <c r="JZ38" s="14" t="str">
        <f t="shared" si="330"/>
        <v/>
      </c>
      <c r="KA38" s="14" t="str">
        <f t="shared" si="330"/>
        <v/>
      </c>
      <c r="KB38" s="14" t="str">
        <f t="shared" si="330"/>
        <v/>
      </c>
      <c r="KC38" s="14" t="str">
        <f t="shared" si="330"/>
        <v/>
      </c>
      <c r="KD38" s="15" t="str">
        <f t="shared" si="330"/>
        <v/>
      </c>
      <c r="KE38" s="14" t="str">
        <f t="shared" si="330"/>
        <v/>
      </c>
      <c r="KF38" s="14" t="str">
        <f t="shared" si="330"/>
        <v/>
      </c>
      <c r="KG38" s="14" t="str">
        <f t="shared" si="330"/>
        <v/>
      </c>
      <c r="KH38" s="14" t="str">
        <f t="shared" si="330"/>
        <v/>
      </c>
      <c r="KI38" s="14" t="str">
        <f t="shared" si="330"/>
        <v/>
      </c>
      <c r="KJ38" s="14" t="str">
        <f t="shared" si="330"/>
        <v/>
      </c>
      <c r="KK38" s="15" t="str">
        <f t="shared" si="330"/>
        <v/>
      </c>
      <c r="KL38" s="14" t="str">
        <f t="shared" si="330"/>
        <v/>
      </c>
      <c r="KM38" s="14" t="str">
        <f t="shared" si="330"/>
        <v/>
      </c>
      <c r="KN38" s="14" t="str">
        <f t="shared" si="330"/>
        <v/>
      </c>
      <c r="KO38" s="14" t="str">
        <f t="shared" si="330"/>
        <v/>
      </c>
      <c r="KP38" s="14" t="str">
        <f t="shared" si="330"/>
        <v/>
      </c>
      <c r="KQ38" s="14" t="str">
        <f t="shared" si="330"/>
        <v/>
      </c>
      <c r="KR38" s="15" t="str">
        <f t="shared" si="330"/>
        <v/>
      </c>
      <c r="KS38" s="14" t="str">
        <f t="shared" si="330"/>
        <v/>
      </c>
      <c r="KT38" s="14" t="str">
        <f t="shared" si="330"/>
        <v/>
      </c>
      <c r="KU38" s="14" t="str">
        <f t="shared" si="330"/>
        <v/>
      </c>
      <c r="KV38" s="14" t="str">
        <f t="shared" si="330"/>
        <v/>
      </c>
      <c r="KW38" s="14" t="str">
        <f t="shared" ref="KW38:MB38" si="331">IF(SUM(KW6:KW36) &gt; 0, SUM(KW6:KW36), "")</f>
        <v/>
      </c>
      <c r="KX38" s="14" t="str">
        <f t="shared" si="331"/>
        <v/>
      </c>
      <c r="KY38" s="15" t="str">
        <f t="shared" si="331"/>
        <v/>
      </c>
      <c r="KZ38" s="14" t="str">
        <f t="shared" si="331"/>
        <v/>
      </c>
      <c r="LA38" s="14" t="str">
        <f t="shared" si="331"/>
        <v/>
      </c>
      <c r="LB38" s="14" t="str">
        <f t="shared" si="331"/>
        <v/>
      </c>
      <c r="LC38" s="14" t="str">
        <f t="shared" si="331"/>
        <v/>
      </c>
      <c r="LD38" s="14" t="str">
        <f t="shared" si="331"/>
        <v/>
      </c>
      <c r="LE38" s="14" t="str">
        <f t="shared" si="331"/>
        <v/>
      </c>
      <c r="LF38" s="15" t="str">
        <f t="shared" si="331"/>
        <v/>
      </c>
      <c r="LG38" s="14" t="str">
        <f t="shared" si="331"/>
        <v/>
      </c>
      <c r="LH38" s="14" t="str">
        <f t="shared" si="331"/>
        <v/>
      </c>
      <c r="LI38" s="14" t="str">
        <f t="shared" si="331"/>
        <v/>
      </c>
      <c r="LJ38" s="14" t="str">
        <f t="shared" si="331"/>
        <v/>
      </c>
      <c r="LK38" s="14" t="str">
        <f t="shared" si="331"/>
        <v/>
      </c>
      <c r="LL38" s="14" t="str">
        <f t="shared" si="331"/>
        <v/>
      </c>
      <c r="LM38" s="15" t="str">
        <f t="shared" si="331"/>
        <v/>
      </c>
      <c r="LN38" s="14" t="str">
        <f t="shared" si="331"/>
        <v/>
      </c>
      <c r="LO38" s="14" t="str">
        <f t="shared" si="331"/>
        <v/>
      </c>
      <c r="LP38" s="14" t="str">
        <f t="shared" si="331"/>
        <v/>
      </c>
      <c r="LQ38" s="14" t="str">
        <f t="shared" si="331"/>
        <v/>
      </c>
      <c r="LR38" s="14" t="str">
        <f t="shared" si="331"/>
        <v/>
      </c>
      <c r="LS38" s="14" t="str">
        <f t="shared" si="331"/>
        <v/>
      </c>
      <c r="LT38" s="15" t="str">
        <f t="shared" si="331"/>
        <v/>
      </c>
      <c r="LU38" s="14" t="str">
        <f t="shared" si="331"/>
        <v/>
      </c>
      <c r="LV38" s="14" t="str">
        <f t="shared" si="331"/>
        <v/>
      </c>
      <c r="LW38" s="14" t="str">
        <f t="shared" si="331"/>
        <v/>
      </c>
      <c r="LX38" s="14" t="str">
        <f t="shared" si="331"/>
        <v/>
      </c>
      <c r="LY38" s="14" t="str">
        <f t="shared" si="331"/>
        <v/>
      </c>
      <c r="LZ38" s="14" t="str">
        <f t="shared" si="331"/>
        <v/>
      </c>
      <c r="MA38" s="15" t="str">
        <f t="shared" si="331"/>
        <v/>
      </c>
      <c r="MB38" s="14" t="str">
        <f t="shared" si="331"/>
        <v/>
      </c>
      <c r="MC38" s="14" t="str">
        <f t="shared" ref="MC38:MV38" si="332">IF(SUM(MC6:MC36) &gt; 0, SUM(MC6:MC36), "")</f>
        <v/>
      </c>
      <c r="MD38" s="14" t="str">
        <f t="shared" si="332"/>
        <v/>
      </c>
      <c r="ME38" s="14" t="str">
        <f t="shared" si="332"/>
        <v/>
      </c>
      <c r="MF38" s="14" t="str">
        <f t="shared" si="332"/>
        <v/>
      </c>
      <c r="MG38" s="14" t="str">
        <f t="shared" si="332"/>
        <v/>
      </c>
      <c r="MH38" s="15" t="str">
        <f t="shared" si="332"/>
        <v/>
      </c>
      <c r="MI38" s="14" t="str">
        <f t="shared" si="332"/>
        <v/>
      </c>
      <c r="MJ38" s="14" t="str">
        <f t="shared" si="332"/>
        <v/>
      </c>
      <c r="MK38" s="14" t="str">
        <f t="shared" si="332"/>
        <v/>
      </c>
      <c r="ML38" s="14" t="str">
        <f t="shared" si="332"/>
        <v/>
      </c>
      <c r="MM38" s="14" t="str">
        <f t="shared" si="332"/>
        <v/>
      </c>
      <c r="MN38" s="14" t="str">
        <f t="shared" si="332"/>
        <v/>
      </c>
      <c r="MO38" s="15" t="str">
        <f t="shared" si="332"/>
        <v/>
      </c>
      <c r="MP38" s="14" t="str">
        <f t="shared" si="332"/>
        <v/>
      </c>
      <c r="MQ38" s="14" t="str">
        <f t="shared" si="332"/>
        <v/>
      </c>
      <c r="MR38" s="14" t="str">
        <f t="shared" si="332"/>
        <v/>
      </c>
      <c r="MS38" s="14" t="str">
        <f t="shared" si="332"/>
        <v/>
      </c>
      <c r="MT38" s="14" t="str">
        <f t="shared" si="332"/>
        <v/>
      </c>
      <c r="MU38" s="14" t="str">
        <f t="shared" si="332"/>
        <v/>
      </c>
      <c r="MV38" s="112" t="str">
        <f t="shared" si="332"/>
        <v/>
      </c>
    </row>
    <row r="39" spans="1:360" ht="7.5" customHeight="1" x14ac:dyDescent="0.25">
      <c r="A39" s="125"/>
      <c r="B39" s="126"/>
      <c r="C39" s="126"/>
      <c r="D39" s="126"/>
      <c r="E39" s="127"/>
      <c r="F39" s="126"/>
      <c r="G39" s="126"/>
      <c r="H39" s="126"/>
      <c r="I39" s="126"/>
      <c r="J39" s="126"/>
      <c r="K39" s="126"/>
      <c r="L39" s="126"/>
      <c r="M39" s="126"/>
      <c r="N39" s="126"/>
      <c r="O39" s="127"/>
      <c r="P39" s="126"/>
      <c r="Q39" s="126"/>
      <c r="R39" s="127"/>
      <c r="S39" s="37"/>
      <c r="T39" s="128"/>
      <c r="U39" s="128"/>
      <c r="V39" s="128"/>
      <c r="W39" s="128"/>
      <c r="X39" s="128"/>
      <c r="Y39" s="128"/>
      <c r="Z39" s="37"/>
      <c r="AA39" s="128"/>
      <c r="AB39" s="128"/>
      <c r="AC39" s="128"/>
      <c r="AD39" s="128"/>
      <c r="AE39" s="128"/>
      <c r="AF39" s="128"/>
      <c r="AG39" s="37"/>
      <c r="AH39" s="128"/>
      <c r="AI39" s="128"/>
      <c r="AJ39" s="128"/>
      <c r="AK39" s="128"/>
      <c r="AL39" s="128"/>
      <c r="AM39" s="128"/>
      <c r="AN39" s="37"/>
      <c r="AO39" s="128"/>
      <c r="AP39" s="128"/>
      <c r="AQ39" s="128"/>
      <c r="AR39" s="128"/>
      <c r="AS39" s="128"/>
      <c r="AT39" s="128"/>
      <c r="AU39" s="37"/>
      <c r="AV39" s="128"/>
      <c r="AW39" s="128"/>
      <c r="AX39" s="128"/>
      <c r="AY39" s="128"/>
      <c r="AZ39" s="128"/>
      <c r="BA39" s="128"/>
      <c r="BB39" s="37"/>
      <c r="BC39" s="128"/>
      <c r="BD39" s="128"/>
      <c r="BE39" s="128"/>
      <c r="BF39" s="128"/>
      <c r="BG39" s="128"/>
      <c r="BH39" s="128"/>
      <c r="BI39" s="37"/>
      <c r="BJ39" s="128"/>
      <c r="BK39" s="128"/>
      <c r="BL39" s="128"/>
      <c r="BM39" s="128"/>
      <c r="BN39" s="128"/>
      <c r="BO39" s="128"/>
      <c r="BP39" s="37"/>
      <c r="BQ39" s="128"/>
      <c r="BR39" s="128"/>
      <c r="BS39" s="128"/>
      <c r="BT39" s="128"/>
      <c r="BU39" s="128"/>
      <c r="BV39" s="128"/>
      <c r="BW39" s="128"/>
      <c r="BX39" s="128"/>
      <c r="BY39" s="37"/>
      <c r="BZ39" s="128"/>
      <c r="CA39" s="128"/>
      <c r="CB39" s="128"/>
      <c r="CC39" s="128"/>
      <c r="CD39" s="128"/>
      <c r="CE39" s="128"/>
      <c r="CF39" s="128"/>
      <c r="CG39" s="128"/>
      <c r="CH39" s="37"/>
      <c r="CI39" s="128"/>
      <c r="CJ39" s="128"/>
      <c r="CK39" s="128"/>
      <c r="CL39" s="128"/>
      <c r="CM39" s="128"/>
      <c r="CN39" s="128"/>
      <c r="CO39" s="128"/>
      <c r="CP39" s="128"/>
      <c r="CQ39" s="37"/>
      <c r="CR39" s="128"/>
      <c r="CS39" s="128"/>
      <c r="CT39" s="128"/>
      <c r="CU39" s="128"/>
      <c r="CV39" s="128"/>
      <c r="CW39" s="128"/>
      <c r="CX39" s="128"/>
      <c r="CY39" s="128"/>
      <c r="CZ39" s="37"/>
      <c r="DA39" s="128"/>
      <c r="DB39" s="128"/>
      <c r="DC39" s="128"/>
      <c r="DD39" s="128"/>
      <c r="DE39" s="128"/>
      <c r="DF39" s="128"/>
      <c r="DG39" s="128"/>
      <c r="DH39" s="128"/>
      <c r="DI39" s="37"/>
      <c r="DJ39" s="128"/>
      <c r="DK39" s="128"/>
      <c r="DL39" s="128"/>
      <c r="DM39" s="128"/>
      <c r="DN39" s="128"/>
      <c r="DO39" s="128"/>
      <c r="DP39" s="128"/>
      <c r="DQ39" s="128"/>
      <c r="DR39" s="37"/>
      <c r="DS39" s="128"/>
      <c r="DT39" s="128"/>
      <c r="DU39" s="128"/>
      <c r="DV39" s="128"/>
      <c r="DW39" s="128"/>
      <c r="DX39" s="128"/>
      <c r="DY39" s="128"/>
      <c r="DZ39" s="128"/>
      <c r="EA39" s="37"/>
      <c r="EB39" s="128"/>
      <c r="EC39" s="128"/>
      <c r="ED39" s="128"/>
      <c r="EE39" s="128"/>
      <c r="EF39" s="128"/>
      <c r="EG39" s="128"/>
      <c r="EH39" s="128"/>
      <c r="EI39" s="128"/>
      <c r="EJ39" s="37"/>
      <c r="EK39" s="128"/>
      <c r="EL39" s="128"/>
      <c r="EM39" s="128"/>
      <c r="EN39" s="128"/>
      <c r="EO39" s="128"/>
      <c r="EP39" s="128"/>
      <c r="EQ39" s="128"/>
      <c r="ER39" s="128"/>
      <c r="ES39" s="37"/>
      <c r="ET39" s="128"/>
      <c r="EU39" s="128"/>
      <c r="EV39" s="128"/>
      <c r="EW39" s="128"/>
      <c r="EX39" s="128"/>
      <c r="EY39" s="128"/>
      <c r="EZ39" s="128"/>
      <c r="FA39" s="128"/>
      <c r="FB39" s="37"/>
      <c r="FC39" s="128"/>
      <c r="FD39" s="128"/>
      <c r="FE39" s="128"/>
      <c r="FF39" s="128"/>
      <c r="FG39" s="128"/>
      <c r="FH39" s="128"/>
      <c r="FI39" s="128"/>
      <c r="FJ39" s="128"/>
      <c r="FK39" s="37"/>
      <c r="FL39" s="128"/>
      <c r="FM39" s="128"/>
      <c r="FN39" s="128"/>
      <c r="FO39" s="128"/>
      <c r="FP39" s="128"/>
      <c r="FQ39" s="128"/>
      <c r="FR39" s="128"/>
      <c r="FS39" s="128"/>
      <c r="FT39" s="37"/>
      <c r="FU39" s="128"/>
      <c r="FV39" s="128"/>
      <c r="FW39" s="128"/>
      <c r="FX39" s="128"/>
      <c r="FY39" s="128"/>
      <c r="FZ39" s="128"/>
      <c r="GA39" s="128"/>
      <c r="GB39" s="128"/>
      <c r="GC39" s="37"/>
      <c r="GD39" s="128"/>
      <c r="GE39" s="128"/>
      <c r="GF39" s="128"/>
      <c r="GG39" s="128"/>
      <c r="GH39" s="128"/>
      <c r="GI39" s="128"/>
      <c r="GJ39" s="37"/>
      <c r="GK39" s="128"/>
      <c r="GL39" s="128"/>
      <c r="GM39" s="128"/>
      <c r="GN39" s="128"/>
      <c r="GO39" s="128"/>
      <c r="GP39" s="128"/>
      <c r="GQ39" s="37"/>
      <c r="GR39" s="128"/>
      <c r="GS39" s="128"/>
      <c r="GT39" s="128"/>
      <c r="GU39" s="128"/>
      <c r="GV39" s="128"/>
      <c r="GW39" s="128"/>
      <c r="GX39" s="37"/>
      <c r="GY39" s="128"/>
      <c r="GZ39" s="128"/>
      <c r="HA39" s="128"/>
      <c r="HB39" s="128"/>
      <c r="HC39" s="128"/>
      <c r="HD39" s="128"/>
      <c r="HE39" s="37"/>
      <c r="HF39" s="128"/>
      <c r="HG39" s="128"/>
      <c r="HH39" s="128"/>
      <c r="HI39" s="128"/>
      <c r="HJ39" s="128"/>
      <c r="HK39" s="128"/>
      <c r="HL39" s="37"/>
      <c r="HM39" s="128"/>
      <c r="HN39" s="128"/>
      <c r="HO39" s="128"/>
      <c r="HP39" s="128"/>
      <c r="HQ39" s="128"/>
      <c r="HR39" s="128"/>
      <c r="HS39" s="37"/>
      <c r="HT39" s="128"/>
      <c r="HU39" s="128"/>
      <c r="HV39" s="128"/>
      <c r="HW39" s="128"/>
      <c r="HX39" s="128"/>
      <c r="HY39" s="128"/>
      <c r="HZ39" s="37"/>
      <c r="IA39" s="128"/>
      <c r="IB39" s="128"/>
      <c r="IC39" s="128"/>
      <c r="ID39" s="128"/>
      <c r="IE39" s="128"/>
      <c r="IF39" s="128"/>
      <c r="IG39" s="37"/>
      <c r="IH39" s="128"/>
      <c r="II39" s="128"/>
      <c r="IJ39" s="128"/>
      <c r="IK39" s="128"/>
      <c r="IL39" s="128"/>
      <c r="IM39" s="128"/>
      <c r="IN39" s="37"/>
      <c r="IO39" s="128"/>
      <c r="IP39" s="128"/>
      <c r="IQ39" s="128"/>
      <c r="IR39" s="128"/>
      <c r="IS39" s="128"/>
      <c r="IT39" s="128"/>
      <c r="IU39" s="37"/>
      <c r="IV39" s="128"/>
      <c r="IW39" s="128"/>
      <c r="IX39" s="128"/>
      <c r="IY39" s="128"/>
      <c r="IZ39" s="128"/>
      <c r="JA39" s="128"/>
      <c r="JB39" s="37"/>
      <c r="JC39" s="128"/>
      <c r="JD39" s="128"/>
      <c r="JE39" s="128"/>
      <c r="JF39" s="128"/>
      <c r="JG39" s="128"/>
      <c r="JH39" s="128"/>
      <c r="JI39" s="37"/>
      <c r="JJ39" s="128"/>
      <c r="JK39" s="128"/>
      <c r="JL39" s="128"/>
      <c r="JM39" s="128"/>
      <c r="JN39" s="128"/>
      <c r="JO39" s="128"/>
      <c r="JP39" s="37"/>
      <c r="JQ39" s="128"/>
      <c r="JR39" s="128"/>
      <c r="JS39" s="128"/>
      <c r="JT39" s="128"/>
      <c r="JU39" s="128"/>
      <c r="JV39" s="128"/>
      <c r="JW39" s="37"/>
      <c r="JX39" s="128"/>
      <c r="JY39" s="128"/>
      <c r="JZ39" s="128"/>
      <c r="KA39" s="128"/>
      <c r="KB39" s="128"/>
      <c r="KC39" s="128"/>
      <c r="KD39" s="37"/>
      <c r="KE39" s="128"/>
      <c r="KF39" s="128"/>
      <c r="KG39" s="128"/>
      <c r="KH39" s="128"/>
      <c r="KI39" s="128"/>
      <c r="KJ39" s="128"/>
      <c r="KK39" s="37"/>
      <c r="KL39" s="128"/>
      <c r="KM39" s="128"/>
      <c r="KN39" s="128"/>
      <c r="KO39" s="128"/>
      <c r="KP39" s="128"/>
      <c r="KQ39" s="128"/>
      <c r="KR39" s="37"/>
      <c r="KS39" s="128"/>
      <c r="KT39" s="128"/>
      <c r="KU39" s="128"/>
      <c r="KV39" s="128"/>
      <c r="KW39" s="128"/>
      <c r="KX39" s="128"/>
      <c r="KY39" s="37"/>
      <c r="KZ39" s="128"/>
      <c r="LA39" s="128"/>
      <c r="LB39" s="128"/>
      <c r="LC39" s="128"/>
      <c r="LD39" s="128"/>
      <c r="LE39" s="128"/>
      <c r="LF39" s="37"/>
      <c r="LG39" s="128"/>
      <c r="LH39" s="128"/>
      <c r="LI39" s="128"/>
      <c r="LJ39" s="128"/>
      <c r="LK39" s="128"/>
      <c r="LL39" s="128"/>
      <c r="LM39" s="37"/>
      <c r="LN39" s="128"/>
      <c r="LO39" s="128"/>
      <c r="LP39" s="128"/>
      <c r="LQ39" s="128"/>
      <c r="LR39" s="128"/>
      <c r="LS39" s="128"/>
      <c r="LT39" s="37"/>
      <c r="LU39" s="128"/>
      <c r="LV39" s="128"/>
      <c r="LW39" s="128"/>
      <c r="LX39" s="128"/>
      <c r="LY39" s="128"/>
      <c r="LZ39" s="128"/>
      <c r="MA39" s="37"/>
      <c r="MB39" s="128"/>
      <c r="MC39" s="128"/>
      <c r="MD39" s="128"/>
      <c r="ME39" s="128"/>
      <c r="MF39" s="128"/>
      <c r="MG39" s="128"/>
      <c r="MH39" s="37"/>
      <c r="MI39" s="128"/>
      <c r="MJ39" s="128"/>
      <c r="MK39" s="128"/>
      <c r="ML39" s="128"/>
      <c r="MM39" s="128"/>
      <c r="MN39" s="128"/>
      <c r="MO39" s="37"/>
      <c r="MP39" s="128"/>
      <c r="MQ39" s="128"/>
      <c r="MR39" s="128"/>
      <c r="MS39" s="128"/>
      <c r="MT39" s="128"/>
      <c r="MU39" s="128"/>
      <c r="MV39" s="37"/>
    </row>
    <row r="40" spans="1:360" ht="66" hidden="1" customHeight="1" x14ac:dyDescent="0.25">
      <c r="A40" s="19"/>
      <c r="B40" s="19"/>
      <c r="C40" s="19"/>
      <c r="D40" s="19"/>
      <c r="E40" s="9"/>
      <c r="F40" s="19"/>
      <c r="G40" s="19"/>
      <c r="H40" s="19"/>
      <c r="I40" s="19"/>
      <c r="J40" s="19"/>
      <c r="K40" s="19"/>
      <c r="L40" s="19"/>
      <c r="M40" s="19"/>
      <c r="N40" s="19"/>
      <c r="O40" s="9"/>
      <c r="P40" s="120" t="s">
        <v>408</v>
      </c>
      <c r="Q40" s="121" t="s">
        <v>408</v>
      </c>
      <c r="R40" s="122"/>
      <c r="S40" s="49">
        <f t="shared" ref="S40:AX40" si="333">S1</f>
        <v>43975</v>
      </c>
      <c r="T40" s="49">
        <f t="shared" si="333"/>
        <v>43976</v>
      </c>
      <c r="U40" s="49">
        <f t="shared" si="333"/>
        <v>43977</v>
      </c>
      <c r="V40" s="49">
        <f t="shared" si="333"/>
        <v>43978</v>
      </c>
      <c r="W40" s="49">
        <f t="shared" si="333"/>
        <v>43979</v>
      </c>
      <c r="X40" s="49">
        <f t="shared" si="333"/>
        <v>43980</v>
      </c>
      <c r="Y40" s="49">
        <f t="shared" si="333"/>
        <v>43981</v>
      </c>
      <c r="Z40" s="49">
        <f t="shared" si="333"/>
        <v>43982</v>
      </c>
      <c r="AA40" s="49">
        <f t="shared" si="333"/>
        <v>43983</v>
      </c>
      <c r="AB40" s="49">
        <f t="shared" si="333"/>
        <v>43984</v>
      </c>
      <c r="AC40" s="49">
        <f t="shared" si="333"/>
        <v>43985</v>
      </c>
      <c r="AD40" s="49">
        <f t="shared" si="333"/>
        <v>43986</v>
      </c>
      <c r="AE40" s="49">
        <f t="shared" si="333"/>
        <v>43987</v>
      </c>
      <c r="AF40" s="49">
        <f t="shared" si="333"/>
        <v>43988</v>
      </c>
      <c r="AG40" s="49">
        <f t="shared" si="333"/>
        <v>43989</v>
      </c>
      <c r="AH40" s="49">
        <f t="shared" si="333"/>
        <v>43990</v>
      </c>
      <c r="AI40" s="49">
        <f t="shared" si="333"/>
        <v>43991</v>
      </c>
      <c r="AJ40" s="49">
        <f t="shared" si="333"/>
        <v>43992</v>
      </c>
      <c r="AK40" s="49">
        <f t="shared" si="333"/>
        <v>43993</v>
      </c>
      <c r="AL40" s="49">
        <f t="shared" si="333"/>
        <v>43994</v>
      </c>
      <c r="AM40" s="49">
        <f t="shared" si="333"/>
        <v>43995</v>
      </c>
      <c r="AN40" s="49">
        <f t="shared" si="333"/>
        <v>43996</v>
      </c>
      <c r="AO40" s="49">
        <f t="shared" si="333"/>
        <v>43997</v>
      </c>
      <c r="AP40" s="49">
        <f t="shared" si="333"/>
        <v>43998</v>
      </c>
      <c r="AQ40" s="49">
        <f t="shared" si="333"/>
        <v>43999</v>
      </c>
      <c r="AR40" s="49">
        <f t="shared" si="333"/>
        <v>44000</v>
      </c>
      <c r="AS40" s="49">
        <f t="shared" si="333"/>
        <v>44001</v>
      </c>
      <c r="AT40" s="49">
        <f t="shared" si="333"/>
        <v>44002</v>
      </c>
      <c r="AU40" s="49">
        <f t="shared" si="333"/>
        <v>44003</v>
      </c>
      <c r="AV40" s="49">
        <f t="shared" si="333"/>
        <v>44004</v>
      </c>
      <c r="AW40" s="49">
        <f t="shared" si="333"/>
        <v>44005</v>
      </c>
      <c r="AX40" s="49">
        <f t="shared" si="333"/>
        <v>44006</v>
      </c>
      <c r="AY40" s="49">
        <f t="shared" ref="AY40:BW40" si="334">AY1</f>
        <v>44007</v>
      </c>
      <c r="AZ40" s="49">
        <f t="shared" si="334"/>
        <v>44008</v>
      </c>
      <c r="BA40" s="49">
        <f t="shared" si="334"/>
        <v>44009</v>
      </c>
      <c r="BB40" s="49">
        <f t="shared" si="334"/>
        <v>44010</v>
      </c>
      <c r="BC40" s="49">
        <f t="shared" si="334"/>
        <v>44011</v>
      </c>
      <c r="BD40" s="49">
        <f t="shared" si="334"/>
        <v>44012</v>
      </c>
      <c r="BE40" s="49">
        <f t="shared" si="334"/>
        <v>44013</v>
      </c>
      <c r="BF40" s="49">
        <f t="shared" si="334"/>
        <v>44014</v>
      </c>
      <c r="BG40" s="49">
        <f t="shared" si="334"/>
        <v>44015</v>
      </c>
      <c r="BH40" s="49">
        <f t="shared" si="334"/>
        <v>44016</v>
      </c>
      <c r="BI40" s="49">
        <f t="shared" si="334"/>
        <v>44017</v>
      </c>
      <c r="BJ40" s="49">
        <f t="shared" si="334"/>
        <v>44018</v>
      </c>
      <c r="BK40" s="49">
        <f t="shared" si="334"/>
        <v>44019</v>
      </c>
      <c r="BL40" s="49">
        <f t="shared" si="334"/>
        <v>44020</v>
      </c>
      <c r="BM40" s="49">
        <f t="shared" si="334"/>
        <v>44021</v>
      </c>
      <c r="BN40" s="49">
        <f t="shared" si="334"/>
        <v>44022</v>
      </c>
      <c r="BO40" s="49">
        <f t="shared" si="334"/>
        <v>44023</v>
      </c>
      <c r="BP40" s="49">
        <f t="shared" si="334"/>
        <v>44024</v>
      </c>
      <c r="BQ40" s="49">
        <f t="shared" si="334"/>
        <v>44025</v>
      </c>
      <c r="BR40" s="49">
        <f t="shared" si="334"/>
        <v>44026</v>
      </c>
      <c r="BS40" s="49">
        <f t="shared" si="334"/>
        <v>44027</v>
      </c>
      <c r="BT40" s="49">
        <f t="shared" si="334"/>
        <v>44028</v>
      </c>
      <c r="BU40" s="49">
        <f t="shared" si="334"/>
        <v>44029</v>
      </c>
      <c r="BV40" s="49">
        <f t="shared" si="334"/>
        <v>44030</v>
      </c>
      <c r="BW40" s="49">
        <f t="shared" si="334"/>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5">DS1</f>
        <v>44067</v>
      </c>
      <c r="DT40" s="49">
        <f t="shared" si="335"/>
        <v>44068</v>
      </c>
      <c r="DU40" s="49">
        <f t="shared" si="335"/>
        <v>44069</v>
      </c>
      <c r="DV40" s="49">
        <f t="shared" si="335"/>
        <v>44070</v>
      </c>
      <c r="DW40" s="49">
        <f t="shared" si="335"/>
        <v>44071</v>
      </c>
      <c r="DX40" s="49">
        <f t="shared" si="335"/>
        <v>44072</v>
      </c>
      <c r="DY40" s="49">
        <f t="shared" si="335"/>
        <v>44073</v>
      </c>
      <c r="DZ40" s="49"/>
      <c r="EA40" s="49"/>
      <c r="EB40" s="49">
        <f t="shared" ref="EB40:EH40" si="336">EB1</f>
        <v>44074</v>
      </c>
      <c r="EC40" s="49">
        <f t="shared" si="336"/>
        <v>44075</v>
      </c>
      <c r="ED40" s="49">
        <f t="shared" si="336"/>
        <v>44076</v>
      </c>
      <c r="EE40" s="49">
        <f t="shared" si="336"/>
        <v>44077</v>
      </c>
      <c r="EF40" s="49">
        <f t="shared" si="336"/>
        <v>44078</v>
      </c>
      <c r="EG40" s="49">
        <f t="shared" si="336"/>
        <v>44079</v>
      </c>
      <c r="EH40" s="49">
        <f t="shared" si="336"/>
        <v>44080</v>
      </c>
      <c r="EI40" s="49"/>
      <c r="EJ40" s="49"/>
      <c r="EK40" s="49">
        <f t="shared" ref="EK40:EQ40" si="337">EK1</f>
        <v>44081</v>
      </c>
      <c r="EL40" s="49">
        <f t="shared" si="337"/>
        <v>44082</v>
      </c>
      <c r="EM40" s="49">
        <f t="shared" si="337"/>
        <v>44083</v>
      </c>
      <c r="EN40" s="49">
        <f t="shared" si="337"/>
        <v>44084</v>
      </c>
      <c r="EO40" s="49">
        <f t="shared" si="337"/>
        <v>44085</v>
      </c>
      <c r="EP40" s="49">
        <f t="shared" si="337"/>
        <v>44086</v>
      </c>
      <c r="EQ40" s="49">
        <f t="shared" si="337"/>
        <v>44087</v>
      </c>
      <c r="ER40" s="49"/>
      <c r="ES40" s="49"/>
      <c r="ET40" s="49">
        <f t="shared" ref="ET40:EZ40" si="338">ET1</f>
        <v>44088</v>
      </c>
      <c r="EU40" s="49">
        <f t="shared" si="338"/>
        <v>44089</v>
      </c>
      <c r="EV40" s="49">
        <f t="shared" si="338"/>
        <v>44090</v>
      </c>
      <c r="EW40" s="49">
        <f t="shared" si="338"/>
        <v>44091</v>
      </c>
      <c r="EX40" s="49">
        <f t="shared" si="338"/>
        <v>44092</v>
      </c>
      <c r="EY40" s="49">
        <f t="shared" si="338"/>
        <v>44093</v>
      </c>
      <c r="EZ40" s="49">
        <f t="shared" si="338"/>
        <v>44094</v>
      </c>
      <c r="FA40" s="49"/>
      <c r="FB40" s="49"/>
      <c r="FC40" s="49">
        <f t="shared" ref="FC40:FI40" si="339">FC1</f>
        <v>44095</v>
      </c>
      <c r="FD40" s="49">
        <f t="shared" si="339"/>
        <v>44096</v>
      </c>
      <c r="FE40" s="49">
        <f t="shared" si="339"/>
        <v>44097</v>
      </c>
      <c r="FF40" s="49">
        <f t="shared" si="339"/>
        <v>44098</v>
      </c>
      <c r="FG40" s="49">
        <f t="shared" si="339"/>
        <v>44099</v>
      </c>
      <c r="FH40" s="49">
        <f t="shared" si="339"/>
        <v>44100</v>
      </c>
      <c r="FI40" s="49">
        <f t="shared" si="339"/>
        <v>44101</v>
      </c>
      <c r="FJ40" s="49"/>
      <c r="FK40" s="49"/>
      <c r="FL40" s="49">
        <f t="shared" ref="FL40:GU40" si="340">FL1</f>
        <v>44102</v>
      </c>
      <c r="FM40" s="49">
        <f t="shared" si="340"/>
        <v>44103</v>
      </c>
      <c r="FN40" s="49">
        <f t="shared" si="340"/>
        <v>44104</v>
      </c>
      <c r="FO40" s="49">
        <f t="shared" si="340"/>
        <v>44105</v>
      </c>
      <c r="FP40" s="49">
        <f t="shared" si="340"/>
        <v>44106</v>
      </c>
      <c r="FQ40" s="49">
        <f t="shared" si="340"/>
        <v>44107</v>
      </c>
      <c r="FR40" s="49">
        <f t="shared" si="340"/>
        <v>44108</v>
      </c>
      <c r="FS40" s="49"/>
      <c r="FT40" s="49"/>
      <c r="FU40" s="49">
        <f t="shared" si="340"/>
        <v>44109</v>
      </c>
      <c r="FV40" s="49">
        <f t="shared" si="340"/>
        <v>44110</v>
      </c>
      <c r="FW40" s="49">
        <f t="shared" si="340"/>
        <v>44111</v>
      </c>
      <c r="FX40" s="49">
        <f t="shared" si="340"/>
        <v>44112</v>
      </c>
      <c r="FY40" s="49">
        <f t="shared" si="340"/>
        <v>44113</v>
      </c>
      <c r="FZ40" s="49">
        <f t="shared" si="340"/>
        <v>44114</v>
      </c>
      <c r="GA40" s="49">
        <f t="shared" ref="GA40" si="341">GA1</f>
        <v>44115</v>
      </c>
      <c r="GB40" s="49"/>
      <c r="GC40" s="49"/>
      <c r="GD40" s="49">
        <f t="shared" si="340"/>
        <v>44116</v>
      </c>
      <c r="GE40" s="49">
        <f t="shared" si="340"/>
        <v>44117</v>
      </c>
      <c r="GF40" s="49">
        <f t="shared" si="340"/>
        <v>44118</v>
      </c>
      <c r="GG40" s="49">
        <f t="shared" si="340"/>
        <v>44119</v>
      </c>
      <c r="GH40" s="49">
        <f t="shared" si="340"/>
        <v>44120</v>
      </c>
      <c r="GI40" s="49">
        <f t="shared" si="340"/>
        <v>44121</v>
      </c>
      <c r="GJ40" s="49">
        <f t="shared" si="340"/>
        <v>44122</v>
      </c>
      <c r="GK40" s="49">
        <f t="shared" si="340"/>
        <v>44123</v>
      </c>
      <c r="GL40" s="49">
        <f t="shared" si="340"/>
        <v>44124</v>
      </c>
      <c r="GM40" s="49">
        <f t="shared" si="340"/>
        <v>44125</v>
      </c>
      <c r="GN40" s="49">
        <f t="shared" si="340"/>
        <v>44126</v>
      </c>
      <c r="GO40" s="49">
        <f t="shared" si="340"/>
        <v>44127</v>
      </c>
      <c r="GP40" s="49">
        <f t="shared" si="340"/>
        <v>44128</v>
      </c>
      <c r="GQ40" s="49">
        <f t="shared" si="340"/>
        <v>44129</v>
      </c>
      <c r="GR40" s="49">
        <f t="shared" si="340"/>
        <v>44130</v>
      </c>
      <c r="GS40" s="49">
        <f t="shared" si="340"/>
        <v>44131</v>
      </c>
      <c r="GT40" s="49">
        <f t="shared" si="340"/>
        <v>44132</v>
      </c>
      <c r="GU40" s="49">
        <f t="shared" si="340"/>
        <v>44133</v>
      </c>
      <c r="GV40" s="49">
        <f t="shared" ref="GV40:IA40" si="342">GV1</f>
        <v>44134</v>
      </c>
      <c r="GW40" s="49">
        <f t="shared" si="342"/>
        <v>44135</v>
      </c>
      <c r="GX40" s="49">
        <f t="shared" si="342"/>
        <v>44136</v>
      </c>
      <c r="GY40" s="49">
        <f t="shared" si="342"/>
        <v>44137</v>
      </c>
      <c r="GZ40" s="49">
        <f t="shared" si="342"/>
        <v>44138</v>
      </c>
      <c r="HA40" s="49">
        <f t="shared" si="342"/>
        <v>44139</v>
      </c>
      <c r="HB40" s="49">
        <f t="shared" si="342"/>
        <v>44140</v>
      </c>
      <c r="HC40" s="49">
        <f t="shared" si="342"/>
        <v>44141</v>
      </c>
      <c r="HD40" s="49">
        <f t="shared" si="342"/>
        <v>44142</v>
      </c>
      <c r="HE40" s="49">
        <f t="shared" si="342"/>
        <v>44143</v>
      </c>
      <c r="HF40" s="49">
        <f t="shared" si="342"/>
        <v>44144</v>
      </c>
      <c r="HG40" s="49">
        <f t="shared" si="342"/>
        <v>44145</v>
      </c>
      <c r="HH40" s="49">
        <f t="shared" si="342"/>
        <v>44146</v>
      </c>
      <c r="HI40" s="49">
        <f t="shared" si="342"/>
        <v>44147</v>
      </c>
      <c r="HJ40" s="49">
        <f t="shared" si="342"/>
        <v>44148</v>
      </c>
      <c r="HK40" s="49">
        <f t="shared" si="342"/>
        <v>44149</v>
      </c>
      <c r="HL40" s="49">
        <f t="shared" si="342"/>
        <v>44150</v>
      </c>
      <c r="HM40" s="49">
        <f t="shared" si="342"/>
        <v>44151</v>
      </c>
      <c r="HN40" s="49">
        <f t="shared" si="342"/>
        <v>44152</v>
      </c>
      <c r="HO40" s="49">
        <f t="shared" si="342"/>
        <v>44153</v>
      </c>
      <c r="HP40" s="49">
        <f t="shared" si="342"/>
        <v>44154</v>
      </c>
      <c r="HQ40" s="49">
        <f t="shared" si="342"/>
        <v>44155</v>
      </c>
      <c r="HR40" s="49">
        <f t="shared" si="342"/>
        <v>44156</v>
      </c>
      <c r="HS40" s="49">
        <f t="shared" si="342"/>
        <v>44157</v>
      </c>
      <c r="HT40" s="49">
        <f t="shared" si="342"/>
        <v>44158</v>
      </c>
      <c r="HU40" s="49">
        <f t="shared" si="342"/>
        <v>44159</v>
      </c>
      <c r="HV40" s="49">
        <f t="shared" si="342"/>
        <v>44160</v>
      </c>
      <c r="HW40" s="49">
        <f t="shared" si="342"/>
        <v>44161</v>
      </c>
      <c r="HX40" s="49">
        <f t="shared" si="342"/>
        <v>44162</v>
      </c>
      <c r="HY40" s="49">
        <f t="shared" si="342"/>
        <v>44163</v>
      </c>
      <c r="HZ40" s="49">
        <f t="shared" si="342"/>
        <v>44164</v>
      </c>
      <c r="IA40" s="49">
        <f t="shared" si="342"/>
        <v>44165</v>
      </c>
      <c r="IB40" s="49">
        <f t="shared" ref="IB40:JG40" si="343">IB1</f>
        <v>44166</v>
      </c>
      <c r="IC40" s="49">
        <f t="shared" si="343"/>
        <v>44167</v>
      </c>
      <c r="ID40" s="49">
        <f t="shared" si="343"/>
        <v>44168</v>
      </c>
      <c r="IE40" s="49">
        <f t="shared" si="343"/>
        <v>44169</v>
      </c>
      <c r="IF40" s="49">
        <f t="shared" si="343"/>
        <v>44170</v>
      </c>
      <c r="IG40" s="49">
        <f t="shared" si="343"/>
        <v>44171</v>
      </c>
      <c r="IH40" s="49">
        <f t="shared" si="343"/>
        <v>44172</v>
      </c>
      <c r="II40" s="49">
        <f t="shared" si="343"/>
        <v>44173</v>
      </c>
      <c r="IJ40" s="49">
        <f t="shared" si="343"/>
        <v>44174</v>
      </c>
      <c r="IK40" s="49">
        <f t="shared" si="343"/>
        <v>44175</v>
      </c>
      <c r="IL40" s="49">
        <f t="shared" si="343"/>
        <v>44176</v>
      </c>
      <c r="IM40" s="49">
        <f t="shared" si="343"/>
        <v>44177</v>
      </c>
      <c r="IN40" s="49">
        <f t="shared" si="343"/>
        <v>44178</v>
      </c>
      <c r="IO40" s="49">
        <f t="shared" si="343"/>
        <v>44179</v>
      </c>
      <c r="IP40" s="49">
        <f t="shared" si="343"/>
        <v>44180</v>
      </c>
      <c r="IQ40" s="49">
        <f t="shared" si="343"/>
        <v>44181</v>
      </c>
      <c r="IR40" s="49">
        <f t="shared" si="343"/>
        <v>44182</v>
      </c>
      <c r="IS40" s="49">
        <f t="shared" si="343"/>
        <v>44183</v>
      </c>
      <c r="IT40" s="49">
        <f t="shared" si="343"/>
        <v>44184</v>
      </c>
      <c r="IU40" s="49">
        <f t="shared" si="343"/>
        <v>44185</v>
      </c>
      <c r="IV40" s="49">
        <f t="shared" si="343"/>
        <v>44186</v>
      </c>
      <c r="IW40" s="49">
        <f t="shared" si="343"/>
        <v>44187</v>
      </c>
      <c r="IX40" s="49">
        <f t="shared" si="343"/>
        <v>44188</v>
      </c>
      <c r="IY40" s="49">
        <f t="shared" si="343"/>
        <v>44189</v>
      </c>
      <c r="IZ40" s="49">
        <f t="shared" si="343"/>
        <v>44190</v>
      </c>
      <c r="JA40" s="49">
        <f t="shared" si="343"/>
        <v>44191</v>
      </c>
      <c r="JB40" s="49">
        <f t="shared" si="343"/>
        <v>44192</v>
      </c>
      <c r="JC40" s="49">
        <f t="shared" si="343"/>
        <v>44193</v>
      </c>
      <c r="JD40" s="49">
        <f t="shared" si="343"/>
        <v>44194</v>
      </c>
      <c r="JE40" s="49">
        <f t="shared" si="343"/>
        <v>44195</v>
      </c>
      <c r="JF40" s="49">
        <f t="shared" si="343"/>
        <v>44196</v>
      </c>
      <c r="JG40" s="49">
        <f t="shared" si="343"/>
        <v>44197</v>
      </c>
      <c r="JH40" s="49">
        <f t="shared" ref="JH40:KM40" si="344">JH1</f>
        <v>44198</v>
      </c>
      <c r="JI40" s="49">
        <f t="shared" si="344"/>
        <v>44199</v>
      </c>
      <c r="JJ40" s="49">
        <f t="shared" si="344"/>
        <v>44200</v>
      </c>
      <c r="JK40" s="49">
        <f t="shared" si="344"/>
        <v>44201</v>
      </c>
      <c r="JL40" s="49">
        <f t="shared" si="344"/>
        <v>44202</v>
      </c>
      <c r="JM40" s="49">
        <f t="shared" si="344"/>
        <v>44203</v>
      </c>
      <c r="JN40" s="49">
        <f t="shared" si="344"/>
        <v>44204</v>
      </c>
      <c r="JO40" s="49">
        <f t="shared" si="344"/>
        <v>44205</v>
      </c>
      <c r="JP40" s="49">
        <f t="shared" si="344"/>
        <v>44206</v>
      </c>
      <c r="JQ40" s="49">
        <f t="shared" si="344"/>
        <v>44207</v>
      </c>
      <c r="JR40" s="49">
        <f t="shared" si="344"/>
        <v>44208</v>
      </c>
      <c r="JS40" s="49">
        <f t="shared" si="344"/>
        <v>44209</v>
      </c>
      <c r="JT40" s="49">
        <f t="shared" si="344"/>
        <v>44210</v>
      </c>
      <c r="JU40" s="49">
        <f t="shared" si="344"/>
        <v>44211</v>
      </c>
      <c r="JV40" s="49">
        <f t="shared" si="344"/>
        <v>44212</v>
      </c>
      <c r="JW40" s="49">
        <f t="shared" si="344"/>
        <v>44213</v>
      </c>
      <c r="JX40" s="49">
        <f t="shared" si="344"/>
        <v>44214</v>
      </c>
      <c r="JY40" s="49">
        <f t="shared" si="344"/>
        <v>44215</v>
      </c>
      <c r="JZ40" s="49">
        <f t="shared" si="344"/>
        <v>44216</v>
      </c>
      <c r="KA40" s="49">
        <f t="shared" si="344"/>
        <v>44217</v>
      </c>
      <c r="KB40" s="49">
        <f t="shared" si="344"/>
        <v>44218</v>
      </c>
      <c r="KC40" s="49">
        <f t="shared" si="344"/>
        <v>44219</v>
      </c>
      <c r="KD40" s="49">
        <f t="shared" si="344"/>
        <v>44220</v>
      </c>
      <c r="KE40" s="49">
        <f t="shared" si="344"/>
        <v>44221</v>
      </c>
      <c r="KF40" s="49">
        <f t="shared" si="344"/>
        <v>44222</v>
      </c>
      <c r="KG40" s="49">
        <f t="shared" si="344"/>
        <v>44223</v>
      </c>
      <c r="KH40" s="49">
        <f t="shared" si="344"/>
        <v>44224</v>
      </c>
      <c r="KI40" s="49">
        <f t="shared" si="344"/>
        <v>44225</v>
      </c>
      <c r="KJ40" s="49">
        <f t="shared" si="344"/>
        <v>44226</v>
      </c>
      <c r="KK40" s="49">
        <f t="shared" si="344"/>
        <v>44227</v>
      </c>
      <c r="KL40" s="49">
        <f t="shared" si="344"/>
        <v>44228</v>
      </c>
      <c r="KM40" s="49">
        <f t="shared" si="344"/>
        <v>44229</v>
      </c>
      <c r="KN40" s="49">
        <f t="shared" ref="KN40:LS40" si="345">KN1</f>
        <v>44230</v>
      </c>
      <c r="KO40" s="49">
        <f t="shared" si="345"/>
        <v>44231</v>
      </c>
      <c r="KP40" s="49">
        <f t="shared" si="345"/>
        <v>44232</v>
      </c>
      <c r="KQ40" s="49">
        <f t="shared" si="345"/>
        <v>44233</v>
      </c>
      <c r="KR40" s="49">
        <f t="shared" si="345"/>
        <v>44234</v>
      </c>
      <c r="KS40" s="49">
        <f t="shared" si="345"/>
        <v>44235</v>
      </c>
      <c r="KT40" s="49">
        <f t="shared" si="345"/>
        <v>44236</v>
      </c>
      <c r="KU40" s="49">
        <f t="shared" si="345"/>
        <v>44237</v>
      </c>
      <c r="KV40" s="49">
        <f t="shared" si="345"/>
        <v>44238</v>
      </c>
      <c r="KW40" s="49">
        <f t="shared" si="345"/>
        <v>44239</v>
      </c>
      <c r="KX40" s="49">
        <f t="shared" si="345"/>
        <v>44240</v>
      </c>
      <c r="KY40" s="49">
        <f t="shared" si="345"/>
        <v>44241</v>
      </c>
      <c r="KZ40" s="49">
        <f t="shared" si="345"/>
        <v>44242</v>
      </c>
      <c r="LA40" s="49">
        <f t="shared" si="345"/>
        <v>44243</v>
      </c>
      <c r="LB40" s="49">
        <f t="shared" si="345"/>
        <v>44244</v>
      </c>
      <c r="LC40" s="49">
        <f t="shared" si="345"/>
        <v>44245</v>
      </c>
      <c r="LD40" s="49">
        <f t="shared" si="345"/>
        <v>44246</v>
      </c>
      <c r="LE40" s="49">
        <f t="shared" si="345"/>
        <v>44247</v>
      </c>
      <c r="LF40" s="49">
        <f t="shared" si="345"/>
        <v>44248</v>
      </c>
      <c r="LG40" s="49">
        <f t="shared" si="345"/>
        <v>44249</v>
      </c>
      <c r="LH40" s="49">
        <f t="shared" si="345"/>
        <v>44250</v>
      </c>
      <c r="LI40" s="49">
        <f t="shared" si="345"/>
        <v>44251</v>
      </c>
      <c r="LJ40" s="49">
        <f t="shared" si="345"/>
        <v>44252</v>
      </c>
      <c r="LK40" s="49">
        <f t="shared" si="345"/>
        <v>44253</v>
      </c>
      <c r="LL40" s="49">
        <f t="shared" si="345"/>
        <v>44254</v>
      </c>
      <c r="LM40" s="49">
        <f t="shared" si="345"/>
        <v>44255</v>
      </c>
      <c r="LN40" s="49">
        <f t="shared" si="345"/>
        <v>44256</v>
      </c>
      <c r="LO40" s="49">
        <f t="shared" si="345"/>
        <v>44257</v>
      </c>
      <c r="LP40" s="49">
        <f t="shared" si="345"/>
        <v>44258</v>
      </c>
      <c r="LQ40" s="49">
        <f t="shared" si="345"/>
        <v>44259</v>
      </c>
      <c r="LR40" s="49">
        <f t="shared" si="345"/>
        <v>44260</v>
      </c>
      <c r="LS40" s="49">
        <f t="shared" si="345"/>
        <v>44261</v>
      </c>
      <c r="LT40" s="49">
        <f t="shared" ref="LT40:MV40" si="346">LT1</f>
        <v>44262</v>
      </c>
      <c r="LU40" s="49">
        <f t="shared" si="346"/>
        <v>44263</v>
      </c>
      <c r="LV40" s="49">
        <f t="shared" si="346"/>
        <v>44264</v>
      </c>
      <c r="LW40" s="49">
        <f t="shared" si="346"/>
        <v>44265</v>
      </c>
      <c r="LX40" s="49">
        <f t="shared" si="346"/>
        <v>44266</v>
      </c>
      <c r="LY40" s="49">
        <f t="shared" si="346"/>
        <v>44267</v>
      </c>
      <c r="LZ40" s="49">
        <f t="shared" si="346"/>
        <v>44268</v>
      </c>
      <c r="MA40" s="49">
        <f t="shared" si="346"/>
        <v>44269</v>
      </c>
      <c r="MB40" s="49">
        <f t="shared" si="346"/>
        <v>44270</v>
      </c>
      <c r="MC40" s="49">
        <f t="shared" si="346"/>
        <v>44271</v>
      </c>
      <c r="MD40" s="49">
        <f t="shared" si="346"/>
        <v>44272</v>
      </c>
      <c r="ME40" s="49">
        <f t="shared" si="346"/>
        <v>44273</v>
      </c>
      <c r="MF40" s="49">
        <f t="shared" si="346"/>
        <v>44274</v>
      </c>
      <c r="MG40" s="49">
        <f t="shared" si="346"/>
        <v>44275</v>
      </c>
      <c r="MH40" s="49">
        <f t="shared" si="346"/>
        <v>44276</v>
      </c>
      <c r="MI40" s="49">
        <f t="shared" si="346"/>
        <v>44277</v>
      </c>
      <c r="MJ40" s="49">
        <f t="shared" si="346"/>
        <v>44278</v>
      </c>
      <c r="MK40" s="49">
        <f t="shared" si="346"/>
        <v>44279</v>
      </c>
      <c r="ML40" s="49">
        <f t="shared" si="346"/>
        <v>44280</v>
      </c>
      <c r="MM40" s="49">
        <f t="shared" si="346"/>
        <v>44281</v>
      </c>
      <c r="MN40" s="49">
        <f t="shared" si="346"/>
        <v>44282</v>
      </c>
      <c r="MO40" s="49">
        <f t="shared" si="346"/>
        <v>44283</v>
      </c>
      <c r="MP40" s="49">
        <f t="shared" si="346"/>
        <v>44284</v>
      </c>
      <c r="MQ40" s="49">
        <f t="shared" si="346"/>
        <v>44285</v>
      </c>
      <c r="MR40" s="49">
        <f t="shared" si="346"/>
        <v>44286</v>
      </c>
      <c r="MS40" s="49">
        <f t="shared" si="346"/>
        <v>44287</v>
      </c>
      <c r="MT40" s="49">
        <f t="shared" si="346"/>
        <v>44288</v>
      </c>
      <c r="MU40" s="49">
        <f t="shared" si="346"/>
        <v>44289</v>
      </c>
      <c r="MV40" s="49">
        <f t="shared" si="346"/>
        <v>44290</v>
      </c>
    </row>
    <row r="41" spans="1:360" ht="15" customHeight="1" x14ac:dyDescent="0.25">
      <c r="A41" s="147" t="s">
        <v>144</v>
      </c>
      <c r="B41" s="147"/>
      <c r="C41" s="147"/>
      <c r="D41" s="147"/>
      <c r="E41" s="148"/>
      <c r="F41" s="36"/>
      <c r="G41" s="36"/>
      <c r="H41" s="36"/>
      <c r="I41" s="36"/>
      <c r="J41" s="36"/>
      <c r="K41" s="36"/>
      <c r="L41" s="36"/>
      <c r="M41" s="36"/>
      <c r="N41" s="36"/>
      <c r="O41" s="35"/>
      <c r="P41" s="158" t="s">
        <v>49</v>
      </c>
      <c r="Q41" s="158" t="s">
        <v>48</v>
      </c>
      <c r="R41" s="159"/>
      <c r="S41" s="54">
        <f>S40</f>
        <v>43975</v>
      </c>
      <c r="T41" s="55">
        <f t="shared" ref="T41:BV41" si="347">T40</f>
        <v>43976</v>
      </c>
      <c r="U41" s="54">
        <f t="shared" si="347"/>
        <v>43977</v>
      </c>
      <c r="V41" s="54">
        <f t="shared" si="347"/>
        <v>43978</v>
      </c>
      <c r="W41" s="54">
        <f t="shared" si="347"/>
        <v>43979</v>
      </c>
      <c r="X41" s="54">
        <f t="shared" si="347"/>
        <v>43980</v>
      </c>
      <c r="Y41" s="54">
        <f t="shared" si="347"/>
        <v>43981</v>
      </c>
      <c r="Z41" s="53">
        <f t="shared" si="347"/>
        <v>43982</v>
      </c>
      <c r="AA41" s="54">
        <f t="shared" si="347"/>
        <v>43983</v>
      </c>
      <c r="AB41" s="54">
        <f t="shared" si="347"/>
        <v>43984</v>
      </c>
      <c r="AC41" s="54">
        <f t="shared" si="347"/>
        <v>43985</v>
      </c>
      <c r="AD41" s="54">
        <f t="shared" si="347"/>
        <v>43986</v>
      </c>
      <c r="AE41" s="54">
        <f t="shared" si="347"/>
        <v>43987</v>
      </c>
      <c r="AF41" s="54">
        <f t="shared" si="347"/>
        <v>43988</v>
      </c>
      <c r="AG41" s="53">
        <f t="shared" si="347"/>
        <v>43989</v>
      </c>
      <c r="AH41" s="54">
        <f t="shared" si="347"/>
        <v>43990</v>
      </c>
      <c r="AI41" s="54">
        <f t="shared" si="347"/>
        <v>43991</v>
      </c>
      <c r="AJ41" s="54">
        <f t="shared" si="347"/>
        <v>43992</v>
      </c>
      <c r="AK41" s="54">
        <f t="shared" si="347"/>
        <v>43993</v>
      </c>
      <c r="AL41" s="54">
        <f t="shared" si="347"/>
        <v>43994</v>
      </c>
      <c r="AM41" s="54">
        <f t="shared" si="347"/>
        <v>43995</v>
      </c>
      <c r="AN41" s="53">
        <f t="shared" si="347"/>
        <v>43996</v>
      </c>
      <c r="AO41" s="54">
        <f t="shared" si="347"/>
        <v>43997</v>
      </c>
      <c r="AP41" s="54">
        <f t="shared" si="347"/>
        <v>43998</v>
      </c>
      <c r="AQ41" s="54">
        <f t="shared" si="347"/>
        <v>43999</v>
      </c>
      <c r="AR41" s="54">
        <f t="shared" si="347"/>
        <v>44000</v>
      </c>
      <c r="AS41" s="54">
        <f t="shared" si="347"/>
        <v>44001</v>
      </c>
      <c r="AT41" s="54">
        <f t="shared" si="347"/>
        <v>44002</v>
      </c>
      <c r="AU41" s="53">
        <f t="shared" si="347"/>
        <v>44003</v>
      </c>
      <c r="AV41" s="54">
        <f t="shared" si="347"/>
        <v>44004</v>
      </c>
      <c r="AW41" s="54">
        <f t="shared" si="347"/>
        <v>44005</v>
      </c>
      <c r="AX41" s="54">
        <f t="shared" si="347"/>
        <v>44006</v>
      </c>
      <c r="AY41" s="54">
        <f t="shared" si="347"/>
        <v>44007</v>
      </c>
      <c r="AZ41" s="54">
        <f t="shared" si="347"/>
        <v>44008</v>
      </c>
      <c r="BA41" s="54">
        <f t="shared" si="347"/>
        <v>44009</v>
      </c>
      <c r="BB41" s="53">
        <f t="shared" si="347"/>
        <v>44010</v>
      </c>
      <c r="BC41" s="54">
        <f t="shared" si="347"/>
        <v>44011</v>
      </c>
      <c r="BD41" s="54">
        <f t="shared" si="347"/>
        <v>44012</v>
      </c>
      <c r="BE41" s="54">
        <f t="shared" si="347"/>
        <v>44013</v>
      </c>
      <c r="BF41" s="54">
        <f t="shared" si="347"/>
        <v>44014</v>
      </c>
      <c r="BG41" s="54">
        <f t="shared" si="347"/>
        <v>44015</v>
      </c>
      <c r="BH41" s="54">
        <f t="shared" si="347"/>
        <v>44016</v>
      </c>
      <c r="BI41" s="53">
        <f t="shared" si="347"/>
        <v>44017</v>
      </c>
      <c r="BJ41" s="54">
        <f t="shared" si="347"/>
        <v>44018</v>
      </c>
      <c r="BK41" s="54">
        <f t="shared" si="347"/>
        <v>44019</v>
      </c>
      <c r="BL41" s="54">
        <f t="shared" si="347"/>
        <v>44020</v>
      </c>
      <c r="BM41" s="54">
        <f t="shared" si="347"/>
        <v>44021</v>
      </c>
      <c r="BN41" s="54">
        <f t="shared" si="347"/>
        <v>44022</v>
      </c>
      <c r="BO41" s="54">
        <f t="shared" si="347"/>
        <v>44023</v>
      </c>
      <c r="BP41" s="53">
        <v>12</v>
      </c>
      <c r="BQ41" s="54">
        <f t="shared" si="347"/>
        <v>44025</v>
      </c>
      <c r="BR41" s="54">
        <f t="shared" si="347"/>
        <v>44026</v>
      </c>
      <c r="BS41" s="54">
        <f t="shared" si="347"/>
        <v>44027</v>
      </c>
      <c r="BT41" s="54">
        <f t="shared" si="347"/>
        <v>44028</v>
      </c>
      <c r="BU41" s="54">
        <f t="shared" si="347"/>
        <v>44029</v>
      </c>
      <c r="BV41" s="54">
        <f t="shared" si="347"/>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8">DS40</f>
        <v>44067</v>
      </c>
      <c r="DT41" s="54">
        <f t="shared" si="348"/>
        <v>44068</v>
      </c>
      <c r="DU41" s="54">
        <f t="shared" si="348"/>
        <v>44069</v>
      </c>
      <c r="DV41" s="54">
        <f t="shared" si="348"/>
        <v>44070</v>
      </c>
      <c r="DW41" s="54">
        <f t="shared" si="348"/>
        <v>44071</v>
      </c>
      <c r="DX41" s="54">
        <f t="shared" ref="DX41:DY41" si="349">DX40</f>
        <v>44072</v>
      </c>
      <c r="DY41" s="54">
        <f t="shared" si="349"/>
        <v>44073</v>
      </c>
      <c r="DZ41" s="54"/>
      <c r="EA41" s="53"/>
      <c r="EB41" s="54">
        <f t="shared" si="348"/>
        <v>44074</v>
      </c>
      <c r="EC41" s="54">
        <f t="shared" si="348"/>
        <v>44075</v>
      </c>
      <c r="ED41" s="54">
        <f t="shared" si="348"/>
        <v>44076</v>
      </c>
      <c r="EE41" s="54">
        <f t="shared" si="348"/>
        <v>44077</v>
      </c>
      <c r="EF41" s="54">
        <f t="shared" si="348"/>
        <v>44078</v>
      </c>
      <c r="EG41" s="54">
        <f t="shared" si="348"/>
        <v>44079</v>
      </c>
      <c r="EH41" s="54">
        <f t="shared" si="348"/>
        <v>44080</v>
      </c>
      <c r="EI41" s="54"/>
      <c r="EJ41" s="53"/>
      <c r="EK41" s="54">
        <f t="shared" si="348"/>
        <v>44081</v>
      </c>
      <c r="EL41" s="54">
        <f t="shared" si="348"/>
        <v>44082</v>
      </c>
      <c r="EM41" s="54">
        <f t="shared" si="348"/>
        <v>44083</v>
      </c>
      <c r="EN41" s="54">
        <f t="shared" si="348"/>
        <v>44084</v>
      </c>
      <c r="EO41" s="54">
        <f t="shared" si="348"/>
        <v>44085</v>
      </c>
      <c r="EP41" s="54">
        <f t="shared" si="348"/>
        <v>44086</v>
      </c>
      <c r="EQ41" s="54">
        <f t="shared" si="348"/>
        <v>44087</v>
      </c>
      <c r="ER41" s="54"/>
      <c r="ES41" s="53"/>
      <c r="ET41" s="54">
        <f t="shared" si="348"/>
        <v>44088</v>
      </c>
      <c r="EU41" s="54">
        <f t="shared" si="348"/>
        <v>44089</v>
      </c>
      <c r="EV41" s="54">
        <f t="shared" si="348"/>
        <v>44090</v>
      </c>
      <c r="EW41" s="54">
        <f t="shared" si="348"/>
        <v>44091</v>
      </c>
      <c r="EX41" s="54">
        <f t="shared" si="348"/>
        <v>44092</v>
      </c>
      <c r="EY41" s="54">
        <f t="shared" si="348"/>
        <v>44093</v>
      </c>
      <c r="EZ41" s="54">
        <f t="shared" si="348"/>
        <v>44094</v>
      </c>
      <c r="FA41" s="54"/>
      <c r="FB41" s="53"/>
      <c r="FC41" s="54">
        <f t="shared" si="348"/>
        <v>44095</v>
      </c>
      <c r="FD41" s="54">
        <f t="shared" si="348"/>
        <v>44096</v>
      </c>
      <c r="FE41" s="54">
        <f t="shared" si="348"/>
        <v>44097</v>
      </c>
      <c r="FF41" s="54">
        <f t="shared" si="348"/>
        <v>44098</v>
      </c>
      <c r="FG41" s="54">
        <f t="shared" si="348"/>
        <v>44099</v>
      </c>
      <c r="FH41" s="54">
        <f t="shared" si="348"/>
        <v>44100</v>
      </c>
      <c r="FI41" s="54">
        <f t="shared" si="348"/>
        <v>44101</v>
      </c>
      <c r="FJ41" s="54"/>
      <c r="FK41" s="53"/>
      <c r="FL41" s="54">
        <f t="shared" si="348"/>
        <v>44102</v>
      </c>
      <c r="FM41" s="54">
        <f t="shared" ref="FM41:IB41" si="350">FM40</f>
        <v>44103</v>
      </c>
      <c r="FN41" s="54">
        <f t="shared" si="350"/>
        <v>44104</v>
      </c>
      <c r="FO41" s="54">
        <f t="shared" si="350"/>
        <v>44105</v>
      </c>
      <c r="FP41" s="54">
        <f t="shared" si="350"/>
        <v>44106</v>
      </c>
      <c r="FQ41" s="54">
        <f t="shared" si="350"/>
        <v>44107</v>
      </c>
      <c r="FR41" s="54">
        <f t="shared" si="350"/>
        <v>44108</v>
      </c>
      <c r="FS41" s="54"/>
      <c r="FT41" s="53"/>
      <c r="FU41" s="54">
        <f t="shared" si="350"/>
        <v>44109</v>
      </c>
      <c r="FV41" s="54">
        <f t="shared" si="350"/>
        <v>44110</v>
      </c>
      <c r="FW41" s="54">
        <f t="shared" si="350"/>
        <v>44111</v>
      </c>
      <c r="FX41" s="54">
        <f t="shared" si="350"/>
        <v>44112</v>
      </c>
      <c r="FY41" s="54">
        <f t="shared" si="350"/>
        <v>44113</v>
      </c>
      <c r="FZ41" s="54">
        <f t="shared" si="350"/>
        <v>44114</v>
      </c>
      <c r="GA41" s="54">
        <f t="shared" ref="GA41" si="351">GA40</f>
        <v>44115</v>
      </c>
      <c r="GB41" s="54"/>
      <c r="GC41" s="53"/>
      <c r="GD41" s="54">
        <f t="shared" si="350"/>
        <v>44116</v>
      </c>
      <c r="GE41" s="54">
        <f t="shared" si="350"/>
        <v>44117</v>
      </c>
      <c r="GF41" s="54">
        <f t="shared" si="350"/>
        <v>44118</v>
      </c>
      <c r="GG41" s="54">
        <f t="shared" si="350"/>
        <v>44119</v>
      </c>
      <c r="GH41" s="54">
        <f t="shared" si="350"/>
        <v>44120</v>
      </c>
      <c r="GI41" s="54">
        <f t="shared" si="350"/>
        <v>44121</v>
      </c>
      <c r="GJ41" s="53">
        <f t="shared" si="350"/>
        <v>44122</v>
      </c>
      <c r="GK41" s="54">
        <f t="shared" si="350"/>
        <v>44123</v>
      </c>
      <c r="GL41" s="54">
        <f t="shared" si="350"/>
        <v>44124</v>
      </c>
      <c r="GM41" s="54">
        <f t="shared" si="350"/>
        <v>44125</v>
      </c>
      <c r="GN41" s="54">
        <f t="shared" si="350"/>
        <v>44126</v>
      </c>
      <c r="GO41" s="54">
        <f t="shared" si="350"/>
        <v>44127</v>
      </c>
      <c r="GP41" s="54">
        <f t="shared" si="350"/>
        <v>44128</v>
      </c>
      <c r="GQ41" s="53">
        <f t="shared" si="350"/>
        <v>44129</v>
      </c>
      <c r="GR41" s="54">
        <f t="shared" si="350"/>
        <v>44130</v>
      </c>
      <c r="GS41" s="54">
        <f t="shared" si="350"/>
        <v>44131</v>
      </c>
      <c r="GT41" s="54">
        <f t="shared" si="350"/>
        <v>44132</v>
      </c>
      <c r="GU41" s="54">
        <f t="shared" si="350"/>
        <v>44133</v>
      </c>
      <c r="GV41" s="54">
        <f t="shared" si="350"/>
        <v>44134</v>
      </c>
      <c r="GW41" s="54">
        <f t="shared" si="350"/>
        <v>44135</v>
      </c>
      <c r="GX41" s="53">
        <f t="shared" si="350"/>
        <v>44136</v>
      </c>
      <c r="GY41" s="54">
        <f t="shared" si="350"/>
        <v>44137</v>
      </c>
      <c r="GZ41" s="54">
        <f t="shared" si="350"/>
        <v>44138</v>
      </c>
      <c r="HA41" s="54">
        <f t="shared" si="350"/>
        <v>44139</v>
      </c>
      <c r="HB41" s="54">
        <f t="shared" si="350"/>
        <v>44140</v>
      </c>
      <c r="HC41" s="54">
        <f t="shared" si="350"/>
        <v>44141</v>
      </c>
      <c r="HD41" s="54">
        <f t="shared" si="350"/>
        <v>44142</v>
      </c>
      <c r="HE41" s="53">
        <f t="shared" si="350"/>
        <v>44143</v>
      </c>
      <c r="HF41" s="54">
        <f t="shared" si="350"/>
        <v>44144</v>
      </c>
      <c r="HG41" s="54">
        <f t="shared" si="350"/>
        <v>44145</v>
      </c>
      <c r="HH41" s="54">
        <f t="shared" si="350"/>
        <v>44146</v>
      </c>
      <c r="HI41" s="54">
        <f t="shared" si="350"/>
        <v>44147</v>
      </c>
      <c r="HJ41" s="54">
        <f t="shared" si="350"/>
        <v>44148</v>
      </c>
      <c r="HK41" s="54">
        <f t="shared" si="350"/>
        <v>44149</v>
      </c>
      <c r="HL41" s="53">
        <f t="shared" si="350"/>
        <v>44150</v>
      </c>
      <c r="HM41" s="54">
        <f t="shared" si="350"/>
        <v>44151</v>
      </c>
      <c r="HN41" s="54">
        <f t="shared" si="350"/>
        <v>44152</v>
      </c>
      <c r="HO41" s="54">
        <f t="shared" si="350"/>
        <v>44153</v>
      </c>
      <c r="HP41" s="54">
        <f t="shared" si="350"/>
        <v>44154</v>
      </c>
      <c r="HQ41" s="54">
        <f t="shared" si="350"/>
        <v>44155</v>
      </c>
      <c r="HR41" s="54">
        <f t="shared" si="350"/>
        <v>44156</v>
      </c>
      <c r="HS41" s="53">
        <f t="shared" si="350"/>
        <v>44157</v>
      </c>
      <c r="HT41" s="54">
        <f t="shared" si="350"/>
        <v>44158</v>
      </c>
      <c r="HU41" s="54">
        <f t="shared" si="350"/>
        <v>44159</v>
      </c>
      <c r="HV41" s="54">
        <f t="shared" si="350"/>
        <v>44160</v>
      </c>
      <c r="HW41" s="54">
        <f t="shared" si="350"/>
        <v>44161</v>
      </c>
      <c r="HX41" s="54">
        <f t="shared" si="350"/>
        <v>44162</v>
      </c>
      <c r="HY41" s="54">
        <f t="shared" si="350"/>
        <v>44163</v>
      </c>
      <c r="HZ41" s="53">
        <f t="shared" si="350"/>
        <v>44164</v>
      </c>
      <c r="IA41" s="54">
        <f t="shared" si="350"/>
        <v>44165</v>
      </c>
      <c r="IB41" s="54">
        <f t="shared" si="350"/>
        <v>44166</v>
      </c>
      <c r="IC41" s="54">
        <f t="shared" ref="IC41:KN41" si="352">IC40</f>
        <v>44167</v>
      </c>
      <c r="ID41" s="54">
        <f t="shared" si="352"/>
        <v>44168</v>
      </c>
      <c r="IE41" s="54">
        <f t="shared" si="352"/>
        <v>44169</v>
      </c>
      <c r="IF41" s="54">
        <f t="shared" si="352"/>
        <v>44170</v>
      </c>
      <c r="IG41" s="53">
        <f t="shared" si="352"/>
        <v>44171</v>
      </c>
      <c r="IH41" s="54">
        <f t="shared" si="352"/>
        <v>44172</v>
      </c>
      <c r="II41" s="54">
        <f t="shared" si="352"/>
        <v>44173</v>
      </c>
      <c r="IJ41" s="54">
        <f t="shared" si="352"/>
        <v>44174</v>
      </c>
      <c r="IK41" s="54">
        <f t="shared" si="352"/>
        <v>44175</v>
      </c>
      <c r="IL41" s="54">
        <f t="shared" si="352"/>
        <v>44176</v>
      </c>
      <c r="IM41" s="54">
        <f t="shared" si="352"/>
        <v>44177</v>
      </c>
      <c r="IN41" s="53">
        <f t="shared" si="352"/>
        <v>44178</v>
      </c>
      <c r="IO41" s="54">
        <f t="shared" si="352"/>
        <v>44179</v>
      </c>
      <c r="IP41" s="54">
        <f t="shared" si="352"/>
        <v>44180</v>
      </c>
      <c r="IQ41" s="54">
        <f t="shared" si="352"/>
        <v>44181</v>
      </c>
      <c r="IR41" s="54">
        <f t="shared" si="352"/>
        <v>44182</v>
      </c>
      <c r="IS41" s="54">
        <f t="shared" si="352"/>
        <v>44183</v>
      </c>
      <c r="IT41" s="54">
        <f t="shared" si="352"/>
        <v>44184</v>
      </c>
      <c r="IU41" s="53">
        <f t="shared" si="352"/>
        <v>44185</v>
      </c>
      <c r="IV41" s="54">
        <f t="shared" si="352"/>
        <v>44186</v>
      </c>
      <c r="IW41" s="54">
        <f t="shared" si="352"/>
        <v>44187</v>
      </c>
      <c r="IX41" s="54">
        <f t="shared" si="352"/>
        <v>44188</v>
      </c>
      <c r="IY41" s="54">
        <f t="shared" si="352"/>
        <v>44189</v>
      </c>
      <c r="IZ41" s="54">
        <f t="shared" si="352"/>
        <v>44190</v>
      </c>
      <c r="JA41" s="54">
        <f t="shared" si="352"/>
        <v>44191</v>
      </c>
      <c r="JB41" s="53">
        <f t="shared" si="352"/>
        <v>44192</v>
      </c>
      <c r="JC41" s="54">
        <f t="shared" si="352"/>
        <v>44193</v>
      </c>
      <c r="JD41" s="54">
        <f t="shared" si="352"/>
        <v>44194</v>
      </c>
      <c r="JE41" s="54">
        <f t="shared" si="352"/>
        <v>44195</v>
      </c>
      <c r="JF41" s="54">
        <f t="shared" si="352"/>
        <v>44196</v>
      </c>
      <c r="JG41" s="54">
        <f t="shared" si="352"/>
        <v>44197</v>
      </c>
      <c r="JH41" s="54">
        <f t="shared" si="352"/>
        <v>44198</v>
      </c>
      <c r="JI41" s="53">
        <f t="shared" si="352"/>
        <v>44199</v>
      </c>
      <c r="JJ41" s="54">
        <f t="shared" si="352"/>
        <v>44200</v>
      </c>
      <c r="JK41" s="54">
        <f t="shared" si="352"/>
        <v>44201</v>
      </c>
      <c r="JL41" s="54">
        <f t="shared" si="352"/>
        <v>44202</v>
      </c>
      <c r="JM41" s="54">
        <f t="shared" si="352"/>
        <v>44203</v>
      </c>
      <c r="JN41" s="54">
        <f t="shared" si="352"/>
        <v>44204</v>
      </c>
      <c r="JO41" s="54">
        <f t="shared" si="352"/>
        <v>44205</v>
      </c>
      <c r="JP41" s="53">
        <f t="shared" si="352"/>
        <v>44206</v>
      </c>
      <c r="JQ41" s="54">
        <f t="shared" si="352"/>
        <v>44207</v>
      </c>
      <c r="JR41" s="54">
        <f t="shared" si="352"/>
        <v>44208</v>
      </c>
      <c r="JS41" s="54">
        <f t="shared" si="352"/>
        <v>44209</v>
      </c>
      <c r="JT41" s="54">
        <f t="shared" si="352"/>
        <v>44210</v>
      </c>
      <c r="JU41" s="54">
        <f t="shared" si="352"/>
        <v>44211</v>
      </c>
      <c r="JV41" s="54">
        <f t="shared" si="352"/>
        <v>44212</v>
      </c>
      <c r="JW41" s="53">
        <f t="shared" si="352"/>
        <v>44213</v>
      </c>
      <c r="JX41" s="54">
        <f t="shared" si="352"/>
        <v>44214</v>
      </c>
      <c r="JY41" s="54">
        <f t="shared" si="352"/>
        <v>44215</v>
      </c>
      <c r="JZ41" s="54">
        <f t="shared" si="352"/>
        <v>44216</v>
      </c>
      <c r="KA41" s="54">
        <f t="shared" si="352"/>
        <v>44217</v>
      </c>
      <c r="KB41" s="54">
        <f t="shared" si="352"/>
        <v>44218</v>
      </c>
      <c r="KC41" s="54">
        <f t="shared" si="352"/>
        <v>44219</v>
      </c>
      <c r="KD41" s="53">
        <f t="shared" si="352"/>
        <v>44220</v>
      </c>
      <c r="KE41" s="54">
        <f t="shared" si="352"/>
        <v>44221</v>
      </c>
      <c r="KF41" s="54">
        <f t="shared" si="352"/>
        <v>44222</v>
      </c>
      <c r="KG41" s="54">
        <f t="shared" si="352"/>
        <v>44223</v>
      </c>
      <c r="KH41" s="54">
        <f t="shared" si="352"/>
        <v>44224</v>
      </c>
      <c r="KI41" s="54">
        <f t="shared" si="352"/>
        <v>44225</v>
      </c>
      <c r="KJ41" s="54">
        <f t="shared" si="352"/>
        <v>44226</v>
      </c>
      <c r="KK41" s="53">
        <f t="shared" si="352"/>
        <v>44227</v>
      </c>
      <c r="KL41" s="54">
        <f t="shared" si="352"/>
        <v>44228</v>
      </c>
      <c r="KM41" s="54">
        <f t="shared" si="352"/>
        <v>44229</v>
      </c>
      <c r="KN41" s="54">
        <f t="shared" si="352"/>
        <v>44230</v>
      </c>
      <c r="KO41" s="54">
        <f t="shared" ref="KO41:MV41" si="353">KO40</f>
        <v>44231</v>
      </c>
      <c r="KP41" s="54">
        <f t="shared" si="353"/>
        <v>44232</v>
      </c>
      <c r="KQ41" s="54">
        <f t="shared" si="353"/>
        <v>44233</v>
      </c>
      <c r="KR41" s="53">
        <f t="shared" si="353"/>
        <v>44234</v>
      </c>
      <c r="KS41" s="54">
        <f t="shared" si="353"/>
        <v>44235</v>
      </c>
      <c r="KT41" s="54">
        <f t="shared" si="353"/>
        <v>44236</v>
      </c>
      <c r="KU41" s="54">
        <f t="shared" si="353"/>
        <v>44237</v>
      </c>
      <c r="KV41" s="54">
        <f t="shared" si="353"/>
        <v>44238</v>
      </c>
      <c r="KW41" s="54">
        <f t="shared" si="353"/>
        <v>44239</v>
      </c>
      <c r="KX41" s="54">
        <f t="shared" si="353"/>
        <v>44240</v>
      </c>
      <c r="KY41" s="53">
        <f t="shared" si="353"/>
        <v>44241</v>
      </c>
      <c r="KZ41" s="54">
        <f t="shared" si="353"/>
        <v>44242</v>
      </c>
      <c r="LA41" s="54">
        <f t="shared" si="353"/>
        <v>44243</v>
      </c>
      <c r="LB41" s="54">
        <f t="shared" si="353"/>
        <v>44244</v>
      </c>
      <c r="LC41" s="54">
        <f t="shared" si="353"/>
        <v>44245</v>
      </c>
      <c r="LD41" s="54">
        <f t="shared" si="353"/>
        <v>44246</v>
      </c>
      <c r="LE41" s="54">
        <f t="shared" si="353"/>
        <v>44247</v>
      </c>
      <c r="LF41" s="53">
        <f t="shared" si="353"/>
        <v>44248</v>
      </c>
      <c r="LG41" s="54">
        <f t="shared" si="353"/>
        <v>44249</v>
      </c>
      <c r="LH41" s="54">
        <f t="shared" si="353"/>
        <v>44250</v>
      </c>
      <c r="LI41" s="54">
        <f t="shared" si="353"/>
        <v>44251</v>
      </c>
      <c r="LJ41" s="54">
        <f t="shared" si="353"/>
        <v>44252</v>
      </c>
      <c r="LK41" s="54">
        <f t="shared" si="353"/>
        <v>44253</v>
      </c>
      <c r="LL41" s="54">
        <f t="shared" si="353"/>
        <v>44254</v>
      </c>
      <c r="LM41" s="53">
        <f t="shared" si="353"/>
        <v>44255</v>
      </c>
      <c r="LN41" s="54">
        <f t="shared" si="353"/>
        <v>44256</v>
      </c>
      <c r="LO41" s="54">
        <f t="shared" si="353"/>
        <v>44257</v>
      </c>
      <c r="LP41" s="54">
        <f t="shared" si="353"/>
        <v>44258</v>
      </c>
      <c r="LQ41" s="54">
        <f t="shared" si="353"/>
        <v>44259</v>
      </c>
      <c r="LR41" s="54">
        <f t="shared" si="353"/>
        <v>44260</v>
      </c>
      <c r="LS41" s="54">
        <f t="shared" si="353"/>
        <v>44261</v>
      </c>
      <c r="LT41" s="53">
        <f t="shared" si="353"/>
        <v>44262</v>
      </c>
      <c r="LU41" s="54">
        <f t="shared" si="353"/>
        <v>44263</v>
      </c>
      <c r="LV41" s="54">
        <f t="shared" si="353"/>
        <v>44264</v>
      </c>
      <c r="LW41" s="54">
        <f t="shared" si="353"/>
        <v>44265</v>
      </c>
      <c r="LX41" s="54">
        <f t="shared" si="353"/>
        <v>44266</v>
      </c>
      <c r="LY41" s="54">
        <f t="shared" si="353"/>
        <v>44267</v>
      </c>
      <c r="LZ41" s="54">
        <f t="shared" si="353"/>
        <v>44268</v>
      </c>
      <c r="MA41" s="53">
        <f t="shared" si="353"/>
        <v>44269</v>
      </c>
      <c r="MB41" s="54">
        <f t="shared" si="353"/>
        <v>44270</v>
      </c>
      <c r="MC41" s="54">
        <f t="shared" si="353"/>
        <v>44271</v>
      </c>
      <c r="MD41" s="54">
        <f t="shared" si="353"/>
        <v>44272</v>
      </c>
      <c r="ME41" s="54">
        <f t="shared" si="353"/>
        <v>44273</v>
      </c>
      <c r="MF41" s="54">
        <f t="shared" si="353"/>
        <v>44274</v>
      </c>
      <c r="MG41" s="54">
        <f t="shared" si="353"/>
        <v>44275</v>
      </c>
      <c r="MH41" s="53">
        <f t="shared" si="353"/>
        <v>44276</v>
      </c>
      <c r="MI41" s="54">
        <f t="shared" si="353"/>
        <v>44277</v>
      </c>
      <c r="MJ41" s="54">
        <f t="shared" si="353"/>
        <v>44278</v>
      </c>
      <c r="MK41" s="54">
        <f t="shared" si="353"/>
        <v>44279</v>
      </c>
      <c r="ML41" s="54">
        <f t="shared" si="353"/>
        <v>44280</v>
      </c>
      <c r="MM41" s="54">
        <f t="shared" si="353"/>
        <v>44281</v>
      </c>
      <c r="MN41" s="54">
        <f t="shared" si="353"/>
        <v>44282</v>
      </c>
      <c r="MO41" s="53">
        <f t="shared" si="353"/>
        <v>44283</v>
      </c>
      <c r="MP41" s="54">
        <f t="shared" si="353"/>
        <v>44284</v>
      </c>
      <c r="MQ41" s="54">
        <f t="shared" si="353"/>
        <v>44285</v>
      </c>
      <c r="MR41" s="54">
        <f t="shared" si="353"/>
        <v>44286</v>
      </c>
      <c r="MS41" s="54">
        <f t="shared" si="353"/>
        <v>44287</v>
      </c>
      <c r="MT41" s="54">
        <f t="shared" si="353"/>
        <v>44288</v>
      </c>
      <c r="MU41" s="54">
        <f t="shared" si="353"/>
        <v>44289</v>
      </c>
      <c r="MV41" s="53">
        <f t="shared" si="353"/>
        <v>44290</v>
      </c>
    </row>
    <row r="42" spans="1:360" ht="15" customHeight="1" x14ac:dyDescent="0.25">
      <c r="A42" s="149"/>
      <c r="B42" s="149"/>
      <c r="C42" s="149"/>
      <c r="D42" s="149"/>
      <c r="E42" s="150"/>
      <c r="F42" s="19"/>
      <c r="G42" s="19"/>
      <c r="H42" s="19"/>
      <c r="I42" s="19"/>
      <c r="J42" s="19"/>
      <c r="K42" s="19"/>
      <c r="L42" s="19"/>
      <c r="M42" s="19"/>
      <c r="N42" s="19"/>
      <c r="O42" s="9"/>
      <c r="P42" s="152"/>
      <c r="Q42" s="152"/>
      <c r="R42" s="154"/>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4"/>
      <c r="GK42" s="25"/>
      <c r="GL42" s="25" t="s">
        <v>38</v>
      </c>
      <c r="GM42" s="25"/>
      <c r="GN42" s="25" t="s">
        <v>38</v>
      </c>
      <c r="GO42" s="25" t="s">
        <v>38</v>
      </c>
      <c r="GP42" s="25"/>
      <c r="GQ42" s="24"/>
      <c r="GR42" s="25"/>
      <c r="GS42" s="25" t="s">
        <v>38</v>
      </c>
      <c r="GT42" s="25"/>
      <c r="GU42" s="25" t="s">
        <v>38</v>
      </c>
      <c r="GV42" s="25" t="s">
        <v>38</v>
      </c>
      <c r="GW42" s="25"/>
      <c r="GX42" s="24"/>
      <c r="GY42" s="25"/>
      <c r="GZ42" s="25" t="s">
        <v>38</v>
      </c>
      <c r="HA42" s="25"/>
      <c r="HB42" s="25" t="s">
        <v>38</v>
      </c>
      <c r="HC42" s="25" t="s">
        <v>38</v>
      </c>
      <c r="HD42" s="25"/>
      <c r="HE42" s="24"/>
      <c r="HF42" s="25"/>
      <c r="HG42" s="25" t="s">
        <v>38</v>
      </c>
      <c r="HH42" s="25"/>
      <c r="HI42" s="25" t="s">
        <v>38</v>
      </c>
      <c r="HJ42" s="25" t="s">
        <v>38</v>
      </c>
      <c r="HK42" s="25"/>
      <c r="HL42" s="24"/>
      <c r="HM42" s="25"/>
      <c r="HN42" s="25" t="s">
        <v>38</v>
      </c>
      <c r="HO42" s="25"/>
      <c r="HP42" s="25" t="s">
        <v>38</v>
      </c>
      <c r="HQ42" s="25" t="s">
        <v>38</v>
      </c>
      <c r="HR42" s="25"/>
      <c r="HS42" s="24"/>
      <c r="HT42" s="25"/>
      <c r="HU42" s="25" t="s">
        <v>38</v>
      </c>
      <c r="HV42" s="25"/>
      <c r="HW42" s="25" t="s">
        <v>38</v>
      </c>
      <c r="HX42" s="25" t="s">
        <v>38</v>
      </c>
      <c r="HY42" s="25"/>
      <c r="HZ42" s="24"/>
      <c r="IA42" s="25"/>
      <c r="IB42" s="25" t="s">
        <v>38</v>
      </c>
      <c r="IC42" s="25" t="s">
        <v>38</v>
      </c>
      <c r="ID42" s="25"/>
      <c r="IE42" s="25" t="s">
        <v>38</v>
      </c>
      <c r="IF42" s="25"/>
      <c r="IG42" s="24"/>
      <c r="IH42" s="25"/>
      <c r="II42" s="25" t="s">
        <v>38</v>
      </c>
      <c r="IJ42" s="25"/>
      <c r="IK42" s="25" t="s">
        <v>38</v>
      </c>
      <c r="IL42" s="25" t="s">
        <v>38</v>
      </c>
      <c r="IM42" s="25"/>
      <c r="IN42" s="24"/>
      <c r="IO42" s="25"/>
      <c r="IP42" s="25" t="s">
        <v>38</v>
      </c>
      <c r="IQ42" s="25"/>
      <c r="IR42" s="25" t="s">
        <v>38</v>
      </c>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c r="LS42" s="25"/>
      <c r="LT42" s="26"/>
      <c r="LU42" s="25"/>
      <c r="LV42" s="25" t="s">
        <v>38</v>
      </c>
      <c r="LW42" s="25"/>
      <c r="LX42" s="25" t="s">
        <v>38</v>
      </c>
      <c r="LY42" s="25"/>
      <c r="LZ42" s="25"/>
      <c r="MA42" s="24"/>
      <c r="MB42" s="25"/>
      <c r="MC42" s="25"/>
      <c r="MD42" s="25"/>
      <c r="ME42" s="25"/>
      <c r="MF42" s="25"/>
      <c r="MG42" s="25"/>
      <c r="MH42" s="24"/>
      <c r="MI42" s="25"/>
      <c r="MJ42" s="25"/>
      <c r="MK42" s="25"/>
      <c r="ML42" s="25"/>
      <c r="MM42" s="25"/>
      <c r="MN42" s="25"/>
      <c r="MO42" s="24"/>
      <c r="MP42" s="25"/>
      <c r="MQ42" s="25"/>
      <c r="MR42" s="25"/>
      <c r="MS42" s="25"/>
      <c r="MT42" s="25"/>
      <c r="MU42" s="25"/>
      <c r="MV42" s="24"/>
    </row>
    <row r="43" spans="1:360" x14ac:dyDescent="0.25">
      <c r="A43" s="11" t="s">
        <v>148</v>
      </c>
      <c r="B43" s="11"/>
      <c r="C43" s="11"/>
      <c r="D43" s="11"/>
      <c r="E43" s="11"/>
      <c r="F43" s="134" t="s">
        <v>147</v>
      </c>
      <c r="G43" s="135" t="s">
        <v>146</v>
      </c>
      <c r="H43" s="135" t="s">
        <v>119</v>
      </c>
      <c r="I43" s="136" t="s">
        <v>41</v>
      </c>
      <c r="J43" s="136" t="s">
        <v>118</v>
      </c>
      <c r="K43" s="136" t="s">
        <v>42</v>
      </c>
      <c r="L43" s="136" t="s">
        <v>117</v>
      </c>
      <c r="M43" s="136" t="s">
        <v>47</v>
      </c>
      <c r="N43" s="136" t="s">
        <v>100</v>
      </c>
      <c r="O43" s="137"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2"/>
      <c r="GK43" s="11"/>
      <c r="GL43" s="11"/>
      <c r="GM43" s="11"/>
      <c r="GN43" s="11"/>
      <c r="GO43" s="11"/>
      <c r="GP43" s="11"/>
      <c r="GQ43" s="12"/>
      <c r="GR43" s="11"/>
      <c r="GS43" s="11"/>
      <c r="GT43" s="11"/>
      <c r="GU43" s="11"/>
      <c r="GV43" s="11"/>
      <c r="GW43" s="11"/>
      <c r="GX43" s="12"/>
      <c r="GY43" s="11"/>
      <c r="GZ43" s="11"/>
      <c r="HA43" s="11"/>
      <c r="HB43" s="11"/>
      <c r="HC43" s="11"/>
      <c r="HD43" s="11"/>
      <c r="HE43" s="12"/>
      <c r="HF43" s="11"/>
      <c r="HG43" s="11"/>
      <c r="HH43" s="11"/>
      <c r="HI43" s="11"/>
      <c r="HJ43" s="11"/>
      <c r="HK43" s="11"/>
      <c r="HL43" s="12"/>
      <c r="HM43" s="11"/>
      <c r="HN43" s="11"/>
      <c r="HO43" s="11"/>
      <c r="HP43" s="11"/>
      <c r="HQ43" s="11"/>
      <c r="HR43" s="11"/>
      <c r="HS43" s="12"/>
      <c r="HT43" s="11"/>
      <c r="HU43" s="11"/>
      <c r="HV43" s="11"/>
      <c r="HW43" s="11"/>
      <c r="HX43" s="11"/>
      <c r="HY43" s="11"/>
      <c r="HZ43" s="12"/>
      <c r="IA43" s="11"/>
      <c r="IB43" s="11"/>
      <c r="IC43" s="11"/>
      <c r="ID43" s="11"/>
      <c r="IE43" s="11"/>
      <c r="IF43" s="11"/>
      <c r="IG43" s="12"/>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row>
    <row r="44" spans="1:360"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2"/>
      <c r="GK44" s="11"/>
      <c r="GL44" s="11"/>
      <c r="GM44" s="11"/>
      <c r="GN44" s="11"/>
      <c r="GO44" s="11"/>
      <c r="GP44" s="11"/>
      <c r="GQ44" s="12"/>
      <c r="GR44" s="11"/>
      <c r="GS44" s="11"/>
      <c r="GT44" s="11"/>
      <c r="GU44" s="11"/>
      <c r="GV44" s="11"/>
      <c r="GW44" s="11"/>
      <c r="GX44" s="12"/>
      <c r="GY44" s="11"/>
      <c r="GZ44" s="11"/>
      <c r="HA44" s="11"/>
      <c r="HB44" s="11"/>
      <c r="HC44" s="11"/>
      <c r="HD44" s="11"/>
      <c r="HE44" s="12"/>
      <c r="HF44" s="11"/>
      <c r="HG44" s="11"/>
      <c r="HH44" s="11"/>
      <c r="HI44" s="11"/>
      <c r="HJ44" s="11"/>
      <c r="HK44" s="11"/>
      <c r="HL44" s="12"/>
      <c r="HM44" s="11"/>
      <c r="HN44" s="11"/>
      <c r="HO44" s="11"/>
      <c r="HP44" s="11"/>
      <c r="HQ44" s="11"/>
      <c r="HR44" s="11"/>
      <c r="HS44" s="12"/>
      <c r="HT44" s="11"/>
      <c r="HU44" s="11"/>
      <c r="HV44" s="11"/>
      <c r="HW44" s="11"/>
      <c r="HX44" s="11"/>
      <c r="HY44" s="11"/>
      <c r="HZ44" s="12"/>
      <c r="IA44" s="11"/>
      <c r="IB44" s="11"/>
      <c r="IC44" s="11"/>
      <c r="ID44" s="11"/>
      <c r="IE44" s="11"/>
      <c r="IF44" s="11"/>
      <c r="IG44" s="12"/>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row>
    <row r="45" spans="1:360" ht="7.5" customHeight="1" x14ac:dyDescent="0.25">
      <c r="A45" s="8"/>
      <c r="B45" s="8"/>
      <c r="C45" s="8"/>
      <c r="D45" s="8"/>
      <c r="E45" s="8"/>
      <c r="F45" s="10"/>
      <c r="G45" s="19"/>
      <c r="H45" s="19"/>
      <c r="I45" s="8"/>
      <c r="J45" s="8"/>
      <c r="K45" s="8"/>
      <c r="L45" s="8"/>
      <c r="M45" s="8"/>
      <c r="N45" s="8"/>
      <c r="O45" s="9"/>
      <c r="P45" s="8" t="str">
        <f>IF(SUM(R45:MV45) &gt; 0, SUM(R45:MV45), "")</f>
        <v/>
      </c>
      <c r="Q45" s="8"/>
      <c r="R45" s="84"/>
      <c r="S45" s="7"/>
      <c r="Z45" s="7"/>
      <c r="AG45" s="7"/>
      <c r="AN45" s="7"/>
      <c r="AU45" s="7"/>
      <c r="BB45" s="7"/>
      <c r="BI45" s="7"/>
      <c r="BP45" s="7"/>
      <c r="BY45" s="7"/>
      <c r="CH45" s="7"/>
      <c r="CQ45" s="7"/>
      <c r="CZ45" s="7"/>
      <c r="DI45" s="7"/>
      <c r="DR45" s="7"/>
      <c r="EA45" s="7"/>
      <c r="EJ45" s="7"/>
      <c r="ES45" s="7"/>
      <c r="FB45" s="7"/>
      <c r="FK45" s="7"/>
      <c r="FT45" s="7"/>
      <c r="GC45" s="7"/>
      <c r="GJ45" s="7"/>
      <c r="GQ45" s="7"/>
      <c r="GX45" s="7"/>
      <c r="HE45" s="7"/>
      <c r="HL45" s="7"/>
      <c r="HS45" s="7"/>
      <c r="HZ45" s="7"/>
      <c r="IG45" s="7"/>
      <c r="IN45" s="7"/>
      <c r="IU45" s="7"/>
      <c r="JB45" s="7"/>
      <c r="JI45" s="7"/>
      <c r="JP45" s="7"/>
      <c r="JW45" s="7"/>
      <c r="KD45" s="7"/>
      <c r="KK45" s="7"/>
      <c r="KR45" s="7"/>
      <c r="KY45" s="7"/>
      <c r="LF45" s="7"/>
      <c r="LM45" s="7"/>
      <c r="LT45" s="7"/>
      <c r="MA45" s="7"/>
      <c r="MH45" s="7"/>
      <c r="MO45" s="7"/>
      <c r="MV45" s="7"/>
    </row>
    <row r="46" spans="1:360" ht="15" customHeight="1" x14ac:dyDescent="0.25">
      <c r="A46" s="8" t="s">
        <v>116</v>
      </c>
      <c r="B46" s="8" t="s">
        <v>115</v>
      </c>
      <c r="C46" s="8" t="s">
        <v>114</v>
      </c>
      <c r="D46" s="8" t="s">
        <v>113</v>
      </c>
      <c r="E46" s="56">
        <v>40073</v>
      </c>
      <c r="F46" s="19">
        <f t="shared" ref="F46:L58" si="354">IF($E46 &gt;= F$44, 1, "")</f>
        <v>1</v>
      </c>
      <c r="G46" s="19">
        <f t="shared" si="354"/>
        <v>1</v>
      </c>
      <c r="H46" s="19">
        <f t="shared" si="354"/>
        <v>1</v>
      </c>
      <c r="I46" s="19">
        <f t="shared" si="354"/>
        <v>1</v>
      </c>
      <c r="J46" s="19">
        <f t="shared" si="354"/>
        <v>1</v>
      </c>
      <c r="K46" s="19">
        <f t="shared" si="354"/>
        <v>1</v>
      </c>
      <c r="L46" s="19" t="str">
        <f t="shared" si="354"/>
        <v/>
      </c>
      <c r="M46" s="8">
        <v>1</v>
      </c>
      <c r="N46" s="8"/>
      <c r="O46" s="9"/>
      <c r="P46" s="8">
        <f t="shared" ref="P46:P68" si="355">IF(SUM(S46:MV46) &gt; 0, SUM(S46:MV46), "")</f>
        <v>23</v>
      </c>
      <c r="Q46" s="109">
        <f t="shared" ref="Q46:Q68" si="356">IF(SUM(S46:XFD46) &gt; 0, SUM(S46:XFD46) / $P$69 * 100, "")</f>
        <v>67.64705882352942</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J46" s="7"/>
      <c r="GQ46" s="7"/>
      <c r="GX46" s="7"/>
      <c r="HE46" s="7"/>
      <c r="HL46" s="7"/>
      <c r="HS46" s="7"/>
      <c r="HZ46" s="7"/>
      <c r="IG46" s="7"/>
      <c r="IN46" s="7"/>
      <c r="IU46" s="7"/>
      <c r="JB46" s="7"/>
      <c r="JI46" s="7"/>
      <c r="JP46" s="7"/>
      <c r="JW46" s="7"/>
      <c r="KD46" s="7"/>
      <c r="KK46" s="7"/>
      <c r="KR46" s="7"/>
      <c r="KY46" s="7"/>
      <c r="LF46" s="7"/>
      <c r="LM46" s="7"/>
      <c r="LT46" s="7"/>
      <c r="MA46" s="7"/>
      <c r="MH46" s="7"/>
      <c r="MO46" s="7"/>
      <c r="MV46" s="7"/>
    </row>
    <row r="47" spans="1:360" ht="15" customHeight="1" x14ac:dyDescent="0.25">
      <c r="A47" s="8" t="s">
        <v>112</v>
      </c>
      <c r="B47" s="8" t="s">
        <v>111</v>
      </c>
      <c r="C47" s="8" t="s">
        <v>110</v>
      </c>
      <c r="D47" s="8" t="s">
        <v>109</v>
      </c>
      <c r="E47" s="56">
        <v>40099</v>
      </c>
      <c r="F47" s="19">
        <f t="shared" si="354"/>
        <v>1</v>
      </c>
      <c r="G47" s="19">
        <f t="shared" si="354"/>
        <v>1</v>
      </c>
      <c r="H47" s="19">
        <f t="shared" si="354"/>
        <v>1</v>
      </c>
      <c r="I47" s="19">
        <f t="shared" si="354"/>
        <v>1</v>
      </c>
      <c r="J47" s="19">
        <f t="shared" si="354"/>
        <v>1</v>
      </c>
      <c r="K47" s="19">
        <f t="shared" si="354"/>
        <v>1</v>
      </c>
      <c r="L47" s="19" t="str">
        <f t="shared" si="354"/>
        <v/>
      </c>
      <c r="M47" s="8">
        <v>1</v>
      </c>
      <c r="N47" s="8"/>
      <c r="O47" s="9"/>
      <c r="P47" s="8">
        <f t="shared" si="355"/>
        <v>9</v>
      </c>
      <c r="Q47" s="109">
        <f t="shared" si="356"/>
        <v>26.47058823529412</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GC47" s="7"/>
      <c r="GJ47" s="7"/>
      <c r="GQ47" s="7"/>
      <c r="GX47" s="7"/>
      <c r="HE47" s="7"/>
      <c r="HL47" s="7"/>
      <c r="HS47" s="7"/>
      <c r="HZ47" s="7"/>
      <c r="IG47" s="7"/>
      <c r="IN47" s="7"/>
      <c r="IU47" s="7"/>
      <c r="JB47" s="7"/>
      <c r="JI47" s="7"/>
      <c r="JP47" s="7"/>
      <c r="JW47" s="7"/>
      <c r="KD47" s="7"/>
      <c r="KK47" s="7"/>
      <c r="KR47" s="7"/>
      <c r="KY47" s="7"/>
      <c r="LF47" s="7"/>
      <c r="LM47" s="7"/>
      <c r="LT47" s="7"/>
      <c r="MA47" s="7"/>
      <c r="MH47" s="7"/>
      <c r="MO47" s="7"/>
      <c r="MV47" s="7"/>
    </row>
    <row r="48" spans="1:360" ht="15" customHeight="1" x14ac:dyDescent="0.25">
      <c r="A48" s="8" t="s">
        <v>73</v>
      </c>
      <c r="B48" s="8" t="s">
        <v>108</v>
      </c>
      <c r="C48" s="8" t="s">
        <v>107</v>
      </c>
      <c r="D48" s="8" t="s">
        <v>106</v>
      </c>
      <c r="E48" s="18">
        <v>39474</v>
      </c>
      <c r="F48" s="10">
        <f t="shared" si="354"/>
        <v>1</v>
      </c>
      <c r="G48" s="19">
        <f t="shared" si="354"/>
        <v>1</v>
      </c>
      <c r="H48" s="19">
        <f t="shared" si="354"/>
        <v>1</v>
      </c>
      <c r="I48" s="19">
        <f t="shared" si="354"/>
        <v>1</v>
      </c>
      <c r="J48" s="19">
        <f t="shared" si="354"/>
        <v>1</v>
      </c>
      <c r="K48" s="19" t="str">
        <f t="shared" si="354"/>
        <v/>
      </c>
      <c r="L48" s="19" t="str">
        <f t="shared" si="354"/>
        <v/>
      </c>
      <c r="M48" s="8">
        <v>1</v>
      </c>
      <c r="N48" s="8">
        <v>1</v>
      </c>
      <c r="O48" s="9"/>
      <c r="P48" s="8">
        <f t="shared" si="355"/>
        <v>32</v>
      </c>
      <c r="Q48" s="109">
        <f t="shared" si="356"/>
        <v>94.117647058823522</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GC48" s="7"/>
      <c r="GJ48" s="7"/>
      <c r="GQ48" s="7"/>
      <c r="GX48" s="7"/>
      <c r="HE48" s="7"/>
      <c r="HL48" s="7"/>
      <c r="HS48" s="7"/>
      <c r="HZ48" s="7"/>
      <c r="IG48" s="7"/>
      <c r="IN48" s="7"/>
      <c r="IU48" s="7"/>
      <c r="JB48" s="7"/>
      <c r="JI48" s="7"/>
      <c r="JP48" s="7"/>
      <c r="JW48" s="7"/>
      <c r="KD48" s="7"/>
      <c r="KK48" s="7"/>
      <c r="KR48" s="7"/>
      <c r="KY48" s="7"/>
      <c r="LF48" s="7"/>
      <c r="LM48" s="7"/>
      <c r="LT48" s="7"/>
      <c r="MA48" s="7"/>
      <c r="MH48" s="7"/>
      <c r="MO48" s="7"/>
      <c r="MV48" s="7"/>
    </row>
    <row r="49" spans="1:360" ht="15" customHeight="1" x14ac:dyDescent="0.25">
      <c r="A49" s="8" t="s">
        <v>236</v>
      </c>
      <c r="B49" s="8" t="s">
        <v>237</v>
      </c>
      <c r="C49" s="8" t="s">
        <v>238</v>
      </c>
      <c r="D49" s="8" t="s">
        <v>239</v>
      </c>
      <c r="E49" s="18">
        <v>39425</v>
      </c>
      <c r="F49" s="10">
        <f t="shared" si="354"/>
        <v>1</v>
      </c>
      <c r="G49" s="19">
        <f t="shared" si="354"/>
        <v>1</v>
      </c>
      <c r="H49" s="19">
        <f t="shared" si="354"/>
        <v>1</v>
      </c>
      <c r="I49" s="19">
        <f t="shared" si="354"/>
        <v>1</v>
      </c>
      <c r="J49" s="19" t="str">
        <f t="shared" si="354"/>
        <v/>
      </c>
      <c r="K49" s="19" t="str">
        <f t="shared" si="354"/>
        <v/>
      </c>
      <c r="L49" s="19" t="str">
        <f t="shared" si="354"/>
        <v/>
      </c>
      <c r="M49" s="8">
        <v>1</v>
      </c>
      <c r="N49" s="8">
        <v>1</v>
      </c>
      <c r="O49" s="9"/>
      <c r="P49" s="8">
        <f t="shared" si="355"/>
        <v>25</v>
      </c>
      <c r="Q49" s="109">
        <f t="shared" si="356"/>
        <v>73.529411764705884</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GC49" s="7"/>
      <c r="GJ49" s="7"/>
      <c r="GQ49" s="7"/>
      <c r="GX49" s="7"/>
      <c r="HE49" s="7"/>
      <c r="HL49" s="7"/>
      <c r="HS49" s="7"/>
      <c r="HZ49" s="7"/>
      <c r="IG49" s="7"/>
      <c r="IN49" s="7"/>
      <c r="IU49" s="7"/>
      <c r="JB49" s="7"/>
      <c r="JI49" s="7"/>
      <c r="JP49" s="7"/>
      <c r="JW49" s="7"/>
      <c r="KD49" s="7"/>
      <c r="KK49" s="7"/>
      <c r="KR49" s="7"/>
      <c r="KY49" s="7"/>
      <c r="LF49" s="7"/>
      <c r="LM49" s="7"/>
      <c r="LT49" s="7"/>
      <c r="MA49" s="7"/>
      <c r="MH49" s="7"/>
      <c r="MO49" s="7"/>
      <c r="MV49" s="7"/>
    </row>
    <row r="50" spans="1:360" ht="15" hidden="1" customHeight="1" x14ac:dyDescent="0.25">
      <c r="A50" s="8" t="s">
        <v>233</v>
      </c>
      <c r="B50" s="8"/>
      <c r="C50" s="8" t="s">
        <v>36</v>
      </c>
      <c r="D50" s="8" t="s">
        <v>234</v>
      </c>
      <c r="E50" s="18">
        <v>38536</v>
      </c>
      <c r="F50" s="10">
        <f t="shared" si="354"/>
        <v>1</v>
      </c>
      <c r="G50" s="19">
        <f t="shared" si="354"/>
        <v>1</v>
      </c>
      <c r="H50" s="19" t="str">
        <f t="shared" si="354"/>
        <v/>
      </c>
      <c r="I50" s="19" t="str">
        <f t="shared" si="354"/>
        <v/>
      </c>
      <c r="J50" s="19" t="str">
        <f t="shared" si="354"/>
        <v/>
      </c>
      <c r="K50" s="19" t="str">
        <f t="shared" si="354"/>
        <v/>
      </c>
      <c r="L50" s="19" t="str">
        <f t="shared" si="354"/>
        <v/>
      </c>
      <c r="M50" s="8">
        <v>1</v>
      </c>
      <c r="N50" s="8"/>
      <c r="O50" s="9"/>
      <c r="P50" s="8">
        <f t="shared" si="355"/>
        <v>5</v>
      </c>
      <c r="Q50" s="109">
        <f t="shared" si="356"/>
        <v>14.705882352941178</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J50" s="7"/>
      <c r="GQ50" s="7"/>
      <c r="GX50" s="7"/>
      <c r="HE50" s="7"/>
      <c r="HL50" s="7"/>
      <c r="HS50" s="7"/>
      <c r="HZ50" s="7"/>
      <c r="IG50" s="7"/>
      <c r="IN50" s="7"/>
      <c r="IU50" s="7"/>
      <c r="JB50" s="7"/>
      <c r="JI50" s="7"/>
      <c r="JP50" s="7"/>
      <c r="JW50" s="7"/>
      <c r="KD50" s="7"/>
      <c r="KK50" s="7"/>
      <c r="KR50" s="7"/>
      <c r="KY50" s="7"/>
      <c r="LF50" s="7"/>
      <c r="LM50" s="7"/>
      <c r="LT50" s="7"/>
      <c r="MA50" s="7"/>
      <c r="MH50" s="7"/>
      <c r="MO50" s="7"/>
      <c r="MV50" s="7"/>
    </row>
    <row r="51" spans="1:360" hidden="1" x14ac:dyDescent="0.25">
      <c r="A51" s="8" t="s">
        <v>229</v>
      </c>
      <c r="B51" s="8" t="s">
        <v>230</v>
      </c>
      <c r="C51" s="8" t="s">
        <v>232</v>
      </c>
      <c r="D51" s="8" t="s">
        <v>231</v>
      </c>
      <c r="E51" s="18">
        <v>38679</v>
      </c>
      <c r="F51" s="10">
        <f t="shared" si="354"/>
        <v>1</v>
      </c>
      <c r="G51" s="19">
        <f t="shared" si="354"/>
        <v>1</v>
      </c>
      <c r="H51" s="19" t="str">
        <f t="shared" si="354"/>
        <v/>
      </c>
      <c r="I51" s="19" t="str">
        <f t="shared" si="354"/>
        <v/>
      </c>
      <c r="J51" s="19" t="str">
        <f t="shared" si="354"/>
        <v/>
      </c>
      <c r="K51" s="19" t="str">
        <f t="shared" si="354"/>
        <v/>
      </c>
      <c r="L51" s="19" t="str">
        <f t="shared" si="354"/>
        <v/>
      </c>
      <c r="M51" s="8">
        <v>1</v>
      </c>
      <c r="N51" s="8"/>
      <c r="O51" s="9"/>
      <c r="P51" s="8">
        <f t="shared" si="355"/>
        <v>6</v>
      </c>
      <c r="Q51" s="109">
        <f t="shared" si="356"/>
        <v>17.647058823529413</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J51" s="7"/>
      <c r="GQ51" s="7"/>
      <c r="GX51" s="7"/>
      <c r="HE51" s="7"/>
      <c r="HL51" s="7"/>
      <c r="HS51" s="7"/>
      <c r="HZ51" s="7"/>
      <c r="IG51" s="7"/>
      <c r="IN51" s="7"/>
      <c r="IU51" s="7"/>
      <c r="JB51" s="7"/>
      <c r="JI51" s="7"/>
      <c r="JP51" s="7"/>
      <c r="JW51" s="7"/>
      <c r="KD51" s="7"/>
      <c r="KK51" s="7"/>
      <c r="KR51" s="7"/>
      <c r="KY51" s="7"/>
      <c r="LF51" s="7"/>
      <c r="LM51" s="7"/>
      <c r="LT51" s="7"/>
      <c r="MA51" s="7"/>
      <c r="MH51" s="7"/>
      <c r="MO51" s="7"/>
      <c r="MV51" s="7"/>
    </row>
    <row r="52" spans="1:360" hidden="1" x14ac:dyDescent="0.25">
      <c r="A52" s="8" t="s">
        <v>62</v>
      </c>
      <c r="B52" s="8"/>
      <c r="C52" s="8" t="s">
        <v>292</v>
      </c>
      <c r="D52" s="8" t="s">
        <v>293</v>
      </c>
      <c r="E52" s="18">
        <v>39814</v>
      </c>
      <c r="F52" s="10">
        <f t="shared" si="354"/>
        <v>1</v>
      </c>
      <c r="G52" s="19">
        <f t="shared" si="354"/>
        <v>1</v>
      </c>
      <c r="H52" s="19">
        <f t="shared" si="354"/>
        <v>1</v>
      </c>
      <c r="I52" s="8">
        <f t="shared" si="354"/>
        <v>1</v>
      </c>
      <c r="J52" s="8">
        <f t="shared" si="354"/>
        <v>1</v>
      </c>
      <c r="K52" s="8">
        <f t="shared" si="354"/>
        <v>1</v>
      </c>
      <c r="L52" s="8" t="str">
        <f t="shared" si="354"/>
        <v/>
      </c>
      <c r="M52" s="8">
        <v>1</v>
      </c>
      <c r="N52" s="8"/>
      <c r="O52" s="9"/>
      <c r="P52" s="8">
        <f t="shared" si="355"/>
        <v>3</v>
      </c>
      <c r="Q52" s="109">
        <f t="shared" si="356"/>
        <v>8.8235294117647065</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J52" s="7"/>
      <c r="GQ52" s="7"/>
      <c r="GX52" s="7"/>
      <c r="HE52" s="7"/>
      <c r="HL52" s="7"/>
      <c r="HS52" s="7"/>
      <c r="HZ52" s="7"/>
      <c r="IG52" s="7"/>
      <c r="IN52" s="7"/>
      <c r="IU52" s="7"/>
      <c r="JB52" s="7"/>
      <c r="JI52" s="7"/>
      <c r="JP52" s="7"/>
      <c r="JW52" s="7"/>
      <c r="KD52" s="7"/>
      <c r="KK52" s="7"/>
      <c r="KR52" s="7"/>
      <c r="KY52" s="7"/>
      <c r="LF52" s="7"/>
      <c r="LM52" s="7"/>
      <c r="LT52" s="7"/>
      <c r="MA52" s="7"/>
      <c r="MH52" s="7"/>
      <c r="MO52" s="7"/>
      <c r="MV52" s="7"/>
    </row>
    <row r="53" spans="1:360" x14ac:dyDescent="0.25">
      <c r="A53" s="8" t="s">
        <v>92</v>
      </c>
      <c r="B53" s="8"/>
      <c r="C53" s="8" t="s">
        <v>91</v>
      </c>
      <c r="D53" s="8" t="s">
        <v>90</v>
      </c>
      <c r="E53" s="18">
        <v>39507</v>
      </c>
      <c r="F53" s="10">
        <f t="shared" si="354"/>
        <v>1</v>
      </c>
      <c r="G53" s="19">
        <f t="shared" si="354"/>
        <v>1</v>
      </c>
      <c r="H53" s="19">
        <f t="shared" si="354"/>
        <v>1</v>
      </c>
      <c r="I53" s="19">
        <f t="shared" si="354"/>
        <v>1</v>
      </c>
      <c r="J53" s="19">
        <f t="shared" si="354"/>
        <v>1</v>
      </c>
      <c r="K53" s="19" t="str">
        <f t="shared" si="354"/>
        <v/>
      </c>
      <c r="L53" s="19" t="str">
        <f t="shared" si="354"/>
        <v/>
      </c>
      <c r="M53" s="8">
        <v>1</v>
      </c>
      <c r="N53" s="8">
        <v>1</v>
      </c>
      <c r="O53" s="9"/>
      <c r="P53" s="8">
        <f t="shared" si="355"/>
        <v>27</v>
      </c>
      <c r="Q53" s="109">
        <f t="shared" si="356"/>
        <v>79.411764705882348</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J53" s="7"/>
      <c r="GQ53" s="7"/>
      <c r="GX53" s="7"/>
      <c r="HE53" s="7"/>
      <c r="HL53" s="7"/>
      <c r="HS53" s="7"/>
      <c r="HZ53" s="7"/>
      <c r="IG53" s="7"/>
      <c r="IN53" s="7"/>
      <c r="IU53" s="7"/>
      <c r="JB53" s="7"/>
      <c r="JI53" s="7"/>
      <c r="JP53" s="7"/>
      <c r="JW53" s="7"/>
      <c r="KD53" s="7"/>
      <c r="KK53" s="7"/>
      <c r="KR53" s="7"/>
      <c r="KY53" s="7"/>
      <c r="LF53" s="7"/>
      <c r="LM53" s="7"/>
      <c r="LT53" s="7"/>
      <c r="MA53" s="7"/>
      <c r="MH53" s="7"/>
      <c r="MO53" s="7"/>
      <c r="MV53" s="7"/>
    </row>
    <row r="54" spans="1:360" hidden="1" x14ac:dyDescent="0.25">
      <c r="A54" s="8" t="s">
        <v>89</v>
      </c>
      <c r="B54" s="8"/>
      <c r="C54" s="8" t="s">
        <v>88</v>
      </c>
      <c r="D54" s="8" t="s">
        <v>87</v>
      </c>
      <c r="E54" s="18">
        <v>39651</v>
      </c>
      <c r="F54" s="10">
        <f t="shared" si="354"/>
        <v>1</v>
      </c>
      <c r="G54" s="19">
        <f t="shared" si="354"/>
        <v>1</v>
      </c>
      <c r="H54" s="19">
        <f t="shared" si="354"/>
        <v>1</v>
      </c>
      <c r="I54" s="8">
        <f t="shared" si="354"/>
        <v>1</v>
      </c>
      <c r="J54" s="8">
        <f t="shared" si="354"/>
        <v>1</v>
      </c>
      <c r="K54" s="8" t="str">
        <f t="shared" si="354"/>
        <v/>
      </c>
      <c r="L54" s="8" t="str">
        <f t="shared" si="354"/>
        <v/>
      </c>
      <c r="M54" s="8">
        <v>1</v>
      </c>
      <c r="N54" s="8"/>
      <c r="O54" s="9"/>
      <c r="P54" s="8">
        <f t="shared" si="355"/>
        <v>3</v>
      </c>
      <c r="Q54" s="109">
        <f t="shared" si="356"/>
        <v>8.8235294117647065</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J54" s="7"/>
      <c r="GQ54" s="7"/>
      <c r="GX54" s="7"/>
      <c r="HE54" s="7"/>
      <c r="HL54" s="7"/>
      <c r="HS54" s="7"/>
      <c r="HZ54" s="7"/>
      <c r="IG54" s="7"/>
      <c r="IN54" s="7"/>
      <c r="IU54" s="7"/>
      <c r="JB54" s="7"/>
      <c r="JI54" s="7"/>
      <c r="JP54" s="7"/>
      <c r="JW54" s="7"/>
      <c r="KD54" s="7"/>
      <c r="KK54" s="7"/>
      <c r="KR54" s="7"/>
      <c r="KY54" s="7"/>
      <c r="LF54" s="7"/>
      <c r="LM54" s="7"/>
      <c r="LT54" s="7"/>
      <c r="MA54" s="7"/>
      <c r="MH54" s="7"/>
      <c r="MO54" s="7"/>
      <c r="MV54" s="7"/>
    </row>
    <row r="55" spans="1:360" x14ac:dyDescent="0.25">
      <c r="A55" s="8" t="s">
        <v>134</v>
      </c>
      <c r="B55" s="8" t="s">
        <v>133</v>
      </c>
      <c r="C55" s="8" t="s">
        <v>235</v>
      </c>
      <c r="D55" s="8" t="s">
        <v>87</v>
      </c>
      <c r="E55" s="18">
        <v>38979</v>
      </c>
      <c r="F55" s="10">
        <f t="shared" si="354"/>
        <v>1</v>
      </c>
      <c r="G55" s="19">
        <f t="shared" si="354"/>
        <v>1</v>
      </c>
      <c r="H55" s="19">
        <f t="shared" si="354"/>
        <v>1</v>
      </c>
      <c r="I55" s="8" t="str">
        <f t="shared" si="354"/>
        <v/>
      </c>
      <c r="J55" s="8" t="str">
        <f t="shared" si="354"/>
        <v/>
      </c>
      <c r="K55" s="8" t="str">
        <f t="shared" si="354"/>
        <v/>
      </c>
      <c r="L55" s="8" t="str">
        <f t="shared" si="354"/>
        <v/>
      </c>
      <c r="M55" s="8">
        <v>1</v>
      </c>
      <c r="N55" s="8">
        <v>1</v>
      </c>
      <c r="O55" s="9"/>
      <c r="P55" s="8">
        <f t="shared" si="355"/>
        <v>22</v>
      </c>
      <c r="Q55" s="109">
        <f t="shared" si="356"/>
        <v>64.705882352941174</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J55" s="7"/>
      <c r="GQ55" s="7"/>
      <c r="GX55" s="7"/>
      <c r="HE55" s="7"/>
      <c r="HL55" s="7"/>
      <c r="HS55" s="7"/>
      <c r="HZ55" s="7"/>
      <c r="IG55" s="7"/>
      <c r="IN55" s="7"/>
      <c r="IU55" s="7"/>
      <c r="JB55" s="7"/>
      <c r="JI55" s="7"/>
      <c r="JP55" s="7"/>
      <c r="JW55" s="7"/>
      <c r="KD55" s="7"/>
      <c r="KK55" s="7"/>
      <c r="KR55" s="7"/>
      <c r="KY55" s="7"/>
      <c r="LF55" s="7"/>
      <c r="LM55" s="7"/>
      <c r="LT55" s="7"/>
      <c r="MA55" s="7"/>
      <c r="MH55" s="7"/>
      <c r="MO55" s="7"/>
      <c r="MV55" s="7"/>
    </row>
    <row r="56" spans="1:360" hidden="1" x14ac:dyDescent="0.25">
      <c r="A56" s="8" t="s">
        <v>86</v>
      </c>
      <c r="B56" s="8"/>
      <c r="C56" s="8" t="s">
        <v>85</v>
      </c>
      <c r="D56" s="8" t="s">
        <v>84</v>
      </c>
      <c r="E56" s="18">
        <v>39562</v>
      </c>
      <c r="F56" s="10">
        <f t="shared" si="354"/>
        <v>1</v>
      </c>
      <c r="G56" s="19">
        <f t="shared" si="354"/>
        <v>1</v>
      </c>
      <c r="H56" s="19">
        <f t="shared" si="354"/>
        <v>1</v>
      </c>
      <c r="I56" s="8">
        <f t="shared" si="354"/>
        <v>1</v>
      </c>
      <c r="J56" s="8">
        <f t="shared" si="354"/>
        <v>1</v>
      </c>
      <c r="K56" s="8" t="str">
        <f t="shared" si="354"/>
        <v/>
      </c>
      <c r="L56" s="8" t="str">
        <f t="shared" si="354"/>
        <v/>
      </c>
      <c r="M56" s="8">
        <v>1</v>
      </c>
      <c r="N56" s="8"/>
      <c r="O56" s="9"/>
      <c r="P56" s="8">
        <f t="shared" si="355"/>
        <v>5</v>
      </c>
      <c r="Q56" s="109">
        <f t="shared" si="356"/>
        <v>14.705882352941178</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J56" s="7"/>
      <c r="GQ56" s="7"/>
      <c r="GX56" s="7"/>
      <c r="HE56" s="7"/>
      <c r="HL56" s="7"/>
      <c r="HS56" s="7"/>
      <c r="HZ56" s="7"/>
      <c r="IG56" s="7"/>
      <c r="IN56" s="7"/>
      <c r="IU56" s="7"/>
      <c r="JB56" s="7"/>
      <c r="JI56" s="7"/>
      <c r="JP56" s="7"/>
      <c r="JW56" s="7"/>
      <c r="KD56" s="7"/>
      <c r="KK56" s="7"/>
      <c r="KR56" s="7"/>
      <c r="KY56" s="7"/>
      <c r="LF56" s="7"/>
      <c r="LM56" s="7"/>
      <c r="LT56" s="7"/>
      <c r="MA56" s="7"/>
      <c r="MH56" s="7"/>
      <c r="MO56" s="7"/>
      <c r="MV56" s="7"/>
    </row>
    <row r="57" spans="1:360" x14ac:dyDescent="0.25">
      <c r="A57" s="8" t="s">
        <v>83</v>
      </c>
      <c r="B57" s="8"/>
      <c r="C57" s="8" t="s">
        <v>82</v>
      </c>
      <c r="D57" s="8" t="s">
        <v>81</v>
      </c>
      <c r="E57" s="18">
        <v>39475</v>
      </c>
      <c r="F57" s="10">
        <f t="shared" si="354"/>
        <v>1</v>
      </c>
      <c r="G57" s="19">
        <f t="shared" si="354"/>
        <v>1</v>
      </c>
      <c r="H57" s="19">
        <f t="shared" si="354"/>
        <v>1</v>
      </c>
      <c r="I57" s="8">
        <f t="shared" si="354"/>
        <v>1</v>
      </c>
      <c r="J57" s="8">
        <f t="shared" si="354"/>
        <v>1</v>
      </c>
      <c r="K57" s="8" t="str">
        <f t="shared" si="354"/>
        <v/>
      </c>
      <c r="L57" s="8" t="str">
        <f t="shared" si="354"/>
        <v/>
      </c>
      <c r="M57" s="8">
        <v>1</v>
      </c>
      <c r="N57" s="8">
        <v>1</v>
      </c>
      <c r="O57" s="9"/>
      <c r="P57" s="8">
        <f t="shared" si="355"/>
        <v>29</v>
      </c>
      <c r="Q57" s="109">
        <f t="shared" si="356"/>
        <v>85.294117647058826</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GC57" s="7"/>
      <c r="GJ57" s="7"/>
      <c r="GQ57" s="7"/>
      <c r="GX57" s="7"/>
      <c r="HE57" s="7"/>
      <c r="HL57" s="7"/>
      <c r="HS57" s="7"/>
      <c r="HZ57" s="7"/>
      <c r="IG57" s="7"/>
      <c r="IN57" s="7"/>
      <c r="IU57" s="7"/>
      <c r="JB57" s="7"/>
      <c r="JI57" s="7"/>
      <c r="JP57" s="7"/>
      <c r="JW57" s="7"/>
      <c r="KD57" s="7"/>
      <c r="KK57" s="7"/>
      <c r="KR57" s="7"/>
      <c r="KY57" s="7"/>
      <c r="LF57" s="7"/>
      <c r="LM57" s="7"/>
      <c r="LT57" s="7"/>
      <c r="MA57" s="7"/>
      <c r="MH57" s="7"/>
      <c r="MO57" s="7"/>
      <c r="MV57" s="7"/>
    </row>
    <row r="58" spans="1:360" x14ac:dyDescent="0.25">
      <c r="A58" s="8" t="s">
        <v>80</v>
      </c>
      <c r="B58" s="8"/>
      <c r="C58" s="8" t="s">
        <v>79</v>
      </c>
      <c r="D58" s="8" t="s">
        <v>78</v>
      </c>
      <c r="E58" s="18">
        <v>39927</v>
      </c>
      <c r="F58" s="10">
        <f t="shared" si="354"/>
        <v>1</v>
      </c>
      <c r="G58" s="19">
        <f t="shared" si="354"/>
        <v>1</v>
      </c>
      <c r="H58" s="19">
        <f t="shared" si="354"/>
        <v>1</v>
      </c>
      <c r="I58" s="8">
        <f t="shared" si="354"/>
        <v>1</v>
      </c>
      <c r="J58" s="8">
        <f t="shared" si="354"/>
        <v>1</v>
      </c>
      <c r="K58" s="8">
        <f t="shared" si="354"/>
        <v>1</v>
      </c>
      <c r="L58" s="8" t="str">
        <f t="shared" si="354"/>
        <v/>
      </c>
      <c r="M58" s="8">
        <v>1</v>
      </c>
      <c r="N58" s="8"/>
      <c r="O58" s="9"/>
      <c r="P58" s="8">
        <f t="shared" si="355"/>
        <v>6</v>
      </c>
      <c r="Q58" s="109">
        <f t="shared" si="356"/>
        <v>17.647058823529413</v>
      </c>
      <c r="R58" s="84"/>
      <c r="S58" s="7"/>
      <c r="Z58" s="7"/>
      <c r="AG58" s="7"/>
      <c r="AI58">
        <v>1</v>
      </c>
      <c r="AK58">
        <v>1</v>
      </c>
      <c r="AN58" s="7"/>
      <c r="AP58">
        <v>1</v>
      </c>
      <c r="AU58" s="7"/>
      <c r="AW58">
        <v>1</v>
      </c>
      <c r="BB58" s="7"/>
      <c r="BI58" s="7"/>
      <c r="BP58" s="7"/>
      <c r="BY58" s="7"/>
      <c r="CH58" s="7"/>
      <c r="CQ58" s="7"/>
      <c r="CZ58" s="7"/>
      <c r="DI58" s="7"/>
      <c r="DR58" s="7"/>
      <c r="EA58" s="7"/>
      <c r="EJ58" s="7"/>
      <c r="ES58" s="7"/>
      <c r="EW58">
        <v>1</v>
      </c>
      <c r="FB58" s="7"/>
      <c r="FD58">
        <v>1</v>
      </c>
      <c r="FK58" s="7"/>
      <c r="FT58" s="7"/>
      <c r="GC58" s="7"/>
      <c r="GJ58" s="7"/>
      <c r="GQ58" s="7"/>
      <c r="GX58" s="7"/>
      <c r="HE58" s="7"/>
      <c r="HL58" s="7"/>
      <c r="HS58" s="7"/>
      <c r="HZ58" s="7"/>
      <c r="IG58" s="7"/>
      <c r="IN58" s="7"/>
      <c r="IU58" s="7"/>
      <c r="JB58" s="7"/>
      <c r="JI58" s="7"/>
      <c r="JP58" s="7"/>
      <c r="JW58" s="7"/>
      <c r="KD58" s="7"/>
      <c r="KK58" s="7"/>
      <c r="KR58" s="7"/>
      <c r="KY58" s="7"/>
      <c r="LF58" s="7"/>
      <c r="LM58" s="7"/>
      <c r="LT58" s="7"/>
      <c r="MA58" s="7"/>
      <c r="MH58" s="7"/>
      <c r="MO58" s="7"/>
      <c r="MV58" s="7"/>
    </row>
    <row r="59" spans="1:360" x14ac:dyDescent="0.25">
      <c r="A59" s="8" t="s">
        <v>77</v>
      </c>
      <c r="B59" s="8" t="s">
        <v>76</v>
      </c>
      <c r="C59" s="8" t="s">
        <v>75</v>
      </c>
      <c r="D59" s="8" t="s">
        <v>74</v>
      </c>
      <c r="E59" s="18">
        <v>40051</v>
      </c>
      <c r="F59" s="10">
        <f t="shared" ref="F59:L68" si="357">IF($E59 &gt;= F$44, 1, "")</f>
        <v>1</v>
      </c>
      <c r="G59" s="19">
        <f t="shared" si="357"/>
        <v>1</v>
      </c>
      <c r="H59" s="19">
        <f t="shared" si="357"/>
        <v>1</v>
      </c>
      <c r="I59" s="8">
        <f t="shared" si="357"/>
        <v>1</v>
      </c>
      <c r="J59" s="8">
        <f t="shared" si="357"/>
        <v>1</v>
      </c>
      <c r="K59" s="8">
        <f t="shared" si="357"/>
        <v>1</v>
      </c>
      <c r="L59" s="8" t="str">
        <f t="shared" si="357"/>
        <v/>
      </c>
      <c r="M59" s="8">
        <v>1</v>
      </c>
      <c r="N59" s="8"/>
      <c r="O59" s="9"/>
      <c r="P59" s="8">
        <f t="shared" si="355"/>
        <v>11</v>
      </c>
      <c r="Q59" s="109">
        <f t="shared" si="356"/>
        <v>32.352941176470587</v>
      </c>
      <c r="R59" s="84"/>
      <c r="S59" s="7"/>
      <c r="Z59" s="7"/>
      <c r="AG59" s="7"/>
      <c r="AI59">
        <v>1</v>
      </c>
      <c r="AN59" s="7"/>
      <c r="AP59">
        <v>1</v>
      </c>
      <c r="AU59" s="7"/>
      <c r="AW59">
        <v>1</v>
      </c>
      <c r="AX59">
        <v>1</v>
      </c>
      <c r="BB59" s="7"/>
      <c r="BD59">
        <v>1</v>
      </c>
      <c r="BI59" s="7"/>
      <c r="BK59">
        <v>1</v>
      </c>
      <c r="BN59">
        <v>1</v>
      </c>
      <c r="BP59" s="7"/>
      <c r="BY59" s="7"/>
      <c r="CH59" s="7"/>
      <c r="CQ59" s="7"/>
      <c r="CZ59" s="7"/>
      <c r="DI59" s="7"/>
      <c r="DR59" s="7"/>
      <c r="EA59" s="7"/>
      <c r="EJ59" s="7"/>
      <c r="ES59" s="7"/>
      <c r="EU59">
        <v>1</v>
      </c>
      <c r="EX59">
        <v>1</v>
      </c>
      <c r="FB59" s="7"/>
      <c r="FK59" s="7"/>
      <c r="FM59">
        <v>1</v>
      </c>
      <c r="FT59" s="7"/>
      <c r="FV59">
        <v>1</v>
      </c>
      <c r="GC59" s="7"/>
      <c r="GJ59" s="7"/>
      <c r="GQ59" s="7"/>
      <c r="GX59" s="7"/>
      <c r="HE59" s="7"/>
      <c r="HL59" s="7"/>
      <c r="HS59" s="7"/>
      <c r="HZ59" s="7"/>
      <c r="IG59" s="7"/>
      <c r="IN59" s="7"/>
      <c r="IU59" s="7"/>
      <c r="JB59" s="7"/>
      <c r="JI59" s="7"/>
      <c r="JP59" s="7"/>
      <c r="JW59" s="7"/>
      <c r="KD59" s="7"/>
      <c r="KK59" s="7"/>
      <c r="KR59" s="7"/>
      <c r="KY59" s="7"/>
      <c r="LF59" s="7"/>
      <c r="LM59" s="7"/>
      <c r="LT59" s="7"/>
      <c r="MA59" s="7"/>
      <c r="MH59" s="7"/>
      <c r="MO59" s="7"/>
      <c r="MV59" s="7"/>
    </row>
    <row r="60" spans="1:360" x14ac:dyDescent="0.25">
      <c r="A60" s="8" t="s">
        <v>73</v>
      </c>
      <c r="B60" s="8"/>
      <c r="C60" s="8" t="s">
        <v>27</v>
      </c>
      <c r="D60" s="8" t="s">
        <v>70</v>
      </c>
      <c r="E60" s="18">
        <v>40004</v>
      </c>
      <c r="F60" s="10">
        <f t="shared" si="357"/>
        <v>1</v>
      </c>
      <c r="G60" s="19">
        <f t="shared" si="357"/>
        <v>1</v>
      </c>
      <c r="H60" s="19">
        <f t="shared" si="357"/>
        <v>1</v>
      </c>
      <c r="I60" s="8">
        <f t="shared" si="357"/>
        <v>1</v>
      </c>
      <c r="J60" s="8">
        <f t="shared" si="357"/>
        <v>1</v>
      </c>
      <c r="K60" s="8">
        <f t="shared" si="357"/>
        <v>1</v>
      </c>
      <c r="L60" s="8" t="str">
        <f t="shared" si="357"/>
        <v/>
      </c>
      <c r="M60" s="8">
        <v>1</v>
      </c>
      <c r="N60" s="8"/>
      <c r="O60" s="9"/>
      <c r="P60" s="8">
        <f t="shared" si="355"/>
        <v>11</v>
      </c>
      <c r="Q60" s="109">
        <f t="shared" si="356"/>
        <v>32.352941176470587</v>
      </c>
      <c r="R60" s="84"/>
      <c r="S60" s="7"/>
      <c r="Z60" s="7"/>
      <c r="AG60" s="7"/>
      <c r="AI60">
        <v>1</v>
      </c>
      <c r="AN60" s="7"/>
      <c r="AP60">
        <v>1</v>
      </c>
      <c r="AR60">
        <v>1</v>
      </c>
      <c r="AU60" s="7"/>
      <c r="AW60">
        <v>1</v>
      </c>
      <c r="AY60">
        <v>1</v>
      </c>
      <c r="BB60" s="7"/>
      <c r="BD60">
        <v>1</v>
      </c>
      <c r="BI60" s="7"/>
      <c r="BK60">
        <v>1</v>
      </c>
      <c r="BM60">
        <v>1</v>
      </c>
      <c r="BP60" s="7"/>
      <c r="BY60" s="7"/>
      <c r="CH60" s="7"/>
      <c r="CQ60" s="7"/>
      <c r="CZ60" s="7"/>
      <c r="DI60" s="7"/>
      <c r="DR60" s="7"/>
      <c r="EA60" s="7"/>
      <c r="EJ60" s="7"/>
      <c r="ES60" s="7"/>
      <c r="FB60" s="7"/>
      <c r="FF60">
        <v>1</v>
      </c>
      <c r="FK60" s="7"/>
      <c r="FT60" s="7"/>
      <c r="FV60">
        <v>1</v>
      </c>
      <c r="FX60">
        <v>1</v>
      </c>
      <c r="GC60" s="7"/>
      <c r="GJ60" s="7"/>
      <c r="GQ60" s="7"/>
      <c r="GX60" s="7"/>
      <c r="HE60" s="7"/>
      <c r="HL60" s="7"/>
      <c r="HS60" s="7"/>
      <c r="HZ60" s="7"/>
      <c r="IG60" s="7"/>
      <c r="IN60" s="7"/>
      <c r="IU60" s="7"/>
      <c r="JB60" s="7"/>
      <c r="JI60" s="7"/>
      <c r="JP60" s="7"/>
      <c r="JW60" s="7"/>
      <c r="KD60" s="7"/>
      <c r="KK60" s="7"/>
      <c r="KR60" s="7"/>
      <c r="KY60" s="7"/>
      <c r="LF60" s="7"/>
      <c r="LM60" s="7"/>
      <c r="LT60" s="7"/>
      <c r="MA60" s="7"/>
      <c r="MH60" s="7"/>
      <c r="MO60" s="7"/>
      <c r="MV60" s="7"/>
    </row>
    <row r="61" spans="1:360" x14ac:dyDescent="0.25">
      <c r="A61" s="8" t="s">
        <v>72</v>
      </c>
      <c r="B61" s="8"/>
      <c r="C61" s="8" t="s">
        <v>71</v>
      </c>
      <c r="D61" s="8" t="s">
        <v>70</v>
      </c>
      <c r="E61" s="18">
        <v>40179</v>
      </c>
      <c r="F61" s="10">
        <f t="shared" si="357"/>
        <v>1</v>
      </c>
      <c r="G61" s="19">
        <f t="shared" si="357"/>
        <v>1</v>
      </c>
      <c r="H61" s="19">
        <f t="shared" si="357"/>
        <v>1</v>
      </c>
      <c r="I61" s="8">
        <f t="shared" si="357"/>
        <v>1</v>
      </c>
      <c r="J61" s="8">
        <f t="shared" si="357"/>
        <v>1</v>
      </c>
      <c r="K61" s="8">
        <f t="shared" si="357"/>
        <v>1</v>
      </c>
      <c r="L61" s="8">
        <f t="shared" si="357"/>
        <v>1</v>
      </c>
      <c r="M61" s="8"/>
      <c r="N61" s="8"/>
      <c r="O61" s="9"/>
      <c r="P61" s="8">
        <f t="shared" si="355"/>
        <v>5</v>
      </c>
      <c r="Q61" s="109">
        <f t="shared" si="356"/>
        <v>14.705882352941178</v>
      </c>
      <c r="R61" s="84"/>
      <c r="S61" s="7"/>
      <c r="Z61" s="7"/>
      <c r="AG61" s="7"/>
      <c r="AN61" s="7"/>
      <c r="AU61" s="7"/>
      <c r="BB61" s="7"/>
      <c r="BI61" s="7"/>
      <c r="BP61" s="7"/>
      <c r="BY61" s="7"/>
      <c r="CH61" s="7"/>
      <c r="CQ61" s="7"/>
      <c r="CZ61" s="7"/>
      <c r="DI61" s="7"/>
      <c r="DR61" s="7"/>
      <c r="EA61" s="7"/>
      <c r="EJ61" s="7"/>
      <c r="ES61" s="7"/>
      <c r="FB61" s="7"/>
      <c r="FD61">
        <v>1</v>
      </c>
      <c r="FF61">
        <v>1</v>
      </c>
      <c r="FK61" s="7"/>
      <c r="FO61">
        <v>1</v>
      </c>
      <c r="FT61" s="7"/>
      <c r="FV61">
        <v>1</v>
      </c>
      <c r="FX61">
        <v>1</v>
      </c>
      <c r="GC61" s="7"/>
      <c r="GJ61" s="7"/>
      <c r="GQ61" s="7"/>
      <c r="GX61" s="7"/>
      <c r="HE61" s="7"/>
      <c r="HL61" s="7"/>
      <c r="HS61" s="7"/>
      <c r="HZ61" s="7"/>
      <c r="IG61" s="7"/>
      <c r="IN61" s="7"/>
      <c r="IU61" s="7"/>
      <c r="JB61" s="7"/>
      <c r="JI61" s="7"/>
      <c r="JP61" s="7"/>
      <c r="JW61" s="7"/>
      <c r="KD61" s="7"/>
      <c r="KK61" s="7"/>
      <c r="KR61" s="7"/>
      <c r="KY61" s="7"/>
      <c r="LF61" s="7"/>
      <c r="LM61" s="7"/>
      <c r="LT61" s="7"/>
      <c r="MA61" s="7"/>
      <c r="MH61" s="7"/>
      <c r="MO61" s="7"/>
      <c r="MV61" s="7"/>
    </row>
    <row r="62" spans="1:360" x14ac:dyDescent="0.25">
      <c r="A62" s="8" t="s">
        <v>58</v>
      </c>
      <c r="B62" s="8"/>
      <c r="C62" s="8" t="s">
        <v>529</v>
      </c>
      <c r="D62" s="8" t="s">
        <v>525</v>
      </c>
      <c r="E62" s="18">
        <v>39448</v>
      </c>
      <c r="F62" s="10">
        <f t="shared" si="357"/>
        <v>1</v>
      </c>
      <c r="G62" s="19">
        <f t="shared" si="357"/>
        <v>1</v>
      </c>
      <c r="H62" s="19">
        <f t="shared" si="357"/>
        <v>1</v>
      </c>
      <c r="I62" s="8">
        <f t="shared" si="357"/>
        <v>1</v>
      </c>
      <c r="J62" s="8">
        <f t="shared" si="357"/>
        <v>1</v>
      </c>
      <c r="K62" s="8" t="str">
        <f t="shared" si="357"/>
        <v/>
      </c>
      <c r="L62" s="8" t="str">
        <f t="shared" si="357"/>
        <v/>
      </c>
      <c r="M62" s="8">
        <v>1</v>
      </c>
      <c r="N62" s="8"/>
      <c r="O62" s="9"/>
      <c r="P62" s="8">
        <f t="shared" si="355"/>
        <v>1</v>
      </c>
      <c r="Q62" s="109">
        <f t="shared" si="356"/>
        <v>2.9411764705882351</v>
      </c>
      <c r="R62" s="84"/>
      <c r="S62" s="7"/>
      <c r="Z62" s="7"/>
      <c r="AG62" s="7"/>
      <c r="AN62" s="7"/>
      <c r="AU62" s="7"/>
      <c r="BB62" s="7"/>
      <c r="BI62" s="7"/>
      <c r="BP62" s="7"/>
      <c r="BY62" s="7"/>
      <c r="CH62" s="7"/>
      <c r="CQ62" s="7"/>
      <c r="CZ62" s="7"/>
      <c r="DI62" s="7"/>
      <c r="DR62" s="7"/>
      <c r="EA62" s="7"/>
      <c r="EJ62" s="7"/>
      <c r="ES62" s="7"/>
      <c r="EU62">
        <v>1</v>
      </c>
      <c r="FB62" s="7"/>
      <c r="FK62" s="7"/>
      <c r="FT62" s="7"/>
      <c r="GC62" s="7"/>
      <c r="GJ62" s="7"/>
      <c r="GQ62" s="7"/>
      <c r="GX62" s="7"/>
      <c r="HE62" s="7"/>
      <c r="HL62" s="7"/>
      <c r="HS62" s="7"/>
      <c r="HZ62" s="7"/>
      <c r="IG62" s="7"/>
      <c r="IN62" s="7"/>
      <c r="IU62" s="7"/>
      <c r="JB62" s="7"/>
      <c r="JI62" s="7"/>
      <c r="JP62" s="7"/>
      <c r="JW62" s="7"/>
      <c r="KD62" s="7"/>
      <c r="KK62" s="7"/>
      <c r="KR62" s="7"/>
      <c r="KY62" s="7"/>
      <c r="LF62" s="7"/>
      <c r="LM62" s="7"/>
      <c r="LT62" s="7"/>
      <c r="MA62" s="7"/>
      <c r="MH62" s="7"/>
      <c r="MO62" s="7"/>
      <c r="MV62" s="7"/>
    </row>
    <row r="63" spans="1:360" hidden="1" x14ac:dyDescent="0.25">
      <c r="A63" s="8"/>
      <c r="B63" s="8"/>
      <c r="C63" s="8"/>
      <c r="D63" s="8"/>
      <c r="E63" s="18"/>
      <c r="F63" s="10" t="str">
        <f t="shared" si="357"/>
        <v/>
      </c>
      <c r="G63" s="19" t="str">
        <f t="shared" si="357"/>
        <v/>
      </c>
      <c r="H63" s="19" t="str">
        <f t="shared" si="357"/>
        <v/>
      </c>
      <c r="I63" s="8" t="str">
        <f t="shared" si="357"/>
        <v/>
      </c>
      <c r="J63" s="8" t="str">
        <f t="shared" si="357"/>
        <v/>
      </c>
      <c r="K63" s="8" t="str">
        <f t="shared" si="357"/>
        <v/>
      </c>
      <c r="L63" s="8" t="str">
        <f t="shared" si="357"/>
        <v/>
      </c>
      <c r="M63" s="8"/>
      <c r="N63" s="8"/>
      <c r="O63" s="9"/>
      <c r="P63" s="8" t="str">
        <f t="shared" si="355"/>
        <v/>
      </c>
      <c r="Q63" s="109" t="str">
        <f t="shared" si="356"/>
        <v/>
      </c>
      <c r="R63" s="84" t="str">
        <f>IF(SUM(S63:XFD63) &gt; 0, SUM(S63:XFD63) / $P$69 * 100, "")</f>
        <v/>
      </c>
      <c r="S63" s="7"/>
      <c r="Z63" s="7"/>
      <c r="AG63" s="7"/>
      <c r="AN63" s="7"/>
      <c r="AU63" s="7"/>
      <c r="BB63" s="7"/>
      <c r="BI63" s="7"/>
      <c r="BP63" s="7"/>
      <c r="BY63" s="7"/>
      <c r="CH63" s="7"/>
      <c r="CQ63" s="7"/>
      <c r="CZ63" s="7"/>
      <c r="DI63" s="7"/>
      <c r="DR63" s="7"/>
      <c r="EA63" s="7"/>
      <c r="EJ63" s="7"/>
      <c r="ES63" s="7"/>
      <c r="FB63" s="7"/>
      <c r="FK63" s="7"/>
      <c r="FT63" s="7"/>
      <c r="GC63" s="7"/>
      <c r="GJ63" s="7"/>
      <c r="GQ63" s="7"/>
      <c r="GX63" s="7"/>
      <c r="HE63" s="7"/>
      <c r="HL63" s="7"/>
      <c r="HS63" s="7"/>
      <c r="HZ63" s="7"/>
      <c r="IG63" s="7"/>
      <c r="IN63" s="7"/>
      <c r="IU63" s="7"/>
      <c r="JB63" s="7"/>
      <c r="JI63" s="7"/>
      <c r="JP63" s="7"/>
      <c r="JW63" s="7"/>
      <c r="KD63" s="7"/>
      <c r="KK63" s="7"/>
      <c r="KR63" s="7"/>
      <c r="KY63" s="7"/>
      <c r="LF63" s="7"/>
      <c r="LM63" s="7"/>
      <c r="LT63" s="7"/>
      <c r="MA63" s="7"/>
      <c r="MH63" s="7"/>
      <c r="MO63" s="7"/>
      <c r="MV63" s="7"/>
    </row>
    <row r="64" spans="1:360"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5"/>
        <v/>
      </c>
      <c r="Q64" s="109" t="str">
        <f t="shared" si="356"/>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J64" s="7"/>
      <c r="GQ64" s="7"/>
      <c r="GX64" s="7"/>
      <c r="HE64" s="7"/>
      <c r="HL64" s="7"/>
      <c r="HS64" s="7"/>
      <c r="HZ64" s="7"/>
      <c r="IG64" s="7"/>
      <c r="IN64" s="7"/>
      <c r="IU64" s="7"/>
      <c r="JB64" s="7"/>
      <c r="JI64" s="7"/>
      <c r="JP64" s="7"/>
      <c r="JW64" s="7"/>
      <c r="KD64" s="7"/>
      <c r="KK64" s="7"/>
      <c r="KR64" s="7"/>
      <c r="KY64" s="7"/>
      <c r="LF64" s="7"/>
      <c r="LM64" s="7"/>
      <c r="LT64" s="7"/>
      <c r="MA64" s="7"/>
      <c r="MH64" s="7"/>
      <c r="MO64" s="7"/>
      <c r="MV64" s="7"/>
    </row>
    <row r="65" spans="1:360"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5"/>
        <v/>
      </c>
      <c r="Q65" s="109" t="str">
        <f t="shared" si="356"/>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J65" s="7"/>
      <c r="GQ65" s="7"/>
      <c r="GX65" s="7"/>
      <c r="HE65" s="7"/>
      <c r="HL65" s="7"/>
      <c r="HS65" s="7"/>
      <c r="HZ65" s="7"/>
      <c r="IG65" s="7"/>
      <c r="IN65" s="7"/>
      <c r="IU65" s="7"/>
      <c r="JB65" s="7"/>
      <c r="JI65" s="7"/>
      <c r="JP65" s="7"/>
      <c r="JW65" s="7"/>
      <c r="KD65" s="7"/>
      <c r="KK65" s="7"/>
      <c r="KR65" s="7"/>
      <c r="KY65" s="7"/>
      <c r="LF65" s="7"/>
      <c r="LM65" s="7"/>
      <c r="LT65" s="7"/>
      <c r="MA65" s="7"/>
      <c r="MH65" s="7"/>
      <c r="MO65" s="7"/>
      <c r="MV65" s="7"/>
    </row>
    <row r="66" spans="1:360" x14ac:dyDescent="0.25">
      <c r="A66" s="8" t="s">
        <v>80</v>
      </c>
      <c r="B66" s="8"/>
      <c r="C66" s="8"/>
      <c r="D66" s="8" t="s">
        <v>560</v>
      </c>
      <c r="E66" s="146" t="s">
        <v>561</v>
      </c>
      <c r="F66" s="10"/>
      <c r="G66" s="19"/>
      <c r="H66" s="19"/>
      <c r="I66" s="8"/>
      <c r="J66" s="8"/>
      <c r="K66" s="8"/>
      <c r="L66" s="8"/>
      <c r="M66" s="8"/>
      <c r="N66" s="8"/>
      <c r="O66" s="9"/>
      <c r="P66" s="8">
        <f t="shared" si="355"/>
        <v>1</v>
      </c>
      <c r="Q66" s="109">
        <f t="shared" si="356"/>
        <v>2.9411764705882351</v>
      </c>
      <c r="R66" s="84"/>
      <c r="S66" s="7"/>
      <c r="Z66" s="7"/>
      <c r="AG66" s="7"/>
      <c r="AN66" s="7"/>
      <c r="AU66" s="7"/>
      <c r="BB66" s="7"/>
      <c r="BI66" s="7"/>
      <c r="BP66" s="7"/>
      <c r="BY66" s="7"/>
      <c r="CH66" s="7"/>
      <c r="CQ66" s="7"/>
      <c r="CZ66" s="7"/>
      <c r="DI66" s="7"/>
      <c r="DR66" s="7"/>
      <c r="EA66" s="7"/>
      <c r="EJ66" s="7"/>
      <c r="ES66" s="7"/>
      <c r="FB66" s="7"/>
      <c r="FK66" s="7"/>
      <c r="FP66">
        <v>1</v>
      </c>
      <c r="FT66" s="7"/>
      <c r="GC66" s="7"/>
      <c r="GJ66" s="7"/>
      <c r="GQ66" s="7"/>
      <c r="GX66" s="7"/>
      <c r="HE66" s="7"/>
      <c r="HL66" s="7"/>
      <c r="HS66" s="7"/>
      <c r="HZ66" s="7"/>
      <c r="IG66" s="7"/>
      <c r="IN66" s="7"/>
      <c r="IU66" s="7"/>
      <c r="JB66" s="7"/>
      <c r="JI66" s="7"/>
      <c r="JP66" s="7"/>
      <c r="JW66" s="7"/>
      <c r="KD66" s="7"/>
      <c r="KK66" s="7"/>
      <c r="KR66" s="7"/>
      <c r="KY66" s="7"/>
      <c r="LF66" s="7"/>
      <c r="LM66" s="7"/>
      <c r="LT66" s="7"/>
      <c r="MA66" s="7"/>
      <c r="MH66" s="7"/>
      <c r="MO66" s="7"/>
      <c r="MV66" s="7"/>
    </row>
    <row r="67" spans="1:360" x14ac:dyDescent="0.25">
      <c r="A67" s="8" t="s">
        <v>430</v>
      </c>
      <c r="B67" s="8"/>
      <c r="C67" s="8" t="s">
        <v>431</v>
      </c>
      <c r="D67" s="8" t="s">
        <v>432</v>
      </c>
      <c r="E67" s="146"/>
      <c r="F67" s="10"/>
      <c r="G67" s="19"/>
      <c r="H67" s="19"/>
      <c r="I67" s="8"/>
      <c r="J67" s="8"/>
      <c r="K67" s="8"/>
      <c r="L67" s="8"/>
      <c r="M67" s="8"/>
      <c r="N67" s="8"/>
      <c r="O67" s="9"/>
      <c r="P67" s="8">
        <f t="shared" ref="P67" si="358">IF(SUM(S67:MV67) &gt; 0, SUM(S67:MV67), "")</f>
        <v>2</v>
      </c>
      <c r="Q67" s="109">
        <f t="shared" si="356"/>
        <v>5.8823529411764701</v>
      </c>
      <c r="R67" s="84"/>
      <c r="S67" s="7"/>
      <c r="Z67" s="7"/>
      <c r="AG67" s="7"/>
      <c r="AN67" s="7"/>
      <c r="AU67" s="7"/>
      <c r="BB67" s="7"/>
      <c r="BI67" s="7"/>
      <c r="BP67" s="7"/>
      <c r="BY67" s="7"/>
      <c r="CH67" s="7"/>
      <c r="CQ67" s="7"/>
      <c r="CZ67" s="7"/>
      <c r="DI67" s="7"/>
      <c r="DR67" s="7"/>
      <c r="EA67" s="7"/>
      <c r="EJ67" s="7"/>
      <c r="ES67" s="7"/>
      <c r="FB67" s="7"/>
      <c r="FK67" s="7"/>
      <c r="FT67" s="7"/>
      <c r="FV67">
        <v>1</v>
      </c>
      <c r="FX67">
        <v>1</v>
      </c>
      <c r="GC67" s="7"/>
      <c r="GJ67" s="7"/>
      <c r="GQ67" s="7"/>
      <c r="GX67" s="7"/>
      <c r="HE67" s="7"/>
      <c r="HL67" s="7"/>
      <c r="HS67" s="7"/>
      <c r="HZ67" s="7"/>
      <c r="IG67" s="7"/>
      <c r="IN67" s="7"/>
      <c r="IU67" s="7"/>
      <c r="JB67" s="7"/>
      <c r="JI67" s="7"/>
      <c r="JP67" s="7"/>
      <c r="JW67" s="7"/>
      <c r="KD67" s="7"/>
      <c r="KK67" s="7"/>
      <c r="KR67" s="7"/>
      <c r="KY67" s="7"/>
      <c r="LF67" s="7"/>
      <c r="LM67" s="7"/>
      <c r="LT67" s="7"/>
      <c r="MA67" s="7"/>
      <c r="MH67" s="7"/>
      <c r="MO67" s="7"/>
      <c r="MV67" s="7"/>
    </row>
    <row r="68" spans="1:360"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5"/>
        <v/>
      </c>
      <c r="Q68" s="109" t="str">
        <f t="shared" si="356"/>
        <v/>
      </c>
      <c r="R68" s="84"/>
      <c r="S68" s="7"/>
      <c r="Z68" s="7"/>
      <c r="AG68" s="7"/>
      <c r="AN68" s="7"/>
      <c r="AU68" s="7"/>
      <c r="BB68" s="7"/>
      <c r="BI68" s="7"/>
      <c r="BP68" s="7"/>
      <c r="BY68" s="7"/>
      <c r="CH68" s="7"/>
      <c r="CQ68" s="7"/>
      <c r="CZ68" s="7"/>
      <c r="DI68" s="7"/>
      <c r="DR68" s="7"/>
      <c r="EA68" s="7"/>
      <c r="EJ68" s="7"/>
      <c r="ES68" s="7"/>
      <c r="FB68" s="7"/>
      <c r="FK68" s="7"/>
      <c r="FT68" s="7"/>
      <c r="GC68" s="7"/>
      <c r="GJ68" s="7"/>
      <c r="GQ68" s="7"/>
      <c r="GX68" s="7"/>
      <c r="HE68" s="7"/>
      <c r="HL68" s="7"/>
      <c r="HS68" s="7"/>
      <c r="HZ68" s="7"/>
      <c r="IG68" s="7"/>
      <c r="IN68" s="7"/>
      <c r="IU68" s="7"/>
      <c r="JB68" s="7"/>
      <c r="JI68" s="7"/>
      <c r="JP68" s="7"/>
      <c r="JW68" s="7"/>
      <c r="KD68" s="7"/>
      <c r="KK68" s="7"/>
      <c r="KR68" s="7"/>
      <c r="KY68" s="7"/>
      <c r="LF68" s="7"/>
      <c r="LM68" s="7"/>
      <c r="LT68" s="7"/>
      <c r="MA68" s="7"/>
      <c r="MH68" s="7"/>
      <c r="MO68" s="7"/>
      <c r="MV68" s="7"/>
    </row>
    <row r="69" spans="1:360" ht="15" customHeight="1" x14ac:dyDescent="0.25">
      <c r="A69" s="23" t="s">
        <v>18</v>
      </c>
      <c r="B69" s="20"/>
      <c r="C69" s="20"/>
      <c r="D69" s="20"/>
      <c r="E69" s="59"/>
      <c r="F69" s="20"/>
      <c r="G69" s="20"/>
      <c r="H69" s="20"/>
      <c r="I69" s="20"/>
      <c r="J69" s="20"/>
      <c r="K69" s="20"/>
      <c r="L69" s="20"/>
      <c r="M69" s="20"/>
      <c r="N69" s="20"/>
      <c r="O69" s="21"/>
      <c r="P69" s="3">
        <f>SUM(S69:MV69)</f>
        <v>34</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c r="FZ69" s="20"/>
      <c r="GA69" s="20"/>
      <c r="GB69" s="20"/>
      <c r="GC69" s="21"/>
      <c r="GD69" s="20"/>
      <c r="GE69" s="20"/>
      <c r="GF69" s="20"/>
      <c r="GG69" s="20"/>
      <c r="GH69" s="20"/>
      <c r="GI69" s="20"/>
      <c r="GJ69" s="21"/>
      <c r="GK69" s="20"/>
      <c r="GL69" s="20"/>
      <c r="GM69" s="20"/>
      <c r="GN69" s="20"/>
      <c r="GO69" s="20"/>
      <c r="GP69" s="20"/>
      <c r="GQ69" s="21"/>
      <c r="GR69" s="20"/>
      <c r="GS69" s="20"/>
      <c r="GT69" s="20"/>
      <c r="GU69" s="20"/>
      <c r="GV69" s="20"/>
      <c r="GW69" s="20"/>
      <c r="GX69" s="21"/>
      <c r="GY69" s="20"/>
      <c r="GZ69" s="20"/>
      <c r="HA69" s="20"/>
      <c r="HB69" s="20"/>
      <c r="HC69" s="20"/>
      <c r="HD69" s="20"/>
      <c r="HE69" s="21"/>
      <c r="HF69" s="20"/>
      <c r="HG69" s="20"/>
      <c r="HH69" s="20"/>
      <c r="HI69" s="20"/>
      <c r="HJ69" s="20"/>
      <c r="HK69" s="20"/>
      <c r="HL69" s="21"/>
      <c r="HM69" s="20"/>
      <c r="HN69" s="20"/>
      <c r="HO69" s="20"/>
      <c r="HP69" s="20"/>
      <c r="HQ69" s="20"/>
      <c r="HR69" s="20"/>
      <c r="HS69" s="21"/>
      <c r="HT69" s="20"/>
      <c r="HU69" s="20"/>
      <c r="HV69" s="20"/>
      <c r="HW69" s="20"/>
      <c r="HX69" s="20"/>
      <c r="HY69" s="20"/>
      <c r="HZ69" s="21"/>
      <c r="IA69" s="20"/>
      <c r="IB69" s="20"/>
      <c r="IC69" s="20"/>
      <c r="ID69" s="20"/>
      <c r="IE69" s="20"/>
      <c r="IF69" s="20"/>
      <c r="IG69" s="21"/>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row>
    <row r="70" spans="1:360" ht="15" customHeight="1" x14ac:dyDescent="0.25">
      <c r="A70" s="123" t="s">
        <v>240</v>
      </c>
      <c r="B70" s="124"/>
      <c r="C70" s="124"/>
      <c r="D70" s="124"/>
      <c r="E70" s="59"/>
      <c r="F70" s="124"/>
      <c r="G70" s="124"/>
      <c r="H70" s="124"/>
      <c r="I70" s="124"/>
      <c r="J70" s="124"/>
      <c r="K70" s="124"/>
      <c r="L70" s="124"/>
      <c r="M70" s="124"/>
      <c r="N70" s="124"/>
      <c r="O70" s="61"/>
      <c r="P70" s="81">
        <f>VisibleSum(P45:P68)</f>
        <v>14.5</v>
      </c>
      <c r="Q70" s="113">
        <f>P70 / P69 * 100</f>
        <v>42.647058823529413</v>
      </c>
      <c r="R70" s="83"/>
      <c r="S70" s="61" t="str">
        <f t="shared" ref="S70:CH70" si="359">IF(SUM(S44:S68) &gt; 0, SUM(S44:S68), "")</f>
        <v/>
      </c>
      <c r="T70" s="124" t="str">
        <f t="shared" si="359"/>
        <v/>
      </c>
      <c r="U70" s="124" t="str">
        <f t="shared" si="359"/>
        <v/>
      </c>
      <c r="V70" s="124" t="str">
        <f t="shared" si="359"/>
        <v/>
      </c>
      <c r="W70" s="124" t="str">
        <f t="shared" si="359"/>
        <v/>
      </c>
      <c r="X70" s="124" t="str">
        <f t="shared" si="359"/>
        <v/>
      </c>
      <c r="Y70" s="124" t="str">
        <f t="shared" si="359"/>
        <v/>
      </c>
      <c r="Z70" s="61" t="str">
        <f t="shared" si="359"/>
        <v/>
      </c>
      <c r="AA70" s="124" t="str">
        <f t="shared" si="359"/>
        <v/>
      </c>
      <c r="AB70" s="124" t="str">
        <f t="shared" si="359"/>
        <v/>
      </c>
      <c r="AC70" s="124" t="str">
        <f t="shared" si="359"/>
        <v/>
      </c>
      <c r="AD70" s="124" t="str">
        <f t="shared" si="359"/>
        <v/>
      </c>
      <c r="AE70" s="124" t="str">
        <f t="shared" si="359"/>
        <v/>
      </c>
      <c r="AF70" s="124" t="str">
        <f t="shared" si="359"/>
        <v/>
      </c>
      <c r="AG70" s="61" t="str">
        <f t="shared" si="359"/>
        <v/>
      </c>
      <c r="AH70" s="124" t="str">
        <f t="shared" si="359"/>
        <v/>
      </c>
      <c r="AI70" s="124">
        <f t="shared" si="359"/>
        <v>11</v>
      </c>
      <c r="AJ70" s="124" t="str">
        <f t="shared" si="359"/>
        <v/>
      </c>
      <c r="AK70" s="124">
        <f t="shared" si="359"/>
        <v>7</v>
      </c>
      <c r="AL70" s="124" t="str">
        <f t="shared" si="359"/>
        <v/>
      </c>
      <c r="AM70" s="124" t="str">
        <f t="shared" si="359"/>
        <v/>
      </c>
      <c r="AN70" s="61" t="str">
        <f t="shared" si="359"/>
        <v/>
      </c>
      <c r="AO70" s="124" t="str">
        <f t="shared" si="359"/>
        <v/>
      </c>
      <c r="AP70" s="124">
        <f t="shared" si="359"/>
        <v>9</v>
      </c>
      <c r="AQ70" s="124" t="str">
        <f t="shared" si="359"/>
        <v/>
      </c>
      <c r="AR70" s="124">
        <f t="shared" si="359"/>
        <v>9</v>
      </c>
      <c r="AS70" s="124" t="str">
        <f t="shared" si="359"/>
        <v/>
      </c>
      <c r="AT70" s="124" t="str">
        <f t="shared" si="359"/>
        <v/>
      </c>
      <c r="AU70" s="61" t="str">
        <f t="shared" si="359"/>
        <v/>
      </c>
      <c r="AV70" s="124" t="str">
        <f t="shared" si="359"/>
        <v/>
      </c>
      <c r="AW70" s="124">
        <f t="shared" si="359"/>
        <v>9</v>
      </c>
      <c r="AX70" s="124">
        <f t="shared" si="359"/>
        <v>6</v>
      </c>
      <c r="AY70" s="124">
        <f t="shared" si="359"/>
        <v>7</v>
      </c>
      <c r="AZ70" s="124" t="str">
        <f t="shared" si="359"/>
        <v/>
      </c>
      <c r="BA70" s="124" t="str">
        <f t="shared" si="359"/>
        <v/>
      </c>
      <c r="BB70" s="61" t="str">
        <f t="shared" si="359"/>
        <v/>
      </c>
      <c r="BC70" s="124" t="str">
        <f t="shared" si="359"/>
        <v/>
      </c>
      <c r="BD70" s="124">
        <f t="shared" si="359"/>
        <v>8</v>
      </c>
      <c r="BE70" s="124" t="str">
        <f t="shared" si="359"/>
        <v/>
      </c>
      <c r="BF70" s="124">
        <f t="shared" si="359"/>
        <v>6</v>
      </c>
      <c r="BG70" s="124" t="str">
        <f t="shared" si="359"/>
        <v/>
      </c>
      <c r="BH70" s="124" t="str">
        <f t="shared" si="359"/>
        <v/>
      </c>
      <c r="BI70" s="61" t="str">
        <f t="shared" si="359"/>
        <v/>
      </c>
      <c r="BJ70" s="124" t="str">
        <f t="shared" si="359"/>
        <v/>
      </c>
      <c r="BK70" s="124">
        <f t="shared" si="359"/>
        <v>7</v>
      </c>
      <c r="BL70" s="124" t="str">
        <f t="shared" si="359"/>
        <v/>
      </c>
      <c r="BM70" s="124">
        <f t="shared" si="359"/>
        <v>10</v>
      </c>
      <c r="BN70" s="124">
        <f t="shared" si="359"/>
        <v>10</v>
      </c>
      <c r="BO70" s="124" t="str">
        <f t="shared" si="359"/>
        <v/>
      </c>
      <c r="BP70" s="61">
        <f t="shared" si="359"/>
        <v>4</v>
      </c>
      <c r="BQ70" s="124" t="str">
        <f t="shared" si="359"/>
        <v/>
      </c>
      <c r="BR70" s="124" t="str">
        <f t="shared" si="359"/>
        <v/>
      </c>
      <c r="BS70" s="124" t="str">
        <f t="shared" si="359"/>
        <v/>
      </c>
      <c r="BT70" s="124" t="str">
        <f t="shared" si="359"/>
        <v/>
      </c>
      <c r="BU70" s="124" t="str">
        <f t="shared" si="359"/>
        <v/>
      </c>
      <c r="BV70" s="124" t="str">
        <f t="shared" si="359"/>
        <v/>
      </c>
      <c r="BW70" s="124"/>
      <c r="BX70" s="124"/>
      <c r="BY70" s="61" t="str">
        <f t="shared" si="359"/>
        <v/>
      </c>
      <c r="BZ70" s="124" t="str">
        <f t="shared" si="359"/>
        <v/>
      </c>
      <c r="CA70" s="124" t="str">
        <f t="shared" si="359"/>
        <v/>
      </c>
      <c r="CB70" s="124" t="str">
        <f t="shared" si="359"/>
        <v/>
      </c>
      <c r="CC70" s="124" t="str">
        <f t="shared" si="359"/>
        <v/>
      </c>
      <c r="CD70" s="124" t="str">
        <f t="shared" si="359"/>
        <v/>
      </c>
      <c r="CE70" s="124" t="str">
        <f t="shared" si="359"/>
        <v/>
      </c>
      <c r="CF70" s="124"/>
      <c r="CG70" s="124"/>
      <c r="CH70" s="61" t="str">
        <f t="shared" si="359"/>
        <v/>
      </c>
      <c r="CI70" s="124" t="str">
        <f t="shared" ref="CI70:FL70" si="360">IF(SUM(CI44:CI68) &gt; 0, SUM(CI44:CI68), "")</f>
        <v/>
      </c>
      <c r="CJ70" s="124" t="str">
        <f t="shared" si="360"/>
        <v/>
      </c>
      <c r="CK70" s="124" t="str">
        <f t="shared" si="360"/>
        <v/>
      </c>
      <c r="CL70" s="124" t="str">
        <f t="shared" si="360"/>
        <v/>
      </c>
      <c r="CM70" s="124" t="str">
        <f t="shared" si="360"/>
        <v/>
      </c>
      <c r="CN70" s="124" t="str">
        <f t="shared" si="360"/>
        <v/>
      </c>
      <c r="CO70" s="124" t="str">
        <f t="shared" ref="CO70" si="361">IF(SUM(CO44:CO68) &gt; 0, SUM(CO44:CO68), "")</f>
        <v/>
      </c>
      <c r="CP70" s="124"/>
      <c r="CQ70" s="61" t="str">
        <f t="shared" si="360"/>
        <v/>
      </c>
      <c r="CR70" s="124" t="str">
        <f t="shared" si="360"/>
        <v/>
      </c>
      <c r="CS70" s="124" t="str">
        <f t="shared" si="360"/>
        <v/>
      </c>
      <c r="CT70" s="124" t="str">
        <f t="shared" si="360"/>
        <v/>
      </c>
      <c r="CU70" s="124" t="str">
        <f t="shared" si="360"/>
        <v/>
      </c>
      <c r="CV70" s="124" t="str">
        <f t="shared" si="360"/>
        <v/>
      </c>
      <c r="CW70" s="124"/>
      <c r="CX70" s="124"/>
      <c r="CY70" s="124" t="str">
        <f t="shared" si="360"/>
        <v/>
      </c>
      <c r="CZ70" s="61" t="str">
        <f t="shared" si="360"/>
        <v/>
      </c>
      <c r="DA70" s="124" t="str">
        <f t="shared" si="360"/>
        <v/>
      </c>
      <c r="DB70" s="124" t="str">
        <f t="shared" si="360"/>
        <v/>
      </c>
      <c r="DC70" s="124" t="str">
        <f t="shared" si="360"/>
        <v/>
      </c>
      <c r="DD70" s="124" t="str">
        <f t="shared" si="360"/>
        <v/>
      </c>
      <c r="DE70" s="124" t="str">
        <f t="shared" si="360"/>
        <v/>
      </c>
      <c r="DF70" s="124" t="str">
        <f t="shared" si="360"/>
        <v/>
      </c>
      <c r="DG70" s="124"/>
      <c r="DH70" s="124"/>
      <c r="DI70" s="61" t="str">
        <f t="shared" si="360"/>
        <v/>
      </c>
      <c r="DJ70" s="124" t="str">
        <f t="shared" si="360"/>
        <v/>
      </c>
      <c r="DK70" s="124" t="str">
        <f t="shared" si="360"/>
        <v/>
      </c>
      <c r="DL70" s="124" t="str">
        <f t="shared" si="360"/>
        <v/>
      </c>
      <c r="DM70" s="124" t="str">
        <f t="shared" si="360"/>
        <v/>
      </c>
      <c r="DN70" s="124" t="str">
        <f t="shared" si="360"/>
        <v/>
      </c>
      <c r="DO70" s="124" t="str">
        <f t="shared" si="360"/>
        <v/>
      </c>
      <c r="DP70" s="124"/>
      <c r="DQ70" s="124"/>
      <c r="DR70" s="61" t="str">
        <f t="shared" si="360"/>
        <v/>
      </c>
      <c r="DS70" s="124" t="str">
        <f t="shared" si="360"/>
        <v/>
      </c>
      <c r="DT70" s="124">
        <f t="shared" si="360"/>
        <v>7</v>
      </c>
      <c r="DU70" s="124" t="str">
        <f t="shared" si="360"/>
        <v/>
      </c>
      <c r="DV70" s="124">
        <f t="shared" si="360"/>
        <v>5</v>
      </c>
      <c r="DW70" s="124">
        <f t="shared" si="360"/>
        <v>5</v>
      </c>
      <c r="DX70" s="124"/>
      <c r="DY70" s="124"/>
      <c r="DZ70" s="124" t="str">
        <f t="shared" si="360"/>
        <v/>
      </c>
      <c r="EA70" s="61" t="str">
        <f t="shared" si="360"/>
        <v/>
      </c>
      <c r="EB70" s="124" t="str">
        <f t="shared" si="360"/>
        <v/>
      </c>
      <c r="EC70" s="124">
        <f t="shared" si="360"/>
        <v>6</v>
      </c>
      <c r="ED70" s="124" t="str">
        <f t="shared" si="360"/>
        <v/>
      </c>
      <c r="EE70" s="124">
        <f t="shared" si="360"/>
        <v>5</v>
      </c>
      <c r="EF70" s="124">
        <f t="shared" si="360"/>
        <v>4</v>
      </c>
      <c r="EG70" s="124"/>
      <c r="EH70" s="124"/>
      <c r="EI70" s="124" t="str">
        <f t="shared" si="360"/>
        <v/>
      </c>
      <c r="EJ70" s="61" t="str">
        <f t="shared" si="360"/>
        <v/>
      </c>
      <c r="EK70" s="124" t="str">
        <f t="shared" si="360"/>
        <v/>
      </c>
      <c r="EL70" s="124">
        <f t="shared" si="360"/>
        <v>6</v>
      </c>
      <c r="EM70" s="124" t="str">
        <f t="shared" si="360"/>
        <v/>
      </c>
      <c r="EN70" s="124">
        <f t="shared" si="360"/>
        <v>7</v>
      </c>
      <c r="EO70" s="124">
        <f t="shared" si="360"/>
        <v>5</v>
      </c>
      <c r="EP70" s="124" t="str">
        <f t="shared" si="360"/>
        <v/>
      </c>
      <c r="EQ70" s="124"/>
      <c r="ER70" s="124"/>
      <c r="ES70" s="61" t="str">
        <f t="shared" si="360"/>
        <v/>
      </c>
      <c r="ET70" s="124" t="str">
        <f t="shared" si="360"/>
        <v/>
      </c>
      <c r="EU70" s="124">
        <f t="shared" si="360"/>
        <v>9</v>
      </c>
      <c r="EV70" s="124" t="str">
        <f t="shared" si="360"/>
        <v/>
      </c>
      <c r="EW70" s="124">
        <f t="shared" si="360"/>
        <v>4</v>
      </c>
      <c r="EX70" s="124">
        <f t="shared" si="360"/>
        <v>5</v>
      </c>
      <c r="EY70" s="124" t="str">
        <f t="shared" si="360"/>
        <v/>
      </c>
      <c r="EZ70" s="124"/>
      <c r="FA70" s="124"/>
      <c r="FB70" s="61" t="str">
        <f t="shared" si="360"/>
        <v/>
      </c>
      <c r="FC70" s="124" t="str">
        <f t="shared" si="360"/>
        <v/>
      </c>
      <c r="FD70" s="124">
        <f t="shared" si="360"/>
        <v>8</v>
      </c>
      <c r="FE70" s="124" t="str">
        <f t="shared" si="360"/>
        <v/>
      </c>
      <c r="FF70" s="124">
        <f t="shared" si="360"/>
        <v>7</v>
      </c>
      <c r="FG70" s="124">
        <f t="shared" si="360"/>
        <v>5</v>
      </c>
      <c r="FH70" s="124" t="str">
        <f t="shared" si="360"/>
        <v/>
      </c>
      <c r="FI70" s="124"/>
      <c r="FJ70" s="124"/>
      <c r="FK70" s="61" t="str">
        <f t="shared" si="360"/>
        <v/>
      </c>
      <c r="FL70" s="124" t="str">
        <f t="shared" si="360"/>
        <v/>
      </c>
      <c r="FM70" s="124">
        <f t="shared" ref="FM70:IB70" si="362">IF(SUM(FM44:FM68) &gt; 0, SUM(FM44:FM68), "")</f>
        <v>5</v>
      </c>
      <c r="FN70" s="124" t="str">
        <f t="shared" si="362"/>
        <v/>
      </c>
      <c r="FO70" s="124">
        <f t="shared" si="362"/>
        <v>6</v>
      </c>
      <c r="FP70" s="124">
        <f t="shared" si="362"/>
        <v>7</v>
      </c>
      <c r="FQ70" s="124" t="str">
        <f t="shared" si="362"/>
        <v/>
      </c>
      <c r="FR70" s="124"/>
      <c r="FS70" s="124"/>
      <c r="FT70" s="61" t="str">
        <f t="shared" si="362"/>
        <v/>
      </c>
      <c r="FU70" s="124" t="str">
        <f t="shared" si="362"/>
        <v/>
      </c>
      <c r="FV70" s="124">
        <f t="shared" si="362"/>
        <v>8</v>
      </c>
      <c r="FW70" s="124" t="str">
        <f t="shared" si="362"/>
        <v/>
      </c>
      <c r="FX70" s="124">
        <f t="shared" si="362"/>
        <v>7</v>
      </c>
      <c r="FY70" s="124" t="str">
        <f t="shared" si="362"/>
        <v/>
      </c>
      <c r="FZ70" s="124" t="str">
        <f t="shared" si="362"/>
        <v/>
      </c>
      <c r="GA70" s="124"/>
      <c r="GB70" s="124"/>
      <c r="GC70" s="61" t="str">
        <f t="shared" si="362"/>
        <v/>
      </c>
      <c r="GD70" s="124" t="str">
        <f t="shared" si="362"/>
        <v/>
      </c>
      <c r="GE70" s="124" t="str">
        <f t="shared" si="362"/>
        <v/>
      </c>
      <c r="GF70" s="124" t="str">
        <f t="shared" si="362"/>
        <v/>
      </c>
      <c r="GG70" s="124" t="str">
        <f t="shared" si="362"/>
        <v/>
      </c>
      <c r="GH70" s="124" t="str">
        <f t="shared" si="362"/>
        <v/>
      </c>
      <c r="GI70" s="124" t="str">
        <f t="shared" si="362"/>
        <v/>
      </c>
      <c r="GJ70" s="61" t="str">
        <f t="shared" si="362"/>
        <v/>
      </c>
      <c r="GK70" s="124" t="str">
        <f t="shared" si="362"/>
        <v/>
      </c>
      <c r="GL70" s="124" t="str">
        <f t="shared" si="362"/>
        <v/>
      </c>
      <c r="GM70" s="124" t="str">
        <f t="shared" si="362"/>
        <v/>
      </c>
      <c r="GN70" s="124" t="str">
        <f t="shared" si="362"/>
        <v/>
      </c>
      <c r="GO70" s="124" t="str">
        <f t="shared" si="362"/>
        <v/>
      </c>
      <c r="GP70" s="124" t="str">
        <f t="shared" si="362"/>
        <v/>
      </c>
      <c r="GQ70" s="61" t="str">
        <f t="shared" si="362"/>
        <v/>
      </c>
      <c r="GR70" s="124" t="str">
        <f t="shared" si="362"/>
        <v/>
      </c>
      <c r="GS70" s="124" t="str">
        <f t="shared" si="362"/>
        <v/>
      </c>
      <c r="GT70" s="124" t="str">
        <f t="shared" si="362"/>
        <v/>
      </c>
      <c r="GU70" s="124" t="str">
        <f t="shared" si="362"/>
        <v/>
      </c>
      <c r="GV70" s="124" t="str">
        <f t="shared" si="362"/>
        <v/>
      </c>
      <c r="GW70" s="124" t="str">
        <f t="shared" si="362"/>
        <v/>
      </c>
      <c r="GX70" s="61" t="str">
        <f t="shared" si="362"/>
        <v/>
      </c>
      <c r="GY70" s="124" t="str">
        <f t="shared" si="362"/>
        <v/>
      </c>
      <c r="GZ70" s="124" t="str">
        <f t="shared" si="362"/>
        <v/>
      </c>
      <c r="HA70" s="124" t="str">
        <f t="shared" si="362"/>
        <v/>
      </c>
      <c r="HB70" s="124" t="str">
        <f t="shared" si="362"/>
        <v/>
      </c>
      <c r="HC70" s="124" t="str">
        <f t="shared" si="362"/>
        <v/>
      </c>
      <c r="HD70" s="124" t="str">
        <f t="shared" si="362"/>
        <v/>
      </c>
      <c r="HE70" s="61" t="str">
        <f t="shared" si="362"/>
        <v/>
      </c>
      <c r="HF70" s="124" t="str">
        <f t="shared" si="362"/>
        <v/>
      </c>
      <c r="HG70" s="124" t="str">
        <f t="shared" si="362"/>
        <v/>
      </c>
      <c r="HH70" s="124" t="str">
        <f t="shared" si="362"/>
        <v/>
      </c>
      <c r="HI70" s="124" t="str">
        <f t="shared" si="362"/>
        <v/>
      </c>
      <c r="HJ70" s="124" t="str">
        <f t="shared" si="362"/>
        <v/>
      </c>
      <c r="HK70" s="124" t="str">
        <f t="shared" si="362"/>
        <v/>
      </c>
      <c r="HL70" s="61" t="str">
        <f t="shared" si="362"/>
        <v/>
      </c>
      <c r="HM70" s="124" t="str">
        <f t="shared" si="362"/>
        <v/>
      </c>
      <c r="HN70" s="124" t="str">
        <f t="shared" si="362"/>
        <v/>
      </c>
      <c r="HO70" s="124" t="str">
        <f t="shared" si="362"/>
        <v/>
      </c>
      <c r="HP70" s="124" t="str">
        <f t="shared" si="362"/>
        <v/>
      </c>
      <c r="HQ70" s="124" t="str">
        <f t="shared" si="362"/>
        <v/>
      </c>
      <c r="HR70" s="124" t="str">
        <f t="shared" si="362"/>
        <v/>
      </c>
      <c r="HS70" s="61" t="str">
        <f t="shared" si="362"/>
        <v/>
      </c>
      <c r="HT70" s="124" t="str">
        <f t="shared" si="362"/>
        <v/>
      </c>
      <c r="HU70" s="124" t="str">
        <f t="shared" si="362"/>
        <v/>
      </c>
      <c r="HV70" s="124" t="str">
        <f t="shared" si="362"/>
        <v/>
      </c>
      <c r="HW70" s="124" t="str">
        <f t="shared" si="362"/>
        <v/>
      </c>
      <c r="HX70" s="124" t="str">
        <f t="shared" si="362"/>
        <v/>
      </c>
      <c r="HY70" s="124" t="str">
        <f t="shared" si="362"/>
        <v/>
      </c>
      <c r="HZ70" s="61" t="str">
        <f t="shared" si="362"/>
        <v/>
      </c>
      <c r="IA70" s="124" t="str">
        <f t="shared" si="362"/>
        <v/>
      </c>
      <c r="IB70" s="124" t="str">
        <f t="shared" si="362"/>
        <v/>
      </c>
      <c r="IC70" s="124" t="str">
        <f t="shared" ref="IC70:KN70" si="363">IF(SUM(IC44:IC68) &gt; 0, SUM(IC44:IC68), "")</f>
        <v/>
      </c>
      <c r="ID70" s="124" t="str">
        <f t="shared" si="363"/>
        <v/>
      </c>
      <c r="IE70" s="124" t="str">
        <f t="shared" si="363"/>
        <v/>
      </c>
      <c r="IF70" s="124" t="str">
        <f t="shared" si="363"/>
        <v/>
      </c>
      <c r="IG70" s="61" t="str">
        <f t="shared" si="363"/>
        <v/>
      </c>
      <c r="IH70" s="124" t="str">
        <f t="shared" si="363"/>
        <v/>
      </c>
      <c r="II70" s="124" t="str">
        <f t="shared" si="363"/>
        <v/>
      </c>
      <c r="IJ70" s="124" t="str">
        <f t="shared" si="363"/>
        <v/>
      </c>
      <c r="IK70" s="124" t="str">
        <f t="shared" si="363"/>
        <v/>
      </c>
      <c r="IL70" s="124" t="str">
        <f t="shared" si="363"/>
        <v/>
      </c>
      <c r="IM70" s="124" t="str">
        <f t="shared" si="363"/>
        <v/>
      </c>
      <c r="IN70" s="61" t="str">
        <f t="shared" si="363"/>
        <v/>
      </c>
      <c r="IO70" s="124" t="str">
        <f t="shared" si="363"/>
        <v/>
      </c>
      <c r="IP70" s="124" t="str">
        <f t="shared" si="363"/>
        <v/>
      </c>
      <c r="IQ70" s="124" t="str">
        <f t="shared" si="363"/>
        <v/>
      </c>
      <c r="IR70" s="124" t="str">
        <f t="shared" si="363"/>
        <v/>
      </c>
      <c r="IS70" s="124" t="str">
        <f t="shared" si="363"/>
        <v/>
      </c>
      <c r="IT70" s="124" t="str">
        <f t="shared" si="363"/>
        <v/>
      </c>
      <c r="IU70" s="61" t="str">
        <f t="shared" si="363"/>
        <v/>
      </c>
      <c r="IV70" s="124" t="str">
        <f t="shared" si="363"/>
        <v/>
      </c>
      <c r="IW70" s="124" t="str">
        <f t="shared" si="363"/>
        <v/>
      </c>
      <c r="IX70" s="124" t="str">
        <f t="shared" si="363"/>
        <v/>
      </c>
      <c r="IY70" s="124" t="str">
        <f t="shared" si="363"/>
        <v/>
      </c>
      <c r="IZ70" s="124" t="str">
        <f t="shared" si="363"/>
        <v/>
      </c>
      <c r="JA70" s="124" t="str">
        <f t="shared" si="363"/>
        <v/>
      </c>
      <c r="JB70" s="61" t="str">
        <f t="shared" si="363"/>
        <v/>
      </c>
      <c r="JC70" s="124" t="str">
        <f t="shared" si="363"/>
        <v/>
      </c>
      <c r="JD70" s="124" t="str">
        <f t="shared" si="363"/>
        <v/>
      </c>
      <c r="JE70" s="124" t="str">
        <f t="shared" si="363"/>
        <v/>
      </c>
      <c r="JF70" s="124" t="str">
        <f t="shared" si="363"/>
        <v/>
      </c>
      <c r="JG70" s="124" t="str">
        <f t="shared" si="363"/>
        <v/>
      </c>
      <c r="JH70" s="124" t="str">
        <f t="shared" si="363"/>
        <v/>
      </c>
      <c r="JI70" s="61" t="str">
        <f t="shared" si="363"/>
        <v/>
      </c>
      <c r="JJ70" s="124" t="str">
        <f t="shared" si="363"/>
        <v/>
      </c>
      <c r="JK70" s="124" t="str">
        <f t="shared" si="363"/>
        <v/>
      </c>
      <c r="JL70" s="124" t="str">
        <f t="shared" si="363"/>
        <v/>
      </c>
      <c r="JM70" s="124" t="str">
        <f t="shared" si="363"/>
        <v/>
      </c>
      <c r="JN70" s="124" t="str">
        <f t="shared" si="363"/>
        <v/>
      </c>
      <c r="JO70" s="124" t="str">
        <f t="shared" si="363"/>
        <v/>
      </c>
      <c r="JP70" s="61" t="str">
        <f t="shared" si="363"/>
        <v/>
      </c>
      <c r="JQ70" s="124" t="str">
        <f t="shared" si="363"/>
        <v/>
      </c>
      <c r="JR70" s="124" t="str">
        <f t="shared" si="363"/>
        <v/>
      </c>
      <c r="JS70" s="124" t="str">
        <f t="shared" si="363"/>
        <v/>
      </c>
      <c r="JT70" s="124" t="str">
        <f t="shared" si="363"/>
        <v/>
      </c>
      <c r="JU70" s="124" t="str">
        <f t="shared" si="363"/>
        <v/>
      </c>
      <c r="JV70" s="124" t="str">
        <f t="shared" si="363"/>
        <v/>
      </c>
      <c r="JW70" s="61" t="str">
        <f t="shared" si="363"/>
        <v/>
      </c>
      <c r="JX70" s="124" t="str">
        <f t="shared" si="363"/>
        <v/>
      </c>
      <c r="JY70" s="124" t="str">
        <f t="shared" si="363"/>
        <v/>
      </c>
      <c r="JZ70" s="124" t="str">
        <f t="shared" si="363"/>
        <v/>
      </c>
      <c r="KA70" s="124" t="str">
        <f t="shared" si="363"/>
        <v/>
      </c>
      <c r="KB70" s="124" t="str">
        <f t="shared" si="363"/>
        <v/>
      </c>
      <c r="KC70" s="124" t="str">
        <f t="shared" si="363"/>
        <v/>
      </c>
      <c r="KD70" s="61" t="str">
        <f t="shared" si="363"/>
        <v/>
      </c>
      <c r="KE70" s="124" t="str">
        <f t="shared" si="363"/>
        <v/>
      </c>
      <c r="KF70" s="124" t="str">
        <f t="shared" si="363"/>
        <v/>
      </c>
      <c r="KG70" s="124" t="str">
        <f t="shared" si="363"/>
        <v/>
      </c>
      <c r="KH70" s="124" t="str">
        <f t="shared" si="363"/>
        <v/>
      </c>
      <c r="KI70" s="124" t="str">
        <f t="shared" si="363"/>
        <v/>
      </c>
      <c r="KJ70" s="124" t="str">
        <f t="shared" si="363"/>
        <v/>
      </c>
      <c r="KK70" s="61" t="str">
        <f t="shared" si="363"/>
        <v/>
      </c>
      <c r="KL70" s="124" t="str">
        <f t="shared" si="363"/>
        <v/>
      </c>
      <c r="KM70" s="124" t="str">
        <f t="shared" si="363"/>
        <v/>
      </c>
      <c r="KN70" s="124" t="str">
        <f t="shared" si="363"/>
        <v/>
      </c>
      <c r="KO70" s="124" t="str">
        <f t="shared" ref="KO70:MV70" si="364">IF(SUM(KO44:KO68) &gt; 0, SUM(KO44:KO68), "")</f>
        <v/>
      </c>
      <c r="KP70" s="124" t="str">
        <f t="shared" si="364"/>
        <v/>
      </c>
      <c r="KQ70" s="124" t="str">
        <f t="shared" si="364"/>
        <v/>
      </c>
      <c r="KR70" s="61" t="str">
        <f t="shared" si="364"/>
        <v/>
      </c>
      <c r="KS70" s="124" t="str">
        <f t="shared" si="364"/>
        <v/>
      </c>
      <c r="KT70" s="124" t="str">
        <f t="shared" si="364"/>
        <v/>
      </c>
      <c r="KU70" s="124" t="str">
        <f t="shared" si="364"/>
        <v/>
      </c>
      <c r="KV70" s="124" t="str">
        <f t="shared" si="364"/>
        <v/>
      </c>
      <c r="KW70" s="124" t="str">
        <f t="shared" si="364"/>
        <v/>
      </c>
      <c r="KX70" s="124" t="str">
        <f t="shared" si="364"/>
        <v/>
      </c>
      <c r="KY70" s="61" t="str">
        <f t="shared" si="364"/>
        <v/>
      </c>
      <c r="KZ70" s="124" t="str">
        <f t="shared" si="364"/>
        <v/>
      </c>
      <c r="LA70" s="124" t="str">
        <f t="shared" si="364"/>
        <v/>
      </c>
      <c r="LB70" s="124" t="str">
        <f t="shared" si="364"/>
        <v/>
      </c>
      <c r="LC70" s="124" t="str">
        <f t="shared" si="364"/>
        <v/>
      </c>
      <c r="LD70" s="124" t="str">
        <f t="shared" si="364"/>
        <v/>
      </c>
      <c r="LE70" s="124" t="str">
        <f t="shared" si="364"/>
        <v/>
      </c>
      <c r="LF70" s="61" t="str">
        <f t="shared" si="364"/>
        <v/>
      </c>
      <c r="LG70" s="124" t="str">
        <f t="shared" si="364"/>
        <v/>
      </c>
      <c r="LH70" s="124" t="str">
        <f t="shared" si="364"/>
        <v/>
      </c>
      <c r="LI70" s="124" t="str">
        <f t="shared" si="364"/>
        <v/>
      </c>
      <c r="LJ70" s="124" t="str">
        <f t="shared" si="364"/>
        <v/>
      </c>
      <c r="LK70" s="124" t="str">
        <f t="shared" si="364"/>
        <v/>
      </c>
      <c r="LL70" s="124" t="str">
        <f t="shared" si="364"/>
        <v/>
      </c>
      <c r="LM70" s="61" t="str">
        <f t="shared" si="364"/>
        <v/>
      </c>
      <c r="LN70" s="124" t="str">
        <f t="shared" si="364"/>
        <v/>
      </c>
      <c r="LO70" s="124" t="str">
        <f t="shared" si="364"/>
        <v/>
      </c>
      <c r="LP70" s="124" t="str">
        <f t="shared" si="364"/>
        <v/>
      </c>
      <c r="LQ70" s="124" t="str">
        <f t="shared" si="364"/>
        <v/>
      </c>
      <c r="LR70" s="124" t="str">
        <f t="shared" si="364"/>
        <v/>
      </c>
      <c r="LS70" s="124" t="str">
        <f t="shared" si="364"/>
        <v/>
      </c>
      <c r="LT70" s="61" t="str">
        <f t="shared" si="364"/>
        <v/>
      </c>
      <c r="LU70" s="124" t="str">
        <f t="shared" si="364"/>
        <v/>
      </c>
      <c r="LV70" s="124" t="str">
        <f t="shared" si="364"/>
        <v/>
      </c>
      <c r="LW70" s="124" t="str">
        <f t="shared" si="364"/>
        <v/>
      </c>
      <c r="LX70" s="124" t="str">
        <f t="shared" si="364"/>
        <v/>
      </c>
      <c r="LY70" s="124" t="str">
        <f t="shared" si="364"/>
        <v/>
      </c>
      <c r="LZ70" s="124" t="str">
        <f t="shared" si="364"/>
        <v/>
      </c>
      <c r="MA70" s="61" t="str">
        <f t="shared" si="364"/>
        <v/>
      </c>
      <c r="MB70" s="124" t="str">
        <f t="shared" si="364"/>
        <v/>
      </c>
      <c r="MC70" s="124" t="str">
        <f t="shared" si="364"/>
        <v/>
      </c>
      <c r="MD70" s="124" t="str">
        <f t="shared" si="364"/>
        <v/>
      </c>
      <c r="ME70" s="124" t="str">
        <f t="shared" si="364"/>
        <v/>
      </c>
      <c r="MF70" s="124" t="str">
        <f t="shared" si="364"/>
        <v/>
      </c>
      <c r="MG70" s="124" t="str">
        <f t="shared" si="364"/>
        <v/>
      </c>
      <c r="MH70" s="61" t="str">
        <f t="shared" si="364"/>
        <v/>
      </c>
      <c r="MI70" s="124" t="str">
        <f t="shared" si="364"/>
        <v/>
      </c>
      <c r="MJ70" s="124" t="str">
        <f t="shared" si="364"/>
        <v/>
      </c>
      <c r="MK70" s="124" t="str">
        <f t="shared" si="364"/>
        <v/>
      </c>
      <c r="ML70" s="124" t="str">
        <f t="shared" si="364"/>
        <v/>
      </c>
      <c r="MM70" s="124" t="str">
        <f t="shared" si="364"/>
        <v/>
      </c>
      <c r="MN70" s="124" t="str">
        <f t="shared" si="364"/>
        <v/>
      </c>
      <c r="MO70" s="61" t="str">
        <f t="shared" si="364"/>
        <v/>
      </c>
      <c r="MP70" s="124" t="str">
        <f t="shared" si="364"/>
        <v/>
      </c>
      <c r="MQ70" s="124" t="str">
        <f t="shared" si="364"/>
        <v/>
      </c>
      <c r="MR70" s="124" t="str">
        <f t="shared" si="364"/>
        <v/>
      </c>
      <c r="MS70" s="124" t="str">
        <f t="shared" si="364"/>
        <v/>
      </c>
      <c r="MT70" s="124" t="str">
        <f t="shared" si="364"/>
        <v/>
      </c>
      <c r="MU70" s="124" t="str">
        <f t="shared" si="364"/>
        <v/>
      </c>
      <c r="MV70" s="61" t="str">
        <f t="shared" si="364"/>
        <v/>
      </c>
    </row>
    <row r="71" spans="1:360" ht="72.75" hidden="1" customHeight="1" x14ac:dyDescent="0.25">
      <c r="A71" s="118"/>
      <c r="B71" s="114"/>
      <c r="C71" s="114"/>
      <c r="D71" s="114"/>
      <c r="E71" s="119"/>
      <c r="F71" s="114"/>
      <c r="G71" s="114"/>
      <c r="H71" s="114"/>
      <c r="I71" s="114"/>
      <c r="J71" s="114"/>
      <c r="K71" s="114"/>
      <c r="L71" s="114"/>
      <c r="M71" s="114"/>
      <c r="N71" s="114"/>
      <c r="O71" s="114"/>
      <c r="P71" s="120" t="s">
        <v>408</v>
      </c>
      <c r="Q71" s="121" t="s">
        <v>408</v>
      </c>
      <c r="R71" s="122"/>
      <c r="S71" s="49">
        <f t="shared" ref="S71:AX71" si="365">S1</f>
        <v>43975</v>
      </c>
      <c r="T71" s="49">
        <f t="shared" si="365"/>
        <v>43976</v>
      </c>
      <c r="U71" s="49">
        <f t="shared" si="365"/>
        <v>43977</v>
      </c>
      <c r="V71" s="49">
        <f t="shared" si="365"/>
        <v>43978</v>
      </c>
      <c r="W71" s="49">
        <f t="shared" si="365"/>
        <v>43979</v>
      </c>
      <c r="X71" s="49">
        <f t="shared" si="365"/>
        <v>43980</v>
      </c>
      <c r="Y71" s="49">
        <f t="shared" si="365"/>
        <v>43981</v>
      </c>
      <c r="Z71" s="49">
        <f t="shared" si="365"/>
        <v>43982</v>
      </c>
      <c r="AA71" s="49">
        <f t="shared" si="365"/>
        <v>43983</v>
      </c>
      <c r="AB71" s="49">
        <f t="shared" si="365"/>
        <v>43984</v>
      </c>
      <c r="AC71" s="49">
        <f t="shared" si="365"/>
        <v>43985</v>
      </c>
      <c r="AD71" s="49">
        <f t="shared" si="365"/>
        <v>43986</v>
      </c>
      <c r="AE71" s="49">
        <f t="shared" si="365"/>
        <v>43987</v>
      </c>
      <c r="AF71" s="49">
        <f t="shared" si="365"/>
        <v>43988</v>
      </c>
      <c r="AG71" s="49">
        <f t="shared" si="365"/>
        <v>43989</v>
      </c>
      <c r="AH71" s="49">
        <f t="shared" si="365"/>
        <v>43990</v>
      </c>
      <c r="AI71" s="49">
        <f t="shared" si="365"/>
        <v>43991</v>
      </c>
      <c r="AJ71" s="49">
        <f t="shared" si="365"/>
        <v>43992</v>
      </c>
      <c r="AK71" s="49">
        <f t="shared" si="365"/>
        <v>43993</v>
      </c>
      <c r="AL71" s="49">
        <f t="shared" si="365"/>
        <v>43994</v>
      </c>
      <c r="AM71" s="49">
        <f t="shared" si="365"/>
        <v>43995</v>
      </c>
      <c r="AN71" s="49">
        <f t="shared" si="365"/>
        <v>43996</v>
      </c>
      <c r="AO71" s="49">
        <f t="shared" si="365"/>
        <v>43997</v>
      </c>
      <c r="AP71" s="49">
        <f t="shared" si="365"/>
        <v>43998</v>
      </c>
      <c r="AQ71" s="49">
        <f t="shared" si="365"/>
        <v>43999</v>
      </c>
      <c r="AR71" s="49">
        <f t="shared" si="365"/>
        <v>44000</v>
      </c>
      <c r="AS71" s="49">
        <f t="shared" si="365"/>
        <v>44001</v>
      </c>
      <c r="AT71" s="49">
        <f t="shared" si="365"/>
        <v>44002</v>
      </c>
      <c r="AU71" s="49">
        <f t="shared" si="365"/>
        <v>44003</v>
      </c>
      <c r="AV71" s="49">
        <f t="shared" si="365"/>
        <v>44004</v>
      </c>
      <c r="AW71" s="49">
        <f t="shared" si="365"/>
        <v>44005</v>
      </c>
      <c r="AX71" s="49">
        <f t="shared" si="365"/>
        <v>44006</v>
      </c>
      <c r="AY71" s="49">
        <f t="shared" ref="AY71:BW71" si="366">AY1</f>
        <v>44007</v>
      </c>
      <c r="AZ71" s="49">
        <f t="shared" si="366"/>
        <v>44008</v>
      </c>
      <c r="BA71" s="49">
        <f t="shared" si="366"/>
        <v>44009</v>
      </c>
      <c r="BB71" s="49">
        <f t="shared" si="366"/>
        <v>44010</v>
      </c>
      <c r="BC71" s="49">
        <f t="shared" si="366"/>
        <v>44011</v>
      </c>
      <c r="BD71" s="49">
        <f t="shared" si="366"/>
        <v>44012</v>
      </c>
      <c r="BE71" s="49">
        <f t="shared" si="366"/>
        <v>44013</v>
      </c>
      <c r="BF71" s="49">
        <f t="shared" si="366"/>
        <v>44014</v>
      </c>
      <c r="BG71" s="49">
        <f t="shared" si="366"/>
        <v>44015</v>
      </c>
      <c r="BH71" s="49">
        <f t="shared" si="366"/>
        <v>44016</v>
      </c>
      <c r="BI71" s="49">
        <f t="shared" si="366"/>
        <v>44017</v>
      </c>
      <c r="BJ71" s="49">
        <f t="shared" si="366"/>
        <v>44018</v>
      </c>
      <c r="BK71" s="49">
        <f t="shared" si="366"/>
        <v>44019</v>
      </c>
      <c r="BL71" s="49">
        <f t="shared" si="366"/>
        <v>44020</v>
      </c>
      <c r="BM71" s="49">
        <f t="shared" si="366"/>
        <v>44021</v>
      </c>
      <c r="BN71" s="49">
        <f t="shared" si="366"/>
        <v>44022</v>
      </c>
      <c r="BO71" s="49">
        <f t="shared" si="366"/>
        <v>44023</v>
      </c>
      <c r="BP71" s="49">
        <f t="shared" si="366"/>
        <v>44024</v>
      </c>
      <c r="BQ71" s="49">
        <f t="shared" si="366"/>
        <v>44025</v>
      </c>
      <c r="BR71" s="49">
        <f t="shared" si="366"/>
        <v>44026</v>
      </c>
      <c r="BS71" s="49">
        <f t="shared" si="366"/>
        <v>44027</v>
      </c>
      <c r="BT71" s="49">
        <f t="shared" si="366"/>
        <v>44028</v>
      </c>
      <c r="BU71" s="49">
        <f t="shared" si="366"/>
        <v>44029</v>
      </c>
      <c r="BV71" s="49">
        <f t="shared" si="366"/>
        <v>44030</v>
      </c>
      <c r="BW71" s="49">
        <f t="shared" si="366"/>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67">DS1</f>
        <v>44067</v>
      </c>
      <c r="DT71" s="49">
        <f t="shared" si="367"/>
        <v>44068</v>
      </c>
      <c r="DU71" s="49">
        <f t="shared" si="367"/>
        <v>44069</v>
      </c>
      <c r="DV71" s="49">
        <f t="shared" si="367"/>
        <v>44070</v>
      </c>
      <c r="DW71" s="49">
        <f t="shared" si="367"/>
        <v>44071</v>
      </c>
      <c r="DX71" s="49">
        <f t="shared" si="367"/>
        <v>44072</v>
      </c>
      <c r="DY71" s="49">
        <f t="shared" si="367"/>
        <v>44073</v>
      </c>
      <c r="DZ71" s="49"/>
      <c r="EA71" s="49"/>
      <c r="EB71" s="49">
        <f t="shared" ref="EB71:EH71" si="368">EB1</f>
        <v>44074</v>
      </c>
      <c r="EC71" s="49">
        <f t="shared" si="368"/>
        <v>44075</v>
      </c>
      <c r="ED71" s="49">
        <f t="shared" si="368"/>
        <v>44076</v>
      </c>
      <c r="EE71" s="49">
        <f t="shared" si="368"/>
        <v>44077</v>
      </c>
      <c r="EF71" s="49">
        <f t="shared" si="368"/>
        <v>44078</v>
      </c>
      <c r="EG71" s="49">
        <f t="shared" si="368"/>
        <v>44079</v>
      </c>
      <c r="EH71" s="49">
        <f t="shared" si="368"/>
        <v>44080</v>
      </c>
      <c r="EI71" s="49"/>
      <c r="EJ71" s="49"/>
      <c r="EK71" s="49">
        <f t="shared" ref="EK71:EQ71" si="369">EK1</f>
        <v>44081</v>
      </c>
      <c r="EL71" s="49">
        <f t="shared" si="369"/>
        <v>44082</v>
      </c>
      <c r="EM71" s="49">
        <f t="shared" si="369"/>
        <v>44083</v>
      </c>
      <c r="EN71" s="49">
        <f t="shared" si="369"/>
        <v>44084</v>
      </c>
      <c r="EO71" s="49">
        <f t="shared" si="369"/>
        <v>44085</v>
      </c>
      <c r="EP71" s="49">
        <f t="shared" si="369"/>
        <v>44086</v>
      </c>
      <c r="EQ71" s="49">
        <f t="shared" si="369"/>
        <v>44087</v>
      </c>
      <c r="ER71" s="49"/>
      <c r="ES71" s="49"/>
      <c r="ET71" s="49">
        <f t="shared" ref="ET71:EZ71" si="370">ET1</f>
        <v>44088</v>
      </c>
      <c r="EU71" s="49">
        <f t="shared" si="370"/>
        <v>44089</v>
      </c>
      <c r="EV71" s="49">
        <f t="shared" si="370"/>
        <v>44090</v>
      </c>
      <c r="EW71" s="49">
        <f t="shared" si="370"/>
        <v>44091</v>
      </c>
      <c r="EX71" s="49">
        <f t="shared" si="370"/>
        <v>44092</v>
      </c>
      <c r="EY71" s="49">
        <f t="shared" si="370"/>
        <v>44093</v>
      </c>
      <c r="EZ71" s="49">
        <f t="shared" si="370"/>
        <v>44094</v>
      </c>
      <c r="FA71" s="49"/>
      <c r="FB71" s="49"/>
      <c r="FC71" s="49">
        <f t="shared" ref="FC71:FI71" si="371">FC1</f>
        <v>44095</v>
      </c>
      <c r="FD71" s="49">
        <f t="shared" si="371"/>
        <v>44096</v>
      </c>
      <c r="FE71" s="49">
        <f t="shared" si="371"/>
        <v>44097</v>
      </c>
      <c r="FF71" s="49">
        <f t="shared" si="371"/>
        <v>44098</v>
      </c>
      <c r="FG71" s="49">
        <f t="shared" si="371"/>
        <v>44099</v>
      </c>
      <c r="FH71" s="49">
        <f t="shared" si="371"/>
        <v>44100</v>
      </c>
      <c r="FI71" s="49">
        <f t="shared" si="371"/>
        <v>44101</v>
      </c>
      <c r="FJ71" s="49"/>
      <c r="FK71" s="49"/>
      <c r="FL71" s="49">
        <f t="shared" ref="FL71:GU71" si="372">FL1</f>
        <v>44102</v>
      </c>
      <c r="FM71" s="49">
        <f t="shared" si="372"/>
        <v>44103</v>
      </c>
      <c r="FN71" s="49">
        <f t="shared" si="372"/>
        <v>44104</v>
      </c>
      <c r="FO71" s="49">
        <f t="shared" si="372"/>
        <v>44105</v>
      </c>
      <c r="FP71" s="49">
        <f t="shared" si="372"/>
        <v>44106</v>
      </c>
      <c r="FQ71" s="49">
        <f t="shared" si="372"/>
        <v>44107</v>
      </c>
      <c r="FR71" s="49">
        <f t="shared" si="372"/>
        <v>44108</v>
      </c>
      <c r="FS71" s="49"/>
      <c r="FT71" s="49"/>
      <c r="FU71" s="49">
        <f t="shared" si="372"/>
        <v>44109</v>
      </c>
      <c r="FV71" s="49">
        <f t="shared" si="372"/>
        <v>44110</v>
      </c>
      <c r="FW71" s="49">
        <f t="shared" si="372"/>
        <v>44111</v>
      </c>
      <c r="FX71" s="49">
        <f t="shared" si="372"/>
        <v>44112</v>
      </c>
      <c r="FY71" s="49">
        <f t="shared" si="372"/>
        <v>44113</v>
      </c>
      <c r="FZ71" s="49">
        <f t="shared" si="372"/>
        <v>44114</v>
      </c>
      <c r="GA71" s="49">
        <f t="shared" ref="GA71" si="373">GA1</f>
        <v>44115</v>
      </c>
      <c r="GB71" s="49"/>
      <c r="GC71" s="49"/>
      <c r="GD71" s="49">
        <f t="shared" si="372"/>
        <v>44116</v>
      </c>
      <c r="GE71" s="49">
        <f t="shared" si="372"/>
        <v>44117</v>
      </c>
      <c r="GF71" s="49">
        <f t="shared" si="372"/>
        <v>44118</v>
      </c>
      <c r="GG71" s="49">
        <f t="shared" si="372"/>
        <v>44119</v>
      </c>
      <c r="GH71" s="49">
        <f t="shared" si="372"/>
        <v>44120</v>
      </c>
      <c r="GI71" s="49">
        <f t="shared" si="372"/>
        <v>44121</v>
      </c>
      <c r="GJ71" s="49">
        <f t="shared" si="372"/>
        <v>44122</v>
      </c>
      <c r="GK71" s="49">
        <f t="shared" si="372"/>
        <v>44123</v>
      </c>
      <c r="GL71" s="49">
        <f t="shared" si="372"/>
        <v>44124</v>
      </c>
      <c r="GM71" s="49">
        <f t="shared" si="372"/>
        <v>44125</v>
      </c>
      <c r="GN71" s="49">
        <f t="shared" si="372"/>
        <v>44126</v>
      </c>
      <c r="GO71" s="49">
        <f t="shared" si="372"/>
        <v>44127</v>
      </c>
      <c r="GP71" s="49">
        <f t="shared" si="372"/>
        <v>44128</v>
      </c>
      <c r="GQ71" s="49">
        <f t="shared" si="372"/>
        <v>44129</v>
      </c>
      <c r="GR71" s="49">
        <f t="shared" si="372"/>
        <v>44130</v>
      </c>
      <c r="GS71" s="49">
        <f t="shared" si="372"/>
        <v>44131</v>
      </c>
      <c r="GT71" s="49">
        <f t="shared" si="372"/>
        <v>44132</v>
      </c>
      <c r="GU71" s="49">
        <f t="shared" si="372"/>
        <v>44133</v>
      </c>
      <c r="GV71" s="49">
        <f t="shared" ref="GV71:IA71" si="374">GV1</f>
        <v>44134</v>
      </c>
      <c r="GW71" s="49">
        <f t="shared" si="374"/>
        <v>44135</v>
      </c>
      <c r="GX71" s="49">
        <f t="shared" si="374"/>
        <v>44136</v>
      </c>
      <c r="GY71" s="49">
        <f t="shared" si="374"/>
        <v>44137</v>
      </c>
      <c r="GZ71" s="49">
        <f t="shared" si="374"/>
        <v>44138</v>
      </c>
      <c r="HA71" s="49">
        <f t="shared" si="374"/>
        <v>44139</v>
      </c>
      <c r="HB71" s="49">
        <f t="shared" si="374"/>
        <v>44140</v>
      </c>
      <c r="HC71" s="49">
        <f t="shared" si="374"/>
        <v>44141</v>
      </c>
      <c r="HD71" s="49">
        <f t="shared" si="374"/>
        <v>44142</v>
      </c>
      <c r="HE71" s="49">
        <f t="shared" si="374"/>
        <v>44143</v>
      </c>
      <c r="HF71" s="49">
        <f t="shared" si="374"/>
        <v>44144</v>
      </c>
      <c r="HG71" s="49">
        <f t="shared" si="374"/>
        <v>44145</v>
      </c>
      <c r="HH71" s="49">
        <f t="shared" si="374"/>
        <v>44146</v>
      </c>
      <c r="HI71" s="49">
        <f t="shared" si="374"/>
        <v>44147</v>
      </c>
      <c r="HJ71" s="49">
        <f t="shared" si="374"/>
        <v>44148</v>
      </c>
      <c r="HK71" s="49">
        <f t="shared" si="374"/>
        <v>44149</v>
      </c>
      <c r="HL71" s="49">
        <f t="shared" si="374"/>
        <v>44150</v>
      </c>
      <c r="HM71" s="49">
        <f t="shared" si="374"/>
        <v>44151</v>
      </c>
      <c r="HN71" s="49">
        <f t="shared" si="374"/>
        <v>44152</v>
      </c>
      <c r="HO71" s="49">
        <f t="shared" si="374"/>
        <v>44153</v>
      </c>
      <c r="HP71" s="49">
        <f t="shared" si="374"/>
        <v>44154</v>
      </c>
      <c r="HQ71" s="49">
        <f t="shared" si="374"/>
        <v>44155</v>
      </c>
      <c r="HR71" s="49">
        <f t="shared" si="374"/>
        <v>44156</v>
      </c>
      <c r="HS71" s="49">
        <f t="shared" si="374"/>
        <v>44157</v>
      </c>
      <c r="HT71" s="49">
        <f t="shared" si="374"/>
        <v>44158</v>
      </c>
      <c r="HU71" s="49">
        <f t="shared" si="374"/>
        <v>44159</v>
      </c>
      <c r="HV71" s="49">
        <f t="shared" si="374"/>
        <v>44160</v>
      </c>
      <c r="HW71" s="49">
        <f t="shared" si="374"/>
        <v>44161</v>
      </c>
      <c r="HX71" s="49">
        <f t="shared" si="374"/>
        <v>44162</v>
      </c>
      <c r="HY71" s="49">
        <f t="shared" si="374"/>
        <v>44163</v>
      </c>
      <c r="HZ71" s="49">
        <f t="shared" si="374"/>
        <v>44164</v>
      </c>
      <c r="IA71" s="49">
        <f t="shared" si="374"/>
        <v>44165</v>
      </c>
      <c r="IB71" s="49">
        <f t="shared" ref="IB71:JG71" si="375">IB1</f>
        <v>44166</v>
      </c>
      <c r="IC71" s="49">
        <f t="shared" si="375"/>
        <v>44167</v>
      </c>
      <c r="ID71" s="49">
        <f t="shared" si="375"/>
        <v>44168</v>
      </c>
      <c r="IE71" s="49">
        <f t="shared" si="375"/>
        <v>44169</v>
      </c>
      <c r="IF71" s="49">
        <f t="shared" si="375"/>
        <v>44170</v>
      </c>
      <c r="IG71" s="49">
        <f t="shared" si="375"/>
        <v>44171</v>
      </c>
      <c r="IH71" s="49">
        <f t="shared" si="375"/>
        <v>44172</v>
      </c>
      <c r="II71" s="49">
        <f t="shared" si="375"/>
        <v>44173</v>
      </c>
      <c r="IJ71" s="49">
        <f t="shared" si="375"/>
        <v>44174</v>
      </c>
      <c r="IK71" s="49">
        <f t="shared" si="375"/>
        <v>44175</v>
      </c>
      <c r="IL71" s="49">
        <f t="shared" si="375"/>
        <v>44176</v>
      </c>
      <c r="IM71" s="49">
        <f t="shared" si="375"/>
        <v>44177</v>
      </c>
      <c r="IN71" s="49">
        <f t="shared" si="375"/>
        <v>44178</v>
      </c>
      <c r="IO71" s="49">
        <f t="shared" si="375"/>
        <v>44179</v>
      </c>
      <c r="IP71" s="49">
        <f t="shared" si="375"/>
        <v>44180</v>
      </c>
      <c r="IQ71" s="49">
        <f t="shared" si="375"/>
        <v>44181</v>
      </c>
      <c r="IR71" s="49">
        <f t="shared" si="375"/>
        <v>44182</v>
      </c>
      <c r="IS71" s="49">
        <f t="shared" si="375"/>
        <v>44183</v>
      </c>
      <c r="IT71" s="49">
        <f t="shared" si="375"/>
        <v>44184</v>
      </c>
      <c r="IU71" s="49">
        <f t="shared" si="375"/>
        <v>44185</v>
      </c>
      <c r="IV71" s="49">
        <f t="shared" si="375"/>
        <v>44186</v>
      </c>
      <c r="IW71" s="49">
        <f t="shared" si="375"/>
        <v>44187</v>
      </c>
      <c r="IX71" s="49">
        <f t="shared" si="375"/>
        <v>44188</v>
      </c>
      <c r="IY71" s="49">
        <f t="shared" si="375"/>
        <v>44189</v>
      </c>
      <c r="IZ71" s="49">
        <f t="shared" si="375"/>
        <v>44190</v>
      </c>
      <c r="JA71" s="49">
        <f t="shared" si="375"/>
        <v>44191</v>
      </c>
      <c r="JB71" s="49">
        <f t="shared" si="375"/>
        <v>44192</v>
      </c>
      <c r="JC71" s="49">
        <f t="shared" si="375"/>
        <v>44193</v>
      </c>
      <c r="JD71" s="49">
        <f t="shared" si="375"/>
        <v>44194</v>
      </c>
      <c r="JE71" s="49">
        <f t="shared" si="375"/>
        <v>44195</v>
      </c>
      <c r="JF71" s="49">
        <f t="shared" si="375"/>
        <v>44196</v>
      </c>
      <c r="JG71" s="49">
        <f t="shared" si="375"/>
        <v>44197</v>
      </c>
      <c r="JH71" s="49">
        <f t="shared" ref="JH71:KM71" si="376">JH1</f>
        <v>44198</v>
      </c>
      <c r="JI71" s="49">
        <f t="shared" si="376"/>
        <v>44199</v>
      </c>
      <c r="JJ71" s="49">
        <f t="shared" si="376"/>
        <v>44200</v>
      </c>
      <c r="JK71" s="49">
        <f t="shared" si="376"/>
        <v>44201</v>
      </c>
      <c r="JL71" s="49">
        <f t="shared" si="376"/>
        <v>44202</v>
      </c>
      <c r="JM71" s="49">
        <f t="shared" si="376"/>
        <v>44203</v>
      </c>
      <c r="JN71" s="49">
        <f t="shared" si="376"/>
        <v>44204</v>
      </c>
      <c r="JO71" s="49">
        <f t="shared" si="376"/>
        <v>44205</v>
      </c>
      <c r="JP71" s="49">
        <f t="shared" si="376"/>
        <v>44206</v>
      </c>
      <c r="JQ71" s="49">
        <f t="shared" si="376"/>
        <v>44207</v>
      </c>
      <c r="JR71" s="49">
        <f t="shared" si="376"/>
        <v>44208</v>
      </c>
      <c r="JS71" s="49">
        <f t="shared" si="376"/>
        <v>44209</v>
      </c>
      <c r="JT71" s="49">
        <f t="shared" si="376"/>
        <v>44210</v>
      </c>
      <c r="JU71" s="49">
        <f t="shared" si="376"/>
        <v>44211</v>
      </c>
      <c r="JV71" s="49">
        <f t="shared" si="376"/>
        <v>44212</v>
      </c>
      <c r="JW71" s="49">
        <f t="shared" si="376"/>
        <v>44213</v>
      </c>
      <c r="JX71" s="49">
        <f t="shared" si="376"/>
        <v>44214</v>
      </c>
      <c r="JY71" s="49">
        <f t="shared" si="376"/>
        <v>44215</v>
      </c>
      <c r="JZ71" s="49">
        <f t="shared" si="376"/>
        <v>44216</v>
      </c>
      <c r="KA71" s="49">
        <f t="shared" si="376"/>
        <v>44217</v>
      </c>
      <c r="KB71" s="49">
        <f t="shared" si="376"/>
        <v>44218</v>
      </c>
      <c r="KC71" s="49">
        <f t="shared" si="376"/>
        <v>44219</v>
      </c>
      <c r="KD71" s="49">
        <f t="shared" si="376"/>
        <v>44220</v>
      </c>
      <c r="KE71" s="49">
        <f t="shared" si="376"/>
        <v>44221</v>
      </c>
      <c r="KF71" s="49">
        <f t="shared" si="376"/>
        <v>44222</v>
      </c>
      <c r="KG71" s="49">
        <f t="shared" si="376"/>
        <v>44223</v>
      </c>
      <c r="KH71" s="49">
        <f t="shared" si="376"/>
        <v>44224</v>
      </c>
      <c r="KI71" s="49">
        <f t="shared" si="376"/>
        <v>44225</v>
      </c>
      <c r="KJ71" s="49">
        <f t="shared" si="376"/>
        <v>44226</v>
      </c>
      <c r="KK71" s="49">
        <f t="shared" si="376"/>
        <v>44227</v>
      </c>
      <c r="KL71" s="49">
        <f t="shared" si="376"/>
        <v>44228</v>
      </c>
      <c r="KM71" s="49">
        <f t="shared" si="376"/>
        <v>44229</v>
      </c>
      <c r="KN71" s="49">
        <f t="shared" ref="KN71:LS71" si="377">KN1</f>
        <v>44230</v>
      </c>
      <c r="KO71" s="49">
        <f t="shared" si="377"/>
        <v>44231</v>
      </c>
      <c r="KP71" s="49">
        <f t="shared" si="377"/>
        <v>44232</v>
      </c>
      <c r="KQ71" s="49">
        <f t="shared" si="377"/>
        <v>44233</v>
      </c>
      <c r="KR71" s="49">
        <f t="shared" si="377"/>
        <v>44234</v>
      </c>
      <c r="KS71" s="49">
        <f t="shared" si="377"/>
        <v>44235</v>
      </c>
      <c r="KT71" s="49">
        <f t="shared" si="377"/>
        <v>44236</v>
      </c>
      <c r="KU71" s="49">
        <f t="shared" si="377"/>
        <v>44237</v>
      </c>
      <c r="KV71" s="49">
        <f t="shared" si="377"/>
        <v>44238</v>
      </c>
      <c r="KW71" s="49">
        <f t="shared" si="377"/>
        <v>44239</v>
      </c>
      <c r="KX71" s="49">
        <f t="shared" si="377"/>
        <v>44240</v>
      </c>
      <c r="KY71" s="49">
        <f t="shared" si="377"/>
        <v>44241</v>
      </c>
      <c r="KZ71" s="49">
        <f t="shared" si="377"/>
        <v>44242</v>
      </c>
      <c r="LA71" s="49">
        <f t="shared" si="377"/>
        <v>44243</v>
      </c>
      <c r="LB71" s="49">
        <f t="shared" si="377"/>
        <v>44244</v>
      </c>
      <c r="LC71" s="49">
        <f t="shared" si="377"/>
        <v>44245</v>
      </c>
      <c r="LD71" s="49">
        <f t="shared" si="377"/>
        <v>44246</v>
      </c>
      <c r="LE71" s="49">
        <f t="shared" si="377"/>
        <v>44247</v>
      </c>
      <c r="LF71" s="49">
        <f t="shared" si="377"/>
        <v>44248</v>
      </c>
      <c r="LG71" s="49">
        <f t="shared" si="377"/>
        <v>44249</v>
      </c>
      <c r="LH71" s="49">
        <f t="shared" si="377"/>
        <v>44250</v>
      </c>
      <c r="LI71" s="49">
        <f t="shared" si="377"/>
        <v>44251</v>
      </c>
      <c r="LJ71" s="49">
        <f t="shared" si="377"/>
        <v>44252</v>
      </c>
      <c r="LK71" s="49">
        <f t="shared" si="377"/>
        <v>44253</v>
      </c>
      <c r="LL71" s="49">
        <f t="shared" si="377"/>
        <v>44254</v>
      </c>
      <c r="LM71" s="49">
        <f t="shared" si="377"/>
        <v>44255</v>
      </c>
      <c r="LN71" s="49">
        <f t="shared" si="377"/>
        <v>44256</v>
      </c>
      <c r="LO71" s="49">
        <f t="shared" si="377"/>
        <v>44257</v>
      </c>
      <c r="LP71" s="49">
        <f t="shared" si="377"/>
        <v>44258</v>
      </c>
      <c r="LQ71" s="49">
        <f t="shared" si="377"/>
        <v>44259</v>
      </c>
      <c r="LR71" s="49">
        <f t="shared" si="377"/>
        <v>44260</v>
      </c>
      <c r="LS71" s="49">
        <f t="shared" si="377"/>
        <v>44261</v>
      </c>
      <c r="LT71" s="49">
        <f t="shared" ref="LT71:MV71" si="378">LT1</f>
        <v>44262</v>
      </c>
      <c r="LU71" s="49">
        <f t="shared" si="378"/>
        <v>44263</v>
      </c>
      <c r="LV71" s="49">
        <f t="shared" si="378"/>
        <v>44264</v>
      </c>
      <c r="LW71" s="49">
        <f t="shared" si="378"/>
        <v>44265</v>
      </c>
      <c r="LX71" s="49">
        <f t="shared" si="378"/>
        <v>44266</v>
      </c>
      <c r="LY71" s="49">
        <f t="shared" si="378"/>
        <v>44267</v>
      </c>
      <c r="LZ71" s="49">
        <f t="shared" si="378"/>
        <v>44268</v>
      </c>
      <c r="MA71" s="49">
        <f t="shared" si="378"/>
        <v>44269</v>
      </c>
      <c r="MB71" s="49">
        <f t="shared" si="378"/>
        <v>44270</v>
      </c>
      <c r="MC71" s="49">
        <f t="shared" si="378"/>
        <v>44271</v>
      </c>
      <c r="MD71" s="49">
        <f t="shared" si="378"/>
        <v>44272</v>
      </c>
      <c r="ME71" s="49">
        <f t="shared" si="378"/>
        <v>44273</v>
      </c>
      <c r="MF71" s="49">
        <f t="shared" si="378"/>
        <v>44274</v>
      </c>
      <c r="MG71" s="49">
        <f t="shared" si="378"/>
        <v>44275</v>
      </c>
      <c r="MH71" s="49">
        <f t="shared" si="378"/>
        <v>44276</v>
      </c>
      <c r="MI71" s="49">
        <f t="shared" si="378"/>
        <v>44277</v>
      </c>
      <c r="MJ71" s="49">
        <f t="shared" si="378"/>
        <v>44278</v>
      </c>
      <c r="MK71" s="49">
        <f t="shared" si="378"/>
        <v>44279</v>
      </c>
      <c r="ML71" s="49">
        <f t="shared" si="378"/>
        <v>44280</v>
      </c>
      <c r="MM71" s="49">
        <f t="shared" si="378"/>
        <v>44281</v>
      </c>
      <c r="MN71" s="49">
        <f t="shared" si="378"/>
        <v>44282</v>
      </c>
      <c r="MO71" s="49">
        <f t="shared" si="378"/>
        <v>44283</v>
      </c>
      <c r="MP71" s="49">
        <f t="shared" si="378"/>
        <v>44284</v>
      </c>
      <c r="MQ71" s="49">
        <f t="shared" si="378"/>
        <v>44285</v>
      </c>
      <c r="MR71" s="49">
        <f t="shared" si="378"/>
        <v>44286</v>
      </c>
      <c r="MS71" s="49">
        <f t="shared" si="378"/>
        <v>44287</v>
      </c>
      <c r="MT71" s="49">
        <f t="shared" si="378"/>
        <v>44288</v>
      </c>
      <c r="MU71" s="49">
        <f t="shared" si="378"/>
        <v>44289</v>
      </c>
      <c r="MV71" s="49">
        <f t="shared" si="378"/>
        <v>44290</v>
      </c>
    </row>
    <row r="72" spans="1:360" ht="15" customHeight="1" x14ac:dyDescent="0.25">
      <c r="A72" s="147" t="s">
        <v>144</v>
      </c>
      <c r="B72" s="147"/>
      <c r="C72" s="147"/>
      <c r="D72" s="147"/>
      <c r="E72" s="148"/>
      <c r="F72" s="30"/>
      <c r="G72" s="30"/>
      <c r="H72" s="30"/>
      <c r="I72" s="30"/>
      <c r="J72" s="30"/>
      <c r="K72" s="30"/>
      <c r="L72" s="30"/>
      <c r="M72" s="30"/>
      <c r="N72" s="30"/>
      <c r="O72" s="29"/>
      <c r="P72" s="151" t="s">
        <v>49</v>
      </c>
      <c r="Q72" s="151" t="s">
        <v>48</v>
      </c>
      <c r="R72" s="153"/>
      <c r="S72" s="57">
        <f t="shared" ref="S72:BV72" si="379">S41</f>
        <v>43975</v>
      </c>
      <c r="T72" s="58">
        <f t="shared" si="379"/>
        <v>43976</v>
      </c>
      <c r="U72" s="58">
        <f t="shared" si="379"/>
        <v>43977</v>
      </c>
      <c r="V72" s="58">
        <f t="shared" si="379"/>
        <v>43978</v>
      </c>
      <c r="W72" s="58">
        <f t="shared" si="379"/>
        <v>43979</v>
      </c>
      <c r="X72" s="58">
        <f t="shared" si="379"/>
        <v>43980</v>
      </c>
      <c r="Y72" s="58">
        <f t="shared" si="379"/>
        <v>43981</v>
      </c>
      <c r="Z72" s="57">
        <f t="shared" si="379"/>
        <v>43982</v>
      </c>
      <c r="AA72" s="58">
        <f t="shared" si="379"/>
        <v>43983</v>
      </c>
      <c r="AB72" s="58">
        <f t="shared" si="379"/>
        <v>43984</v>
      </c>
      <c r="AC72" s="58">
        <f t="shared" si="379"/>
        <v>43985</v>
      </c>
      <c r="AD72" s="58">
        <f t="shared" si="379"/>
        <v>43986</v>
      </c>
      <c r="AE72" s="58">
        <f t="shared" si="379"/>
        <v>43987</v>
      </c>
      <c r="AF72" s="58">
        <f t="shared" si="379"/>
        <v>43988</v>
      </c>
      <c r="AG72" s="57">
        <f t="shared" si="379"/>
        <v>43989</v>
      </c>
      <c r="AH72" s="58">
        <f t="shared" si="379"/>
        <v>43990</v>
      </c>
      <c r="AI72" s="58">
        <f t="shared" si="379"/>
        <v>43991</v>
      </c>
      <c r="AJ72" s="58">
        <f t="shared" si="379"/>
        <v>43992</v>
      </c>
      <c r="AK72" s="58">
        <f t="shared" si="379"/>
        <v>43993</v>
      </c>
      <c r="AL72" s="58">
        <f t="shared" si="379"/>
        <v>43994</v>
      </c>
      <c r="AM72" s="58">
        <f t="shared" si="379"/>
        <v>43995</v>
      </c>
      <c r="AN72" s="57">
        <f t="shared" si="379"/>
        <v>43996</v>
      </c>
      <c r="AO72" s="58">
        <f t="shared" si="379"/>
        <v>43997</v>
      </c>
      <c r="AP72" s="58">
        <f t="shared" si="379"/>
        <v>43998</v>
      </c>
      <c r="AQ72" s="58">
        <f t="shared" si="379"/>
        <v>43999</v>
      </c>
      <c r="AR72" s="58">
        <f t="shared" si="379"/>
        <v>44000</v>
      </c>
      <c r="AS72" s="58">
        <f t="shared" si="379"/>
        <v>44001</v>
      </c>
      <c r="AT72" s="58">
        <f t="shared" si="379"/>
        <v>44002</v>
      </c>
      <c r="AU72" s="57">
        <f t="shared" si="379"/>
        <v>44003</v>
      </c>
      <c r="AV72" s="58">
        <f t="shared" si="379"/>
        <v>44004</v>
      </c>
      <c r="AW72" s="58">
        <f t="shared" si="379"/>
        <v>44005</v>
      </c>
      <c r="AX72" s="58">
        <f t="shared" si="379"/>
        <v>44006</v>
      </c>
      <c r="AY72" s="58">
        <f t="shared" si="379"/>
        <v>44007</v>
      </c>
      <c r="AZ72" s="58">
        <f t="shared" si="379"/>
        <v>44008</v>
      </c>
      <c r="BA72" s="58">
        <f t="shared" si="379"/>
        <v>44009</v>
      </c>
      <c r="BB72" s="57">
        <f t="shared" si="379"/>
        <v>44010</v>
      </c>
      <c r="BC72" s="58">
        <f t="shared" si="379"/>
        <v>44011</v>
      </c>
      <c r="BD72" s="58">
        <f t="shared" si="379"/>
        <v>44012</v>
      </c>
      <c r="BE72" s="58">
        <f t="shared" si="379"/>
        <v>44013</v>
      </c>
      <c r="BF72" s="58">
        <f t="shared" si="379"/>
        <v>44014</v>
      </c>
      <c r="BG72" s="58">
        <f t="shared" si="379"/>
        <v>44015</v>
      </c>
      <c r="BH72" s="58">
        <f t="shared" si="379"/>
        <v>44016</v>
      </c>
      <c r="BI72" s="57">
        <f t="shared" si="379"/>
        <v>44017</v>
      </c>
      <c r="BJ72" s="58">
        <f t="shared" si="379"/>
        <v>44018</v>
      </c>
      <c r="BK72" s="58">
        <f t="shared" si="379"/>
        <v>44019</v>
      </c>
      <c r="BL72" s="58">
        <f t="shared" si="379"/>
        <v>44020</v>
      </c>
      <c r="BM72" s="58">
        <f t="shared" si="379"/>
        <v>44021</v>
      </c>
      <c r="BN72" s="58">
        <f t="shared" si="379"/>
        <v>44022</v>
      </c>
      <c r="BO72" s="58">
        <f t="shared" si="379"/>
        <v>44023</v>
      </c>
      <c r="BP72" s="57">
        <v>12</v>
      </c>
      <c r="BQ72" s="58">
        <f t="shared" si="379"/>
        <v>44025</v>
      </c>
      <c r="BR72" s="58">
        <f t="shared" si="379"/>
        <v>44026</v>
      </c>
      <c r="BS72" s="58">
        <f t="shared" si="379"/>
        <v>44027</v>
      </c>
      <c r="BT72" s="58">
        <f t="shared" si="379"/>
        <v>44028</v>
      </c>
      <c r="BU72" s="58">
        <f t="shared" si="379"/>
        <v>44029</v>
      </c>
      <c r="BV72" s="58">
        <f t="shared" si="379"/>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FL72" si="380">DS41</f>
        <v>44067</v>
      </c>
      <c r="DT72" s="58">
        <f t="shared" si="380"/>
        <v>44068</v>
      </c>
      <c r="DU72" s="58">
        <f t="shared" si="380"/>
        <v>44069</v>
      </c>
      <c r="DV72" s="58">
        <f t="shared" si="380"/>
        <v>44070</v>
      </c>
      <c r="DW72" s="58">
        <f t="shared" si="380"/>
        <v>44071</v>
      </c>
      <c r="DX72" s="58">
        <f t="shared" si="380"/>
        <v>44072</v>
      </c>
      <c r="DY72" s="58">
        <f t="shared" si="380"/>
        <v>44073</v>
      </c>
      <c r="DZ72" s="58"/>
      <c r="EA72" s="57"/>
      <c r="EB72" s="58">
        <f t="shared" si="380"/>
        <v>44074</v>
      </c>
      <c r="EC72" s="58">
        <f t="shared" si="380"/>
        <v>44075</v>
      </c>
      <c r="ED72" s="58">
        <f t="shared" si="380"/>
        <v>44076</v>
      </c>
      <c r="EE72" s="58">
        <f t="shared" si="380"/>
        <v>44077</v>
      </c>
      <c r="EF72" s="58">
        <f t="shared" si="380"/>
        <v>44078</v>
      </c>
      <c r="EG72" s="58">
        <f t="shared" si="380"/>
        <v>44079</v>
      </c>
      <c r="EH72" s="58">
        <f t="shared" si="380"/>
        <v>44080</v>
      </c>
      <c r="EI72" s="58"/>
      <c r="EJ72" s="57"/>
      <c r="EK72" s="58">
        <f t="shared" si="380"/>
        <v>44081</v>
      </c>
      <c r="EL72" s="58">
        <f t="shared" si="380"/>
        <v>44082</v>
      </c>
      <c r="EM72" s="58">
        <f t="shared" si="380"/>
        <v>44083</v>
      </c>
      <c r="EN72" s="58">
        <f t="shared" si="380"/>
        <v>44084</v>
      </c>
      <c r="EO72" s="58">
        <f t="shared" si="380"/>
        <v>44085</v>
      </c>
      <c r="EP72" s="58">
        <f t="shared" si="380"/>
        <v>44086</v>
      </c>
      <c r="EQ72" s="58">
        <f t="shared" si="380"/>
        <v>44087</v>
      </c>
      <c r="ER72" s="58"/>
      <c r="ES72" s="57"/>
      <c r="ET72" s="58">
        <f t="shared" si="380"/>
        <v>44088</v>
      </c>
      <c r="EU72" s="58">
        <f t="shared" si="380"/>
        <v>44089</v>
      </c>
      <c r="EV72" s="58">
        <f t="shared" si="380"/>
        <v>44090</v>
      </c>
      <c r="EW72" s="58">
        <f t="shared" si="380"/>
        <v>44091</v>
      </c>
      <c r="EX72" s="58">
        <f t="shared" si="380"/>
        <v>44092</v>
      </c>
      <c r="EY72" s="58">
        <f t="shared" si="380"/>
        <v>44093</v>
      </c>
      <c r="EZ72" s="58">
        <f t="shared" si="380"/>
        <v>44094</v>
      </c>
      <c r="FA72" s="58"/>
      <c r="FB72" s="57"/>
      <c r="FC72" s="58">
        <f t="shared" si="380"/>
        <v>44095</v>
      </c>
      <c r="FD72" s="58">
        <f t="shared" si="380"/>
        <v>44096</v>
      </c>
      <c r="FE72" s="58">
        <f t="shared" si="380"/>
        <v>44097</v>
      </c>
      <c r="FF72" s="58">
        <f t="shared" si="380"/>
        <v>44098</v>
      </c>
      <c r="FG72" s="58">
        <f t="shared" si="380"/>
        <v>44099</v>
      </c>
      <c r="FH72" s="58">
        <f t="shared" si="380"/>
        <v>44100</v>
      </c>
      <c r="FI72" s="58">
        <f t="shared" ref="FI72" si="381">FI41</f>
        <v>44101</v>
      </c>
      <c r="FJ72" s="58"/>
      <c r="FK72" s="57"/>
      <c r="FL72" s="58">
        <f t="shared" si="380"/>
        <v>44102</v>
      </c>
      <c r="FM72" s="58">
        <f t="shared" ref="FM72:IB72" si="382">FM41</f>
        <v>44103</v>
      </c>
      <c r="FN72" s="58">
        <f t="shared" si="382"/>
        <v>44104</v>
      </c>
      <c r="FO72" s="58">
        <f t="shared" si="382"/>
        <v>44105</v>
      </c>
      <c r="FP72" s="58">
        <f t="shared" si="382"/>
        <v>44106</v>
      </c>
      <c r="FQ72" s="58">
        <f t="shared" si="382"/>
        <v>44107</v>
      </c>
      <c r="FR72" s="58"/>
      <c r="FS72" s="58"/>
      <c r="FT72" s="57"/>
      <c r="FU72" s="58">
        <f t="shared" si="382"/>
        <v>44109</v>
      </c>
      <c r="FV72" s="58">
        <f t="shared" si="382"/>
        <v>44110</v>
      </c>
      <c r="FW72" s="58">
        <f t="shared" si="382"/>
        <v>44111</v>
      </c>
      <c r="FX72" s="58">
        <f t="shared" si="382"/>
        <v>44112</v>
      </c>
      <c r="FY72" s="58">
        <f t="shared" si="382"/>
        <v>44113</v>
      </c>
      <c r="FZ72" s="58">
        <f t="shared" si="382"/>
        <v>44114</v>
      </c>
      <c r="GA72" s="58">
        <f t="shared" ref="GA72" si="383">GA41</f>
        <v>44115</v>
      </c>
      <c r="GB72" s="58"/>
      <c r="GC72" s="57"/>
      <c r="GD72" s="58">
        <f t="shared" si="382"/>
        <v>44116</v>
      </c>
      <c r="GE72" s="58">
        <f t="shared" si="382"/>
        <v>44117</v>
      </c>
      <c r="GF72" s="58">
        <f t="shared" si="382"/>
        <v>44118</v>
      </c>
      <c r="GG72" s="58">
        <f t="shared" si="382"/>
        <v>44119</v>
      </c>
      <c r="GH72" s="58">
        <f t="shared" si="382"/>
        <v>44120</v>
      </c>
      <c r="GI72" s="58">
        <f t="shared" si="382"/>
        <v>44121</v>
      </c>
      <c r="GJ72" s="57">
        <f t="shared" si="382"/>
        <v>44122</v>
      </c>
      <c r="GK72" s="58">
        <f t="shared" si="382"/>
        <v>44123</v>
      </c>
      <c r="GL72" s="58">
        <f t="shared" si="382"/>
        <v>44124</v>
      </c>
      <c r="GM72" s="58">
        <f t="shared" si="382"/>
        <v>44125</v>
      </c>
      <c r="GN72" s="58">
        <f t="shared" si="382"/>
        <v>44126</v>
      </c>
      <c r="GO72" s="58">
        <f t="shared" si="382"/>
        <v>44127</v>
      </c>
      <c r="GP72" s="58">
        <f t="shared" si="382"/>
        <v>44128</v>
      </c>
      <c r="GQ72" s="57">
        <f t="shared" si="382"/>
        <v>44129</v>
      </c>
      <c r="GR72" s="58">
        <f t="shared" si="382"/>
        <v>44130</v>
      </c>
      <c r="GS72" s="58">
        <f t="shared" si="382"/>
        <v>44131</v>
      </c>
      <c r="GT72" s="58">
        <f t="shared" si="382"/>
        <v>44132</v>
      </c>
      <c r="GU72" s="58">
        <f t="shared" si="382"/>
        <v>44133</v>
      </c>
      <c r="GV72" s="58">
        <f t="shared" si="382"/>
        <v>44134</v>
      </c>
      <c r="GW72" s="58">
        <f t="shared" si="382"/>
        <v>44135</v>
      </c>
      <c r="GX72" s="57">
        <f t="shared" si="382"/>
        <v>44136</v>
      </c>
      <c r="GY72" s="58">
        <f t="shared" si="382"/>
        <v>44137</v>
      </c>
      <c r="GZ72" s="58">
        <f t="shared" si="382"/>
        <v>44138</v>
      </c>
      <c r="HA72" s="58">
        <f t="shared" si="382"/>
        <v>44139</v>
      </c>
      <c r="HB72" s="58">
        <f t="shared" si="382"/>
        <v>44140</v>
      </c>
      <c r="HC72" s="58">
        <f t="shared" si="382"/>
        <v>44141</v>
      </c>
      <c r="HD72" s="58">
        <f t="shared" si="382"/>
        <v>44142</v>
      </c>
      <c r="HE72" s="57">
        <f t="shared" si="382"/>
        <v>44143</v>
      </c>
      <c r="HF72" s="58">
        <f t="shared" si="382"/>
        <v>44144</v>
      </c>
      <c r="HG72" s="58">
        <f t="shared" si="382"/>
        <v>44145</v>
      </c>
      <c r="HH72" s="58">
        <f t="shared" si="382"/>
        <v>44146</v>
      </c>
      <c r="HI72" s="58">
        <f t="shared" si="382"/>
        <v>44147</v>
      </c>
      <c r="HJ72" s="58">
        <f t="shared" si="382"/>
        <v>44148</v>
      </c>
      <c r="HK72" s="58">
        <f t="shared" si="382"/>
        <v>44149</v>
      </c>
      <c r="HL72" s="57">
        <f t="shared" si="382"/>
        <v>44150</v>
      </c>
      <c r="HM72" s="58">
        <f t="shared" si="382"/>
        <v>44151</v>
      </c>
      <c r="HN72" s="58">
        <f t="shared" si="382"/>
        <v>44152</v>
      </c>
      <c r="HO72" s="58">
        <f t="shared" si="382"/>
        <v>44153</v>
      </c>
      <c r="HP72" s="58">
        <f t="shared" si="382"/>
        <v>44154</v>
      </c>
      <c r="HQ72" s="58">
        <f t="shared" si="382"/>
        <v>44155</v>
      </c>
      <c r="HR72" s="58">
        <f t="shared" si="382"/>
        <v>44156</v>
      </c>
      <c r="HS72" s="57">
        <f t="shared" si="382"/>
        <v>44157</v>
      </c>
      <c r="HT72" s="58">
        <f t="shared" si="382"/>
        <v>44158</v>
      </c>
      <c r="HU72" s="58">
        <f t="shared" si="382"/>
        <v>44159</v>
      </c>
      <c r="HV72" s="58">
        <f t="shared" si="382"/>
        <v>44160</v>
      </c>
      <c r="HW72" s="58">
        <f t="shared" si="382"/>
        <v>44161</v>
      </c>
      <c r="HX72" s="58">
        <f t="shared" si="382"/>
        <v>44162</v>
      </c>
      <c r="HY72" s="58">
        <f t="shared" si="382"/>
        <v>44163</v>
      </c>
      <c r="HZ72" s="57">
        <f t="shared" si="382"/>
        <v>44164</v>
      </c>
      <c r="IA72" s="58">
        <f t="shared" si="382"/>
        <v>44165</v>
      </c>
      <c r="IB72" s="58">
        <f t="shared" si="382"/>
        <v>44166</v>
      </c>
      <c r="IC72" s="58">
        <f t="shared" ref="IC72:KN72" si="384">IC41</f>
        <v>44167</v>
      </c>
      <c r="ID72" s="58">
        <f t="shared" si="384"/>
        <v>44168</v>
      </c>
      <c r="IE72" s="58">
        <f t="shared" si="384"/>
        <v>44169</v>
      </c>
      <c r="IF72" s="58">
        <f t="shared" si="384"/>
        <v>44170</v>
      </c>
      <c r="IG72" s="57">
        <f t="shared" si="384"/>
        <v>44171</v>
      </c>
      <c r="IH72" s="58">
        <f t="shared" si="384"/>
        <v>44172</v>
      </c>
      <c r="II72" s="58">
        <f t="shared" si="384"/>
        <v>44173</v>
      </c>
      <c r="IJ72" s="58">
        <f t="shared" si="384"/>
        <v>44174</v>
      </c>
      <c r="IK72" s="58">
        <f t="shared" si="384"/>
        <v>44175</v>
      </c>
      <c r="IL72" s="58">
        <f t="shared" si="384"/>
        <v>44176</v>
      </c>
      <c r="IM72" s="58">
        <f t="shared" si="384"/>
        <v>44177</v>
      </c>
      <c r="IN72" s="57">
        <f t="shared" si="384"/>
        <v>44178</v>
      </c>
      <c r="IO72" s="58">
        <f t="shared" si="384"/>
        <v>44179</v>
      </c>
      <c r="IP72" s="58">
        <f t="shared" si="384"/>
        <v>44180</v>
      </c>
      <c r="IQ72" s="58">
        <f t="shared" si="384"/>
        <v>44181</v>
      </c>
      <c r="IR72" s="58">
        <f t="shared" si="384"/>
        <v>44182</v>
      </c>
      <c r="IS72" s="58">
        <f t="shared" si="384"/>
        <v>44183</v>
      </c>
      <c r="IT72" s="58">
        <f t="shared" si="384"/>
        <v>44184</v>
      </c>
      <c r="IU72" s="57">
        <f t="shared" si="384"/>
        <v>44185</v>
      </c>
      <c r="IV72" s="58">
        <f t="shared" si="384"/>
        <v>44186</v>
      </c>
      <c r="IW72" s="58">
        <f t="shared" si="384"/>
        <v>44187</v>
      </c>
      <c r="IX72" s="58">
        <f t="shared" si="384"/>
        <v>44188</v>
      </c>
      <c r="IY72" s="58">
        <f t="shared" si="384"/>
        <v>44189</v>
      </c>
      <c r="IZ72" s="58">
        <f t="shared" si="384"/>
        <v>44190</v>
      </c>
      <c r="JA72" s="58">
        <f t="shared" si="384"/>
        <v>44191</v>
      </c>
      <c r="JB72" s="57">
        <f t="shared" si="384"/>
        <v>44192</v>
      </c>
      <c r="JC72" s="58">
        <f t="shared" si="384"/>
        <v>44193</v>
      </c>
      <c r="JD72" s="58">
        <f t="shared" si="384"/>
        <v>44194</v>
      </c>
      <c r="JE72" s="58">
        <f t="shared" si="384"/>
        <v>44195</v>
      </c>
      <c r="JF72" s="58">
        <f t="shared" si="384"/>
        <v>44196</v>
      </c>
      <c r="JG72" s="58">
        <f t="shared" si="384"/>
        <v>44197</v>
      </c>
      <c r="JH72" s="58">
        <f t="shared" si="384"/>
        <v>44198</v>
      </c>
      <c r="JI72" s="57">
        <f t="shared" si="384"/>
        <v>44199</v>
      </c>
      <c r="JJ72" s="58">
        <f t="shared" si="384"/>
        <v>44200</v>
      </c>
      <c r="JK72" s="58">
        <f t="shared" si="384"/>
        <v>44201</v>
      </c>
      <c r="JL72" s="58">
        <f t="shared" si="384"/>
        <v>44202</v>
      </c>
      <c r="JM72" s="58">
        <f t="shared" si="384"/>
        <v>44203</v>
      </c>
      <c r="JN72" s="58">
        <f t="shared" si="384"/>
        <v>44204</v>
      </c>
      <c r="JO72" s="58">
        <f t="shared" si="384"/>
        <v>44205</v>
      </c>
      <c r="JP72" s="57">
        <f t="shared" si="384"/>
        <v>44206</v>
      </c>
      <c r="JQ72" s="58">
        <f t="shared" si="384"/>
        <v>44207</v>
      </c>
      <c r="JR72" s="58">
        <f t="shared" si="384"/>
        <v>44208</v>
      </c>
      <c r="JS72" s="58">
        <f t="shared" si="384"/>
        <v>44209</v>
      </c>
      <c r="JT72" s="58">
        <f t="shared" si="384"/>
        <v>44210</v>
      </c>
      <c r="JU72" s="58">
        <f t="shared" si="384"/>
        <v>44211</v>
      </c>
      <c r="JV72" s="58">
        <f t="shared" si="384"/>
        <v>44212</v>
      </c>
      <c r="JW72" s="57">
        <f t="shared" si="384"/>
        <v>44213</v>
      </c>
      <c r="JX72" s="58">
        <f t="shared" si="384"/>
        <v>44214</v>
      </c>
      <c r="JY72" s="58">
        <f t="shared" si="384"/>
        <v>44215</v>
      </c>
      <c r="JZ72" s="58">
        <f t="shared" si="384"/>
        <v>44216</v>
      </c>
      <c r="KA72" s="58">
        <f t="shared" si="384"/>
        <v>44217</v>
      </c>
      <c r="KB72" s="58">
        <f t="shared" si="384"/>
        <v>44218</v>
      </c>
      <c r="KC72" s="58">
        <f t="shared" si="384"/>
        <v>44219</v>
      </c>
      <c r="KD72" s="57">
        <f t="shared" si="384"/>
        <v>44220</v>
      </c>
      <c r="KE72" s="58">
        <f t="shared" si="384"/>
        <v>44221</v>
      </c>
      <c r="KF72" s="58">
        <f t="shared" si="384"/>
        <v>44222</v>
      </c>
      <c r="KG72" s="58">
        <f t="shared" si="384"/>
        <v>44223</v>
      </c>
      <c r="KH72" s="58">
        <f t="shared" si="384"/>
        <v>44224</v>
      </c>
      <c r="KI72" s="58">
        <f t="shared" si="384"/>
        <v>44225</v>
      </c>
      <c r="KJ72" s="58">
        <f t="shared" si="384"/>
        <v>44226</v>
      </c>
      <c r="KK72" s="57">
        <f t="shared" si="384"/>
        <v>44227</v>
      </c>
      <c r="KL72" s="58">
        <f t="shared" si="384"/>
        <v>44228</v>
      </c>
      <c r="KM72" s="58">
        <f t="shared" si="384"/>
        <v>44229</v>
      </c>
      <c r="KN72" s="58">
        <f t="shared" si="384"/>
        <v>44230</v>
      </c>
      <c r="KO72" s="58">
        <f t="shared" ref="KO72:MV72" si="385">KO41</f>
        <v>44231</v>
      </c>
      <c r="KP72" s="58">
        <f t="shared" si="385"/>
        <v>44232</v>
      </c>
      <c r="KQ72" s="58">
        <f t="shared" si="385"/>
        <v>44233</v>
      </c>
      <c r="KR72" s="57">
        <f t="shared" si="385"/>
        <v>44234</v>
      </c>
      <c r="KS72" s="58">
        <f t="shared" si="385"/>
        <v>44235</v>
      </c>
      <c r="KT72" s="58">
        <f t="shared" si="385"/>
        <v>44236</v>
      </c>
      <c r="KU72" s="58">
        <f t="shared" si="385"/>
        <v>44237</v>
      </c>
      <c r="KV72" s="58">
        <f t="shared" si="385"/>
        <v>44238</v>
      </c>
      <c r="KW72" s="58">
        <f t="shared" si="385"/>
        <v>44239</v>
      </c>
      <c r="KX72" s="58">
        <f t="shared" si="385"/>
        <v>44240</v>
      </c>
      <c r="KY72" s="57">
        <f t="shared" si="385"/>
        <v>44241</v>
      </c>
      <c r="KZ72" s="58">
        <f t="shared" si="385"/>
        <v>44242</v>
      </c>
      <c r="LA72" s="58">
        <f t="shared" si="385"/>
        <v>44243</v>
      </c>
      <c r="LB72" s="58">
        <f t="shared" si="385"/>
        <v>44244</v>
      </c>
      <c r="LC72" s="58">
        <f t="shared" si="385"/>
        <v>44245</v>
      </c>
      <c r="LD72" s="58">
        <f t="shared" si="385"/>
        <v>44246</v>
      </c>
      <c r="LE72" s="58">
        <f t="shared" si="385"/>
        <v>44247</v>
      </c>
      <c r="LF72" s="57">
        <f t="shared" si="385"/>
        <v>44248</v>
      </c>
      <c r="LG72" s="58">
        <f t="shared" si="385"/>
        <v>44249</v>
      </c>
      <c r="LH72" s="58">
        <f t="shared" si="385"/>
        <v>44250</v>
      </c>
      <c r="LI72" s="58">
        <f t="shared" si="385"/>
        <v>44251</v>
      </c>
      <c r="LJ72" s="58">
        <f t="shared" si="385"/>
        <v>44252</v>
      </c>
      <c r="LK72" s="58">
        <f t="shared" si="385"/>
        <v>44253</v>
      </c>
      <c r="LL72" s="58">
        <f t="shared" si="385"/>
        <v>44254</v>
      </c>
      <c r="LM72" s="57">
        <f t="shared" si="385"/>
        <v>44255</v>
      </c>
      <c r="LN72" s="58">
        <f t="shared" si="385"/>
        <v>44256</v>
      </c>
      <c r="LO72" s="58">
        <f t="shared" si="385"/>
        <v>44257</v>
      </c>
      <c r="LP72" s="58">
        <f t="shared" si="385"/>
        <v>44258</v>
      </c>
      <c r="LQ72" s="58">
        <f t="shared" si="385"/>
        <v>44259</v>
      </c>
      <c r="LR72" s="58">
        <f t="shared" si="385"/>
        <v>44260</v>
      </c>
      <c r="LS72" s="58">
        <f t="shared" si="385"/>
        <v>44261</v>
      </c>
      <c r="LT72" s="57">
        <f t="shared" si="385"/>
        <v>44262</v>
      </c>
      <c r="LU72" s="58">
        <f t="shared" si="385"/>
        <v>44263</v>
      </c>
      <c r="LV72" s="58">
        <f t="shared" si="385"/>
        <v>44264</v>
      </c>
      <c r="LW72" s="58">
        <f t="shared" si="385"/>
        <v>44265</v>
      </c>
      <c r="LX72" s="58">
        <f t="shared" si="385"/>
        <v>44266</v>
      </c>
      <c r="LY72" s="58">
        <f t="shared" si="385"/>
        <v>44267</v>
      </c>
      <c r="LZ72" s="58">
        <f t="shared" si="385"/>
        <v>44268</v>
      </c>
      <c r="MA72" s="57">
        <f t="shared" si="385"/>
        <v>44269</v>
      </c>
      <c r="MB72" s="58">
        <f t="shared" si="385"/>
        <v>44270</v>
      </c>
      <c r="MC72" s="58">
        <f t="shared" si="385"/>
        <v>44271</v>
      </c>
      <c r="MD72" s="58">
        <f t="shared" si="385"/>
        <v>44272</v>
      </c>
      <c r="ME72" s="58">
        <f t="shared" si="385"/>
        <v>44273</v>
      </c>
      <c r="MF72" s="58">
        <f t="shared" si="385"/>
        <v>44274</v>
      </c>
      <c r="MG72" s="58">
        <f t="shared" si="385"/>
        <v>44275</v>
      </c>
      <c r="MH72" s="57">
        <f t="shared" si="385"/>
        <v>44276</v>
      </c>
      <c r="MI72" s="58">
        <f t="shared" si="385"/>
        <v>44277</v>
      </c>
      <c r="MJ72" s="58">
        <f t="shared" si="385"/>
        <v>44278</v>
      </c>
      <c r="MK72" s="58">
        <f t="shared" si="385"/>
        <v>44279</v>
      </c>
      <c r="ML72" s="58">
        <f t="shared" si="385"/>
        <v>44280</v>
      </c>
      <c r="MM72" s="58">
        <f t="shared" si="385"/>
        <v>44281</v>
      </c>
      <c r="MN72" s="58">
        <f t="shared" si="385"/>
        <v>44282</v>
      </c>
      <c r="MO72" s="57">
        <f t="shared" si="385"/>
        <v>44283</v>
      </c>
      <c r="MP72" s="58">
        <f t="shared" si="385"/>
        <v>44284</v>
      </c>
      <c r="MQ72" s="58">
        <f t="shared" si="385"/>
        <v>44285</v>
      </c>
      <c r="MR72" s="58">
        <f t="shared" si="385"/>
        <v>44286</v>
      </c>
      <c r="MS72" s="58">
        <f t="shared" si="385"/>
        <v>44287</v>
      </c>
      <c r="MT72" s="58">
        <f t="shared" si="385"/>
        <v>44288</v>
      </c>
      <c r="MU72" s="58">
        <f t="shared" si="385"/>
        <v>44289</v>
      </c>
      <c r="MV72" s="57">
        <f t="shared" si="385"/>
        <v>44290</v>
      </c>
    </row>
    <row r="73" spans="1:360" ht="15" customHeight="1" x14ac:dyDescent="0.25">
      <c r="A73" s="149"/>
      <c r="B73" s="149"/>
      <c r="C73" s="149"/>
      <c r="D73" s="149"/>
      <c r="E73" s="150"/>
      <c r="F73" s="28"/>
      <c r="G73" s="28"/>
      <c r="H73" s="28"/>
      <c r="I73" s="28"/>
      <c r="J73" s="28"/>
      <c r="K73" s="28"/>
      <c r="L73" s="28"/>
      <c r="M73" s="28"/>
      <c r="N73" s="28"/>
      <c r="O73" s="27"/>
      <c r="P73" s="152"/>
      <c r="Q73" s="160"/>
      <c r="R73" s="154"/>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4"/>
      <c r="GK73" s="25"/>
      <c r="GL73" s="25" t="s">
        <v>38</v>
      </c>
      <c r="GM73" s="25"/>
      <c r="GN73" s="25" t="s">
        <v>38</v>
      </c>
      <c r="GO73" s="25"/>
      <c r="GP73" s="25"/>
      <c r="GQ73" s="24"/>
      <c r="GR73" s="25"/>
      <c r="GS73" s="25" t="s">
        <v>38</v>
      </c>
      <c r="GT73" s="25"/>
      <c r="GU73" s="25" t="s">
        <v>38</v>
      </c>
      <c r="GV73" s="25"/>
      <c r="GW73" s="25"/>
      <c r="GX73" s="24"/>
      <c r="GY73" s="25"/>
      <c r="GZ73" s="25" t="s">
        <v>38</v>
      </c>
      <c r="HA73" s="25"/>
      <c r="HB73" s="25" t="s">
        <v>38</v>
      </c>
      <c r="HC73" s="25"/>
      <c r="HD73" s="25"/>
      <c r="HE73" s="24"/>
      <c r="HF73" s="25"/>
      <c r="HG73" s="25" t="s">
        <v>38</v>
      </c>
      <c r="HH73" s="25"/>
      <c r="HI73" s="25" t="s">
        <v>38</v>
      </c>
      <c r="HJ73" s="25"/>
      <c r="HK73" s="25"/>
      <c r="HL73" s="24"/>
      <c r="HM73" s="25"/>
      <c r="HN73" s="25" t="s">
        <v>38</v>
      </c>
      <c r="HO73" s="25"/>
      <c r="HP73" s="25" t="s">
        <v>38</v>
      </c>
      <c r="HQ73" s="25"/>
      <c r="HR73" s="25"/>
      <c r="HS73" s="24"/>
      <c r="HT73" s="25"/>
      <c r="HU73" s="25" t="s">
        <v>38</v>
      </c>
      <c r="HV73" s="25"/>
      <c r="HW73" s="25" t="s">
        <v>38</v>
      </c>
      <c r="HX73" s="25"/>
      <c r="HY73" s="25"/>
      <c r="HZ73" s="24"/>
      <c r="IA73" s="25"/>
      <c r="IB73" s="25" t="s">
        <v>38</v>
      </c>
      <c r="IC73" s="25"/>
      <c r="ID73" s="25" t="s">
        <v>38</v>
      </c>
      <c r="IE73" s="25"/>
      <c r="IF73" s="25"/>
      <c r="IG73" s="24"/>
      <c r="IH73" s="25"/>
      <c r="II73" s="25" t="s">
        <v>38</v>
      </c>
      <c r="IJ73" s="25"/>
      <c r="IK73" s="25" t="s">
        <v>38</v>
      </c>
      <c r="IL73" s="25"/>
      <c r="IM73" s="25"/>
      <c r="IN73" s="24"/>
      <c r="IO73" s="25"/>
      <c r="IP73" s="25" t="s">
        <v>38</v>
      </c>
      <c r="IQ73" s="25"/>
      <c r="IR73" s="25" t="s">
        <v>38</v>
      </c>
      <c r="IS73" s="25"/>
      <c r="IT73" s="25"/>
      <c r="IU73" s="24"/>
      <c r="IV73" s="25"/>
      <c r="IW73" s="25" t="s">
        <v>38</v>
      </c>
      <c r="IX73" s="25"/>
      <c r="IY73" s="25" t="s">
        <v>38</v>
      </c>
      <c r="IZ73" s="25"/>
      <c r="JA73" s="25"/>
      <c r="JB73" s="24"/>
      <c r="JC73" s="25"/>
      <c r="JD73" s="25" t="s">
        <v>38</v>
      </c>
      <c r="JE73" s="25"/>
      <c r="JF73" s="25" t="s">
        <v>38</v>
      </c>
      <c r="JG73" s="25"/>
      <c r="JH73" s="25"/>
      <c r="JI73" s="24"/>
      <c r="JJ73" s="25"/>
      <c r="JK73" s="25" t="s">
        <v>38</v>
      </c>
      <c r="JL73" s="25"/>
      <c r="JM73" s="25" t="s">
        <v>38</v>
      </c>
      <c r="JN73" s="25"/>
      <c r="JO73" s="25"/>
      <c r="JP73" s="24"/>
      <c r="JQ73" s="25"/>
      <c r="JR73" s="25" t="s">
        <v>38</v>
      </c>
      <c r="JS73" s="25"/>
      <c r="JT73" s="25" t="s">
        <v>38</v>
      </c>
      <c r="JU73" s="25"/>
      <c r="JV73" s="25"/>
      <c r="JW73" s="24"/>
      <c r="JX73" s="25"/>
      <c r="JY73" s="25" t="s">
        <v>38</v>
      </c>
      <c r="JZ73" s="25"/>
      <c r="KA73" s="25" t="s">
        <v>38</v>
      </c>
      <c r="KB73" s="25"/>
      <c r="KC73" s="25"/>
      <c r="KD73" s="24"/>
      <c r="KE73" s="25"/>
      <c r="KF73" s="25" t="s">
        <v>38</v>
      </c>
      <c r="KG73" s="25"/>
      <c r="KH73" s="25" t="s">
        <v>38</v>
      </c>
      <c r="KI73" s="25"/>
      <c r="KJ73" s="25"/>
      <c r="KK73" s="24"/>
      <c r="KL73" s="25"/>
      <c r="KM73" s="25" t="s">
        <v>38</v>
      </c>
      <c r="KN73" s="25"/>
      <c r="KO73" s="25" t="s">
        <v>38</v>
      </c>
      <c r="KP73" s="25"/>
      <c r="KQ73" s="25"/>
      <c r="KR73" s="24"/>
      <c r="KS73" s="25"/>
      <c r="KT73" s="25" t="s">
        <v>38</v>
      </c>
      <c r="KU73" s="25"/>
      <c r="KV73" s="25" t="s">
        <v>38</v>
      </c>
      <c r="KW73" s="25"/>
      <c r="KX73" s="25"/>
      <c r="KY73" s="24"/>
      <c r="KZ73" s="25"/>
      <c r="LA73" s="25" t="s">
        <v>38</v>
      </c>
      <c r="LB73" s="25"/>
      <c r="LC73" s="25" t="s">
        <v>38</v>
      </c>
      <c r="LD73" s="25"/>
      <c r="LE73" s="25"/>
      <c r="LF73" s="24"/>
      <c r="LG73" s="25"/>
      <c r="LH73" s="25" t="s">
        <v>38</v>
      </c>
      <c r="LI73" s="25"/>
      <c r="LJ73" s="25" t="s">
        <v>38</v>
      </c>
      <c r="LK73" s="25"/>
      <c r="LL73" s="25"/>
      <c r="LM73" s="24"/>
      <c r="LN73" s="25"/>
      <c r="LO73" s="25" t="s">
        <v>38</v>
      </c>
      <c r="LP73" s="25"/>
      <c r="LQ73" s="25" t="s">
        <v>38</v>
      </c>
      <c r="LR73" s="25"/>
      <c r="LS73" s="25"/>
      <c r="LT73" s="26"/>
      <c r="LU73" s="25"/>
      <c r="LV73" s="25" t="s">
        <v>38</v>
      </c>
      <c r="LW73" s="25"/>
      <c r="LX73" s="25" t="s">
        <v>38</v>
      </c>
      <c r="LY73" s="25"/>
      <c r="LZ73" s="25"/>
      <c r="MA73" s="24"/>
      <c r="MB73" s="25"/>
      <c r="MC73" s="25"/>
      <c r="MD73" s="25"/>
      <c r="ME73" s="25"/>
      <c r="MF73" s="25"/>
      <c r="MG73" s="25"/>
      <c r="MH73" s="24"/>
      <c r="MI73" s="25"/>
      <c r="MJ73" s="25"/>
      <c r="MK73" s="25"/>
      <c r="ML73" s="25"/>
      <c r="MM73" s="25"/>
      <c r="MN73" s="25"/>
      <c r="MO73" s="24"/>
      <c r="MP73" s="25"/>
      <c r="MQ73" s="25"/>
      <c r="MR73" s="25"/>
      <c r="MS73" s="25"/>
      <c r="MT73" s="25"/>
      <c r="MU73" s="25"/>
      <c r="MV73" s="24"/>
    </row>
    <row r="74" spans="1:360" x14ac:dyDescent="0.25">
      <c r="A74" s="23" t="s">
        <v>16</v>
      </c>
      <c r="B74" s="20"/>
      <c r="C74" s="20"/>
      <c r="D74" s="20"/>
      <c r="E74" s="20"/>
      <c r="F74" s="22" t="str">
        <f t="shared" ref="F74:F79" si="386">IF($E74 &gt;= F$44, 1, "")</f>
        <v/>
      </c>
      <c r="G74" s="20"/>
      <c r="H74" s="20"/>
      <c r="I74" s="20" t="str">
        <f t="shared" ref="I74:L75" si="387">IF($E74 &gt;= I$44, 1, "")</f>
        <v/>
      </c>
      <c r="J74" s="20" t="str">
        <f t="shared" si="387"/>
        <v/>
      </c>
      <c r="K74" s="20" t="str">
        <f t="shared" si="387"/>
        <v/>
      </c>
      <c r="L74" s="20" t="str">
        <f t="shared" si="387"/>
        <v/>
      </c>
      <c r="M74" s="20"/>
      <c r="N74" s="20"/>
      <c r="O74" s="21"/>
      <c r="P74" s="20" t="str">
        <f t="shared" ref="P74:P79" si="388">IF(SUM(S74:MV74) &gt; 0, SUM(S74:MV74), "")</f>
        <v/>
      </c>
      <c r="Q74" s="114"/>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1"/>
      <c r="GK74" s="20"/>
      <c r="GL74" s="20"/>
      <c r="GM74" s="20"/>
      <c r="GN74" s="20"/>
      <c r="GO74" s="20"/>
      <c r="GP74" s="20"/>
      <c r="GQ74" s="21"/>
      <c r="GR74" s="20"/>
      <c r="GS74" s="20"/>
      <c r="GT74" s="20"/>
      <c r="GU74" s="20"/>
      <c r="GV74" s="20"/>
      <c r="GW74" s="20"/>
      <c r="GX74" s="21"/>
      <c r="GY74" s="20"/>
      <c r="GZ74" s="20"/>
      <c r="HA74" s="20"/>
      <c r="HB74" s="20"/>
      <c r="HC74" s="20"/>
      <c r="HD74" s="20"/>
      <c r="HE74" s="21"/>
      <c r="HF74" s="20"/>
      <c r="HG74" s="20"/>
      <c r="HH74" s="20"/>
      <c r="HI74" s="20"/>
      <c r="HJ74" s="20"/>
      <c r="HK74" s="20"/>
      <c r="HL74" s="21"/>
      <c r="HM74" s="20"/>
      <c r="HN74" s="20"/>
      <c r="HO74" s="20"/>
      <c r="HP74" s="20"/>
      <c r="HQ74" s="20"/>
      <c r="HR74" s="20"/>
      <c r="HS74" s="21"/>
      <c r="HT74" s="20"/>
      <c r="HU74" s="20"/>
      <c r="HV74" s="20"/>
      <c r="HW74" s="20"/>
      <c r="HX74" s="20"/>
      <c r="HY74" s="20"/>
      <c r="HZ74" s="21"/>
      <c r="IA74" s="20"/>
      <c r="IB74" s="20"/>
      <c r="IC74" s="20"/>
      <c r="ID74" s="20"/>
      <c r="IE74" s="20"/>
      <c r="IF74" s="20"/>
      <c r="IG74" s="21"/>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row>
    <row r="75" spans="1:360" ht="7.5" customHeight="1" x14ac:dyDescent="0.25">
      <c r="A75" s="8"/>
      <c r="B75" s="8"/>
      <c r="C75" s="8"/>
      <c r="D75" s="8"/>
      <c r="E75" s="8"/>
      <c r="F75" s="10" t="str">
        <f t="shared" si="386"/>
        <v/>
      </c>
      <c r="G75" s="19"/>
      <c r="H75" s="19"/>
      <c r="I75" s="19" t="str">
        <f t="shared" si="387"/>
        <v/>
      </c>
      <c r="J75" s="19" t="str">
        <f t="shared" si="387"/>
        <v/>
      </c>
      <c r="K75" s="19" t="str">
        <f t="shared" si="387"/>
        <v/>
      </c>
      <c r="L75" s="19" t="str">
        <f t="shared" si="387"/>
        <v/>
      </c>
      <c r="M75" s="8"/>
      <c r="N75" s="8"/>
      <c r="O75" s="9"/>
      <c r="P75" s="8" t="str">
        <f t="shared" si="388"/>
        <v/>
      </c>
      <c r="Q75" s="109" t="str">
        <f t="shared" ref="Q75:Q80" si="38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J75" s="7"/>
      <c r="GQ75" s="7"/>
      <c r="GX75" s="7"/>
      <c r="HE75" s="7"/>
      <c r="HL75" s="7"/>
      <c r="HS75" s="7"/>
      <c r="HZ75" s="7"/>
      <c r="IG75" s="7"/>
      <c r="IN75" s="7"/>
      <c r="IU75" s="7"/>
      <c r="JB75" s="7"/>
      <c r="JI75" s="7"/>
      <c r="JP75" s="7"/>
      <c r="JW75" s="7"/>
      <c r="KD75" s="7"/>
      <c r="KK75" s="7"/>
      <c r="KR75" s="7"/>
      <c r="KY75" s="7"/>
      <c r="LF75" s="7"/>
      <c r="LM75" s="7"/>
      <c r="LT75" s="7"/>
      <c r="MA75" s="7"/>
      <c r="MH75" s="7"/>
      <c r="MO75" s="7"/>
      <c r="MV75" s="7"/>
    </row>
    <row r="76" spans="1:360" hidden="1" x14ac:dyDescent="0.25">
      <c r="A76" s="8" t="s">
        <v>37</v>
      </c>
      <c r="B76" s="8"/>
      <c r="C76" s="8" t="s">
        <v>36</v>
      </c>
      <c r="D76" s="8" t="s">
        <v>35</v>
      </c>
      <c r="E76" s="18">
        <v>39448</v>
      </c>
      <c r="F76" s="10">
        <f t="shared" si="386"/>
        <v>1</v>
      </c>
      <c r="G76" s="19">
        <f t="shared" ref="G76:H79" si="390">IF($E76 &gt;= G$44, 1, "")</f>
        <v>1</v>
      </c>
      <c r="H76" s="19">
        <f t="shared" si="390"/>
        <v>1</v>
      </c>
      <c r="I76" s="8">
        <f t="shared" ref="I76:L79" si="391">IF($E76 &gt;= I$44, 1, "")</f>
        <v>1</v>
      </c>
      <c r="J76" s="8">
        <f t="shared" si="391"/>
        <v>1</v>
      </c>
      <c r="K76" s="8" t="str">
        <f t="shared" si="391"/>
        <v/>
      </c>
      <c r="L76" s="8" t="str">
        <f t="shared" si="391"/>
        <v/>
      </c>
      <c r="M76" s="8"/>
      <c r="N76" s="8"/>
      <c r="O76" s="9"/>
      <c r="P76" s="8">
        <f t="shared" si="388"/>
        <v>8</v>
      </c>
      <c r="Q76" s="109">
        <f t="shared" si="389"/>
        <v>23.52941176470588</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J76" s="7"/>
      <c r="GQ76" s="7"/>
      <c r="GX76" s="7"/>
      <c r="HE76" s="7"/>
      <c r="HL76" s="7"/>
      <c r="HS76" s="7"/>
      <c r="HZ76" s="7"/>
      <c r="IG76" s="7"/>
      <c r="IN76" s="7"/>
      <c r="IU76" s="7"/>
      <c r="JB76" s="7"/>
      <c r="JI76" s="7"/>
      <c r="JP76" s="7"/>
      <c r="JW76" s="7"/>
      <c r="KD76" s="7"/>
      <c r="KK76" s="7"/>
      <c r="KR76" s="7"/>
      <c r="KY76" s="7"/>
      <c r="LF76" s="7"/>
      <c r="LM76" s="7"/>
      <c r="LT76" s="7"/>
      <c r="MA76" s="7"/>
      <c r="MH76" s="7"/>
      <c r="MO76" s="7"/>
      <c r="MV76" s="7"/>
    </row>
    <row r="77" spans="1:360" x14ac:dyDescent="0.25">
      <c r="A77" s="8" t="s">
        <v>34</v>
      </c>
      <c r="B77" s="8"/>
      <c r="C77" s="8" t="s">
        <v>33</v>
      </c>
      <c r="D77" s="8" t="s">
        <v>32</v>
      </c>
      <c r="E77" s="18">
        <v>39649</v>
      </c>
      <c r="F77" s="10">
        <f t="shared" si="386"/>
        <v>1</v>
      </c>
      <c r="G77" s="19">
        <f t="shared" si="390"/>
        <v>1</v>
      </c>
      <c r="H77" s="19">
        <f t="shared" si="390"/>
        <v>1</v>
      </c>
      <c r="I77" s="8">
        <f t="shared" si="391"/>
        <v>1</v>
      </c>
      <c r="J77" s="8">
        <f t="shared" si="391"/>
        <v>1</v>
      </c>
      <c r="K77" s="8" t="str">
        <f t="shared" si="391"/>
        <v/>
      </c>
      <c r="L77" s="8" t="str">
        <f t="shared" si="391"/>
        <v/>
      </c>
      <c r="M77" s="8"/>
      <c r="N77" s="8"/>
      <c r="O77" s="9"/>
      <c r="P77" s="8">
        <f t="shared" si="388"/>
        <v>1</v>
      </c>
      <c r="Q77" s="109">
        <f t="shared" si="389"/>
        <v>2.9411764705882351</v>
      </c>
      <c r="R77" s="84"/>
      <c r="S77" s="7"/>
      <c r="Z77" s="7"/>
      <c r="AG77" s="7"/>
      <c r="AN77" s="7"/>
      <c r="AU77" s="7"/>
      <c r="BB77" s="7"/>
      <c r="BI77" s="7"/>
      <c r="BP77" s="7"/>
      <c r="BY77" s="7"/>
      <c r="CH77" s="7"/>
      <c r="CQ77" s="7"/>
      <c r="CZ77" s="7"/>
      <c r="DI77" s="7"/>
      <c r="DR77" s="7"/>
      <c r="EA77" s="7"/>
      <c r="EE77">
        <v>1</v>
      </c>
      <c r="EJ77" s="7"/>
      <c r="ES77" s="7"/>
      <c r="FB77" s="7"/>
      <c r="FK77" s="7"/>
      <c r="FT77" s="7"/>
      <c r="GC77" s="7"/>
      <c r="GJ77" s="7"/>
      <c r="GQ77" s="7"/>
      <c r="GX77" s="7"/>
      <c r="HE77" s="7"/>
      <c r="HL77" s="7"/>
      <c r="HS77" s="7"/>
      <c r="HZ77" s="7"/>
      <c r="IG77" s="7"/>
      <c r="IN77" s="7"/>
      <c r="IU77" s="7"/>
      <c r="JB77" s="7"/>
      <c r="JI77" s="7"/>
      <c r="JP77" s="7"/>
      <c r="JW77" s="7"/>
      <c r="KD77" s="7"/>
      <c r="KK77" s="7"/>
      <c r="KR77" s="7"/>
      <c r="KY77" s="7"/>
      <c r="LF77" s="7"/>
      <c r="LM77" s="7"/>
      <c r="LT77" s="7"/>
      <c r="MA77" s="7"/>
      <c r="MH77" s="7"/>
      <c r="MO77" s="7"/>
      <c r="MV77" s="7"/>
    </row>
    <row r="78" spans="1:360" x14ac:dyDescent="0.25">
      <c r="A78" s="8" t="s">
        <v>31</v>
      </c>
      <c r="B78" s="8"/>
      <c r="C78" s="8" t="s">
        <v>30</v>
      </c>
      <c r="D78" s="8" t="s">
        <v>29</v>
      </c>
      <c r="E78" s="18">
        <v>39453</v>
      </c>
      <c r="F78" s="10">
        <f t="shared" si="386"/>
        <v>1</v>
      </c>
      <c r="G78" s="19">
        <f t="shared" si="390"/>
        <v>1</v>
      </c>
      <c r="H78" s="19">
        <f t="shared" si="390"/>
        <v>1</v>
      </c>
      <c r="I78" s="8">
        <f t="shared" si="391"/>
        <v>1</v>
      </c>
      <c r="J78" s="8">
        <f t="shared" si="391"/>
        <v>1</v>
      </c>
      <c r="K78" s="8" t="str">
        <f t="shared" si="391"/>
        <v/>
      </c>
      <c r="L78" s="8" t="str">
        <f t="shared" si="391"/>
        <v/>
      </c>
      <c r="M78" s="8"/>
      <c r="N78" s="8"/>
      <c r="O78" s="9"/>
      <c r="P78" s="8">
        <f t="shared" si="388"/>
        <v>26</v>
      </c>
      <c r="Q78" s="109">
        <f t="shared" si="389"/>
        <v>76.470588235294116</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GC78" s="7"/>
      <c r="GJ78" s="7"/>
      <c r="GQ78" s="7"/>
      <c r="GX78" s="7"/>
      <c r="HE78" s="7"/>
      <c r="HL78" s="7"/>
      <c r="HS78" s="7"/>
      <c r="HZ78" s="7"/>
      <c r="IG78" s="7"/>
      <c r="IN78" s="7"/>
      <c r="IU78" s="7"/>
      <c r="JB78" s="7"/>
      <c r="JI78" s="7"/>
      <c r="JP78" s="7"/>
      <c r="JW78" s="7"/>
      <c r="KD78" s="7"/>
      <c r="KK78" s="7"/>
      <c r="KR78" s="7"/>
      <c r="KY78" s="7"/>
      <c r="LF78" s="7"/>
      <c r="LM78" s="7"/>
      <c r="LT78" s="7"/>
      <c r="MA78" s="7"/>
      <c r="MH78" s="7"/>
      <c r="MO78" s="7"/>
      <c r="MV78" s="7"/>
    </row>
    <row r="79" spans="1:360" x14ac:dyDescent="0.25">
      <c r="A79" s="8" t="s">
        <v>28</v>
      </c>
      <c r="B79" s="8"/>
      <c r="C79" s="8" t="s">
        <v>27</v>
      </c>
      <c r="D79" s="8" t="s">
        <v>26</v>
      </c>
      <c r="E79" s="18">
        <v>39802</v>
      </c>
      <c r="F79" s="10">
        <f t="shared" si="386"/>
        <v>1</v>
      </c>
      <c r="G79" s="19">
        <f t="shared" si="390"/>
        <v>1</v>
      </c>
      <c r="H79" s="19">
        <f t="shared" si="390"/>
        <v>1</v>
      </c>
      <c r="I79" s="8">
        <f t="shared" si="391"/>
        <v>1</v>
      </c>
      <c r="J79" s="8">
        <f t="shared" si="391"/>
        <v>1</v>
      </c>
      <c r="K79" s="8" t="str">
        <f t="shared" si="391"/>
        <v/>
      </c>
      <c r="L79" s="8" t="str">
        <f t="shared" si="391"/>
        <v/>
      </c>
      <c r="M79" s="8"/>
      <c r="N79" s="8"/>
      <c r="O79" s="9"/>
      <c r="P79" s="8">
        <f t="shared" si="388"/>
        <v>10</v>
      </c>
      <c r="Q79" s="109">
        <f t="shared" si="389"/>
        <v>29.411764705882355</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GC79" s="7"/>
      <c r="GJ79" s="7"/>
      <c r="GQ79" s="7"/>
      <c r="GX79" s="7"/>
      <c r="HE79" s="7"/>
      <c r="HL79" s="7"/>
      <c r="HS79" s="7"/>
      <c r="HZ79" s="7"/>
      <c r="IG79" s="7"/>
      <c r="IN79" s="7"/>
      <c r="IU79" s="7"/>
      <c r="JB79" s="7"/>
      <c r="JI79" s="7"/>
      <c r="JP79" s="7"/>
      <c r="JW79" s="7"/>
      <c r="KD79" s="7"/>
      <c r="KK79" s="7"/>
      <c r="KR79" s="7"/>
      <c r="KY79" s="7"/>
      <c r="LF79" s="7"/>
      <c r="LM79" s="7"/>
      <c r="LT79" s="7"/>
      <c r="MA79" s="7"/>
      <c r="MH79" s="7"/>
      <c r="MO79" s="7"/>
      <c r="MV79" s="7"/>
    </row>
    <row r="80" spans="1:360" ht="7.5" customHeight="1" x14ac:dyDescent="0.25">
      <c r="A80" s="8"/>
      <c r="B80" s="8"/>
      <c r="C80" s="8"/>
      <c r="D80" s="8"/>
      <c r="E80" s="8"/>
      <c r="F80" s="10"/>
      <c r="G80" s="19"/>
      <c r="H80" s="19"/>
      <c r="I80" s="8"/>
      <c r="J80" s="8"/>
      <c r="K80" s="8"/>
      <c r="L80" s="8"/>
      <c r="M80" s="8"/>
      <c r="N80" s="8"/>
      <c r="O80" s="9"/>
      <c r="P80" s="8" t="str">
        <f>IF(SUM(R80:MV80) &gt; 0, SUM(R80:MV80), "")</f>
        <v/>
      </c>
      <c r="Q80" s="109" t="str">
        <f t="shared" si="389"/>
        <v/>
      </c>
      <c r="R80" s="84"/>
      <c r="S80" s="7"/>
      <c r="Z80" s="7"/>
      <c r="AG80" s="7"/>
      <c r="AN80" s="7"/>
      <c r="AU80" s="7"/>
      <c r="BB80" s="7"/>
      <c r="BI80" s="7"/>
      <c r="BP80" s="7"/>
      <c r="BY80" s="7"/>
      <c r="CH80" s="7"/>
      <c r="CQ80" s="7"/>
      <c r="CZ80" s="7"/>
      <c r="DI80" s="7"/>
      <c r="DR80" s="7"/>
      <c r="EA80" s="7"/>
      <c r="EJ80" s="7"/>
      <c r="ES80" s="7"/>
      <c r="FB80" s="7"/>
      <c r="FK80" s="7"/>
      <c r="FT80" s="7"/>
      <c r="GC80" s="7"/>
      <c r="GJ80" s="7"/>
      <c r="GQ80" s="7"/>
      <c r="GX80" s="7"/>
      <c r="HE80" s="7"/>
      <c r="HL80" s="7"/>
      <c r="HS80" s="7"/>
      <c r="HZ80" s="7"/>
      <c r="IG80" s="7"/>
      <c r="IN80" s="7"/>
      <c r="IU80" s="7"/>
      <c r="JB80" s="7"/>
      <c r="JI80" s="7"/>
      <c r="JP80" s="7"/>
      <c r="JW80" s="7"/>
      <c r="KD80" s="7"/>
      <c r="KK80" s="7"/>
      <c r="KR80" s="7"/>
      <c r="KY80" s="7"/>
      <c r="LF80" s="7"/>
      <c r="LM80" s="7"/>
      <c r="LT80" s="7"/>
      <c r="MA80" s="7"/>
      <c r="MH80" s="7"/>
      <c r="MO80" s="7"/>
      <c r="MV80" s="7"/>
    </row>
    <row r="81" spans="1:360" ht="15" customHeight="1" thickBot="1" x14ac:dyDescent="0.3">
      <c r="A81" s="20" t="s">
        <v>18</v>
      </c>
      <c r="B81" s="20"/>
      <c r="C81" s="20"/>
      <c r="D81" s="20"/>
      <c r="E81" s="21"/>
      <c r="F81" s="20"/>
      <c r="G81" s="20"/>
      <c r="H81" s="20"/>
      <c r="I81" s="20"/>
      <c r="J81" s="20"/>
      <c r="K81" s="20"/>
      <c r="L81" s="20"/>
      <c r="M81" s="20"/>
      <c r="N81" s="20"/>
      <c r="O81" s="21"/>
      <c r="P81" s="60">
        <f>SUM(S81:MV81)</f>
        <v>34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c r="FZ81" s="20"/>
      <c r="GA81" s="20"/>
      <c r="GB81" s="20"/>
      <c r="GC81" s="21"/>
      <c r="GD81" s="20"/>
      <c r="GE81" s="20"/>
      <c r="GF81" s="20"/>
      <c r="GG81" s="20"/>
      <c r="GH81" s="20"/>
      <c r="GI81" s="20"/>
      <c r="GJ81" s="21"/>
      <c r="GK81" s="20"/>
      <c r="GL81" s="20"/>
      <c r="GM81" s="20"/>
      <c r="GN81" s="20"/>
      <c r="GO81" s="20"/>
      <c r="GP81" s="20"/>
      <c r="GQ81" s="21"/>
      <c r="GR81" s="20"/>
      <c r="GS81" s="20"/>
      <c r="GT81" s="20"/>
      <c r="GU81" s="20"/>
      <c r="GV81" s="20"/>
      <c r="GW81" s="20"/>
      <c r="GX81" s="21"/>
      <c r="GY81" s="20"/>
      <c r="GZ81" s="20"/>
      <c r="HA81" s="20"/>
      <c r="HB81" s="20"/>
      <c r="HC81" s="20"/>
      <c r="HD81" s="20"/>
      <c r="HE81" s="21"/>
      <c r="HF81" s="20"/>
      <c r="HG81" s="20"/>
      <c r="HH81" s="20"/>
      <c r="HI81" s="20"/>
      <c r="HJ81" s="20"/>
      <c r="HK81" s="20"/>
      <c r="HL81" s="21"/>
      <c r="HM81" s="20"/>
      <c r="HN81" s="20"/>
      <c r="HO81" s="20"/>
      <c r="HP81" s="20"/>
      <c r="HQ81" s="20"/>
      <c r="HR81" s="20"/>
      <c r="HS81" s="21"/>
      <c r="HT81" s="20"/>
      <c r="HU81" s="20"/>
      <c r="HV81" s="20"/>
      <c r="HW81" s="20"/>
      <c r="HX81" s="20"/>
      <c r="HY81" s="20"/>
      <c r="HZ81" s="21"/>
      <c r="IA81" s="20"/>
      <c r="IB81" s="20"/>
      <c r="IC81" s="20"/>
      <c r="ID81" s="20"/>
      <c r="IE81" s="20"/>
      <c r="IF81" s="20"/>
      <c r="IG81" s="21"/>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row>
    <row r="82" spans="1:360" ht="15.75" thickBot="1" x14ac:dyDescent="0.3">
      <c r="A82" s="64" t="s">
        <v>248</v>
      </c>
      <c r="B82" s="62"/>
      <c r="C82" s="62"/>
      <c r="D82" s="62"/>
      <c r="E82" s="63"/>
      <c r="F82" s="62"/>
      <c r="G82" s="62"/>
      <c r="H82" s="62"/>
      <c r="I82" s="62"/>
      <c r="J82" s="62"/>
      <c r="K82" s="62"/>
      <c r="L82" s="62"/>
      <c r="M82" s="62"/>
      <c r="N82" s="62"/>
      <c r="O82" s="63"/>
      <c r="P82" s="85">
        <f>VisibleSum(P76:P79)</f>
        <v>12</v>
      </c>
      <c r="Q82" s="62">
        <f>P82 / P81 * 100</f>
        <v>35.294117647058826</v>
      </c>
      <c r="R82" s="86"/>
      <c r="S82" s="63" t="str">
        <f>IF(SUM(S45:S68, S76:S79) &gt; 0, SUM(S45:S68, S76:S79), "")</f>
        <v/>
      </c>
      <c r="T82" s="62" t="str">
        <f t="shared" ref="T82:U82" si="392">IF(SUM(T75:T80) &gt; 0, SUM(T75:T80), "")</f>
        <v/>
      </c>
      <c r="U82" s="62" t="str">
        <f t="shared" si="392"/>
        <v/>
      </c>
      <c r="V82" s="62" t="str">
        <f t="shared" ref="V82" si="393">IF(SUM(V75:V80) &gt; 0, SUM(V75:V80), "")</f>
        <v/>
      </c>
      <c r="W82" s="62" t="str">
        <f t="shared" ref="W82" si="394">IF(SUM(W75:W80) &gt; 0, SUM(W75:W80), "")</f>
        <v/>
      </c>
      <c r="X82" s="62" t="str">
        <f t="shared" ref="X82" si="395">IF(SUM(X75:X80) &gt; 0, SUM(X75:X80), "")</f>
        <v/>
      </c>
      <c r="Y82" s="62" t="str">
        <f t="shared" ref="Y82" si="396">IF(SUM(Y75:Y80) &gt; 0, SUM(Y75:Y80), "")</f>
        <v/>
      </c>
      <c r="Z82" s="63" t="str">
        <f t="shared" ref="Z82:AB82" si="397">IF(SUM(Z75:Z80) &gt; 0, SUM(Z75:Z80), "")</f>
        <v/>
      </c>
      <c r="AA82" s="62" t="str">
        <f t="shared" si="397"/>
        <v/>
      </c>
      <c r="AB82" s="62" t="str">
        <f t="shared" si="397"/>
        <v/>
      </c>
      <c r="AC82" s="62" t="str">
        <f t="shared" ref="AC82" si="398">IF(SUM(AC75:AC80) &gt; 0, SUM(AC75:AC80), "")</f>
        <v/>
      </c>
      <c r="AD82" s="62" t="str">
        <f t="shared" ref="AD82" si="399">IF(SUM(AD75:AD80) &gt; 0, SUM(AD75:AD80), "")</f>
        <v/>
      </c>
      <c r="AE82" s="62" t="str">
        <f t="shared" ref="AE82" si="400">IF(SUM(AE75:AE80) &gt; 0, SUM(AE75:AE80), "")</f>
        <v/>
      </c>
      <c r="AF82" s="62" t="str">
        <f t="shared" ref="AF82" si="401">IF(SUM(AF75:AF80) &gt; 0, SUM(AF75:AF80), "")</f>
        <v/>
      </c>
      <c r="AG82" s="63" t="str">
        <f t="shared" ref="AG82" si="402">IF(SUM(AG75:AG80) &gt; 0, SUM(AG75:AG80), "")</f>
        <v/>
      </c>
      <c r="AH82" s="62" t="str">
        <f>IF(SUM(AH75:AH80) &gt; 0, SUM(AH75:AH80), "")</f>
        <v/>
      </c>
      <c r="AI82" s="62" t="str">
        <f>IF(SUM(AI75:AI80) &gt; 0, SUM(AI75:AI80), "")</f>
        <v/>
      </c>
      <c r="AJ82" s="62" t="str">
        <f t="shared" ref="AJ82:AN82" si="403">IF(SUM(AJ75:AJ80) &gt; 0, SUM(AJ75:AJ80), "")</f>
        <v/>
      </c>
      <c r="AK82" s="62">
        <f t="shared" si="403"/>
        <v>3</v>
      </c>
      <c r="AL82" s="62" t="str">
        <f t="shared" si="403"/>
        <v/>
      </c>
      <c r="AM82" s="62" t="str">
        <f t="shared" si="403"/>
        <v/>
      </c>
      <c r="AN82" s="63" t="str">
        <f t="shared" si="403"/>
        <v/>
      </c>
      <c r="AO82" s="62" t="str">
        <f>IF(SUM(AO75:AO80) &gt; 0, SUM(AO75:AO80), "")</f>
        <v/>
      </c>
      <c r="AP82" s="62">
        <f>IF(SUM(AP75:AP80) &gt; 0, SUM(AP75:AP80), "")</f>
        <v>2</v>
      </c>
      <c r="AQ82" s="62" t="str">
        <f t="shared" ref="AQ82" si="404">IF(SUM(AQ75:AQ80) &gt; 0, SUM(AQ75:AQ80), "")</f>
        <v/>
      </c>
      <c r="AR82" s="62">
        <f t="shared" ref="AR82" si="405">IF(SUM(AR75:AR80) &gt; 0, SUM(AR75:AR80), "")</f>
        <v>1</v>
      </c>
      <c r="AS82" s="62" t="str">
        <f t="shared" ref="AS82" si="406">IF(SUM(AS75:AS80) &gt; 0, SUM(AS75:AS80), "")</f>
        <v/>
      </c>
      <c r="AT82" s="62" t="str">
        <f t="shared" ref="AT82" si="407">IF(SUM(AT75:AT80) &gt; 0, SUM(AT75:AT80), "")</f>
        <v/>
      </c>
      <c r="AU82" s="63" t="str">
        <f t="shared" ref="AU82" si="408">IF(SUM(AU75:AU80) &gt; 0, SUM(AU75:AU80), "")</f>
        <v/>
      </c>
      <c r="AV82" s="62" t="str">
        <f>IF(SUM(AV75:AV80) &gt; 0, SUM(AV75:AV80), "")</f>
        <v/>
      </c>
      <c r="AW82" s="62">
        <f>IF(SUM(AW75:AW80) &gt; 0, SUM(AW75:AW80), "")</f>
        <v>2</v>
      </c>
      <c r="AX82" s="62" t="str">
        <f t="shared" ref="AX82" si="409">IF(SUM(AX75:AX80) &gt; 0, SUM(AX75:AX80), "")</f>
        <v/>
      </c>
      <c r="AY82" s="62">
        <f t="shared" ref="AY82" si="410">IF(SUM(AY75:AY80) &gt; 0, SUM(AY75:AY80), "")</f>
        <v>1</v>
      </c>
      <c r="AZ82" s="62" t="str">
        <f t="shared" ref="AZ82" si="411">IF(SUM(AZ75:AZ80) &gt; 0, SUM(AZ75:AZ80), "")</f>
        <v/>
      </c>
      <c r="BA82" s="62" t="str">
        <f t="shared" ref="BA82" si="412">IF(SUM(BA75:BA80) &gt; 0, SUM(BA75:BA80), "")</f>
        <v/>
      </c>
      <c r="BB82" s="63" t="str">
        <f t="shared" ref="BB82" si="413">IF(SUM(BB75:BB80) &gt; 0, SUM(BB75:BB80), "")</f>
        <v/>
      </c>
      <c r="BC82" s="62" t="str">
        <f>IF(SUM(BC75:BC80) &gt; 0, SUM(BC75:BC80), "")</f>
        <v/>
      </c>
      <c r="BD82" s="62">
        <f>IF(SUM(BD75:BD80) &gt; 0, SUM(BD75:BD80), "")</f>
        <v>3</v>
      </c>
      <c r="BE82" s="62" t="str">
        <f t="shared" ref="BE82:ED82" si="414">IF(SUM(BE75:BE80) &gt; 0, SUM(BE75:BE80), "")</f>
        <v/>
      </c>
      <c r="BF82" s="62">
        <f t="shared" si="414"/>
        <v>2</v>
      </c>
      <c r="BG82" s="62" t="str">
        <f t="shared" si="414"/>
        <v/>
      </c>
      <c r="BH82" s="62" t="str">
        <f t="shared" si="414"/>
        <v/>
      </c>
      <c r="BI82" s="63" t="str">
        <f t="shared" si="414"/>
        <v/>
      </c>
      <c r="BJ82" s="62" t="str">
        <f t="shared" si="414"/>
        <v/>
      </c>
      <c r="BK82" s="62">
        <f t="shared" si="414"/>
        <v>2</v>
      </c>
      <c r="BL82" s="62" t="str">
        <f t="shared" si="414"/>
        <v/>
      </c>
      <c r="BM82" s="62">
        <f t="shared" si="414"/>
        <v>3</v>
      </c>
      <c r="BN82" s="62">
        <f t="shared" si="414"/>
        <v>2</v>
      </c>
      <c r="BO82" s="62" t="str">
        <f t="shared" si="414"/>
        <v/>
      </c>
      <c r="BP82" s="63">
        <f t="shared" si="414"/>
        <v>1</v>
      </c>
      <c r="BQ82" s="62" t="str">
        <f t="shared" si="414"/>
        <v/>
      </c>
      <c r="BR82" s="62" t="str">
        <f t="shared" si="414"/>
        <v/>
      </c>
      <c r="BS82" s="62" t="str">
        <f t="shared" si="414"/>
        <v/>
      </c>
      <c r="BT82" s="62" t="str">
        <f t="shared" si="414"/>
        <v/>
      </c>
      <c r="BU82" s="62" t="str">
        <f t="shared" si="414"/>
        <v/>
      </c>
      <c r="BV82" s="62" t="str">
        <f t="shared" si="414"/>
        <v/>
      </c>
      <c r="BW82" s="62">
        <f t="shared" ref="BW82" si="415">IF(SUM(BW75:BW80) &gt; 0, SUM(BW75:BW80), "")</f>
        <v>2</v>
      </c>
      <c r="BX82" s="62"/>
      <c r="BY82" s="63" t="str">
        <f t="shared" si="414"/>
        <v/>
      </c>
      <c r="BZ82" s="62" t="str">
        <f t="shared" si="414"/>
        <v/>
      </c>
      <c r="CA82" s="62" t="str">
        <f t="shared" si="414"/>
        <v/>
      </c>
      <c r="CB82" s="62" t="str">
        <f t="shared" si="414"/>
        <v/>
      </c>
      <c r="CC82" s="62" t="str">
        <f t="shared" si="414"/>
        <v/>
      </c>
      <c r="CD82" s="62" t="str">
        <f t="shared" si="414"/>
        <v/>
      </c>
      <c r="CE82" s="62" t="str">
        <f t="shared" si="414"/>
        <v/>
      </c>
      <c r="CF82" s="62"/>
      <c r="CG82" s="62"/>
      <c r="CH82" s="63" t="str">
        <f t="shared" si="414"/>
        <v/>
      </c>
      <c r="CI82" s="62" t="str">
        <f t="shared" si="414"/>
        <v/>
      </c>
      <c r="CJ82" s="62" t="str">
        <f t="shared" si="414"/>
        <v/>
      </c>
      <c r="CK82" s="62" t="str">
        <f t="shared" si="414"/>
        <v/>
      </c>
      <c r="CL82" s="62" t="str">
        <f t="shared" si="414"/>
        <v/>
      </c>
      <c r="CM82" s="62" t="str">
        <f t="shared" si="414"/>
        <v/>
      </c>
      <c r="CN82" s="62" t="str">
        <f t="shared" si="414"/>
        <v/>
      </c>
      <c r="CO82" s="62" t="str">
        <f t="shared" ref="CO82" si="416">IF(SUM(CO75:CO80) &gt; 0, SUM(CO75:CO80), "")</f>
        <v/>
      </c>
      <c r="CP82" s="62"/>
      <c r="CQ82" s="63" t="str">
        <f t="shared" si="414"/>
        <v/>
      </c>
      <c r="CR82" s="62" t="str">
        <f t="shared" si="414"/>
        <v/>
      </c>
      <c r="CS82" s="62" t="str">
        <f t="shared" si="414"/>
        <v/>
      </c>
      <c r="CT82" s="62" t="str">
        <f t="shared" si="414"/>
        <v/>
      </c>
      <c r="CU82" s="62" t="str">
        <f t="shared" si="414"/>
        <v/>
      </c>
      <c r="CV82" s="62" t="str">
        <f t="shared" si="414"/>
        <v/>
      </c>
      <c r="CW82" s="62"/>
      <c r="CX82" s="62"/>
      <c r="CY82" s="62" t="str">
        <f t="shared" si="414"/>
        <v/>
      </c>
      <c r="CZ82" s="63" t="str">
        <f t="shared" si="414"/>
        <v/>
      </c>
      <c r="DA82" s="62" t="str">
        <f t="shared" si="414"/>
        <v/>
      </c>
      <c r="DB82" s="62" t="str">
        <f t="shared" si="414"/>
        <v/>
      </c>
      <c r="DC82" s="62" t="str">
        <f t="shared" si="414"/>
        <v/>
      </c>
      <c r="DD82" s="62" t="str">
        <f t="shared" si="414"/>
        <v/>
      </c>
      <c r="DE82" s="62" t="str">
        <f t="shared" si="414"/>
        <v/>
      </c>
      <c r="DF82" s="62" t="str">
        <f t="shared" si="414"/>
        <v/>
      </c>
      <c r="DG82" s="62"/>
      <c r="DH82" s="62"/>
      <c r="DI82" s="63" t="str">
        <f t="shared" si="414"/>
        <v/>
      </c>
      <c r="DJ82" s="62" t="str">
        <f t="shared" si="414"/>
        <v/>
      </c>
      <c r="DK82" s="62" t="str">
        <f t="shared" si="414"/>
        <v/>
      </c>
      <c r="DL82" s="62" t="str">
        <f t="shared" si="414"/>
        <v/>
      </c>
      <c r="DM82" s="62" t="str">
        <f t="shared" si="414"/>
        <v/>
      </c>
      <c r="DN82" s="62" t="str">
        <f t="shared" si="414"/>
        <v/>
      </c>
      <c r="DO82" s="62" t="str">
        <f t="shared" si="414"/>
        <v/>
      </c>
      <c r="DP82" s="62"/>
      <c r="DQ82" s="62"/>
      <c r="DR82" s="63" t="str">
        <f t="shared" si="414"/>
        <v/>
      </c>
      <c r="DS82" s="62" t="str">
        <f t="shared" si="414"/>
        <v/>
      </c>
      <c r="DT82" s="62">
        <f t="shared" si="414"/>
        <v>1</v>
      </c>
      <c r="DU82" s="62" t="str">
        <f t="shared" si="414"/>
        <v/>
      </c>
      <c r="DV82" s="62">
        <f t="shared" si="414"/>
        <v>2</v>
      </c>
      <c r="DW82" s="62">
        <f t="shared" si="414"/>
        <v>1</v>
      </c>
      <c r="DX82" s="62"/>
      <c r="DY82" s="62"/>
      <c r="DZ82" s="62" t="str">
        <f t="shared" si="414"/>
        <v/>
      </c>
      <c r="EA82" s="63" t="str">
        <f t="shared" si="414"/>
        <v/>
      </c>
      <c r="EB82" s="62" t="str">
        <f t="shared" si="414"/>
        <v/>
      </c>
      <c r="EC82" s="62">
        <f t="shared" si="414"/>
        <v>1</v>
      </c>
      <c r="ED82" s="62" t="str">
        <f t="shared" si="414"/>
        <v/>
      </c>
      <c r="EE82" s="62">
        <f t="shared" ref="EE82:HB82" si="417">IF(SUM(EE75:EE80) &gt; 0, SUM(EE75:EE80), "")</f>
        <v>1</v>
      </c>
      <c r="EF82" s="62">
        <v>0</v>
      </c>
      <c r="EG82" s="62"/>
      <c r="EH82" s="62"/>
      <c r="EI82" s="62" t="str">
        <f t="shared" si="417"/>
        <v/>
      </c>
      <c r="EJ82" s="63" t="str">
        <f t="shared" si="417"/>
        <v/>
      </c>
      <c r="EK82" s="62" t="str">
        <f t="shared" si="417"/>
        <v/>
      </c>
      <c r="EL82" s="62">
        <f t="shared" si="417"/>
        <v>1</v>
      </c>
      <c r="EM82" s="62" t="str">
        <f t="shared" si="417"/>
        <v/>
      </c>
      <c r="EN82" s="62">
        <f t="shared" si="417"/>
        <v>1</v>
      </c>
      <c r="EO82" s="62">
        <f t="shared" si="417"/>
        <v>2</v>
      </c>
      <c r="EP82" s="62" t="str">
        <f t="shared" si="417"/>
        <v/>
      </c>
      <c r="EQ82" s="62"/>
      <c r="ER82" s="62"/>
      <c r="ES82" s="63" t="str">
        <f t="shared" si="417"/>
        <v/>
      </c>
      <c r="ET82" s="62" t="str">
        <f t="shared" si="417"/>
        <v/>
      </c>
      <c r="EU82" s="62">
        <f t="shared" si="417"/>
        <v>1</v>
      </c>
      <c r="EV82" s="62" t="str">
        <f t="shared" si="417"/>
        <v/>
      </c>
      <c r="EW82" s="62">
        <f t="shared" si="417"/>
        <v>1</v>
      </c>
      <c r="EX82" s="62">
        <f t="shared" si="417"/>
        <v>1</v>
      </c>
      <c r="EY82" s="62" t="str">
        <f t="shared" si="417"/>
        <v/>
      </c>
      <c r="EZ82" s="62"/>
      <c r="FA82" s="62"/>
      <c r="FB82" s="63" t="str">
        <f t="shared" si="417"/>
        <v/>
      </c>
      <c r="FC82" s="62" t="str">
        <f t="shared" si="417"/>
        <v/>
      </c>
      <c r="FD82" s="62">
        <f t="shared" si="417"/>
        <v>1</v>
      </c>
      <c r="FE82" s="62" t="str">
        <f t="shared" si="417"/>
        <v/>
      </c>
      <c r="FF82" s="62">
        <f t="shared" si="417"/>
        <v>1</v>
      </c>
      <c r="FG82" s="62">
        <f t="shared" si="417"/>
        <v>1</v>
      </c>
      <c r="FH82" s="62" t="str">
        <f t="shared" si="417"/>
        <v/>
      </c>
      <c r="FI82" s="62"/>
      <c r="FJ82" s="62"/>
      <c r="FK82" s="63" t="str">
        <f t="shared" si="417"/>
        <v/>
      </c>
      <c r="FL82" s="62" t="str">
        <f t="shared" si="417"/>
        <v/>
      </c>
      <c r="FM82" s="62">
        <f t="shared" si="417"/>
        <v>1</v>
      </c>
      <c r="FN82" s="62" t="str">
        <f t="shared" si="417"/>
        <v/>
      </c>
      <c r="FO82" s="62">
        <f t="shared" si="417"/>
        <v>1</v>
      </c>
      <c r="FP82" s="62">
        <f t="shared" si="417"/>
        <v>1</v>
      </c>
      <c r="FQ82" s="62" t="str">
        <f t="shared" si="417"/>
        <v/>
      </c>
      <c r="FR82" s="62"/>
      <c r="FS82" s="62"/>
      <c r="FT82" s="63" t="str">
        <f t="shared" si="417"/>
        <v/>
      </c>
      <c r="FU82" s="62" t="str">
        <f t="shared" si="417"/>
        <v/>
      </c>
      <c r="FV82" s="62">
        <f t="shared" si="417"/>
        <v>1</v>
      </c>
      <c r="FW82" s="62" t="str">
        <f t="shared" si="417"/>
        <v/>
      </c>
      <c r="FX82" s="62">
        <f t="shared" si="417"/>
        <v>1</v>
      </c>
      <c r="FY82" s="62" t="str">
        <f t="shared" si="417"/>
        <v/>
      </c>
      <c r="FZ82" s="62" t="str">
        <f t="shared" si="417"/>
        <v/>
      </c>
      <c r="GA82" s="62"/>
      <c r="GB82" s="62"/>
      <c r="GC82" s="63" t="str">
        <f t="shared" si="417"/>
        <v/>
      </c>
      <c r="GD82" s="62" t="str">
        <f t="shared" si="417"/>
        <v/>
      </c>
      <c r="GE82" s="62" t="str">
        <f t="shared" si="417"/>
        <v/>
      </c>
      <c r="GF82" s="62" t="str">
        <f t="shared" si="417"/>
        <v/>
      </c>
      <c r="GG82" s="62" t="str">
        <f t="shared" si="417"/>
        <v/>
      </c>
      <c r="GH82" s="62" t="str">
        <f t="shared" si="417"/>
        <v/>
      </c>
      <c r="GI82" s="62" t="str">
        <f t="shared" si="417"/>
        <v/>
      </c>
      <c r="GJ82" s="63" t="str">
        <f t="shared" si="417"/>
        <v/>
      </c>
      <c r="GK82" s="62" t="str">
        <f t="shared" si="417"/>
        <v/>
      </c>
      <c r="GL82" s="62" t="str">
        <f t="shared" si="417"/>
        <v/>
      </c>
      <c r="GM82" s="62" t="str">
        <f t="shared" si="417"/>
        <v/>
      </c>
      <c r="GN82" s="62" t="str">
        <f t="shared" si="417"/>
        <v/>
      </c>
      <c r="GO82" s="62" t="str">
        <f t="shared" si="417"/>
        <v/>
      </c>
      <c r="GP82" s="62" t="str">
        <f t="shared" si="417"/>
        <v/>
      </c>
      <c r="GQ82" s="63" t="str">
        <f t="shared" si="417"/>
        <v/>
      </c>
      <c r="GR82" s="62" t="str">
        <f t="shared" si="417"/>
        <v/>
      </c>
      <c r="GS82" s="62" t="str">
        <f t="shared" si="417"/>
        <v/>
      </c>
      <c r="GT82" s="62" t="str">
        <f t="shared" si="417"/>
        <v/>
      </c>
      <c r="GU82" s="62" t="str">
        <f t="shared" si="417"/>
        <v/>
      </c>
      <c r="GV82" s="62" t="str">
        <f t="shared" si="417"/>
        <v/>
      </c>
      <c r="GW82" s="62" t="str">
        <f t="shared" si="417"/>
        <v/>
      </c>
      <c r="GX82" s="63" t="str">
        <f t="shared" si="417"/>
        <v/>
      </c>
      <c r="GY82" s="62" t="str">
        <f t="shared" si="417"/>
        <v/>
      </c>
      <c r="GZ82" s="62" t="str">
        <f t="shared" si="417"/>
        <v/>
      </c>
      <c r="HA82" s="62" t="str">
        <f t="shared" si="417"/>
        <v/>
      </c>
      <c r="HB82" s="62" t="str">
        <f t="shared" si="417"/>
        <v/>
      </c>
      <c r="HC82" s="62" t="str">
        <f t="shared" ref="HC82:JN82" si="418">IF(SUM(HC75:HC80) &gt; 0, SUM(HC75:HC80), "")</f>
        <v/>
      </c>
      <c r="HD82" s="62" t="str">
        <f t="shared" si="418"/>
        <v/>
      </c>
      <c r="HE82" s="63" t="str">
        <f t="shared" si="418"/>
        <v/>
      </c>
      <c r="HF82" s="62" t="str">
        <f t="shared" si="418"/>
        <v/>
      </c>
      <c r="HG82" s="62" t="str">
        <f t="shared" si="418"/>
        <v/>
      </c>
      <c r="HH82" s="62" t="str">
        <f t="shared" si="418"/>
        <v/>
      </c>
      <c r="HI82" s="62" t="str">
        <f t="shared" si="418"/>
        <v/>
      </c>
      <c r="HJ82" s="62" t="str">
        <f t="shared" si="418"/>
        <v/>
      </c>
      <c r="HK82" s="62" t="str">
        <f t="shared" si="418"/>
        <v/>
      </c>
      <c r="HL82" s="63" t="str">
        <f t="shared" si="418"/>
        <v/>
      </c>
      <c r="HM82" s="62" t="str">
        <f t="shared" si="418"/>
        <v/>
      </c>
      <c r="HN82" s="62" t="str">
        <f t="shared" si="418"/>
        <v/>
      </c>
      <c r="HO82" s="62" t="str">
        <f t="shared" si="418"/>
        <v/>
      </c>
      <c r="HP82" s="62" t="str">
        <f t="shared" si="418"/>
        <v/>
      </c>
      <c r="HQ82" s="62" t="str">
        <f t="shared" si="418"/>
        <v/>
      </c>
      <c r="HR82" s="62" t="str">
        <f t="shared" si="418"/>
        <v/>
      </c>
      <c r="HS82" s="63" t="str">
        <f t="shared" si="418"/>
        <v/>
      </c>
      <c r="HT82" s="62" t="str">
        <f t="shared" si="418"/>
        <v/>
      </c>
      <c r="HU82" s="62" t="str">
        <f t="shared" si="418"/>
        <v/>
      </c>
      <c r="HV82" s="62" t="str">
        <f t="shared" si="418"/>
        <v/>
      </c>
      <c r="HW82" s="62" t="str">
        <f t="shared" si="418"/>
        <v/>
      </c>
      <c r="HX82" s="62" t="str">
        <f t="shared" si="418"/>
        <v/>
      </c>
      <c r="HY82" s="62" t="str">
        <f t="shared" si="418"/>
        <v/>
      </c>
      <c r="HZ82" s="63" t="str">
        <f t="shared" si="418"/>
        <v/>
      </c>
      <c r="IA82" s="62" t="str">
        <f t="shared" si="418"/>
        <v/>
      </c>
      <c r="IB82" s="62" t="str">
        <f t="shared" si="418"/>
        <v/>
      </c>
      <c r="IC82" s="62" t="str">
        <f t="shared" si="418"/>
        <v/>
      </c>
      <c r="ID82" s="62" t="str">
        <f t="shared" si="418"/>
        <v/>
      </c>
      <c r="IE82" s="62" t="str">
        <f t="shared" si="418"/>
        <v/>
      </c>
      <c r="IF82" s="62" t="str">
        <f t="shared" si="418"/>
        <v/>
      </c>
      <c r="IG82" s="63" t="str">
        <f t="shared" si="418"/>
        <v/>
      </c>
      <c r="IH82" s="62" t="str">
        <f t="shared" si="418"/>
        <v/>
      </c>
      <c r="II82" s="62" t="str">
        <f t="shared" si="418"/>
        <v/>
      </c>
      <c r="IJ82" s="62" t="str">
        <f t="shared" si="418"/>
        <v/>
      </c>
      <c r="IK82" s="62" t="str">
        <f t="shared" si="418"/>
        <v/>
      </c>
      <c r="IL82" s="62" t="str">
        <f t="shared" si="418"/>
        <v/>
      </c>
      <c r="IM82" s="62" t="str">
        <f t="shared" si="418"/>
        <v/>
      </c>
      <c r="IN82" s="63" t="str">
        <f t="shared" si="418"/>
        <v/>
      </c>
      <c r="IO82" s="62" t="str">
        <f t="shared" si="418"/>
        <v/>
      </c>
      <c r="IP82" s="62" t="str">
        <f t="shared" si="418"/>
        <v/>
      </c>
      <c r="IQ82" s="62" t="str">
        <f t="shared" si="418"/>
        <v/>
      </c>
      <c r="IR82" s="62" t="str">
        <f t="shared" si="418"/>
        <v/>
      </c>
      <c r="IS82" s="62" t="str">
        <f t="shared" si="418"/>
        <v/>
      </c>
      <c r="IT82" s="62" t="str">
        <f t="shared" si="418"/>
        <v/>
      </c>
      <c r="IU82" s="63" t="str">
        <f t="shared" si="418"/>
        <v/>
      </c>
      <c r="IV82" s="62" t="str">
        <f t="shared" si="418"/>
        <v/>
      </c>
      <c r="IW82" s="62" t="str">
        <f t="shared" si="418"/>
        <v/>
      </c>
      <c r="IX82" s="62" t="str">
        <f t="shared" si="418"/>
        <v/>
      </c>
      <c r="IY82" s="62" t="str">
        <f t="shared" si="418"/>
        <v/>
      </c>
      <c r="IZ82" s="62" t="str">
        <f t="shared" si="418"/>
        <v/>
      </c>
      <c r="JA82" s="62" t="str">
        <f t="shared" si="418"/>
        <v/>
      </c>
      <c r="JB82" s="63" t="str">
        <f t="shared" si="418"/>
        <v/>
      </c>
      <c r="JC82" s="62" t="str">
        <f t="shared" si="418"/>
        <v/>
      </c>
      <c r="JD82" s="62" t="str">
        <f t="shared" si="418"/>
        <v/>
      </c>
      <c r="JE82" s="62" t="str">
        <f t="shared" si="418"/>
        <v/>
      </c>
      <c r="JF82" s="62" t="str">
        <f t="shared" si="418"/>
        <v/>
      </c>
      <c r="JG82" s="62" t="str">
        <f t="shared" si="418"/>
        <v/>
      </c>
      <c r="JH82" s="62" t="str">
        <f t="shared" si="418"/>
        <v/>
      </c>
      <c r="JI82" s="63" t="str">
        <f t="shared" si="418"/>
        <v/>
      </c>
      <c r="JJ82" s="62" t="str">
        <f t="shared" si="418"/>
        <v/>
      </c>
      <c r="JK82" s="62" t="str">
        <f t="shared" si="418"/>
        <v/>
      </c>
      <c r="JL82" s="62" t="str">
        <f t="shared" si="418"/>
        <v/>
      </c>
      <c r="JM82" s="62" t="str">
        <f t="shared" si="418"/>
        <v/>
      </c>
      <c r="JN82" s="62" t="str">
        <f t="shared" si="418"/>
        <v/>
      </c>
      <c r="JO82" s="62" t="str">
        <f t="shared" ref="JO82:LZ82" si="419">IF(SUM(JO75:JO80) &gt; 0, SUM(JO75:JO80), "")</f>
        <v/>
      </c>
      <c r="JP82" s="63" t="str">
        <f t="shared" si="419"/>
        <v/>
      </c>
      <c r="JQ82" s="62" t="str">
        <f t="shared" si="419"/>
        <v/>
      </c>
      <c r="JR82" s="62" t="str">
        <f t="shared" si="419"/>
        <v/>
      </c>
      <c r="JS82" s="62" t="str">
        <f t="shared" si="419"/>
        <v/>
      </c>
      <c r="JT82" s="62" t="str">
        <f t="shared" si="419"/>
        <v/>
      </c>
      <c r="JU82" s="62" t="str">
        <f t="shared" si="419"/>
        <v/>
      </c>
      <c r="JV82" s="62" t="str">
        <f t="shared" si="419"/>
        <v/>
      </c>
      <c r="JW82" s="63" t="str">
        <f t="shared" si="419"/>
        <v/>
      </c>
      <c r="JX82" s="62" t="str">
        <f t="shared" si="419"/>
        <v/>
      </c>
      <c r="JY82" s="62" t="str">
        <f t="shared" si="419"/>
        <v/>
      </c>
      <c r="JZ82" s="62" t="str">
        <f t="shared" si="419"/>
        <v/>
      </c>
      <c r="KA82" s="62" t="str">
        <f t="shared" si="419"/>
        <v/>
      </c>
      <c r="KB82" s="62" t="str">
        <f t="shared" si="419"/>
        <v/>
      </c>
      <c r="KC82" s="62" t="str">
        <f t="shared" si="419"/>
        <v/>
      </c>
      <c r="KD82" s="63" t="str">
        <f t="shared" si="419"/>
        <v/>
      </c>
      <c r="KE82" s="62" t="str">
        <f t="shared" si="419"/>
        <v/>
      </c>
      <c r="KF82" s="62" t="str">
        <f t="shared" si="419"/>
        <v/>
      </c>
      <c r="KG82" s="62" t="str">
        <f t="shared" si="419"/>
        <v/>
      </c>
      <c r="KH82" s="62" t="str">
        <f t="shared" si="419"/>
        <v/>
      </c>
      <c r="KI82" s="62" t="str">
        <f t="shared" si="419"/>
        <v/>
      </c>
      <c r="KJ82" s="62" t="str">
        <f t="shared" si="419"/>
        <v/>
      </c>
      <c r="KK82" s="63" t="str">
        <f t="shared" si="419"/>
        <v/>
      </c>
      <c r="KL82" s="62" t="str">
        <f t="shared" si="419"/>
        <v/>
      </c>
      <c r="KM82" s="62" t="str">
        <f t="shared" si="419"/>
        <v/>
      </c>
      <c r="KN82" s="62" t="str">
        <f t="shared" si="419"/>
        <v/>
      </c>
      <c r="KO82" s="62" t="str">
        <f t="shared" si="419"/>
        <v/>
      </c>
      <c r="KP82" s="62" t="str">
        <f t="shared" si="419"/>
        <v/>
      </c>
      <c r="KQ82" s="62" t="str">
        <f t="shared" si="419"/>
        <v/>
      </c>
      <c r="KR82" s="63" t="str">
        <f t="shared" si="419"/>
        <v/>
      </c>
      <c r="KS82" s="62" t="str">
        <f t="shared" si="419"/>
        <v/>
      </c>
      <c r="KT82" s="62" t="str">
        <f t="shared" si="419"/>
        <v/>
      </c>
      <c r="KU82" s="62" t="str">
        <f t="shared" si="419"/>
        <v/>
      </c>
      <c r="KV82" s="62" t="str">
        <f t="shared" si="419"/>
        <v/>
      </c>
      <c r="KW82" s="62" t="str">
        <f t="shared" si="419"/>
        <v/>
      </c>
      <c r="KX82" s="62" t="str">
        <f t="shared" si="419"/>
        <v/>
      </c>
      <c r="KY82" s="63" t="str">
        <f t="shared" si="419"/>
        <v/>
      </c>
      <c r="KZ82" s="62" t="str">
        <f t="shared" si="419"/>
        <v/>
      </c>
      <c r="LA82" s="62" t="str">
        <f t="shared" si="419"/>
        <v/>
      </c>
      <c r="LB82" s="62" t="str">
        <f t="shared" si="419"/>
        <v/>
      </c>
      <c r="LC82" s="62" t="str">
        <f t="shared" si="419"/>
        <v/>
      </c>
      <c r="LD82" s="62" t="str">
        <f t="shared" si="419"/>
        <v/>
      </c>
      <c r="LE82" s="62" t="str">
        <f t="shared" si="419"/>
        <v/>
      </c>
      <c r="LF82" s="63" t="str">
        <f t="shared" si="419"/>
        <v/>
      </c>
      <c r="LG82" s="62" t="str">
        <f t="shared" si="419"/>
        <v/>
      </c>
      <c r="LH82" s="62" t="str">
        <f t="shared" si="419"/>
        <v/>
      </c>
      <c r="LI82" s="62" t="str">
        <f t="shared" si="419"/>
        <v/>
      </c>
      <c r="LJ82" s="62" t="str">
        <f t="shared" si="419"/>
        <v/>
      </c>
      <c r="LK82" s="62" t="str">
        <f t="shared" si="419"/>
        <v/>
      </c>
      <c r="LL82" s="62" t="str">
        <f t="shared" si="419"/>
        <v/>
      </c>
      <c r="LM82" s="63" t="str">
        <f t="shared" si="419"/>
        <v/>
      </c>
      <c r="LN82" s="62" t="str">
        <f t="shared" si="419"/>
        <v/>
      </c>
      <c r="LO82" s="62" t="str">
        <f t="shared" si="419"/>
        <v/>
      </c>
      <c r="LP82" s="62" t="str">
        <f t="shared" si="419"/>
        <v/>
      </c>
      <c r="LQ82" s="62" t="str">
        <f t="shared" si="419"/>
        <v/>
      </c>
      <c r="LR82" s="62" t="str">
        <f t="shared" si="419"/>
        <v/>
      </c>
      <c r="LS82" s="62" t="str">
        <f t="shared" si="419"/>
        <v/>
      </c>
      <c r="LT82" s="63" t="str">
        <f t="shared" si="419"/>
        <v/>
      </c>
      <c r="LU82" s="62" t="str">
        <f t="shared" si="419"/>
        <v/>
      </c>
      <c r="LV82" s="62" t="str">
        <f t="shared" si="419"/>
        <v/>
      </c>
      <c r="LW82" s="62" t="str">
        <f t="shared" si="419"/>
        <v/>
      </c>
      <c r="LX82" s="62" t="str">
        <f t="shared" si="419"/>
        <v/>
      </c>
      <c r="LY82" s="62" t="str">
        <f t="shared" si="419"/>
        <v/>
      </c>
      <c r="LZ82" s="62" t="str">
        <f t="shared" si="419"/>
        <v/>
      </c>
      <c r="MA82" s="63" t="str">
        <f t="shared" ref="MA82:MV82" si="420">IF(SUM(MA75:MA80) &gt; 0, SUM(MA75:MA80), "")</f>
        <v/>
      </c>
      <c r="MB82" s="62" t="str">
        <f t="shared" si="420"/>
        <v/>
      </c>
      <c r="MC82" s="62" t="str">
        <f t="shared" si="420"/>
        <v/>
      </c>
      <c r="MD82" s="62" t="str">
        <f t="shared" si="420"/>
        <v/>
      </c>
      <c r="ME82" s="62" t="str">
        <f t="shared" si="420"/>
        <v/>
      </c>
      <c r="MF82" s="62" t="str">
        <f t="shared" si="420"/>
        <v/>
      </c>
      <c r="MG82" s="62" t="str">
        <f t="shared" si="420"/>
        <v/>
      </c>
      <c r="MH82" s="63" t="str">
        <f t="shared" si="420"/>
        <v/>
      </c>
      <c r="MI82" s="62" t="str">
        <f t="shared" si="420"/>
        <v/>
      </c>
      <c r="MJ82" s="62" t="str">
        <f t="shared" si="420"/>
        <v/>
      </c>
      <c r="MK82" s="62" t="str">
        <f t="shared" si="420"/>
        <v/>
      </c>
      <c r="ML82" s="62" t="str">
        <f t="shared" si="420"/>
        <v/>
      </c>
      <c r="MM82" s="62" t="str">
        <f t="shared" si="420"/>
        <v/>
      </c>
      <c r="MN82" s="62" t="str">
        <f t="shared" si="420"/>
        <v/>
      </c>
      <c r="MO82" s="63" t="str">
        <f t="shared" si="420"/>
        <v/>
      </c>
      <c r="MP82" s="62" t="str">
        <f t="shared" si="420"/>
        <v/>
      </c>
      <c r="MQ82" s="62" t="str">
        <f t="shared" si="420"/>
        <v/>
      </c>
      <c r="MR82" s="62" t="str">
        <f t="shared" si="420"/>
        <v/>
      </c>
      <c r="MS82" s="62" t="str">
        <f t="shared" si="420"/>
        <v/>
      </c>
      <c r="MT82" s="62" t="str">
        <f t="shared" si="420"/>
        <v/>
      </c>
      <c r="MU82" s="62" t="str">
        <f t="shared" si="420"/>
        <v/>
      </c>
      <c r="MV82" s="87" t="str">
        <f t="shared" si="420"/>
        <v/>
      </c>
    </row>
    <row r="83" spans="1:360"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21">IF(SUM(T70, T82) &gt; 0, SUM(T70, T82), "")</f>
        <v/>
      </c>
      <c r="U83" s="62" t="str">
        <f t="shared" si="421"/>
        <v/>
      </c>
      <c r="V83" s="62" t="str">
        <f t="shared" si="421"/>
        <v/>
      </c>
      <c r="W83" s="62" t="str">
        <f t="shared" si="421"/>
        <v/>
      </c>
      <c r="X83" s="62" t="str">
        <f t="shared" si="421"/>
        <v/>
      </c>
      <c r="Y83" s="62" t="str">
        <f t="shared" si="421"/>
        <v/>
      </c>
      <c r="Z83" s="63" t="str">
        <f t="shared" si="421"/>
        <v/>
      </c>
      <c r="AA83" s="65" t="str">
        <f t="shared" ref="AA83" si="422">IF(SUM(AA70, AA82) &gt; 0, SUM(AA70, AA82), "")</f>
        <v/>
      </c>
      <c r="AB83" s="62" t="str">
        <f t="shared" ref="AB83" si="423">IF(SUM(AB70, AB82) &gt; 0, SUM(AB70, AB82), "")</f>
        <v/>
      </c>
      <c r="AC83" s="62" t="str">
        <f t="shared" ref="AC83" si="424">IF(SUM(AC70, AC82) &gt; 0, SUM(AC70, AC82), "")</f>
        <v/>
      </c>
      <c r="AD83" s="62" t="str">
        <f t="shared" ref="AD83" si="425">IF(SUM(AD70, AD82) &gt; 0, SUM(AD70, AD82), "")</f>
        <v/>
      </c>
      <c r="AE83" s="62" t="str">
        <f t="shared" ref="AE83" si="426">IF(SUM(AE70, AE82) &gt; 0, SUM(AE70, AE82), "")</f>
        <v/>
      </c>
      <c r="AF83" s="62" t="str">
        <f t="shared" ref="AF83" si="427">IF(SUM(AF70, AF82) &gt; 0, SUM(AF70, AF82), "")</f>
        <v/>
      </c>
      <c r="AG83" s="63" t="str">
        <f t="shared" ref="AG83" si="428">IF(SUM(AG70, AG82) &gt; 0, SUM(AG70, AG82), "")</f>
        <v/>
      </c>
      <c r="AH83" s="65" t="str">
        <f t="shared" ref="AH83" si="429">IF(SUM(AH70, AH82) &gt; 0, SUM(AH70, AH82), "")</f>
        <v/>
      </c>
      <c r="AI83" s="62">
        <f t="shared" ref="AI83" si="430">IF(SUM(AI70, AI82) &gt; 0, SUM(AI70, AI82), "")</f>
        <v>11</v>
      </c>
      <c r="AJ83" s="62" t="str">
        <f t="shared" ref="AJ83" si="431">IF(SUM(AJ70, AJ82) &gt; 0, SUM(AJ70, AJ82), "")</f>
        <v/>
      </c>
      <c r="AK83" s="62">
        <f t="shared" ref="AK83" si="432">IF(SUM(AK70, AK82) &gt; 0, SUM(AK70, AK82), "")</f>
        <v>10</v>
      </c>
      <c r="AL83" s="62" t="str">
        <f t="shared" ref="AL83" si="433">IF(SUM(AL70, AL82) &gt; 0, SUM(AL70, AL82), "")</f>
        <v/>
      </c>
      <c r="AM83" s="62" t="str">
        <f t="shared" ref="AM83" si="434">IF(SUM(AM70, AM82) &gt; 0, SUM(AM70, AM82), "")</f>
        <v/>
      </c>
      <c r="AN83" s="63" t="str">
        <f t="shared" ref="AN83" si="435">IF(SUM(AN70, AN82) &gt; 0, SUM(AN70, AN82), "")</f>
        <v/>
      </c>
      <c r="AO83" s="65" t="str">
        <f t="shared" ref="AO83" si="436">IF(SUM(AO70, AO82) &gt; 0, SUM(AO70, AO82), "")</f>
        <v/>
      </c>
      <c r="AP83" s="62">
        <f t="shared" ref="AP83" si="437">IF(SUM(AP70, AP82) &gt; 0, SUM(AP70, AP82), "")</f>
        <v>11</v>
      </c>
      <c r="AQ83" s="62" t="str">
        <f t="shared" ref="AQ83" si="438">IF(SUM(AQ70, AQ82) &gt; 0, SUM(AQ70, AQ82), "")</f>
        <v/>
      </c>
      <c r="AR83" s="62">
        <f t="shared" ref="AR83" si="439">IF(SUM(AR70, AR82) &gt; 0, SUM(AR70, AR82), "")</f>
        <v>10</v>
      </c>
      <c r="AS83" s="62" t="str">
        <f t="shared" ref="AS83" si="440">IF(SUM(AS70, AS82) &gt; 0, SUM(AS70, AS82), "")</f>
        <v/>
      </c>
      <c r="AT83" s="62" t="str">
        <f t="shared" ref="AT83" si="441">IF(SUM(AT70, AT82) &gt; 0, SUM(AT70, AT82), "")</f>
        <v/>
      </c>
      <c r="AU83" s="63" t="str">
        <f t="shared" ref="AU83" si="442">IF(SUM(AU70, AU82) &gt; 0, SUM(AU70, AU82), "")</f>
        <v/>
      </c>
      <c r="AV83" s="65" t="str">
        <f t="shared" ref="AV83" si="443">IF(SUM(AV70, AV82) &gt; 0, SUM(AV70, AV82), "")</f>
        <v/>
      </c>
      <c r="AW83" s="62">
        <f t="shared" ref="AW83" si="444">IF(SUM(AW70, AW82) &gt; 0, SUM(AW70, AW82), "")</f>
        <v>11</v>
      </c>
      <c r="AX83" s="62">
        <f t="shared" ref="AX83" si="445">IF(SUM(AX70, AX82) &gt; 0, SUM(AX70, AX82), "")</f>
        <v>6</v>
      </c>
      <c r="AY83" s="62">
        <f t="shared" ref="AY83" si="446">IF(SUM(AY70, AY82) &gt; 0, SUM(AY70, AY82), "")</f>
        <v>8</v>
      </c>
      <c r="AZ83" s="62" t="str">
        <f t="shared" ref="AZ83" si="447">IF(SUM(AZ70, AZ82) &gt; 0, SUM(AZ70, AZ82), "")</f>
        <v/>
      </c>
      <c r="BA83" s="62" t="str">
        <f t="shared" ref="BA83" si="448">IF(SUM(BA70, BA82) &gt; 0, SUM(BA70, BA82), "")</f>
        <v/>
      </c>
      <c r="BB83" s="63" t="str">
        <f t="shared" ref="BB83" si="449">IF(SUM(BB70, BB82) &gt; 0, SUM(BB70, BB82), "")</f>
        <v/>
      </c>
      <c r="BC83" s="65" t="str">
        <f t="shared" ref="BC83" si="450">IF(SUM(BC70, BC82) &gt; 0, SUM(BC70, BC82), "")</f>
        <v/>
      </c>
      <c r="BD83" s="62">
        <f t="shared" ref="BD83" si="451">IF(SUM(BD70, BD82) &gt; 0, SUM(BD70, BD82), "")</f>
        <v>11</v>
      </c>
      <c r="BE83" s="62" t="str">
        <f t="shared" ref="BE83" si="452">IF(SUM(BE70, BE82) &gt; 0, SUM(BE70, BE82), "")</f>
        <v/>
      </c>
      <c r="BF83" s="62">
        <f t="shared" ref="BF83" si="453">IF(SUM(BF70, BF82) &gt; 0, SUM(BF70, BF82), "")</f>
        <v>8</v>
      </c>
      <c r="BG83" s="62" t="str">
        <f t="shared" ref="BG83" si="454">IF(SUM(BG70, BG82) &gt; 0, SUM(BG70, BG82), "")</f>
        <v/>
      </c>
      <c r="BH83" s="62" t="str">
        <f t="shared" ref="BH83" si="455">IF(SUM(BH70, BH82) &gt; 0, SUM(BH70, BH82), "")</f>
        <v/>
      </c>
      <c r="BI83" s="63" t="str">
        <f t="shared" ref="BI83" si="456">IF(SUM(BI70, BI82) &gt; 0, SUM(BI70, BI82), "")</f>
        <v/>
      </c>
      <c r="BJ83" s="65" t="str">
        <f t="shared" ref="BJ83" si="457">IF(SUM(BJ70, BJ82) &gt; 0, SUM(BJ70, BJ82), "")</f>
        <v/>
      </c>
      <c r="BK83" s="62">
        <f t="shared" ref="BK83" si="458">IF(SUM(BK70, BK82) &gt; 0, SUM(BK70, BK82), "")</f>
        <v>9</v>
      </c>
      <c r="BL83" s="62" t="str">
        <f t="shared" ref="BL83" si="459">IF(SUM(BL70, BL82) &gt; 0, SUM(BL70, BL82), "")</f>
        <v/>
      </c>
      <c r="BM83" s="62">
        <f t="shared" ref="BM83" si="460">IF(SUM(BM70, BM82) &gt; 0, SUM(BM70, BM82), "")</f>
        <v>13</v>
      </c>
      <c r="BN83" s="62">
        <f t="shared" ref="BN83" si="461">IF(SUM(BN70, BN82) &gt; 0, SUM(BN70, BN82), "")</f>
        <v>12</v>
      </c>
      <c r="BO83" s="62" t="str">
        <f t="shared" ref="BO83:BP83" si="462">IF(SUM(BO70, BO82) &gt; 0, SUM(BO70, BO82), "")</f>
        <v/>
      </c>
      <c r="BP83" s="63">
        <f t="shared" si="462"/>
        <v>5</v>
      </c>
      <c r="BQ83" s="62" t="str">
        <f t="shared" ref="BQ83" si="463">IF(SUM(BQ70, BQ82) &gt; 0, SUM(BQ70, BQ82), "")</f>
        <v/>
      </c>
      <c r="BR83" s="62" t="str">
        <f t="shared" ref="BR83" si="464">IF(SUM(BR70, BR82) &gt; 0, SUM(BR70, BR82), "")</f>
        <v/>
      </c>
      <c r="BS83" s="62" t="str">
        <f t="shared" ref="BS83" si="465">IF(SUM(BS70, BS82) &gt; 0, SUM(BS70, BS82), "")</f>
        <v/>
      </c>
      <c r="BT83" s="62" t="str">
        <f t="shared" ref="BT83" si="466">IF(SUM(BT70, BT82) &gt; 0, SUM(BT70, BT82), "")</f>
        <v/>
      </c>
      <c r="BU83" s="62" t="str">
        <f t="shared" ref="BU83" si="467">IF(SUM(BU70, BU82) &gt; 0, SUM(BU70, BU82), "")</f>
        <v/>
      </c>
      <c r="BV83" s="62" t="str">
        <f t="shared" ref="BV83:BW83" si="468">IF(SUM(BV70, BV82) &gt; 0, SUM(BV70, BV82), "")</f>
        <v/>
      </c>
      <c r="BW83" s="62">
        <f t="shared" si="468"/>
        <v>2</v>
      </c>
      <c r="BX83" s="62"/>
      <c r="BY83" s="63" t="str">
        <f t="shared" ref="BY83" si="469">IF(SUM(BY70, BY82) &gt; 0, SUM(BY70, BY82), "")</f>
        <v/>
      </c>
      <c r="BZ83" s="65" t="str">
        <f t="shared" ref="BZ83" si="470">IF(SUM(BZ70, BZ82) &gt; 0, SUM(BZ70, BZ82), "")</f>
        <v/>
      </c>
      <c r="CA83" s="62" t="str">
        <f t="shared" ref="CA83" si="471">IF(SUM(CA70, CA82) &gt; 0, SUM(CA70, CA82), "")</f>
        <v/>
      </c>
      <c r="CB83" s="62" t="str">
        <f t="shared" ref="CB83" si="472">IF(SUM(CB70, CB82) &gt; 0, SUM(CB70, CB82), "")</f>
        <v/>
      </c>
      <c r="CC83" s="62" t="str">
        <f t="shared" ref="CC83" si="473">IF(SUM(CC70, CC82) &gt; 0, SUM(CC70, CC82), "")</f>
        <v/>
      </c>
      <c r="CD83" s="62" t="str">
        <f t="shared" ref="CD83" si="474">IF(SUM(CD70, CD82) &gt; 0, SUM(CD70, CD82), "")</f>
        <v/>
      </c>
      <c r="CE83" s="62" t="str">
        <f t="shared" ref="CE83" si="475">IF(SUM(CE70, CE82) &gt; 0, SUM(CE70, CE82), "")</f>
        <v/>
      </c>
      <c r="CF83" s="62"/>
      <c r="CG83" s="62"/>
      <c r="CH83" s="63" t="str">
        <f t="shared" ref="CH83" si="476">IF(SUM(CH70, CH82) &gt; 0, SUM(CH70, CH82), "")</f>
        <v/>
      </c>
      <c r="CI83" s="65" t="str">
        <f t="shared" ref="CI83" si="477">IF(SUM(CI70, CI82) &gt; 0, SUM(CI70, CI82), "")</f>
        <v/>
      </c>
      <c r="CJ83" s="62" t="str">
        <f t="shared" ref="CJ83" si="478">IF(SUM(CJ70, CJ82) &gt; 0, SUM(CJ70, CJ82), "")</f>
        <v/>
      </c>
      <c r="CK83" s="62" t="str">
        <f t="shared" ref="CK83" si="479">IF(SUM(CK70, CK82) &gt; 0, SUM(CK70, CK82), "")</f>
        <v/>
      </c>
      <c r="CL83" s="62" t="str">
        <f t="shared" ref="CL83" si="480">IF(SUM(CL70, CL82) &gt; 0, SUM(CL70, CL82), "")</f>
        <v/>
      </c>
      <c r="CM83" s="62" t="str">
        <f t="shared" ref="CM83" si="481">IF(SUM(CM70, CM82) &gt; 0, SUM(CM70, CM82), "")</f>
        <v/>
      </c>
      <c r="CN83" s="62" t="str">
        <f t="shared" ref="CN83:CO83" si="482">IF(SUM(CN70, CN82) &gt; 0, SUM(CN70, CN82), "")</f>
        <v/>
      </c>
      <c r="CO83" s="62" t="str">
        <f t="shared" si="482"/>
        <v/>
      </c>
      <c r="CP83" s="62"/>
      <c r="CQ83" s="63" t="str">
        <f t="shared" ref="CQ83" si="483">IF(SUM(CQ70, CQ82) &gt; 0, SUM(CQ70, CQ82), "")</f>
        <v/>
      </c>
      <c r="CR83" s="65" t="str">
        <f t="shared" ref="CR83" si="484">IF(SUM(CR70, CR82) &gt; 0, SUM(CR70, CR82), "")</f>
        <v/>
      </c>
      <c r="CS83" s="62" t="str">
        <f t="shared" ref="CS83" si="485">IF(SUM(CS70, CS82) &gt; 0, SUM(CS70, CS82), "")</f>
        <v/>
      </c>
      <c r="CT83" s="62" t="str">
        <f t="shared" ref="CT83" si="486">IF(SUM(CT70, CT82) &gt; 0, SUM(CT70, CT82), "")</f>
        <v/>
      </c>
      <c r="CU83" s="62" t="str">
        <f t="shared" ref="CU83" si="487">IF(SUM(CU70, CU82) &gt; 0, SUM(CU70, CU82), "")</f>
        <v/>
      </c>
      <c r="CV83" s="62" t="str">
        <f t="shared" ref="CV83" si="488">IF(SUM(CV70, CV82) &gt; 0, SUM(CV70, CV82), "")</f>
        <v/>
      </c>
      <c r="CW83" s="62"/>
      <c r="CX83" s="62"/>
      <c r="CY83" s="62" t="str">
        <f t="shared" ref="CY83" si="489">IF(SUM(CY70, CY82) &gt; 0, SUM(CY70, CY82), "")</f>
        <v/>
      </c>
      <c r="CZ83" s="63" t="str">
        <f t="shared" ref="CZ83" si="490">IF(SUM(CZ70, CZ82) &gt; 0, SUM(CZ70, CZ82), "")</f>
        <v/>
      </c>
      <c r="DA83" s="65" t="str">
        <f t="shared" ref="DA83" si="491">IF(SUM(DA70, DA82) &gt; 0, SUM(DA70, DA82), "")</f>
        <v/>
      </c>
      <c r="DB83" s="62" t="str">
        <f t="shared" ref="DB83" si="492">IF(SUM(DB70, DB82) &gt; 0, SUM(DB70, DB82), "")</f>
        <v/>
      </c>
      <c r="DC83" s="62" t="str">
        <f t="shared" ref="DC83" si="493">IF(SUM(DC70, DC82) &gt; 0, SUM(DC70, DC82), "")</f>
        <v/>
      </c>
      <c r="DD83" s="62" t="str">
        <f t="shared" ref="DD83" si="494">IF(SUM(DD70, DD82) &gt; 0, SUM(DD70, DD82), "")</f>
        <v/>
      </c>
      <c r="DE83" s="62" t="str">
        <f t="shared" ref="DE83" si="495">IF(SUM(DE70, DE82) &gt; 0, SUM(DE70, DE82), "")</f>
        <v/>
      </c>
      <c r="DF83" s="62" t="str">
        <f t="shared" ref="DF83" si="496">IF(SUM(DF70, DF82) &gt; 0, SUM(DF70, DF82), "")</f>
        <v/>
      </c>
      <c r="DG83" s="62"/>
      <c r="DH83" s="62"/>
      <c r="DI83" s="63" t="str">
        <f t="shared" ref="DI83" si="497">IF(SUM(DI70, DI82) &gt; 0, SUM(DI70, DI82), "")</f>
        <v/>
      </c>
      <c r="DJ83" s="65" t="str">
        <f t="shared" ref="DJ83" si="498">IF(SUM(DJ70, DJ82) &gt; 0, SUM(DJ70, DJ82), "")</f>
        <v/>
      </c>
      <c r="DK83" s="62" t="str">
        <f t="shared" ref="DK83" si="499">IF(SUM(DK70, DK82) &gt; 0, SUM(DK70, DK82), "")</f>
        <v/>
      </c>
      <c r="DL83" s="62" t="str">
        <f t="shared" ref="DL83" si="500">IF(SUM(DL70, DL82) &gt; 0, SUM(DL70, DL82), "")</f>
        <v/>
      </c>
      <c r="DM83" s="62" t="str">
        <f t="shared" ref="DM83" si="501">IF(SUM(DM70, DM82) &gt; 0, SUM(DM70, DM82), "")</f>
        <v/>
      </c>
      <c r="DN83" s="62" t="str">
        <f t="shared" ref="DN83" si="502">IF(SUM(DN70, DN82) &gt; 0, SUM(DN70, DN82), "")</f>
        <v/>
      </c>
      <c r="DO83" s="62" t="str">
        <f t="shared" ref="DO83" si="503">IF(SUM(DO70, DO82) &gt; 0, SUM(DO70, DO82), "")</f>
        <v/>
      </c>
      <c r="DP83" s="62"/>
      <c r="DQ83" s="62"/>
      <c r="DR83" s="63" t="str">
        <f t="shared" ref="DR83" si="504">IF(SUM(DR70, DR82) &gt; 0, SUM(DR70, DR82), "")</f>
        <v/>
      </c>
      <c r="DS83" s="65" t="str">
        <f t="shared" ref="DS83" si="505">IF(SUM(DS70, DS82) &gt; 0, SUM(DS70, DS82), "")</f>
        <v/>
      </c>
      <c r="DT83" s="62">
        <f t="shared" ref="DT83" si="506">IF(SUM(DT70, DT82) &gt; 0, SUM(DT70, DT82), "")</f>
        <v>8</v>
      </c>
      <c r="DU83" s="62" t="str">
        <f t="shared" ref="DU83" si="507">IF(SUM(DU70, DU82) &gt; 0, SUM(DU70, DU82), "")</f>
        <v/>
      </c>
      <c r="DV83" s="62">
        <f t="shared" ref="DV83" si="508">IF(SUM(DV70, DV82) &gt; 0, SUM(DV70, DV82), "")</f>
        <v>7</v>
      </c>
      <c r="DW83" s="62">
        <f t="shared" ref="DW83" si="509">IF(SUM(DW70, DW82) &gt; 0, SUM(DW70, DW82), "")</f>
        <v>6</v>
      </c>
      <c r="DX83" s="62"/>
      <c r="DY83" s="62"/>
      <c r="DZ83" s="62" t="str">
        <f t="shared" ref="DZ83" si="510">IF(SUM(DZ70, DZ82) &gt; 0, SUM(DZ70, DZ82), "")</f>
        <v/>
      </c>
      <c r="EA83" s="63" t="str">
        <f t="shared" ref="EA83" si="511">IF(SUM(EA70, EA82) &gt; 0, SUM(EA70, EA82), "")</f>
        <v/>
      </c>
      <c r="EB83" s="65" t="str">
        <f t="shared" ref="EB83" si="512">IF(SUM(EB70, EB82) &gt; 0, SUM(EB70, EB82), "")</f>
        <v/>
      </c>
      <c r="EC83" s="62">
        <f t="shared" ref="EC83" si="513">IF(SUM(EC70, EC82) &gt; 0, SUM(EC70, EC82), "")</f>
        <v>7</v>
      </c>
      <c r="ED83" s="62" t="str">
        <f t="shared" ref="ED83" si="514">IF(SUM(ED70, ED82) &gt; 0, SUM(ED70, ED82), "")</f>
        <v/>
      </c>
      <c r="EE83" s="62">
        <f t="shared" ref="EE83" si="515">IF(SUM(EE70, EE82) &gt; 0, SUM(EE70, EE82), "")</f>
        <v>6</v>
      </c>
      <c r="EF83" s="62">
        <f t="shared" ref="EF83" si="516">IF(SUM(EF70, EF82) &gt; 0, SUM(EF70, EF82), "")</f>
        <v>4</v>
      </c>
      <c r="EG83" s="62"/>
      <c r="EH83" s="62"/>
      <c r="EI83" s="62" t="str">
        <f t="shared" ref="EI83" si="517">IF(SUM(EI70, EI82) &gt; 0, SUM(EI70, EI82), "")</f>
        <v/>
      </c>
      <c r="EJ83" s="63" t="str">
        <f t="shared" ref="EJ83" si="518">IF(SUM(EJ70, EJ82) &gt; 0, SUM(EJ70, EJ82), "")</f>
        <v/>
      </c>
      <c r="EK83" s="65" t="str">
        <f t="shared" ref="EK83" si="519">IF(SUM(EK70, EK82) &gt; 0, SUM(EK70, EK82), "")</f>
        <v/>
      </c>
      <c r="EL83" s="62">
        <f t="shared" ref="EL83" si="520">IF(SUM(EL70, EL82) &gt; 0, SUM(EL70, EL82), "")</f>
        <v>7</v>
      </c>
      <c r="EM83" s="62" t="str">
        <f t="shared" ref="EM83" si="521">IF(SUM(EM70, EM82) &gt; 0, SUM(EM70, EM82), "")</f>
        <v/>
      </c>
      <c r="EN83" s="62">
        <f t="shared" ref="EN83" si="522">IF(SUM(EN70, EN82) &gt; 0, SUM(EN70, EN82), "")</f>
        <v>8</v>
      </c>
      <c r="EO83" s="62">
        <f t="shared" ref="EO83" si="523">IF(SUM(EO70, EO82) &gt; 0, SUM(EO70, EO82), "")</f>
        <v>7</v>
      </c>
      <c r="EP83" s="62" t="str">
        <f t="shared" ref="EP83" si="524">IF(SUM(EP70, EP82) &gt; 0, SUM(EP70, EP82), "")</f>
        <v/>
      </c>
      <c r="EQ83" s="62"/>
      <c r="ER83" s="62"/>
      <c r="ES83" s="63" t="str">
        <f t="shared" ref="ES83" si="525">IF(SUM(ES70, ES82) &gt; 0, SUM(ES70, ES82), "")</f>
        <v/>
      </c>
      <c r="ET83" s="65" t="str">
        <f t="shared" ref="ET83" si="526">IF(SUM(ET70, ET82) &gt; 0, SUM(ET70, ET82), "")</f>
        <v/>
      </c>
      <c r="EU83" s="62">
        <f t="shared" ref="EU83" si="527">IF(SUM(EU70, EU82) &gt; 0, SUM(EU70, EU82), "")</f>
        <v>10</v>
      </c>
      <c r="EV83" s="62" t="str">
        <f t="shared" ref="EV83" si="528">IF(SUM(EV70, EV82) &gt; 0, SUM(EV70, EV82), "")</f>
        <v/>
      </c>
      <c r="EW83" s="62">
        <f t="shared" ref="EW83" si="529">IF(SUM(EW70, EW82) &gt; 0, SUM(EW70, EW82), "")</f>
        <v>5</v>
      </c>
      <c r="EX83" s="62">
        <f t="shared" ref="EX83" si="530">IF(SUM(EX70, EX82) &gt; 0, SUM(EX70, EX82), "")</f>
        <v>6</v>
      </c>
      <c r="EY83" s="62" t="str">
        <f t="shared" ref="EY83" si="531">IF(SUM(EY70, EY82) &gt; 0, SUM(EY70, EY82), "")</f>
        <v/>
      </c>
      <c r="EZ83" s="62"/>
      <c r="FA83" s="62"/>
      <c r="FB83" s="63" t="str">
        <f t="shared" ref="FB83" si="532">IF(SUM(FB70, FB82) &gt; 0, SUM(FB70, FB82), "")</f>
        <v/>
      </c>
      <c r="FC83" s="65" t="str">
        <f t="shared" ref="FC83" si="533">IF(SUM(FC70, FC82) &gt; 0, SUM(FC70, FC82), "")</f>
        <v/>
      </c>
      <c r="FD83" s="62">
        <f t="shared" ref="FD83" si="534">IF(SUM(FD70, FD82) &gt; 0, SUM(FD70, FD82), "")</f>
        <v>9</v>
      </c>
      <c r="FE83" s="62" t="str">
        <f t="shared" ref="FE83" si="535">IF(SUM(FE70, FE82) &gt; 0, SUM(FE70, FE82), "")</f>
        <v/>
      </c>
      <c r="FF83" s="62">
        <f t="shared" ref="FF83" si="536">IF(SUM(FF70, FF82) &gt; 0, SUM(FF70, FF82), "")</f>
        <v>8</v>
      </c>
      <c r="FG83" s="62">
        <f t="shared" ref="FG83" si="537">IF(SUM(FG70, FG82) &gt; 0, SUM(FG70, FG82), "")</f>
        <v>6</v>
      </c>
      <c r="FH83" s="62" t="str">
        <f t="shared" ref="FH83" si="538">IF(SUM(FH70, FH82) &gt; 0, SUM(FH70, FH82), "")</f>
        <v/>
      </c>
      <c r="FI83" s="62"/>
      <c r="FJ83" s="62"/>
      <c r="FK83" s="63" t="str">
        <f t="shared" ref="FK83" si="539">IF(SUM(FK70, FK82) &gt; 0, SUM(FK70, FK82), "")</f>
        <v/>
      </c>
      <c r="FL83" s="65" t="str">
        <f t="shared" ref="FL83" si="540">IF(SUM(FL70, FL82) &gt; 0, SUM(FL70, FL82), "")</f>
        <v/>
      </c>
      <c r="FM83" s="62">
        <f t="shared" ref="FM83" si="541">IF(SUM(FM70, FM82) &gt; 0, SUM(FM70, FM82), "")</f>
        <v>6</v>
      </c>
      <c r="FN83" s="62" t="str">
        <f t="shared" ref="FN83" si="542">IF(SUM(FN70, FN82) &gt; 0, SUM(FN70, FN82), "")</f>
        <v/>
      </c>
      <c r="FO83" s="62">
        <f t="shared" ref="FO83" si="543">IF(SUM(FO70, FO82) &gt; 0, SUM(FO70, FO82), "")</f>
        <v>7</v>
      </c>
      <c r="FP83" s="62">
        <f t="shared" ref="FP83" si="544">IF(SUM(FP70, FP82) &gt; 0, SUM(FP70, FP82), "")</f>
        <v>8</v>
      </c>
      <c r="FQ83" s="62" t="str">
        <f t="shared" ref="FQ83" si="545">IF(SUM(FQ70, FQ82) &gt; 0, SUM(FQ70, FQ82), "")</f>
        <v/>
      </c>
      <c r="FR83" s="62"/>
      <c r="FS83" s="62"/>
      <c r="FT83" s="63" t="str">
        <f t="shared" ref="FT83" si="546">IF(SUM(FT70, FT82) &gt; 0, SUM(FT70, FT82), "")</f>
        <v/>
      </c>
      <c r="FU83" s="65" t="str">
        <f t="shared" ref="FU83" si="547">IF(SUM(FU70, FU82) &gt; 0, SUM(FU70, FU82), "")</f>
        <v/>
      </c>
      <c r="FV83" s="62">
        <f t="shared" ref="FV83" si="548">IF(SUM(FV70, FV82) &gt; 0, SUM(FV70, FV82), "")</f>
        <v>9</v>
      </c>
      <c r="FW83" s="62" t="str">
        <f t="shared" ref="FW83" si="549">IF(SUM(FW70, FW82) &gt; 0, SUM(FW70, FW82), "")</f>
        <v/>
      </c>
      <c r="FX83" s="62">
        <f t="shared" ref="FX83" si="550">IF(SUM(FX70, FX82) &gt; 0, SUM(FX70, FX82), "")</f>
        <v>8</v>
      </c>
      <c r="FY83" s="62" t="str">
        <f t="shared" ref="FY83" si="551">IF(SUM(FY70, FY82) &gt; 0, SUM(FY70, FY82), "")</f>
        <v/>
      </c>
      <c r="FZ83" s="62" t="str">
        <f t="shared" ref="FZ83" si="552">IF(SUM(FZ70, FZ82) &gt; 0, SUM(FZ70, FZ82), "")</f>
        <v/>
      </c>
      <c r="GA83" s="62"/>
      <c r="GB83" s="62"/>
      <c r="GC83" s="63" t="str">
        <f t="shared" ref="GC83" si="553">IF(SUM(GC70, GC82) &gt; 0, SUM(GC70, GC82), "")</f>
        <v/>
      </c>
      <c r="GD83" s="65" t="str">
        <f t="shared" ref="GD83" si="554">IF(SUM(GD70, GD82) &gt; 0, SUM(GD70, GD82), "")</f>
        <v/>
      </c>
      <c r="GE83" s="62" t="str">
        <f t="shared" ref="GE83" si="555">IF(SUM(GE70, GE82) &gt; 0, SUM(GE70, GE82), "")</f>
        <v/>
      </c>
      <c r="GF83" s="62" t="str">
        <f t="shared" ref="GF83" si="556">IF(SUM(GF70, GF82) &gt; 0, SUM(GF70, GF82), "")</f>
        <v/>
      </c>
      <c r="GG83" s="62" t="str">
        <f t="shared" ref="GG83" si="557">IF(SUM(GG70, GG82) &gt; 0, SUM(GG70, GG82), "")</f>
        <v/>
      </c>
      <c r="GH83" s="62" t="str">
        <f t="shared" ref="GH83" si="558">IF(SUM(GH70, GH82) &gt; 0, SUM(GH70, GH82), "")</f>
        <v/>
      </c>
      <c r="GI83" s="62" t="str">
        <f t="shared" ref="GI83" si="559">IF(SUM(GI70, GI82) &gt; 0, SUM(GI70, GI82), "")</f>
        <v/>
      </c>
      <c r="GJ83" s="63" t="str">
        <f t="shared" ref="GJ83" si="560">IF(SUM(GJ70, GJ82) &gt; 0, SUM(GJ70, GJ82), "")</f>
        <v/>
      </c>
      <c r="GK83" s="65" t="str">
        <f t="shared" ref="GK83" si="561">IF(SUM(GK70, GK82) &gt; 0, SUM(GK70, GK82), "")</f>
        <v/>
      </c>
      <c r="GL83" s="62" t="str">
        <f t="shared" ref="GL83" si="562">IF(SUM(GL70, GL82) &gt; 0, SUM(GL70, GL82), "")</f>
        <v/>
      </c>
      <c r="GM83" s="62" t="str">
        <f t="shared" ref="GM83" si="563">IF(SUM(GM70, GM82) &gt; 0, SUM(GM70, GM82), "")</f>
        <v/>
      </c>
      <c r="GN83" s="62" t="str">
        <f t="shared" ref="GN83" si="564">IF(SUM(GN70, GN82) &gt; 0, SUM(GN70, GN82), "")</f>
        <v/>
      </c>
      <c r="GO83" s="62" t="str">
        <f t="shared" ref="GO83" si="565">IF(SUM(GO70, GO82) &gt; 0, SUM(GO70, GO82), "")</f>
        <v/>
      </c>
      <c r="GP83" s="62" t="str">
        <f t="shared" ref="GP83" si="566">IF(SUM(GP70, GP82) &gt; 0, SUM(GP70, GP82), "")</f>
        <v/>
      </c>
      <c r="GQ83" s="63" t="str">
        <f t="shared" ref="GQ83" si="567">IF(SUM(GQ70, GQ82) &gt; 0, SUM(GQ70, GQ82), "")</f>
        <v/>
      </c>
      <c r="GR83" s="65" t="str">
        <f t="shared" ref="GR83" si="568">IF(SUM(GR70, GR82) &gt; 0, SUM(GR70, GR82), "")</f>
        <v/>
      </c>
      <c r="GS83" s="62" t="str">
        <f t="shared" ref="GS83" si="569">IF(SUM(GS70, GS82) &gt; 0, SUM(GS70, GS82), "")</f>
        <v/>
      </c>
      <c r="GT83" s="62" t="str">
        <f t="shared" ref="GT83" si="570">IF(SUM(GT70, GT82) &gt; 0, SUM(GT70, GT82), "")</f>
        <v/>
      </c>
      <c r="GU83" s="62" t="str">
        <f t="shared" ref="GU83" si="571">IF(SUM(GU70, GU82) &gt; 0, SUM(GU70, GU82), "")</f>
        <v/>
      </c>
      <c r="GV83" s="62" t="str">
        <f t="shared" ref="GV83" si="572">IF(SUM(GV70, GV82) &gt; 0, SUM(GV70, GV82), "")</f>
        <v/>
      </c>
      <c r="GW83" s="62" t="str">
        <f t="shared" ref="GW83" si="573">IF(SUM(GW70, GW82) &gt; 0, SUM(GW70, GW82), "")</f>
        <v/>
      </c>
      <c r="GX83" s="63" t="str">
        <f t="shared" ref="GX83" si="574">IF(SUM(GX70, GX82) &gt; 0, SUM(GX70, GX82), "")</f>
        <v/>
      </c>
      <c r="GY83" s="65" t="str">
        <f t="shared" ref="GY83" si="575">IF(SUM(GY70, GY82) &gt; 0, SUM(GY70, GY82), "")</f>
        <v/>
      </c>
      <c r="GZ83" s="62" t="str">
        <f t="shared" ref="GZ83" si="576">IF(SUM(GZ70, GZ82) &gt; 0, SUM(GZ70, GZ82), "")</f>
        <v/>
      </c>
      <c r="HA83" s="62" t="str">
        <f t="shared" ref="HA83" si="577">IF(SUM(HA70, HA82) &gt; 0, SUM(HA70, HA82), "")</f>
        <v/>
      </c>
      <c r="HB83" s="62" t="str">
        <f t="shared" ref="HB83" si="578">IF(SUM(HB70, HB82) &gt; 0, SUM(HB70, HB82), "")</f>
        <v/>
      </c>
      <c r="HC83" s="62" t="str">
        <f t="shared" ref="HC83" si="579">IF(SUM(HC70, HC82) &gt; 0, SUM(HC70, HC82), "")</f>
        <v/>
      </c>
      <c r="HD83" s="62" t="str">
        <f t="shared" ref="HD83" si="580">IF(SUM(HD70, HD82) &gt; 0, SUM(HD70, HD82), "")</f>
        <v/>
      </c>
      <c r="HE83" s="63" t="str">
        <f t="shared" ref="HE83" si="581">IF(SUM(HE70, HE82) &gt; 0, SUM(HE70, HE82), "")</f>
        <v/>
      </c>
      <c r="HF83" s="65" t="str">
        <f t="shared" ref="HF83" si="582">IF(SUM(HF70, HF82) &gt; 0, SUM(HF70, HF82), "")</f>
        <v/>
      </c>
      <c r="HG83" s="62" t="str">
        <f t="shared" ref="HG83" si="583">IF(SUM(HG70, HG82) &gt; 0, SUM(HG70, HG82), "")</f>
        <v/>
      </c>
      <c r="HH83" s="62" t="str">
        <f t="shared" ref="HH83" si="584">IF(SUM(HH70, HH82) &gt; 0, SUM(HH70, HH82), "")</f>
        <v/>
      </c>
      <c r="HI83" s="62" t="str">
        <f t="shared" ref="HI83" si="585">IF(SUM(HI70, HI82) &gt; 0, SUM(HI70, HI82), "")</f>
        <v/>
      </c>
      <c r="HJ83" s="62" t="str">
        <f t="shared" ref="HJ83" si="586">IF(SUM(HJ70, HJ82) &gt; 0, SUM(HJ70, HJ82), "")</f>
        <v/>
      </c>
      <c r="HK83" s="62" t="str">
        <f t="shared" ref="HK83" si="587">IF(SUM(HK70, HK82) &gt; 0, SUM(HK70, HK82), "")</f>
        <v/>
      </c>
      <c r="HL83" s="63" t="str">
        <f t="shared" ref="HL83" si="588">IF(SUM(HL70, HL82) &gt; 0, SUM(HL70, HL82), "")</f>
        <v/>
      </c>
      <c r="HM83" s="65" t="str">
        <f t="shared" ref="HM83" si="589">IF(SUM(HM70, HM82) &gt; 0, SUM(HM70, HM82), "")</f>
        <v/>
      </c>
      <c r="HN83" s="62" t="str">
        <f t="shared" ref="HN83" si="590">IF(SUM(HN70, HN82) &gt; 0, SUM(HN70, HN82), "")</f>
        <v/>
      </c>
      <c r="HO83" s="62" t="str">
        <f t="shared" ref="HO83" si="591">IF(SUM(HO70, HO82) &gt; 0, SUM(HO70, HO82), "")</f>
        <v/>
      </c>
      <c r="HP83" s="62" t="str">
        <f t="shared" ref="HP83" si="592">IF(SUM(HP70, HP82) &gt; 0, SUM(HP70, HP82), "")</f>
        <v/>
      </c>
      <c r="HQ83" s="62" t="str">
        <f t="shared" ref="HQ83" si="593">IF(SUM(HQ70, HQ82) &gt; 0, SUM(HQ70, HQ82), "")</f>
        <v/>
      </c>
      <c r="HR83" s="62" t="str">
        <f t="shared" ref="HR83" si="594">IF(SUM(HR70, HR82) &gt; 0, SUM(HR70, HR82), "")</f>
        <v/>
      </c>
      <c r="HS83" s="63" t="str">
        <f t="shared" ref="HS83" si="595">IF(SUM(HS70, HS82) &gt; 0, SUM(HS70, HS82), "")</f>
        <v/>
      </c>
      <c r="HT83" s="65" t="str">
        <f t="shared" ref="HT83" si="596">IF(SUM(HT70, HT82) &gt; 0, SUM(HT70, HT82), "")</f>
        <v/>
      </c>
      <c r="HU83" s="62" t="str">
        <f t="shared" ref="HU83" si="597">IF(SUM(HU70, HU82) &gt; 0, SUM(HU70, HU82), "")</f>
        <v/>
      </c>
      <c r="HV83" s="62" t="str">
        <f t="shared" ref="HV83" si="598">IF(SUM(HV70, HV82) &gt; 0, SUM(HV70, HV82), "")</f>
        <v/>
      </c>
      <c r="HW83" s="62" t="str">
        <f t="shared" ref="HW83" si="599">IF(SUM(HW70, HW82) &gt; 0, SUM(HW70, HW82), "")</f>
        <v/>
      </c>
      <c r="HX83" s="62" t="str">
        <f t="shared" ref="HX83" si="600">IF(SUM(HX70, HX82) &gt; 0, SUM(HX70, HX82), "")</f>
        <v/>
      </c>
      <c r="HY83" s="62" t="str">
        <f t="shared" ref="HY83" si="601">IF(SUM(HY70, HY82) &gt; 0, SUM(HY70, HY82), "")</f>
        <v/>
      </c>
      <c r="HZ83" s="63" t="str">
        <f t="shared" ref="HZ83" si="602">IF(SUM(HZ70, HZ82) &gt; 0, SUM(HZ70, HZ82), "")</f>
        <v/>
      </c>
      <c r="IA83" s="65" t="str">
        <f t="shared" ref="IA83" si="603">IF(SUM(IA70, IA82) &gt; 0, SUM(IA70, IA82), "")</f>
        <v/>
      </c>
      <c r="IB83" s="62" t="str">
        <f t="shared" ref="IB83" si="604">IF(SUM(IB70, IB82) &gt; 0, SUM(IB70, IB82), "")</f>
        <v/>
      </c>
      <c r="IC83" s="62" t="str">
        <f t="shared" ref="IC83" si="605">IF(SUM(IC70, IC82) &gt; 0, SUM(IC70, IC82), "")</f>
        <v/>
      </c>
      <c r="ID83" s="62" t="str">
        <f t="shared" ref="ID83" si="606">IF(SUM(ID70, ID82) &gt; 0, SUM(ID70, ID82), "")</f>
        <v/>
      </c>
      <c r="IE83" s="62" t="str">
        <f t="shared" ref="IE83" si="607">IF(SUM(IE70, IE82) &gt; 0, SUM(IE70, IE82), "")</f>
        <v/>
      </c>
      <c r="IF83" s="62" t="str">
        <f t="shared" ref="IF83" si="608">IF(SUM(IF70, IF82) &gt; 0, SUM(IF70, IF82), "")</f>
        <v/>
      </c>
      <c r="IG83" s="63" t="str">
        <f t="shared" ref="IG83" si="609">IF(SUM(IG70, IG82) &gt; 0, SUM(IG70, IG82), "")</f>
        <v/>
      </c>
      <c r="IH83" s="65" t="str">
        <f t="shared" ref="IH83" si="610">IF(SUM(IH70, IH82) &gt; 0, SUM(IH70, IH82), "")</f>
        <v/>
      </c>
      <c r="II83" s="62" t="str">
        <f t="shared" ref="II83" si="611">IF(SUM(II70, II82) &gt; 0, SUM(II70, II82), "")</f>
        <v/>
      </c>
      <c r="IJ83" s="62" t="str">
        <f t="shared" ref="IJ83" si="612">IF(SUM(IJ70, IJ82) &gt; 0, SUM(IJ70, IJ82), "")</f>
        <v/>
      </c>
      <c r="IK83" s="62" t="str">
        <f t="shared" ref="IK83" si="613">IF(SUM(IK70, IK82) &gt; 0, SUM(IK70, IK82), "")</f>
        <v/>
      </c>
      <c r="IL83" s="62" t="str">
        <f t="shared" ref="IL83" si="614">IF(SUM(IL70, IL82) &gt; 0, SUM(IL70, IL82), "")</f>
        <v/>
      </c>
      <c r="IM83" s="62" t="str">
        <f t="shared" ref="IM83" si="615">IF(SUM(IM70, IM82) &gt; 0, SUM(IM70, IM82), "")</f>
        <v/>
      </c>
      <c r="IN83" s="63" t="str">
        <f t="shared" ref="IN83" si="616">IF(SUM(IN70, IN82) &gt; 0, SUM(IN70, IN82), "")</f>
        <v/>
      </c>
      <c r="IO83" s="65" t="str">
        <f t="shared" ref="IO83" si="617">IF(SUM(IO70, IO82) &gt; 0, SUM(IO70, IO82), "")</f>
        <v/>
      </c>
      <c r="IP83" s="62" t="str">
        <f t="shared" ref="IP83" si="618">IF(SUM(IP70, IP82) &gt; 0, SUM(IP70, IP82), "")</f>
        <v/>
      </c>
      <c r="IQ83" s="62" t="str">
        <f t="shared" ref="IQ83" si="619">IF(SUM(IQ70, IQ82) &gt; 0, SUM(IQ70, IQ82), "")</f>
        <v/>
      </c>
      <c r="IR83" s="62" t="str">
        <f t="shared" ref="IR83" si="620">IF(SUM(IR70, IR82) &gt; 0, SUM(IR70, IR82), "")</f>
        <v/>
      </c>
      <c r="IS83" s="62" t="str">
        <f t="shared" ref="IS83" si="621">IF(SUM(IS70, IS82) &gt; 0, SUM(IS70, IS82), "")</f>
        <v/>
      </c>
      <c r="IT83" s="62" t="str">
        <f t="shared" ref="IT83" si="622">IF(SUM(IT70, IT82) &gt; 0, SUM(IT70, IT82), "")</f>
        <v/>
      </c>
      <c r="IU83" s="63" t="str">
        <f t="shared" ref="IU83" si="623">IF(SUM(IU70, IU82) &gt; 0, SUM(IU70, IU82), "")</f>
        <v/>
      </c>
      <c r="IV83" s="65" t="str">
        <f t="shared" ref="IV83" si="624">IF(SUM(IV70, IV82) &gt; 0, SUM(IV70, IV82), "")</f>
        <v/>
      </c>
      <c r="IW83" s="62" t="str">
        <f t="shared" ref="IW83" si="625">IF(SUM(IW70, IW82) &gt; 0, SUM(IW70, IW82), "")</f>
        <v/>
      </c>
      <c r="IX83" s="62" t="str">
        <f t="shared" ref="IX83" si="626">IF(SUM(IX70, IX82) &gt; 0, SUM(IX70, IX82), "")</f>
        <v/>
      </c>
      <c r="IY83" s="62" t="str">
        <f t="shared" ref="IY83" si="627">IF(SUM(IY70, IY82) &gt; 0, SUM(IY70, IY82), "")</f>
        <v/>
      </c>
      <c r="IZ83" s="62" t="str">
        <f t="shared" ref="IZ83" si="628">IF(SUM(IZ70, IZ82) &gt; 0, SUM(IZ70, IZ82), "")</f>
        <v/>
      </c>
      <c r="JA83" s="62" t="str">
        <f t="shared" ref="JA83" si="629">IF(SUM(JA70, JA82) &gt; 0, SUM(JA70, JA82), "")</f>
        <v/>
      </c>
      <c r="JB83" s="63" t="str">
        <f t="shared" ref="JB83" si="630">IF(SUM(JB70, JB82) &gt; 0, SUM(JB70, JB82), "")</f>
        <v/>
      </c>
      <c r="JC83" s="65" t="str">
        <f t="shared" ref="JC83" si="631">IF(SUM(JC70, JC82) &gt; 0, SUM(JC70, JC82), "")</f>
        <v/>
      </c>
      <c r="JD83" s="62" t="str">
        <f t="shared" ref="JD83" si="632">IF(SUM(JD70, JD82) &gt; 0, SUM(JD70, JD82), "")</f>
        <v/>
      </c>
      <c r="JE83" s="62" t="str">
        <f t="shared" ref="JE83" si="633">IF(SUM(JE70, JE82) &gt; 0, SUM(JE70, JE82), "")</f>
        <v/>
      </c>
      <c r="JF83" s="62" t="str">
        <f t="shared" ref="JF83" si="634">IF(SUM(JF70, JF82) &gt; 0, SUM(JF70, JF82), "")</f>
        <v/>
      </c>
      <c r="JG83" s="62" t="str">
        <f t="shared" ref="JG83" si="635">IF(SUM(JG70, JG82) &gt; 0, SUM(JG70, JG82), "")</f>
        <v/>
      </c>
      <c r="JH83" s="62" t="str">
        <f t="shared" ref="JH83" si="636">IF(SUM(JH70, JH82) &gt; 0, SUM(JH70, JH82), "")</f>
        <v/>
      </c>
      <c r="JI83" s="63" t="str">
        <f t="shared" ref="JI83" si="637">IF(SUM(JI70, JI82) &gt; 0, SUM(JI70, JI82), "")</f>
        <v/>
      </c>
      <c r="JJ83" s="65" t="str">
        <f t="shared" ref="JJ83" si="638">IF(SUM(JJ70, JJ82) &gt; 0, SUM(JJ70, JJ82), "")</f>
        <v/>
      </c>
      <c r="JK83" s="62" t="str">
        <f t="shared" ref="JK83" si="639">IF(SUM(JK70, JK82) &gt; 0, SUM(JK70, JK82), "")</f>
        <v/>
      </c>
      <c r="JL83" s="62" t="str">
        <f t="shared" ref="JL83" si="640">IF(SUM(JL70, JL82) &gt; 0, SUM(JL70, JL82), "")</f>
        <v/>
      </c>
      <c r="JM83" s="62" t="str">
        <f t="shared" ref="JM83" si="641">IF(SUM(JM70, JM82) &gt; 0, SUM(JM70, JM82), "")</f>
        <v/>
      </c>
      <c r="JN83" s="62" t="str">
        <f t="shared" ref="JN83" si="642">IF(SUM(JN70, JN82) &gt; 0, SUM(JN70, JN82), "")</f>
        <v/>
      </c>
      <c r="JO83" s="62" t="str">
        <f t="shared" ref="JO83" si="643">IF(SUM(JO70, JO82) &gt; 0, SUM(JO70, JO82), "")</f>
        <v/>
      </c>
      <c r="JP83" s="63" t="str">
        <f t="shared" ref="JP83" si="644">IF(SUM(JP70, JP82) &gt; 0, SUM(JP70, JP82), "")</f>
        <v/>
      </c>
      <c r="JQ83" s="65" t="str">
        <f t="shared" ref="JQ83" si="645">IF(SUM(JQ70, JQ82) &gt; 0, SUM(JQ70, JQ82), "")</f>
        <v/>
      </c>
      <c r="JR83" s="62" t="str">
        <f t="shared" ref="JR83" si="646">IF(SUM(JR70, JR82) &gt; 0, SUM(JR70, JR82), "")</f>
        <v/>
      </c>
      <c r="JS83" s="62" t="str">
        <f t="shared" ref="JS83" si="647">IF(SUM(JS70, JS82) &gt; 0, SUM(JS70, JS82), "")</f>
        <v/>
      </c>
      <c r="JT83" s="62" t="str">
        <f t="shared" ref="JT83" si="648">IF(SUM(JT70, JT82) &gt; 0, SUM(JT70, JT82), "")</f>
        <v/>
      </c>
      <c r="JU83" s="62" t="str">
        <f t="shared" ref="JU83" si="649">IF(SUM(JU70, JU82) &gt; 0, SUM(JU70, JU82), "")</f>
        <v/>
      </c>
      <c r="JV83" s="62" t="str">
        <f t="shared" ref="JV83" si="650">IF(SUM(JV70, JV82) &gt; 0, SUM(JV70, JV82), "")</f>
        <v/>
      </c>
      <c r="JW83" s="63" t="str">
        <f t="shared" ref="JW83" si="651">IF(SUM(JW70, JW82) &gt; 0, SUM(JW70, JW82), "")</f>
        <v/>
      </c>
      <c r="JX83" s="65" t="str">
        <f t="shared" ref="JX83" si="652">IF(SUM(JX70, JX82) &gt; 0, SUM(JX70, JX82), "")</f>
        <v/>
      </c>
      <c r="JY83" s="62" t="str">
        <f t="shared" ref="JY83" si="653">IF(SUM(JY70, JY82) &gt; 0, SUM(JY70, JY82), "")</f>
        <v/>
      </c>
      <c r="JZ83" s="62" t="str">
        <f t="shared" ref="JZ83" si="654">IF(SUM(JZ70, JZ82) &gt; 0, SUM(JZ70, JZ82), "")</f>
        <v/>
      </c>
      <c r="KA83" s="62" t="str">
        <f t="shared" ref="KA83" si="655">IF(SUM(KA70, KA82) &gt; 0, SUM(KA70, KA82), "")</f>
        <v/>
      </c>
      <c r="KB83" s="62" t="str">
        <f t="shared" ref="KB83" si="656">IF(SUM(KB70, KB82) &gt; 0, SUM(KB70, KB82), "")</f>
        <v/>
      </c>
      <c r="KC83" s="62" t="str">
        <f t="shared" ref="KC83" si="657">IF(SUM(KC70, KC82) &gt; 0, SUM(KC70, KC82), "")</f>
        <v/>
      </c>
      <c r="KD83" s="63" t="str">
        <f t="shared" ref="KD83" si="658">IF(SUM(KD70, KD82) &gt; 0, SUM(KD70, KD82), "")</f>
        <v/>
      </c>
      <c r="KE83" s="65" t="str">
        <f t="shared" ref="KE83" si="659">IF(SUM(KE70, KE82) &gt; 0, SUM(KE70, KE82), "")</f>
        <v/>
      </c>
      <c r="KF83" s="62" t="str">
        <f t="shared" ref="KF83" si="660">IF(SUM(KF70, KF82) &gt; 0, SUM(KF70, KF82), "")</f>
        <v/>
      </c>
      <c r="KG83" s="62" t="str">
        <f t="shared" ref="KG83" si="661">IF(SUM(KG70, KG82) &gt; 0, SUM(KG70, KG82), "")</f>
        <v/>
      </c>
      <c r="KH83" s="62" t="str">
        <f t="shared" ref="KH83" si="662">IF(SUM(KH70, KH82) &gt; 0, SUM(KH70, KH82), "")</f>
        <v/>
      </c>
      <c r="KI83" s="62" t="str">
        <f t="shared" ref="KI83" si="663">IF(SUM(KI70, KI82) &gt; 0, SUM(KI70, KI82), "")</f>
        <v/>
      </c>
      <c r="KJ83" s="62" t="str">
        <f t="shared" ref="KJ83" si="664">IF(SUM(KJ70, KJ82) &gt; 0, SUM(KJ70, KJ82), "")</f>
        <v/>
      </c>
      <c r="KK83" s="63" t="str">
        <f t="shared" ref="KK83" si="665">IF(SUM(KK70, KK82) &gt; 0, SUM(KK70, KK82), "")</f>
        <v/>
      </c>
      <c r="KL83" s="65" t="str">
        <f t="shared" ref="KL83" si="666">IF(SUM(KL70, KL82) &gt; 0, SUM(KL70, KL82), "")</f>
        <v/>
      </c>
      <c r="KM83" s="62" t="str">
        <f t="shared" ref="KM83" si="667">IF(SUM(KM70, KM82) &gt; 0, SUM(KM70, KM82), "")</f>
        <v/>
      </c>
      <c r="KN83" s="62" t="str">
        <f t="shared" ref="KN83" si="668">IF(SUM(KN70, KN82) &gt; 0, SUM(KN70, KN82), "")</f>
        <v/>
      </c>
      <c r="KO83" s="62" t="str">
        <f t="shared" ref="KO83" si="669">IF(SUM(KO70, KO82) &gt; 0, SUM(KO70, KO82), "")</f>
        <v/>
      </c>
      <c r="KP83" s="62" t="str">
        <f t="shared" ref="KP83" si="670">IF(SUM(KP70, KP82) &gt; 0, SUM(KP70, KP82), "")</f>
        <v/>
      </c>
      <c r="KQ83" s="62" t="str">
        <f t="shared" ref="KQ83" si="671">IF(SUM(KQ70, KQ82) &gt; 0, SUM(KQ70, KQ82), "")</f>
        <v/>
      </c>
      <c r="KR83" s="63" t="str">
        <f t="shared" ref="KR83" si="672">IF(SUM(KR70, KR82) &gt; 0, SUM(KR70, KR82), "")</f>
        <v/>
      </c>
      <c r="KS83" s="65" t="str">
        <f t="shared" ref="KS83" si="673">IF(SUM(KS70, KS82) &gt; 0, SUM(KS70, KS82), "")</f>
        <v/>
      </c>
      <c r="KT83" s="62" t="str">
        <f t="shared" ref="KT83" si="674">IF(SUM(KT70, KT82) &gt; 0, SUM(KT70, KT82), "")</f>
        <v/>
      </c>
      <c r="KU83" s="62" t="str">
        <f t="shared" ref="KU83" si="675">IF(SUM(KU70, KU82) &gt; 0, SUM(KU70, KU82), "")</f>
        <v/>
      </c>
      <c r="KV83" s="62" t="str">
        <f t="shared" ref="KV83" si="676">IF(SUM(KV70, KV82) &gt; 0, SUM(KV70, KV82), "")</f>
        <v/>
      </c>
      <c r="KW83" s="62" t="str">
        <f t="shared" ref="KW83" si="677">IF(SUM(KW70, KW82) &gt; 0, SUM(KW70, KW82), "")</f>
        <v/>
      </c>
      <c r="KX83" s="62" t="str">
        <f t="shared" ref="KX83" si="678">IF(SUM(KX70, KX82) &gt; 0, SUM(KX70, KX82), "")</f>
        <v/>
      </c>
      <c r="KY83" s="63" t="str">
        <f t="shared" ref="KY83" si="679">IF(SUM(KY70, KY82) &gt; 0, SUM(KY70, KY82), "")</f>
        <v/>
      </c>
      <c r="KZ83" s="65" t="str">
        <f t="shared" ref="KZ83" si="680">IF(SUM(KZ70, KZ82) &gt; 0, SUM(KZ70, KZ82), "")</f>
        <v/>
      </c>
      <c r="LA83" s="62" t="str">
        <f t="shared" ref="LA83" si="681">IF(SUM(LA70, LA82) &gt; 0, SUM(LA70, LA82), "")</f>
        <v/>
      </c>
      <c r="LB83" s="62" t="str">
        <f t="shared" ref="LB83" si="682">IF(SUM(LB70, LB82) &gt; 0, SUM(LB70, LB82), "")</f>
        <v/>
      </c>
      <c r="LC83" s="62" t="str">
        <f t="shared" ref="LC83" si="683">IF(SUM(LC70, LC82) &gt; 0, SUM(LC70, LC82), "")</f>
        <v/>
      </c>
      <c r="LD83" s="62" t="str">
        <f t="shared" ref="LD83" si="684">IF(SUM(LD70, LD82) &gt; 0, SUM(LD70, LD82), "")</f>
        <v/>
      </c>
      <c r="LE83" s="62" t="str">
        <f t="shared" ref="LE83" si="685">IF(SUM(LE70, LE82) &gt; 0, SUM(LE70, LE82), "")</f>
        <v/>
      </c>
      <c r="LF83" s="63" t="str">
        <f t="shared" ref="LF83" si="686">IF(SUM(LF70, LF82) &gt; 0, SUM(LF70, LF82), "")</f>
        <v/>
      </c>
      <c r="LG83" s="65" t="str">
        <f t="shared" ref="LG83" si="687">IF(SUM(LG70, LG82) &gt; 0, SUM(LG70, LG82), "")</f>
        <v/>
      </c>
      <c r="LH83" s="62" t="str">
        <f t="shared" ref="LH83" si="688">IF(SUM(LH70, LH82) &gt; 0, SUM(LH70, LH82), "")</f>
        <v/>
      </c>
      <c r="LI83" s="62" t="str">
        <f t="shared" ref="LI83" si="689">IF(SUM(LI70, LI82) &gt; 0, SUM(LI70, LI82), "")</f>
        <v/>
      </c>
      <c r="LJ83" s="62" t="str">
        <f t="shared" ref="LJ83" si="690">IF(SUM(LJ70, LJ82) &gt; 0, SUM(LJ70, LJ82), "")</f>
        <v/>
      </c>
      <c r="LK83" s="62" t="str">
        <f t="shared" ref="LK83" si="691">IF(SUM(LK70, LK82) &gt; 0, SUM(LK70, LK82), "")</f>
        <v/>
      </c>
      <c r="LL83" s="62" t="str">
        <f t="shared" ref="LL83" si="692">IF(SUM(LL70, LL82) &gt; 0, SUM(LL70, LL82), "")</f>
        <v/>
      </c>
      <c r="LM83" s="63" t="str">
        <f t="shared" ref="LM83" si="693">IF(SUM(LM70, LM82) &gt; 0, SUM(LM70, LM82), "")</f>
        <v/>
      </c>
      <c r="LN83" s="65" t="str">
        <f t="shared" ref="LN83" si="694">IF(SUM(LN70, LN82) &gt; 0, SUM(LN70, LN82), "")</f>
        <v/>
      </c>
      <c r="LO83" s="62" t="str">
        <f t="shared" ref="LO83" si="695">IF(SUM(LO70, LO82) &gt; 0, SUM(LO70, LO82), "")</f>
        <v/>
      </c>
      <c r="LP83" s="62" t="str">
        <f t="shared" ref="LP83" si="696">IF(SUM(LP70, LP82) &gt; 0, SUM(LP70, LP82), "")</f>
        <v/>
      </c>
      <c r="LQ83" s="62" t="str">
        <f t="shared" ref="LQ83" si="697">IF(SUM(LQ70, LQ82) &gt; 0, SUM(LQ70, LQ82), "")</f>
        <v/>
      </c>
      <c r="LR83" s="62" t="str">
        <f t="shared" ref="LR83" si="698">IF(SUM(LR70, LR82) &gt; 0, SUM(LR70, LR82), "")</f>
        <v/>
      </c>
      <c r="LS83" s="62" t="str">
        <f t="shared" ref="LS83" si="699">IF(SUM(LS70, LS82) &gt; 0, SUM(LS70, LS82), "")</f>
        <v/>
      </c>
      <c r="LT83" s="63" t="str">
        <f t="shared" ref="LT83" si="700">IF(SUM(LT70, LT82) &gt; 0, SUM(LT70, LT82), "")</f>
        <v/>
      </c>
      <c r="LU83" s="65" t="str">
        <f t="shared" ref="LU83" si="701">IF(SUM(LU70, LU82) &gt; 0, SUM(LU70, LU82), "")</f>
        <v/>
      </c>
      <c r="LV83" s="62" t="str">
        <f t="shared" ref="LV83" si="702">IF(SUM(LV70, LV82) &gt; 0, SUM(LV70, LV82), "")</f>
        <v/>
      </c>
      <c r="LW83" s="62" t="str">
        <f t="shared" ref="LW83" si="703">IF(SUM(LW70, LW82) &gt; 0, SUM(LW70, LW82), "")</f>
        <v/>
      </c>
      <c r="LX83" s="62" t="str">
        <f t="shared" ref="LX83" si="704">IF(SUM(LX70, LX82) &gt; 0, SUM(LX70, LX82), "")</f>
        <v/>
      </c>
      <c r="LY83" s="62" t="str">
        <f t="shared" ref="LY83" si="705">IF(SUM(LY70, LY82) &gt; 0, SUM(LY70, LY82), "")</f>
        <v/>
      </c>
      <c r="LZ83" s="62" t="str">
        <f t="shared" ref="LZ83" si="706">IF(SUM(LZ70, LZ82) &gt; 0, SUM(LZ70, LZ82), "")</f>
        <v/>
      </c>
      <c r="MA83" s="63" t="str">
        <f t="shared" ref="MA83" si="707">IF(SUM(MA70, MA82) &gt; 0, SUM(MA70, MA82), "")</f>
        <v/>
      </c>
      <c r="MB83" s="65" t="str">
        <f t="shared" ref="MB83" si="708">IF(SUM(MB70, MB82) &gt; 0, SUM(MB70, MB82), "")</f>
        <v/>
      </c>
      <c r="MC83" s="62" t="str">
        <f t="shared" ref="MC83" si="709">IF(SUM(MC70, MC82) &gt; 0, SUM(MC70, MC82), "")</f>
        <v/>
      </c>
      <c r="MD83" s="62" t="str">
        <f t="shared" ref="MD83" si="710">IF(SUM(MD70, MD82) &gt; 0, SUM(MD70, MD82), "")</f>
        <v/>
      </c>
      <c r="ME83" s="62" t="str">
        <f t="shared" ref="ME83" si="711">IF(SUM(ME70, ME82) &gt; 0, SUM(ME70, ME82), "")</f>
        <v/>
      </c>
      <c r="MF83" s="62" t="str">
        <f t="shared" ref="MF83" si="712">IF(SUM(MF70, MF82) &gt; 0, SUM(MF70, MF82), "")</f>
        <v/>
      </c>
      <c r="MG83" s="62" t="str">
        <f t="shared" ref="MG83" si="713">IF(SUM(MG70, MG82) &gt; 0, SUM(MG70, MG82), "")</f>
        <v/>
      </c>
      <c r="MH83" s="63" t="str">
        <f t="shared" ref="MH83" si="714">IF(SUM(MH70, MH82) &gt; 0, SUM(MH70, MH82), "")</f>
        <v/>
      </c>
      <c r="MI83" s="65" t="str">
        <f t="shared" ref="MI83" si="715">IF(SUM(MI70, MI82) &gt; 0, SUM(MI70, MI82), "")</f>
        <v/>
      </c>
      <c r="MJ83" s="62" t="str">
        <f t="shared" ref="MJ83" si="716">IF(SUM(MJ70, MJ82) &gt; 0, SUM(MJ70, MJ82), "")</f>
        <v/>
      </c>
      <c r="MK83" s="62" t="str">
        <f t="shared" ref="MK83" si="717">IF(SUM(MK70, MK82) &gt; 0, SUM(MK70, MK82), "")</f>
        <v/>
      </c>
      <c r="ML83" s="62" t="str">
        <f t="shared" ref="ML83" si="718">IF(SUM(ML70, ML82) &gt; 0, SUM(ML70, ML82), "")</f>
        <v/>
      </c>
      <c r="MM83" s="62" t="str">
        <f t="shared" ref="MM83" si="719">IF(SUM(MM70, MM82) &gt; 0, SUM(MM70, MM82), "")</f>
        <v/>
      </c>
      <c r="MN83" s="62" t="str">
        <f t="shared" ref="MN83" si="720">IF(SUM(MN70, MN82) &gt; 0, SUM(MN70, MN82), "")</f>
        <v/>
      </c>
      <c r="MO83" s="63" t="str">
        <f t="shared" ref="MO83" si="721">IF(SUM(MO70, MO82) &gt; 0, SUM(MO70, MO82), "")</f>
        <v/>
      </c>
      <c r="MP83" s="65" t="str">
        <f t="shared" ref="MP83" si="722">IF(SUM(MP70, MP82) &gt; 0, SUM(MP70, MP82), "")</f>
        <v/>
      </c>
      <c r="MQ83" s="62" t="str">
        <f t="shared" ref="MQ83" si="723">IF(SUM(MQ70, MQ82) &gt; 0, SUM(MQ70, MQ82), "")</f>
        <v/>
      </c>
      <c r="MR83" s="62" t="str">
        <f t="shared" ref="MR83" si="724">IF(SUM(MR70, MR82) &gt; 0, SUM(MR70, MR82), "")</f>
        <v/>
      </c>
      <c r="MS83" s="62" t="str">
        <f t="shared" ref="MS83" si="725">IF(SUM(MS70, MS82) &gt; 0, SUM(MS70, MS82), "")</f>
        <v/>
      </c>
      <c r="MT83" s="62" t="str">
        <f t="shared" ref="MT83" si="726">IF(SUM(MT70, MT82) &gt; 0, SUM(MT70, MT82), "")</f>
        <v/>
      </c>
      <c r="MU83" s="62" t="str">
        <f t="shared" ref="MU83" si="727">IF(SUM(MU70, MU82) &gt; 0, SUM(MU70, MU82), "")</f>
        <v/>
      </c>
      <c r="MV83" s="63" t="str">
        <f t="shared" ref="MV83" si="728">IF(SUM(MV70, MV82) &gt; 0, SUM(MV70, MV82), "")</f>
        <v/>
      </c>
    </row>
    <row r="84" spans="1:360"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J84" s="7"/>
      <c r="GQ84" s="7"/>
      <c r="GX84" s="7"/>
      <c r="HE84" s="7"/>
      <c r="HL84" s="7"/>
      <c r="HS84" s="7"/>
      <c r="HZ84" s="7"/>
      <c r="IG84" s="7"/>
      <c r="IN84" s="7"/>
      <c r="IU84" s="7"/>
      <c r="JB84" s="7"/>
      <c r="JI84" s="7"/>
      <c r="JP84" s="7"/>
      <c r="JW84" s="7"/>
      <c r="KD84" s="7"/>
      <c r="KK84" s="7"/>
      <c r="KR84" s="7"/>
      <c r="KY84" s="7"/>
      <c r="LF84" s="7"/>
      <c r="LM84" s="7"/>
      <c r="LT84" s="7"/>
      <c r="MA84" s="7"/>
      <c r="MH84" s="7"/>
      <c r="MO84" s="7"/>
      <c r="MV84" s="7"/>
    </row>
    <row r="85" spans="1:360"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2"/>
      <c r="GK85" s="11"/>
      <c r="GL85" s="11"/>
      <c r="GM85" s="11"/>
      <c r="GN85" s="11"/>
      <c r="GO85" s="11"/>
      <c r="GP85" s="11"/>
      <c r="GQ85" s="12"/>
      <c r="GR85" s="11"/>
      <c r="GS85" s="11"/>
      <c r="GT85" s="11"/>
      <c r="GU85" s="11"/>
      <c r="GV85" s="11"/>
      <c r="GW85" s="11"/>
      <c r="GX85" s="12"/>
      <c r="GY85" s="11"/>
      <c r="GZ85" s="11"/>
      <c r="HA85" s="11"/>
      <c r="HB85" s="11"/>
      <c r="HC85" s="11"/>
      <c r="HD85" s="11"/>
      <c r="HE85" s="12"/>
      <c r="HF85" s="11"/>
      <c r="HG85" s="11"/>
      <c r="HH85" s="11"/>
      <c r="HI85" s="11"/>
      <c r="HJ85" s="11"/>
      <c r="HK85" s="11"/>
      <c r="HL85" s="12"/>
      <c r="HM85" s="11"/>
      <c r="HN85" s="11"/>
      <c r="HO85" s="11"/>
      <c r="HP85" s="11"/>
      <c r="HQ85" s="11"/>
      <c r="HR85" s="11"/>
      <c r="HS85" s="12"/>
      <c r="HT85" s="11"/>
      <c r="HU85" s="11"/>
      <c r="HV85" s="11"/>
      <c r="HW85" s="11"/>
      <c r="HX85" s="11"/>
      <c r="HY85" s="11"/>
      <c r="HZ85" s="12"/>
      <c r="IA85" s="11"/>
      <c r="IB85" s="11"/>
      <c r="IC85" s="11"/>
      <c r="ID85" s="11"/>
      <c r="IE85" s="11"/>
      <c r="IF85" s="11"/>
      <c r="IG85" s="12"/>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row>
    <row r="86" spans="1:360" x14ac:dyDescent="0.25">
      <c r="A86" s="8" t="s">
        <v>23</v>
      </c>
      <c r="B86" s="8"/>
      <c r="C86" s="8"/>
      <c r="D86" s="8"/>
      <c r="E86" s="8"/>
      <c r="F86" s="10"/>
      <c r="G86" s="19"/>
      <c r="H86" s="19"/>
      <c r="I86" s="8"/>
      <c r="J86" s="8"/>
      <c r="K86" s="8"/>
      <c r="L86" s="8"/>
      <c r="M86" s="8"/>
      <c r="N86" s="8"/>
      <c r="O86" s="9"/>
      <c r="P86" s="8">
        <f t="shared" ref="P86:P91" si="729">IF(SUM(S86:MV86) &gt; 0, SUM(S86:MV86), "")</f>
        <v>72</v>
      </c>
      <c r="Q86" s="109">
        <f t="shared" ref="Q86:Q92" si="73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GC86" s="7"/>
      <c r="GJ86" s="7"/>
      <c r="GQ86" s="7"/>
      <c r="GX86" s="7"/>
      <c r="HE86" s="7"/>
      <c r="HL86" s="7"/>
      <c r="HS86" s="7"/>
      <c r="HZ86" s="7"/>
      <c r="IG86" s="7"/>
      <c r="IN86" s="7"/>
      <c r="IU86" s="7"/>
      <c r="JB86" s="7"/>
      <c r="JI86" s="7"/>
      <c r="JP86" s="7"/>
      <c r="JW86" s="7"/>
      <c r="KD86" s="7"/>
      <c r="KK86" s="7"/>
      <c r="KR86" s="7"/>
      <c r="KY86" s="7"/>
      <c r="LF86" s="7"/>
      <c r="LM86" s="7"/>
      <c r="LT86" s="7"/>
      <c r="MA86" s="7"/>
      <c r="MH86" s="7"/>
      <c r="MO86" s="7"/>
      <c r="MV86" s="7"/>
    </row>
    <row r="87" spans="1:360" x14ac:dyDescent="0.25">
      <c r="A87" s="8" t="s">
        <v>22</v>
      </c>
      <c r="B87" s="8"/>
      <c r="C87" s="8"/>
      <c r="D87" s="8"/>
      <c r="E87" s="8"/>
      <c r="F87" s="10"/>
      <c r="G87" s="19"/>
      <c r="H87" s="19"/>
      <c r="I87" s="8"/>
      <c r="J87" s="8"/>
      <c r="K87" s="8"/>
      <c r="L87" s="8"/>
      <c r="M87" s="8"/>
      <c r="N87" s="8"/>
      <c r="O87" s="9"/>
      <c r="P87" s="8" t="str">
        <f t="shared" si="729"/>
        <v/>
      </c>
      <c r="Q87" s="109" t="str">
        <f t="shared" si="730"/>
        <v/>
      </c>
      <c r="R87" s="84"/>
      <c r="S87" s="7"/>
      <c r="Z87" s="7"/>
      <c r="AG87" s="7"/>
      <c r="AN87" s="7"/>
      <c r="AU87" s="7"/>
      <c r="BB87" s="7"/>
      <c r="BI87" s="7"/>
      <c r="BP87" s="7"/>
      <c r="BY87" s="7"/>
      <c r="CH87" s="7"/>
      <c r="CQ87" s="7"/>
      <c r="CZ87" s="7"/>
      <c r="DI87" s="7"/>
      <c r="DR87" s="7"/>
      <c r="EA87" s="7"/>
      <c r="EJ87" s="7"/>
      <c r="ES87" s="7"/>
      <c r="FB87" s="7"/>
      <c r="FK87" s="7"/>
      <c r="FT87" s="7"/>
      <c r="GC87" s="7"/>
      <c r="GJ87" s="7"/>
      <c r="GQ87" s="7"/>
      <c r="GX87" s="7"/>
      <c r="HE87" s="7"/>
      <c r="HL87" s="7"/>
      <c r="HS87" s="7"/>
      <c r="HZ87" s="7"/>
      <c r="IG87" s="7"/>
      <c r="IN87" s="7"/>
      <c r="IU87" s="7"/>
      <c r="JB87" s="7"/>
      <c r="JI87" s="7"/>
      <c r="JP87" s="7"/>
      <c r="JW87" s="7"/>
      <c r="KD87" s="7"/>
      <c r="KK87" s="7"/>
      <c r="KR87" s="7"/>
      <c r="KY87" s="7"/>
      <c r="LF87" s="7"/>
      <c r="LM87" s="7"/>
      <c r="LT87" s="7"/>
      <c r="MA87" s="7"/>
      <c r="MH87" s="7"/>
      <c r="MO87" s="7"/>
      <c r="MV87" s="7"/>
    </row>
    <row r="88" spans="1:360" x14ac:dyDescent="0.25">
      <c r="A88" s="8" t="s">
        <v>21</v>
      </c>
      <c r="B88" s="8"/>
      <c r="C88" s="8"/>
      <c r="D88" s="8"/>
      <c r="E88" s="8"/>
      <c r="F88" s="10"/>
      <c r="G88" s="19"/>
      <c r="H88" s="19"/>
      <c r="I88" s="8"/>
      <c r="J88" s="8"/>
      <c r="K88" s="8"/>
      <c r="L88" s="8"/>
      <c r="M88" s="8"/>
      <c r="N88" s="8"/>
      <c r="O88" s="9"/>
      <c r="P88" s="8" t="str">
        <f t="shared" si="729"/>
        <v/>
      </c>
      <c r="Q88" s="109" t="str">
        <f t="shared" si="730"/>
        <v/>
      </c>
      <c r="R88" s="84"/>
      <c r="S88" s="7"/>
      <c r="Z88" s="7"/>
      <c r="AG88" s="7"/>
      <c r="AN88" s="7"/>
      <c r="AU88" s="7"/>
      <c r="BB88" s="7"/>
      <c r="BI88" s="7"/>
      <c r="BP88" s="7"/>
      <c r="BY88" s="7"/>
      <c r="CH88" s="7"/>
      <c r="CQ88" s="7"/>
      <c r="CZ88" s="7"/>
      <c r="DI88" s="7"/>
      <c r="DR88" s="7"/>
      <c r="EA88" s="7"/>
      <c r="EJ88" s="7"/>
      <c r="ES88" s="7"/>
      <c r="FB88" s="7"/>
      <c r="FK88" s="7"/>
      <c r="FT88" s="7"/>
      <c r="GC88" s="7"/>
      <c r="GJ88" s="7"/>
      <c r="GQ88" s="7"/>
      <c r="GX88" s="7"/>
      <c r="HE88" s="7"/>
      <c r="HL88" s="7"/>
      <c r="HS88" s="7"/>
      <c r="HZ88" s="7"/>
      <c r="IG88" s="7"/>
      <c r="IN88" s="7"/>
      <c r="IU88" s="7"/>
      <c r="JB88" s="7"/>
      <c r="JI88" s="7"/>
      <c r="JP88" s="7"/>
      <c r="JW88" s="7"/>
      <c r="KD88" s="7"/>
      <c r="KK88" s="7"/>
      <c r="KR88" s="7"/>
      <c r="KY88" s="7"/>
      <c r="LF88" s="7"/>
      <c r="LM88" s="7"/>
      <c r="LT88" s="7"/>
      <c r="MA88" s="7"/>
      <c r="MH88" s="7"/>
      <c r="MO88" s="7"/>
      <c r="MV88" s="7"/>
    </row>
    <row r="89" spans="1:360" x14ac:dyDescent="0.25">
      <c r="A89" s="8" t="s">
        <v>20</v>
      </c>
      <c r="B89" s="8"/>
      <c r="C89" s="8"/>
      <c r="D89" s="8"/>
      <c r="E89" s="8"/>
      <c r="F89" s="10"/>
      <c r="G89" s="19"/>
      <c r="H89" s="19"/>
      <c r="I89" s="8"/>
      <c r="J89" s="8"/>
      <c r="K89" s="8"/>
      <c r="L89" s="8"/>
      <c r="M89" s="8"/>
      <c r="N89" s="8"/>
      <c r="O89" s="9"/>
      <c r="P89" s="8" t="str">
        <f t="shared" si="729"/>
        <v/>
      </c>
      <c r="Q89" s="109" t="str">
        <f t="shared" si="730"/>
        <v/>
      </c>
      <c r="R89" s="84"/>
      <c r="S89" s="7"/>
      <c r="Z89" s="7"/>
      <c r="AG89" s="7"/>
      <c r="AN89" s="7"/>
      <c r="AU89" s="7"/>
      <c r="BB89" s="7"/>
      <c r="BI89" s="7"/>
      <c r="BP89" s="7"/>
      <c r="BY89" s="7"/>
      <c r="CH89" s="7"/>
      <c r="CQ89" s="7"/>
      <c r="CZ89" s="7"/>
      <c r="DI89" s="7"/>
      <c r="DR89" s="7"/>
      <c r="EA89" s="7"/>
      <c r="EJ89" s="7"/>
      <c r="ES89" s="7"/>
      <c r="FB89" s="7"/>
      <c r="FK89" s="7"/>
      <c r="FT89" s="7"/>
      <c r="GC89" s="7"/>
      <c r="GJ89" s="7"/>
      <c r="GQ89" s="7"/>
      <c r="GX89" s="7"/>
      <c r="HE89" s="7"/>
      <c r="HL89" s="7"/>
      <c r="HS89" s="7"/>
      <c r="HZ89" s="7"/>
      <c r="IG89" s="7"/>
      <c r="IN89" s="7"/>
      <c r="IU89" s="7"/>
      <c r="JB89" s="7"/>
      <c r="JI89" s="7"/>
      <c r="JP89" s="7"/>
      <c r="JW89" s="7"/>
      <c r="KD89" s="7"/>
      <c r="KK89" s="7"/>
      <c r="KR89" s="7"/>
      <c r="KY89" s="7"/>
      <c r="LF89" s="7"/>
      <c r="LM89" s="7"/>
      <c r="LT89" s="7"/>
      <c r="MA89" s="7"/>
      <c r="MH89" s="7"/>
      <c r="MO89" s="7"/>
      <c r="MV89" s="7"/>
    </row>
    <row r="90" spans="1:360" x14ac:dyDescent="0.25">
      <c r="A90" s="8" t="s">
        <v>152</v>
      </c>
      <c r="B90" s="8"/>
      <c r="C90" s="8"/>
      <c r="D90" s="8"/>
      <c r="E90" s="8"/>
      <c r="F90" s="10"/>
      <c r="G90" s="19"/>
      <c r="H90" s="19"/>
      <c r="I90" s="8"/>
      <c r="J90" s="8"/>
      <c r="K90" s="8"/>
      <c r="L90" s="8"/>
      <c r="M90" s="8"/>
      <c r="N90" s="8"/>
      <c r="O90" s="9"/>
      <c r="P90" s="8">
        <f t="shared" si="729"/>
        <v>1</v>
      </c>
      <c r="Q90" s="109">
        <f t="shared" si="730"/>
        <v>1.3888888888888888</v>
      </c>
      <c r="R90" s="84"/>
      <c r="S90" s="7"/>
      <c r="Z90" s="7"/>
      <c r="AG90" s="7"/>
      <c r="AN90" s="7"/>
      <c r="AU90" s="7"/>
      <c r="BB90" s="7"/>
      <c r="BI90" s="7"/>
      <c r="BP90" s="7"/>
      <c r="BY90" s="7"/>
      <c r="CH90" s="7"/>
      <c r="CQ90" s="7"/>
      <c r="CZ90" s="7"/>
      <c r="DI90" s="7"/>
      <c r="DR90" s="7"/>
      <c r="EA90" s="7"/>
      <c r="EJ90" s="7"/>
      <c r="ES90" s="7"/>
      <c r="EU90">
        <v>1</v>
      </c>
      <c r="FB90" s="7"/>
      <c r="FK90" s="7"/>
      <c r="FT90" s="7"/>
      <c r="GC90" s="7"/>
      <c r="GJ90" s="7"/>
      <c r="GQ90" s="7"/>
      <c r="GX90" s="7"/>
      <c r="HE90" s="7"/>
      <c r="HL90" s="7"/>
      <c r="HS90" s="7"/>
      <c r="HZ90" s="7"/>
      <c r="IG90" s="7"/>
      <c r="IN90" s="7"/>
      <c r="IU90" s="7"/>
      <c r="JB90" s="7"/>
      <c r="JI90" s="7"/>
      <c r="JP90" s="7"/>
      <c r="JW90" s="7"/>
      <c r="KD90" s="7"/>
      <c r="KK90" s="7"/>
      <c r="KR90" s="7"/>
      <c r="KY90" s="7"/>
      <c r="LF90" s="7"/>
      <c r="LM90" s="7"/>
      <c r="LT90" s="7"/>
      <c r="MA90" s="7"/>
      <c r="MH90" s="7"/>
      <c r="MO90" s="7"/>
      <c r="MV90" s="7"/>
    </row>
    <row r="91" spans="1:360" x14ac:dyDescent="0.25">
      <c r="A91" s="8" t="s">
        <v>19</v>
      </c>
      <c r="B91" s="8"/>
      <c r="C91" s="8"/>
      <c r="D91" s="8"/>
      <c r="E91" s="8"/>
      <c r="F91" s="10"/>
      <c r="G91" s="19"/>
      <c r="H91" s="19"/>
      <c r="I91" s="8"/>
      <c r="J91" s="8"/>
      <c r="K91" s="8"/>
      <c r="L91" s="8"/>
      <c r="M91" s="8"/>
      <c r="N91" s="8"/>
      <c r="O91" s="9"/>
      <c r="P91" s="8">
        <f t="shared" si="729"/>
        <v>18</v>
      </c>
      <c r="Q91" s="109">
        <f t="shared" si="730"/>
        <v>25</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K91" s="7"/>
      <c r="FM91">
        <v>1</v>
      </c>
      <c r="FO91">
        <v>1</v>
      </c>
      <c r="FT91" s="7"/>
      <c r="FV91">
        <v>1</v>
      </c>
      <c r="FX91">
        <v>1</v>
      </c>
      <c r="GC91" s="7"/>
      <c r="GJ91" s="7"/>
      <c r="GQ91" s="7"/>
      <c r="GX91" s="7"/>
      <c r="HE91" s="7"/>
      <c r="HL91" s="7"/>
      <c r="HS91" s="7"/>
      <c r="HZ91" s="7"/>
      <c r="IG91" s="7"/>
      <c r="IN91" s="7"/>
      <c r="IU91" s="7"/>
      <c r="JB91" s="7"/>
      <c r="JI91" s="7"/>
      <c r="JP91" s="7"/>
      <c r="JW91" s="7"/>
      <c r="KD91" s="7"/>
      <c r="KK91" s="7"/>
      <c r="KR91" s="7"/>
      <c r="KY91" s="7"/>
      <c r="LF91" s="7"/>
      <c r="LM91" s="7"/>
      <c r="LT91" s="7"/>
      <c r="MA91" s="7"/>
      <c r="MH91" s="7"/>
      <c r="MO91" s="7"/>
      <c r="MV91" s="7"/>
    </row>
    <row r="92" spans="1:360" ht="5.25" customHeight="1" x14ac:dyDescent="0.25">
      <c r="A92" s="8"/>
      <c r="B92" s="8"/>
      <c r="C92" s="8"/>
      <c r="D92" s="8"/>
      <c r="E92" s="8"/>
      <c r="F92" s="10"/>
      <c r="G92" s="19"/>
      <c r="H92" s="19"/>
      <c r="I92" s="8"/>
      <c r="J92" s="8"/>
      <c r="K92" s="8"/>
      <c r="L92" s="8"/>
      <c r="M92" s="8"/>
      <c r="N92" s="8"/>
      <c r="O92" s="9"/>
      <c r="P92" s="8" t="str">
        <f>IF(SUM(R92:MV92) &gt; 0, SUM(R92:MV92), "")</f>
        <v/>
      </c>
      <c r="Q92" s="109" t="str">
        <f t="shared" si="730"/>
        <v/>
      </c>
      <c r="R92" s="9"/>
      <c r="S92" s="7"/>
      <c r="Z92" s="7"/>
      <c r="AG92" s="7"/>
      <c r="AN92" s="7"/>
      <c r="AU92" s="7"/>
      <c r="BB92" s="7"/>
      <c r="BI92" s="7"/>
      <c r="BP92" s="7"/>
      <c r="BY92" s="7"/>
      <c r="CH92" s="7"/>
      <c r="CQ92" s="7"/>
      <c r="CZ92" s="7"/>
      <c r="DI92" s="7"/>
      <c r="DR92" s="7"/>
      <c r="EA92" s="7"/>
      <c r="EJ92" s="7"/>
      <c r="ES92" s="7"/>
      <c r="FB92" s="7"/>
      <c r="FK92" s="7"/>
      <c r="FT92" s="7"/>
      <c r="GC92" s="7"/>
      <c r="GJ92" s="7"/>
      <c r="GQ92" s="7"/>
      <c r="GX92" s="7"/>
      <c r="HE92" s="7"/>
      <c r="HL92" s="7"/>
      <c r="HS92" s="7"/>
      <c r="HZ92" s="7"/>
      <c r="IG92" s="7"/>
      <c r="IN92" s="7"/>
      <c r="IU92" s="7"/>
      <c r="JB92" s="7"/>
      <c r="JI92" s="7"/>
      <c r="JP92" s="7"/>
      <c r="JW92" s="7"/>
      <c r="KD92" s="7"/>
      <c r="KK92" s="7"/>
      <c r="KR92" s="7"/>
      <c r="KY92" s="7"/>
      <c r="LF92" s="7"/>
      <c r="LM92" s="7"/>
      <c r="LT92" s="7"/>
      <c r="MA92" s="7"/>
      <c r="MH92" s="7"/>
      <c r="MO92" s="7"/>
      <c r="MV92" s="7"/>
    </row>
    <row r="93" spans="1:360" x14ac:dyDescent="0.25">
      <c r="A93" s="6" t="s">
        <v>18</v>
      </c>
      <c r="B93" s="3"/>
      <c r="C93" s="3"/>
      <c r="D93" s="3"/>
      <c r="E93" s="3"/>
      <c r="F93" s="5"/>
      <c r="G93" s="3"/>
      <c r="H93" s="3"/>
      <c r="I93" s="3"/>
      <c r="J93" s="3"/>
      <c r="K93" s="3"/>
      <c r="L93" s="3"/>
      <c r="M93" s="3"/>
      <c r="N93" s="3"/>
      <c r="O93" s="4"/>
      <c r="P93" s="3">
        <f>SUM(S93:MV93)</f>
        <v>72</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c r="FZ93" s="3"/>
      <c r="GA93" s="3"/>
      <c r="GB93" s="3"/>
      <c r="GC93" s="4"/>
      <c r="GD93" s="3"/>
      <c r="GE93" s="3"/>
      <c r="GF93" s="3"/>
      <c r="GG93" s="3"/>
      <c r="GH93" s="3"/>
      <c r="GI93" s="3"/>
      <c r="GJ93" s="4"/>
      <c r="GK93" s="3"/>
      <c r="GL93" s="3"/>
      <c r="GM93" s="3"/>
      <c r="GN93" s="3"/>
      <c r="GO93" s="3"/>
      <c r="GP93" s="3"/>
      <c r="GQ93" s="4"/>
      <c r="GR93" s="3"/>
      <c r="GS93" s="3"/>
      <c r="GT93" s="3"/>
      <c r="GU93" s="3"/>
      <c r="GV93" s="3"/>
      <c r="GW93" s="3"/>
      <c r="GX93" s="4"/>
      <c r="GY93" s="3"/>
      <c r="GZ93" s="3"/>
      <c r="HA93" s="3"/>
      <c r="HB93" s="3"/>
      <c r="HC93" s="3"/>
      <c r="HD93" s="3"/>
      <c r="HE93" s="4"/>
      <c r="HF93" s="3"/>
      <c r="HG93" s="3"/>
      <c r="HH93" s="3"/>
      <c r="HI93" s="3"/>
      <c r="HJ93" s="3"/>
      <c r="HK93" s="3"/>
      <c r="HL93" s="4"/>
      <c r="HM93" s="3"/>
      <c r="HN93" s="3"/>
      <c r="HO93" s="3"/>
      <c r="HP93" s="3"/>
      <c r="HQ93" s="3"/>
      <c r="HR93" s="3"/>
      <c r="HS93" s="4"/>
      <c r="HT93" s="3"/>
      <c r="HU93" s="3"/>
      <c r="HV93" s="3"/>
      <c r="HW93" s="3"/>
      <c r="HX93" s="3"/>
      <c r="HY93" s="3"/>
      <c r="HZ93" s="4"/>
      <c r="IA93" s="3"/>
      <c r="IB93" s="3"/>
      <c r="IC93" s="3"/>
      <c r="ID93" s="3"/>
      <c r="IE93" s="3"/>
      <c r="IF93" s="3"/>
      <c r="IG93" s="4"/>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row>
    <row r="95" spans="1:360" x14ac:dyDescent="0.25">
      <c r="B95" t="s">
        <v>199</v>
      </c>
      <c r="C95" t="s">
        <v>200</v>
      </c>
      <c r="D95" t="s">
        <v>201</v>
      </c>
      <c r="E95" t="s">
        <v>202</v>
      </c>
      <c r="F95" t="s">
        <v>207</v>
      </c>
      <c r="G95" t="s">
        <v>203</v>
      </c>
      <c r="H95" t="s">
        <v>204</v>
      </c>
      <c r="I95" t="s">
        <v>48</v>
      </c>
      <c r="J95" t="s">
        <v>406</v>
      </c>
      <c r="K95" t="s">
        <v>205</v>
      </c>
      <c r="L95" t="s">
        <v>206</v>
      </c>
    </row>
    <row r="96" spans="1:360" ht="15" customHeight="1" x14ac:dyDescent="0.25">
      <c r="A96" t="s">
        <v>17</v>
      </c>
      <c r="B96" t="s">
        <v>145</v>
      </c>
      <c r="C96">
        <v>7</v>
      </c>
      <c r="D96">
        <v>28</v>
      </c>
      <c r="E96">
        <v>38</v>
      </c>
      <c r="F96">
        <v>1</v>
      </c>
      <c r="G96" t="s">
        <v>15</v>
      </c>
      <c r="H96" t="s">
        <v>13</v>
      </c>
      <c r="I96" t="s">
        <v>187</v>
      </c>
      <c r="J96" t="s">
        <v>188</v>
      </c>
      <c r="K96" t="s">
        <v>407</v>
      </c>
      <c r="L96" s="51" t="str">
        <f>FindEnd(S37:MV37)</f>
        <v>GC</v>
      </c>
      <c r="N96" s="101"/>
      <c r="O96" s="102"/>
      <c r="P96" s="102"/>
      <c r="Q96" s="102"/>
      <c r="R96" s="103"/>
      <c r="S96" s="102"/>
      <c r="V96" s="34"/>
    </row>
    <row r="97" spans="1:12" x14ac:dyDescent="0.25">
      <c r="B97" t="s">
        <v>148</v>
      </c>
      <c r="C97">
        <v>46</v>
      </c>
      <c r="D97">
        <v>64</v>
      </c>
      <c r="E97">
        <v>70</v>
      </c>
      <c r="F97">
        <v>40</v>
      </c>
      <c r="G97" t="s">
        <v>15</v>
      </c>
      <c r="H97" t="s">
        <v>13</v>
      </c>
      <c r="I97" t="s">
        <v>187</v>
      </c>
      <c r="K97" t="s">
        <v>105</v>
      </c>
      <c r="L97" s="51" t="str">
        <f>FindEnd(S69:MV69)</f>
        <v>GC</v>
      </c>
    </row>
    <row r="98" spans="1:12" x14ac:dyDescent="0.25">
      <c r="B98" t="s">
        <v>16</v>
      </c>
      <c r="C98">
        <v>76</v>
      </c>
      <c r="D98">
        <v>79</v>
      </c>
      <c r="E98">
        <v>82</v>
      </c>
      <c r="F98">
        <v>71</v>
      </c>
      <c r="G98" t="s">
        <v>15</v>
      </c>
      <c r="H98" t="s">
        <v>13</v>
      </c>
      <c r="I98" t="s">
        <v>187</v>
      </c>
      <c r="K98" t="s">
        <v>105</v>
      </c>
      <c r="L98" s="51" t="str">
        <f>FindEnd(S81:MV81)</f>
        <v>GC</v>
      </c>
    </row>
    <row r="99" spans="1:12" x14ac:dyDescent="0.25">
      <c r="F99" s="106"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5" t="s">
        <v>559</v>
      </c>
      <c r="B121" s="41"/>
      <c r="C121" s="41"/>
      <c r="D121" s="41"/>
      <c r="E121" s="41"/>
    </row>
    <row r="122" spans="1:5" x14ac:dyDescent="0.25">
      <c r="A122" t="s">
        <v>555</v>
      </c>
      <c r="D122" s="144" t="s">
        <v>557</v>
      </c>
    </row>
    <row r="123" spans="1:5" x14ac:dyDescent="0.25">
      <c r="A123" t="s">
        <v>558</v>
      </c>
      <c r="D123" s="144" t="s">
        <v>556</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FJ7:FK20 FJ24:FK28 FJ21 FJ22:FK22 FK21 FJ23:FK23 FS7 FS8:FS20 D122:D123 FS24:FS27 FS22 FT7:FT28" numberStoredAsText="1"/>
    <ignoredError sqref="P31 Q28 GD38:MV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GC91:MV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H92 GC70:MV70 FB79:FH80 FB78:FC78 FE78 FB82:FH85 FB81:FC81 FE81 FB87:FH89 FB86 FB91:FC91 FE91:FH91 FB93 FH78 FH81 FL71:FQ72 FK74:FQ77 FK70:FQ70 FP73:FQ73 FK92:FQ92 FK87:FQ89 FK86 FN86 FK93 FN93 FK82:FQ85 FK81:FL81 FN81 FK79:FQ80 FK78:FL78 FN78 FQ78 A38:P38 EX38:EZ38 FH38:FI38 FK38 FK91:FL91 FN91 FP91:FQ91 FU71:FZ72 FT70:FZ70 FT74:FZ77 FT92:FZ92 GC74:MV89 GD71:MV71 GD72:MV72 FT73:FX73 FZ73 GC73:GG73 GI73:MV73 GA38:GC38 FT87:FZ89 FT86 FW86 FT93 FW93 FT79:FZ80 FT78:FU78 FW78 FT82:FZ85 FT81:FU81 FW81 FQ81 FT91:FU91 FW91 FY78:FZ78 FY81:FZ81 FY86:FZ86 FY91:FZ91 FY93:FZ93" formulaRange="1"/>
    <ignoredError sqref="FL38:FQ38 FJ38 FA38:FG38 Q38:EW38 FU38:FZ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76"/>
  <sheetViews>
    <sheetView tabSelected="1" workbookViewId="0">
      <selection activeCell="B9" sqref="B9"/>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44112</v>
      </c>
      <c r="B9" s="74" t="s">
        <v>572</v>
      </c>
      <c r="C9" s="74"/>
      <c r="D9" s="74" t="s">
        <v>449</v>
      </c>
    </row>
    <row r="10" spans="1:4" ht="60" x14ac:dyDescent="0.25">
      <c r="A10" s="72"/>
      <c r="B10" s="76" t="s">
        <v>573</v>
      </c>
      <c r="C10" s="74"/>
      <c r="D10" s="73" t="s">
        <v>574</v>
      </c>
    </row>
    <row r="11" spans="1:4" x14ac:dyDescent="0.25">
      <c r="A11" s="75">
        <v>44110</v>
      </c>
      <c r="B11" s="74" t="s">
        <v>480</v>
      </c>
      <c r="C11" s="74"/>
      <c r="D11" s="74" t="s">
        <v>569</v>
      </c>
    </row>
    <row r="12" spans="1:4" ht="60" x14ac:dyDescent="0.25">
      <c r="A12" s="72"/>
      <c r="B12" s="76" t="s">
        <v>571</v>
      </c>
      <c r="C12" s="74"/>
      <c r="D12" s="76" t="s">
        <v>570</v>
      </c>
    </row>
    <row r="13" spans="1:4" x14ac:dyDescent="0.25">
      <c r="A13" s="75">
        <v>44109</v>
      </c>
      <c r="B13" s="74" t="s">
        <v>461</v>
      </c>
      <c r="C13" s="74"/>
      <c r="D13" s="73"/>
    </row>
    <row r="14" spans="1:4" ht="75" x14ac:dyDescent="0.25">
      <c r="A14" s="72"/>
      <c r="B14" s="76" t="s">
        <v>568</v>
      </c>
      <c r="C14" s="74"/>
      <c r="D14" s="73"/>
    </row>
    <row r="15" spans="1:4" x14ac:dyDescent="0.25">
      <c r="A15" s="72"/>
      <c r="B15" s="73"/>
      <c r="C15" s="74"/>
      <c r="D15" s="73"/>
    </row>
    <row r="16" spans="1:4" x14ac:dyDescent="0.25">
      <c r="A16" s="75">
        <v>44107</v>
      </c>
      <c r="B16" s="74" t="s">
        <v>548</v>
      </c>
      <c r="C16" s="74"/>
      <c r="D16" s="73"/>
    </row>
    <row r="17" spans="1:4" ht="120" x14ac:dyDescent="0.25">
      <c r="A17" s="72"/>
      <c r="B17" s="76" t="s">
        <v>565</v>
      </c>
      <c r="C17" s="74"/>
      <c r="D17" s="73"/>
    </row>
    <row r="18" spans="1:4" x14ac:dyDescent="0.25">
      <c r="A18" s="75">
        <v>44106</v>
      </c>
      <c r="B18" s="74" t="s">
        <v>480</v>
      </c>
      <c r="C18" s="74"/>
      <c r="D18" s="74" t="s">
        <v>449</v>
      </c>
    </row>
    <row r="19" spans="1:4" ht="75" x14ac:dyDescent="0.25">
      <c r="A19" s="72"/>
      <c r="B19" s="76" t="s">
        <v>564</v>
      </c>
      <c r="C19" s="74"/>
      <c r="D19" s="76" t="s">
        <v>563</v>
      </c>
    </row>
    <row r="20" spans="1:4" x14ac:dyDescent="0.25">
      <c r="A20" s="75">
        <v>44105</v>
      </c>
      <c r="B20" s="74" t="s">
        <v>550</v>
      </c>
      <c r="C20" s="74"/>
      <c r="D20" s="74" t="s">
        <v>454</v>
      </c>
    </row>
    <row r="21" spans="1:4" ht="75" x14ac:dyDescent="0.25">
      <c r="A21" s="72"/>
      <c r="B21" s="76" t="s">
        <v>551</v>
      </c>
      <c r="C21" s="74"/>
      <c r="D21" s="76" t="s">
        <v>562</v>
      </c>
    </row>
    <row r="22" spans="1:4" x14ac:dyDescent="0.25">
      <c r="A22" s="75">
        <v>44103</v>
      </c>
      <c r="B22" s="74" t="s">
        <v>527</v>
      </c>
      <c r="C22" s="74"/>
      <c r="D22" s="74" t="s">
        <v>549</v>
      </c>
    </row>
    <row r="23" spans="1:4" ht="90" x14ac:dyDescent="0.25">
      <c r="A23" s="72"/>
      <c r="B23" s="76" t="s">
        <v>547</v>
      </c>
      <c r="C23" s="74"/>
      <c r="D23" s="76" t="s">
        <v>546</v>
      </c>
    </row>
    <row r="24" spans="1:4" x14ac:dyDescent="0.25">
      <c r="A24" s="75">
        <v>44102</v>
      </c>
      <c r="B24" s="74" t="s">
        <v>454</v>
      </c>
      <c r="C24" s="74"/>
      <c r="D24" s="73"/>
    </row>
    <row r="25" spans="1:4" ht="60" x14ac:dyDescent="0.25">
      <c r="A25" s="72"/>
      <c r="B25" s="76" t="s">
        <v>545</v>
      </c>
      <c r="C25" s="74"/>
      <c r="D25" s="73"/>
    </row>
    <row r="26" spans="1:4" x14ac:dyDescent="0.25">
      <c r="A26" s="72"/>
      <c r="B26" s="73"/>
      <c r="C26" s="74"/>
      <c r="D26" s="73"/>
    </row>
    <row r="27" spans="1:4" x14ac:dyDescent="0.25">
      <c r="A27" s="75">
        <v>44100</v>
      </c>
      <c r="B27" s="74" t="s">
        <v>541</v>
      </c>
      <c r="C27" s="74"/>
      <c r="D27" s="73"/>
    </row>
    <row r="28" spans="1:4" ht="75" x14ac:dyDescent="0.25">
      <c r="A28" s="72"/>
      <c r="B28" s="76" t="s">
        <v>542</v>
      </c>
      <c r="C28" s="74"/>
      <c r="D28" s="73"/>
    </row>
    <row r="29" spans="1:4" x14ac:dyDescent="0.25">
      <c r="A29" s="75">
        <v>44099</v>
      </c>
      <c r="B29" s="74" t="s">
        <v>527</v>
      </c>
      <c r="C29" s="74"/>
      <c r="D29" s="74" t="s">
        <v>454</v>
      </c>
    </row>
    <row r="30" spans="1:4" ht="60" x14ac:dyDescent="0.25">
      <c r="A30" s="72"/>
      <c r="B30" s="76" t="s">
        <v>539</v>
      </c>
      <c r="C30" s="74"/>
      <c r="D30" s="76" t="s">
        <v>540</v>
      </c>
    </row>
    <row r="31" spans="1:4" x14ac:dyDescent="0.25">
      <c r="A31" s="75">
        <v>44098</v>
      </c>
      <c r="B31" s="74" t="s">
        <v>536</v>
      </c>
      <c r="C31" s="74"/>
      <c r="D31" s="74" t="s">
        <v>449</v>
      </c>
    </row>
    <row r="32" spans="1:4" ht="105" x14ac:dyDescent="0.25">
      <c r="A32" s="72"/>
      <c r="B32" s="76" t="s">
        <v>538</v>
      </c>
      <c r="C32" s="74"/>
      <c r="D32" s="76" t="s">
        <v>537</v>
      </c>
    </row>
    <row r="33" spans="1:4" x14ac:dyDescent="0.25">
      <c r="A33" s="75">
        <v>44097</v>
      </c>
      <c r="B33" s="74" t="s">
        <v>534</v>
      </c>
      <c r="C33" s="74"/>
      <c r="D33" s="76"/>
    </row>
    <row r="34" spans="1:4" ht="60" x14ac:dyDescent="0.25">
      <c r="A34" s="72"/>
      <c r="B34" s="76" t="s">
        <v>535</v>
      </c>
      <c r="C34" s="74"/>
      <c r="D34" s="73"/>
    </row>
    <row r="35" spans="1:4" x14ac:dyDescent="0.25">
      <c r="A35" s="75">
        <v>44096</v>
      </c>
      <c r="B35" s="74" t="s">
        <v>530</v>
      </c>
      <c r="C35" s="74"/>
      <c r="D35" s="74" t="s">
        <v>532</v>
      </c>
    </row>
    <row r="36" spans="1:4" ht="105" x14ac:dyDescent="0.25">
      <c r="A36" s="72"/>
      <c r="B36" s="76" t="s">
        <v>531</v>
      </c>
      <c r="C36" s="74"/>
      <c r="D36" s="76" t="s">
        <v>533</v>
      </c>
    </row>
    <row r="37" spans="1:4" x14ac:dyDescent="0.25">
      <c r="A37" s="75">
        <v>44095</v>
      </c>
      <c r="B37" s="74" t="s">
        <v>527</v>
      </c>
      <c r="C37" s="74"/>
      <c r="D37" s="73"/>
    </row>
    <row r="38" spans="1:4" ht="90" x14ac:dyDescent="0.25">
      <c r="A38" s="72"/>
      <c r="B38" s="76" t="s">
        <v>528</v>
      </c>
      <c r="C38" s="74"/>
      <c r="D38" s="73"/>
    </row>
    <row r="39" spans="1:4" x14ac:dyDescent="0.25">
      <c r="A39" s="72"/>
      <c r="B39" s="73"/>
      <c r="C39" s="74"/>
      <c r="D39" s="73"/>
    </row>
    <row r="40" spans="1:4" x14ac:dyDescent="0.25">
      <c r="A40" s="75">
        <v>44092</v>
      </c>
      <c r="B40" s="73"/>
      <c r="C40" s="74"/>
      <c r="D40" s="74" t="s">
        <v>454</v>
      </c>
    </row>
    <row r="41" spans="1:4" ht="45" x14ac:dyDescent="0.25">
      <c r="A41" s="72"/>
      <c r="B41" s="73"/>
      <c r="C41" s="74"/>
      <c r="D41" s="76" t="s">
        <v>526</v>
      </c>
    </row>
    <row r="42" spans="1:4" x14ac:dyDescent="0.25">
      <c r="A42" s="75">
        <v>44091</v>
      </c>
      <c r="B42" s="74" t="s">
        <v>519</v>
      </c>
      <c r="C42" s="74"/>
      <c r="D42" s="74" t="s">
        <v>516</v>
      </c>
    </row>
    <row r="43" spans="1:4" ht="105" x14ac:dyDescent="0.25">
      <c r="A43" s="72"/>
      <c r="B43" s="76" t="s">
        <v>518</v>
      </c>
      <c r="C43" s="74"/>
      <c r="D43" s="76" t="s">
        <v>517</v>
      </c>
    </row>
    <row r="44" spans="1:4" x14ac:dyDescent="0.25">
      <c r="A44" s="75">
        <v>44090</v>
      </c>
      <c r="B44" s="74" t="s">
        <v>520</v>
      </c>
      <c r="C44" s="74"/>
      <c r="D44" s="73"/>
    </row>
    <row r="45" spans="1:4" ht="180" x14ac:dyDescent="0.25">
      <c r="A45" s="72"/>
      <c r="B45" s="76" t="s">
        <v>515</v>
      </c>
      <c r="C45" s="74"/>
      <c r="D45" s="73"/>
    </row>
    <row r="46" spans="1:4" x14ac:dyDescent="0.25">
      <c r="A46" s="75">
        <v>44089</v>
      </c>
      <c r="B46" s="74" t="s">
        <v>461</v>
      </c>
      <c r="C46" s="74"/>
      <c r="D46" s="74" t="s">
        <v>473</v>
      </c>
    </row>
    <row r="47" spans="1:4" ht="75" x14ac:dyDescent="0.25">
      <c r="A47" s="72"/>
      <c r="B47" s="76" t="s">
        <v>510</v>
      </c>
      <c r="C47" s="74"/>
      <c r="D47" s="76" t="s">
        <v>509</v>
      </c>
    </row>
    <row r="48" spans="1:4" x14ac:dyDescent="0.25">
      <c r="A48" s="75">
        <v>44088</v>
      </c>
      <c r="B48" s="74" t="s">
        <v>521</v>
      </c>
      <c r="C48" s="74"/>
      <c r="D48" s="73"/>
    </row>
    <row r="49" spans="1:4" ht="45" x14ac:dyDescent="0.25">
      <c r="A49" s="72"/>
      <c r="B49" s="76" t="s">
        <v>508</v>
      </c>
      <c r="C49" s="74"/>
      <c r="D49" s="73"/>
    </row>
    <row r="50" spans="1:4" x14ac:dyDescent="0.25">
      <c r="A50" s="72"/>
      <c r="B50" s="73"/>
      <c r="C50" s="74"/>
      <c r="D50" s="73"/>
    </row>
    <row r="51" spans="1:4" x14ac:dyDescent="0.25">
      <c r="A51" s="75">
        <v>44087</v>
      </c>
      <c r="B51" s="74" t="s">
        <v>506</v>
      </c>
      <c r="C51" s="74"/>
    </row>
    <row r="52" spans="1:4" ht="120" x14ac:dyDescent="0.25">
      <c r="A52" s="72"/>
      <c r="B52" s="76" t="s">
        <v>505</v>
      </c>
      <c r="C52" s="74"/>
      <c r="D52" s="73"/>
    </row>
    <row r="53" spans="1:4" x14ac:dyDescent="0.25">
      <c r="A53" s="75">
        <v>44085</v>
      </c>
      <c r="B53" s="74" t="s">
        <v>491</v>
      </c>
      <c r="C53" s="74"/>
      <c r="D53" s="74" t="s">
        <v>450</v>
      </c>
    </row>
    <row r="54" spans="1:4" ht="210" x14ac:dyDescent="0.25">
      <c r="A54" s="72"/>
      <c r="B54" s="76" t="s">
        <v>493</v>
      </c>
      <c r="C54" s="74"/>
      <c r="D54" s="76" t="s">
        <v>492</v>
      </c>
    </row>
    <row r="55" spans="1:4" x14ac:dyDescent="0.25">
      <c r="A55" s="75">
        <v>44084</v>
      </c>
      <c r="B55" s="74" t="s">
        <v>488</v>
      </c>
      <c r="C55" s="74"/>
      <c r="D55" s="74" t="s">
        <v>449</v>
      </c>
    </row>
    <row r="56" spans="1:4" ht="45" x14ac:dyDescent="0.25">
      <c r="A56" s="72"/>
      <c r="B56" s="76" t="s">
        <v>489</v>
      </c>
      <c r="C56" s="74"/>
      <c r="D56" s="76" t="s">
        <v>490</v>
      </c>
    </row>
    <row r="57" spans="1:4" x14ac:dyDescent="0.25">
      <c r="A57" s="75">
        <v>44082</v>
      </c>
      <c r="B57" s="74" t="s">
        <v>464</v>
      </c>
      <c r="C57" s="74"/>
      <c r="D57" s="74" t="s">
        <v>450</v>
      </c>
    </row>
    <row r="58" spans="1:4" ht="90" x14ac:dyDescent="0.25">
      <c r="A58" s="72"/>
      <c r="B58" s="76" t="s">
        <v>484</v>
      </c>
      <c r="C58" s="74"/>
      <c r="D58" s="76" t="s">
        <v>482</v>
      </c>
    </row>
    <row r="59" spans="1:4" x14ac:dyDescent="0.25">
      <c r="A59" s="75">
        <v>44081</v>
      </c>
      <c r="B59" s="74" t="s">
        <v>480</v>
      </c>
      <c r="C59" s="74"/>
      <c r="D59" s="73"/>
    </row>
    <row r="60" spans="1:4" ht="120" x14ac:dyDescent="0.25">
      <c r="A60" s="72"/>
      <c r="B60" s="76" t="s">
        <v>483</v>
      </c>
      <c r="C60" s="74"/>
      <c r="D60" s="73"/>
    </row>
    <row r="61" spans="1:4" x14ac:dyDescent="0.25">
      <c r="A61" s="72"/>
      <c r="B61" s="73"/>
      <c r="C61" s="74"/>
      <c r="D61" s="73"/>
    </row>
    <row r="62" spans="1:4" x14ac:dyDescent="0.25">
      <c r="A62" s="75">
        <v>44078</v>
      </c>
      <c r="B62" s="74" t="s">
        <v>473</v>
      </c>
      <c r="C62" s="74"/>
      <c r="D62" s="74" t="s">
        <v>474</v>
      </c>
    </row>
    <row r="63" spans="1:4" ht="75" x14ac:dyDescent="0.25">
      <c r="A63" s="72"/>
      <c r="B63" s="76" t="s">
        <v>476</v>
      </c>
      <c r="C63" s="74"/>
      <c r="D63" s="76" t="s">
        <v>475</v>
      </c>
    </row>
    <row r="64" spans="1:4" x14ac:dyDescent="0.25">
      <c r="A64" s="75">
        <v>44077</v>
      </c>
      <c r="B64" s="74" t="s">
        <v>464</v>
      </c>
      <c r="C64" s="74"/>
      <c r="D64" s="74" t="s">
        <v>454</v>
      </c>
    </row>
    <row r="65" spans="1:4" ht="75" x14ac:dyDescent="0.25">
      <c r="A65" s="72"/>
      <c r="B65" s="76" t="s">
        <v>479</v>
      </c>
      <c r="C65" s="74"/>
      <c r="D65" s="76" t="s">
        <v>465</v>
      </c>
    </row>
    <row r="66" spans="1:4" x14ac:dyDescent="0.25">
      <c r="A66" s="75">
        <v>44075</v>
      </c>
      <c r="B66" s="74" t="s">
        <v>461</v>
      </c>
      <c r="C66" s="74"/>
      <c r="D66" s="74" t="s">
        <v>450</v>
      </c>
    </row>
    <row r="67" spans="1:4" ht="60" x14ac:dyDescent="0.25">
      <c r="A67" s="72"/>
      <c r="B67" s="76" t="s">
        <v>463</v>
      </c>
      <c r="C67" s="74"/>
      <c r="D67" s="76" t="s">
        <v>462</v>
      </c>
    </row>
    <row r="68" spans="1:4" x14ac:dyDescent="0.25">
      <c r="A68" s="75">
        <v>44074</v>
      </c>
      <c r="B68" s="74" t="s">
        <v>453</v>
      </c>
      <c r="C68" s="74"/>
      <c r="D68" s="73"/>
    </row>
    <row r="69" spans="1:4" ht="74.25" customHeight="1" x14ac:dyDescent="0.25">
      <c r="A69" s="72"/>
      <c r="B69" s="76" t="s">
        <v>458</v>
      </c>
      <c r="C69" s="74"/>
      <c r="D69" s="73"/>
    </row>
    <row r="70" spans="1:4" x14ac:dyDescent="0.25">
      <c r="A70" s="72"/>
      <c r="B70" s="73"/>
      <c r="C70" s="74"/>
      <c r="D70" s="73"/>
    </row>
    <row r="71" spans="1:4" x14ac:dyDescent="0.25">
      <c r="A71" s="75">
        <v>44071</v>
      </c>
      <c r="B71" s="74" t="s">
        <v>453</v>
      </c>
      <c r="C71" s="74"/>
      <c r="D71" s="74" t="s">
        <v>454</v>
      </c>
    </row>
    <row r="72" spans="1:4" ht="105" x14ac:dyDescent="0.25">
      <c r="A72" s="72"/>
      <c r="B72" s="76" t="s">
        <v>456</v>
      </c>
      <c r="C72" s="74"/>
      <c r="D72" s="76" t="s">
        <v>455</v>
      </c>
    </row>
    <row r="73" spans="1:4" x14ac:dyDescent="0.25">
      <c r="A73" s="75">
        <v>44070</v>
      </c>
      <c r="B73" s="74" t="s">
        <v>449</v>
      </c>
      <c r="C73" s="74"/>
      <c r="D73" s="74" t="s">
        <v>450</v>
      </c>
    </row>
    <row r="74" spans="1:4" ht="90" x14ac:dyDescent="0.25">
      <c r="A74" s="72"/>
      <c r="B74" s="76" t="s">
        <v>451</v>
      </c>
      <c r="C74" s="74"/>
      <c r="D74" s="76" t="s">
        <v>452</v>
      </c>
    </row>
    <row r="75" spans="1:4" x14ac:dyDescent="0.25">
      <c r="A75" s="75">
        <v>44068</v>
      </c>
      <c r="B75" s="74" t="s">
        <v>445</v>
      </c>
      <c r="C75" s="74"/>
      <c r="D75" s="74" t="s">
        <v>446</v>
      </c>
    </row>
    <row r="76" spans="1:4" ht="75" x14ac:dyDescent="0.25">
      <c r="A76" s="72"/>
      <c r="B76" s="76" t="s">
        <v>447</v>
      </c>
      <c r="C76" s="74"/>
      <c r="D76" s="76" t="s">
        <v>448</v>
      </c>
    </row>
    <row r="77" spans="1:4" x14ac:dyDescent="0.25">
      <c r="A77" s="72"/>
      <c r="B77" s="73"/>
      <c r="C77" s="74"/>
      <c r="D77" s="73"/>
    </row>
    <row r="78" spans="1:4" x14ac:dyDescent="0.25">
      <c r="A78" s="75">
        <v>44066</v>
      </c>
      <c r="B78" s="74" t="s">
        <v>442</v>
      </c>
      <c r="C78" s="74"/>
      <c r="D78" s="73"/>
    </row>
    <row r="79" spans="1:4" ht="60" x14ac:dyDescent="0.25">
      <c r="A79" s="72"/>
      <c r="B79" s="76" t="s">
        <v>443</v>
      </c>
      <c r="C79" s="74"/>
      <c r="D79" s="73"/>
    </row>
    <row r="80" spans="1:4" x14ac:dyDescent="0.25">
      <c r="A80" s="75">
        <v>44064</v>
      </c>
      <c r="B80" s="74" t="s">
        <v>439</v>
      </c>
      <c r="C80" s="74"/>
      <c r="D80" s="73"/>
    </row>
    <row r="81" spans="1:4" ht="90" x14ac:dyDescent="0.25">
      <c r="A81" s="72"/>
      <c r="B81" s="76" t="s">
        <v>440</v>
      </c>
      <c r="C81" s="74"/>
      <c r="D81" s="73"/>
    </row>
    <row r="82" spans="1:4" x14ac:dyDescent="0.25">
      <c r="A82" s="75">
        <v>44063</v>
      </c>
      <c r="B82" s="74" t="s">
        <v>437</v>
      </c>
      <c r="C82" s="74"/>
      <c r="D82" s="73"/>
    </row>
    <row r="83" spans="1:4" ht="75" x14ac:dyDescent="0.25">
      <c r="A83" s="72"/>
      <c r="B83" s="76" t="s">
        <v>438</v>
      </c>
      <c r="C83" s="74"/>
      <c r="D83" s="73"/>
    </row>
    <row r="84" spans="1:4" x14ac:dyDescent="0.25">
      <c r="A84" s="75">
        <v>44061</v>
      </c>
      <c r="B84" s="74" t="s">
        <v>433</v>
      </c>
      <c r="C84" s="74"/>
      <c r="D84" s="73"/>
    </row>
    <row r="85" spans="1:4" ht="120" x14ac:dyDescent="0.25">
      <c r="A85" s="72"/>
      <c r="B85" s="76" t="s">
        <v>434</v>
      </c>
      <c r="C85" s="74"/>
      <c r="D85" s="73"/>
    </row>
    <row r="86" spans="1:4" x14ac:dyDescent="0.25">
      <c r="A86" s="72"/>
      <c r="B86" s="76"/>
      <c r="C86" s="74"/>
      <c r="D86" s="73"/>
    </row>
    <row r="87" spans="1:4" x14ac:dyDescent="0.25">
      <c r="A87" s="75">
        <v>44059</v>
      </c>
      <c r="B87" s="74" t="s">
        <v>372</v>
      </c>
      <c r="C87" s="74"/>
      <c r="D87" s="73"/>
    </row>
    <row r="88" spans="1:4" ht="45" x14ac:dyDescent="0.25">
      <c r="A88" s="72"/>
      <c r="B88" s="76" t="s">
        <v>420</v>
      </c>
      <c r="C88" s="74"/>
      <c r="D88" s="73"/>
    </row>
    <row r="89" spans="1:4" x14ac:dyDescent="0.25">
      <c r="A89" s="75">
        <v>44057</v>
      </c>
      <c r="B89" s="74" t="s">
        <v>423</v>
      </c>
      <c r="C89" s="74"/>
      <c r="D89" s="73"/>
    </row>
    <row r="90" spans="1:4" ht="60" x14ac:dyDescent="0.25">
      <c r="A90" s="72"/>
      <c r="B90" s="76" t="s">
        <v>418</v>
      </c>
      <c r="C90" s="74"/>
      <c r="D90" s="73"/>
    </row>
    <row r="91" spans="1:4" x14ac:dyDescent="0.25">
      <c r="A91" s="75">
        <v>44056</v>
      </c>
      <c r="B91" s="74" t="s">
        <v>416</v>
      </c>
      <c r="C91" s="74"/>
      <c r="D91" s="73"/>
    </row>
    <row r="92" spans="1:4" x14ac:dyDescent="0.25">
      <c r="A92" s="72"/>
      <c r="B92" s="73" t="s">
        <v>417</v>
      </c>
      <c r="C92" s="74"/>
      <c r="D92" s="73"/>
    </row>
    <row r="93" spans="1:4" x14ac:dyDescent="0.25">
      <c r="A93" s="75">
        <v>44054</v>
      </c>
      <c r="B93" s="74" t="s">
        <v>414</v>
      </c>
      <c r="C93" s="74"/>
      <c r="D93" s="73"/>
    </row>
    <row r="94" spans="1:4" ht="75" x14ac:dyDescent="0.25">
      <c r="A94" s="72"/>
      <c r="B94" s="76" t="s">
        <v>415</v>
      </c>
      <c r="C94" s="74"/>
      <c r="D94" s="73"/>
    </row>
    <row r="95" spans="1:4" x14ac:dyDescent="0.25">
      <c r="A95" s="72"/>
      <c r="B95" s="73"/>
      <c r="C95" s="74"/>
      <c r="D95" s="73"/>
    </row>
    <row r="96" spans="1:4" x14ac:dyDescent="0.25">
      <c r="A96" s="75">
        <v>44052</v>
      </c>
      <c r="B96" s="74" t="s">
        <v>346</v>
      </c>
      <c r="C96" s="74"/>
      <c r="D96" s="73"/>
    </row>
    <row r="97" spans="1:4" ht="90" x14ac:dyDescent="0.25">
      <c r="A97" s="72"/>
      <c r="B97" s="76" t="s">
        <v>409</v>
      </c>
      <c r="C97" s="74"/>
      <c r="D97" s="73"/>
    </row>
    <row r="98" spans="1:4" x14ac:dyDescent="0.25">
      <c r="A98" s="75">
        <v>44050</v>
      </c>
      <c r="B98" s="74" t="s">
        <v>396</v>
      </c>
      <c r="C98" s="74"/>
      <c r="D98" s="73"/>
    </row>
    <row r="99" spans="1:4" ht="90" x14ac:dyDescent="0.25">
      <c r="A99" s="72"/>
      <c r="B99" s="76" t="s">
        <v>399</v>
      </c>
      <c r="C99" s="74"/>
      <c r="D99" s="73"/>
    </row>
    <row r="100" spans="1:4" x14ac:dyDescent="0.25">
      <c r="A100" s="75">
        <v>44049</v>
      </c>
      <c r="B100" s="74" t="s">
        <v>401</v>
      </c>
      <c r="C100" s="74"/>
      <c r="D100" s="73"/>
    </row>
    <row r="101" spans="1:4" ht="75" x14ac:dyDescent="0.25">
      <c r="A101" s="72"/>
      <c r="B101" s="76" t="s">
        <v>400</v>
      </c>
      <c r="C101" s="74"/>
      <c r="D101" s="73"/>
    </row>
    <row r="102" spans="1:4" x14ac:dyDescent="0.25">
      <c r="A102" s="75">
        <v>44047</v>
      </c>
      <c r="B102" s="74" t="s">
        <v>396</v>
      </c>
      <c r="C102" s="74"/>
      <c r="D102" s="73"/>
    </row>
    <row r="103" spans="1:4" ht="90" x14ac:dyDescent="0.25">
      <c r="A103" s="72"/>
      <c r="B103" s="76" t="s">
        <v>397</v>
      </c>
      <c r="C103" s="74"/>
      <c r="D103" s="73"/>
    </row>
    <row r="104" spans="1:4" x14ac:dyDescent="0.25">
      <c r="A104" s="72"/>
      <c r="B104" s="73"/>
      <c r="C104" s="74"/>
      <c r="D104" s="73"/>
    </row>
    <row r="105" spans="1:4" x14ac:dyDescent="0.25">
      <c r="A105" s="75">
        <v>44045</v>
      </c>
      <c r="B105" s="74" t="s">
        <v>394</v>
      </c>
      <c r="C105" s="74"/>
      <c r="D105" s="73"/>
    </row>
    <row r="106" spans="1:4" ht="60" x14ac:dyDescent="0.25">
      <c r="A106" s="72"/>
      <c r="B106" s="76" t="s">
        <v>395</v>
      </c>
      <c r="C106" s="74"/>
      <c r="D106" s="73"/>
    </row>
    <row r="107" spans="1:4" x14ac:dyDescent="0.25">
      <c r="A107" s="75">
        <v>44042</v>
      </c>
      <c r="B107" s="74" t="s">
        <v>390</v>
      </c>
      <c r="C107" s="74"/>
      <c r="D107" s="73"/>
    </row>
    <row r="108" spans="1:4" ht="45" x14ac:dyDescent="0.25">
      <c r="A108" s="72"/>
      <c r="B108" s="76" t="s">
        <v>389</v>
      </c>
      <c r="C108" s="74"/>
      <c r="D108" s="73"/>
    </row>
    <row r="109" spans="1:4" x14ac:dyDescent="0.25">
      <c r="A109" s="72"/>
      <c r="B109" s="73"/>
      <c r="C109" s="74"/>
      <c r="D109" s="73"/>
    </row>
    <row r="110" spans="1:4" x14ac:dyDescent="0.25">
      <c r="A110" s="75">
        <v>44038</v>
      </c>
      <c r="B110" s="74" t="s">
        <v>385</v>
      </c>
      <c r="C110" s="74"/>
      <c r="D110" s="73"/>
    </row>
    <row r="111" spans="1:4" ht="60" x14ac:dyDescent="0.25">
      <c r="A111" s="72"/>
      <c r="B111" s="76" t="s">
        <v>386</v>
      </c>
      <c r="C111" s="74"/>
      <c r="D111" s="73"/>
    </row>
    <row r="112" spans="1:4" x14ac:dyDescent="0.25">
      <c r="A112" s="75">
        <v>44035</v>
      </c>
      <c r="B112" s="74" t="s">
        <v>374</v>
      </c>
      <c r="C112" s="74"/>
      <c r="D112" s="73"/>
    </row>
    <row r="113" spans="1:4" ht="45" x14ac:dyDescent="0.25">
      <c r="A113" s="72"/>
      <c r="B113" s="76" t="s">
        <v>373</v>
      </c>
      <c r="C113" s="74"/>
      <c r="D113" s="73"/>
    </row>
    <row r="114" spans="1:4" x14ac:dyDescent="0.25">
      <c r="A114" s="72"/>
      <c r="B114" s="73"/>
      <c r="C114" s="74"/>
      <c r="D114" s="73"/>
    </row>
    <row r="115" spans="1:4" x14ac:dyDescent="0.25">
      <c r="A115" s="75">
        <v>44031</v>
      </c>
      <c r="B115" s="74" t="s">
        <v>370</v>
      </c>
      <c r="C115" s="74"/>
      <c r="D115" s="74" t="s">
        <v>372</v>
      </c>
    </row>
    <row r="116" spans="1:4" ht="30" x14ac:dyDescent="0.25">
      <c r="A116" s="72"/>
      <c r="B116" s="76" t="s">
        <v>371</v>
      </c>
      <c r="C116" s="74"/>
      <c r="D116" s="73" t="s">
        <v>347</v>
      </c>
    </row>
    <row r="117" spans="1:4" x14ac:dyDescent="0.25">
      <c r="A117" s="75">
        <v>44028</v>
      </c>
      <c r="B117" s="74" t="s">
        <v>352</v>
      </c>
      <c r="C117" s="74"/>
      <c r="D117" s="73"/>
    </row>
    <row r="118" spans="1:4" x14ac:dyDescent="0.25">
      <c r="A118" s="72"/>
      <c r="B118" s="73" t="s">
        <v>353</v>
      </c>
      <c r="C118" s="74"/>
      <c r="D118" s="73"/>
    </row>
    <row r="119" spans="1:4" x14ac:dyDescent="0.25">
      <c r="A119" s="75">
        <v>44026</v>
      </c>
      <c r="B119" s="74" t="s">
        <v>350</v>
      </c>
      <c r="C119" s="74"/>
      <c r="D119" s="73"/>
    </row>
    <row r="120" spans="1:4" x14ac:dyDescent="0.25">
      <c r="A120" s="72"/>
      <c r="B120" s="73" t="s">
        <v>7</v>
      </c>
      <c r="C120" s="74"/>
      <c r="D120" s="73"/>
    </row>
    <row r="121" spans="1:4" x14ac:dyDescent="0.25">
      <c r="A121" s="72"/>
      <c r="B121" s="73"/>
      <c r="C121" s="74"/>
      <c r="D121" s="73"/>
    </row>
    <row r="122" spans="1:4" x14ac:dyDescent="0.25">
      <c r="A122" s="75">
        <v>44024</v>
      </c>
      <c r="B122" s="74" t="s">
        <v>346</v>
      </c>
      <c r="C122" s="74"/>
      <c r="D122" s="74" t="s">
        <v>349</v>
      </c>
    </row>
    <row r="123" spans="1:4" ht="30" x14ac:dyDescent="0.25">
      <c r="A123" s="72"/>
      <c r="B123" s="76" t="s">
        <v>354</v>
      </c>
      <c r="C123" s="74"/>
      <c r="D123" s="73" t="s">
        <v>347</v>
      </c>
    </row>
    <row r="124" spans="1:4" x14ac:dyDescent="0.25">
      <c r="A124" s="75">
        <v>44022</v>
      </c>
      <c r="B124" s="76"/>
      <c r="C124" s="74"/>
      <c r="D124" s="74" t="s">
        <v>350</v>
      </c>
    </row>
    <row r="125" spans="1:4" x14ac:dyDescent="0.25">
      <c r="A125" s="72"/>
      <c r="B125" s="76"/>
      <c r="C125" s="74"/>
      <c r="D125" s="73" t="s">
        <v>351</v>
      </c>
    </row>
    <row r="126" spans="1:4" x14ac:dyDescent="0.25">
      <c r="A126" s="75">
        <v>44021</v>
      </c>
      <c r="B126" s="74" t="s">
        <v>241</v>
      </c>
      <c r="C126" s="74"/>
      <c r="D126" s="74" t="s">
        <v>295</v>
      </c>
    </row>
    <row r="127" spans="1:4" x14ac:dyDescent="0.25">
      <c r="A127" s="72"/>
      <c r="B127" s="73" t="s">
        <v>345</v>
      </c>
      <c r="C127" s="74"/>
      <c r="D127" s="73" t="s">
        <v>344</v>
      </c>
    </row>
    <row r="128" spans="1:4" x14ac:dyDescent="0.25">
      <c r="A128" s="75">
        <v>44019</v>
      </c>
      <c r="B128" s="74" t="s">
        <v>241</v>
      </c>
      <c r="C128" s="74"/>
      <c r="D128" s="74" t="s">
        <v>295</v>
      </c>
    </row>
    <row r="129" spans="1:4" x14ac:dyDescent="0.25">
      <c r="A129" s="72"/>
      <c r="B129" s="73" t="s">
        <v>299</v>
      </c>
      <c r="C129" s="74"/>
      <c r="D129" s="73" t="s">
        <v>314</v>
      </c>
    </row>
    <row r="130" spans="1:4" x14ac:dyDescent="0.25">
      <c r="A130" s="72"/>
      <c r="B130" s="73"/>
      <c r="C130" s="74"/>
      <c r="D130" s="73"/>
    </row>
    <row r="131" spans="1:4" x14ac:dyDescent="0.25">
      <c r="A131" s="75">
        <v>44015</v>
      </c>
      <c r="B131" s="74" t="s">
        <v>245</v>
      </c>
      <c r="C131" s="74"/>
      <c r="D131" s="73"/>
    </row>
    <row r="132" spans="1:4" ht="75.75" customHeight="1" x14ac:dyDescent="0.25">
      <c r="A132" s="72"/>
      <c r="B132" s="76" t="s">
        <v>313</v>
      </c>
      <c r="C132" s="74"/>
      <c r="D132" s="73"/>
    </row>
    <row r="133" spans="1:4" x14ac:dyDescent="0.25">
      <c r="A133" s="75">
        <v>44014</v>
      </c>
      <c r="B133" s="74" t="s">
        <v>263</v>
      </c>
      <c r="C133" s="74"/>
      <c r="D133" s="74" t="s">
        <v>306</v>
      </c>
    </row>
    <row r="134" spans="1:4" ht="75" x14ac:dyDescent="0.25">
      <c r="A134" s="72"/>
      <c r="B134" s="76" t="s">
        <v>308</v>
      </c>
      <c r="C134" s="74"/>
      <c r="D134" s="76" t="s">
        <v>307</v>
      </c>
    </row>
    <row r="135" spans="1:4" x14ac:dyDescent="0.25">
      <c r="A135" s="75">
        <v>44012</v>
      </c>
      <c r="B135" s="74" t="s">
        <v>263</v>
      </c>
      <c r="C135" s="74"/>
      <c r="D135" s="74" t="s">
        <v>245</v>
      </c>
    </row>
    <row r="136" spans="1:4" ht="45" x14ac:dyDescent="0.25">
      <c r="A136" s="72"/>
      <c r="B136" s="76" t="s">
        <v>300</v>
      </c>
      <c r="C136" s="74"/>
      <c r="D136" s="73" t="s">
        <v>299</v>
      </c>
    </row>
    <row r="137" spans="1:4" x14ac:dyDescent="0.25">
      <c r="A137" s="72"/>
      <c r="B137" s="73"/>
      <c r="C137" s="74"/>
      <c r="D137" s="73"/>
    </row>
    <row r="138" spans="1:4" x14ac:dyDescent="0.25">
      <c r="A138" s="75">
        <v>44008</v>
      </c>
      <c r="B138" s="74" t="s">
        <v>215</v>
      </c>
      <c r="C138" s="74"/>
      <c r="D138" s="73"/>
    </row>
    <row r="139" spans="1:4" ht="105" x14ac:dyDescent="0.25">
      <c r="A139" s="72"/>
      <c r="B139" s="76" t="s">
        <v>296</v>
      </c>
      <c r="C139" s="74"/>
      <c r="D139" s="73"/>
    </row>
    <row r="140" spans="1:4" x14ac:dyDescent="0.25">
      <c r="A140" s="75">
        <v>44007</v>
      </c>
      <c r="B140" s="74" t="s">
        <v>294</v>
      </c>
      <c r="C140" s="74"/>
      <c r="D140" s="74" t="s">
        <v>295</v>
      </c>
    </row>
    <row r="141" spans="1:4" ht="60" x14ac:dyDescent="0.25">
      <c r="A141" s="72"/>
      <c r="B141" s="76" t="s">
        <v>291</v>
      </c>
      <c r="C141" s="74"/>
      <c r="D141" s="76" t="s">
        <v>265</v>
      </c>
    </row>
    <row r="142" spans="1:4" x14ac:dyDescent="0.25">
      <c r="A142" s="75">
        <v>44006</v>
      </c>
      <c r="B142" s="74" t="s">
        <v>289</v>
      </c>
      <c r="C142" s="74"/>
      <c r="D142" s="74" t="s">
        <v>290</v>
      </c>
    </row>
    <row r="143" spans="1:4" x14ac:dyDescent="0.25">
      <c r="A143" s="72"/>
      <c r="B143" s="73" t="s">
        <v>288</v>
      </c>
      <c r="C143" s="74"/>
      <c r="D143" s="73" t="s">
        <v>288</v>
      </c>
    </row>
    <row r="144" spans="1:4" x14ac:dyDescent="0.25">
      <c r="A144" s="75">
        <v>44005</v>
      </c>
      <c r="B144" s="74" t="s">
        <v>263</v>
      </c>
      <c r="C144" s="74"/>
      <c r="D144" s="74" t="s">
        <v>245</v>
      </c>
    </row>
    <row r="145" spans="1:4" ht="45" x14ac:dyDescent="0.25">
      <c r="A145" s="72"/>
      <c r="B145" s="73" t="s">
        <v>264</v>
      </c>
      <c r="C145" s="74"/>
      <c r="D145" s="76" t="s">
        <v>265</v>
      </c>
    </row>
    <row r="146" spans="1:4" x14ac:dyDescent="0.25">
      <c r="A146" s="72"/>
      <c r="B146" s="73"/>
      <c r="C146" s="74"/>
      <c r="D146" s="73"/>
    </row>
    <row r="147" spans="1:4" x14ac:dyDescent="0.25">
      <c r="A147" s="75">
        <v>44001</v>
      </c>
      <c r="B147" s="74" t="s">
        <v>245</v>
      </c>
      <c r="C147" s="74"/>
      <c r="D147" s="73"/>
    </row>
    <row r="148" spans="1:4" ht="135" x14ac:dyDescent="0.25">
      <c r="A148" s="72"/>
      <c r="B148" s="76" t="s">
        <v>261</v>
      </c>
      <c r="C148" s="74"/>
      <c r="D148" s="73"/>
    </row>
    <row r="149" spans="1:4" x14ac:dyDescent="0.25">
      <c r="A149" s="75">
        <v>44000</v>
      </c>
      <c r="B149" s="74" t="s">
        <v>241</v>
      </c>
      <c r="C149" s="74"/>
      <c r="D149" s="74" t="s">
        <v>258</v>
      </c>
    </row>
    <row r="150" spans="1:4" ht="105" x14ac:dyDescent="0.25">
      <c r="A150" s="72"/>
      <c r="B150" s="76" t="s">
        <v>260</v>
      </c>
      <c r="C150" s="74"/>
      <c r="D150" s="76" t="s">
        <v>259</v>
      </c>
    </row>
    <row r="151" spans="1:4" x14ac:dyDescent="0.25">
      <c r="A151" s="75">
        <v>43998</v>
      </c>
      <c r="B151" s="74" t="s">
        <v>212</v>
      </c>
      <c r="C151" s="74"/>
      <c r="D151" s="74" t="s">
        <v>255</v>
      </c>
    </row>
    <row r="152" spans="1:4" ht="120" x14ac:dyDescent="0.25">
      <c r="A152" s="72"/>
      <c r="B152" s="76" t="s">
        <v>256</v>
      </c>
      <c r="C152" s="74"/>
      <c r="D152" s="1" t="s">
        <v>257</v>
      </c>
    </row>
    <row r="153" spans="1:4" x14ac:dyDescent="0.25">
      <c r="A153" s="72"/>
      <c r="B153" s="73"/>
      <c r="C153" s="74"/>
      <c r="D153" s="73"/>
    </row>
    <row r="154" spans="1:4" x14ac:dyDescent="0.25">
      <c r="A154" s="75">
        <v>43994</v>
      </c>
      <c r="B154" s="74" t="s">
        <v>253</v>
      </c>
      <c r="C154" s="74"/>
      <c r="D154" s="73"/>
    </row>
    <row r="155" spans="1:4" ht="75" x14ac:dyDescent="0.25">
      <c r="A155" s="72"/>
      <c r="B155" s="76" t="s">
        <v>254</v>
      </c>
      <c r="C155" s="74"/>
      <c r="D155" s="73"/>
    </row>
    <row r="156" spans="1:4" x14ac:dyDescent="0.25">
      <c r="A156" s="75">
        <v>43993</v>
      </c>
      <c r="B156" s="74" t="s">
        <v>212</v>
      </c>
      <c r="C156" s="74"/>
      <c r="D156" s="74" t="s">
        <v>250</v>
      </c>
    </row>
    <row r="157" spans="1:4" ht="120" x14ac:dyDescent="0.25">
      <c r="A157" s="72"/>
      <c r="B157" s="69" t="s">
        <v>251</v>
      </c>
      <c r="C157" s="74"/>
      <c r="D157" s="76" t="s">
        <v>252</v>
      </c>
    </row>
    <row r="158" spans="1:4" x14ac:dyDescent="0.25">
      <c r="A158" s="75">
        <v>43991</v>
      </c>
      <c r="B158" s="74" t="s">
        <v>241</v>
      </c>
      <c r="C158" s="74"/>
      <c r="D158" s="74" t="s">
        <v>245</v>
      </c>
    </row>
    <row r="159" spans="1:4" ht="105" x14ac:dyDescent="0.25">
      <c r="A159" s="66"/>
      <c r="B159" s="67" t="s">
        <v>242</v>
      </c>
      <c r="C159" s="68"/>
      <c r="D159" s="69" t="s">
        <v>246</v>
      </c>
    </row>
    <row r="160" spans="1:4" x14ac:dyDescent="0.25">
      <c r="A160" s="66"/>
      <c r="B160" s="67"/>
      <c r="C160" s="68"/>
      <c r="D160" s="69"/>
    </row>
    <row r="161" spans="1:2" x14ac:dyDescent="0.25">
      <c r="A161" s="46">
        <v>43987</v>
      </c>
      <c r="B161" s="41" t="s">
        <v>212</v>
      </c>
    </row>
    <row r="162" spans="1:2" ht="195.75" customHeight="1" x14ac:dyDescent="0.25">
      <c r="B162" s="1" t="s">
        <v>214</v>
      </c>
    </row>
    <row r="163" spans="1:2" x14ac:dyDescent="0.25">
      <c r="A163" s="46">
        <v>43986</v>
      </c>
      <c r="B163" s="41" t="s">
        <v>215</v>
      </c>
    </row>
    <row r="164" spans="1:2" ht="165" customHeight="1" x14ac:dyDescent="0.25">
      <c r="B164" s="1" t="s">
        <v>213</v>
      </c>
    </row>
    <row r="165" spans="1:2" x14ac:dyDescent="0.25">
      <c r="A165" s="46">
        <v>43984</v>
      </c>
      <c r="B165" s="41" t="s">
        <v>222</v>
      </c>
    </row>
    <row r="166" spans="1:2" ht="120" x14ac:dyDescent="0.25">
      <c r="B166" s="1" t="s">
        <v>221</v>
      </c>
    </row>
    <row r="168" spans="1:2" x14ac:dyDescent="0.25">
      <c r="A168" s="46">
        <v>43980</v>
      </c>
      <c r="B168" s="41" t="s">
        <v>216</v>
      </c>
    </row>
    <row r="169" spans="1:2" ht="165" x14ac:dyDescent="0.25">
      <c r="B169" s="1" t="s">
        <v>220</v>
      </c>
    </row>
    <row r="170" spans="1:2" x14ac:dyDescent="0.25">
      <c r="A170" s="46">
        <v>43978</v>
      </c>
      <c r="B170" s="41" t="s">
        <v>219</v>
      </c>
    </row>
    <row r="171" spans="1:2" ht="120" x14ac:dyDescent="0.25">
      <c r="B171" s="1" t="s">
        <v>218</v>
      </c>
    </row>
    <row r="172" spans="1:2" x14ac:dyDescent="0.25">
      <c r="A172" s="46">
        <v>43977</v>
      </c>
      <c r="B172" s="41" t="s">
        <v>216</v>
      </c>
    </row>
    <row r="173" spans="1:2" ht="90" x14ac:dyDescent="0.25">
      <c r="B173" s="1" t="s">
        <v>217</v>
      </c>
    </row>
    <row r="175" spans="1:2" x14ac:dyDescent="0.25">
      <c r="A175" s="46">
        <v>43975</v>
      </c>
      <c r="B175" s="41" t="s">
        <v>197</v>
      </c>
    </row>
    <row r="176" spans="1:2" ht="60" x14ac:dyDescent="0.25">
      <c r="B176"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494</v>
      </c>
      <c r="B1" s="141" t="s">
        <v>495</v>
      </c>
      <c r="C1" s="141"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4" t="s">
        <v>340</v>
      </c>
      <c r="B1" s="164"/>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4" t="s">
        <v>341</v>
      </c>
      <c r="B7" s="164"/>
    </row>
    <row r="8" spans="1:2" ht="15.75" x14ac:dyDescent="0.25">
      <c r="A8" s="162" t="s">
        <v>332</v>
      </c>
      <c r="B8" s="162"/>
    </row>
    <row r="9" spans="1:2" x14ac:dyDescent="0.25">
      <c r="A9" t="s">
        <v>333</v>
      </c>
    </row>
    <row r="11" spans="1:2" ht="15.75" x14ac:dyDescent="0.25">
      <c r="A11" s="163" t="s">
        <v>329</v>
      </c>
      <c r="B11" s="163"/>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1" t="s">
        <v>342</v>
      </c>
      <c r="B23" s="161"/>
    </row>
    <row r="25" spans="1:2" ht="15.75" x14ac:dyDescent="0.25">
      <c r="A25" s="162" t="s">
        <v>334</v>
      </c>
      <c r="B25" s="162"/>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5" t="s">
        <v>297</v>
      </c>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row>
    <row r="6" spans="1:70" x14ac:dyDescent="0.25">
      <c r="C6" s="2" t="s">
        <v>3</v>
      </c>
    </row>
    <row r="7" spans="1:70" ht="45" customHeight="1" x14ac:dyDescent="0.25">
      <c r="C7" s="165" t="s">
        <v>281</v>
      </c>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row>
    <row r="8" spans="1:70" x14ac:dyDescent="0.25">
      <c r="C8" s="2" t="s">
        <v>4</v>
      </c>
    </row>
    <row r="9" spans="1:70" ht="75" customHeight="1" x14ac:dyDescent="0.25">
      <c r="C9" s="165" t="s">
        <v>274</v>
      </c>
      <c r="D9" s="166"/>
      <c r="E9" s="166"/>
      <c r="F9" s="166"/>
      <c r="G9" s="166"/>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66"/>
      <c r="AO9" s="166"/>
      <c r="AP9" s="166"/>
      <c r="AQ9" s="166"/>
      <c r="AR9" s="166"/>
      <c r="AS9" s="166"/>
      <c r="AT9" s="166"/>
      <c r="AU9" s="166"/>
      <c r="AV9" s="166"/>
      <c r="AW9" s="166"/>
      <c r="AX9" s="166"/>
      <c r="AY9" s="166"/>
      <c r="AZ9" s="166"/>
      <c r="BA9" s="166"/>
      <c r="BB9" s="166"/>
      <c r="BC9" s="166"/>
      <c r="BD9" s="166"/>
      <c r="BE9" s="166"/>
      <c r="BF9" s="166"/>
      <c r="BG9" s="166"/>
      <c r="BH9" s="166"/>
      <c r="BI9" s="166"/>
      <c r="BJ9" s="166"/>
      <c r="BK9" s="166"/>
      <c r="BL9" s="166"/>
      <c r="BM9" s="166"/>
      <c r="BN9" s="166"/>
      <c r="BO9" s="166"/>
      <c r="BP9" s="166"/>
      <c r="BQ9" s="166"/>
      <c r="BR9" s="166"/>
    </row>
    <row r="10" spans="1:70" x14ac:dyDescent="0.25">
      <c r="C10" s="2" t="s">
        <v>5</v>
      </c>
    </row>
    <row r="11" spans="1:70" ht="75" customHeight="1" x14ac:dyDescent="0.25">
      <c r="C11" s="165" t="s">
        <v>298</v>
      </c>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row>
    <row r="12" spans="1:70" x14ac:dyDescent="0.25">
      <c r="C12" s="2" t="s">
        <v>6</v>
      </c>
    </row>
    <row r="13" spans="1:70" ht="90.75" customHeight="1" x14ac:dyDescent="0.25">
      <c r="C13" s="165" t="s">
        <v>285</v>
      </c>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row>
    <row r="14" spans="1:70" x14ac:dyDescent="0.25">
      <c r="D14" s="2" t="s">
        <v>284</v>
      </c>
    </row>
    <row r="15" spans="1:70" ht="62.25" customHeight="1" x14ac:dyDescent="0.25">
      <c r="D15" s="165" t="s">
        <v>287</v>
      </c>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row>
    <row r="16" spans="1:70" x14ac:dyDescent="0.25">
      <c r="D16" s="2" t="s">
        <v>195</v>
      </c>
    </row>
    <row r="17" spans="1:70" ht="47.25" customHeight="1" x14ac:dyDescent="0.25">
      <c r="D17" s="165" t="s">
        <v>267</v>
      </c>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row>
    <row r="18" spans="1:70" ht="15.75" customHeight="1" x14ac:dyDescent="0.25">
      <c r="D18" s="167" t="s">
        <v>266</v>
      </c>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7"/>
      <c r="BD18" s="167"/>
      <c r="BE18" s="167"/>
      <c r="BF18" s="167"/>
      <c r="BG18" s="167"/>
      <c r="BH18" s="167"/>
      <c r="BI18" s="167"/>
      <c r="BJ18" s="167"/>
      <c r="BK18" s="167"/>
      <c r="BL18" s="167"/>
      <c r="BM18" s="167"/>
      <c r="BN18" s="167"/>
      <c r="BO18" s="167"/>
      <c r="BP18" s="167"/>
      <c r="BQ18" s="167"/>
      <c r="BR18" s="167"/>
    </row>
    <row r="19" spans="1:70" ht="45.75" customHeight="1" x14ac:dyDescent="0.25">
      <c r="D19" s="165" t="s">
        <v>275</v>
      </c>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row>
    <row r="20" spans="1:70" ht="15.75" customHeight="1" x14ac:dyDescent="0.25">
      <c r="D20" s="167" t="s">
        <v>283</v>
      </c>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7"/>
      <c r="BD20" s="167"/>
      <c r="BE20" s="167"/>
      <c r="BF20" s="167"/>
      <c r="BG20" s="167"/>
      <c r="BH20" s="167"/>
      <c r="BI20" s="167"/>
      <c r="BJ20" s="167"/>
      <c r="BK20" s="167"/>
      <c r="BL20" s="167"/>
      <c r="BM20" s="167"/>
      <c r="BN20" s="167"/>
      <c r="BO20" s="167"/>
      <c r="BP20" s="167"/>
      <c r="BQ20" s="167"/>
      <c r="BR20" s="167"/>
    </row>
    <row r="21" spans="1:70" ht="44.25" customHeight="1" x14ac:dyDescent="0.25">
      <c r="D21" s="165" t="s">
        <v>276</v>
      </c>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row>
    <row r="22" spans="1:70" x14ac:dyDescent="0.25">
      <c r="B22" s="2" t="s">
        <v>191</v>
      </c>
      <c r="C22" s="2"/>
    </row>
    <row r="23" spans="1:70" ht="69.75" customHeight="1" x14ac:dyDescent="0.25">
      <c r="B23" s="165" t="s">
        <v>268</v>
      </c>
      <c r="C23" s="16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row>
    <row r="24" spans="1:70" x14ac:dyDescent="0.25">
      <c r="C24" s="2" t="s">
        <v>192</v>
      </c>
    </row>
    <row r="25" spans="1:70" ht="204.75" customHeight="1" x14ac:dyDescent="0.25">
      <c r="C25" s="168" t="s">
        <v>210</v>
      </c>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row>
    <row r="26" spans="1:70" x14ac:dyDescent="0.25">
      <c r="C26" s="2" t="s">
        <v>193</v>
      </c>
    </row>
    <row r="27" spans="1:70" ht="244.5" customHeight="1" x14ac:dyDescent="0.25">
      <c r="A27" s="1"/>
      <c r="C27" s="168" t="s">
        <v>194</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row>
    <row r="28" spans="1:70" x14ac:dyDescent="0.25">
      <c r="B28" s="2" t="s">
        <v>269</v>
      </c>
      <c r="C28" s="43"/>
    </row>
    <row r="29" spans="1:70" ht="75" customHeight="1" x14ac:dyDescent="0.25">
      <c r="A29" s="1"/>
      <c r="B29" s="165" t="s">
        <v>280</v>
      </c>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row>
    <row r="30" spans="1:70" x14ac:dyDescent="0.25">
      <c r="C30" s="2" t="s">
        <v>273</v>
      </c>
    </row>
    <row r="31" spans="1:70" ht="46.5" customHeight="1" x14ac:dyDescent="0.25">
      <c r="A31" s="1"/>
      <c r="C31" s="168" t="s">
        <v>279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c r="BO31" s="168"/>
      <c r="BP31" s="168"/>
      <c r="BQ31" s="168"/>
      <c r="BR31" s="168"/>
    </row>
    <row r="32" spans="1:70" ht="15.75" customHeight="1" x14ac:dyDescent="0.25">
      <c r="C32" s="167" t="s">
        <v>270</v>
      </c>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row>
    <row r="33" spans="1:70" ht="120" customHeight="1" x14ac:dyDescent="0.25">
      <c r="A33" s="43"/>
      <c r="C33" s="165" t="s">
        <v>272</v>
      </c>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row>
    <row r="34" spans="1:70" ht="15.75" customHeight="1" x14ac:dyDescent="0.25">
      <c r="C34" s="167" t="s">
        <v>271</v>
      </c>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row>
    <row r="35" spans="1:70" ht="47.25" customHeight="1" x14ac:dyDescent="0.25">
      <c r="C35" s="168" t="s">
        <v>278</v>
      </c>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c r="AT35" s="168"/>
      <c r="AU35" s="168"/>
      <c r="AV35" s="168"/>
      <c r="AW35" s="168"/>
      <c r="AX35" s="168"/>
      <c r="AY35" s="168"/>
      <c r="AZ35" s="168"/>
      <c r="BA35" s="168"/>
      <c r="BB35" s="168"/>
      <c r="BC35" s="168"/>
      <c r="BD35" s="168"/>
      <c r="BE35" s="168"/>
      <c r="BF35" s="168"/>
      <c r="BG35" s="168"/>
      <c r="BH35" s="168"/>
      <c r="BI35" s="168"/>
      <c r="BJ35" s="168"/>
      <c r="BK35" s="168"/>
      <c r="BL35" s="168"/>
      <c r="BM35" s="168"/>
      <c r="BN35" s="168"/>
      <c r="BO35" s="168"/>
      <c r="BP35" s="168"/>
      <c r="BQ35" s="168"/>
      <c r="BR35" s="168"/>
    </row>
    <row r="36" spans="1:70" x14ac:dyDescent="0.25">
      <c r="B36" s="2" t="s">
        <v>2</v>
      </c>
    </row>
    <row r="37" spans="1:70" x14ac:dyDescent="0.25">
      <c r="B37" s="166" t="s">
        <v>12</v>
      </c>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row>
    <row r="38" spans="1:70" x14ac:dyDescent="0.25">
      <c r="C38" s="2" t="s">
        <v>7</v>
      </c>
    </row>
    <row r="39" spans="1:70" ht="45.75" customHeight="1" x14ac:dyDescent="0.25">
      <c r="C39" s="165" t="s">
        <v>8</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2020-10-08T21:00:19Z</dcterms:modified>
</cp:coreProperties>
</file>