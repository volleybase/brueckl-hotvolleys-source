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50F49162-9497-4A0A-97E1-40B3E95137C1}" xr6:coauthVersionLast="45" xr6:coauthVersionMax="45" xr10:uidLastSave="{00000000-0000-0000-0000-000000000000}"/>
  <bookViews>
    <workbookView xWindow="-120" yWindow="-120" windowWidth="29040" windowHeight="16440" activeTab="1" xr2:uid="{C02B7525-F58C-4FF6-BB5A-AEA42BBECA1C}"/>
  </bookViews>
  <sheets>
    <sheet name="Anwesend 21 (NW)" sheetId="13" r:id="rId1"/>
    <sheet name="Anwesend 21" sheetId="10" r:id="rId2"/>
    <sheet name="Tagebuch 21" sheetId="11" r:id="rId3"/>
    <sheet name="Tabelle2" sheetId="14" r:id="rId4"/>
    <sheet name="Tabelle1" sheetId="12" r:id="rId5"/>
    <sheet name="Individuelle Hinweise" sheetId="5" r:id="rId6"/>
    <sheet name="Neustart 20-21" sheetId="9" r:id="rId7"/>
    <sheet name="Anwesend" sheetId="3" r:id="rId8"/>
    <sheet name="Tagebuch" sheetId="4" r:id="rId9"/>
    <sheet name="Todos" sheetId="8" r:id="rId10"/>
    <sheet name="Trainingsplan" sheetId="7" r:id="rId11"/>
    <sheet name="HerzHirn__" sheetId="6" r:id="rId12"/>
    <sheet name="HerzHirn_alt" sheetId="1" r:id="rId13"/>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6" i="13" l="1"/>
  <c r="D45" i="13"/>
  <c r="D44" i="13"/>
  <c r="E40" i="13"/>
  <c r="F40" i="13" s="1"/>
  <c r="G40" i="13" s="1"/>
  <c r="H40" i="13" s="1"/>
  <c r="I40" i="13" s="1"/>
  <c r="J40" i="13" s="1"/>
  <c r="K40" i="13" s="1"/>
  <c r="L40" i="13" s="1"/>
  <c r="D38" i="13"/>
  <c r="H38" i="13" s="1"/>
  <c r="J38" i="13" s="1"/>
  <c r="K38" i="13" s="1"/>
  <c r="L38" i="13" s="1"/>
  <c r="D37" i="13"/>
  <c r="H37" i="13" s="1"/>
  <c r="J37" i="13" s="1"/>
  <c r="K37" i="13" s="1"/>
  <c r="L37" i="13" s="1"/>
  <c r="D36" i="13"/>
  <c r="H36" i="13" s="1"/>
  <c r="J36" i="13" s="1"/>
  <c r="K36" i="13" s="1"/>
  <c r="L36" i="13" s="1"/>
  <c r="D35" i="13"/>
  <c r="H35" i="13" s="1"/>
  <c r="J35" i="13" s="1"/>
  <c r="K35" i="13" s="1"/>
  <c r="L35" i="13" s="1"/>
  <c r="D34" i="13"/>
  <c r="H48" i="13"/>
  <c r="J48" i="13" s="1"/>
  <c r="K48" i="13" s="1"/>
  <c r="L48" i="13" s="1"/>
  <c r="H47" i="13"/>
  <c r="J47" i="13" s="1"/>
  <c r="K47" i="13" s="1"/>
  <c r="L47" i="13" s="1"/>
  <c r="I42" i="13"/>
  <c r="E42" i="13"/>
  <c r="F42" i="13" s="1"/>
  <c r="G42" i="13" s="1"/>
  <c r="I41" i="13"/>
  <c r="E41" i="13"/>
  <c r="F41" i="13" s="1"/>
  <c r="G41" i="13" s="1"/>
  <c r="B43" i="13"/>
  <c r="E46" i="13" l="1"/>
  <c r="F46" i="13" s="1"/>
  <c r="G46" i="13" s="1"/>
  <c r="H46" i="13" s="1"/>
  <c r="I46" i="13" s="1"/>
  <c r="J46" i="13" s="1"/>
  <c r="K46" i="13" s="1"/>
  <c r="L46" i="13" s="1"/>
  <c r="H45" i="13"/>
  <c r="J45" i="13" s="1"/>
  <c r="K45" i="13" s="1"/>
  <c r="L45" i="13" s="1"/>
  <c r="H44" i="13"/>
  <c r="J44" i="13" s="1"/>
  <c r="K44" i="13" s="1"/>
  <c r="L44" i="13" s="1"/>
  <c r="H34" i="13"/>
  <c r="J34" i="13" s="1"/>
  <c r="K34" i="13" s="1"/>
  <c r="L34" i="13" s="1"/>
  <c r="E7" i="10"/>
  <c r="I6" i="13" l="1"/>
  <c r="K8" i="13"/>
  <c r="E8" i="13"/>
  <c r="I8" i="13"/>
  <c r="K6" i="13"/>
  <c r="K11" i="13"/>
  <c r="I11" i="13"/>
  <c r="E6" i="13"/>
  <c r="E11" i="13"/>
  <c r="C19" i="14" l="1"/>
  <c r="C18" i="14"/>
  <c r="C17" i="14"/>
  <c r="C16" i="14"/>
  <c r="C15" i="14"/>
  <c r="C14" i="14"/>
  <c r="C13" i="14"/>
  <c r="C12" i="14"/>
  <c r="C11" i="14"/>
  <c r="C10" i="14"/>
  <c r="C9" i="14"/>
  <c r="C8" i="14"/>
  <c r="C7" i="14"/>
  <c r="C6" i="14"/>
  <c r="C5" i="14"/>
  <c r="C4" i="14"/>
  <c r="C3" i="14"/>
  <c r="C2" i="14"/>
  <c r="C1" i="14"/>
  <c r="K16" i="13" l="1"/>
  <c r="IB15" i="13"/>
  <c r="IA15" i="13"/>
  <c r="HZ15" i="13"/>
  <c r="HY15" i="13"/>
  <c r="HX15" i="13"/>
  <c r="HW15" i="13"/>
  <c r="HV15" i="13"/>
  <c r="HU15" i="13"/>
  <c r="HT15" i="13"/>
  <c r="HS15" i="13"/>
  <c r="HR15" i="13"/>
  <c r="HQ15" i="13"/>
  <c r="HP15" i="13"/>
  <c r="HO15" i="13"/>
  <c r="HN15" i="13"/>
  <c r="HM15" i="13"/>
  <c r="HL15" i="13"/>
  <c r="HK15" i="13"/>
  <c r="HJ15" i="13"/>
  <c r="HI15" i="13"/>
  <c r="HH15" i="13"/>
  <c r="HG15" i="13"/>
  <c r="HF15" i="13"/>
  <c r="HE15" i="13"/>
  <c r="HD15" i="13"/>
  <c r="HC15" i="13"/>
  <c r="HB15" i="13"/>
  <c r="HA15" i="13"/>
  <c r="GZ15" i="13"/>
  <c r="GY15" i="13"/>
  <c r="GX15" i="13"/>
  <c r="GW15" i="13"/>
  <c r="GV15" i="13"/>
  <c r="GU15" i="13"/>
  <c r="GT15" i="13"/>
  <c r="GS15" i="13"/>
  <c r="GR15" i="13"/>
  <c r="GQ15" i="13"/>
  <c r="GP15" i="13"/>
  <c r="GO15" i="13"/>
  <c r="GN15" i="13"/>
  <c r="GM15" i="13"/>
  <c r="GL15" i="13"/>
  <c r="GK15" i="13"/>
  <c r="GJ15" i="13"/>
  <c r="GI15" i="13"/>
  <c r="GH15" i="13"/>
  <c r="GG15" i="13"/>
  <c r="GF15" i="13"/>
  <c r="GE15" i="13"/>
  <c r="GD15" i="13"/>
  <c r="GC15" i="13"/>
  <c r="GB15" i="13"/>
  <c r="GA15" i="13"/>
  <c r="FZ15" i="13"/>
  <c r="FY15" i="13"/>
  <c r="FX15" i="13"/>
  <c r="FW15" i="13"/>
  <c r="FV15" i="13"/>
  <c r="FU15" i="13"/>
  <c r="FT15" i="13"/>
  <c r="FS15" i="13"/>
  <c r="FR15" i="13"/>
  <c r="FQ15" i="13"/>
  <c r="FP15" i="13"/>
  <c r="FO15" i="13"/>
  <c r="FN15" i="13"/>
  <c r="FM15" i="13"/>
  <c r="FL15" i="13"/>
  <c r="FK15" i="13"/>
  <c r="FJ15" i="13"/>
  <c r="FI15" i="13"/>
  <c r="FH15" i="13"/>
  <c r="FG15" i="13"/>
  <c r="FF15" i="13"/>
  <c r="FE15" i="13"/>
  <c r="FD15" i="13"/>
  <c r="FC15" i="13"/>
  <c r="FB15" i="13"/>
  <c r="FA15" i="13"/>
  <c r="EZ15" i="13"/>
  <c r="EY15" i="13"/>
  <c r="EX15" i="13"/>
  <c r="EW15" i="13"/>
  <c r="EV15" i="13"/>
  <c r="EU15" i="13"/>
  <c r="ET15" i="13"/>
  <c r="ES15" i="13"/>
  <c r="ER15" i="13"/>
  <c r="EQ15" i="13"/>
  <c r="EP15" i="13"/>
  <c r="EO15" i="13"/>
  <c r="EN15" i="13"/>
  <c r="EM15" i="13"/>
  <c r="EL15" i="13"/>
  <c r="EK15" i="13"/>
  <c r="EJ15" i="13"/>
  <c r="EI15" i="13"/>
  <c r="EH15" i="13"/>
  <c r="EG15" i="13"/>
  <c r="EF15" i="13"/>
  <c r="EE15" i="13"/>
  <c r="ED15" i="13"/>
  <c r="EC15" i="13"/>
  <c r="EB15" i="13"/>
  <c r="EA15" i="13"/>
  <c r="DZ15" i="13"/>
  <c r="DY15" i="13"/>
  <c r="DX15" i="13"/>
  <c r="DW15" i="13"/>
  <c r="DV15" i="13"/>
  <c r="DU15" i="13"/>
  <c r="DT15" i="13"/>
  <c r="DS15" i="13"/>
  <c r="DR15" i="13"/>
  <c r="DQ15" i="13"/>
  <c r="DP15" i="13"/>
  <c r="DO15" i="13"/>
  <c r="DN15" i="13"/>
  <c r="DM15" i="13"/>
  <c r="DL15" i="13"/>
  <c r="DK15" i="13"/>
  <c r="DJ15" i="13"/>
  <c r="DI15" i="13"/>
  <c r="DH15" i="13"/>
  <c r="DG15" i="13"/>
  <c r="DF15" i="13"/>
  <c r="DE15" i="13"/>
  <c r="DD15" i="13"/>
  <c r="DC15" i="13"/>
  <c r="DB15" i="13"/>
  <c r="DA15" i="13"/>
  <c r="CZ15" i="13"/>
  <c r="CY15" i="13"/>
  <c r="CX15" i="13"/>
  <c r="CW15" i="13"/>
  <c r="CV15" i="13"/>
  <c r="CU15" i="13"/>
  <c r="CT15" i="13"/>
  <c r="CS15" i="13"/>
  <c r="CR15" i="13"/>
  <c r="CQ15" i="13"/>
  <c r="CP15" i="13"/>
  <c r="CO15" i="13"/>
  <c r="CN15" i="13"/>
  <c r="CM15" i="13"/>
  <c r="CL15" i="13"/>
  <c r="CK15" i="13"/>
  <c r="CJ15" i="13"/>
  <c r="CI15" i="13"/>
  <c r="CH15" i="13"/>
  <c r="CG15" i="13"/>
  <c r="CF15" i="13"/>
  <c r="CE15" i="13"/>
  <c r="CD15" i="13"/>
  <c r="CC15" i="13"/>
  <c r="CB15" i="13"/>
  <c r="CA15" i="13"/>
  <c r="BZ15" i="13"/>
  <c r="BY15" i="13"/>
  <c r="BX15" i="13"/>
  <c r="BW15" i="13"/>
  <c r="BV15" i="13"/>
  <c r="BU15" i="13"/>
  <c r="BT15" i="13"/>
  <c r="BS15" i="13"/>
  <c r="BR15" i="13"/>
  <c r="BQ15" i="13"/>
  <c r="BP15" i="13"/>
  <c r="BO15" i="13"/>
  <c r="BN15" i="13"/>
  <c r="BM15" i="13"/>
  <c r="BL15" i="13"/>
  <c r="BK15" i="13"/>
  <c r="BJ15" i="13"/>
  <c r="BI15" i="13"/>
  <c r="BH15" i="13"/>
  <c r="BG15" i="13"/>
  <c r="BF15" i="13"/>
  <c r="BE15" i="13"/>
  <c r="BD15" i="13"/>
  <c r="BC15" i="13"/>
  <c r="BB15" i="13"/>
  <c r="BA15" i="13"/>
  <c r="AZ15" i="13"/>
  <c r="AY15" i="13"/>
  <c r="AX15" i="13"/>
  <c r="AW15" i="13"/>
  <c r="AV15" i="13"/>
  <c r="AU15" i="13"/>
  <c r="AT15" i="13"/>
  <c r="AS15" i="13"/>
  <c r="AR15" i="13"/>
  <c r="AQ15" i="13"/>
  <c r="AP15" i="13"/>
  <c r="AO15" i="13"/>
  <c r="AN15" i="13"/>
  <c r="AM15" i="13"/>
  <c r="AL15" i="13"/>
  <c r="AK15" i="13"/>
  <c r="AJ15" i="13"/>
  <c r="AI15" i="13"/>
  <c r="AH15" i="13"/>
  <c r="AG15" i="13"/>
  <c r="AF15" i="13"/>
  <c r="AE15" i="13"/>
  <c r="AD15" i="13"/>
  <c r="AC15" i="13"/>
  <c r="AB15" i="13"/>
  <c r="AA15" i="13"/>
  <c r="Z15" i="13"/>
  <c r="Y15" i="13"/>
  <c r="X15" i="13"/>
  <c r="W15" i="13"/>
  <c r="V15" i="13"/>
  <c r="U15" i="13"/>
  <c r="T15" i="13"/>
  <c r="S15" i="13"/>
  <c r="R15" i="13"/>
  <c r="Q15" i="13"/>
  <c r="P15" i="13"/>
  <c r="O15" i="13"/>
  <c r="N15" i="13"/>
  <c r="M15" i="13"/>
  <c r="I15" i="13"/>
  <c r="IB14" i="13"/>
  <c r="IA14" i="13"/>
  <c r="HZ14" i="13"/>
  <c r="HY14" i="13"/>
  <c r="HX14" i="13"/>
  <c r="HW14" i="13"/>
  <c r="HV14" i="13"/>
  <c r="HU14" i="13"/>
  <c r="HT14" i="13"/>
  <c r="HS14" i="13"/>
  <c r="HR14" i="13"/>
  <c r="HQ14" i="13"/>
  <c r="HP14" i="13"/>
  <c r="HO14" i="13"/>
  <c r="HN14" i="13"/>
  <c r="HM14" i="13"/>
  <c r="HL14" i="13"/>
  <c r="HK14" i="13"/>
  <c r="HJ14" i="13"/>
  <c r="HI14" i="13"/>
  <c r="HH14" i="13"/>
  <c r="HG14" i="13"/>
  <c r="HF14" i="13"/>
  <c r="HE14" i="13"/>
  <c r="HD14" i="13"/>
  <c r="HC14" i="13"/>
  <c r="HB14" i="13"/>
  <c r="HA14" i="13"/>
  <c r="GZ14" i="13"/>
  <c r="GY14" i="13"/>
  <c r="GX14" i="13"/>
  <c r="GW14" i="13"/>
  <c r="GV14" i="13"/>
  <c r="GU14" i="13"/>
  <c r="GT14" i="13"/>
  <c r="GS14" i="13"/>
  <c r="GR14" i="13"/>
  <c r="GQ14" i="13"/>
  <c r="GP14" i="13"/>
  <c r="GO14" i="13"/>
  <c r="GN14" i="13"/>
  <c r="GM14" i="13"/>
  <c r="GL14" i="13"/>
  <c r="GK14" i="13"/>
  <c r="GJ14" i="13"/>
  <c r="GI14" i="13"/>
  <c r="GH14" i="13"/>
  <c r="GG14" i="13"/>
  <c r="GF14" i="13"/>
  <c r="GE14" i="13"/>
  <c r="GD14" i="13"/>
  <c r="GC14" i="13"/>
  <c r="GB14" i="13"/>
  <c r="GA14" i="13"/>
  <c r="FZ14" i="13"/>
  <c r="FY14" i="13"/>
  <c r="FX14" i="13"/>
  <c r="FW14" i="13"/>
  <c r="FV14" i="13"/>
  <c r="FU14" i="13"/>
  <c r="FT14" i="13"/>
  <c r="FS14" i="13"/>
  <c r="FR14" i="13"/>
  <c r="FQ14" i="13"/>
  <c r="FP14" i="13"/>
  <c r="FO14" i="13"/>
  <c r="FN14" i="13"/>
  <c r="FM14" i="13"/>
  <c r="FL14" i="13"/>
  <c r="FK14" i="13"/>
  <c r="FJ14" i="13"/>
  <c r="FI14" i="13"/>
  <c r="FH14" i="13"/>
  <c r="FG14" i="13"/>
  <c r="FF14" i="13"/>
  <c r="FE14" i="13"/>
  <c r="FD14" i="13"/>
  <c r="FC14" i="13"/>
  <c r="FB14" i="13"/>
  <c r="FA14" i="13"/>
  <c r="EZ14" i="13"/>
  <c r="EY14" i="13"/>
  <c r="EX14" i="13"/>
  <c r="EW14" i="13"/>
  <c r="EV14" i="13"/>
  <c r="EU14" i="13"/>
  <c r="ET14" i="13"/>
  <c r="ES14" i="13"/>
  <c r="ER14" i="13"/>
  <c r="EQ14" i="13"/>
  <c r="EP14" i="13"/>
  <c r="EO14" i="13"/>
  <c r="EN14" i="13"/>
  <c r="EM14" i="13"/>
  <c r="EL14" i="13"/>
  <c r="EK14" i="13"/>
  <c r="EJ14" i="13"/>
  <c r="EI14" i="13"/>
  <c r="EH14" i="13"/>
  <c r="EG14" i="13"/>
  <c r="EF14" i="13"/>
  <c r="EE14" i="13"/>
  <c r="ED14" i="13"/>
  <c r="EC14" i="13"/>
  <c r="EB14" i="13"/>
  <c r="EA14" i="13"/>
  <c r="DZ14" i="13"/>
  <c r="DY14" i="13"/>
  <c r="DX14" i="13"/>
  <c r="DW14" i="13"/>
  <c r="DV14" i="13"/>
  <c r="DU14" i="13"/>
  <c r="DT14" i="13"/>
  <c r="DS14" i="13"/>
  <c r="DR14" i="13"/>
  <c r="DQ14" i="13"/>
  <c r="DP14" i="13"/>
  <c r="DO14" i="13"/>
  <c r="DN14" i="13"/>
  <c r="DM14" i="13"/>
  <c r="DL14" i="13"/>
  <c r="DK14" i="13"/>
  <c r="DJ14" i="13"/>
  <c r="DI14" i="13"/>
  <c r="DH14" i="13"/>
  <c r="DG14" i="13"/>
  <c r="DF14" i="13"/>
  <c r="DE14" i="13"/>
  <c r="DD14" i="13"/>
  <c r="DC14" i="13"/>
  <c r="DB14" i="13"/>
  <c r="DA14" i="13"/>
  <c r="CZ14" i="13"/>
  <c r="CY14" i="13"/>
  <c r="CX14" i="13"/>
  <c r="CW14" i="13"/>
  <c r="CV14" i="13"/>
  <c r="CU14" i="13"/>
  <c r="CT14" i="13"/>
  <c r="CS14" i="13"/>
  <c r="CR14" i="13"/>
  <c r="CQ14" i="13"/>
  <c r="CP14" i="13"/>
  <c r="CO14" i="13"/>
  <c r="CN14" i="13"/>
  <c r="CM14" i="13"/>
  <c r="CL14" i="13"/>
  <c r="CK14" i="13"/>
  <c r="CJ14" i="13"/>
  <c r="CI14" i="13"/>
  <c r="CH14" i="13"/>
  <c r="CG14" i="13"/>
  <c r="CF14" i="13"/>
  <c r="CE14" i="13"/>
  <c r="CD14" i="13"/>
  <c r="CC14" i="13"/>
  <c r="CB14" i="13"/>
  <c r="CA14" i="13"/>
  <c r="BZ14" i="13"/>
  <c r="BY14" i="13"/>
  <c r="BX14" i="13"/>
  <c r="BW14" i="13"/>
  <c r="BV14" i="13"/>
  <c r="BU14" i="13"/>
  <c r="BT14" i="13"/>
  <c r="BS14" i="13"/>
  <c r="BR14" i="13"/>
  <c r="BQ14" i="13"/>
  <c r="BP14" i="13"/>
  <c r="BO14" i="13"/>
  <c r="BN14" i="13"/>
  <c r="BM14" i="13"/>
  <c r="BL14" i="13"/>
  <c r="BK14" i="13"/>
  <c r="BJ14" i="13"/>
  <c r="BI14" i="13"/>
  <c r="BH14" i="13"/>
  <c r="BG14" i="13"/>
  <c r="BF14" i="13"/>
  <c r="BE14" i="13"/>
  <c r="BD14" i="13"/>
  <c r="BC14" i="13"/>
  <c r="BB14" i="13"/>
  <c r="BA14" i="13"/>
  <c r="AZ14" i="13"/>
  <c r="AY14" i="13"/>
  <c r="AX14" i="13"/>
  <c r="AW14" i="13"/>
  <c r="AV14" i="13"/>
  <c r="AU14" i="13"/>
  <c r="AT14" i="13"/>
  <c r="AS14" i="13"/>
  <c r="AR14" i="13"/>
  <c r="AQ14" i="13"/>
  <c r="AP14" i="13"/>
  <c r="AO14" i="13"/>
  <c r="AN14" i="13"/>
  <c r="AM14" i="13"/>
  <c r="AL14" i="13"/>
  <c r="AK14" i="13"/>
  <c r="AJ14" i="13"/>
  <c r="AI14" i="13"/>
  <c r="AH14" i="13"/>
  <c r="AG14" i="13"/>
  <c r="AF14" i="13"/>
  <c r="AE14" i="13"/>
  <c r="AD14" i="13"/>
  <c r="AC14" i="13"/>
  <c r="AB14" i="13"/>
  <c r="AA14" i="13"/>
  <c r="Z14" i="13"/>
  <c r="Y14" i="13"/>
  <c r="X14" i="13"/>
  <c r="W14" i="13"/>
  <c r="V14" i="13"/>
  <c r="U14" i="13"/>
  <c r="T14" i="13"/>
  <c r="S14" i="13"/>
  <c r="R14" i="13"/>
  <c r="Q14" i="13"/>
  <c r="P14" i="13"/>
  <c r="O14" i="13"/>
  <c r="N14" i="13"/>
  <c r="M14" i="13"/>
  <c r="I14" i="13"/>
  <c r="K13" i="13"/>
  <c r="I13" i="13"/>
  <c r="E13" i="13"/>
  <c r="K12" i="13"/>
  <c r="I12" i="13"/>
  <c r="E12" i="13"/>
  <c r="K10" i="13"/>
  <c r="I10" i="13"/>
  <c r="E10" i="13"/>
  <c r="K9" i="13"/>
  <c r="I9" i="13"/>
  <c r="E9" i="13"/>
  <c r="K7" i="13"/>
  <c r="I7" i="13"/>
  <c r="E7" i="13"/>
  <c r="K5" i="13"/>
  <c r="I5" i="13"/>
  <c r="E5" i="13"/>
  <c r="K4" i="13"/>
  <c r="I4" i="13"/>
  <c r="E4" i="13"/>
  <c r="K3" i="13"/>
  <c r="I3" i="13"/>
  <c r="E3" i="13"/>
  <c r="N1" i="13"/>
  <c r="O1" i="13" s="1"/>
  <c r="P1" i="13" s="1"/>
  <c r="Q1" i="13" s="1"/>
  <c r="R1" i="13" s="1"/>
  <c r="S1" i="13" s="1"/>
  <c r="T1" i="13" s="1"/>
  <c r="U1" i="13" s="1"/>
  <c r="V1" i="13" s="1"/>
  <c r="W1" i="13" s="1"/>
  <c r="X1" i="13" s="1"/>
  <c r="Y1" i="13" s="1"/>
  <c r="Z1" i="13" s="1"/>
  <c r="AA1" i="13" s="1"/>
  <c r="AB1" i="13" s="1"/>
  <c r="AC1" i="13" s="1"/>
  <c r="AD1" i="13" s="1"/>
  <c r="AE1" i="13" s="1"/>
  <c r="AF1" i="13" s="1"/>
  <c r="AG1" i="13" s="1"/>
  <c r="AH1" i="13" s="1"/>
  <c r="AI1" i="13" s="1"/>
  <c r="AJ1" i="13" s="1"/>
  <c r="AK1" i="13" s="1"/>
  <c r="AL1" i="13" s="1"/>
  <c r="AM1" i="13" s="1"/>
  <c r="AN1" i="13" s="1"/>
  <c r="AO1" i="13" s="1"/>
  <c r="AP1" i="13" s="1"/>
  <c r="AQ1" i="13" s="1"/>
  <c r="AR1" i="13" s="1"/>
  <c r="AS1" i="13" s="1"/>
  <c r="AT1" i="13" s="1"/>
  <c r="AU1" i="13" s="1"/>
  <c r="AV1" i="13" s="1"/>
  <c r="AW1" i="13" s="1"/>
  <c r="AX1" i="13" s="1"/>
  <c r="AY1" i="13" s="1"/>
  <c r="AZ1" i="13" s="1"/>
  <c r="BA1" i="13" s="1"/>
  <c r="BB1" i="13" s="1"/>
  <c r="BC1" i="13" s="1"/>
  <c r="BD1" i="13" s="1"/>
  <c r="BE1" i="13" s="1"/>
  <c r="BF1" i="13" s="1"/>
  <c r="BG1" i="13" s="1"/>
  <c r="BH1" i="13" s="1"/>
  <c r="BI1" i="13" s="1"/>
  <c r="BJ1" i="13" s="1"/>
  <c r="BK1" i="13" s="1"/>
  <c r="BL1" i="13" s="1"/>
  <c r="BM1" i="13" s="1"/>
  <c r="BN1" i="13" s="1"/>
  <c r="BO1" i="13" s="1"/>
  <c r="BP1" i="13" s="1"/>
  <c r="BQ1" i="13" s="1"/>
  <c r="BR1" i="13" s="1"/>
  <c r="BS1" i="13" s="1"/>
  <c r="BT1" i="13" s="1"/>
  <c r="BU1" i="13" s="1"/>
  <c r="BV1" i="13" s="1"/>
  <c r="BW1" i="13" s="1"/>
  <c r="BX1" i="13" s="1"/>
  <c r="BY1" i="13" s="1"/>
  <c r="BZ1" i="13" s="1"/>
  <c r="CA1" i="13" s="1"/>
  <c r="CB1" i="13" s="1"/>
  <c r="CC1" i="13" s="1"/>
  <c r="CD1" i="13" s="1"/>
  <c r="CE1" i="13" s="1"/>
  <c r="CF1" i="13" s="1"/>
  <c r="CG1" i="13" s="1"/>
  <c r="CH1" i="13" s="1"/>
  <c r="CI1" i="13" s="1"/>
  <c r="CJ1" i="13" s="1"/>
  <c r="CK1" i="13" s="1"/>
  <c r="CL1" i="13" s="1"/>
  <c r="CM1" i="13" s="1"/>
  <c r="CN1" i="13" s="1"/>
  <c r="CO1" i="13" s="1"/>
  <c r="CP1" i="13" s="1"/>
  <c r="CQ1" i="13" s="1"/>
  <c r="CR1" i="13" s="1"/>
  <c r="CS1" i="13" s="1"/>
  <c r="CT1" i="13" s="1"/>
  <c r="CU1" i="13" s="1"/>
  <c r="CV1" i="13" s="1"/>
  <c r="CW1" i="13" s="1"/>
  <c r="CX1" i="13" s="1"/>
  <c r="CY1" i="13" s="1"/>
  <c r="CZ1" i="13" s="1"/>
  <c r="DA1" i="13" s="1"/>
  <c r="DB1" i="13" s="1"/>
  <c r="DC1" i="13" s="1"/>
  <c r="DD1" i="13" s="1"/>
  <c r="DE1" i="13" s="1"/>
  <c r="DF1" i="13" s="1"/>
  <c r="DG1" i="13" s="1"/>
  <c r="DH1" i="13" s="1"/>
  <c r="DI1" i="13" s="1"/>
  <c r="DJ1" i="13" s="1"/>
  <c r="DK1" i="13" s="1"/>
  <c r="DL1" i="13" s="1"/>
  <c r="DM1" i="13" s="1"/>
  <c r="DN1" i="13" s="1"/>
  <c r="DO1" i="13" s="1"/>
  <c r="DP1" i="13" s="1"/>
  <c r="DQ1" i="13" s="1"/>
  <c r="DR1" i="13" s="1"/>
  <c r="DS1" i="13" s="1"/>
  <c r="DT1" i="13" s="1"/>
  <c r="DU1" i="13" s="1"/>
  <c r="DV1" i="13" s="1"/>
  <c r="DW1" i="13" s="1"/>
  <c r="DX1" i="13" s="1"/>
  <c r="DY1" i="13" s="1"/>
  <c r="DZ1" i="13" s="1"/>
  <c r="EA1" i="13" s="1"/>
  <c r="EB1" i="13" s="1"/>
  <c r="EC1" i="13" s="1"/>
  <c r="ED1" i="13" s="1"/>
  <c r="EE1" i="13" s="1"/>
  <c r="EF1" i="13" s="1"/>
  <c r="EG1" i="13" s="1"/>
  <c r="EH1" i="13" s="1"/>
  <c r="EI1" i="13" s="1"/>
  <c r="EJ1" i="13" s="1"/>
  <c r="EK1" i="13" s="1"/>
  <c r="EL1" i="13" s="1"/>
  <c r="EM1" i="13" s="1"/>
  <c r="EN1" i="13" s="1"/>
  <c r="EO1" i="13" s="1"/>
  <c r="EP1" i="13" s="1"/>
  <c r="EQ1" i="13" s="1"/>
  <c r="ER1" i="13" s="1"/>
  <c r="ES1" i="13" s="1"/>
  <c r="ET1" i="13" s="1"/>
  <c r="EU1" i="13" s="1"/>
  <c r="EV1" i="13" s="1"/>
  <c r="EW1" i="13" s="1"/>
  <c r="EX1" i="13" s="1"/>
  <c r="EY1" i="13" s="1"/>
  <c r="EZ1" i="13" s="1"/>
  <c r="FA1" i="13" s="1"/>
  <c r="FB1" i="13" s="1"/>
  <c r="FC1" i="13" s="1"/>
  <c r="FD1" i="13" s="1"/>
  <c r="FE1" i="13" s="1"/>
  <c r="FF1" i="13" s="1"/>
  <c r="FG1" i="13" s="1"/>
  <c r="FH1" i="13" s="1"/>
  <c r="FI1" i="13" s="1"/>
  <c r="FJ1" i="13" s="1"/>
  <c r="FK1" i="13" s="1"/>
  <c r="FL1" i="13" s="1"/>
  <c r="FM1" i="13" s="1"/>
  <c r="FN1" i="13" s="1"/>
  <c r="FO1" i="13" s="1"/>
  <c r="FP1" i="13" s="1"/>
  <c r="FQ1" i="13" s="1"/>
  <c r="FR1" i="13" s="1"/>
  <c r="FS1" i="13" s="1"/>
  <c r="FT1" i="13" s="1"/>
  <c r="FU1" i="13" s="1"/>
  <c r="FV1" i="13" s="1"/>
  <c r="FW1" i="13" s="1"/>
  <c r="FX1" i="13" s="1"/>
  <c r="FY1" i="13" s="1"/>
  <c r="FZ1" i="13" s="1"/>
  <c r="GA1" i="13" s="1"/>
  <c r="GB1" i="13" s="1"/>
  <c r="GC1" i="13" s="1"/>
  <c r="GD1" i="13" s="1"/>
  <c r="GE1" i="13" s="1"/>
  <c r="GF1" i="13" s="1"/>
  <c r="GG1" i="13" s="1"/>
  <c r="GH1" i="13" s="1"/>
  <c r="GI1" i="13" s="1"/>
  <c r="GJ1" i="13" s="1"/>
  <c r="GK1" i="13" s="1"/>
  <c r="GL1" i="13" s="1"/>
  <c r="GM1" i="13" s="1"/>
  <c r="GN1" i="13" s="1"/>
  <c r="GO1" i="13" s="1"/>
  <c r="GP1" i="13" s="1"/>
  <c r="GQ1" i="13" s="1"/>
  <c r="GR1" i="13" s="1"/>
  <c r="GS1" i="13" s="1"/>
  <c r="GT1" i="13" s="1"/>
  <c r="GU1" i="13" s="1"/>
  <c r="GV1" i="13" s="1"/>
  <c r="GW1" i="13" s="1"/>
  <c r="GX1" i="13" s="1"/>
  <c r="GY1" i="13" s="1"/>
  <c r="GZ1" i="13" s="1"/>
  <c r="HA1" i="13" s="1"/>
  <c r="HB1" i="13" s="1"/>
  <c r="HC1" i="13" s="1"/>
  <c r="HD1" i="13" s="1"/>
  <c r="HE1" i="13" s="1"/>
  <c r="HF1" i="13" s="1"/>
  <c r="HG1" i="13" s="1"/>
  <c r="HH1" i="13" s="1"/>
  <c r="HI1" i="13" s="1"/>
  <c r="HJ1" i="13" s="1"/>
  <c r="HK1" i="13" s="1"/>
  <c r="HL1" i="13" s="1"/>
  <c r="HM1" i="13" s="1"/>
  <c r="HN1" i="13" s="1"/>
  <c r="HO1" i="13" s="1"/>
  <c r="HP1" i="13" s="1"/>
  <c r="I1" i="13"/>
  <c r="L12" i="13" l="1"/>
  <c r="L13" i="13"/>
  <c r="L9" i="13"/>
  <c r="L3" i="13"/>
  <c r="L5" i="13"/>
  <c r="L10" i="13"/>
  <c r="L7" i="13"/>
  <c r="L4" i="13"/>
  <c r="L6" i="13"/>
  <c r="L11" i="13"/>
  <c r="L8" i="13"/>
  <c r="K15" i="13"/>
  <c r="L15" i="13" s="1"/>
  <c r="K14" i="13"/>
  <c r="L14" i="13" s="1"/>
  <c r="K21" i="10"/>
  <c r="E21" i="10"/>
  <c r="I21" i="10"/>
  <c r="AL23" i="10" l="1"/>
  <c r="B19" i="12" l="1"/>
  <c r="C46" i="10" l="1"/>
  <c r="D46" i="10" s="1"/>
  <c r="E46" i="10" s="1"/>
  <c r="F46" i="10" s="1"/>
  <c r="G46" i="10" s="1"/>
  <c r="H46" i="10" s="1"/>
  <c r="I46" i="10" s="1"/>
  <c r="J46" i="10" s="1"/>
  <c r="K46" i="10" s="1"/>
  <c r="L46" i="10" s="1"/>
  <c r="M46" i="10" s="1"/>
  <c r="N46" i="10" s="1"/>
  <c r="C37" i="10"/>
  <c r="I24" i="10" l="1"/>
  <c r="I23" i="10"/>
  <c r="JG24" i="10" l="1"/>
  <c r="JF24" i="10"/>
  <c r="JE24" i="10"/>
  <c r="JD24" i="10"/>
  <c r="JC24" i="10"/>
  <c r="JB24" i="10"/>
  <c r="JA24" i="10"/>
  <c r="IZ24" i="10"/>
  <c r="IY24" i="10"/>
  <c r="IX24" i="10"/>
  <c r="IW24" i="10"/>
  <c r="IV24" i="10"/>
  <c r="IU24" i="10"/>
  <c r="IT24" i="10"/>
  <c r="IS24" i="10"/>
  <c r="IR24" i="10"/>
  <c r="IQ24" i="10"/>
  <c r="IP24" i="10"/>
  <c r="IO24" i="10"/>
  <c r="IN24" i="10"/>
  <c r="IM24" i="10"/>
  <c r="IL24" i="10"/>
  <c r="IK24" i="10"/>
  <c r="IJ24" i="10"/>
  <c r="II24" i="10"/>
  <c r="IH24" i="10"/>
  <c r="IG24" i="10"/>
  <c r="IF24" i="10"/>
  <c r="IE24" i="10"/>
  <c r="ID24" i="10"/>
  <c r="IC24" i="10"/>
  <c r="IB24" i="10"/>
  <c r="IA24" i="10"/>
  <c r="HZ24" i="10"/>
  <c r="HY24" i="10"/>
  <c r="HX24" i="10"/>
  <c r="HW24" i="10"/>
  <c r="HV24" i="10"/>
  <c r="HU24" i="10"/>
  <c r="HT24" i="10"/>
  <c r="HS24" i="10"/>
  <c r="HR24" i="10"/>
  <c r="HQ24" i="10"/>
  <c r="HP24" i="10"/>
  <c r="HO24" i="10"/>
  <c r="HN24" i="10"/>
  <c r="HM24" i="10"/>
  <c r="HL24" i="10"/>
  <c r="HK24" i="10"/>
  <c r="HJ24" i="10"/>
  <c r="HI24" i="10"/>
  <c r="HH24" i="10"/>
  <c r="HG24" i="10"/>
  <c r="HF24" i="10"/>
  <c r="HE24" i="10"/>
  <c r="HD24" i="10"/>
  <c r="HC24" i="10"/>
  <c r="HB24" i="10"/>
  <c r="HA24" i="10"/>
  <c r="GZ24" i="10"/>
  <c r="GY24" i="10"/>
  <c r="GX24" i="10"/>
  <c r="GW24" i="10"/>
  <c r="GV24" i="10"/>
  <c r="GU24" i="10"/>
  <c r="GT24" i="10"/>
  <c r="GS24" i="10"/>
  <c r="GR24" i="10"/>
  <c r="GQ24" i="10"/>
  <c r="GP24" i="10"/>
  <c r="GO24" i="10"/>
  <c r="GN24" i="10"/>
  <c r="GM24" i="10"/>
  <c r="GL24" i="10"/>
  <c r="GK24" i="10"/>
  <c r="GJ24" i="10"/>
  <c r="GI24" i="10"/>
  <c r="GH24" i="10"/>
  <c r="GG24" i="10"/>
  <c r="GF24" i="10"/>
  <c r="GE24" i="10"/>
  <c r="GD24" i="10"/>
  <c r="GC24" i="10"/>
  <c r="GB24" i="10"/>
  <c r="GA24" i="10"/>
  <c r="FZ24" i="10"/>
  <c r="FY24" i="10"/>
  <c r="FX24" i="10"/>
  <c r="FW24" i="10"/>
  <c r="FV24" i="10"/>
  <c r="FU24" i="10"/>
  <c r="FT24" i="10"/>
  <c r="FS24" i="10"/>
  <c r="FR24" i="10"/>
  <c r="FQ24" i="10"/>
  <c r="FP24" i="10"/>
  <c r="FO24" i="10"/>
  <c r="FN24" i="10"/>
  <c r="FM24" i="10"/>
  <c r="FL24" i="10"/>
  <c r="FK24" i="10"/>
  <c r="FJ24" i="10"/>
  <c r="FI24" i="10"/>
  <c r="FH24" i="10"/>
  <c r="FG24" i="10"/>
  <c r="FF24" i="10"/>
  <c r="FE24" i="10"/>
  <c r="FD24" i="10"/>
  <c r="FC24" i="10"/>
  <c r="FB24" i="10"/>
  <c r="FA24" i="10"/>
  <c r="EZ24" i="10"/>
  <c r="EY24" i="10"/>
  <c r="EX24" i="10"/>
  <c r="EW24" i="10"/>
  <c r="EV24" i="10"/>
  <c r="EU24" i="10"/>
  <c r="ET24" i="10"/>
  <c r="ES24" i="10"/>
  <c r="ER24" i="10"/>
  <c r="EQ24" i="10"/>
  <c r="EP24" i="10"/>
  <c r="EO24" i="10"/>
  <c r="EN24" i="10"/>
  <c r="EM24" i="10"/>
  <c r="EL24" i="10"/>
  <c r="JG23" i="10"/>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EK24" i="10"/>
  <c r="EJ24" i="10"/>
  <c r="EI24" i="10"/>
  <c r="EH24" i="10"/>
  <c r="EG24" i="10"/>
  <c r="EF24" i="10"/>
  <c r="EE24" i="10"/>
  <c r="ED24" i="10"/>
  <c r="EC24" i="10"/>
  <c r="EB24" i="10"/>
  <c r="EA24" i="10"/>
  <c r="DZ24" i="10"/>
  <c r="DY24" i="10"/>
  <c r="DX24" i="10"/>
  <c r="DW24" i="10"/>
  <c r="DV24" i="10"/>
  <c r="DU24" i="10"/>
  <c r="DT24" i="10"/>
  <c r="DS24" i="10"/>
  <c r="DR24" i="10"/>
  <c r="DQ24" i="10"/>
  <c r="DP24" i="10"/>
  <c r="DO24" i="10"/>
  <c r="DN24" i="10"/>
  <c r="DM24" i="10"/>
  <c r="DL24" i="10"/>
  <c r="DK24" i="10"/>
  <c r="DJ24" i="10"/>
  <c r="DI24" i="10"/>
  <c r="DH24" i="10"/>
  <c r="DG24" i="10"/>
  <c r="DF24" i="10"/>
  <c r="DE24" i="10"/>
  <c r="DD24" i="10"/>
  <c r="DC24" i="10"/>
  <c r="DB24" i="10"/>
  <c r="DA24" i="10"/>
  <c r="CZ24" i="10"/>
  <c r="CY24" i="10"/>
  <c r="CX24" i="10"/>
  <c r="CW24" i="10"/>
  <c r="CV24" i="10"/>
  <c r="CU24" i="10"/>
  <c r="CT24" i="10"/>
  <c r="CS24" i="10"/>
  <c r="CR24" i="10"/>
  <c r="CQ24" i="10"/>
  <c r="CP24" i="10"/>
  <c r="CO24" i="10"/>
  <c r="CN24" i="10"/>
  <c r="CM24" i="10"/>
  <c r="CL24" i="10"/>
  <c r="CK24" i="10"/>
  <c r="CJ24" i="10"/>
  <c r="CI24" i="10"/>
  <c r="CH24" i="10"/>
  <c r="CG24" i="10"/>
  <c r="CF24" i="10"/>
  <c r="CE24" i="10"/>
  <c r="CD24" i="10"/>
  <c r="CC24" i="10"/>
  <c r="CB24" i="10"/>
  <c r="CA24"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AX24" i="10"/>
  <c r="AW24" i="10"/>
  <c r="AV24" i="10"/>
  <c r="AU24" i="10"/>
  <c r="AT24" i="10"/>
  <c r="AS24" i="10"/>
  <c r="AR24" i="10"/>
  <c r="AQ24" i="10"/>
  <c r="AP24" i="10"/>
  <c r="AO24" i="10"/>
  <c r="AN24" i="10"/>
  <c r="AM24" i="10"/>
  <c r="AL24" i="10"/>
  <c r="AK24" i="10"/>
  <c r="AX23" i="10"/>
  <c r="AW23" i="10"/>
  <c r="AV23" i="10"/>
  <c r="AU23" i="10"/>
  <c r="AT23" i="10"/>
  <c r="AS23" i="10"/>
  <c r="AR23" i="10"/>
  <c r="AQ23" i="10"/>
  <c r="AP23" i="10"/>
  <c r="AO23" i="10"/>
  <c r="AN23" i="10"/>
  <c r="AM23" i="10"/>
  <c r="AK23" i="10"/>
  <c r="V24" i="10"/>
  <c r="U24" i="10"/>
  <c r="T24" i="10"/>
  <c r="S24" i="10"/>
  <c r="R24" i="10"/>
  <c r="Q24" i="10"/>
  <c r="P24" i="10"/>
  <c r="V23" i="10"/>
  <c r="U23" i="10"/>
  <c r="T23" i="10"/>
  <c r="S23" i="10"/>
  <c r="R23" i="10"/>
  <c r="Q23" i="10"/>
  <c r="P23" i="10"/>
  <c r="AJ24" i="10"/>
  <c r="AI24" i="10"/>
  <c r="AH24" i="10"/>
  <c r="AG24" i="10"/>
  <c r="AF24" i="10"/>
  <c r="AE24" i="10"/>
  <c r="AD24" i="10"/>
  <c r="AJ23" i="10"/>
  <c r="AI23" i="10"/>
  <c r="AH23" i="10"/>
  <c r="AG23" i="10"/>
  <c r="AF23" i="10"/>
  <c r="AE23" i="10"/>
  <c r="AD23" i="10"/>
  <c r="AC24" i="10"/>
  <c r="AB24" i="10"/>
  <c r="AA24" i="10"/>
  <c r="Z24" i="10"/>
  <c r="Y24" i="10"/>
  <c r="X24" i="10"/>
  <c r="W24" i="10"/>
  <c r="AC23" i="10"/>
  <c r="AB23" i="10"/>
  <c r="AA23" i="10"/>
  <c r="Z23" i="10"/>
  <c r="Y23" i="10"/>
  <c r="X23" i="10"/>
  <c r="W23" i="10"/>
  <c r="E42" i="10"/>
  <c r="F42" i="10" s="1"/>
  <c r="G42" i="10" s="1"/>
  <c r="I42" i="10" s="1"/>
  <c r="E41" i="10"/>
  <c r="F41" i="10" s="1"/>
  <c r="G41" i="10" s="1"/>
  <c r="I41" i="10" s="1"/>
  <c r="D40" i="10"/>
  <c r="E40" i="10" s="1"/>
  <c r="F40" i="10" s="1"/>
  <c r="G40" i="10" s="1"/>
  <c r="H40" i="10" s="1"/>
  <c r="I40" i="10" s="1"/>
  <c r="J40" i="10" s="1"/>
  <c r="K40" i="10" s="1"/>
  <c r="L40" i="10" s="1"/>
  <c r="M40" i="10" s="1"/>
  <c r="N40" i="10" s="1"/>
  <c r="D38" i="10" l="1"/>
  <c r="C38" i="10"/>
  <c r="E22" i="10"/>
  <c r="E20" i="10"/>
  <c r="E19" i="10"/>
  <c r="E18" i="10"/>
  <c r="E17" i="10"/>
  <c r="E16" i="10"/>
  <c r="E15" i="10"/>
  <c r="E14" i="10"/>
  <c r="E13" i="10"/>
  <c r="E12" i="10"/>
  <c r="E11" i="10"/>
  <c r="E10" i="10"/>
  <c r="E9" i="10"/>
  <c r="E8" i="10"/>
  <c r="E6" i="10"/>
  <c r="E5" i="10"/>
  <c r="E4" i="10"/>
  <c r="E3" i="10"/>
  <c r="I22" i="10"/>
  <c r="I20" i="10"/>
  <c r="I19" i="10"/>
  <c r="I18" i="10"/>
  <c r="I17" i="10"/>
  <c r="I16" i="10"/>
  <c r="I15" i="10"/>
  <c r="I14" i="10"/>
  <c r="I13" i="10"/>
  <c r="I12" i="10"/>
  <c r="I11" i="10"/>
  <c r="I10" i="10"/>
  <c r="I9" i="10"/>
  <c r="I8" i="10"/>
  <c r="I7" i="10"/>
  <c r="I6" i="10"/>
  <c r="I5" i="10"/>
  <c r="I4" i="10"/>
  <c r="I3" i="10"/>
  <c r="I1" i="10"/>
  <c r="D48" i="10"/>
  <c r="H48" i="10" s="1"/>
  <c r="J48" i="10" s="1"/>
  <c r="K48" i="10" s="1"/>
  <c r="L48" i="10" s="1"/>
  <c r="M48" i="10" s="1"/>
  <c r="N48" i="10" s="1"/>
  <c r="D47" i="10"/>
  <c r="H47" i="10" s="1"/>
  <c r="J47" i="10" s="1"/>
  <c r="K47" i="10" s="1"/>
  <c r="L47" i="10" s="1"/>
  <c r="M47" i="10" s="1"/>
  <c r="N47" i="10" s="1"/>
  <c r="C45" i="10"/>
  <c r="D45" i="10" s="1"/>
  <c r="H45" i="10" s="1"/>
  <c r="J45" i="10" s="1"/>
  <c r="K45" i="10" s="1"/>
  <c r="L45" i="10" s="1"/>
  <c r="M45" i="10" s="1"/>
  <c r="N45" i="10" s="1"/>
  <c r="C44" i="10"/>
  <c r="D44" i="10" s="1"/>
  <c r="H44" i="10" s="1"/>
  <c r="J44" i="10" s="1"/>
  <c r="K44" i="10" s="1"/>
  <c r="L44" i="10" s="1"/>
  <c r="M44" i="10" s="1"/>
  <c r="N44" i="10" s="1"/>
  <c r="D37" i="10"/>
  <c r="H37" i="10" s="1"/>
  <c r="J37" i="10" s="1"/>
  <c r="K37" i="10" s="1"/>
  <c r="L37" i="10" s="1"/>
  <c r="M37" i="10" s="1"/>
  <c r="N37" i="10" s="1"/>
  <c r="C36" i="10"/>
  <c r="D36" i="10" s="1"/>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B43" i="10"/>
  <c r="H38" i="10" l="1"/>
  <c r="J38" i="10" s="1"/>
  <c r="K38" i="10" s="1"/>
  <c r="L38" i="10" s="1"/>
  <c r="M38" i="10" s="1"/>
  <c r="N38" i="10" s="1"/>
  <c r="K25" i="10"/>
  <c r="K22"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L12" i="10" l="1"/>
  <c r="L13" i="10"/>
  <c r="L3" i="10"/>
  <c r="L16" i="10"/>
  <c r="L14" i="10"/>
  <c r="L4" i="10"/>
  <c r="L18" i="10"/>
  <c r="L15" i="10"/>
  <c r="L7" i="10"/>
  <c r="L19" i="10"/>
  <c r="L5" i="10"/>
  <c r="L6" i="10"/>
  <c r="L8" i="10"/>
  <c r="L21" i="10"/>
  <c r="L11" i="10"/>
  <c r="L9" i="10"/>
  <c r="L17" i="10"/>
  <c r="L10" i="10"/>
  <c r="K24" i="10"/>
  <c r="L24" i="10" s="1"/>
  <c r="K23" i="10"/>
  <c r="L23" i="10" s="1"/>
  <c r="L22"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IN38" i="3"/>
  <c r="IE38" i="3"/>
  <c r="HV38" i="3"/>
  <c r="HJ38" i="3" l="1"/>
  <c r="HK38" i="3"/>
  <c r="F58" i="3" l="1"/>
  <c r="G58" i="3"/>
  <c r="H58" i="3"/>
  <c r="I58" i="3"/>
  <c r="J58" i="3"/>
  <c r="K58" i="3"/>
  <c r="L58" i="3"/>
  <c r="HM38" i="3"/>
  <c r="GS70" i="3" l="1"/>
  <c r="GS38" i="3"/>
  <c r="HD38" i="3"/>
  <c r="GN82" i="3" l="1"/>
  <c r="P58" i="3" l="1"/>
  <c r="GU38" i="3"/>
  <c r="P67" i="3" l="1"/>
  <c r="GC38" i="3"/>
  <c r="FT38" i="3"/>
  <c r="GL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L97" i="3"/>
  <c r="P38" i="3"/>
  <c r="CH38" i="3"/>
  <c r="R38" i="3"/>
  <c r="CZ38" i="3"/>
  <c r="CQ38" i="3"/>
  <c r="DI38" i="3"/>
  <c r="BY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33" i="3"/>
  <c r="R22" i="3"/>
  <c r="R28" i="3"/>
  <c r="R27" i="3"/>
  <c r="R30" i="3"/>
  <c r="R15" i="3"/>
  <c r="R14" i="3"/>
  <c r="R23" i="3"/>
  <c r="R32" i="3"/>
  <c r="R16" i="3"/>
  <c r="R17" i="3"/>
  <c r="R20" i="3"/>
  <c r="R24" i="3"/>
  <c r="R12" i="3"/>
  <c r="NJ40" i="3" l="1"/>
  <c r="NJ41" i="3" s="1"/>
  <c r="NJ72" i="3" s="1"/>
  <c r="NJ71" i="3"/>
  <c r="NJ2" i="3"/>
  <c r="R13" i="3"/>
  <c r="R19" i="3"/>
  <c r="R31" i="3"/>
  <c r="R25" i="3"/>
  <c r="R26" i="3"/>
  <c r="R18" i="3"/>
  <c r="R9" i="3"/>
  <c r="R7" i="3"/>
  <c r="R11" i="3"/>
  <c r="R29" i="3"/>
  <c r="R10" i="3"/>
  <c r="R21" i="3"/>
  <c r="R8" i="3"/>
</calcChain>
</file>

<file path=xl/sharedStrings.xml><?xml version="1.0" encoding="utf-8"?>
<sst xmlns="http://schemas.openxmlformats.org/spreadsheetml/2006/main" count="2870" uniqueCount="885">
  <si>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</si>
  <si>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</si>
  <si>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</si>
  <si>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</si>
  <si>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</si>
  <si>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</si>
  <si>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</si>
  <si>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</si>
  <si>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</si>
  <si>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</si>
  <si>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</si>
  <si>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</si>
  <si>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</si>
  <si>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</si>
  <si>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</si>
  <si>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</si>
  <si>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</si>
  <si>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</si>
  <si>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</si>
  <si>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</si>
  <si>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</si>
  <si>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</si>
  <si>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</si>
  <si>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</si>
  <si>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</si>
  <si>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</si>
  <si>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</si>
  <si>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</si>
  <si>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</si>
  <si>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</si>
  <si>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</si>
  <si>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</si>
  <si>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</si>
  <si>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</si>
  <si>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</si>
  <si>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</si>
  <si>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</si>
  <si>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</si>
  <si>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</si>
  <si>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</si>
  <si>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</si>
  <si>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</si>
  <si>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</si>
  <si>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</si>
  <si>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</si>
  <si>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</si>
  <si>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</si>
  <si>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</si>
  <si>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</si>
  <si>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</si>
  <si>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</si>
  <si>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</si>
  <si>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</si>
  <si>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</si>
  <si>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</si>
  <si>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</si>
  <si>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</si>
  <si>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</si>
  <si>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</si>
  <si>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</si>
  <si>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</si>
  <si>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</si>
  <si>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</si>
  <si>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</si>
  <si>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</si>
  <si>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</si>
  <si>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</si>
  <si>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</si>
  <si>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</si>
  <si>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</si>
  <si>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</si>
  <si>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</si>
  <si>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</si>
  <si>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</si>
  <si>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</si>
  <si>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</si>
  <si>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</si>
  <si>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</si>
  <si>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</si>
  <si>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</si>
  <si>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</si>
  <si>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</si>
  <si>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</si>
  <si>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</si>
  <si>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</si>
  <si>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</si>
  <si>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</si>
  <si>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</si>
  <si>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</si>
  <si>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</si>
  <si>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</si>
  <si>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</si>
  <si>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</si>
  <si>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</si>
  <si>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</si>
  <si>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</si>
  <si>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</si>
  <si>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</si>
  <si>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</si>
  <si>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</si>
  <si>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</si>
  <si>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</si>
  <si>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</si>
  <si>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</si>
  <si>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</si>
  <si>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</si>
  <si>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</si>
  <si>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</si>
  <si>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</si>
  <si>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</si>
  <si>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</si>
  <si>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</si>
  <si>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</si>
  <si>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</si>
  <si>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</si>
  <si>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</si>
  <si>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</si>
  <si>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</si>
  <si>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</si>
  <si>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</si>
  <si>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</si>
  <si>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</si>
  <si>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</si>
  <si>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</si>
  <si>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</si>
  <si>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</si>
  <si>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</si>
  <si>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</si>
  <si>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</si>
  <si>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</si>
  <si>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</si>
  <si>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</si>
  <si>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</si>
  <si>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</si>
  <si>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</si>
  <si>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</si>
  <si>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</si>
  <si>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</si>
  <si>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</si>
  <si>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</si>
  <si>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</si>
  <si>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</si>
  <si>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</si>
  <si>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</si>
  <si>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</si>
  <si>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</si>
  <si>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</si>
  <si>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</si>
  <si>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</si>
  <si>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</si>
  <si>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</si>
  <si>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</si>
  <si>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</si>
  <si>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</si>
  <si>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</si>
  <si>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</si>
  <si>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</si>
  <si>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</si>
  <si>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</si>
  <si>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</si>
  <si>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</si>
  <si>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</si>
  <si>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</si>
  <si>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</si>
  <si>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</si>
  <si>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</si>
  <si>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</si>
  <si>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</si>
  <si>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</si>
  <si>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</si>
  <si>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</si>
  <si>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</si>
  <si>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</si>
  <si>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</si>
  <si>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</si>
  <si>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</si>
  <si>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</si>
  <si>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</si>
  <si>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</si>
  <si>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</si>
  <si>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</si>
  <si>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</si>
  <si>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</si>
  <si>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</si>
  <si>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</si>
  <si>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</si>
  <si>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</si>
  <si>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</si>
  <si>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</si>
  <si>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</si>
  <si>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</si>
  <si>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</si>
  <si>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</si>
  <si>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</si>
  <si>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</si>
  <si>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</si>
  <si>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</si>
  <si>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</si>
  <si>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</si>
  <si>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</si>
  <si>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</si>
  <si>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</si>
  <si>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</si>
  <si>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</si>
  <si>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</si>
  <si>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</si>
  <si>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</si>
  <si>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</si>
  <si>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</si>
  <si>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</si>
  <si>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</si>
  <si>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</si>
  <si>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</si>
  <si>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</si>
  <si>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</si>
  <si>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</si>
  <si>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</si>
  <si>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</si>
  <si>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</si>
  <si>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</si>
  <si>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</si>
  <si>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</si>
  <si>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</si>
  <si>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</si>
  <si>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</si>
  <si>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</si>
  <si>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</si>
  <si>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</si>
  <si>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</si>
  <si>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</si>
  <si>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</si>
  <si>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</si>
  <si>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</si>
  <si>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</si>
  <si>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</si>
  <si>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</si>
  <si>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</si>
  <si>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</si>
  <si>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</si>
  <si>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</si>
  <si>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</si>
  <si>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</si>
  <si>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</si>
  <si>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</si>
  <si>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</si>
  <si>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</si>
  <si>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</si>
  <si>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</si>
  <si>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</si>
  <si>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</si>
  <si>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</si>
  <si>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</si>
  <si>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</si>
  <si>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</si>
  <si>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</si>
  <si>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</si>
  <si>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</si>
  <si>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</si>
  <si>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</si>
  <si>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</si>
  <si>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</si>
  <si>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</si>
  <si>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</si>
  <si>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</si>
  <si>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</si>
  <si>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</si>
  <si>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</si>
  <si>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</si>
  <si>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</si>
  <si>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</si>
  <si>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</si>
  <si>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</si>
  <si>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</si>
  <si>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</si>
  <si>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</si>
  <si>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</si>
  <si>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</si>
  <si>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</si>
  <si>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</si>
  <si>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</si>
  <si>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</si>
  <si>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</si>
  <si>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</si>
  <si>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</si>
  <si>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</si>
  <si>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</si>
  <si>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</si>
  <si>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</si>
  <si>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</si>
  <si>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</si>
  <si>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</si>
  <si>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</si>
  <si>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</si>
  <si>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</si>
  <si>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</si>
  <si>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</si>
  <si>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</si>
  <si>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</si>
  <si>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</si>
  <si>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</si>
  <si>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</si>
  <si>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</si>
  <si>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</si>
  <si>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</si>
  <si>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</si>
  <si>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</si>
  <si>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</si>
  <si>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</si>
  <si>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</si>
  <si>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</si>
  <si>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</si>
  <si>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</si>
  <si>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</si>
  <si>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</si>
  <si>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</si>
  <si>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</si>
  <si>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</si>
  <si>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</si>
  <si>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</si>
  <si>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</si>
  <si>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</si>
  <si>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</si>
  <si>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</si>
  <si>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</si>
  <si>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</si>
  <si>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</si>
  <si>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</si>
  <si>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</si>
  <si>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</si>
  <si>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</si>
  <si>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</si>
  <si>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</si>
  <si>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</si>
  <si>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</si>
  <si>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</si>
  <si>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</si>
  <si>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</si>
  <si>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</si>
  <si>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</si>
  <si>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</si>
  <si>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</si>
  <si>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</si>
  <si>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</si>
  <si>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</si>
  <si>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</si>
  <si>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</si>
  <si>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</si>
  <si>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</si>
  <si>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</si>
  <si>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</si>
  <si>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</si>
  <si>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</si>
  <si>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</si>
  <si>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</si>
  <si>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</si>
  <si>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</si>
  <si>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</si>
  <si>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</si>
  <si>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</si>
  <si>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</si>
  <si>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</si>
  <si>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</si>
  <si>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</si>
  <si>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</si>
  <si>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</si>
  <si>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</si>
  <si>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</si>
  <si>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</si>
  <si>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</si>
  <si>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</si>
  <si>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</si>
  <si>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</si>
  <si>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</si>
  <si>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</si>
  <si>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</si>
  <si>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</si>
  <si>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</si>
  <si>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</si>
  <si>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</si>
  <si>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</si>
  <si>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</si>
  <si>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</si>
  <si>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</si>
  <si>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</si>
  <si>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</si>
  <si>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</si>
  <si>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</si>
  <si>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</si>
  <si>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</si>
  <si>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</si>
  <si>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</si>
  <si>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</si>
  <si>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</si>
  <si>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</si>
  <si>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</si>
  <si>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</si>
  <si>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</si>
  <si>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</si>
  <si>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</si>
  <si>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</si>
  <si>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</si>
  <si>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</si>
  <si>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</si>
  <si>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</si>
  <si>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</si>
  <si>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</si>
  <si>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</si>
  <si>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</si>
  <si>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</si>
  <si>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</si>
  <si>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</si>
  <si>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</si>
  <si>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</si>
  <si>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</si>
  <si>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</si>
  <si>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</si>
  <si>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</si>
  <si>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</si>
  <si>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</si>
  <si>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</si>
  <si>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</si>
  <si>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</si>
  <si>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</si>
  <si>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</si>
  <si>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</si>
  <si>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</si>
  <si>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</si>
  <si>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</si>
  <si>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</si>
  <si>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</si>
  <si>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</si>
  <si>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</si>
  <si>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</si>
  <si>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</si>
  <si>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</si>
  <si>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</si>
  <si>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</si>
  <si>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</si>
  <si>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</si>
  <si>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</si>
  <si>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</si>
  <si>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</si>
  <si>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</si>
  <si>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</si>
  <si>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</si>
  <si>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</si>
  <si>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</si>
  <si>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</si>
  <si>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</si>
  <si>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</si>
  <si>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</si>
  <si>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</si>
  <si>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</si>
  <si>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</si>
  <si>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</si>
  <si>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</si>
  <si>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</si>
  <si>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</si>
  <si>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</si>
  <si>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</si>
  <si>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</si>
  <si>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</si>
  <si>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</si>
  <si>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</si>
  <si>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</si>
  <si>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</si>
  <si>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</si>
  <si>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</si>
  <si>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</si>
  <si>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</si>
  <si>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</si>
  <si>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</si>
  <si>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</si>
  <si>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</si>
  <si>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</si>
  <si>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</si>
  <si>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</si>
  <si>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</si>
  <si>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</si>
  <si>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</si>
  <si>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</si>
  <si>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</si>
  <si>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</si>
  <si>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</si>
  <si>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</si>
  <si>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</si>
  <si>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</si>
  <si>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</si>
  <si>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</si>
  <si>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</si>
  <si>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</si>
  <si>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</si>
  <si>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</si>
  <si>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</si>
  <si>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</si>
  <si>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</si>
  <si>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</si>
  <si>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</si>
  <si>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</si>
  <si>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</si>
  <si>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</si>
  <si>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</si>
  <si>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</si>
  <si>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</si>
  <si>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</si>
  <si>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</si>
  <si>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</si>
  <si>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</si>
  <si>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</si>
  <si>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</si>
  <si>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</si>
  <si>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</si>
  <si>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</si>
  <si>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</si>
  <si>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</si>
  <si>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</si>
  <si>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</si>
  <si>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</si>
  <si>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</si>
  <si>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</si>
  <si>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</si>
  <si>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</si>
  <si>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</si>
  <si>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</si>
  <si>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</si>
  <si>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</si>
  <si>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</si>
  <si>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</si>
  <si>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</si>
  <si>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</si>
  <si>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</si>
  <si>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</si>
  <si>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</si>
  <si>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</si>
  <si>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</si>
  <si>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</si>
  <si>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</si>
  <si>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</si>
  <si>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</si>
  <si>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</si>
  <si>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</si>
  <si>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</si>
  <si>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</si>
  <si>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</si>
  <si>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</si>
  <si>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</si>
  <si>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</si>
  <si>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</si>
  <si>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</si>
  <si>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</si>
  <si>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</si>
  <si>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</si>
  <si>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</si>
  <si>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</si>
  <si>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</si>
  <si>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</si>
  <si>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</si>
  <si>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</si>
  <si>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</si>
  <si>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</si>
  <si>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</si>
  <si>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</si>
  <si>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</si>
  <si>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</si>
  <si>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</si>
  <si>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</si>
  <si>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</si>
  <si>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</si>
  <si>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</si>
  <si>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</si>
  <si>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</si>
  <si>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</si>
  <si>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</si>
  <si>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</si>
  <si>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</si>
  <si>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</si>
  <si>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</si>
  <si>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</si>
  <si>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</si>
  <si>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</si>
  <si>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</si>
  <si>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</si>
  <si>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</si>
  <si>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</si>
  <si>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</si>
  <si>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</si>
  <si>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</si>
  <si>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</si>
  <si>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</si>
  <si>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</si>
  <si>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</si>
  <si>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</si>
  <si>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</si>
  <si>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</si>
  <si>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</si>
  <si>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</si>
  <si>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</si>
  <si>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</si>
  <si>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</si>
  <si>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</si>
  <si>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</si>
  <si>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</si>
  <si>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</si>
  <si>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</si>
  <si>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</si>
  <si>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</si>
  <si>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</si>
  <si>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</si>
  <si>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</si>
  <si>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</si>
  <si>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</si>
  <si>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</si>
  <si>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</si>
  <si>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</si>
  <si>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</si>
  <si>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</si>
  <si>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</si>
  <si>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</si>
  <si>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</si>
  <si>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</si>
  <si>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</si>
  <si>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</si>
  <si>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</si>
  <si>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</si>
  <si>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</si>
  <si>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</si>
  <si>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</si>
  <si>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</si>
  <si>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</si>
  <si>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</si>
  <si>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</si>
  <si>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</si>
  <si>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</si>
  <si>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</si>
  <si>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</si>
  <si>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</si>
  <si>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</si>
  <si>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</si>
  <si>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</si>
  <si>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</si>
  <si>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</si>
  <si>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</si>
  <si>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</si>
  <si>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</si>
  <si>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</si>
  <si>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</si>
  <si>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</si>
  <si>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</si>
  <si>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</si>
  <si>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</si>
  <si>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</si>
  <si>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</si>
  <si>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</si>
  <si>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</si>
  <si>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</si>
  <si>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</si>
  <si>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</si>
  <si>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</si>
  <si>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</si>
  <si>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</si>
  <si>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</si>
  <si>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</si>
  <si>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</si>
  <si>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</si>
  <si>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</si>
  <si>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</si>
  <si>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</si>
  <si>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</si>
  <si>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</si>
  <si>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</si>
  <si>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</si>
  <si>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</si>
  <si>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</si>
  <si>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</si>
  <si>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</si>
  <si>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</si>
  <si>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</si>
  <si>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</si>
  <si>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</si>
  <si>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</si>
  <si>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</si>
  <si>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</si>
  <si>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</si>
  <si>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</si>
  <si>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</si>
  <si>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</si>
  <si>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</si>
  <si>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</si>
  <si>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</si>
  <si>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</si>
  <si>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</si>
  <si>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</si>
  <si>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</si>
  <si>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</si>
  <si>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</si>
  <si>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</si>
  <si>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</si>
  <si>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</si>
  <si>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</si>
  <si>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</si>
  <si>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</si>
  <si>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</si>
  <si>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</si>
  <si>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</si>
  <si>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</si>
  <si>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</si>
  <si>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</si>
  <si>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</si>
  <si>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</si>
  <si>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</si>
  <si>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</si>
  <si>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</si>
  <si>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</si>
  <si>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</si>
  <si>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</si>
  <si>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</si>
  <si>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</si>
  <si>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</si>
  <si>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</si>
  <si>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</si>
  <si>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</si>
  <si>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</si>
  <si>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</si>
  <si>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</si>
  <si>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</si>
  <si>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</si>
  <si>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</si>
  <si>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</si>
  <si>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</si>
  <si>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</si>
  <si>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</si>
  <si>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</si>
  <si>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</si>
  <si>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</si>
  <si>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</si>
  <si>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</si>
  <si>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</si>
  <si>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</si>
  <si>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</si>
  <si>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</si>
  <si>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</si>
  <si>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</si>
  <si>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</si>
  <si>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</si>
  <si>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</si>
  <si>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</si>
  <si>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</si>
  <si>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</si>
  <si>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</si>
  <si>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</si>
  <si>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</si>
  <si>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</si>
  <si>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</si>
  <si>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</si>
  <si>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</si>
  <si>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</si>
  <si>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</si>
  <si>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</si>
  <si>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</si>
  <si>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</si>
  <si>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</si>
  <si>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</si>
  <si>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</si>
  <si>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</si>
  <si>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</si>
  <si>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</si>
  <si>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</si>
  <si>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</si>
  <si>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</si>
  <si>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</si>
  <si>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</si>
  <si>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</si>
  <si>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</si>
  <si>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</si>
  <si>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</si>
  <si>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</si>
  <si>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t>
  </si>
  <si>
    <t>##</t>
  </si>
  <si>
    <t>selbständig testen(Fr/Sa)</t>
  </si>
  <si>
    <t>5x3 Baggerlafale - miteinander, gegeneinander mit Kräftigung
5x3 Aufspiel-Schlag-Verteidigung, Technikziel: Armführung nach dem Balltreffen
3x5 Winnerscore (altersmäßig - mittlere 5 = U20)</t>
  </si>
  <si>
    <t>2x8 Baggerlafale am längsgeteiltem Hinterfeld mit Auf-und Absteigern + Kräftigung - 3 Durchgänge
7x2,1x3(jetzt mit Lea) Baggerlafale am Hinterfeld + Kräftigung - 3 Durchgänge
3x Aufspielerinnen am Netz (Ziele: 2er, 6er)
2x3, 2x4 Aufspiel-Schlag-Verteidigung, Technikziel: Armführung nach dem Balltreffen
Winners Score (5x "alt", 6x U20, 6x "jung+")</t>
  </si>
  <si>
    <t>2x8/9 Baggerlafale am längsgeteiltem Hinterfeld mit Auf-und Absteigern + Kräftigung - 3 Durchgänge
7x2,1x3 Baggerlafale am Hinterfeld + Kräftigung - 3 Durchgänge
Verteidigung nach Seitwärtsbegung (6x12)
Aufspiel-Schlag-Verteidigung mit Nachlaufen
Aufspielerinnen(100 geg. Boden vom Heizkörper, Federn geg. Wand, Daumenübungen ge. Wand)
Winners Score(5 Alte, U20, Junge+)</t>
  </si>
  <si>
    <t>0660 2000211</t>
  </si>
  <si>
    <t>StefieR</t>
  </si>
  <si>
    <t>StefieM</t>
  </si>
  <si>
    <t>LeaMe</t>
  </si>
  <si>
    <t>LeaMu</t>
  </si>
  <si>
    <t>K25</t>
  </si>
  <si>
    <t>Fr</t>
  </si>
  <si>
    <t>Winners Score (3x4, 1x5)
Verteidigung nach Seitwärtsbegung (6x12)
Aufspiel-Schlag-Verteidigung mit Nachlaufen
Winners Score (6x "alt", 6x U20 mit 2 Auf, 5x "Junge+")</t>
  </si>
  <si>
    <t>Sportpark(16)</t>
  </si>
  <si>
    <t>Spiel geg. WSL - 2x6 Sätze</t>
  </si>
  <si>
    <t>Winners Score(4 Gruppen) - Anlauf von außen
Verteidigung nach Seitwärtsbegung (6x12)
Aufspiel-Schlag-Verteidigung mit Nachlaufen
Winners Score(4 Gruppen) - Anlauf von außen</t>
  </si>
  <si>
    <t>2x Baggerlafale mit Auf- und Absteigern (längsgteiltes Hinterfeld) mit Kräftigung
3x5 - Baggern mit Nachlaufen (eine Seite unter dem Netz, die andere drüber)
5x3 Baggerlafale mit Kräftigung
Einschlagen (MB: hoch abschlagen!)
3x Winners Score - Anlauf von außen</t>
  </si>
  <si>
    <t>Meli: befreit bis 30.4.</t>
  </si>
  <si>
    <t>AprilApr</t>
  </si>
  <si>
    <t>4x4 Winners Score
4x4 "Chaos" - Service-Annahme (je 2x 5 Annahmen)
Aufspiel-Schlag-Verteidigung mit Nachlaufen
Einschlagen
4x4 Winners Score</t>
  </si>
  <si>
    <t>Einspielen mit 2 Bällen
Verteidigung nach Seitwärtsbegung (6x12)
Aufspiel-Schlag-Verteidigung mit Nachlaufen
   Aufspielerinnen extra (Fingerspannung, Daumen)
Einschlagen
Winners Score (4,4,5)</t>
  </si>
  <si>
    <t>Nicht gefragt</t>
  </si>
  <si>
    <t>Nein</t>
  </si>
  <si>
    <t>7+5 für U18</t>
  </si>
  <si>
    <t>3+7 für U16</t>
  </si>
  <si>
    <t>2x Baggerlafale mt Auf-und Absteigern
Verteidigung nach Seitwärtsbegung (6x12)
Aufspiel-Schlag-Verteidigung mit Nachlaufen
2x Verteidigungssystem (mit 1x Ballwerfen)
  2 Aufspielerinnen - Fingerspannung, Schupfer
Einschlagen
Winners Score (Grundsechs+2 Teams)</t>
  </si>
  <si>
    <t>3x Baggerlafale mit Auf- und Absteigern
3x Baggerlafale miteinander - drunter + drüber - wer erreicht 12/15?
Verteidigung nach Seitwärtsbegung (6x12)
Aufspiel-Schlag-Verteidigung mit Nachlaufen
2 Aufspielerinnen OZ mit 2 Bällen
2 Gruppen: Service + 2x 2 Annahmespielerinnen im Wechsel (Annahme, Partnerin schlägt 2. Ball) -&gt; je 5 Annahmen
2 Aufspielerinnen (Finte + "Daumen" geg. Mauer im Wechsel)
2 Gruppen im Wechsel: Service -&gt; Annahme, Ausfspiel, Angriff -&gt; je 5 Annahmen
Winners Score (Grundsechs: Annahme mit L - 2MB wechseln ab) + 2 weitere Teams</t>
  </si>
  <si>
    <t>ok</t>
  </si>
  <si>
    <t>befreit</t>
  </si>
  <si>
    <t>NW</t>
  </si>
  <si>
    <t>X</t>
  </si>
  <si>
    <t>Brückl (7)</t>
  </si>
  <si>
    <t>3x Baggerlafale mit Auf- und Absteigern
5x3 Baggerlafale zu dritt mit 1 Berührung
Verteidigung nach Seitwärtsbegung (6x12)
Aufspiel-Schlag-Verteidigung mit Nachlaufen
2 Aufspielerinnen Aufspielerviereck + Sicherung
1 Gruppen: Service + 3 An
später 2 Service Annahme von beiden Seiten
Service + geschenkte Bälle(T) geg. Grundsechs</t>
  </si>
  <si>
    <t xml:space="preserve">paarweise Einspielen(meist 2 Bälle) + 1 OZ + Sicherung auf Korb
Selbstangeworfene Bälle schlagen, dann mit einer Aufspielerin
Winners Score
</t>
  </si>
  <si>
    <t>Friesach (15)</t>
  </si>
  <si>
    <t>5x3 Winners Score + Leiter
Verteidigung nach Seitwärtsbegung (6x12)
Aufspiel-Schlag-Verteidigung mit Nachlaufen
2x Service - Annahme - Aufspiel fangen (2x 5 gute Annahmen)
Spiel geg Grundsechs</t>
  </si>
  <si>
    <t>Brückl (6)</t>
  </si>
  <si>
    <t>paarweise einspielen
Leiter + Kräftigen
paarweise einspielen mit 2 Bällen
selbstangeworfene Bälle schlagen
2x3 Anwurf übers Netz, Annahme, 2. Ball schlagen
Spiel</t>
  </si>
  <si>
    <t>Spiel geg UVC2
viele Fehler (Leitfüßigkeit!) -&gt; beide T unzufrieden
Annahme und Verteidigung oft nach oben statt nach vorne
Außenangreifer - wenig Variation
die letzten 10 Ballwechsel waren gut</t>
  </si>
  <si>
    <t>Brückl(17)</t>
  </si>
  <si>
    <t>3x Baggerlafale
Verteidigung nach Seitwärtsbegung (6x12)
Aufspiel-Schlag-Verteidigung
Winners Score (U20)</t>
  </si>
  <si>
    <t>Verteidigungssystem als Einspielübung + Leiter + Kräftigung
  3 Runden: Angriffspritscher, Drücken, Schlag
Aufspiel-Schlag-Verteidigung
Winners Score (Grundsechs ohne Libera; 5+Dragi,Jenny,Celine; Lea,Nici,Jung,T)</t>
  </si>
  <si>
    <t>3 Schritte
paarweise einspielen
Leiter
Kräftigung mit Koordination
paarweise einspielen mit 2 Bällen (Schlag, UZ)
Einschlagen
Winners Score</t>
  </si>
  <si>
    <t>3 Schritte
Einspielen mit Nachlaufen mit Aufgaben + etwas Kräftigung
Leiter
Baggerlafale + Kräftigung
einzeln Schlagübungen + UZ
Spiel</t>
  </si>
  <si>
    <t>3 Schritte
paarweise einspielen mit 2 Bällen
einzeln Schlagübungen
Spielsystem (Annahme + Verteidigung, 6, 4, 2)</t>
  </si>
  <si>
    <t>3 Schritte
paarweise einspielen mit 2 Bällen
einzeln Schlagübungen
Spielsystem (Annahme + Verteidigung, 1, 5, 3)
Spiel</t>
  </si>
  <si>
    <t>Spiel mit 2 Bällen
zu dritt einspielen mit Nachlaufen
Annahme auf Ziel + Übungen für die Aufspielerinnen
WinnersScore (U20)</t>
  </si>
  <si>
    <t>U16 (B)</t>
  </si>
  <si>
    <t>Spiel mit 2 Bällen
Verteidigung nach Seitwärtsbegung (6x12)
Aufspiel-Schlag-Verteidigung
Service + Geschenkte Bälle auf Grundsechs</t>
  </si>
  <si>
    <t>Sa</t>
  </si>
  <si>
    <t>extra Test</t>
  </si>
  <si>
    <t>Viel zu wechselhaft - wir lassen uns noch zu leicht aus der Ruhe und Konzentration bringen und brauchen manchmal zu lange uns wieder zu finden.
Diese Muster "müssen" weg!
Nur der nächste Ball ist wichtig, was vorbei ist, kann ich nicht mehr ändern, die Zukunft aber kann ich beeinflussen!</t>
  </si>
  <si>
    <t>Purgstall (14) - 0:3</t>
  </si>
  <si>
    <t>Graz (U20, Raiffeisen Sportpark) 3:2 (UVC)</t>
  </si>
  <si>
    <t>Recht gut gestartet, im 2. Satz haben beide Mannschaften nachgelassen.
3. und 4. Satz war leider wenig von uns zu sehen, wenig Glaube an das eigene Können und an den Sieg, viel zu leise.
5. Satz war wieder gut, Stimmung, positive Ausstrahlung, wir haben den Sieg gewollt und daran geglaubt!</t>
  </si>
  <si>
    <t>Winners Score
paarweise Einspielen
UZ (im Hinterfeld) mit 2 Bällen
3x7 Schlag Verteidigung (+ Schupfer)
1x7 Schlag + Schupfer (2 Bälle)
Aufspiel Schlag Verteidigung - Schwerpunkt: Körper hinter den Ball
Winners Score (6-U20, 6, 4)</t>
  </si>
  <si>
    <t>Wandlauf
Aufspiel Schlag Verteidigung
Spiel (6-U20:7)</t>
  </si>
  <si>
    <t>Brückl (5)</t>
  </si>
  <si>
    <t>3 Schritte
Leiter
Einspielen mit Fuchs - 5x 20x + etws Kräftigung
einzeln Schlagübungen
Spiel 2:3</t>
  </si>
  <si>
    <t>3 Schritte
Leiter
paarweise einspielen mit 2 Bällen
Verteidigung-Gegenangriff geg. Geschenkte Bälle</t>
  </si>
  <si>
    <t>Baggerlafale paarweise mit Rolle bei Fehler
längsgeteiltes Feld, 2 mit 2 mit Nachlaufen mit Zusatzaufgaben
   Ziel: Außenangeiferin sieht den Block und kann reagieren
Spiel</t>
  </si>
  <si>
    <t>Brückl (8)</t>
  </si>
  <si>
    <t>3 Schritte
2 mit 2 mit Nachlaufen mit Zusatzaufgaben
einzeln Angriff
Einschlagen
Spielsystem: Annahme, Verteidigung geg. Außenangriff, Ohne -&gt; Angriffsaufbau</t>
  </si>
  <si>
    <t>Einspielen mit 2 Bällen
Aufspiel Schalg Verteidigung (mit Nachlaufen)
   Ziel: Schlagtechnik - Ball bleibt vor dem Körper
U20 - Service + Eingeworfenen Bälle
Service</t>
  </si>
  <si>
    <t>selbständig testen</t>
  </si>
  <si>
    <t xml:space="preserve">Elena </t>
  </si>
  <si>
    <t>Brückl (14)</t>
  </si>
  <si>
    <t>Einspielen mit 2 Bällen
längsgeteiltes Feld, 2 mit 2 mit Nachlaufen -&gt; Angriff und dabei den Block sehen
Einschlagen</t>
  </si>
  <si>
    <t>Villach (11+1)</t>
  </si>
  <si>
    <t>3 Schritte
einzeln einspielen (Geschicklichkeit, Angriffsschlag)
einschlagen (selbstangeworfene Bälle, tw. mit Aufspiel)
Spielsystem (Annahme, ohne)</t>
  </si>
  <si>
    <t>2 Spielfelder - Trainingsspiele geg. Villach</t>
  </si>
  <si>
    <t>Test</t>
  </si>
  <si>
    <t>(Fr)</t>
  </si>
  <si>
    <t>Di</t>
  </si>
  <si>
    <t>Mo</t>
  </si>
  <si>
    <t>(Sa)</t>
  </si>
  <si>
    <t>Brückl (12)</t>
  </si>
  <si>
    <t>Spiel geg. ATSE Graz (3:1)
Guter Kampf mit Pause im 3. Satz
Viel Einsatz, viele gute Angriffe, manchmal fehlt die taktische Disziplin</t>
  </si>
  <si>
    <t>Sportpark (7)</t>
  </si>
  <si>
    <t>Trainingsspiel geg. WSL (3:1)
besser, aber noch zu viele Pausen</t>
  </si>
  <si>
    <t>3 Schritte
paarweise einspielen
Einschlagen
Spielsystem</t>
  </si>
  <si>
    <t>Einspielen mit 2 Bällen
Einspielen zu dritt mit Nachlaufen
Service Annahme + Angriff, später auch mit Mitte
Spielform geg. Grundsechs</t>
  </si>
  <si>
    <t>Einspielen mit 2 Bällen
Einspielen zu dritt mit Nachlaufen
Einschlagen
Spielform geg. Grundsechs</t>
  </si>
  <si>
    <t>3 Schritte
paarweise einspielen
Angriff einzeln
Spielsystem</t>
  </si>
  <si>
    <t>3 Schritte
Leiter
Einspielen, Angriff
2 mit 2 mit Fuchs, 15 Netzüberquerungen</t>
  </si>
  <si>
    <t>3 Schritte
Leiter
Einspielen mit 2 Bällen
Angriff + Verteidigung
Service (aus kurzer Entfernung, später aus richtiger)</t>
  </si>
  <si>
    <t>Baggerlafale (3er Gruppen, miteinnander, 1 Berührung)
Einwurf von unten("Topspin") + Annahme in 4 Gruppen mit Nachlaufen
Einspiele in 3er Gruppen mit Nachlaufen
Service - Annahme + selber Schlagen - Backspin/Topspin/Flatter
Einschlagen (nur Pos 2)
Service + Geschenkte Bälle auf Grundsechs</t>
  </si>
  <si>
    <t>Einspielen mit 2 Bällen
Einspielen zu dritt mit Nachlaufen
Blockbildung außen
Spielform mit Ziel Doppelblock außen</t>
  </si>
  <si>
    <t>Einspielen mit 2 Bällen
Einspielen zu dritt mit Nachlaufen
Längsgeteiltes Feld (3er + 4er Gruppen, 2 Blockspielerinnen -&gt; Doppelblock bilden; 1 oder 2 Feldverteidigung)
2 Spiele am längsgeteiltem Feld</t>
  </si>
  <si>
    <t>Test nach 14:00</t>
  </si>
  <si>
    <t>3 Schritte
Leiter
Einspielen mit Nachlaufen in 2 Gruppen
Einzeln Angriff
Angriff nach Annahme nach Wurf mit Nachlaufen in 2 Gruppen
Einschlagen (Meli, Selina)</t>
  </si>
  <si>
    <t>Innsbruck (11)</t>
  </si>
  <si>
    <t>Spiel geg. TI
Taktisch müssen wir noch zulegen</t>
  </si>
  <si>
    <t>M-AN</t>
  </si>
  <si>
    <t>AO-BW</t>
  </si>
  <si>
    <t>BQ</t>
  </si>
  <si>
    <t>BQ-CY</t>
  </si>
  <si>
    <t>CS-EH</t>
  </si>
  <si>
    <t>K16</t>
  </si>
  <si>
    <t>AO</t>
  </si>
  <si>
    <t>CS</t>
  </si>
  <si>
    <t>EB</t>
  </si>
  <si>
    <t>AN</t>
  </si>
  <si>
    <t>BW</t>
  </si>
  <si>
    <t>CY</t>
  </si>
  <si>
    <t>EH</t>
  </si>
  <si>
    <t>FJ</t>
  </si>
  <si>
    <t>EB-FJ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</si>
</sst>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51">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14" fontId="0" fillId="4" borderId="17" xfId="0" applyNumberFormat="1" applyFill="1" applyBorder="1"/>
    <xf numFmtId="0" fontId="0" fillId="4" borderId="32" xfId="0" applyFill="1" applyBorder="1"/>
    <xf numFmtId="0" fontId="0" fillId="4" borderId="34" xfId="0" applyFill="1" applyBorder="1"/>
    <xf numFmtId="0" fontId="0" fillId="4" borderId="33" xfId="0" applyFill="1" applyBorder="1"/>
    <xf numFmtId="166" fontId="1" fillId="4" borderId="11" xfId="0" applyNumberFormat="1" applyFont="1" applyFill="1" applyBorder="1"/>
    <xf numFmtId="0" fontId="1" fillId="4" borderId="17" xfId="0" applyFont="1" applyFill="1" applyBorder="1" applyAlignment="1">
      <alignment horizontal="center"/>
    </xf>
    <xf numFmtId="0" fontId="0" fillId="0" borderId="6" xfId="0" applyFill="1" applyBorder="1"/>
    <xf numFmtId="0" fontId="0" fillId="0" borderId="17" xfId="0" applyFill="1" applyBorder="1"/>
    <xf numFmtId="0" fontId="0" fillId="0" borderId="16" xfId="0" applyFill="1" applyBorder="1"/>
    <xf numFmtId="14" fontId="0" fillId="4" borderId="10" xfId="0" applyNumberFormat="1" applyFill="1" applyBorder="1"/>
    <xf numFmtId="0" fontId="0" fillId="0" borderId="15" xfId="0" applyBorder="1" applyAlignment="1">
      <alignment horizontal="right"/>
    </xf>
    <xf numFmtId="0" fontId="0" fillId="0" borderId="0" xfId="0" applyFill="1" applyBorder="1" applyAlignment="1">
      <alignment horizontal="right"/>
    </xf>
    <xf numFmtId="0" fontId="0" fillId="0" borderId="0" xfId="0" applyBorder="1" applyAlignment="1">
      <alignment horizontal="right"/>
    </xf>
    <xf numFmtId="0" fontId="12" fillId="4" borderId="10" xfId="0" applyFont="1" applyFill="1" applyBorder="1" applyAlignment="1">
      <alignment horizontal="center"/>
    </xf>
    <xf numFmtId="0" fontId="12" fillId="4" borderId="5" xfId="0" applyFont="1" applyFill="1" applyBorder="1" applyAlignment="1">
      <alignment horizontal="center"/>
    </xf>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3" fillId="4" borderId="32" xfId="0" applyFont="1" applyFill="1" applyBorder="1"/>
    <xf numFmtId="0" fontId="13" fillId="4" borderId="33" xfId="0" applyFont="1" applyFill="1" applyBorder="1"/>
    <xf numFmtId="0" fontId="12" fillId="4" borderId="32" xfId="0" applyFont="1" applyFill="1" applyBorder="1" applyAlignment="1">
      <alignment horizontal="center"/>
    </xf>
    <xf numFmtId="0" fontId="12" fillId="4" borderId="34" xfId="0" applyFont="1" applyFill="1" applyBorder="1" applyAlignment="1">
      <alignment horizontal="center"/>
    </xf>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Normal" xfId="0" builtinId="0"/>
    <cellStyle name="Output" xfId="1"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104775</xdr:colOff>
      <xdr:row>32</xdr:row>
      <xdr:rowOff>9525</xdr:rowOff>
    </xdr:from>
    <xdr:to>
      <xdr:col>0</xdr:col>
      <xdr:colOff>647700</xdr:colOff>
      <xdr:row>33</xdr:row>
      <xdr:rowOff>9526</xdr:rowOff>
    </xdr:to>
    <xdr:sp macro="[0]!Tabelle12.export20_u16"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104775" y="3276600"/>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a:t>
          </a:r>
        </a:p>
        <a:p>
          <a:pPr algn="ctr"/>
          <a:endParaRPr lang="de-AT" sz="800">
            <a:latin typeface="Arial" panose="020B0604020202020204" pitchFamily="34" charset="0"/>
            <a:cs typeface="Arial" panose="020B0604020202020204" pitchFamily="34" charset="0"/>
          </a:endParaRPr>
        </a:p>
        <a:p>
          <a:pPr algn="l"/>
          <a:endParaRPr lang="de-AT" sz="1100"/>
        </a:p>
      </xdr:txBody>
    </xdr:sp>
    <xdr:clientData/>
  </xdr:twoCellAnchor>
  <xdr:twoCellAnchor>
    <xdr:from>
      <xdr:col>0</xdr:col>
      <xdr:colOff>47625</xdr:colOff>
      <xdr:row>49</xdr:row>
      <xdr:rowOff>0</xdr:rowOff>
    </xdr:from>
    <xdr:to>
      <xdr:col>0</xdr:col>
      <xdr:colOff>714375</xdr:colOff>
      <xdr:row>50</xdr:row>
      <xdr:rowOff>0</xdr:rowOff>
    </xdr:to>
    <xdr:sp macro="[0]!Tabelle12.export20_u16_2" textlink="">
      <xdr:nvSpPr>
        <xdr:cNvPr id="3" name="Rechteck: abgerundete Ecken 13">
          <a:extLst>
            <a:ext uri="{FF2B5EF4-FFF2-40B4-BE49-F238E27FC236}">
              <a16:creationId xmlns:a16="http://schemas.microsoft.com/office/drawing/2014/main" id="{00000000-0008-0000-0000-000003000000}"/>
            </a:ext>
          </a:extLst>
        </xdr:cNvPr>
        <xdr:cNvSpPr/>
      </xdr:nvSpPr>
      <xdr:spPr>
        <a:xfrm>
          <a:off x="47625" y="65055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50</xdr:row>
      <xdr:rowOff>9525</xdr:rowOff>
    </xdr:from>
    <xdr:to>
      <xdr:col>0</xdr:col>
      <xdr:colOff>714375</xdr:colOff>
      <xdr:row>51</xdr:row>
      <xdr:rowOff>9525</xdr:rowOff>
    </xdr:to>
    <xdr:sp macro="[0]!Tabelle12.export20_u16_3" textlink="">
      <xdr:nvSpPr>
        <xdr:cNvPr id="4" name="Rechteck: abgerundete Ecken 5">
          <a:extLst>
            <a:ext uri="{FF2B5EF4-FFF2-40B4-BE49-F238E27FC236}">
              <a16:creationId xmlns:a16="http://schemas.microsoft.com/office/drawing/2014/main" id="{00000000-0008-0000-0000-000004000000}"/>
            </a:ext>
          </a:extLst>
        </xdr:cNvPr>
        <xdr:cNvSpPr/>
      </xdr:nvSpPr>
      <xdr:spPr>
        <a:xfrm>
          <a:off x="47625" y="67056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51</xdr:row>
      <xdr:rowOff>9524</xdr:rowOff>
    </xdr:from>
    <xdr:to>
      <xdr:col>0</xdr:col>
      <xdr:colOff>723900</xdr:colOff>
      <xdr:row>52</xdr:row>
      <xdr:rowOff>9525</xdr:rowOff>
    </xdr:to>
    <xdr:sp macro="[0]!Tabelle12.export20_u16_4" textlink="">
      <xdr:nvSpPr>
        <xdr:cNvPr id="5" name="Rechteck: abgerundete Ecken 7">
          <a:extLst>
            <a:ext uri="{FF2B5EF4-FFF2-40B4-BE49-F238E27FC236}">
              <a16:creationId xmlns:a16="http://schemas.microsoft.com/office/drawing/2014/main" id="{00000000-0008-0000-0000-000005000000}"/>
            </a:ext>
          </a:extLst>
        </xdr:cNvPr>
        <xdr:cNvSpPr/>
      </xdr:nvSpPr>
      <xdr:spPr>
        <a:xfrm>
          <a:off x="47625" y="6896099"/>
          <a:ext cx="676275" cy="190501"/>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514350</xdr:colOff>
      <xdr:row>31</xdr:row>
      <xdr:rowOff>180974</xdr:rowOff>
    </xdr:from>
    <xdr:to>
      <xdr:col>1</xdr:col>
      <xdr:colOff>295275</xdr:colOff>
      <xdr:row>32</xdr:row>
      <xdr:rowOff>180975</xdr:rowOff>
    </xdr:to>
    <xdr:sp macro="[0]!Tabelle8.export20_bl" textlink="">
      <xdr:nvSpPr>
        <xdr:cNvPr id="2" name="Rechteck: abgerundete Ecken 1">
          <a:extLst>
            <a:ext uri="{FF2B5EF4-FFF2-40B4-BE49-F238E27FC236}">
              <a16:creationId xmlns:a16="http://schemas.microsoft.com/office/drawing/2014/main" id="{00000000-0008-0000-0100-000002000000}"/>
            </a:ext>
          </a:extLst>
        </xdr:cNvPr>
        <xdr:cNvSpPr/>
      </xdr:nvSpPr>
      <xdr:spPr>
        <a:xfrm>
          <a:off x="514350" y="59245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1</xdr:col>
      <xdr:colOff>342900</xdr:colOff>
      <xdr:row>48</xdr:row>
      <xdr:rowOff>0</xdr:rowOff>
    </xdr:from>
    <xdr:to>
      <xdr:col>3</xdr:col>
      <xdr:colOff>0</xdr:colOff>
      <xdr:row>49</xdr:row>
      <xdr:rowOff>0</xdr:rowOff>
    </xdr:to>
    <xdr:sp macro="[0]!Tabelle8.export20_bl_1" textlink="">
      <xdr:nvSpPr>
        <xdr:cNvPr id="13" name="Rechteck: abgerundete Ecken 12">
          <a:extLst>
            <a:ext uri="{FF2B5EF4-FFF2-40B4-BE49-F238E27FC236}">
              <a16:creationId xmlns:a16="http://schemas.microsoft.com/office/drawing/2014/main" id="{00000000-0008-0000-0100-00000D000000}"/>
            </a:ext>
          </a:extLst>
        </xdr:cNvPr>
        <xdr:cNvSpPr/>
      </xdr:nvSpPr>
      <xdr:spPr>
        <a:xfrm>
          <a:off x="1104900" y="89820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104775</xdr:colOff>
      <xdr:row>48</xdr:row>
      <xdr:rowOff>0</xdr:rowOff>
    </xdr:from>
    <xdr:to>
      <xdr:col>3</xdr:col>
      <xdr:colOff>771525</xdr:colOff>
      <xdr:row>49</xdr:row>
      <xdr:rowOff>0</xdr:rowOff>
    </xdr:to>
    <xdr:sp macro="[0]!Tabelle8.export20_bl_2" textlink="">
      <xdr:nvSpPr>
        <xdr:cNvPr id="14" name="Rechteck: abgerundete Ecken 13">
          <a:extLst>
            <a:ext uri="{FF2B5EF4-FFF2-40B4-BE49-F238E27FC236}">
              <a16:creationId xmlns:a16="http://schemas.microsoft.com/office/drawing/2014/main" id="{00000000-0008-0000-0100-00000E000000}"/>
            </a:ext>
          </a:extLst>
        </xdr:cNvPr>
        <xdr:cNvSpPr/>
      </xdr:nvSpPr>
      <xdr:spPr>
        <a:xfrm>
          <a:off x="177165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28575</xdr:colOff>
      <xdr:row>48</xdr:row>
      <xdr:rowOff>0</xdr:rowOff>
    </xdr:from>
    <xdr:to>
      <xdr:col>7</xdr:col>
      <xdr:colOff>695325</xdr:colOff>
      <xdr:row>49</xdr:row>
      <xdr:rowOff>0</xdr:rowOff>
    </xdr:to>
    <xdr:sp macro="[0]!Tabelle8.export20_bl_3" textlink="">
      <xdr:nvSpPr>
        <xdr:cNvPr id="6" name="Rechteck: abgerundete Ecken 5">
          <a:extLst>
            <a:ext uri="{FF2B5EF4-FFF2-40B4-BE49-F238E27FC236}">
              <a16:creationId xmlns:a16="http://schemas.microsoft.com/office/drawing/2014/main" id="{00000000-0008-0000-0100-000006000000}"/>
            </a:ext>
          </a:extLst>
        </xdr:cNvPr>
        <xdr:cNvSpPr/>
      </xdr:nvSpPr>
      <xdr:spPr>
        <a:xfrm>
          <a:off x="255270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50</xdr:row>
      <xdr:rowOff>0</xdr:rowOff>
    </xdr:from>
    <xdr:to>
      <xdr:col>0</xdr:col>
      <xdr:colOff>739050</xdr:colOff>
      <xdr:row>51</xdr:row>
      <xdr:rowOff>1</xdr:rowOff>
    </xdr:to>
    <xdr:sp macro="[0]!Tabelle8.export20_bl_infos" textlink="">
      <xdr:nvSpPr>
        <xdr:cNvPr id="17" name="Rechteck: abgerundete Ecken 16">
          <a:extLst>
            <a:ext uri="{FF2B5EF4-FFF2-40B4-BE49-F238E27FC236}">
              <a16:creationId xmlns:a16="http://schemas.microsoft.com/office/drawing/2014/main" id="{00000000-0008-0000-01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8</xdr:col>
      <xdr:colOff>0</xdr:colOff>
      <xdr:row>48</xdr:row>
      <xdr:rowOff>0</xdr:rowOff>
    </xdr:from>
    <xdr:to>
      <xdr:col>11</xdr:col>
      <xdr:colOff>171450</xdr:colOff>
      <xdr:row>49</xdr:row>
      <xdr:rowOff>0</xdr:rowOff>
    </xdr:to>
    <xdr:sp macro="[0]!Tabelle8.export20_bl_4" textlink="">
      <xdr:nvSpPr>
        <xdr:cNvPr id="8" name="Rechteck: abgerundete Ecken 7">
          <a:extLst>
            <a:ext uri="{FF2B5EF4-FFF2-40B4-BE49-F238E27FC236}">
              <a16:creationId xmlns:a16="http://schemas.microsoft.com/office/drawing/2014/main" id="{00000000-0008-0000-0100-000008000000}"/>
            </a:ext>
          </a:extLst>
        </xdr:cNvPr>
        <xdr:cNvSpPr/>
      </xdr:nvSpPr>
      <xdr:spPr>
        <a:xfrm>
          <a:off x="3286125"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323851</xdr:colOff>
      <xdr:row>49</xdr:row>
      <xdr:rowOff>19050</xdr:rowOff>
    </xdr:from>
    <xdr:to>
      <xdr:col>3</xdr:col>
      <xdr:colOff>28576</xdr:colOff>
      <xdr:row>50</xdr:row>
      <xdr:rowOff>0</xdr:rowOff>
    </xdr:to>
    <xdr:sp macro="[0]!Tabelle8.export20_bl_5" textlink="">
      <xdr:nvSpPr>
        <xdr:cNvPr id="9" name="Rechteck: abgerundete Ecken 8">
          <a:extLst>
            <a:ext uri="{FF2B5EF4-FFF2-40B4-BE49-F238E27FC236}">
              <a16:creationId xmlns:a16="http://schemas.microsoft.com/office/drawing/2014/main" id="{00000000-0008-0000-0100-000009000000}"/>
            </a:ext>
          </a:extLst>
        </xdr:cNvPr>
        <xdr:cNvSpPr/>
      </xdr:nvSpPr>
      <xdr:spPr>
        <a:xfrm>
          <a:off x="1085851"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133350</xdr:colOff>
      <xdr:row>49</xdr:row>
      <xdr:rowOff>19050</xdr:rowOff>
    </xdr:from>
    <xdr:to>
      <xdr:col>3</xdr:col>
      <xdr:colOff>742950</xdr:colOff>
      <xdr:row>50</xdr:row>
      <xdr:rowOff>0</xdr:rowOff>
    </xdr:to>
    <xdr:sp macro="[0]!Tabelle8.export20_bl_6" textlink="">
      <xdr:nvSpPr>
        <xdr:cNvPr id="10" name="Rechteck: abgerundete Ecken 9">
          <a:extLst>
            <a:ext uri="{FF2B5EF4-FFF2-40B4-BE49-F238E27FC236}">
              <a16:creationId xmlns:a16="http://schemas.microsoft.com/office/drawing/2014/main" id="{00000000-0008-0000-0100-00000A000000}"/>
            </a:ext>
          </a:extLst>
        </xdr:cNvPr>
        <xdr:cNvSpPr/>
      </xdr:nvSpPr>
      <xdr:spPr>
        <a:xfrm>
          <a:off x="1800225"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57150</xdr:colOff>
      <xdr:row>49</xdr:row>
      <xdr:rowOff>9525</xdr:rowOff>
    </xdr:from>
    <xdr:to>
      <xdr:col>7</xdr:col>
      <xdr:colOff>666750</xdr:colOff>
      <xdr:row>49</xdr:row>
      <xdr:rowOff>180975</xdr:rowOff>
    </xdr:to>
    <xdr:sp macro="[0]!Tabelle8.export20_bl_7" textlink="">
      <xdr:nvSpPr>
        <xdr:cNvPr id="11" name="Rechteck: abgerundete Ecken 10">
          <a:extLst>
            <a:ext uri="{FF2B5EF4-FFF2-40B4-BE49-F238E27FC236}">
              <a16:creationId xmlns:a16="http://schemas.microsoft.com/office/drawing/2014/main" id="{00000000-0008-0000-0100-00000B000000}"/>
            </a:ext>
          </a:extLst>
        </xdr:cNvPr>
        <xdr:cNvSpPr/>
      </xdr:nvSpPr>
      <xdr:spPr>
        <a:xfrm>
          <a:off x="2581275" y="918210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49</xdr:row>
      <xdr:rowOff>19050</xdr:rowOff>
    </xdr:from>
    <xdr:to>
      <xdr:col>11</xdr:col>
      <xdr:colOff>142875</xdr:colOff>
      <xdr:row>50</xdr:row>
      <xdr:rowOff>0</xdr:rowOff>
    </xdr:to>
    <xdr:sp macro="[0]!Tabelle8.export20_bl_8" textlink="">
      <xdr:nvSpPr>
        <xdr:cNvPr id="15" name="Rechteck: abgerundete Ecken 14">
          <a:extLst>
            <a:ext uri="{FF2B5EF4-FFF2-40B4-BE49-F238E27FC236}">
              <a16:creationId xmlns:a16="http://schemas.microsoft.com/office/drawing/2014/main" id="{00000000-0008-0000-01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5248275</xdr:colOff>
          <xdr:row>0</xdr:row>
          <xdr:rowOff>0</xdr:rowOff>
        </xdr:from>
        <xdr:to>
          <xdr:col>3</xdr:col>
          <xdr:colOff>6848475</xdr:colOff>
          <xdr:row>1</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2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C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6.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0004B-B788-49DD-AA2B-14F7D9D09149}">
  <sheetPr codeName="Tabelle12"/>
  <dimension ref="A1:IB55"/>
  <sheetViews>
    <sheetView workbookViewId="0">
      <selection activeCell="D52" sqref="D52"/>
    </sheetView>
  </sheetViews>
  <sheetFormatPr defaultColWidth="11.42578125" defaultRowHeight="15" x14ac:dyDescent="0.25"/>
  <cols>
    <col min="2" max="2" width="9" customWidth="1"/>
    <col min="3" max="3" width="4.5703125" customWidth="1"/>
    <col min="4" max="4" width="12.85546875" customWidth="1"/>
    <col min="5" max="5" width="23.7109375" customWidth="1"/>
    <col min="6" max="6" width="34.28515625" customWidth="1"/>
    <col min="7" max="7" width="14.7109375" customWidth="1"/>
    <col min="8" max="8" width="11.42578125" customWidth="1"/>
    <col min="9" max="9" width="10.85546875" customWidth="1"/>
    <col min="10" max="10" width="4.7109375" style="44" customWidth="1"/>
    <col min="11" max="12" width="3.7109375" style="44" customWidth="1"/>
    <col min="13" max="224" width="3.7109375" customWidth="1"/>
  </cols>
  <sheetData>
    <row r="1" spans="1:236" ht="15" customHeight="1" x14ac:dyDescent="0.25">
      <c r="A1" s="218" t="s">
        <v>806</v>
      </c>
      <c r="B1" s="219"/>
      <c r="C1" s="219"/>
      <c r="D1" s="219"/>
      <c r="E1" s="219"/>
      <c r="F1" s="219"/>
      <c r="G1" s="219"/>
      <c r="H1" s="220"/>
      <c r="I1" s="224" t="str">
        <f>A1</f>
        <v>NW</v>
      </c>
      <c r="J1" s="226" t="s">
        <v>38</v>
      </c>
      <c r="K1" s="228" t="s">
        <v>49</v>
      </c>
      <c r="L1" s="210" t="s">
        <v>48</v>
      </c>
      <c r="M1" s="201">
        <v>44228</v>
      </c>
      <c r="N1" s="58">
        <f t="shared" ref="N1:AU1" si="0">M1 + 1</f>
        <v>44229</v>
      </c>
      <c r="O1" s="58">
        <f t="shared" si="0"/>
        <v>44230</v>
      </c>
      <c r="P1" s="58">
        <f t="shared" si="0"/>
        <v>44231</v>
      </c>
      <c r="Q1" s="58">
        <f t="shared" si="0"/>
        <v>44232</v>
      </c>
      <c r="R1" s="58">
        <f t="shared" si="0"/>
        <v>44233</v>
      </c>
      <c r="S1" s="57">
        <f t="shared" si="0"/>
        <v>44234</v>
      </c>
      <c r="T1" s="58">
        <f t="shared" si="0"/>
        <v>44235</v>
      </c>
      <c r="U1" s="58">
        <f t="shared" si="0"/>
        <v>44236</v>
      </c>
      <c r="V1" s="58">
        <f t="shared" si="0"/>
        <v>44237</v>
      </c>
      <c r="W1" s="58">
        <f t="shared" si="0"/>
        <v>44238</v>
      </c>
      <c r="X1" s="58">
        <f t="shared" si="0"/>
        <v>44239</v>
      </c>
      <c r="Y1" s="58">
        <f t="shared" si="0"/>
        <v>44240</v>
      </c>
      <c r="Z1" s="57">
        <f t="shared" si="0"/>
        <v>44241</v>
      </c>
      <c r="AA1" s="58">
        <f t="shared" si="0"/>
        <v>44242</v>
      </c>
      <c r="AB1" s="58">
        <f t="shared" si="0"/>
        <v>44243</v>
      </c>
      <c r="AC1" s="58">
        <f t="shared" si="0"/>
        <v>44244</v>
      </c>
      <c r="AD1" s="58">
        <f t="shared" si="0"/>
        <v>44245</v>
      </c>
      <c r="AE1" s="58">
        <f t="shared" si="0"/>
        <v>44246</v>
      </c>
      <c r="AF1" s="58">
        <f t="shared" si="0"/>
        <v>44247</v>
      </c>
      <c r="AG1" s="57">
        <f t="shared" si="0"/>
        <v>44248</v>
      </c>
      <c r="AH1" s="58">
        <f t="shared" si="0"/>
        <v>44249</v>
      </c>
      <c r="AI1" s="58">
        <f t="shared" si="0"/>
        <v>44250</v>
      </c>
      <c r="AJ1" s="58">
        <f t="shared" si="0"/>
        <v>44251</v>
      </c>
      <c r="AK1" s="58">
        <f t="shared" si="0"/>
        <v>44252</v>
      </c>
      <c r="AL1" s="58">
        <f t="shared" si="0"/>
        <v>44253</v>
      </c>
      <c r="AM1" s="58">
        <f t="shared" si="0"/>
        <v>44254</v>
      </c>
      <c r="AN1" s="57">
        <f t="shared" si="0"/>
        <v>44255</v>
      </c>
      <c r="AO1" s="58">
        <f t="shared" si="0"/>
        <v>44256</v>
      </c>
      <c r="AP1" s="58">
        <f t="shared" si="0"/>
        <v>44257</v>
      </c>
      <c r="AQ1" s="58">
        <f t="shared" si="0"/>
        <v>44258</v>
      </c>
      <c r="AR1" s="58">
        <f t="shared" si="0"/>
        <v>44259</v>
      </c>
      <c r="AS1" s="58">
        <f t="shared" si="0"/>
        <v>44260</v>
      </c>
      <c r="AT1" s="58">
        <f t="shared" si="0"/>
        <v>44261</v>
      </c>
      <c r="AU1" s="57">
        <f t="shared" si="0"/>
        <v>44262</v>
      </c>
      <c r="AV1" s="58">
        <f t="shared" ref="AV1:DG1" si="1">AU1 + 1</f>
        <v>44263</v>
      </c>
      <c r="AW1" s="58">
        <f t="shared" si="1"/>
        <v>44264</v>
      </c>
      <c r="AX1" s="58">
        <f t="shared" si="1"/>
        <v>44265</v>
      </c>
      <c r="AY1" s="58">
        <f t="shared" si="1"/>
        <v>44266</v>
      </c>
      <c r="AZ1" s="58">
        <f t="shared" si="1"/>
        <v>44267</v>
      </c>
      <c r="BA1" s="58">
        <f t="shared" si="1"/>
        <v>44268</v>
      </c>
      <c r="BB1" s="57">
        <f t="shared" si="1"/>
        <v>44269</v>
      </c>
      <c r="BC1" s="58">
        <f t="shared" si="1"/>
        <v>44270</v>
      </c>
      <c r="BD1" s="58">
        <f t="shared" si="1"/>
        <v>44271</v>
      </c>
      <c r="BE1" s="58">
        <f t="shared" si="1"/>
        <v>44272</v>
      </c>
      <c r="BF1" s="58">
        <f t="shared" si="1"/>
        <v>44273</v>
      </c>
      <c r="BG1" s="58">
        <f t="shared" si="1"/>
        <v>44274</v>
      </c>
      <c r="BH1" s="58">
        <f t="shared" si="1"/>
        <v>44275</v>
      </c>
      <c r="BI1" s="57">
        <f t="shared" si="1"/>
        <v>44276</v>
      </c>
      <c r="BJ1" s="58">
        <f t="shared" si="1"/>
        <v>44277</v>
      </c>
      <c r="BK1" s="58">
        <f t="shared" si="1"/>
        <v>44278</v>
      </c>
      <c r="BL1" s="58">
        <f t="shared" si="1"/>
        <v>44279</v>
      </c>
      <c r="BM1" s="58">
        <f t="shared" si="1"/>
        <v>44280</v>
      </c>
      <c r="BN1" s="58">
        <f t="shared" si="1"/>
        <v>44281</v>
      </c>
      <c r="BO1" s="58">
        <f t="shared" si="1"/>
        <v>44282</v>
      </c>
      <c r="BP1" s="57">
        <f t="shared" si="1"/>
        <v>44283</v>
      </c>
      <c r="BQ1" s="58">
        <f t="shared" si="1"/>
        <v>44284</v>
      </c>
      <c r="BR1" s="58">
        <f t="shared" si="1"/>
        <v>44285</v>
      </c>
      <c r="BS1" s="58">
        <f t="shared" si="1"/>
        <v>44286</v>
      </c>
      <c r="BT1" s="58">
        <f t="shared" si="1"/>
        <v>44287</v>
      </c>
      <c r="BU1" s="58">
        <f t="shared" si="1"/>
        <v>44288</v>
      </c>
      <c r="BV1" s="58">
        <f t="shared" si="1"/>
        <v>44289</v>
      </c>
      <c r="BW1" s="57">
        <f t="shared" si="1"/>
        <v>44290</v>
      </c>
      <c r="BX1" s="58">
        <f t="shared" si="1"/>
        <v>44291</v>
      </c>
      <c r="BY1" s="58">
        <f t="shared" si="1"/>
        <v>44292</v>
      </c>
      <c r="BZ1" s="58">
        <f t="shared" si="1"/>
        <v>44293</v>
      </c>
      <c r="CA1" s="58">
        <f t="shared" si="1"/>
        <v>44294</v>
      </c>
      <c r="CB1" s="58">
        <f t="shared" si="1"/>
        <v>44295</v>
      </c>
      <c r="CC1" s="58">
        <f t="shared" si="1"/>
        <v>44296</v>
      </c>
      <c r="CD1" s="57">
        <f t="shared" si="1"/>
        <v>44297</v>
      </c>
      <c r="CE1" s="58">
        <f t="shared" si="1"/>
        <v>44298</v>
      </c>
      <c r="CF1" s="58">
        <f t="shared" si="1"/>
        <v>44299</v>
      </c>
      <c r="CG1" s="58">
        <f t="shared" si="1"/>
        <v>44300</v>
      </c>
      <c r="CH1" s="58">
        <f t="shared" si="1"/>
        <v>44301</v>
      </c>
      <c r="CI1" s="58">
        <f t="shared" si="1"/>
        <v>44302</v>
      </c>
      <c r="CJ1" s="58">
        <f t="shared" si="1"/>
        <v>44303</v>
      </c>
      <c r="CK1" s="57">
        <f t="shared" si="1"/>
        <v>44304</v>
      </c>
      <c r="CL1" s="58">
        <f t="shared" si="1"/>
        <v>44305</v>
      </c>
      <c r="CM1" s="58">
        <f t="shared" si="1"/>
        <v>44306</v>
      </c>
      <c r="CN1" s="58">
        <f t="shared" si="1"/>
        <v>44307</v>
      </c>
      <c r="CO1" s="58">
        <f t="shared" si="1"/>
        <v>44308</v>
      </c>
      <c r="CP1" s="58">
        <f t="shared" si="1"/>
        <v>44309</v>
      </c>
      <c r="CQ1" s="58">
        <f t="shared" si="1"/>
        <v>44310</v>
      </c>
      <c r="CR1" s="57">
        <f t="shared" si="1"/>
        <v>44311</v>
      </c>
      <c r="CS1" s="58">
        <f t="shared" si="1"/>
        <v>44312</v>
      </c>
      <c r="CT1" s="58">
        <f t="shared" si="1"/>
        <v>44313</v>
      </c>
      <c r="CU1" s="58">
        <f t="shared" si="1"/>
        <v>44314</v>
      </c>
      <c r="CV1" s="58">
        <f t="shared" si="1"/>
        <v>44315</v>
      </c>
      <c r="CW1" s="58">
        <f t="shared" si="1"/>
        <v>44316</v>
      </c>
      <c r="CX1" s="58">
        <f t="shared" si="1"/>
        <v>44317</v>
      </c>
      <c r="CY1" s="57">
        <f t="shared" si="1"/>
        <v>44318</v>
      </c>
      <c r="CZ1" s="58">
        <f t="shared" si="1"/>
        <v>44319</v>
      </c>
      <c r="DA1" s="58">
        <f t="shared" si="1"/>
        <v>44320</v>
      </c>
      <c r="DB1" s="58">
        <f t="shared" si="1"/>
        <v>44321</v>
      </c>
      <c r="DC1" s="58">
        <f t="shared" si="1"/>
        <v>44322</v>
      </c>
      <c r="DD1" s="58">
        <f t="shared" si="1"/>
        <v>44323</v>
      </c>
      <c r="DE1" s="58">
        <f t="shared" si="1"/>
        <v>44324</v>
      </c>
      <c r="DF1" s="57">
        <f t="shared" si="1"/>
        <v>44325</v>
      </c>
      <c r="DG1" s="58">
        <f t="shared" si="1"/>
        <v>44326</v>
      </c>
      <c r="DH1" s="58">
        <f t="shared" ref="DH1:FS1" si="2">DG1 + 1</f>
        <v>44327</v>
      </c>
      <c r="DI1" s="58">
        <f t="shared" si="2"/>
        <v>44328</v>
      </c>
      <c r="DJ1" s="58">
        <f t="shared" si="2"/>
        <v>44329</v>
      </c>
      <c r="DK1" s="58">
        <f t="shared" si="2"/>
        <v>44330</v>
      </c>
      <c r="DL1" s="58">
        <f t="shared" si="2"/>
        <v>44331</v>
      </c>
      <c r="DM1" s="57">
        <f t="shared" si="2"/>
        <v>44332</v>
      </c>
      <c r="DN1" s="58">
        <f t="shared" si="2"/>
        <v>44333</v>
      </c>
      <c r="DO1" s="58">
        <f t="shared" si="2"/>
        <v>44334</v>
      </c>
      <c r="DP1" s="58">
        <f t="shared" si="2"/>
        <v>44335</v>
      </c>
      <c r="DQ1" s="58">
        <f t="shared" si="2"/>
        <v>44336</v>
      </c>
      <c r="DR1" s="58">
        <f t="shared" si="2"/>
        <v>44337</v>
      </c>
      <c r="DS1" s="58">
        <f t="shared" si="2"/>
        <v>44338</v>
      </c>
      <c r="DT1" s="57">
        <f t="shared" si="2"/>
        <v>44339</v>
      </c>
      <c r="DU1" s="58">
        <f t="shared" si="2"/>
        <v>44340</v>
      </c>
      <c r="DV1" s="58">
        <f t="shared" si="2"/>
        <v>44341</v>
      </c>
      <c r="DW1" s="58">
        <f t="shared" si="2"/>
        <v>44342</v>
      </c>
      <c r="DX1" s="58">
        <f t="shared" si="2"/>
        <v>44343</v>
      </c>
      <c r="DY1" s="58">
        <f t="shared" si="2"/>
        <v>44344</v>
      </c>
      <c r="DZ1" s="58">
        <f t="shared" si="2"/>
        <v>44345</v>
      </c>
      <c r="EA1" s="57">
        <f t="shared" si="2"/>
        <v>44346</v>
      </c>
      <c r="EB1" s="58">
        <f t="shared" si="2"/>
        <v>44347</v>
      </c>
      <c r="EC1" s="58">
        <f t="shared" si="2"/>
        <v>44348</v>
      </c>
      <c r="ED1" s="58">
        <f t="shared" si="2"/>
        <v>44349</v>
      </c>
      <c r="EE1" s="58">
        <f t="shared" si="2"/>
        <v>44350</v>
      </c>
      <c r="EF1" s="58">
        <f t="shared" si="2"/>
        <v>44351</v>
      </c>
      <c r="EG1" s="58">
        <f t="shared" si="2"/>
        <v>44352</v>
      </c>
      <c r="EH1" s="57">
        <f t="shared" si="2"/>
        <v>44353</v>
      </c>
      <c r="EI1" s="58">
        <f t="shared" si="2"/>
        <v>44354</v>
      </c>
      <c r="EJ1" s="58">
        <f t="shared" si="2"/>
        <v>44355</v>
      </c>
      <c r="EK1" s="58">
        <f t="shared" si="2"/>
        <v>44356</v>
      </c>
      <c r="EL1" s="58">
        <f t="shared" si="2"/>
        <v>44357</v>
      </c>
      <c r="EM1" s="58">
        <f t="shared" si="2"/>
        <v>44358</v>
      </c>
      <c r="EN1" s="58">
        <f t="shared" si="2"/>
        <v>44359</v>
      </c>
      <c r="EO1" s="57">
        <f t="shared" si="2"/>
        <v>44360</v>
      </c>
      <c r="EP1" s="58">
        <f t="shared" si="2"/>
        <v>44361</v>
      </c>
      <c r="EQ1" s="58">
        <f t="shared" si="2"/>
        <v>44362</v>
      </c>
      <c r="ER1" s="58">
        <f t="shared" si="2"/>
        <v>44363</v>
      </c>
      <c r="ES1" s="58">
        <f t="shared" si="2"/>
        <v>44364</v>
      </c>
      <c r="ET1" s="58">
        <f t="shared" si="2"/>
        <v>44365</v>
      </c>
      <c r="EU1" s="58">
        <f t="shared" si="2"/>
        <v>44366</v>
      </c>
      <c r="EV1" s="57">
        <f t="shared" si="2"/>
        <v>44367</v>
      </c>
      <c r="EW1" s="58">
        <f t="shared" si="2"/>
        <v>44368</v>
      </c>
      <c r="EX1" s="58">
        <f t="shared" si="2"/>
        <v>44369</v>
      </c>
      <c r="EY1" s="58">
        <f t="shared" si="2"/>
        <v>44370</v>
      </c>
      <c r="EZ1" s="58">
        <f t="shared" si="2"/>
        <v>44371</v>
      </c>
      <c r="FA1" s="58">
        <f t="shared" si="2"/>
        <v>44372</v>
      </c>
      <c r="FB1" s="58">
        <f t="shared" si="2"/>
        <v>44373</v>
      </c>
      <c r="FC1" s="57">
        <f t="shared" si="2"/>
        <v>44374</v>
      </c>
      <c r="FD1" s="58">
        <f t="shared" si="2"/>
        <v>44375</v>
      </c>
      <c r="FE1" s="58">
        <f t="shared" si="2"/>
        <v>44376</v>
      </c>
      <c r="FF1" s="58">
        <f t="shared" si="2"/>
        <v>44377</v>
      </c>
      <c r="FG1" s="58">
        <f t="shared" si="2"/>
        <v>44378</v>
      </c>
      <c r="FH1" s="58">
        <f t="shared" si="2"/>
        <v>44379</v>
      </c>
      <c r="FI1" s="58">
        <f t="shared" si="2"/>
        <v>44380</v>
      </c>
      <c r="FJ1" s="57">
        <f t="shared" si="2"/>
        <v>44381</v>
      </c>
      <c r="FK1" s="58">
        <f t="shared" si="2"/>
        <v>44382</v>
      </c>
      <c r="FL1" s="58">
        <f t="shared" si="2"/>
        <v>44383</v>
      </c>
      <c r="FM1" s="58">
        <f t="shared" si="2"/>
        <v>44384</v>
      </c>
      <c r="FN1" s="58">
        <f t="shared" si="2"/>
        <v>44385</v>
      </c>
      <c r="FO1" s="58">
        <f t="shared" si="2"/>
        <v>44386</v>
      </c>
      <c r="FP1" s="58">
        <f t="shared" si="2"/>
        <v>44387</v>
      </c>
      <c r="FQ1" s="57">
        <f t="shared" si="2"/>
        <v>44388</v>
      </c>
      <c r="FR1" s="58">
        <f t="shared" si="2"/>
        <v>44389</v>
      </c>
      <c r="FS1" s="58">
        <f t="shared" si="2"/>
        <v>44390</v>
      </c>
      <c r="FT1" s="58">
        <f t="shared" ref="FT1:HP1" si="3">FS1 + 1</f>
        <v>44391</v>
      </c>
      <c r="FU1" s="58">
        <f t="shared" si="3"/>
        <v>44392</v>
      </c>
      <c r="FV1" s="58">
        <f t="shared" si="3"/>
        <v>44393</v>
      </c>
      <c r="FW1" s="58">
        <f t="shared" si="3"/>
        <v>44394</v>
      </c>
      <c r="FX1" s="57">
        <f t="shared" si="3"/>
        <v>44395</v>
      </c>
      <c r="FY1" s="58">
        <f t="shared" si="3"/>
        <v>44396</v>
      </c>
      <c r="FZ1" s="58">
        <f t="shared" si="3"/>
        <v>44397</v>
      </c>
      <c r="GA1" s="58">
        <f t="shared" si="3"/>
        <v>44398</v>
      </c>
      <c r="GB1" s="58">
        <f t="shared" si="3"/>
        <v>44399</v>
      </c>
      <c r="GC1" s="58">
        <f t="shared" si="3"/>
        <v>44400</v>
      </c>
      <c r="GD1" s="58">
        <f t="shared" si="3"/>
        <v>44401</v>
      </c>
      <c r="GE1" s="57">
        <f t="shared" si="3"/>
        <v>44402</v>
      </c>
      <c r="GF1" s="58">
        <f t="shared" si="3"/>
        <v>44403</v>
      </c>
      <c r="GG1" s="58">
        <f t="shared" si="3"/>
        <v>44404</v>
      </c>
      <c r="GH1" s="58">
        <f t="shared" si="3"/>
        <v>44405</v>
      </c>
      <c r="GI1" s="58">
        <f t="shared" si="3"/>
        <v>44406</v>
      </c>
      <c r="GJ1" s="58">
        <f t="shared" si="3"/>
        <v>44407</v>
      </c>
      <c r="GK1" s="58">
        <f t="shared" si="3"/>
        <v>44408</v>
      </c>
      <c r="GL1" s="57">
        <f t="shared" si="3"/>
        <v>44409</v>
      </c>
      <c r="GM1" s="58">
        <f t="shared" si="3"/>
        <v>44410</v>
      </c>
      <c r="GN1" s="58">
        <f t="shared" si="3"/>
        <v>44411</v>
      </c>
      <c r="GO1" s="58">
        <f t="shared" si="3"/>
        <v>44412</v>
      </c>
      <c r="GP1" s="58">
        <f t="shared" si="3"/>
        <v>44413</v>
      </c>
      <c r="GQ1" s="58">
        <f t="shared" si="3"/>
        <v>44414</v>
      </c>
      <c r="GR1" s="58">
        <f t="shared" si="3"/>
        <v>44415</v>
      </c>
      <c r="GS1" s="57">
        <f t="shared" si="3"/>
        <v>44416</v>
      </c>
      <c r="GT1" s="58">
        <f t="shared" si="3"/>
        <v>44417</v>
      </c>
      <c r="GU1" s="58">
        <f t="shared" si="3"/>
        <v>44418</v>
      </c>
      <c r="GV1" s="58">
        <f t="shared" si="3"/>
        <v>44419</v>
      </c>
      <c r="GW1" s="58">
        <f t="shared" si="3"/>
        <v>44420</v>
      </c>
      <c r="GX1" s="58">
        <f t="shared" si="3"/>
        <v>44421</v>
      </c>
      <c r="GY1" s="58">
        <f t="shared" si="3"/>
        <v>44422</v>
      </c>
      <c r="GZ1" s="57">
        <f t="shared" si="3"/>
        <v>44423</v>
      </c>
      <c r="HA1" s="58">
        <f t="shared" si="3"/>
        <v>44424</v>
      </c>
      <c r="HB1" s="58">
        <f t="shared" si="3"/>
        <v>44425</v>
      </c>
      <c r="HC1" s="58">
        <f t="shared" si="3"/>
        <v>44426</v>
      </c>
      <c r="HD1" s="58">
        <f t="shared" si="3"/>
        <v>44427</v>
      </c>
      <c r="HE1" s="58">
        <f t="shared" si="3"/>
        <v>44428</v>
      </c>
      <c r="HF1" s="58">
        <f t="shared" si="3"/>
        <v>44429</v>
      </c>
      <c r="HG1" s="57">
        <f t="shared" si="3"/>
        <v>44430</v>
      </c>
      <c r="HH1" s="58">
        <f t="shared" si="3"/>
        <v>44431</v>
      </c>
      <c r="HI1" s="58">
        <f t="shared" si="3"/>
        <v>44432</v>
      </c>
      <c r="HJ1" s="58">
        <f t="shared" si="3"/>
        <v>44433</v>
      </c>
      <c r="HK1" s="58">
        <f t="shared" si="3"/>
        <v>44434</v>
      </c>
      <c r="HL1" s="58">
        <f t="shared" si="3"/>
        <v>44435</v>
      </c>
      <c r="HM1" s="58">
        <f t="shared" si="3"/>
        <v>44436</v>
      </c>
      <c r="HN1" s="57">
        <f t="shared" si="3"/>
        <v>44437</v>
      </c>
      <c r="HO1" s="58">
        <f t="shared" si="3"/>
        <v>44438</v>
      </c>
      <c r="HP1" s="58">
        <f t="shared" si="3"/>
        <v>44439</v>
      </c>
      <c r="HQ1" s="174"/>
      <c r="HR1" s="163"/>
      <c r="HS1" s="163"/>
      <c r="HT1" s="163"/>
      <c r="HU1" s="163"/>
      <c r="HV1" s="163"/>
      <c r="HW1" s="163"/>
    </row>
    <row r="2" spans="1:236" ht="15" customHeight="1" x14ac:dyDescent="0.25">
      <c r="A2" s="221"/>
      <c r="B2" s="222"/>
      <c r="C2" s="222"/>
      <c r="D2" s="222"/>
      <c r="E2" s="222"/>
      <c r="F2" s="222"/>
      <c r="G2" s="222"/>
      <c r="H2" s="223"/>
      <c r="I2" s="225"/>
      <c r="J2" s="227"/>
      <c r="K2" s="229"/>
      <c r="L2" s="211"/>
      <c r="M2" s="202"/>
      <c r="N2" s="131"/>
      <c r="O2" s="131"/>
      <c r="P2" s="131"/>
      <c r="Q2" s="131"/>
      <c r="R2" s="131"/>
      <c r="S2" s="164"/>
      <c r="T2" s="131"/>
      <c r="U2" s="131"/>
      <c r="V2" s="131"/>
      <c r="W2" s="131"/>
      <c r="X2" s="131"/>
      <c r="Y2" s="131"/>
      <c r="Z2" s="164"/>
      <c r="AA2" s="131"/>
      <c r="AB2" s="131"/>
      <c r="AC2" s="131"/>
      <c r="AD2" s="131" t="s">
        <v>38</v>
      </c>
      <c r="AE2" s="131" t="s">
        <v>38</v>
      </c>
      <c r="AF2" s="131" t="s">
        <v>38</v>
      </c>
      <c r="AG2" s="164"/>
      <c r="AH2" s="131"/>
      <c r="AI2" s="131" t="s">
        <v>38</v>
      </c>
      <c r="AJ2" s="131"/>
      <c r="AK2" s="131" t="s">
        <v>38</v>
      </c>
      <c r="AL2" s="131" t="s">
        <v>38</v>
      </c>
      <c r="AM2" s="131"/>
      <c r="AN2" s="164"/>
      <c r="AO2" s="131"/>
      <c r="AP2" s="131" t="s">
        <v>38</v>
      </c>
      <c r="AQ2" s="131"/>
      <c r="AR2" s="131" t="s">
        <v>38</v>
      </c>
      <c r="AS2" s="131" t="s">
        <v>38</v>
      </c>
      <c r="AT2" s="131" t="s">
        <v>775</v>
      </c>
      <c r="AU2" s="164"/>
      <c r="AV2" s="131"/>
      <c r="AW2" s="131" t="s">
        <v>38</v>
      </c>
      <c r="AX2" s="131"/>
      <c r="AY2" s="131" t="s">
        <v>38</v>
      </c>
      <c r="AZ2" s="131" t="s">
        <v>38</v>
      </c>
      <c r="BA2" s="131"/>
      <c r="BB2" s="164"/>
      <c r="BC2" s="131" t="s">
        <v>775</v>
      </c>
      <c r="BD2" s="131" t="s">
        <v>38</v>
      </c>
      <c r="BE2" s="131"/>
      <c r="BF2" s="131" t="s">
        <v>38</v>
      </c>
      <c r="BG2" s="131" t="s">
        <v>38</v>
      </c>
      <c r="BH2" s="131"/>
      <c r="BI2" s="164"/>
      <c r="BJ2" s="131"/>
      <c r="BK2" s="131"/>
      <c r="BL2" s="131"/>
      <c r="BM2" s="131"/>
      <c r="BN2" s="131"/>
      <c r="BO2" s="131"/>
      <c r="BP2" s="164"/>
      <c r="BQ2" s="131"/>
      <c r="BR2" s="131"/>
      <c r="BS2" s="131"/>
      <c r="BT2" s="131"/>
      <c r="BU2" s="131"/>
      <c r="BV2" s="131"/>
      <c r="BW2" s="164"/>
      <c r="BX2" s="131"/>
      <c r="BY2" s="131"/>
      <c r="BZ2" s="131"/>
      <c r="CA2" s="131"/>
      <c r="CB2" s="131"/>
      <c r="CC2" s="131"/>
      <c r="CD2" s="164"/>
      <c r="CE2" s="131"/>
      <c r="CF2" s="131"/>
      <c r="CG2" s="131"/>
      <c r="CH2" s="131"/>
      <c r="CI2" s="131"/>
      <c r="CJ2" s="131"/>
      <c r="CK2" s="164"/>
      <c r="CL2" s="131"/>
      <c r="CM2" s="131"/>
      <c r="CN2" s="131"/>
      <c r="CO2" s="131"/>
      <c r="CP2" s="131"/>
      <c r="CQ2" s="131"/>
      <c r="CR2" s="164"/>
      <c r="CS2" s="131"/>
      <c r="CT2" s="131"/>
      <c r="CU2" s="131"/>
      <c r="CV2" s="131"/>
      <c r="CW2" s="131"/>
      <c r="CX2" s="131"/>
      <c r="CY2" s="164"/>
      <c r="CZ2" s="131"/>
      <c r="DA2" s="131"/>
      <c r="DB2" s="131"/>
      <c r="DC2" s="131"/>
      <c r="DD2" s="131"/>
      <c r="DE2" s="131"/>
      <c r="DF2" s="164"/>
      <c r="DG2" s="131"/>
      <c r="DH2" s="131"/>
      <c r="DI2" s="131"/>
      <c r="DJ2" s="131"/>
      <c r="DK2" s="131"/>
      <c r="DL2" s="131"/>
      <c r="DM2" s="164"/>
      <c r="DN2" s="131"/>
      <c r="DO2" s="131"/>
      <c r="DP2" s="131"/>
      <c r="DQ2" s="131"/>
      <c r="DR2" s="131"/>
      <c r="DS2" s="131"/>
      <c r="DT2" s="164"/>
      <c r="DU2" s="131"/>
      <c r="DV2" s="131"/>
      <c r="DW2" s="131"/>
      <c r="DX2" s="131"/>
      <c r="DY2" s="131"/>
      <c r="DZ2" s="131"/>
      <c r="EA2" s="164"/>
      <c r="EB2" s="131"/>
      <c r="EC2" s="131"/>
      <c r="ED2" s="131"/>
      <c r="EE2" s="131"/>
      <c r="EF2" s="131"/>
      <c r="EG2" s="131"/>
      <c r="EH2" s="164"/>
      <c r="EI2" s="131"/>
      <c r="EJ2" s="131"/>
      <c r="EK2" s="131"/>
      <c r="EL2" s="131"/>
      <c r="EM2" s="131"/>
      <c r="EN2" s="131"/>
      <c r="EO2" s="164"/>
      <c r="EP2" s="131"/>
      <c r="EQ2" s="131"/>
      <c r="ER2" s="131"/>
      <c r="ES2" s="131"/>
      <c r="ET2" s="131"/>
      <c r="EU2" s="131"/>
      <c r="EV2" s="164"/>
      <c r="EW2" s="131"/>
      <c r="EX2" s="131"/>
      <c r="EY2" s="131"/>
      <c r="EZ2" s="131"/>
      <c r="FA2" s="131"/>
      <c r="FB2" s="131"/>
      <c r="FC2" s="164"/>
      <c r="FD2" s="131"/>
      <c r="FE2" s="131"/>
      <c r="FF2" s="131"/>
      <c r="FG2" s="131"/>
      <c r="FH2" s="131"/>
      <c r="FI2" s="131"/>
      <c r="FJ2" s="164"/>
      <c r="FK2" s="131"/>
      <c r="FL2" s="131"/>
      <c r="FM2" s="131"/>
      <c r="FN2" s="131"/>
      <c r="FO2" s="131"/>
      <c r="FP2" s="131"/>
      <c r="FQ2" s="164"/>
      <c r="FR2" s="131"/>
      <c r="FS2" s="131"/>
      <c r="FT2" s="131"/>
      <c r="FU2" s="131"/>
      <c r="FV2" s="131"/>
      <c r="FW2" s="131"/>
      <c r="FX2" s="164"/>
      <c r="FY2" s="131"/>
      <c r="FZ2" s="131"/>
      <c r="GA2" s="131"/>
      <c r="GB2" s="131"/>
      <c r="GC2" s="131"/>
      <c r="GD2" s="131"/>
      <c r="GE2" s="164"/>
      <c r="GF2" s="131"/>
      <c r="GG2" s="131"/>
      <c r="GH2" s="131"/>
      <c r="GI2" s="131"/>
      <c r="GJ2" s="131"/>
      <c r="GK2" s="131"/>
      <c r="GL2" s="164"/>
      <c r="GM2" s="131"/>
      <c r="GN2" s="131"/>
      <c r="GO2" s="131"/>
      <c r="GP2" s="131"/>
      <c r="GQ2" s="131"/>
      <c r="GR2" s="131"/>
      <c r="GS2" s="164"/>
      <c r="GT2" s="131"/>
      <c r="GU2" s="131"/>
      <c r="GV2" s="131"/>
      <c r="GW2" s="131"/>
      <c r="GX2" s="131"/>
      <c r="GY2" s="131"/>
      <c r="GZ2" s="164"/>
      <c r="HA2" s="131"/>
      <c r="HB2" s="131"/>
      <c r="HC2" s="131"/>
      <c r="HD2" s="131"/>
      <c r="HE2" s="131"/>
      <c r="HF2" s="131"/>
      <c r="HG2" s="164"/>
      <c r="HH2" s="131"/>
      <c r="HI2" s="131"/>
      <c r="HJ2" s="131"/>
      <c r="HK2" s="131"/>
      <c r="HL2" s="131"/>
      <c r="HM2" s="131"/>
      <c r="HN2" s="164"/>
      <c r="HO2" s="131"/>
      <c r="HP2" s="131"/>
      <c r="HQ2" s="34"/>
    </row>
    <row r="3" spans="1:236" x14ac:dyDescent="0.25">
      <c r="A3" s="10" t="s">
        <v>116</v>
      </c>
      <c r="B3" s="19" t="s">
        <v>115</v>
      </c>
      <c r="C3" s="19" t="s">
        <v>114</v>
      </c>
      <c r="D3" s="19" t="s">
        <v>113</v>
      </c>
      <c r="E3" s="19" t="str">
        <f>A3 &amp; " " &amp; D3</f>
        <v>Melanie Dreier</v>
      </c>
      <c r="F3" s="19"/>
      <c r="G3" s="182"/>
      <c r="H3" s="206">
        <v>40073</v>
      </c>
      <c r="I3" s="176" t="str">
        <f t="shared" ref="I3:I13" si="4">C3</f>
        <v>MD</v>
      </c>
      <c r="J3" s="198" t="s">
        <v>851</v>
      </c>
      <c r="K3" s="36">
        <f t="shared" ref="K3:K13" si="5">SUM(M3:HP3)</f>
        <v>16</v>
      </c>
      <c r="L3" s="191">
        <f t="shared" ref="L3:L13" si="6">K3/(K$16 - COUNTIF(M3:HP3, "x")) * 100</f>
        <v>94.117647058823522</v>
      </c>
      <c r="M3" s="203"/>
      <c r="N3" s="148"/>
      <c r="O3" s="34"/>
      <c r="P3" s="34"/>
      <c r="Q3" s="34"/>
      <c r="R3" s="34"/>
      <c r="S3" s="7"/>
      <c r="T3" s="148"/>
      <c r="U3" s="148"/>
      <c r="V3" s="34"/>
      <c r="W3" s="34"/>
      <c r="X3" s="34"/>
      <c r="Y3" s="34"/>
      <c r="Z3" s="7"/>
      <c r="AA3" s="148"/>
      <c r="AB3" s="148"/>
      <c r="AC3" s="34"/>
      <c r="AD3" s="34">
        <v>1</v>
      </c>
      <c r="AE3" s="34">
        <v>1</v>
      </c>
      <c r="AF3" s="34">
        <v>1</v>
      </c>
      <c r="AG3" s="7"/>
      <c r="AH3" s="34"/>
      <c r="AI3" s="148">
        <v>1</v>
      </c>
      <c r="AJ3" s="34"/>
      <c r="AK3" s="34">
        <v>1</v>
      </c>
      <c r="AL3" s="34">
        <v>1</v>
      </c>
      <c r="AM3" s="34"/>
      <c r="AN3" s="7"/>
      <c r="AO3" s="34"/>
      <c r="AP3" s="34">
        <v>1</v>
      </c>
      <c r="AQ3" s="34"/>
      <c r="AR3" s="34">
        <v>1</v>
      </c>
      <c r="AS3" s="34">
        <v>1</v>
      </c>
      <c r="AT3" s="148">
        <v>1</v>
      </c>
      <c r="AU3" s="7"/>
      <c r="AV3" s="34"/>
      <c r="AW3" s="148">
        <v>1</v>
      </c>
      <c r="AX3" s="34"/>
      <c r="AY3" s="34">
        <v>1</v>
      </c>
      <c r="AZ3" s="34"/>
      <c r="BA3" s="34"/>
      <c r="BB3" s="7"/>
      <c r="BC3" s="34">
        <v>1</v>
      </c>
      <c r="BD3" s="34">
        <v>1</v>
      </c>
      <c r="BE3" s="34"/>
      <c r="BF3" s="34">
        <v>1</v>
      </c>
      <c r="BG3" s="148">
        <v>1</v>
      </c>
      <c r="BH3" s="34"/>
      <c r="BI3" s="7"/>
      <c r="BJ3" s="34"/>
      <c r="BK3" s="34"/>
      <c r="BL3" s="34"/>
      <c r="BM3" s="34"/>
      <c r="BN3" s="34"/>
      <c r="BO3" s="34"/>
      <c r="BP3" s="7"/>
      <c r="BQ3" s="34"/>
      <c r="BR3" s="34"/>
      <c r="BS3" s="34"/>
      <c r="BT3" s="34"/>
      <c r="BU3" s="34"/>
      <c r="BV3" s="34"/>
      <c r="BW3" s="7"/>
      <c r="BX3" s="34"/>
      <c r="BY3" s="34"/>
      <c r="BZ3" s="34"/>
      <c r="CA3" s="34"/>
      <c r="CB3" s="34"/>
      <c r="CC3" s="34"/>
      <c r="CD3" s="7"/>
      <c r="CE3" s="34"/>
      <c r="CF3" s="34"/>
      <c r="CG3" s="34"/>
      <c r="CH3" s="34"/>
      <c r="CI3" s="34"/>
      <c r="CJ3" s="34"/>
      <c r="CK3" s="7"/>
      <c r="CL3" s="34"/>
      <c r="CM3" s="34"/>
      <c r="CN3" s="34"/>
      <c r="CO3" s="34"/>
      <c r="CP3" s="34"/>
      <c r="CQ3" s="34"/>
      <c r="CR3" s="7"/>
      <c r="CS3" s="34"/>
      <c r="CT3" s="34"/>
      <c r="CU3" s="34"/>
      <c r="CV3" s="34"/>
      <c r="CW3" s="34"/>
      <c r="CX3" s="34"/>
      <c r="CY3" s="7"/>
      <c r="CZ3" s="34"/>
      <c r="DA3" s="34"/>
      <c r="DB3" s="34"/>
      <c r="DC3" s="34"/>
      <c r="DD3" s="34"/>
      <c r="DE3" s="34"/>
      <c r="DF3" s="7"/>
      <c r="DG3" s="34"/>
      <c r="DH3" s="34"/>
      <c r="DI3" s="34"/>
      <c r="DJ3" s="34"/>
      <c r="DK3" s="34"/>
      <c r="DL3" s="34"/>
      <c r="DM3" s="7"/>
      <c r="DN3" s="34"/>
      <c r="DO3" s="34"/>
      <c r="DP3" s="34"/>
      <c r="DQ3" s="34"/>
      <c r="DR3" s="34"/>
      <c r="DS3" s="34"/>
      <c r="DT3" s="7"/>
      <c r="DU3" s="34"/>
      <c r="DV3" s="34"/>
      <c r="DW3" s="34"/>
      <c r="DX3" s="34"/>
      <c r="DY3" s="34"/>
      <c r="DZ3" s="34"/>
      <c r="EA3" s="7"/>
      <c r="EB3" s="34"/>
      <c r="EC3" s="34"/>
      <c r="ED3" s="34"/>
      <c r="EE3" s="34"/>
      <c r="EF3" s="34"/>
      <c r="EG3" s="34"/>
      <c r="EH3" s="7"/>
      <c r="EI3" s="34"/>
      <c r="EJ3" s="34"/>
      <c r="EK3" s="34"/>
      <c r="EL3" s="34"/>
      <c r="EM3" s="34"/>
      <c r="EN3" s="34"/>
      <c r="EO3" s="7"/>
      <c r="EP3" s="34"/>
      <c r="EQ3" s="34"/>
      <c r="ER3" s="34"/>
      <c r="ES3" s="34"/>
      <c r="ET3" s="34"/>
      <c r="EU3" s="34"/>
      <c r="EV3" s="7"/>
      <c r="EW3" s="34"/>
      <c r="EX3" s="34"/>
      <c r="EY3" s="34"/>
      <c r="EZ3" s="34"/>
      <c r="FA3" s="34"/>
      <c r="FB3" s="34"/>
      <c r="FC3" s="7"/>
      <c r="FD3" s="34"/>
      <c r="FE3" s="34"/>
      <c r="FF3" s="34"/>
      <c r="FG3" s="34"/>
      <c r="FH3" s="34"/>
      <c r="FI3" s="34"/>
      <c r="FJ3" s="7"/>
      <c r="FK3" s="34"/>
      <c r="FL3" s="34"/>
      <c r="FM3" s="34"/>
      <c r="FN3" s="34"/>
      <c r="FO3" s="34"/>
      <c r="FP3" s="34"/>
      <c r="FQ3" s="7"/>
      <c r="FR3" s="34"/>
      <c r="FS3" s="34"/>
      <c r="FT3" s="34"/>
      <c r="FU3" s="34"/>
      <c r="FV3" s="34"/>
      <c r="FW3" s="34"/>
      <c r="FX3" s="7"/>
      <c r="FY3" s="34"/>
      <c r="FZ3" s="34"/>
      <c r="GA3" s="34"/>
      <c r="GB3" s="34"/>
      <c r="GC3" s="34"/>
      <c r="GD3" s="34"/>
      <c r="GE3" s="7"/>
      <c r="GF3" s="34"/>
      <c r="GG3" s="34"/>
      <c r="GH3" s="34"/>
      <c r="GI3" s="34"/>
      <c r="GJ3" s="34"/>
      <c r="GK3" s="34"/>
      <c r="GL3" s="7"/>
      <c r="GM3" s="34"/>
      <c r="GN3" s="34"/>
      <c r="GO3" s="34"/>
      <c r="GP3" s="34"/>
      <c r="GQ3" s="34"/>
      <c r="GR3" s="34"/>
      <c r="GS3" s="7"/>
      <c r="GT3" s="34"/>
      <c r="GU3" s="34"/>
      <c r="GV3" s="34"/>
      <c r="GW3" s="34"/>
      <c r="GX3" s="34"/>
      <c r="GY3" s="34"/>
      <c r="GZ3" s="7"/>
      <c r="HA3" s="34"/>
      <c r="HB3" s="34"/>
      <c r="HC3" s="34"/>
      <c r="HD3" s="34"/>
      <c r="HE3" s="34"/>
      <c r="HF3" s="34"/>
      <c r="HG3" s="7"/>
      <c r="HH3" s="34"/>
      <c r="HI3" s="34"/>
      <c r="HJ3" s="34"/>
      <c r="HK3" s="34"/>
      <c r="HL3" s="34"/>
      <c r="HM3" s="34"/>
      <c r="HN3" s="7"/>
      <c r="HO3" s="34"/>
      <c r="HP3" s="34"/>
      <c r="HQ3" s="34"/>
    </row>
    <row r="4" spans="1:236" x14ac:dyDescent="0.25">
      <c r="A4" s="8" t="s">
        <v>73</v>
      </c>
      <c r="B4" s="19" t="s">
        <v>108</v>
      </c>
      <c r="C4" s="19" t="s">
        <v>107</v>
      </c>
      <c r="D4" s="8" t="s">
        <v>106</v>
      </c>
      <c r="E4" s="19" t="str">
        <f t="shared" ref="E4:E13" si="7">A4 &amp; " " &amp; D4</f>
        <v>Larissa Groinigg</v>
      </c>
      <c r="F4" s="19"/>
      <c r="G4" s="182"/>
      <c r="H4" s="56">
        <v>39474</v>
      </c>
      <c r="I4" s="176" t="str">
        <f t="shared" si="4"/>
        <v>LG</v>
      </c>
      <c r="J4" s="199" t="s">
        <v>788</v>
      </c>
      <c r="K4" s="19">
        <f t="shared" si="5"/>
        <v>15</v>
      </c>
      <c r="L4" s="192">
        <f t="shared" si="6"/>
        <v>88.235294117647058</v>
      </c>
      <c r="M4" s="203"/>
      <c r="N4" s="148"/>
      <c r="O4" s="34"/>
      <c r="P4" s="34"/>
      <c r="Q4" s="34"/>
      <c r="R4" s="34"/>
      <c r="S4" s="7"/>
      <c r="T4" s="148"/>
      <c r="U4" s="148"/>
      <c r="V4" s="34"/>
      <c r="W4" s="34"/>
      <c r="X4" s="34"/>
      <c r="Y4" s="34"/>
      <c r="Z4" s="7"/>
      <c r="AA4" s="148"/>
      <c r="AB4" s="148"/>
      <c r="AC4" s="34"/>
      <c r="AD4" s="34">
        <v>1</v>
      </c>
      <c r="AE4" s="34">
        <v>1</v>
      </c>
      <c r="AF4" s="34">
        <v>1</v>
      </c>
      <c r="AG4" s="7"/>
      <c r="AH4" s="34"/>
      <c r="AI4" s="148">
        <v>1</v>
      </c>
      <c r="AJ4" s="34"/>
      <c r="AK4" s="34">
        <v>1</v>
      </c>
      <c r="AL4" s="34">
        <v>1</v>
      </c>
      <c r="AM4" s="34"/>
      <c r="AN4" s="7"/>
      <c r="AO4" s="34"/>
      <c r="AP4" s="34">
        <v>1</v>
      </c>
      <c r="AQ4" s="34"/>
      <c r="AR4" s="34">
        <v>1</v>
      </c>
      <c r="AS4" s="34">
        <v>1</v>
      </c>
      <c r="AT4" s="148">
        <v>1</v>
      </c>
      <c r="AU4" s="7"/>
      <c r="AV4" s="34"/>
      <c r="AW4" s="148">
        <v>1</v>
      </c>
      <c r="AX4" s="34"/>
      <c r="AY4" s="34">
        <v>1</v>
      </c>
      <c r="AZ4" s="34">
        <v>1</v>
      </c>
      <c r="BA4" s="34"/>
      <c r="BB4" s="7"/>
      <c r="BC4" s="34"/>
      <c r="BD4" s="34"/>
      <c r="BE4" s="34"/>
      <c r="BF4" s="34">
        <v>1</v>
      </c>
      <c r="BG4" s="34">
        <v>1</v>
      </c>
      <c r="BH4" s="34"/>
      <c r="BI4" s="7"/>
      <c r="BJ4" s="34"/>
      <c r="BK4" s="34"/>
      <c r="BL4" s="34"/>
      <c r="BM4" s="34"/>
      <c r="BN4" s="34"/>
      <c r="BO4" s="34"/>
      <c r="BP4" s="7"/>
      <c r="BQ4" s="34"/>
      <c r="BR4" s="34"/>
      <c r="BS4" s="34"/>
      <c r="BT4" s="34"/>
      <c r="BU4" s="34"/>
      <c r="BV4" s="34"/>
      <c r="BW4" s="7"/>
      <c r="BX4" s="34"/>
      <c r="BY4" s="34"/>
      <c r="BZ4" s="34"/>
      <c r="CA4" s="34"/>
      <c r="CB4" s="34"/>
      <c r="CC4" s="34"/>
      <c r="CD4" s="7"/>
      <c r="CE4" s="34"/>
      <c r="CF4" s="34"/>
      <c r="CG4" s="34"/>
      <c r="CH4" s="34"/>
      <c r="CI4" s="34"/>
      <c r="CJ4" s="34"/>
      <c r="CK4" s="7"/>
      <c r="CL4" s="34"/>
      <c r="CM4" s="34"/>
      <c r="CN4" s="34"/>
      <c r="CO4" s="34"/>
      <c r="CP4" s="34"/>
      <c r="CQ4" s="34"/>
      <c r="CR4" s="7"/>
      <c r="CS4" s="34"/>
      <c r="CT4" s="34"/>
      <c r="CU4" s="34"/>
      <c r="CV4" s="34"/>
      <c r="CW4" s="34"/>
      <c r="CX4" s="34"/>
      <c r="CY4" s="7"/>
      <c r="CZ4" s="34"/>
      <c r="DA4" s="34"/>
      <c r="DB4" s="34"/>
      <c r="DC4" s="34"/>
      <c r="DD4" s="34"/>
      <c r="DE4" s="34"/>
      <c r="DF4" s="7"/>
      <c r="DG4" s="34"/>
      <c r="DH4" s="34"/>
      <c r="DI4" s="34"/>
      <c r="DJ4" s="34"/>
      <c r="DK4" s="34"/>
      <c r="DL4" s="34"/>
      <c r="DM4" s="7"/>
      <c r="DN4" s="34"/>
      <c r="DO4" s="34"/>
      <c r="DP4" s="34"/>
      <c r="DQ4" s="34"/>
      <c r="DR4" s="34"/>
      <c r="DS4" s="34"/>
      <c r="DT4" s="7"/>
      <c r="DU4" s="34"/>
      <c r="DV4" s="34"/>
      <c r="DW4" s="34"/>
      <c r="DX4" s="34"/>
      <c r="DY4" s="34"/>
      <c r="DZ4" s="34"/>
      <c r="EA4" s="7"/>
      <c r="EB4" s="34"/>
      <c r="EC4" s="34"/>
      <c r="ED4" s="34"/>
      <c r="EE4" s="34"/>
      <c r="EF4" s="34"/>
      <c r="EG4" s="34"/>
      <c r="EH4" s="7"/>
      <c r="EI4" s="34"/>
      <c r="EJ4" s="34"/>
      <c r="EK4" s="34"/>
      <c r="EL4" s="34"/>
      <c r="EM4" s="34"/>
      <c r="EN4" s="34"/>
      <c r="EO4" s="7"/>
      <c r="EP4" s="34"/>
      <c r="EQ4" s="34"/>
      <c r="ER4" s="34"/>
      <c r="ES4" s="34"/>
      <c r="ET4" s="34"/>
      <c r="EU4" s="34"/>
      <c r="EV4" s="7"/>
      <c r="EW4" s="34"/>
      <c r="EX4" s="34"/>
      <c r="EY4" s="34"/>
      <c r="EZ4" s="34"/>
      <c r="FA4" s="34"/>
      <c r="FB4" s="34"/>
      <c r="FC4" s="7"/>
      <c r="FD4" s="34"/>
      <c r="FE4" s="34"/>
      <c r="FF4" s="34"/>
      <c r="FG4" s="34"/>
      <c r="FH4" s="34"/>
      <c r="FI4" s="34"/>
      <c r="FJ4" s="7"/>
      <c r="FK4" s="34"/>
      <c r="FL4" s="34"/>
      <c r="FM4" s="34"/>
      <c r="FN4" s="34"/>
      <c r="FO4" s="34"/>
      <c r="FP4" s="34"/>
      <c r="FQ4" s="7"/>
      <c r="FR4" s="34"/>
      <c r="FS4" s="34"/>
      <c r="FT4" s="34"/>
      <c r="FU4" s="34"/>
      <c r="FV4" s="34"/>
      <c r="FW4" s="34"/>
      <c r="FX4" s="7"/>
      <c r="FY4" s="34"/>
      <c r="FZ4" s="34"/>
      <c r="GA4" s="34"/>
      <c r="GB4" s="34"/>
      <c r="GC4" s="34"/>
      <c r="GD4" s="34"/>
      <c r="GE4" s="7"/>
      <c r="GF4" s="34"/>
      <c r="GG4" s="34"/>
      <c r="GH4" s="34"/>
      <c r="GI4" s="34"/>
      <c r="GJ4" s="34"/>
      <c r="GK4" s="34"/>
      <c r="GL4" s="7"/>
      <c r="GM4" s="34"/>
      <c r="GN4" s="34"/>
      <c r="GO4" s="34"/>
      <c r="GP4" s="34"/>
      <c r="GQ4" s="34"/>
      <c r="GR4" s="34"/>
      <c r="GS4" s="7"/>
      <c r="GT4" s="34"/>
      <c r="GU4" s="34"/>
      <c r="GV4" s="34"/>
      <c r="GW4" s="34"/>
      <c r="GX4" s="34"/>
      <c r="GY4" s="34"/>
      <c r="GZ4" s="7"/>
      <c r="HA4" s="34"/>
      <c r="HB4" s="34"/>
      <c r="HC4" s="34"/>
      <c r="HD4" s="34"/>
      <c r="HE4" s="34"/>
      <c r="HF4" s="34"/>
      <c r="HG4" s="7"/>
      <c r="HH4" s="34"/>
      <c r="HI4" s="34"/>
      <c r="HJ4" s="34"/>
      <c r="HK4" s="34"/>
      <c r="HL4" s="34"/>
      <c r="HM4" s="34"/>
      <c r="HN4" s="7"/>
      <c r="HO4" s="34"/>
      <c r="HP4" s="34"/>
      <c r="HQ4" s="34"/>
    </row>
    <row r="5" spans="1:236" x14ac:dyDescent="0.25">
      <c r="A5" s="8" t="s">
        <v>236</v>
      </c>
      <c r="B5" s="19" t="s">
        <v>237</v>
      </c>
      <c r="C5" s="19" t="s">
        <v>238</v>
      </c>
      <c r="D5" s="8" t="s">
        <v>239</v>
      </c>
      <c r="E5" s="19" t="str">
        <f t="shared" si="7"/>
        <v>Johanna Grundnig</v>
      </c>
      <c r="F5" s="19"/>
      <c r="G5" s="182"/>
      <c r="H5" s="56">
        <v>39425</v>
      </c>
      <c r="I5" s="176" t="str">
        <f t="shared" si="4"/>
        <v>JG</v>
      </c>
      <c r="J5" s="199" t="s">
        <v>851</v>
      </c>
      <c r="K5" s="19">
        <f t="shared" si="5"/>
        <v>9</v>
      </c>
      <c r="L5" s="192">
        <f t="shared" si="6"/>
        <v>52.941176470588239</v>
      </c>
      <c r="M5" s="203"/>
      <c r="N5" s="148"/>
      <c r="O5" s="34"/>
      <c r="P5" s="34"/>
      <c r="Q5" s="34"/>
      <c r="R5" s="34"/>
      <c r="S5" s="7"/>
      <c r="T5" s="148"/>
      <c r="U5" s="148"/>
      <c r="V5" s="34"/>
      <c r="W5" s="34"/>
      <c r="X5" s="34"/>
      <c r="Y5" s="34"/>
      <c r="Z5" s="7"/>
      <c r="AA5" s="148"/>
      <c r="AB5" s="148"/>
      <c r="AC5" s="34"/>
      <c r="AD5" s="34">
        <v>1</v>
      </c>
      <c r="AE5" s="34"/>
      <c r="AF5" s="34"/>
      <c r="AG5" s="7"/>
      <c r="AH5" s="34"/>
      <c r="AI5" s="34">
        <v>1</v>
      </c>
      <c r="AJ5" s="34"/>
      <c r="AK5" s="34"/>
      <c r="AL5" s="34"/>
      <c r="AM5" s="34"/>
      <c r="AN5" s="7"/>
      <c r="AO5" s="34"/>
      <c r="AP5" s="34"/>
      <c r="AQ5" s="34"/>
      <c r="AR5" s="34"/>
      <c r="AS5" s="34"/>
      <c r="AT5" s="34"/>
      <c r="AU5" s="7"/>
      <c r="AV5" s="34"/>
      <c r="AW5" s="34">
        <v>1</v>
      </c>
      <c r="AX5" s="34"/>
      <c r="AY5" s="34">
        <v>1</v>
      </c>
      <c r="AZ5" s="34">
        <v>1</v>
      </c>
      <c r="BA5" s="34"/>
      <c r="BB5" s="7"/>
      <c r="BC5" s="34">
        <v>1</v>
      </c>
      <c r="BD5" s="148">
        <v>1</v>
      </c>
      <c r="BE5" s="34"/>
      <c r="BF5" s="34">
        <v>1</v>
      </c>
      <c r="BG5" s="148">
        <v>1</v>
      </c>
      <c r="BH5" s="34"/>
      <c r="BI5" s="7"/>
      <c r="BJ5" s="34"/>
      <c r="BK5" s="34"/>
      <c r="BL5" s="34"/>
      <c r="BM5" s="34"/>
      <c r="BN5" s="34"/>
      <c r="BO5" s="34"/>
      <c r="BP5" s="7"/>
      <c r="BQ5" s="34"/>
      <c r="BR5" s="34"/>
      <c r="BS5" s="34"/>
      <c r="BT5" s="34"/>
      <c r="BU5" s="34"/>
      <c r="BV5" s="34"/>
      <c r="BW5" s="7"/>
      <c r="BX5" s="34"/>
      <c r="BY5" s="34"/>
      <c r="BZ5" s="34"/>
      <c r="CA5" s="34"/>
      <c r="CB5" s="34"/>
      <c r="CC5" s="34"/>
      <c r="CD5" s="7"/>
      <c r="CE5" s="34"/>
      <c r="CF5" s="34"/>
      <c r="CG5" s="34"/>
      <c r="CH5" s="34"/>
      <c r="CI5" s="34"/>
      <c r="CJ5" s="34"/>
      <c r="CK5" s="7"/>
      <c r="CL5" s="34"/>
      <c r="CM5" s="34"/>
      <c r="CN5" s="34"/>
      <c r="CO5" s="34"/>
      <c r="CP5" s="34"/>
      <c r="CQ5" s="34"/>
      <c r="CR5" s="7"/>
      <c r="CS5" s="34"/>
      <c r="CT5" s="34"/>
      <c r="CU5" s="34"/>
      <c r="CV5" s="34"/>
      <c r="CW5" s="34"/>
      <c r="CX5" s="34"/>
      <c r="CY5" s="7"/>
      <c r="CZ5" s="34"/>
      <c r="DA5" s="34"/>
      <c r="DB5" s="34"/>
      <c r="DC5" s="34"/>
      <c r="DD5" s="34"/>
      <c r="DE5" s="34"/>
      <c r="DF5" s="7"/>
      <c r="DG5" s="34"/>
      <c r="DH5" s="34"/>
      <c r="DI5" s="34"/>
      <c r="DJ5" s="34"/>
      <c r="DK5" s="34"/>
      <c r="DL5" s="34"/>
      <c r="DM5" s="7"/>
      <c r="DN5" s="34"/>
      <c r="DO5" s="34"/>
      <c r="DP5" s="34"/>
      <c r="DQ5" s="34"/>
      <c r="DR5" s="34"/>
      <c r="DS5" s="34"/>
      <c r="DT5" s="7"/>
      <c r="DU5" s="34"/>
      <c r="DV5" s="34"/>
      <c r="DW5" s="34"/>
      <c r="DX5" s="34"/>
      <c r="DY5" s="34"/>
      <c r="DZ5" s="34"/>
      <c r="EA5" s="7"/>
      <c r="EB5" s="34"/>
      <c r="EC5" s="34"/>
      <c r="ED5" s="34"/>
      <c r="EE5" s="34"/>
      <c r="EF5" s="34"/>
      <c r="EG5" s="34"/>
      <c r="EH5" s="7"/>
      <c r="EI5" s="34"/>
      <c r="EJ5" s="34"/>
      <c r="EK5" s="34"/>
      <c r="EL5" s="34"/>
      <c r="EM5" s="34"/>
      <c r="EN5" s="34"/>
      <c r="EO5" s="7"/>
      <c r="EP5" s="34"/>
      <c r="EQ5" s="34"/>
      <c r="ER5" s="34"/>
      <c r="ES5" s="34"/>
      <c r="ET5" s="34"/>
      <c r="EU5" s="34"/>
      <c r="EV5" s="7"/>
      <c r="EW5" s="34"/>
      <c r="EX5" s="34"/>
      <c r="EY5" s="34"/>
      <c r="EZ5" s="34"/>
      <c r="FA5" s="34"/>
      <c r="FB5" s="34"/>
      <c r="FC5" s="7"/>
      <c r="FD5" s="34"/>
      <c r="FE5" s="34"/>
      <c r="FF5" s="34"/>
      <c r="FG5" s="34"/>
      <c r="FH5" s="34"/>
      <c r="FI5" s="34"/>
      <c r="FJ5" s="7"/>
      <c r="FK5" s="34"/>
      <c r="FL5" s="34"/>
      <c r="FM5" s="34"/>
      <c r="FN5" s="34"/>
      <c r="FO5" s="34"/>
      <c r="FP5" s="34"/>
      <c r="FQ5" s="7"/>
      <c r="FR5" s="34"/>
      <c r="FS5" s="34"/>
      <c r="FT5" s="34"/>
      <c r="FU5" s="34"/>
      <c r="FV5" s="34"/>
      <c r="FW5" s="34"/>
      <c r="FX5" s="7"/>
      <c r="FY5" s="34"/>
      <c r="FZ5" s="34"/>
      <c r="GA5" s="34"/>
      <c r="GB5" s="34"/>
      <c r="GC5" s="34"/>
      <c r="GD5" s="34"/>
      <c r="GE5" s="7"/>
      <c r="GF5" s="34"/>
      <c r="GG5" s="34"/>
      <c r="GH5" s="34"/>
      <c r="GI5" s="34"/>
      <c r="GJ5" s="34"/>
      <c r="GK5" s="34"/>
      <c r="GL5" s="7"/>
      <c r="GM5" s="34"/>
      <c r="GN5" s="34"/>
      <c r="GO5" s="34"/>
      <c r="GP5" s="34"/>
      <c r="GQ5" s="34"/>
      <c r="GR5" s="34"/>
      <c r="GS5" s="7"/>
      <c r="GT5" s="34"/>
      <c r="GU5" s="34"/>
      <c r="GV5" s="34"/>
      <c r="GW5" s="34"/>
      <c r="GX5" s="34"/>
      <c r="GY5" s="34"/>
      <c r="GZ5" s="7"/>
      <c r="HA5" s="34"/>
      <c r="HB5" s="34"/>
      <c r="HC5" s="34"/>
      <c r="HD5" s="34"/>
      <c r="HE5" s="34"/>
      <c r="HF5" s="34"/>
      <c r="HG5" s="7"/>
      <c r="HH5" s="34"/>
      <c r="HI5" s="34"/>
      <c r="HJ5" s="34"/>
      <c r="HK5" s="34"/>
      <c r="HL5" s="34"/>
      <c r="HM5" s="34"/>
      <c r="HN5" s="7"/>
      <c r="HO5" s="34"/>
      <c r="HP5" s="34"/>
      <c r="HQ5" s="34"/>
    </row>
    <row r="6" spans="1:236" x14ac:dyDescent="0.25">
      <c r="A6" s="8" t="s">
        <v>142</v>
      </c>
      <c r="B6" s="19" t="s">
        <v>141</v>
      </c>
      <c r="C6" s="19" t="s">
        <v>140</v>
      </c>
      <c r="D6" s="8" t="s">
        <v>139</v>
      </c>
      <c r="E6" s="19" t="str">
        <f t="shared" si="7"/>
        <v>Yasmin Murnig</v>
      </c>
      <c r="F6" s="19"/>
      <c r="G6" s="182"/>
      <c r="H6" s="56">
        <v>38954</v>
      </c>
      <c r="I6" s="176" t="str">
        <f t="shared" si="4"/>
        <v>YM</v>
      </c>
      <c r="J6" s="199" t="s">
        <v>851</v>
      </c>
      <c r="K6" s="19">
        <f t="shared" ref="K6" si="8">SUM(M6:HP6)</f>
        <v>6</v>
      </c>
      <c r="L6" s="192">
        <f t="shared" si="6"/>
        <v>75</v>
      </c>
      <c r="M6" s="203"/>
      <c r="N6" s="148"/>
      <c r="O6" s="34"/>
      <c r="P6" s="34"/>
      <c r="Q6" s="34"/>
      <c r="R6" s="34"/>
      <c r="S6" s="7"/>
      <c r="T6" s="148"/>
      <c r="U6" s="148"/>
      <c r="V6" s="34"/>
      <c r="W6" s="34"/>
      <c r="X6" s="34"/>
      <c r="Y6" s="34"/>
      <c r="Z6" s="7"/>
      <c r="AA6" s="148"/>
      <c r="AB6" s="148"/>
      <c r="AC6" s="34"/>
      <c r="AD6" s="209" t="s">
        <v>765</v>
      </c>
      <c r="AE6" s="209" t="s">
        <v>765</v>
      </c>
      <c r="AF6" s="209" t="s">
        <v>765</v>
      </c>
      <c r="AG6" s="79"/>
      <c r="AH6" s="209"/>
      <c r="AI6" s="208" t="s">
        <v>765</v>
      </c>
      <c r="AJ6" s="209"/>
      <c r="AK6" s="209" t="s">
        <v>765</v>
      </c>
      <c r="AL6" s="209" t="s">
        <v>765</v>
      </c>
      <c r="AM6" s="209"/>
      <c r="AN6" s="79"/>
      <c r="AO6" s="209"/>
      <c r="AP6" s="209" t="s">
        <v>765</v>
      </c>
      <c r="AQ6" s="209"/>
      <c r="AR6" s="209" t="s">
        <v>765</v>
      </c>
      <c r="AS6" s="34">
        <v>1</v>
      </c>
      <c r="AT6" s="34">
        <v>1</v>
      </c>
      <c r="AU6" s="7"/>
      <c r="AV6" s="34"/>
      <c r="AW6" s="34" t="s">
        <v>765</v>
      </c>
      <c r="AX6" s="34"/>
      <c r="AY6" s="148">
        <v>1</v>
      </c>
      <c r="AZ6" s="34">
        <v>1</v>
      </c>
      <c r="BA6" s="34"/>
      <c r="BB6" s="7"/>
      <c r="BC6" s="34">
        <v>1</v>
      </c>
      <c r="BD6" s="34"/>
      <c r="BE6" s="34"/>
      <c r="BF6" s="148">
        <v>1</v>
      </c>
      <c r="BG6" s="34"/>
      <c r="BH6" s="34"/>
      <c r="BI6" s="7"/>
      <c r="BJ6" s="34"/>
      <c r="BK6" s="34"/>
      <c r="BL6" s="34"/>
      <c r="BM6" s="34"/>
      <c r="BN6" s="34"/>
      <c r="BO6" s="34"/>
      <c r="BP6" s="7"/>
      <c r="BQ6" s="34"/>
      <c r="BR6" s="34"/>
      <c r="BS6" s="34"/>
      <c r="BT6" s="34"/>
      <c r="BU6" s="34"/>
      <c r="BV6" s="34"/>
      <c r="BW6" s="7"/>
      <c r="BX6" s="34"/>
      <c r="BY6" s="34"/>
      <c r="BZ6" s="34"/>
      <c r="CA6" s="34"/>
      <c r="CB6" s="34"/>
      <c r="CC6" s="34"/>
      <c r="CD6" s="7"/>
      <c r="CE6" s="34"/>
      <c r="CF6" s="34"/>
      <c r="CG6" s="34"/>
      <c r="CH6" s="34"/>
      <c r="CI6" s="34"/>
      <c r="CJ6" s="34"/>
      <c r="CK6" s="7"/>
      <c r="CL6" s="34"/>
      <c r="CM6" s="34"/>
      <c r="CN6" s="34"/>
      <c r="CO6" s="34"/>
      <c r="CP6" s="34"/>
      <c r="CQ6" s="34"/>
      <c r="CR6" s="7"/>
      <c r="CS6" s="34"/>
      <c r="CT6" s="34"/>
      <c r="CU6" s="34"/>
      <c r="CV6" s="34"/>
      <c r="CW6" s="34"/>
      <c r="CX6" s="34"/>
      <c r="CY6" s="7"/>
      <c r="CZ6" s="34"/>
      <c r="DA6" s="34"/>
      <c r="DB6" s="34"/>
      <c r="DC6" s="34"/>
      <c r="DD6" s="34"/>
      <c r="DE6" s="34"/>
      <c r="DF6" s="7"/>
      <c r="DG6" s="34"/>
      <c r="DH6" s="34"/>
      <c r="DI6" s="34"/>
      <c r="DJ6" s="34"/>
      <c r="DK6" s="34"/>
      <c r="DL6" s="34"/>
      <c r="DM6" s="7"/>
      <c r="DN6" s="34"/>
      <c r="DO6" s="34"/>
      <c r="DP6" s="34"/>
      <c r="DQ6" s="34"/>
      <c r="DR6" s="34"/>
      <c r="DS6" s="34"/>
      <c r="DT6" s="7"/>
      <c r="DU6" s="34"/>
      <c r="DV6" s="34"/>
      <c r="DW6" s="34"/>
      <c r="DX6" s="34"/>
      <c r="DY6" s="34"/>
      <c r="DZ6" s="34"/>
      <c r="EA6" s="7"/>
      <c r="EB6" s="34"/>
      <c r="EC6" s="34"/>
      <c r="ED6" s="34"/>
      <c r="EE6" s="34"/>
      <c r="EF6" s="34"/>
      <c r="EG6" s="34"/>
      <c r="EH6" s="7"/>
      <c r="EI6" s="34"/>
      <c r="EJ6" s="34"/>
      <c r="EK6" s="34"/>
      <c r="EL6" s="34"/>
      <c r="EM6" s="34"/>
      <c r="EN6" s="34"/>
      <c r="EO6" s="7"/>
      <c r="EP6" s="34"/>
      <c r="EQ6" s="34"/>
      <c r="ER6" s="34"/>
      <c r="ES6" s="34"/>
      <c r="ET6" s="34"/>
      <c r="EU6" s="34"/>
      <c r="EV6" s="7"/>
      <c r="EW6" s="34"/>
      <c r="EX6" s="34"/>
      <c r="EY6" s="34"/>
      <c r="EZ6" s="34"/>
      <c r="FA6" s="34"/>
      <c r="FB6" s="34"/>
      <c r="FC6" s="7"/>
      <c r="FD6" s="34"/>
      <c r="FE6" s="34"/>
      <c r="FF6" s="34"/>
      <c r="FG6" s="34"/>
      <c r="FH6" s="34"/>
      <c r="FI6" s="34"/>
      <c r="FJ6" s="7"/>
      <c r="FK6" s="34"/>
      <c r="FL6" s="34"/>
      <c r="FM6" s="34"/>
      <c r="FN6" s="34"/>
      <c r="FO6" s="34"/>
      <c r="FP6" s="34"/>
      <c r="FQ6" s="7"/>
      <c r="FR6" s="34"/>
      <c r="FS6" s="34"/>
      <c r="FT6" s="34"/>
      <c r="FU6" s="34"/>
      <c r="FV6" s="34"/>
      <c r="FW6" s="34"/>
      <c r="FX6" s="7"/>
      <c r="FY6" s="34"/>
      <c r="FZ6" s="34"/>
      <c r="GA6" s="34"/>
      <c r="GB6" s="34"/>
      <c r="GC6" s="34"/>
      <c r="GD6" s="34"/>
      <c r="GE6" s="7"/>
      <c r="GF6" s="34"/>
      <c r="GG6" s="34"/>
      <c r="GH6" s="34"/>
      <c r="GI6" s="34"/>
      <c r="GJ6" s="34"/>
      <c r="GK6" s="34"/>
      <c r="GL6" s="7"/>
      <c r="GM6" s="34"/>
      <c r="GN6" s="34"/>
      <c r="GO6" s="34"/>
      <c r="GP6" s="34"/>
      <c r="GQ6" s="34"/>
      <c r="GR6" s="34"/>
      <c r="GS6" s="7"/>
      <c r="GT6" s="34"/>
      <c r="GU6" s="34"/>
      <c r="GV6" s="34"/>
      <c r="GW6" s="34"/>
      <c r="GX6" s="34"/>
      <c r="GY6" s="34"/>
      <c r="GZ6" s="7"/>
      <c r="HA6" s="34"/>
      <c r="HB6" s="34"/>
      <c r="HC6" s="34"/>
      <c r="HD6" s="34"/>
      <c r="HE6" s="34"/>
      <c r="HF6" s="34"/>
      <c r="HG6" s="7"/>
      <c r="HH6" s="34"/>
      <c r="HI6" s="34"/>
      <c r="HJ6" s="34"/>
      <c r="HK6" s="34"/>
      <c r="HL6" s="34"/>
      <c r="HM6" s="34"/>
      <c r="HN6" s="7"/>
      <c r="HO6" s="34"/>
      <c r="HP6" s="34"/>
      <c r="HQ6" s="34"/>
    </row>
    <row r="7" spans="1:236" x14ac:dyDescent="0.25">
      <c r="A7" s="8" t="s">
        <v>92</v>
      </c>
      <c r="B7" s="19"/>
      <c r="C7" s="19" t="s">
        <v>91</v>
      </c>
      <c r="D7" s="8" t="s">
        <v>90</v>
      </c>
      <c r="E7" s="19" t="str">
        <f t="shared" si="7"/>
        <v>Julia Nussbaumer</v>
      </c>
      <c r="F7" s="19"/>
      <c r="G7" s="182"/>
      <c r="H7" s="56">
        <v>39507</v>
      </c>
      <c r="I7" s="176" t="str">
        <f t="shared" si="4"/>
        <v>JN</v>
      </c>
      <c r="J7" s="199" t="s">
        <v>850</v>
      </c>
      <c r="K7" s="19">
        <f t="shared" si="5"/>
        <v>6</v>
      </c>
      <c r="L7" s="192">
        <f t="shared" si="6"/>
        <v>35.294117647058826</v>
      </c>
      <c r="M7" s="203"/>
      <c r="N7" s="148"/>
      <c r="O7" s="34"/>
      <c r="P7" s="34"/>
      <c r="Q7" s="34"/>
      <c r="R7" s="34"/>
      <c r="S7" s="7"/>
      <c r="T7" s="148"/>
      <c r="U7" s="148"/>
      <c r="V7" s="34"/>
      <c r="W7" s="34"/>
      <c r="X7" s="34"/>
      <c r="Y7" s="34"/>
      <c r="Z7" s="7"/>
      <c r="AA7" s="148"/>
      <c r="AB7" s="148"/>
      <c r="AC7" s="34"/>
      <c r="AD7" s="148">
        <v>1</v>
      </c>
      <c r="AE7" s="34">
        <v>1</v>
      </c>
      <c r="AF7" s="34">
        <v>1</v>
      </c>
      <c r="AG7" s="7"/>
      <c r="AH7" s="34"/>
      <c r="AI7" s="34"/>
      <c r="AJ7" s="34"/>
      <c r="AK7" s="34">
        <v>1</v>
      </c>
      <c r="AL7" s="34">
        <v>1</v>
      </c>
      <c r="AM7" s="34"/>
      <c r="AN7" s="7"/>
      <c r="AO7" s="34"/>
      <c r="AP7" s="34"/>
      <c r="AQ7" s="34"/>
      <c r="AR7" s="34"/>
      <c r="AS7" s="34"/>
      <c r="AT7" s="148"/>
      <c r="AU7" s="7"/>
      <c r="AV7" s="34"/>
      <c r="AW7" s="148">
        <v>1</v>
      </c>
      <c r="AX7" s="34"/>
      <c r="AY7" s="34"/>
      <c r="AZ7" s="34"/>
      <c r="BA7" s="34"/>
      <c r="BB7" s="7"/>
      <c r="BC7" s="34"/>
      <c r="BD7" s="34"/>
      <c r="BE7" s="34"/>
      <c r="BF7" s="34"/>
      <c r="BG7" s="34"/>
      <c r="BH7" s="34"/>
      <c r="BI7" s="7"/>
      <c r="BJ7" s="34"/>
      <c r="BK7" s="34"/>
      <c r="BL7" s="34"/>
      <c r="BM7" s="34"/>
      <c r="BN7" s="34"/>
      <c r="BO7" s="34"/>
      <c r="BP7" s="7"/>
      <c r="BQ7" s="34"/>
      <c r="BR7" s="34"/>
      <c r="BS7" s="34"/>
      <c r="BT7" s="34"/>
      <c r="BU7" s="34"/>
      <c r="BV7" s="34"/>
      <c r="BW7" s="7"/>
      <c r="BX7" s="34"/>
      <c r="BY7" s="34"/>
      <c r="BZ7" s="34"/>
      <c r="CA7" s="34"/>
      <c r="CB7" s="34"/>
      <c r="CC7" s="34"/>
      <c r="CD7" s="7"/>
      <c r="CE7" s="34"/>
      <c r="CF7" s="34"/>
      <c r="CG7" s="34"/>
      <c r="CH7" s="34"/>
      <c r="CI7" s="34"/>
      <c r="CJ7" s="34"/>
      <c r="CK7" s="7"/>
      <c r="CL7" s="34"/>
      <c r="CM7" s="34"/>
      <c r="CN7" s="34"/>
      <c r="CO7" s="34"/>
      <c r="CP7" s="34"/>
      <c r="CQ7" s="34"/>
      <c r="CR7" s="7"/>
      <c r="CS7" s="34"/>
      <c r="CT7" s="34"/>
      <c r="CU7" s="34"/>
      <c r="CV7" s="34"/>
      <c r="CW7" s="34"/>
      <c r="CX7" s="34"/>
      <c r="CY7" s="7"/>
      <c r="CZ7" s="34"/>
      <c r="DA7" s="34"/>
      <c r="DB7" s="34"/>
      <c r="DC7" s="34"/>
      <c r="DD7" s="34"/>
      <c r="DE7" s="34"/>
      <c r="DF7" s="7"/>
      <c r="DG7" s="34"/>
      <c r="DH7" s="34"/>
      <c r="DI7" s="34"/>
      <c r="DJ7" s="34"/>
      <c r="DK7" s="34"/>
      <c r="DL7" s="34"/>
      <c r="DM7" s="7"/>
      <c r="DN7" s="34"/>
      <c r="DO7" s="34"/>
      <c r="DP7" s="34"/>
      <c r="DQ7" s="34"/>
      <c r="DR7" s="34"/>
      <c r="DS7" s="34"/>
      <c r="DT7" s="7"/>
      <c r="DU7" s="34"/>
      <c r="DV7" s="34"/>
      <c r="DW7" s="34"/>
      <c r="DX7" s="34"/>
      <c r="DY7" s="34"/>
      <c r="DZ7" s="34"/>
      <c r="EA7" s="7"/>
      <c r="EB7" s="34"/>
      <c r="EC7" s="34"/>
      <c r="ED7" s="34"/>
      <c r="EE7" s="34"/>
      <c r="EF7" s="34"/>
      <c r="EG7" s="34"/>
      <c r="EH7" s="7"/>
      <c r="EI7" s="34"/>
      <c r="EJ7" s="34"/>
      <c r="EK7" s="34"/>
      <c r="EL7" s="34"/>
      <c r="EM7" s="34"/>
      <c r="EN7" s="34"/>
      <c r="EO7" s="7"/>
      <c r="EP7" s="34"/>
      <c r="EQ7" s="34"/>
      <c r="ER7" s="34"/>
      <c r="ES7" s="34"/>
      <c r="ET7" s="34"/>
      <c r="EU7" s="34"/>
      <c r="EV7" s="7"/>
      <c r="EW7" s="34"/>
      <c r="EX7" s="34"/>
      <c r="EY7" s="34"/>
      <c r="EZ7" s="34"/>
      <c r="FA7" s="34"/>
      <c r="FB7" s="34"/>
      <c r="FC7" s="7"/>
      <c r="FD7" s="34"/>
      <c r="FE7" s="34"/>
      <c r="FF7" s="34"/>
      <c r="FG7" s="34"/>
      <c r="FH7" s="34"/>
      <c r="FI7" s="34"/>
      <c r="FJ7" s="7"/>
      <c r="FK7" s="34"/>
      <c r="FL7" s="34"/>
      <c r="FM7" s="34"/>
      <c r="FN7" s="34"/>
      <c r="FO7" s="34"/>
      <c r="FP7" s="34"/>
      <c r="FQ7" s="7"/>
      <c r="FR7" s="34"/>
      <c r="FS7" s="34"/>
      <c r="FT7" s="34"/>
      <c r="FU7" s="34"/>
      <c r="FV7" s="34"/>
      <c r="FW7" s="34"/>
      <c r="FX7" s="7"/>
      <c r="FY7" s="34"/>
      <c r="FZ7" s="34"/>
      <c r="GA7" s="34"/>
      <c r="GB7" s="34"/>
      <c r="GC7" s="34"/>
      <c r="GD7" s="34"/>
      <c r="GE7" s="7"/>
      <c r="GF7" s="34"/>
      <c r="GG7" s="34"/>
      <c r="GH7" s="34"/>
      <c r="GI7" s="34"/>
      <c r="GJ7" s="34"/>
      <c r="GK7" s="34"/>
      <c r="GL7" s="7"/>
      <c r="GM7" s="34"/>
      <c r="GN7" s="34"/>
      <c r="GO7" s="34"/>
      <c r="GP7" s="34"/>
      <c r="GQ7" s="34"/>
      <c r="GR7" s="34"/>
      <c r="GS7" s="7"/>
      <c r="GT7" s="34"/>
      <c r="GU7" s="34"/>
      <c r="GV7" s="34"/>
      <c r="GW7" s="34"/>
      <c r="GX7" s="34"/>
      <c r="GY7" s="34"/>
      <c r="GZ7" s="7"/>
      <c r="HA7" s="34"/>
      <c r="HB7" s="34"/>
      <c r="HC7" s="34"/>
      <c r="HD7" s="34"/>
      <c r="HE7" s="34"/>
      <c r="HF7" s="34"/>
      <c r="HG7" s="7"/>
      <c r="HH7" s="34"/>
      <c r="HI7" s="34"/>
      <c r="HJ7" s="34"/>
      <c r="HK7" s="34"/>
      <c r="HL7" s="34"/>
      <c r="HM7" s="34"/>
      <c r="HN7" s="7"/>
      <c r="HO7" s="34"/>
      <c r="HP7" s="34"/>
      <c r="HQ7" s="34"/>
    </row>
    <row r="8" spans="1:236" x14ac:dyDescent="0.25">
      <c r="A8" s="8" t="s">
        <v>138</v>
      </c>
      <c r="B8" s="19" t="s">
        <v>137</v>
      </c>
      <c r="C8" s="19" t="s">
        <v>136</v>
      </c>
      <c r="D8" s="8" t="s">
        <v>135</v>
      </c>
      <c r="E8" s="19" t="str">
        <f t="shared" si="7"/>
        <v>Selina Popaj</v>
      </c>
      <c r="F8" s="19"/>
      <c r="G8" s="182"/>
      <c r="H8" s="56">
        <v>39155</v>
      </c>
      <c r="I8" s="176" t="str">
        <f t="shared" si="4"/>
        <v>SP</v>
      </c>
      <c r="J8" s="199" t="s">
        <v>851</v>
      </c>
      <c r="K8" s="19">
        <f t="shared" ref="K8" si="9">SUM(M8:HP8)</f>
        <v>6</v>
      </c>
      <c r="L8" s="192">
        <f t="shared" si="6"/>
        <v>66.666666666666657</v>
      </c>
      <c r="M8" s="203"/>
      <c r="N8" s="148"/>
      <c r="O8" s="34"/>
      <c r="P8" s="34"/>
      <c r="Q8" s="34"/>
      <c r="R8" s="34"/>
      <c r="S8" s="7"/>
      <c r="T8" s="148"/>
      <c r="U8" s="148"/>
      <c r="V8" s="34"/>
      <c r="W8" s="34"/>
      <c r="X8" s="34"/>
      <c r="Y8" s="34"/>
      <c r="Z8" s="7"/>
      <c r="AA8" s="148"/>
      <c r="AB8" s="148"/>
      <c r="AC8" s="34"/>
      <c r="AD8" s="208" t="s">
        <v>765</v>
      </c>
      <c r="AE8" s="209" t="s">
        <v>765</v>
      </c>
      <c r="AF8" s="209" t="s">
        <v>765</v>
      </c>
      <c r="AG8" s="79"/>
      <c r="AH8" s="209"/>
      <c r="AI8" s="208" t="s">
        <v>765</v>
      </c>
      <c r="AJ8" s="209"/>
      <c r="AK8" s="209" t="s">
        <v>765</v>
      </c>
      <c r="AL8" s="209" t="s">
        <v>765</v>
      </c>
      <c r="AM8" s="209"/>
      <c r="AN8" s="79"/>
      <c r="AO8" s="209"/>
      <c r="AP8" s="209" t="s">
        <v>765</v>
      </c>
      <c r="AQ8" s="209"/>
      <c r="AR8" s="209" t="s">
        <v>765</v>
      </c>
      <c r="AS8" s="148">
        <v>1</v>
      </c>
      <c r="AT8" s="148">
        <v>1</v>
      </c>
      <c r="AU8" s="7"/>
      <c r="AV8" s="34"/>
      <c r="AW8" s="34"/>
      <c r="AX8" s="34"/>
      <c r="AY8" s="148">
        <v>1</v>
      </c>
      <c r="AZ8" s="148"/>
      <c r="BA8" s="34"/>
      <c r="BB8" s="7"/>
      <c r="BC8" s="148">
        <v>1</v>
      </c>
      <c r="BD8" s="34"/>
      <c r="BE8" s="34"/>
      <c r="BF8" s="148">
        <v>1</v>
      </c>
      <c r="BG8" s="148">
        <v>1</v>
      </c>
      <c r="BH8" s="34"/>
      <c r="BI8" s="7"/>
      <c r="BJ8" s="34"/>
      <c r="BK8" s="34"/>
      <c r="BL8" s="34"/>
      <c r="BM8" s="34"/>
      <c r="BN8" s="34"/>
      <c r="BO8" s="34"/>
      <c r="BP8" s="7"/>
      <c r="BQ8" s="34"/>
      <c r="BR8" s="34"/>
      <c r="BS8" s="34"/>
      <c r="BT8" s="34"/>
      <c r="BU8" s="34"/>
      <c r="BV8" s="34"/>
      <c r="BW8" s="7"/>
      <c r="BX8" s="34"/>
      <c r="BY8" s="34"/>
      <c r="BZ8" s="34"/>
      <c r="CA8" s="34"/>
      <c r="CB8" s="34"/>
      <c r="CC8" s="34"/>
      <c r="CD8" s="7"/>
      <c r="CE8" s="34"/>
      <c r="CF8" s="34"/>
      <c r="CG8" s="34"/>
      <c r="CH8" s="34"/>
      <c r="CI8" s="34"/>
      <c r="CJ8" s="34"/>
      <c r="CK8" s="7"/>
      <c r="CL8" s="34"/>
      <c r="CM8" s="34"/>
      <c r="CN8" s="34"/>
      <c r="CO8" s="34"/>
      <c r="CP8" s="34"/>
      <c r="CQ8" s="34"/>
      <c r="CR8" s="7"/>
      <c r="CS8" s="34"/>
      <c r="CT8" s="34"/>
      <c r="CU8" s="34"/>
      <c r="CV8" s="34"/>
      <c r="CW8" s="34"/>
      <c r="CX8" s="34"/>
      <c r="CY8" s="7"/>
      <c r="CZ8" s="34"/>
      <c r="DA8" s="34"/>
      <c r="DB8" s="34"/>
      <c r="DC8" s="34"/>
      <c r="DD8" s="34"/>
      <c r="DE8" s="34"/>
      <c r="DF8" s="7"/>
      <c r="DG8" s="34"/>
      <c r="DH8" s="34"/>
      <c r="DI8" s="34"/>
      <c r="DJ8" s="34"/>
      <c r="DK8" s="34"/>
      <c r="DL8" s="34"/>
      <c r="DM8" s="7"/>
      <c r="DN8" s="34"/>
      <c r="DO8" s="34"/>
      <c r="DP8" s="34"/>
      <c r="DQ8" s="34"/>
      <c r="DR8" s="34"/>
      <c r="DS8" s="34"/>
      <c r="DT8" s="7"/>
      <c r="DU8" s="34"/>
      <c r="DV8" s="34"/>
      <c r="DW8" s="34"/>
      <c r="DX8" s="34"/>
      <c r="DY8" s="34"/>
      <c r="DZ8" s="34"/>
      <c r="EA8" s="7"/>
      <c r="EB8" s="34"/>
      <c r="EC8" s="34"/>
      <c r="ED8" s="34"/>
      <c r="EE8" s="34"/>
      <c r="EF8" s="34"/>
      <c r="EG8" s="34"/>
      <c r="EH8" s="7"/>
      <c r="EI8" s="34"/>
      <c r="EJ8" s="34"/>
      <c r="EK8" s="34"/>
      <c r="EL8" s="34"/>
      <c r="EM8" s="34"/>
      <c r="EN8" s="34"/>
      <c r="EO8" s="7"/>
      <c r="EP8" s="34"/>
      <c r="EQ8" s="34"/>
      <c r="ER8" s="34"/>
      <c r="ES8" s="34"/>
      <c r="ET8" s="34"/>
      <c r="EU8" s="34"/>
      <c r="EV8" s="7"/>
      <c r="EW8" s="34"/>
      <c r="EX8" s="34"/>
      <c r="EY8" s="34"/>
      <c r="EZ8" s="34"/>
      <c r="FA8" s="34"/>
      <c r="FB8" s="34"/>
      <c r="FC8" s="7"/>
      <c r="FD8" s="34"/>
      <c r="FE8" s="34"/>
      <c r="FF8" s="34"/>
      <c r="FG8" s="34"/>
      <c r="FH8" s="34"/>
      <c r="FI8" s="34"/>
      <c r="FJ8" s="7"/>
      <c r="FK8" s="34"/>
      <c r="FL8" s="34"/>
      <c r="FM8" s="34"/>
      <c r="FN8" s="34"/>
      <c r="FO8" s="34"/>
      <c r="FP8" s="34"/>
      <c r="FQ8" s="7"/>
      <c r="FR8" s="34"/>
      <c r="FS8" s="34"/>
      <c r="FT8" s="34"/>
      <c r="FU8" s="34"/>
      <c r="FV8" s="34"/>
      <c r="FW8" s="34"/>
      <c r="FX8" s="7"/>
      <c r="FY8" s="34"/>
      <c r="FZ8" s="34"/>
      <c r="GA8" s="34"/>
      <c r="GB8" s="34"/>
      <c r="GC8" s="34"/>
      <c r="GD8" s="34"/>
      <c r="GE8" s="7"/>
      <c r="GF8" s="34"/>
      <c r="GG8" s="34"/>
      <c r="GH8" s="34"/>
      <c r="GI8" s="34"/>
      <c r="GJ8" s="34"/>
      <c r="GK8" s="34"/>
      <c r="GL8" s="7"/>
      <c r="GM8" s="34"/>
      <c r="GN8" s="34"/>
      <c r="GO8" s="34"/>
      <c r="GP8" s="34"/>
      <c r="GQ8" s="34"/>
      <c r="GR8" s="34"/>
      <c r="GS8" s="7"/>
      <c r="GT8" s="34"/>
      <c r="GU8" s="34"/>
      <c r="GV8" s="34"/>
      <c r="GW8" s="34"/>
      <c r="GX8" s="34"/>
      <c r="GY8" s="34"/>
      <c r="GZ8" s="7"/>
      <c r="HA8" s="34"/>
      <c r="HB8" s="34"/>
      <c r="HC8" s="34"/>
      <c r="HD8" s="34"/>
      <c r="HE8" s="34"/>
      <c r="HF8" s="34"/>
      <c r="HG8" s="7"/>
      <c r="HH8" s="34"/>
      <c r="HI8" s="34"/>
      <c r="HJ8" s="34"/>
      <c r="HK8" s="34"/>
      <c r="HL8" s="34"/>
      <c r="HM8" s="34"/>
      <c r="HN8" s="7"/>
      <c r="HO8" s="34"/>
      <c r="HP8" s="34"/>
      <c r="HQ8" s="34"/>
    </row>
    <row r="9" spans="1:236" x14ac:dyDescent="0.25">
      <c r="A9" s="8" t="s">
        <v>134</v>
      </c>
      <c r="B9" s="19" t="s">
        <v>133</v>
      </c>
      <c r="C9" s="19" t="s">
        <v>235</v>
      </c>
      <c r="D9" s="8" t="s">
        <v>87</v>
      </c>
      <c r="E9" s="19" t="str">
        <f t="shared" si="7"/>
        <v>Valentina Reinsberger</v>
      </c>
      <c r="F9" s="19"/>
      <c r="G9" s="182"/>
      <c r="H9" s="56">
        <v>38979</v>
      </c>
      <c r="I9" s="176" t="str">
        <f t="shared" si="4"/>
        <v>VR</v>
      </c>
      <c r="J9" s="199" t="s">
        <v>851</v>
      </c>
      <c r="K9" s="19">
        <f t="shared" si="5"/>
        <v>16</v>
      </c>
      <c r="L9" s="192">
        <f t="shared" si="6"/>
        <v>94.117647058823522</v>
      </c>
      <c r="M9" s="203"/>
      <c r="N9" s="148"/>
      <c r="O9" s="34"/>
      <c r="P9" s="34"/>
      <c r="Q9" s="34"/>
      <c r="R9" s="34"/>
      <c r="S9" s="7"/>
      <c r="T9" s="148"/>
      <c r="U9" s="148"/>
      <c r="V9" s="34"/>
      <c r="W9" s="34"/>
      <c r="X9" s="34"/>
      <c r="Y9" s="34"/>
      <c r="Z9" s="7"/>
      <c r="AA9" s="148"/>
      <c r="AB9" s="148"/>
      <c r="AC9" s="34"/>
      <c r="AD9" s="148">
        <v>1</v>
      </c>
      <c r="AE9" s="148">
        <v>1</v>
      </c>
      <c r="AF9" s="148">
        <v>1</v>
      </c>
      <c r="AG9" s="7"/>
      <c r="AH9" s="34"/>
      <c r="AI9" s="34"/>
      <c r="AJ9" s="34"/>
      <c r="AK9" s="148">
        <v>1</v>
      </c>
      <c r="AL9" s="148">
        <v>1</v>
      </c>
      <c r="AM9" s="34"/>
      <c r="AN9" s="7"/>
      <c r="AO9" s="34"/>
      <c r="AP9" s="34">
        <v>1</v>
      </c>
      <c r="AQ9" s="34"/>
      <c r="AR9" s="34">
        <v>1</v>
      </c>
      <c r="AS9" s="34">
        <v>1</v>
      </c>
      <c r="AT9" s="148">
        <v>1</v>
      </c>
      <c r="AU9" s="7"/>
      <c r="AV9" s="34"/>
      <c r="AW9" s="148">
        <v>1</v>
      </c>
      <c r="AX9" s="34"/>
      <c r="AY9" s="148">
        <v>1</v>
      </c>
      <c r="AZ9" s="148">
        <v>1</v>
      </c>
      <c r="BA9" s="34"/>
      <c r="BB9" s="7"/>
      <c r="BC9" s="148">
        <v>1</v>
      </c>
      <c r="BD9" s="148">
        <v>1</v>
      </c>
      <c r="BE9" s="34"/>
      <c r="BF9" s="148">
        <v>1</v>
      </c>
      <c r="BG9" s="148">
        <v>1</v>
      </c>
      <c r="BH9" s="34"/>
      <c r="BI9" s="7"/>
      <c r="BJ9" s="34"/>
      <c r="BK9" s="34"/>
      <c r="BL9" s="34"/>
      <c r="BM9" s="34"/>
      <c r="BN9" s="34"/>
      <c r="BO9" s="34"/>
      <c r="BP9" s="7"/>
      <c r="BQ9" s="34"/>
      <c r="BR9" s="34"/>
      <c r="BS9" s="34"/>
      <c r="BT9" s="34"/>
      <c r="BU9" s="34"/>
      <c r="BV9" s="34"/>
      <c r="BW9" s="7"/>
      <c r="BX9" s="34"/>
      <c r="BY9" s="34"/>
      <c r="BZ9" s="34"/>
      <c r="CA9" s="34"/>
      <c r="CB9" s="34"/>
      <c r="CC9" s="34"/>
      <c r="CD9" s="7"/>
      <c r="CE9" s="34"/>
      <c r="CF9" s="34"/>
      <c r="CG9" s="34"/>
      <c r="CH9" s="34"/>
      <c r="CI9" s="34"/>
      <c r="CJ9" s="34"/>
      <c r="CK9" s="7"/>
      <c r="CL9" s="34"/>
      <c r="CM9" s="34"/>
      <c r="CN9" s="34"/>
      <c r="CO9" s="34"/>
      <c r="CP9" s="34"/>
      <c r="CQ9" s="34"/>
      <c r="CR9" s="7"/>
      <c r="CS9" s="34"/>
      <c r="CT9" s="34"/>
      <c r="CU9" s="34"/>
      <c r="CV9" s="34"/>
      <c r="CW9" s="34"/>
      <c r="CX9" s="34"/>
      <c r="CY9" s="7"/>
      <c r="CZ9" s="34"/>
      <c r="DA9" s="34"/>
      <c r="DB9" s="34"/>
      <c r="DC9" s="34"/>
      <c r="DD9" s="34"/>
      <c r="DE9" s="34"/>
      <c r="DF9" s="7"/>
      <c r="DG9" s="34"/>
      <c r="DH9" s="34"/>
      <c r="DI9" s="34"/>
      <c r="DJ9" s="34"/>
      <c r="DK9" s="34"/>
      <c r="DL9" s="34"/>
      <c r="DM9" s="7"/>
      <c r="DN9" s="34"/>
      <c r="DO9" s="34"/>
      <c r="DP9" s="34"/>
      <c r="DQ9" s="34"/>
      <c r="DR9" s="34"/>
      <c r="DS9" s="34"/>
      <c r="DT9" s="7"/>
      <c r="DU9" s="34"/>
      <c r="DV9" s="34"/>
      <c r="DW9" s="34"/>
      <c r="DX9" s="34"/>
      <c r="DY9" s="34"/>
      <c r="DZ9" s="34"/>
      <c r="EA9" s="7"/>
      <c r="EB9" s="34"/>
      <c r="EC9" s="34"/>
      <c r="ED9" s="34"/>
      <c r="EE9" s="34"/>
      <c r="EF9" s="34"/>
      <c r="EG9" s="34"/>
      <c r="EH9" s="7"/>
      <c r="EI9" s="34"/>
      <c r="EJ9" s="34"/>
      <c r="EK9" s="34"/>
      <c r="EL9" s="34"/>
      <c r="EM9" s="34"/>
      <c r="EN9" s="34"/>
      <c r="EO9" s="7"/>
      <c r="EP9" s="34"/>
      <c r="EQ9" s="34"/>
      <c r="ER9" s="34"/>
      <c r="ES9" s="34"/>
      <c r="ET9" s="34"/>
      <c r="EU9" s="34"/>
      <c r="EV9" s="7"/>
      <c r="EW9" s="34"/>
      <c r="EX9" s="34"/>
      <c r="EY9" s="34"/>
      <c r="EZ9" s="34"/>
      <c r="FA9" s="34"/>
      <c r="FB9" s="34"/>
      <c r="FC9" s="7"/>
      <c r="FD9" s="34"/>
      <c r="FE9" s="34"/>
      <c r="FF9" s="34"/>
      <c r="FG9" s="34"/>
      <c r="FH9" s="34"/>
      <c r="FI9" s="34"/>
      <c r="FJ9" s="7"/>
      <c r="FK9" s="34"/>
      <c r="FL9" s="34"/>
      <c r="FM9" s="34"/>
      <c r="FN9" s="34"/>
      <c r="FO9" s="34"/>
      <c r="FP9" s="34"/>
      <c r="FQ9" s="7"/>
      <c r="FR9" s="34"/>
      <c r="FS9" s="34"/>
      <c r="FT9" s="34"/>
      <c r="FU9" s="34"/>
      <c r="FV9" s="34"/>
      <c r="FW9" s="34"/>
      <c r="FX9" s="7"/>
      <c r="FY9" s="34"/>
      <c r="FZ9" s="34"/>
      <c r="GA9" s="34"/>
      <c r="GB9" s="34"/>
      <c r="GC9" s="34"/>
      <c r="GD9" s="34"/>
      <c r="GE9" s="7"/>
      <c r="GF9" s="34"/>
      <c r="GG9" s="34"/>
      <c r="GH9" s="34"/>
      <c r="GI9" s="34"/>
      <c r="GJ9" s="34"/>
      <c r="GK9" s="34"/>
      <c r="GL9" s="7"/>
      <c r="GM9" s="34"/>
      <c r="GN9" s="34"/>
      <c r="GO9" s="34"/>
      <c r="GP9" s="34"/>
      <c r="GQ9" s="34"/>
      <c r="GR9" s="34"/>
      <c r="GS9" s="7"/>
      <c r="GT9" s="34"/>
      <c r="GU9" s="34"/>
      <c r="GV9" s="34"/>
      <c r="GW9" s="34"/>
      <c r="GX9" s="34"/>
      <c r="GY9" s="34"/>
      <c r="GZ9" s="7"/>
      <c r="HA9" s="34"/>
      <c r="HB9" s="34"/>
      <c r="HC9" s="34"/>
      <c r="HD9" s="34"/>
      <c r="HE9" s="34"/>
      <c r="HF9" s="34"/>
      <c r="HG9" s="7"/>
      <c r="HH9" s="34"/>
      <c r="HI9" s="34"/>
      <c r="HJ9" s="34"/>
      <c r="HK9" s="34"/>
      <c r="HL9" s="34"/>
      <c r="HM9" s="34"/>
      <c r="HN9" s="7"/>
      <c r="HO9" s="34"/>
      <c r="HP9" s="34"/>
      <c r="HQ9" s="34"/>
    </row>
    <row r="10" spans="1:236" x14ac:dyDescent="0.25">
      <c r="A10" s="8" t="s">
        <v>83</v>
      </c>
      <c r="B10" s="19"/>
      <c r="C10" s="19" t="s">
        <v>82</v>
      </c>
      <c r="D10" s="8" t="s">
        <v>81</v>
      </c>
      <c r="E10" s="19" t="str">
        <f t="shared" si="7"/>
        <v>Anna Scheitz</v>
      </c>
      <c r="F10" s="19"/>
      <c r="G10" s="182"/>
      <c r="H10" s="56">
        <v>39475</v>
      </c>
      <c r="I10" s="176" t="str">
        <f t="shared" si="4"/>
        <v>AS</v>
      </c>
      <c r="J10" s="199" t="s">
        <v>788</v>
      </c>
      <c r="K10" s="19">
        <f t="shared" si="5"/>
        <v>15</v>
      </c>
      <c r="L10" s="192">
        <f t="shared" si="6"/>
        <v>88.235294117647058</v>
      </c>
      <c r="M10" s="203"/>
      <c r="N10" s="148"/>
      <c r="O10" s="34"/>
      <c r="P10" s="34"/>
      <c r="Q10" s="34"/>
      <c r="R10" s="34"/>
      <c r="S10" s="7"/>
      <c r="T10" s="148"/>
      <c r="U10" s="148"/>
      <c r="V10" s="34"/>
      <c r="W10" s="34"/>
      <c r="X10" s="34"/>
      <c r="Y10" s="34"/>
      <c r="Z10" s="7"/>
      <c r="AA10" s="148"/>
      <c r="AB10" s="148"/>
      <c r="AC10" s="34"/>
      <c r="AD10" s="148">
        <v>1</v>
      </c>
      <c r="AE10" s="148">
        <v>1</v>
      </c>
      <c r="AF10" s="148">
        <v>1</v>
      </c>
      <c r="AG10" s="7"/>
      <c r="AH10" s="34"/>
      <c r="AI10" s="148">
        <v>1</v>
      </c>
      <c r="AJ10" s="34"/>
      <c r="AK10" s="148">
        <v>1</v>
      </c>
      <c r="AL10" s="148">
        <v>1</v>
      </c>
      <c r="AM10" s="34"/>
      <c r="AN10" s="7"/>
      <c r="AO10" s="34"/>
      <c r="AP10" s="148">
        <v>1</v>
      </c>
      <c r="AQ10" s="34"/>
      <c r="AR10" s="148">
        <v>1</v>
      </c>
      <c r="AS10" s="148">
        <v>1</v>
      </c>
      <c r="AT10" s="148">
        <v>1</v>
      </c>
      <c r="AU10" s="7"/>
      <c r="AV10" s="34"/>
      <c r="AW10" s="148">
        <v>1</v>
      </c>
      <c r="AX10" s="34"/>
      <c r="AY10" s="148">
        <v>1</v>
      </c>
      <c r="AZ10" s="148">
        <v>1</v>
      </c>
      <c r="BA10" s="34"/>
      <c r="BB10" s="7"/>
      <c r="BC10" s="34"/>
      <c r="BD10" s="34"/>
      <c r="BE10" s="34"/>
      <c r="BF10" s="148">
        <v>1</v>
      </c>
      <c r="BG10" s="148">
        <v>1</v>
      </c>
      <c r="BH10" s="34"/>
      <c r="BI10" s="7"/>
      <c r="BJ10" s="34"/>
      <c r="BK10" s="34"/>
      <c r="BL10" s="34"/>
      <c r="BM10" s="34"/>
      <c r="BN10" s="34"/>
      <c r="BO10" s="34"/>
      <c r="BP10" s="7"/>
      <c r="BQ10" s="34"/>
      <c r="BR10" s="34"/>
      <c r="BS10" s="34"/>
      <c r="BT10" s="34"/>
      <c r="BU10" s="34"/>
      <c r="BV10" s="34"/>
      <c r="BW10" s="7"/>
      <c r="BX10" s="34"/>
      <c r="BY10" s="34"/>
      <c r="BZ10" s="34"/>
      <c r="CA10" s="34"/>
      <c r="CB10" s="34"/>
      <c r="CC10" s="34"/>
      <c r="CD10" s="7"/>
      <c r="CE10" s="34"/>
      <c r="CF10" s="34"/>
      <c r="CG10" s="34"/>
      <c r="CH10" s="34"/>
      <c r="CI10" s="34"/>
      <c r="CJ10" s="34"/>
      <c r="CK10" s="7"/>
      <c r="CL10" s="34"/>
      <c r="CM10" s="34"/>
      <c r="CN10" s="34"/>
      <c r="CO10" s="34"/>
      <c r="CP10" s="34"/>
      <c r="CQ10" s="34"/>
      <c r="CR10" s="7"/>
      <c r="CS10" s="34"/>
      <c r="CT10" s="34"/>
      <c r="CU10" s="34"/>
      <c r="CV10" s="34"/>
      <c r="CW10" s="34"/>
      <c r="CX10" s="34"/>
      <c r="CY10" s="7"/>
      <c r="CZ10" s="34"/>
      <c r="DA10" s="34"/>
      <c r="DB10" s="34"/>
      <c r="DC10" s="34"/>
      <c r="DD10" s="34"/>
      <c r="DE10" s="34"/>
      <c r="DF10" s="7"/>
      <c r="DG10" s="34"/>
      <c r="DH10" s="34"/>
      <c r="DI10" s="34"/>
      <c r="DJ10" s="34"/>
      <c r="DK10" s="34"/>
      <c r="DL10" s="34"/>
      <c r="DM10" s="7"/>
      <c r="DN10" s="34"/>
      <c r="DO10" s="34"/>
      <c r="DP10" s="34"/>
      <c r="DQ10" s="34"/>
      <c r="DR10" s="34"/>
      <c r="DS10" s="34"/>
      <c r="DT10" s="7"/>
      <c r="DU10" s="34"/>
      <c r="DV10" s="34"/>
      <c r="DW10" s="34"/>
      <c r="DX10" s="34"/>
      <c r="DY10" s="34"/>
      <c r="DZ10" s="34"/>
      <c r="EA10" s="7"/>
      <c r="EB10" s="34"/>
      <c r="EC10" s="34"/>
      <c r="ED10" s="34"/>
      <c r="EE10" s="34"/>
      <c r="EF10" s="34"/>
      <c r="EG10" s="34"/>
      <c r="EH10" s="7"/>
      <c r="EI10" s="34"/>
      <c r="EJ10" s="34"/>
      <c r="EK10" s="34"/>
      <c r="EL10" s="34"/>
      <c r="EM10" s="34"/>
      <c r="EN10" s="34"/>
      <c r="EO10" s="7"/>
      <c r="EP10" s="34"/>
      <c r="EQ10" s="34"/>
      <c r="ER10" s="34"/>
      <c r="ES10" s="34"/>
      <c r="ET10" s="34"/>
      <c r="EU10" s="34"/>
      <c r="EV10" s="7"/>
      <c r="EW10" s="34"/>
      <c r="EX10" s="34"/>
      <c r="EY10" s="34"/>
      <c r="EZ10" s="34"/>
      <c r="FA10" s="34"/>
      <c r="FB10" s="34"/>
      <c r="FC10" s="7"/>
      <c r="FD10" s="34"/>
      <c r="FE10" s="34"/>
      <c r="FF10" s="34"/>
      <c r="FG10" s="34"/>
      <c r="FH10" s="34"/>
      <c r="FI10" s="34"/>
      <c r="FJ10" s="7"/>
      <c r="FK10" s="34"/>
      <c r="FL10" s="34"/>
      <c r="FM10" s="34"/>
      <c r="FN10" s="34"/>
      <c r="FO10" s="34"/>
      <c r="FP10" s="34"/>
      <c r="FQ10" s="7"/>
      <c r="FR10" s="34"/>
      <c r="FS10" s="34"/>
      <c r="FT10" s="34"/>
      <c r="FU10" s="34"/>
      <c r="FV10" s="34"/>
      <c r="FW10" s="34"/>
      <c r="FX10" s="7"/>
      <c r="FY10" s="34"/>
      <c r="FZ10" s="34"/>
      <c r="GA10" s="34"/>
      <c r="GB10" s="34"/>
      <c r="GC10" s="34"/>
      <c r="GD10" s="34"/>
      <c r="GE10" s="7"/>
      <c r="GF10" s="34"/>
      <c r="GG10" s="34"/>
      <c r="GH10" s="34"/>
      <c r="GI10" s="34"/>
      <c r="GJ10" s="34"/>
      <c r="GK10" s="34"/>
      <c r="GL10" s="7"/>
      <c r="GM10" s="34"/>
      <c r="GN10" s="34"/>
      <c r="GO10" s="34"/>
      <c r="GP10" s="34"/>
      <c r="GQ10" s="34"/>
      <c r="GR10" s="34"/>
      <c r="GS10" s="7"/>
      <c r="GT10" s="34"/>
      <c r="GU10" s="34"/>
      <c r="GV10" s="34"/>
      <c r="GW10" s="34"/>
      <c r="GX10" s="34"/>
      <c r="GY10" s="34"/>
      <c r="GZ10" s="7"/>
      <c r="HA10" s="34"/>
      <c r="HB10" s="34"/>
      <c r="HC10" s="34"/>
      <c r="HD10" s="34"/>
      <c r="HE10" s="34"/>
      <c r="HF10" s="34"/>
      <c r="HG10" s="7"/>
      <c r="HH10" s="34"/>
      <c r="HI10" s="34"/>
      <c r="HJ10" s="34"/>
      <c r="HK10" s="34"/>
      <c r="HL10" s="34"/>
      <c r="HM10" s="34"/>
      <c r="HN10" s="7"/>
      <c r="HO10" s="34"/>
      <c r="HP10" s="34"/>
      <c r="HQ10" s="34"/>
    </row>
    <row r="11" spans="1:236" x14ac:dyDescent="0.25">
      <c r="A11" s="8" t="s">
        <v>842</v>
      </c>
      <c r="B11" s="19"/>
      <c r="C11" s="19" t="s">
        <v>429</v>
      </c>
      <c r="D11" s="8" t="s">
        <v>600</v>
      </c>
      <c r="E11" s="19" t="str">
        <f t="shared" si="7"/>
        <v>Elena  Schmid</v>
      </c>
      <c r="F11" s="19"/>
      <c r="G11" s="182"/>
      <c r="H11" s="56">
        <v>40003</v>
      </c>
      <c r="I11" s="176" t="str">
        <f t="shared" si="4"/>
        <v>ES</v>
      </c>
      <c r="J11" s="199" t="s">
        <v>807</v>
      </c>
      <c r="K11" s="19">
        <f t="shared" ref="K11" si="10">SUM(M11:HP11)</f>
        <v>14</v>
      </c>
      <c r="L11" s="192">
        <f t="shared" si="6"/>
        <v>82.35294117647058</v>
      </c>
      <c r="M11" s="203"/>
      <c r="N11" s="148"/>
      <c r="O11" s="34"/>
      <c r="P11" s="34"/>
      <c r="Q11" s="34"/>
      <c r="R11" s="34"/>
      <c r="S11" s="7"/>
      <c r="T11" s="148"/>
      <c r="U11" s="148"/>
      <c r="V11" s="34"/>
      <c r="W11" s="34"/>
      <c r="X11" s="34"/>
      <c r="Y11" s="34"/>
      <c r="Z11" s="7"/>
      <c r="AA11" s="148"/>
      <c r="AB11" s="148"/>
      <c r="AC11" s="34"/>
      <c r="AD11" s="148">
        <v>1</v>
      </c>
      <c r="AE11" s="148">
        <v>1</v>
      </c>
      <c r="AF11" s="148">
        <v>1</v>
      </c>
      <c r="AG11" s="7"/>
      <c r="AH11" s="34"/>
      <c r="AI11" s="148">
        <v>1</v>
      </c>
      <c r="AJ11" s="34"/>
      <c r="AK11" s="148">
        <v>1</v>
      </c>
      <c r="AL11" s="148">
        <v>1</v>
      </c>
      <c r="AM11" s="34"/>
      <c r="AN11" s="7"/>
      <c r="AO11" s="34"/>
      <c r="AP11" s="148">
        <v>1</v>
      </c>
      <c r="AQ11" s="34"/>
      <c r="AR11" s="148"/>
      <c r="AS11" s="148">
        <v>1</v>
      </c>
      <c r="AT11" s="148">
        <v>1</v>
      </c>
      <c r="AU11" s="7"/>
      <c r="AV11" s="34"/>
      <c r="AW11" s="34"/>
      <c r="AX11" s="34"/>
      <c r="AY11" s="34"/>
      <c r="AZ11" s="148">
        <v>1</v>
      </c>
      <c r="BA11" s="34"/>
      <c r="BB11" s="7"/>
      <c r="BC11" s="148">
        <v>1</v>
      </c>
      <c r="BD11" s="34">
        <v>1</v>
      </c>
      <c r="BE11" s="34"/>
      <c r="BF11" s="148">
        <v>1</v>
      </c>
      <c r="BG11" s="148">
        <v>1</v>
      </c>
      <c r="BH11" s="34"/>
      <c r="BI11" s="7"/>
      <c r="BJ11" s="34"/>
      <c r="BK11" s="34"/>
      <c r="BL11" s="34"/>
      <c r="BM11" s="34"/>
      <c r="BN11" s="34"/>
      <c r="BO11" s="34"/>
      <c r="BP11" s="7"/>
      <c r="BQ11" s="34"/>
      <c r="BR11" s="34"/>
      <c r="BS11" s="34"/>
      <c r="BT11" s="34"/>
      <c r="BU11" s="34"/>
      <c r="BV11" s="34"/>
      <c r="BW11" s="7"/>
      <c r="BX11" s="34"/>
      <c r="BY11" s="34"/>
      <c r="BZ11" s="34"/>
      <c r="CA11" s="34"/>
      <c r="CB11" s="34"/>
      <c r="CC11" s="34"/>
      <c r="CD11" s="7"/>
      <c r="CE11" s="34"/>
      <c r="CF11" s="34"/>
      <c r="CG11" s="34"/>
      <c r="CH11" s="34"/>
      <c r="CI11" s="34"/>
      <c r="CJ11" s="34"/>
      <c r="CK11" s="7"/>
      <c r="CL11" s="34"/>
      <c r="CM11" s="34"/>
      <c r="CN11" s="34"/>
      <c r="CO11" s="34"/>
      <c r="CP11" s="34"/>
      <c r="CQ11" s="34"/>
      <c r="CR11" s="7"/>
      <c r="CS11" s="34"/>
      <c r="CT11" s="34"/>
      <c r="CU11" s="34"/>
      <c r="CV11" s="34"/>
      <c r="CW11" s="34"/>
      <c r="CX11" s="34"/>
      <c r="CY11" s="7"/>
      <c r="CZ11" s="34"/>
      <c r="DA11" s="34"/>
      <c r="DB11" s="34"/>
      <c r="DC11" s="34"/>
      <c r="DD11" s="34"/>
      <c r="DE11" s="34"/>
      <c r="DF11" s="7"/>
      <c r="DG11" s="34"/>
      <c r="DH11" s="34"/>
      <c r="DI11" s="34"/>
      <c r="DJ11" s="34"/>
      <c r="DK11" s="34"/>
      <c r="DL11" s="34"/>
      <c r="DM11" s="7"/>
      <c r="DN11" s="34"/>
      <c r="DO11" s="34"/>
      <c r="DP11" s="34"/>
      <c r="DQ11" s="34"/>
      <c r="DR11" s="34"/>
      <c r="DS11" s="34"/>
      <c r="DT11" s="7"/>
      <c r="DU11" s="34"/>
      <c r="DV11" s="34"/>
      <c r="DW11" s="34"/>
      <c r="DX11" s="34"/>
      <c r="DY11" s="34"/>
      <c r="DZ11" s="34"/>
      <c r="EA11" s="7"/>
      <c r="EB11" s="34"/>
      <c r="EC11" s="34"/>
      <c r="ED11" s="34"/>
      <c r="EE11" s="34"/>
      <c r="EF11" s="34"/>
      <c r="EG11" s="34"/>
      <c r="EH11" s="7"/>
      <c r="EI11" s="34"/>
      <c r="EJ11" s="34"/>
      <c r="EK11" s="34"/>
      <c r="EL11" s="34"/>
      <c r="EM11" s="34"/>
      <c r="EN11" s="34"/>
      <c r="EO11" s="7"/>
      <c r="EP11" s="34"/>
      <c r="EQ11" s="34"/>
      <c r="ER11" s="34"/>
      <c r="ES11" s="34"/>
      <c r="ET11" s="34"/>
      <c r="EU11" s="34"/>
      <c r="EV11" s="7"/>
      <c r="EW11" s="34"/>
      <c r="EX11" s="34"/>
      <c r="EY11" s="34"/>
      <c r="EZ11" s="34"/>
      <c r="FA11" s="34"/>
      <c r="FB11" s="34"/>
      <c r="FC11" s="7"/>
      <c r="FD11" s="34"/>
      <c r="FE11" s="34"/>
      <c r="FF11" s="34"/>
      <c r="FG11" s="34"/>
      <c r="FH11" s="34"/>
      <c r="FI11" s="34"/>
      <c r="FJ11" s="7"/>
      <c r="FK11" s="34"/>
      <c r="FL11" s="34"/>
      <c r="FM11" s="34"/>
      <c r="FN11" s="34"/>
      <c r="FO11" s="34"/>
      <c r="FP11" s="34"/>
      <c r="FQ11" s="7"/>
      <c r="FR11" s="34"/>
      <c r="FS11" s="34"/>
      <c r="FT11" s="34"/>
      <c r="FU11" s="34"/>
      <c r="FV11" s="34"/>
      <c r="FW11" s="34"/>
      <c r="FX11" s="7"/>
      <c r="FY11" s="34"/>
      <c r="FZ11" s="34"/>
      <c r="GA11" s="34"/>
      <c r="GB11" s="34"/>
      <c r="GC11" s="34"/>
      <c r="GD11" s="34"/>
      <c r="GE11" s="7"/>
      <c r="GF11" s="34"/>
      <c r="GG11" s="34"/>
      <c r="GH11" s="34"/>
      <c r="GI11" s="34"/>
      <c r="GJ11" s="34"/>
      <c r="GK11" s="34"/>
      <c r="GL11" s="7"/>
      <c r="GM11" s="34"/>
      <c r="GN11" s="34"/>
      <c r="GO11" s="34"/>
      <c r="GP11" s="34"/>
      <c r="GQ11" s="34"/>
      <c r="GR11" s="34"/>
      <c r="GS11" s="7"/>
      <c r="GT11" s="34"/>
      <c r="GU11" s="34"/>
      <c r="GV11" s="34"/>
      <c r="GW11" s="34"/>
      <c r="GX11" s="34"/>
      <c r="GY11" s="34"/>
      <c r="GZ11" s="7"/>
      <c r="HA11" s="34"/>
      <c r="HB11" s="34"/>
      <c r="HC11" s="34"/>
      <c r="HD11" s="34"/>
      <c r="HE11" s="34"/>
      <c r="HF11" s="34"/>
      <c r="HG11" s="7"/>
      <c r="HH11" s="34"/>
      <c r="HI11" s="34"/>
      <c r="HJ11" s="34"/>
      <c r="HK11" s="34"/>
      <c r="HL11" s="34"/>
      <c r="HM11" s="34"/>
      <c r="HN11" s="7"/>
      <c r="HO11" s="34"/>
      <c r="HP11" s="34"/>
      <c r="HQ11" s="34"/>
    </row>
    <row r="12" spans="1:236" x14ac:dyDescent="0.25">
      <c r="A12" s="88" t="s">
        <v>132</v>
      </c>
      <c r="B12" s="88"/>
      <c r="C12" s="88" t="s">
        <v>131</v>
      </c>
      <c r="D12" s="88" t="s">
        <v>130</v>
      </c>
      <c r="E12" s="88" t="str">
        <f t="shared" si="7"/>
        <v>Ylva Völker</v>
      </c>
      <c r="F12" s="88"/>
      <c r="G12" s="183"/>
      <c r="H12" s="162">
        <v>39280</v>
      </c>
      <c r="I12" s="89" t="str">
        <f t="shared" si="4"/>
        <v>YV</v>
      </c>
      <c r="J12" s="200" t="s">
        <v>851</v>
      </c>
      <c r="K12" s="88">
        <f t="shared" si="5"/>
        <v>5</v>
      </c>
      <c r="L12" s="193">
        <f t="shared" si="6"/>
        <v>55.555555555555557</v>
      </c>
      <c r="M12" s="204"/>
      <c r="N12" s="205"/>
      <c r="O12" s="93"/>
      <c r="P12" s="93"/>
      <c r="Q12" s="93"/>
      <c r="R12" s="93"/>
      <c r="S12" s="92"/>
      <c r="T12" s="205"/>
      <c r="U12" s="205"/>
      <c r="V12" s="93"/>
      <c r="W12" s="93"/>
      <c r="X12" s="93"/>
      <c r="Y12" s="93"/>
      <c r="Z12" s="92"/>
      <c r="AA12" s="205"/>
      <c r="AB12" s="205"/>
      <c r="AC12" s="93"/>
      <c r="AD12" s="138" t="s">
        <v>765</v>
      </c>
      <c r="AE12" s="138" t="s">
        <v>765</v>
      </c>
      <c r="AF12" s="138" t="s">
        <v>765</v>
      </c>
      <c r="AG12" s="207"/>
      <c r="AH12" s="138"/>
      <c r="AI12" s="138" t="s">
        <v>765</v>
      </c>
      <c r="AJ12" s="138"/>
      <c r="AK12" s="138" t="s">
        <v>765</v>
      </c>
      <c r="AL12" s="138" t="s">
        <v>765</v>
      </c>
      <c r="AM12" s="138"/>
      <c r="AN12" s="207"/>
      <c r="AO12" s="138"/>
      <c r="AP12" s="138" t="s">
        <v>765</v>
      </c>
      <c r="AQ12" s="138"/>
      <c r="AR12" s="138" t="s">
        <v>765</v>
      </c>
      <c r="AS12" s="93">
        <v>1</v>
      </c>
      <c r="AT12" s="93">
        <v>1</v>
      </c>
      <c r="AU12" s="92"/>
      <c r="AV12" s="93"/>
      <c r="AW12" s="93"/>
      <c r="AX12" s="93"/>
      <c r="AY12" s="93">
        <v>1</v>
      </c>
      <c r="AZ12" s="93">
        <v>1</v>
      </c>
      <c r="BA12" s="93"/>
      <c r="BB12" s="92"/>
      <c r="BC12" s="93">
        <v>1</v>
      </c>
      <c r="BD12" s="93"/>
      <c r="BE12" s="93"/>
      <c r="BF12" s="93"/>
      <c r="BG12" s="93"/>
      <c r="BH12" s="93"/>
      <c r="BI12" s="92"/>
      <c r="BJ12" s="93"/>
      <c r="BK12" s="93"/>
      <c r="BL12" s="93"/>
      <c r="BM12" s="93"/>
      <c r="BN12" s="93"/>
      <c r="BO12" s="93"/>
      <c r="BP12" s="92"/>
      <c r="BQ12" s="93"/>
      <c r="BR12" s="93"/>
      <c r="BS12" s="93"/>
      <c r="BT12" s="93"/>
      <c r="BU12" s="93"/>
      <c r="BV12" s="93"/>
      <c r="BW12" s="92"/>
      <c r="BX12" s="93"/>
      <c r="BY12" s="93"/>
      <c r="BZ12" s="93"/>
      <c r="CA12" s="93"/>
      <c r="CB12" s="93"/>
      <c r="CC12" s="93"/>
      <c r="CD12" s="92"/>
      <c r="CE12" s="93"/>
      <c r="CF12" s="93"/>
      <c r="CG12" s="93"/>
      <c r="CH12" s="93"/>
      <c r="CI12" s="93"/>
      <c r="CJ12" s="93"/>
      <c r="CK12" s="92"/>
      <c r="CL12" s="93"/>
      <c r="CM12" s="93"/>
      <c r="CN12" s="93"/>
      <c r="CO12" s="93"/>
      <c r="CP12" s="93"/>
      <c r="CQ12" s="93"/>
      <c r="CR12" s="92"/>
      <c r="CS12" s="93"/>
      <c r="CT12" s="93"/>
      <c r="CU12" s="93"/>
      <c r="CV12" s="93"/>
      <c r="CW12" s="93"/>
      <c r="CX12" s="93"/>
      <c r="CY12" s="92"/>
      <c r="CZ12" s="93"/>
      <c r="DA12" s="93"/>
      <c r="DB12" s="93"/>
      <c r="DC12" s="93"/>
      <c r="DD12" s="93"/>
      <c r="DE12" s="93"/>
      <c r="DF12" s="92"/>
      <c r="DG12" s="93"/>
      <c r="DH12" s="93"/>
      <c r="DI12" s="93"/>
      <c r="DJ12" s="93"/>
      <c r="DK12" s="93"/>
      <c r="DL12" s="93"/>
      <c r="DM12" s="92"/>
      <c r="DN12" s="93"/>
      <c r="DO12" s="93"/>
      <c r="DP12" s="93"/>
      <c r="DQ12" s="93"/>
      <c r="DR12" s="93"/>
      <c r="DS12" s="93"/>
      <c r="DT12" s="92"/>
      <c r="DU12" s="93"/>
      <c r="DV12" s="93"/>
      <c r="DW12" s="93"/>
      <c r="DX12" s="93"/>
      <c r="DY12" s="93"/>
      <c r="DZ12" s="93"/>
      <c r="EA12" s="92"/>
      <c r="EB12" s="93"/>
      <c r="EC12" s="93"/>
      <c r="ED12" s="93"/>
      <c r="EE12" s="93"/>
      <c r="EF12" s="93"/>
      <c r="EG12" s="93"/>
      <c r="EH12" s="92"/>
      <c r="EI12" s="93"/>
      <c r="EJ12" s="93"/>
      <c r="EK12" s="93"/>
      <c r="EL12" s="93"/>
      <c r="EM12" s="93"/>
      <c r="EN12" s="93"/>
      <c r="EO12" s="92"/>
      <c r="EP12" s="93"/>
      <c r="EQ12" s="93"/>
      <c r="ER12" s="93"/>
      <c r="ES12" s="93"/>
      <c r="ET12" s="93"/>
      <c r="EU12" s="93"/>
      <c r="EV12" s="92"/>
      <c r="EW12" s="93"/>
      <c r="EX12" s="93"/>
      <c r="EY12" s="93"/>
      <c r="EZ12" s="93"/>
      <c r="FA12" s="93"/>
      <c r="FB12" s="93"/>
      <c r="FC12" s="92"/>
      <c r="FD12" s="93"/>
      <c r="FE12" s="93"/>
      <c r="FF12" s="93"/>
      <c r="FG12" s="93"/>
      <c r="FH12" s="93"/>
      <c r="FI12" s="93"/>
      <c r="FJ12" s="92"/>
      <c r="FK12" s="93"/>
      <c r="FL12" s="93"/>
      <c r="FM12" s="93"/>
      <c r="FN12" s="93"/>
      <c r="FO12" s="93"/>
      <c r="FP12" s="93"/>
      <c r="FQ12" s="92"/>
      <c r="FR12" s="93"/>
      <c r="FS12" s="93"/>
      <c r="FT12" s="93"/>
      <c r="FU12" s="93"/>
      <c r="FV12" s="93"/>
      <c r="FW12" s="93"/>
      <c r="FX12" s="92"/>
      <c r="FY12" s="93"/>
      <c r="FZ12" s="93"/>
      <c r="GA12" s="93"/>
      <c r="GB12" s="93"/>
      <c r="GC12" s="93"/>
      <c r="GD12" s="93"/>
      <c r="GE12" s="92"/>
      <c r="GF12" s="93"/>
      <c r="GG12" s="93"/>
      <c r="GH12" s="93"/>
      <c r="GI12" s="93"/>
      <c r="GJ12" s="93"/>
      <c r="GK12" s="93"/>
      <c r="GL12" s="92"/>
      <c r="GM12" s="93"/>
      <c r="GN12" s="93"/>
      <c r="GO12" s="93"/>
      <c r="GP12" s="93"/>
      <c r="GQ12" s="93"/>
      <c r="GR12" s="93"/>
      <c r="GS12" s="92"/>
      <c r="GT12" s="93"/>
      <c r="GU12" s="93"/>
      <c r="GV12" s="93"/>
      <c r="GW12" s="93"/>
      <c r="GX12" s="93"/>
      <c r="GY12" s="93"/>
      <c r="GZ12" s="92"/>
      <c r="HA12" s="93"/>
      <c r="HB12" s="93"/>
      <c r="HC12" s="93"/>
      <c r="HD12" s="93"/>
      <c r="HE12" s="93"/>
      <c r="HF12" s="93"/>
      <c r="HG12" s="92"/>
      <c r="HH12" s="93"/>
      <c r="HI12" s="93"/>
      <c r="HJ12" s="93"/>
      <c r="HK12" s="93"/>
      <c r="HL12" s="93"/>
      <c r="HM12" s="93"/>
      <c r="HN12" s="92"/>
      <c r="HO12" s="93"/>
      <c r="HP12" s="93"/>
      <c r="HQ12" s="34"/>
    </row>
    <row r="13" spans="1:236" ht="15.75" thickBot="1" x14ac:dyDescent="0.3">
      <c r="A13" s="10" t="s">
        <v>644</v>
      </c>
      <c r="B13" s="19" t="s">
        <v>23</v>
      </c>
      <c r="C13" s="19" t="s">
        <v>645</v>
      </c>
      <c r="D13" s="19" t="s">
        <v>646</v>
      </c>
      <c r="E13" s="19" t="str">
        <f t="shared" si="7"/>
        <v>Karl Gorton</v>
      </c>
      <c r="F13" s="19" t="s">
        <v>689</v>
      </c>
      <c r="G13" s="182" t="s">
        <v>716</v>
      </c>
      <c r="H13" s="56"/>
      <c r="I13" s="180" t="str">
        <f t="shared" si="4"/>
        <v>BG</v>
      </c>
      <c r="J13" s="10" t="s">
        <v>851</v>
      </c>
      <c r="K13" s="169">
        <f t="shared" si="5"/>
        <v>17</v>
      </c>
      <c r="L13" s="192">
        <f t="shared" si="6"/>
        <v>100</v>
      </c>
      <c r="M13" s="148"/>
      <c r="N13" s="148"/>
      <c r="O13" s="34"/>
      <c r="P13" s="148"/>
      <c r="Q13" s="148"/>
      <c r="R13" s="148"/>
      <c r="S13" s="7"/>
      <c r="T13" s="148"/>
      <c r="U13" s="148"/>
      <c r="V13" s="34"/>
      <c r="W13" s="148"/>
      <c r="X13" s="148"/>
      <c r="Y13" s="34"/>
      <c r="Z13" s="7"/>
      <c r="AA13" s="148"/>
      <c r="AB13" s="148"/>
      <c r="AC13" s="34"/>
      <c r="AD13" s="148">
        <v>1</v>
      </c>
      <c r="AE13" s="148">
        <v>1</v>
      </c>
      <c r="AF13" s="148">
        <v>1</v>
      </c>
      <c r="AG13" s="7"/>
      <c r="AH13" s="34"/>
      <c r="AI13" s="148">
        <v>1</v>
      </c>
      <c r="AJ13" s="34"/>
      <c r="AK13" s="148">
        <v>1</v>
      </c>
      <c r="AL13" s="148">
        <v>1</v>
      </c>
      <c r="AM13" s="34"/>
      <c r="AN13" s="7"/>
      <c r="AO13" s="34"/>
      <c r="AP13" s="148">
        <v>1</v>
      </c>
      <c r="AQ13" s="34"/>
      <c r="AR13" s="34">
        <v>1</v>
      </c>
      <c r="AS13" s="148">
        <v>1</v>
      </c>
      <c r="AT13" s="148">
        <v>1</v>
      </c>
      <c r="AU13" s="7"/>
      <c r="AV13" s="34"/>
      <c r="AW13" s="148">
        <v>1</v>
      </c>
      <c r="AX13" s="34"/>
      <c r="AY13" s="148">
        <v>1</v>
      </c>
      <c r="AZ13" s="148">
        <v>1</v>
      </c>
      <c r="BA13" s="34"/>
      <c r="BB13" s="7"/>
      <c r="BC13" s="148">
        <v>1</v>
      </c>
      <c r="BD13" s="148">
        <v>1</v>
      </c>
      <c r="BE13" s="34"/>
      <c r="BF13" s="148">
        <v>1</v>
      </c>
      <c r="BG13" s="148">
        <v>1</v>
      </c>
      <c r="BH13" s="34"/>
      <c r="BI13" s="7"/>
      <c r="BJ13" s="34"/>
      <c r="BK13" s="34"/>
      <c r="BL13" s="34"/>
      <c r="BM13" s="34"/>
      <c r="BN13" s="34"/>
      <c r="BO13" s="34"/>
      <c r="BP13" s="7"/>
      <c r="BQ13" s="34"/>
      <c r="BR13" s="34"/>
      <c r="BS13" s="34"/>
      <c r="BT13" s="34"/>
      <c r="BU13" s="34"/>
      <c r="BV13" s="34"/>
      <c r="BW13" s="7"/>
      <c r="BX13" s="34"/>
      <c r="BY13" s="34"/>
      <c r="BZ13" s="34"/>
      <c r="CA13" s="34"/>
      <c r="CB13" s="34"/>
      <c r="CC13" s="34"/>
      <c r="CD13" s="7"/>
      <c r="CE13" s="34"/>
      <c r="CF13" s="34"/>
      <c r="CG13" s="34"/>
      <c r="CH13" s="34"/>
      <c r="CI13" s="34"/>
      <c r="CJ13" s="34"/>
      <c r="CK13" s="7"/>
      <c r="CL13" s="34"/>
      <c r="CM13" s="34"/>
      <c r="CN13" s="34"/>
      <c r="CO13" s="34"/>
      <c r="CP13" s="34"/>
      <c r="CQ13" s="34"/>
      <c r="CR13" s="7"/>
      <c r="CS13" s="34"/>
      <c r="CT13" s="34"/>
      <c r="CU13" s="34"/>
      <c r="CV13" s="34"/>
      <c r="CW13" s="34"/>
      <c r="CX13" s="34"/>
      <c r="CY13" s="7"/>
      <c r="CZ13" s="34"/>
      <c r="DA13" s="34"/>
      <c r="DB13" s="34"/>
      <c r="DC13" s="34"/>
      <c r="DD13" s="34"/>
      <c r="DE13" s="34"/>
      <c r="DF13" s="7"/>
      <c r="DG13" s="34"/>
      <c r="DH13" s="34"/>
      <c r="DI13" s="34"/>
      <c r="DJ13" s="34"/>
      <c r="DK13" s="34"/>
      <c r="DL13" s="34"/>
      <c r="DM13" s="7"/>
      <c r="DN13" s="34"/>
      <c r="DO13" s="34"/>
      <c r="DP13" s="34"/>
      <c r="DQ13" s="34"/>
      <c r="DR13" s="34"/>
      <c r="DS13" s="34"/>
      <c r="DT13" s="7"/>
      <c r="DU13" s="34"/>
      <c r="DV13" s="34"/>
      <c r="DW13" s="34"/>
      <c r="DX13" s="34"/>
      <c r="DY13" s="34"/>
      <c r="DZ13" s="34"/>
      <c r="EA13" s="7"/>
      <c r="EB13" s="34"/>
      <c r="EC13" s="34"/>
      <c r="ED13" s="34"/>
      <c r="EE13" s="34"/>
      <c r="EF13" s="34"/>
      <c r="EG13" s="34"/>
      <c r="EH13" s="7"/>
      <c r="EI13" s="34"/>
      <c r="EJ13" s="34"/>
      <c r="EK13" s="34"/>
      <c r="EL13" s="34"/>
      <c r="EM13" s="34"/>
      <c r="EN13" s="34"/>
      <c r="EO13" s="7"/>
      <c r="EP13" s="34"/>
      <c r="EQ13" s="34"/>
      <c r="ER13" s="34"/>
      <c r="ES13" s="34"/>
      <c r="ET13" s="34"/>
      <c r="EU13" s="34"/>
      <c r="EV13" s="7"/>
      <c r="EW13" s="34"/>
      <c r="EX13" s="34"/>
      <c r="EY13" s="34"/>
      <c r="EZ13" s="34"/>
      <c r="FA13" s="34"/>
      <c r="FB13" s="34"/>
      <c r="FC13" s="7"/>
      <c r="FD13" s="34"/>
      <c r="FE13" s="34"/>
      <c r="FF13" s="34"/>
      <c r="FG13" s="34"/>
      <c r="FH13" s="34"/>
      <c r="FI13" s="34"/>
      <c r="FJ13" s="7"/>
      <c r="FK13" s="34"/>
      <c r="FL13" s="34"/>
      <c r="FM13" s="34"/>
      <c r="FN13" s="34"/>
      <c r="FO13" s="34"/>
      <c r="FP13" s="34"/>
      <c r="FQ13" s="7"/>
      <c r="FR13" s="34"/>
      <c r="FS13" s="34"/>
      <c r="FT13" s="34"/>
      <c r="FU13" s="34"/>
      <c r="FV13" s="34"/>
      <c r="FW13" s="34"/>
      <c r="FX13" s="7"/>
      <c r="FY13" s="34"/>
      <c r="FZ13" s="34"/>
      <c r="GA13" s="34"/>
      <c r="GB13" s="34"/>
      <c r="GC13" s="34"/>
      <c r="GD13" s="34"/>
      <c r="GE13" s="7"/>
      <c r="GF13" s="34"/>
      <c r="GG13" s="34"/>
      <c r="GH13" s="34"/>
      <c r="GI13" s="34"/>
      <c r="GJ13" s="34"/>
      <c r="GK13" s="34"/>
      <c r="GL13" s="7"/>
      <c r="GM13" s="34"/>
      <c r="GN13" s="34"/>
      <c r="GO13" s="34"/>
      <c r="GP13" s="34"/>
      <c r="GQ13" s="34"/>
      <c r="GR13" s="34"/>
      <c r="GS13" s="7"/>
      <c r="GT13" s="34"/>
      <c r="GU13" s="34"/>
      <c r="GV13" s="34"/>
      <c r="GW13" s="34"/>
      <c r="GX13" s="34"/>
      <c r="GY13" s="34"/>
      <c r="GZ13" s="7"/>
      <c r="HA13" s="34"/>
      <c r="HB13" s="34"/>
      <c r="HC13" s="34"/>
      <c r="HD13" s="34"/>
      <c r="HE13" s="34"/>
      <c r="HF13" s="34"/>
      <c r="HG13" s="7"/>
      <c r="HH13" s="34"/>
      <c r="HI13" s="34"/>
      <c r="HJ13" s="34"/>
      <c r="HK13" s="34"/>
      <c r="HL13" s="34"/>
      <c r="HM13" s="34"/>
      <c r="HN13" s="7"/>
      <c r="HO13" s="34"/>
      <c r="HP13" s="34"/>
      <c r="HQ13" s="34"/>
    </row>
    <row r="14" spans="1:236" x14ac:dyDescent="0.25">
      <c r="A14" s="212" t="s">
        <v>647</v>
      </c>
      <c r="B14" s="213"/>
      <c r="C14" s="213"/>
      <c r="D14" s="213"/>
      <c r="E14" s="213"/>
      <c r="F14" s="213"/>
      <c r="G14" s="213"/>
      <c r="H14" s="214"/>
      <c r="I14" s="181" t="str">
        <f>"#1|" &amp; A14</f>
        <v>#1|Spielerinnen</v>
      </c>
      <c r="J14" s="177"/>
      <c r="K14" s="188">
        <f>SUM(K3:K12) / (7)</f>
        <v>15.428571428571429</v>
      </c>
      <c r="L14" s="187">
        <f t="shared" ref="L14:L15" si="11">K14/K$16 * 100</f>
        <v>90.756302521008408</v>
      </c>
      <c r="M14" s="186" t="str">
        <f t="shared" ref="M14:BX14" si="12">IF(SUM(M3:M12) &gt; 0, SUM(M3:M12), "")</f>
        <v/>
      </c>
      <c r="N14" s="150" t="str">
        <f t="shared" si="12"/>
        <v/>
      </c>
      <c r="O14" s="150" t="str">
        <f t="shared" si="12"/>
        <v/>
      </c>
      <c r="P14" s="150" t="str">
        <f t="shared" si="12"/>
        <v/>
      </c>
      <c r="Q14" s="150" t="str">
        <f t="shared" si="12"/>
        <v/>
      </c>
      <c r="R14" s="150" t="str">
        <f t="shared" si="12"/>
        <v/>
      </c>
      <c r="S14" s="166" t="str">
        <f t="shared" si="12"/>
        <v/>
      </c>
      <c r="T14" s="186" t="str">
        <f t="shared" si="12"/>
        <v/>
      </c>
      <c r="U14" s="150" t="str">
        <f t="shared" si="12"/>
        <v/>
      </c>
      <c r="V14" s="150" t="str">
        <f t="shared" si="12"/>
        <v/>
      </c>
      <c r="W14" s="150" t="str">
        <f t="shared" si="12"/>
        <v/>
      </c>
      <c r="X14" s="150" t="str">
        <f t="shared" si="12"/>
        <v/>
      </c>
      <c r="Y14" s="150" t="str">
        <f t="shared" si="12"/>
        <v/>
      </c>
      <c r="Z14" s="166" t="str">
        <f t="shared" si="12"/>
        <v/>
      </c>
      <c r="AA14" s="186" t="str">
        <f t="shared" si="12"/>
        <v/>
      </c>
      <c r="AB14" s="150" t="str">
        <f t="shared" si="12"/>
        <v/>
      </c>
      <c r="AC14" s="150" t="str">
        <f t="shared" si="12"/>
        <v/>
      </c>
      <c r="AD14" s="150">
        <f t="shared" si="12"/>
        <v>7</v>
      </c>
      <c r="AE14" s="150">
        <f t="shared" si="12"/>
        <v>6</v>
      </c>
      <c r="AF14" s="150">
        <f t="shared" si="12"/>
        <v>6</v>
      </c>
      <c r="AG14" s="166" t="str">
        <f t="shared" si="12"/>
        <v/>
      </c>
      <c r="AH14" s="186" t="str">
        <f t="shared" si="12"/>
        <v/>
      </c>
      <c r="AI14" s="150">
        <f t="shared" si="12"/>
        <v>5</v>
      </c>
      <c r="AJ14" s="150" t="str">
        <f t="shared" si="12"/>
        <v/>
      </c>
      <c r="AK14" s="150">
        <f t="shared" si="12"/>
        <v>6</v>
      </c>
      <c r="AL14" s="150">
        <f t="shared" si="12"/>
        <v>6</v>
      </c>
      <c r="AM14" s="150" t="str">
        <f t="shared" si="12"/>
        <v/>
      </c>
      <c r="AN14" s="166" t="str">
        <f t="shared" si="12"/>
        <v/>
      </c>
      <c r="AO14" s="186" t="str">
        <f t="shared" si="12"/>
        <v/>
      </c>
      <c r="AP14" s="150">
        <f t="shared" si="12"/>
        <v>5</v>
      </c>
      <c r="AQ14" s="150" t="str">
        <f t="shared" si="12"/>
        <v/>
      </c>
      <c r="AR14" s="150">
        <f t="shared" si="12"/>
        <v>4</v>
      </c>
      <c r="AS14" s="150">
        <f t="shared" si="12"/>
        <v>8</v>
      </c>
      <c r="AT14" s="150">
        <f t="shared" si="12"/>
        <v>8</v>
      </c>
      <c r="AU14" s="166" t="str">
        <f t="shared" si="12"/>
        <v/>
      </c>
      <c r="AV14" s="186" t="str">
        <f t="shared" si="12"/>
        <v/>
      </c>
      <c r="AW14" s="150">
        <f t="shared" si="12"/>
        <v>6</v>
      </c>
      <c r="AX14" s="150" t="str">
        <f t="shared" si="12"/>
        <v/>
      </c>
      <c r="AY14" s="150">
        <f t="shared" si="12"/>
        <v>8</v>
      </c>
      <c r="AZ14" s="150">
        <f t="shared" si="12"/>
        <v>7</v>
      </c>
      <c r="BA14" s="150" t="str">
        <f t="shared" si="12"/>
        <v/>
      </c>
      <c r="BB14" s="166" t="str">
        <f t="shared" si="12"/>
        <v/>
      </c>
      <c r="BC14" s="186">
        <f t="shared" si="12"/>
        <v>7</v>
      </c>
      <c r="BD14" s="150">
        <f t="shared" si="12"/>
        <v>4</v>
      </c>
      <c r="BE14" s="150" t="str">
        <f t="shared" si="12"/>
        <v/>
      </c>
      <c r="BF14" s="150">
        <f t="shared" si="12"/>
        <v>8</v>
      </c>
      <c r="BG14" s="150">
        <f t="shared" si="12"/>
        <v>7</v>
      </c>
      <c r="BH14" s="150" t="str">
        <f t="shared" si="12"/>
        <v/>
      </c>
      <c r="BI14" s="166" t="str">
        <f t="shared" si="12"/>
        <v/>
      </c>
      <c r="BJ14" s="186" t="str">
        <f t="shared" si="12"/>
        <v/>
      </c>
      <c r="BK14" s="150" t="str">
        <f t="shared" si="12"/>
        <v/>
      </c>
      <c r="BL14" s="150" t="str">
        <f t="shared" si="12"/>
        <v/>
      </c>
      <c r="BM14" s="150" t="str">
        <f t="shared" si="12"/>
        <v/>
      </c>
      <c r="BN14" s="150" t="str">
        <f t="shared" si="12"/>
        <v/>
      </c>
      <c r="BO14" s="150" t="str">
        <f t="shared" si="12"/>
        <v/>
      </c>
      <c r="BP14" s="166" t="str">
        <f t="shared" si="12"/>
        <v/>
      </c>
      <c r="BQ14" s="186" t="str">
        <f t="shared" si="12"/>
        <v/>
      </c>
      <c r="BR14" s="150" t="str">
        <f t="shared" si="12"/>
        <v/>
      </c>
      <c r="BS14" s="150" t="str">
        <f t="shared" si="12"/>
        <v/>
      </c>
      <c r="BT14" s="150" t="str">
        <f t="shared" si="12"/>
        <v/>
      </c>
      <c r="BU14" s="150" t="str">
        <f t="shared" si="12"/>
        <v/>
      </c>
      <c r="BV14" s="150" t="str">
        <f t="shared" si="12"/>
        <v/>
      </c>
      <c r="BW14" s="166" t="str">
        <f t="shared" si="12"/>
        <v/>
      </c>
      <c r="BX14" s="186" t="str">
        <f t="shared" si="12"/>
        <v/>
      </c>
      <c r="BY14" s="150" t="str">
        <f t="shared" ref="BY14:EJ14" si="13">IF(SUM(BY3:BY12) &gt; 0, SUM(BY3:BY12), "")</f>
        <v/>
      </c>
      <c r="BZ14" s="150" t="str">
        <f t="shared" si="13"/>
        <v/>
      </c>
      <c r="CA14" s="150" t="str">
        <f t="shared" si="13"/>
        <v/>
      </c>
      <c r="CB14" s="150" t="str">
        <f t="shared" si="13"/>
        <v/>
      </c>
      <c r="CC14" s="150" t="str">
        <f t="shared" si="13"/>
        <v/>
      </c>
      <c r="CD14" s="166" t="str">
        <f t="shared" si="13"/>
        <v/>
      </c>
      <c r="CE14" s="186" t="str">
        <f t="shared" si="13"/>
        <v/>
      </c>
      <c r="CF14" s="150" t="str">
        <f t="shared" si="13"/>
        <v/>
      </c>
      <c r="CG14" s="150" t="str">
        <f t="shared" si="13"/>
        <v/>
      </c>
      <c r="CH14" s="150" t="str">
        <f t="shared" si="13"/>
        <v/>
      </c>
      <c r="CI14" s="150" t="str">
        <f t="shared" si="13"/>
        <v/>
      </c>
      <c r="CJ14" s="150" t="str">
        <f t="shared" si="13"/>
        <v/>
      </c>
      <c r="CK14" s="166" t="str">
        <f t="shared" si="13"/>
        <v/>
      </c>
      <c r="CL14" s="186" t="str">
        <f t="shared" si="13"/>
        <v/>
      </c>
      <c r="CM14" s="150" t="str">
        <f t="shared" si="13"/>
        <v/>
      </c>
      <c r="CN14" s="150" t="str">
        <f t="shared" si="13"/>
        <v/>
      </c>
      <c r="CO14" s="150" t="str">
        <f t="shared" si="13"/>
        <v/>
      </c>
      <c r="CP14" s="150" t="str">
        <f t="shared" si="13"/>
        <v/>
      </c>
      <c r="CQ14" s="150" t="str">
        <f t="shared" si="13"/>
        <v/>
      </c>
      <c r="CR14" s="166" t="str">
        <f t="shared" si="13"/>
        <v/>
      </c>
      <c r="CS14" s="186" t="str">
        <f t="shared" si="13"/>
        <v/>
      </c>
      <c r="CT14" s="150" t="str">
        <f t="shared" si="13"/>
        <v/>
      </c>
      <c r="CU14" s="150" t="str">
        <f t="shared" si="13"/>
        <v/>
      </c>
      <c r="CV14" s="150" t="str">
        <f t="shared" si="13"/>
        <v/>
      </c>
      <c r="CW14" s="150" t="str">
        <f t="shared" si="13"/>
        <v/>
      </c>
      <c r="CX14" s="150" t="str">
        <f t="shared" si="13"/>
        <v/>
      </c>
      <c r="CY14" s="166" t="str">
        <f t="shared" si="13"/>
        <v/>
      </c>
      <c r="CZ14" s="186" t="str">
        <f t="shared" si="13"/>
        <v/>
      </c>
      <c r="DA14" s="150" t="str">
        <f t="shared" si="13"/>
        <v/>
      </c>
      <c r="DB14" s="150" t="str">
        <f t="shared" si="13"/>
        <v/>
      </c>
      <c r="DC14" s="150" t="str">
        <f t="shared" si="13"/>
        <v/>
      </c>
      <c r="DD14" s="150" t="str">
        <f t="shared" si="13"/>
        <v/>
      </c>
      <c r="DE14" s="150" t="str">
        <f t="shared" si="13"/>
        <v/>
      </c>
      <c r="DF14" s="166" t="str">
        <f t="shared" si="13"/>
        <v/>
      </c>
      <c r="DG14" s="186" t="str">
        <f t="shared" si="13"/>
        <v/>
      </c>
      <c r="DH14" s="150" t="str">
        <f t="shared" si="13"/>
        <v/>
      </c>
      <c r="DI14" s="150" t="str">
        <f t="shared" si="13"/>
        <v/>
      </c>
      <c r="DJ14" s="150" t="str">
        <f t="shared" si="13"/>
        <v/>
      </c>
      <c r="DK14" s="150" t="str">
        <f t="shared" si="13"/>
        <v/>
      </c>
      <c r="DL14" s="150" t="str">
        <f t="shared" si="13"/>
        <v/>
      </c>
      <c r="DM14" s="166" t="str">
        <f t="shared" si="13"/>
        <v/>
      </c>
      <c r="DN14" s="186" t="str">
        <f t="shared" si="13"/>
        <v/>
      </c>
      <c r="DO14" s="150" t="str">
        <f t="shared" si="13"/>
        <v/>
      </c>
      <c r="DP14" s="150" t="str">
        <f t="shared" si="13"/>
        <v/>
      </c>
      <c r="DQ14" s="150" t="str">
        <f t="shared" si="13"/>
        <v/>
      </c>
      <c r="DR14" s="150" t="str">
        <f t="shared" si="13"/>
        <v/>
      </c>
      <c r="DS14" s="150" t="str">
        <f t="shared" si="13"/>
        <v/>
      </c>
      <c r="DT14" s="166" t="str">
        <f t="shared" si="13"/>
        <v/>
      </c>
      <c r="DU14" s="186" t="str">
        <f t="shared" si="13"/>
        <v/>
      </c>
      <c r="DV14" s="150" t="str">
        <f t="shared" si="13"/>
        <v/>
      </c>
      <c r="DW14" s="150" t="str">
        <f t="shared" si="13"/>
        <v/>
      </c>
      <c r="DX14" s="150" t="str">
        <f t="shared" si="13"/>
        <v/>
      </c>
      <c r="DY14" s="150" t="str">
        <f t="shared" si="13"/>
        <v/>
      </c>
      <c r="DZ14" s="150" t="str">
        <f t="shared" si="13"/>
        <v/>
      </c>
      <c r="EA14" s="166" t="str">
        <f t="shared" si="13"/>
        <v/>
      </c>
      <c r="EB14" s="186" t="str">
        <f t="shared" si="13"/>
        <v/>
      </c>
      <c r="EC14" s="150" t="str">
        <f t="shared" si="13"/>
        <v/>
      </c>
      <c r="ED14" s="150" t="str">
        <f t="shared" si="13"/>
        <v/>
      </c>
      <c r="EE14" s="150" t="str">
        <f t="shared" si="13"/>
        <v/>
      </c>
      <c r="EF14" s="150" t="str">
        <f t="shared" si="13"/>
        <v/>
      </c>
      <c r="EG14" s="150" t="str">
        <f t="shared" si="13"/>
        <v/>
      </c>
      <c r="EH14" s="166" t="str">
        <f t="shared" si="13"/>
        <v/>
      </c>
      <c r="EI14" s="186" t="str">
        <f t="shared" si="13"/>
        <v/>
      </c>
      <c r="EJ14" s="150" t="str">
        <f t="shared" si="13"/>
        <v/>
      </c>
      <c r="EK14" s="150" t="str">
        <f t="shared" ref="EK14:GV14" si="14">IF(SUM(EK3:EK12) &gt; 0, SUM(EK3:EK12), "")</f>
        <v/>
      </c>
      <c r="EL14" s="150" t="str">
        <f t="shared" si="14"/>
        <v/>
      </c>
      <c r="EM14" s="150" t="str">
        <f t="shared" si="14"/>
        <v/>
      </c>
      <c r="EN14" s="150" t="str">
        <f t="shared" si="14"/>
        <v/>
      </c>
      <c r="EO14" s="166" t="str">
        <f t="shared" si="14"/>
        <v/>
      </c>
      <c r="EP14" s="186" t="str">
        <f t="shared" si="14"/>
        <v/>
      </c>
      <c r="EQ14" s="150" t="str">
        <f t="shared" si="14"/>
        <v/>
      </c>
      <c r="ER14" s="150" t="str">
        <f t="shared" si="14"/>
        <v/>
      </c>
      <c r="ES14" s="150" t="str">
        <f t="shared" si="14"/>
        <v/>
      </c>
      <c r="ET14" s="150" t="str">
        <f t="shared" si="14"/>
        <v/>
      </c>
      <c r="EU14" s="150" t="str">
        <f t="shared" si="14"/>
        <v/>
      </c>
      <c r="EV14" s="166" t="str">
        <f t="shared" si="14"/>
        <v/>
      </c>
      <c r="EW14" s="186" t="str">
        <f t="shared" si="14"/>
        <v/>
      </c>
      <c r="EX14" s="150" t="str">
        <f t="shared" si="14"/>
        <v/>
      </c>
      <c r="EY14" s="150" t="str">
        <f t="shared" si="14"/>
        <v/>
      </c>
      <c r="EZ14" s="150" t="str">
        <f t="shared" si="14"/>
        <v/>
      </c>
      <c r="FA14" s="150" t="str">
        <f t="shared" si="14"/>
        <v/>
      </c>
      <c r="FB14" s="150" t="str">
        <f t="shared" si="14"/>
        <v/>
      </c>
      <c r="FC14" s="166" t="str">
        <f t="shared" si="14"/>
        <v/>
      </c>
      <c r="FD14" s="186" t="str">
        <f t="shared" si="14"/>
        <v/>
      </c>
      <c r="FE14" s="150" t="str">
        <f t="shared" si="14"/>
        <v/>
      </c>
      <c r="FF14" s="150" t="str">
        <f t="shared" si="14"/>
        <v/>
      </c>
      <c r="FG14" s="150" t="str">
        <f t="shared" si="14"/>
        <v/>
      </c>
      <c r="FH14" s="150" t="str">
        <f t="shared" si="14"/>
        <v/>
      </c>
      <c r="FI14" s="150" t="str">
        <f t="shared" si="14"/>
        <v/>
      </c>
      <c r="FJ14" s="166" t="str">
        <f t="shared" si="14"/>
        <v/>
      </c>
      <c r="FK14" s="186" t="str">
        <f t="shared" si="14"/>
        <v/>
      </c>
      <c r="FL14" s="150" t="str">
        <f t="shared" si="14"/>
        <v/>
      </c>
      <c r="FM14" s="150" t="str">
        <f t="shared" si="14"/>
        <v/>
      </c>
      <c r="FN14" s="150" t="str">
        <f t="shared" si="14"/>
        <v/>
      </c>
      <c r="FO14" s="150" t="str">
        <f t="shared" si="14"/>
        <v/>
      </c>
      <c r="FP14" s="150" t="str">
        <f t="shared" si="14"/>
        <v/>
      </c>
      <c r="FQ14" s="166" t="str">
        <f t="shared" si="14"/>
        <v/>
      </c>
      <c r="FR14" s="186" t="str">
        <f t="shared" si="14"/>
        <v/>
      </c>
      <c r="FS14" s="150" t="str">
        <f t="shared" si="14"/>
        <v/>
      </c>
      <c r="FT14" s="150" t="str">
        <f t="shared" si="14"/>
        <v/>
      </c>
      <c r="FU14" s="150" t="str">
        <f t="shared" si="14"/>
        <v/>
      </c>
      <c r="FV14" s="150" t="str">
        <f t="shared" si="14"/>
        <v/>
      </c>
      <c r="FW14" s="150" t="str">
        <f t="shared" si="14"/>
        <v/>
      </c>
      <c r="FX14" s="166" t="str">
        <f t="shared" si="14"/>
        <v/>
      </c>
      <c r="FY14" s="186" t="str">
        <f t="shared" si="14"/>
        <v/>
      </c>
      <c r="FZ14" s="150" t="str">
        <f t="shared" si="14"/>
        <v/>
      </c>
      <c r="GA14" s="150" t="str">
        <f t="shared" si="14"/>
        <v/>
      </c>
      <c r="GB14" s="150" t="str">
        <f t="shared" si="14"/>
        <v/>
      </c>
      <c r="GC14" s="150" t="str">
        <f t="shared" si="14"/>
        <v/>
      </c>
      <c r="GD14" s="150" t="str">
        <f t="shared" si="14"/>
        <v/>
      </c>
      <c r="GE14" s="166" t="str">
        <f t="shared" si="14"/>
        <v/>
      </c>
      <c r="GF14" s="186" t="str">
        <f t="shared" si="14"/>
        <v/>
      </c>
      <c r="GG14" s="150" t="str">
        <f t="shared" si="14"/>
        <v/>
      </c>
      <c r="GH14" s="150" t="str">
        <f t="shared" si="14"/>
        <v/>
      </c>
      <c r="GI14" s="150" t="str">
        <f t="shared" si="14"/>
        <v/>
      </c>
      <c r="GJ14" s="150" t="str">
        <f t="shared" si="14"/>
        <v/>
      </c>
      <c r="GK14" s="150" t="str">
        <f t="shared" si="14"/>
        <v/>
      </c>
      <c r="GL14" s="166" t="str">
        <f t="shared" si="14"/>
        <v/>
      </c>
      <c r="GM14" s="186" t="str">
        <f t="shared" si="14"/>
        <v/>
      </c>
      <c r="GN14" s="150" t="str">
        <f t="shared" si="14"/>
        <v/>
      </c>
      <c r="GO14" s="150" t="str">
        <f t="shared" si="14"/>
        <v/>
      </c>
      <c r="GP14" s="150" t="str">
        <f t="shared" si="14"/>
        <v/>
      </c>
      <c r="GQ14" s="150" t="str">
        <f t="shared" si="14"/>
        <v/>
      </c>
      <c r="GR14" s="150" t="str">
        <f t="shared" si="14"/>
        <v/>
      </c>
      <c r="GS14" s="166" t="str">
        <f t="shared" si="14"/>
        <v/>
      </c>
      <c r="GT14" s="186" t="str">
        <f t="shared" si="14"/>
        <v/>
      </c>
      <c r="GU14" s="150" t="str">
        <f t="shared" si="14"/>
        <v/>
      </c>
      <c r="GV14" s="150" t="str">
        <f t="shared" si="14"/>
        <v/>
      </c>
      <c r="GW14" s="150" t="str">
        <f t="shared" ref="GW14:IB14" si="15">IF(SUM(GW3:GW12) &gt; 0, SUM(GW3:GW12), "")</f>
        <v/>
      </c>
      <c r="GX14" s="150" t="str">
        <f t="shared" si="15"/>
        <v/>
      </c>
      <c r="GY14" s="150" t="str">
        <f t="shared" si="15"/>
        <v/>
      </c>
      <c r="GZ14" s="166" t="str">
        <f t="shared" si="15"/>
        <v/>
      </c>
      <c r="HA14" s="186" t="str">
        <f t="shared" si="15"/>
        <v/>
      </c>
      <c r="HB14" s="150" t="str">
        <f t="shared" si="15"/>
        <v/>
      </c>
      <c r="HC14" s="150" t="str">
        <f t="shared" si="15"/>
        <v/>
      </c>
      <c r="HD14" s="150" t="str">
        <f t="shared" si="15"/>
        <v/>
      </c>
      <c r="HE14" s="150" t="str">
        <f t="shared" si="15"/>
        <v/>
      </c>
      <c r="HF14" s="150" t="str">
        <f t="shared" si="15"/>
        <v/>
      </c>
      <c r="HG14" s="166" t="str">
        <f t="shared" si="15"/>
        <v/>
      </c>
      <c r="HH14" s="186" t="str">
        <f t="shared" si="15"/>
        <v/>
      </c>
      <c r="HI14" s="150" t="str">
        <f t="shared" si="15"/>
        <v/>
      </c>
      <c r="HJ14" s="150" t="str">
        <f t="shared" si="15"/>
        <v/>
      </c>
      <c r="HK14" s="150" t="str">
        <f t="shared" si="15"/>
        <v/>
      </c>
      <c r="HL14" s="150" t="str">
        <f t="shared" si="15"/>
        <v/>
      </c>
      <c r="HM14" s="150" t="str">
        <f t="shared" si="15"/>
        <v/>
      </c>
      <c r="HN14" s="166" t="str">
        <f t="shared" si="15"/>
        <v/>
      </c>
      <c r="HO14" s="186" t="str">
        <f t="shared" si="15"/>
        <v/>
      </c>
      <c r="HP14" s="150" t="str">
        <f t="shared" si="15"/>
        <v/>
      </c>
      <c r="HQ14" s="150" t="str">
        <f t="shared" si="15"/>
        <v/>
      </c>
      <c r="HR14" s="150" t="str">
        <f t="shared" si="15"/>
        <v/>
      </c>
      <c r="HS14" s="150" t="str">
        <f t="shared" si="15"/>
        <v/>
      </c>
      <c r="HT14" s="150" t="str">
        <f t="shared" si="15"/>
        <v/>
      </c>
      <c r="HU14" s="166" t="str">
        <f t="shared" si="15"/>
        <v/>
      </c>
      <c r="HV14" s="186" t="str">
        <f t="shared" si="15"/>
        <v/>
      </c>
      <c r="HW14" s="150" t="str">
        <f t="shared" si="15"/>
        <v/>
      </c>
      <c r="HX14" s="150" t="str">
        <f t="shared" si="15"/>
        <v/>
      </c>
      <c r="HY14" s="150" t="str">
        <f t="shared" si="15"/>
        <v/>
      </c>
      <c r="HZ14" s="150" t="str">
        <f t="shared" si="15"/>
        <v/>
      </c>
      <c r="IA14" s="150" t="str">
        <f t="shared" si="15"/>
        <v/>
      </c>
      <c r="IB14" s="166" t="str">
        <f t="shared" si="15"/>
        <v/>
      </c>
    </row>
    <row r="15" spans="1:236" ht="15.75" thickBot="1" x14ac:dyDescent="0.3">
      <c r="A15" s="215" t="s">
        <v>728</v>
      </c>
      <c r="B15" s="216"/>
      <c r="C15" s="216"/>
      <c r="D15" s="216"/>
      <c r="E15" s="216"/>
      <c r="F15" s="216"/>
      <c r="G15" s="216"/>
      <c r="H15" s="217"/>
      <c r="I15" s="180" t="str">
        <f>"#2|" &amp; A15</f>
        <v>#2|Alle</v>
      </c>
      <c r="J15" s="178"/>
      <c r="K15" s="189">
        <f>SUM(K3:K13) / 8</f>
        <v>15.625</v>
      </c>
      <c r="L15" s="190">
        <f t="shared" si="11"/>
        <v>91.911764705882348</v>
      </c>
      <c r="M15" s="173" t="str">
        <f t="shared" ref="M15:BX15" si="16">IF(SUM(M3:M13) &gt; 0, SUM(M3:M13), "")</f>
        <v/>
      </c>
      <c r="N15" s="160" t="str">
        <f t="shared" si="16"/>
        <v/>
      </c>
      <c r="O15" s="160" t="str">
        <f t="shared" si="16"/>
        <v/>
      </c>
      <c r="P15" s="160" t="str">
        <f t="shared" si="16"/>
        <v/>
      </c>
      <c r="Q15" s="160" t="str">
        <f t="shared" si="16"/>
        <v/>
      </c>
      <c r="R15" s="160" t="str">
        <f t="shared" si="16"/>
        <v/>
      </c>
      <c r="S15" s="167" t="str">
        <f t="shared" si="16"/>
        <v/>
      </c>
      <c r="T15" s="173" t="str">
        <f t="shared" si="16"/>
        <v/>
      </c>
      <c r="U15" s="160" t="str">
        <f t="shared" si="16"/>
        <v/>
      </c>
      <c r="V15" s="160" t="str">
        <f t="shared" si="16"/>
        <v/>
      </c>
      <c r="W15" s="160" t="str">
        <f t="shared" si="16"/>
        <v/>
      </c>
      <c r="X15" s="160" t="str">
        <f t="shared" si="16"/>
        <v/>
      </c>
      <c r="Y15" s="160" t="str">
        <f t="shared" si="16"/>
        <v/>
      </c>
      <c r="Z15" s="167" t="str">
        <f t="shared" si="16"/>
        <v/>
      </c>
      <c r="AA15" s="173" t="str">
        <f t="shared" si="16"/>
        <v/>
      </c>
      <c r="AB15" s="160" t="str">
        <f t="shared" si="16"/>
        <v/>
      </c>
      <c r="AC15" s="160" t="str">
        <f t="shared" si="16"/>
        <v/>
      </c>
      <c r="AD15" s="160">
        <f t="shared" si="16"/>
        <v>8</v>
      </c>
      <c r="AE15" s="160">
        <f t="shared" si="16"/>
        <v>7</v>
      </c>
      <c r="AF15" s="160">
        <f t="shared" si="16"/>
        <v>7</v>
      </c>
      <c r="AG15" s="167" t="str">
        <f t="shared" si="16"/>
        <v/>
      </c>
      <c r="AH15" s="173" t="str">
        <f t="shared" si="16"/>
        <v/>
      </c>
      <c r="AI15" s="160">
        <f t="shared" si="16"/>
        <v>6</v>
      </c>
      <c r="AJ15" s="160" t="str">
        <f t="shared" si="16"/>
        <v/>
      </c>
      <c r="AK15" s="160">
        <f t="shared" si="16"/>
        <v>7</v>
      </c>
      <c r="AL15" s="160">
        <f t="shared" si="16"/>
        <v>7</v>
      </c>
      <c r="AM15" s="160" t="str">
        <f t="shared" si="16"/>
        <v/>
      </c>
      <c r="AN15" s="167" t="str">
        <f t="shared" si="16"/>
        <v/>
      </c>
      <c r="AO15" s="173" t="str">
        <f t="shared" si="16"/>
        <v/>
      </c>
      <c r="AP15" s="160">
        <f t="shared" si="16"/>
        <v>6</v>
      </c>
      <c r="AQ15" s="160" t="str">
        <f t="shared" si="16"/>
        <v/>
      </c>
      <c r="AR15" s="160">
        <f t="shared" si="16"/>
        <v>5</v>
      </c>
      <c r="AS15" s="160">
        <f t="shared" si="16"/>
        <v>9</v>
      </c>
      <c r="AT15" s="160">
        <f t="shared" si="16"/>
        <v>9</v>
      </c>
      <c r="AU15" s="167" t="str">
        <f t="shared" si="16"/>
        <v/>
      </c>
      <c r="AV15" s="173" t="str">
        <f t="shared" si="16"/>
        <v/>
      </c>
      <c r="AW15" s="160">
        <f t="shared" si="16"/>
        <v>7</v>
      </c>
      <c r="AX15" s="160" t="str">
        <f t="shared" si="16"/>
        <v/>
      </c>
      <c r="AY15" s="160">
        <f t="shared" si="16"/>
        <v>9</v>
      </c>
      <c r="AZ15" s="160">
        <f t="shared" si="16"/>
        <v>8</v>
      </c>
      <c r="BA15" s="160" t="str">
        <f t="shared" si="16"/>
        <v/>
      </c>
      <c r="BB15" s="167" t="str">
        <f t="shared" si="16"/>
        <v/>
      </c>
      <c r="BC15" s="173">
        <f t="shared" si="16"/>
        <v>8</v>
      </c>
      <c r="BD15" s="160">
        <f t="shared" si="16"/>
        <v>5</v>
      </c>
      <c r="BE15" s="160" t="str">
        <f t="shared" si="16"/>
        <v/>
      </c>
      <c r="BF15" s="160">
        <f t="shared" si="16"/>
        <v>9</v>
      </c>
      <c r="BG15" s="160">
        <f t="shared" si="16"/>
        <v>8</v>
      </c>
      <c r="BH15" s="160" t="str">
        <f t="shared" si="16"/>
        <v/>
      </c>
      <c r="BI15" s="167" t="str">
        <f t="shared" si="16"/>
        <v/>
      </c>
      <c r="BJ15" s="173" t="str">
        <f t="shared" si="16"/>
        <v/>
      </c>
      <c r="BK15" s="160" t="str">
        <f t="shared" si="16"/>
        <v/>
      </c>
      <c r="BL15" s="160" t="str">
        <f t="shared" si="16"/>
        <v/>
      </c>
      <c r="BM15" s="160" t="str">
        <f t="shared" si="16"/>
        <v/>
      </c>
      <c r="BN15" s="160" t="str">
        <f t="shared" si="16"/>
        <v/>
      </c>
      <c r="BO15" s="160" t="str">
        <f t="shared" si="16"/>
        <v/>
      </c>
      <c r="BP15" s="167" t="str">
        <f t="shared" si="16"/>
        <v/>
      </c>
      <c r="BQ15" s="173" t="str">
        <f t="shared" si="16"/>
        <v/>
      </c>
      <c r="BR15" s="160" t="str">
        <f t="shared" si="16"/>
        <v/>
      </c>
      <c r="BS15" s="160" t="str">
        <f t="shared" si="16"/>
        <v/>
      </c>
      <c r="BT15" s="160" t="str">
        <f t="shared" si="16"/>
        <v/>
      </c>
      <c r="BU15" s="160" t="str">
        <f t="shared" si="16"/>
        <v/>
      </c>
      <c r="BV15" s="160" t="str">
        <f t="shared" si="16"/>
        <v/>
      </c>
      <c r="BW15" s="167" t="str">
        <f t="shared" si="16"/>
        <v/>
      </c>
      <c r="BX15" s="173" t="str">
        <f t="shared" si="16"/>
        <v/>
      </c>
      <c r="BY15" s="160" t="str">
        <f t="shared" ref="BY15:EJ15" si="17">IF(SUM(BY3:BY13) &gt; 0, SUM(BY3:BY13), "")</f>
        <v/>
      </c>
      <c r="BZ15" s="160" t="str">
        <f t="shared" si="17"/>
        <v/>
      </c>
      <c r="CA15" s="160" t="str">
        <f t="shared" si="17"/>
        <v/>
      </c>
      <c r="CB15" s="160" t="str">
        <f t="shared" si="17"/>
        <v/>
      </c>
      <c r="CC15" s="160" t="str">
        <f t="shared" si="17"/>
        <v/>
      </c>
      <c r="CD15" s="167" t="str">
        <f t="shared" si="17"/>
        <v/>
      </c>
      <c r="CE15" s="173" t="str">
        <f t="shared" si="17"/>
        <v/>
      </c>
      <c r="CF15" s="160" t="str">
        <f t="shared" si="17"/>
        <v/>
      </c>
      <c r="CG15" s="160" t="str">
        <f t="shared" si="17"/>
        <v/>
      </c>
      <c r="CH15" s="160" t="str">
        <f t="shared" si="17"/>
        <v/>
      </c>
      <c r="CI15" s="160" t="str">
        <f t="shared" si="17"/>
        <v/>
      </c>
      <c r="CJ15" s="160" t="str">
        <f t="shared" si="17"/>
        <v/>
      </c>
      <c r="CK15" s="167" t="str">
        <f t="shared" si="17"/>
        <v/>
      </c>
      <c r="CL15" s="173" t="str">
        <f t="shared" si="17"/>
        <v/>
      </c>
      <c r="CM15" s="160" t="str">
        <f t="shared" si="17"/>
        <v/>
      </c>
      <c r="CN15" s="160" t="str">
        <f t="shared" si="17"/>
        <v/>
      </c>
      <c r="CO15" s="160" t="str">
        <f t="shared" si="17"/>
        <v/>
      </c>
      <c r="CP15" s="160" t="str">
        <f t="shared" si="17"/>
        <v/>
      </c>
      <c r="CQ15" s="160" t="str">
        <f t="shared" si="17"/>
        <v/>
      </c>
      <c r="CR15" s="167" t="str">
        <f t="shared" si="17"/>
        <v/>
      </c>
      <c r="CS15" s="173" t="str">
        <f t="shared" si="17"/>
        <v/>
      </c>
      <c r="CT15" s="160" t="str">
        <f t="shared" si="17"/>
        <v/>
      </c>
      <c r="CU15" s="160" t="str">
        <f t="shared" si="17"/>
        <v/>
      </c>
      <c r="CV15" s="160" t="str">
        <f t="shared" si="17"/>
        <v/>
      </c>
      <c r="CW15" s="160" t="str">
        <f t="shared" si="17"/>
        <v/>
      </c>
      <c r="CX15" s="160" t="str">
        <f t="shared" si="17"/>
        <v/>
      </c>
      <c r="CY15" s="167" t="str">
        <f t="shared" si="17"/>
        <v/>
      </c>
      <c r="CZ15" s="173" t="str">
        <f t="shared" si="17"/>
        <v/>
      </c>
      <c r="DA15" s="160" t="str">
        <f t="shared" si="17"/>
        <v/>
      </c>
      <c r="DB15" s="160" t="str">
        <f t="shared" si="17"/>
        <v/>
      </c>
      <c r="DC15" s="160" t="str">
        <f t="shared" si="17"/>
        <v/>
      </c>
      <c r="DD15" s="160" t="str">
        <f t="shared" si="17"/>
        <v/>
      </c>
      <c r="DE15" s="160" t="str">
        <f t="shared" si="17"/>
        <v/>
      </c>
      <c r="DF15" s="167" t="str">
        <f t="shared" si="17"/>
        <v/>
      </c>
      <c r="DG15" s="173" t="str">
        <f t="shared" si="17"/>
        <v/>
      </c>
      <c r="DH15" s="160" t="str">
        <f t="shared" si="17"/>
        <v/>
      </c>
      <c r="DI15" s="160" t="str">
        <f t="shared" si="17"/>
        <v/>
      </c>
      <c r="DJ15" s="160" t="str">
        <f t="shared" si="17"/>
        <v/>
      </c>
      <c r="DK15" s="160" t="str">
        <f t="shared" si="17"/>
        <v/>
      </c>
      <c r="DL15" s="160" t="str">
        <f t="shared" si="17"/>
        <v/>
      </c>
      <c r="DM15" s="167" t="str">
        <f t="shared" si="17"/>
        <v/>
      </c>
      <c r="DN15" s="173" t="str">
        <f t="shared" si="17"/>
        <v/>
      </c>
      <c r="DO15" s="160" t="str">
        <f t="shared" si="17"/>
        <v/>
      </c>
      <c r="DP15" s="160" t="str">
        <f t="shared" si="17"/>
        <v/>
      </c>
      <c r="DQ15" s="160" t="str">
        <f t="shared" si="17"/>
        <v/>
      </c>
      <c r="DR15" s="160" t="str">
        <f t="shared" si="17"/>
        <v/>
      </c>
      <c r="DS15" s="160" t="str">
        <f t="shared" si="17"/>
        <v/>
      </c>
      <c r="DT15" s="167" t="str">
        <f t="shared" si="17"/>
        <v/>
      </c>
      <c r="DU15" s="173" t="str">
        <f t="shared" si="17"/>
        <v/>
      </c>
      <c r="DV15" s="160" t="str">
        <f t="shared" si="17"/>
        <v/>
      </c>
      <c r="DW15" s="160" t="str">
        <f t="shared" si="17"/>
        <v/>
      </c>
      <c r="DX15" s="160" t="str">
        <f t="shared" si="17"/>
        <v/>
      </c>
      <c r="DY15" s="160" t="str">
        <f t="shared" si="17"/>
        <v/>
      </c>
      <c r="DZ15" s="160" t="str">
        <f t="shared" si="17"/>
        <v/>
      </c>
      <c r="EA15" s="167" t="str">
        <f t="shared" si="17"/>
        <v/>
      </c>
      <c r="EB15" s="173" t="str">
        <f t="shared" si="17"/>
        <v/>
      </c>
      <c r="EC15" s="160" t="str">
        <f t="shared" si="17"/>
        <v/>
      </c>
      <c r="ED15" s="160" t="str">
        <f t="shared" si="17"/>
        <v/>
      </c>
      <c r="EE15" s="160" t="str">
        <f t="shared" si="17"/>
        <v/>
      </c>
      <c r="EF15" s="160" t="str">
        <f t="shared" si="17"/>
        <v/>
      </c>
      <c r="EG15" s="160" t="str">
        <f t="shared" si="17"/>
        <v/>
      </c>
      <c r="EH15" s="167" t="str">
        <f t="shared" si="17"/>
        <v/>
      </c>
      <c r="EI15" s="173" t="str">
        <f t="shared" si="17"/>
        <v/>
      </c>
      <c r="EJ15" s="160" t="str">
        <f t="shared" si="17"/>
        <v/>
      </c>
      <c r="EK15" s="160" t="str">
        <f t="shared" ref="EK15:GV15" si="18">IF(SUM(EK3:EK13) &gt; 0, SUM(EK3:EK13), "")</f>
        <v/>
      </c>
      <c r="EL15" s="160" t="str">
        <f t="shared" si="18"/>
        <v/>
      </c>
      <c r="EM15" s="160" t="str">
        <f t="shared" si="18"/>
        <v/>
      </c>
      <c r="EN15" s="160" t="str">
        <f t="shared" si="18"/>
        <v/>
      </c>
      <c r="EO15" s="167" t="str">
        <f t="shared" si="18"/>
        <v/>
      </c>
      <c r="EP15" s="173" t="str">
        <f t="shared" si="18"/>
        <v/>
      </c>
      <c r="EQ15" s="160" t="str">
        <f t="shared" si="18"/>
        <v/>
      </c>
      <c r="ER15" s="160" t="str">
        <f t="shared" si="18"/>
        <v/>
      </c>
      <c r="ES15" s="160" t="str">
        <f t="shared" si="18"/>
        <v/>
      </c>
      <c r="ET15" s="160" t="str">
        <f t="shared" si="18"/>
        <v/>
      </c>
      <c r="EU15" s="160" t="str">
        <f t="shared" si="18"/>
        <v/>
      </c>
      <c r="EV15" s="167" t="str">
        <f t="shared" si="18"/>
        <v/>
      </c>
      <c r="EW15" s="173" t="str">
        <f t="shared" si="18"/>
        <v/>
      </c>
      <c r="EX15" s="160" t="str">
        <f t="shared" si="18"/>
        <v/>
      </c>
      <c r="EY15" s="160" t="str">
        <f t="shared" si="18"/>
        <v/>
      </c>
      <c r="EZ15" s="160" t="str">
        <f t="shared" si="18"/>
        <v/>
      </c>
      <c r="FA15" s="160" t="str">
        <f t="shared" si="18"/>
        <v/>
      </c>
      <c r="FB15" s="160" t="str">
        <f t="shared" si="18"/>
        <v/>
      </c>
      <c r="FC15" s="167" t="str">
        <f t="shared" si="18"/>
        <v/>
      </c>
      <c r="FD15" s="173" t="str">
        <f t="shared" si="18"/>
        <v/>
      </c>
      <c r="FE15" s="160" t="str">
        <f t="shared" si="18"/>
        <v/>
      </c>
      <c r="FF15" s="160" t="str">
        <f t="shared" si="18"/>
        <v/>
      </c>
      <c r="FG15" s="160" t="str">
        <f t="shared" si="18"/>
        <v/>
      </c>
      <c r="FH15" s="160" t="str">
        <f t="shared" si="18"/>
        <v/>
      </c>
      <c r="FI15" s="160" t="str">
        <f t="shared" si="18"/>
        <v/>
      </c>
      <c r="FJ15" s="167" t="str">
        <f t="shared" si="18"/>
        <v/>
      </c>
      <c r="FK15" s="173" t="str">
        <f t="shared" si="18"/>
        <v/>
      </c>
      <c r="FL15" s="160" t="str">
        <f t="shared" si="18"/>
        <v/>
      </c>
      <c r="FM15" s="160" t="str">
        <f t="shared" si="18"/>
        <v/>
      </c>
      <c r="FN15" s="160" t="str">
        <f t="shared" si="18"/>
        <v/>
      </c>
      <c r="FO15" s="160" t="str">
        <f t="shared" si="18"/>
        <v/>
      </c>
      <c r="FP15" s="160" t="str">
        <f t="shared" si="18"/>
        <v/>
      </c>
      <c r="FQ15" s="167" t="str">
        <f t="shared" si="18"/>
        <v/>
      </c>
      <c r="FR15" s="173" t="str">
        <f t="shared" si="18"/>
        <v/>
      </c>
      <c r="FS15" s="160" t="str">
        <f t="shared" si="18"/>
        <v/>
      </c>
      <c r="FT15" s="160" t="str">
        <f t="shared" si="18"/>
        <v/>
      </c>
      <c r="FU15" s="160" t="str">
        <f t="shared" si="18"/>
        <v/>
      </c>
      <c r="FV15" s="160" t="str">
        <f t="shared" si="18"/>
        <v/>
      </c>
      <c r="FW15" s="160" t="str">
        <f t="shared" si="18"/>
        <v/>
      </c>
      <c r="FX15" s="167" t="str">
        <f t="shared" si="18"/>
        <v/>
      </c>
      <c r="FY15" s="173" t="str">
        <f t="shared" si="18"/>
        <v/>
      </c>
      <c r="FZ15" s="160" t="str">
        <f t="shared" si="18"/>
        <v/>
      </c>
      <c r="GA15" s="160" t="str">
        <f t="shared" si="18"/>
        <v/>
      </c>
      <c r="GB15" s="160" t="str">
        <f t="shared" si="18"/>
        <v/>
      </c>
      <c r="GC15" s="160" t="str">
        <f t="shared" si="18"/>
        <v/>
      </c>
      <c r="GD15" s="160" t="str">
        <f t="shared" si="18"/>
        <v/>
      </c>
      <c r="GE15" s="167" t="str">
        <f t="shared" si="18"/>
        <v/>
      </c>
      <c r="GF15" s="173" t="str">
        <f t="shared" si="18"/>
        <v/>
      </c>
      <c r="GG15" s="160" t="str">
        <f t="shared" si="18"/>
        <v/>
      </c>
      <c r="GH15" s="160" t="str">
        <f t="shared" si="18"/>
        <v/>
      </c>
      <c r="GI15" s="160" t="str">
        <f t="shared" si="18"/>
        <v/>
      </c>
      <c r="GJ15" s="160" t="str">
        <f t="shared" si="18"/>
        <v/>
      </c>
      <c r="GK15" s="160" t="str">
        <f t="shared" si="18"/>
        <v/>
      </c>
      <c r="GL15" s="167" t="str">
        <f t="shared" si="18"/>
        <v/>
      </c>
      <c r="GM15" s="173" t="str">
        <f t="shared" si="18"/>
        <v/>
      </c>
      <c r="GN15" s="160" t="str">
        <f t="shared" si="18"/>
        <v/>
      </c>
      <c r="GO15" s="160" t="str">
        <f t="shared" si="18"/>
        <v/>
      </c>
      <c r="GP15" s="160" t="str">
        <f t="shared" si="18"/>
        <v/>
      </c>
      <c r="GQ15" s="160" t="str">
        <f t="shared" si="18"/>
        <v/>
      </c>
      <c r="GR15" s="160" t="str">
        <f t="shared" si="18"/>
        <v/>
      </c>
      <c r="GS15" s="167" t="str">
        <f t="shared" si="18"/>
        <v/>
      </c>
      <c r="GT15" s="173" t="str">
        <f t="shared" si="18"/>
        <v/>
      </c>
      <c r="GU15" s="160" t="str">
        <f t="shared" si="18"/>
        <v/>
      </c>
      <c r="GV15" s="160" t="str">
        <f t="shared" si="18"/>
        <v/>
      </c>
      <c r="GW15" s="160" t="str">
        <f t="shared" ref="GW15:IB15" si="19">IF(SUM(GW3:GW13) &gt; 0, SUM(GW3:GW13), "")</f>
        <v/>
      </c>
      <c r="GX15" s="160" t="str">
        <f t="shared" si="19"/>
        <v/>
      </c>
      <c r="GY15" s="160" t="str">
        <f t="shared" si="19"/>
        <v/>
      </c>
      <c r="GZ15" s="167" t="str">
        <f t="shared" si="19"/>
        <v/>
      </c>
      <c r="HA15" s="173" t="str">
        <f t="shared" si="19"/>
        <v/>
      </c>
      <c r="HB15" s="160" t="str">
        <f t="shared" si="19"/>
        <v/>
      </c>
      <c r="HC15" s="160" t="str">
        <f t="shared" si="19"/>
        <v/>
      </c>
      <c r="HD15" s="160" t="str">
        <f t="shared" si="19"/>
        <v/>
      </c>
      <c r="HE15" s="160" t="str">
        <f t="shared" si="19"/>
        <v/>
      </c>
      <c r="HF15" s="160" t="str">
        <f t="shared" si="19"/>
        <v/>
      </c>
      <c r="HG15" s="167" t="str">
        <f t="shared" si="19"/>
        <v/>
      </c>
      <c r="HH15" s="173" t="str">
        <f t="shared" si="19"/>
        <v/>
      </c>
      <c r="HI15" s="160" t="str">
        <f t="shared" si="19"/>
        <v/>
      </c>
      <c r="HJ15" s="160" t="str">
        <f t="shared" si="19"/>
        <v/>
      </c>
      <c r="HK15" s="160" t="str">
        <f t="shared" si="19"/>
        <v/>
      </c>
      <c r="HL15" s="160" t="str">
        <f t="shared" si="19"/>
        <v/>
      </c>
      <c r="HM15" s="160" t="str">
        <f t="shared" si="19"/>
        <v/>
      </c>
      <c r="HN15" s="167" t="str">
        <f t="shared" si="19"/>
        <v/>
      </c>
      <c r="HO15" s="173" t="str">
        <f t="shared" si="19"/>
        <v/>
      </c>
      <c r="HP15" s="160" t="str">
        <f t="shared" si="19"/>
        <v/>
      </c>
      <c r="HQ15" s="160" t="str">
        <f t="shared" si="19"/>
        <v/>
      </c>
      <c r="HR15" s="160" t="str">
        <f t="shared" si="19"/>
        <v/>
      </c>
      <c r="HS15" s="160" t="str">
        <f t="shared" si="19"/>
        <v/>
      </c>
      <c r="HT15" s="160" t="str">
        <f t="shared" si="19"/>
        <v/>
      </c>
      <c r="HU15" s="167" t="str">
        <f t="shared" si="19"/>
        <v/>
      </c>
      <c r="HV15" s="173" t="str">
        <f t="shared" si="19"/>
        <v/>
      </c>
      <c r="HW15" s="160" t="str">
        <f t="shared" si="19"/>
        <v/>
      </c>
      <c r="HX15" s="160" t="str">
        <f t="shared" si="19"/>
        <v/>
      </c>
      <c r="HY15" s="160" t="str">
        <f t="shared" si="19"/>
        <v/>
      </c>
      <c r="HZ15" s="160" t="str">
        <f t="shared" si="19"/>
        <v/>
      </c>
      <c r="IA15" s="160" t="str">
        <f t="shared" si="19"/>
        <v/>
      </c>
      <c r="IB15" s="167" t="str">
        <f t="shared" si="19"/>
        <v/>
      </c>
    </row>
    <row r="16" spans="1:236" ht="15.75" thickBot="1" x14ac:dyDescent="0.3">
      <c r="A16" s="110" t="s">
        <v>18</v>
      </c>
      <c r="B16" s="16" t="s">
        <v>648</v>
      </c>
      <c r="C16" s="16" t="s">
        <v>648</v>
      </c>
      <c r="D16" s="16" t="s">
        <v>648</v>
      </c>
      <c r="E16" s="16"/>
      <c r="F16" s="16"/>
      <c r="G16" s="16"/>
      <c r="H16" s="17" t="s">
        <v>648</v>
      </c>
      <c r="I16" s="179"/>
      <c r="J16" s="184" t="s">
        <v>648</v>
      </c>
      <c r="K16" s="179">
        <f>SUM(M16:HP16)</f>
        <v>17</v>
      </c>
      <c r="L16" s="172" t="s">
        <v>648</v>
      </c>
      <c r="M16" s="170"/>
      <c r="N16" s="170"/>
      <c r="O16" s="170"/>
      <c r="P16" s="170"/>
      <c r="Q16" s="170"/>
      <c r="R16" s="170"/>
      <c r="S16" s="172"/>
      <c r="T16" s="170"/>
      <c r="U16" s="170"/>
      <c r="V16" s="170"/>
      <c r="W16" s="170"/>
      <c r="X16" s="170"/>
      <c r="Y16" s="170"/>
      <c r="Z16" s="172"/>
      <c r="AA16" s="170"/>
      <c r="AB16" s="170"/>
      <c r="AC16" s="170"/>
      <c r="AD16" s="170">
        <v>1</v>
      </c>
      <c r="AE16" s="170">
        <v>1</v>
      </c>
      <c r="AF16" s="170">
        <v>1</v>
      </c>
      <c r="AG16" s="172"/>
      <c r="AH16" s="170"/>
      <c r="AI16" s="170">
        <v>1</v>
      </c>
      <c r="AJ16" s="170"/>
      <c r="AK16" s="170">
        <v>1</v>
      </c>
      <c r="AL16" s="170">
        <v>1</v>
      </c>
      <c r="AM16" s="170"/>
      <c r="AN16" s="172"/>
      <c r="AO16" s="170"/>
      <c r="AP16" s="170">
        <v>1</v>
      </c>
      <c r="AQ16" s="170"/>
      <c r="AR16" s="170">
        <v>1</v>
      </c>
      <c r="AS16" s="170">
        <v>1</v>
      </c>
      <c r="AT16" s="170">
        <v>1</v>
      </c>
      <c r="AU16" s="172"/>
      <c r="AV16" s="170"/>
      <c r="AW16" s="170">
        <v>1</v>
      </c>
      <c r="AX16" s="170"/>
      <c r="AY16" s="170">
        <v>1</v>
      </c>
      <c r="AZ16" s="170">
        <v>1</v>
      </c>
      <c r="BA16" s="170"/>
      <c r="BB16" s="172"/>
      <c r="BC16" s="170">
        <v>1</v>
      </c>
      <c r="BD16" s="170">
        <v>1</v>
      </c>
      <c r="BE16" s="170"/>
      <c r="BF16" s="170">
        <v>1</v>
      </c>
      <c r="BG16" s="170">
        <v>1</v>
      </c>
      <c r="BH16" s="170"/>
      <c r="BI16" s="172"/>
      <c r="BJ16" s="170"/>
      <c r="BK16" s="170"/>
      <c r="BL16" s="170"/>
      <c r="BM16" s="170"/>
      <c r="BN16" s="170"/>
      <c r="BO16" s="170"/>
      <c r="BP16" s="172"/>
      <c r="BQ16" s="170"/>
      <c r="BR16" s="170"/>
      <c r="BS16" s="170"/>
      <c r="BT16" s="170"/>
      <c r="BU16" s="170"/>
      <c r="BV16" s="170"/>
      <c r="BW16" s="172"/>
      <c r="BX16" s="170"/>
      <c r="BY16" s="170"/>
      <c r="BZ16" s="170"/>
      <c r="CA16" s="170"/>
      <c r="CB16" s="170"/>
      <c r="CC16" s="170"/>
      <c r="CD16" s="172"/>
      <c r="CE16" s="170"/>
      <c r="CF16" s="170"/>
      <c r="CG16" s="170"/>
      <c r="CH16" s="170"/>
      <c r="CI16" s="170"/>
      <c r="CJ16" s="170"/>
      <c r="CK16" s="172"/>
      <c r="CL16" s="170"/>
      <c r="CM16" s="170"/>
      <c r="CN16" s="170"/>
      <c r="CO16" s="170"/>
      <c r="CP16" s="170"/>
      <c r="CQ16" s="170"/>
      <c r="CR16" s="172"/>
      <c r="CS16" s="170"/>
      <c r="CT16" s="170"/>
      <c r="CU16" s="170"/>
      <c r="CV16" s="170"/>
      <c r="CW16" s="170"/>
      <c r="CX16" s="170"/>
      <c r="CY16" s="172"/>
      <c r="CZ16" s="170"/>
      <c r="DA16" s="170"/>
      <c r="DB16" s="170"/>
      <c r="DC16" s="170"/>
      <c r="DD16" s="170"/>
      <c r="DE16" s="170"/>
      <c r="DF16" s="172"/>
      <c r="DG16" s="170"/>
      <c r="DH16" s="170"/>
      <c r="DI16" s="170"/>
      <c r="DJ16" s="170"/>
      <c r="DK16" s="170"/>
      <c r="DL16" s="170"/>
      <c r="DM16" s="172"/>
      <c r="DN16" s="170"/>
      <c r="DO16" s="170"/>
      <c r="DP16" s="170"/>
      <c r="DQ16" s="170"/>
      <c r="DR16" s="170"/>
      <c r="DS16" s="170"/>
      <c r="DT16" s="172"/>
      <c r="DU16" s="170"/>
      <c r="DV16" s="170"/>
      <c r="DW16" s="170"/>
      <c r="DX16" s="170"/>
      <c r="DY16" s="170"/>
      <c r="DZ16" s="170"/>
      <c r="EA16" s="172"/>
      <c r="EB16" s="170"/>
      <c r="EC16" s="170"/>
      <c r="ED16" s="170"/>
      <c r="EE16" s="170"/>
      <c r="EF16" s="170"/>
      <c r="EG16" s="170"/>
      <c r="EH16" s="172"/>
      <c r="EI16" s="170"/>
      <c r="EJ16" s="170"/>
      <c r="EK16" s="170"/>
      <c r="EL16" s="170"/>
      <c r="EM16" s="170"/>
      <c r="EN16" s="170"/>
      <c r="EO16" s="172"/>
      <c r="EP16" s="170"/>
      <c r="EQ16" s="170"/>
      <c r="ER16" s="170"/>
      <c r="ES16" s="170"/>
      <c r="ET16" s="170"/>
      <c r="EU16" s="170"/>
      <c r="EV16" s="172"/>
      <c r="EW16" s="170"/>
      <c r="EX16" s="170"/>
      <c r="EY16" s="170"/>
      <c r="EZ16" s="170"/>
      <c r="FA16" s="170"/>
      <c r="FB16" s="170"/>
      <c r="FC16" s="172"/>
      <c r="FD16" s="170"/>
      <c r="FE16" s="170"/>
      <c r="FF16" s="170"/>
      <c r="FG16" s="170"/>
      <c r="FH16" s="170"/>
      <c r="FI16" s="170"/>
      <c r="FJ16" s="172"/>
      <c r="FK16" s="170"/>
      <c r="FL16" s="170"/>
      <c r="FM16" s="170"/>
      <c r="FN16" s="170"/>
      <c r="FO16" s="170"/>
      <c r="FP16" s="170"/>
      <c r="FQ16" s="172"/>
      <c r="FR16" s="170"/>
      <c r="FS16" s="170"/>
      <c r="FT16" s="170"/>
      <c r="FU16" s="170"/>
      <c r="FV16" s="170"/>
      <c r="FW16" s="170"/>
      <c r="FX16" s="172"/>
      <c r="FY16" s="170"/>
      <c r="FZ16" s="170"/>
      <c r="GA16" s="170"/>
      <c r="GB16" s="170"/>
      <c r="GC16" s="170"/>
      <c r="GD16" s="170"/>
      <c r="GE16" s="172"/>
      <c r="GF16" s="170"/>
      <c r="GG16" s="170"/>
      <c r="GH16" s="170"/>
      <c r="GI16" s="170"/>
      <c r="GJ16" s="170"/>
      <c r="GK16" s="170"/>
      <c r="GL16" s="172"/>
      <c r="GM16" s="170"/>
      <c r="GN16" s="170"/>
      <c r="GO16" s="170"/>
      <c r="GP16" s="170"/>
      <c r="GQ16" s="170"/>
      <c r="GR16" s="170"/>
      <c r="GS16" s="172"/>
      <c r="GT16" s="170"/>
      <c r="GU16" s="170"/>
      <c r="GV16" s="170"/>
      <c r="GW16" s="170"/>
      <c r="GX16" s="170"/>
      <c r="GY16" s="170"/>
      <c r="GZ16" s="172"/>
      <c r="HA16" s="170"/>
      <c r="HB16" s="170"/>
      <c r="HC16" s="170"/>
      <c r="HD16" s="170"/>
      <c r="HE16" s="170"/>
      <c r="HF16" s="170"/>
      <c r="HG16" s="172"/>
      <c r="HH16" s="170"/>
      <c r="HI16" s="170"/>
      <c r="HJ16" s="170"/>
      <c r="HK16" s="170"/>
      <c r="HL16" s="170"/>
      <c r="HM16" s="170"/>
      <c r="HN16" s="172"/>
      <c r="HO16" s="170"/>
      <c r="HP16" s="170"/>
      <c r="HQ16" s="34"/>
    </row>
    <row r="18" spans="45:45" hidden="1" x14ac:dyDescent="0.25">
      <c r="AS18" t="s">
        <v>827</v>
      </c>
    </row>
    <row r="19" spans="45:45" hidden="1" x14ac:dyDescent="0.25"/>
    <row r="20" spans="45:45" hidden="1" x14ac:dyDescent="0.25"/>
    <row r="21" spans="45:45" hidden="1" x14ac:dyDescent="0.25"/>
    <row r="22" spans="45:45" hidden="1" x14ac:dyDescent="0.25"/>
    <row r="23" spans="45:45" hidden="1" x14ac:dyDescent="0.25"/>
    <row r="24" spans="45:45" hidden="1" x14ac:dyDescent="0.25"/>
    <row r="25" spans="45:45" hidden="1" x14ac:dyDescent="0.25"/>
    <row r="26" spans="45:45" hidden="1" x14ac:dyDescent="0.25"/>
    <row r="27" spans="45:45" hidden="1" x14ac:dyDescent="0.25"/>
    <row r="28" spans="45:45" hidden="1" x14ac:dyDescent="0.25"/>
    <row r="29" spans="45:45" hidden="1" x14ac:dyDescent="0.25"/>
    <row r="30" spans="45:45" hidden="1" x14ac:dyDescent="0.25"/>
    <row r="31" spans="45:45" hidden="1" x14ac:dyDescent="0.25"/>
    <row r="32" spans="45:45" hidden="1" x14ac:dyDescent="0.25"/>
    <row r="34" spans="1:12" x14ac:dyDescent="0.25">
      <c r="A34" t="s">
        <v>667</v>
      </c>
      <c r="B34">
        <v>1</v>
      </c>
      <c r="D34">
        <f>B34</f>
        <v>1</v>
      </c>
      <c r="H34">
        <f>D34</f>
        <v>1</v>
      </c>
      <c r="I34" s="142" t="s">
        <v>680</v>
      </c>
      <c r="J34">
        <f>H34</f>
        <v>1</v>
      </c>
      <c r="K34">
        <f t="shared" ref="K34:L38" si="20">J34</f>
        <v>1</v>
      </c>
      <c r="L34">
        <f t="shared" si="20"/>
        <v>1</v>
      </c>
    </row>
    <row r="35" spans="1:12" x14ac:dyDescent="0.25">
      <c r="A35" t="s">
        <v>668</v>
      </c>
      <c r="B35">
        <v>2</v>
      </c>
      <c r="D35">
        <f>B35</f>
        <v>2</v>
      </c>
      <c r="H35">
        <f>D35</f>
        <v>2</v>
      </c>
      <c r="I35" s="142" t="s">
        <v>680</v>
      </c>
      <c r="J35">
        <f>H35</f>
        <v>2</v>
      </c>
      <c r="K35">
        <f t="shared" si="20"/>
        <v>2</v>
      </c>
      <c r="L35">
        <f t="shared" si="20"/>
        <v>2</v>
      </c>
    </row>
    <row r="36" spans="1:12" x14ac:dyDescent="0.25">
      <c r="A36" t="s">
        <v>200</v>
      </c>
      <c r="B36">
        <v>3</v>
      </c>
      <c r="D36">
        <f>B36</f>
        <v>3</v>
      </c>
      <c r="H36">
        <f>D36</f>
        <v>3</v>
      </c>
      <c r="I36" s="142" t="s">
        <v>680</v>
      </c>
      <c r="J36">
        <f>H36</f>
        <v>3</v>
      </c>
      <c r="K36">
        <f t="shared" si="20"/>
        <v>3</v>
      </c>
      <c r="L36">
        <f t="shared" si="20"/>
        <v>3</v>
      </c>
    </row>
    <row r="37" spans="1:12" x14ac:dyDescent="0.25">
      <c r="A37" t="s">
        <v>201</v>
      </c>
      <c r="B37">
        <v>13</v>
      </c>
      <c r="D37">
        <f>B37</f>
        <v>13</v>
      </c>
      <c r="H37">
        <f>D37</f>
        <v>13</v>
      </c>
      <c r="I37" s="142" t="s">
        <v>680</v>
      </c>
      <c r="J37">
        <f>H37</f>
        <v>13</v>
      </c>
      <c r="K37">
        <f t="shared" si="20"/>
        <v>13</v>
      </c>
      <c r="L37">
        <f t="shared" si="20"/>
        <v>13</v>
      </c>
    </row>
    <row r="38" spans="1:12" x14ac:dyDescent="0.25">
      <c r="A38" t="s">
        <v>717</v>
      </c>
      <c r="B38" t="s">
        <v>671</v>
      </c>
      <c r="D38" t="str">
        <f>B38</f>
        <v>I</v>
      </c>
      <c r="H38" t="str">
        <f>D38</f>
        <v>I</v>
      </c>
      <c r="I38" s="142" t="s">
        <v>680</v>
      </c>
      <c r="J38" t="str">
        <f>H38</f>
        <v>I</v>
      </c>
      <c r="K38" t="str">
        <f t="shared" si="20"/>
        <v>I</v>
      </c>
      <c r="L38" t="str">
        <f t="shared" si="20"/>
        <v>I</v>
      </c>
    </row>
    <row r="39" spans="1:12" x14ac:dyDescent="0.25">
      <c r="A39" t="s">
        <v>205</v>
      </c>
      <c r="B39" t="s">
        <v>625</v>
      </c>
      <c r="D39" t="s">
        <v>625</v>
      </c>
      <c r="H39" t="s">
        <v>876</v>
      </c>
      <c r="I39" s="142" t="s">
        <v>680</v>
      </c>
      <c r="J39" t="s">
        <v>872</v>
      </c>
      <c r="K39" s="44" t="s">
        <v>877</v>
      </c>
      <c r="L39" t="s">
        <v>878</v>
      </c>
    </row>
    <row r="40" spans="1:12" x14ac:dyDescent="0.25">
      <c r="A40" t="s">
        <v>732</v>
      </c>
      <c r="D40" t="s">
        <v>57</v>
      </c>
      <c r="E40" t="str">
        <f t="shared" ref="E40:L42" si="21">D40</f>
        <v>J</v>
      </c>
      <c r="F40" t="str">
        <f t="shared" si="21"/>
        <v>J</v>
      </c>
      <c r="G40" t="str">
        <f t="shared" si="21"/>
        <v>J</v>
      </c>
      <c r="H40" t="str">
        <f>G40</f>
        <v>J</v>
      </c>
      <c r="I40" t="str">
        <f t="shared" si="21"/>
        <v>J</v>
      </c>
      <c r="J40" t="str">
        <f t="shared" si="21"/>
        <v>J</v>
      </c>
      <c r="K40" t="str">
        <f t="shared" si="21"/>
        <v>J</v>
      </c>
      <c r="L40" t="str">
        <f t="shared" si="21"/>
        <v>J</v>
      </c>
    </row>
    <row r="41" spans="1:12" x14ac:dyDescent="0.25">
      <c r="A41" t="s">
        <v>733</v>
      </c>
      <c r="B41" t="s">
        <v>404</v>
      </c>
      <c r="E41">
        <f t="shared" si="21"/>
        <v>0</v>
      </c>
      <c r="F41">
        <f t="shared" si="21"/>
        <v>0</v>
      </c>
      <c r="G41">
        <f t="shared" si="21"/>
        <v>0</v>
      </c>
      <c r="I41">
        <f t="shared" si="21"/>
        <v>0</v>
      </c>
      <c r="J41"/>
      <c r="K41"/>
      <c r="L41"/>
    </row>
    <row r="42" spans="1:12" x14ac:dyDescent="0.25">
      <c r="A42" t="s">
        <v>734</v>
      </c>
      <c r="B42" t="s">
        <v>52</v>
      </c>
      <c r="E42">
        <f t="shared" si="21"/>
        <v>0</v>
      </c>
      <c r="F42">
        <f t="shared" si="21"/>
        <v>0</v>
      </c>
      <c r="G42">
        <f t="shared" si="21"/>
        <v>0</v>
      </c>
      <c r="I42">
        <f t="shared" si="21"/>
        <v>0</v>
      </c>
      <c r="J42"/>
      <c r="K42"/>
      <c r="L42"/>
    </row>
    <row r="43" spans="1:12" x14ac:dyDescent="0.25">
      <c r="A43" t="s">
        <v>206</v>
      </c>
      <c r="B43" t="str">
        <f>FindEnd(M16:IU16)</f>
        <v>BI</v>
      </c>
      <c r="D43" t="s">
        <v>879</v>
      </c>
      <c r="H43" t="s">
        <v>880</v>
      </c>
      <c r="I43" s="142" t="s">
        <v>680</v>
      </c>
      <c r="J43" t="s">
        <v>881</v>
      </c>
      <c r="K43" s="44" t="s">
        <v>882</v>
      </c>
      <c r="L43" t="s">
        <v>883</v>
      </c>
    </row>
    <row r="44" spans="1:12" x14ac:dyDescent="0.25">
      <c r="A44" t="s">
        <v>681</v>
      </c>
      <c r="B44">
        <v>14</v>
      </c>
      <c r="D44">
        <f>B44</f>
        <v>14</v>
      </c>
      <c r="H44">
        <f>D44</f>
        <v>14</v>
      </c>
      <c r="I44" s="142" t="s">
        <v>680</v>
      </c>
      <c r="J44">
        <f>H44</f>
        <v>14</v>
      </c>
      <c r="K44">
        <f t="shared" ref="K44:L48" si="22">J44</f>
        <v>14</v>
      </c>
      <c r="L44">
        <f t="shared" si="22"/>
        <v>14</v>
      </c>
    </row>
    <row r="45" spans="1:12" x14ac:dyDescent="0.25">
      <c r="A45" t="s">
        <v>682</v>
      </c>
      <c r="B45">
        <v>15</v>
      </c>
      <c r="D45">
        <f>B45</f>
        <v>15</v>
      </c>
      <c r="H45">
        <f>D45</f>
        <v>15</v>
      </c>
      <c r="I45" s="142" t="s">
        <v>680</v>
      </c>
      <c r="J45">
        <f>H45</f>
        <v>15</v>
      </c>
      <c r="K45">
        <f t="shared" si="22"/>
        <v>15</v>
      </c>
      <c r="L45">
        <f t="shared" si="22"/>
        <v>15</v>
      </c>
    </row>
    <row r="46" spans="1:12" x14ac:dyDescent="0.25">
      <c r="A46" t="s">
        <v>669</v>
      </c>
      <c r="B46" t="s">
        <v>875</v>
      </c>
      <c r="D46" t="str">
        <f>B46</f>
        <v>K16</v>
      </c>
      <c r="E46" t="str">
        <f t="shared" ref="E46:J46" si="23">D46</f>
        <v>K16</v>
      </c>
      <c r="F46" t="str">
        <f t="shared" si="23"/>
        <v>K16</v>
      </c>
      <c r="G46" t="str">
        <f t="shared" si="23"/>
        <v>K16</v>
      </c>
      <c r="H46" t="str">
        <f t="shared" si="23"/>
        <v>K16</v>
      </c>
      <c r="I46" t="str">
        <f t="shared" si="23"/>
        <v>K16</v>
      </c>
      <c r="J46" t="str">
        <f t="shared" si="23"/>
        <v>K16</v>
      </c>
      <c r="K46" t="str">
        <f t="shared" si="22"/>
        <v>K16</v>
      </c>
      <c r="L46" t="str">
        <f t="shared" si="22"/>
        <v>K16</v>
      </c>
    </row>
    <row r="47" spans="1:12" x14ac:dyDescent="0.25">
      <c r="A47" t="s">
        <v>658</v>
      </c>
      <c r="D47">
        <v>18</v>
      </c>
      <c r="H47">
        <f>D47</f>
        <v>18</v>
      </c>
      <c r="I47" s="142" t="s">
        <v>680</v>
      </c>
      <c r="J47">
        <f>H47</f>
        <v>18</v>
      </c>
      <c r="K47">
        <f t="shared" si="22"/>
        <v>18</v>
      </c>
      <c r="L47">
        <f t="shared" si="22"/>
        <v>18</v>
      </c>
    </row>
    <row r="48" spans="1:12" x14ac:dyDescent="0.25">
      <c r="A48" t="s">
        <v>659</v>
      </c>
      <c r="D48">
        <v>20</v>
      </c>
      <c r="H48">
        <f>D48</f>
        <v>20</v>
      </c>
      <c r="I48" s="142" t="s">
        <v>680</v>
      </c>
      <c r="J48">
        <f>H48</f>
        <v>20</v>
      </c>
      <c r="K48">
        <f t="shared" si="22"/>
        <v>20</v>
      </c>
      <c r="L48">
        <f t="shared" si="22"/>
        <v>20</v>
      </c>
    </row>
    <row r="50" spans="1:2" x14ac:dyDescent="0.25">
      <c r="A50" t="s">
        <v>722</v>
      </c>
      <c r="B50" s="142" t="s">
        <v>870</v>
      </c>
    </row>
    <row r="51" spans="1:2" x14ac:dyDescent="0.25">
      <c r="A51" t="s">
        <v>673</v>
      </c>
      <c r="B51" s="142" t="s">
        <v>871</v>
      </c>
    </row>
    <row r="52" spans="1:2" x14ac:dyDescent="0.25">
      <c r="A52" t="s">
        <v>674</v>
      </c>
      <c r="B52" s="142" t="s">
        <v>873</v>
      </c>
    </row>
    <row r="53" spans="1:2" x14ac:dyDescent="0.25">
      <c r="A53" t="s">
        <v>675</v>
      </c>
      <c r="B53" s="142" t="s">
        <v>874</v>
      </c>
    </row>
    <row r="54" spans="1:2" x14ac:dyDescent="0.25">
      <c r="A54" t="s">
        <v>676</v>
      </c>
      <c r="B54" s="142" t="s">
        <v>884</v>
      </c>
    </row>
    <row r="55" spans="1:2" x14ac:dyDescent="0.25">
      <c r="A55" t="s">
        <v>678</v>
      </c>
    </row>
  </sheetData>
  <mergeCells count="7">
    <mergeCell ref="L1:L2"/>
    <mergeCell ref="A14:H14"/>
    <mergeCell ref="A15:H15"/>
    <mergeCell ref="A1:H2"/>
    <mergeCell ref="I1:I2"/>
    <mergeCell ref="J1:J2"/>
    <mergeCell ref="K1:K2"/>
  </mergeCells>
  <pageMargins left="0.7" right="0.7" top="0.78740157499999996" bottom="0.78740157499999996" header="0.3" footer="0.3"/>
  <ignoredErrors>
    <ignoredError sqref="AD14:AF14 AI14:AL14 AP14 AR14:AT14 AY14:BC14" formulaRange="1"/>
    <ignoredError sqref="K8:K11" 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6"/>
  <sheetViews>
    <sheetView tabSelected="1" workbookViewId="0">
      <pane xSplit="12" topLeftCell="BZ1" activePane="topRight" state="frozen"/>
      <selection pane="topRight" activeCell="CQ18" sqref="CQ18"/>
    </sheetView>
  </sheetViews>
  <sheetFormatPr defaultColWidth="11.42578125" defaultRowHeight="15" x14ac:dyDescent="0.25"/>
  <cols>
    <col min="2" max="2" width="9" customWidth="1"/>
    <col min="3" max="3" width="4.5703125" customWidth="1"/>
    <col min="4" max="4" width="12.85546875" customWidth="1"/>
    <col min="5" max="5" width="23.7109375" customWidth="1"/>
    <col min="6" max="6" width="34.28515625" customWidth="1"/>
    <col min="7" max="7" width="14.7109375" customWidth="1"/>
    <col min="8" max="8" width="11.42578125" customWidth="1"/>
    <col min="9" max="9" width="10.85546875" customWidth="1"/>
    <col min="10" max="12" width="3.7109375" style="44" customWidth="1"/>
    <col min="13" max="255" width="3.7109375" customWidth="1"/>
  </cols>
  <sheetData>
    <row r="1" spans="1:262" ht="15" customHeight="1" x14ac:dyDescent="0.25">
      <c r="A1" s="218" t="s">
        <v>46</v>
      </c>
      <c r="B1" s="219"/>
      <c r="C1" s="219"/>
      <c r="D1" s="219"/>
      <c r="E1" s="219"/>
      <c r="F1" s="219"/>
      <c r="G1" s="219"/>
      <c r="H1" s="220"/>
      <c r="I1" s="224" t="str">
        <f>A1</f>
        <v>BL</v>
      </c>
      <c r="J1" s="226" t="s">
        <v>38</v>
      </c>
      <c r="K1" s="228" t="s">
        <v>49</v>
      </c>
      <c r="L1" s="210"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4"/>
      <c r="IW1" s="163"/>
      <c r="IX1" s="163"/>
      <c r="IY1" s="163"/>
      <c r="IZ1" s="163"/>
      <c r="JA1" s="163"/>
      <c r="JB1" s="163"/>
    </row>
    <row r="2" spans="1:262" ht="15" customHeight="1" x14ac:dyDescent="0.25">
      <c r="A2" s="221"/>
      <c r="B2" s="222"/>
      <c r="C2" s="222"/>
      <c r="D2" s="222"/>
      <c r="E2" s="222"/>
      <c r="F2" s="222"/>
      <c r="G2" s="222"/>
      <c r="H2" s="223"/>
      <c r="I2" s="225"/>
      <c r="J2" s="227"/>
      <c r="K2" s="229"/>
      <c r="L2" s="211"/>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759</v>
      </c>
      <c r="AK2" s="131" t="s">
        <v>38</v>
      </c>
      <c r="AL2" s="131" t="s">
        <v>38</v>
      </c>
      <c r="AM2" s="131"/>
      <c r="AN2" s="131" t="s">
        <v>38</v>
      </c>
      <c r="AO2" s="131" t="s">
        <v>38</v>
      </c>
      <c r="AP2" s="131" t="s">
        <v>649</v>
      </c>
      <c r="AQ2" s="164" t="s">
        <v>758</v>
      </c>
      <c r="AR2" s="131" t="s">
        <v>38</v>
      </c>
      <c r="AS2" s="131" t="s">
        <v>38</v>
      </c>
      <c r="AT2" s="131"/>
      <c r="AU2" s="131" t="s">
        <v>38</v>
      </c>
      <c r="AV2" s="131" t="s">
        <v>38</v>
      </c>
      <c r="AW2" s="131" t="s">
        <v>774</v>
      </c>
      <c r="AX2" s="164"/>
      <c r="AY2" s="131" t="s">
        <v>38</v>
      </c>
      <c r="AZ2" s="131" t="s">
        <v>38</v>
      </c>
      <c r="BA2" s="131"/>
      <c r="BB2" s="131" t="s">
        <v>38</v>
      </c>
      <c r="BC2" s="131" t="s">
        <v>38</v>
      </c>
      <c r="BD2" s="131"/>
      <c r="BE2" s="164"/>
      <c r="BF2" s="131" t="s">
        <v>38</v>
      </c>
      <c r="BG2" s="131" t="s">
        <v>38</v>
      </c>
      <c r="BH2" s="131"/>
      <c r="BI2" s="131" t="s">
        <v>38</v>
      </c>
      <c r="BJ2" s="131" t="s">
        <v>38</v>
      </c>
      <c r="BK2" s="131" t="s">
        <v>775</v>
      </c>
      <c r="BL2" s="164"/>
      <c r="BM2" s="131" t="s">
        <v>38</v>
      </c>
      <c r="BN2" s="131" t="s">
        <v>38</v>
      </c>
      <c r="BO2" s="131"/>
      <c r="BP2" s="131" t="s">
        <v>38</v>
      </c>
      <c r="BQ2" s="131" t="s">
        <v>38</v>
      </c>
      <c r="BR2" s="131" t="s">
        <v>775</v>
      </c>
      <c r="BS2" s="164" t="s">
        <v>147</v>
      </c>
      <c r="BT2" s="131" t="s">
        <v>38</v>
      </c>
      <c r="BU2" s="131" t="s">
        <v>38</v>
      </c>
      <c r="BV2" s="131"/>
      <c r="BW2" s="131" t="s">
        <v>38</v>
      </c>
      <c r="BX2" s="131" t="s">
        <v>38</v>
      </c>
      <c r="BY2" s="131"/>
      <c r="BZ2" s="164" t="s">
        <v>147</v>
      </c>
      <c r="CA2" s="131" t="s">
        <v>38</v>
      </c>
      <c r="CB2" s="131" t="s">
        <v>479</v>
      </c>
      <c r="CC2" s="131"/>
      <c r="CD2" s="131" t="s">
        <v>38</v>
      </c>
      <c r="CE2" s="131" t="s">
        <v>38</v>
      </c>
      <c r="CF2" s="131" t="s">
        <v>775</v>
      </c>
      <c r="CG2" s="164"/>
      <c r="CH2" s="131" t="s">
        <v>38</v>
      </c>
      <c r="CI2" s="131" t="s">
        <v>38</v>
      </c>
      <c r="CJ2" s="131"/>
      <c r="CK2" s="131" t="s">
        <v>38</v>
      </c>
      <c r="CL2" s="131"/>
      <c r="CM2" s="131" t="s">
        <v>775</v>
      </c>
      <c r="CN2" s="164"/>
      <c r="CO2" s="131" t="s">
        <v>38</v>
      </c>
      <c r="CP2" s="131" t="s">
        <v>38</v>
      </c>
      <c r="CQ2" s="131"/>
      <c r="CR2" s="131" t="s">
        <v>38</v>
      </c>
      <c r="CS2" s="131" t="s">
        <v>38</v>
      </c>
      <c r="CT2" s="131" t="s">
        <v>775</v>
      </c>
      <c r="CU2" s="164"/>
      <c r="CV2" s="131"/>
      <c r="CW2" s="131"/>
      <c r="CX2" s="131"/>
      <c r="CY2" s="131"/>
      <c r="CZ2" s="131"/>
      <c r="DA2" s="131"/>
      <c r="DB2" s="164"/>
      <c r="DC2" s="131"/>
      <c r="DD2" s="131"/>
      <c r="DE2" s="131"/>
      <c r="DF2" s="131"/>
      <c r="DG2" s="131"/>
      <c r="DH2" s="131"/>
      <c r="DI2" s="164"/>
      <c r="DJ2" s="131"/>
      <c r="DK2" s="131"/>
      <c r="DL2" s="131"/>
      <c r="DM2" s="131"/>
      <c r="DN2" s="131"/>
      <c r="DO2" s="131"/>
      <c r="DP2" s="164"/>
      <c r="DQ2" s="131"/>
      <c r="DR2" s="131"/>
      <c r="DS2" s="131"/>
      <c r="DT2" s="131"/>
      <c r="DU2" s="131"/>
      <c r="DV2" s="131"/>
      <c r="DW2" s="164"/>
      <c r="DX2" s="131"/>
      <c r="DY2" s="131"/>
      <c r="DZ2" s="131"/>
      <c r="EA2" s="131"/>
      <c r="EB2" s="131"/>
      <c r="EC2" s="131"/>
      <c r="ED2" s="164"/>
      <c r="EE2" s="131"/>
      <c r="EF2" s="131"/>
      <c r="EG2" s="131"/>
      <c r="EH2" s="131"/>
      <c r="EI2" s="131"/>
      <c r="EJ2" s="131"/>
      <c r="EK2" s="164"/>
      <c r="EL2" s="131"/>
      <c r="EM2" s="131"/>
      <c r="EN2" s="131"/>
      <c r="EO2" s="131"/>
      <c r="EP2" s="131"/>
      <c r="EQ2" s="131"/>
      <c r="ER2" s="164"/>
      <c r="ES2" s="131"/>
      <c r="ET2" s="131"/>
      <c r="EU2" s="131"/>
      <c r="EV2" s="131"/>
      <c r="EW2" s="131"/>
      <c r="EX2" s="131"/>
      <c r="EY2" s="164"/>
      <c r="EZ2" s="131"/>
      <c r="FA2" s="131"/>
      <c r="FB2" s="131"/>
      <c r="FC2" s="131"/>
      <c r="FD2" s="131"/>
      <c r="FE2" s="131"/>
      <c r="FF2" s="164"/>
      <c r="FG2" s="131"/>
      <c r="FH2" s="131"/>
      <c r="FI2" s="131"/>
      <c r="FJ2" s="131"/>
      <c r="FK2" s="131"/>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2" t="s">
        <v>705</v>
      </c>
      <c r="H3" s="56">
        <v>38532</v>
      </c>
      <c r="I3" s="176" t="str">
        <f t="shared" ref="I3:I22" si="4">C3</f>
        <v>CA</v>
      </c>
      <c r="J3" s="198" t="s">
        <v>788</v>
      </c>
      <c r="K3" s="36">
        <f>SUM(M3:IU3)</f>
        <v>51</v>
      </c>
      <c r="L3" s="191">
        <f t="shared" ref="L3:L13" si="5">K3/(K$25 -COUNTIF(M3:ZZ3, "x")) * 100</f>
        <v>100</v>
      </c>
      <c r="M3" s="142" t="s">
        <v>757</v>
      </c>
      <c r="N3" s="142" t="s">
        <v>757</v>
      </c>
      <c r="O3" s="7"/>
      <c r="U3">
        <v>1</v>
      </c>
      <c r="V3" s="7"/>
      <c r="W3">
        <v>1</v>
      </c>
      <c r="X3">
        <v>1</v>
      </c>
      <c r="Z3">
        <v>1</v>
      </c>
      <c r="AA3">
        <v>1</v>
      </c>
      <c r="AC3" s="7"/>
      <c r="AD3">
        <v>1</v>
      </c>
      <c r="AE3">
        <v>1</v>
      </c>
      <c r="AG3">
        <v>1</v>
      </c>
      <c r="AH3">
        <v>1</v>
      </c>
      <c r="AI3">
        <v>1</v>
      </c>
      <c r="AJ3" s="7">
        <v>1</v>
      </c>
      <c r="AK3" s="148">
        <v>1</v>
      </c>
      <c r="AL3" s="148">
        <v>1</v>
      </c>
      <c r="AN3">
        <v>1</v>
      </c>
      <c r="AO3">
        <v>1</v>
      </c>
      <c r="AP3">
        <v>1</v>
      </c>
      <c r="AQ3" s="7">
        <v>1</v>
      </c>
      <c r="AR3" s="148">
        <v>1</v>
      </c>
      <c r="AS3" s="148">
        <v>1</v>
      </c>
      <c r="AU3">
        <v>1</v>
      </c>
      <c r="AV3">
        <v>1</v>
      </c>
      <c r="AW3">
        <v>1</v>
      </c>
      <c r="AX3" s="7"/>
      <c r="AY3" s="148">
        <v>1</v>
      </c>
      <c r="AZ3" s="148">
        <v>1</v>
      </c>
      <c r="BB3">
        <v>1</v>
      </c>
      <c r="BC3">
        <v>1</v>
      </c>
      <c r="BE3" s="7"/>
      <c r="BF3">
        <v>1</v>
      </c>
      <c r="BG3">
        <v>1</v>
      </c>
      <c r="BI3">
        <v>1</v>
      </c>
      <c r="BJ3">
        <v>1</v>
      </c>
      <c r="BK3">
        <v>1</v>
      </c>
      <c r="BL3" s="7"/>
      <c r="BM3" s="148">
        <v>1</v>
      </c>
      <c r="BN3" s="148">
        <v>1</v>
      </c>
      <c r="BP3">
        <v>1</v>
      </c>
      <c r="BQ3">
        <v>1</v>
      </c>
      <c r="BR3">
        <v>1</v>
      </c>
      <c r="BS3" s="7">
        <v>1</v>
      </c>
      <c r="BT3" s="148">
        <v>1</v>
      </c>
      <c r="BU3" s="148">
        <v>1</v>
      </c>
      <c r="BW3">
        <v>1</v>
      </c>
      <c r="BX3">
        <v>1</v>
      </c>
      <c r="BZ3" s="7">
        <v>1</v>
      </c>
      <c r="CA3">
        <v>1</v>
      </c>
      <c r="CB3">
        <v>1</v>
      </c>
      <c r="CD3">
        <v>1</v>
      </c>
      <c r="CE3">
        <v>1</v>
      </c>
      <c r="CF3">
        <v>1</v>
      </c>
      <c r="CG3" s="7"/>
      <c r="CH3" s="148">
        <v>1</v>
      </c>
      <c r="CI3" s="148">
        <v>1</v>
      </c>
      <c r="CK3">
        <v>1</v>
      </c>
      <c r="CN3" s="7"/>
      <c r="CQ3">
        <v>1</v>
      </c>
      <c r="CU3" s="7"/>
      <c r="DB3" s="7"/>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2" si="6">A4 &amp; " " &amp; D4</f>
        <v>Dragana Brcin</v>
      </c>
      <c r="F4" s="19" t="s">
        <v>683</v>
      </c>
      <c r="G4" s="182" t="s">
        <v>700</v>
      </c>
      <c r="H4" s="56">
        <v>36859</v>
      </c>
      <c r="I4" s="176" t="str">
        <f t="shared" si="4"/>
        <v>DB</v>
      </c>
      <c r="J4" s="199" t="s">
        <v>788</v>
      </c>
      <c r="K4" s="19">
        <f t="shared" ref="K4:K22" si="7">SUM(M4:IU4)</f>
        <v>36</v>
      </c>
      <c r="L4" s="192">
        <f t="shared" si="5"/>
        <v>72</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R4" s="148">
        <v>1</v>
      </c>
      <c r="AS4" s="148">
        <v>1</v>
      </c>
      <c r="AU4">
        <v>1</v>
      </c>
      <c r="AV4">
        <v>1</v>
      </c>
      <c r="AW4">
        <v>1</v>
      </c>
      <c r="AX4" s="7"/>
      <c r="AY4" s="148">
        <v>1</v>
      </c>
      <c r="BB4">
        <v>1</v>
      </c>
      <c r="BE4" s="7"/>
      <c r="BF4">
        <v>1</v>
      </c>
      <c r="BG4">
        <v>1</v>
      </c>
      <c r="BI4">
        <v>1</v>
      </c>
      <c r="BJ4">
        <v>1</v>
      </c>
      <c r="BK4">
        <v>1</v>
      </c>
      <c r="BL4" s="7"/>
      <c r="BM4" s="148">
        <v>1</v>
      </c>
      <c r="BN4" s="148">
        <v>1</v>
      </c>
      <c r="BR4">
        <v>1</v>
      </c>
      <c r="BS4" s="7"/>
      <c r="BU4">
        <v>1</v>
      </c>
      <c r="BZ4" s="7" t="s">
        <v>765</v>
      </c>
      <c r="CE4">
        <v>1</v>
      </c>
      <c r="CF4">
        <v>1</v>
      </c>
      <c r="CG4" s="7"/>
      <c r="CK4">
        <v>1</v>
      </c>
      <c r="CN4" s="7"/>
      <c r="CU4" s="7"/>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6"/>
        <v>Bojana Despotovic</v>
      </c>
      <c r="F5" s="19" t="s">
        <v>685</v>
      </c>
      <c r="G5" s="182" t="s">
        <v>699</v>
      </c>
      <c r="H5" s="56">
        <v>37414</v>
      </c>
      <c r="I5" s="176" t="str">
        <f t="shared" si="4"/>
        <v>BD</v>
      </c>
      <c r="J5" s="199" t="s">
        <v>788</v>
      </c>
      <c r="K5" s="19">
        <f t="shared" si="7"/>
        <v>49</v>
      </c>
      <c r="L5" s="192">
        <f t="shared" si="5"/>
        <v>96.078431372549019</v>
      </c>
      <c r="M5" s="142" t="s">
        <v>757</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R5" s="148">
        <v>1</v>
      </c>
      <c r="AS5" s="148">
        <v>1</v>
      </c>
      <c r="AU5">
        <v>1</v>
      </c>
      <c r="AV5">
        <v>1</v>
      </c>
      <c r="AW5">
        <v>1</v>
      </c>
      <c r="AX5" s="7"/>
      <c r="AY5" s="148">
        <v>1</v>
      </c>
      <c r="AZ5" s="148">
        <v>1</v>
      </c>
      <c r="BB5">
        <v>1</v>
      </c>
      <c r="BC5">
        <v>1</v>
      </c>
      <c r="BE5" s="7"/>
      <c r="BF5">
        <v>1</v>
      </c>
      <c r="BG5">
        <v>1</v>
      </c>
      <c r="BI5">
        <v>1</v>
      </c>
      <c r="BJ5">
        <v>1</v>
      </c>
      <c r="BK5">
        <v>1</v>
      </c>
      <c r="BL5" s="7"/>
      <c r="BM5" s="148">
        <v>1</v>
      </c>
      <c r="BN5">
        <v>1</v>
      </c>
      <c r="BP5">
        <v>1</v>
      </c>
      <c r="BQ5">
        <v>1</v>
      </c>
      <c r="BR5">
        <v>1</v>
      </c>
      <c r="BS5" s="7">
        <v>1</v>
      </c>
      <c r="BW5">
        <v>1</v>
      </c>
      <c r="BX5">
        <v>1</v>
      </c>
      <c r="BZ5" s="7">
        <v>1</v>
      </c>
      <c r="CA5">
        <v>1</v>
      </c>
      <c r="CB5">
        <v>1</v>
      </c>
      <c r="CD5">
        <v>1</v>
      </c>
      <c r="CE5">
        <v>1</v>
      </c>
      <c r="CF5">
        <v>1</v>
      </c>
      <c r="CG5" s="7"/>
      <c r="CH5" s="148">
        <v>1</v>
      </c>
      <c r="CI5" s="148">
        <v>1</v>
      </c>
      <c r="CK5">
        <v>1</v>
      </c>
      <c r="CM5">
        <v>1</v>
      </c>
      <c r="CN5" s="7"/>
      <c r="CU5" s="7"/>
      <c r="DB5" s="7"/>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6"/>
        <v>Nicole Dreier</v>
      </c>
      <c r="F6" s="19" t="s">
        <v>691</v>
      </c>
      <c r="G6" s="182" t="s">
        <v>715</v>
      </c>
      <c r="H6" s="56">
        <v>37608</v>
      </c>
      <c r="I6" s="176" t="str">
        <f t="shared" si="4"/>
        <v>ND</v>
      </c>
      <c r="J6" s="199" t="s">
        <v>788</v>
      </c>
      <c r="K6" s="19">
        <f t="shared" si="7"/>
        <v>42</v>
      </c>
      <c r="L6" s="192">
        <f t="shared" si="5"/>
        <v>82.35294117647058</v>
      </c>
      <c r="M6" s="142" t="s">
        <v>757</v>
      </c>
      <c r="N6" s="142" t="s">
        <v>680</v>
      </c>
      <c r="O6" s="7"/>
      <c r="U6">
        <v>1</v>
      </c>
      <c r="V6" s="7"/>
      <c r="W6">
        <v>1</v>
      </c>
      <c r="X6">
        <v>1</v>
      </c>
      <c r="Z6">
        <v>1</v>
      </c>
      <c r="AA6">
        <v>1</v>
      </c>
      <c r="AC6" s="7"/>
      <c r="AD6">
        <v>1</v>
      </c>
      <c r="AG6">
        <v>1</v>
      </c>
      <c r="AH6">
        <v>1</v>
      </c>
      <c r="AI6">
        <v>1</v>
      </c>
      <c r="AJ6" s="7">
        <v>1</v>
      </c>
      <c r="AK6" s="148">
        <v>1</v>
      </c>
      <c r="AL6" s="148">
        <v>1</v>
      </c>
      <c r="AN6">
        <v>1</v>
      </c>
      <c r="AO6">
        <v>1</v>
      </c>
      <c r="AP6">
        <v>1</v>
      </c>
      <c r="AQ6" s="7"/>
      <c r="AS6" s="148">
        <v>1</v>
      </c>
      <c r="AU6">
        <v>1</v>
      </c>
      <c r="AV6">
        <v>1</v>
      </c>
      <c r="AW6">
        <v>1</v>
      </c>
      <c r="AX6" s="7"/>
      <c r="AY6" s="148">
        <v>1</v>
      </c>
      <c r="AZ6" s="148">
        <v>1</v>
      </c>
      <c r="BB6">
        <v>1</v>
      </c>
      <c r="BC6">
        <v>1</v>
      </c>
      <c r="BE6" s="7"/>
      <c r="BF6">
        <v>1</v>
      </c>
      <c r="BG6">
        <v>1</v>
      </c>
      <c r="BJ6">
        <v>1</v>
      </c>
      <c r="BK6">
        <v>1</v>
      </c>
      <c r="BL6" s="7"/>
      <c r="BM6" s="148">
        <v>1</v>
      </c>
      <c r="BN6" s="148">
        <v>1</v>
      </c>
      <c r="BP6">
        <v>1</v>
      </c>
      <c r="BR6">
        <v>1</v>
      </c>
      <c r="BS6" s="7">
        <v>1</v>
      </c>
      <c r="BU6">
        <v>1</v>
      </c>
      <c r="BW6">
        <v>1</v>
      </c>
      <c r="BX6">
        <v>1</v>
      </c>
      <c r="BZ6" s="7">
        <v>1</v>
      </c>
      <c r="CD6">
        <v>1</v>
      </c>
      <c r="CE6">
        <v>1</v>
      </c>
      <c r="CG6" s="7"/>
      <c r="CH6">
        <v>1</v>
      </c>
      <c r="CI6">
        <v>1</v>
      </c>
      <c r="CK6">
        <v>1</v>
      </c>
      <c r="CN6" s="7"/>
      <c r="CQ6">
        <v>1</v>
      </c>
      <c r="CU6" s="7"/>
      <c r="DB6" s="7"/>
      <c r="DI6" s="7"/>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6"/>
        <v>Jennifer Grojer</v>
      </c>
      <c r="F7" s="19" t="s">
        <v>687</v>
      </c>
      <c r="G7" s="182" t="s">
        <v>714</v>
      </c>
      <c r="H7" s="56">
        <v>36672</v>
      </c>
      <c r="I7" s="176" t="str">
        <f t="shared" si="4"/>
        <v>JG</v>
      </c>
      <c r="J7" s="199" t="s">
        <v>788</v>
      </c>
      <c r="K7" s="19">
        <f t="shared" si="7"/>
        <v>45</v>
      </c>
      <c r="L7" s="192">
        <f t="shared" si="5"/>
        <v>90</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R7" s="148">
        <v>1</v>
      </c>
      <c r="AS7" s="148">
        <v>1</v>
      </c>
      <c r="AU7">
        <v>1</v>
      </c>
      <c r="AV7">
        <v>1</v>
      </c>
      <c r="AW7">
        <v>1</v>
      </c>
      <c r="AX7" s="7"/>
      <c r="AY7" s="148">
        <v>1</v>
      </c>
      <c r="AZ7" s="148">
        <v>1</v>
      </c>
      <c r="BB7">
        <v>1</v>
      </c>
      <c r="BE7" s="7"/>
      <c r="BF7">
        <v>1</v>
      </c>
      <c r="BG7">
        <v>1</v>
      </c>
      <c r="BI7">
        <v>1</v>
      </c>
      <c r="BJ7">
        <v>1</v>
      </c>
      <c r="BK7">
        <v>1</v>
      </c>
      <c r="BL7" s="7"/>
      <c r="BM7" s="148">
        <v>1</v>
      </c>
      <c r="BN7" s="148">
        <v>1</v>
      </c>
      <c r="BP7">
        <v>1</v>
      </c>
      <c r="BQ7">
        <v>1</v>
      </c>
      <c r="BR7">
        <v>1</v>
      </c>
      <c r="BS7" s="7"/>
      <c r="BT7" s="148">
        <v>1</v>
      </c>
      <c r="BU7">
        <v>1</v>
      </c>
      <c r="BX7">
        <v>1</v>
      </c>
      <c r="BZ7" s="7" t="s">
        <v>765</v>
      </c>
      <c r="CA7">
        <v>1</v>
      </c>
      <c r="CD7">
        <v>1</v>
      </c>
      <c r="CE7">
        <v>1</v>
      </c>
      <c r="CF7">
        <v>1</v>
      </c>
      <c r="CG7" s="7"/>
      <c r="CH7" s="148">
        <v>1</v>
      </c>
      <c r="CI7" s="148">
        <v>1</v>
      </c>
      <c r="CK7">
        <v>1</v>
      </c>
      <c r="CM7">
        <v>1</v>
      </c>
      <c r="CN7" s="7"/>
      <c r="CU7" s="7"/>
      <c r="DB7" s="7"/>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6"/>
        <v>Sabrina Grojer</v>
      </c>
      <c r="F8" s="19" t="s">
        <v>698</v>
      </c>
      <c r="G8" s="182" t="s">
        <v>701</v>
      </c>
      <c r="H8" s="56">
        <v>37133</v>
      </c>
      <c r="I8" s="176" t="str">
        <f t="shared" si="4"/>
        <v>SG</v>
      </c>
      <c r="J8" s="199" t="s">
        <v>826</v>
      </c>
      <c r="K8" s="19">
        <f t="shared" si="7"/>
        <v>36</v>
      </c>
      <c r="L8" s="192">
        <f t="shared" si="5"/>
        <v>72</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F8">
        <v>1</v>
      </c>
      <c r="BG8">
        <v>1</v>
      </c>
      <c r="BI8">
        <v>1</v>
      </c>
      <c r="BJ8">
        <v>1</v>
      </c>
      <c r="BK8">
        <v>1</v>
      </c>
      <c r="BL8" s="7"/>
      <c r="BM8" s="148">
        <v>1</v>
      </c>
      <c r="BN8" s="148">
        <v>1</v>
      </c>
      <c r="BP8">
        <v>1</v>
      </c>
      <c r="BQ8">
        <v>1</v>
      </c>
      <c r="BR8">
        <v>1</v>
      </c>
      <c r="BS8" s="7"/>
      <c r="BU8">
        <v>1</v>
      </c>
      <c r="BW8">
        <v>1</v>
      </c>
      <c r="BX8">
        <v>1</v>
      </c>
      <c r="BZ8" s="7" t="s">
        <v>765</v>
      </c>
      <c r="CA8">
        <v>1</v>
      </c>
      <c r="CB8">
        <v>1</v>
      </c>
      <c r="CD8">
        <v>1</v>
      </c>
      <c r="CE8">
        <v>1</v>
      </c>
      <c r="CF8">
        <v>1</v>
      </c>
      <c r="CG8" s="7"/>
      <c r="CH8" s="148">
        <v>1</v>
      </c>
      <c r="CI8" s="148">
        <v>1</v>
      </c>
      <c r="CK8">
        <v>1</v>
      </c>
      <c r="CM8">
        <v>1</v>
      </c>
      <c r="CN8" s="7"/>
      <c r="CU8" s="7"/>
      <c r="DB8" s="7"/>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6"/>
        <v>Alexandra Jordan</v>
      </c>
      <c r="F9" s="19" t="s">
        <v>688</v>
      </c>
      <c r="G9" s="182" t="s">
        <v>704</v>
      </c>
      <c r="H9" s="56">
        <v>37808</v>
      </c>
      <c r="I9" s="176" t="str">
        <f t="shared" si="4"/>
        <v>AJ</v>
      </c>
      <c r="J9" s="199" t="s">
        <v>849</v>
      </c>
      <c r="K9" s="19">
        <f t="shared" si="7"/>
        <v>46</v>
      </c>
      <c r="L9" s="192">
        <f t="shared" si="5"/>
        <v>90.196078431372555</v>
      </c>
      <c r="M9" s="142" t="s">
        <v>757</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R9" s="148">
        <v>1</v>
      </c>
      <c r="AS9" s="148">
        <v>1</v>
      </c>
      <c r="AU9">
        <v>1</v>
      </c>
      <c r="AV9">
        <v>1</v>
      </c>
      <c r="AW9">
        <v>1</v>
      </c>
      <c r="AX9" s="7"/>
      <c r="AY9" s="148">
        <v>1</v>
      </c>
      <c r="AZ9" s="148">
        <v>1</v>
      </c>
      <c r="BB9">
        <v>1</v>
      </c>
      <c r="BC9">
        <v>1</v>
      </c>
      <c r="BE9" s="7"/>
      <c r="BF9">
        <v>1</v>
      </c>
      <c r="BG9">
        <v>1</v>
      </c>
      <c r="BI9">
        <v>1</v>
      </c>
      <c r="BJ9">
        <v>1</v>
      </c>
      <c r="BK9">
        <v>1</v>
      </c>
      <c r="BL9" s="7"/>
      <c r="BM9" s="148">
        <v>1</v>
      </c>
      <c r="BN9" s="148">
        <v>1</v>
      </c>
      <c r="BP9">
        <v>1</v>
      </c>
      <c r="BQ9">
        <v>1</v>
      </c>
      <c r="BR9">
        <v>1</v>
      </c>
      <c r="BS9" s="7">
        <v>1</v>
      </c>
      <c r="BT9" s="148">
        <v>1</v>
      </c>
      <c r="BU9">
        <v>1</v>
      </c>
      <c r="BW9">
        <v>1</v>
      </c>
      <c r="BX9">
        <v>1</v>
      </c>
      <c r="BZ9" s="7">
        <v>1</v>
      </c>
      <c r="CD9">
        <v>1</v>
      </c>
      <c r="CG9" s="7"/>
      <c r="CI9" s="148">
        <v>1</v>
      </c>
      <c r="CK9">
        <v>1</v>
      </c>
      <c r="CM9">
        <v>1</v>
      </c>
      <c r="CN9" s="7"/>
      <c r="CU9" s="7"/>
      <c r="DB9" s="7"/>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784</v>
      </c>
      <c r="C10" s="19" t="s">
        <v>158</v>
      </c>
      <c r="D10" s="19" t="s">
        <v>123</v>
      </c>
      <c r="E10" s="19" t="str">
        <f t="shared" si="6"/>
        <v>Stefanie Marbek</v>
      </c>
      <c r="F10" s="19" t="s">
        <v>697</v>
      </c>
      <c r="G10" s="182" t="s">
        <v>709</v>
      </c>
      <c r="H10" s="56">
        <v>38491</v>
      </c>
      <c r="I10" s="176" t="str">
        <f t="shared" si="4"/>
        <v>SM</v>
      </c>
      <c r="J10" s="199" t="s">
        <v>788</v>
      </c>
      <c r="K10" s="19">
        <f t="shared" si="7"/>
        <v>47</v>
      </c>
      <c r="L10" s="192">
        <f t="shared" si="5"/>
        <v>92.156862745098039</v>
      </c>
      <c r="M10" s="142" t="s">
        <v>757</v>
      </c>
      <c r="N10" s="142" t="s">
        <v>757</v>
      </c>
      <c r="O10" s="7"/>
      <c r="U10">
        <v>1</v>
      </c>
      <c r="V10" s="7"/>
      <c r="W10">
        <v>1</v>
      </c>
      <c r="X10">
        <v>1</v>
      </c>
      <c r="AA10">
        <v>1</v>
      </c>
      <c r="AC10" s="7"/>
      <c r="AD10">
        <v>1</v>
      </c>
      <c r="AE10">
        <v>1</v>
      </c>
      <c r="AG10">
        <v>1</v>
      </c>
      <c r="AH10">
        <v>1</v>
      </c>
      <c r="AI10">
        <v>1</v>
      </c>
      <c r="AJ10" s="7">
        <v>1</v>
      </c>
      <c r="AK10" s="148">
        <v>1</v>
      </c>
      <c r="AL10" s="148">
        <v>1</v>
      </c>
      <c r="AN10">
        <v>1</v>
      </c>
      <c r="AP10">
        <v>1</v>
      </c>
      <c r="AQ10" s="7">
        <v>1</v>
      </c>
      <c r="AR10" s="148">
        <v>1</v>
      </c>
      <c r="AS10" s="148">
        <v>1</v>
      </c>
      <c r="AU10">
        <v>1</v>
      </c>
      <c r="AV10">
        <v>1</v>
      </c>
      <c r="AW10">
        <v>1</v>
      </c>
      <c r="AX10" s="7"/>
      <c r="AY10" s="148">
        <v>1</v>
      </c>
      <c r="AZ10" s="148">
        <v>1</v>
      </c>
      <c r="BB10">
        <v>1</v>
      </c>
      <c r="BC10">
        <v>1</v>
      </c>
      <c r="BE10" s="7"/>
      <c r="BF10">
        <v>1</v>
      </c>
      <c r="BG10">
        <v>1</v>
      </c>
      <c r="BI10">
        <v>1</v>
      </c>
      <c r="BJ10">
        <v>1</v>
      </c>
      <c r="BK10">
        <v>1</v>
      </c>
      <c r="BL10" s="7"/>
      <c r="BM10" s="148">
        <v>1</v>
      </c>
      <c r="BN10" s="148">
        <v>1</v>
      </c>
      <c r="BQ10">
        <v>1</v>
      </c>
      <c r="BR10">
        <v>1</v>
      </c>
      <c r="BS10" s="7">
        <v>1</v>
      </c>
      <c r="BT10" s="148"/>
      <c r="BU10" s="148">
        <v>1</v>
      </c>
      <c r="BW10">
        <v>1</v>
      </c>
      <c r="BX10">
        <v>1</v>
      </c>
      <c r="BZ10" s="7">
        <v>1</v>
      </c>
      <c r="CA10">
        <v>1</v>
      </c>
      <c r="CB10">
        <v>1</v>
      </c>
      <c r="CD10">
        <v>1</v>
      </c>
      <c r="CE10">
        <v>1</v>
      </c>
      <c r="CF10">
        <v>1</v>
      </c>
      <c r="CG10" s="7"/>
      <c r="CH10" s="148">
        <v>1</v>
      </c>
      <c r="CI10" s="148">
        <v>1</v>
      </c>
      <c r="CM10">
        <v>1</v>
      </c>
      <c r="CN10" s="7"/>
      <c r="CQ10">
        <v>1</v>
      </c>
      <c r="CU10" s="7"/>
      <c r="DB10" s="7"/>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t="s">
        <v>785</v>
      </c>
      <c r="C11" s="19" t="s">
        <v>160</v>
      </c>
      <c r="D11" s="19" t="s">
        <v>122</v>
      </c>
      <c r="E11" s="19" t="str">
        <f t="shared" si="6"/>
        <v>Lea Mehringer</v>
      </c>
      <c r="F11" s="19" t="s">
        <v>684</v>
      </c>
      <c r="G11" s="182" t="s">
        <v>707</v>
      </c>
      <c r="H11" s="56">
        <v>38655</v>
      </c>
      <c r="I11" s="176" t="str">
        <f t="shared" si="4"/>
        <v>LE</v>
      </c>
      <c r="J11" s="199" t="s">
        <v>788</v>
      </c>
      <c r="K11" s="19">
        <f t="shared" si="7"/>
        <v>39</v>
      </c>
      <c r="L11" s="192">
        <f t="shared" si="5"/>
        <v>76.470588235294116</v>
      </c>
      <c r="M11" s="142" t="s">
        <v>757</v>
      </c>
      <c r="N11" s="142" t="s">
        <v>757</v>
      </c>
      <c r="O11" s="7"/>
      <c r="U11">
        <v>1</v>
      </c>
      <c r="V11" s="7"/>
      <c r="W11">
        <v>1</v>
      </c>
      <c r="AC11" s="7"/>
      <c r="AD11">
        <v>1</v>
      </c>
      <c r="AE11">
        <v>1</v>
      </c>
      <c r="AG11">
        <v>1</v>
      </c>
      <c r="AI11">
        <v>1</v>
      </c>
      <c r="AJ11" s="7">
        <v>1</v>
      </c>
      <c r="AK11" s="148">
        <v>1</v>
      </c>
      <c r="AL11" s="148">
        <v>1</v>
      </c>
      <c r="AN11">
        <v>1</v>
      </c>
      <c r="AO11">
        <v>1</v>
      </c>
      <c r="AP11">
        <v>1</v>
      </c>
      <c r="AQ11" s="7">
        <v>1</v>
      </c>
      <c r="AR11" s="148">
        <v>1</v>
      </c>
      <c r="AS11" s="148">
        <v>1</v>
      </c>
      <c r="AU11">
        <v>1</v>
      </c>
      <c r="AW11">
        <v>1</v>
      </c>
      <c r="AX11" s="7"/>
      <c r="AY11" s="148">
        <v>1</v>
      </c>
      <c r="AZ11" s="148">
        <v>1</v>
      </c>
      <c r="BB11">
        <v>1</v>
      </c>
      <c r="BC11">
        <v>1</v>
      </c>
      <c r="BE11" s="7"/>
      <c r="BG11">
        <v>1</v>
      </c>
      <c r="BI11">
        <v>1</v>
      </c>
      <c r="BK11">
        <v>1</v>
      </c>
      <c r="BL11" s="7"/>
      <c r="BM11" s="148">
        <v>1</v>
      </c>
      <c r="BN11" s="148">
        <v>1</v>
      </c>
      <c r="BP11">
        <v>1</v>
      </c>
      <c r="BR11">
        <v>1</v>
      </c>
      <c r="BS11" s="7">
        <v>1</v>
      </c>
      <c r="BT11" s="148">
        <v>1</v>
      </c>
      <c r="BU11" s="148">
        <v>1</v>
      </c>
      <c r="BW11">
        <v>1</v>
      </c>
      <c r="BX11">
        <v>1</v>
      </c>
      <c r="BZ11" s="7">
        <v>1</v>
      </c>
      <c r="CA11">
        <v>1</v>
      </c>
      <c r="CB11">
        <v>1</v>
      </c>
      <c r="CE11">
        <v>1</v>
      </c>
      <c r="CF11">
        <v>1</v>
      </c>
      <c r="CG11" s="7"/>
      <c r="CK11">
        <v>1</v>
      </c>
      <c r="CN11" s="7"/>
      <c r="CQ11" t="s">
        <v>364</v>
      </c>
      <c r="CU11" s="7"/>
      <c r="DB11" s="7"/>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6"/>
        <v>Celine Murnig</v>
      </c>
      <c r="F12" s="19"/>
      <c r="G12" s="182" t="s">
        <v>706</v>
      </c>
      <c r="H12" s="56">
        <v>37863</v>
      </c>
      <c r="I12" s="176" t="str">
        <f t="shared" si="4"/>
        <v>CM</v>
      </c>
      <c r="J12" s="199" t="s">
        <v>788</v>
      </c>
      <c r="K12" s="19">
        <f t="shared" si="7"/>
        <v>48</v>
      </c>
      <c r="L12" s="192">
        <f t="shared" si="5"/>
        <v>94.117647058823522</v>
      </c>
      <c r="M12" s="142" t="s">
        <v>757</v>
      </c>
      <c r="N12" s="142" t="s">
        <v>680</v>
      </c>
      <c r="O12" s="7"/>
      <c r="U12">
        <v>1</v>
      </c>
      <c r="V12" s="7"/>
      <c r="X12">
        <v>1</v>
      </c>
      <c r="Z12">
        <v>1</v>
      </c>
      <c r="AA12">
        <v>1</v>
      </c>
      <c r="AC12" s="7"/>
      <c r="AD12">
        <v>1</v>
      </c>
      <c r="AH12">
        <v>1</v>
      </c>
      <c r="AI12">
        <v>1</v>
      </c>
      <c r="AJ12" s="7">
        <v>1</v>
      </c>
      <c r="AK12" s="148">
        <v>1</v>
      </c>
      <c r="AL12" s="148">
        <v>1</v>
      </c>
      <c r="AN12">
        <v>1</v>
      </c>
      <c r="AO12">
        <v>1</v>
      </c>
      <c r="AP12">
        <v>1</v>
      </c>
      <c r="AQ12" s="7">
        <v>1</v>
      </c>
      <c r="AR12" s="148">
        <v>1</v>
      </c>
      <c r="AS12" s="148">
        <v>1</v>
      </c>
      <c r="AU12">
        <v>1</v>
      </c>
      <c r="AV12">
        <v>1</v>
      </c>
      <c r="AW12">
        <v>1</v>
      </c>
      <c r="AX12" s="7"/>
      <c r="AY12" s="148">
        <v>1</v>
      </c>
      <c r="AZ12" s="148">
        <v>1</v>
      </c>
      <c r="BB12">
        <v>1</v>
      </c>
      <c r="BC12">
        <v>1</v>
      </c>
      <c r="BE12" s="7"/>
      <c r="BF12">
        <v>1</v>
      </c>
      <c r="BG12">
        <v>1</v>
      </c>
      <c r="BI12">
        <v>1</v>
      </c>
      <c r="BJ12">
        <v>1</v>
      </c>
      <c r="BK12">
        <v>1</v>
      </c>
      <c r="BL12" s="7"/>
      <c r="BM12" s="148">
        <v>1</v>
      </c>
      <c r="BN12" s="148">
        <v>1</v>
      </c>
      <c r="BP12">
        <v>1</v>
      </c>
      <c r="BQ12">
        <v>1</v>
      </c>
      <c r="BR12">
        <v>1</v>
      </c>
      <c r="BS12" s="7">
        <v>1</v>
      </c>
      <c r="BT12" s="148">
        <v>1</v>
      </c>
      <c r="BU12" s="148">
        <v>1</v>
      </c>
      <c r="BX12">
        <v>1</v>
      </c>
      <c r="BZ12" s="7">
        <v>1</v>
      </c>
      <c r="CA12">
        <v>1</v>
      </c>
      <c r="CB12">
        <v>1</v>
      </c>
      <c r="CD12">
        <v>1</v>
      </c>
      <c r="CE12">
        <v>1</v>
      </c>
      <c r="CF12">
        <v>1</v>
      </c>
      <c r="CG12" s="7"/>
      <c r="CH12" s="148">
        <v>1</v>
      </c>
      <c r="CI12" s="148">
        <v>1</v>
      </c>
      <c r="CK12">
        <v>1</v>
      </c>
      <c r="CM12">
        <v>1</v>
      </c>
      <c r="CN12" s="7"/>
      <c r="CQ12">
        <v>1</v>
      </c>
      <c r="CU12" s="7"/>
      <c r="DB12" s="7"/>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t="s">
        <v>786</v>
      </c>
      <c r="C13" s="19" t="s">
        <v>143</v>
      </c>
      <c r="D13" s="19" t="s">
        <v>139</v>
      </c>
      <c r="E13" s="19" t="str">
        <f t="shared" si="6"/>
        <v>Lea Murnig</v>
      </c>
      <c r="F13" s="19" t="s">
        <v>690</v>
      </c>
      <c r="G13" s="182" t="s">
        <v>710</v>
      </c>
      <c r="H13" s="56">
        <v>37863</v>
      </c>
      <c r="I13" s="176" t="str">
        <f t="shared" si="4"/>
        <v>LM</v>
      </c>
      <c r="J13" s="199" t="s">
        <v>788</v>
      </c>
      <c r="K13" s="19">
        <f t="shared" si="7"/>
        <v>45</v>
      </c>
      <c r="L13" s="192">
        <f t="shared" si="5"/>
        <v>88.235294117647058</v>
      </c>
      <c r="M13" s="142" t="s">
        <v>757</v>
      </c>
      <c r="N13" s="142" t="s">
        <v>680</v>
      </c>
      <c r="O13" s="7"/>
      <c r="U13">
        <v>1</v>
      </c>
      <c r="V13" s="7"/>
      <c r="AA13">
        <v>1</v>
      </c>
      <c r="AC13" s="7"/>
      <c r="AD13">
        <v>1</v>
      </c>
      <c r="AE13">
        <v>1</v>
      </c>
      <c r="AH13">
        <v>1</v>
      </c>
      <c r="AI13">
        <v>1</v>
      </c>
      <c r="AJ13" s="7">
        <v>1</v>
      </c>
      <c r="AK13" s="148">
        <v>1</v>
      </c>
      <c r="AL13" s="148">
        <v>1</v>
      </c>
      <c r="AN13">
        <v>1</v>
      </c>
      <c r="AO13">
        <v>1</v>
      </c>
      <c r="AP13">
        <v>1</v>
      </c>
      <c r="AQ13" s="7">
        <v>1</v>
      </c>
      <c r="AR13" s="148"/>
      <c r="AS13" s="148">
        <v>1</v>
      </c>
      <c r="AU13">
        <v>1</v>
      </c>
      <c r="AV13">
        <v>1</v>
      </c>
      <c r="AW13">
        <v>1</v>
      </c>
      <c r="AX13" s="7"/>
      <c r="AY13" s="148">
        <v>1</v>
      </c>
      <c r="AZ13" s="148">
        <v>1</v>
      </c>
      <c r="BB13">
        <v>1</v>
      </c>
      <c r="BC13">
        <v>1</v>
      </c>
      <c r="BE13" s="7"/>
      <c r="BG13">
        <v>1</v>
      </c>
      <c r="BI13">
        <v>1</v>
      </c>
      <c r="BJ13">
        <v>1</v>
      </c>
      <c r="BK13">
        <v>1</v>
      </c>
      <c r="BL13" s="7"/>
      <c r="BM13" s="148">
        <v>1</v>
      </c>
      <c r="BN13" s="148">
        <v>1</v>
      </c>
      <c r="BP13">
        <v>1</v>
      </c>
      <c r="BQ13">
        <v>1</v>
      </c>
      <c r="BR13">
        <v>1</v>
      </c>
      <c r="BS13" s="7">
        <v>1</v>
      </c>
      <c r="BT13" s="148">
        <v>1</v>
      </c>
      <c r="BU13" s="148">
        <v>1</v>
      </c>
      <c r="BW13">
        <v>1</v>
      </c>
      <c r="BZ13" s="7">
        <v>1</v>
      </c>
      <c r="CA13">
        <v>1</v>
      </c>
      <c r="CB13">
        <v>1</v>
      </c>
      <c r="CD13">
        <v>1</v>
      </c>
      <c r="CE13">
        <v>1</v>
      </c>
      <c r="CF13">
        <v>1</v>
      </c>
      <c r="CG13" s="7"/>
      <c r="CH13" s="148">
        <v>1</v>
      </c>
      <c r="CI13" s="148">
        <v>1</v>
      </c>
      <c r="CK13">
        <v>1</v>
      </c>
      <c r="CM13">
        <v>1</v>
      </c>
      <c r="CN13" s="7"/>
      <c r="CQ13">
        <v>1</v>
      </c>
      <c r="CU13" s="7"/>
      <c r="DB13" s="7"/>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6"/>
        <v>Yasmin Murnig</v>
      </c>
      <c r="F14" s="19" t="s">
        <v>693</v>
      </c>
      <c r="G14" s="182" t="s">
        <v>712</v>
      </c>
      <c r="H14" s="56">
        <v>38954</v>
      </c>
      <c r="I14" s="176" t="str">
        <f t="shared" si="4"/>
        <v>YM</v>
      </c>
      <c r="J14" s="199" t="s">
        <v>788</v>
      </c>
      <c r="K14" s="19">
        <f t="shared" si="7"/>
        <v>37</v>
      </c>
      <c r="L14" s="192">
        <f t="shared" ref="L14:L19" si="8">K14/(K$25 -COUNTIF(M14:ZZ14, "x")) * 100</f>
        <v>84.090909090909093</v>
      </c>
      <c r="M14" s="142" t="s">
        <v>757</v>
      </c>
      <c r="N14" s="142" t="s">
        <v>757</v>
      </c>
      <c r="O14" s="7"/>
      <c r="U14">
        <v>1</v>
      </c>
      <c r="V14" s="7"/>
      <c r="X14">
        <v>1</v>
      </c>
      <c r="Z14">
        <v>1</v>
      </c>
      <c r="AA14">
        <v>1</v>
      </c>
      <c r="AC14" s="7"/>
      <c r="AD14">
        <v>1</v>
      </c>
      <c r="AE14">
        <v>1</v>
      </c>
      <c r="AH14">
        <v>1</v>
      </c>
      <c r="AI14">
        <v>1</v>
      </c>
      <c r="AJ14" s="7">
        <v>1</v>
      </c>
      <c r="AK14" s="148">
        <v>1</v>
      </c>
      <c r="AL14" s="148">
        <v>1</v>
      </c>
      <c r="AO14">
        <v>1</v>
      </c>
      <c r="AP14">
        <v>1</v>
      </c>
      <c r="AQ14" s="7"/>
      <c r="AR14" s="148">
        <v>1</v>
      </c>
      <c r="AS14" s="148">
        <v>1</v>
      </c>
      <c r="AU14">
        <v>1</v>
      </c>
      <c r="AV14">
        <v>1</v>
      </c>
      <c r="AW14">
        <v>1</v>
      </c>
      <c r="AX14" s="7"/>
      <c r="AY14" s="148">
        <v>1</v>
      </c>
      <c r="AZ14" s="148">
        <v>1</v>
      </c>
      <c r="BB14">
        <v>1</v>
      </c>
      <c r="BE14" s="7"/>
      <c r="BF14">
        <v>1</v>
      </c>
      <c r="BG14">
        <v>1</v>
      </c>
      <c r="BI14">
        <v>1</v>
      </c>
      <c r="BJ14">
        <v>1</v>
      </c>
      <c r="BL14" s="7"/>
      <c r="BM14" s="148">
        <v>1</v>
      </c>
      <c r="BN14" s="148">
        <v>1</v>
      </c>
      <c r="BP14">
        <v>1</v>
      </c>
      <c r="BQ14">
        <v>1</v>
      </c>
      <c r="BS14" s="7">
        <v>1</v>
      </c>
      <c r="BT14" s="148">
        <v>1</v>
      </c>
      <c r="BU14" s="148">
        <v>1</v>
      </c>
      <c r="BW14">
        <v>1</v>
      </c>
      <c r="BX14" s="96" t="s">
        <v>765</v>
      </c>
      <c r="BZ14" s="7">
        <v>1</v>
      </c>
      <c r="CA14">
        <v>1</v>
      </c>
      <c r="CB14">
        <v>1</v>
      </c>
      <c r="CD14" t="s">
        <v>765</v>
      </c>
      <c r="CE14" t="s">
        <v>765</v>
      </c>
      <c r="CF14" t="s">
        <v>765</v>
      </c>
      <c r="CG14" s="7"/>
      <c r="CH14" s="148" t="s">
        <v>765</v>
      </c>
      <c r="CI14" s="148" t="s">
        <v>765</v>
      </c>
      <c r="CK14" t="s">
        <v>765</v>
      </c>
      <c r="CM14">
        <v>1</v>
      </c>
      <c r="CN14" s="7"/>
      <c r="CU14" s="7"/>
      <c r="DB14" s="7"/>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6"/>
        <v>Selina Popaj</v>
      </c>
      <c r="F15" s="19"/>
      <c r="G15" s="182" t="s">
        <v>708</v>
      </c>
      <c r="H15" s="56">
        <v>39155</v>
      </c>
      <c r="I15" s="176" t="str">
        <f t="shared" si="4"/>
        <v>SP</v>
      </c>
      <c r="J15" s="199" t="s">
        <v>852</v>
      </c>
      <c r="K15" s="19">
        <f t="shared" si="7"/>
        <v>22</v>
      </c>
      <c r="L15" s="192">
        <f t="shared" si="8"/>
        <v>52.380952380952387</v>
      </c>
      <c r="M15" s="142" t="s">
        <v>757</v>
      </c>
      <c r="N15" s="142" t="s">
        <v>757</v>
      </c>
      <c r="O15" s="7"/>
      <c r="V15" s="7"/>
      <c r="X15">
        <v>1</v>
      </c>
      <c r="Z15">
        <v>1</v>
      </c>
      <c r="AA15">
        <v>1</v>
      </c>
      <c r="AC15" s="7"/>
      <c r="AD15">
        <v>1</v>
      </c>
      <c r="AE15">
        <v>1</v>
      </c>
      <c r="AG15">
        <v>1</v>
      </c>
      <c r="AI15">
        <v>1</v>
      </c>
      <c r="AJ15" s="7">
        <v>1</v>
      </c>
      <c r="AK15" s="148">
        <v>1</v>
      </c>
      <c r="AL15" s="148">
        <v>1</v>
      </c>
      <c r="AN15">
        <v>1</v>
      </c>
      <c r="AP15">
        <v>1</v>
      </c>
      <c r="AQ15" s="7">
        <v>1</v>
      </c>
      <c r="AR15" s="148">
        <v>1</v>
      </c>
      <c r="AS15" s="148">
        <v>1</v>
      </c>
      <c r="AU15">
        <v>1</v>
      </c>
      <c r="AV15">
        <v>1</v>
      </c>
      <c r="AW15">
        <v>1</v>
      </c>
      <c r="AX15" s="7"/>
      <c r="AY15" s="148">
        <v>1</v>
      </c>
      <c r="BE15" s="7"/>
      <c r="BL15" s="7"/>
      <c r="BS15" s="7">
        <v>1</v>
      </c>
      <c r="BT15" s="148">
        <v>1</v>
      </c>
      <c r="BU15" s="148">
        <v>1</v>
      </c>
      <c r="BX15" s="96" t="s">
        <v>765</v>
      </c>
      <c r="BZ15" s="7"/>
      <c r="CA15" t="s">
        <v>765</v>
      </c>
      <c r="CB15" t="s">
        <v>765</v>
      </c>
      <c r="CD15" t="s">
        <v>765</v>
      </c>
      <c r="CE15" t="s">
        <v>765</v>
      </c>
      <c r="CF15" t="s">
        <v>765</v>
      </c>
      <c r="CG15" s="7"/>
      <c r="CH15" s="148" t="s">
        <v>765</v>
      </c>
      <c r="CI15" s="148" t="s">
        <v>765</v>
      </c>
      <c r="CK15" t="s">
        <v>765</v>
      </c>
      <c r="CN15" s="7"/>
      <c r="CU15" s="7"/>
      <c r="DB15" s="7"/>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6"/>
        <v>Valentina Probst</v>
      </c>
      <c r="F16" s="19" t="s">
        <v>694</v>
      </c>
      <c r="G16" s="182" t="s">
        <v>703</v>
      </c>
      <c r="H16" s="56">
        <v>37177</v>
      </c>
      <c r="I16" s="176" t="str">
        <f t="shared" si="4"/>
        <v>VP</v>
      </c>
      <c r="J16" s="199" t="s">
        <v>788</v>
      </c>
      <c r="K16" s="19">
        <f t="shared" si="7"/>
        <v>51</v>
      </c>
      <c r="L16" s="192">
        <f t="shared" si="8"/>
        <v>100</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R16" s="148">
        <v>1</v>
      </c>
      <c r="AS16" s="148">
        <v>1</v>
      </c>
      <c r="AU16">
        <v>1</v>
      </c>
      <c r="AV16">
        <v>1</v>
      </c>
      <c r="AW16">
        <v>1</v>
      </c>
      <c r="AX16" s="7"/>
      <c r="AY16" s="148">
        <v>1</v>
      </c>
      <c r="AZ16" s="148">
        <v>1</v>
      </c>
      <c r="BB16">
        <v>1</v>
      </c>
      <c r="BC16">
        <v>1</v>
      </c>
      <c r="BE16" s="7"/>
      <c r="BF16">
        <v>1</v>
      </c>
      <c r="BG16">
        <v>1</v>
      </c>
      <c r="BI16">
        <v>1</v>
      </c>
      <c r="BJ16">
        <v>1</v>
      </c>
      <c r="BK16">
        <v>1</v>
      </c>
      <c r="BL16" s="7"/>
      <c r="BM16" s="148">
        <v>1</v>
      </c>
      <c r="BN16">
        <v>1</v>
      </c>
      <c r="BP16">
        <v>1</v>
      </c>
      <c r="BQ16">
        <v>1</v>
      </c>
      <c r="BR16">
        <v>1</v>
      </c>
      <c r="BS16" s="7">
        <v>1</v>
      </c>
      <c r="BT16" s="148">
        <v>1</v>
      </c>
      <c r="BU16" s="148">
        <v>1</v>
      </c>
      <c r="BW16">
        <v>1</v>
      </c>
      <c r="BX16">
        <v>1</v>
      </c>
      <c r="BZ16" s="7">
        <v>1</v>
      </c>
      <c r="CA16">
        <v>1</v>
      </c>
      <c r="CB16">
        <v>1</v>
      </c>
      <c r="CD16">
        <v>1</v>
      </c>
      <c r="CE16">
        <v>1</v>
      </c>
      <c r="CF16">
        <v>1</v>
      </c>
      <c r="CG16" s="7"/>
      <c r="CH16" s="148">
        <v>1</v>
      </c>
      <c r="CI16" s="148">
        <v>1</v>
      </c>
      <c r="CK16">
        <v>1</v>
      </c>
      <c r="CM16">
        <v>1</v>
      </c>
      <c r="CN16" s="7"/>
      <c r="CU16" s="7"/>
      <c r="DB16" s="7"/>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783</v>
      </c>
      <c r="C17" s="19" t="s">
        <v>167</v>
      </c>
      <c r="D17" s="19" t="s">
        <v>168</v>
      </c>
      <c r="E17" s="19" t="str">
        <f t="shared" si="6"/>
        <v>Stefanie Rückenbaum</v>
      </c>
      <c r="F17" s="19" t="s">
        <v>696</v>
      </c>
      <c r="G17" s="182" t="s">
        <v>702</v>
      </c>
      <c r="H17" s="56">
        <v>36870</v>
      </c>
      <c r="I17" s="176" t="str">
        <f t="shared" si="4"/>
        <v>SR</v>
      </c>
      <c r="J17" s="199" t="s">
        <v>788</v>
      </c>
      <c r="K17" s="19">
        <f t="shared" si="7"/>
        <v>47</v>
      </c>
      <c r="L17" s="192">
        <f t="shared" si="8"/>
        <v>95.918367346938766</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R17" s="148">
        <v>1</v>
      </c>
      <c r="AS17" s="148">
        <v>1</v>
      </c>
      <c r="AU17">
        <v>1</v>
      </c>
      <c r="AV17">
        <v>1</v>
      </c>
      <c r="AW17">
        <v>1</v>
      </c>
      <c r="AX17" s="7"/>
      <c r="AY17" s="148">
        <v>1</v>
      </c>
      <c r="AZ17" s="148">
        <v>1</v>
      </c>
      <c r="BB17">
        <v>1</v>
      </c>
      <c r="BC17">
        <v>1</v>
      </c>
      <c r="BE17" s="7"/>
      <c r="BF17">
        <v>1</v>
      </c>
      <c r="BG17">
        <v>1</v>
      </c>
      <c r="BI17">
        <v>1</v>
      </c>
      <c r="BJ17">
        <v>1</v>
      </c>
      <c r="BK17">
        <v>1</v>
      </c>
      <c r="BL17" s="7"/>
      <c r="BM17" s="148">
        <v>1</v>
      </c>
      <c r="BN17" s="148">
        <v>1</v>
      </c>
      <c r="BP17">
        <v>1</v>
      </c>
      <c r="BQ17">
        <v>1</v>
      </c>
      <c r="BR17">
        <v>1</v>
      </c>
      <c r="BS17" s="7"/>
      <c r="BT17" s="148">
        <v>1</v>
      </c>
      <c r="BW17">
        <v>1</v>
      </c>
      <c r="BX17">
        <v>1</v>
      </c>
      <c r="BZ17" s="7" t="s">
        <v>765</v>
      </c>
      <c r="CA17">
        <v>1</v>
      </c>
      <c r="CB17">
        <v>1</v>
      </c>
      <c r="CD17">
        <v>1</v>
      </c>
      <c r="CE17">
        <v>1</v>
      </c>
      <c r="CF17">
        <v>1</v>
      </c>
      <c r="CG17" s="7"/>
      <c r="CH17" s="148"/>
      <c r="CI17" s="148">
        <v>1</v>
      </c>
      <c r="CK17">
        <v>1</v>
      </c>
      <c r="CM17">
        <v>1</v>
      </c>
      <c r="CN17" s="7"/>
      <c r="CQ17" t="s">
        <v>765</v>
      </c>
      <c r="CU17" s="7"/>
      <c r="DB17" s="7"/>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22</v>
      </c>
      <c r="C18" s="19" t="s">
        <v>183</v>
      </c>
      <c r="D18" s="19" t="s">
        <v>81</v>
      </c>
      <c r="E18" s="19" t="str">
        <f t="shared" si="6"/>
        <v>Theresa Scheitz</v>
      </c>
      <c r="F18" s="19" t="s">
        <v>695</v>
      </c>
      <c r="G18" s="182" t="s">
        <v>711</v>
      </c>
      <c r="H18" s="56">
        <v>38054</v>
      </c>
      <c r="I18" s="176" t="str">
        <f t="shared" si="4"/>
        <v>TS</v>
      </c>
      <c r="J18" s="199" t="s">
        <v>788</v>
      </c>
      <c r="K18" s="19">
        <f t="shared" si="7"/>
        <v>50</v>
      </c>
      <c r="L18" s="192">
        <f t="shared" si="8"/>
        <v>98.039215686274503</v>
      </c>
      <c r="M18" s="142" t="s">
        <v>757</v>
      </c>
      <c r="N18" s="142" t="s">
        <v>757</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R18" s="148">
        <v>1</v>
      </c>
      <c r="AS18" s="148">
        <v>1</v>
      </c>
      <c r="AU18">
        <v>1</v>
      </c>
      <c r="AV18">
        <v>1</v>
      </c>
      <c r="AW18">
        <v>1</v>
      </c>
      <c r="AX18" s="7"/>
      <c r="AY18" s="148">
        <v>1</v>
      </c>
      <c r="AZ18" s="148">
        <v>1</v>
      </c>
      <c r="BB18">
        <v>1</v>
      </c>
      <c r="BC18">
        <v>1</v>
      </c>
      <c r="BE18" s="7"/>
      <c r="BF18">
        <v>1</v>
      </c>
      <c r="BG18">
        <v>1</v>
      </c>
      <c r="BI18">
        <v>1</v>
      </c>
      <c r="BJ18">
        <v>1</v>
      </c>
      <c r="BK18">
        <v>1</v>
      </c>
      <c r="BL18" s="7"/>
      <c r="BM18" s="148">
        <v>1</v>
      </c>
      <c r="BN18" s="148">
        <v>1</v>
      </c>
      <c r="BP18">
        <v>1</v>
      </c>
      <c r="BQ18">
        <v>1</v>
      </c>
      <c r="BR18">
        <v>1</v>
      </c>
      <c r="BS18" s="7">
        <v>1</v>
      </c>
      <c r="BT18" s="148">
        <v>1</v>
      </c>
      <c r="BU18" s="148">
        <v>1</v>
      </c>
      <c r="BX18">
        <v>1</v>
      </c>
      <c r="BZ18" s="7">
        <v>1</v>
      </c>
      <c r="CA18">
        <v>1</v>
      </c>
      <c r="CB18">
        <v>1</v>
      </c>
      <c r="CD18">
        <v>1</v>
      </c>
      <c r="CE18">
        <v>1</v>
      </c>
      <c r="CF18">
        <v>1</v>
      </c>
      <c r="CG18" s="7"/>
      <c r="CH18" s="148">
        <v>1</v>
      </c>
      <c r="CI18" s="148">
        <v>1</v>
      </c>
      <c r="CK18">
        <v>1</v>
      </c>
      <c r="CM18">
        <v>1</v>
      </c>
      <c r="CN18" s="7"/>
      <c r="CU18" s="7"/>
      <c r="DB18" s="7"/>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6"/>
        <v>Ylva Völker</v>
      </c>
      <c r="F19" s="88" t="s">
        <v>692</v>
      </c>
      <c r="G19" s="183" t="s">
        <v>713</v>
      </c>
      <c r="H19" s="162">
        <v>39280</v>
      </c>
      <c r="I19" s="197" t="str">
        <f t="shared" si="4"/>
        <v>YV</v>
      </c>
      <c r="J19" s="200" t="s">
        <v>852</v>
      </c>
      <c r="K19" s="88">
        <f t="shared" si="7"/>
        <v>18</v>
      </c>
      <c r="L19" s="193">
        <f t="shared" si="8"/>
        <v>42.857142857142854</v>
      </c>
      <c r="M19" s="142" t="s">
        <v>757</v>
      </c>
      <c r="N19" s="142" t="s">
        <v>757</v>
      </c>
      <c r="O19" s="7"/>
      <c r="U19">
        <v>1</v>
      </c>
      <c r="V19" s="7"/>
      <c r="W19">
        <v>1</v>
      </c>
      <c r="X19">
        <v>1</v>
      </c>
      <c r="AC19" s="7"/>
      <c r="AD19">
        <v>1</v>
      </c>
      <c r="AH19">
        <v>1</v>
      </c>
      <c r="AI19">
        <v>1</v>
      </c>
      <c r="AJ19" s="7">
        <v>1</v>
      </c>
      <c r="AK19" s="148"/>
      <c r="AL19" s="148">
        <v>1</v>
      </c>
      <c r="AP19">
        <v>1</v>
      </c>
      <c r="AQ19" s="7"/>
      <c r="AR19" s="148">
        <v>1</v>
      </c>
      <c r="AS19" s="148">
        <v>1</v>
      </c>
      <c r="AU19">
        <v>1</v>
      </c>
      <c r="AV19">
        <v>1</v>
      </c>
      <c r="AW19">
        <v>1</v>
      </c>
      <c r="AX19" s="7"/>
      <c r="BE19" s="7"/>
      <c r="BF19">
        <v>1</v>
      </c>
      <c r="BI19">
        <v>1</v>
      </c>
      <c r="BL19" s="7"/>
      <c r="BN19" s="148">
        <v>1</v>
      </c>
      <c r="BS19" s="7">
        <v>1</v>
      </c>
      <c r="BX19" s="96" t="s">
        <v>765</v>
      </c>
      <c r="BZ19" s="7"/>
      <c r="CA19" t="s">
        <v>765</v>
      </c>
      <c r="CB19" t="s">
        <v>765</v>
      </c>
      <c r="CD19" t="s">
        <v>765</v>
      </c>
      <c r="CE19" t="s">
        <v>765</v>
      </c>
      <c r="CF19" t="s">
        <v>765</v>
      </c>
      <c r="CG19" s="7"/>
      <c r="CH19" s="148" t="s">
        <v>765</v>
      </c>
      <c r="CI19" s="148" t="s">
        <v>765</v>
      </c>
      <c r="CK19" t="s">
        <v>765</v>
      </c>
      <c r="CN19" s="7"/>
      <c r="CU19" s="7"/>
      <c r="DB19" s="7"/>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6"/>
        <v>Michael Witschnig</v>
      </c>
      <c r="F20" s="19"/>
      <c r="G20" s="182" t="s">
        <v>552</v>
      </c>
      <c r="H20" s="56"/>
      <c r="I20" s="176" t="str">
        <f t="shared" si="4"/>
        <v>MW</v>
      </c>
      <c r="J20" s="10" t="s">
        <v>788</v>
      </c>
      <c r="K20" s="10">
        <f t="shared" si="7"/>
        <v>43</v>
      </c>
      <c r="L20" s="192">
        <f t="shared" ref="L20:L24" si="9">K20/K$25 * 100</f>
        <v>84.313725490196077</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v>1</v>
      </c>
      <c r="AS20" s="140">
        <v>1</v>
      </c>
      <c r="AT20" s="140"/>
      <c r="AU20" s="140">
        <v>1</v>
      </c>
      <c r="AV20" s="140">
        <v>1</v>
      </c>
      <c r="AW20" s="140">
        <v>1</v>
      </c>
      <c r="AX20" s="165"/>
      <c r="AY20" s="140">
        <v>1</v>
      </c>
      <c r="AZ20" s="140">
        <v>1</v>
      </c>
      <c r="BA20" s="140"/>
      <c r="BB20" s="140">
        <v>1</v>
      </c>
      <c r="BC20" s="140">
        <v>1</v>
      </c>
      <c r="BD20" s="140"/>
      <c r="BE20" s="165"/>
      <c r="BF20" s="140">
        <v>1</v>
      </c>
      <c r="BG20" s="140">
        <v>1</v>
      </c>
      <c r="BH20" s="140"/>
      <c r="BI20" s="140"/>
      <c r="BJ20" s="140"/>
      <c r="BK20" s="140">
        <v>1</v>
      </c>
      <c r="BL20" s="165"/>
      <c r="BM20" s="140">
        <v>1</v>
      </c>
      <c r="BN20" s="140">
        <v>1</v>
      </c>
      <c r="BO20" s="140"/>
      <c r="BP20" s="140">
        <v>1</v>
      </c>
      <c r="BQ20" s="140">
        <v>1</v>
      </c>
      <c r="BR20" s="140">
        <v>1</v>
      </c>
      <c r="BS20" s="165"/>
      <c r="BT20" s="140">
        <v>1</v>
      </c>
      <c r="BU20" s="140">
        <v>1</v>
      </c>
      <c r="BV20" s="140"/>
      <c r="BW20" s="140">
        <v>1</v>
      </c>
      <c r="BX20" s="140">
        <v>1</v>
      </c>
      <c r="BY20" s="140"/>
      <c r="BZ20" s="165">
        <v>1</v>
      </c>
      <c r="CA20" s="140">
        <v>1</v>
      </c>
      <c r="CB20" s="140"/>
      <c r="CC20" s="140"/>
      <c r="CD20" s="140">
        <v>1</v>
      </c>
      <c r="CE20" s="140">
        <v>1</v>
      </c>
      <c r="CF20" s="140"/>
      <c r="CG20" s="165"/>
      <c r="CH20" s="140">
        <v>1</v>
      </c>
      <c r="CI20" s="140">
        <v>1</v>
      </c>
      <c r="CJ20" s="140"/>
      <c r="CK20" s="140">
        <v>1</v>
      </c>
      <c r="CL20" s="140"/>
      <c r="CM20" s="140">
        <v>1</v>
      </c>
      <c r="CN20" s="165"/>
      <c r="CO20" s="140"/>
      <c r="CP20" s="140"/>
      <c r="CQ20" s="140"/>
      <c r="CR20" s="140"/>
      <c r="CS20" s="140"/>
      <c r="CT20" s="140"/>
      <c r="CU20" s="165"/>
      <c r="CV20" s="140"/>
      <c r="CW20" s="140"/>
      <c r="CX20" s="140"/>
      <c r="CY20" s="140"/>
      <c r="CZ20" s="140"/>
      <c r="DA20" s="140"/>
      <c r="DB20" s="165"/>
      <c r="DC20" s="140"/>
      <c r="DD20" s="140"/>
      <c r="DE20" s="140"/>
      <c r="DF20" s="140"/>
      <c r="DG20" s="140"/>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x14ac:dyDescent="0.25">
      <c r="A21" s="10" t="s">
        <v>116</v>
      </c>
      <c r="B21" s="19" t="s">
        <v>115</v>
      </c>
      <c r="C21" s="19" t="s">
        <v>243</v>
      </c>
      <c r="D21" s="19" t="s">
        <v>244</v>
      </c>
      <c r="E21" s="19" t="str">
        <f t="shared" si="6"/>
        <v>Melanie Götzhaber</v>
      </c>
      <c r="F21" s="19"/>
      <c r="G21" s="182" t="s">
        <v>782</v>
      </c>
      <c r="H21" s="56">
        <v>36872</v>
      </c>
      <c r="I21" s="176" t="str">
        <f t="shared" si="4"/>
        <v>MG</v>
      </c>
      <c r="J21" s="10" t="s">
        <v>795</v>
      </c>
      <c r="K21" s="10">
        <f t="shared" si="7"/>
        <v>23</v>
      </c>
      <c r="L21" s="192">
        <f t="shared" si="9"/>
        <v>45.098039215686278</v>
      </c>
      <c r="M21" s="34"/>
      <c r="N21" s="34"/>
      <c r="O21" s="7"/>
      <c r="P21" s="34"/>
      <c r="Q21" s="34"/>
      <c r="R21" s="34"/>
      <c r="S21" s="34"/>
      <c r="T21" s="34"/>
      <c r="U21" s="34"/>
      <c r="V21" s="7"/>
      <c r="W21" s="34"/>
      <c r="X21" s="34"/>
      <c r="Y21" s="34"/>
      <c r="Z21" s="34"/>
      <c r="AA21" s="34"/>
      <c r="AB21" s="34"/>
      <c r="AC21" s="7"/>
      <c r="AD21" s="34"/>
      <c r="AE21" s="34"/>
      <c r="AF21" s="34"/>
      <c r="AG21" s="34"/>
      <c r="AH21" s="34"/>
      <c r="AI21" s="34"/>
      <c r="AJ21" s="7"/>
      <c r="AK21" s="34"/>
      <c r="AL21" s="34"/>
      <c r="AM21" s="34"/>
      <c r="AN21" s="34"/>
      <c r="AO21" s="34"/>
      <c r="AP21" s="34"/>
      <c r="AQ21" s="7"/>
      <c r="AR21" s="34"/>
      <c r="AS21" s="34"/>
      <c r="AT21" s="34"/>
      <c r="AU21" s="34"/>
      <c r="AV21" s="34">
        <v>1</v>
      </c>
      <c r="AW21" s="34"/>
      <c r="AX21" s="7"/>
      <c r="AY21" s="148">
        <v>1</v>
      </c>
      <c r="AZ21" s="148">
        <v>1</v>
      </c>
      <c r="BA21" s="34"/>
      <c r="BB21" s="148">
        <v>1</v>
      </c>
      <c r="BC21" s="148">
        <v>1</v>
      </c>
      <c r="BD21" s="34"/>
      <c r="BE21" s="7"/>
      <c r="BF21" s="148">
        <v>1</v>
      </c>
      <c r="BG21" s="148">
        <v>1</v>
      </c>
      <c r="BH21" s="34"/>
      <c r="BI21" s="148">
        <v>1</v>
      </c>
      <c r="BJ21" s="148">
        <v>1</v>
      </c>
      <c r="BK21" s="148">
        <v>1</v>
      </c>
      <c r="BL21" s="7"/>
      <c r="BM21" s="148">
        <v>1</v>
      </c>
      <c r="BN21" s="148">
        <v>1</v>
      </c>
      <c r="BO21" s="34"/>
      <c r="BP21" s="148">
        <v>1</v>
      </c>
      <c r="BQ21" s="148">
        <v>1</v>
      </c>
      <c r="BR21" s="34"/>
      <c r="BS21" s="7"/>
      <c r="BT21" s="148">
        <v>1</v>
      </c>
      <c r="BU21" s="148">
        <v>1</v>
      </c>
      <c r="BV21" s="34"/>
      <c r="BW21" s="148">
        <v>1</v>
      </c>
      <c r="BX21" s="34"/>
      <c r="BY21" s="34"/>
      <c r="BZ21" s="7" t="s">
        <v>765</v>
      </c>
      <c r="CA21" s="148">
        <v>1</v>
      </c>
      <c r="CB21" s="148">
        <v>1</v>
      </c>
      <c r="CC21" s="34"/>
      <c r="CD21" s="148">
        <v>1</v>
      </c>
      <c r="CE21" s="34"/>
      <c r="CF21" s="34"/>
      <c r="CG21" s="7"/>
      <c r="CH21" s="148">
        <v>1</v>
      </c>
      <c r="CI21" s="148">
        <v>1</v>
      </c>
      <c r="CJ21" s="34"/>
      <c r="CK21" s="148">
        <v>1</v>
      </c>
      <c r="CL21" s="34"/>
      <c r="CM21" s="34"/>
      <c r="CN21" s="7"/>
      <c r="CO21" s="34"/>
      <c r="CP21" s="34"/>
      <c r="CQ21" s="34"/>
      <c r="CR21" s="34"/>
      <c r="CS21" s="34"/>
      <c r="CT21" s="34"/>
      <c r="CU21" s="7"/>
      <c r="CV21" s="34"/>
      <c r="CW21" s="34"/>
      <c r="CX21" s="34"/>
      <c r="CY21" s="34"/>
      <c r="CZ21" s="34"/>
      <c r="DA21" s="34"/>
      <c r="DB21" s="7"/>
      <c r="DC21" s="34"/>
      <c r="DD21" s="34"/>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ht="15.75" thickBot="1" x14ac:dyDescent="0.3">
      <c r="A22" s="10" t="s">
        <v>644</v>
      </c>
      <c r="B22" s="19" t="s">
        <v>23</v>
      </c>
      <c r="C22" s="19" t="s">
        <v>645</v>
      </c>
      <c r="D22" s="19" t="s">
        <v>646</v>
      </c>
      <c r="E22" s="19" t="str">
        <f t="shared" si="6"/>
        <v>Karl Gorton</v>
      </c>
      <c r="F22" s="19" t="s">
        <v>689</v>
      </c>
      <c r="G22" s="182" t="s">
        <v>716</v>
      </c>
      <c r="H22" s="56"/>
      <c r="I22" s="180" t="str">
        <f t="shared" si="4"/>
        <v>BG</v>
      </c>
      <c r="J22" s="10" t="s">
        <v>788</v>
      </c>
      <c r="K22" s="169">
        <f t="shared" si="7"/>
        <v>50</v>
      </c>
      <c r="L22" s="194">
        <f t="shared" si="9"/>
        <v>98.039215686274503</v>
      </c>
      <c r="M22" s="34"/>
      <c r="N22" s="34"/>
      <c r="O22" s="7"/>
      <c r="P22" s="34"/>
      <c r="Q22" s="34"/>
      <c r="R22" s="34"/>
      <c r="S22" s="34"/>
      <c r="T22" s="160"/>
      <c r="U22" s="171">
        <v>1</v>
      </c>
      <c r="V22" s="167"/>
      <c r="W22" s="171">
        <v>1</v>
      </c>
      <c r="X22" s="171">
        <v>1</v>
      </c>
      <c r="Y22" s="160"/>
      <c r="Z22" s="160">
        <v>1</v>
      </c>
      <c r="AA22" s="160">
        <v>1</v>
      </c>
      <c r="AB22" s="160"/>
      <c r="AC22" s="167"/>
      <c r="AD22" s="185">
        <v>1</v>
      </c>
      <c r="AE22" s="148">
        <v>1</v>
      </c>
      <c r="AF22" s="34"/>
      <c r="AG22" s="148">
        <v>1</v>
      </c>
      <c r="AH22" s="148">
        <v>1</v>
      </c>
      <c r="AI22" s="148">
        <v>1</v>
      </c>
      <c r="AJ22" s="7">
        <v>1</v>
      </c>
      <c r="AK22" s="148">
        <v>1</v>
      </c>
      <c r="AL22" s="148">
        <v>1</v>
      </c>
      <c r="AM22" s="34"/>
      <c r="AN22" s="148">
        <v>1</v>
      </c>
      <c r="AO22" s="148">
        <v>1</v>
      </c>
      <c r="AP22" s="148">
        <v>1</v>
      </c>
      <c r="AQ22" s="7">
        <v>1</v>
      </c>
      <c r="AR22" s="148">
        <v>1</v>
      </c>
      <c r="AS22" s="148">
        <v>1</v>
      </c>
      <c r="AT22" s="34"/>
      <c r="AU22" s="148">
        <v>1</v>
      </c>
      <c r="AV22" s="148">
        <v>1</v>
      </c>
      <c r="AW22" s="148">
        <v>1</v>
      </c>
      <c r="AX22" s="7"/>
      <c r="AY22" s="148">
        <v>1</v>
      </c>
      <c r="AZ22" s="148">
        <v>1</v>
      </c>
      <c r="BA22" s="34"/>
      <c r="BB22" s="148">
        <v>1</v>
      </c>
      <c r="BC22" s="148">
        <v>1</v>
      </c>
      <c r="BD22" s="34"/>
      <c r="BE22" s="7"/>
      <c r="BF22" s="148">
        <v>1</v>
      </c>
      <c r="BG22" s="148">
        <v>1</v>
      </c>
      <c r="BH22" s="34"/>
      <c r="BI22" s="148">
        <v>1</v>
      </c>
      <c r="BJ22" s="148">
        <v>1</v>
      </c>
      <c r="BK22" s="34"/>
      <c r="BL22" s="7"/>
      <c r="BM22" s="148">
        <v>1</v>
      </c>
      <c r="BN22" s="148">
        <v>1</v>
      </c>
      <c r="BO22" s="34"/>
      <c r="BP22" s="148">
        <v>1</v>
      </c>
      <c r="BQ22" s="148">
        <v>1</v>
      </c>
      <c r="BR22" s="148">
        <v>1</v>
      </c>
      <c r="BS22" s="7">
        <v>1</v>
      </c>
      <c r="BT22" s="148">
        <v>1</v>
      </c>
      <c r="BU22" s="148">
        <v>1</v>
      </c>
      <c r="BV22" s="34"/>
      <c r="BW22" s="148">
        <v>1</v>
      </c>
      <c r="BX22" s="148">
        <v>1</v>
      </c>
      <c r="BY22" s="34"/>
      <c r="BZ22" s="7">
        <v>1</v>
      </c>
      <c r="CA22" s="148">
        <v>1</v>
      </c>
      <c r="CB22" s="148">
        <v>1</v>
      </c>
      <c r="CC22" s="34"/>
      <c r="CD22" s="148">
        <v>1</v>
      </c>
      <c r="CE22" s="148">
        <v>1</v>
      </c>
      <c r="CF22" s="148">
        <v>1</v>
      </c>
      <c r="CG22" s="7"/>
      <c r="CH22" s="148">
        <v>1</v>
      </c>
      <c r="CI22" s="148">
        <v>1</v>
      </c>
      <c r="CJ22" s="34"/>
      <c r="CK22" s="148">
        <v>1</v>
      </c>
      <c r="CL22" s="34"/>
      <c r="CM22" s="148">
        <v>1</v>
      </c>
      <c r="CN22" s="7"/>
      <c r="CO22" s="34"/>
      <c r="CP22" s="34"/>
      <c r="CQ22" s="34"/>
      <c r="CR22" s="34"/>
      <c r="CS22" s="34"/>
      <c r="CT22" s="34"/>
      <c r="CU22" s="7"/>
      <c r="CV22" s="34"/>
      <c r="CW22" s="34"/>
      <c r="CX22" s="34"/>
      <c r="CY22" s="34"/>
      <c r="CZ22" s="34"/>
      <c r="DA22" s="34"/>
      <c r="DB22" s="7"/>
      <c r="DC22" s="34"/>
      <c r="DD22" s="34"/>
      <c r="DE22" s="34"/>
      <c r="DF22" s="34"/>
      <c r="DG22" s="34"/>
      <c r="DH22" s="34"/>
      <c r="DI22" s="7"/>
      <c r="DJ22" s="34"/>
      <c r="DK22" s="34"/>
      <c r="DL22" s="34"/>
      <c r="DM22" s="34"/>
      <c r="DN22" s="34"/>
      <c r="DO22" s="34"/>
      <c r="DP22" s="7"/>
      <c r="DQ22" s="34"/>
      <c r="DR22" s="34"/>
      <c r="DS22" s="34"/>
      <c r="DT22" s="34"/>
      <c r="DU22" s="34"/>
      <c r="DV22" s="34"/>
      <c r="DW22" s="7"/>
      <c r="DX22" s="34"/>
      <c r="DY22" s="34"/>
      <c r="DZ22" s="34"/>
      <c r="EA22" s="34"/>
      <c r="EB22" s="34"/>
      <c r="EC22" s="34"/>
      <c r="ED22" s="7"/>
      <c r="EE22" s="34"/>
      <c r="EF22" s="34"/>
      <c r="EG22" s="34"/>
      <c r="EH22" s="34"/>
      <c r="EI22" s="34"/>
      <c r="EJ22" s="34"/>
      <c r="EK22" s="7"/>
      <c r="EL22" s="34"/>
      <c r="EM22" s="34"/>
      <c r="EN22" s="34"/>
      <c r="EO22" s="34"/>
      <c r="EP22" s="34"/>
      <c r="EQ22" s="34"/>
      <c r="ER22" s="7"/>
      <c r="ES22" s="34"/>
      <c r="ET22" s="34"/>
      <c r="EU22" s="34"/>
      <c r="EV22" s="34"/>
      <c r="EW22" s="34"/>
      <c r="EX22" s="34"/>
      <c r="EY22" s="7"/>
      <c r="EZ22" s="34"/>
      <c r="FA22" s="34"/>
      <c r="FB22" s="34"/>
      <c r="FC22" s="34"/>
      <c r="FD22" s="34"/>
      <c r="FE22" s="34"/>
      <c r="FF22" s="7"/>
      <c r="FG22" s="34"/>
      <c r="FH22" s="34"/>
      <c r="FI22" s="34"/>
      <c r="FJ22" s="34"/>
      <c r="FK22" s="34"/>
      <c r="FL22" s="34"/>
      <c r="FM22" s="7"/>
      <c r="FN22" s="34"/>
      <c r="FO22" s="34"/>
      <c r="FP22" s="34"/>
      <c r="FQ22" s="34"/>
      <c r="FR22" s="34"/>
      <c r="FS22" s="34"/>
      <c r="FT22" s="7"/>
      <c r="FU22" s="34"/>
      <c r="FV22" s="34"/>
      <c r="FW22" s="34"/>
      <c r="FX22" s="34"/>
      <c r="FY22" s="34"/>
      <c r="FZ22" s="34"/>
      <c r="GA22" s="7"/>
      <c r="GB22" s="34"/>
      <c r="GC22" s="34"/>
      <c r="GD22" s="34"/>
      <c r="GE22" s="34"/>
      <c r="GF22" s="34"/>
      <c r="GG22" s="34"/>
      <c r="GH22" s="7"/>
      <c r="GI22" s="34"/>
      <c r="GJ22" s="34"/>
      <c r="GK22" s="34"/>
      <c r="GL22" s="34"/>
      <c r="GM22" s="34"/>
      <c r="GN22" s="34"/>
      <c r="GO22" s="7"/>
      <c r="GP22" s="34"/>
      <c r="GQ22" s="34"/>
      <c r="GR22" s="34"/>
      <c r="GS22" s="34"/>
      <c r="GT22" s="34"/>
      <c r="GU22" s="34"/>
      <c r="GV22" s="7"/>
      <c r="GW22" s="34"/>
      <c r="GX22" s="34"/>
      <c r="GY22" s="34"/>
      <c r="GZ22" s="34"/>
      <c r="HA22" s="34"/>
      <c r="HB22" s="34"/>
      <c r="HC22" s="7"/>
      <c r="HD22" s="34"/>
      <c r="HE22" s="34"/>
      <c r="HF22" s="34"/>
      <c r="HG22" s="34"/>
      <c r="HH22" s="34"/>
      <c r="HI22" s="34"/>
      <c r="HJ22" s="7"/>
      <c r="HK22" s="34"/>
      <c r="HL22" s="34"/>
      <c r="HM22" s="34"/>
      <c r="HN22" s="34"/>
      <c r="HO22" s="34"/>
      <c r="HP22" s="34"/>
      <c r="HQ22" s="7"/>
      <c r="HR22" s="34"/>
      <c r="HS22" s="34"/>
      <c r="HT22" s="34"/>
      <c r="HU22" s="34"/>
      <c r="HV22" s="34"/>
      <c r="HW22" s="34"/>
      <c r="HX22" s="7"/>
      <c r="HY22" s="34"/>
      <c r="HZ22" s="34"/>
      <c r="IA22" s="34"/>
      <c r="IB22" s="34"/>
      <c r="IC22" s="34"/>
      <c r="ID22" s="34"/>
      <c r="IE22" s="7"/>
      <c r="IF22" s="34"/>
      <c r="IG22" s="34"/>
      <c r="IH22" s="34"/>
      <c r="II22" s="34"/>
      <c r="IJ22" s="34"/>
      <c r="IK22" s="34"/>
      <c r="IL22" s="7"/>
      <c r="IM22" s="34"/>
      <c r="IN22" s="34"/>
      <c r="IO22" s="34"/>
      <c r="IP22" s="34"/>
      <c r="IQ22" s="34"/>
      <c r="IR22" s="34"/>
      <c r="IS22" s="7"/>
      <c r="IT22" s="34"/>
      <c r="IU22" s="34"/>
      <c r="IV22" s="34"/>
    </row>
    <row r="23" spans="1:267" x14ac:dyDescent="0.25">
      <c r="A23" s="212" t="s">
        <v>647</v>
      </c>
      <c r="B23" s="213"/>
      <c r="C23" s="213"/>
      <c r="D23" s="213"/>
      <c r="E23" s="213"/>
      <c r="F23" s="213"/>
      <c r="G23" s="213"/>
      <c r="H23" s="214"/>
      <c r="I23" s="181" t="str">
        <f>"#1|" &amp; A23</f>
        <v>#1|Spielerinnen</v>
      </c>
      <c r="J23" s="177"/>
      <c r="K23" s="188">
        <f>SUM(K3:K19) / (17)</f>
        <v>41.705882352941174</v>
      </c>
      <c r="L23" s="187">
        <f t="shared" si="9"/>
        <v>81.776239907727785</v>
      </c>
      <c r="M23" s="150">
        <v>12</v>
      </c>
      <c r="N23" s="150">
        <v>7</v>
      </c>
      <c r="O23" s="166"/>
      <c r="P23" s="186" t="str">
        <f>IF(SUM(P3:P19) &gt; 0, SUM(P3:P19), "")</f>
        <v/>
      </c>
      <c r="Q23" s="150" t="str">
        <f t="shared" ref="Q23:V23" si="10">IF(SUM(Q3:Q19) &gt; 0, SUM(Q3:Q19), "")</f>
        <v/>
      </c>
      <c r="R23" s="150" t="str">
        <f t="shared" si="10"/>
        <v/>
      </c>
      <c r="S23" s="150" t="str">
        <f t="shared" si="10"/>
        <v/>
      </c>
      <c r="T23" s="150" t="str">
        <f t="shared" si="10"/>
        <v/>
      </c>
      <c r="U23" s="150">
        <f t="shared" si="10"/>
        <v>15</v>
      </c>
      <c r="V23" s="166" t="str">
        <f t="shared" si="10"/>
        <v/>
      </c>
      <c r="W23" s="186">
        <f>IF(SUM(W3:W19) &gt; 0, SUM(W3:W19), "")</f>
        <v>12</v>
      </c>
      <c r="X23" s="150">
        <f t="shared" ref="X23:AC23" si="11">IF(SUM(X3:X19) &gt; 0, SUM(X3:X19), "")</f>
        <v>14</v>
      </c>
      <c r="Y23" s="150" t="str">
        <f t="shared" si="11"/>
        <v/>
      </c>
      <c r="Z23" s="150">
        <f t="shared" si="11"/>
        <v>13</v>
      </c>
      <c r="AA23" s="150">
        <f t="shared" si="11"/>
        <v>15</v>
      </c>
      <c r="AB23" s="150" t="str">
        <f t="shared" si="11"/>
        <v/>
      </c>
      <c r="AC23" s="166" t="str">
        <f t="shared" si="11"/>
        <v/>
      </c>
      <c r="AD23" s="186">
        <f>IF(SUM(AD3:AD19) &gt; 0, SUM(AD3:AD19), "")</f>
        <v>17</v>
      </c>
      <c r="AE23" s="150">
        <f t="shared" ref="AE23:AJ23" si="12">IF(SUM(AE3:AE19) &gt; 0, SUM(AE3:AE19), "")</f>
        <v>14</v>
      </c>
      <c r="AF23" s="150" t="str">
        <f t="shared" si="12"/>
        <v/>
      </c>
      <c r="AG23" s="150">
        <f t="shared" si="12"/>
        <v>13</v>
      </c>
      <c r="AH23" s="150">
        <f t="shared" si="12"/>
        <v>15</v>
      </c>
      <c r="AI23" s="150">
        <f t="shared" si="12"/>
        <v>17</v>
      </c>
      <c r="AJ23" s="166">
        <f t="shared" si="12"/>
        <v>17</v>
      </c>
      <c r="AK23" s="186">
        <f>IF(SUM(AK3:AK19) &gt; 0, SUM(AK3:AK19), "")</f>
        <v>16</v>
      </c>
      <c r="AL23" s="150">
        <f t="shared" ref="AL23:AQ23" si="13">IF(SUM(AL3:AL19) &gt; 0, SUM(AL3:AL19), "")</f>
        <v>17</v>
      </c>
      <c r="AM23" s="150" t="str">
        <f t="shared" si="13"/>
        <v/>
      </c>
      <c r="AN23" s="150">
        <f t="shared" si="13"/>
        <v>15</v>
      </c>
      <c r="AO23" s="150">
        <f t="shared" si="13"/>
        <v>13</v>
      </c>
      <c r="AP23" s="150">
        <f t="shared" si="13"/>
        <v>17</v>
      </c>
      <c r="AQ23" s="166">
        <f t="shared" si="13"/>
        <v>14</v>
      </c>
      <c r="AR23" s="186">
        <f>IF(SUM(AR3:AR19) &gt; 0, SUM(AR3:AR19), "")</f>
        <v>14</v>
      </c>
      <c r="AS23" s="150">
        <f t="shared" ref="AS23:AX23" si="14">IF(SUM(AS3:AS19) &gt; 0, SUM(AS3:AS19), "")</f>
        <v>16</v>
      </c>
      <c r="AT23" s="150" t="str">
        <f t="shared" si="14"/>
        <v/>
      </c>
      <c r="AU23" s="150">
        <f t="shared" si="14"/>
        <v>16</v>
      </c>
      <c r="AV23" s="150">
        <f t="shared" si="14"/>
        <v>15</v>
      </c>
      <c r="AW23" s="150">
        <f t="shared" si="14"/>
        <v>16</v>
      </c>
      <c r="AX23" s="166" t="str">
        <f t="shared" si="14"/>
        <v/>
      </c>
      <c r="AY23" s="186">
        <f>IF(SUM(AY3:AY19) &gt; 0, SUM(AY3:AY19), "")</f>
        <v>15</v>
      </c>
      <c r="AZ23" s="150">
        <f t="shared" ref="AZ23:BE23" si="15">IF(SUM(AZ3:AZ19) &gt; 0, SUM(AZ3:AZ19), "")</f>
        <v>13</v>
      </c>
      <c r="BA23" s="150" t="str">
        <f t="shared" si="15"/>
        <v/>
      </c>
      <c r="BB23" s="150">
        <f t="shared" si="15"/>
        <v>14</v>
      </c>
      <c r="BC23" s="150">
        <f t="shared" si="15"/>
        <v>11</v>
      </c>
      <c r="BD23" s="150" t="str">
        <f t="shared" si="15"/>
        <v/>
      </c>
      <c r="BE23" s="166" t="str">
        <f t="shared" si="15"/>
        <v/>
      </c>
      <c r="BF23" s="186">
        <f>IF(SUM(BF3:BF19) &gt; 0, SUM(BF3:BF19), "")</f>
        <v>14</v>
      </c>
      <c r="BG23" s="150">
        <f t="shared" ref="BG23:BL23" si="16">IF(SUM(BG3:BG19) &gt; 0, SUM(BG3:BG19), "")</f>
        <v>15</v>
      </c>
      <c r="BH23" s="150" t="str">
        <f t="shared" si="16"/>
        <v/>
      </c>
      <c r="BI23" s="150">
        <f t="shared" si="16"/>
        <v>15</v>
      </c>
      <c r="BJ23" s="150">
        <f t="shared" si="16"/>
        <v>14</v>
      </c>
      <c r="BK23" s="150">
        <f t="shared" si="16"/>
        <v>14</v>
      </c>
      <c r="BL23" s="166" t="str">
        <f t="shared" si="16"/>
        <v/>
      </c>
      <c r="BM23" s="186">
        <f>IF(SUM(BM3:BM19) &gt; 0, SUM(BM3:BM19), "")</f>
        <v>15</v>
      </c>
      <c r="BN23" s="150">
        <f t="shared" ref="BN23:BS23" si="17">IF(SUM(BN3:BN19) &gt; 0, SUM(BN3:BN19), "")</f>
        <v>16</v>
      </c>
      <c r="BO23" s="150" t="str">
        <f t="shared" si="17"/>
        <v/>
      </c>
      <c r="BP23" s="150">
        <f t="shared" si="17"/>
        <v>13</v>
      </c>
      <c r="BQ23" s="150">
        <f t="shared" si="17"/>
        <v>12</v>
      </c>
      <c r="BR23" s="150">
        <f t="shared" si="17"/>
        <v>14</v>
      </c>
      <c r="BS23" s="166">
        <f t="shared" si="17"/>
        <v>13</v>
      </c>
      <c r="BT23" s="186">
        <f>IF(SUM(BT3:BT19) &gt; 0, SUM(BT3:BT19), "")</f>
        <v>11</v>
      </c>
      <c r="BU23" s="150">
        <f t="shared" ref="BU23:BZ23" si="18">IF(SUM(BU3:BU19) &gt; 0, SUM(BU3:BU19), "")</f>
        <v>14</v>
      </c>
      <c r="BV23" s="150" t="str">
        <f t="shared" si="18"/>
        <v/>
      </c>
      <c r="BW23" s="150">
        <f t="shared" si="18"/>
        <v>11</v>
      </c>
      <c r="BX23" s="150">
        <f t="shared" si="18"/>
        <v>12</v>
      </c>
      <c r="BY23" s="150" t="str">
        <f t="shared" si="18"/>
        <v/>
      </c>
      <c r="BZ23" s="166">
        <f t="shared" si="18"/>
        <v>11</v>
      </c>
      <c r="CA23" s="186">
        <f>IF(SUM(CA3:CA19) &gt; 0, SUM(CA3:CA19), "")</f>
        <v>12</v>
      </c>
      <c r="CB23" s="150">
        <f t="shared" ref="CB23:CG23" si="19">IF(SUM(CB3:CB19) &gt; 0, SUM(CB3:CB19), "")</f>
        <v>11</v>
      </c>
      <c r="CC23" s="150" t="str">
        <f t="shared" si="19"/>
        <v/>
      </c>
      <c r="CD23" s="150">
        <f t="shared" si="19"/>
        <v>12</v>
      </c>
      <c r="CE23" s="150">
        <f t="shared" si="19"/>
        <v>13</v>
      </c>
      <c r="CF23" s="150">
        <f t="shared" si="19"/>
        <v>12</v>
      </c>
      <c r="CG23" s="166" t="str">
        <f t="shared" si="19"/>
        <v/>
      </c>
      <c r="CH23" s="186">
        <f>IF(SUM(CH3:CH19) &gt; 0, SUM(CH3:CH19), "")</f>
        <v>10</v>
      </c>
      <c r="CI23" s="150">
        <f t="shared" ref="CI23:CN23" si="20">IF(SUM(CI3:CI19) &gt; 0, SUM(CI3:CI19), "")</f>
        <v>12</v>
      </c>
      <c r="CJ23" s="150" t="str">
        <f t="shared" si="20"/>
        <v/>
      </c>
      <c r="CK23" s="150">
        <f t="shared" si="20"/>
        <v>13</v>
      </c>
      <c r="CL23" s="150" t="str">
        <f t="shared" si="20"/>
        <v/>
      </c>
      <c r="CM23" s="150">
        <f t="shared" si="20"/>
        <v>11</v>
      </c>
      <c r="CN23" s="166" t="str">
        <f t="shared" si="20"/>
        <v/>
      </c>
      <c r="CO23" s="186" t="str">
        <f>IF(SUM(CO3:CO19) &gt; 0, SUM(CO3:CO19), "")</f>
        <v/>
      </c>
      <c r="CP23" s="150" t="str">
        <f t="shared" ref="CP23:CU23" si="21">IF(SUM(CP3:CP19) &gt; 0, SUM(CP3:CP19), "")</f>
        <v/>
      </c>
      <c r="CQ23" s="150">
        <f t="shared" si="21"/>
        <v>5</v>
      </c>
      <c r="CR23" s="150" t="str">
        <f t="shared" si="21"/>
        <v/>
      </c>
      <c r="CS23" s="150" t="str">
        <f t="shared" si="21"/>
        <v/>
      </c>
      <c r="CT23" s="150" t="str">
        <f t="shared" si="21"/>
        <v/>
      </c>
      <c r="CU23" s="166" t="str">
        <f t="shared" si="21"/>
        <v/>
      </c>
      <c r="CV23" s="186" t="str">
        <f>IF(SUM(CV3:CV19) &gt; 0, SUM(CV3:CV19), "")</f>
        <v/>
      </c>
      <c r="CW23" s="150" t="str">
        <f t="shared" ref="CW23:DB23" si="22">IF(SUM(CW3:CW19) &gt; 0, SUM(CW3:CW19), "")</f>
        <v/>
      </c>
      <c r="CX23" s="150" t="str">
        <f t="shared" si="22"/>
        <v/>
      </c>
      <c r="CY23" s="150" t="str">
        <f t="shared" si="22"/>
        <v/>
      </c>
      <c r="CZ23" s="150" t="str">
        <f t="shared" si="22"/>
        <v/>
      </c>
      <c r="DA23" s="150" t="str">
        <f t="shared" si="22"/>
        <v/>
      </c>
      <c r="DB23" s="166" t="str">
        <f t="shared" si="22"/>
        <v/>
      </c>
      <c r="DC23" s="186" t="str">
        <f>IF(SUM(DC3:DC19) &gt; 0, SUM(DC3:DC19), "")</f>
        <v/>
      </c>
      <c r="DD23" s="150" t="str">
        <f t="shared" ref="DD23:DI23" si="23">IF(SUM(DD3:DD19) &gt; 0, SUM(DD3:DD19), "")</f>
        <v/>
      </c>
      <c r="DE23" s="150" t="str">
        <f t="shared" si="23"/>
        <v/>
      </c>
      <c r="DF23" s="150" t="str">
        <f t="shared" si="23"/>
        <v/>
      </c>
      <c r="DG23" s="150" t="str">
        <f t="shared" si="23"/>
        <v/>
      </c>
      <c r="DH23" s="150" t="str">
        <f t="shared" si="23"/>
        <v/>
      </c>
      <c r="DI23" s="166" t="str">
        <f t="shared" si="23"/>
        <v/>
      </c>
      <c r="DJ23" s="186" t="str">
        <f>IF(SUM(DJ3:DJ19) &gt; 0, SUM(DJ3:DJ19), "")</f>
        <v/>
      </c>
      <c r="DK23" s="150" t="str">
        <f t="shared" ref="DK23:DP23" si="24">IF(SUM(DK3:DK19) &gt; 0, SUM(DK3:DK19), "")</f>
        <v/>
      </c>
      <c r="DL23" s="150" t="str">
        <f t="shared" si="24"/>
        <v/>
      </c>
      <c r="DM23" s="150" t="str">
        <f t="shared" si="24"/>
        <v/>
      </c>
      <c r="DN23" s="150" t="str">
        <f t="shared" si="24"/>
        <v/>
      </c>
      <c r="DO23" s="150" t="str">
        <f t="shared" si="24"/>
        <v/>
      </c>
      <c r="DP23" s="166" t="str">
        <f t="shared" si="24"/>
        <v/>
      </c>
      <c r="DQ23" s="186" t="str">
        <f>IF(SUM(DQ3:DQ19) &gt; 0, SUM(DQ3:DQ19), "")</f>
        <v/>
      </c>
      <c r="DR23" s="150" t="str">
        <f t="shared" ref="DR23:DW23" si="25">IF(SUM(DR3:DR19) &gt; 0, SUM(DR3:DR19), "")</f>
        <v/>
      </c>
      <c r="DS23" s="150" t="str">
        <f t="shared" si="25"/>
        <v/>
      </c>
      <c r="DT23" s="150" t="str">
        <f t="shared" si="25"/>
        <v/>
      </c>
      <c r="DU23" s="150" t="str">
        <f t="shared" si="25"/>
        <v/>
      </c>
      <c r="DV23" s="150" t="str">
        <f t="shared" si="25"/>
        <v/>
      </c>
      <c r="DW23" s="166" t="str">
        <f t="shared" si="25"/>
        <v/>
      </c>
      <c r="DX23" s="186" t="str">
        <f>IF(SUM(DX3:DX19) &gt; 0, SUM(DX3:DX19), "")</f>
        <v/>
      </c>
      <c r="DY23" s="150" t="str">
        <f t="shared" ref="DY23:ED23" si="26">IF(SUM(DY3:DY19) &gt; 0, SUM(DY3:DY19), "")</f>
        <v/>
      </c>
      <c r="DZ23" s="150" t="str">
        <f t="shared" si="26"/>
        <v/>
      </c>
      <c r="EA23" s="150" t="str">
        <f t="shared" si="26"/>
        <v/>
      </c>
      <c r="EB23" s="150" t="str">
        <f t="shared" si="26"/>
        <v/>
      </c>
      <c r="EC23" s="150" t="str">
        <f t="shared" si="26"/>
        <v/>
      </c>
      <c r="ED23" s="166" t="str">
        <f t="shared" si="26"/>
        <v/>
      </c>
      <c r="EE23" s="186" t="str">
        <f>IF(SUM(EE3:EE19) &gt; 0, SUM(EE3:EE19), "")</f>
        <v/>
      </c>
      <c r="EF23" s="150" t="str">
        <f t="shared" ref="EF23:EK23" si="27">IF(SUM(EF3:EF19) &gt; 0, SUM(EF3:EF19), "")</f>
        <v/>
      </c>
      <c r="EG23" s="150" t="str">
        <f t="shared" si="27"/>
        <v/>
      </c>
      <c r="EH23" s="150" t="str">
        <f t="shared" si="27"/>
        <v/>
      </c>
      <c r="EI23" s="150" t="str">
        <f t="shared" si="27"/>
        <v/>
      </c>
      <c r="EJ23" s="150" t="str">
        <f t="shared" si="27"/>
        <v/>
      </c>
      <c r="EK23" s="166" t="str">
        <f t="shared" si="27"/>
        <v/>
      </c>
      <c r="EL23" s="186" t="str">
        <f>IF(SUM(EL3:EL19) &gt; 0, SUM(EL3:EL19), "")</f>
        <v/>
      </c>
      <c r="EM23" s="150" t="str">
        <f t="shared" ref="EM23:ER23" si="28">IF(SUM(EM3:EM19) &gt; 0, SUM(EM3:EM19), "")</f>
        <v/>
      </c>
      <c r="EN23" s="150" t="str">
        <f t="shared" si="28"/>
        <v/>
      </c>
      <c r="EO23" s="150" t="str">
        <f t="shared" si="28"/>
        <v/>
      </c>
      <c r="EP23" s="150" t="str">
        <f t="shared" si="28"/>
        <v/>
      </c>
      <c r="EQ23" s="150" t="str">
        <f t="shared" si="28"/>
        <v/>
      </c>
      <c r="ER23" s="166" t="str">
        <f t="shared" si="28"/>
        <v/>
      </c>
      <c r="ES23" s="186" t="str">
        <f>IF(SUM(ES3:ES19) &gt; 0, SUM(ES3:ES19), "")</f>
        <v/>
      </c>
      <c r="ET23" s="150" t="str">
        <f t="shared" ref="ET23:EY23" si="29">IF(SUM(ET3:ET19) &gt; 0, SUM(ET3:ET19), "")</f>
        <v/>
      </c>
      <c r="EU23" s="150" t="str">
        <f t="shared" si="29"/>
        <v/>
      </c>
      <c r="EV23" s="150" t="str">
        <f t="shared" si="29"/>
        <v/>
      </c>
      <c r="EW23" s="150" t="str">
        <f t="shared" si="29"/>
        <v/>
      </c>
      <c r="EX23" s="150" t="str">
        <f t="shared" si="29"/>
        <v/>
      </c>
      <c r="EY23" s="166" t="str">
        <f t="shared" si="29"/>
        <v/>
      </c>
      <c r="EZ23" s="186" t="str">
        <f>IF(SUM(EZ3:EZ19) &gt; 0, SUM(EZ3:EZ19), "")</f>
        <v/>
      </c>
      <c r="FA23" s="150" t="str">
        <f t="shared" ref="FA23:FF23" si="30">IF(SUM(FA3:FA19) &gt; 0, SUM(FA3:FA19), "")</f>
        <v/>
      </c>
      <c r="FB23" s="150" t="str">
        <f t="shared" si="30"/>
        <v/>
      </c>
      <c r="FC23" s="150" t="str">
        <f t="shared" si="30"/>
        <v/>
      </c>
      <c r="FD23" s="150" t="str">
        <f t="shared" si="30"/>
        <v/>
      </c>
      <c r="FE23" s="150" t="str">
        <f t="shared" si="30"/>
        <v/>
      </c>
      <c r="FF23" s="166" t="str">
        <f t="shared" si="30"/>
        <v/>
      </c>
      <c r="FG23" s="186" t="str">
        <f>IF(SUM(FG3:FG19) &gt; 0, SUM(FG3:FG19), "")</f>
        <v/>
      </c>
      <c r="FH23" s="150" t="str">
        <f t="shared" ref="FH23:FM23" si="31">IF(SUM(FH3:FH19) &gt; 0, SUM(FH3:FH19), "")</f>
        <v/>
      </c>
      <c r="FI23" s="150" t="str">
        <f t="shared" si="31"/>
        <v/>
      </c>
      <c r="FJ23" s="150" t="str">
        <f t="shared" si="31"/>
        <v/>
      </c>
      <c r="FK23" s="150" t="str">
        <f t="shared" si="31"/>
        <v/>
      </c>
      <c r="FL23" s="150" t="str">
        <f t="shared" si="31"/>
        <v/>
      </c>
      <c r="FM23" s="166" t="str">
        <f t="shared" si="31"/>
        <v/>
      </c>
      <c r="FN23" s="186" t="str">
        <f>IF(SUM(FN3:FN19) &gt; 0, SUM(FN3:FN19), "")</f>
        <v/>
      </c>
      <c r="FO23" s="150" t="str">
        <f t="shared" ref="FO23:FT23" si="32">IF(SUM(FO3:FO19) &gt; 0, SUM(FO3:FO19), "")</f>
        <v/>
      </c>
      <c r="FP23" s="150" t="str">
        <f t="shared" si="32"/>
        <v/>
      </c>
      <c r="FQ23" s="150" t="str">
        <f t="shared" si="32"/>
        <v/>
      </c>
      <c r="FR23" s="150" t="str">
        <f t="shared" si="32"/>
        <v/>
      </c>
      <c r="FS23" s="150" t="str">
        <f t="shared" si="32"/>
        <v/>
      </c>
      <c r="FT23" s="166" t="str">
        <f t="shared" si="32"/>
        <v/>
      </c>
      <c r="FU23" s="186" t="str">
        <f>IF(SUM(FU3:FU19) &gt; 0, SUM(FU3:FU19), "")</f>
        <v/>
      </c>
      <c r="FV23" s="150" t="str">
        <f t="shared" ref="FV23:GA23" si="33">IF(SUM(FV3:FV19) &gt; 0, SUM(FV3:FV19), "")</f>
        <v/>
      </c>
      <c r="FW23" s="150" t="str">
        <f t="shared" si="33"/>
        <v/>
      </c>
      <c r="FX23" s="150" t="str">
        <f t="shared" si="33"/>
        <v/>
      </c>
      <c r="FY23" s="150" t="str">
        <f t="shared" si="33"/>
        <v/>
      </c>
      <c r="FZ23" s="150" t="str">
        <f t="shared" si="33"/>
        <v/>
      </c>
      <c r="GA23" s="166" t="str">
        <f t="shared" si="33"/>
        <v/>
      </c>
      <c r="GB23" s="186" t="str">
        <f>IF(SUM(GB3:GB19) &gt; 0, SUM(GB3:GB19), "")</f>
        <v/>
      </c>
      <c r="GC23" s="150" t="str">
        <f t="shared" ref="GC23:GH23" si="34">IF(SUM(GC3:GC19) &gt; 0, SUM(GC3:GC19), "")</f>
        <v/>
      </c>
      <c r="GD23" s="150" t="str">
        <f t="shared" si="34"/>
        <v/>
      </c>
      <c r="GE23" s="150" t="str">
        <f t="shared" si="34"/>
        <v/>
      </c>
      <c r="GF23" s="150" t="str">
        <f t="shared" si="34"/>
        <v/>
      </c>
      <c r="GG23" s="150" t="str">
        <f t="shared" si="34"/>
        <v/>
      </c>
      <c r="GH23" s="166" t="str">
        <f t="shared" si="34"/>
        <v/>
      </c>
      <c r="GI23" s="186" t="str">
        <f>IF(SUM(GI3:GI19) &gt; 0, SUM(GI3:GI19), "")</f>
        <v/>
      </c>
      <c r="GJ23" s="150" t="str">
        <f t="shared" ref="GJ23:GO23" si="35">IF(SUM(GJ3:GJ19) &gt; 0, SUM(GJ3:GJ19), "")</f>
        <v/>
      </c>
      <c r="GK23" s="150" t="str">
        <f t="shared" si="35"/>
        <v/>
      </c>
      <c r="GL23" s="150" t="str">
        <f t="shared" si="35"/>
        <v/>
      </c>
      <c r="GM23" s="150" t="str">
        <f t="shared" si="35"/>
        <v/>
      </c>
      <c r="GN23" s="150" t="str">
        <f t="shared" si="35"/>
        <v/>
      </c>
      <c r="GO23" s="166" t="str">
        <f t="shared" si="35"/>
        <v/>
      </c>
      <c r="GP23" s="186" t="str">
        <f>IF(SUM(GP3:GP19) &gt; 0, SUM(GP3:GP19), "")</f>
        <v/>
      </c>
      <c r="GQ23" s="150" t="str">
        <f t="shared" ref="GQ23:GV23" si="36">IF(SUM(GQ3:GQ19) &gt; 0, SUM(GQ3:GQ19), "")</f>
        <v/>
      </c>
      <c r="GR23" s="150" t="str">
        <f t="shared" si="36"/>
        <v/>
      </c>
      <c r="GS23" s="150" t="str">
        <f t="shared" si="36"/>
        <v/>
      </c>
      <c r="GT23" s="150" t="str">
        <f t="shared" si="36"/>
        <v/>
      </c>
      <c r="GU23" s="150" t="str">
        <f t="shared" si="36"/>
        <v/>
      </c>
      <c r="GV23" s="166" t="str">
        <f t="shared" si="36"/>
        <v/>
      </c>
      <c r="GW23" s="186" t="str">
        <f>IF(SUM(GW3:GW19) &gt; 0, SUM(GW3:GW19), "")</f>
        <v/>
      </c>
      <c r="GX23" s="150" t="str">
        <f t="shared" ref="GX23:HC23" si="37">IF(SUM(GX3:GX19) &gt; 0, SUM(GX3:GX19), "")</f>
        <v/>
      </c>
      <c r="GY23" s="150" t="str">
        <f t="shared" si="37"/>
        <v/>
      </c>
      <c r="GZ23" s="150" t="str">
        <f t="shared" si="37"/>
        <v/>
      </c>
      <c r="HA23" s="150" t="str">
        <f t="shared" si="37"/>
        <v/>
      </c>
      <c r="HB23" s="150" t="str">
        <f t="shared" si="37"/>
        <v/>
      </c>
      <c r="HC23" s="166" t="str">
        <f t="shared" si="37"/>
        <v/>
      </c>
      <c r="HD23" s="186" t="str">
        <f>IF(SUM(HD3:HD19) &gt; 0, SUM(HD3:HD19), "")</f>
        <v/>
      </c>
      <c r="HE23" s="150" t="str">
        <f t="shared" ref="HE23:HJ23" si="38">IF(SUM(HE3:HE19) &gt; 0, SUM(HE3:HE19), "")</f>
        <v/>
      </c>
      <c r="HF23" s="150" t="str">
        <f t="shared" si="38"/>
        <v/>
      </c>
      <c r="HG23" s="150" t="str">
        <f t="shared" si="38"/>
        <v/>
      </c>
      <c r="HH23" s="150" t="str">
        <f t="shared" si="38"/>
        <v/>
      </c>
      <c r="HI23" s="150" t="str">
        <f t="shared" si="38"/>
        <v/>
      </c>
      <c r="HJ23" s="166" t="str">
        <f t="shared" si="38"/>
        <v/>
      </c>
      <c r="HK23" s="186" t="str">
        <f>IF(SUM(HK3:HK19) &gt; 0, SUM(HK3:HK19), "")</f>
        <v/>
      </c>
      <c r="HL23" s="150" t="str">
        <f t="shared" ref="HL23:HQ23" si="39">IF(SUM(HL3:HL19) &gt; 0, SUM(HL3:HL19), "")</f>
        <v/>
      </c>
      <c r="HM23" s="150" t="str">
        <f t="shared" si="39"/>
        <v/>
      </c>
      <c r="HN23" s="150" t="str">
        <f t="shared" si="39"/>
        <v/>
      </c>
      <c r="HO23" s="150" t="str">
        <f t="shared" si="39"/>
        <v/>
      </c>
      <c r="HP23" s="150" t="str">
        <f t="shared" si="39"/>
        <v/>
      </c>
      <c r="HQ23" s="166" t="str">
        <f t="shared" si="39"/>
        <v/>
      </c>
      <c r="HR23" s="186" t="str">
        <f>IF(SUM(HR3:HR19) &gt; 0, SUM(HR3:HR19), "")</f>
        <v/>
      </c>
      <c r="HS23" s="150" t="str">
        <f t="shared" ref="HS23:HX23" si="40">IF(SUM(HS3:HS19) &gt; 0, SUM(HS3:HS19), "")</f>
        <v/>
      </c>
      <c r="HT23" s="150" t="str">
        <f t="shared" si="40"/>
        <v/>
      </c>
      <c r="HU23" s="150" t="str">
        <f t="shared" si="40"/>
        <v/>
      </c>
      <c r="HV23" s="150" t="str">
        <f t="shared" si="40"/>
        <v/>
      </c>
      <c r="HW23" s="150" t="str">
        <f t="shared" si="40"/>
        <v/>
      </c>
      <c r="HX23" s="166" t="str">
        <f t="shared" si="40"/>
        <v/>
      </c>
      <c r="HY23" s="186" t="str">
        <f>IF(SUM(HY3:HY19) &gt; 0, SUM(HY3:HY19), "")</f>
        <v/>
      </c>
      <c r="HZ23" s="150" t="str">
        <f t="shared" ref="HZ23:IE23" si="41">IF(SUM(HZ3:HZ19) &gt; 0, SUM(HZ3:HZ19), "")</f>
        <v/>
      </c>
      <c r="IA23" s="150" t="str">
        <f t="shared" si="41"/>
        <v/>
      </c>
      <c r="IB23" s="150" t="str">
        <f t="shared" si="41"/>
        <v/>
      </c>
      <c r="IC23" s="150" t="str">
        <f t="shared" si="41"/>
        <v/>
      </c>
      <c r="ID23" s="150" t="str">
        <f t="shared" si="41"/>
        <v/>
      </c>
      <c r="IE23" s="166" t="str">
        <f t="shared" si="41"/>
        <v/>
      </c>
      <c r="IF23" s="186" t="str">
        <f>IF(SUM(IF3:IF19) &gt; 0, SUM(IF3:IF19), "")</f>
        <v/>
      </c>
      <c r="IG23" s="150" t="str">
        <f t="shared" ref="IG23:IL23" si="42">IF(SUM(IG3:IG19) &gt; 0, SUM(IG3:IG19), "")</f>
        <v/>
      </c>
      <c r="IH23" s="150" t="str">
        <f t="shared" si="42"/>
        <v/>
      </c>
      <c r="II23" s="150" t="str">
        <f t="shared" si="42"/>
        <v/>
      </c>
      <c r="IJ23" s="150" t="str">
        <f t="shared" si="42"/>
        <v/>
      </c>
      <c r="IK23" s="150" t="str">
        <f t="shared" si="42"/>
        <v/>
      </c>
      <c r="IL23" s="166" t="str">
        <f t="shared" si="42"/>
        <v/>
      </c>
      <c r="IM23" s="186" t="str">
        <f>IF(SUM(IM3:IM19) &gt; 0, SUM(IM3:IM19), "")</f>
        <v/>
      </c>
      <c r="IN23" s="150" t="str">
        <f t="shared" ref="IN23:IS23" si="43">IF(SUM(IN3:IN19) &gt; 0, SUM(IN3:IN19), "")</f>
        <v/>
      </c>
      <c r="IO23" s="150" t="str">
        <f t="shared" si="43"/>
        <v/>
      </c>
      <c r="IP23" s="150" t="str">
        <f t="shared" si="43"/>
        <v/>
      </c>
      <c r="IQ23" s="150" t="str">
        <f t="shared" si="43"/>
        <v/>
      </c>
      <c r="IR23" s="150" t="str">
        <f t="shared" si="43"/>
        <v/>
      </c>
      <c r="IS23" s="166" t="str">
        <f t="shared" si="43"/>
        <v/>
      </c>
      <c r="IT23" s="186" t="str">
        <f>IF(SUM(IT3:IT19) &gt; 0, SUM(IT3:IT19), "")</f>
        <v/>
      </c>
      <c r="IU23" s="150" t="str">
        <f t="shared" ref="IU23:IZ23" si="44">IF(SUM(IU3:IU19) &gt; 0, SUM(IU3:IU19), "")</f>
        <v/>
      </c>
      <c r="IV23" s="150" t="str">
        <f t="shared" si="44"/>
        <v/>
      </c>
      <c r="IW23" s="150" t="str">
        <f t="shared" si="44"/>
        <v/>
      </c>
      <c r="IX23" s="150" t="str">
        <f t="shared" si="44"/>
        <v/>
      </c>
      <c r="IY23" s="150" t="str">
        <f t="shared" si="44"/>
        <v/>
      </c>
      <c r="IZ23" s="166" t="str">
        <f t="shared" si="44"/>
        <v/>
      </c>
      <c r="JA23" s="186" t="str">
        <f>IF(SUM(JA3:JA19) &gt; 0, SUM(JA3:JA19), "")</f>
        <v/>
      </c>
      <c r="JB23" s="150" t="str">
        <f t="shared" ref="JB23:JG23" si="45">IF(SUM(JB3:JB19) &gt; 0, SUM(JB3:JB19), "")</f>
        <v/>
      </c>
      <c r="JC23" s="150" t="str">
        <f t="shared" si="45"/>
        <v/>
      </c>
      <c r="JD23" s="150" t="str">
        <f t="shared" si="45"/>
        <v/>
      </c>
      <c r="JE23" s="150" t="str">
        <f t="shared" si="45"/>
        <v/>
      </c>
      <c r="JF23" s="150" t="str">
        <f t="shared" si="45"/>
        <v/>
      </c>
      <c r="JG23" s="166" t="str">
        <f t="shared" si="45"/>
        <v/>
      </c>
    </row>
    <row r="24" spans="1:267" ht="15.75" thickBot="1" x14ac:dyDescent="0.3">
      <c r="A24" s="215" t="s">
        <v>728</v>
      </c>
      <c r="B24" s="216"/>
      <c r="C24" s="216"/>
      <c r="D24" s="216"/>
      <c r="E24" s="216"/>
      <c r="F24" s="216"/>
      <c r="G24" s="216"/>
      <c r="H24" s="217"/>
      <c r="I24" s="180" t="str">
        <f>"#2|" &amp; A24</f>
        <v>#2|Alle</v>
      </c>
      <c r="J24" s="178"/>
      <c r="K24" s="189">
        <f>SUM(K3:K22) / 19</f>
        <v>43.421052631578945</v>
      </c>
      <c r="L24" s="190">
        <f t="shared" si="9"/>
        <v>85.139318885448915</v>
      </c>
      <c r="M24" s="160"/>
      <c r="N24" s="160"/>
      <c r="O24" s="167"/>
      <c r="P24" s="173" t="str">
        <f>IF(SUM(P3:P22) &gt; 0, SUM(P3:P22), "")</f>
        <v/>
      </c>
      <c r="Q24" s="160" t="str">
        <f t="shared" ref="Q24:V24" si="46">IF(SUM(Q3:Q22) &gt; 0, SUM(Q3:Q22), "")</f>
        <v/>
      </c>
      <c r="R24" s="160" t="str">
        <f t="shared" si="46"/>
        <v/>
      </c>
      <c r="S24" s="160" t="str">
        <f t="shared" si="46"/>
        <v/>
      </c>
      <c r="T24" s="160" t="str">
        <f t="shared" si="46"/>
        <v/>
      </c>
      <c r="U24" s="160">
        <f t="shared" si="46"/>
        <v>17</v>
      </c>
      <c r="V24" s="167" t="str">
        <f t="shared" si="46"/>
        <v/>
      </c>
      <c r="W24" s="173">
        <f>IF(SUM(W3:W22) &gt; 0, SUM(W3:W22), "")</f>
        <v>14</v>
      </c>
      <c r="X24" s="160">
        <f t="shared" ref="X24:AC24" si="47">IF(SUM(X3:X22) &gt; 0, SUM(X3:X22), "")</f>
        <v>16</v>
      </c>
      <c r="Y24" s="160" t="str">
        <f t="shared" si="47"/>
        <v/>
      </c>
      <c r="Z24" s="160">
        <f t="shared" si="47"/>
        <v>14</v>
      </c>
      <c r="AA24" s="160">
        <f t="shared" si="47"/>
        <v>16</v>
      </c>
      <c r="AB24" s="160" t="str">
        <f t="shared" si="47"/>
        <v/>
      </c>
      <c r="AC24" s="167" t="str">
        <f t="shared" si="47"/>
        <v/>
      </c>
      <c r="AD24" s="173">
        <f>IF(SUM(AD3:AD22) &gt; 0, SUM(AD3:AD22), "")</f>
        <v>19</v>
      </c>
      <c r="AE24" s="160">
        <f t="shared" ref="AE24:AJ24" si="48">IF(SUM(AE3:AE22) &gt; 0, SUM(AE3:AE22), "")</f>
        <v>16</v>
      </c>
      <c r="AF24" s="160" t="str">
        <f t="shared" si="48"/>
        <v/>
      </c>
      <c r="AG24" s="160">
        <f t="shared" si="48"/>
        <v>14</v>
      </c>
      <c r="AH24" s="160">
        <f t="shared" si="48"/>
        <v>17</v>
      </c>
      <c r="AI24" s="160">
        <f t="shared" si="48"/>
        <v>19</v>
      </c>
      <c r="AJ24" s="167">
        <f t="shared" si="48"/>
        <v>19</v>
      </c>
      <c r="AK24" s="173">
        <f>IF(SUM(AK3:AK22) &gt; 0, SUM(AK3:AK22), "")</f>
        <v>18</v>
      </c>
      <c r="AL24" s="160">
        <f t="shared" ref="AL24:AQ24" si="49">IF(SUM(AL3:AL22) &gt; 0, SUM(AL3:AL22), "")</f>
        <v>19</v>
      </c>
      <c r="AM24" s="160" t="str">
        <f t="shared" si="49"/>
        <v/>
      </c>
      <c r="AN24" s="160">
        <f t="shared" si="49"/>
        <v>17</v>
      </c>
      <c r="AO24" s="160">
        <f t="shared" si="49"/>
        <v>15</v>
      </c>
      <c r="AP24" s="160">
        <f t="shared" si="49"/>
        <v>19</v>
      </c>
      <c r="AQ24" s="167">
        <f t="shared" si="49"/>
        <v>16</v>
      </c>
      <c r="AR24" s="173">
        <f>IF(SUM(AR3:AR22) &gt; 0, SUM(AR3:AR22), "")</f>
        <v>16</v>
      </c>
      <c r="AS24" s="160">
        <f t="shared" ref="AS24:AX24" si="50">IF(SUM(AS3:AS22) &gt; 0, SUM(AS3:AS22), "")</f>
        <v>18</v>
      </c>
      <c r="AT24" s="160" t="str">
        <f t="shared" si="50"/>
        <v/>
      </c>
      <c r="AU24" s="160">
        <f t="shared" si="50"/>
        <v>18</v>
      </c>
      <c r="AV24" s="160">
        <f t="shared" si="50"/>
        <v>18</v>
      </c>
      <c r="AW24" s="160">
        <f t="shared" si="50"/>
        <v>18</v>
      </c>
      <c r="AX24" s="167" t="str">
        <f t="shared" si="50"/>
        <v/>
      </c>
      <c r="AY24" s="173">
        <f>IF(SUM(AY3:AY22) &gt; 0, SUM(AY3:AY22), "")</f>
        <v>18</v>
      </c>
      <c r="AZ24" s="160">
        <f t="shared" ref="AZ24:BE24" si="51">IF(SUM(AZ3:AZ22) &gt; 0, SUM(AZ3:AZ22), "")</f>
        <v>16</v>
      </c>
      <c r="BA24" s="160" t="str">
        <f t="shared" si="51"/>
        <v/>
      </c>
      <c r="BB24" s="160">
        <f t="shared" si="51"/>
        <v>17</v>
      </c>
      <c r="BC24" s="160">
        <f t="shared" si="51"/>
        <v>14</v>
      </c>
      <c r="BD24" s="160" t="str">
        <f t="shared" si="51"/>
        <v/>
      </c>
      <c r="BE24" s="167" t="str">
        <f t="shared" si="51"/>
        <v/>
      </c>
      <c r="BF24" s="173">
        <f>IF(SUM(BF3:BF22) &gt; 0, SUM(BF3:BF22), "")</f>
        <v>17</v>
      </c>
      <c r="BG24" s="160">
        <f t="shared" ref="BG24:BL24" si="52">IF(SUM(BG3:BG22) &gt; 0, SUM(BG3:BG22), "")</f>
        <v>18</v>
      </c>
      <c r="BH24" s="160" t="str">
        <f t="shared" si="52"/>
        <v/>
      </c>
      <c r="BI24" s="160">
        <f t="shared" si="52"/>
        <v>17</v>
      </c>
      <c r="BJ24" s="160">
        <f t="shared" si="52"/>
        <v>16</v>
      </c>
      <c r="BK24" s="160">
        <f t="shared" si="52"/>
        <v>16</v>
      </c>
      <c r="BL24" s="167" t="str">
        <f t="shared" si="52"/>
        <v/>
      </c>
      <c r="BM24" s="173">
        <f>IF(SUM(BM3:BM22) &gt; 0, SUM(BM3:BM22), "")</f>
        <v>18</v>
      </c>
      <c r="BN24" s="160">
        <f t="shared" ref="BN24:BS24" si="53">IF(SUM(BN3:BN22) &gt; 0, SUM(BN3:BN22), "")</f>
        <v>19</v>
      </c>
      <c r="BO24" s="160" t="str">
        <f t="shared" si="53"/>
        <v/>
      </c>
      <c r="BP24" s="160">
        <f t="shared" si="53"/>
        <v>16</v>
      </c>
      <c r="BQ24" s="160">
        <f t="shared" si="53"/>
        <v>15</v>
      </c>
      <c r="BR24" s="160">
        <f t="shared" si="53"/>
        <v>16</v>
      </c>
      <c r="BS24" s="167">
        <f t="shared" si="53"/>
        <v>14</v>
      </c>
      <c r="BT24" s="173">
        <f>IF(SUM(BT3:BT22) &gt; 0, SUM(BT3:BT22), "")</f>
        <v>14</v>
      </c>
      <c r="BU24" s="160">
        <f t="shared" ref="BU24:BZ24" si="54">IF(SUM(BU3:BU22) &gt; 0, SUM(BU3:BU22), "")</f>
        <v>17</v>
      </c>
      <c r="BV24" s="160" t="str">
        <f t="shared" si="54"/>
        <v/>
      </c>
      <c r="BW24" s="160">
        <f t="shared" si="54"/>
        <v>14</v>
      </c>
      <c r="BX24" s="160">
        <f t="shared" si="54"/>
        <v>14</v>
      </c>
      <c r="BY24" s="160" t="str">
        <f t="shared" si="54"/>
        <v/>
      </c>
      <c r="BZ24" s="167">
        <f t="shared" si="54"/>
        <v>13</v>
      </c>
      <c r="CA24" s="173">
        <f>IF(SUM(CA3:CA22) &gt; 0, SUM(CA3:CA22), "")</f>
        <v>15</v>
      </c>
      <c r="CB24" s="160">
        <f t="shared" ref="CB24:CG24" si="55">IF(SUM(CB3:CB22) &gt; 0, SUM(CB3:CB22), "")</f>
        <v>13</v>
      </c>
      <c r="CC24" s="160" t="str">
        <f t="shared" si="55"/>
        <v/>
      </c>
      <c r="CD24" s="160">
        <f t="shared" si="55"/>
        <v>15</v>
      </c>
      <c r="CE24" s="160">
        <f t="shared" si="55"/>
        <v>15</v>
      </c>
      <c r="CF24" s="160">
        <f t="shared" si="55"/>
        <v>13</v>
      </c>
      <c r="CG24" s="167" t="str">
        <f t="shared" si="55"/>
        <v/>
      </c>
      <c r="CH24" s="173">
        <f>IF(SUM(CH3:CH22) &gt; 0, SUM(CH3:CH22), "")</f>
        <v>13</v>
      </c>
      <c r="CI24" s="160">
        <f t="shared" ref="CI24:CN24" si="56">IF(SUM(CI3:CI22) &gt; 0, SUM(CI3:CI22), "")</f>
        <v>15</v>
      </c>
      <c r="CJ24" s="160" t="str">
        <f t="shared" si="56"/>
        <v/>
      </c>
      <c r="CK24" s="160">
        <f t="shared" si="56"/>
        <v>16</v>
      </c>
      <c r="CL24" s="160" t="str">
        <f t="shared" si="56"/>
        <v/>
      </c>
      <c r="CM24" s="160">
        <f t="shared" si="56"/>
        <v>13</v>
      </c>
      <c r="CN24" s="167" t="str">
        <f t="shared" si="56"/>
        <v/>
      </c>
      <c r="CO24" s="173" t="str">
        <f>IF(SUM(CO3:CO22) &gt; 0, SUM(CO3:CO22), "")</f>
        <v/>
      </c>
      <c r="CP24" s="160" t="str">
        <f t="shared" ref="CP24:CU24" si="57">IF(SUM(CP3:CP22) &gt; 0, SUM(CP3:CP22), "")</f>
        <v/>
      </c>
      <c r="CQ24" s="160">
        <f t="shared" si="57"/>
        <v>5</v>
      </c>
      <c r="CR24" s="160" t="str">
        <f t="shared" si="57"/>
        <v/>
      </c>
      <c r="CS24" s="160" t="str">
        <f t="shared" si="57"/>
        <v/>
      </c>
      <c r="CT24" s="160" t="str">
        <f t="shared" si="57"/>
        <v/>
      </c>
      <c r="CU24" s="167" t="str">
        <f t="shared" si="57"/>
        <v/>
      </c>
      <c r="CV24" s="173" t="str">
        <f>IF(SUM(CV3:CV22) &gt; 0, SUM(CV3:CV22), "")</f>
        <v/>
      </c>
      <c r="CW24" s="160" t="str">
        <f t="shared" ref="CW24:DB24" si="58">IF(SUM(CW3:CW22) &gt; 0, SUM(CW3:CW22), "")</f>
        <v/>
      </c>
      <c r="CX24" s="160" t="str">
        <f t="shared" si="58"/>
        <v/>
      </c>
      <c r="CY24" s="160" t="str">
        <f t="shared" si="58"/>
        <v/>
      </c>
      <c r="CZ24" s="160" t="str">
        <f t="shared" si="58"/>
        <v/>
      </c>
      <c r="DA24" s="160" t="str">
        <f t="shared" si="58"/>
        <v/>
      </c>
      <c r="DB24" s="167" t="str">
        <f t="shared" si="58"/>
        <v/>
      </c>
      <c r="DC24" s="173" t="str">
        <f>IF(SUM(DC3:DC22) &gt; 0, SUM(DC3:DC22), "")</f>
        <v/>
      </c>
      <c r="DD24" s="160" t="str">
        <f t="shared" ref="DD24:DI24" si="59">IF(SUM(DD3:DD22) &gt; 0, SUM(DD3:DD22), "")</f>
        <v/>
      </c>
      <c r="DE24" s="160" t="str">
        <f t="shared" si="59"/>
        <v/>
      </c>
      <c r="DF24" s="160" t="str">
        <f t="shared" si="59"/>
        <v/>
      </c>
      <c r="DG24" s="160" t="str">
        <f t="shared" si="59"/>
        <v/>
      </c>
      <c r="DH24" s="160" t="str">
        <f t="shared" si="59"/>
        <v/>
      </c>
      <c r="DI24" s="167" t="str">
        <f t="shared" si="59"/>
        <v/>
      </c>
      <c r="DJ24" s="173" t="str">
        <f>IF(SUM(DJ3:DJ22) &gt; 0, SUM(DJ3:DJ22), "")</f>
        <v/>
      </c>
      <c r="DK24" s="160" t="str">
        <f t="shared" ref="DK24:DP24" si="60">IF(SUM(DK3:DK22) &gt; 0, SUM(DK3:DK22), "")</f>
        <v/>
      </c>
      <c r="DL24" s="160" t="str">
        <f t="shared" si="60"/>
        <v/>
      </c>
      <c r="DM24" s="160" t="str">
        <f t="shared" si="60"/>
        <v/>
      </c>
      <c r="DN24" s="160" t="str">
        <f t="shared" si="60"/>
        <v/>
      </c>
      <c r="DO24" s="160" t="str">
        <f t="shared" si="60"/>
        <v/>
      </c>
      <c r="DP24" s="167" t="str">
        <f t="shared" si="60"/>
        <v/>
      </c>
      <c r="DQ24" s="173" t="str">
        <f>IF(SUM(DQ3:DQ22) &gt; 0, SUM(DQ3:DQ22), "")</f>
        <v/>
      </c>
      <c r="DR24" s="160" t="str">
        <f t="shared" ref="DR24:DW24" si="61">IF(SUM(DR3:DR22) &gt; 0, SUM(DR3:DR22), "")</f>
        <v/>
      </c>
      <c r="DS24" s="160" t="str">
        <f t="shared" si="61"/>
        <v/>
      </c>
      <c r="DT24" s="160" t="str">
        <f t="shared" si="61"/>
        <v/>
      </c>
      <c r="DU24" s="160" t="str">
        <f t="shared" si="61"/>
        <v/>
      </c>
      <c r="DV24" s="160" t="str">
        <f t="shared" si="61"/>
        <v/>
      </c>
      <c r="DW24" s="167" t="str">
        <f t="shared" si="61"/>
        <v/>
      </c>
      <c r="DX24" s="173" t="str">
        <f>IF(SUM(DX3:DX22) &gt; 0, SUM(DX3:DX22), "")</f>
        <v/>
      </c>
      <c r="DY24" s="160" t="str">
        <f t="shared" ref="DY24:ED24" si="62">IF(SUM(DY3:DY22) &gt; 0, SUM(DY3:DY22), "")</f>
        <v/>
      </c>
      <c r="DZ24" s="160" t="str">
        <f t="shared" si="62"/>
        <v/>
      </c>
      <c r="EA24" s="160" t="str">
        <f t="shared" si="62"/>
        <v/>
      </c>
      <c r="EB24" s="160" t="str">
        <f t="shared" si="62"/>
        <v/>
      </c>
      <c r="EC24" s="160" t="str">
        <f t="shared" si="62"/>
        <v/>
      </c>
      <c r="ED24" s="167" t="str">
        <f t="shared" si="62"/>
        <v/>
      </c>
      <c r="EE24" s="173" t="str">
        <f>IF(SUM(EE3:EE22) &gt; 0, SUM(EE3:EE22), "")</f>
        <v/>
      </c>
      <c r="EF24" s="160" t="str">
        <f t="shared" ref="EF24:EK24" si="63">IF(SUM(EF3:EF22) &gt; 0, SUM(EF3:EF22), "")</f>
        <v/>
      </c>
      <c r="EG24" s="160" t="str">
        <f t="shared" si="63"/>
        <v/>
      </c>
      <c r="EH24" s="160" t="str">
        <f t="shared" si="63"/>
        <v/>
      </c>
      <c r="EI24" s="160" t="str">
        <f t="shared" si="63"/>
        <v/>
      </c>
      <c r="EJ24" s="160" t="str">
        <f t="shared" si="63"/>
        <v/>
      </c>
      <c r="EK24" s="167" t="str">
        <f t="shared" si="63"/>
        <v/>
      </c>
      <c r="EL24" s="173" t="str">
        <f>IF(SUM(EL3:EL22) &gt; 0, SUM(EL3:EL22), "")</f>
        <v/>
      </c>
      <c r="EM24" s="160" t="str">
        <f t="shared" ref="EM24:ER24" si="64">IF(SUM(EM3:EM22) &gt; 0, SUM(EM3:EM22), "")</f>
        <v/>
      </c>
      <c r="EN24" s="160" t="str">
        <f t="shared" si="64"/>
        <v/>
      </c>
      <c r="EO24" s="160" t="str">
        <f t="shared" si="64"/>
        <v/>
      </c>
      <c r="EP24" s="160" t="str">
        <f t="shared" si="64"/>
        <v/>
      </c>
      <c r="EQ24" s="160" t="str">
        <f t="shared" si="64"/>
        <v/>
      </c>
      <c r="ER24" s="167" t="str">
        <f t="shared" si="64"/>
        <v/>
      </c>
      <c r="ES24" s="173" t="str">
        <f>IF(SUM(ES3:ES22) &gt; 0, SUM(ES3:ES22), "")</f>
        <v/>
      </c>
      <c r="ET24" s="160" t="str">
        <f t="shared" ref="ET24:EY24" si="65">IF(SUM(ET3:ET22) &gt; 0, SUM(ET3:ET22), "")</f>
        <v/>
      </c>
      <c r="EU24" s="160" t="str">
        <f t="shared" si="65"/>
        <v/>
      </c>
      <c r="EV24" s="160" t="str">
        <f t="shared" si="65"/>
        <v/>
      </c>
      <c r="EW24" s="160" t="str">
        <f t="shared" si="65"/>
        <v/>
      </c>
      <c r="EX24" s="160" t="str">
        <f t="shared" si="65"/>
        <v/>
      </c>
      <c r="EY24" s="167" t="str">
        <f t="shared" si="65"/>
        <v/>
      </c>
      <c r="EZ24" s="173" t="str">
        <f>IF(SUM(EZ3:EZ22) &gt; 0, SUM(EZ3:EZ22), "")</f>
        <v/>
      </c>
      <c r="FA24" s="160" t="str">
        <f t="shared" ref="FA24:FF24" si="66">IF(SUM(FA3:FA22) &gt; 0, SUM(FA3:FA22), "")</f>
        <v/>
      </c>
      <c r="FB24" s="160" t="str">
        <f t="shared" si="66"/>
        <v/>
      </c>
      <c r="FC24" s="160" t="str">
        <f t="shared" si="66"/>
        <v/>
      </c>
      <c r="FD24" s="160" t="str">
        <f t="shared" si="66"/>
        <v/>
      </c>
      <c r="FE24" s="160" t="str">
        <f t="shared" si="66"/>
        <v/>
      </c>
      <c r="FF24" s="167" t="str">
        <f t="shared" si="66"/>
        <v/>
      </c>
      <c r="FG24" s="173" t="str">
        <f>IF(SUM(FG3:FG22) &gt; 0, SUM(FG3:FG22), "")</f>
        <v/>
      </c>
      <c r="FH24" s="160" t="str">
        <f t="shared" ref="FH24:FM24" si="67">IF(SUM(FH3:FH22) &gt; 0, SUM(FH3:FH22), "")</f>
        <v/>
      </c>
      <c r="FI24" s="160" t="str">
        <f t="shared" si="67"/>
        <v/>
      </c>
      <c r="FJ24" s="160" t="str">
        <f t="shared" si="67"/>
        <v/>
      </c>
      <c r="FK24" s="160" t="str">
        <f t="shared" si="67"/>
        <v/>
      </c>
      <c r="FL24" s="160" t="str">
        <f t="shared" si="67"/>
        <v/>
      </c>
      <c r="FM24" s="167" t="str">
        <f t="shared" si="67"/>
        <v/>
      </c>
      <c r="FN24" s="173" t="str">
        <f>IF(SUM(FN3:FN22) &gt; 0, SUM(FN3:FN22), "")</f>
        <v/>
      </c>
      <c r="FO24" s="160" t="str">
        <f t="shared" ref="FO24:FT24" si="68">IF(SUM(FO3:FO22) &gt; 0, SUM(FO3:FO22), "")</f>
        <v/>
      </c>
      <c r="FP24" s="160" t="str">
        <f t="shared" si="68"/>
        <v/>
      </c>
      <c r="FQ24" s="160" t="str">
        <f t="shared" si="68"/>
        <v/>
      </c>
      <c r="FR24" s="160" t="str">
        <f t="shared" si="68"/>
        <v/>
      </c>
      <c r="FS24" s="160" t="str">
        <f t="shared" si="68"/>
        <v/>
      </c>
      <c r="FT24" s="167" t="str">
        <f t="shared" si="68"/>
        <v/>
      </c>
      <c r="FU24" s="173" t="str">
        <f>IF(SUM(FU3:FU22) &gt; 0, SUM(FU3:FU22), "")</f>
        <v/>
      </c>
      <c r="FV24" s="160" t="str">
        <f t="shared" ref="FV24:GA24" si="69">IF(SUM(FV3:FV22) &gt; 0, SUM(FV3:FV22), "")</f>
        <v/>
      </c>
      <c r="FW24" s="160" t="str">
        <f t="shared" si="69"/>
        <v/>
      </c>
      <c r="FX24" s="160" t="str">
        <f t="shared" si="69"/>
        <v/>
      </c>
      <c r="FY24" s="160" t="str">
        <f t="shared" si="69"/>
        <v/>
      </c>
      <c r="FZ24" s="160" t="str">
        <f t="shared" si="69"/>
        <v/>
      </c>
      <c r="GA24" s="167" t="str">
        <f t="shared" si="69"/>
        <v/>
      </c>
      <c r="GB24" s="173" t="str">
        <f>IF(SUM(GB3:GB22) &gt; 0, SUM(GB3:GB22), "")</f>
        <v/>
      </c>
      <c r="GC24" s="160" t="str">
        <f t="shared" ref="GC24:GH24" si="70">IF(SUM(GC3:GC22) &gt; 0, SUM(GC3:GC22), "")</f>
        <v/>
      </c>
      <c r="GD24" s="160" t="str">
        <f t="shared" si="70"/>
        <v/>
      </c>
      <c r="GE24" s="160" t="str">
        <f t="shared" si="70"/>
        <v/>
      </c>
      <c r="GF24" s="160" t="str">
        <f t="shared" si="70"/>
        <v/>
      </c>
      <c r="GG24" s="160" t="str">
        <f t="shared" si="70"/>
        <v/>
      </c>
      <c r="GH24" s="167" t="str">
        <f t="shared" si="70"/>
        <v/>
      </c>
      <c r="GI24" s="173" t="str">
        <f>IF(SUM(GI3:GI22) &gt; 0, SUM(GI3:GI22), "")</f>
        <v/>
      </c>
      <c r="GJ24" s="160" t="str">
        <f t="shared" ref="GJ24:GO24" si="71">IF(SUM(GJ3:GJ22) &gt; 0, SUM(GJ3:GJ22), "")</f>
        <v/>
      </c>
      <c r="GK24" s="160" t="str">
        <f t="shared" si="71"/>
        <v/>
      </c>
      <c r="GL24" s="160" t="str">
        <f t="shared" si="71"/>
        <v/>
      </c>
      <c r="GM24" s="160" t="str">
        <f t="shared" si="71"/>
        <v/>
      </c>
      <c r="GN24" s="160" t="str">
        <f t="shared" si="71"/>
        <v/>
      </c>
      <c r="GO24" s="167" t="str">
        <f t="shared" si="71"/>
        <v/>
      </c>
      <c r="GP24" s="173" t="str">
        <f>IF(SUM(GP3:GP22) &gt; 0, SUM(GP3:GP22), "")</f>
        <v/>
      </c>
      <c r="GQ24" s="160" t="str">
        <f t="shared" ref="GQ24:GV24" si="72">IF(SUM(GQ3:GQ22) &gt; 0, SUM(GQ3:GQ22), "")</f>
        <v/>
      </c>
      <c r="GR24" s="160" t="str">
        <f t="shared" si="72"/>
        <v/>
      </c>
      <c r="GS24" s="160" t="str">
        <f t="shared" si="72"/>
        <v/>
      </c>
      <c r="GT24" s="160" t="str">
        <f t="shared" si="72"/>
        <v/>
      </c>
      <c r="GU24" s="160" t="str">
        <f t="shared" si="72"/>
        <v/>
      </c>
      <c r="GV24" s="167" t="str">
        <f t="shared" si="72"/>
        <v/>
      </c>
      <c r="GW24" s="173" t="str">
        <f>IF(SUM(GW3:GW22) &gt; 0, SUM(GW3:GW22), "")</f>
        <v/>
      </c>
      <c r="GX24" s="160" t="str">
        <f t="shared" ref="GX24:HC24" si="73">IF(SUM(GX3:GX22) &gt; 0, SUM(GX3:GX22), "")</f>
        <v/>
      </c>
      <c r="GY24" s="160" t="str">
        <f t="shared" si="73"/>
        <v/>
      </c>
      <c r="GZ24" s="160" t="str">
        <f t="shared" si="73"/>
        <v/>
      </c>
      <c r="HA24" s="160" t="str">
        <f t="shared" si="73"/>
        <v/>
      </c>
      <c r="HB24" s="160" t="str">
        <f t="shared" si="73"/>
        <v/>
      </c>
      <c r="HC24" s="167" t="str">
        <f t="shared" si="73"/>
        <v/>
      </c>
      <c r="HD24" s="173" t="str">
        <f>IF(SUM(HD3:HD22) &gt; 0, SUM(HD3:HD22), "")</f>
        <v/>
      </c>
      <c r="HE24" s="160" t="str">
        <f t="shared" ref="HE24:HJ24" si="74">IF(SUM(HE3:HE22) &gt; 0, SUM(HE3:HE22), "")</f>
        <v/>
      </c>
      <c r="HF24" s="160" t="str">
        <f t="shared" si="74"/>
        <v/>
      </c>
      <c r="HG24" s="160" t="str">
        <f t="shared" si="74"/>
        <v/>
      </c>
      <c r="HH24" s="160" t="str">
        <f t="shared" si="74"/>
        <v/>
      </c>
      <c r="HI24" s="160" t="str">
        <f t="shared" si="74"/>
        <v/>
      </c>
      <c r="HJ24" s="167" t="str">
        <f t="shared" si="74"/>
        <v/>
      </c>
      <c r="HK24" s="173" t="str">
        <f>IF(SUM(HK3:HK22) &gt; 0, SUM(HK3:HK22), "")</f>
        <v/>
      </c>
      <c r="HL24" s="160" t="str">
        <f t="shared" ref="HL24:HQ24" si="75">IF(SUM(HL3:HL22) &gt; 0, SUM(HL3:HL22), "")</f>
        <v/>
      </c>
      <c r="HM24" s="160" t="str">
        <f t="shared" si="75"/>
        <v/>
      </c>
      <c r="HN24" s="160" t="str">
        <f t="shared" si="75"/>
        <v/>
      </c>
      <c r="HO24" s="160" t="str">
        <f t="shared" si="75"/>
        <v/>
      </c>
      <c r="HP24" s="160" t="str">
        <f t="shared" si="75"/>
        <v/>
      </c>
      <c r="HQ24" s="167" t="str">
        <f t="shared" si="75"/>
        <v/>
      </c>
      <c r="HR24" s="173" t="str">
        <f>IF(SUM(HR3:HR22) &gt; 0, SUM(HR3:HR22), "")</f>
        <v/>
      </c>
      <c r="HS24" s="160" t="str">
        <f t="shared" ref="HS24:HX24" si="76">IF(SUM(HS3:HS22) &gt; 0, SUM(HS3:HS22), "")</f>
        <v/>
      </c>
      <c r="HT24" s="160" t="str">
        <f t="shared" si="76"/>
        <v/>
      </c>
      <c r="HU24" s="160" t="str">
        <f t="shared" si="76"/>
        <v/>
      </c>
      <c r="HV24" s="160" t="str">
        <f t="shared" si="76"/>
        <v/>
      </c>
      <c r="HW24" s="160" t="str">
        <f t="shared" si="76"/>
        <v/>
      </c>
      <c r="HX24" s="167" t="str">
        <f t="shared" si="76"/>
        <v/>
      </c>
      <c r="HY24" s="173" t="str">
        <f>IF(SUM(HY3:HY22) &gt; 0, SUM(HY3:HY22), "")</f>
        <v/>
      </c>
      <c r="HZ24" s="160" t="str">
        <f t="shared" ref="HZ24:IE24" si="77">IF(SUM(HZ3:HZ22) &gt; 0, SUM(HZ3:HZ22), "")</f>
        <v/>
      </c>
      <c r="IA24" s="160" t="str">
        <f t="shared" si="77"/>
        <v/>
      </c>
      <c r="IB24" s="160" t="str">
        <f t="shared" si="77"/>
        <v/>
      </c>
      <c r="IC24" s="160" t="str">
        <f t="shared" si="77"/>
        <v/>
      </c>
      <c r="ID24" s="160" t="str">
        <f t="shared" si="77"/>
        <v/>
      </c>
      <c r="IE24" s="167" t="str">
        <f t="shared" si="77"/>
        <v/>
      </c>
      <c r="IF24" s="173" t="str">
        <f>IF(SUM(IF3:IF22) &gt; 0, SUM(IF3:IF22), "")</f>
        <v/>
      </c>
      <c r="IG24" s="160" t="str">
        <f t="shared" ref="IG24:IL24" si="78">IF(SUM(IG3:IG22) &gt; 0, SUM(IG3:IG22), "")</f>
        <v/>
      </c>
      <c r="IH24" s="160" t="str">
        <f t="shared" si="78"/>
        <v/>
      </c>
      <c r="II24" s="160" t="str">
        <f t="shared" si="78"/>
        <v/>
      </c>
      <c r="IJ24" s="160" t="str">
        <f t="shared" si="78"/>
        <v/>
      </c>
      <c r="IK24" s="160" t="str">
        <f t="shared" si="78"/>
        <v/>
      </c>
      <c r="IL24" s="167" t="str">
        <f t="shared" si="78"/>
        <v/>
      </c>
      <c r="IM24" s="173" t="str">
        <f>IF(SUM(IM3:IM22) &gt; 0, SUM(IM3:IM22), "")</f>
        <v/>
      </c>
      <c r="IN24" s="160" t="str">
        <f t="shared" ref="IN24:IS24" si="79">IF(SUM(IN3:IN22) &gt; 0, SUM(IN3:IN22), "")</f>
        <v/>
      </c>
      <c r="IO24" s="160" t="str">
        <f t="shared" si="79"/>
        <v/>
      </c>
      <c r="IP24" s="160" t="str">
        <f t="shared" si="79"/>
        <v/>
      </c>
      <c r="IQ24" s="160" t="str">
        <f t="shared" si="79"/>
        <v/>
      </c>
      <c r="IR24" s="160" t="str">
        <f t="shared" si="79"/>
        <v/>
      </c>
      <c r="IS24" s="167" t="str">
        <f t="shared" si="79"/>
        <v/>
      </c>
      <c r="IT24" s="173" t="str">
        <f>IF(SUM(IT3:IT22) &gt; 0, SUM(IT3:IT22), "")</f>
        <v/>
      </c>
      <c r="IU24" s="160" t="str">
        <f t="shared" ref="IU24:IZ24" si="80">IF(SUM(IU3:IU22) &gt; 0, SUM(IU3:IU22), "")</f>
        <v/>
      </c>
      <c r="IV24" s="160" t="str">
        <f t="shared" si="80"/>
        <v/>
      </c>
      <c r="IW24" s="160" t="str">
        <f t="shared" si="80"/>
        <v/>
      </c>
      <c r="IX24" s="160" t="str">
        <f t="shared" si="80"/>
        <v/>
      </c>
      <c r="IY24" s="160" t="str">
        <f t="shared" si="80"/>
        <v/>
      </c>
      <c r="IZ24" s="167" t="str">
        <f t="shared" si="80"/>
        <v/>
      </c>
      <c r="JA24" s="173" t="str">
        <f>IF(SUM(JA3:JA22) &gt; 0, SUM(JA3:JA22), "")</f>
        <v/>
      </c>
      <c r="JB24" s="160" t="str">
        <f t="shared" ref="JB24:JG24" si="81">IF(SUM(JB3:JB22) &gt; 0, SUM(JB3:JB22), "")</f>
        <v/>
      </c>
      <c r="JC24" s="160" t="str">
        <f t="shared" si="81"/>
        <v/>
      </c>
      <c r="JD24" s="160" t="str">
        <f t="shared" si="81"/>
        <v/>
      </c>
      <c r="JE24" s="160" t="str">
        <f t="shared" si="81"/>
        <v/>
      </c>
      <c r="JF24" s="160" t="str">
        <f t="shared" si="81"/>
        <v/>
      </c>
      <c r="JG24" s="167" t="str">
        <f t="shared" si="81"/>
        <v/>
      </c>
    </row>
    <row r="25" spans="1:267" ht="15.75" thickBot="1" x14ac:dyDescent="0.3">
      <c r="A25" s="110" t="s">
        <v>18</v>
      </c>
      <c r="B25" s="16" t="s">
        <v>648</v>
      </c>
      <c r="C25" s="16" t="s">
        <v>648</v>
      </c>
      <c r="D25" s="16" t="s">
        <v>648</v>
      </c>
      <c r="E25" s="16"/>
      <c r="F25" s="16"/>
      <c r="G25" s="16"/>
      <c r="H25" s="17" t="s">
        <v>648</v>
      </c>
      <c r="I25" s="179"/>
      <c r="J25" s="184" t="s">
        <v>648</v>
      </c>
      <c r="K25" s="179">
        <f t="shared" ref="K25" si="82">SUM(M25:IU25)</f>
        <v>51</v>
      </c>
      <c r="L25" s="172" t="s">
        <v>648</v>
      </c>
      <c r="M25" s="170"/>
      <c r="N25" s="170"/>
      <c r="O25" s="172"/>
      <c r="P25" s="170"/>
      <c r="Q25" s="170"/>
      <c r="R25" s="170"/>
      <c r="S25" s="170"/>
      <c r="T25" s="168"/>
      <c r="U25" s="168">
        <v>1</v>
      </c>
      <c r="V25" s="172"/>
      <c r="W25" s="168">
        <v>1</v>
      </c>
      <c r="X25" s="168">
        <v>1</v>
      </c>
      <c r="Y25" s="168"/>
      <c r="Z25" s="168">
        <v>1</v>
      </c>
      <c r="AA25" s="168">
        <v>1</v>
      </c>
      <c r="AB25" s="168"/>
      <c r="AC25" s="172"/>
      <c r="AD25" s="170">
        <v>1</v>
      </c>
      <c r="AE25" s="170">
        <v>1</v>
      </c>
      <c r="AF25" s="170"/>
      <c r="AG25" s="170">
        <v>1</v>
      </c>
      <c r="AH25" s="170">
        <v>1</v>
      </c>
      <c r="AI25" s="170">
        <v>1</v>
      </c>
      <c r="AJ25" s="172">
        <v>1</v>
      </c>
      <c r="AK25" s="170">
        <v>1</v>
      </c>
      <c r="AL25" s="170">
        <v>1</v>
      </c>
      <c r="AM25" s="170"/>
      <c r="AN25" s="170">
        <v>1</v>
      </c>
      <c r="AO25" s="170">
        <v>1</v>
      </c>
      <c r="AP25" s="170">
        <v>1</v>
      </c>
      <c r="AQ25" s="172">
        <v>1</v>
      </c>
      <c r="AR25" s="170">
        <v>1</v>
      </c>
      <c r="AS25" s="170">
        <v>1</v>
      </c>
      <c r="AT25" s="170"/>
      <c r="AU25" s="170">
        <v>1</v>
      </c>
      <c r="AV25" s="170">
        <v>1</v>
      </c>
      <c r="AW25" s="170">
        <v>1</v>
      </c>
      <c r="AX25" s="172"/>
      <c r="AY25" s="170">
        <v>1</v>
      </c>
      <c r="AZ25" s="170">
        <v>1</v>
      </c>
      <c r="BA25" s="170"/>
      <c r="BB25" s="170">
        <v>1</v>
      </c>
      <c r="BC25" s="170">
        <v>1</v>
      </c>
      <c r="BD25" s="170"/>
      <c r="BE25" s="172"/>
      <c r="BF25" s="170">
        <v>1</v>
      </c>
      <c r="BG25" s="170">
        <v>1</v>
      </c>
      <c r="BH25" s="170"/>
      <c r="BI25" s="170">
        <v>1</v>
      </c>
      <c r="BJ25" s="170">
        <v>1</v>
      </c>
      <c r="BK25" s="170">
        <v>1</v>
      </c>
      <c r="BL25" s="172"/>
      <c r="BM25" s="170">
        <v>1</v>
      </c>
      <c r="BN25" s="170">
        <v>1</v>
      </c>
      <c r="BO25" s="170"/>
      <c r="BP25" s="170">
        <v>1</v>
      </c>
      <c r="BQ25" s="170">
        <v>1</v>
      </c>
      <c r="BR25" s="170">
        <v>1</v>
      </c>
      <c r="BS25" s="172">
        <v>1</v>
      </c>
      <c r="BT25" s="170">
        <v>1</v>
      </c>
      <c r="BU25" s="170">
        <v>1</v>
      </c>
      <c r="BV25" s="170"/>
      <c r="BW25" s="170">
        <v>1</v>
      </c>
      <c r="BX25" s="170">
        <v>1</v>
      </c>
      <c r="BY25" s="170"/>
      <c r="BZ25" s="172">
        <v>1</v>
      </c>
      <c r="CA25" s="170">
        <v>1</v>
      </c>
      <c r="CB25" s="170">
        <v>1</v>
      </c>
      <c r="CC25" s="170"/>
      <c r="CD25" s="170">
        <v>1</v>
      </c>
      <c r="CE25" s="170">
        <v>1</v>
      </c>
      <c r="CF25" s="170">
        <v>1</v>
      </c>
      <c r="CG25" s="172"/>
      <c r="CH25" s="170">
        <v>1</v>
      </c>
      <c r="CI25" s="170">
        <v>1</v>
      </c>
      <c r="CJ25" s="170"/>
      <c r="CK25" s="170">
        <v>1</v>
      </c>
      <c r="CL25" s="170"/>
      <c r="CM25" s="170">
        <v>1</v>
      </c>
      <c r="CN25" s="172"/>
      <c r="CO25" s="170"/>
      <c r="CP25" s="170"/>
      <c r="CQ25" s="170"/>
      <c r="CR25" s="170"/>
      <c r="CS25" s="170"/>
      <c r="CT25" s="170"/>
      <c r="CU25" s="172"/>
      <c r="CV25" s="170"/>
      <c r="CW25" s="170"/>
      <c r="CX25" s="170"/>
      <c r="CY25" s="170"/>
      <c r="CZ25" s="170"/>
      <c r="DA25" s="170"/>
      <c r="DB25" s="172"/>
      <c r="DC25" s="170"/>
      <c r="DD25" s="170"/>
      <c r="DE25" s="170"/>
      <c r="DF25" s="170"/>
      <c r="DG25" s="170"/>
      <c r="DH25" s="170"/>
      <c r="DI25" s="172"/>
      <c r="DJ25" s="170"/>
      <c r="DK25" s="170"/>
      <c r="DL25" s="170"/>
      <c r="DM25" s="170"/>
      <c r="DN25" s="170"/>
      <c r="DO25" s="170"/>
      <c r="DP25" s="172"/>
      <c r="DQ25" s="170"/>
      <c r="DR25" s="170"/>
      <c r="DS25" s="170"/>
      <c r="DT25" s="170"/>
      <c r="DU25" s="170"/>
      <c r="DV25" s="170"/>
      <c r="DW25" s="172"/>
      <c r="DX25" s="170"/>
      <c r="DY25" s="170"/>
      <c r="DZ25" s="170"/>
      <c r="EA25" s="170"/>
      <c r="EB25" s="170"/>
      <c r="EC25" s="170"/>
      <c r="ED25" s="172"/>
      <c r="EE25" s="170"/>
      <c r="EF25" s="170"/>
      <c r="EG25" s="170"/>
      <c r="EH25" s="170"/>
      <c r="EI25" s="170"/>
      <c r="EJ25" s="170"/>
      <c r="EK25" s="172"/>
      <c r="EL25" s="170"/>
      <c r="EM25" s="170"/>
      <c r="EN25" s="170"/>
      <c r="EO25" s="170"/>
      <c r="EP25" s="170"/>
      <c r="EQ25" s="170"/>
      <c r="ER25" s="172"/>
      <c r="ES25" s="170"/>
      <c r="ET25" s="170"/>
      <c r="EU25" s="170"/>
      <c r="EV25" s="170"/>
      <c r="EW25" s="170"/>
      <c r="EX25" s="170"/>
      <c r="EY25" s="172"/>
      <c r="EZ25" s="170"/>
      <c r="FA25" s="170"/>
      <c r="FB25" s="170"/>
      <c r="FC25" s="170"/>
      <c r="FD25" s="170"/>
      <c r="FE25" s="170"/>
      <c r="FF25" s="172"/>
      <c r="FG25" s="170"/>
      <c r="FH25" s="170"/>
      <c r="FI25" s="170"/>
      <c r="FJ25" s="170"/>
      <c r="FK25" s="170"/>
      <c r="FL25" s="170"/>
      <c r="FM25" s="172"/>
      <c r="FN25" s="170"/>
      <c r="FO25" s="170"/>
      <c r="FP25" s="170"/>
      <c r="FQ25" s="170"/>
      <c r="FR25" s="170"/>
      <c r="FS25" s="170"/>
      <c r="FT25" s="172"/>
      <c r="FU25" s="170"/>
      <c r="FV25" s="170"/>
      <c r="FW25" s="170"/>
      <c r="FX25" s="170"/>
      <c r="FY25" s="170"/>
      <c r="FZ25" s="170"/>
      <c r="GA25" s="172"/>
      <c r="GB25" s="170"/>
      <c r="GC25" s="170"/>
      <c r="GD25" s="170"/>
      <c r="GE25" s="170"/>
      <c r="GF25" s="170"/>
      <c r="GG25" s="170"/>
      <c r="GH25" s="172"/>
      <c r="GI25" s="170"/>
      <c r="GJ25" s="170"/>
      <c r="GK25" s="170"/>
      <c r="GL25" s="170"/>
      <c r="GM25" s="170"/>
      <c r="GN25" s="170"/>
      <c r="GO25" s="172"/>
      <c r="GP25" s="170"/>
      <c r="GQ25" s="170"/>
      <c r="GR25" s="170"/>
      <c r="GS25" s="170"/>
      <c r="GT25" s="170"/>
      <c r="GU25" s="170"/>
      <c r="GV25" s="172"/>
      <c r="GW25" s="170"/>
      <c r="GX25" s="170"/>
      <c r="GY25" s="170"/>
      <c r="GZ25" s="170"/>
      <c r="HA25" s="170"/>
      <c r="HB25" s="170"/>
      <c r="HC25" s="172"/>
      <c r="HD25" s="170"/>
      <c r="HE25" s="170"/>
      <c r="HF25" s="170"/>
      <c r="HG25" s="170"/>
      <c r="HH25" s="170"/>
      <c r="HI25" s="170"/>
      <c r="HJ25" s="172"/>
      <c r="HK25" s="170"/>
      <c r="HL25" s="170"/>
      <c r="HM25" s="170"/>
      <c r="HN25" s="170"/>
      <c r="HO25" s="170"/>
      <c r="HP25" s="170"/>
      <c r="HQ25" s="172"/>
      <c r="HR25" s="170"/>
      <c r="HS25" s="170"/>
      <c r="HT25" s="170"/>
      <c r="HU25" s="170"/>
      <c r="HV25" s="170"/>
      <c r="HW25" s="170"/>
      <c r="HX25" s="172"/>
      <c r="HY25" s="170"/>
      <c r="HZ25" s="170"/>
      <c r="IA25" s="170"/>
      <c r="IB25" s="170"/>
      <c r="IC25" s="170"/>
      <c r="ID25" s="170"/>
      <c r="IE25" s="172"/>
      <c r="IF25" s="170"/>
      <c r="IG25" s="170"/>
      <c r="IH25" s="170"/>
      <c r="II25" s="170"/>
      <c r="IJ25" s="170"/>
      <c r="IK25" s="170"/>
      <c r="IL25" s="172"/>
      <c r="IM25" s="170"/>
      <c r="IN25" s="170"/>
      <c r="IO25" s="170"/>
      <c r="IP25" s="170"/>
      <c r="IQ25" s="170"/>
      <c r="IR25" s="170"/>
      <c r="IS25" s="172"/>
      <c r="IT25" s="170"/>
      <c r="IU25" s="170"/>
      <c r="IV25" s="34"/>
    </row>
    <row r="27" spans="1:267" x14ac:dyDescent="0.25">
      <c r="C27" t="s">
        <v>722</v>
      </c>
      <c r="D27" t="s">
        <v>723</v>
      </c>
      <c r="H27" t="s">
        <v>750</v>
      </c>
      <c r="M27" t="s">
        <v>753</v>
      </c>
      <c r="U27" t="s">
        <v>650</v>
      </c>
      <c r="AI27" t="s">
        <v>650</v>
      </c>
      <c r="AP27" t="s">
        <v>650</v>
      </c>
      <c r="AV27" t="s">
        <v>778</v>
      </c>
      <c r="BC27" t="s">
        <v>778</v>
      </c>
      <c r="BJ27" t="s">
        <v>778</v>
      </c>
      <c r="BQ27" t="s">
        <v>778</v>
      </c>
      <c r="BZ27" t="s">
        <v>841</v>
      </c>
      <c r="CF27" t="s">
        <v>848</v>
      </c>
      <c r="CL27" t="s">
        <v>866</v>
      </c>
    </row>
    <row r="28" spans="1:267" x14ac:dyDescent="0.25">
      <c r="C28" t="s">
        <v>673</v>
      </c>
      <c r="D28" t="s">
        <v>741</v>
      </c>
      <c r="N28" s="142" t="s">
        <v>800</v>
      </c>
      <c r="X28" t="s">
        <v>651</v>
      </c>
      <c r="BC28" t="s">
        <v>794</v>
      </c>
      <c r="CB28" t="s">
        <v>848</v>
      </c>
    </row>
    <row r="29" spans="1:267" x14ac:dyDescent="0.25">
      <c r="C29" t="s">
        <v>674</v>
      </c>
      <c r="D29" t="s">
        <v>724</v>
      </c>
      <c r="O29" t="s">
        <v>801</v>
      </c>
      <c r="Z29" t="s">
        <v>655</v>
      </c>
    </row>
    <row r="30" spans="1:267" x14ac:dyDescent="0.25">
      <c r="C30" t="s">
        <v>675</v>
      </c>
      <c r="D30" t="s">
        <v>725</v>
      </c>
      <c r="M30">
        <v>12</v>
      </c>
      <c r="N30">
        <v>12</v>
      </c>
      <c r="O30">
        <v>10</v>
      </c>
    </row>
    <row r="31" spans="1:267" x14ac:dyDescent="0.25">
      <c r="C31" t="s">
        <v>676</v>
      </c>
      <c r="D31" t="s">
        <v>726</v>
      </c>
      <c r="M31">
        <v>6</v>
      </c>
      <c r="N31">
        <v>4</v>
      </c>
      <c r="O31">
        <v>6</v>
      </c>
      <c r="Q31" s="175"/>
      <c r="R31" s="45"/>
      <c r="S31" s="45"/>
      <c r="T31" s="45"/>
      <c r="U31" s="45"/>
    </row>
    <row r="32" spans="1:267" x14ac:dyDescent="0.25">
      <c r="C32" t="s">
        <v>678</v>
      </c>
      <c r="D32" t="s">
        <v>727</v>
      </c>
      <c r="Q32" s="45"/>
      <c r="R32" s="45"/>
      <c r="S32" s="45"/>
    </row>
    <row r="33" spans="1:140" x14ac:dyDescent="0.25">
      <c r="B33" t="s">
        <v>46</v>
      </c>
      <c r="C33" t="s">
        <v>670</v>
      </c>
      <c r="D33" t="s">
        <v>672</v>
      </c>
      <c r="H33" s="44" t="s">
        <v>673</v>
      </c>
      <c r="I33" s="142" t="s">
        <v>680</v>
      </c>
      <c r="J33" s="44" t="s">
        <v>674</v>
      </c>
      <c r="K33" s="44" t="s">
        <v>675</v>
      </c>
      <c r="L33" s="44" t="s">
        <v>676</v>
      </c>
      <c r="M33" s="44" t="s">
        <v>678</v>
      </c>
      <c r="N33" s="44" t="s">
        <v>679</v>
      </c>
    </row>
    <row r="34" spans="1:140" x14ac:dyDescent="0.25">
      <c r="A34" t="s">
        <v>667</v>
      </c>
      <c r="B34">
        <v>1</v>
      </c>
      <c r="C34">
        <f t="shared" ref="C34:D37" si="83">B34</f>
        <v>1</v>
      </c>
      <c r="D34">
        <f t="shared" si="83"/>
        <v>1</v>
      </c>
      <c r="H34">
        <f>D34</f>
        <v>1</v>
      </c>
      <c r="I34" s="142" t="s">
        <v>680</v>
      </c>
      <c r="J34">
        <f>H34</f>
        <v>1</v>
      </c>
      <c r="K34">
        <f t="shared" ref="K34:N38" si="84">J34</f>
        <v>1</v>
      </c>
      <c r="L34">
        <f t="shared" si="84"/>
        <v>1</v>
      </c>
      <c r="M34">
        <f t="shared" si="84"/>
        <v>1</v>
      </c>
      <c r="N34">
        <f t="shared" si="84"/>
        <v>1</v>
      </c>
      <c r="Q34" s="45"/>
    </row>
    <row r="35" spans="1:140" x14ac:dyDescent="0.25">
      <c r="A35" t="s">
        <v>668</v>
      </c>
      <c r="B35">
        <v>2</v>
      </c>
      <c r="C35">
        <f t="shared" si="83"/>
        <v>2</v>
      </c>
      <c r="D35">
        <f t="shared" si="83"/>
        <v>2</v>
      </c>
      <c r="H35">
        <f>D35</f>
        <v>2</v>
      </c>
      <c r="I35" s="142" t="s">
        <v>680</v>
      </c>
      <c r="J35">
        <f>H35</f>
        <v>2</v>
      </c>
      <c r="K35">
        <f t="shared" si="84"/>
        <v>2</v>
      </c>
      <c r="L35">
        <f t="shared" si="84"/>
        <v>2</v>
      </c>
      <c r="M35">
        <f t="shared" si="84"/>
        <v>2</v>
      </c>
      <c r="N35">
        <f t="shared" si="84"/>
        <v>2</v>
      </c>
      <c r="Q35" s="45"/>
    </row>
    <row r="36" spans="1:140" x14ac:dyDescent="0.25">
      <c r="A36" t="s">
        <v>200</v>
      </c>
      <c r="B36">
        <v>3</v>
      </c>
      <c r="C36">
        <f t="shared" si="83"/>
        <v>3</v>
      </c>
      <c r="D36">
        <f t="shared" si="83"/>
        <v>3</v>
      </c>
      <c r="H36">
        <f>D36</f>
        <v>3</v>
      </c>
      <c r="I36" s="142" t="s">
        <v>680</v>
      </c>
      <c r="J36">
        <f>H36</f>
        <v>3</v>
      </c>
      <c r="K36">
        <f t="shared" si="84"/>
        <v>3</v>
      </c>
      <c r="L36">
        <f t="shared" si="84"/>
        <v>3</v>
      </c>
      <c r="M36">
        <f t="shared" si="84"/>
        <v>3</v>
      </c>
      <c r="N36">
        <f t="shared" si="84"/>
        <v>3</v>
      </c>
    </row>
    <row r="37" spans="1:140" x14ac:dyDescent="0.25">
      <c r="A37" t="s">
        <v>201</v>
      </c>
      <c r="B37">
        <v>22</v>
      </c>
      <c r="C37">
        <f t="shared" si="83"/>
        <v>22</v>
      </c>
      <c r="D37">
        <f t="shared" si="83"/>
        <v>22</v>
      </c>
      <c r="H37">
        <f>D37</f>
        <v>22</v>
      </c>
      <c r="I37" s="142" t="s">
        <v>680</v>
      </c>
      <c r="J37">
        <f>H37</f>
        <v>22</v>
      </c>
      <c r="K37">
        <f t="shared" si="84"/>
        <v>22</v>
      </c>
      <c r="L37">
        <f t="shared" si="84"/>
        <v>22</v>
      </c>
      <c r="M37">
        <f t="shared" si="84"/>
        <v>22</v>
      </c>
      <c r="N37">
        <f t="shared" si="84"/>
        <v>22</v>
      </c>
      <c r="Q37" s="45"/>
    </row>
    <row r="38" spans="1:140" x14ac:dyDescent="0.25">
      <c r="A38" t="s">
        <v>717</v>
      </c>
      <c r="B38" t="s">
        <v>671</v>
      </c>
      <c r="C38" t="str">
        <f>$B38</f>
        <v>I</v>
      </c>
      <c r="D38" t="str">
        <f>$B38</f>
        <v>I</v>
      </c>
      <c r="H38" t="str">
        <f>D38</f>
        <v>I</v>
      </c>
      <c r="I38" s="142" t="s">
        <v>680</v>
      </c>
      <c r="J38" t="str">
        <f>H38</f>
        <v>I</v>
      </c>
      <c r="K38" t="str">
        <f t="shared" si="84"/>
        <v>I</v>
      </c>
      <c r="L38" t="str">
        <f t="shared" si="84"/>
        <v>I</v>
      </c>
      <c r="M38" t="str">
        <f t="shared" si="84"/>
        <v>I</v>
      </c>
      <c r="N38" t="str">
        <f t="shared" si="84"/>
        <v>I</v>
      </c>
    </row>
    <row r="39" spans="1:140" x14ac:dyDescent="0.25">
      <c r="A39" t="s">
        <v>205</v>
      </c>
      <c r="B39" t="s">
        <v>625</v>
      </c>
      <c r="C39" t="s">
        <v>625</v>
      </c>
      <c r="D39" t="s">
        <v>43</v>
      </c>
      <c r="H39" t="s">
        <v>740</v>
      </c>
      <c r="I39" s="142" t="s">
        <v>680</v>
      </c>
      <c r="J39" t="s">
        <v>742</v>
      </c>
      <c r="K39" s="44" t="s">
        <v>744</v>
      </c>
      <c r="L39" t="s">
        <v>746</v>
      </c>
      <c r="M39" t="s">
        <v>748</v>
      </c>
      <c r="N39" t="s">
        <v>292</v>
      </c>
      <c r="EJ39" t="s">
        <v>677</v>
      </c>
    </row>
    <row r="40" spans="1:140" x14ac:dyDescent="0.25">
      <c r="A40" t="s">
        <v>732</v>
      </c>
      <c r="C40" t="s">
        <v>57</v>
      </c>
      <c r="D40" t="str">
        <f t="shared" ref="D40:N40" si="85">C40</f>
        <v>J</v>
      </c>
      <c r="E40" t="str">
        <f t="shared" si="85"/>
        <v>J</v>
      </c>
      <c r="F40" t="str">
        <f t="shared" si="85"/>
        <v>J</v>
      </c>
      <c r="G40" t="str">
        <f t="shared" si="85"/>
        <v>J</v>
      </c>
      <c r="H40" t="str">
        <f>G40</f>
        <v>J</v>
      </c>
      <c r="I40" t="str">
        <f t="shared" si="85"/>
        <v>J</v>
      </c>
      <c r="J40" t="str">
        <f t="shared" si="85"/>
        <v>J</v>
      </c>
      <c r="K40" t="str">
        <f t="shared" si="85"/>
        <v>J</v>
      </c>
      <c r="L40" t="str">
        <f t="shared" si="85"/>
        <v>J</v>
      </c>
      <c r="M40" t="str">
        <f t="shared" si="85"/>
        <v>J</v>
      </c>
      <c r="N40" t="str">
        <f t="shared" si="85"/>
        <v>J</v>
      </c>
    </row>
    <row r="41" spans="1:140" x14ac:dyDescent="0.25">
      <c r="A41" t="s">
        <v>733</v>
      </c>
      <c r="B41" t="s">
        <v>404</v>
      </c>
      <c r="E41">
        <f t="shared" ref="E41:I41" si="86">D41</f>
        <v>0</v>
      </c>
      <c r="F41">
        <f t="shared" si="86"/>
        <v>0</v>
      </c>
      <c r="G41">
        <f t="shared" si="86"/>
        <v>0</v>
      </c>
      <c r="I41">
        <f t="shared" si="86"/>
        <v>0</v>
      </c>
      <c r="J41"/>
      <c r="K41"/>
      <c r="L41"/>
    </row>
    <row r="42" spans="1:140" x14ac:dyDescent="0.25">
      <c r="A42" t="s">
        <v>734</v>
      </c>
      <c r="B42" t="s">
        <v>52</v>
      </c>
      <c r="E42">
        <f t="shared" ref="E42:I42" si="87">D42</f>
        <v>0</v>
      </c>
      <c r="F42">
        <f t="shared" si="87"/>
        <v>0</v>
      </c>
      <c r="G42">
        <f t="shared" si="87"/>
        <v>0</v>
      </c>
      <c r="I42">
        <f t="shared" si="87"/>
        <v>0</v>
      </c>
      <c r="J42"/>
      <c r="K42"/>
      <c r="L42"/>
    </row>
    <row r="43" spans="1:140" x14ac:dyDescent="0.25">
      <c r="A43" t="s">
        <v>206</v>
      </c>
      <c r="B43" t="str">
        <f>FindEnd(M25:IU25)</f>
        <v>CN</v>
      </c>
      <c r="C43" t="s">
        <v>720</v>
      </c>
      <c r="D43" t="s">
        <v>721</v>
      </c>
      <c r="H43" t="s">
        <v>153</v>
      </c>
      <c r="I43" s="142" t="s">
        <v>680</v>
      </c>
      <c r="J43" t="s">
        <v>743</v>
      </c>
      <c r="K43" s="44" t="s">
        <v>745</v>
      </c>
      <c r="L43" t="s">
        <v>747</v>
      </c>
      <c r="M43" t="s">
        <v>749</v>
      </c>
      <c r="N43" t="s">
        <v>751</v>
      </c>
    </row>
    <row r="44" spans="1:140" x14ac:dyDescent="0.25">
      <c r="A44" t="s">
        <v>681</v>
      </c>
      <c r="B44">
        <v>23</v>
      </c>
      <c r="C44">
        <f>B44</f>
        <v>23</v>
      </c>
      <c r="D44">
        <f>C44</f>
        <v>23</v>
      </c>
      <c r="H44">
        <f>D44</f>
        <v>23</v>
      </c>
      <c r="I44" s="142" t="s">
        <v>680</v>
      </c>
      <c r="J44">
        <f>H44</f>
        <v>23</v>
      </c>
      <c r="K44">
        <f t="shared" ref="K44:N46" si="88">J44</f>
        <v>23</v>
      </c>
      <c r="L44">
        <f t="shared" si="88"/>
        <v>23</v>
      </c>
      <c r="M44">
        <f t="shared" si="88"/>
        <v>23</v>
      </c>
      <c r="N44">
        <f t="shared" si="88"/>
        <v>23</v>
      </c>
    </row>
    <row r="45" spans="1:140" x14ac:dyDescent="0.25">
      <c r="A45" t="s">
        <v>682</v>
      </c>
      <c r="B45">
        <v>24</v>
      </c>
      <c r="C45">
        <f>B45</f>
        <v>24</v>
      </c>
      <c r="D45">
        <f>C45</f>
        <v>24</v>
      </c>
      <c r="H45">
        <f>D45</f>
        <v>24</v>
      </c>
      <c r="I45" s="142" t="s">
        <v>680</v>
      </c>
      <c r="J45">
        <f>H45</f>
        <v>24</v>
      </c>
      <c r="K45">
        <f t="shared" si="88"/>
        <v>24</v>
      </c>
      <c r="L45">
        <f t="shared" si="88"/>
        <v>24</v>
      </c>
      <c r="M45">
        <f t="shared" si="88"/>
        <v>24</v>
      </c>
      <c r="N45">
        <f t="shared" si="88"/>
        <v>24</v>
      </c>
    </row>
    <row r="46" spans="1:140" x14ac:dyDescent="0.25">
      <c r="A46" t="s">
        <v>669</v>
      </c>
      <c r="B46" t="s">
        <v>787</v>
      </c>
      <c r="C46" t="str">
        <f>B46</f>
        <v>K25</v>
      </c>
      <c r="D46" t="str">
        <f t="shared" ref="D46:J46" si="89">C46</f>
        <v>K25</v>
      </c>
      <c r="E46" t="str">
        <f t="shared" si="89"/>
        <v>K25</v>
      </c>
      <c r="F46" t="str">
        <f t="shared" si="89"/>
        <v>K25</v>
      </c>
      <c r="G46" t="str">
        <f t="shared" si="89"/>
        <v>K25</v>
      </c>
      <c r="H46" t="str">
        <f t="shared" si="89"/>
        <v>K25</v>
      </c>
      <c r="I46" t="str">
        <f t="shared" si="89"/>
        <v>K25</v>
      </c>
      <c r="J46" t="str">
        <f t="shared" si="89"/>
        <v>K25</v>
      </c>
      <c r="K46" t="str">
        <f t="shared" si="88"/>
        <v>K25</v>
      </c>
      <c r="L46" t="str">
        <f t="shared" si="88"/>
        <v>K25</v>
      </c>
      <c r="M46" t="str">
        <f t="shared" ref="M46" si="90">L46</f>
        <v>K25</v>
      </c>
      <c r="N46" t="str">
        <f t="shared" ref="N46" si="91">M46</f>
        <v>K25</v>
      </c>
    </row>
    <row r="47" spans="1:140" x14ac:dyDescent="0.25">
      <c r="A47" t="s">
        <v>658</v>
      </c>
      <c r="C47">
        <v>27</v>
      </c>
      <c r="D47">
        <f>C47</f>
        <v>27</v>
      </c>
      <c r="H47">
        <f>D47</f>
        <v>27</v>
      </c>
      <c r="I47" s="142" t="s">
        <v>680</v>
      </c>
      <c r="J47">
        <f>H47</f>
        <v>27</v>
      </c>
      <c r="K47">
        <f t="shared" ref="K47:N48" si="92">J47</f>
        <v>27</v>
      </c>
      <c r="L47">
        <f t="shared" si="92"/>
        <v>27</v>
      </c>
      <c r="M47">
        <f t="shared" si="92"/>
        <v>27</v>
      </c>
      <c r="N47">
        <f t="shared" si="92"/>
        <v>27</v>
      </c>
    </row>
    <row r="48" spans="1:140" x14ac:dyDescent="0.25">
      <c r="A48" t="s">
        <v>659</v>
      </c>
      <c r="C48">
        <v>29</v>
      </c>
      <c r="D48">
        <f>C48</f>
        <v>29</v>
      </c>
      <c r="H48">
        <f>D48</f>
        <v>29</v>
      </c>
      <c r="I48" s="142" t="s">
        <v>680</v>
      </c>
      <c r="J48">
        <f>H48</f>
        <v>29</v>
      </c>
      <c r="K48">
        <f t="shared" si="92"/>
        <v>29</v>
      </c>
      <c r="L48">
        <f t="shared" si="92"/>
        <v>29</v>
      </c>
      <c r="M48">
        <f t="shared" si="92"/>
        <v>29</v>
      </c>
      <c r="N48">
        <f t="shared" si="92"/>
        <v>29</v>
      </c>
    </row>
    <row r="51" spans="1:2" x14ac:dyDescent="0.25">
      <c r="B51">
        <v>3</v>
      </c>
    </row>
    <row r="52" spans="1:2" x14ac:dyDescent="0.25">
      <c r="B52">
        <v>22</v>
      </c>
    </row>
    <row r="53" spans="1:2" x14ac:dyDescent="0.25">
      <c r="A53" t="s">
        <v>752</v>
      </c>
      <c r="B53" t="s">
        <v>736</v>
      </c>
    </row>
    <row r="54" spans="1:2" x14ac:dyDescent="0.25">
      <c r="A54" t="s">
        <v>717</v>
      </c>
      <c r="B54" t="s">
        <v>737</v>
      </c>
    </row>
    <row r="55" spans="1:2" x14ac:dyDescent="0.25">
      <c r="A55" t="s">
        <v>718</v>
      </c>
      <c r="B55" t="s">
        <v>738</v>
      </c>
    </row>
    <row r="56" spans="1:2" x14ac:dyDescent="0.25">
      <c r="A56" t="s">
        <v>719</v>
      </c>
      <c r="B56" t="s">
        <v>739</v>
      </c>
    </row>
  </sheetData>
  <dataConsolidate/>
  <mergeCells count="7">
    <mergeCell ref="K1:K2"/>
    <mergeCell ref="L1:L2"/>
    <mergeCell ref="I1:I2"/>
    <mergeCell ref="A23:H23"/>
    <mergeCell ref="A24:H24"/>
    <mergeCell ref="A1:H2"/>
    <mergeCell ref="J1:J2"/>
  </mergeCells>
  <pageMargins left="0.7" right="0.7" top="0.78740157499999996" bottom="0.78740157499999996" header="0.3" footer="0.3"/>
  <pageSetup paperSize="9" orientation="portrait" r:id="rId1"/>
  <ignoredErrors>
    <ignoredError sqref="W23:X23 AD23 U23 AE23:AR23 AS23:AV23 AW23:BB23 BC23:BG23 BK23 BM23:BN23 BP23:BR23 BT23:BU23 BW23:BX23" formulaRange="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D117"/>
  <sheetViews>
    <sheetView workbookViewId="0">
      <selection activeCell="B6" sqref="B6"/>
    </sheetView>
  </sheetViews>
  <sheetFormatPr defaultColWidth="11.42578125" defaultRowHeight="15" x14ac:dyDescent="0.25"/>
  <cols>
    <col min="1" max="1" width="9.42578125" customWidth="1"/>
    <col min="2" max="2" width="102.85546875" customWidth="1"/>
    <col min="3" max="3" width="4.28515625" customWidth="1"/>
    <col min="4" max="4" width="101.85546875" customWidth="1"/>
  </cols>
  <sheetData>
    <row r="1" spans="1:4" ht="21" x14ac:dyDescent="0.25">
      <c r="A1" s="70" t="s">
        <v>196</v>
      </c>
      <c r="B1" s="71" t="s">
        <v>189</v>
      </c>
      <c r="C1" s="74"/>
      <c r="D1" s="71" t="s">
        <v>824</v>
      </c>
    </row>
    <row r="2" spans="1:4" x14ac:dyDescent="0.25">
      <c r="A2" s="72"/>
      <c r="B2" s="73"/>
    </row>
    <row r="3" spans="1:4" x14ac:dyDescent="0.25">
      <c r="A3" s="72"/>
      <c r="B3" s="73"/>
    </row>
    <row r="4" spans="1:4" x14ac:dyDescent="0.25">
      <c r="A4" s="72"/>
      <c r="B4" s="73"/>
    </row>
    <row r="5" spans="1:4" x14ac:dyDescent="0.25">
      <c r="A5" s="72"/>
      <c r="B5" s="73"/>
    </row>
    <row r="6" spans="1:4" x14ac:dyDescent="0.25">
      <c r="A6" s="75">
        <v>44275</v>
      </c>
      <c r="B6" s="75" t="s">
        <v>868</v>
      </c>
    </row>
    <row r="7" spans="1:4" ht="30" x14ac:dyDescent="0.25">
      <c r="A7" s="72"/>
      <c r="B7" s="76" t="s">
        <v>869</v>
      </c>
    </row>
    <row r="8" spans="1:4" x14ac:dyDescent="0.25">
      <c r="A8" s="75">
        <v>44274</v>
      </c>
      <c r="B8" s="73"/>
      <c r="C8" s="74"/>
      <c r="D8" s="74" t="s">
        <v>808</v>
      </c>
    </row>
    <row r="9" spans="1:4" ht="90" x14ac:dyDescent="0.25">
      <c r="A9" s="72"/>
      <c r="B9" s="73"/>
      <c r="D9" s="1" t="s">
        <v>867</v>
      </c>
    </row>
    <row r="10" spans="1:4" x14ac:dyDescent="0.25">
      <c r="A10" s="75">
        <v>44273</v>
      </c>
      <c r="B10" s="74" t="s">
        <v>663</v>
      </c>
      <c r="C10" s="74"/>
      <c r="D10" s="74" t="s">
        <v>838</v>
      </c>
    </row>
    <row r="11" spans="1:4" ht="90" x14ac:dyDescent="0.25">
      <c r="A11" s="72"/>
      <c r="B11" s="76" t="s">
        <v>863</v>
      </c>
      <c r="D11" s="1" t="s">
        <v>862</v>
      </c>
    </row>
    <row r="12" spans="1:4" x14ac:dyDescent="0.25">
      <c r="A12" s="75">
        <v>44271</v>
      </c>
      <c r="B12" s="74" t="s">
        <v>843</v>
      </c>
      <c r="C12" s="74"/>
      <c r="D12" s="74" t="s">
        <v>834</v>
      </c>
    </row>
    <row r="13" spans="1:4" ht="60" x14ac:dyDescent="0.25">
      <c r="A13" s="72"/>
      <c r="B13" s="76" t="s">
        <v>865</v>
      </c>
      <c r="D13" s="1" t="s">
        <v>861</v>
      </c>
    </row>
    <row r="14" spans="1:4" x14ac:dyDescent="0.25">
      <c r="A14" s="75">
        <v>44270</v>
      </c>
      <c r="B14" s="74" t="s">
        <v>853</v>
      </c>
      <c r="C14" s="74"/>
      <c r="D14" s="74" t="s">
        <v>855</v>
      </c>
    </row>
    <row r="15" spans="1:4" ht="60" x14ac:dyDescent="0.25">
      <c r="A15" s="72"/>
      <c r="B15" s="76" t="s">
        <v>864</v>
      </c>
      <c r="D15" s="76" t="s">
        <v>856</v>
      </c>
    </row>
    <row r="16" spans="1:4" x14ac:dyDescent="0.25">
      <c r="A16" s="72"/>
      <c r="B16" s="73"/>
    </row>
    <row r="17" spans="1:4" x14ac:dyDescent="0.25">
      <c r="A17" s="75">
        <v>44268</v>
      </c>
      <c r="B17" s="74" t="s">
        <v>602</v>
      </c>
    </row>
    <row r="18" spans="1:4" ht="45" x14ac:dyDescent="0.25">
      <c r="A18" s="72"/>
      <c r="B18" s="76" t="s">
        <v>854</v>
      </c>
    </row>
    <row r="19" spans="1:4" x14ac:dyDescent="0.25">
      <c r="A19" s="75">
        <v>44267</v>
      </c>
      <c r="B19" s="74" t="s">
        <v>602</v>
      </c>
      <c r="C19" s="74"/>
      <c r="D19" s="74" t="s">
        <v>808</v>
      </c>
    </row>
    <row r="20" spans="1:4" ht="60" x14ac:dyDescent="0.25">
      <c r="A20" s="72"/>
      <c r="B20" s="76" t="s">
        <v>858</v>
      </c>
      <c r="D20" s="1" t="s">
        <v>857</v>
      </c>
    </row>
    <row r="21" spans="1:4" x14ac:dyDescent="0.25">
      <c r="A21" s="75">
        <v>44266</v>
      </c>
      <c r="B21" s="74" t="s">
        <v>853</v>
      </c>
      <c r="C21" s="74"/>
      <c r="D21" s="74" t="s">
        <v>838</v>
      </c>
    </row>
    <row r="22" spans="1:4" ht="60" x14ac:dyDescent="0.25">
      <c r="A22" s="72"/>
      <c r="B22" s="76" t="s">
        <v>859</v>
      </c>
      <c r="D22" s="76" t="s">
        <v>860</v>
      </c>
    </row>
    <row r="23" spans="1:4" x14ac:dyDescent="0.25">
      <c r="A23" s="75">
        <v>44264</v>
      </c>
      <c r="B23" s="74" t="s">
        <v>845</v>
      </c>
      <c r="C23" s="74"/>
      <c r="D23" s="74" t="s">
        <v>813</v>
      </c>
    </row>
    <row r="24" spans="1:4" ht="60" x14ac:dyDescent="0.25">
      <c r="A24" s="72"/>
      <c r="B24" s="73" t="s">
        <v>847</v>
      </c>
      <c r="D24" s="1" t="s">
        <v>846</v>
      </c>
    </row>
    <row r="25" spans="1:4" x14ac:dyDescent="0.25">
      <c r="A25" s="75">
        <v>44263</v>
      </c>
      <c r="B25" s="74" t="s">
        <v>843</v>
      </c>
    </row>
    <row r="26" spans="1:4" ht="45" x14ac:dyDescent="0.25">
      <c r="A26" s="72"/>
      <c r="B26" s="76" t="s">
        <v>844</v>
      </c>
    </row>
    <row r="27" spans="1:4" x14ac:dyDescent="0.25">
      <c r="A27" s="72"/>
      <c r="B27" s="73"/>
    </row>
    <row r="28" spans="1:4" x14ac:dyDescent="0.25">
      <c r="A28" s="75">
        <v>44260</v>
      </c>
      <c r="B28" s="74" t="s">
        <v>772</v>
      </c>
      <c r="C28" s="74"/>
      <c r="D28" s="74" t="s">
        <v>838</v>
      </c>
    </row>
    <row r="29" spans="1:4" ht="75" x14ac:dyDescent="0.25">
      <c r="A29" s="72"/>
      <c r="B29" s="76" t="s">
        <v>840</v>
      </c>
      <c r="D29" s="1" t="s">
        <v>839</v>
      </c>
    </row>
    <row r="30" spans="1:4" x14ac:dyDescent="0.25">
      <c r="A30" s="75">
        <v>44259</v>
      </c>
      <c r="B30" s="74" t="s">
        <v>664</v>
      </c>
      <c r="C30" s="74"/>
      <c r="D30" s="74" t="s">
        <v>834</v>
      </c>
    </row>
    <row r="31" spans="1:4" ht="60" x14ac:dyDescent="0.25">
      <c r="A31" s="72"/>
      <c r="B31" s="76" t="s">
        <v>837</v>
      </c>
      <c r="D31" s="1" t="s">
        <v>836</v>
      </c>
    </row>
    <row r="32" spans="1:4" x14ac:dyDescent="0.25">
      <c r="A32" s="75">
        <v>44257</v>
      </c>
      <c r="B32" s="74" t="s">
        <v>768</v>
      </c>
      <c r="C32" s="74"/>
      <c r="D32" s="74" t="s">
        <v>834</v>
      </c>
    </row>
    <row r="33" spans="1:4" ht="105" x14ac:dyDescent="0.25">
      <c r="A33" s="72"/>
      <c r="B33" s="76" t="s">
        <v>832</v>
      </c>
      <c r="D33" s="1" t="s">
        <v>835</v>
      </c>
    </row>
    <row r="34" spans="1:4" x14ac:dyDescent="0.25">
      <c r="A34" s="75">
        <v>44256</v>
      </c>
      <c r="B34" s="74" t="s">
        <v>664</v>
      </c>
    </row>
    <row r="35" spans="1:4" ht="45" x14ac:dyDescent="0.25">
      <c r="A35" s="72"/>
      <c r="B35" s="76" t="s">
        <v>833</v>
      </c>
    </row>
    <row r="36" spans="1:4" x14ac:dyDescent="0.25">
      <c r="A36" s="75">
        <v>44255</v>
      </c>
      <c r="B36" s="74" t="s">
        <v>830</v>
      </c>
    </row>
    <row r="37" spans="1:4" ht="60" x14ac:dyDescent="0.25">
      <c r="A37" s="72"/>
      <c r="B37" s="76" t="s">
        <v>831</v>
      </c>
    </row>
    <row r="38" spans="1:4" x14ac:dyDescent="0.25">
      <c r="A38" s="75">
        <v>44254</v>
      </c>
      <c r="B38" s="74" t="s">
        <v>829</v>
      </c>
    </row>
    <row r="39" spans="1:4" ht="75" x14ac:dyDescent="0.25">
      <c r="A39" s="72"/>
      <c r="B39" s="76" t="s">
        <v>828</v>
      </c>
    </row>
    <row r="40" spans="1:4" x14ac:dyDescent="0.25">
      <c r="A40" s="75">
        <v>44253</v>
      </c>
      <c r="B40" s="74" t="s">
        <v>608</v>
      </c>
      <c r="C40" s="74"/>
      <c r="D40" s="74" t="s">
        <v>813</v>
      </c>
    </row>
    <row r="41" spans="1:4" ht="60" x14ac:dyDescent="0.25">
      <c r="A41" s="72"/>
      <c r="B41" s="76" t="s">
        <v>825</v>
      </c>
      <c r="D41" s="1" t="s">
        <v>821</v>
      </c>
    </row>
    <row r="42" spans="1:4" x14ac:dyDescent="0.25">
      <c r="A42" s="75">
        <v>44252</v>
      </c>
      <c r="B42" s="74" t="s">
        <v>663</v>
      </c>
      <c r="C42" s="74"/>
      <c r="D42" s="74" t="s">
        <v>813</v>
      </c>
    </row>
    <row r="43" spans="1:4" ht="75" x14ac:dyDescent="0.25">
      <c r="A43" s="72"/>
      <c r="B43" s="76" t="s">
        <v>823</v>
      </c>
      <c r="D43" s="1" t="s">
        <v>822</v>
      </c>
    </row>
    <row r="44" spans="1:4" x14ac:dyDescent="0.25">
      <c r="A44" s="75">
        <v>44250</v>
      </c>
      <c r="B44" s="74" t="s">
        <v>729</v>
      </c>
      <c r="C44" s="74"/>
      <c r="D44" s="74" t="s">
        <v>813</v>
      </c>
    </row>
    <row r="45" spans="1:4" ht="90" x14ac:dyDescent="0.25">
      <c r="A45" s="72"/>
      <c r="B45" s="76" t="s">
        <v>818</v>
      </c>
      <c r="D45" s="1" t="s">
        <v>820</v>
      </c>
    </row>
    <row r="46" spans="1:4" x14ac:dyDescent="0.25">
      <c r="A46" s="75">
        <v>44249</v>
      </c>
      <c r="B46" s="74" t="s">
        <v>816</v>
      </c>
    </row>
    <row r="47" spans="1:4" ht="60" x14ac:dyDescent="0.25">
      <c r="A47" s="72"/>
      <c r="B47" s="76" t="s">
        <v>817</v>
      </c>
    </row>
    <row r="48" spans="1:4" x14ac:dyDescent="0.25">
      <c r="A48" s="75">
        <v>44247</v>
      </c>
      <c r="B48" s="74" t="s">
        <v>608</v>
      </c>
      <c r="C48" s="74"/>
      <c r="D48" s="74" t="s">
        <v>813</v>
      </c>
    </row>
    <row r="49" spans="1:4" ht="105" x14ac:dyDescent="0.25">
      <c r="A49" s="72"/>
      <c r="B49" s="76" t="s">
        <v>815</v>
      </c>
      <c r="D49" s="1" t="s">
        <v>819</v>
      </c>
    </row>
    <row r="50" spans="1:4" x14ac:dyDescent="0.25">
      <c r="A50" s="75">
        <v>44246</v>
      </c>
      <c r="B50" s="74" t="s">
        <v>811</v>
      </c>
      <c r="C50" s="74"/>
      <c r="D50" s="74" t="s">
        <v>813</v>
      </c>
    </row>
    <row r="51" spans="1:4" ht="90" x14ac:dyDescent="0.25">
      <c r="A51" s="72"/>
      <c r="B51" s="76" t="s">
        <v>812</v>
      </c>
      <c r="D51" s="1" t="s">
        <v>814</v>
      </c>
    </row>
    <row r="52" spans="1:4" x14ac:dyDescent="0.25">
      <c r="A52" s="75">
        <v>44245</v>
      </c>
      <c r="B52" s="74" t="s">
        <v>768</v>
      </c>
      <c r="C52" s="74"/>
      <c r="D52" s="74" t="s">
        <v>808</v>
      </c>
    </row>
    <row r="53" spans="1:4" ht="120" x14ac:dyDescent="0.25">
      <c r="A53" s="72"/>
      <c r="B53" s="76" t="s">
        <v>809</v>
      </c>
      <c r="D53" s="76" t="s">
        <v>810</v>
      </c>
    </row>
    <row r="54" spans="1:4" x14ac:dyDescent="0.25">
      <c r="A54" s="75">
        <v>44243</v>
      </c>
      <c r="B54" s="74" t="s">
        <v>763</v>
      </c>
    </row>
    <row r="55" spans="1:4" ht="150" x14ac:dyDescent="0.25">
      <c r="A55" s="72"/>
      <c r="B55" s="76" t="s">
        <v>803</v>
      </c>
    </row>
    <row r="56" spans="1:4" x14ac:dyDescent="0.25">
      <c r="A56" s="75">
        <v>44242</v>
      </c>
      <c r="B56" s="74" t="s">
        <v>663</v>
      </c>
    </row>
    <row r="57" spans="1:4" ht="105" x14ac:dyDescent="0.25">
      <c r="A57" s="72"/>
      <c r="B57" s="76" t="s">
        <v>802</v>
      </c>
    </row>
    <row r="58" spans="1:4" x14ac:dyDescent="0.25">
      <c r="A58" s="72"/>
      <c r="B58" s="76"/>
    </row>
    <row r="59" spans="1:4" x14ac:dyDescent="0.25">
      <c r="A59" s="75">
        <v>44239</v>
      </c>
      <c r="B59" s="74" t="s">
        <v>664</v>
      </c>
    </row>
    <row r="60" spans="1:4" ht="90" x14ac:dyDescent="0.25">
      <c r="A60" s="72"/>
      <c r="B60" s="76" t="s">
        <v>797</v>
      </c>
    </row>
    <row r="61" spans="1:4" x14ac:dyDescent="0.25">
      <c r="A61" s="75">
        <v>44238</v>
      </c>
      <c r="B61" s="74" t="s">
        <v>663</v>
      </c>
    </row>
    <row r="62" spans="1:4" ht="75" x14ac:dyDescent="0.25">
      <c r="A62" s="72"/>
      <c r="B62" s="76" t="s">
        <v>796</v>
      </c>
    </row>
    <row r="63" spans="1:4" x14ac:dyDescent="0.25">
      <c r="A63" s="75">
        <v>44236</v>
      </c>
      <c r="B63" s="74" t="s">
        <v>663</v>
      </c>
    </row>
    <row r="64" spans="1:4" ht="75" x14ac:dyDescent="0.25">
      <c r="A64" s="72"/>
      <c r="B64" s="76" t="s">
        <v>793</v>
      </c>
    </row>
    <row r="65" spans="1:2" x14ac:dyDescent="0.25">
      <c r="A65" s="75">
        <v>44235</v>
      </c>
      <c r="B65" s="74" t="s">
        <v>763</v>
      </c>
    </row>
    <row r="66" spans="1:2" ht="60" x14ac:dyDescent="0.25">
      <c r="A66" s="72"/>
      <c r="B66" s="76" t="s">
        <v>792</v>
      </c>
    </row>
    <row r="67" spans="1:2" x14ac:dyDescent="0.25">
      <c r="A67" s="72"/>
      <c r="B67" s="73"/>
    </row>
    <row r="68" spans="1:2" x14ac:dyDescent="0.25">
      <c r="A68" s="75">
        <v>44233</v>
      </c>
      <c r="B68" s="74" t="s">
        <v>790</v>
      </c>
    </row>
    <row r="69" spans="1:2" x14ac:dyDescent="0.25">
      <c r="A69" s="72"/>
      <c r="B69" s="73" t="s">
        <v>791</v>
      </c>
    </row>
    <row r="70" spans="1:2" x14ac:dyDescent="0.25">
      <c r="A70" s="75">
        <v>44232</v>
      </c>
      <c r="B70" s="74" t="s">
        <v>763</v>
      </c>
    </row>
    <row r="71" spans="1:2" ht="60" x14ac:dyDescent="0.25">
      <c r="A71" s="72"/>
      <c r="B71" s="76" t="s">
        <v>789</v>
      </c>
    </row>
    <row r="72" spans="1:2" x14ac:dyDescent="0.25">
      <c r="A72" s="75">
        <v>44231</v>
      </c>
      <c r="B72" s="74" t="s">
        <v>763</v>
      </c>
    </row>
    <row r="73" spans="1:2" ht="90" x14ac:dyDescent="0.25">
      <c r="A73" s="72"/>
      <c r="B73" s="76" t="s">
        <v>781</v>
      </c>
    </row>
    <row r="74" spans="1:2" x14ac:dyDescent="0.25">
      <c r="A74" s="75">
        <v>44229</v>
      </c>
      <c r="B74" s="74" t="s">
        <v>763</v>
      </c>
    </row>
    <row r="75" spans="1:2" ht="75" x14ac:dyDescent="0.25">
      <c r="A75" s="72"/>
      <c r="B75" s="76" t="s">
        <v>780</v>
      </c>
    </row>
    <row r="76" spans="1:2" x14ac:dyDescent="0.25">
      <c r="A76" s="75">
        <v>44228</v>
      </c>
      <c r="B76" s="74" t="s">
        <v>663</v>
      </c>
    </row>
    <row r="77" spans="1:2" ht="45" x14ac:dyDescent="0.25">
      <c r="A77" s="72"/>
      <c r="B77" s="76" t="s">
        <v>779</v>
      </c>
    </row>
    <row r="78" spans="1:2" x14ac:dyDescent="0.25">
      <c r="A78" s="72"/>
      <c r="B78" s="73"/>
    </row>
    <row r="79" spans="1:2" x14ac:dyDescent="0.25">
      <c r="A79" s="75">
        <v>44227</v>
      </c>
      <c r="B79" s="74" t="s">
        <v>772</v>
      </c>
    </row>
    <row r="80" spans="1:2" ht="60" x14ac:dyDescent="0.25">
      <c r="A80" s="72"/>
      <c r="B80" s="76" t="s">
        <v>773</v>
      </c>
    </row>
    <row r="81" spans="1:2" x14ac:dyDescent="0.25">
      <c r="A81" s="75">
        <v>44226</v>
      </c>
      <c r="B81" s="74" t="s">
        <v>767</v>
      </c>
    </row>
    <row r="82" spans="1:2" x14ac:dyDescent="0.25">
      <c r="A82" s="72"/>
      <c r="B82" s="73" t="s">
        <v>771</v>
      </c>
    </row>
    <row r="83" spans="1:2" x14ac:dyDescent="0.25">
      <c r="A83" s="75">
        <v>44225</v>
      </c>
      <c r="B83" s="74" t="s">
        <v>608</v>
      </c>
    </row>
    <row r="84" spans="1:2" ht="105" x14ac:dyDescent="0.25">
      <c r="A84" s="72"/>
      <c r="B84" s="76" t="s">
        <v>770</v>
      </c>
    </row>
    <row r="85" spans="1:2" x14ac:dyDescent="0.25">
      <c r="A85" s="75">
        <v>44224</v>
      </c>
      <c r="B85" s="74" t="s">
        <v>768</v>
      </c>
    </row>
    <row r="86" spans="1:2" ht="45" x14ac:dyDescent="0.25">
      <c r="A86" s="72"/>
      <c r="B86" s="76" t="s">
        <v>769</v>
      </c>
    </row>
    <row r="87" spans="1:2" x14ac:dyDescent="0.25">
      <c r="A87" s="75">
        <v>44222</v>
      </c>
      <c r="B87" s="74" t="s">
        <v>729</v>
      </c>
    </row>
    <row r="88" spans="1:2" ht="135" x14ac:dyDescent="0.25">
      <c r="A88" s="72"/>
      <c r="B88" s="76" t="s">
        <v>766</v>
      </c>
    </row>
    <row r="89" spans="1:2" x14ac:dyDescent="0.25">
      <c r="A89" s="75">
        <v>44221</v>
      </c>
      <c r="B89" s="74" t="s">
        <v>763</v>
      </c>
    </row>
    <row r="90" spans="1:2" x14ac:dyDescent="0.25">
      <c r="B90" t="s">
        <v>764</v>
      </c>
    </row>
    <row r="91" spans="1:2" x14ac:dyDescent="0.25">
      <c r="A91" s="72"/>
      <c r="B91" s="73"/>
    </row>
    <row r="92" spans="1:2" x14ac:dyDescent="0.25">
      <c r="A92" s="75">
        <v>44220</v>
      </c>
      <c r="B92" s="74" t="s">
        <v>755</v>
      </c>
    </row>
    <row r="93" spans="1:2" ht="75" x14ac:dyDescent="0.25">
      <c r="A93" s="72"/>
      <c r="B93" s="76" t="s">
        <v>761</v>
      </c>
    </row>
    <row r="94" spans="1:2" x14ac:dyDescent="0.25">
      <c r="A94" s="75">
        <v>44219</v>
      </c>
      <c r="B94" s="74" t="s">
        <v>762</v>
      </c>
    </row>
    <row r="95" spans="1:2" x14ac:dyDescent="0.25">
      <c r="A95" s="72"/>
      <c r="B95" s="73" t="s">
        <v>760</v>
      </c>
    </row>
    <row r="96" spans="1:2" x14ac:dyDescent="0.25">
      <c r="A96" s="75">
        <v>44218</v>
      </c>
      <c r="B96" s="74" t="s">
        <v>755</v>
      </c>
    </row>
    <row r="97" spans="1:2" ht="60" x14ac:dyDescent="0.25">
      <c r="A97" s="72"/>
      <c r="B97" s="76" t="s">
        <v>756</v>
      </c>
    </row>
    <row r="98" spans="1:2" x14ac:dyDescent="0.25">
      <c r="A98" s="75">
        <v>44217</v>
      </c>
      <c r="B98" s="74" t="s">
        <v>664</v>
      </c>
    </row>
    <row r="99" spans="1:2" ht="60" x14ac:dyDescent="0.25">
      <c r="A99" s="72"/>
      <c r="B99" s="76" t="s">
        <v>754</v>
      </c>
    </row>
    <row r="100" spans="1:2" x14ac:dyDescent="0.25">
      <c r="A100" s="75">
        <v>44215</v>
      </c>
      <c r="B100" s="74" t="s">
        <v>663</v>
      </c>
    </row>
    <row r="101" spans="1:2" ht="135" x14ac:dyDescent="0.25">
      <c r="A101" s="72"/>
      <c r="B101" s="76" t="s">
        <v>735</v>
      </c>
    </row>
    <row r="102" spans="1:2" x14ac:dyDescent="0.25">
      <c r="A102" s="75">
        <v>44214</v>
      </c>
      <c r="B102" s="74" t="s">
        <v>729</v>
      </c>
    </row>
    <row r="103" spans="1:2" ht="105" x14ac:dyDescent="0.25">
      <c r="A103" s="72"/>
      <c r="B103" s="76" t="s">
        <v>730</v>
      </c>
    </row>
    <row r="104" spans="1:2" x14ac:dyDescent="0.25">
      <c r="A104" s="72"/>
      <c r="B104" s="73"/>
    </row>
    <row r="105" spans="1:2" x14ac:dyDescent="0.25">
      <c r="A105" s="75">
        <v>44211</v>
      </c>
      <c r="B105" s="74" t="s">
        <v>663</v>
      </c>
    </row>
    <row r="106" spans="1:2" ht="105" x14ac:dyDescent="0.25">
      <c r="A106" s="72"/>
      <c r="B106" s="76" t="s">
        <v>665</v>
      </c>
    </row>
    <row r="107" spans="1:2" x14ac:dyDescent="0.25">
      <c r="A107" s="75">
        <v>44210</v>
      </c>
      <c r="B107" s="74" t="s">
        <v>664</v>
      </c>
    </row>
    <row r="108" spans="1:2" ht="75" x14ac:dyDescent="0.25">
      <c r="A108" s="72"/>
      <c r="B108" s="76" t="s">
        <v>654</v>
      </c>
    </row>
    <row r="109" spans="1:2" x14ac:dyDescent="0.25">
      <c r="A109" s="75">
        <v>44208</v>
      </c>
      <c r="B109" s="74" t="s">
        <v>660</v>
      </c>
    </row>
    <row r="110" spans="1:2" ht="75" x14ac:dyDescent="0.25">
      <c r="A110" s="72"/>
      <c r="B110" s="76" t="s">
        <v>666</v>
      </c>
    </row>
    <row r="111" spans="1:2" x14ac:dyDescent="0.25">
      <c r="A111" s="75">
        <v>44207</v>
      </c>
      <c r="B111" s="74" t="s">
        <v>661</v>
      </c>
    </row>
    <row r="112" spans="1:2" ht="45" x14ac:dyDescent="0.25">
      <c r="A112" s="72"/>
      <c r="B112" s="76" t="s">
        <v>653</v>
      </c>
    </row>
    <row r="113" spans="1:2" x14ac:dyDescent="0.25">
      <c r="A113" s="72"/>
      <c r="B113" s="73"/>
    </row>
    <row r="114" spans="1:2" x14ac:dyDescent="0.25">
      <c r="A114" s="75">
        <v>44205</v>
      </c>
      <c r="B114" s="74" t="s">
        <v>662</v>
      </c>
    </row>
    <row r="115" spans="1:2" ht="60" x14ac:dyDescent="0.25">
      <c r="A115" s="72"/>
      <c r="B115" s="76" t="s">
        <v>652</v>
      </c>
    </row>
    <row r="116" spans="1:2" x14ac:dyDescent="0.25">
      <c r="A116" s="72"/>
      <c r="B116" s="73"/>
    </row>
    <row r="117" spans="1:2" x14ac:dyDescent="0.25">
      <c r="A117" s="72"/>
      <c r="B117"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ExportDiaryU16_21">
                <anchor moveWithCells="1" sizeWithCells="1">
                  <from>
                    <xdr:col>3</xdr:col>
                    <xdr:colOff>5248275</xdr:colOff>
                    <xdr:row>0</xdr:row>
                    <xdr:rowOff>0</xdr:rowOff>
                  </from>
                  <to>
                    <xdr:col>3</xdr:col>
                    <xdr:colOff>6848475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D239B-F38B-4328-A125-F72E21777837}">
  <sheetPr codeName="Tabelle13"/>
  <dimension ref="A1:C19"/>
  <sheetViews>
    <sheetView workbookViewId="0">
      <selection activeCell="C1" sqref="C1:C19"/>
    </sheetView>
  </sheetViews>
  <sheetFormatPr defaultColWidth="11.42578125" defaultRowHeight="15" x14ac:dyDescent="0.25"/>
  <cols>
    <col min="3" max="3" width="37.140625" customWidth="1"/>
  </cols>
  <sheetData>
    <row r="1" spans="1:3" x14ac:dyDescent="0.25">
      <c r="A1" s="10" t="s">
        <v>128</v>
      </c>
      <c r="B1" s="19" t="s">
        <v>126</v>
      </c>
      <c r="C1" t="str">
        <f>A1 &amp; " " &amp; B1</f>
        <v>Celina Aschbacher</v>
      </c>
    </row>
    <row r="2" spans="1:3" x14ac:dyDescent="0.25">
      <c r="A2" s="10" t="s">
        <v>151</v>
      </c>
      <c r="B2" s="19" t="s">
        <v>154</v>
      </c>
      <c r="C2" t="str">
        <f t="shared" ref="C2:C19" si="0">A2 &amp; " " &amp; B2</f>
        <v>Dragana Brcin</v>
      </c>
    </row>
    <row r="3" spans="1:3" x14ac:dyDescent="0.25">
      <c r="A3" s="10" t="s">
        <v>20</v>
      </c>
      <c r="B3" s="19" t="s">
        <v>150</v>
      </c>
      <c r="C3" t="str">
        <f t="shared" si="0"/>
        <v>Bojana Despotovic</v>
      </c>
    </row>
    <row r="4" spans="1:3" x14ac:dyDescent="0.25">
      <c r="A4" s="10" t="s">
        <v>247</v>
      </c>
      <c r="B4" s="19" t="s">
        <v>113</v>
      </c>
      <c r="C4" t="str">
        <f t="shared" si="0"/>
        <v>Nicole Dreier</v>
      </c>
    </row>
    <row r="5" spans="1:3" x14ac:dyDescent="0.25">
      <c r="A5" s="10" t="s">
        <v>656</v>
      </c>
      <c r="B5" s="19" t="s">
        <v>164</v>
      </c>
      <c r="C5" t="str">
        <f t="shared" si="0"/>
        <v>Jennifer Grojer</v>
      </c>
    </row>
    <row r="6" spans="1:3" x14ac:dyDescent="0.25">
      <c r="A6" s="10" t="s">
        <v>162</v>
      </c>
      <c r="B6" s="19" t="s">
        <v>164</v>
      </c>
      <c r="C6" t="str">
        <f t="shared" si="0"/>
        <v>Sabrina Grojer</v>
      </c>
    </row>
    <row r="7" spans="1:3" x14ac:dyDescent="0.25">
      <c r="A7" s="10" t="s">
        <v>120</v>
      </c>
      <c r="B7" s="19" t="s">
        <v>176</v>
      </c>
      <c r="C7" t="str">
        <f t="shared" si="0"/>
        <v>Alexandra Jordan</v>
      </c>
    </row>
    <row r="8" spans="1:3" x14ac:dyDescent="0.25">
      <c r="A8" s="10" t="s">
        <v>125</v>
      </c>
      <c r="B8" s="19" t="s">
        <v>123</v>
      </c>
      <c r="C8" t="str">
        <f t="shared" si="0"/>
        <v>Stefanie Marbek</v>
      </c>
    </row>
    <row r="9" spans="1:3" x14ac:dyDescent="0.25">
      <c r="A9" s="10" t="s">
        <v>80</v>
      </c>
      <c r="B9" s="19" t="s">
        <v>122</v>
      </c>
      <c r="C9" t="str">
        <f t="shared" si="0"/>
        <v>Lea Mehringer</v>
      </c>
    </row>
    <row r="10" spans="1:3" x14ac:dyDescent="0.25">
      <c r="A10" s="10" t="s">
        <v>155</v>
      </c>
      <c r="B10" s="19" t="s">
        <v>139</v>
      </c>
      <c r="C10" t="str">
        <f t="shared" si="0"/>
        <v>Celine Murnig</v>
      </c>
    </row>
    <row r="11" spans="1:3" x14ac:dyDescent="0.25">
      <c r="A11" s="10" t="s">
        <v>80</v>
      </c>
      <c r="B11" s="19" t="s">
        <v>139</v>
      </c>
      <c r="C11" t="str">
        <f t="shared" si="0"/>
        <v>Lea Murnig</v>
      </c>
    </row>
    <row r="12" spans="1:3" x14ac:dyDescent="0.25">
      <c r="A12" s="10" t="s">
        <v>142</v>
      </c>
      <c r="B12" s="19" t="s">
        <v>139</v>
      </c>
      <c r="C12" t="str">
        <f t="shared" si="0"/>
        <v>Yasmin Murnig</v>
      </c>
    </row>
    <row r="13" spans="1:3" x14ac:dyDescent="0.25">
      <c r="A13" s="10" t="s">
        <v>138</v>
      </c>
      <c r="B13" s="19" t="s">
        <v>135</v>
      </c>
      <c r="C13" t="str">
        <f t="shared" si="0"/>
        <v>Selina Popaj</v>
      </c>
    </row>
    <row r="14" spans="1:3" x14ac:dyDescent="0.25">
      <c r="A14" s="10" t="s">
        <v>134</v>
      </c>
      <c r="B14" s="19" t="s">
        <v>170</v>
      </c>
      <c r="C14" t="str">
        <f t="shared" si="0"/>
        <v>Valentina Probst</v>
      </c>
    </row>
    <row r="15" spans="1:3" x14ac:dyDescent="0.25">
      <c r="A15" s="10" t="s">
        <v>125</v>
      </c>
      <c r="B15" s="19" t="s">
        <v>168</v>
      </c>
      <c r="C15" t="str">
        <f t="shared" si="0"/>
        <v>Stefanie Rückenbaum</v>
      </c>
    </row>
    <row r="16" spans="1:3" x14ac:dyDescent="0.25">
      <c r="A16" s="10" t="s">
        <v>181</v>
      </c>
      <c r="B16" s="19" t="s">
        <v>81</v>
      </c>
      <c r="C16" t="str">
        <f t="shared" si="0"/>
        <v>Theresa Scheitz</v>
      </c>
    </row>
    <row r="17" spans="1:3" x14ac:dyDescent="0.25">
      <c r="A17" s="90" t="s">
        <v>132</v>
      </c>
      <c r="B17" s="88" t="s">
        <v>130</v>
      </c>
      <c r="C17" s="93" t="str">
        <f t="shared" si="0"/>
        <v>Ylva Völker</v>
      </c>
    </row>
    <row r="18" spans="1:3" x14ac:dyDescent="0.25">
      <c r="A18" s="10" t="s">
        <v>643</v>
      </c>
      <c r="B18" s="19" t="s">
        <v>550</v>
      </c>
      <c r="C18" t="str">
        <f t="shared" si="0"/>
        <v>Michael Witschnig</v>
      </c>
    </row>
    <row r="19" spans="1:3" x14ac:dyDescent="0.25">
      <c r="A19" s="10" t="s">
        <v>644</v>
      </c>
      <c r="B19" s="19" t="s">
        <v>646</v>
      </c>
      <c r="C19" t="str">
        <f t="shared" si="0"/>
        <v>Karl Gorton</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sheetPr codeName="Tabelle11"/>
  <dimension ref="A1:D19"/>
  <sheetViews>
    <sheetView workbookViewId="0">
      <selection activeCell="B12" sqref="B12"/>
    </sheetView>
  </sheetViews>
  <sheetFormatPr defaultColWidth="11.42578125" defaultRowHeight="15" x14ac:dyDescent="0.25"/>
  <sheetData>
    <row r="1" spans="1:4" x14ac:dyDescent="0.25">
      <c r="A1" s="163">
        <v>44106</v>
      </c>
      <c r="B1">
        <v>2</v>
      </c>
    </row>
    <row r="2" spans="1:4" x14ac:dyDescent="0.25">
      <c r="A2" s="195">
        <v>44161</v>
      </c>
      <c r="B2">
        <v>1</v>
      </c>
    </row>
    <row r="3" spans="1:4" x14ac:dyDescent="0.25">
      <c r="A3" s="195">
        <v>44175</v>
      </c>
      <c r="B3">
        <v>2</v>
      </c>
    </row>
    <row r="4" spans="1:4" x14ac:dyDescent="0.25">
      <c r="A4" s="195">
        <v>44183</v>
      </c>
      <c r="B4">
        <v>1</v>
      </c>
    </row>
    <row r="5" spans="1:4" x14ac:dyDescent="0.25">
      <c r="A5" s="195">
        <v>44186</v>
      </c>
      <c r="B5">
        <v>2</v>
      </c>
    </row>
    <row r="6" spans="1:4" x14ac:dyDescent="0.25">
      <c r="A6" s="195">
        <v>44187</v>
      </c>
      <c r="B6">
        <v>2</v>
      </c>
    </row>
    <row r="7" spans="1:4" x14ac:dyDescent="0.25">
      <c r="A7" s="195">
        <v>44203</v>
      </c>
      <c r="B7">
        <v>4.5</v>
      </c>
    </row>
    <row r="8" spans="1:4" x14ac:dyDescent="0.25">
      <c r="A8" s="195">
        <v>44204</v>
      </c>
      <c r="B8">
        <v>3</v>
      </c>
    </row>
    <row r="9" spans="1:4" x14ac:dyDescent="0.25">
      <c r="A9" s="195">
        <v>44207</v>
      </c>
      <c r="B9">
        <v>6</v>
      </c>
    </row>
    <row r="10" spans="1:4" x14ac:dyDescent="0.25">
      <c r="A10" s="195">
        <v>44208</v>
      </c>
      <c r="C10" t="s">
        <v>765</v>
      </c>
      <c r="D10">
        <v>4</v>
      </c>
    </row>
    <row r="11" spans="1:4" x14ac:dyDescent="0.25">
      <c r="A11" s="195">
        <v>44209</v>
      </c>
      <c r="C11" t="s">
        <v>765</v>
      </c>
      <c r="D11">
        <v>8</v>
      </c>
    </row>
    <row r="12" spans="1:4" x14ac:dyDescent="0.25">
      <c r="A12" s="195">
        <v>44210</v>
      </c>
      <c r="C12" t="s">
        <v>765</v>
      </c>
      <c r="D12">
        <v>5</v>
      </c>
    </row>
    <row r="13" spans="1:4" x14ac:dyDescent="0.25">
      <c r="A13" s="195">
        <v>44211</v>
      </c>
      <c r="B13">
        <v>4.5</v>
      </c>
    </row>
    <row r="14" spans="1:4" x14ac:dyDescent="0.25">
      <c r="A14" s="195">
        <v>44214</v>
      </c>
      <c r="B14">
        <v>5.5</v>
      </c>
    </row>
    <row r="15" spans="1:4" x14ac:dyDescent="0.25">
      <c r="A15" s="195">
        <v>44215</v>
      </c>
      <c r="B15">
        <v>3</v>
      </c>
    </row>
    <row r="16" spans="1:4" x14ac:dyDescent="0.25">
      <c r="A16" s="195">
        <v>44217</v>
      </c>
      <c r="B16">
        <v>7.5</v>
      </c>
    </row>
    <row r="17" spans="1:2" x14ac:dyDescent="0.25">
      <c r="A17" s="195">
        <v>44218</v>
      </c>
      <c r="B17">
        <v>2</v>
      </c>
    </row>
    <row r="18" spans="1:2" x14ac:dyDescent="0.25">
      <c r="A18" s="195">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defaultColWidth="11.42578125"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731</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K47"/>
  <sheetViews>
    <sheetView topLeftCell="A13" workbookViewId="0">
      <selection activeCell="F29" sqref="F29:F35"/>
    </sheetView>
  </sheetViews>
  <sheetFormatPr defaultColWidth="11.42578125"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11" x14ac:dyDescent="0.25">
      <c r="B17" s="155"/>
      <c r="C17" s="93"/>
      <c r="D17" s="93"/>
      <c r="E17" s="156"/>
    </row>
    <row r="18" spans="1:11" x14ac:dyDescent="0.25">
      <c r="B18" s="157" t="s">
        <v>230</v>
      </c>
      <c r="C18" s="140" t="s">
        <v>640</v>
      </c>
      <c r="D18" s="140"/>
      <c r="E18" s="158"/>
    </row>
    <row r="19" spans="1:11" x14ac:dyDescent="0.25">
      <c r="B19" s="152" t="s">
        <v>132</v>
      </c>
      <c r="C19" s="34"/>
      <c r="D19" s="34"/>
      <c r="E19" s="154"/>
    </row>
    <row r="20" spans="1:11" x14ac:dyDescent="0.25">
      <c r="B20" s="152" t="s">
        <v>141</v>
      </c>
      <c r="C20" s="34"/>
      <c r="D20" s="34">
        <v>1</v>
      </c>
      <c r="E20" s="154"/>
    </row>
    <row r="21" spans="1:11" ht="15.75" thickBot="1" x14ac:dyDescent="0.3">
      <c r="B21" s="159" t="s">
        <v>138</v>
      </c>
      <c r="C21" s="160" t="s">
        <v>641</v>
      </c>
      <c r="D21" s="160"/>
      <c r="E21" s="161"/>
    </row>
    <row r="29" spans="1:11" x14ac:dyDescent="0.25">
      <c r="A29">
        <v>1</v>
      </c>
      <c r="B29" s="8" t="s">
        <v>73</v>
      </c>
      <c r="C29" s="8" t="s">
        <v>108</v>
      </c>
      <c r="D29" s="8" t="s">
        <v>107</v>
      </c>
      <c r="E29" s="8" t="s">
        <v>106</v>
      </c>
      <c r="F29" s="18">
        <v>39474</v>
      </c>
      <c r="G29" s="196">
        <v>18</v>
      </c>
      <c r="H29" s="8" t="s">
        <v>804</v>
      </c>
      <c r="J29" s="8" t="s">
        <v>73</v>
      </c>
      <c r="K29" s="8" t="s">
        <v>106</v>
      </c>
    </row>
    <row r="30" spans="1:11" x14ac:dyDescent="0.25">
      <c r="A30">
        <v>1</v>
      </c>
      <c r="B30" s="8" t="s">
        <v>236</v>
      </c>
      <c r="C30" s="8" t="s">
        <v>237</v>
      </c>
      <c r="D30" s="8" t="s">
        <v>238</v>
      </c>
      <c r="E30" s="8" t="s">
        <v>239</v>
      </c>
      <c r="F30" s="18">
        <v>39425</v>
      </c>
      <c r="G30" s="196">
        <v>18</v>
      </c>
      <c r="H30" s="8" t="s">
        <v>804</v>
      </c>
      <c r="J30" s="8" t="s">
        <v>236</v>
      </c>
      <c r="K30" s="8" t="s">
        <v>239</v>
      </c>
    </row>
    <row r="31" spans="1:11" x14ac:dyDescent="0.25">
      <c r="A31">
        <v>1</v>
      </c>
      <c r="B31" s="8" t="s">
        <v>92</v>
      </c>
      <c r="C31" s="8"/>
      <c r="D31" s="8" t="s">
        <v>91</v>
      </c>
      <c r="E31" s="8" t="s">
        <v>90</v>
      </c>
      <c r="F31" s="18">
        <v>39507</v>
      </c>
      <c r="G31" s="196">
        <v>18</v>
      </c>
      <c r="H31" s="8" t="s">
        <v>804</v>
      </c>
      <c r="J31" s="8" t="s">
        <v>92</v>
      </c>
      <c r="K31" s="8" t="s">
        <v>90</v>
      </c>
    </row>
    <row r="32" spans="1:11" x14ac:dyDescent="0.25">
      <c r="A32">
        <v>1</v>
      </c>
      <c r="B32" s="8" t="s">
        <v>134</v>
      </c>
      <c r="C32" s="8" t="s">
        <v>133</v>
      </c>
      <c r="D32" s="8" t="s">
        <v>235</v>
      </c>
      <c r="E32" s="8" t="s">
        <v>87</v>
      </c>
      <c r="F32" s="18">
        <v>38979</v>
      </c>
      <c r="G32" s="196">
        <v>18</v>
      </c>
      <c r="H32" s="8" t="s">
        <v>804</v>
      </c>
      <c r="J32" s="8" t="s">
        <v>134</v>
      </c>
      <c r="K32" s="8" t="s">
        <v>87</v>
      </c>
    </row>
    <row r="33" spans="1:11" x14ac:dyDescent="0.25">
      <c r="A33">
        <v>1</v>
      </c>
      <c r="B33" s="8" t="s">
        <v>83</v>
      </c>
      <c r="C33" s="8"/>
      <c r="D33" s="8" t="s">
        <v>82</v>
      </c>
      <c r="E33" s="8" t="s">
        <v>81</v>
      </c>
      <c r="F33" s="18">
        <v>39475</v>
      </c>
      <c r="G33" s="196">
        <v>18</v>
      </c>
      <c r="H33" s="8" t="s">
        <v>804</v>
      </c>
      <c r="J33" s="8" t="s">
        <v>83</v>
      </c>
      <c r="K33" s="8" t="s">
        <v>81</v>
      </c>
    </row>
    <row r="34" spans="1:11" x14ac:dyDescent="0.25">
      <c r="A34">
        <v>1</v>
      </c>
      <c r="B34" s="8" t="s">
        <v>428</v>
      </c>
      <c r="C34" s="8"/>
      <c r="D34" s="8" t="s">
        <v>429</v>
      </c>
      <c r="E34" s="8" t="s">
        <v>600</v>
      </c>
      <c r="F34" s="18">
        <v>40003</v>
      </c>
      <c r="G34" s="196">
        <v>16</v>
      </c>
      <c r="H34" s="8" t="s">
        <v>805</v>
      </c>
      <c r="J34" s="8" t="s">
        <v>428</v>
      </c>
      <c r="K34" s="8" t="s">
        <v>600</v>
      </c>
    </row>
    <row r="35" spans="1:11" x14ac:dyDescent="0.25">
      <c r="A35">
        <v>2</v>
      </c>
      <c r="B35" s="8" t="s">
        <v>116</v>
      </c>
      <c r="C35" s="8" t="s">
        <v>115</v>
      </c>
      <c r="D35" s="8" t="s">
        <v>114</v>
      </c>
      <c r="E35" s="8" t="s">
        <v>113</v>
      </c>
      <c r="F35" s="176">
        <v>40073</v>
      </c>
      <c r="G35" s="196">
        <v>16</v>
      </c>
      <c r="H35" s="19" t="s">
        <v>804</v>
      </c>
      <c r="J35" s="8" t="s">
        <v>116</v>
      </c>
      <c r="K35" s="8" t="s">
        <v>113</v>
      </c>
    </row>
    <row r="40" spans="1:11" x14ac:dyDescent="0.25">
      <c r="A40">
        <v>3</v>
      </c>
      <c r="B40" s="8" t="s">
        <v>112</v>
      </c>
      <c r="C40" s="8" t="s">
        <v>111</v>
      </c>
      <c r="D40" s="8" t="s">
        <v>110</v>
      </c>
      <c r="E40" s="8" t="s">
        <v>109</v>
      </c>
      <c r="F40" s="56">
        <v>40099</v>
      </c>
      <c r="G40" s="19" t="s">
        <v>798</v>
      </c>
    </row>
    <row r="41" spans="1:11" x14ac:dyDescent="0.25">
      <c r="A41">
        <v>9</v>
      </c>
      <c r="B41" s="8" t="s">
        <v>62</v>
      </c>
      <c r="C41" s="8"/>
      <c r="D41" s="8" t="s">
        <v>292</v>
      </c>
      <c r="E41" s="8" t="s">
        <v>293</v>
      </c>
      <c r="F41" s="18">
        <v>39814</v>
      </c>
      <c r="G41" s="19" t="s">
        <v>798</v>
      </c>
    </row>
    <row r="42" spans="1:11" x14ac:dyDescent="0.25">
      <c r="A42">
        <v>9</v>
      </c>
      <c r="B42" s="8" t="s">
        <v>89</v>
      </c>
      <c r="C42" s="8"/>
      <c r="D42" s="8" t="s">
        <v>88</v>
      </c>
      <c r="E42" s="8" t="s">
        <v>87</v>
      </c>
      <c r="F42" s="18">
        <v>39651</v>
      </c>
      <c r="G42" s="19" t="s">
        <v>798</v>
      </c>
    </row>
    <row r="43" spans="1:11" x14ac:dyDescent="0.25">
      <c r="A43">
        <v>9</v>
      </c>
      <c r="B43" s="8" t="s">
        <v>86</v>
      </c>
      <c r="C43" s="8"/>
      <c r="D43" s="8" t="s">
        <v>85</v>
      </c>
      <c r="E43" s="8" t="s">
        <v>84</v>
      </c>
      <c r="F43" s="18">
        <v>39562</v>
      </c>
      <c r="G43" s="19" t="s">
        <v>798</v>
      </c>
    </row>
    <row r="44" spans="1:11" x14ac:dyDescent="0.25">
      <c r="A44">
        <v>3</v>
      </c>
      <c r="B44" s="8" t="s">
        <v>80</v>
      </c>
      <c r="C44" s="8"/>
      <c r="D44" s="8" t="s">
        <v>79</v>
      </c>
      <c r="E44" s="8" t="s">
        <v>78</v>
      </c>
      <c r="F44" s="18">
        <v>39927</v>
      </c>
      <c r="G44" s="19" t="s">
        <v>798</v>
      </c>
    </row>
    <row r="45" spans="1:11" x14ac:dyDescent="0.25">
      <c r="A45">
        <v>2</v>
      </c>
      <c r="B45" s="8" t="s">
        <v>77</v>
      </c>
      <c r="C45" s="8" t="s">
        <v>76</v>
      </c>
      <c r="D45" s="8" t="s">
        <v>75</v>
      </c>
      <c r="E45" s="8" t="s">
        <v>74</v>
      </c>
      <c r="F45" s="18">
        <v>40051</v>
      </c>
      <c r="G45" s="196" t="s">
        <v>799</v>
      </c>
    </row>
    <row r="46" spans="1:11" x14ac:dyDescent="0.25">
      <c r="A46">
        <v>2</v>
      </c>
      <c r="B46" s="8" t="s">
        <v>73</v>
      </c>
      <c r="C46" s="8"/>
      <c r="D46" s="8" t="s">
        <v>27</v>
      </c>
      <c r="E46" s="8" t="s">
        <v>70</v>
      </c>
      <c r="F46" s="18">
        <v>40004</v>
      </c>
      <c r="G46" s="196" t="s">
        <v>799</v>
      </c>
    </row>
    <row r="47" spans="1:11" x14ac:dyDescent="0.25">
      <c r="A47">
        <v>4</v>
      </c>
      <c r="B47" s="8" t="s">
        <v>72</v>
      </c>
      <c r="C47" s="8"/>
      <c r="D47" s="8" t="s">
        <v>71</v>
      </c>
      <c r="E47" s="8" t="s">
        <v>70</v>
      </c>
      <c r="F47" s="18">
        <v>40754</v>
      </c>
      <c r="G47" s="19" t="s">
        <v>798</v>
      </c>
    </row>
  </sheetData>
  <pageMargins left="0.7" right="0.7" top="0.78740157499999996" bottom="0.78740157499999996" header="0.3" footer="0.3"/>
  <ignoredErrors>
    <ignoredError sqref="E2" formulaRange="1"/>
    <ignoredError sqref="E3" numberStoredAsText="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S4" activePane="bottomRight" state="frozen"/>
      <selection pane="topRight" activeCell="F1" sqref="F1"/>
      <selection pane="bottomLeft" activeCell="A3" sqref="A3"/>
      <selection pane="bottomRight" activeCell="R7" sqref="R7"/>
    </sheetView>
  </sheetViews>
  <sheetFormatPr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37" t="s">
        <v>144</v>
      </c>
      <c r="B2" s="237"/>
      <c r="C2" s="237"/>
      <c r="D2" s="237"/>
      <c r="E2" s="237"/>
      <c r="F2" s="39"/>
      <c r="G2" s="39"/>
      <c r="H2" s="39"/>
      <c r="I2" s="39"/>
      <c r="J2" s="39"/>
      <c r="K2" s="39"/>
      <c r="L2" s="39"/>
      <c r="M2" s="39"/>
      <c r="N2" s="39"/>
      <c r="O2" s="27"/>
      <c r="P2" s="238" t="s">
        <v>49</v>
      </c>
      <c r="Q2" s="234" t="s">
        <v>48</v>
      </c>
      <c r="R2" s="228"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37"/>
      <c r="B3" s="237"/>
      <c r="C3" s="237"/>
      <c r="D3" s="237"/>
      <c r="E3" s="237"/>
      <c r="F3" s="39"/>
      <c r="G3" s="39"/>
      <c r="H3" s="39"/>
      <c r="I3" s="39"/>
      <c r="J3" s="39"/>
      <c r="K3" s="39"/>
      <c r="L3" s="39"/>
      <c r="M3" s="39"/>
      <c r="N3" s="39"/>
      <c r="O3" s="27"/>
      <c r="P3" s="239"/>
      <c r="Q3" s="235"/>
      <c r="R3" s="236"/>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30" t="s">
        <v>144</v>
      </c>
      <c r="B41" s="230"/>
      <c r="C41" s="230"/>
      <c r="D41" s="230"/>
      <c r="E41" s="231"/>
      <c r="F41" s="36"/>
      <c r="G41" s="36"/>
      <c r="H41" s="36"/>
      <c r="I41" s="36"/>
      <c r="J41" s="36"/>
      <c r="K41" s="36"/>
      <c r="L41" s="36"/>
      <c r="M41" s="36"/>
      <c r="N41" s="36"/>
      <c r="O41" s="35"/>
      <c r="P41" s="240" t="s">
        <v>49</v>
      </c>
      <c r="Q41" s="240" t="s">
        <v>48</v>
      </c>
      <c r="R41" s="241"/>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32"/>
      <c r="B42" s="232"/>
      <c r="C42" s="232"/>
      <c r="D42" s="232"/>
      <c r="E42" s="233"/>
      <c r="F42" s="19"/>
      <c r="G42" s="19"/>
      <c r="H42" s="19"/>
      <c r="I42" s="19"/>
      <c r="J42" s="19"/>
      <c r="K42" s="19"/>
      <c r="L42" s="19"/>
      <c r="M42" s="19"/>
      <c r="N42" s="19"/>
      <c r="O42" s="9"/>
      <c r="P42" s="235"/>
      <c r="Q42" s="235"/>
      <c r="R42" s="236"/>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776</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777</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777</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30" t="s">
        <v>144</v>
      </c>
      <c r="B72" s="230"/>
      <c r="C72" s="230"/>
      <c r="D72" s="230"/>
      <c r="E72" s="231"/>
      <c r="F72" s="30"/>
      <c r="G72" s="30"/>
      <c r="H72" s="30"/>
      <c r="I72" s="30"/>
      <c r="J72" s="30"/>
      <c r="K72" s="30"/>
      <c r="L72" s="30"/>
      <c r="M72" s="30"/>
      <c r="N72" s="30"/>
      <c r="O72" s="29"/>
      <c r="P72" s="234" t="s">
        <v>49</v>
      </c>
      <c r="Q72" s="234" t="s">
        <v>48</v>
      </c>
      <c r="R72" s="228"/>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32"/>
      <c r="B73" s="232"/>
      <c r="C73" s="232"/>
      <c r="D73" s="232"/>
      <c r="E73" s="233"/>
      <c r="F73" s="28"/>
      <c r="G73" s="28"/>
      <c r="H73" s="28"/>
      <c r="I73" s="28"/>
      <c r="J73" s="28"/>
      <c r="K73" s="28"/>
      <c r="L73" s="28"/>
      <c r="M73" s="28"/>
      <c r="N73" s="28"/>
      <c r="O73" s="27"/>
      <c r="P73" s="235"/>
      <c r="Q73" s="242"/>
      <c r="R73" s="236"/>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topLeftCell="A67" workbookViewId="0">
      <selection activeCell="B75" sqref="B75"/>
    </sheetView>
  </sheetViews>
  <sheetFormatPr defaultColWidth="11.42578125"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defaultColWidth="11.42578125"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defaultColWidth="11.42578125" defaultRowHeight="15" x14ac:dyDescent="0.25"/>
  <cols>
    <col min="1" max="1" width="31.7109375" customWidth="1"/>
    <col min="2" max="2" width="71.5703125" customWidth="1"/>
  </cols>
  <sheetData>
    <row r="1" spans="1:2" ht="21" x14ac:dyDescent="0.35">
      <c r="A1" s="246" t="s">
        <v>338</v>
      </c>
      <c r="B1" s="246"/>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46" t="s">
        <v>339</v>
      </c>
      <c r="B7" s="246"/>
    </row>
    <row r="8" spans="1:2" ht="15.75" x14ac:dyDescent="0.25">
      <c r="A8" s="244" t="s">
        <v>330</v>
      </c>
      <c r="B8" s="244"/>
    </row>
    <row r="9" spans="1:2" x14ac:dyDescent="0.25">
      <c r="A9" t="s">
        <v>331</v>
      </c>
    </row>
    <row r="11" spans="1:2" ht="15.75" x14ac:dyDescent="0.25">
      <c r="A11" s="245" t="s">
        <v>327</v>
      </c>
      <c r="B11" s="245"/>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43" t="s">
        <v>340</v>
      </c>
      <c r="B23" s="243"/>
    </row>
    <row r="25" spans="1:2" ht="15.75" x14ac:dyDescent="0.25">
      <c r="A25" s="244" t="s">
        <v>332</v>
      </c>
      <c r="B25" s="244"/>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defaultColWidth="11.42578125"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47" t="s">
        <v>297</v>
      </c>
      <c r="C5" s="250"/>
      <c r="D5" s="250"/>
      <c r="E5" s="250"/>
      <c r="F5" s="250"/>
      <c r="G5" s="250"/>
      <c r="H5" s="250"/>
      <c r="I5" s="250"/>
      <c r="J5" s="250"/>
      <c r="K5" s="250"/>
      <c r="L5" s="250"/>
      <c r="M5" s="250"/>
      <c r="N5" s="250"/>
      <c r="O5" s="250"/>
      <c r="P5" s="250"/>
      <c r="Q5" s="250"/>
      <c r="R5" s="250"/>
      <c r="S5" s="250"/>
      <c r="T5" s="250"/>
      <c r="U5" s="250"/>
      <c r="V5" s="250"/>
      <c r="W5" s="250"/>
      <c r="X5" s="250"/>
      <c r="Y5" s="250"/>
      <c r="Z5" s="250"/>
      <c r="AA5" s="250"/>
      <c r="AB5" s="250"/>
      <c r="AC5" s="250"/>
      <c r="AD5" s="250"/>
      <c r="AE5" s="250"/>
      <c r="AF5" s="250"/>
      <c r="AG5" s="250"/>
      <c r="AH5" s="250"/>
      <c r="AI5" s="250"/>
      <c r="AJ5" s="250"/>
      <c r="AK5" s="250"/>
      <c r="AL5" s="250"/>
      <c r="AM5" s="250"/>
      <c r="AN5" s="250"/>
      <c r="AO5" s="250"/>
      <c r="AP5" s="250"/>
      <c r="AQ5" s="250"/>
      <c r="AR5" s="250"/>
      <c r="AS5" s="250"/>
      <c r="AT5" s="250"/>
      <c r="AU5" s="250"/>
      <c r="AV5" s="250"/>
      <c r="AW5" s="250"/>
      <c r="AX5" s="250"/>
      <c r="AY5" s="250"/>
      <c r="AZ5" s="250"/>
      <c r="BA5" s="250"/>
      <c r="BB5" s="250"/>
      <c r="BC5" s="250"/>
      <c r="BD5" s="250"/>
      <c r="BE5" s="250"/>
      <c r="BF5" s="250"/>
      <c r="BG5" s="250"/>
      <c r="BH5" s="250"/>
      <c r="BI5" s="250"/>
      <c r="BJ5" s="250"/>
      <c r="BK5" s="250"/>
      <c r="BL5" s="250"/>
      <c r="BM5" s="250"/>
      <c r="BN5" s="250"/>
      <c r="BO5" s="250"/>
      <c r="BP5" s="250"/>
      <c r="BQ5" s="250"/>
      <c r="BR5" s="250"/>
    </row>
    <row r="6" spans="1:70" x14ac:dyDescent="0.25">
      <c r="C6" s="2" t="s">
        <v>3</v>
      </c>
    </row>
    <row r="7" spans="1:70" ht="45" customHeight="1" x14ac:dyDescent="0.25">
      <c r="C7" s="247" t="s">
        <v>281</v>
      </c>
      <c r="D7" s="250"/>
      <c r="E7" s="250"/>
      <c r="F7" s="250"/>
      <c r="G7" s="250"/>
      <c r="H7" s="250"/>
      <c r="I7" s="250"/>
      <c r="J7" s="250"/>
      <c r="K7" s="250"/>
      <c r="L7" s="250"/>
      <c r="M7" s="250"/>
      <c r="N7" s="250"/>
      <c r="O7" s="250"/>
      <c r="P7" s="250"/>
      <c r="Q7" s="250"/>
      <c r="R7" s="250"/>
      <c r="S7" s="250"/>
      <c r="T7" s="250"/>
      <c r="U7" s="250"/>
      <c r="V7" s="250"/>
      <c r="W7" s="250"/>
      <c r="X7" s="250"/>
      <c r="Y7" s="250"/>
      <c r="Z7" s="250"/>
      <c r="AA7" s="250"/>
      <c r="AB7" s="250"/>
      <c r="AC7" s="250"/>
      <c r="AD7" s="250"/>
      <c r="AE7" s="250"/>
      <c r="AF7" s="250"/>
      <c r="AG7" s="250"/>
      <c r="AH7" s="250"/>
      <c r="AI7" s="250"/>
      <c r="AJ7" s="250"/>
      <c r="AK7" s="250"/>
      <c r="AL7" s="250"/>
      <c r="AM7" s="250"/>
      <c r="AN7" s="250"/>
      <c r="AO7" s="250"/>
      <c r="AP7" s="250"/>
      <c r="AQ7" s="250"/>
      <c r="AR7" s="250"/>
      <c r="AS7" s="250"/>
      <c r="AT7" s="250"/>
      <c r="AU7" s="250"/>
      <c r="AV7" s="250"/>
      <c r="AW7" s="250"/>
      <c r="AX7" s="250"/>
      <c r="AY7" s="250"/>
      <c r="AZ7" s="250"/>
      <c r="BA7" s="250"/>
      <c r="BB7" s="250"/>
      <c r="BC7" s="250"/>
      <c r="BD7" s="250"/>
      <c r="BE7" s="250"/>
      <c r="BF7" s="250"/>
      <c r="BG7" s="250"/>
      <c r="BH7" s="250"/>
      <c r="BI7" s="250"/>
      <c r="BJ7" s="250"/>
      <c r="BK7" s="250"/>
      <c r="BL7" s="250"/>
      <c r="BM7" s="250"/>
      <c r="BN7" s="250"/>
      <c r="BO7" s="250"/>
      <c r="BP7" s="250"/>
      <c r="BQ7" s="250"/>
      <c r="BR7" s="250"/>
    </row>
    <row r="8" spans="1:70" x14ac:dyDescent="0.25">
      <c r="C8" s="2" t="s">
        <v>4</v>
      </c>
    </row>
    <row r="9" spans="1:70" ht="75" customHeight="1" x14ac:dyDescent="0.25">
      <c r="C9" s="247" t="s">
        <v>274</v>
      </c>
      <c r="D9" s="250"/>
      <c r="E9" s="250"/>
      <c r="F9" s="250"/>
      <c r="G9" s="250"/>
      <c r="H9" s="250"/>
      <c r="I9" s="250"/>
      <c r="J9" s="250"/>
      <c r="K9" s="250"/>
      <c r="L9" s="250"/>
      <c r="M9" s="250"/>
      <c r="N9" s="250"/>
      <c r="O9" s="250"/>
      <c r="P9" s="250"/>
      <c r="Q9" s="250"/>
      <c r="R9" s="250"/>
      <c r="S9" s="250"/>
      <c r="T9" s="250"/>
      <c r="U9" s="250"/>
      <c r="V9" s="250"/>
      <c r="W9" s="250"/>
      <c r="X9" s="250"/>
      <c r="Y9" s="250"/>
      <c r="Z9" s="250"/>
      <c r="AA9" s="250"/>
      <c r="AB9" s="250"/>
      <c r="AC9" s="250"/>
      <c r="AD9" s="250"/>
      <c r="AE9" s="250"/>
      <c r="AF9" s="250"/>
      <c r="AG9" s="250"/>
      <c r="AH9" s="250"/>
      <c r="AI9" s="250"/>
      <c r="AJ9" s="250"/>
      <c r="AK9" s="250"/>
      <c r="AL9" s="250"/>
      <c r="AM9" s="250"/>
      <c r="AN9" s="250"/>
      <c r="AO9" s="250"/>
      <c r="AP9" s="250"/>
      <c r="AQ9" s="250"/>
      <c r="AR9" s="250"/>
      <c r="AS9" s="250"/>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row>
    <row r="10" spans="1:70" x14ac:dyDescent="0.25">
      <c r="C10" s="2" t="s">
        <v>5</v>
      </c>
    </row>
    <row r="11" spans="1:70" ht="75" customHeight="1" x14ac:dyDescent="0.25">
      <c r="C11" s="247" t="s">
        <v>298</v>
      </c>
      <c r="D11" s="250"/>
      <c r="E11" s="250"/>
      <c r="F11" s="250"/>
      <c r="G11" s="250"/>
      <c r="H11" s="250"/>
      <c r="I11" s="250"/>
      <c r="J11" s="250"/>
      <c r="K11" s="250"/>
      <c r="L11" s="250"/>
      <c r="M11" s="250"/>
      <c r="N11" s="250"/>
      <c r="O11" s="250"/>
      <c r="P11" s="250"/>
      <c r="Q11" s="250"/>
      <c r="R11" s="250"/>
      <c r="S11" s="250"/>
      <c r="T11" s="250"/>
      <c r="U11" s="250"/>
      <c r="V11" s="250"/>
      <c r="W11" s="250"/>
      <c r="X11" s="250"/>
      <c r="Y11" s="250"/>
      <c r="Z11" s="250"/>
      <c r="AA11" s="250"/>
      <c r="AB11" s="250"/>
      <c r="AC11" s="250"/>
      <c r="AD11" s="250"/>
      <c r="AE11" s="250"/>
      <c r="AF11" s="250"/>
      <c r="AG11" s="250"/>
      <c r="AH11" s="250"/>
      <c r="AI11" s="250"/>
      <c r="AJ11" s="250"/>
      <c r="AK11" s="250"/>
      <c r="AL11" s="250"/>
      <c r="AM11" s="250"/>
      <c r="AN11" s="250"/>
      <c r="AO11" s="250"/>
      <c r="AP11" s="250"/>
      <c r="AQ11" s="250"/>
      <c r="AR11" s="250"/>
      <c r="AS11" s="250"/>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row>
    <row r="12" spans="1:70" x14ac:dyDescent="0.25">
      <c r="C12" s="2" t="s">
        <v>6</v>
      </c>
    </row>
    <row r="13" spans="1:70" ht="90.75" customHeight="1" x14ac:dyDescent="0.25">
      <c r="C13" s="247" t="s">
        <v>285</v>
      </c>
      <c r="D13" s="250"/>
      <c r="E13" s="250"/>
      <c r="F13" s="250"/>
      <c r="G13" s="250"/>
      <c r="H13" s="250"/>
      <c r="I13" s="250"/>
      <c r="J13" s="250"/>
      <c r="K13" s="250"/>
      <c r="L13" s="250"/>
      <c r="M13" s="250"/>
      <c r="N13" s="250"/>
      <c r="O13" s="250"/>
      <c r="P13" s="250"/>
      <c r="Q13" s="250"/>
      <c r="R13" s="250"/>
      <c r="S13" s="250"/>
      <c r="T13" s="250"/>
      <c r="U13" s="250"/>
      <c r="V13" s="250"/>
      <c r="W13" s="250"/>
      <c r="X13" s="250"/>
      <c r="Y13" s="250"/>
      <c r="Z13" s="250"/>
      <c r="AA13" s="250"/>
      <c r="AB13" s="250"/>
      <c r="AC13" s="250"/>
      <c r="AD13" s="250"/>
      <c r="AE13" s="250"/>
      <c r="AF13" s="250"/>
      <c r="AG13" s="250"/>
      <c r="AH13" s="250"/>
      <c r="AI13" s="250"/>
      <c r="AJ13" s="250"/>
      <c r="AK13" s="250"/>
      <c r="AL13" s="250"/>
      <c r="AM13" s="250"/>
      <c r="AN13" s="250"/>
      <c r="AO13" s="250"/>
      <c r="AP13" s="250"/>
      <c r="AQ13" s="250"/>
      <c r="AR13" s="250"/>
      <c r="AS13" s="250"/>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row>
    <row r="14" spans="1:70" x14ac:dyDescent="0.25">
      <c r="D14" s="2" t="s">
        <v>284</v>
      </c>
    </row>
    <row r="15" spans="1:70" ht="62.25" customHeight="1" x14ac:dyDescent="0.25">
      <c r="D15" s="247" t="s">
        <v>287</v>
      </c>
      <c r="E15" s="247"/>
      <c r="F15" s="247"/>
      <c r="G15" s="247"/>
      <c r="H15" s="247"/>
      <c r="I15" s="247"/>
      <c r="J15" s="247"/>
      <c r="K15" s="247"/>
      <c r="L15" s="247"/>
      <c r="M15" s="247"/>
      <c r="N15" s="247"/>
      <c r="O15" s="247"/>
      <c r="P15" s="247"/>
      <c r="Q15" s="247"/>
      <c r="R15" s="247"/>
      <c r="S15" s="247"/>
      <c r="T15" s="247"/>
      <c r="U15" s="247"/>
      <c r="V15" s="247"/>
      <c r="W15" s="247"/>
      <c r="X15" s="247"/>
      <c r="Y15" s="247"/>
      <c r="Z15" s="247"/>
      <c r="AA15" s="247"/>
      <c r="AB15" s="247"/>
      <c r="AC15" s="247"/>
      <c r="AD15" s="247"/>
      <c r="AE15" s="247"/>
      <c r="AF15" s="247"/>
      <c r="AG15" s="247"/>
      <c r="AH15" s="247"/>
      <c r="AI15" s="247"/>
      <c r="AJ15" s="247"/>
      <c r="AK15" s="247"/>
      <c r="AL15" s="247"/>
      <c r="AM15" s="247"/>
      <c r="AN15" s="247"/>
      <c r="AO15" s="247"/>
      <c r="AP15" s="247"/>
      <c r="AQ15" s="247"/>
      <c r="AR15" s="247"/>
      <c r="AS15" s="247"/>
      <c r="AT15" s="247"/>
      <c r="AU15" s="247"/>
      <c r="AV15" s="247"/>
      <c r="AW15" s="247"/>
      <c r="AX15" s="247"/>
      <c r="AY15" s="247"/>
      <c r="AZ15" s="247"/>
      <c r="BA15" s="247"/>
      <c r="BB15" s="247"/>
      <c r="BC15" s="247"/>
      <c r="BD15" s="247"/>
      <c r="BE15" s="247"/>
      <c r="BF15" s="247"/>
      <c r="BG15" s="247"/>
      <c r="BH15" s="247"/>
      <c r="BI15" s="247"/>
      <c r="BJ15" s="247"/>
      <c r="BK15" s="247"/>
      <c r="BL15" s="247"/>
      <c r="BM15" s="247"/>
      <c r="BN15" s="247"/>
      <c r="BO15" s="247"/>
      <c r="BP15" s="247"/>
      <c r="BQ15" s="247"/>
      <c r="BR15" s="247"/>
    </row>
    <row r="16" spans="1:70" x14ac:dyDescent="0.25">
      <c r="D16" s="2" t="s">
        <v>195</v>
      </c>
    </row>
    <row r="17" spans="1:70" ht="47.25" customHeight="1" x14ac:dyDescent="0.25">
      <c r="D17" s="247" t="s">
        <v>267</v>
      </c>
      <c r="E17" s="247"/>
      <c r="F17" s="247"/>
      <c r="G17" s="247"/>
      <c r="H17" s="247"/>
      <c r="I17" s="247"/>
      <c r="J17" s="247"/>
      <c r="K17" s="247"/>
      <c r="L17" s="247"/>
      <c r="M17" s="247"/>
      <c r="N17" s="247"/>
      <c r="O17" s="247"/>
      <c r="P17" s="247"/>
      <c r="Q17" s="247"/>
      <c r="R17" s="247"/>
      <c r="S17" s="247"/>
      <c r="T17" s="247"/>
      <c r="U17" s="247"/>
      <c r="V17" s="247"/>
      <c r="W17" s="247"/>
      <c r="X17" s="247"/>
      <c r="Y17" s="247"/>
      <c r="Z17" s="247"/>
      <c r="AA17" s="247"/>
      <c r="AB17" s="247"/>
      <c r="AC17" s="247"/>
      <c r="AD17" s="247"/>
      <c r="AE17" s="247"/>
      <c r="AF17" s="247"/>
      <c r="AG17" s="247"/>
      <c r="AH17" s="247"/>
      <c r="AI17" s="247"/>
      <c r="AJ17" s="247"/>
      <c r="AK17" s="247"/>
      <c r="AL17" s="247"/>
      <c r="AM17" s="247"/>
      <c r="AN17" s="247"/>
      <c r="AO17" s="247"/>
      <c r="AP17" s="247"/>
      <c r="AQ17" s="247"/>
      <c r="AR17" s="247"/>
      <c r="AS17" s="247"/>
      <c r="AT17" s="247"/>
      <c r="AU17" s="247"/>
      <c r="AV17" s="247"/>
      <c r="AW17" s="247"/>
      <c r="AX17" s="247"/>
      <c r="AY17" s="247"/>
      <c r="AZ17" s="247"/>
      <c r="BA17" s="247"/>
      <c r="BB17" s="247"/>
      <c r="BC17" s="247"/>
      <c r="BD17" s="247"/>
      <c r="BE17" s="247"/>
      <c r="BF17" s="247"/>
      <c r="BG17" s="247"/>
      <c r="BH17" s="247"/>
      <c r="BI17" s="247"/>
      <c r="BJ17" s="247"/>
      <c r="BK17" s="247"/>
      <c r="BL17" s="247"/>
      <c r="BM17" s="247"/>
      <c r="BN17" s="247"/>
      <c r="BO17" s="247"/>
      <c r="BP17" s="247"/>
      <c r="BQ17" s="247"/>
      <c r="BR17" s="247"/>
    </row>
    <row r="18" spans="1:70" ht="15.75" customHeight="1" x14ac:dyDescent="0.25">
      <c r="D18" s="249" t="s">
        <v>266</v>
      </c>
      <c r="E18" s="249"/>
      <c r="F18" s="249"/>
      <c r="G18" s="249"/>
      <c r="H18" s="249"/>
      <c r="I18" s="249"/>
      <c r="J18" s="249"/>
      <c r="K18" s="249"/>
      <c r="L18" s="249"/>
      <c r="M18" s="249"/>
      <c r="N18" s="249"/>
      <c r="O18" s="249"/>
      <c r="P18" s="249"/>
      <c r="Q18" s="249"/>
      <c r="R18" s="249"/>
      <c r="S18" s="249"/>
      <c r="T18" s="249"/>
      <c r="U18" s="249"/>
      <c r="V18" s="249"/>
      <c r="W18" s="249"/>
      <c r="X18" s="249"/>
      <c r="Y18" s="249"/>
      <c r="Z18" s="249"/>
      <c r="AA18" s="249"/>
      <c r="AB18" s="249"/>
      <c r="AC18" s="249"/>
      <c r="AD18" s="249"/>
      <c r="AE18" s="249"/>
      <c r="AF18" s="249"/>
      <c r="AG18" s="249"/>
      <c r="AH18" s="249"/>
      <c r="AI18" s="249"/>
      <c r="AJ18" s="249"/>
      <c r="AK18" s="249"/>
      <c r="AL18" s="249"/>
      <c r="AM18" s="249"/>
      <c r="AN18" s="249"/>
      <c r="AO18" s="249"/>
      <c r="AP18" s="249"/>
      <c r="AQ18" s="249"/>
      <c r="AR18" s="249"/>
      <c r="AS18" s="249"/>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row>
    <row r="19" spans="1:70" ht="45.75" customHeight="1" x14ac:dyDescent="0.25">
      <c r="D19" s="247" t="s">
        <v>275</v>
      </c>
      <c r="E19" s="247"/>
      <c r="F19" s="247"/>
      <c r="G19" s="247"/>
      <c r="H19" s="247"/>
      <c r="I19" s="247"/>
      <c r="J19" s="247"/>
      <c r="K19" s="247"/>
      <c r="L19" s="247"/>
      <c r="M19" s="247"/>
      <c r="N19" s="247"/>
      <c r="O19" s="247"/>
      <c r="P19" s="247"/>
      <c r="Q19" s="247"/>
      <c r="R19" s="247"/>
      <c r="S19" s="247"/>
      <c r="T19" s="247"/>
      <c r="U19" s="247"/>
      <c r="V19" s="247"/>
      <c r="W19" s="247"/>
      <c r="X19" s="247"/>
      <c r="Y19" s="247"/>
      <c r="Z19" s="247"/>
      <c r="AA19" s="247"/>
      <c r="AB19" s="247"/>
      <c r="AC19" s="247"/>
      <c r="AD19" s="247"/>
      <c r="AE19" s="247"/>
      <c r="AF19" s="247"/>
      <c r="AG19" s="247"/>
      <c r="AH19" s="247"/>
      <c r="AI19" s="247"/>
      <c r="AJ19" s="247"/>
      <c r="AK19" s="247"/>
      <c r="AL19" s="247"/>
      <c r="AM19" s="247"/>
      <c r="AN19" s="247"/>
      <c r="AO19" s="247"/>
      <c r="AP19" s="247"/>
      <c r="AQ19" s="247"/>
      <c r="AR19" s="247"/>
      <c r="AS19" s="247"/>
      <c r="AT19" s="247"/>
      <c r="AU19" s="247"/>
      <c r="AV19" s="247"/>
      <c r="AW19" s="247"/>
      <c r="AX19" s="247"/>
      <c r="AY19" s="247"/>
      <c r="AZ19" s="247"/>
      <c r="BA19" s="247"/>
      <c r="BB19" s="247"/>
      <c r="BC19" s="247"/>
      <c r="BD19" s="247"/>
      <c r="BE19" s="247"/>
      <c r="BF19" s="247"/>
      <c r="BG19" s="247"/>
      <c r="BH19" s="247"/>
      <c r="BI19" s="247"/>
      <c r="BJ19" s="247"/>
      <c r="BK19" s="247"/>
      <c r="BL19" s="247"/>
      <c r="BM19" s="247"/>
      <c r="BN19" s="247"/>
      <c r="BO19" s="247"/>
      <c r="BP19" s="247"/>
      <c r="BQ19" s="247"/>
      <c r="BR19" s="247"/>
    </row>
    <row r="20" spans="1:70" ht="15.75" customHeight="1" x14ac:dyDescent="0.25">
      <c r="D20" s="249" t="s">
        <v>283</v>
      </c>
      <c r="E20" s="249"/>
      <c r="F20" s="249"/>
      <c r="G20" s="249"/>
      <c r="H20" s="249"/>
      <c r="I20" s="249"/>
      <c r="J20" s="249"/>
      <c r="K20" s="249"/>
      <c r="L20" s="249"/>
      <c r="M20" s="249"/>
      <c r="N20" s="249"/>
      <c r="O20" s="249"/>
      <c r="P20" s="249"/>
      <c r="Q20" s="249"/>
      <c r="R20" s="249"/>
      <c r="S20" s="249"/>
      <c r="T20" s="249"/>
      <c r="U20" s="249"/>
      <c r="V20" s="249"/>
      <c r="W20" s="249"/>
      <c r="X20" s="249"/>
      <c r="Y20" s="249"/>
      <c r="Z20" s="249"/>
      <c r="AA20" s="249"/>
      <c r="AB20" s="249"/>
      <c r="AC20" s="249"/>
      <c r="AD20" s="249"/>
      <c r="AE20" s="249"/>
      <c r="AF20" s="249"/>
      <c r="AG20" s="249"/>
      <c r="AH20" s="249"/>
      <c r="AI20" s="249"/>
      <c r="AJ20" s="249"/>
      <c r="AK20" s="249"/>
      <c r="AL20" s="249"/>
      <c r="AM20" s="249"/>
      <c r="AN20" s="249"/>
      <c r="AO20" s="249"/>
      <c r="AP20" s="249"/>
      <c r="AQ20" s="249"/>
      <c r="AR20" s="249"/>
      <c r="AS20" s="249"/>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row>
    <row r="21" spans="1:70" ht="44.25" customHeight="1" x14ac:dyDescent="0.25">
      <c r="D21" s="247" t="s">
        <v>276</v>
      </c>
      <c r="E21" s="247"/>
      <c r="F21" s="247"/>
      <c r="G21" s="247"/>
      <c r="H21" s="247"/>
      <c r="I21" s="247"/>
      <c r="J21" s="247"/>
      <c r="K21" s="247"/>
      <c r="L21" s="247"/>
      <c r="M21" s="247"/>
      <c r="N21" s="247"/>
      <c r="O21" s="247"/>
      <c r="P21" s="247"/>
      <c r="Q21" s="247"/>
      <c r="R21" s="247"/>
      <c r="S21" s="247"/>
      <c r="T21" s="247"/>
      <c r="U21" s="247"/>
      <c r="V21" s="247"/>
      <c r="W21" s="247"/>
      <c r="X21" s="247"/>
      <c r="Y21" s="247"/>
      <c r="Z21" s="247"/>
      <c r="AA21" s="247"/>
      <c r="AB21" s="247"/>
      <c r="AC21" s="247"/>
      <c r="AD21" s="247"/>
      <c r="AE21" s="247"/>
      <c r="AF21" s="247"/>
      <c r="AG21" s="247"/>
      <c r="AH21" s="247"/>
      <c r="AI21" s="247"/>
      <c r="AJ21" s="247"/>
      <c r="AK21" s="247"/>
      <c r="AL21" s="247"/>
      <c r="AM21" s="247"/>
      <c r="AN21" s="247"/>
      <c r="AO21" s="247"/>
      <c r="AP21" s="247"/>
      <c r="AQ21" s="247"/>
      <c r="AR21" s="247"/>
      <c r="AS21" s="247"/>
      <c r="AT21" s="247"/>
      <c r="AU21" s="247"/>
      <c r="AV21" s="247"/>
      <c r="AW21" s="247"/>
      <c r="AX21" s="247"/>
      <c r="AY21" s="247"/>
      <c r="AZ21" s="247"/>
      <c r="BA21" s="247"/>
      <c r="BB21" s="247"/>
      <c r="BC21" s="247"/>
      <c r="BD21" s="247"/>
      <c r="BE21" s="247"/>
      <c r="BF21" s="247"/>
      <c r="BG21" s="247"/>
      <c r="BH21" s="247"/>
      <c r="BI21" s="247"/>
      <c r="BJ21" s="247"/>
      <c r="BK21" s="247"/>
      <c r="BL21" s="247"/>
      <c r="BM21" s="247"/>
      <c r="BN21" s="247"/>
      <c r="BO21" s="247"/>
      <c r="BP21" s="247"/>
      <c r="BQ21" s="247"/>
      <c r="BR21" s="247"/>
    </row>
    <row r="22" spans="1:70" x14ac:dyDescent="0.25">
      <c r="B22" s="2" t="s">
        <v>191</v>
      </c>
      <c r="C22" s="2"/>
    </row>
    <row r="23" spans="1:70" ht="69.75" customHeight="1" x14ac:dyDescent="0.25">
      <c r="B23" s="247" t="s">
        <v>268</v>
      </c>
      <c r="C23" s="247"/>
      <c r="D23" s="247"/>
      <c r="E23" s="247"/>
      <c r="F23" s="247"/>
      <c r="G23" s="247"/>
      <c r="H23" s="247"/>
      <c r="I23" s="247"/>
      <c r="J23" s="247"/>
      <c r="K23" s="247"/>
      <c r="L23" s="247"/>
      <c r="M23" s="247"/>
      <c r="N23" s="247"/>
      <c r="O23" s="247"/>
      <c r="P23" s="247"/>
      <c r="Q23" s="247"/>
      <c r="R23" s="247"/>
      <c r="S23" s="247"/>
      <c r="T23" s="247"/>
      <c r="U23" s="247"/>
      <c r="V23" s="247"/>
      <c r="W23" s="247"/>
      <c r="X23" s="247"/>
      <c r="Y23" s="247"/>
      <c r="Z23" s="247"/>
      <c r="AA23" s="247"/>
      <c r="AB23" s="247"/>
      <c r="AC23" s="247"/>
      <c r="AD23" s="247"/>
      <c r="AE23" s="247"/>
      <c r="AF23" s="247"/>
      <c r="AG23" s="247"/>
      <c r="AH23" s="247"/>
      <c r="AI23" s="247"/>
      <c r="AJ23" s="247"/>
      <c r="AK23" s="247"/>
      <c r="AL23" s="247"/>
      <c r="AM23" s="247"/>
      <c r="AN23" s="247"/>
      <c r="AO23" s="247"/>
      <c r="AP23" s="247"/>
      <c r="AQ23" s="247"/>
      <c r="AR23" s="247"/>
      <c r="AS23" s="247"/>
      <c r="AT23" s="247"/>
      <c r="AU23" s="247"/>
      <c r="AV23" s="247"/>
      <c r="AW23" s="247"/>
      <c r="AX23" s="247"/>
      <c r="AY23" s="247"/>
      <c r="AZ23" s="247"/>
      <c r="BA23" s="247"/>
      <c r="BB23" s="247"/>
      <c r="BC23" s="247"/>
      <c r="BD23" s="247"/>
      <c r="BE23" s="247"/>
      <c r="BF23" s="247"/>
      <c r="BG23" s="247"/>
      <c r="BH23" s="247"/>
      <c r="BI23" s="247"/>
      <c r="BJ23" s="247"/>
      <c r="BK23" s="247"/>
      <c r="BL23" s="247"/>
      <c r="BM23" s="247"/>
      <c r="BN23" s="247"/>
      <c r="BO23" s="247"/>
      <c r="BP23" s="247"/>
      <c r="BQ23" s="247"/>
      <c r="BR23" s="247"/>
    </row>
    <row r="24" spans="1:70" x14ac:dyDescent="0.25">
      <c r="C24" s="2" t="s">
        <v>192</v>
      </c>
    </row>
    <row r="25" spans="1:70" ht="204.75" customHeight="1" x14ac:dyDescent="0.25">
      <c r="C25" s="248" t="s">
        <v>210</v>
      </c>
      <c r="D25" s="248"/>
      <c r="E25" s="248"/>
      <c r="F25" s="248"/>
      <c r="G25" s="248"/>
      <c r="H25" s="248"/>
      <c r="I25" s="248"/>
      <c r="J25" s="248"/>
      <c r="K25" s="248"/>
      <c r="L25" s="248"/>
      <c r="M25" s="248"/>
      <c r="N25" s="248"/>
      <c r="O25" s="248"/>
      <c r="P25" s="248"/>
      <c r="Q25" s="248"/>
      <c r="R25" s="248"/>
      <c r="S25" s="248"/>
      <c r="T25" s="248"/>
      <c r="U25" s="248"/>
      <c r="V25" s="248"/>
      <c r="W25" s="248"/>
      <c r="X25" s="248"/>
      <c r="Y25" s="248"/>
      <c r="Z25" s="248"/>
      <c r="AA25" s="248"/>
      <c r="AB25" s="248"/>
      <c r="AC25" s="248"/>
      <c r="AD25" s="248"/>
      <c r="AE25" s="248"/>
      <c r="AF25" s="248"/>
      <c r="AG25" s="248"/>
      <c r="AH25" s="248"/>
      <c r="AI25" s="248"/>
      <c r="AJ25" s="248"/>
      <c r="AK25" s="248"/>
      <c r="AL25" s="248"/>
      <c r="AM25" s="248"/>
      <c r="AN25" s="248"/>
      <c r="AO25" s="248"/>
      <c r="AP25" s="248"/>
      <c r="AQ25" s="248"/>
      <c r="AR25" s="248"/>
      <c r="AS25" s="248"/>
      <c r="AT25" s="248"/>
      <c r="AU25" s="248"/>
      <c r="AV25" s="248"/>
      <c r="AW25" s="248"/>
      <c r="AX25" s="248"/>
      <c r="AY25" s="248"/>
      <c r="AZ25" s="248"/>
      <c r="BA25" s="248"/>
      <c r="BB25" s="248"/>
      <c r="BC25" s="248"/>
      <c r="BD25" s="248"/>
      <c r="BE25" s="248"/>
      <c r="BF25" s="248"/>
      <c r="BG25" s="248"/>
      <c r="BH25" s="248"/>
      <c r="BI25" s="248"/>
      <c r="BJ25" s="248"/>
      <c r="BK25" s="248"/>
      <c r="BL25" s="248"/>
      <c r="BM25" s="248"/>
      <c r="BN25" s="248"/>
      <c r="BO25" s="248"/>
      <c r="BP25" s="248"/>
      <c r="BQ25" s="248"/>
      <c r="BR25" s="248"/>
    </row>
    <row r="26" spans="1:70" x14ac:dyDescent="0.25">
      <c r="C26" s="2" t="s">
        <v>193</v>
      </c>
    </row>
    <row r="27" spans="1:70" ht="244.5" customHeight="1" x14ac:dyDescent="0.25">
      <c r="A27" s="1"/>
      <c r="C27" s="248" t="s">
        <v>194</v>
      </c>
      <c r="D27" s="248"/>
      <c r="E27" s="248"/>
      <c r="F27" s="248"/>
      <c r="G27" s="248"/>
      <c r="H27" s="248"/>
      <c r="I27" s="248"/>
      <c r="J27" s="248"/>
      <c r="K27" s="248"/>
      <c r="L27" s="248"/>
      <c r="M27" s="248"/>
      <c r="N27" s="248"/>
      <c r="O27" s="248"/>
      <c r="P27" s="248"/>
      <c r="Q27" s="248"/>
      <c r="R27" s="248"/>
      <c r="S27" s="248"/>
      <c r="T27" s="248"/>
      <c r="U27" s="248"/>
      <c r="V27" s="248"/>
      <c r="W27" s="248"/>
      <c r="X27" s="248"/>
      <c r="Y27" s="248"/>
      <c r="Z27" s="248"/>
      <c r="AA27" s="248"/>
      <c r="AB27" s="248"/>
      <c r="AC27" s="248"/>
      <c r="AD27" s="248"/>
      <c r="AE27" s="248"/>
      <c r="AF27" s="248"/>
      <c r="AG27" s="248"/>
      <c r="AH27" s="248"/>
      <c r="AI27" s="248"/>
      <c r="AJ27" s="248"/>
      <c r="AK27" s="248"/>
      <c r="AL27" s="248"/>
      <c r="AM27" s="248"/>
      <c r="AN27" s="248"/>
      <c r="AO27" s="248"/>
      <c r="AP27" s="248"/>
      <c r="AQ27" s="248"/>
      <c r="AR27" s="248"/>
      <c r="AS27" s="248"/>
      <c r="AT27" s="248"/>
      <c r="AU27" s="248"/>
      <c r="AV27" s="248"/>
      <c r="AW27" s="248"/>
      <c r="AX27" s="248"/>
      <c r="AY27" s="248"/>
      <c r="AZ27" s="248"/>
      <c r="BA27" s="248"/>
      <c r="BB27" s="248"/>
      <c r="BC27" s="248"/>
      <c r="BD27" s="248"/>
      <c r="BE27" s="248"/>
      <c r="BF27" s="248"/>
      <c r="BG27" s="248"/>
      <c r="BH27" s="248"/>
      <c r="BI27" s="248"/>
      <c r="BJ27" s="248"/>
      <c r="BK27" s="248"/>
      <c r="BL27" s="248"/>
      <c r="BM27" s="248"/>
      <c r="BN27" s="248"/>
      <c r="BO27" s="248"/>
      <c r="BP27" s="248"/>
      <c r="BQ27" s="248"/>
      <c r="BR27" s="248"/>
    </row>
    <row r="28" spans="1:70" x14ac:dyDescent="0.25">
      <c r="B28" s="2" t="s">
        <v>269</v>
      </c>
      <c r="C28" s="43"/>
    </row>
    <row r="29" spans="1:70" ht="75" customHeight="1" x14ac:dyDescent="0.25">
      <c r="A29" s="1"/>
      <c r="B29" s="247" t="s">
        <v>280</v>
      </c>
      <c r="C29" s="247"/>
      <c r="D29" s="247"/>
      <c r="E29" s="247"/>
      <c r="F29" s="247"/>
      <c r="G29" s="247"/>
      <c r="H29" s="247"/>
      <c r="I29" s="247"/>
      <c r="J29" s="247"/>
      <c r="K29" s="247"/>
      <c r="L29" s="247"/>
      <c r="M29" s="247"/>
      <c r="N29" s="247"/>
      <c r="O29" s="247"/>
      <c r="P29" s="247"/>
      <c r="Q29" s="247"/>
      <c r="R29" s="247"/>
      <c r="S29" s="247"/>
      <c r="T29" s="247"/>
      <c r="U29" s="247"/>
      <c r="V29" s="247"/>
      <c r="W29" s="247"/>
      <c r="X29" s="247"/>
      <c r="Y29" s="247"/>
      <c r="Z29" s="247"/>
      <c r="AA29" s="247"/>
      <c r="AB29" s="247"/>
      <c r="AC29" s="247"/>
      <c r="AD29" s="247"/>
      <c r="AE29" s="247"/>
      <c r="AF29" s="247"/>
      <c r="AG29" s="247"/>
      <c r="AH29" s="247"/>
      <c r="AI29" s="247"/>
      <c r="AJ29" s="247"/>
      <c r="AK29" s="247"/>
      <c r="AL29" s="247"/>
      <c r="AM29" s="247"/>
      <c r="AN29" s="247"/>
      <c r="AO29" s="247"/>
      <c r="AP29" s="247"/>
      <c r="AQ29" s="247"/>
      <c r="AR29" s="247"/>
      <c r="AS29" s="247"/>
      <c r="AT29" s="247"/>
      <c r="AU29" s="247"/>
      <c r="AV29" s="247"/>
      <c r="AW29" s="247"/>
      <c r="AX29" s="247"/>
      <c r="AY29" s="247"/>
      <c r="AZ29" s="247"/>
      <c r="BA29" s="247"/>
      <c r="BB29" s="247"/>
      <c r="BC29" s="247"/>
      <c r="BD29" s="247"/>
      <c r="BE29" s="247"/>
      <c r="BF29" s="247"/>
      <c r="BG29" s="247"/>
      <c r="BH29" s="247"/>
      <c r="BI29" s="247"/>
      <c r="BJ29" s="247"/>
      <c r="BK29" s="247"/>
      <c r="BL29" s="247"/>
      <c r="BM29" s="247"/>
      <c r="BN29" s="247"/>
      <c r="BO29" s="247"/>
      <c r="BP29" s="247"/>
      <c r="BQ29" s="247"/>
      <c r="BR29" s="247"/>
    </row>
    <row r="30" spans="1:70" x14ac:dyDescent="0.25">
      <c r="C30" s="2" t="s">
        <v>273</v>
      </c>
    </row>
    <row r="31" spans="1:70" ht="46.5" customHeight="1" x14ac:dyDescent="0.25">
      <c r="A31" s="1"/>
      <c r="C31" s="248" t="s">
        <v>279</v>
      </c>
      <c r="D31" s="248"/>
      <c r="E31" s="248"/>
      <c r="F31" s="248"/>
      <c r="G31" s="248"/>
      <c r="H31" s="248"/>
      <c r="I31" s="248"/>
      <c r="J31" s="248"/>
      <c r="K31" s="248"/>
      <c r="L31" s="248"/>
      <c r="M31" s="248"/>
      <c r="N31" s="248"/>
      <c r="O31" s="248"/>
      <c r="P31" s="248"/>
      <c r="Q31" s="248"/>
      <c r="R31" s="248"/>
      <c r="S31" s="248"/>
      <c r="T31" s="248"/>
      <c r="U31" s="248"/>
      <c r="V31" s="248"/>
      <c r="W31" s="248"/>
      <c r="X31" s="248"/>
      <c r="Y31" s="248"/>
      <c r="Z31" s="248"/>
      <c r="AA31" s="248"/>
      <c r="AB31" s="248"/>
      <c r="AC31" s="248"/>
      <c r="AD31" s="248"/>
      <c r="AE31" s="248"/>
      <c r="AF31" s="248"/>
      <c r="AG31" s="248"/>
      <c r="AH31" s="248"/>
      <c r="AI31" s="248"/>
      <c r="AJ31" s="248"/>
      <c r="AK31" s="248"/>
      <c r="AL31" s="248"/>
      <c r="AM31" s="248"/>
      <c r="AN31" s="248"/>
      <c r="AO31" s="248"/>
      <c r="AP31" s="248"/>
      <c r="AQ31" s="248"/>
      <c r="AR31" s="248"/>
      <c r="AS31" s="248"/>
      <c r="AT31" s="248"/>
      <c r="AU31" s="248"/>
      <c r="AV31" s="248"/>
      <c r="AW31" s="248"/>
      <c r="AX31" s="248"/>
      <c r="AY31" s="248"/>
      <c r="AZ31" s="248"/>
      <c r="BA31" s="248"/>
      <c r="BB31" s="248"/>
      <c r="BC31" s="248"/>
      <c r="BD31" s="248"/>
      <c r="BE31" s="248"/>
      <c r="BF31" s="248"/>
      <c r="BG31" s="248"/>
      <c r="BH31" s="248"/>
      <c r="BI31" s="248"/>
      <c r="BJ31" s="248"/>
      <c r="BK31" s="248"/>
      <c r="BL31" s="248"/>
      <c r="BM31" s="248"/>
      <c r="BN31" s="248"/>
      <c r="BO31" s="248"/>
      <c r="BP31" s="248"/>
      <c r="BQ31" s="248"/>
      <c r="BR31" s="248"/>
    </row>
    <row r="32" spans="1:70" ht="15.75" customHeight="1" x14ac:dyDescent="0.25">
      <c r="C32" s="249" t="s">
        <v>270</v>
      </c>
      <c r="D32" s="249"/>
      <c r="E32" s="249"/>
      <c r="F32" s="249"/>
      <c r="G32" s="249"/>
      <c r="H32" s="249"/>
      <c r="I32" s="249"/>
      <c r="J32" s="249"/>
      <c r="K32" s="249"/>
      <c r="L32" s="249"/>
      <c r="M32" s="249"/>
      <c r="N32" s="249"/>
      <c r="O32" s="249"/>
      <c r="P32" s="249"/>
      <c r="Q32" s="249"/>
      <c r="R32" s="249"/>
      <c r="S32" s="249"/>
      <c r="T32" s="249"/>
      <c r="U32" s="249"/>
      <c r="V32" s="249"/>
      <c r="W32" s="249"/>
      <c r="X32" s="249"/>
      <c r="Y32" s="249"/>
      <c r="Z32" s="249"/>
      <c r="AA32" s="249"/>
      <c r="AB32" s="249"/>
      <c r="AC32" s="249"/>
      <c r="AD32" s="249"/>
      <c r="AE32" s="249"/>
      <c r="AF32" s="249"/>
      <c r="AG32" s="249"/>
      <c r="AH32" s="249"/>
      <c r="AI32" s="249"/>
      <c r="AJ32" s="249"/>
      <c r="AK32" s="249"/>
      <c r="AL32" s="249"/>
      <c r="AM32" s="249"/>
      <c r="AN32" s="249"/>
      <c r="AO32" s="249"/>
      <c r="AP32" s="249"/>
      <c r="AQ32" s="249"/>
      <c r="AR32" s="249"/>
      <c r="AS32" s="249"/>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row>
    <row r="33" spans="1:70" ht="120" customHeight="1" x14ac:dyDescent="0.25">
      <c r="A33" s="43"/>
      <c r="C33" s="247" t="s">
        <v>272</v>
      </c>
      <c r="D33" s="247"/>
      <c r="E33" s="247"/>
      <c r="F33" s="247"/>
      <c r="G33" s="247"/>
      <c r="H33" s="247"/>
      <c r="I33" s="247"/>
      <c r="J33" s="247"/>
      <c r="K33" s="247"/>
      <c r="L33" s="247"/>
      <c r="M33" s="247"/>
      <c r="N33" s="247"/>
      <c r="O33" s="247"/>
      <c r="P33" s="247"/>
      <c r="Q33" s="247"/>
      <c r="R33" s="247"/>
      <c r="S33" s="247"/>
      <c r="T33" s="247"/>
      <c r="U33" s="247"/>
      <c r="V33" s="247"/>
      <c r="W33" s="247"/>
      <c r="X33" s="247"/>
      <c r="Y33" s="247"/>
      <c r="Z33" s="247"/>
      <c r="AA33" s="247"/>
      <c r="AB33" s="247"/>
      <c r="AC33" s="247"/>
      <c r="AD33" s="247"/>
      <c r="AE33" s="247"/>
      <c r="AF33" s="247"/>
      <c r="AG33" s="247"/>
      <c r="AH33" s="247"/>
      <c r="AI33" s="247"/>
      <c r="AJ33" s="247"/>
      <c r="AK33" s="247"/>
      <c r="AL33" s="247"/>
      <c r="AM33" s="247"/>
      <c r="AN33" s="247"/>
      <c r="AO33" s="247"/>
      <c r="AP33" s="247"/>
      <c r="AQ33" s="247"/>
      <c r="AR33" s="247"/>
      <c r="AS33" s="247"/>
      <c r="AT33" s="247"/>
      <c r="AU33" s="247"/>
      <c r="AV33" s="247"/>
      <c r="AW33" s="247"/>
      <c r="AX33" s="247"/>
      <c r="AY33" s="247"/>
      <c r="AZ33" s="247"/>
      <c r="BA33" s="247"/>
      <c r="BB33" s="247"/>
      <c r="BC33" s="247"/>
      <c r="BD33" s="247"/>
      <c r="BE33" s="247"/>
      <c r="BF33" s="247"/>
      <c r="BG33" s="247"/>
      <c r="BH33" s="247"/>
      <c r="BI33" s="247"/>
      <c r="BJ33" s="247"/>
      <c r="BK33" s="247"/>
      <c r="BL33" s="247"/>
      <c r="BM33" s="247"/>
      <c r="BN33" s="247"/>
      <c r="BO33" s="247"/>
      <c r="BP33" s="247"/>
      <c r="BQ33" s="247"/>
      <c r="BR33" s="247"/>
    </row>
    <row r="34" spans="1:70" ht="15.75" customHeight="1" x14ac:dyDescent="0.25">
      <c r="C34" s="249" t="s">
        <v>271</v>
      </c>
      <c r="D34" s="249"/>
      <c r="E34" s="249"/>
      <c r="F34" s="249"/>
      <c r="G34" s="249"/>
      <c r="H34" s="249"/>
      <c r="I34" s="249"/>
      <c r="J34" s="249"/>
      <c r="K34" s="249"/>
      <c r="L34" s="249"/>
      <c r="M34" s="249"/>
      <c r="N34" s="249"/>
      <c r="O34" s="249"/>
      <c r="P34" s="249"/>
      <c r="Q34" s="249"/>
      <c r="R34" s="249"/>
      <c r="S34" s="249"/>
      <c r="T34" s="249"/>
      <c r="U34" s="249"/>
      <c r="V34" s="249"/>
      <c r="W34" s="249"/>
      <c r="X34" s="249"/>
      <c r="Y34" s="249"/>
      <c r="Z34" s="249"/>
      <c r="AA34" s="249"/>
      <c r="AB34" s="249"/>
      <c r="AC34" s="249"/>
      <c r="AD34" s="249"/>
      <c r="AE34" s="249"/>
      <c r="AF34" s="249"/>
      <c r="AG34" s="249"/>
      <c r="AH34" s="249"/>
      <c r="AI34" s="249"/>
      <c r="AJ34" s="249"/>
      <c r="AK34" s="249"/>
      <c r="AL34" s="249"/>
      <c r="AM34" s="249"/>
      <c r="AN34" s="249"/>
      <c r="AO34" s="249"/>
      <c r="AP34" s="249"/>
      <c r="AQ34" s="249"/>
      <c r="AR34" s="249"/>
      <c r="AS34" s="249"/>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row>
    <row r="35" spans="1:70" ht="47.25" customHeight="1" x14ac:dyDescent="0.25">
      <c r="C35" s="248" t="s">
        <v>278</v>
      </c>
      <c r="D35" s="248"/>
      <c r="E35" s="248"/>
      <c r="F35" s="248"/>
      <c r="G35" s="248"/>
      <c r="H35" s="248"/>
      <c r="I35" s="248"/>
      <c r="J35" s="248"/>
      <c r="K35" s="248"/>
      <c r="L35" s="248"/>
      <c r="M35" s="248"/>
      <c r="N35" s="248"/>
      <c r="O35" s="248"/>
      <c r="P35" s="248"/>
      <c r="Q35" s="248"/>
      <c r="R35" s="248"/>
      <c r="S35" s="248"/>
      <c r="T35" s="248"/>
      <c r="U35" s="248"/>
      <c r="V35" s="248"/>
      <c r="W35" s="248"/>
      <c r="X35" s="248"/>
      <c r="Y35" s="248"/>
      <c r="Z35" s="248"/>
      <c r="AA35" s="248"/>
      <c r="AB35" s="248"/>
      <c r="AC35" s="248"/>
      <c r="AD35" s="248"/>
      <c r="AE35" s="248"/>
      <c r="AF35" s="248"/>
      <c r="AG35" s="248"/>
      <c r="AH35" s="248"/>
      <c r="AI35" s="248"/>
      <c r="AJ35" s="248"/>
      <c r="AK35" s="248"/>
      <c r="AL35" s="248"/>
      <c r="AM35" s="248"/>
      <c r="AN35" s="248"/>
      <c r="AO35" s="248"/>
      <c r="AP35" s="248"/>
      <c r="AQ35" s="248"/>
      <c r="AR35" s="248"/>
      <c r="AS35" s="248"/>
      <c r="AT35" s="248"/>
      <c r="AU35" s="248"/>
      <c r="AV35" s="248"/>
      <c r="AW35" s="248"/>
      <c r="AX35" s="248"/>
      <c r="AY35" s="248"/>
      <c r="AZ35" s="248"/>
      <c r="BA35" s="248"/>
      <c r="BB35" s="248"/>
      <c r="BC35" s="248"/>
      <c r="BD35" s="248"/>
      <c r="BE35" s="248"/>
      <c r="BF35" s="248"/>
      <c r="BG35" s="248"/>
      <c r="BH35" s="248"/>
      <c r="BI35" s="248"/>
      <c r="BJ35" s="248"/>
      <c r="BK35" s="248"/>
      <c r="BL35" s="248"/>
      <c r="BM35" s="248"/>
      <c r="BN35" s="248"/>
      <c r="BO35" s="248"/>
      <c r="BP35" s="248"/>
      <c r="BQ35" s="248"/>
      <c r="BR35" s="248"/>
    </row>
    <row r="36" spans="1:70" x14ac:dyDescent="0.25">
      <c r="B36" s="2" t="s">
        <v>2</v>
      </c>
    </row>
    <row r="37" spans="1:70" x14ac:dyDescent="0.25">
      <c r="B37" s="250" t="s">
        <v>12</v>
      </c>
      <c r="C37" s="250"/>
      <c r="D37" s="250"/>
      <c r="E37" s="250"/>
      <c r="F37" s="250"/>
      <c r="G37" s="250"/>
      <c r="H37" s="250"/>
      <c r="I37" s="250"/>
      <c r="J37" s="250"/>
      <c r="K37" s="250"/>
      <c r="L37" s="250"/>
      <c r="M37" s="250"/>
      <c r="N37" s="250"/>
      <c r="O37" s="250"/>
      <c r="P37" s="250"/>
      <c r="Q37" s="250"/>
      <c r="R37" s="250"/>
      <c r="S37" s="250"/>
      <c r="T37" s="250"/>
      <c r="U37" s="250"/>
      <c r="V37" s="250"/>
      <c r="W37" s="250"/>
      <c r="X37" s="250"/>
      <c r="Y37" s="250"/>
      <c r="Z37" s="250"/>
      <c r="AA37" s="250"/>
      <c r="AB37" s="250"/>
      <c r="AC37" s="250"/>
      <c r="AD37" s="250"/>
      <c r="AE37" s="250"/>
      <c r="AF37" s="250"/>
      <c r="AG37" s="250"/>
      <c r="AH37" s="250"/>
      <c r="AI37" s="250"/>
      <c r="AJ37" s="250"/>
      <c r="AK37" s="250"/>
      <c r="AL37" s="250"/>
      <c r="AM37" s="250"/>
      <c r="AN37" s="250"/>
      <c r="AO37" s="250"/>
      <c r="AP37" s="250"/>
      <c r="AQ37" s="250"/>
      <c r="AR37" s="250"/>
      <c r="AS37" s="250"/>
      <c r="AT37" s="250"/>
      <c r="AU37" s="250"/>
      <c r="AV37" s="250"/>
      <c r="AW37" s="250"/>
      <c r="AX37" s="250"/>
      <c r="AY37" s="250"/>
      <c r="AZ37" s="250"/>
      <c r="BA37" s="250"/>
      <c r="BB37" s="250"/>
      <c r="BC37" s="250"/>
      <c r="BD37" s="250"/>
      <c r="BE37" s="250"/>
      <c r="BF37" s="250"/>
      <c r="BG37" s="250"/>
      <c r="BH37" s="250"/>
      <c r="BI37" s="250"/>
      <c r="BJ37" s="250"/>
      <c r="BK37" s="250"/>
      <c r="BL37" s="250"/>
      <c r="BM37" s="250"/>
      <c r="BN37" s="250"/>
      <c r="BO37" s="250"/>
      <c r="BP37" s="250"/>
      <c r="BQ37" s="250"/>
      <c r="BR37" s="250"/>
    </row>
    <row r="38" spans="1:70" x14ac:dyDescent="0.25">
      <c r="C38" s="2" t="s">
        <v>7</v>
      </c>
    </row>
    <row r="39" spans="1:70" ht="45.75" customHeight="1" x14ac:dyDescent="0.25">
      <c r="C39" s="247" t="s">
        <v>8</v>
      </c>
      <c r="D39" s="247"/>
      <c r="E39" s="247"/>
      <c r="F39" s="247"/>
      <c r="G39" s="247"/>
      <c r="H39" s="247"/>
      <c r="I39" s="247"/>
      <c r="J39" s="247"/>
      <c r="K39" s="247"/>
      <c r="L39" s="247"/>
      <c r="M39" s="247"/>
      <c r="N39" s="247"/>
      <c r="O39" s="247"/>
      <c r="P39" s="247"/>
      <c r="Q39" s="247"/>
      <c r="R39" s="247"/>
      <c r="S39" s="247"/>
      <c r="T39" s="247"/>
      <c r="U39" s="247"/>
      <c r="V39" s="247"/>
      <c r="W39" s="247"/>
      <c r="X39" s="247"/>
      <c r="Y39" s="247"/>
      <c r="Z39" s="247"/>
      <c r="AA39" s="247"/>
      <c r="AB39" s="247"/>
      <c r="AC39" s="247"/>
      <c r="AD39" s="247"/>
      <c r="AE39" s="247"/>
      <c r="AF39" s="247"/>
      <c r="AG39" s="247"/>
      <c r="AH39" s="247"/>
      <c r="AI39" s="247"/>
      <c r="AJ39" s="247"/>
      <c r="AK39" s="247"/>
      <c r="AL39" s="247"/>
      <c r="AM39" s="247"/>
      <c r="AN39" s="247"/>
      <c r="AO39" s="247"/>
      <c r="AP39" s="247"/>
      <c r="AQ39" s="247"/>
      <c r="AR39" s="247"/>
      <c r="AS39" s="247"/>
      <c r="AT39" s="247"/>
      <c r="AU39" s="247"/>
      <c r="AV39" s="247"/>
      <c r="AW39" s="247"/>
      <c r="AX39" s="247"/>
      <c r="AY39" s="247"/>
      <c r="AZ39" s="247"/>
      <c r="BA39" s="247"/>
      <c r="BB39" s="247"/>
      <c r="BC39" s="247"/>
      <c r="BD39" s="247"/>
      <c r="BE39" s="247"/>
      <c r="BF39" s="247"/>
      <c r="BG39" s="247"/>
      <c r="BH39" s="247"/>
      <c r="BI39" s="247"/>
      <c r="BJ39" s="247"/>
      <c r="BK39" s="247"/>
      <c r="BL39" s="247"/>
      <c r="BM39" s="247"/>
      <c r="BN39" s="247"/>
      <c r="BO39" s="247"/>
      <c r="BP39" s="247"/>
      <c r="BQ39" s="247"/>
      <c r="BR39" s="247"/>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defaultColWidth="11.42578125"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Anwesend 21 (NW)</vt:lpstr>
      <vt:lpstr>Anwesend 21</vt:lpstr>
      <vt:lpstr>Tagebuch 21</vt:lpstr>
      <vt:lpstr>Tabelle2</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(DI PA AE CIS DLS AT)</cp:lastModifiedBy>
  <dcterms:created xsi:type="dcterms:W3CDTF">2020-05-25T12:53:56Z</dcterms:created>
  <dcterms:modified xsi:type="dcterms:W3CDTF">2021-03-22T10:25:16Z</dcterms:modified>
</cp:coreProperties>
</file>