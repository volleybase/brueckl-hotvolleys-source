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49D49619-BCF7-412A-B285-817DDCE9E259}"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Anwesend!$B$87:$L$89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0" i="3" l="1"/>
  <c r="R30" i="3"/>
  <c r="DR33" i="3" l="1"/>
  <c r="DG33" i="3" l="1"/>
  <c r="Q83" i="3" l="1"/>
  <c r="Q81" i="3"/>
  <c r="Q80" i="3"/>
  <c r="Q79" i="3"/>
  <c r="Q72" i="3"/>
  <c r="Q69" i="3"/>
  <c r="Q67" i="3"/>
  <c r="Q60" i="3"/>
  <c r="Q59" i="3"/>
  <c r="Q58" i="3"/>
  <c r="Q57" i="3"/>
  <c r="Q56" i="3"/>
  <c r="Q25" i="3"/>
  <c r="Q32" i="3"/>
  <c r="Q6" i="3"/>
  <c r="CX33" i="3"/>
  <c r="CH33" i="3"/>
  <c r="BY33" i="3"/>
  <c r="CZ33" i="3"/>
  <c r="CQ33" i="3"/>
  <c r="L89" i="3"/>
  <c r="L88" i="3"/>
  <c r="DI33" i="3"/>
  <c r="L87" i="3"/>
  <c r="R33" i="3"/>
  <c r="P33" i="3"/>
  <c r="P29" i="3" l="1"/>
  <c r="F29" i="3"/>
  <c r="G29" i="3"/>
  <c r="H29" i="3"/>
  <c r="I29" i="3"/>
  <c r="J29" i="3"/>
  <c r="K29" i="3"/>
  <c r="L29" i="3"/>
  <c r="P62" i="3"/>
  <c r="P74" i="3"/>
  <c r="CO74" i="3" l="1"/>
  <c r="CO62" i="3"/>
  <c r="CO75" i="3" s="1"/>
  <c r="CO33" i="3"/>
  <c r="CF33" i="3"/>
  <c r="BW74" i="3" l="1"/>
  <c r="BW75" i="3" s="1"/>
  <c r="BP74" i="3"/>
  <c r="BP62" i="3"/>
  <c r="BW33" i="3"/>
  <c r="BP33" i="3"/>
  <c r="BP75" i="3" l="1"/>
  <c r="P31" i="3"/>
  <c r="MJ74" i="3" l="1"/>
  <c r="MI74" i="3"/>
  <c r="MH74" i="3"/>
  <c r="MG74" i="3"/>
  <c r="MF74" i="3"/>
  <c r="ME74" i="3"/>
  <c r="MD74" i="3"/>
  <c r="MC74" i="3"/>
  <c r="MB74" i="3"/>
  <c r="MA74" i="3"/>
  <c r="LZ74" i="3"/>
  <c r="LY74" i="3"/>
  <c r="LX74" i="3"/>
  <c r="LW74" i="3"/>
  <c r="LV74" i="3"/>
  <c r="LU74" i="3"/>
  <c r="LT74" i="3"/>
  <c r="LS74" i="3"/>
  <c r="LR74" i="3"/>
  <c r="LQ74" i="3"/>
  <c r="LP74" i="3"/>
  <c r="LO74" i="3"/>
  <c r="LN74" i="3"/>
  <c r="LM74" i="3"/>
  <c r="LL74" i="3"/>
  <c r="LK74" i="3"/>
  <c r="LJ74" i="3"/>
  <c r="LI74" i="3"/>
  <c r="LH74" i="3"/>
  <c r="LG74" i="3"/>
  <c r="LF74" i="3"/>
  <c r="LE74" i="3"/>
  <c r="LD74" i="3"/>
  <c r="LC74" i="3"/>
  <c r="LB74" i="3"/>
  <c r="LA74" i="3"/>
  <c r="KZ74" i="3"/>
  <c r="KY74" i="3"/>
  <c r="KX74" i="3"/>
  <c r="KW74" i="3"/>
  <c r="KV74" i="3"/>
  <c r="KU74" i="3"/>
  <c r="KT74" i="3"/>
  <c r="KS74" i="3"/>
  <c r="KR74" i="3"/>
  <c r="KQ74" i="3"/>
  <c r="KP74" i="3"/>
  <c r="KO74" i="3"/>
  <c r="KN74" i="3"/>
  <c r="KM74" i="3"/>
  <c r="KL74" i="3"/>
  <c r="KK74" i="3"/>
  <c r="KJ74" i="3"/>
  <c r="KI74" i="3"/>
  <c r="KH74" i="3"/>
  <c r="KG74" i="3"/>
  <c r="KF74" i="3"/>
  <c r="KE74" i="3"/>
  <c r="KD74" i="3"/>
  <c r="KC74" i="3"/>
  <c r="KB74" i="3"/>
  <c r="KA74" i="3"/>
  <c r="JZ74" i="3"/>
  <c r="JY74" i="3"/>
  <c r="JX74" i="3"/>
  <c r="JW74" i="3"/>
  <c r="JV74" i="3"/>
  <c r="JU74" i="3"/>
  <c r="JT74" i="3"/>
  <c r="JS74" i="3"/>
  <c r="JR74" i="3"/>
  <c r="JQ74" i="3"/>
  <c r="JP74" i="3"/>
  <c r="JO74" i="3"/>
  <c r="JN74" i="3"/>
  <c r="JM74" i="3"/>
  <c r="JL74" i="3"/>
  <c r="JK74" i="3"/>
  <c r="JJ74" i="3"/>
  <c r="JI74" i="3"/>
  <c r="JH74" i="3"/>
  <c r="JG74" i="3"/>
  <c r="JF74" i="3"/>
  <c r="JE74" i="3"/>
  <c r="JD74" i="3"/>
  <c r="JC74" i="3"/>
  <c r="JB74" i="3"/>
  <c r="JA74" i="3"/>
  <c r="IZ74" i="3"/>
  <c r="IY74" i="3"/>
  <c r="IX74" i="3"/>
  <c r="IW74" i="3"/>
  <c r="IV74" i="3"/>
  <c r="IU74" i="3"/>
  <c r="IT74" i="3"/>
  <c r="IS74" i="3"/>
  <c r="IR74" i="3"/>
  <c r="IQ74" i="3"/>
  <c r="IP74" i="3"/>
  <c r="IO74" i="3"/>
  <c r="IN74" i="3"/>
  <c r="IM74" i="3"/>
  <c r="IL74" i="3"/>
  <c r="IK74" i="3"/>
  <c r="IJ74" i="3"/>
  <c r="II74" i="3"/>
  <c r="IH74" i="3"/>
  <c r="IG74" i="3"/>
  <c r="IF74" i="3"/>
  <c r="IE74" i="3"/>
  <c r="ID74" i="3"/>
  <c r="IC74" i="3"/>
  <c r="IB74" i="3"/>
  <c r="IA74" i="3"/>
  <c r="HZ74" i="3"/>
  <c r="HY74" i="3"/>
  <c r="HX74" i="3"/>
  <c r="HW74" i="3"/>
  <c r="HV74" i="3"/>
  <c r="HU74" i="3"/>
  <c r="HT74" i="3"/>
  <c r="HS74" i="3"/>
  <c r="HR74" i="3"/>
  <c r="HQ74" i="3"/>
  <c r="HP74" i="3"/>
  <c r="HO74" i="3"/>
  <c r="HN74" i="3"/>
  <c r="HM74" i="3"/>
  <c r="HL74" i="3"/>
  <c r="HK74" i="3"/>
  <c r="HJ74" i="3"/>
  <c r="HI74" i="3"/>
  <c r="HH74" i="3"/>
  <c r="HG74" i="3"/>
  <c r="HF74" i="3"/>
  <c r="HE74" i="3"/>
  <c r="HD74" i="3"/>
  <c r="HC74" i="3"/>
  <c r="HB74" i="3"/>
  <c r="HA74" i="3"/>
  <c r="GZ74" i="3"/>
  <c r="GY74" i="3"/>
  <c r="GX74" i="3"/>
  <c r="GW74" i="3"/>
  <c r="GV74" i="3"/>
  <c r="GU74" i="3"/>
  <c r="GT74" i="3"/>
  <c r="GS74" i="3"/>
  <c r="GR74" i="3"/>
  <c r="GQ74" i="3"/>
  <c r="GP74" i="3"/>
  <c r="GO74" i="3"/>
  <c r="GN74" i="3"/>
  <c r="GM74" i="3"/>
  <c r="GL74" i="3"/>
  <c r="GK74" i="3"/>
  <c r="GJ74" i="3"/>
  <c r="GI74" i="3"/>
  <c r="GH74" i="3"/>
  <c r="GG74" i="3"/>
  <c r="GF74" i="3"/>
  <c r="GE74" i="3"/>
  <c r="GD74" i="3"/>
  <c r="GC74" i="3"/>
  <c r="GB74" i="3"/>
  <c r="GA74" i="3"/>
  <c r="FZ74" i="3"/>
  <c r="FY74" i="3"/>
  <c r="FX74" i="3"/>
  <c r="FW74" i="3"/>
  <c r="FV74" i="3"/>
  <c r="FU74" i="3"/>
  <c r="FT74" i="3"/>
  <c r="FS74" i="3"/>
  <c r="FR74" i="3"/>
  <c r="FQ74" i="3"/>
  <c r="FP74" i="3"/>
  <c r="FO74" i="3"/>
  <c r="FN74" i="3"/>
  <c r="FM74" i="3"/>
  <c r="FL74" i="3"/>
  <c r="FK74" i="3"/>
  <c r="FJ74" i="3"/>
  <c r="FI74" i="3"/>
  <c r="FH74" i="3"/>
  <c r="FG74" i="3"/>
  <c r="FF74" i="3"/>
  <c r="FE74" i="3"/>
  <c r="FD74" i="3"/>
  <c r="FC74" i="3"/>
  <c r="FB74" i="3"/>
  <c r="FA74" i="3"/>
  <c r="EZ74" i="3"/>
  <c r="EY74" i="3"/>
  <c r="EX74" i="3"/>
  <c r="EW74" i="3"/>
  <c r="EV74" i="3"/>
  <c r="EU74" i="3"/>
  <c r="ET74" i="3"/>
  <c r="ES74" i="3"/>
  <c r="ER74" i="3"/>
  <c r="EQ74" i="3"/>
  <c r="EP74" i="3"/>
  <c r="EO74" i="3"/>
  <c r="EN74" i="3"/>
  <c r="EM74" i="3"/>
  <c r="EL74" i="3"/>
  <c r="EK74" i="3"/>
  <c r="EJ74" i="3"/>
  <c r="EI74" i="3"/>
  <c r="EH74" i="3"/>
  <c r="EG74" i="3"/>
  <c r="EF74" i="3"/>
  <c r="EE74" i="3"/>
  <c r="ED74" i="3"/>
  <c r="EC74" i="3"/>
  <c r="EB74" i="3"/>
  <c r="EA74" i="3"/>
  <c r="DZ74" i="3"/>
  <c r="DW74" i="3"/>
  <c r="DV74" i="3"/>
  <c r="DU74" i="3"/>
  <c r="DT74" i="3"/>
  <c r="DS74" i="3"/>
  <c r="DR74" i="3"/>
  <c r="DO74" i="3"/>
  <c r="DN74" i="3"/>
  <c r="DM74" i="3"/>
  <c r="DL74" i="3"/>
  <c r="DK74" i="3"/>
  <c r="DJ74" i="3"/>
  <c r="DI74" i="3"/>
  <c r="DF74" i="3"/>
  <c r="DE74" i="3"/>
  <c r="DD74" i="3"/>
  <c r="DC74" i="3"/>
  <c r="DB74" i="3"/>
  <c r="DA74" i="3"/>
  <c r="CZ74" i="3"/>
  <c r="CY74" i="3"/>
  <c r="CV74" i="3"/>
  <c r="CU74" i="3"/>
  <c r="CT74" i="3"/>
  <c r="CS74" i="3"/>
  <c r="CR74" i="3"/>
  <c r="CQ74" i="3"/>
  <c r="CN74" i="3"/>
  <c r="CM74" i="3"/>
  <c r="CL74" i="3"/>
  <c r="CK74" i="3"/>
  <c r="CJ74" i="3"/>
  <c r="CI74" i="3"/>
  <c r="CH74" i="3"/>
  <c r="CE74" i="3"/>
  <c r="CD74" i="3"/>
  <c r="CC74" i="3"/>
  <c r="CB74" i="3"/>
  <c r="CA74" i="3"/>
  <c r="BZ74" i="3"/>
  <c r="BY74" i="3"/>
  <c r="BV74" i="3"/>
  <c r="BU74" i="3"/>
  <c r="BT74" i="3"/>
  <c r="BS74" i="3"/>
  <c r="BR74" i="3"/>
  <c r="BQ74" i="3"/>
  <c r="BO74" i="3"/>
  <c r="BN74" i="3"/>
  <c r="BM74" i="3"/>
  <c r="BL74" i="3"/>
  <c r="BK74" i="3"/>
  <c r="BJ74" i="3"/>
  <c r="BI74" i="3"/>
  <c r="BH74" i="3"/>
  <c r="BG74" i="3"/>
  <c r="BF74" i="3"/>
  <c r="BE74" i="3"/>
  <c r="BD74" i="3"/>
  <c r="BC74" i="3"/>
  <c r="P47" i="3" l="1"/>
  <c r="L47" i="3"/>
  <c r="K47" i="3"/>
  <c r="J47" i="3"/>
  <c r="I47" i="3"/>
  <c r="H47" i="3"/>
  <c r="G47" i="3"/>
  <c r="F47" i="3"/>
  <c r="P55" i="3" l="1"/>
  <c r="L55" i="3"/>
  <c r="K55" i="3"/>
  <c r="J55" i="3"/>
  <c r="I55" i="3"/>
  <c r="H55" i="3"/>
  <c r="G55" i="3"/>
  <c r="F55" i="3"/>
  <c r="P51" i="3"/>
  <c r="L51" i="3"/>
  <c r="K51" i="3"/>
  <c r="J51" i="3"/>
  <c r="I51" i="3"/>
  <c r="H51" i="3"/>
  <c r="G51" i="3"/>
  <c r="F51" i="3"/>
  <c r="H71" i="3" l="1"/>
  <c r="G71" i="3"/>
  <c r="H70" i="3"/>
  <c r="G70" i="3"/>
  <c r="H69" i="3"/>
  <c r="G69" i="3"/>
  <c r="H68" i="3"/>
  <c r="G68" i="3"/>
  <c r="L68" i="3"/>
  <c r="K68" i="3"/>
  <c r="J68" i="3"/>
  <c r="I68" i="3"/>
  <c r="F68" i="3"/>
  <c r="P11" i="3"/>
  <c r="L11" i="3"/>
  <c r="K11" i="3"/>
  <c r="J11" i="3"/>
  <c r="I11" i="3"/>
  <c r="H11" i="3"/>
  <c r="G11" i="3"/>
  <c r="F11" i="3"/>
  <c r="P45" i="3"/>
  <c r="L45" i="3"/>
  <c r="K45" i="3"/>
  <c r="J45" i="3"/>
  <c r="I45" i="3"/>
  <c r="H45" i="3"/>
  <c r="G45" i="3"/>
  <c r="F45" i="3"/>
  <c r="S63" i="3" l="1"/>
  <c r="P73" i="3"/>
  <c r="BB74" i="3"/>
  <c r="BA74" i="3"/>
  <c r="AZ74" i="3"/>
  <c r="AY74" i="3"/>
  <c r="AX74" i="3"/>
  <c r="AW74" i="3"/>
  <c r="AV74" i="3"/>
  <c r="AU74" i="3"/>
  <c r="AT74" i="3"/>
  <c r="AS74" i="3"/>
  <c r="AR74" i="3"/>
  <c r="AQ74" i="3"/>
  <c r="AP74" i="3"/>
  <c r="AO74" i="3"/>
  <c r="AG74" i="3"/>
  <c r="AF74" i="3"/>
  <c r="AE74" i="3"/>
  <c r="AD74" i="3"/>
  <c r="AC74" i="3"/>
  <c r="AB74" i="3"/>
  <c r="AA74" i="3"/>
  <c r="Z74" i="3"/>
  <c r="Y74" i="3"/>
  <c r="X74" i="3"/>
  <c r="W74" i="3"/>
  <c r="V74" i="3"/>
  <c r="U74" i="3"/>
  <c r="T74" i="3"/>
  <c r="AN74" i="3"/>
  <c r="AM74" i="3"/>
  <c r="AL74" i="3"/>
  <c r="AK74" i="3"/>
  <c r="AJ74" i="3"/>
  <c r="AH74" i="3"/>
  <c r="AI74" i="3"/>
  <c r="L59" i="3"/>
  <c r="K59" i="3"/>
  <c r="J59" i="3"/>
  <c r="I59" i="3"/>
  <c r="H59" i="3"/>
  <c r="G59" i="3"/>
  <c r="F59" i="3"/>
  <c r="L58" i="3"/>
  <c r="K58" i="3"/>
  <c r="J58" i="3"/>
  <c r="I58" i="3"/>
  <c r="H58" i="3"/>
  <c r="G58" i="3"/>
  <c r="F58" i="3"/>
  <c r="L57" i="3"/>
  <c r="K57" i="3"/>
  <c r="J57" i="3"/>
  <c r="I57" i="3"/>
  <c r="H57" i="3"/>
  <c r="G57" i="3"/>
  <c r="F57" i="3"/>
  <c r="L56" i="3"/>
  <c r="K56" i="3"/>
  <c r="J56" i="3"/>
  <c r="I56" i="3"/>
  <c r="H56" i="3"/>
  <c r="G56" i="3"/>
  <c r="F56" i="3"/>
  <c r="MJ62" i="3"/>
  <c r="MI62" i="3"/>
  <c r="MH62" i="3"/>
  <c r="MG62" i="3"/>
  <c r="MF62" i="3"/>
  <c r="ME62" i="3"/>
  <c r="MD62" i="3"/>
  <c r="MC62" i="3"/>
  <c r="MB62" i="3"/>
  <c r="MA62" i="3"/>
  <c r="LZ62" i="3"/>
  <c r="LY62" i="3"/>
  <c r="LX62" i="3"/>
  <c r="LW62" i="3"/>
  <c r="LV62" i="3"/>
  <c r="LU62" i="3"/>
  <c r="LT62" i="3"/>
  <c r="LS62" i="3"/>
  <c r="LR62" i="3"/>
  <c r="LQ62" i="3"/>
  <c r="LP62" i="3"/>
  <c r="LO62" i="3"/>
  <c r="LN62" i="3"/>
  <c r="LM62" i="3"/>
  <c r="LL62" i="3"/>
  <c r="LK62" i="3"/>
  <c r="LJ62" i="3"/>
  <c r="LI62" i="3"/>
  <c r="LH62" i="3"/>
  <c r="LG62" i="3"/>
  <c r="LF62" i="3"/>
  <c r="LE62" i="3"/>
  <c r="LD62" i="3"/>
  <c r="LC62" i="3"/>
  <c r="LB62" i="3"/>
  <c r="LA62" i="3"/>
  <c r="KZ62" i="3"/>
  <c r="KY62" i="3"/>
  <c r="KX62" i="3"/>
  <c r="KW62" i="3"/>
  <c r="KV62" i="3"/>
  <c r="KU62" i="3"/>
  <c r="KT62" i="3"/>
  <c r="KS62" i="3"/>
  <c r="KR62" i="3"/>
  <c r="KQ62" i="3"/>
  <c r="KP62" i="3"/>
  <c r="KO62" i="3"/>
  <c r="KN62" i="3"/>
  <c r="KM62" i="3"/>
  <c r="KL62" i="3"/>
  <c r="KK62" i="3"/>
  <c r="KJ62" i="3"/>
  <c r="KI62" i="3"/>
  <c r="KH62" i="3"/>
  <c r="KG62" i="3"/>
  <c r="KF62" i="3"/>
  <c r="KE62" i="3"/>
  <c r="KD62" i="3"/>
  <c r="KC62" i="3"/>
  <c r="KB62" i="3"/>
  <c r="KA62" i="3"/>
  <c r="JZ62" i="3"/>
  <c r="JY62" i="3"/>
  <c r="JX62" i="3"/>
  <c r="JW62" i="3"/>
  <c r="JV62" i="3"/>
  <c r="JU62" i="3"/>
  <c r="JT62" i="3"/>
  <c r="JS62" i="3"/>
  <c r="JR62" i="3"/>
  <c r="JQ62" i="3"/>
  <c r="JP62" i="3"/>
  <c r="JO62" i="3"/>
  <c r="JN62" i="3"/>
  <c r="JM62" i="3"/>
  <c r="JL62" i="3"/>
  <c r="JK62" i="3"/>
  <c r="JJ62" i="3"/>
  <c r="JI62" i="3"/>
  <c r="JH62" i="3"/>
  <c r="JG62" i="3"/>
  <c r="JF62" i="3"/>
  <c r="JE62" i="3"/>
  <c r="JD62" i="3"/>
  <c r="JC62" i="3"/>
  <c r="JB62" i="3"/>
  <c r="JA62" i="3"/>
  <c r="IZ62" i="3"/>
  <c r="IY62" i="3"/>
  <c r="IX62" i="3"/>
  <c r="IW62" i="3"/>
  <c r="IV62" i="3"/>
  <c r="IU62" i="3"/>
  <c r="IT62" i="3"/>
  <c r="IS62" i="3"/>
  <c r="IR62" i="3"/>
  <c r="IQ62" i="3"/>
  <c r="IP62" i="3"/>
  <c r="IO62" i="3"/>
  <c r="IN62" i="3"/>
  <c r="IM62" i="3"/>
  <c r="IL62" i="3"/>
  <c r="IK62" i="3"/>
  <c r="IJ62" i="3"/>
  <c r="II62" i="3"/>
  <c r="IH62" i="3"/>
  <c r="IG62" i="3"/>
  <c r="IF62" i="3"/>
  <c r="IE62" i="3"/>
  <c r="ID62" i="3"/>
  <c r="IC62" i="3"/>
  <c r="IB62" i="3"/>
  <c r="IA62" i="3"/>
  <c r="HZ62" i="3"/>
  <c r="HY62" i="3"/>
  <c r="HX62" i="3"/>
  <c r="HW62" i="3"/>
  <c r="HV62" i="3"/>
  <c r="HU62" i="3"/>
  <c r="HT62" i="3"/>
  <c r="HS62" i="3"/>
  <c r="HR62" i="3"/>
  <c r="HQ62" i="3"/>
  <c r="HP62" i="3"/>
  <c r="HO62" i="3"/>
  <c r="HN62" i="3"/>
  <c r="HM62" i="3"/>
  <c r="HL62" i="3"/>
  <c r="HK62" i="3"/>
  <c r="HJ62" i="3"/>
  <c r="HI62" i="3"/>
  <c r="HH62" i="3"/>
  <c r="HG62" i="3"/>
  <c r="HF62" i="3"/>
  <c r="HE62" i="3"/>
  <c r="HD62" i="3"/>
  <c r="HC62" i="3"/>
  <c r="HB62" i="3"/>
  <c r="HA62" i="3"/>
  <c r="GZ62" i="3"/>
  <c r="GY62" i="3"/>
  <c r="GX62" i="3"/>
  <c r="GW62" i="3"/>
  <c r="GV62" i="3"/>
  <c r="GU62" i="3"/>
  <c r="GT62" i="3"/>
  <c r="GS62" i="3"/>
  <c r="GR62" i="3"/>
  <c r="GQ62" i="3"/>
  <c r="GP62" i="3"/>
  <c r="GO62" i="3"/>
  <c r="GN62" i="3"/>
  <c r="GM62" i="3"/>
  <c r="GL62" i="3"/>
  <c r="GK62" i="3"/>
  <c r="GJ62" i="3"/>
  <c r="GI62" i="3"/>
  <c r="GH62" i="3"/>
  <c r="GG62" i="3"/>
  <c r="GF62" i="3"/>
  <c r="GE62" i="3"/>
  <c r="GD62" i="3"/>
  <c r="GC62" i="3"/>
  <c r="GB62" i="3"/>
  <c r="GA62" i="3"/>
  <c r="FZ62" i="3"/>
  <c r="FY62" i="3"/>
  <c r="FX62" i="3"/>
  <c r="FW62" i="3"/>
  <c r="FV62" i="3"/>
  <c r="FU62" i="3"/>
  <c r="FT62" i="3"/>
  <c r="FS62" i="3"/>
  <c r="FR62" i="3"/>
  <c r="FQ62" i="3"/>
  <c r="FP62" i="3"/>
  <c r="FO62" i="3"/>
  <c r="FN62" i="3"/>
  <c r="FM62" i="3"/>
  <c r="FL62" i="3"/>
  <c r="FK62" i="3"/>
  <c r="FJ62" i="3"/>
  <c r="FI62" i="3"/>
  <c r="FH62" i="3"/>
  <c r="FG62" i="3"/>
  <c r="FF62" i="3"/>
  <c r="FE62" i="3"/>
  <c r="FD62" i="3"/>
  <c r="FC62" i="3"/>
  <c r="FB62" i="3"/>
  <c r="FA62" i="3"/>
  <c r="EZ62" i="3"/>
  <c r="EY62" i="3"/>
  <c r="EX62" i="3"/>
  <c r="EW62" i="3"/>
  <c r="EV62" i="3"/>
  <c r="EU62" i="3"/>
  <c r="ET62" i="3"/>
  <c r="ES62" i="3"/>
  <c r="ER62" i="3"/>
  <c r="EQ62" i="3"/>
  <c r="EP62" i="3"/>
  <c r="EO62" i="3"/>
  <c r="EN62" i="3"/>
  <c r="EM62" i="3"/>
  <c r="EL62" i="3"/>
  <c r="EK62" i="3"/>
  <c r="EJ62" i="3"/>
  <c r="EI62" i="3"/>
  <c r="EH62" i="3"/>
  <c r="EG62" i="3"/>
  <c r="EF62" i="3"/>
  <c r="EE62" i="3"/>
  <c r="ED62" i="3"/>
  <c r="EC62" i="3"/>
  <c r="EB62" i="3"/>
  <c r="EA62" i="3"/>
  <c r="DZ62" i="3"/>
  <c r="DW62" i="3"/>
  <c r="DV62" i="3"/>
  <c r="DU62" i="3"/>
  <c r="DT62" i="3"/>
  <c r="DS62" i="3"/>
  <c r="DR62" i="3"/>
  <c r="DO62" i="3"/>
  <c r="DN62" i="3"/>
  <c r="DM62" i="3"/>
  <c r="DL62" i="3"/>
  <c r="DK62" i="3"/>
  <c r="DJ62" i="3"/>
  <c r="DI62" i="3"/>
  <c r="DF62" i="3"/>
  <c r="DE62" i="3"/>
  <c r="DD62" i="3"/>
  <c r="DC62" i="3"/>
  <c r="DB62" i="3"/>
  <c r="DA62" i="3"/>
  <c r="CZ62" i="3"/>
  <c r="CY62" i="3"/>
  <c r="CV62" i="3"/>
  <c r="CU62" i="3"/>
  <c r="CT62" i="3"/>
  <c r="CS62" i="3"/>
  <c r="CR62" i="3"/>
  <c r="CQ62" i="3"/>
  <c r="CN62" i="3"/>
  <c r="CM62" i="3"/>
  <c r="CL62" i="3"/>
  <c r="CK62" i="3"/>
  <c r="CJ62" i="3"/>
  <c r="CI62" i="3"/>
  <c r="CH62" i="3"/>
  <c r="CE62" i="3"/>
  <c r="CD62" i="3"/>
  <c r="CC62" i="3"/>
  <c r="CB62" i="3"/>
  <c r="CA62" i="3"/>
  <c r="BZ62" i="3"/>
  <c r="BY62" i="3"/>
  <c r="BV62" i="3"/>
  <c r="BU62" i="3"/>
  <c r="BT62" i="3"/>
  <c r="BS62" i="3"/>
  <c r="BR62" i="3"/>
  <c r="BQ62" i="3"/>
  <c r="BO62" i="3"/>
  <c r="BN62" i="3"/>
  <c r="BM62" i="3"/>
  <c r="BL62" i="3"/>
  <c r="BK62" i="3"/>
  <c r="BJ62" i="3"/>
  <c r="BI62" i="3"/>
  <c r="BH62" i="3"/>
  <c r="BG62" i="3"/>
  <c r="BF62" i="3"/>
  <c r="BE62" i="3"/>
  <c r="BD62" i="3"/>
  <c r="BC62" i="3"/>
  <c r="BB62" i="3"/>
  <c r="BA62" i="3"/>
  <c r="AZ62" i="3"/>
  <c r="AY62" i="3"/>
  <c r="AY75" i="3" s="1"/>
  <c r="AX62" i="3"/>
  <c r="AW62" i="3"/>
  <c r="AV62" i="3"/>
  <c r="AV75" i="3" s="1"/>
  <c r="AU62" i="3"/>
  <c r="AT62" i="3"/>
  <c r="AS62" i="3"/>
  <c r="AR62" i="3"/>
  <c r="AQ62" i="3"/>
  <c r="AQ75" i="3" s="1"/>
  <c r="AP62" i="3"/>
  <c r="AO62" i="3"/>
  <c r="S62" i="3"/>
  <c r="AG62" i="3"/>
  <c r="AF62" i="3"/>
  <c r="AE62" i="3"/>
  <c r="AD62" i="3"/>
  <c r="AC62" i="3"/>
  <c r="AB62" i="3"/>
  <c r="AB75" i="3" s="1"/>
  <c r="AA62" i="3"/>
  <c r="Z62" i="3"/>
  <c r="Y62" i="3"/>
  <c r="X62" i="3"/>
  <c r="W62" i="3"/>
  <c r="V62" i="3"/>
  <c r="U62" i="3"/>
  <c r="T62" i="3"/>
  <c r="T75" i="3" s="1"/>
  <c r="AN62" i="3"/>
  <c r="AM62" i="3"/>
  <c r="AL62" i="3"/>
  <c r="AK62" i="3"/>
  <c r="AJ62" i="3"/>
  <c r="AH62" i="3"/>
  <c r="AI62" i="3"/>
  <c r="R59" i="3"/>
  <c r="R58" i="3"/>
  <c r="P61" i="3"/>
  <c r="P44" i="3"/>
  <c r="L44" i="3"/>
  <c r="K44" i="3"/>
  <c r="J44" i="3"/>
  <c r="I44" i="3"/>
  <c r="H44" i="3"/>
  <c r="G44" i="3"/>
  <c r="F44" i="3"/>
  <c r="EU33" i="3"/>
  <c r="H60" i="3"/>
  <c r="G60" i="3"/>
  <c r="H54" i="3"/>
  <c r="G54" i="3"/>
  <c r="H53" i="3"/>
  <c r="G53" i="3"/>
  <c r="H52" i="3"/>
  <c r="G52" i="3"/>
  <c r="H50" i="3"/>
  <c r="G50" i="3"/>
  <c r="H49" i="3"/>
  <c r="G49" i="3"/>
  <c r="H48" i="3"/>
  <c r="G48" i="3"/>
  <c r="H46" i="3"/>
  <c r="G46" i="3"/>
  <c r="H43" i="3"/>
  <c r="G43" i="3"/>
  <c r="H42" i="3"/>
  <c r="G42" i="3"/>
  <c r="L54" i="3"/>
  <c r="K54" i="3"/>
  <c r="J54" i="3"/>
  <c r="I54" i="3"/>
  <c r="F54" i="3"/>
  <c r="L53" i="3"/>
  <c r="K53" i="3"/>
  <c r="J53" i="3"/>
  <c r="I53" i="3"/>
  <c r="F53" i="3"/>
  <c r="L52" i="3"/>
  <c r="K52" i="3"/>
  <c r="J52" i="3"/>
  <c r="I52" i="3"/>
  <c r="F52" i="3"/>
  <c r="L46" i="3"/>
  <c r="K46" i="3"/>
  <c r="J46" i="3"/>
  <c r="I46" i="3"/>
  <c r="F46" i="3"/>
  <c r="S36" i="3"/>
  <c r="S37" i="3" s="1"/>
  <c r="S64" i="3" s="1"/>
  <c r="AN75" i="3" l="1"/>
  <c r="AA75" i="3"/>
  <c r="AG75" i="3"/>
  <c r="AM75" i="3"/>
  <c r="Z75" i="3"/>
  <c r="Q71" i="3"/>
  <c r="Q70" i="3"/>
  <c r="Q68" i="3"/>
  <c r="Q74" i="3"/>
  <c r="Q53" i="3"/>
  <c r="Q45" i="3"/>
  <c r="Q43" i="3"/>
  <c r="Q54" i="3"/>
  <c r="Q52" i="3"/>
  <c r="Q44" i="3"/>
  <c r="Q55" i="3"/>
  <c r="Q51" i="3"/>
  <c r="Q42" i="3"/>
  <c r="Q50" i="3"/>
  <c r="Q47" i="3"/>
  <c r="Q49" i="3"/>
  <c r="Q46" i="3"/>
  <c r="Q48" i="3"/>
  <c r="Q62" i="3"/>
  <c r="AE75" i="3"/>
  <c r="AT75" i="3"/>
  <c r="BB75" i="3"/>
  <c r="W75" i="3"/>
  <c r="AJ75" i="3"/>
  <c r="AH75" i="3"/>
  <c r="V75" i="3"/>
  <c r="AD75" i="3"/>
  <c r="AC75" i="3"/>
  <c r="X75" i="3"/>
  <c r="AF75" i="3"/>
  <c r="AO75" i="3"/>
  <c r="AZ75" i="3"/>
  <c r="AR75" i="3"/>
  <c r="AS75" i="3"/>
  <c r="BA75" i="3"/>
  <c r="AU75" i="3"/>
  <c r="AP75" i="3"/>
  <c r="AX75" i="3"/>
  <c r="U75" i="3"/>
  <c r="AW75" i="3"/>
  <c r="EU75" i="3"/>
  <c r="AL75" i="3"/>
  <c r="Y75" i="3"/>
  <c r="AI75" i="3"/>
  <c r="AK75" i="3"/>
  <c r="R56" i="3"/>
  <c r="R57" i="3"/>
  <c r="S2" i="3"/>
  <c r="GK33" i="3"/>
  <c r="GK75" i="3"/>
  <c r="T1" i="3"/>
  <c r="T2" i="3" l="1"/>
  <c r="T63" i="3"/>
  <c r="U1" i="3"/>
  <c r="T36" i="3"/>
  <c r="T37" i="3" s="1"/>
  <c r="T64" i="3" s="1"/>
  <c r="P6" i="3"/>
  <c r="P8" i="3"/>
  <c r="U36" i="3" l="1"/>
  <c r="U37" i="3" s="1"/>
  <c r="U64" i="3" s="1"/>
  <c r="U63" i="3"/>
  <c r="V1" i="3"/>
  <c r="U2" i="3"/>
  <c r="N33"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3" i="3"/>
  <c r="F7" i="3"/>
  <c r="P7" i="3"/>
  <c r="P9" i="3"/>
  <c r="P10" i="3"/>
  <c r="P12" i="3"/>
  <c r="P13" i="3"/>
  <c r="P14" i="3"/>
  <c r="P15" i="3"/>
  <c r="P16" i="3"/>
  <c r="P17" i="3"/>
  <c r="P18" i="3"/>
  <c r="P19" i="3"/>
  <c r="P20" i="3"/>
  <c r="P21" i="3"/>
  <c r="P22" i="3"/>
  <c r="P23" i="3"/>
  <c r="P24" i="3"/>
  <c r="P25" i="3"/>
  <c r="P26" i="3"/>
  <c r="P27" i="3"/>
  <c r="P28" i="3"/>
  <c r="P32" i="3"/>
  <c r="O33" i="3"/>
  <c r="S33" i="3"/>
  <c r="T33" i="3"/>
  <c r="U33" i="3"/>
  <c r="V33" i="3"/>
  <c r="W33" i="3"/>
  <c r="Y33" i="3"/>
  <c r="Z33" i="3"/>
  <c r="AA33" i="3"/>
  <c r="AB33" i="3"/>
  <c r="AC33" i="3"/>
  <c r="AD33" i="3"/>
  <c r="AE33" i="3"/>
  <c r="AF33" i="3"/>
  <c r="AG33" i="3"/>
  <c r="AH33" i="3"/>
  <c r="AI33" i="3"/>
  <c r="AJ33" i="3"/>
  <c r="AK33" i="3"/>
  <c r="AL33" i="3"/>
  <c r="AM33" i="3"/>
  <c r="AN33" i="3"/>
  <c r="AO33" i="3"/>
  <c r="AP33" i="3"/>
  <c r="AQ33" i="3"/>
  <c r="AR33" i="3"/>
  <c r="AS33" i="3"/>
  <c r="AT33" i="3"/>
  <c r="AU33" i="3"/>
  <c r="AV33" i="3"/>
  <c r="AW33" i="3"/>
  <c r="AX33" i="3"/>
  <c r="AY33" i="3"/>
  <c r="AZ33" i="3"/>
  <c r="BA33" i="3"/>
  <c r="BB33" i="3"/>
  <c r="BC33" i="3"/>
  <c r="BD33" i="3"/>
  <c r="BE33" i="3"/>
  <c r="BF33" i="3"/>
  <c r="BG33" i="3"/>
  <c r="BH33" i="3"/>
  <c r="BI33" i="3"/>
  <c r="BJ33" i="3"/>
  <c r="BK33" i="3"/>
  <c r="BL33" i="3"/>
  <c r="BM33" i="3"/>
  <c r="BN33" i="3"/>
  <c r="BO33" i="3"/>
  <c r="BQ33" i="3"/>
  <c r="BR33" i="3"/>
  <c r="BS33" i="3"/>
  <c r="BT33" i="3"/>
  <c r="BU33" i="3"/>
  <c r="BV33" i="3"/>
  <c r="BZ33" i="3"/>
  <c r="CA33" i="3"/>
  <c r="CB33" i="3"/>
  <c r="CC33" i="3"/>
  <c r="CD33" i="3"/>
  <c r="CE33" i="3"/>
  <c r="CI33" i="3"/>
  <c r="CJ33" i="3"/>
  <c r="CK33" i="3"/>
  <c r="CL33" i="3"/>
  <c r="CM33" i="3"/>
  <c r="CN33" i="3"/>
  <c r="CR33" i="3"/>
  <c r="CS33" i="3"/>
  <c r="CT33" i="3"/>
  <c r="CU33" i="3"/>
  <c r="CV33" i="3"/>
  <c r="CY33" i="3"/>
  <c r="DA33" i="3"/>
  <c r="DB33" i="3"/>
  <c r="DC33" i="3"/>
  <c r="DD33" i="3"/>
  <c r="DE33" i="3"/>
  <c r="DF33" i="3"/>
  <c r="DJ33" i="3"/>
  <c r="DK33" i="3"/>
  <c r="DL33" i="3"/>
  <c r="DM33" i="3"/>
  <c r="DN33" i="3"/>
  <c r="DO33" i="3"/>
  <c r="DS33" i="3"/>
  <c r="DT33" i="3"/>
  <c r="DU33" i="3"/>
  <c r="DV33" i="3"/>
  <c r="DW33" i="3"/>
  <c r="DZ33" i="3"/>
  <c r="EA33" i="3"/>
  <c r="EB33" i="3"/>
  <c r="EC33" i="3"/>
  <c r="ED33" i="3"/>
  <c r="EE33" i="3"/>
  <c r="EF33" i="3"/>
  <c r="EH33" i="3"/>
  <c r="EI33" i="3"/>
  <c r="EJ33" i="3"/>
  <c r="EK33" i="3"/>
  <c r="EL33" i="3"/>
  <c r="EM33" i="3"/>
  <c r="EN33" i="3"/>
  <c r="EO33" i="3"/>
  <c r="EP33" i="3"/>
  <c r="EQ33" i="3"/>
  <c r="ER33" i="3"/>
  <c r="ES33" i="3"/>
  <c r="ET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L33" i="3"/>
  <c r="GM33" i="3"/>
  <c r="GN33" i="3"/>
  <c r="GO33" i="3"/>
  <c r="GP33" i="3"/>
  <c r="GQ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JO33" i="3"/>
  <c r="JP33" i="3"/>
  <c r="JQ33" i="3"/>
  <c r="JR33" i="3"/>
  <c r="JS33" i="3"/>
  <c r="JT33" i="3"/>
  <c r="JU33" i="3"/>
  <c r="JV33" i="3"/>
  <c r="JW33" i="3"/>
  <c r="JX33" i="3"/>
  <c r="JY33" i="3"/>
  <c r="JZ33" i="3"/>
  <c r="KA33" i="3"/>
  <c r="KB33" i="3"/>
  <c r="KC33" i="3"/>
  <c r="KD33" i="3"/>
  <c r="KE33" i="3"/>
  <c r="KF33" i="3"/>
  <c r="KG33" i="3"/>
  <c r="KH33" i="3"/>
  <c r="KI33" i="3"/>
  <c r="KJ33" i="3"/>
  <c r="KK33" i="3"/>
  <c r="KL33" i="3"/>
  <c r="KM33" i="3"/>
  <c r="KN33" i="3"/>
  <c r="KO33" i="3"/>
  <c r="KP33" i="3"/>
  <c r="KQ33" i="3"/>
  <c r="KR33" i="3"/>
  <c r="KS33" i="3"/>
  <c r="KT33" i="3"/>
  <c r="KU33" i="3"/>
  <c r="KV33" i="3"/>
  <c r="KW33" i="3"/>
  <c r="KX33" i="3"/>
  <c r="KY33" i="3"/>
  <c r="KZ33" i="3"/>
  <c r="LA33" i="3"/>
  <c r="LB33" i="3"/>
  <c r="LC33" i="3"/>
  <c r="LD33" i="3"/>
  <c r="LE33" i="3"/>
  <c r="LF33" i="3"/>
  <c r="LG33" i="3"/>
  <c r="LH33" i="3"/>
  <c r="LI33" i="3"/>
  <c r="LJ33" i="3"/>
  <c r="LK33" i="3"/>
  <c r="LL33" i="3"/>
  <c r="LM33" i="3"/>
  <c r="LN33" i="3"/>
  <c r="LO33" i="3"/>
  <c r="LP33" i="3"/>
  <c r="LQ33" i="3"/>
  <c r="LR33" i="3"/>
  <c r="LS33" i="3"/>
  <c r="LT33" i="3"/>
  <c r="LU33" i="3"/>
  <c r="LV33" i="3"/>
  <c r="LW33" i="3"/>
  <c r="LX33" i="3"/>
  <c r="LY33" i="3"/>
  <c r="LZ33" i="3"/>
  <c r="MA33" i="3"/>
  <c r="MB33" i="3"/>
  <c r="MC33" i="3"/>
  <c r="MD33" i="3"/>
  <c r="ME33" i="3"/>
  <c r="MF33" i="3"/>
  <c r="MG33" i="3"/>
  <c r="MH33" i="3"/>
  <c r="MI33" i="3"/>
  <c r="MJ33" i="3"/>
  <c r="P34" i="3"/>
  <c r="Q30" i="3" s="1"/>
  <c r="P41" i="3"/>
  <c r="F42" i="3"/>
  <c r="I42" i="3"/>
  <c r="J42" i="3"/>
  <c r="K42" i="3"/>
  <c r="L42" i="3"/>
  <c r="P42" i="3"/>
  <c r="F43" i="3"/>
  <c r="I43" i="3"/>
  <c r="J43" i="3"/>
  <c r="K43" i="3"/>
  <c r="L43" i="3"/>
  <c r="P43" i="3"/>
  <c r="P46" i="3"/>
  <c r="F48" i="3"/>
  <c r="I48" i="3"/>
  <c r="J48" i="3"/>
  <c r="K48" i="3"/>
  <c r="L48" i="3"/>
  <c r="P48" i="3"/>
  <c r="F49" i="3"/>
  <c r="I49" i="3"/>
  <c r="J49" i="3"/>
  <c r="K49" i="3"/>
  <c r="L49" i="3"/>
  <c r="P49" i="3"/>
  <c r="F50" i="3"/>
  <c r="I50" i="3"/>
  <c r="J50" i="3"/>
  <c r="K50" i="3"/>
  <c r="L50" i="3"/>
  <c r="P50" i="3"/>
  <c r="P52" i="3"/>
  <c r="P53" i="3"/>
  <c r="P54" i="3"/>
  <c r="P56" i="3"/>
  <c r="P57" i="3"/>
  <c r="P58" i="3"/>
  <c r="P59" i="3"/>
  <c r="F60" i="3"/>
  <c r="I60" i="3"/>
  <c r="J60" i="3"/>
  <c r="K60" i="3"/>
  <c r="L60" i="3"/>
  <c r="P60" i="3"/>
  <c r="F66" i="3"/>
  <c r="I66" i="3"/>
  <c r="J66" i="3"/>
  <c r="K66" i="3"/>
  <c r="L66" i="3"/>
  <c r="P66" i="3"/>
  <c r="F67" i="3"/>
  <c r="I67" i="3"/>
  <c r="J67" i="3"/>
  <c r="K67" i="3"/>
  <c r="L67" i="3"/>
  <c r="P67" i="3"/>
  <c r="P68" i="3"/>
  <c r="F69" i="3"/>
  <c r="I69" i="3"/>
  <c r="J69" i="3"/>
  <c r="K69" i="3"/>
  <c r="L69" i="3"/>
  <c r="P69" i="3"/>
  <c r="F70" i="3"/>
  <c r="I70" i="3"/>
  <c r="J70" i="3"/>
  <c r="K70" i="3"/>
  <c r="L70" i="3"/>
  <c r="P70" i="3"/>
  <c r="F71" i="3"/>
  <c r="I71" i="3"/>
  <c r="J71" i="3"/>
  <c r="K71" i="3"/>
  <c r="L71" i="3"/>
  <c r="P71" i="3"/>
  <c r="P72" i="3"/>
  <c r="S74" i="3"/>
  <c r="S75" i="3" s="1"/>
  <c r="BC75" i="3"/>
  <c r="BD75" i="3"/>
  <c r="BE75" i="3"/>
  <c r="BF75" i="3"/>
  <c r="BG75" i="3"/>
  <c r="BH75" i="3"/>
  <c r="BI75" i="3"/>
  <c r="BJ75" i="3"/>
  <c r="BK75" i="3"/>
  <c r="BL75" i="3"/>
  <c r="BM75" i="3"/>
  <c r="BN75" i="3"/>
  <c r="BO75" i="3"/>
  <c r="BQ75" i="3"/>
  <c r="BR75" i="3"/>
  <c r="BS75" i="3"/>
  <c r="BT75" i="3"/>
  <c r="BU75" i="3"/>
  <c r="BV75" i="3"/>
  <c r="BY75" i="3"/>
  <c r="BZ75" i="3"/>
  <c r="CA75" i="3"/>
  <c r="CB75" i="3"/>
  <c r="CC75" i="3"/>
  <c r="CD75" i="3"/>
  <c r="CE75" i="3"/>
  <c r="CH75" i="3"/>
  <c r="CI75" i="3"/>
  <c r="CJ75" i="3"/>
  <c r="CK75" i="3"/>
  <c r="CL75" i="3"/>
  <c r="CM75" i="3"/>
  <c r="CN75" i="3"/>
  <c r="CQ75" i="3"/>
  <c r="CR75" i="3"/>
  <c r="CS75" i="3"/>
  <c r="CT75" i="3"/>
  <c r="CU75" i="3"/>
  <c r="CV75" i="3"/>
  <c r="CY75" i="3"/>
  <c r="CZ75" i="3"/>
  <c r="DA75" i="3"/>
  <c r="DB75" i="3"/>
  <c r="DC75" i="3"/>
  <c r="DD75" i="3"/>
  <c r="DE75" i="3"/>
  <c r="DF75" i="3"/>
  <c r="DI75" i="3"/>
  <c r="DJ75" i="3"/>
  <c r="DK75" i="3"/>
  <c r="DL75" i="3"/>
  <c r="DM75" i="3"/>
  <c r="DN75" i="3"/>
  <c r="DO75" i="3"/>
  <c r="DR75" i="3"/>
  <c r="DS75" i="3"/>
  <c r="DT75" i="3"/>
  <c r="DU75" i="3"/>
  <c r="DV75" i="3"/>
  <c r="DW75" i="3"/>
  <c r="DZ75" i="3"/>
  <c r="EA75" i="3"/>
  <c r="EB75" i="3"/>
  <c r="EC75" i="3"/>
  <c r="ED75" i="3"/>
  <c r="EE75" i="3"/>
  <c r="EF75" i="3"/>
  <c r="EG75" i="3"/>
  <c r="EH75" i="3"/>
  <c r="EI75" i="3"/>
  <c r="EJ75" i="3"/>
  <c r="EK75" i="3"/>
  <c r="EL75" i="3"/>
  <c r="EM75" i="3"/>
  <c r="EN75" i="3"/>
  <c r="EO75" i="3"/>
  <c r="EP75" i="3"/>
  <c r="EQ75" i="3"/>
  <c r="ER75" i="3"/>
  <c r="ES75" i="3"/>
  <c r="ET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M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JO75" i="3"/>
  <c r="JP75" i="3"/>
  <c r="JQ75" i="3"/>
  <c r="JR75" i="3"/>
  <c r="JS75" i="3"/>
  <c r="JT75" i="3"/>
  <c r="JU75" i="3"/>
  <c r="JV75" i="3"/>
  <c r="JW75" i="3"/>
  <c r="JX75" i="3"/>
  <c r="JY75" i="3"/>
  <c r="JZ75" i="3"/>
  <c r="KA75" i="3"/>
  <c r="KB75" i="3"/>
  <c r="KC75" i="3"/>
  <c r="KD75" i="3"/>
  <c r="KE75" i="3"/>
  <c r="KF75" i="3"/>
  <c r="KG75" i="3"/>
  <c r="KH75" i="3"/>
  <c r="KI75" i="3"/>
  <c r="KJ75" i="3"/>
  <c r="KK75" i="3"/>
  <c r="KL75" i="3"/>
  <c r="KM75" i="3"/>
  <c r="KN75" i="3"/>
  <c r="KO75" i="3"/>
  <c r="KP75" i="3"/>
  <c r="KQ75" i="3"/>
  <c r="KR75" i="3"/>
  <c r="KS75" i="3"/>
  <c r="KT75" i="3"/>
  <c r="KU75" i="3"/>
  <c r="KV75" i="3"/>
  <c r="KW75" i="3"/>
  <c r="KX75" i="3"/>
  <c r="KY75" i="3"/>
  <c r="KZ75" i="3"/>
  <c r="LA75" i="3"/>
  <c r="LB75" i="3"/>
  <c r="LC75" i="3"/>
  <c r="LD75" i="3"/>
  <c r="LE75" i="3"/>
  <c r="LF75" i="3"/>
  <c r="LG75" i="3"/>
  <c r="LH75" i="3"/>
  <c r="LI75" i="3"/>
  <c r="LJ75" i="3"/>
  <c r="LK75" i="3"/>
  <c r="LL75" i="3"/>
  <c r="LM75" i="3"/>
  <c r="LN75" i="3"/>
  <c r="LO75" i="3"/>
  <c r="LP75" i="3"/>
  <c r="LQ75" i="3"/>
  <c r="LR75" i="3"/>
  <c r="LS75" i="3"/>
  <c r="LT75" i="3"/>
  <c r="LU75" i="3"/>
  <c r="LV75" i="3"/>
  <c r="LW75" i="3"/>
  <c r="LX75" i="3"/>
  <c r="LY75" i="3"/>
  <c r="LZ75" i="3"/>
  <c r="MA75" i="3"/>
  <c r="MB75" i="3"/>
  <c r="MC75" i="3"/>
  <c r="MD75" i="3"/>
  <c r="ME75" i="3"/>
  <c r="MF75" i="3"/>
  <c r="MG75" i="3"/>
  <c r="MH75" i="3"/>
  <c r="MI75" i="3"/>
  <c r="MJ75" i="3"/>
  <c r="P78" i="3"/>
  <c r="P79" i="3"/>
  <c r="P80" i="3"/>
  <c r="P81" i="3"/>
  <c r="P82" i="3"/>
  <c r="P83" i="3"/>
  <c r="P84" i="3"/>
  <c r="Q23" i="3" l="1"/>
  <c r="Q15" i="3"/>
  <c r="Q11" i="3"/>
  <c r="Q24" i="3"/>
  <c r="Q22" i="3"/>
  <c r="Q14" i="3"/>
  <c r="Q28" i="3"/>
  <c r="Q18" i="3"/>
  <c r="Q9" i="3"/>
  <c r="Q7" i="3"/>
  <c r="Q21" i="3"/>
  <c r="Q13" i="3"/>
  <c r="Q20" i="3"/>
  <c r="Q10" i="3"/>
  <c r="Q17" i="3"/>
  <c r="Q29" i="3"/>
  <c r="Q12" i="3"/>
  <c r="Q19" i="3"/>
  <c r="Q26" i="3"/>
  <c r="Q16" i="3"/>
  <c r="Q33" i="3"/>
  <c r="Q82" i="3"/>
  <c r="Q78" i="3"/>
  <c r="R31" i="3"/>
  <c r="Q31" i="3" s="1"/>
  <c r="V36" i="3"/>
  <c r="V37" i="3" s="1"/>
  <c r="V64" i="3" s="1"/>
  <c r="V63" i="3"/>
  <c r="V2" i="3"/>
  <c r="W1" i="3"/>
  <c r="H33" i="3"/>
  <c r="G33" i="3"/>
  <c r="K33" i="3"/>
  <c r="L33" i="3"/>
  <c r="I33" i="3"/>
  <c r="F33" i="3"/>
  <c r="J33" i="3"/>
  <c r="R8" i="3"/>
  <c r="Q8" i="3" s="1"/>
  <c r="W36" i="3" l="1"/>
  <c r="W37" i="3" s="1"/>
  <c r="W64" i="3" s="1"/>
  <c r="W63" i="3"/>
  <c r="W2" i="3"/>
  <c r="X1" i="3"/>
  <c r="X36" i="3" l="1"/>
  <c r="X37" i="3" s="1"/>
  <c r="X64" i="3" s="1"/>
  <c r="X63" i="3"/>
  <c r="X2" i="3"/>
  <c r="Y1" i="3"/>
  <c r="Y2" i="3" s="1"/>
  <c r="Y36" i="3" l="1"/>
  <c r="Y37" i="3" s="1"/>
  <c r="Y64" i="3" s="1"/>
  <c r="Y63" i="3"/>
  <c r="Z1" i="3"/>
  <c r="Z36" i="3" l="1"/>
  <c r="Z37" i="3" s="1"/>
  <c r="Z64" i="3" s="1"/>
  <c r="Z63" i="3"/>
  <c r="Z2" i="3"/>
  <c r="AA1" i="3"/>
  <c r="AA36" i="3" l="1"/>
  <c r="AA37" i="3" s="1"/>
  <c r="AA64" i="3" s="1"/>
  <c r="AA63" i="3"/>
  <c r="AA2" i="3"/>
  <c r="AB1" i="3"/>
  <c r="AB36" i="3" l="1"/>
  <c r="AB37" i="3" s="1"/>
  <c r="AB64" i="3" s="1"/>
  <c r="AB63" i="3"/>
  <c r="AB2" i="3"/>
  <c r="AC1" i="3"/>
  <c r="AC36" i="3" l="1"/>
  <c r="AC37" i="3" s="1"/>
  <c r="AC64" i="3" s="1"/>
  <c r="AC63" i="3"/>
  <c r="AD1" i="3"/>
  <c r="AC2" i="3"/>
  <c r="AD36" i="3" l="1"/>
  <c r="AD37" i="3" s="1"/>
  <c r="AD64" i="3" s="1"/>
  <c r="AD63" i="3"/>
  <c r="AD2" i="3"/>
  <c r="AE1" i="3"/>
  <c r="AE36" i="3" l="1"/>
  <c r="AE37" i="3" s="1"/>
  <c r="AE64" i="3" s="1"/>
  <c r="AE63" i="3"/>
  <c r="AE2" i="3"/>
  <c r="AF1" i="3"/>
  <c r="AF36" i="3" l="1"/>
  <c r="AF37" i="3" s="1"/>
  <c r="AF64" i="3" s="1"/>
  <c r="AF63" i="3"/>
  <c r="AF2" i="3"/>
  <c r="AG1" i="3"/>
  <c r="AG36" i="3" l="1"/>
  <c r="AG37" i="3" s="1"/>
  <c r="AG64" i="3" s="1"/>
  <c r="AG63" i="3"/>
  <c r="AG2" i="3"/>
  <c r="AH1" i="3"/>
  <c r="AH36" i="3" l="1"/>
  <c r="AH37" i="3" s="1"/>
  <c r="AH64" i="3" s="1"/>
  <c r="AH63" i="3"/>
  <c r="AH2" i="3"/>
  <c r="AI1" i="3"/>
  <c r="AI36" i="3" l="1"/>
  <c r="AI37" i="3" s="1"/>
  <c r="AI64" i="3" s="1"/>
  <c r="AI63" i="3"/>
  <c r="AI2" i="3"/>
  <c r="AJ1" i="3"/>
  <c r="AJ36" i="3" l="1"/>
  <c r="AJ37" i="3" s="1"/>
  <c r="AJ64" i="3" s="1"/>
  <c r="AJ63" i="3"/>
  <c r="AJ2" i="3"/>
  <c r="AK1" i="3"/>
  <c r="AK36" i="3" l="1"/>
  <c r="AK37" i="3" s="1"/>
  <c r="AK64" i="3" s="1"/>
  <c r="AK63" i="3"/>
  <c r="AK2" i="3"/>
  <c r="AL1" i="3"/>
  <c r="AL36" i="3" l="1"/>
  <c r="AL37" i="3" s="1"/>
  <c r="AL64" i="3" s="1"/>
  <c r="AL63" i="3"/>
  <c r="AL2" i="3"/>
  <c r="AM1" i="3"/>
  <c r="AM36" i="3" l="1"/>
  <c r="AM37" i="3" s="1"/>
  <c r="AM64" i="3" s="1"/>
  <c r="AM63" i="3"/>
  <c r="AM2" i="3"/>
  <c r="AN1" i="3"/>
  <c r="AN36" i="3" l="1"/>
  <c r="AN37" i="3" s="1"/>
  <c r="AN64" i="3" s="1"/>
  <c r="AN63" i="3"/>
  <c r="AN2" i="3"/>
  <c r="AO1" i="3"/>
  <c r="AO36" i="3" l="1"/>
  <c r="AO37" i="3" s="1"/>
  <c r="AO64" i="3" s="1"/>
  <c r="AO63" i="3"/>
  <c r="AO2" i="3"/>
  <c r="AP1" i="3"/>
  <c r="AQ1" i="3" s="1"/>
  <c r="AP2" i="3" l="1"/>
  <c r="AQ36" i="3"/>
  <c r="AQ37" i="3" s="1"/>
  <c r="AQ64" i="3" s="1"/>
  <c r="AQ63" i="3"/>
  <c r="AP36" i="3"/>
  <c r="AP37" i="3" s="1"/>
  <c r="AP64" i="3" s="1"/>
  <c r="AP63" i="3"/>
  <c r="AR1" i="3"/>
  <c r="AQ2" i="3"/>
  <c r="AR36" i="3" l="1"/>
  <c r="AR37" i="3" s="1"/>
  <c r="AR64" i="3" s="1"/>
  <c r="AR63" i="3"/>
  <c r="AS1" i="3"/>
  <c r="AR2" i="3"/>
  <c r="AS36" i="3" l="1"/>
  <c r="AS37" i="3" s="1"/>
  <c r="AS64" i="3" s="1"/>
  <c r="AS63" i="3"/>
  <c r="AT1" i="3"/>
  <c r="AS2" i="3"/>
  <c r="AT36" i="3" l="1"/>
  <c r="AT37" i="3" s="1"/>
  <c r="AT64" i="3" s="1"/>
  <c r="AT63" i="3"/>
  <c r="AU1" i="3"/>
  <c r="AT2" i="3"/>
  <c r="AU36" i="3" l="1"/>
  <c r="AU37" i="3" s="1"/>
  <c r="AU64" i="3" s="1"/>
  <c r="AU63" i="3"/>
  <c r="AV1" i="3"/>
  <c r="AU2" i="3"/>
  <c r="AV36" i="3" l="1"/>
  <c r="AV37" i="3" s="1"/>
  <c r="AV64" i="3" s="1"/>
  <c r="AV63" i="3"/>
  <c r="AW1" i="3"/>
  <c r="AV2" i="3"/>
  <c r="AW36" i="3" l="1"/>
  <c r="AW37" i="3" s="1"/>
  <c r="AW64" i="3" s="1"/>
  <c r="AW63" i="3"/>
  <c r="AX1" i="3"/>
  <c r="AW2" i="3"/>
  <c r="AX36" i="3" l="1"/>
  <c r="AX37" i="3" s="1"/>
  <c r="AX64" i="3" s="1"/>
  <c r="AX63" i="3"/>
  <c r="AY1" i="3"/>
  <c r="AX2" i="3"/>
  <c r="AY36" i="3" l="1"/>
  <c r="AY37" i="3" s="1"/>
  <c r="AY64" i="3" s="1"/>
  <c r="AY63" i="3"/>
  <c r="AZ1" i="3"/>
  <c r="AY2" i="3"/>
  <c r="AZ36" i="3" l="1"/>
  <c r="AZ37" i="3" s="1"/>
  <c r="AZ64" i="3" s="1"/>
  <c r="AZ63" i="3"/>
  <c r="BA1" i="3"/>
  <c r="AZ2" i="3"/>
  <c r="BA36" i="3" l="1"/>
  <c r="BA37" i="3" s="1"/>
  <c r="BA64" i="3" s="1"/>
  <c r="BA63" i="3"/>
  <c r="BB1" i="3"/>
  <c r="BA2" i="3"/>
  <c r="BB36" i="3" l="1"/>
  <c r="BB37" i="3" s="1"/>
  <c r="BB64" i="3" s="1"/>
  <c r="BB63" i="3"/>
  <c r="BC1" i="3"/>
  <c r="BB2" i="3"/>
  <c r="BC36" i="3" l="1"/>
  <c r="BC37" i="3" s="1"/>
  <c r="BC64" i="3" s="1"/>
  <c r="BC63" i="3"/>
  <c r="BD1" i="3"/>
  <c r="BC2" i="3"/>
  <c r="BD36" i="3" l="1"/>
  <c r="BD37" i="3" s="1"/>
  <c r="BD64" i="3" s="1"/>
  <c r="BD63" i="3"/>
  <c r="BE1" i="3"/>
  <c r="BD2" i="3"/>
  <c r="BE36" i="3" l="1"/>
  <c r="BE37" i="3" s="1"/>
  <c r="BE64" i="3" s="1"/>
  <c r="BE63" i="3"/>
  <c r="BF1" i="3"/>
  <c r="BE2" i="3"/>
  <c r="BF36" i="3" l="1"/>
  <c r="BF37" i="3" s="1"/>
  <c r="BF64" i="3" s="1"/>
  <c r="BF63" i="3"/>
  <c r="BG1" i="3"/>
  <c r="BF2" i="3"/>
  <c r="BG36" i="3" l="1"/>
  <c r="BG37" i="3" s="1"/>
  <c r="BG64" i="3" s="1"/>
  <c r="BG63" i="3"/>
  <c r="BH1" i="3"/>
  <c r="BG2" i="3"/>
  <c r="BH36" i="3" l="1"/>
  <c r="BH37" i="3" s="1"/>
  <c r="BH64" i="3" s="1"/>
  <c r="BH63" i="3"/>
  <c r="BI1" i="3"/>
  <c r="BH2" i="3"/>
  <c r="BI36" i="3" l="1"/>
  <c r="BI37" i="3" s="1"/>
  <c r="BI64" i="3" s="1"/>
  <c r="BI63" i="3"/>
  <c r="BJ1" i="3"/>
  <c r="BI2" i="3"/>
  <c r="BJ36" i="3" l="1"/>
  <c r="BJ37" i="3" s="1"/>
  <c r="BJ64" i="3" s="1"/>
  <c r="BJ63" i="3"/>
  <c r="BK1" i="3"/>
  <c r="BJ2" i="3"/>
  <c r="BK36" i="3" l="1"/>
  <c r="BK37" i="3" s="1"/>
  <c r="BK64" i="3" s="1"/>
  <c r="BK63" i="3"/>
  <c r="BL1" i="3"/>
  <c r="BK2" i="3"/>
  <c r="BL36" i="3" l="1"/>
  <c r="BL37" i="3" s="1"/>
  <c r="BL64" i="3" s="1"/>
  <c r="BL63" i="3"/>
  <c r="BM1" i="3"/>
  <c r="BL2" i="3"/>
  <c r="BM36" i="3" l="1"/>
  <c r="BM37" i="3" s="1"/>
  <c r="BM64" i="3" s="1"/>
  <c r="BM63" i="3"/>
  <c r="BN1" i="3"/>
  <c r="BM2" i="3"/>
  <c r="BN36" i="3" l="1"/>
  <c r="BN37" i="3" s="1"/>
  <c r="BN64" i="3" s="1"/>
  <c r="BN63" i="3"/>
  <c r="BO1" i="3"/>
  <c r="BP1" i="3" s="1"/>
  <c r="BP63" i="3" s="1"/>
  <c r="BN2" i="3"/>
  <c r="BQ1" i="3" l="1"/>
  <c r="BP36" i="3"/>
  <c r="BO36" i="3"/>
  <c r="BO37" i="3" s="1"/>
  <c r="BO64" i="3" s="1"/>
  <c r="BO63" i="3"/>
  <c r="BO2" i="3"/>
  <c r="BQ36" i="3" l="1"/>
  <c r="BQ37" i="3" s="1"/>
  <c r="BQ64" i="3" s="1"/>
  <c r="BQ63" i="3"/>
  <c r="BR1" i="3"/>
  <c r="BQ2" i="3"/>
  <c r="BR36" i="3" l="1"/>
  <c r="BR37" i="3" s="1"/>
  <c r="BR64" i="3" s="1"/>
  <c r="BR63" i="3"/>
  <c r="BS1" i="3"/>
  <c r="BR2" i="3"/>
  <c r="BS36" i="3" l="1"/>
  <c r="BS37" i="3" s="1"/>
  <c r="BS64" i="3" s="1"/>
  <c r="BS63" i="3"/>
  <c r="BT1" i="3"/>
  <c r="BS2" i="3"/>
  <c r="BT36" i="3" l="1"/>
  <c r="BT37" i="3" s="1"/>
  <c r="BT64" i="3" s="1"/>
  <c r="BT63" i="3"/>
  <c r="BU1" i="3"/>
  <c r="BT2" i="3"/>
  <c r="BU36" i="3" l="1"/>
  <c r="BU37" i="3" s="1"/>
  <c r="BU64" i="3" s="1"/>
  <c r="BU63" i="3"/>
  <c r="BV1" i="3"/>
  <c r="BW1" i="3" s="1"/>
  <c r="BU2" i="3"/>
  <c r="BW36" i="3" l="1"/>
  <c r="BW63" i="3"/>
  <c r="BZ1" i="3"/>
  <c r="BW2" i="3"/>
  <c r="BV36" i="3"/>
  <c r="BV37" i="3" s="1"/>
  <c r="BV64" i="3" s="1"/>
  <c r="BV63" i="3"/>
  <c r="BV2" i="3"/>
  <c r="BZ36" i="3" l="1"/>
  <c r="BZ37" i="3" s="1"/>
  <c r="BZ64" i="3" s="1"/>
  <c r="BZ63" i="3"/>
  <c r="CA1" i="3"/>
  <c r="BZ2" i="3"/>
  <c r="CA36" i="3" l="1"/>
  <c r="CA37" i="3" s="1"/>
  <c r="CA64" i="3" s="1"/>
  <c r="CA63" i="3"/>
  <c r="CB1" i="3"/>
  <c r="CA2" i="3"/>
  <c r="CB36" i="3" l="1"/>
  <c r="CB37" i="3" s="1"/>
  <c r="CB64" i="3" s="1"/>
  <c r="CB63" i="3"/>
  <c r="CC1" i="3"/>
  <c r="CB2" i="3"/>
  <c r="CC36" i="3" l="1"/>
  <c r="CC37" i="3" s="1"/>
  <c r="CC64" i="3" s="1"/>
  <c r="CC63" i="3"/>
  <c r="CD1" i="3"/>
  <c r="CC2" i="3"/>
  <c r="CD36" i="3" l="1"/>
  <c r="CD37" i="3" s="1"/>
  <c r="CD64" i="3" s="1"/>
  <c r="CD63" i="3"/>
  <c r="CE1" i="3"/>
  <c r="CD2" i="3"/>
  <c r="CE36" i="3" l="1"/>
  <c r="CE37" i="3" s="1"/>
  <c r="CE64" i="3" s="1"/>
  <c r="CE63" i="3"/>
  <c r="CF1" i="3"/>
  <c r="CF36" i="3" s="1"/>
  <c r="CF37" i="3" s="1"/>
  <c r="CE2" i="3"/>
  <c r="CF63" i="3" l="1"/>
  <c r="CF2" i="3"/>
  <c r="CI1" i="3"/>
  <c r="CI36" i="3" l="1"/>
  <c r="CI37" i="3" s="1"/>
  <c r="CI64" i="3" s="1"/>
  <c r="CI63" i="3"/>
  <c r="CJ1" i="3"/>
  <c r="CI2" i="3"/>
  <c r="CJ36" i="3" l="1"/>
  <c r="CJ37" i="3" s="1"/>
  <c r="CJ64" i="3" s="1"/>
  <c r="CJ63" i="3"/>
  <c r="CK1" i="3"/>
  <c r="CJ2" i="3"/>
  <c r="CK36" i="3" l="1"/>
  <c r="CK37" i="3" s="1"/>
  <c r="CK64" i="3" s="1"/>
  <c r="CK63" i="3"/>
  <c r="CL1" i="3"/>
  <c r="CK2" i="3"/>
  <c r="CL36" i="3" l="1"/>
  <c r="CL37" i="3" s="1"/>
  <c r="CL64" i="3" s="1"/>
  <c r="CL63" i="3"/>
  <c r="CM1" i="3"/>
  <c r="CL2" i="3"/>
  <c r="CM36" i="3" l="1"/>
  <c r="CM37" i="3" s="1"/>
  <c r="CM64" i="3" s="1"/>
  <c r="CM63" i="3"/>
  <c r="CN1" i="3"/>
  <c r="CO1" i="3" s="1"/>
  <c r="CM2" i="3"/>
  <c r="CO63" i="3" l="1"/>
  <c r="CR1" i="3"/>
  <c r="CO2" i="3"/>
  <c r="CO36" i="3"/>
  <c r="CO37" i="3" s="1"/>
  <c r="CO64" i="3" s="1"/>
  <c r="CN36" i="3"/>
  <c r="CN37" i="3" s="1"/>
  <c r="CN64" i="3" s="1"/>
  <c r="CN63" i="3"/>
  <c r="CN2" i="3"/>
  <c r="CR36" i="3" l="1"/>
  <c r="CR37" i="3" s="1"/>
  <c r="CR64" i="3" s="1"/>
  <c r="CR63" i="3"/>
  <c r="CS1" i="3"/>
  <c r="CR2" i="3"/>
  <c r="CS36" i="3" l="1"/>
  <c r="CS37" i="3" s="1"/>
  <c r="CS64" i="3" s="1"/>
  <c r="CS63" i="3"/>
  <c r="CT1" i="3"/>
  <c r="CS2" i="3"/>
  <c r="CT36" i="3" l="1"/>
  <c r="CT37" i="3" s="1"/>
  <c r="CT64" i="3" s="1"/>
  <c r="CT63" i="3"/>
  <c r="CU1" i="3"/>
  <c r="CT2" i="3"/>
  <c r="CU36" i="3" l="1"/>
  <c r="CU37" i="3" s="1"/>
  <c r="CU64" i="3" s="1"/>
  <c r="CU63" i="3"/>
  <c r="CV1" i="3"/>
  <c r="CW1" i="3" s="1"/>
  <c r="CU2" i="3"/>
  <c r="CX1" i="3" l="1"/>
  <c r="CW36" i="3"/>
  <c r="CW37" i="3" s="1"/>
  <c r="CW64" i="3" s="1"/>
  <c r="CW63" i="3"/>
  <c r="CV36" i="3"/>
  <c r="CV37" i="3" s="1"/>
  <c r="CV64" i="3" s="1"/>
  <c r="CV63" i="3"/>
  <c r="CV2" i="3"/>
  <c r="CX63" i="3" l="1"/>
  <c r="CX36" i="3"/>
  <c r="CX37" i="3" s="1"/>
  <c r="CX64" i="3" s="1"/>
  <c r="CW2" i="3"/>
  <c r="DA1" i="3" l="1"/>
  <c r="CX2" i="3"/>
  <c r="DA36" i="3" l="1"/>
  <c r="DA37" i="3" s="1"/>
  <c r="DA64" i="3" s="1"/>
  <c r="DA63" i="3"/>
  <c r="DB1" i="3"/>
  <c r="DA2" i="3"/>
  <c r="DB36" i="3" l="1"/>
  <c r="DB37" i="3" s="1"/>
  <c r="DB64" i="3" s="1"/>
  <c r="DB63" i="3"/>
  <c r="DC1" i="3"/>
  <c r="DB2" i="3"/>
  <c r="DC36" i="3" l="1"/>
  <c r="DC37" i="3" s="1"/>
  <c r="DC64" i="3" s="1"/>
  <c r="DC63" i="3"/>
  <c r="DD1" i="3"/>
  <c r="DC2" i="3"/>
  <c r="DD36" i="3" l="1"/>
  <c r="DD37" i="3" s="1"/>
  <c r="DD64" i="3" s="1"/>
  <c r="DD63" i="3"/>
  <c r="DE1" i="3"/>
  <c r="DD2" i="3"/>
  <c r="DE36" i="3" l="1"/>
  <c r="DE37" i="3" s="1"/>
  <c r="DE64" i="3" s="1"/>
  <c r="DE63" i="3"/>
  <c r="DF1" i="3"/>
  <c r="DG1" i="3" s="1"/>
  <c r="DE2" i="3"/>
  <c r="DG2" i="3" l="1"/>
  <c r="DG63" i="3"/>
  <c r="DJ1" i="3"/>
  <c r="DG36" i="3"/>
  <c r="DG37" i="3" s="1"/>
  <c r="DG64" i="3" s="1"/>
  <c r="DF36" i="3"/>
  <c r="DF37" i="3" s="1"/>
  <c r="DF64" i="3" s="1"/>
  <c r="DF63" i="3"/>
  <c r="DF2" i="3"/>
  <c r="DJ36" i="3" l="1"/>
  <c r="DJ37" i="3" s="1"/>
  <c r="DJ64" i="3" s="1"/>
  <c r="DJ63" i="3"/>
  <c r="DK1" i="3"/>
  <c r="DJ2" i="3"/>
  <c r="DK36" i="3" l="1"/>
  <c r="DK37" i="3" s="1"/>
  <c r="DK64" i="3" s="1"/>
  <c r="DK63" i="3"/>
  <c r="DL1" i="3"/>
  <c r="DK2" i="3"/>
  <c r="DL36" i="3" l="1"/>
  <c r="DL37" i="3" s="1"/>
  <c r="DL64" i="3" s="1"/>
  <c r="DL63" i="3"/>
  <c r="DM1" i="3"/>
  <c r="DL2" i="3"/>
  <c r="DM36" i="3" l="1"/>
  <c r="DM37" i="3" s="1"/>
  <c r="DM64" i="3" s="1"/>
  <c r="DM63" i="3"/>
  <c r="DN1" i="3"/>
  <c r="DM2" i="3"/>
  <c r="DN36" i="3" l="1"/>
  <c r="DN37" i="3" s="1"/>
  <c r="DN64" i="3" s="1"/>
  <c r="DN63" i="3"/>
  <c r="DO1" i="3"/>
  <c r="DP1" i="3" s="1"/>
  <c r="DN2" i="3"/>
  <c r="DP2" i="3" l="1"/>
  <c r="DP63" i="3"/>
  <c r="DP36" i="3"/>
  <c r="DP37" i="3" s="1"/>
  <c r="DP64" i="3" s="1"/>
  <c r="DS1" i="3"/>
  <c r="DO36" i="3"/>
  <c r="DO37" i="3" s="1"/>
  <c r="DO64" i="3" s="1"/>
  <c r="DO63" i="3"/>
  <c r="DO2" i="3"/>
  <c r="DS36" i="3" l="1"/>
  <c r="DS37" i="3" s="1"/>
  <c r="DS64" i="3" s="1"/>
  <c r="DS63" i="3"/>
  <c r="DT1" i="3"/>
  <c r="DS2" i="3"/>
  <c r="DT36" i="3" l="1"/>
  <c r="DT37" i="3" s="1"/>
  <c r="DT64" i="3" s="1"/>
  <c r="DT63" i="3"/>
  <c r="DU1" i="3"/>
  <c r="DT2" i="3"/>
  <c r="DU36" i="3" l="1"/>
  <c r="DU37" i="3" s="1"/>
  <c r="DU64" i="3" s="1"/>
  <c r="DU63" i="3"/>
  <c r="DV1" i="3"/>
  <c r="DU2" i="3"/>
  <c r="DV36" i="3" l="1"/>
  <c r="DV37" i="3" s="1"/>
  <c r="DV64" i="3" s="1"/>
  <c r="DV63" i="3"/>
  <c r="DW1" i="3"/>
  <c r="DX1" i="3" s="1"/>
  <c r="DV2" i="3"/>
  <c r="DX2" i="3" l="1"/>
  <c r="DX36" i="3"/>
  <c r="DX37" i="3" s="1"/>
  <c r="DX64" i="3" s="1"/>
  <c r="DX63" i="3"/>
  <c r="DY1" i="3"/>
  <c r="DW36" i="3"/>
  <c r="DW37" i="3" s="1"/>
  <c r="DW64" i="3" s="1"/>
  <c r="DW63" i="3"/>
  <c r="DW2" i="3"/>
  <c r="DY63" i="3" l="1"/>
  <c r="DY36" i="3"/>
  <c r="DY37" i="3" s="1"/>
  <c r="DY64" i="3" s="1"/>
  <c r="EB1" i="3"/>
  <c r="DY2" i="3"/>
  <c r="EB36" i="3"/>
  <c r="EB37" i="3" s="1"/>
  <c r="EB64" i="3" s="1"/>
  <c r="EB63" i="3"/>
  <c r="EC1" i="3"/>
  <c r="EB2" i="3"/>
  <c r="EC36" i="3" l="1"/>
  <c r="EC37" i="3" s="1"/>
  <c r="EC64" i="3" s="1"/>
  <c r="EC63" i="3"/>
  <c r="ED1" i="3"/>
  <c r="EC2" i="3"/>
  <c r="ED36" i="3" l="1"/>
  <c r="ED37" i="3" s="1"/>
  <c r="ED64" i="3" s="1"/>
  <c r="ED63" i="3"/>
  <c r="EE1" i="3"/>
  <c r="ED2" i="3"/>
  <c r="EE36" i="3" l="1"/>
  <c r="EE37" i="3" s="1"/>
  <c r="EE64" i="3" s="1"/>
  <c r="EE63" i="3"/>
  <c r="EF1" i="3"/>
  <c r="EE2" i="3"/>
  <c r="EF36" i="3" l="1"/>
  <c r="EF37" i="3" s="1"/>
  <c r="EF64" i="3" s="1"/>
  <c r="EF63" i="3"/>
  <c r="EG1" i="3"/>
  <c r="EF2" i="3"/>
  <c r="EG36" i="3" l="1"/>
  <c r="EG37" i="3" s="1"/>
  <c r="EG64" i="3" s="1"/>
  <c r="EG63" i="3"/>
  <c r="EH1" i="3"/>
  <c r="EG2" i="3"/>
  <c r="EH36" i="3" l="1"/>
  <c r="EH37" i="3" s="1"/>
  <c r="EH64" i="3" s="1"/>
  <c r="EH63" i="3"/>
  <c r="EI1" i="3"/>
  <c r="EH2" i="3"/>
  <c r="EI36" i="3" l="1"/>
  <c r="EI37" i="3" s="1"/>
  <c r="EI64" i="3" s="1"/>
  <c r="EI63" i="3"/>
  <c r="EJ1" i="3"/>
  <c r="EI2" i="3"/>
  <c r="EJ36" i="3" l="1"/>
  <c r="EJ37" i="3" s="1"/>
  <c r="EJ64" i="3" s="1"/>
  <c r="EJ63" i="3"/>
  <c r="EK1" i="3"/>
  <c r="EJ2" i="3"/>
  <c r="EK36" i="3" l="1"/>
  <c r="EK37" i="3" s="1"/>
  <c r="EK64" i="3" s="1"/>
  <c r="EK63" i="3"/>
  <c r="EL1" i="3"/>
  <c r="EK2" i="3"/>
  <c r="EL36" i="3" l="1"/>
  <c r="EL37" i="3" s="1"/>
  <c r="EL64" i="3" s="1"/>
  <c r="EL63" i="3"/>
  <c r="EM1" i="3"/>
  <c r="EL2" i="3"/>
  <c r="EM36" i="3" l="1"/>
  <c r="EM37" i="3" s="1"/>
  <c r="EM64" i="3" s="1"/>
  <c r="EM63" i="3"/>
  <c r="EN1" i="3"/>
  <c r="EM2" i="3"/>
  <c r="EN36" i="3" l="1"/>
  <c r="EN37" i="3" s="1"/>
  <c r="EN64" i="3" s="1"/>
  <c r="EN63" i="3"/>
  <c r="EO1" i="3"/>
  <c r="EN2" i="3"/>
  <c r="EO36" i="3" l="1"/>
  <c r="EO37" i="3" s="1"/>
  <c r="EO64" i="3" s="1"/>
  <c r="EO63" i="3"/>
  <c r="EP1" i="3"/>
  <c r="EO2" i="3"/>
  <c r="EP36" i="3" l="1"/>
  <c r="EP37" i="3" s="1"/>
  <c r="EP64" i="3" s="1"/>
  <c r="EP63" i="3"/>
  <c r="EQ1" i="3"/>
  <c r="EP2" i="3"/>
  <c r="EQ36" i="3" l="1"/>
  <c r="EQ37" i="3" s="1"/>
  <c r="EQ64" i="3" s="1"/>
  <c r="EQ63" i="3"/>
  <c r="ER1" i="3"/>
  <c r="EQ2" i="3"/>
  <c r="ER36" i="3" l="1"/>
  <c r="ER37" i="3" s="1"/>
  <c r="ER64" i="3" s="1"/>
  <c r="ER63" i="3"/>
  <c r="ES1" i="3"/>
  <c r="ES63" i="3" s="1"/>
  <c r="ER2" i="3"/>
  <c r="ES36" i="3" l="1"/>
  <c r="ES37" i="3" s="1"/>
  <c r="ES64" i="3" s="1"/>
  <c r="ET1" i="3"/>
  <c r="ET63" i="3" s="1"/>
  <c r="ES2" i="3"/>
  <c r="ET36" i="3" l="1"/>
  <c r="ET37" i="3" s="1"/>
  <c r="ET64" i="3" s="1"/>
  <c r="EU1" i="3"/>
  <c r="EU63" i="3" s="1"/>
  <c r="ET2" i="3"/>
  <c r="EU2" i="3" l="1"/>
  <c r="EU36" i="3"/>
  <c r="EU37" i="3" s="1"/>
  <c r="EU64" i="3" s="1"/>
  <c r="EV1" i="3"/>
  <c r="EV36" i="3" l="1"/>
  <c r="EV37" i="3" s="1"/>
  <c r="EV64" i="3" s="1"/>
  <c r="EV63" i="3"/>
  <c r="EW1" i="3"/>
  <c r="EV2" i="3"/>
  <c r="EW36" i="3" l="1"/>
  <c r="EW37" i="3" s="1"/>
  <c r="EW64" i="3" s="1"/>
  <c r="EW63" i="3"/>
  <c r="EX1" i="3"/>
  <c r="EW2" i="3"/>
  <c r="EX36" i="3" l="1"/>
  <c r="EX37" i="3" s="1"/>
  <c r="EX64" i="3" s="1"/>
  <c r="EX63" i="3"/>
  <c r="EY1" i="3"/>
  <c r="EX2" i="3"/>
  <c r="EY36" i="3" l="1"/>
  <c r="EY37" i="3" s="1"/>
  <c r="EY64" i="3" s="1"/>
  <c r="EY63" i="3"/>
  <c r="EZ1" i="3"/>
  <c r="EY2" i="3"/>
  <c r="EZ36" i="3" l="1"/>
  <c r="EZ37" i="3" s="1"/>
  <c r="EZ64" i="3" s="1"/>
  <c r="EZ63" i="3"/>
  <c r="FA1" i="3"/>
  <c r="EZ2" i="3"/>
  <c r="FA36" i="3" l="1"/>
  <c r="FA37" i="3" s="1"/>
  <c r="FA64" i="3" s="1"/>
  <c r="FA63" i="3"/>
  <c r="FB1" i="3"/>
  <c r="FA2" i="3"/>
  <c r="FB36" i="3" l="1"/>
  <c r="FB37" i="3" s="1"/>
  <c r="FB64" i="3" s="1"/>
  <c r="FB63" i="3"/>
  <c r="FC1" i="3"/>
  <c r="FB2" i="3"/>
  <c r="FC36" i="3" l="1"/>
  <c r="FC37" i="3" s="1"/>
  <c r="FC64" i="3" s="1"/>
  <c r="FC63" i="3"/>
  <c r="FD1" i="3"/>
  <c r="FC2" i="3"/>
  <c r="FD36" i="3" l="1"/>
  <c r="FD37" i="3" s="1"/>
  <c r="FD64" i="3" s="1"/>
  <c r="FD63" i="3"/>
  <c r="FE1" i="3"/>
  <c r="FD2" i="3"/>
  <c r="FE36" i="3" l="1"/>
  <c r="FE37" i="3" s="1"/>
  <c r="FE64" i="3" s="1"/>
  <c r="FE63" i="3"/>
  <c r="FF1" i="3"/>
  <c r="FE2" i="3"/>
  <c r="FF36" i="3" l="1"/>
  <c r="FF37" i="3" s="1"/>
  <c r="FF64" i="3" s="1"/>
  <c r="FF63" i="3"/>
  <c r="FG1" i="3"/>
  <c r="FF2" i="3"/>
  <c r="FG36" i="3" l="1"/>
  <c r="FG37" i="3" s="1"/>
  <c r="FG64" i="3" s="1"/>
  <c r="FG63" i="3"/>
  <c r="FH1" i="3"/>
  <c r="FG2" i="3"/>
  <c r="FH36" i="3" l="1"/>
  <c r="FH37" i="3" s="1"/>
  <c r="FH64" i="3" s="1"/>
  <c r="FH63" i="3"/>
  <c r="FI1" i="3"/>
  <c r="FH2" i="3"/>
  <c r="FI36" i="3" l="1"/>
  <c r="FI37" i="3" s="1"/>
  <c r="FI64" i="3" s="1"/>
  <c r="FI63" i="3"/>
  <c r="FJ1" i="3"/>
  <c r="FI2" i="3"/>
  <c r="FJ36" i="3" l="1"/>
  <c r="FJ37" i="3" s="1"/>
  <c r="FJ64" i="3" s="1"/>
  <c r="FJ63" i="3"/>
  <c r="FK1" i="3"/>
  <c r="FJ2" i="3"/>
  <c r="FK36" i="3" l="1"/>
  <c r="FK37" i="3" s="1"/>
  <c r="FK64" i="3" s="1"/>
  <c r="FK63" i="3"/>
  <c r="FL1" i="3"/>
  <c r="FK2" i="3"/>
  <c r="FL36" i="3" l="1"/>
  <c r="FL37" i="3" s="1"/>
  <c r="FL64" i="3" s="1"/>
  <c r="FL63" i="3"/>
  <c r="FM1" i="3"/>
  <c r="FL2" i="3"/>
  <c r="FM36" i="3" l="1"/>
  <c r="FM37" i="3" s="1"/>
  <c r="FM64" i="3" s="1"/>
  <c r="FM63" i="3"/>
  <c r="FN1" i="3"/>
  <c r="FM2" i="3"/>
  <c r="FN36" i="3" l="1"/>
  <c r="FN37" i="3" s="1"/>
  <c r="FN64" i="3" s="1"/>
  <c r="FN63" i="3"/>
  <c r="FO1" i="3"/>
  <c r="FN2" i="3"/>
  <c r="FO36" i="3" l="1"/>
  <c r="FO37" i="3" s="1"/>
  <c r="FO64" i="3" s="1"/>
  <c r="FO63" i="3"/>
  <c r="FP1" i="3"/>
  <c r="FO2" i="3"/>
  <c r="FP36" i="3" l="1"/>
  <c r="FP37" i="3" s="1"/>
  <c r="FP64" i="3" s="1"/>
  <c r="FP63" i="3"/>
  <c r="FQ1" i="3"/>
  <c r="FP2" i="3"/>
  <c r="FQ36" i="3" l="1"/>
  <c r="FQ37" i="3" s="1"/>
  <c r="FQ64" i="3" s="1"/>
  <c r="FQ63" i="3"/>
  <c r="FR1" i="3"/>
  <c r="FQ2" i="3"/>
  <c r="FR36" i="3" l="1"/>
  <c r="FR37" i="3" s="1"/>
  <c r="FR64" i="3" s="1"/>
  <c r="FR63" i="3"/>
  <c r="FS1" i="3"/>
  <c r="FR2" i="3"/>
  <c r="FS36" i="3" l="1"/>
  <c r="FS37" i="3" s="1"/>
  <c r="FS64" i="3" s="1"/>
  <c r="FS63" i="3"/>
  <c r="FT1" i="3"/>
  <c r="FS2" i="3"/>
  <c r="FT36" i="3" l="1"/>
  <c r="FT37" i="3" s="1"/>
  <c r="FT64" i="3" s="1"/>
  <c r="FT63" i="3"/>
  <c r="FU1" i="3"/>
  <c r="FT2" i="3"/>
  <c r="FU36" i="3" l="1"/>
  <c r="FU37" i="3" s="1"/>
  <c r="FU64" i="3" s="1"/>
  <c r="FU63" i="3"/>
  <c r="FV1" i="3"/>
  <c r="FU2" i="3"/>
  <c r="FV36" i="3" l="1"/>
  <c r="FV37" i="3" s="1"/>
  <c r="FV64" i="3" s="1"/>
  <c r="FV63" i="3"/>
  <c r="FW1" i="3"/>
  <c r="FV2" i="3"/>
  <c r="FW36" i="3" l="1"/>
  <c r="FW37" i="3" s="1"/>
  <c r="FW64" i="3" s="1"/>
  <c r="FW63" i="3"/>
  <c r="FX1" i="3"/>
  <c r="FW2" i="3"/>
  <c r="FX36" i="3" l="1"/>
  <c r="FX37" i="3" s="1"/>
  <c r="FX64" i="3" s="1"/>
  <c r="FX63" i="3"/>
  <c r="FY1" i="3"/>
  <c r="FX2" i="3"/>
  <c r="FY36" i="3" l="1"/>
  <c r="FY37" i="3" s="1"/>
  <c r="FY64" i="3" s="1"/>
  <c r="FY63" i="3"/>
  <c r="FZ1" i="3"/>
  <c r="FY2" i="3"/>
  <c r="FZ36" i="3" l="1"/>
  <c r="FZ37" i="3" s="1"/>
  <c r="FZ64" i="3" s="1"/>
  <c r="FZ63" i="3"/>
  <c r="GA1" i="3"/>
  <c r="FZ2" i="3"/>
  <c r="GA36" i="3" l="1"/>
  <c r="GA37" i="3" s="1"/>
  <c r="GA64" i="3" s="1"/>
  <c r="GA63" i="3"/>
  <c r="GB1" i="3"/>
  <c r="GA2" i="3"/>
  <c r="GB36" i="3" l="1"/>
  <c r="GB37" i="3" s="1"/>
  <c r="GB64" i="3" s="1"/>
  <c r="GB63" i="3"/>
  <c r="GC1" i="3"/>
  <c r="GB2" i="3"/>
  <c r="GC36" i="3" l="1"/>
  <c r="GC37" i="3" s="1"/>
  <c r="GC64" i="3" s="1"/>
  <c r="GC63" i="3"/>
  <c r="GD1" i="3"/>
  <c r="GC2" i="3"/>
  <c r="GD36" i="3" l="1"/>
  <c r="GD37" i="3" s="1"/>
  <c r="GD64" i="3" s="1"/>
  <c r="GD63" i="3"/>
  <c r="GE1" i="3"/>
  <c r="GD2" i="3"/>
  <c r="GE36" i="3" l="1"/>
  <c r="GE37" i="3" s="1"/>
  <c r="GE64" i="3" s="1"/>
  <c r="GE63" i="3"/>
  <c r="GF1" i="3"/>
  <c r="GE2" i="3"/>
  <c r="GF36" i="3" l="1"/>
  <c r="GF37" i="3" s="1"/>
  <c r="GF64" i="3" s="1"/>
  <c r="GF63" i="3"/>
  <c r="GG1" i="3"/>
  <c r="GF2" i="3"/>
  <c r="GG36" i="3" l="1"/>
  <c r="GG37" i="3" s="1"/>
  <c r="GG64" i="3" s="1"/>
  <c r="GG63" i="3"/>
  <c r="GH1" i="3"/>
  <c r="GG2" i="3"/>
  <c r="GH36" i="3" l="1"/>
  <c r="GH37" i="3" s="1"/>
  <c r="GH64" i="3" s="1"/>
  <c r="GH63" i="3"/>
  <c r="GI1" i="3"/>
  <c r="GH2" i="3"/>
  <c r="GI36" i="3" l="1"/>
  <c r="GI37" i="3" s="1"/>
  <c r="GI64" i="3" s="1"/>
  <c r="GI63" i="3"/>
  <c r="GJ1" i="3"/>
  <c r="GI2" i="3"/>
  <c r="GJ36" i="3" l="1"/>
  <c r="GJ37" i="3" s="1"/>
  <c r="GJ64" i="3" s="1"/>
  <c r="GJ63" i="3"/>
  <c r="GK1" i="3"/>
  <c r="GJ2" i="3"/>
  <c r="GK36" i="3" l="1"/>
  <c r="GK37" i="3" s="1"/>
  <c r="GK64" i="3" s="1"/>
  <c r="GK63" i="3"/>
  <c r="GL1" i="3"/>
  <c r="GK2" i="3"/>
  <c r="GL36" i="3" l="1"/>
  <c r="GL37" i="3" s="1"/>
  <c r="GL64" i="3" s="1"/>
  <c r="GL63" i="3"/>
  <c r="GM1" i="3"/>
  <c r="GL2" i="3"/>
  <c r="GM36" i="3" l="1"/>
  <c r="GM37" i="3" s="1"/>
  <c r="GM64" i="3" s="1"/>
  <c r="GM63" i="3"/>
  <c r="GN1" i="3"/>
  <c r="GM2" i="3"/>
  <c r="GN36" i="3" l="1"/>
  <c r="GN37" i="3" s="1"/>
  <c r="GN64" i="3" s="1"/>
  <c r="GN63" i="3"/>
  <c r="GO1" i="3"/>
  <c r="GN2" i="3"/>
  <c r="GO36" i="3" l="1"/>
  <c r="GO37" i="3" s="1"/>
  <c r="GO64" i="3" s="1"/>
  <c r="GO63" i="3"/>
  <c r="GP1" i="3"/>
  <c r="GO2" i="3"/>
  <c r="GP36" i="3" l="1"/>
  <c r="GP37" i="3" s="1"/>
  <c r="GP64" i="3" s="1"/>
  <c r="GP63" i="3"/>
  <c r="GQ1" i="3"/>
  <c r="GP2" i="3"/>
  <c r="GQ36" i="3" l="1"/>
  <c r="GQ37" i="3" s="1"/>
  <c r="GQ64" i="3" s="1"/>
  <c r="GQ63" i="3"/>
  <c r="GR1" i="3"/>
  <c r="GQ2" i="3"/>
  <c r="GR36" i="3" l="1"/>
  <c r="GR37" i="3" s="1"/>
  <c r="GR64" i="3" s="1"/>
  <c r="GR63" i="3"/>
  <c r="GS1" i="3"/>
  <c r="GR2" i="3"/>
  <c r="GS36" i="3" l="1"/>
  <c r="GS37" i="3" s="1"/>
  <c r="GS64" i="3" s="1"/>
  <c r="GS63" i="3"/>
  <c r="GT1" i="3"/>
  <c r="GS2" i="3"/>
  <c r="GT36" i="3" l="1"/>
  <c r="GT37" i="3" s="1"/>
  <c r="GT64" i="3" s="1"/>
  <c r="GT63" i="3"/>
  <c r="GU1" i="3"/>
  <c r="GT2" i="3"/>
  <c r="GU36" i="3" l="1"/>
  <c r="GU37" i="3" s="1"/>
  <c r="GU64" i="3" s="1"/>
  <c r="GU63" i="3"/>
  <c r="GV1" i="3"/>
  <c r="GU2" i="3"/>
  <c r="GV36" i="3" l="1"/>
  <c r="GV37" i="3" s="1"/>
  <c r="GV64" i="3" s="1"/>
  <c r="GV63" i="3"/>
  <c r="GW1" i="3"/>
  <c r="GV2" i="3"/>
  <c r="GW36" i="3" l="1"/>
  <c r="GW37" i="3" s="1"/>
  <c r="GW64" i="3" s="1"/>
  <c r="GW63" i="3"/>
  <c r="GX1" i="3"/>
  <c r="GW2" i="3"/>
  <c r="GX36" i="3" l="1"/>
  <c r="GX37" i="3" s="1"/>
  <c r="GX64" i="3" s="1"/>
  <c r="GX63" i="3"/>
  <c r="GY1" i="3"/>
  <c r="GX2" i="3"/>
  <c r="GY36" i="3" l="1"/>
  <c r="GY37" i="3" s="1"/>
  <c r="GY64" i="3" s="1"/>
  <c r="GY63" i="3"/>
  <c r="GZ1" i="3"/>
  <c r="GY2" i="3"/>
  <c r="GZ36" i="3" l="1"/>
  <c r="GZ37" i="3" s="1"/>
  <c r="GZ64" i="3" s="1"/>
  <c r="GZ63" i="3"/>
  <c r="HA1" i="3"/>
  <c r="GZ2" i="3"/>
  <c r="HA36" i="3" l="1"/>
  <c r="HA37" i="3" s="1"/>
  <c r="HA64" i="3" s="1"/>
  <c r="HA63" i="3"/>
  <c r="HB1" i="3"/>
  <c r="HA2" i="3"/>
  <c r="HB36" i="3" l="1"/>
  <c r="HB37" i="3" s="1"/>
  <c r="HB64" i="3" s="1"/>
  <c r="HB63" i="3"/>
  <c r="HC1" i="3"/>
  <c r="HB2" i="3"/>
  <c r="HC36" i="3" l="1"/>
  <c r="HC37" i="3" s="1"/>
  <c r="HC64" i="3" s="1"/>
  <c r="HC63" i="3"/>
  <c r="HD1" i="3"/>
  <c r="HC2" i="3"/>
  <c r="HD36" i="3" l="1"/>
  <c r="HD37" i="3" s="1"/>
  <c r="HD64" i="3" s="1"/>
  <c r="HD63" i="3"/>
  <c r="HE1" i="3"/>
  <c r="HD2" i="3"/>
  <c r="HE36" i="3" l="1"/>
  <c r="HE37" i="3" s="1"/>
  <c r="HE64" i="3" s="1"/>
  <c r="HE63" i="3"/>
  <c r="HF1" i="3"/>
  <c r="HE2" i="3"/>
  <c r="HF36" i="3" l="1"/>
  <c r="HF37" i="3" s="1"/>
  <c r="HF64" i="3" s="1"/>
  <c r="HF63" i="3"/>
  <c r="HG1" i="3"/>
  <c r="HF2" i="3"/>
  <c r="HG36" i="3" l="1"/>
  <c r="HG37" i="3" s="1"/>
  <c r="HG64" i="3" s="1"/>
  <c r="HG63" i="3"/>
  <c r="HH1" i="3"/>
  <c r="HG2" i="3"/>
  <c r="HH36" i="3" l="1"/>
  <c r="HH37" i="3" s="1"/>
  <c r="HH64" i="3" s="1"/>
  <c r="HH63" i="3"/>
  <c r="HI1" i="3"/>
  <c r="HH2" i="3"/>
  <c r="HI36" i="3" l="1"/>
  <c r="HI37" i="3" s="1"/>
  <c r="HI64" i="3" s="1"/>
  <c r="HI63" i="3"/>
  <c r="HJ1" i="3"/>
  <c r="HI2" i="3"/>
  <c r="HJ36" i="3" l="1"/>
  <c r="HJ37" i="3" s="1"/>
  <c r="HJ64" i="3" s="1"/>
  <c r="HJ63" i="3"/>
  <c r="HK1" i="3"/>
  <c r="HJ2" i="3"/>
  <c r="HK36" i="3" l="1"/>
  <c r="HK37" i="3" s="1"/>
  <c r="HK64" i="3" s="1"/>
  <c r="HK63" i="3"/>
  <c r="HL1" i="3"/>
  <c r="HK2" i="3"/>
  <c r="HL36" i="3" l="1"/>
  <c r="HL37" i="3" s="1"/>
  <c r="HL64" i="3" s="1"/>
  <c r="HL63" i="3"/>
  <c r="HM1" i="3"/>
  <c r="HL2" i="3"/>
  <c r="HM36" i="3" l="1"/>
  <c r="HM37" i="3" s="1"/>
  <c r="HM64" i="3" s="1"/>
  <c r="HM63" i="3"/>
  <c r="HN1" i="3"/>
  <c r="HM2" i="3"/>
  <c r="HN36" i="3" l="1"/>
  <c r="HN37" i="3" s="1"/>
  <c r="HN64" i="3" s="1"/>
  <c r="HN63" i="3"/>
  <c r="HO1" i="3"/>
  <c r="HN2" i="3"/>
  <c r="HO36" i="3" l="1"/>
  <c r="HO37" i="3" s="1"/>
  <c r="HO64" i="3" s="1"/>
  <c r="HO63" i="3"/>
  <c r="HP1" i="3"/>
  <c r="HO2" i="3"/>
  <c r="HP36" i="3" l="1"/>
  <c r="HP37" i="3" s="1"/>
  <c r="HP64" i="3" s="1"/>
  <c r="HP63" i="3"/>
  <c r="HQ1" i="3"/>
  <c r="HP2" i="3"/>
  <c r="HQ36" i="3" l="1"/>
  <c r="HQ37" i="3" s="1"/>
  <c r="HQ64" i="3" s="1"/>
  <c r="HQ63" i="3"/>
  <c r="HR1" i="3"/>
  <c r="HQ2" i="3"/>
  <c r="HR36" i="3" l="1"/>
  <c r="HR37" i="3" s="1"/>
  <c r="HR64" i="3" s="1"/>
  <c r="HR63" i="3"/>
  <c r="HS1" i="3"/>
  <c r="HR2" i="3"/>
  <c r="HS36" i="3" l="1"/>
  <c r="HS37" i="3" s="1"/>
  <c r="HS64" i="3" s="1"/>
  <c r="HS63" i="3"/>
  <c r="HT1" i="3"/>
  <c r="HS2" i="3"/>
  <c r="HT36" i="3" l="1"/>
  <c r="HT37" i="3" s="1"/>
  <c r="HT64" i="3" s="1"/>
  <c r="HT63" i="3"/>
  <c r="HU1" i="3"/>
  <c r="HT2" i="3"/>
  <c r="HU36" i="3" l="1"/>
  <c r="HU37" i="3" s="1"/>
  <c r="HU64" i="3" s="1"/>
  <c r="HU63" i="3"/>
  <c r="HV1" i="3"/>
  <c r="HU2" i="3"/>
  <c r="HV36" i="3" l="1"/>
  <c r="HV37" i="3" s="1"/>
  <c r="HV64" i="3" s="1"/>
  <c r="HV63" i="3"/>
  <c r="HW1" i="3"/>
  <c r="HV2" i="3"/>
  <c r="HW36" i="3" l="1"/>
  <c r="HW37" i="3" s="1"/>
  <c r="HW64" i="3" s="1"/>
  <c r="HW63" i="3"/>
  <c r="HX1" i="3"/>
  <c r="HW2" i="3"/>
  <c r="HX36" i="3" l="1"/>
  <c r="HX37" i="3" s="1"/>
  <c r="HX64" i="3" s="1"/>
  <c r="HX63" i="3"/>
  <c r="HY1" i="3"/>
  <c r="HX2" i="3"/>
  <c r="HY36" i="3" l="1"/>
  <c r="HY37" i="3" s="1"/>
  <c r="HY64" i="3" s="1"/>
  <c r="HY63" i="3"/>
  <c r="HZ1" i="3"/>
  <c r="HY2" i="3"/>
  <c r="HZ36" i="3" l="1"/>
  <c r="HZ37" i="3" s="1"/>
  <c r="HZ64" i="3" s="1"/>
  <c r="HZ63" i="3"/>
  <c r="IA1" i="3"/>
  <c r="HZ2" i="3"/>
  <c r="IA36" i="3" l="1"/>
  <c r="IA37" i="3" s="1"/>
  <c r="IA64" i="3" s="1"/>
  <c r="IA63" i="3"/>
  <c r="IB1" i="3"/>
  <c r="IA2" i="3"/>
  <c r="IB36" i="3" l="1"/>
  <c r="IB37" i="3" s="1"/>
  <c r="IB64" i="3" s="1"/>
  <c r="IB63" i="3"/>
  <c r="IC1" i="3"/>
  <c r="IB2" i="3"/>
  <c r="IC36" i="3" l="1"/>
  <c r="IC37" i="3" s="1"/>
  <c r="IC64" i="3" s="1"/>
  <c r="IC63" i="3"/>
  <c r="ID1" i="3"/>
  <c r="IC2" i="3"/>
  <c r="ID36" i="3" l="1"/>
  <c r="ID37" i="3" s="1"/>
  <c r="ID64" i="3" s="1"/>
  <c r="ID63" i="3"/>
  <c r="IE1" i="3"/>
  <c r="ID2" i="3"/>
  <c r="IE36" i="3" l="1"/>
  <c r="IE37" i="3" s="1"/>
  <c r="IE64" i="3" s="1"/>
  <c r="IE63" i="3"/>
  <c r="IF1" i="3"/>
  <c r="IE2" i="3"/>
  <c r="IF36" i="3" l="1"/>
  <c r="IF37" i="3" s="1"/>
  <c r="IF64" i="3" s="1"/>
  <c r="IF63" i="3"/>
  <c r="IG1" i="3"/>
  <c r="IF2" i="3"/>
  <c r="IG36" i="3" l="1"/>
  <c r="IG37" i="3" s="1"/>
  <c r="IG64" i="3" s="1"/>
  <c r="IG63" i="3"/>
  <c r="IH1" i="3"/>
  <c r="IG2" i="3"/>
  <c r="IH36" i="3" l="1"/>
  <c r="IH37" i="3" s="1"/>
  <c r="IH64" i="3" s="1"/>
  <c r="IH63" i="3"/>
  <c r="II1" i="3"/>
  <c r="IH2" i="3"/>
  <c r="II36" i="3" l="1"/>
  <c r="II37" i="3" s="1"/>
  <c r="II64" i="3" s="1"/>
  <c r="II63" i="3"/>
  <c r="IJ1" i="3"/>
  <c r="II2" i="3"/>
  <c r="IJ36" i="3" l="1"/>
  <c r="IJ37" i="3" s="1"/>
  <c r="IJ64" i="3" s="1"/>
  <c r="IJ63" i="3"/>
  <c r="IK1" i="3"/>
  <c r="IJ2" i="3"/>
  <c r="IK36" i="3" l="1"/>
  <c r="IK37" i="3" s="1"/>
  <c r="IK64" i="3" s="1"/>
  <c r="IK63" i="3"/>
  <c r="IL1" i="3"/>
  <c r="IK2" i="3"/>
  <c r="IL36" i="3" l="1"/>
  <c r="IL37" i="3" s="1"/>
  <c r="IL64" i="3" s="1"/>
  <c r="IL63" i="3"/>
  <c r="IM1" i="3"/>
  <c r="IL2" i="3"/>
  <c r="IM36" i="3" l="1"/>
  <c r="IM37" i="3" s="1"/>
  <c r="IM64" i="3" s="1"/>
  <c r="IM63" i="3"/>
  <c r="IN1" i="3"/>
  <c r="IM2" i="3"/>
  <c r="IN36" i="3" l="1"/>
  <c r="IN37" i="3" s="1"/>
  <c r="IN64" i="3" s="1"/>
  <c r="IN63" i="3"/>
  <c r="IO1" i="3"/>
  <c r="IN2" i="3"/>
  <c r="IO36" i="3" l="1"/>
  <c r="IO37" i="3" s="1"/>
  <c r="IO64" i="3" s="1"/>
  <c r="IO63" i="3"/>
  <c r="IP1" i="3"/>
  <c r="IO2" i="3"/>
  <c r="IP36" i="3" l="1"/>
  <c r="IP37" i="3" s="1"/>
  <c r="IP64" i="3" s="1"/>
  <c r="IP63" i="3"/>
  <c r="IQ1" i="3"/>
  <c r="IP2" i="3"/>
  <c r="IQ36" i="3" l="1"/>
  <c r="IQ37" i="3" s="1"/>
  <c r="IQ64" i="3" s="1"/>
  <c r="IQ63" i="3"/>
  <c r="IR1" i="3"/>
  <c r="IQ2" i="3"/>
  <c r="IR36" i="3" l="1"/>
  <c r="IR37" i="3" s="1"/>
  <c r="IR64" i="3" s="1"/>
  <c r="IR63" i="3"/>
  <c r="IS1" i="3"/>
  <c r="IR2" i="3"/>
  <c r="IS36" i="3" l="1"/>
  <c r="IS37" i="3" s="1"/>
  <c r="IS64" i="3" s="1"/>
  <c r="IS63" i="3"/>
  <c r="IT1" i="3"/>
  <c r="IS2" i="3"/>
  <c r="IT36" i="3" l="1"/>
  <c r="IT37" i="3" s="1"/>
  <c r="IT64" i="3" s="1"/>
  <c r="IT63" i="3"/>
  <c r="IU1" i="3"/>
  <c r="IT2" i="3"/>
  <c r="IU36" i="3" l="1"/>
  <c r="IU37" i="3" s="1"/>
  <c r="IU64" i="3" s="1"/>
  <c r="IU63" i="3"/>
  <c r="IV1" i="3"/>
  <c r="IU2" i="3"/>
  <c r="IV36" i="3" l="1"/>
  <c r="IV37" i="3" s="1"/>
  <c r="IV64" i="3" s="1"/>
  <c r="IV63" i="3"/>
  <c r="IW1" i="3"/>
  <c r="IV2" i="3"/>
  <c r="IW36" i="3" l="1"/>
  <c r="IW37" i="3" s="1"/>
  <c r="IW64" i="3" s="1"/>
  <c r="IW63" i="3"/>
  <c r="IX1" i="3"/>
  <c r="IW2" i="3"/>
  <c r="IX36" i="3" l="1"/>
  <c r="IX37" i="3" s="1"/>
  <c r="IX64" i="3" s="1"/>
  <c r="IX63" i="3"/>
  <c r="IY1" i="3"/>
  <c r="IX2" i="3"/>
  <c r="IY36" i="3" l="1"/>
  <c r="IY37" i="3" s="1"/>
  <c r="IY64" i="3" s="1"/>
  <c r="IY63" i="3"/>
  <c r="IZ1" i="3"/>
  <c r="IY2" i="3"/>
  <c r="IZ36" i="3" l="1"/>
  <c r="IZ37" i="3" s="1"/>
  <c r="IZ64" i="3" s="1"/>
  <c r="IZ63" i="3"/>
  <c r="JA1" i="3"/>
  <c r="IZ2" i="3"/>
  <c r="JA36" i="3" l="1"/>
  <c r="JA37" i="3" s="1"/>
  <c r="JA64" i="3" s="1"/>
  <c r="JA63" i="3"/>
  <c r="JB1" i="3"/>
  <c r="JA2" i="3"/>
  <c r="JB36" i="3" l="1"/>
  <c r="JB37" i="3" s="1"/>
  <c r="JB64" i="3" s="1"/>
  <c r="JB63" i="3"/>
  <c r="JC1" i="3"/>
  <c r="JB2" i="3"/>
  <c r="JC36" i="3" l="1"/>
  <c r="JC37" i="3" s="1"/>
  <c r="JC64" i="3" s="1"/>
  <c r="JC63" i="3"/>
  <c r="JD1" i="3"/>
  <c r="JC2" i="3"/>
  <c r="JD36" i="3" l="1"/>
  <c r="JD37" i="3" s="1"/>
  <c r="JD64" i="3" s="1"/>
  <c r="JD63" i="3"/>
  <c r="JE1" i="3"/>
  <c r="JD2" i="3"/>
  <c r="JE36" i="3" l="1"/>
  <c r="JE37" i="3" s="1"/>
  <c r="JE64" i="3" s="1"/>
  <c r="JE63" i="3"/>
  <c r="JF1" i="3"/>
  <c r="JE2" i="3"/>
  <c r="JF36" i="3" l="1"/>
  <c r="JF37" i="3" s="1"/>
  <c r="JF64" i="3" s="1"/>
  <c r="JF63" i="3"/>
  <c r="JG1" i="3"/>
  <c r="JF2" i="3"/>
  <c r="JG36" i="3" l="1"/>
  <c r="JG37" i="3" s="1"/>
  <c r="JG64" i="3" s="1"/>
  <c r="JG63" i="3"/>
  <c r="JH1" i="3"/>
  <c r="JG2" i="3"/>
  <c r="JH36" i="3" l="1"/>
  <c r="JH37" i="3" s="1"/>
  <c r="JH64" i="3" s="1"/>
  <c r="JH63" i="3"/>
  <c r="JI1" i="3"/>
  <c r="JH2" i="3"/>
  <c r="JI36" i="3" l="1"/>
  <c r="JI37" i="3" s="1"/>
  <c r="JI64" i="3" s="1"/>
  <c r="JI63" i="3"/>
  <c r="JJ1" i="3"/>
  <c r="JI2" i="3"/>
  <c r="JJ36" i="3" l="1"/>
  <c r="JJ37" i="3" s="1"/>
  <c r="JJ64" i="3" s="1"/>
  <c r="JJ63" i="3"/>
  <c r="JK1" i="3"/>
  <c r="JJ2" i="3"/>
  <c r="JK36" i="3" l="1"/>
  <c r="JK37" i="3" s="1"/>
  <c r="JK64" i="3" s="1"/>
  <c r="JK63" i="3"/>
  <c r="JL1" i="3"/>
  <c r="JK2" i="3"/>
  <c r="JL36" i="3" l="1"/>
  <c r="JL37" i="3" s="1"/>
  <c r="JL64" i="3" s="1"/>
  <c r="JL63" i="3"/>
  <c r="JM1" i="3"/>
  <c r="JL2" i="3"/>
  <c r="JM36" i="3" l="1"/>
  <c r="JM37" i="3" s="1"/>
  <c r="JM64" i="3" s="1"/>
  <c r="JM63" i="3"/>
  <c r="JN1" i="3"/>
  <c r="JM2" i="3"/>
  <c r="JN36" i="3" l="1"/>
  <c r="JN37" i="3" s="1"/>
  <c r="JN64" i="3" s="1"/>
  <c r="JN63" i="3"/>
  <c r="JO1" i="3"/>
  <c r="JN2" i="3"/>
  <c r="JO36" i="3" l="1"/>
  <c r="JO37" i="3" s="1"/>
  <c r="JO64" i="3" s="1"/>
  <c r="JO63" i="3"/>
  <c r="JP1" i="3"/>
  <c r="JO2" i="3"/>
  <c r="JP36" i="3" l="1"/>
  <c r="JP37" i="3" s="1"/>
  <c r="JP64" i="3" s="1"/>
  <c r="JP63" i="3"/>
  <c r="JQ1" i="3"/>
  <c r="JP2" i="3"/>
  <c r="JQ36" i="3" l="1"/>
  <c r="JQ37" i="3" s="1"/>
  <c r="JQ64" i="3" s="1"/>
  <c r="JQ63" i="3"/>
  <c r="JR1" i="3"/>
  <c r="JQ2" i="3"/>
  <c r="JR36" i="3" l="1"/>
  <c r="JR37" i="3" s="1"/>
  <c r="JR64" i="3" s="1"/>
  <c r="JR63" i="3"/>
  <c r="JS1" i="3"/>
  <c r="JR2" i="3"/>
  <c r="JS36" i="3" l="1"/>
  <c r="JS37" i="3" s="1"/>
  <c r="JS64" i="3" s="1"/>
  <c r="JS63" i="3"/>
  <c r="JT1" i="3"/>
  <c r="JS2" i="3"/>
  <c r="JT36" i="3" l="1"/>
  <c r="JT37" i="3" s="1"/>
  <c r="JT64" i="3" s="1"/>
  <c r="JT63" i="3"/>
  <c r="JU1" i="3"/>
  <c r="JT2" i="3"/>
  <c r="JU36" i="3" l="1"/>
  <c r="JU37" i="3" s="1"/>
  <c r="JU64" i="3" s="1"/>
  <c r="JU63" i="3"/>
  <c r="JV1" i="3"/>
  <c r="JU2" i="3"/>
  <c r="JV36" i="3" l="1"/>
  <c r="JV37" i="3" s="1"/>
  <c r="JV64" i="3" s="1"/>
  <c r="JV63" i="3"/>
  <c r="JW1" i="3"/>
  <c r="JV2" i="3"/>
  <c r="JW36" i="3" l="1"/>
  <c r="JW37" i="3" s="1"/>
  <c r="JW64" i="3" s="1"/>
  <c r="JW63" i="3"/>
  <c r="JX1" i="3"/>
  <c r="JW2" i="3"/>
  <c r="JX36" i="3" l="1"/>
  <c r="JX37" i="3" s="1"/>
  <c r="JX64" i="3" s="1"/>
  <c r="JX63" i="3"/>
  <c r="JY1" i="3"/>
  <c r="JX2" i="3"/>
  <c r="JY36" i="3" l="1"/>
  <c r="JY37" i="3" s="1"/>
  <c r="JY64" i="3" s="1"/>
  <c r="JY63" i="3"/>
  <c r="JZ1" i="3"/>
  <c r="JY2" i="3"/>
  <c r="JZ36" i="3" l="1"/>
  <c r="JZ37" i="3" s="1"/>
  <c r="JZ64" i="3" s="1"/>
  <c r="JZ63" i="3"/>
  <c r="KA1" i="3"/>
  <c r="JZ2" i="3"/>
  <c r="KA36" i="3" l="1"/>
  <c r="KA37" i="3" s="1"/>
  <c r="KA64" i="3" s="1"/>
  <c r="KA63" i="3"/>
  <c r="KB1" i="3"/>
  <c r="KA2" i="3"/>
  <c r="KB36" i="3" l="1"/>
  <c r="KB37" i="3" s="1"/>
  <c r="KB64" i="3" s="1"/>
  <c r="KB63" i="3"/>
  <c r="KC1" i="3"/>
  <c r="KB2" i="3"/>
  <c r="KC36" i="3" l="1"/>
  <c r="KC37" i="3" s="1"/>
  <c r="KC64" i="3" s="1"/>
  <c r="KC63" i="3"/>
  <c r="KD1" i="3"/>
  <c r="KC2" i="3"/>
  <c r="KD36" i="3" l="1"/>
  <c r="KD37" i="3" s="1"/>
  <c r="KD64" i="3" s="1"/>
  <c r="KD63" i="3"/>
  <c r="KE1" i="3"/>
  <c r="KD2" i="3"/>
  <c r="KE36" i="3" l="1"/>
  <c r="KE37" i="3" s="1"/>
  <c r="KE64" i="3" s="1"/>
  <c r="KE63" i="3"/>
  <c r="KF1" i="3"/>
  <c r="KE2" i="3"/>
  <c r="KF36" i="3" l="1"/>
  <c r="KF37" i="3" s="1"/>
  <c r="KF64" i="3" s="1"/>
  <c r="KF63" i="3"/>
  <c r="KG1" i="3"/>
  <c r="KF2" i="3"/>
  <c r="KG36" i="3" l="1"/>
  <c r="KG37" i="3" s="1"/>
  <c r="KG64" i="3" s="1"/>
  <c r="KG63" i="3"/>
  <c r="KH1" i="3"/>
  <c r="KG2" i="3"/>
  <c r="KH36" i="3" l="1"/>
  <c r="KH37" i="3" s="1"/>
  <c r="KH64" i="3" s="1"/>
  <c r="KH63" i="3"/>
  <c r="KI1" i="3"/>
  <c r="KH2" i="3"/>
  <c r="KI36" i="3" l="1"/>
  <c r="KI37" i="3" s="1"/>
  <c r="KI64" i="3" s="1"/>
  <c r="KI63" i="3"/>
  <c r="KJ1" i="3"/>
  <c r="KI2" i="3"/>
  <c r="KJ36" i="3" l="1"/>
  <c r="KJ37" i="3" s="1"/>
  <c r="KJ64" i="3" s="1"/>
  <c r="KJ63" i="3"/>
  <c r="KK1" i="3"/>
  <c r="KJ2" i="3"/>
  <c r="KK36" i="3" l="1"/>
  <c r="KK37" i="3" s="1"/>
  <c r="KK64" i="3" s="1"/>
  <c r="KK63" i="3"/>
  <c r="KL1" i="3"/>
  <c r="KK2" i="3"/>
  <c r="KL36" i="3" l="1"/>
  <c r="KL37" i="3" s="1"/>
  <c r="KL64" i="3" s="1"/>
  <c r="KL63" i="3"/>
  <c r="KM1" i="3"/>
  <c r="KL2" i="3"/>
  <c r="KM36" i="3" l="1"/>
  <c r="KM37" i="3" s="1"/>
  <c r="KM64" i="3" s="1"/>
  <c r="KM63" i="3"/>
  <c r="KN1" i="3"/>
  <c r="KM2" i="3"/>
  <c r="KN36" i="3" l="1"/>
  <c r="KN37" i="3" s="1"/>
  <c r="KN64" i="3" s="1"/>
  <c r="KN63" i="3"/>
  <c r="KO1" i="3"/>
  <c r="KN2" i="3"/>
  <c r="KO36" i="3" l="1"/>
  <c r="KO37" i="3" s="1"/>
  <c r="KO64" i="3" s="1"/>
  <c r="KO63" i="3"/>
  <c r="KP1" i="3"/>
  <c r="KO2" i="3"/>
  <c r="KP36" i="3" l="1"/>
  <c r="KP37" i="3" s="1"/>
  <c r="KP64" i="3" s="1"/>
  <c r="KP63" i="3"/>
  <c r="KQ1" i="3"/>
  <c r="KP2" i="3"/>
  <c r="KQ36" i="3" l="1"/>
  <c r="KQ37" i="3" s="1"/>
  <c r="KQ64" i="3" s="1"/>
  <c r="KQ63" i="3"/>
  <c r="KR1" i="3"/>
  <c r="KQ2" i="3"/>
  <c r="KR36" i="3" l="1"/>
  <c r="KR37" i="3" s="1"/>
  <c r="KR64" i="3" s="1"/>
  <c r="KR63" i="3"/>
  <c r="KS1" i="3"/>
  <c r="KR2" i="3"/>
  <c r="KS36" i="3" l="1"/>
  <c r="KS37" i="3" s="1"/>
  <c r="KS64" i="3" s="1"/>
  <c r="KS63" i="3"/>
  <c r="KT1" i="3"/>
  <c r="KS2" i="3"/>
  <c r="KT36" i="3" l="1"/>
  <c r="KT37" i="3" s="1"/>
  <c r="KT64" i="3" s="1"/>
  <c r="KT63" i="3"/>
  <c r="KU1" i="3"/>
  <c r="KT2" i="3"/>
  <c r="KU36" i="3" l="1"/>
  <c r="KU37" i="3" s="1"/>
  <c r="KU64" i="3" s="1"/>
  <c r="KU63" i="3"/>
  <c r="KV1" i="3"/>
  <c r="KU2" i="3"/>
  <c r="KV36" i="3" l="1"/>
  <c r="KV37" i="3" s="1"/>
  <c r="KV64" i="3" s="1"/>
  <c r="KV63" i="3"/>
  <c r="KW1" i="3"/>
  <c r="KV2" i="3"/>
  <c r="KW36" i="3" l="1"/>
  <c r="KW37" i="3" s="1"/>
  <c r="KW64" i="3" s="1"/>
  <c r="KW63" i="3"/>
  <c r="KX1" i="3"/>
  <c r="KW2" i="3"/>
  <c r="KX36" i="3" l="1"/>
  <c r="KX37" i="3" s="1"/>
  <c r="KX64" i="3" s="1"/>
  <c r="KX63" i="3"/>
  <c r="KY1" i="3"/>
  <c r="KX2" i="3"/>
  <c r="KY36" i="3" l="1"/>
  <c r="KY37" i="3" s="1"/>
  <c r="KY64" i="3" s="1"/>
  <c r="KY63" i="3"/>
  <c r="KZ1" i="3"/>
  <c r="KY2" i="3"/>
  <c r="KZ36" i="3" l="1"/>
  <c r="KZ37" i="3" s="1"/>
  <c r="KZ64" i="3" s="1"/>
  <c r="KZ63" i="3"/>
  <c r="LA1" i="3"/>
  <c r="KZ2" i="3"/>
  <c r="LA36" i="3" l="1"/>
  <c r="LA37" i="3" s="1"/>
  <c r="LA64" i="3" s="1"/>
  <c r="LA63" i="3"/>
  <c r="LB1" i="3"/>
  <c r="LA2" i="3"/>
  <c r="LB36" i="3" l="1"/>
  <c r="LB37" i="3" s="1"/>
  <c r="LB64" i="3" s="1"/>
  <c r="LB63" i="3"/>
  <c r="LC1" i="3"/>
  <c r="LB2" i="3"/>
  <c r="LC36" i="3" l="1"/>
  <c r="LC37" i="3" s="1"/>
  <c r="LC64" i="3" s="1"/>
  <c r="LC63" i="3"/>
  <c r="LD1" i="3"/>
  <c r="LC2" i="3"/>
  <c r="LD36" i="3" l="1"/>
  <c r="LD37" i="3" s="1"/>
  <c r="LD64" i="3" s="1"/>
  <c r="LD63" i="3"/>
  <c r="LE1" i="3"/>
  <c r="LD2" i="3"/>
  <c r="LE36" i="3" l="1"/>
  <c r="LE37" i="3" s="1"/>
  <c r="LE64" i="3" s="1"/>
  <c r="LE63" i="3"/>
  <c r="LF1" i="3"/>
  <c r="LE2" i="3"/>
  <c r="LF36" i="3" l="1"/>
  <c r="LF37" i="3" s="1"/>
  <c r="LF64" i="3" s="1"/>
  <c r="LF63" i="3"/>
  <c r="LG1" i="3"/>
  <c r="LF2" i="3"/>
  <c r="LG36" i="3" l="1"/>
  <c r="LG37" i="3" s="1"/>
  <c r="LG64" i="3" s="1"/>
  <c r="LG63" i="3"/>
  <c r="LH1" i="3"/>
  <c r="LG2" i="3"/>
  <c r="LH36" i="3" l="1"/>
  <c r="LH37" i="3" s="1"/>
  <c r="LH64" i="3" s="1"/>
  <c r="LH63" i="3"/>
  <c r="LI1" i="3"/>
  <c r="LH2" i="3"/>
  <c r="LI36" i="3" l="1"/>
  <c r="LI37" i="3" s="1"/>
  <c r="LI64" i="3" s="1"/>
  <c r="LI63" i="3"/>
  <c r="LJ1" i="3"/>
  <c r="LI2" i="3"/>
  <c r="LJ36" i="3" l="1"/>
  <c r="LJ37" i="3" s="1"/>
  <c r="LJ64" i="3" s="1"/>
  <c r="LJ63" i="3"/>
  <c r="LK1" i="3"/>
  <c r="LJ2" i="3"/>
  <c r="LK36" i="3" l="1"/>
  <c r="LK37" i="3" s="1"/>
  <c r="LK64" i="3" s="1"/>
  <c r="LK63" i="3"/>
  <c r="LL1" i="3"/>
  <c r="LK2" i="3"/>
  <c r="LL36" i="3" l="1"/>
  <c r="LL37" i="3" s="1"/>
  <c r="LL64" i="3" s="1"/>
  <c r="LL63" i="3"/>
  <c r="LM1" i="3"/>
  <c r="LL2" i="3"/>
  <c r="LM36" i="3" l="1"/>
  <c r="LM37" i="3" s="1"/>
  <c r="LM64" i="3" s="1"/>
  <c r="LM63" i="3"/>
  <c r="LN1" i="3"/>
  <c r="LM2" i="3"/>
  <c r="LN36" i="3" l="1"/>
  <c r="LN37" i="3" s="1"/>
  <c r="LN64" i="3" s="1"/>
  <c r="LN63" i="3"/>
  <c r="LO1" i="3"/>
  <c r="LN2" i="3"/>
  <c r="LO36" i="3" l="1"/>
  <c r="LO37" i="3" s="1"/>
  <c r="LO64" i="3" s="1"/>
  <c r="LO63" i="3"/>
  <c r="LP1" i="3"/>
  <c r="LO2" i="3"/>
  <c r="LP36" i="3" l="1"/>
  <c r="LP37" i="3" s="1"/>
  <c r="LP64" i="3" s="1"/>
  <c r="LP63" i="3"/>
  <c r="LQ1" i="3"/>
  <c r="LP2" i="3"/>
  <c r="LQ36" i="3" l="1"/>
  <c r="LQ37" i="3" s="1"/>
  <c r="LQ64" i="3" s="1"/>
  <c r="LQ63" i="3"/>
  <c r="LR1" i="3"/>
  <c r="LQ2" i="3"/>
  <c r="LR36" i="3" l="1"/>
  <c r="LR37" i="3" s="1"/>
  <c r="LR64" i="3" s="1"/>
  <c r="LR63" i="3"/>
  <c r="LS1" i="3"/>
  <c r="LR2" i="3"/>
  <c r="LS36" i="3" l="1"/>
  <c r="LS37" i="3" s="1"/>
  <c r="LS64" i="3" s="1"/>
  <c r="LS63" i="3"/>
  <c r="LT1" i="3"/>
  <c r="LS2" i="3"/>
  <c r="LT36" i="3" l="1"/>
  <c r="LT37" i="3" s="1"/>
  <c r="LT64" i="3" s="1"/>
  <c r="LT63" i="3"/>
  <c r="LU1" i="3"/>
  <c r="LT2" i="3"/>
  <c r="LU36" i="3" l="1"/>
  <c r="LU37" i="3" s="1"/>
  <c r="LU64" i="3" s="1"/>
  <c r="LU63" i="3"/>
  <c r="LV1" i="3"/>
  <c r="LU2" i="3"/>
  <c r="LV36" i="3" l="1"/>
  <c r="LV37" i="3" s="1"/>
  <c r="LV64" i="3" s="1"/>
  <c r="LV63" i="3"/>
  <c r="LW1" i="3"/>
  <c r="LV2" i="3"/>
  <c r="LW36" i="3" l="1"/>
  <c r="LW37" i="3" s="1"/>
  <c r="LW64" i="3" s="1"/>
  <c r="LW63" i="3"/>
  <c r="LX1" i="3"/>
  <c r="LW2" i="3"/>
  <c r="LX36" i="3" l="1"/>
  <c r="LX37" i="3" s="1"/>
  <c r="LX64" i="3" s="1"/>
  <c r="LX63" i="3"/>
  <c r="LY1" i="3"/>
  <c r="LX2" i="3"/>
  <c r="LY36" i="3" l="1"/>
  <c r="LY37" i="3" s="1"/>
  <c r="LY64" i="3" s="1"/>
  <c r="LY63" i="3"/>
  <c r="LZ1" i="3"/>
  <c r="LY2" i="3"/>
  <c r="LZ36" i="3" l="1"/>
  <c r="LZ37" i="3" s="1"/>
  <c r="LZ64" i="3" s="1"/>
  <c r="LZ63" i="3"/>
  <c r="MA1" i="3"/>
  <c r="LZ2" i="3"/>
  <c r="MA36" i="3" l="1"/>
  <c r="MA37" i="3" s="1"/>
  <c r="MA64" i="3" s="1"/>
  <c r="MA63" i="3"/>
  <c r="MB1" i="3"/>
  <c r="MA2" i="3"/>
  <c r="MB36" i="3" l="1"/>
  <c r="MB37" i="3" s="1"/>
  <c r="MB64" i="3" s="1"/>
  <c r="MB63" i="3"/>
  <c r="MC1" i="3"/>
  <c r="MB2" i="3"/>
  <c r="MC36" i="3" l="1"/>
  <c r="MC37" i="3" s="1"/>
  <c r="MC64" i="3" s="1"/>
  <c r="MC63" i="3"/>
  <c r="MD1" i="3"/>
  <c r="MC2" i="3"/>
  <c r="MD36" i="3" l="1"/>
  <c r="MD37" i="3" s="1"/>
  <c r="MD64" i="3" s="1"/>
  <c r="MD63" i="3"/>
  <c r="ME1" i="3"/>
  <c r="MD2" i="3"/>
  <c r="ME36" i="3" l="1"/>
  <c r="ME37" i="3" s="1"/>
  <c r="ME64" i="3" s="1"/>
  <c r="ME63" i="3"/>
  <c r="MF1" i="3"/>
  <c r="ME2" i="3"/>
  <c r="MF36" i="3" l="1"/>
  <c r="MF37" i="3" s="1"/>
  <c r="MF64" i="3" s="1"/>
  <c r="MF63" i="3"/>
  <c r="MG1" i="3"/>
  <c r="MF2" i="3"/>
  <c r="MG36" i="3" l="1"/>
  <c r="MG37" i="3" s="1"/>
  <c r="MG64" i="3" s="1"/>
  <c r="MG63" i="3"/>
  <c r="MH1" i="3"/>
  <c r="MG2" i="3"/>
  <c r="MH36" i="3" l="1"/>
  <c r="MH37" i="3" s="1"/>
  <c r="MH64" i="3" s="1"/>
  <c r="MH63" i="3"/>
  <c r="MI1" i="3"/>
  <c r="MH2" i="3"/>
  <c r="MI36" i="3" l="1"/>
  <c r="MI37" i="3" s="1"/>
  <c r="MI64" i="3" s="1"/>
  <c r="MI63" i="3"/>
  <c r="MJ1" i="3"/>
  <c r="MI2" i="3"/>
  <c r="R13" i="3"/>
  <c r="R20" i="3"/>
  <c r="R28" i="3"/>
  <c r="R26" i="3"/>
  <c r="R27" i="3"/>
  <c r="R14" i="3"/>
  <c r="R21" i="3"/>
  <c r="R25" i="3"/>
  <c r="R29" i="3"/>
  <c r="R24" i="3"/>
  <c r="R23" i="3"/>
  <c r="R22" i="3"/>
  <c r="R19" i="3"/>
  <c r="R18" i="3"/>
  <c r="R17" i="3"/>
  <c r="R16" i="3"/>
  <c r="R15" i="3"/>
  <c r="R12" i="3"/>
  <c r="R11" i="3"/>
  <c r="R10" i="3"/>
  <c r="R9" i="3"/>
  <c r="R7" i="3"/>
  <c r="Q27" i="3" l="1"/>
  <c r="MJ36" i="3"/>
  <c r="MJ37" i="3" s="1"/>
  <c r="MJ64" i="3" s="1"/>
  <c r="MJ63" i="3"/>
  <c r="MJ2" i="3"/>
</calcChain>
</file>

<file path=xl/sharedStrings.xml><?xml version="1.0" encoding="utf-8"?>
<sst xmlns="http://schemas.openxmlformats.org/spreadsheetml/2006/main" count="1117" uniqueCount="441">
  <si>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</si>
  <si>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</si>
  <si>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</si>
  <si>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</si>
  <si>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</si>
  <si>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</si>
  <si>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</si>
  <si>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</si>
  <si>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</si>
  <si>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</si>
  <si>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</si>
  <si>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</si>
  <si>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</si>
  <si>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</si>
  <si>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</si>
  <si>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</si>
  <si>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</si>
  <si>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</si>
  <si>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</si>
  <si>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</si>
  <si>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</si>
  <si>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</si>
  <si>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</si>
  <si>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</si>
  <si>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</si>
  <si>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</si>
  <si>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</si>
  <si>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</si>
  <si>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</si>
  <si>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</si>
  <si>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</si>
  <si>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</si>
  <si>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</si>
  <si>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</si>
  <si>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</si>
  <si>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</si>
  <si>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</si>
  <si>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</si>
  <si>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</si>
  <si>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</si>
  <si>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</si>
  <si>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</si>
  <si>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</si>
  <si>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</si>
  <si>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</si>
  <si>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</si>
  <si>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</si>
  <si>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</si>
  <si>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</si>
  <si>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</si>
  <si>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</si>
  <si>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</si>
  <si>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</si>
  <si>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</si>
  <si>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</si>
  <si>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</si>
  <si>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</si>
  <si>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</si>
  <si>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</si>
  <si>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</si>
  <si>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</si>
  <si>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</si>
  <si>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</si>
  <si>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</si>
  <si>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</si>
  <si>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</si>
  <si>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</si>
  <si>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</si>
  <si>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</si>
  <si>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</si>
  <si>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</si>
  <si>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</si>
  <si>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</si>
  <si>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</si>
  <si>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</si>
  <si>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</si>
  <si>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</si>
  <si>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</si>
  <si>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</si>
  <si>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</si>
  <si>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</si>
  <si>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</si>
  <si>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</si>
  <si>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</si>
  <si>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</si>
  <si>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</si>
  <si>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</si>
  <si>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</si>
  <si>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</si>
  <si>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</si>
  <si>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</si>
  <si>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</si>
  <si>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</si>
  <si>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</si>
  <si>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</si>
  <si>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</si>
  <si>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</si>
  <si>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</si>
  <si>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</si>
  <si>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</si>
  <si>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</si>
  <si>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</si>
  <si>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</si>
  <si>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</si>
  <si>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</si>
  <si>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</si>
  <si>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</si>
  <si>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</si>
  <si>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</si>
  <si>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</si>
  <si>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</si>
  <si>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</si>
  <si>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</si>
  <si>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</si>
  <si>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</si>
  <si>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</si>
  <si>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</si>
  <si>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</si>
  <si>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</si>
  <si>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</si>
  <si>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</si>
  <si>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</si>
  <si>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</si>
  <si>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</si>
  <si>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</si>
  <si>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</si>
  <si>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</si>
  <si>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</si>
  <si>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</si>
  <si>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</si>
  <si>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</si>
  <si>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</si>
  <si>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</si>
  <si>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</si>
  <si>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</si>
  <si>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</si>
  <si>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</si>
  <si>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</si>
  <si>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</si>
  <si>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</si>
  <si>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</si>
  <si>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</si>
  <si>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</si>
  <si>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</si>
  <si>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</si>
  <si>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</si>
  <si>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</si>
  <si>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</si>
  <si>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</si>
  <si>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</si>
  <si>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</si>
  <si>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</si>
  <si>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</si>
  <si>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</si>
  <si>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</si>
  <si>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</si>
  <si>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</si>
  <si>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</si>
  <si>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</si>
  <si>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</si>
  <si>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</si>
  <si>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</si>
  <si>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</si>
  <si>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</si>
  <si>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</si>
  <si>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</si>
  <si>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</si>
  <si>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</si>
  <si>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</si>
  <si>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</si>
  <si>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</si>
  <si>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</si>
  <si>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</si>
  <si>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</si>
  <si>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</si>
  <si>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</si>
  <si>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</si>
  <si>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</si>
  <si>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</si>
  <si>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</si>
  <si>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</si>
  <si>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</si>
  <si>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</si>
  <si>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</si>
  <si>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</si>
  <si>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</si>
  <si>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</si>
  <si>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</si>
  <si>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</si>
  <si>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</si>
  <si>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</si>
  <si>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</si>
  <si>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</si>
  <si>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</si>
  <si>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</si>
  <si>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</si>
  <si>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</si>
  <si>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</si>
  <si>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</si>
  <si>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</si>
  <si>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</si>
  <si>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</si>
  <si>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</si>
  <si>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</si>
  <si>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</si>
  <si>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</si>
  <si>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</si>
  <si>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</si>
  <si>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</si>
  <si>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</si>
  <si>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</si>
  <si>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</si>
  <si>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</si>
  <si>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</si>
  <si>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</si>
  <si>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</si>
  <si>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</si>
  <si>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</si>
  <si>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</si>
  <si>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</si>
  <si>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</si>
  <si>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</si>
  <si>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</si>
  <si>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</si>
  <si>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</si>
  <si>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</si>
  <si>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</si>
  <si>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</si>
  <si>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</si>
  <si>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</si>
  <si>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</si>
  <si>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</si>
  <si>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</si>
  <si>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</si>
  <si>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</si>
  <si>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</si>
  <si>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</si>
  <si>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</si>
  <si>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</si>
  <si>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</si>
  <si>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</si>
  <si>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</si>
  <si>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</si>
  <si>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</si>
  <si>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</si>
  <si>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</si>
  <si>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</si>
  <si>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</si>
  <si>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</si>
  <si>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</si>
  <si>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</si>
  <si>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</si>
  <si>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</si>
  <si>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</si>
  <si>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</si>
  <si>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</si>
  <si>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</si>
  <si>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</si>
  <si>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</si>
  <si>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</si>
  <si>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</si>
  <si>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</si>
  <si>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</si>
  <si>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</si>
  <si>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</si>
  <si>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</si>
  <si>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</si>
  <si>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</si>
  <si>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</si>
  <si>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</si>
  <si>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</si>
  <si>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</si>
  <si>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</si>
  <si>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</si>
  <si>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</si>
  <si>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</si>
  <si>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</si>
  <si>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</si>
  <si>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</si>
  <si>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</si>
  <si>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</si>
  <si>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</si>
  <si>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</si>
  <si>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</si>
  <si>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</si>
  <si>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</si>
  <si>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</si>
  <si>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</si>
  <si>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</si>
  <si>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</si>
  <si>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</si>
  <si>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</si>
  <si>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</si>
  <si>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</si>
  <si>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</si>
  <si>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</si>
  <si>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</si>
  <si>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</si>
  <si>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</si>
  <si>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</si>
  <si>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</si>
  <si>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</si>
  <si>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</si>
  <si>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</si>
  <si>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</si>
  <si>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</si>
  <si>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</si>
  <si>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</si>
  <si>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</si>
  <si>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</si>
  <si>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</si>
  <si>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</si>
  <si>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</si>
  <si>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</si>
  <si>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</si>
  <si>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</si>
  <si>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</si>
  <si>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</si>
  <si>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</si>
  <si>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</si>
  <si>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</si>
  <si>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</si>
  <si>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</si>
  <si>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</si>
  <si>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</si>
  <si>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</si>
  <si>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</si>
  <si>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</si>
  <si>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</si>
  <si>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</si>
  <si>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</si>
  <si>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</si>
  <si>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</si>
  <si>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</si>
  <si>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</si>
  <si>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</si>
  <si>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</si>
  <si>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</si>
  <si>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</si>
  <si>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</si>
  <si>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</si>
  <si>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</si>
  <si>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</si>
  <si>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</si>
  <si>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</si>
  <si>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</si>
  <si>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</si>
  <si>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</si>
  <si>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</si>
  <si>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</si>
  <si>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</si>
  <si>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</si>
  <si>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</si>
  <si>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</si>
  <si>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</si>
  <si>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</si>
  <si>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</si>
  <si>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</si>
  <si>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</si>
  <si>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</si>
  <si>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</si>
  <si>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</si>
  <si>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</si>
  <si>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</si>
  <si>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</si>
  <si>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</si>
  <si>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</si>
  <si>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</si>
  <si>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</si>
  <si>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</si>
  <si>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</si>
  <si>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</si>
  <si>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</si>
  <si>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</si>
  <si>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</si>
  <si>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</si>
  <si>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</si>
  <si>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</si>
  <si>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</si>
  <si>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</si>
  <si>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</si>
  <si>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</si>
  <si>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</si>
  <si>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</si>
  <si>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</si>
  <si>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</si>
  <si>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</si>
  <si>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</si>
  <si>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</si>
  <si>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</si>
  <si>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</si>
  <si>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</si>
  <si>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</si>
  <si>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</si>
  <si>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</si>
  <si>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</si>
  <si>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</si>
  <si>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</si>
  <si>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</si>
  <si>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</si>
  <si>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</si>
  <si>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</si>
  <si>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</si>
  <si>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</si>
  <si>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</si>
  <si>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</si>
  <si>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</si>
  <si>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</si>
  <si>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</si>
  <si>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</si>
  <si>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</si>
  <si>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</si>
  <si>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</si>
  <si>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</si>
  <si>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</si>
  <si>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</si>
  <si>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</si>
  <si>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</si>
  <si>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</si>
  <si>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</si>
  <si>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</si>
  <si>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</si>
  <si>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Schmerztherapie, So Arbeit ?</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</si>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</sst>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86</xdr:row>
          <xdr:rowOff>28575</xdr:rowOff>
        </xdr:from>
        <xdr:to>
          <xdr:col>0</xdr:col>
          <xdr:colOff>676275</xdr:colOff>
          <xdr:row>88</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90</xdr:row>
          <xdr:rowOff>28575</xdr:rowOff>
        </xdr:from>
        <xdr:to>
          <xdr:col>9</xdr:col>
          <xdr:colOff>47625</xdr:colOff>
          <xdr:row>91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09"/>
  <sheetViews>
    <sheetView tabSelected="1" zoomScaleNormal="100" workbookViewId="0">
      <pane xSplit="18" ySplit="3" topLeftCell="CI4" activePane="bottomRight" state="frozen"/>
      <selection pane="topRight" activeCell="F1" sqref="F1"/>
      <selection pane="bottomLeft" activeCell="A3" sqref="A3"/>
      <selection pane="bottomRight" activeCell="DT16" sqref="DT1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427</v>
      </c>
      <c r="DR1" s="49" t="s">
        <v>428</v>
      </c>
      <c r="DS1" s="47">
        <f>DP1 + 1</f>
        <v>44067</v>
      </c>
      <c r="DT1" s="47">
        <f t="shared" si="1"/>
        <v>44068</v>
      </c>
      <c r="DU1" s="47">
        <f t="shared" si="1"/>
        <v>44069</v>
      </c>
      <c r="DV1" s="47">
        <f t="shared" si="1"/>
        <v>44070</v>
      </c>
      <c r="DW1" s="47">
        <f t="shared" si="1"/>
        <v>44071</v>
      </c>
      <c r="DX1" s="47">
        <f t="shared" si="1"/>
        <v>44072</v>
      </c>
      <c r="DY1" s="47">
        <f t="shared" si="1"/>
        <v>44073</v>
      </c>
      <c r="DZ1" s="47" t="s">
        <v>430</v>
      </c>
      <c r="EA1" s="49" t="s">
        <v>431</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5" t="s">
        <v>144</v>
      </c>
      <c r="B2" s="145"/>
      <c r="C2" s="145"/>
      <c r="D2" s="145"/>
      <c r="E2" s="145"/>
      <c r="F2" s="39"/>
      <c r="G2" s="39"/>
      <c r="H2" s="39"/>
      <c r="I2" s="39"/>
      <c r="J2" s="39"/>
      <c r="K2" s="39"/>
      <c r="L2" s="39"/>
      <c r="M2" s="39"/>
      <c r="N2" s="39"/>
      <c r="O2" s="27"/>
      <c r="P2" s="146" t="s">
        <v>49</v>
      </c>
      <c r="Q2" s="141" t="s">
        <v>48</v>
      </c>
      <c r="R2" s="143"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429</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432</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5"/>
      <c r="B3" s="145"/>
      <c r="C3" s="145"/>
      <c r="D3" s="145"/>
      <c r="E3" s="145"/>
      <c r="F3" s="39"/>
      <c r="G3" s="39"/>
      <c r="H3" s="39"/>
      <c r="I3" s="39"/>
      <c r="J3" s="39"/>
      <c r="K3" s="39"/>
      <c r="L3" s="39"/>
      <c r="M3" s="39"/>
      <c r="N3" s="39"/>
      <c r="O3" s="27"/>
      <c r="P3" s="147"/>
      <c r="Q3" s="142"/>
      <c r="R3" s="14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148</v>
      </c>
      <c r="DW3" s="38" t="s">
        <v>393</v>
      </c>
      <c r="DX3" s="38"/>
      <c r="DY3" s="136" t="s">
        <v>148</v>
      </c>
      <c r="DZ3" s="38"/>
      <c r="EA3" s="24"/>
      <c r="EB3" s="38"/>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$P$34 * 100, "")</f>
        <v/>
      </c>
      <c r="R6" s="84"/>
      <c r="S6" s="7"/>
      <c r="Z6" s="7"/>
      <c r="AG6" s="7"/>
      <c r="AN6" s="7"/>
      <c r="AU6" s="7"/>
      <c r="BB6" s="7"/>
      <c r="BI6" s="7"/>
      <c r="BP6" s="7"/>
      <c r="BY6" s="79"/>
      <c r="CH6" s="7"/>
      <c r="CQ6" s="7"/>
      <c r="CZ6" s="7"/>
      <c r="DI6" s="7"/>
      <c r="DR6" s="7"/>
      <c r="EA6" s="7"/>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30</v>
      </c>
      <c r="Q7" s="109">
        <f>IF(SUM(S7:XFD7) &gt; 0, SUM(S7:XFD7) / $P$34 * 100, "")</f>
        <v>81.081081081081081</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Q7" s="99" t="s">
        <v>365</v>
      </c>
      <c r="DR7" s="80" t="s">
        <v>367</v>
      </c>
      <c r="DT7" t="s">
        <v>422</v>
      </c>
      <c r="EA7" s="7"/>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$P$34 * 100, "")</f>
        <v>110.08035062089114</v>
      </c>
      <c r="R8" s="84">
        <f>IF(SUM(S8:XFD8) &gt; 0, SUM(S8:XFD8) / $P$34 * 100, "")</f>
        <v>29.72972972972973</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EA8" s="7"/>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32</v>
      </c>
      <c r="Q9" s="109">
        <f>IF(SUM(S9:XFD9) &gt; 0, SUM(S9:XFD9) / $P$34 * 100, "")</f>
        <v>86.486486486486484</v>
      </c>
      <c r="R9" s="133" t="str">
        <f t="shared" ref="R9:R29" si="320">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Q9" s="99" t="s">
        <v>365</v>
      </c>
      <c r="DR9" s="80" t="s">
        <v>367</v>
      </c>
      <c r="EA9" s="7"/>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25</v>
      </c>
      <c r="Q10" s="109">
        <f>IF(SUM(S10:XFD10) &gt; 0, SUM(S10:XFD10) / $P$34 * 100, "")</f>
        <v>67.567567567567565</v>
      </c>
      <c r="R10" s="133" t="str">
        <f t="shared" si="320"/>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Q10" s="99" t="s">
        <v>365</v>
      </c>
      <c r="DR10" s="80" t="s">
        <v>367</v>
      </c>
      <c r="EA10" s="7"/>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29</v>
      </c>
      <c r="Q11" s="109">
        <f>IF(SUM(S11:XFD11) &gt; 0, SUM(S11:XFD11) / $P$34 * 100, "")</f>
        <v>78.378378378378372</v>
      </c>
      <c r="R11" s="133" t="str">
        <f t="shared" si="320"/>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Q11" s="99" t="s">
        <v>365</v>
      </c>
      <c r="DR11" s="80" t="s">
        <v>367</v>
      </c>
      <c r="EA11" s="7"/>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32</v>
      </c>
      <c r="Q12" s="109">
        <f>IF(SUM(S12:XFD12) &gt; 0, SUM(S12:XFD12) / $P$34 * 100, "")</f>
        <v>86.486486486486484</v>
      </c>
      <c r="R12" s="133" t="str">
        <f t="shared" si="320"/>
        <v>-6</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Q12" s="99" t="s">
        <v>365</v>
      </c>
      <c r="DR12" s="80" t="s">
        <v>367</v>
      </c>
      <c r="EA12" s="7"/>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IF(SUM(S13:XFD13) &gt; 0, SUM(S13:XFD13) / $P$34 * 100, "")</f>
        <v>2.7027027027027026</v>
      </c>
      <c r="R13" s="133" t="str">
        <f t="shared" si="320"/>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EA13" s="7"/>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IF(SUM(S14:XFD14) &gt; 0, SUM(S14:XFD14) / $P$34 * 100, "")</f>
        <v>2.7027027027027026</v>
      </c>
      <c r="R14" s="133" t="str">
        <f t="shared" si="320"/>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EA14" s="7"/>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27</v>
      </c>
      <c r="Q15" s="109">
        <f>IF(SUM(S15:XFD15) &gt; 0, SUM(S15:XFD15) / $P$34 * 100, "")</f>
        <v>72.972972972972968</v>
      </c>
      <c r="R15" s="133" t="str">
        <f t="shared" si="320"/>
        <v>-12</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Q15" s="99" t="s">
        <v>365</v>
      </c>
      <c r="DR15" s="80" t="s">
        <v>367</v>
      </c>
      <c r="EA15" s="7"/>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22</v>
      </c>
      <c r="Q16" s="109">
        <f>IF(SUM(S16:XFD16) &gt; 0, SUM(S16:XFD16) / $P$34 * 100, "")</f>
        <v>59.45945945945946</v>
      </c>
      <c r="R16" s="133" t="str">
        <f t="shared" si="320"/>
        <v>-11</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Q16" s="99" t="s">
        <v>365</v>
      </c>
      <c r="DR16" s="80" t="s">
        <v>367</v>
      </c>
      <c r="DT16" t="s">
        <v>415</v>
      </c>
      <c r="EA16" s="7"/>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31</v>
      </c>
      <c r="Q17" s="109">
        <f>IF(SUM(S17:XFD17) &gt; 0, SUM(S17:XFD17) / $P$34 * 100, "")</f>
        <v>83.78378378378379</v>
      </c>
      <c r="R17" s="133" t="str">
        <f t="shared" si="320"/>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Q17" s="99" t="s">
        <v>365</v>
      </c>
      <c r="DR17" s="80" t="s">
        <v>367</v>
      </c>
      <c r="DT17" t="s">
        <v>390</v>
      </c>
      <c r="EA17" s="7"/>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29</v>
      </c>
      <c r="Q18" s="109">
        <f>IF(SUM(S18:XFD18) &gt; 0, SUM(S18:XFD18) / $P$34 * 100, "")</f>
        <v>78.378378378378372</v>
      </c>
      <c r="R18" s="133" t="str">
        <f t="shared" si="320"/>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Q18" s="99" t="s">
        <v>365</v>
      </c>
      <c r="DR18" s="80" t="s">
        <v>367</v>
      </c>
      <c r="DT18" t="s">
        <v>390</v>
      </c>
      <c r="EA18" s="7"/>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30</v>
      </c>
      <c r="Q19" s="109">
        <f>IF(SUM(S19:XFD19) &gt; 0, SUM(S19:XFD19) / $P$34 * 100, "")</f>
        <v>81.081081081081081</v>
      </c>
      <c r="R19" s="133" t="str">
        <f t="shared" si="320"/>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Q19" s="99" t="s">
        <v>365</v>
      </c>
      <c r="DR19" s="80" t="s">
        <v>367</v>
      </c>
      <c r="DT19" t="s">
        <v>390</v>
      </c>
      <c r="EA19" s="7"/>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IF(SUM(S20:XFD20) &gt; 0, SUM(S20:XFD20) / $P$34 * 100, "")</f>
        <v>2.7027027027027026</v>
      </c>
      <c r="R20" s="133" t="str">
        <f t="shared" si="320"/>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EA20" s="7"/>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23</v>
      </c>
      <c r="Q21" s="109">
        <f>IF(SUM(S21:XFD21) &gt; 0, SUM(S21:XFD21) / $P$34 * 100, "")</f>
        <v>62.162162162162161</v>
      </c>
      <c r="R21" s="133" t="str">
        <f t="shared" si="320"/>
        <v>-24</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Q21" s="99" t="s">
        <v>365</v>
      </c>
      <c r="DR21" s="80" t="s">
        <v>367</v>
      </c>
      <c r="EA21" s="7"/>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24</v>
      </c>
      <c r="Q22" s="109">
        <f>IF(SUM(S22:XFD22) &gt; 0, SUM(S22:XFD22) / $P$34 * 100, "")</f>
        <v>64.86486486486487</v>
      </c>
      <c r="R22" s="133" t="str">
        <f t="shared" si="320"/>
        <v>-4</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Q22" s="99" t="s">
        <v>365</v>
      </c>
      <c r="DR22" s="80" t="s">
        <v>367</v>
      </c>
      <c r="EA22" s="7"/>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29</v>
      </c>
      <c r="Q23" s="109">
        <f>IF(SUM(S23:XFD23) &gt; 0, SUM(S23:XFD23) / $P$34 * 100, "")</f>
        <v>78.378378378378372</v>
      </c>
      <c r="R23" s="133" t="str">
        <f t="shared" si="320"/>
        <v>-11</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Q23" s="99" t="s">
        <v>365</v>
      </c>
      <c r="DR23" s="80" t="s">
        <v>367</v>
      </c>
      <c r="EA23" s="7"/>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31</v>
      </c>
      <c r="Q24" s="109">
        <f>IF(SUM(S24:XFD24) &gt; 0, SUM(S24:XFD24) / $P$34 * 100, "")</f>
        <v>83.78378378378379</v>
      </c>
      <c r="R24" s="133" t="str">
        <f t="shared" si="320"/>
        <v>-14</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Q24" s="99" t="s">
        <v>365</v>
      </c>
      <c r="DR24" s="80" t="s">
        <v>367</v>
      </c>
      <c r="DT24" t="s">
        <v>415</v>
      </c>
      <c r="EA24" s="7"/>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IF(SUM(S25:XFD25) &gt; 0, SUM(S25:XFD25) / $P$34 * 100, "")</f>
        <v/>
      </c>
      <c r="R25" s="133" t="str">
        <f t="shared" si="320"/>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EA25" s="7"/>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19</v>
      </c>
      <c r="Q26" s="110">
        <f>IF(SUM(S26:XFD26) &gt; 0, SUM(S26:XFD26) / $P$34 * 100, "")</f>
        <v>51.351351351351347</v>
      </c>
      <c r="R26" s="134" t="str">
        <f t="shared" si="320"/>
        <v>-30</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367</v>
      </c>
      <c r="DS26" s="93"/>
      <c r="DT26" s="93"/>
      <c r="DU26" s="93"/>
      <c r="DV26" s="93"/>
      <c r="DW26" s="93"/>
      <c r="DX26" s="93"/>
      <c r="DY26" s="93"/>
      <c r="DZ26" s="93"/>
      <c r="EA26" s="92"/>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$P$84 * 100, "")</f>
        <v/>
      </c>
      <c r="R27" s="133" t="str">
        <f t="shared" si="320"/>
        <v>?</v>
      </c>
      <c r="S27" s="7"/>
      <c r="Z27" s="7"/>
      <c r="AG27" s="7"/>
      <c r="AN27" s="7"/>
      <c r="AU27" s="7"/>
      <c r="BB27" s="7"/>
      <c r="BI27" s="7"/>
      <c r="BP27" s="7"/>
      <c r="BX27" s="96"/>
      <c r="BY27" s="79"/>
      <c r="CG27" s="96"/>
      <c r="CH27" s="80"/>
      <c r="CQ27" s="7"/>
      <c r="CZ27" s="7"/>
      <c r="DI27" s="7"/>
      <c r="DR27" s="7"/>
      <c r="EA27" s="7"/>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x14ac:dyDescent="0.25">
      <c r="A28" s="8" t="s">
        <v>115</v>
      </c>
      <c r="B28" s="8"/>
      <c r="C28" s="8" t="s">
        <v>244</v>
      </c>
      <c r="D28" s="8" t="s">
        <v>245</v>
      </c>
      <c r="E28" s="18">
        <v>36526</v>
      </c>
      <c r="F28" s="10" t="str">
        <f t="shared" si="319"/>
        <v/>
      </c>
      <c r="G28" s="19" t="str">
        <f t="shared" ref="G28:L29" si="321">IF($E28 &gt;= G$5, 1, "")</f>
        <v/>
      </c>
      <c r="H28" s="19" t="str">
        <f t="shared" si="321"/>
        <v/>
      </c>
      <c r="I28" s="19" t="str">
        <f t="shared" si="321"/>
        <v/>
      </c>
      <c r="J28" s="19" t="str">
        <f t="shared" si="321"/>
        <v/>
      </c>
      <c r="K28" s="19" t="str">
        <f t="shared" si="321"/>
        <v/>
      </c>
      <c r="L28" s="19" t="str">
        <f t="shared" si="321"/>
        <v/>
      </c>
      <c r="M28" s="8"/>
      <c r="N28" s="8"/>
      <c r="O28" s="9"/>
      <c r="P28" s="8">
        <f t="shared" si="317"/>
        <v>13</v>
      </c>
      <c r="Q28" s="109">
        <f>IF(SUM(S28:XFD28) &gt; 0, SUM(S28:XFD28) / $P$34 * 100, "")</f>
        <v>35.135135135135137</v>
      </c>
      <c r="R28" s="133" t="str">
        <f t="shared" si="320"/>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R28" s="7"/>
      <c r="EA28" s="7"/>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1"/>
        <v/>
      </c>
      <c r="H29" s="19" t="str">
        <f t="shared" si="321"/>
        <v/>
      </c>
      <c r="I29" s="19" t="str">
        <f t="shared" si="321"/>
        <v/>
      </c>
      <c r="J29" s="19" t="str">
        <f t="shared" si="321"/>
        <v/>
      </c>
      <c r="K29" s="19" t="str">
        <f t="shared" si="321"/>
        <v/>
      </c>
      <c r="L29" s="19" t="str">
        <f t="shared" si="321"/>
        <v/>
      </c>
      <c r="M29" s="8"/>
      <c r="N29" s="8"/>
      <c r="O29" s="9"/>
      <c r="P29" s="8">
        <f t="shared" si="317"/>
        <v>4</v>
      </c>
      <c r="Q29" s="109">
        <f>IF(SUM(S29:XFD29) &gt; 0, SUM(S29:XFD29) / $P$34 * 100, "")</f>
        <v>10.810810810810811</v>
      </c>
      <c r="R29" s="133" t="str">
        <f t="shared" si="320"/>
        <v>?</v>
      </c>
      <c r="S29" s="7"/>
      <c r="Z29" s="7"/>
      <c r="AG29" s="7"/>
      <c r="AN29" s="7"/>
      <c r="AU29" s="7"/>
      <c r="BB29" s="7"/>
      <c r="BI29" s="7"/>
      <c r="BP29" s="7"/>
      <c r="BX29" s="96"/>
      <c r="BY29" s="79"/>
      <c r="CG29" s="96"/>
      <c r="CH29" s="80"/>
      <c r="CL29">
        <v>1</v>
      </c>
      <c r="CQ29" s="7"/>
      <c r="CS29">
        <v>1</v>
      </c>
      <c r="CV29">
        <v>1</v>
      </c>
      <c r="CZ29" s="7"/>
      <c r="DI29" s="7"/>
      <c r="DK29">
        <v>1</v>
      </c>
      <c r="DR29" s="7"/>
      <c r="EA29" s="7"/>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433</v>
      </c>
      <c r="B30" s="8"/>
      <c r="C30" s="8" t="s">
        <v>434</v>
      </c>
      <c r="D30" s="8" t="s">
        <v>435</v>
      </c>
      <c r="E30" s="18"/>
      <c r="F30" s="10"/>
      <c r="G30" s="19"/>
      <c r="H30" s="19"/>
      <c r="I30" s="19"/>
      <c r="J30" s="19"/>
      <c r="K30" s="19"/>
      <c r="L30" s="19"/>
      <c r="M30" s="8"/>
      <c r="N30" s="8"/>
      <c r="O30" s="9"/>
      <c r="P30" s="8">
        <f t="shared" ref="P30" si="322">IF(SUM(S30:MJ30) &gt; 0, SUM(S30:MJ30), "")</f>
        <v>1</v>
      </c>
      <c r="Q30" s="109">
        <f>IF(SUM(S30:XFD30) &gt; 0, SUM(S30:XFD30) / $P$34 * 100, "")</f>
        <v>2.7027027027027026</v>
      </c>
      <c r="R30" s="133" t="str">
        <f t="shared" ref="R30" si="323">KStateSum(S30:MJ30, 1)</f>
        <v>?</v>
      </c>
      <c r="S30" s="7"/>
      <c r="Z30" s="7"/>
      <c r="AG30" s="7"/>
      <c r="AN30" s="7"/>
      <c r="AU30" s="7"/>
      <c r="BB30" s="7"/>
      <c r="BI30" s="7"/>
      <c r="BP30" s="7"/>
      <c r="BX30" s="96"/>
      <c r="BY30" s="79"/>
      <c r="CG30" s="96"/>
      <c r="CH30" s="80"/>
      <c r="CQ30" s="7"/>
      <c r="CZ30" s="7"/>
      <c r="DI30" s="7"/>
      <c r="DK30">
        <v>1</v>
      </c>
      <c r="DR30" s="7"/>
      <c r="EA30" s="7"/>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$P$84 * 100, "")</f>
        <v>18.277449046679813</v>
      </c>
      <c r="R31" s="84">
        <f>IF(SUM(S31:XFD31) &gt; 0, SUM(S31:XFD31) / $P$84 * 100, "")</f>
        <v>5.1282051282051277</v>
      </c>
      <c r="S31" s="7"/>
      <c r="Z31" s="7"/>
      <c r="AG31" s="7"/>
      <c r="AN31" s="7"/>
      <c r="AU31" s="7"/>
      <c r="BB31" s="7"/>
      <c r="BI31" s="7"/>
      <c r="BM31">
        <v>1</v>
      </c>
      <c r="BP31" s="7"/>
      <c r="BT31">
        <v>1</v>
      </c>
      <c r="BX31" s="96"/>
      <c r="BY31" s="79"/>
      <c r="CG31" s="96"/>
      <c r="CH31" s="80"/>
      <c r="CQ31" s="7"/>
      <c r="CZ31" s="7"/>
      <c r="DI31" s="7"/>
      <c r="DR31" s="7"/>
      <c r="EA31" s="7"/>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t="7.5" customHeight="1" thickBot="1" x14ac:dyDescent="0.3">
      <c r="A32" s="8"/>
      <c r="B32" s="8"/>
      <c r="C32" s="8"/>
      <c r="D32" s="8"/>
      <c r="E32" s="8"/>
      <c r="F32" s="10"/>
      <c r="G32" s="19"/>
      <c r="H32" s="19"/>
      <c r="I32" s="8"/>
      <c r="J32" s="8"/>
      <c r="K32" s="8"/>
      <c r="L32" s="8"/>
      <c r="M32" s="8"/>
      <c r="N32" s="8"/>
      <c r="O32" s="9"/>
      <c r="P32" s="8" t="str">
        <f>IF(SUM(R32:MJ32) &gt; 0, SUM(R32:MJ32), "")</f>
        <v/>
      </c>
      <c r="Q32" s="19" t="str">
        <f>IF(SUM(R32:XFD32) &gt; 0, SUM(R32:XFD32), "")</f>
        <v/>
      </c>
      <c r="R32" s="9"/>
      <c r="S32" s="7"/>
      <c r="Z32" s="7"/>
      <c r="AG32" s="7"/>
      <c r="AN32" s="7"/>
      <c r="AU32" s="7"/>
      <c r="BB32" s="7"/>
      <c r="BI32" s="7"/>
      <c r="BP32" s="7"/>
      <c r="BX32" s="96"/>
      <c r="BY32" s="79"/>
      <c r="CG32" s="96"/>
      <c r="CH32" s="7"/>
      <c r="CQ32" s="7"/>
      <c r="CZ32" s="7"/>
      <c r="DI32" s="7"/>
      <c r="DR32" s="7"/>
      <c r="EA32" s="7"/>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15.75" thickBot="1" x14ac:dyDescent="0.3">
      <c r="A33" s="115" t="s">
        <v>25</v>
      </c>
      <c r="B33" s="16"/>
      <c r="C33" s="16"/>
      <c r="D33" s="16"/>
      <c r="E33" s="17"/>
      <c r="F33" s="16">
        <f t="shared" ref="F33:L33" si="324">SUM(F6:F32)</f>
        <v>13</v>
      </c>
      <c r="G33" s="16">
        <f t="shared" si="324"/>
        <v>8</v>
      </c>
      <c r="H33" s="16">
        <f t="shared" si="324"/>
        <v>3</v>
      </c>
      <c r="I33" s="16">
        <f t="shared" si="324"/>
        <v>2</v>
      </c>
      <c r="J33" s="16">
        <f t="shared" si="324"/>
        <v>0</v>
      </c>
      <c r="K33" s="16">
        <f t="shared" si="324"/>
        <v>0</v>
      </c>
      <c r="L33" s="16">
        <f t="shared" si="324"/>
        <v>0</v>
      </c>
      <c r="M33" s="16">
        <v>0</v>
      </c>
      <c r="N33" s="16">
        <f>SUM(N6:N32)</f>
        <v>15</v>
      </c>
      <c r="O33" s="17">
        <f>SUM(O6:O32)+ SUM(O41:O72)</f>
        <v>15</v>
      </c>
      <c r="P33" s="16">
        <f>VisibleSum(P6:P26)</f>
        <v>27.533333333333335</v>
      </c>
      <c r="Q33" s="16">
        <f>P33 / P34 * 100</f>
        <v>74.414414414414424</v>
      </c>
      <c r="R33" s="17">
        <f>VisibleSum(R6:R26)</f>
        <v>-11.733333333333333</v>
      </c>
      <c r="S33" s="15">
        <f t="shared" ref="S33:AX33" si="325">IF(SUM(S6:S32) &gt; 0, SUM(S6:S32), "")</f>
        <v>15</v>
      </c>
      <c r="T33" s="14" t="str">
        <f t="shared" si="325"/>
        <v/>
      </c>
      <c r="U33" s="14">
        <f t="shared" si="325"/>
        <v>12</v>
      </c>
      <c r="V33" s="14">
        <f t="shared" si="325"/>
        <v>13</v>
      </c>
      <c r="W33" s="14" t="str">
        <f t="shared" si="325"/>
        <v/>
      </c>
      <c r="X33" s="14">
        <f t="shared" si="325"/>
        <v>12</v>
      </c>
      <c r="Y33" s="14" t="str">
        <f t="shared" si="325"/>
        <v/>
      </c>
      <c r="Z33" s="15" t="str">
        <f t="shared" si="325"/>
        <v/>
      </c>
      <c r="AA33" s="14" t="str">
        <f t="shared" si="325"/>
        <v/>
      </c>
      <c r="AB33" s="14">
        <f t="shared" si="325"/>
        <v>15</v>
      </c>
      <c r="AC33" s="14" t="str">
        <f t="shared" si="325"/>
        <v/>
      </c>
      <c r="AD33" s="14">
        <f t="shared" si="325"/>
        <v>12</v>
      </c>
      <c r="AE33" s="14">
        <f t="shared" si="325"/>
        <v>15</v>
      </c>
      <c r="AF33" s="14" t="str">
        <f t="shared" si="325"/>
        <v/>
      </c>
      <c r="AG33" s="15" t="str">
        <f t="shared" si="325"/>
        <v/>
      </c>
      <c r="AH33" s="14" t="str">
        <f t="shared" si="325"/>
        <v/>
      </c>
      <c r="AI33" s="14">
        <f t="shared" si="325"/>
        <v>16</v>
      </c>
      <c r="AJ33" s="14" t="str">
        <f t="shared" si="325"/>
        <v/>
      </c>
      <c r="AK33" s="14">
        <f t="shared" si="325"/>
        <v>15</v>
      </c>
      <c r="AL33" s="14">
        <f t="shared" si="325"/>
        <v>10</v>
      </c>
      <c r="AM33" s="14" t="str">
        <f t="shared" si="325"/>
        <v/>
      </c>
      <c r="AN33" s="15" t="str">
        <f t="shared" si="325"/>
        <v/>
      </c>
      <c r="AO33" s="14" t="str">
        <f t="shared" si="325"/>
        <v/>
      </c>
      <c r="AP33" s="14">
        <f t="shared" si="325"/>
        <v>15</v>
      </c>
      <c r="AQ33" s="14" t="str">
        <f t="shared" si="325"/>
        <v/>
      </c>
      <c r="AR33" s="14">
        <f t="shared" si="325"/>
        <v>16</v>
      </c>
      <c r="AS33" s="14">
        <f t="shared" si="325"/>
        <v>11</v>
      </c>
      <c r="AT33" s="14" t="str">
        <f t="shared" si="325"/>
        <v/>
      </c>
      <c r="AU33" s="15" t="str">
        <f t="shared" si="325"/>
        <v/>
      </c>
      <c r="AV33" s="14" t="str">
        <f t="shared" si="325"/>
        <v/>
      </c>
      <c r="AW33" s="14">
        <f t="shared" si="325"/>
        <v>14</v>
      </c>
      <c r="AX33" s="14">
        <f t="shared" si="325"/>
        <v>2</v>
      </c>
      <c r="AY33" s="14">
        <f t="shared" ref="AY33:BW33" si="326">IF(SUM(AY6:AY32) &gt; 0, SUM(AY6:AY32), "")</f>
        <v>13</v>
      </c>
      <c r="AZ33" s="14">
        <f t="shared" si="326"/>
        <v>12</v>
      </c>
      <c r="BA33" s="14" t="str">
        <f t="shared" si="326"/>
        <v/>
      </c>
      <c r="BB33" s="15" t="str">
        <f t="shared" si="326"/>
        <v/>
      </c>
      <c r="BC33" s="14" t="str">
        <f t="shared" si="326"/>
        <v/>
      </c>
      <c r="BD33" s="14">
        <f t="shared" si="326"/>
        <v>14</v>
      </c>
      <c r="BE33" s="14" t="str">
        <f t="shared" si="326"/>
        <v/>
      </c>
      <c r="BF33" s="14">
        <f t="shared" si="326"/>
        <v>14</v>
      </c>
      <c r="BG33" s="14">
        <f t="shared" si="326"/>
        <v>11</v>
      </c>
      <c r="BH33" s="14" t="str">
        <f t="shared" si="326"/>
        <v/>
      </c>
      <c r="BI33" s="15" t="str">
        <f t="shared" si="326"/>
        <v/>
      </c>
      <c r="BJ33" s="14" t="str">
        <f t="shared" si="326"/>
        <v/>
      </c>
      <c r="BK33" s="14">
        <f t="shared" si="326"/>
        <v>16</v>
      </c>
      <c r="BL33" s="14" t="str">
        <f t="shared" si="326"/>
        <v/>
      </c>
      <c r="BM33" s="14">
        <f t="shared" si="326"/>
        <v>16</v>
      </c>
      <c r="BN33" s="14" t="str">
        <f t="shared" si="326"/>
        <v/>
      </c>
      <c r="BO33" s="14" t="str">
        <f t="shared" si="326"/>
        <v/>
      </c>
      <c r="BP33" s="15">
        <f t="shared" si="326"/>
        <v>8</v>
      </c>
      <c r="BQ33" s="14" t="str">
        <f t="shared" si="326"/>
        <v/>
      </c>
      <c r="BR33" s="14">
        <f t="shared" si="326"/>
        <v>17</v>
      </c>
      <c r="BS33" s="14" t="str">
        <f t="shared" si="326"/>
        <v/>
      </c>
      <c r="BT33" s="14">
        <f t="shared" si="326"/>
        <v>14</v>
      </c>
      <c r="BU33" s="14" t="str">
        <f t="shared" si="326"/>
        <v/>
      </c>
      <c r="BV33" s="14" t="str">
        <f t="shared" si="326"/>
        <v/>
      </c>
      <c r="BW33" s="14">
        <f t="shared" si="326"/>
        <v>3</v>
      </c>
      <c r="BX33" s="14"/>
      <c r="BY33" s="15">
        <f>VisibleSum(BY6:BY26)</f>
        <v>-2.7333333333333334</v>
      </c>
      <c r="BZ33" s="14" t="str">
        <f t="shared" ref="BZ33:CF33" si="327">IF(SUM(BZ6:BZ32) &gt; 0, SUM(BZ6:BZ32), "")</f>
        <v/>
      </c>
      <c r="CA33" s="14" t="str">
        <f t="shared" si="327"/>
        <v/>
      </c>
      <c r="CB33" s="14" t="str">
        <f t="shared" si="327"/>
        <v/>
      </c>
      <c r="CC33" s="14">
        <f t="shared" si="327"/>
        <v>9</v>
      </c>
      <c r="CD33" s="14" t="str">
        <f t="shared" si="327"/>
        <v/>
      </c>
      <c r="CE33" s="14" t="str">
        <f t="shared" si="327"/>
        <v/>
      </c>
      <c r="CF33" s="14">
        <f t="shared" si="327"/>
        <v>6</v>
      </c>
      <c r="CG33" s="14"/>
      <c r="CH33" s="15">
        <f>VisibleSum(CH6:CH26)</f>
        <v>-3.8666666666666667</v>
      </c>
      <c r="CI33" s="14" t="str">
        <f t="shared" ref="CI33:CO33" si="328">IF(SUM(CI6:CI32) &gt; 0, SUM(CI6:CI32), "")</f>
        <v/>
      </c>
      <c r="CJ33" s="14" t="str">
        <f t="shared" si="328"/>
        <v/>
      </c>
      <c r="CK33" s="14" t="str">
        <f t="shared" si="328"/>
        <v/>
      </c>
      <c r="CL33" s="14">
        <f t="shared" si="328"/>
        <v>10</v>
      </c>
      <c r="CM33" s="14" t="str">
        <f t="shared" si="328"/>
        <v/>
      </c>
      <c r="CN33" s="14" t="str">
        <f t="shared" si="328"/>
        <v/>
      </c>
      <c r="CO33" s="14">
        <f t="shared" si="328"/>
        <v>8</v>
      </c>
      <c r="CP33" s="14"/>
      <c r="CQ33" s="15">
        <f>VisibleSum(CQ6:CQ26)</f>
        <v>-4.0666666666666664</v>
      </c>
      <c r="CR33" s="14" t="str">
        <f t="shared" ref="CR33:EF33" si="329">IF(SUM(CR6:CR32) &gt; 0, SUM(CR6:CR32), "")</f>
        <v/>
      </c>
      <c r="CS33" s="14">
        <f t="shared" si="329"/>
        <v>13</v>
      </c>
      <c r="CT33" s="14" t="str">
        <f t="shared" si="329"/>
        <v/>
      </c>
      <c r="CU33" s="14">
        <f t="shared" si="329"/>
        <v>10</v>
      </c>
      <c r="CV33" s="14">
        <f t="shared" si="329"/>
        <v>13</v>
      </c>
      <c r="CW33" s="14"/>
      <c r="CX33" s="14">
        <f t="shared" ref="CX33" si="330">IF(SUM(CX6:CX32) &gt; 0, SUM(CX6:CX32), "")</f>
        <v>7</v>
      </c>
      <c r="CY33" s="14" t="str">
        <f t="shared" si="329"/>
        <v/>
      </c>
      <c r="CZ33" s="15">
        <f>VisibleSum(CZ6:CZ26)</f>
        <v>6.6666666666666666E-2</v>
      </c>
      <c r="DA33" s="14" t="str">
        <f t="shared" si="329"/>
        <v/>
      </c>
      <c r="DB33" s="14">
        <f t="shared" si="329"/>
        <v>11</v>
      </c>
      <c r="DC33" s="14" t="str">
        <f t="shared" si="329"/>
        <v/>
      </c>
      <c r="DD33" s="14" t="str">
        <f t="shared" si="329"/>
        <v/>
      </c>
      <c r="DE33" s="14">
        <f t="shared" si="329"/>
        <v>8</v>
      </c>
      <c r="DF33" s="14" t="str">
        <f t="shared" si="329"/>
        <v/>
      </c>
      <c r="DG33" s="14">
        <f t="shared" si="329"/>
        <v>4</v>
      </c>
      <c r="DH33" s="14"/>
      <c r="DI33" s="135">
        <f>IF(VisibleSum(DI6:DI26) = "", "??", VisibleSum(DI6:DI26))</f>
        <v>-1.1333333333333333</v>
      </c>
      <c r="DJ33" s="14" t="str">
        <f t="shared" si="329"/>
        <v/>
      </c>
      <c r="DK33" s="14">
        <f t="shared" si="329"/>
        <v>15</v>
      </c>
      <c r="DL33" s="14" t="str">
        <f t="shared" si="329"/>
        <v/>
      </c>
      <c r="DM33" s="14" t="str">
        <f t="shared" si="329"/>
        <v/>
      </c>
      <c r="DN33" s="14" t="str">
        <f t="shared" si="329"/>
        <v/>
      </c>
      <c r="DO33" s="14" t="str">
        <f t="shared" si="329"/>
        <v/>
      </c>
      <c r="DP33" s="14"/>
      <c r="DQ33" s="14"/>
      <c r="DR33" s="135" t="str">
        <f>IF(VisibleSum(DR6:DR26) = "", "??", VisibleSum(DR6:DR26))</f>
        <v>??</v>
      </c>
      <c r="DS33" s="14" t="str">
        <f t="shared" si="329"/>
        <v/>
      </c>
      <c r="DT33" s="14" t="str">
        <f t="shared" si="329"/>
        <v/>
      </c>
      <c r="DU33" s="14" t="str">
        <f t="shared" si="329"/>
        <v/>
      </c>
      <c r="DV33" s="14" t="str">
        <f t="shared" si="329"/>
        <v/>
      </c>
      <c r="DW33" s="14" t="str">
        <f t="shared" si="329"/>
        <v/>
      </c>
      <c r="DX33" s="14"/>
      <c r="DY33" s="14"/>
      <c r="DZ33" s="14" t="str">
        <f t="shared" si="329"/>
        <v/>
      </c>
      <c r="EA33" s="15" t="str">
        <f t="shared" si="329"/>
        <v/>
      </c>
      <c r="EB33" s="14" t="str">
        <f t="shared" si="329"/>
        <v/>
      </c>
      <c r="EC33" s="14" t="str">
        <f t="shared" si="329"/>
        <v/>
      </c>
      <c r="ED33" s="14" t="str">
        <f t="shared" si="329"/>
        <v/>
      </c>
      <c r="EE33" s="14" t="str">
        <f t="shared" si="329"/>
        <v/>
      </c>
      <c r="EF33" s="14" t="str">
        <f t="shared" si="329"/>
        <v/>
      </c>
      <c r="EG33" s="14"/>
      <c r="EH33" s="15" t="str">
        <f t="shared" ref="EH33:FM33" si="331">IF(SUM(EH6:EH32) &gt; 0, SUM(EH6:EH32), "")</f>
        <v/>
      </c>
      <c r="EI33" s="14" t="str">
        <f t="shared" si="331"/>
        <v/>
      </c>
      <c r="EJ33" s="14" t="str">
        <f t="shared" si="331"/>
        <v/>
      </c>
      <c r="EK33" s="14" t="str">
        <f t="shared" si="331"/>
        <v/>
      </c>
      <c r="EL33" s="14" t="str">
        <f t="shared" si="331"/>
        <v/>
      </c>
      <c r="EM33" s="14" t="str">
        <f t="shared" si="331"/>
        <v/>
      </c>
      <c r="EN33" s="14" t="str">
        <f t="shared" si="331"/>
        <v/>
      </c>
      <c r="EO33" s="15" t="str">
        <f t="shared" si="331"/>
        <v/>
      </c>
      <c r="EP33" s="14" t="str">
        <f t="shared" si="331"/>
        <v/>
      </c>
      <c r="EQ33" s="14" t="str">
        <f t="shared" si="331"/>
        <v/>
      </c>
      <c r="ER33" s="14" t="str">
        <f t="shared" si="331"/>
        <v/>
      </c>
      <c r="ES33" s="14" t="str">
        <f t="shared" si="331"/>
        <v/>
      </c>
      <c r="ET33" s="14" t="str">
        <f t="shared" si="331"/>
        <v/>
      </c>
      <c r="EU33" s="14" t="str">
        <f t="shared" si="331"/>
        <v/>
      </c>
      <c r="EV33" s="15" t="str">
        <f t="shared" si="331"/>
        <v/>
      </c>
      <c r="EW33" s="14" t="str">
        <f t="shared" si="331"/>
        <v/>
      </c>
      <c r="EX33" s="14" t="str">
        <f t="shared" si="331"/>
        <v/>
      </c>
      <c r="EY33" s="14" t="str">
        <f t="shared" si="331"/>
        <v/>
      </c>
      <c r="EZ33" s="14" t="str">
        <f t="shared" si="331"/>
        <v/>
      </c>
      <c r="FA33" s="14" t="str">
        <f t="shared" si="331"/>
        <v/>
      </c>
      <c r="FB33" s="14" t="str">
        <f t="shared" si="331"/>
        <v/>
      </c>
      <c r="FC33" s="15" t="str">
        <f t="shared" si="331"/>
        <v/>
      </c>
      <c r="FD33" s="14" t="str">
        <f t="shared" si="331"/>
        <v/>
      </c>
      <c r="FE33" s="14" t="str">
        <f t="shared" si="331"/>
        <v/>
      </c>
      <c r="FF33" s="14" t="str">
        <f t="shared" si="331"/>
        <v/>
      </c>
      <c r="FG33" s="14" t="str">
        <f t="shared" si="331"/>
        <v/>
      </c>
      <c r="FH33" s="14" t="str">
        <f t="shared" si="331"/>
        <v/>
      </c>
      <c r="FI33" s="14" t="str">
        <f t="shared" si="331"/>
        <v/>
      </c>
      <c r="FJ33" s="15" t="str">
        <f t="shared" si="331"/>
        <v/>
      </c>
      <c r="FK33" s="14" t="str">
        <f t="shared" si="331"/>
        <v/>
      </c>
      <c r="FL33" s="14" t="str">
        <f t="shared" si="331"/>
        <v/>
      </c>
      <c r="FM33" s="14" t="str">
        <f t="shared" si="331"/>
        <v/>
      </c>
      <c r="FN33" s="14" t="str">
        <f t="shared" ref="FN33:GQ33" si="332">IF(SUM(FN6:FN32) &gt; 0, SUM(FN6:FN32), "")</f>
        <v/>
      </c>
      <c r="FO33" s="14" t="str">
        <f t="shared" si="332"/>
        <v/>
      </c>
      <c r="FP33" s="14" t="str">
        <f t="shared" si="332"/>
        <v/>
      </c>
      <c r="FQ33" s="15" t="str">
        <f t="shared" si="332"/>
        <v/>
      </c>
      <c r="FR33" s="14" t="str">
        <f t="shared" si="332"/>
        <v/>
      </c>
      <c r="FS33" s="14" t="str">
        <f t="shared" si="332"/>
        <v/>
      </c>
      <c r="FT33" s="14" t="str">
        <f t="shared" si="332"/>
        <v/>
      </c>
      <c r="FU33" s="14" t="str">
        <f t="shared" si="332"/>
        <v/>
      </c>
      <c r="FV33" s="14" t="str">
        <f t="shared" si="332"/>
        <v/>
      </c>
      <c r="FW33" s="14" t="str">
        <f t="shared" si="332"/>
        <v/>
      </c>
      <c r="FX33" s="15" t="str">
        <f t="shared" si="332"/>
        <v/>
      </c>
      <c r="FY33" s="14" t="str">
        <f t="shared" si="332"/>
        <v/>
      </c>
      <c r="FZ33" s="14" t="str">
        <f t="shared" si="332"/>
        <v/>
      </c>
      <c r="GA33" s="14" t="str">
        <f t="shared" si="332"/>
        <v/>
      </c>
      <c r="GB33" s="14" t="str">
        <f t="shared" si="332"/>
        <v/>
      </c>
      <c r="GC33" s="14" t="str">
        <f t="shared" si="332"/>
        <v/>
      </c>
      <c r="GD33" s="14" t="str">
        <f t="shared" si="332"/>
        <v/>
      </c>
      <c r="GE33" s="15" t="str">
        <f t="shared" si="332"/>
        <v/>
      </c>
      <c r="GF33" s="14" t="str">
        <f t="shared" si="332"/>
        <v/>
      </c>
      <c r="GG33" s="14" t="str">
        <f t="shared" si="332"/>
        <v/>
      </c>
      <c r="GH33" s="14" t="str">
        <f t="shared" si="332"/>
        <v/>
      </c>
      <c r="GI33" s="14" t="str">
        <f t="shared" si="332"/>
        <v/>
      </c>
      <c r="GJ33" s="14" t="str">
        <f t="shared" si="332"/>
        <v/>
      </c>
      <c r="GK33" s="14" t="str">
        <f t="shared" si="332"/>
        <v/>
      </c>
      <c r="GL33" s="15" t="str">
        <f t="shared" si="332"/>
        <v/>
      </c>
      <c r="GM33" s="14" t="str">
        <f t="shared" si="332"/>
        <v/>
      </c>
      <c r="GN33" s="14" t="str">
        <f t="shared" si="332"/>
        <v/>
      </c>
      <c r="GO33" s="14" t="str">
        <f t="shared" si="332"/>
        <v/>
      </c>
      <c r="GP33" s="14" t="str">
        <f t="shared" si="332"/>
        <v/>
      </c>
      <c r="GQ33" s="14" t="str">
        <f t="shared" si="332"/>
        <v/>
      </c>
      <c r="GR33" s="14"/>
      <c r="GS33" s="15" t="str">
        <f t="shared" ref="GS33:HX33" si="333">IF(SUM(GS6:GS32) &gt; 0, SUM(GS6:GS32), "")</f>
        <v/>
      </c>
      <c r="GT33" s="14" t="str">
        <f t="shared" si="333"/>
        <v/>
      </c>
      <c r="GU33" s="14" t="str">
        <f t="shared" si="333"/>
        <v/>
      </c>
      <c r="GV33" s="14" t="str">
        <f t="shared" si="333"/>
        <v/>
      </c>
      <c r="GW33" s="14" t="str">
        <f t="shared" si="333"/>
        <v/>
      </c>
      <c r="GX33" s="14" t="str">
        <f t="shared" si="333"/>
        <v/>
      </c>
      <c r="GY33" s="14" t="str">
        <f t="shared" si="333"/>
        <v/>
      </c>
      <c r="GZ33" s="15" t="str">
        <f t="shared" si="333"/>
        <v/>
      </c>
      <c r="HA33" s="14" t="str">
        <f t="shared" si="333"/>
        <v/>
      </c>
      <c r="HB33" s="14" t="str">
        <f t="shared" si="333"/>
        <v/>
      </c>
      <c r="HC33" s="14" t="str">
        <f t="shared" si="333"/>
        <v/>
      </c>
      <c r="HD33" s="14" t="str">
        <f t="shared" si="333"/>
        <v/>
      </c>
      <c r="HE33" s="14" t="str">
        <f t="shared" si="333"/>
        <v/>
      </c>
      <c r="HF33" s="14" t="str">
        <f t="shared" si="333"/>
        <v/>
      </c>
      <c r="HG33" s="15" t="str">
        <f t="shared" si="333"/>
        <v/>
      </c>
      <c r="HH33" s="14" t="str">
        <f t="shared" si="333"/>
        <v/>
      </c>
      <c r="HI33" s="14" t="str">
        <f t="shared" si="333"/>
        <v/>
      </c>
      <c r="HJ33" s="14" t="str">
        <f t="shared" si="333"/>
        <v/>
      </c>
      <c r="HK33" s="14" t="str">
        <f t="shared" si="333"/>
        <v/>
      </c>
      <c r="HL33" s="14" t="str">
        <f t="shared" si="333"/>
        <v/>
      </c>
      <c r="HM33" s="14" t="str">
        <f t="shared" si="333"/>
        <v/>
      </c>
      <c r="HN33" s="15" t="str">
        <f t="shared" si="333"/>
        <v/>
      </c>
      <c r="HO33" s="14" t="str">
        <f t="shared" si="333"/>
        <v/>
      </c>
      <c r="HP33" s="14" t="str">
        <f t="shared" si="333"/>
        <v/>
      </c>
      <c r="HQ33" s="14" t="str">
        <f t="shared" si="333"/>
        <v/>
      </c>
      <c r="HR33" s="14" t="str">
        <f t="shared" si="333"/>
        <v/>
      </c>
      <c r="HS33" s="14" t="str">
        <f t="shared" si="333"/>
        <v/>
      </c>
      <c r="HT33" s="14" t="str">
        <f t="shared" si="333"/>
        <v/>
      </c>
      <c r="HU33" s="15" t="str">
        <f t="shared" si="333"/>
        <v/>
      </c>
      <c r="HV33" s="14" t="str">
        <f t="shared" si="333"/>
        <v/>
      </c>
      <c r="HW33" s="14" t="str">
        <f t="shared" si="333"/>
        <v/>
      </c>
      <c r="HX33" s="14" t="str">
        <f t="shared" si="333"/>
        <v/>
      </c>
      <c r="HY33" s="14" t="str">
        <f t="shared" ref="HY33:JD33" si="334">IF(SUM(HY6:HY32) &gt; 0, SUM(HY6:HY32), "")</f>
        <v/>
      </c>
      <c r="HZ33" s="14" t="str">
        <f t="shared" si="334"/>
        <v/>
      </c>
      <c r="IA33" s="14" t="str">
        <f t="shared" si="334"/>
        <v/>
      </c>
      <c r="IB33" s="15" t="str">
        <f t="shared" si="334"/>
        <v/>
      </c>
      <c r="IC33" s="14" t="str">
        <f t="shared" si="334"/>
        <v/>
      </c>
      <c r="ID33" s="14" t="str">
        <f t="shared" si="334"/>
        <v/>
      </c>
      <c r="IE33" s="14" t="str">
        <f t="shared" si="334"/>
        <v/>
      </c>
      <c r="IF33" s="14" t="str">
        <f t="shared" si="334"/>
        <v/>
      </c>
      <c r="IG33" s="14" t="str">
        <f t="shared" si="334"/>
        <v/>
      </c>
      <c r="IH33" s="14" t="str">
        <f t="shared" si="334"/>
        <v/>
      </c>
      <c r="II33" s="15" t="str">
        <f t="shared" si="334"/>
        <v/>
      </c>
      <c r="IJ33" s="14" t="str">
        <f t="shared" si="334"/>
        <v/>
      </c>
      <c r="IK33" s="14" t="str">
        <f t="shared" si="334"/>
        <v/>
      </c>
      <c r="IL33" s="14" t="str">
        <f t="shared" si="334"/>
        <v/>
      </c>
      <c r="IM33" s="14" t="str">
        <f t="shared" si="334"/>
        <v/>
      </c>
      <c r="IN33" s="14" t="str">
        <f t="shared" si="334"/>
        <v/>
      </c>
      <c r="IO33" s="14" t="str">
        <f t="shared" si="334"/>
        <v/>
      </c>
      <c r="IP33" s="15" t="str">
        <f t="shared" si="334"/>
        <v/>
      </c>
      <c r="IQ33" s="14" t="str">
        <f t="shared" si="334"/>
        <v/>
      </c>
      <c r="IR33" s="14" t="str">
        <f t="shared" si="334"/>
        <v/>
      </c>
      <c r="IS33" s="14" t="str">
        <f t="shared" si="334"/>
        <v/>
      </c>
      <c r="IT33" s="14" t="str">
        <f t="shared" si="334"/>
        <v/>
      </c>
      <c r="IU33" s="14" t="str">
        <f t="shared" si="334"/>
        <v/>
      </c>
      <c r="IV33" s="14" t="str">
        <f t="shared" si="334"/>
        <v/>
      </c>
      <c r="IW33" s="15" t="str">
        <f t="shared" si="334"/>
        <v/>
      </c>
      <c r="IX33" s="14" t="str">
        <f t="shared" si="334"/>
        <v/>
      </c>
      <c r="IY33" s="14" t="str">
        <f t="shared" si="334"/>
        <v/>
      </c>
      <c r="IZ33" s="14" t="str">
        <f t="shared" si="334"/>
        <v/>
      </c>
      <c r="JA33" s="14" t="str">
        <f t="shared" si="334"/>
        <v/>
      </c>
      <c r="JB33" s="14" t="str">
        <f t="shared" si="334"/>
        <v/>
      </c>
      <c r="JC33" s="14" t="str">
        <f t="shared" si="334"/>
        <v/>
      </c>
      <c r="JD33" s="15" t="str">
        <f t="shared" si="334"/>
        <v/>
      </c>
      <c r="JE33" s="14" t="str">
        <f t="shared" ref="JE33:KJ33" si="335">IF(SUM(JE6:JE32) &gt; 0, SUM(JE6:JE32), "")</f>
        <v/>
      </c>
      <c r="JF33" s="14" t="str">
        <f t="shared" si="335"/>
        <v/>
      </c>
      <c r="JG33" s="14" t="str">
        <f t="shared" si="335"/>
        <v/>
      </c>
      <c r="JH33" s="14" t="str">
        <f t="shared" si="335"/>
        <v/>
      </c>
      <c r="JI33" s="14" t="str">
        <f t="shared" si="335"/>
        <v/>
      </c>
      <c r="JJ33" s="14" t="str">
        <f t="shared" si="335"/>
        <v/>
      </c>
      <c r="JK33" s="15" t="str">
        <f t="shared" si="335"/>
        <v/>
      </c>
      <c r="JL33" s="14" t="str">
        <f t="shared" si="335"/>
        <v/>
      </c>
      <c r="JM33" s="14" t="str">
        <f t="shared" si="335"/>
        <v/>
      </c>
      <c r="JN33" s="14" t="str">
        <f t="shared" si="335"/>
        <v/>
      </c>
      <c r="JO33" s="14" t="str">
        <f t="shared" si="335"/>
        <v/>
      </c>
      <c r="JP33" s="14" t="str">
        <f t="shared" si="335"/>
        <v/>
      </c>
      <c r="JQ33" s="14" t="str">
        <f t="shared" si="335"/>
        <v/>
      </c>
      <c r="JR33" s="15" t="str">
        <f t="shared" si="335"/>
        <v/>
      </c>
      <c r="JS33" s="14" t="str">
        <f t="shared" si="335"/>
        <v/>
      </c>
      <c r="JT33" s="14" t="str">
        <f t="shared" si="335"/>
        <v/>
      </c>
      <c r="JU33" s="14" t="str">
        <f t="shared" si="335"/>
        <v/>
      </c>
      <c r="JV33" s="14" t="str">
        <f t="shared" si="335"/>
        <v/>
      </c>
      <c r="JW33" s="14" t="str">
        <f t="shared" si="335"/>
        <v/>
      </c>
      <c r="JX33" s="14" t="str">
        <f t="shared" si="335"/>
        <v/>
      </c>
      <c r="JY33" s="15" t="str">
        <f t="shared" si="335"/>
        <v/>
      </c>
      <c r="JZ33" s="14" t="str">
        <f t="shared" si="335"/>
        <v/>
      </c>
      <c r="KA33" s="14" t="str">
        <f t="shared" si="335"/>
        <v/>
      </c>
      <c r="KB33" s="14" t="str">
        <f t="shared" si="335"/>
        <v/>
      </c>
      <c r="KC33" s="14" t="str">
        <f t="shared" si="335"/>
        <v/>
      </c>
      <c r="KD33" s="14" t="str">
        <f t="shared" si="335"/>
        <v/>
      </c>
      <c r="KE33" s="14" t="str">
        <f t="shared" si="335"/>
        <v/>
      </c>
      <c r="KF33" s="15" t="str">
        <f t="shared" si="335"/>
        <v/>
      </c>
      <c r="KG33" s="14" t="str">
        <f t="shared" si="335"/>
        <v/>
      </c>
      <c r="KH33" s="14" t="str">
        <f t="shared" si="335"/>
        <v/>
      </c>
      <c r="KI33" s="14" t="str">
        <f t="shared" si="335"/>
        <v/>
      </c>
      <c r="KJ33" s="14" t="str">
        <f t="shared" si="335"/>
        <v/>
      </c>
      <c r="KK33" s="14" t="str">
        <f t="shared" ref="KK33:LP33" si="336">IF(SUM(KK6:KK32) &gt; 0, SUM(KK6:KK32), "")</f>
        <v/>
      </c>
      <c r="KL33" s="14" t="str">
        <f t="shared" si="336"/>
        <v/>
      </c>
      <c r="KM33" s="15" t="str">
        <f t="shared" si="336"/>
        <v/>
      </c>
      <c r="KN33" s="14" t="str">
        <f t="shared" si="336"/>
        <v/>
      </c>
      <c r="KO33" s="14" t="str">
        <f t="shared" si="336"/>
        <v/>
      </c>
      <c r="KP33" s="14" t="str">
        <f t="shared" si="336"/>
        <v/>
      </c>
      <c r="KQ33" s="14" t="str">
        <f t="shared" si="336"/>
        <v/>
      </c>
      <c r="KR33" s="14" t="str">
        <f t="shared" si="336"/>
        <v/>
      </c>
      <c r="KS33" s="14" t="str">
        <f t="shared" si="336"/>
        <v/>
      </c>
      <c r="KT33" s="15" t="str">
        <f t="shared" si="336"/>
        <v/>
      </c>
      <c r="KU33" s="14" t="str">
        <f t="shared" si="336"/>
        <v/>
      </c>
      <c r="KV33" s="14" t="str">
        <f t="shared" si="336"/>
        <v/>
      </c>
      <c r="KW33" s="14" t="str">
        <f t="shared" si="336"/>
        <v/>
      </c>
      <c r="KX33" s="14" t="str">
        <f t="shared" si="336"/>
        <v/>
      </c>
      <c r="KY33" s="14" t="str">
        <f t="shared" si="336"/>
        <v/>
      </c>
      <c r="KZ33" s="14" t="str">
        <f t="shared" si="336"/>
        <v/>
      </c>
      <c r="LA33" s="15" t="str">
        <f t="shared" si="336"/>
        <v/>
      </c>
      <c r="LB33" s="14" t="str">
        <f t="shared" si="336"/>
        <v/>
      </c>
      <c r="LC33" s="14" t="str">
        <f t="shared" si="336"/>
        <v/>
      </c>
      <c r="LD33" s="14" t="str">
        <f t="shared" si="336"/>
        <v/>
      </c>
      <c r="LE33" s="14" t="str">
        <f t="shared" si="336"/>
        <v/>
      </c>
      <c r="LF33" s="14" t="str">
        <f t="shared" si="336"/>
        <v/>
      </c>
      <c r="LG33" s="14" t="str">
        <f t="shared" si="336"/>
        <v/>
      </c>
      <c r="LH33" s="15" t="str">
        <f t="shared" si="336"/>
        <v/>
      </c>
      <c r="LI33" s="14" t="str">
        <f t="shared" si="336"/>
        <v/>
      </c>
      <c r="LJ33" s="14" t="str">
        <f t="shared" si="336"/>
        <v/>
      </c>
      <c r="LK33" s="14" t="str">
        <f t="shared" si="336"/>
        <v/>
      </c>
      <c r="LL33" s="14" t="str">
        <f t="shared" si="336"/>
        <v/>
      </c>
      <c r="LM33" s="14" t="str">
        <f t="shared" si="336"/>
        <v/>
      </c>
      <c r="LN33" s="14" t="str">
        <f t="shared" si="336"/>
        <v/>
      </c>
      <c r="LO33" s="15" t="str">
        <f t="shared" si="336"/>
        <v/>
      </c>
      <c r="LP33" s="14" t="str">
        <f t="shared" si="336"/>
        <v/>
      </c>
      <c r="LQ33" s="14" t="str">
        <f t="shared" ref="LQ33:MJ33" si="337">IF(SUM(LQ6:LQ32) &gt; 0, SUM(LQ6:LQ32), "")</f>
        <v/>
      </c>
      <c r="LR33" s="14" t="str">
        <f t="shared" si="337"/>
        <v/>
      </c>
      <c r="LS33" s="14" t="str">
        <f t="shared" si="337"/>
        <v/>
      </c>
      <c r="LT33" s="14" t="str">
        <f t="shared" si="337"/>
        <v/>
      </c>
      <c r="LU33" s="14" t="str">
        <f t="shared" si="337"/>
        <v/>
      </c>
      <c r="LV33" s="15" t="str">
        <f t="shared" si="337"/>
        <v/>
      </c>
      <c r="LW33" s="14" t="str">
        <f t="shared" si="337"/>
        <v/>
      </c>
      <c r="LX33" s="14" t="str">
        <f t="shared" si="337"/>
        <v/>
      </c>
      <c r="LY33" s="14" t="str">
        <f t="shared" si="337"/>
        <v/>
      </c>
      <c r="LZ33" s="14" t="str">
        <f t="shared" si="337"/>
        <v/>
      </c>
      <c r="MA33" s="14" t="str">
        <f t="shared" si="337"/>
        <v/>
      </c>
      <c r="MB33" s="14" t="str">
        <f t="shared" si="337"/>
        <v/>
      </c>
      <c r="MC33" s="15" t="str">
        <f t="shared" si="337"/>
        <v/>
      </c>
      <c r="MD33" s="14" t="str">
        <f t="shared" si="337"/>
        <v/>
      </c>
      <c r="ME33" s="14" t="str">
        <f t="shared" si="337"/>
        <v/>
      </c>
      <c r="MF33" s="14" t="str">
        <f t="shared" si="337"/>
        <v/>
      </c>
      <c r="MG33" s="14" t="str">
        <f t="shared" si="337"/>
        <v/>
      </c>
      <c r="MH33" s="14" t="str">
        <f t="shared" si="337"/>
        <v/>
      </c>
      <c r="MI33" s="14" t="str">
        <f t="shared" si="337"/>
        <v/>
      </c>
      <c r="MJ33" s="116" t="str">
        <f t="shared" si="337"/>
        <v/>
      </c>
    </row>
    <row r="34" spans="1:348" x14ac:dyDescent="0.25">
      <c r="A34" s="112" t="s">
        <v>18</v>
      </c>
      <c r="B34" s="111"/>
      <c r="C34" s="111"/>
      <c r="D34" s="111"/>
      <c r="E34" s="111"/>
      <c r="F34" s="113"/>
      <c r="G34" s="111"/>
      <c r="H34" s="111"/>
      <c r="I34" s="111"/>
      <c r="J34" s="111"/>
      <c r="K34" s="111"/>
      <c r="L34" s="111"/>
      <c r="M34" s="111"/>
      <c r="N34" s="111"/>
      <c r="O34" s="114"/>
      <c r="P34" s="111">
        <f>SUM(S34:MJ34)</f>
        <v>37</v>
      </c>
      <c r="Q34" s="111"/>
      <c r="R34" s="114"/>
      <c r="S34" s="114">
        <v>1</v>
      </c>
      <c r="T34" s="111"/>
      <c r="U34" s="111">
        <v>1</v>
      </c>
      <c r="V34" s="111">
        <v>1</v>
      </c>
      <c r="W34" s="111"/>
      <c r="X34" s="111">
        <v>1</v>
      </c>
      <c r="Y34" s="111"/>
      <c r="Z34" s="114"/>
      <c r="AA34" s="111"/>
      <c r="AB34" s="111">
        <v>1</v>
      </c>
      <c r="AC34" s="111"/>
      <c r="AD34" s="111">
        <v>1</v>
      </c>
      <c r="AE34" s="111">
        <v>1</v>
      </c>
      <c r="AF34" s="111"/>
      <c r="AG34" s="114"/>
      <c r="AH34" s="111"/>
      <c r="AI34" s="111">
        <v>1</v>
      </c>
      <c r="AJ34" s="111"/>
      <c r="AK34" s="111">
        <v>1</v>
      </c>
      <c r="AL34" s="111">
        <v>1</v>
      </c>
      <c r="AM34" s="111"/>
      <c r="AN34" s="114"/>
      <c r="AO34" s="111"/>
      <c r="AP34" s="111">
        <v>1</v>
      </c>
      <c r="AQ34" s="111"/>
      <c r="AR34" s="111">
        <v>1</v>
      </c>
      <c r="AS34" s="111">
        <v>1</v>
      </c>
      <c r="AT34" s="111"/>
      <c r="AU34" s="114"/>
      <c r="AV34" s="111"/>
      <c r="AW34" s="111">
        <v>1</v>
      </c>
      <c r="AX34" s="111"/>
      <c r="AY34" s="111">
        <v>1</v>
      </c>
      <c r="AZ34" s="111">
        <v>1</v>
      </c>
      <c r="BA34" s="111"/>
      <c r="BB34" s="114"/>
      <c r="BC34" s="111"/>
      <c r="BD34" s="111">
        <v>1</v>
      </c>
      <c r="BE34" s="111"/>
      <c r="BF34" s="111">
        <v>1</v>
      </c>
      <c r="BG34" s="111">
        <v>1</v>
      </c>
      <c r="BH34" s="111"/>
      <c r="BI34" s="114"/>
      <c r="BJ34" s="111"/>
      <c r="BK34" s="111">
        <v>1</v>
      </c>
      <c r="BL34" s="111"/>
      <c r="BM34" s="111">
        <v>1</v>
      </c>
      <c r="BN34" s="111"/>
      <c r="BO34" s="111"/>
      <c r="BP34" s="114">
        <v>1</v>
      </c>
      <c r="BQ34" s="111"/>
      <c r="BR34" s="111">
        <v>1</v>
      </c>
      <c r="BS34" s="111"/>
      <c r="BT34" s="111">
        <v>1</v>
      </c>
      <c r="BU34" s="111"/>
      <c r="BV34" s="111"/>
      <c r="BW34" s="111">
        <v>1</v>
      </c>
      <c r="BX34" s="111"/>
      <c r="BY34" s="114"/>
      <c r="BZ34" s="111"/>
      <c r="CA34" s="111"/>
      <c r="CB34" s="111"/>
      <c r="CC34" s="111">
        <v>1</v>
      </c>
      <c r="CD34" s="111"/>
      <c r="CE34" s="111"/>
      <c r="CF34" s="111">
        <v>1</v>
      </c>
      <c r="CG34" s="111"/>
      <c r="CH34" s="114"/>
      <c r="CI34" s="111"/>
      <c r="CJ34" s="111"/>
      <c r="CK34" s="111"/>
      <c r="CL34" s="111">
        <v>1</v>
      </c>
      <c r="CM34" s="111"/>
      <c r="CN34" s="111"/>
      <c r="CO34" s="111">
        <v>1</v>
      </c>
      <c r="CP34" s="111"/>
      <c r="CQ34" s="114"/>
      <c r="CR34" s="111"/>
      <c r="CS34" s="111">
        <v>1</v>
      </c>
      <c r="CT34" s="111"/>
      <c r="CU34" s="111">
        <v>1</v>
      </c>
      <c r="CV34" s="111">
        <v>1</v>
      </c>
      <c r="CW34" s="111"/>
      <c r="CX34" s="111">
        <v>1</v>
      </c>
      <c r="CY34" s="111"/>
      <c r="CZ34" s="114"/>
      <c r="DA34" s="111"/>
      <c r="DB34" s="111">
        <v>1</v>
      </c>
      <c r="DC34" s="111"/>
      <c r="DD34" s="111"/>
      <c r="DE34" s="111">
        <v>1</v>
      </c>
      <c r="DF34" s="111"/>
      <c r="DG34" s="111">
        <v>1</v>
      </c>
      <c r="DH34" s="111"/>
      <c r="DI34" s="114"/>
      <c r="DJ34" s="111"/>
      <c r="DK34" s="111">
        <v>1</v>
      </c>
      <c r="DL34" s="111"/>
      <c r="DM34" s="111"/>
      <c r="DN34" s="111"/>
      <c r="DO34" s="111"/>
      <c r="DP34" s="111"/>
      <c r="DQ34" s="111"/>
      <c r="DR34" s="114"/>
      <c r="DS34" s="111"/>
      <c r="DT34" s="111"/>
      <c r="DU34" s="111"/>
      <c r="DV34" s="111"/>
      <c r="DW34" s="111"/>
      <c r="DX34" s="111"/>
      <c r="DY34" s="111"/>
      <c r="DZ34" s="111"/>
      <c r="EA34" s="114"/>
      <c r="EB34" s="111"/>
      <c r="EC34" s="111"/>
      <c r="ED34" s="111"/>
      <c r="EE34" s="111"/>
      <c r="EF34" s="111"/>
      <c r="EG34" s="111"/>
      <c r="EH34" s="114"/>
      <c r="EI34" s="111"/>
      <c r="EJ34" s="111"/>
      <c r="EK34" s="111"/>
      <c r="EL34" s="111"/>
      <c r="EM34" s="111"/>
      <c r="EN34" s="111"/>
      <c r="EO34" s="114"/>
      <c r="EP34" s="111"/>
      <c r="EQ34" s="111"/>
      <c r="ER34" s="111"/>
      <c r="ES34" s="111"/>
      <c r="ET34" s="111"/>
      <c r="EU34" s="111"/>
      <c r="EV34" s="114"/>
      <c r="EW34" s="111"/>
      <c r="EX34" s="111"/>
      <c r="EY34" s="111"/>
      <c r="EZ34" s="111"/>
      <c r="FA34" s="111"/>
      <c r="FB34" s="111"/>
      <c r="FC34" s="114"/>
      <c r="FD34" s="111"/>
      <c r="FE34" s="111"/>
      <c r="FF34" s="111"/>
      <c r="FG34" s="111"/>
      <c r="FH34" s="111"/>
      <c r="FI34" s="111"/>
      <c r="FJ34" s="114"/>
      <c r="FK34" s="111"/>
      <c r="FL34" s="111"/>
      <c r="FM34" s="111"/>
      <c r="FN34" s="111"/>
      <c r="FO34" s="111"/>
      <c r="FP34" s="111"/>
      <c r="FQ34" s="114"/>
      <c r="FR34" s="111"/>
      <c r="FS34" s="111"/>
      <c r="FT34" s="111"/>
      <c r="FU34" s="111"/>
      <c r="FV34" s="111"/>
      <c r="FW34" s="111"/>
      <c r="FX34" s="114"/>
      <c r="FY34" s="111"/>
      <c r="FZ34" s="111"/>
      <c r="GA34" s="111"/>
      <c r="GB34" s="111"/>
      <c r="GC34" s="111"/>
      <c r="GD34" s="111"/>
      <c r="GE34" s="114"/>
      <c r="GF34" s="111"/>
      <c r="GG34" s="111"/>
      <c r="GH34" s="111"/>
      <c r="GI34" s="111"/>
      <c r="GJ34" s="111"/>
      <c r="GK34" s="111"/>
      <c r="GL34" s="114"/>
      <c r="GM34" s="111"/>
      <c r="GN34" s="111"/>
      <c r="GO34" s="111"/>
      <c r="GP34" s="111"/>
      <c r="GQ34" s="111"/>
      <c r="GR34" s="111"/>
      <c r="GS34" s="114"/>
      <c r="GT34" s="111"/>
      <c r="GU34" s="111"/>
      <c r="GV34" s="111"/>
      <c r="GW34" s="111"/>
      <c r="GX34" s="111"/>
      <c r="GY34" s="111"/>
      <c r="GZ34" s="114"/>
      <c r="HA34" s="111"/>
      <c r="HB34" s="111"/>
      <c r="HC34" s="111"/>
      <c r="HD34" s="111"/>
      <c r="HE34" s="111"/>
      <c r="HF34" s="111"/>
      <c r="HG34" s="114"/>
      <c r="HH34" s="111"/>
      <c r="HI34" s="111"/>
      <c r="HJ34" s="111"/>
      <c r="HK34" s="111"/>
      <c r="HL34" s="111"/>
      <c r="HM34" s="111"/>
      <c r="HN34" s="114"/>
      <c r="HO34" s="111"/>
      <c r="HP34" s="111"/>
      <c r="HQ34" s="111"/>
      <c r="HR34" s="111"/>
      <c r="HS34" s="111"/>
      <c r="HT34" s="111"/>
      <c r="HU34" s="114"/>
      <c r="HV34" s="111"/>
      <c r="HW34" s="111"/>
      <c r="HX34" s="111"/>
      <c r="HY34" s="111"/>
      <c r="HZ34" s="111"/>
      <c r="IA34" s="111"/>
      <c r="IB34" s="114"/>
      <c r="IC34" s="111"/>
      <c r="ID34" s="111"/>
      <c r="IE34" s="111"/>
      <c r="IF34" s="111"/>
      <c r="IG34" s="111"/>
      <c r="IH34" s="111"/>
      <c r="II34" s="114"/>
      <c r="IJ34" s="111"/>
      <c r="IK34" s="111"/>
      <c r="IL34" s="111"/>
      <c r="IM34" s="111"/>
      <c r="IN34" s="111"/>
      <c r="IO34" s="111"/>
      <c r="IP34" s="114"/>
      <c r="IQ34" s="111"/>
      <c r="IR34" s="111"/>
      <c r="IS34" s="111"/>
      <c r="IT34" s="111"/>
      <c r="IU34" s="111"/>
      <c r="IV34" s="111"/>
      <c r="IW34" s="114"/>
      <c r="IX34" s="111"/>
      <c r="IY34" s="111"/>
      <c r="IZ34" s="111"/>
      <c r="JA34" s="111"/>
      <c r="JB34" s="111"/>
      <c r="JC34" s="111"/>
      <c r="JD34" s="114"/>
      <c r="JE34" s="111"/>
      <c r="JF34" s="111"/>
      <c r="JG34" s="111"/>
      <c r="JH34" s="111"/>
      <c r="JI34" s="111"/>
      <c r="JJ34" s="111"/>
      <c r="JK34" s="114"/>
      <c r="JL34" s="111"/>
      <c r="JM34" s="111"/>
      <c r="JN34" s="111"/>
      <c r="JO34" s="111"/>
      <c r="JP34" s="111"/>
      <c r="JQ34" s="111"/>
      <c r="JR34" s="114"/>
      <c r="JS34" s="111"/>
      <c r="JT34" s="111"/>
      <c r="JU34" s="111"/>
      <c r="JV34" s="111"/>
      <c r="JW34" s="111"/>
      <c r="JX34" s="111"/>
      <c r="JY34" s="114"/>
      <c r="JZ34" s="111"/>
      <c r="KA34" s="111"/>
      <c r="KB34" s="111"/>
      <c r="KC34" s="111"/>
      <c r="KD34" s="111"/>
      <c r="KE34" s="111"/>
      <c r="KF34" s="114"/>
      <c r="KG34" s="111"/>
      <c r="KH34" s="111"/>
      <c r="KI34" s="111"/>
      <c r="KJ34" s="111"/>
      <c r="KK34" s="111"/>
      <c r="KL34" s="111"/>
      <c r="KM34" s="114"/>
      <c r="KN34" s="111"/>
      <c r="KO34" s="111"/>
      <c r="KP34" s="111"/>
      <c r="KQ34" s="111"/>
      <c r="KR34" s="111"/>
      <c r="KS34" s="111"/>
      <c r="KT34" s="114"/>
      <c r="KU34" s="111"/>
      <c r="KV34" s="111"/>
      <c r="KW34" s="111"/>
      <c r="KX34" s="111"/>
      <c r="KY34" s="111"/>
      <c r="KZ34" s="111"/>
      <c r="LA34" s="114"/>
      <c r="LB34" s="111"/>
      <c r="LC34" s="111"/>
      <c r="LD34" s="111"/>
      <c r="LE34" s="111"/>
      <c r="LF34" s="111"/>
      <c r="LG34" s="111"/>
      <c r="LH34" s="114"/>
      <c r="LI34" s="111"/>
      <c r="LJ34" s="111"/>
      <c r="LK34" s="111"/>
      <c r="LL34" s="111"/>
      <c r="LM34" s="111"/>
      <c r="LN34" s="111"/>
      <c r="LO34" s="114"/>
      <c r="LP34" s="111"/>
      <c r="LQ34" s="111"/>
      <c r="LR34" s="111"/>
      <c r="LS34" s="111"/>
      <c r="LT34" s="111"/>
      <c r="LU34" s="111"/>
      <c r="LV34" s="114"/>
      <c r="LW34" s="111"/>
      <c r="LX34" s="111"/>
      <c r="LY34" s="111"/>
      <c r="LZ34" s="111"/>
      <c r="MA34" s="111"/>
      <c r="MB34" s="111"/>
      <c r="MC34" s="114"/>
      <c r="MD34" s="111"/>
      <c r="ME34" s="111"/>
      <c r="MF34" s="111"/>
      <c r="MG34" s="111"/>
      <c r="MH34" s="111"/>
      <c r="MI34" s="111"/>
      <c r="MJ34" s="114"/>
    </row>
    <row r="35" spans="1:348" ht="7.5" hidden="1" customHeight="1" x14ac:dyDescent="0.25">
      <c r="A35" s="129"/>
      <c r="B35" s="130"/>
      <c r="C35" s="130"/>
      <c r="D35" s="130"/>
      <c r="E35" s="131"/>
      <c r="F35" s="130"/>
      <c r="G35" s="130"/>
      <c r="H35" s="130"/>
      <c r="I35" s="130"/>
      <c r="J35" s="130"/>
      <c r="K35" s="130"/>
      <c r="L35" s="130"/>
      <c r="M35" s="130"/>
      <c r="N35" s="130"/>
      <c r="O35" s="131"/>
      <c r="P35" s="130"/>
      <c r="Q35" s="130"/>
      <c r="R35" s="131"/>
      <c r="S35" s="37"/>
      <c r="T35" s="132"/>
      <c r="U35" s="132"/>
      <c r="V35" s="132"/>
      <c r="W35" s="132"/>
      <c r="X35" s="132"/>
      <c r="Y35" s="132"/>
      <c r="Z35" s="37"/>
      <c r="AA35" s="132"/>
      <c r="AB35" s="132"/>
      <c r="AC35" s="132"/>
      <c r="AD35" s="132"/>
      <c r="AE35" s="132"/>
      <c r="AF35" s="132"/>
      <c r="AG35" s="37"/>
      <c r="AH35" s="132"/>
      <c r="AI35" s="132"/>
      <c r="AJ35" s="132"/>
      <c r="AK35" s="132"/>
      <c r="AL35" s="132"/>
      <c r="AM35" s="132"/>
      <c r="AN35" s="37"/>
      <c r="AO35" s="132"/>
      <c r="AP35" s="132"/>
      <c r="AQ35" s="132"/>
      <c r="AR35" s="132"/>
      <c r="AS35" s="132"/>
      <c r="AT35" s="132"/>
      <c r="AU35" s="37"/>
      <c r="AV35" s="132"/>
      <c r="AW35" s="132"/>
      <c r="AX35" s="132"/>
      <c r="AY35" s="132"/>
      <c r="AZ35" s="132"/>
      <c r="BA35" s="132"/>
      <c r="BB35" s="37"/>
      <c r="BC35" s="132"/>
      <c r="BD35" s="132"/>
      <c r="BE35" s="132"/>
      <c r="BF35" s="132"/>
      <c r="BG35" s="132"/>
      <c r="BH35" s="132"/>
      <c r="BI35" s="37"/>
      <c r="BJ35" s="132"/>
      <c r="BK35" s="132"/>
      <c r="BL35" s="132"/>
      <c r="BM35" s="132"/>
      <c r="BN35" s="132"/>
      <c r="BO35" s="132"/>
      <c r="BP35" s="37"/>
      <c r="BQ35" s="132"/>
      <c r="BR35" s="132"/>
      <c r="BS35" s="132"/>
      <c r="BT35" s="132"/>
      <c r="BU35" s="132"/>
      <c r="BV35" s="132"/>
      <c r="BW35" s="132"/>
      <c r="BX35" s="132"/>
      <c r="BY35" s="37"/>
      <c r="BZ35" s="132"/>
      <c r="CA35" s="132"/>
      <c r="CB35" s="132"/>
      <c r="CC35" s="132"/>
      <c r="CD35" s="132"/>
      <c r="CE35" s="132"/>
      <c r="CF35" s="132"/>
      <c r="CG35" s="132"/>
      <c r="CH35" s="37"/>
      <c r="CI35" s="132"/>
      <c r="CJ35" s="132"/>
      <c r="CK35" s="132"/>
      <c r="CL35" s="132"/>
      <c r="CM35" s="132"/>
      <c r="CN35" s="132"/>
      <c r="CO35" s="132"/>
      <c r="CP35" s="132"/>
      <c r="CQ35" s="37"/>
      <c r="CR35" s="132"/>
      <c r="CS35" s="132"/>
      <c r="CT35" s="132"/>
      <c r="CU35" s="132"/>
      <c r="CV35" s="132"/>
      <c r="CW35" s="132"/>
      <c r="CX35" s="132"/>
      <c r="CY35" s="132"/>
      <c r="CZ35" s="37"/>
      <c r="DA35" s="132"/>
      <c r="DB35" s="132"/>
      <c r="DC35" s="132"/>
      <c r="DD35" s="132"/>
      <c r="DE35" s="132"/>
      <c r="DF35" s="132"/>
      <c r="DG35" s="132"/>
      <c r="DH35" s="132"/>
      <c r="DI35" s="37"/>
      <c r="DJ35" s="132"/>
      <c r="DK35" s="132"/>
      <c r="DL35" s="132"/>
      <c r="DM35" s="132"/>
      <c r="DN35" s="132"/>
      <c r="DO35" s="132"/>
      <c r="DP35" s="132"/>
      <c r="DQ35" s="132"/>
      <c r="DR35" s="37"/>
      <c r="DS35" s="132"/>
      <c r="DT35" s="132"/>
      <c r="DU35" s="132"/>
      <c r="DV35" s="132"/>
      <c r="DW35" s="132"/>
      <c r="DX35" s="132"/>
      <c r="DY35" s="132"/>
      <c r="DZ35" s="132"/>
      <c r="EA35" s="37"/>
      <c r="EB35" s="132"/>
      <c r="EC35" s="132"/>
      <c r="ED35" s="132"/>
      <c r="EE35" s="132"/>
      <c r="EF35" s="132"/>
      <c r="EG35" s="132"/>
      <c r="EH35" s="37"/>
      <c r="EI35" s="132"/>
      <c r="EJ35" s="132"/>
      <c r="EK35" s="132"/>
      <c r="EL35" s="132"/>
      <c r="EM35" s="132"/>
      <c r="EN35" s="132"/>
      <c r="EO35" s="37"/>
      <c r="EP35" s="132"/>
      <c r="EQ35" s="132"/>
      <c r="ER35" s="132"/>
      <c r="ES35" s="132"/>
      <c r="ET35" s="132"/>
      <c r="EU35" s="132"/>
      <c r="EV35" s="37"/>
      <c r="EW35" s="132"/>
      <c r="EX35" s="132"/>
      <c r="EY35" s="132"/>
      <c r="EZ35" s="132"/>
      <c r="FA35" s="132"/>
      <c r="FB35" s="132"/>
      <c r="FC35" s="37"/>
      <c r="FD35" s="132"/>
      <c r="FE35" s="132"/>
      <c r="FF35" s="132"/>
      <c r="FG35" s="132"/>
      <c r="FH35" s="132"/>
      <c r="FI35" s="132"/>
      <c r="FJ35" s="37"/>
      <c r="FK35" s="132"/>
      <c r="FL35" s="132"/>
      <c r="FM35" s="132"/>
      <c r="FN35" s="132"/>
      <c r="FO35" s="132"/>
      <c r="FP35" s="132"/>
      <c r="FQ35" s="37"/>
      <c r="FR35" s="132"/>
      <c r="FS35" s="132"/>
      <c r="FT35" s="132"/>
      <c r="FU35" s="132"/>
      <c r="FV35" s="132"/>
      <c r="FW35" s="132"/>
      <c r="FX35" s="37"/>
      <c r="FY35" s="132"/>
      <c r="FZ35" s="132"/>
      <c r="GA35" s="132"/>
      <c r="GB35" s="132"/>
      <c r="GC35" s="132"/>
      <c r="GD35" s="132"/>
      <c r="GE35" s="37"/>
      <c r="GF35" s="132"/>
      <c r="GG35" s="132"/>
      <c r="GH35" s="132"/>
      <c r="GI35" s="132"/>
      <c r="GJ35" s="132"/>
      <c r="GK35" s="132"/>
      <c r="GL35" s="37"/>
      <c r="GM35" s="132"/>
      <c r="GN35" s="132"/>
      <c r="GO35" s="132"/>
      <c r="GP35" s="132"/>
      <c r="GQ35" s="132"/>
      <c r="GR35" s="132"/>
      <c r="GS35" s="37"/>
      <c r="GT35" s="132"/>
      <c r="GU35" s="132"/>
      <c r="GV35" s="132"/>
      <c r="GW35" s="132"/>
      <c r="GX35" s="132"/>
      <c r="GY35" s="132"/>
      <c r="GZ35" s="37"/>
      <c r="HA35" s="132"/>
      <c r="HB35" s="132"/>
      <c r="HC35" s="132"/>
      <c r="HD35" s="132"/>
      <c r="HE35" s="132"/>
      <c r="HF35" s="132"/>
      <c r="HG35" s="37"/>
      <c r="HH35" s="132"/>
      <c r="HI35" s="132"/>
      <c r="HJ35" s="132"/>
      <c r="HK35" s="132"/>
      <c r="HL35" s="132"/>
      <c r="HM35" s="132"/>
      <c r="HN35" s="37"/>
      <c r="HO35" s="132"/>
      <c r="HP35" s="132"/>
      <c r="HQ35" s="132"/>
      <c r="HR35" s="132"/>
      <c r="HS35" s="132"/>
      <c r="HT35" s="132"/>
      <c r="HU35" s="37"/>
      <c r="HV35" s="132"/>
      <c r="HW35" s="132"/>
      <c r="HX35" s="132"/>
      <c r="HY35" s="132"/>
      <c r="HZ35" s="132"/>
      <c r="IA35" s="132"/>
      <c r="IB35" s="37"/>
      <c r="IC35" s="132"/>
      <c r="ID35" s="132"/>
      <c r="IE35" s="132"/>
      <c r="IF35" s="132"/>
      <c r="IG35" s="132"/>
      <c r="IH35" s="132"/>
      <c r="II35" s="37"/>
      <c r="IJ35" s="132"/>
      <c r="IK35" s="132"/>
      <c r="IL35" s="132"/>
      <c r="IM35" s="132"/>
      <c r="IN35" s="132"/>
      <c r="IO35" s="132"/>
      <c r="IP35" s="37"/>
      <c r="IQ35" s="132"/>
      <c r="IR35" s="132"/>
      <c r="IS35" s="132"/>
      <c r="IT35" s="132"/>
      <c r="IU35" s="132"/>
      <c r="IV35" s="132"/>
      <c r="IW35" s="37"/>
      <c r="IX35" s="132"/>
      <c r="IY35" s="132"/>
      <c r="IZ35" s="132"/>
      <c r="JA35" s="132"/>
      <c r="JB35" s="132"/>
      <c r="JC35" s="132"/>
      <c r="JD35" s="37"/>
      <c r="JE35" s="132"/>
      <c r="JF35" s="132"/>
      <c r="JG35" s="132"/>
      <c r="JH35" s="132"/>
      <c r="JI35" s="132"/>
      <c r="JJ35" s="132"/>
      <c r="JK35" s="37"/>
      <c r="JL35" s="132"/>
      <c r="JM35" s="132"/>
      <c r="JN35" s="132"/>
      <c r="JO35" s="132"/>
      <c r="JP35" s="132"/>
      <c r="JQ35" s="132"/>
      <c r="JR35" s="37"/>
      <c r="JS35" s="132"/>
      <c r="JT35" s="132"/>
      <c r="JU35" s="132"/>
      <c r="JV35" s="132"/>
      <c r="JW35" s="132"/>
      <c r="JX35" s="132"/>
      <c r="JY35" s="37"/>
      <c r="JZ35" s="132"/>
      <c r="KA35" s="132"/>
      <c r="KB35" s="132"/>
      <c r="KC35" s="132"/>
      <c r="KD35" s="132"/>
      <c r="KE35" s="132"/>
      <c r="KF35" s="37"/>
      <c r="KG35" s="132"/>
      <c r="KH35" s="132"/>
      <c r="KI35" s="132"/>
      <c r="KJ35" s="132"/>
      <c r="KK35" s="132"/>
      <c r="KL35" s="132"/>
      <c r="KM35" s="37"/>
      <c r="KN35" s="132"/>
      <c r="KO35" s="132"/>
      <c r="KP35" s="132"/>
      <c r="KQ35" s="132"/>
      <c r="KR35" s="132"/>
      <c r="KS35" s="132"/>
      <c r="KT35" s="37"/>
      <c r="KU35" s="132"/>
      <c r="KV35" s="132"/>
      <c r="KW35" s="132"/>
      <c r="KX35" s="132"/>
      <c r="KY35" s="132"/>
      <c r="KZ35" s="132"/>
      <c r="LA35" s="37"/>
      <c r="LB35" s="132"/>
      <c r="LC35" s="132"/>
      <c r="LD35" s="132"/>
      <c r="LE35" s="132"/>
      <c r="LF35" s="132"/>
      <c r="LG35" s="132"/>
      <c r="LH35" s="37"/>
      <c r="LI35" s="132"/>
      <c r="LJ35" s="132"/>
      <c r="LK35" s="132"/>
      <c r="LL35" s="132"/>
      <c r="LM35" s="132"/>
      <c r="LN35" s="132"/>
      <c r="LO35" s="37"/>
      <c r="LP35" s="132"/>
      <c r="LQ35" s="132"/>
      <c r="LR35" s="132"/>
      <c r="LS35" s="132"/>
      <c r="LT35" s="132"/>
      <c r="LU35" s="132"/>
      <c r="LV35" s="37"/>
      <c r="LW35" s="132"/>
      <c r="LX35" s="132"/>
      <c r="LY35" s="132"/>
      <c r="LZ35" s="132"/>
      <c r="MA35" s="132"/>
      <c r="MB35" s="132"/>
      <c r="MC35" s="37"/>
      <c r="MD35" s="132"/>
      <c r="ME35" s="132"/>
      <c r="MF35" s="132"/>
      <c r="MG35" s="132"/>
      <c r="MH35" s="132"/>
      <c r="MI35" s="132"/>
      <c r="MJ35" s="37"/>
    </row>
    <row r="36" spans="1:348" ht="66" customHeight="1" x14ac:dyDescent="0.25">
      <c r="A36" s="19"/>
      <c r="B36" s="19"/>
      <c r="C36" s="19"/>
      <c r="D36" s="19"/>
      <c r="E36" s="9"/>
      <c r="F36" s="19"/>
      <c r="G36" s="19"/>
      <c r="H36" s="19"/>
      <c r="I36" s="19"/>
      <c r="J36" s="19"/>
      <c r="K36" s="19"/>
      <c r="L36" s="19"/>
      <c r="M36" s="19"/>
      <c r="N36" s="19"/>
      <c r="O36" s="9"/>
      <c r="P36" s="124" t="s">
        <v>410</v>
      </c>
      <c r="Q36" s="125" t="s">
        <v>410</v>
      </c>
      <c r="R36" s="126"/>
      <c r="S36" s="49">
        <f t="shared" ref="S36:AX36" si="338">S1</f>
        <v>43975</v>
      </c>
      <c r="T36" s="49">
        <f t="shared" si="338"/>
        <v>43976</v>
      </c>
      <c r="U36" s="49">
        <f t="shared" si="338"/>
        <v>43977</v>
      </c>
      <c r="V36" s="49">
        <f t="shared" si="338"/>
        <v>43978</v>
      </c>
      <c r="W36" s="49">
        <f t="shared" si="338"/>
        <v>43979</v>
      </c>
      <c r="X36" s="49">
        <f t="shared" si="338"/>
        <v>43980</v>
      </c>
      <c r="Y36" s="49">
        <f t="shared" si="338"/>
        <v>43981</v>
      </c>
      <c r="Z36" s="49">
        <f t="shared" si="338"/>
        <v>43982</v>
      </c>
      <c r="AA36" s="49">
        <f t="shared" si="338"/>
        <v>43983</v>
      </c>
      <c r="AB36" s="49">
        <f t="shared" si="338"/>
        <v>43984</v>
      </c>
      <c r="AC36" s="49">
        <f t="shared" si="338"/>
        <v>43985</v>
      </c>
      <c r="AD36" s="49">
        <f t="shared" si="338"/>
        <v>43986</v>
      </c>
      <c r="AE36" s="49">
        <f t="shared" si="338"/>
        <v>43987</v>
      </c>
      <c r="AF36" s="49">
        <f t="shared" si="338"/>
        <v>43988</v>
      </c>
      <c r="AG36" s="49">
        <f t="shared" si="338"/>
        <v>43989</v>
      </c>
      <c r="AH36" s="49">
        <f t="shared" si="338"/>
        <v>43990</v>
      </c>
      <c r="AI36" s="49">
        <f t="shared" si="338"/>
        <v>43991</v>
      </c>
      <c r="AJ36" s="49">
        <f t="shared" si="338"/>
        <v>43992</v>
      </c>
      <c r="AK36" s="49">
        <f t="shared" si="338"/>
        <v>43993</v>
      </c>
      <c r="AL36" s="49">
        <f t="shared" si="338"/>
        <v>43994</v>
      </c>
      <c r="AM36" s="49">
        <f t="shared" si="338"/>
        <v>43995</v>
      </c>
      <c r="AN36" s="49">
        <f t="shared" si="338"/>
        <v>43996</v>
      </c>
      <c r="AO36" s="49">
        <f t="shared" si="338"/>
        <v>43997</v>
      </c>
      <c r="AP36" s="49">
        <f t="shared" si="338"/>
        <v>43998</v>
      </c>
      <c r="AQ36" s="49">
        <f t="shared" si="338"/>
        <v>43999</v>
      </c>
      <c r="AR36" s="49">
        <f t="shared" si="338"/>
        <v>44000</v>
      </c>
      <c r="AS36" s="49">
        <f t="shared" si="338"/>
        <v>44001</v>
      </c>
      <c r="AT36" s="49">
        <f t="shared" si="338"/>
        <v>44002</v>
      </c>
      <c r="AU36" s="49">
        <f t="shared" si="338"/>
        <v>44003</v>
      </c>
      <c r="AV36" s="49">
        <f t="shared" si="338"/>
        <v>44004</v>
      </c>
      <c r="AW36" s="49">
        <f t="shared" si="338"/>
        <v>44005</v>
      </c>
      <c r="AX36" s="49">
        <f t="shared" si="338"/>
        <v>44006</v>
      </c>
      <c r="AY36" s="49">
        <f t="shared" ref="AY36:BW36" si="339">AY1</f>
        <v>44007</v>
      </c>
      <c r="AZ36" s="49">
        <f t="shared" si="339"/>
        <v>44008</v>
      </c>
      <c r="BA36" s="49">
        <f t="shared" si="339"/>
        <v>44009</v>
      </c>
      <c r="BB36" s="49">
        <f t="shared" si="339"/>
        <v>44010</v>
      </c>
      <c r="BC36" s="49">
        <f t="shared" si="339"/>
        <v>44011</v>
      </c>
      <c r="BD36" s="49">
        <f t="shared" si="339"/>
        <v>44012</v>
      </c>
      <c r="BE36" s="49">
        <f t="shared" si="339"/>
        <v>44013</v>
      </c>
      <c r="BF36" s="49">
        <f t="shared" si="339"/>
        <v>44014</v>
      </c>
      <c r="BG36" s="49">
        <f t="shared" si="339"/>
        <v>44015</v>
      </c>
      <c r="BH36" s="49">
        <f t="shared" si="339"/>
        <v>44016</v>
      </c>
      <c r="BI36" s="49">
        <f t="shared" si="339"/>
        <v>44017</v>
      </c>
      <c r="BJ36" s="49">
        <f t="shared" si="339"/>
        <v>44018</v>
      </c>
      <c r="BK36" s="49">
        <f t="shared" si="339"/>
        <v>44019</v>
      </c>
      <c r="BL36" s="49">
        <f t="shared" si="339"/>
        <v>44020</v>
      </c>
      <c r="BM36" s="49">
        <f t="shared" si="339"/>
        <v>44021</v>
      </c>
      <c r="BN36" s="49">
        <f t="shared" si="339"/>
        <v>44022</v>
      </c>
      <c r="BO36" s="49">
        <f t="shared" si="339"/>
        <v>44023</v>
      </c>
      <c r="BP36" s="49">
        <f t="shared" si="339"/>
        <v>44024</v>
      </c>
      <c r="BQ36" s="49">
        <f t="shared" si="339"/>
        <v>44025</v>
      </c>
      <c r="BR36" s="49">
        <f t="shared" si="339"/>
        <v>44026</v>
      </c>
      <c r="BS36" s="49">
        <f t="shared" si="339"/>
        <v>44027</v>
      </c>
      <c r="BT36" s="49">
        <f t="shared" si="339"/>
        <v>44028</v>
      </c>
      <c r="BU36" s="49">
        <f t="shared" si="339"/>
        <v>44029</v>
      </c>
      <c r="BV36" s="49">
        <f t="shared" si="339"/>
        <v>44030</v>
      </c>
      <c r="BW36" s="49">
        <f t="shared" si="339"/>
        <v>44031</v>
      </c>
      <c r="BX36" s="49"/>
      <c r="BY36" s="49"/>
      <c r="BZ36" s="49">
        <f t="shared" ref="BZ36:CF36" si="340">BZ1</f>
        <v>44032</v>
      </c>
      <c r="CA36" s="49">
        <f t="shared" si="340"/>
        <v>44033</v>
      </c>
      <c r="CB36" s="49">
        <f t="shared" si="340"/>
        <v>44034</v>
      </c>
      <c r="CC36" s="49">
        <f t="shared" si="340"/>
        <v>44035</v>
      </c>
      <c r="CD36" s="49">
        <f t="shared" si="340"/>
        <v>44036</v>
      </c>
      <c r="CE36" s="49">
        <f t="shared" si="340"/>
        <v>44037</v>
      </c>
      <c r="CF36" s="49">
        <f t="shared" si="340"/>
        <v>44038</v>
      </c>
      <c r="CG36" s="49"/>
      <c r="CH36" s="49"/>
      <c r="CI36" s="49">
        <f t="shared" ref="CI36:CO36" si="341">CI1</f>
        <v>44039</v>
      </c>
      <c r="CJ36" s="49">
        <f t="shared" si="341"/>
        <v>44040</v>
      </c>
      <c r="CK36" s="49">
        <f t="shared" si="341"/>
        <v>44041</v>
      </c>
      <c r="CL36" s="49">
        <f t="shared" si="341"/>
        <v>44042</v>
      </c>
      <c r="CM36" s="49">
        <f t="shared" si="341"/>
        <v>44043</v>
      </c>
      <c r="CN36" s="49">
        <f t="shared" si="341"/>
        <v>44044</v>
      </c>
      <c r="CO36" s="49">
        <f t="shared" si="341"/>
        <v>44045</v>
      </c>
      <c r="CP36" s="49"/>
      <c r="CQ36" s="49"/>
      <c r="CR36" s="49">
        <f t="shared" ref="CR36:FK36" si="342">CR1</f>
        <v>44046</v>
      </c>
      <c r="CS36" s="49">
        <f t="shared" si="342"/>
        <v>44047</v>
      </c>
      <c r="CT36" s="49">
        <f t="shared" si="342"/>
        <v>44048</v>
      </c>
      <c r="CU36" s="49">
        <f t="shared" si="342"/>
        <v>44049</v>
      </c>
      <c r="CV36" s="49">
        <f t="shared" si="342"/>
        <v>44050</v>
      </c>
      <c r="CW36" s="49">
        <f t="shared" si="342"/>
        <v>44051</v>
      </c>
      <c r="CX36" s="49">
        <f t="shared" si="342"/>
        <v>44052</v>
      </c>
      <c r="CY36" s="49"/>
      <c r="CZ36" s="49"/>
      <c r="DA36" s="49">
        <f t="shared" si="342"/>
        <v>44053</v>
      </c>
      <c r="DB36" s="49">
        <f t="shared" si="342"/>
        <v>44054</v>
      </c>
      <c r="DC36" s="49">
        <f t="shared" si="342"/>
        <v>44055</v>
      </c>
      <c r="DD36" s="49">
        <f t="shared" si="342"/>
        <v>44056</v>
      </c>
      <c r="DE36" s="49">
        <f t="shared" si="342"/>
        <v>44057</v>
      </c>
      <c r="DF36" s="49">
        <f t="shared" si="342"/>
        <v>44058</v>
      </c>
      <c r="DG36" s="49">
        <f t="shared" si="342"/>
        <v>44059</v>
      </c>
      <c r="DH36" s="49"/>
      <c r="DI36" s="49"/>
      <c r="DJ36" s="49">
        <f t="shared" si="342"/>
        <v>44060</v>
      </c>
      <c r="DK36" s="49">
        <f t="shared" si="342"/>
        <v>44061</v>
      </c>
      <c r="DL36" s="49">
        <f t="shared" si="342"/>
        <v>44062</v>
      </c>
      <c r="DM36" s="49">
        <f t="shared" si="342"/>
        <v>44063</v>
      </c>
      <c r="DN36" s="49">
        <f t="shared" si="342"/>
        <v>44064</v>
      </c>
      <c r="DO36" s="49">
        <f t="shared" si="342"/>
        <v>44065</v>
      </c>
      <c r="DP36" s="49">
        <f t="shared" si="342"/>
        <v>44066</v>
      </c>
      <c r="DQ36" s="49"/>
      <c r="DR36" s="49"/>
      <c r="DS36" s="49">
        <f t="shared" si="342"/>
        <v>44067</v>
      </c>
      <c r="DT36" s="49">
        <f t="shared" si="342"/>
        <v>44068</v>
      </c>
      <c r="DU36" s="49">
        <f t="shared" si="342"/>
        <v>44069</v>
      </c>
      <c r="DV36" s="49">
        <f t="shared" si="342"/>
        <v>44070</v>
      </c>
      <c r="DW36" s="49">
        <f t="shared" si="342"/>
        <v>44071</v>
      </c>
      <c r="DX36" s="49">
        <f t="shared" ref="DX36:DY36" si="343">DX1</f>
        <v>44072</v>
      </c>
      <c r="DY36" s="49">
        <f t="shared" si="343"/>
        <v>44073</v>
      </c>
      <c r="DZ36" s="49"/>
      <c r="EA36" s="49"/>
      <c r="EB36" s="49">
        <f t="shared" si="342"/>
        <v>44074</v>
      </c>
      <c r="EC36" s="49">
        <f t="shared" si="342"/>
        <v>44075</v>
      </c>
      <c r="ED36" s="49">
        <f t="shared" si="342"/>
        <v>44076</v>
      </c>
      <c r="EE36" s="49">
        <f t="shared" si="342"/>
        <v>44077</v>
      </c>
      <c r="EF36" s="49">
        <f t="shared" si="342"/>
        <v>44078</v>
      </c>
      <c r="EG36" s="49">
        <f t="shared" si="342"/>
        <v>44079</v>
      </c>
      <c r="EH36" s="49">
        <f t="shared" si="342"/>
        <v>44080</v>
      </c>
      <c r="EI36" s="49">
        <f t="shared" si="342"/>
        <v>44081</v>
      </c>
      <c r="EJ36" s="49">
        <f t="shared" si="342"/>
        <v>44082</v>
      </c>
      <c r="EK36" s="49">
        <f t="shared" si="342"/>
        <v>44083</v>
      </c>
      <c r="EL36" s="49">
        <f t="shared" si="342"/>
        <v>44084</v>
      </c>
      <c r="EM36" s="49">
        <f t="shared" si="342"/>
        <v>44085</v>
      </c>
      <c r="EN36" s="49">
        <f t="shared" si="342"/>
        <v>44086</v>
      </c>
      <c r="EO36" s="49">
        <f t="shared" si="342"/>
        <v>44087</v>
      </c>
      <c r="EP36" s="49">
        <f t="shared" si="342"/>
        <v>44088</v>
      </c>
      <c r="EQ36" s="49">
        <f t="shared" si="342"/>
        <v>44089</v>
      </c>
      <c r="ER36" s="49">
        <f t="shared" si="342"/>
        <v>44090</v>
      </c>
      <c r="ES36" s="49">
        <f t="shared" si="342"/>
        <v>44091</v>
      </c>
      <c r="ET36" s="49">
        <f t="shared" si="342"/>
        <v>44092</v>
      </c>
      <c r="EU36" s="49">
        <f t="shared" si="342"/>
        <v>44093</v>
      </c>
      <c r="EV36" s="49">
        <f t="shared" si="342"/>
        <v>44094</v>
      </c>
      <c r="EW36" s="49">
        <f t="shared" si="342"/>
        <v>44095</v>
      </c>
      <c r="EX36" s="49">
        <f t="shared" si="342"/>
        <v>44096</v>
      </c>
      <c r="EY36" s="49">
        <f t="shared" si="342"/>
        <v>44097</v>
      </c>
      <c r="EZ36" s="49">
        <f t="shared" si="342"/>
        <v>44098</v>
      </c>
      <c r="FA36" s="49">
        <f t="shared" si="342"/>
        <v>44099</v>
      </c>
      <c r="FB36" s="49">
        <f t="shared" si="342"/>
        <v>44100</v>
      </c>
      <c r="FC36" s="49">
        <f t="shared" si="342"/>
        <v>44101</v>
      </c>
      <c r="FD36" s="49">
        <f t="shared" si="342"/>
        <v>44102</v>
      </c>
      <c r="FE36" s="49">
        <f t="shared" si="342"/>
        <v>44103</v>
      </c>
      <c r="FF36" s="49">
        <f t="shared" si="342"/>
        <v>44104</v>
      </c>
      <c r="FG36" s="49">
        <f t="shared" si="342"/>
        <v>44105</v>
      </c>
      <c r="FH36" s="49">
        <f t="shared" si="342"/>
        <v>44106</v>
      </c>
      <c r="FI36" s="49">
        <f t="shared" si="342"/>
        <v>44107</v>
      </c>
      <c r="FJ36" s="49">
        <f t="shared" si="342"/>
        <v>44108</v>
      </c>
      <c r="FK36" s="49">
        <f t="shared" si="342"/>
        <v>44109</v>
      </c>
      <c r="FL36" s="49">
        <f t="shared" ref="FL36:HW36" si="344">FL1</f>
        <v>44110</v>
      </c>
      <c r="FM36" s="49">
        <f t="shared" si="344"/>
        <v>44111</v>
      </c>
      <c r="FN36" s="49">
        <f t="shared" si="344"/>
        <v>44112</v>
      </c>
      <c r="FO36" s="49">
        <f t="shared" si="344"/>
        <v>44113</v>
      </c>
      <c r="FP36" s="49">
        <f t="shared" si="344"/>
        <v>44114</v>
      </c>
      <c r="FQ36" s="49">
        <f t="shared" si="344"/>
        <v>44115</v>
      </c>
      <c r="FR36" s="49">
        <f t="shared" si="344"/>
        <v>44116</v>
      </c>
      <c r="FS36" s="49">
        <f t="shared" si="344"/>
        <v>44117</v>
      </c>
      <c r="FT36" s="49">
        <f t="shared" si="344"/>
        <v>44118</v>
      </c>
      <c r="FU36" s="49">
        <f t="shared" si="344"/>
        <v>44119</v>
      </c>
      <c r="FV36" s="49">
        <f t="shared" si="344"/>
        <v>44120</v>
      </c>
      <c r="FW36" s="49">
        <f t="shared" si="344"/>
        <v>44121</v>
      </c>
      <c r="FX36" s="49">
        <f t="shared" si="344"/>
        <v>44122</v>
      </c>
      <c r="FY36" s="49">
        <f t="shared" si="344"/>
        <v>44123</v>
      </c>
      <c r="FZ36" s="49">
        <f t="shared" si="344"/>
        <v>44124</v>
      </c>
      <c r="GA36" s="49">
        <f t="shared" si="344"/>
        <v>44125</v>
      </c>
      <c r="GB36" s="49">
        <f t="shared" si="344"/>
        <v>44126</v>
      </c>
      <c r="GC36" s="49">
        <f t="shared" si="344"/>
        <v>44127</v>
      </c>
      <c r="GD36" s="49">
        <f t="shared" si="344"/>
        <v>44128</v>
      </c>
      <c r="GE36" s="49">
        <f t="shared" si="344"/>
        <v>44129</v>
      </c>
      <c r="GF36" s="49">
        <f t="shared" si="344"/>
        <v>44130</v>
      </c>
      <c r="GG36" s="49">
        <f t="shared" si="344"/>
        <v>44131</v>
      </c>
      <c r="GH36" s="49">
        <f t="shared" si="344"/>
        <v>44132</v>
      </c>
      <c r="GI36" s="49">
        <f t="shared" si="344"/>
        <v>44133</v>
      </c>
      <c r="GJ36" s="49">
        <f t="shared" si="344"/>
        <v>44134</v>
      </c>
      <c r="GK36" s="49">
        <f t="shared" si="344"/>
        <v>44135</v>
      </c>
      <c r="GL36" s="49">
        <f t="shared" si="344"/>
        <v>44136</v>
      </c>
      <c r="GM36" s="49">
        <f t="shared" si="344"/>
        <v>44137</v>
      </c>
      <c r="GN36" s="49">
        <f t="shared" si="344"/>
        <v>44138</v>
      </c>
      <c r="GO36" s="49">
        <f t="shared" si="344"/>
        <v>44139</v>
      </c>
      <c r="GP36" s="49">
        <f t="shared" si="344"/>
        <v>44140</v>
      </c>
      <c r="GQ36" s="49">
        <f t="shared" si="344"/>
        <v>44141</v>
      </c>
      <c r="GR36" s="49">
        <f t="shared" si="344"/>
        <v>44142</v>
      </c>
      <c r="GS36" s="49">
        <f t="shared" si="344"/>
        <v>44143</v>
      </c>
      <c r="GT36" s="49">
        <f t="shared" si="344"/>
        <v>44144</v>
      </c>
      <c r="GU36" s="49">
        <f t="shared" si="344"/>
        <v>44145</v>
      </c>
      <c r="GV36" s="49">
        <f t="shared" si="344"/>
        <v>44146</v>
      </c>
      <c r="GW36" s="49">
        <f t="shared" si="344"/>
        <v>44147</v>
      </c>
      <c r="GX36" s="49">
        <f t="shared" si="344"/>
        <v>44148</v>
      </c>
      <c r="GY36" s="49">
        <f t="shared" si="344"/>
        <v>44149</v>
      </c>
      <c r="GZ36" s="49">
        <f t="shared" si="344"/>
        <v>44150</v>
      </c>
      <c r="HA36" s="49">
        <f t="shared" si="344"/>
        <v>44151</v>
      </c>
      <c r="HB36" s="49">
        <f t="shared" si="344"/>
        <v>44152</v>
      </c>
      <c r="HC36" s="49">
        <f t="shared" si="344"/>
        <v>44153</v>
      </c>
      <c r="HD36" s="49">
        <f t="shared" si="344"/>
        <v>44154</v>
      </c>
      <c r="HE36" s="49">
        <f t="shared" si="344"/>
        <v>44155</v>
      </c>
      <c r="HF36" s="49">
        <f t="shared" si="344"/>
        <v>44156</v>
      </c>
      <c r="HG36" s="49">
        <f t="shared" si="344"/>
        <v>44157</v>
      </c>
      <c r="HH36" s="49">
        <f t="shared" si="344"/>
        <v>44158</v>
      </c>
      <c r="HI36" s="49">
        <f t="shared" si="344"/>
        <v>44159</v>
      </c>
      <c r="HJ36" s="49">
        <f t="shared" si="344"/>
        <v>44160</v>
      </c>
      <c r="HK36" s="49">
        <f t="shared" si="344"/>
        <v>44161</v>
      </c>
      <c r="HL36" s="49">
        <f t="shared" si="344"/>
        <v>44162</v>
      </c>
      <c r="HM36" s="49">
        <f t="shared" si="344"/>
        <v>44163</v>
      </c>
      <c r="HN36" s="49">
        <f t="shared" si="344"/>
        <v>44164</v>
      </c>
      <c r="HO36" s="49">
        <f t="shared" si="344"/>
        <v>44165</v>
      </c>
      <c r="HP36" s="49">
        <f t="shared" si="344"/>
        <v>44166</v>
      </c>
      <c r="HQ36" s="49">
        <f t="shared" si="344"/>
        <v>44167</v>
      </c>
      <c r="HR36" s="49">
        <f t="shared" si="344"/>
        <v>44168</v>
      </c>
      <c r="HS36" s="49">
        <f t="shared" si="344"/>
        <v>44169</v>
      </c>
      <c r="HT36" s="49">
        <f t="shared" si="344"/>
        <v>44170</v>
      </c>
      <c r="HU36" s="49">
        <f t="shared" si="344"/>
        <v>44171</v>
      </c>
      <c r="HV36" s="49">
        <f t="shared" si="344"/>
        <v>44172</v>
      </c>
      <c r="HW36" s="49">
        <f t="shared" si="344"/>
        <v>44173</v>
      </c>
      <c r="HX36" s="49">
        <f t="shared" ref="HX36:KI36" si="345">HX1</f>
        <v>44174</v>
      </c>
      <c r="HY36" s="49">
        <f t="shared" si="345"/>
        <v>44175</v>
      </c>
      <c r="HZ36" s="49">
        <f t="shared" si="345"/>
        <v>44176</v>
      </c>
      <c r="IA36" s="49">
        <f t="shared" si="345"/>
        <v>44177</v>
      </c>
      <c r="IB36" s="49">
        <f t="shared" si="345"/>
        <v>44178</v>
      </c>
      <c r="IC36" s="49">
        <f t="shared" si="345"/>
        <v>44179</v>
      </c>
      <c r="ID36" s="49">
        <f t="shared" si="345"/>
        <v>44180</v>
      </c>
      <c r="IE36" s="49">
        <f t="shared" si="345"/>
        <v>44181</v>
      </c>
      <c r="IF36" s="49">
        <f t="shared" si="345"/>
        <v>44182</v>
      </c>
      <c r="IG36" s="49">
        <f t="shared" si="345"/>
        <v>44183</v>
      </c>
      <c r="IH36" s="49">
        <f t="shared" si="345"/>
        <v>44184</v>
      </c>
      <c r="II36" s="49">
        <f t="shared" si="345"/>
        <v>44185</v>
      </c>
      <c r="IJ36" s="49">
        <f t="shared" si="345"/>
        <v>44186</v>
      </c>
      <c r="IK36" s="49">
        <f t="shared" si="345"/>
        <v>44187</v>
      </c>
      <c r="IL36" s="49">
        <f t="shared" si="345"/>
        <v>44188</v>
      </c>
      <c r="IM36" s="49">
        <f t="shared" si="345"/>
        <v>44189</v>
      </c>
      <c r="IN36" s="49">
        <f t="shared" si="345"/>
        <v>44190</v>
      </c>
      <c r="IO36" s="49">
        <f t="shared" si="345"/>
        <v>44191</v>
      </c>
      <c r="IP36" s="49">
        <f t="shared" si="345"/>
        <v>44192</v>
      </c>
      <c r="IQ36" s="49">
        <f t="shared" si="345"/>
        <v>44193</v>
      </c>
      <c r="IR36" s="49">
        <f t="shared" si="345"/>
        <v>44194</v>
      </c>
      <c r="IS36" s="49">
        <f t="shared" si="345"/>
        <v>44195</v>
      </c>
      <c r="IT36" s="49">
        <f t="shared" si="345"/>
        <v>44196</v>
      </c>
      <c r="IU36" s="49">
        <f t="shared" si="345"/>
        <v>44197</v>
      </c>
      <c r="IV36" s="49">
        <f t="shared" si="345"/>
        <v>44198</v>
      </c>
      <c r="IW36" s="49">
        <f t="shared" si="345"/>
        <v>44199</v>
      </c>
      <c r="IX36" s="49">
        <f t="shared" si="345"/>
        <v>44200</v>
      </c>
      <c r="IY36" s="49">
        <f t="shared" si="345"/>
        <v>44201</v>
      </c>
      <c r="IZ36" s="49">
        <f t="shared" si="345"/>
        <v>44202</v>
      </c>
      <c r="JA36" s="49">
        <f t="shared" si="345"/>
        <v>44203</v>
      </c>
      <c r="JB36" s="49">
        <f t="shared" si="345"/>
        <v>44204</v>
      </c>
      <c r="JC36" s="49">
        <f t="shared" si="345"/>
        <v>44205</v>
      </c>
      <c r="JD36" s="49">
        <f t="shared" si="345"/>
        <v>44206</v>
      </c>
      <c r="JE36" s="49">
        <f t="shared" si="345"/>
        <v>44207</v>
      </c>
      <c r="JF36" s="49">
        <f t="shared" si="345"/>
        <v>44208</v>
      </c>
      <c r="JG36" s="49">
        <f t="shared" si="345"/>
        <v>44209</v>
      </c>
      <c r="JH36" s="49">
        <f t="shared" si="345"/>
        <v>44210</v>
      </c>
      <c r="JI36" s="49">
        <f t="shared" si="345"/>
        <v>44211</v>
      </c>
      <c r="JJ36" s="49">
        <f t="shared" si="345"/>
        <v>44212</v>
      </c>
      <c r="JK36" s="49">
        <f t="shared" si="345"/>
        <v>44213</v>
      </c>
      <c r="JL36" s="49">
        <f t="shared" si="345"/>
        <v>44214</v>
      </c>
      <c r="JM36" s="49">
        <f t="shared" si="345"/>
        <v>44215</v>
      </c>
      <c r="JN36" s="49">
        <f t="shared" si="345"/>
        <v>44216</v>
      </c>
      <c r="JO36" s="49">
        <f t="shared" si="345"/>
        <v>44217</v>
      </c>
      <c r="JP36" s="49">
        <f t="shared" si="345"/>
        <v>44218</v>
      </c>
      <c r="JQ36" s="49">
        <f t="shared" si="345"/>
        <v>44219</v>
      </c>
      <c r="JR36" s="49">
        <f t="shared" si="345"/>
        <v>44220</v>
      </c>
      <c r="JS36" s="49">
        <f t="shared" si="345"/>
        <v>44221</v>
      </c>
      <c r="JT36" s="49">
        <f t="shared" si="345"/>
        <v>44222</v>
      </c>
      <c r="JU36" s="49">
        <f t="shared" si="345"/>
        <v>44223</v>
      </c>
      <c r="JV36" s="49">
        <f t="shared" si="345"/>
        <v>44224</v>
      </c>
      <c r="JW36" s="49">
        <f t="shared" si="345"/>
        <v>44225</v>
      </c>
      <c r="JX36" s="49">
        <f t="shared" si="345"/>
        <v>44226</v>
      </c>
      <c r="JY36" s="49">
        <f t="shared" si="345"/>
        <v>44227</v>
      </c>
      <c r="JZ36" s="49">
        <f t="shared" si="345"/>
        <v>44228</v>
      </c>
      <c r="KA36" s="49">
        <f t="shared" si="345"/>
        <v>44229</v>
      </c>
      <c r="KB36" s="49">
        <f t="shared" si="345"/>
        <v>44230</v>
      </c>
      <c r="KC36" s="49">
        <f t="shared" si="345"/>
        <v>44231</v>
      </c>
      <c r="KD36" s="49">
        <f t="shared" si="345"/>
        <v>44232</v>
      </c>
      <c r="KE36" s="49">
        <f t="shared" si="345"/>
        <v>44233</v>
      </c>
      <c r="KF36" s="49">
        <f t="shared" si="345"/>
        <v>44234</v>
      </c>
      <c r="KG36" s="49">
        <f t="shared" si="345"/>
        <v>44235</v>
      </c>
      <c r="KH36" s="49">
        <f t="shared" si="345"/>
        <v>44236</v>
      </c>
      <c r="KI36" s="49">
        <f t="shared" si="345"/>
        <v>44237</v>
      </c>
      <c r="KJ36" s="49">
        <f t="shared" ref="KJ36:MJ36" si="346">KJ1</f>
        <v>44238</v>
      </c>
      <c r="KK36" s="49">
        <f t="shared" si="346"/>
        <v>44239</v>
      </c>
      <c r="KL36" s="49">
        <f t="shared" si="346"/>
        <v>44240</v>
      </c>
      <c r="KM36" s="49">
        <f t="shared" si="346"/>
        <v>44241</v>
      </c>
      <c r="KN36" s="49">
        <f t="shared" si="346"/>
        <v>44242</v>
      </c>
      <c r="KO36" s="49">
        <f t="shared" si="346"/>
        <v>44243</v>
      </c>
      <c r="KP36" s="49">
        <f t="shared" si="346"/>
        <v>44244</v>
      </c>
      <c r="KQ36" s="49">
        <f t="shared" si="346"/>
        <v>44245</v>
      </c>
      <c r="KR36" s="49">
        <f t="shared" si="346"/>
        <v>44246</v>
      </c>
      <c r="KS36" s="49">
        <f t="shared" si="346"/>
        <v>44247</v>
      </c>
      <c r="KT36" s="49">
        <f t="shared" si="346"/>
        <v>44248</v>
      </c>
      <c r="KU36" s="49">
        <f t="shared" si="346"/>
        <v>44249</v>
      </c>
      <c r="KV36" s="49">
        <f t="shared" si="346"/>
        <v>44250</v>
      </c>
      <c r="KW36" s="49">
        <f t="shared" si="346"/>
        <v>44251</v>
      </c>
      <c r="KX36" s="49">
        <f t="shared" si="346"/>
        <v>44252</v>
      </c>
      <c r="KY36" s="49">
        <f t="shared" si="346"/>
        <v>44253</v>
      </c>
      <c r="KZ36" s="49">
        <f t="shared" si="346"/>
        <v>44254</v>
      </c>
      <c r="LA36" s="49">
        <f t="shared" si="346"/>
        <v>44255</v>
      </c>
      <c r="LB36" s="49">
        <f t="shared" si="346"/>
        <v>44256</v>
      </c>
      <c r="LC36" s="49">
        <f t="shared" si="346"/>
        <v>44257</v>
      </c>
      <c r="LD36" s="49">
        <f t="shared" si="346"/>
        <v>44258</v>
      </c>
      <c r="LE36" s="49">
        <f t="shared" si="346"/>
        <v>44259</v>
      </c>
      <c r="LF36" s="49">
        <f t="shared" si="346"/>
        <v>44260</v>
      </c>
      <c r="LG36" s="49">
        <f t="shared" si="346"/>
        <v>44261</v>
      </c>
      <c r="LH36" s="49">
        <f t="shared" si="346"/>
        <v>44262</v>
      </c>
      <c r="LI36" s="49">
        <f t="shared" si="346"/>
        <v>44263</v>
      </c>
      <c r="LJ36" s="49">
        <f t="shared" si="346"/>
        <v>44264</v>
      </c>
      <c r="LK36" s="49">
        <f t="shared" si="346"/>
        <v>44265</v>
      </c>
      <c r="LL36" s="49">
        <f t="shared" si="346"/>
        <v>44266</v>
      </c>
      <c r="LM36" s="49">
        <f t="shared" si="346"/>
        <v>44267</v>
      </c>
      <c r="LN36" s="49">
        <f t="shared" si="346"/>
        <v>44268</v>
      </c>
      <c r="LO36" s="49">
        <f t="shared" si="346"/>
        <v>44269</v>
      </c>
      <c r="LP36" s="49">
        <f t="shared" si="346"/>
        <v>44270</v>
      </c>
      <c r="LQ36" s="49">
        <f t="shared" si="346"/>
        <v>44271</v>
      </c>
      <c r="LR36" s="49">
        <f t="shared" si="346"/>
        <v>44272</v>
      </c>
      <c r="LS36" s="49">
        <f t="shared" si="346"/>
        <v>44273</v>
      </c>
      <c r="LT36" s="49">
        <f t="shared" si="346"/>
        <v>44274</v>
      </c>
      <c r="LU36" s="49">
        <f t="shared" si="346"/>
        <v>44275</v>
      </c>
      <c r="LV36" s="49">
        <f t="shared" si="346"/>
        <v>44276</v>
      </c>
      <c r="LW36" s="49">
        <f t="shared" si="346"/>
        <v>44277</v>
      </c>
      <c r="LX36" s="49">
        <f t="shared" si="346"/>
        <v>44278</v>
      </c>
      <c r="LY36" s="49">
        <f t="shared" si="346"/>
        <v>44279</v>
      </c>
      <c r="LZ36" s="49">
        <f t="shared" si="346"/>
        <v>44280</v>
      </c>
      <c r="MA36" s="49">
        <f t="shared" si="346"/>
        <v>44281</v>
      </c>
      <c r="MB36" s="49">
        <f t="shared" si="346"/>
        <v>44282</v>
      </c>
      <c r="MC36" s="49">
        <f t="shared" si="346"/>
        <v>44283</v>
      </c>
      <c r="MD36" s="49">
        <f t="shared" si="346"/>
        <v>44284</v>
      </c>
      <c r="ME36" s="49">
        <f t="shared" si="346"/>
        <v>44285</v>
      </c>
      <c r="MF36" s="49">
        <f t="shared" si="346"/>
        <v>44286</v>
      </c>
      <c r="MG36" s="49">
        <f t="shared" si="346"/>
        <v>44287</v>
      </c>
      <c r="MH36" s="49">
        <f t="shared" si="346"/>
        <v>44288</v>
      </c>
      <c r="MI36" s="49">
        <f t="shared" si="346"/>
        <v>44289</v>
      </c>
      <c r="MJ36" s="49">
        <f t="shared" si="346"/>
        <v>44290</v>
      </c>
    </row>
    <row r="37" spans="1:348" ht="15" customHeight="1" x14ac:dyDescent="0.25">
      <c r="A37" s="137" t="s">
        <v>144</v>
      </c>
      <c r="B37" s="137"/>
      <c r="C37" s="137"/>
      <c r="D37" s="137"/>
      <c r="E37" s="138"/>
      <c r="F37" s="36"/>
      <c r="G37" s="36"/>
      <c r="H37" s="36"/>
      <c r="I37" s="36"/>
      <c r="J37" s="36"/>
      <c r="K37" s="36"/>
      <c r="L37" s="36"/>
      <c r="M37" s="36"/>
      <c r="N37" s="36"/>
      <c r="O37" s="35"/>
      <c r="P37" s="148" t="s">
        <v>49</v>
      </c>
      <c r="Q37" s="148" t="s">
        <v>48</v>
      </c>
      <c r="R37" s="149"/>
      <c r="S37" s="54">
        <f>S36</f>
        <v>43975</v>
      </c>
      <c r="T37" s="55">
        <f t="shared" ref="T37:CI37" si="347">T36</f>
        <v>43976</v>
      </c>
      <c r="U37" s="54">
        <f t="shared" si="347"/>
        <v>43977</v>
      </c>
      <c r="V37" s="54">
        <f t="shared" si="347"/>
        <v>43978</v>
      </c>
      <c r="W37" s="54">
        <f t="shared" si="347"/>
        <v>43979</v>
      </c>
      <c r="X37" s="54">
        <f t="shared" si="347"/>
        <v>43980</v>
      </c>
      <c r="Y37" s="54">
        <f t="shared" si="347"/>
        <v>43981</v>
      </c>
      <c r="Z37" s="53">
        <f t="shared" si="347"/>
        <v>43982</v>
      </c>
      <c r="AA37" s="54">
        <f t="shared" si="347"/>
        <v>43983</v>
      </c>
      <c r="AB37" s="54">
        <f t="shared" si="347"/>
        <v>43984</v>
      </c>
      <c r="AC37" s="54">
        <f t="shared" si="347"/>
        <v>43985</v>
      </c>
      <c r="AD37" s="54">
        <f t="shared" si="347"/>
        <v>43986</v>
      </c>
      <c r="AE37" s="54">
        <f t="shared" si="347"/>
        <v>43987</v>
      </c>
      <c r="AF37" s="54">
        <f t="shared" si="347"/>
        <v>43988</v>
      </c>
      <c r="AG37" s="53">
        <f t="shared" si="347"/>
        <v>43989</v>
      </c>
      <c r="AH37" s="54">
        <f t="shared" si="347"/>
        <v>43990</v>
      </c>
      <c r="AI37" s="54">
        <f t="shared" si="347"/>
        <v>43991</v>
      </c>
      <c r="AJ37" s="54">
        <f t="shared" si="347"/>
        <v>43992</v>
      </c>
      <c r="AK37" s="54">
        <f t="shared" si="347"/>
        <v>43993</v>
      </c>
      <c r="AL37" s="54">
        <f t="shared" si="347"/>
        <v>43994</v>
      </c>
      <c r="AM37" s="54">
        <f t="shared" si="347"/>
        <v>43995</v>
      </c>
      <c r="AN37" s="53">
        <f t="shared" si="347"/>
        <v>43996</v>
      </c>
      <c r="AO37" s="54">
        <f t="shared" si="347"/>
        <v>43997</v>
      </c>
      <c r="AP37" s="54">
        <f t="shared" si="347"/>
        <v>43998</v>
      </c>
      <c r="AQ37" s="54">
        <f t="shared" si="347"/>
        <v>43999</v>
      </c>
      <c r="AR37" s="54">
        <f t="shared" si="347"/>
        <v>44000</v>
      </c>
      <c r="AS37" s="54">
        <f t="shared" si="347"/>
        <v>44001</v>
      </c>
      <c r="AT37" s="54">
        <f t="shared" si="347"/>
        <v>44002</v>
      </c>
      <c r="AU37" s="53">
        <f t="shared" si="347"/>
        <v>44003</v>
      </c>
      <c r="AV37" s="54">
        <f t="shared" si="347"/>
        <v>44004</v>
      </c>
      <c r="AW37" s="54">
        <f t="shared" si="347"/>
        <v>44005</v>
      </c>
      <c r="AX37" s="54">
        <f t="shared" si="347"/>
        <v>44006</v>
      </c>
      <c r="AY37" s="54">
        <f t="shared" si="347"/>
        <v>44007</v>
      </c>
      <c r="AZ37" s="54">
        <f t="shared" si="347"/>
        <v>44008</v>
      </c>
      <c r="BA37" s="54">
        <f t="shared" si="347"/>
        <v>44009</v>
      </c>
      <c r="BB37" s="53">
        <f t="shared" si="347"/>
        <v>44010</v>
      </c>
      <c r="BC37" s="54">
        <f t="shared" si="347"/>
        <v>44011</v>
      </c>
      <c r="BD37" s="54">
        <f t="shared" si="347"/>
        <v>44012</v>
      </c>
      <c r="BE37" s="54">
        <f t="shared" si="347"/>
        <v>44013</v>
      </c>
      <c r="BF37" s="54">
        <f t="shared" si="347"/>
        <v>44014</v>
      </c>
      <c r="BG37" s="54">
        <f t="shared" si="347"/>
        <v>44015</v>
      </c>
      <c r="BH37" s="54">
        <f t="shared" si="347"/>
        <v>44016</v>
      </c>
      <c r="BI37" s="53">
        <f t="shared" si="347"/>
        <v>44017</v>
      </c>
      <c r="BJ37" s="54">
        <f t="shared" si="347"/>
        <v>44018</v>
      </c>
      <c r="BK37" s="54">
        <f t="shared" si="347"/>
        <v>44019</v>
      </c>
      <c r="BL37" s="54">
        <f t="shared" si="347"/>
        <v>44020</v>
      </c>
      <c r="BM37" s="54">
        <f t="shared" si="347"/>
        <v>44021</v>
      </c>
      <c r="BN37" s="54">
        <f t="shared" si="347"/>
        <v>44022</v>
      </c>
      <c r="BO37" s="54">
        <f t="shared" si="347"/>
        <v>44023</v>
      </c>
      <c r="BP37" s="53">
        <v>12</v>
      </c>
      <c r="BQ37" s="54">
        <f t="shared" si="347"/>
        <v>44025</v>
      </c>
      <c r="BR37" s="54">
        <f t="shared" si="347"/>
        <v>44026</v>
      </c>
      <c r="BS37" s="54">
        <f t="shared" si="347"/>
        <v>44027</v>
      </c>
      <c r="BT37" s="54">
        <f t="shared" si="347"/>
        <v>44028</v>
      </c>
      <c r="BU37" s="54">
        <f t="shared" si="347"/>
        <v>44029</v>
      </c>
      <c r="BV37" s="54">
        <f t="shared" si="347"/>
        <v>44030</v>
      </c>
      <c r="BW37" s="54">
        <v>19</v>
      </c>
      <c r="BX37" s="54"/>
      <c r="BY37" s="53"/>
      <c r="BZ37" s="54">
        <f t="shared" si="347"/>
        <v>44032</v>
      </c>
      <c r="CA37" s="54">
        <f t="shared" si="347"/>
        <v>44033</v>
      </c>
      <c r="CB37" s="54">
        <f t="shared" si="347"/>
        <v>44034</v>
      </c>
      <c r="CC37" s="54">
        <f t="shared" si="347"/>
        <v>44035</v>
      </c>
      <c r="CD37" s="54">
        <f t="shared" si="347"/>
        <v>44036</v>
      </c>
      <c r="CE37" s="54">
        <f t="shared" si="347"/>
        <v>44037</v>
      </c>
      <c r="CF37" s="54">
        <f t="shared" si="347"/>
        <v>44038</v>
      </c>
      <c r="CG37" s="54"/>
      <c r="CH37" s="53"/>
      <c r="CI37" s="54">
        <f t="shared" si="347"/>
        <v>44039</v>
      </c>
      <c r="CJ37" s="54">
        <f t="shared" ref="CJ37:FD37" si="348">CJ36</f>
        <v>44040</v>
      </c>
      <c r="CK37" s="54">
        <f t="shared" si="348"/>
        <v>44041</v>
      </c>
      <c r="CL37" s="54">
        <f t="shared" si="348"/>
        <v>44042</v>
      </c>
      <c r="CM37" s="54">
        <f t="shared" si="348"/>
        <v>44043</v>
      </c>
      <c r="CN37" s="54">
        <f t="shared" si="348"/>
        <v>44044</v>
      </c>
      <c r="CO37" s="54">
        <f t="shared" ref="CO37" si="349">CO36</f>
        <v>44045</v>
      </c>
      <c r="CP37" s="54"/>
      <c r="CQ37" s="53"/>
      <c r="CR37" s="54">
        <f t="shared" si="348"/>
        <v>44046</v>
      </c>
      <c r="CS37" s="54">
        <f t="shared" si="348"/>
        <v>44047</v>
      </c>
      <c r="CT37" s="54">
        <f t="shared" si="348"/>
        <v>44048</v>
      </c>
      <c r="CU37" s="54">
        <f t="shared" si="348"/>
        <v>44049</v>
      </c>
      <c r="CV37" s="54">
        <f t="shared" si="348"/>
        <v>44050</v>
      </c>
      <c r="CW37" s="54">
        <f t="shared" si="348"/>
        <v>44051</v>
      </c>
      <c r="CX37" s="54">
        <f t="shared" si="348"/>
        <v>44052</v>
      </c>
      <c r="CY37" s="54"/>
      <c r="CZ37" s="53"/>
      <c r="DA37" s="54">
        <f t="shared" si="348"/>
        <v>44053</v>
      </c>
      <c r="DB37" s="54">
        <f t="shared" si="348"/>
        <v>44054</v>
      </c>
      <c r="DC37" s="54">
        <f t="shared" si="348"/>
        <v>44055</v>
      </c>
      <c r="DD37" s="54">
        <f t="shared" si="348"/>
        <v>44056</v>
      </c>
      <c r="DE37" s="54">
        <f t="shared" si="348"/>
        <v>44057</v>
      </c>
      <c r="DF37" s="54">
        <f t="shared" si="348"/>
        <v>44058</v>
      </c>
      <c r="DG37" s="54">
        <f t="shared" si="348"/>
        <v>44059</v>
      </c>
      <c r="DH37" s="54"/>
      <c r="DI37" s="53"/>
      <c r="DJ37" s="54">
        <f t="shared" si="348"/>
        <v>44060</v>
      </c>
      <c r="DK37" s="54">
        <f t="shared" si="348"/>
        <v>44061</v>
      </c>
      <c r="DL37" s="54">
        <f t="shared" si="348"/>
        <v>44062</v>
      </c>
      <c r="DM37" s="54">
        <f t="shared" si="348"/>
        <v>44063</v>
      </c>
      <c r="DN37" s="54">
        <f t="shared" si="348"/>
        <v>44064</v>
      </c>
      <c r="DO37" s="54">
        <f t="shared" si="348"/>
        <v>44065</v>
      </c>
      <c r="DP37" s="54">
        <f t="shared" si="348"/>
        <v>44066</v>
      </c>
      <c r="DQ37" s="54"/>
      <c r="DR37" s="53"/>
      <c r="DS37" s="54">
        <f t="shared" si="348"/>
        <v>44067</v>
      </c>
      <c r="DT37" s="54">
        <f t="shared" si="348"/>
        <v>44068</v>
      </c>
      <c r="DU37" s="54">
        <f t="shared" si="348"/>
        <v>44069</v>
      </c>
      <c r="DV37" s="54">
        <f t="shared" si="348"/>
        <v>44070</v>
      </c>
      <c r="DW37" s="54">
        <f t="shared" si="348"/>
        <v>44071</v>
      </c>
      <c r="DX37" s="54">
        <f t="shared" ref="DX37:DY37" si="350">DX36</f>
        <v>44072</v>
      </c>
      <c r="DY37" s="54">
        <f t="shared" si="350"/>
        <v>44073</v>
      </c>
      <c r="DZ37" s="54"/>
      <c r="EA37" s="53"/>
      <c r="EB37" s="54">
        <f t="shared" si="348"/>
        <v>44074</v>
      </c>
      <c r="EC37" s="54">
        <f t="shared" si="348"/>
        <v>44075</v>
      </c>
      <c r="ED37" s="54">
        <f t="shared" si="348"/>
        <v>44076</v>
      </c>
      <c r="EE37" s="54">
        <f t="shared" si="348"/>
        <v>44077</v>
      </c>
      <c r="EF37" s="54">
        <f t="shared" si="348"/>
        <v>44078</v>
      </c>
      <c r="EG37" s="54">
        <f t="shared" si="348"/>
        <v>44079</v>
      </c>
      <c r="EH37" s="53">
        <f t="shared" si="348"/>
        <v>44080</v>
      </c>
      <c r="EI37" s="54">
        <f t="shared" si="348"/>
        <v>44081</v>
      </c>
      <c r="EJ37" s="54">
        <f t="shared" si="348"/>
        <v>44082</v>
      </c>
      <c r="EK37" s="54">
        <f t="shared" si="348"/>
        <v>44083</v>
      </c>
      <c r="EL37" s="54">
        <f t="shared" si="348"/>
        <v>44084</v>
      </c>
      <c r="EM37" s="54">
        <f t="shared" si="348"/>
        <v>44085</v>
      </c>
      <c r="EN37" s="54">
        <f t="shared" si="348"/>
        <v>44086</v>
      </c>
      <c r="EO37" s="53">
        <f t="shared" si="348"/>
        <v>44087</v>
      </c>
      <c r="EP37" s="54">
        <f t="shared" si="348"/>
        <v>44088</v>
      </c>
      <c r="EQ37" s="54">
        <f t="shared" si="348"/>
        <v>44089</v>
      </c>
      <c r="ER37" s="54">
        <f t="shared" si="348"/>
        <v>44090</v>
      </c>
      <c r="ES37" s="54">
        <f t="shared" si="348"/>
        <v>44091</v>
      </c>
      <c r="ET37" s="54">
        <f t="shared" si="348"/>
        <v>44092</v>
      </c>
      <c r="EU37" s="54">
        <f t="shared" si="348"/>
        <v>44093</v>
      </c>
      <c r="EV37" s="53">
        <f t="shared" si="348"/>
        <v>44094</v>
      </c>
      <c r="EW37" s="54">
        <f t="shared" si="348"/>
        <v>44095</v>
      </c>
      <c r="EX37" s="54">
        <f t="shared" si="348"/>
        <v>44096</v>
      </c>
      <c r="EY37" s="54">
        <f t="shared" si="348"/>
        <v>44097</v>
      </c>
      <c r="EZ37" s="54">
        <f t="shared" si="348"/>
        <v>44098</v>
      </c>
      <c r="FA37" s="54">
        <f t="shared" si="348"/>
        <v>44099</v>
      </c>
      <c r="FB37" s="54">
        <f t="shared" si="348"/>
        <v>44100</v>
      </c>
      <c r="FC37" s="53">
        <f t="shared" si="348"/>
        <v>44101</v>
      </c>
      <c r="FD37" s="54">
        <f t="shared" si="348"/>
        <v>44102</v>
      </c>
      <c r="FE37" s="54">
        <f t="shared" ref="FE37:HP37" si="351">FE36</f>
        <v>44103</v>
      </c>
      <c r="FF37" s="54">
        <f t="shared" si="351"/>
        <v>44104</v>
      </c>
      <c r="FG37" s="54">
        <f t="shared" si="351"/>
        <v>44105</v>
      </c>
      <c r="FH37" s="54">
        <f t="shared" si="351"/>
        <v>44106</v>
      </c>
      <c r="FI37" s="54">
        <f t="shared" si="351"/>
        <v>44107</v>
      </c>
      <c r="FJ37" s="53">
        <f t="shared" si="351"/>
        <v>44108</v>
      </c>
      <c r="FK37" s="54">
        <f t="shared" si="351"/>
        <v>44109</v>
      </c>
      <c r="FL37" s="54">
        <f t="shared" si="351"/>
        <v>44110</v>
      </c>
      <c r="FM37" s="54">
        <f t="shared" si="351"/>
        <v>44111</v>
      </c>
      <c r="FN37" s="54">
        <f t="shared" si="351"/>
        <v>44112</v>
      </c>
      <c r="FO37" s="54">
        <f t="shared" si="351"/>
        <v>44113</v>
      </c>
      <c r="FP37" s="54">
        <f t="shared" si="351"/>
        <v>44114</v>
      </c>
      <c r="FQ37" s="53">
        <f t="shared" si="351"/>
        <v>44115</v>
      </c>
      <c r="FR37" s="54">
        <f t="shared" si="351"/>
        <v>44116</v>
      </c>
      <c r="FS37" s="54">
        <f t="shared" si="351"/>
        <v>44117</v>
      </c>
      <c r="FT37" s="54">
        <f t="shared" si="351"/>
        <v>44118</v>
      </c>
      <c r="FU37" s="54">
        <f t="shared" si="351"/>
        <v>44119</v>
      </c>
      <c r="FV37" s="54">
        <f t="shared" si="351"/>
        <v>44120</v>
      </c>
      <c r="FW37" s="54">
        <f t="shared" si="351"/>
        <v>44121</v>
      </c>
      <c r="FX37" s="53">
        <f t="shared" si="351"/>
        <v>44122</v>
      </c>
      <c r="FY37" s="54">
        <f t="shared" si="351"/>
        <v>44123</v>
      </c>
      <c r="FZ37" s="54">
        <f t="shared" si="351"/>
        <v>44124</v>
      </c>
      <c r="GA37" s="54">
        <f t="shared" si="351"/>
        <v>44125</v>
      </c>
      <c r="GB37" s="54">
        <f t="shared" si="351"/>
        <v>44126</v>
      </c>
      <c r="GC37" s="54">
        <f t="shared" si="351"/>
        <v>44127</v>
      </c>
      <c r="GD37" s="54">
        <f t="shared" si="351"/>
        <v>44128</v>
      </c>
      <c r="GE37" s="53">
        <f t="shared" si="351"/>
        <v>44129</v>
      </c>
      <c r="GF37" s="54">
        <f t="shared" si="351"/>
        <v>44130</v>
      </c>
      <c r="GG37" s="54">
        <f t="shared" si="351"/>
        <v>44131</v>
      </c>
      <c r="GH37" s="54">
        <f t="shared" si="351"/>
        <v>44132</v>
      </c>
      <c r="GI37" s="54">
        <f t="shared" si="351"/>
        <v>44133</v>
      </c>
      <c r="GJ37" s="54">
        <f t="shared" si="351"/>
        <v>44134</v>
      </c>
      <c r="GK37" s="54">
        <f t="shared" si="351"/>
        <v>44135</v>
      </c>
      <c r="GL37" s="53">
        <f t="shared" si="351"/>
        <v>44136</v>
      </c>
      <c r="GM37" s="54">
        <f t="shared" si="351"/>
        <v>44137</v>
      </c>
      <c r="GN37" s="54">
        <f t="shared" si="351"/>
        <v>44138</v>
      </c>
      <c r="GO37" s="54">
        <f t="shared" si="351"/>
        <v>44139</v>
      </c>
      <c r="GP37" s="54">
        <f t="shared" si="351"/>
        <v>44140</v>
      </c>
      <c r="GQ37" s="54">
        <f t="shared" si="351"/>
        <v>44141</v>
      </c>
      <c r="GR37" s="54">
        <f t="shared" si="351"/>
        <v>44142</v>
      </c>
      <c r="GS37" s="53">
        <f t="shared" si="351"/>
        <v>44143</v>
      </c>
      <c r="GT37" s="54">
        <f t="shared" si="351"/>
        <v>44144</v>
      </c>
      <c r="GU37" s="54">
        <f t="shared" si="351"/>
        <v>44145</v>
      </c>
      <c r="GV37" s="54">
        <f t="shared" si="351"/>
        <v>44146</v>
      </c>
      <c r="GW37" s="54">
        <f t="shared" si="351"/>
        <v>44147</v>
      </c>
      <c r="GX37" s="54">
        <f t="shared" si="351"/>
        <v>44148</v>
      </c>
      <c r="GY37" s="54">
        <f t="shared" si="351"/>
        <v>44149</v>
      </c>
      <c r="GZ37" s="53">
        <f t="shared" si="351"/>
        <v>44150</v>
      </c>
      <c r="HA37" s="54">
        <f t="shared" si="351"/>
        <v>44151</v>
      </c>
      <c r="HB37" s="54">
        <f t="shared" si="351"/>
        <v>44152</v>
      </c>
      <c r="HC37" s="54">
        <f t="shared" si="351"/>
        <v>44153</v>
      </c>
      <c r="HD37" s="54">
        <f t="shared" si="351"/>
        <v>44154</v>
      </c>
      <c r="HE37" s="54">
        <f t="shared" si="351"/>
        <v>44155</v>
      </c>
      <c r="HF37" s="54">
        <f t="shared" si="351"/>
        <v>44156</v>
      </c>
      <c r="HG37" s="53">
        <f t="shared" si="351"/>
        <v>44157</v>
      </c>
      <c r="HH37" s="54">
        <f t="shared" si="351"/>
        <v>44158</v>
      </c>
      <c r="HI37" s="54">
        <f t="shared" si="351"/>
        <v>44159</v>
      </c>
      <c r="HJ37" s="54">
        <f t="shared" si="351"/>
        <v>44160</v>
      </c>
      <c r="HK37" s="54">
        <f t="shared" si="351"/>
        <v>44161</v>
      </c>
      <c r="HL37" s="54">
        <f t="shared" si="351"/>
        <v>44162</v>
      </c>
      <c r="HM37" s="54">
        <f t="shared" si="351"/>
        <v>44163</v>
      </c>
      <c r="HN37" s="53">
        <f t="shared" si="351"/>
        <v>44164</v>
      </c>
      <c r="HO37" s="54">
        <f t="shared" si="351"/>
        <v>44165</v>
      </c>
      <c r="HP37" s="54">
        <f t="shared" si="351"/>
        <v>44166</v>
      </c>
      <c r="HQ37" s="54">
        <f t="shared" ref="HQ37:KB37" si="352">HQ36</f>
        <v>44167</v>
      </c>
      <c r="HR37" s="54">
        <f t="shared" si="352"/>
        <v>44168</v>
      </c>
      <c r="HS37" s="54">
        <f t="shared" si="352"/>
        <v>44169</v>
      </c>
      <c r="HT37" s="54">
        <f t="shared" si="352"/>
        <v>44170</v>
      </c>
      <c r="HU37" s="53">
        <f t="shared" si="352"/>
        <v>44171</v>
      </c>
      <c r="HV37" s="54">
        <f t="shared" si="352"/>
        <v>44172</v>
      </c>
      <c r="HW37" s="54">
        <f t="shared" si="352"/>
        <v>44173</v>
      </c>
      <c r="HX37" s="54">
        <f t="shared" si="352"/>
        <v>44174</v>
      </c>
      <c r="HY37" s="54">
        <f t="shared" si="352"/>
        <v>44175</v>
      </c>
      <c r="HZ37" s="54">
        <f t="shared" si="352"/>
        <v>44176</v>
      </c>
      <c r="IA37" s="54">
        <f t="shared" si="352"/>
        <v>44177</v>
      </c>
      <c r="IB37" s="53">
        <f t="shared" si="352"/>
        <v>44178</v>
      </c>
      <c r="IC37" s="54">
        <f t="shared" si="352"/>
        <v>44179</v>
      </c>
      <c r="ID37" s="54">
        <f t="shared" si="352"/>
        <v>44180</v>
      </c>
      <c r="IE37" s="54">
        <f t="shared" si="352"/>
        <v>44181</v>
      </c>
      <c r="IF37" s="54">
        <f t="shared" si="352"/>
        <v>44182</v>
      </c>
      <c r="IG37" s="54">
        <f t="shared" si="352"/>
        <v>44183</v>
      </c>
      <c r="IH37" s="54">
        <f t="shared" si="352"/>
        <v>44184</v>
      </c>
      <c r="II37" s="53">
        <f t="shared" si="352"/>
        <v>44185</v>
      </c>
      <c r="IJ37" s="54">
        <f t="shared" si="352"/>
        <v>44186</v>
      </c>
      <c r="IK37" s="54">
        <f t="shared" si="352"/>
        <v>44187</v>
      </c>
      <c r="IL37" s="54">
        <f t="shared" si="352"/>
        <v>44188</v>
      </c>
      <c r="IM37" s="54">
        <f t="shared" si="352"/>
        <v>44189</v>
      </c>
      <c r="IN37" s="54">
        <f t="shared" si="352"/>
        <v>44190</v>
      </c>
      <c r="IO37" s="54">
        <f t="shared" si="352"/>
        <v>44191</v>
      </c>
      <c r="IP37" s="53">
        <f t="shared" si="352"/>
        <v>44192</v>
      </c>
      <c r="IQ37" s="54">
        <f t="shared" si="352"/>
        <v>44193</v>
      </c>
      <c r="IR37" s="54">
        <f t="shared" si="352"/>
        <v>44194</v>
      </c>
      <c r="IS37" s="54">
        <f t="shared" si="352"/>
        <v>44195</v>
      </c>
      <c r="IT37" s="54">
        <f t="shared" si="352"/>
        <v>44196</v>
      </c>
      <c r="IU37" s="54">
        <f t="shared" si="352"/>
        <v>44197</v>
      </c>
      <c r="IV37" s="54">
        <f t="shared" si="352"/>
        <v>44198</v>
      </c>
      <c r="IW37" s="53">
        <f t="shared" si="352"/>
        <v>44199</v>
      </c>
      <c r="IX37" s="54">
        <f t="shared" si="352"/>
        <v>44200</v>
      </c>
      <c r="IY37" s="54">
        <f t="shared" si="352"/>
        <v>44201</v>
      </c>
      <c r="IZ37" s="54">
        <f t="shared" si="352"/>
        <v>44202</v>
      </c>
      <c r="JA37" s="54">
        <f t="shared" si="352"/>
        <v>44203</v>
      </c>
      <c r="JB37" s="54">
        <f t="shared" si="352"/>
        <v>44204</v>
      </c>
      <c r="JC37" s="54">
        <f t="shared" si="352"/>
        <v>44205</v>
      </c>
      <c r="JD37" s="53">
        <f t="shared" si="352"/>
        <v>44206</v>
      </c>
      <c r="JE37" s="54">
        <f t="shared" si="352"/>
        <v>44207</v>
      </c>
      <c r="JF37" s="54">
        <f t="shared" si="352"/>
        <v>44208</v>
      </c>
      <c r="JG37" s="54">
        <f t="shared" si="352"/>
        <v>44209</v>
      </c>
      <c r="JH37" s="54">
        <f t="shared" si="352"/>
        <v>44210</v>
      </c>
      <c r="JI37" s="54">
        <f t="shared" si="352"/>
        <v>44211</v>
      </c>
      <c r="JJ37" s="54">
        <f t="shared" si="352"/>
        <v>44212</v>
      </c>
      <c r="JK37" s="53">
        <f t="shared" si="352"/>
        <v>44213</v>
      </c>
      <c r="JL37" s="54">
        <f t="shared" si="352"/>
        <v>44214</v>
      </c>
      <c r="JM37" s="54">
        <f t="shared" si="352"/>
        <v>44215</v>
      </c>
      <c r="JN37" s="54">
        <f t="shared" si="352"/>
        <v>44216</v>
      </c>
      <c r="JO37" s="54">
        <f t="shared" si="352"/>
        <v>44217</v>
      </c>
      <c r="JP37" s="54">
        <f t="shared" si="352"/>
        <v>44218</v>
      </c>
      <c r="JQ37" s="54">
        <f t="shared" si="352"/>
        <v>44219</v>
      </c>
      <c r="JR37" s="53">
        <f t="shared" si="352"/>
        <v>44220</v>
      </c>
      <c r="JS37" s="54">
        <f t="shared" si="352"/>
        <v>44221</v>
      </c>
      <c r="JT37" s="54">
        <f t="shared" si="352"/>
        <v>44222</v>
      </c>
      <c r="JU37" s="54">
        <f t="shared" si="352"/>
        <v>44223</v>
      </c>
      <c r="JV37" s="54">
        <f t="shared" si="352"/>
        <v>44224</v>
      </c>
      <c r="JW37" s="54">
        <f t="shared" si="352"/>
        <v>44225</v>
      </c>
      <c r="JX37" s="54">
        <f t="shared" si="352"/>
        <v>44226</v>
      </c>
      <c r="JY37" s="53">
        <f t="shared" si="352"/>
        <v>44227</v>
      </c>
      <c r="JZ37" s="54">
        <f t="shared" si="352"/>
        <v>44228</v>
      </c>
      <c r="KA37" s="54">
        <f t="shared" si="352"/>
        <v>44229</v>
      </c>
      <c r="KB37" s="54">
        <f t="shared" si="352"/>
        <v>44230</v>
      </c>
      <c r="KC37" s="54">
        <f t="shared" ref="KC37:MJ37" si="353">KC36</f>
        <v>44231</v>
      </c>
      <c r="KD37" s="54">
        <f t="shared" si="353"/>
        <v>44232</v>
      </c>
      <c r="KE37" s="54">
        <f t="shared" si="353"/>
        <v>44233</v>
      </c>
      <c r="KF37" s="53">
        <f t="shared" si="353"/>
        <v>44234</v>
      </c>
      <c r="KG37" s="54">
        <f t="shared" si="353"/>
        <v>44235</v>
      </c>
      <c r="KH37" s="54">
        <f t="shared" si="353"/>
        <v>44236</v>
      </c>
      <c r="KI37" s="54">
        <f t="shared" si="353"/>
        <v>44237</v>
      </c>
      <c r="KJ37" s="54">
        <f t="shared" si="353"/>
        <v>44238</v>
      </c>
      <c r="KK37" s="54">
        <f t="shared" si="353"/>
        <v>44239</v>
      </c>
      <c r="KL37" s="54">
        <f t="shared" si="353"/>
        <v>44240</v>
      </c>
      <c r="KM37" s="53">
        <f t="shared" si="353"/>
        <v>44241</v>
      </c>
      <c r="KN37" s="54">
        <f t="shared" si="353"/>
        <v>44242</v>
      </c>
      <c r="KO37" s="54">
        <f t="shared" si="353"/>
        <v>44243</v>
      </c>
      <c r="KP37" s="54">
        <f t="shared" si="353"/>
        <v>44244</v>
      </c>
      <c r="KQ37" s="54">
        <f t="shared" si="353"/>
        <v>44245</v>
      </c>
      <c r="KR37" s="54">
        <f t="shared" si="353"/>
        <v>44246</v>
      </c>
      <c r="KS37" s="54">
        <f t="shared" si="353"/>
        <v>44247</v>
      </c>
      <c r="KT37" s="53">
        <f t="shared" si="353"/>
        <v>44248</v>
      </c>
      <c r="KU37" s="54">
        <f t="shared" si="353"/>
        <v>44249</v>
      </c>
      <c r="KV37" s="54">
        <f t="shared" si="353"/>
        <v>44250</v>
      </c>
      <c r="KW37" s="54">
        <f t="shared" si="353"/>
        <v>44251</v>
      </c>
      <c r="KX37" s="54">
        <f t="shared" si="353"/>
        <v>44252</v>
      </c>
      <c r="KY37" s="54">
        <f t="shared" si="353"/>
        <v>44253</v>
      </c>
      <c r="KZ37" s="54">
        <f t="shared" si="353"/>
        <v>44254</v>
      </c>
      <c r="LA37" s="53">
        <f t="shared" si="353"/>
        <v>44255</v>
      </c>
      <c r="LB37" s="54">
        <f t="shared" si="353"/>
        <v>44256</v>
      </c>
      <c r="LC37" s="54">
        <f t="shared" si="353"/>
        <v>44257</v>
      </c>
      <c r="LD37" s="54">
        <f t="shared" si="353"/>
        <v>44258</v>
      </c>
      <c r="LE37" s="54">
        <f t="shared" si="353"/>
        <v>44259</v>
      </c>
      <c r="LF37" s="54">
        <f t="shared" si="353"/>
        <v>44260</v>
      </c>
      <c r="LG37" s="54">
        <f t="shared" si="353"/>
        <v>44261</v>
      </c>
      <c r="LH37" s="53">
        <f t="shared" si="353"/>
        <v>44262</v>
      </c>
      <c r="LI37" s="54">
        <f t="shared" si="353"/>
        <v>44263</v>
      </c>
      <c r="LJ37" s="54">
        <f t="shared" si="353"/>
        <v>44264</v>
      </c>
      <c r="LK37" s="54">
        <f t="shared" si="353"/>
        <v>44265</v>
      </c>
      <c r="LL37" s="54">
        <f t="shared" si="353"/>
        <v>44266</v>
      </c>
      <c r="LM37" s="54">
        <f t="shared" si="353"/>
        <v>44267</v>
      </c>
      <c r="LN37" s="54">
        <f t="shared" si="353"/>
        <v>44268</v>
      </c>
      <c r="LO37" s="53">
        <f t="shared" si="353"/>
        <v>44269</v>
      </c>
      <c r="LP37" s="54">
        <f t="shared" si="353"/>
        <v>44270</v>
      </c>
      <c r="LQ37" s="54">
        <f t="shared" si="353"/>
        <v>44271</v>
      </c>
      <c r="LR37" s="54">
        <f t="shared" si="353"/>
        <v>44272</v>
      </c>
      <c r="LS37" s="54">
        <f t="shared" si="353"/>
        <v>44273</v>
      </c>
      <c r="LT37" s="54">
        <f t="shared" si="353"/>
        <v>44274</v>
      </c>
      <c r="LU37" s="54">
        <f t="shared" si="353"/>
        <v>44275</v>
      </c>
      <c r="LV37" s="53">
        <f t="shared" si="353"/>
        <v>44276</v>
      </c>
      <c r="LW37" s="54">
        <f t="shared" si="353"/>
        <v>44277</v>
      </c>
      <c r="LX37" s="54">
        <f t="shared" si="353"/>
        <v>44278</v>
      </c>
      <c r="LY37" s="54">
        <f t="shared" si="353"/>
        <v>44279</v>
      </c>
      <c r="LZ37" s="54">
        <f t="shared" si="353"/>
        <v>44280</v>
      </c>
      <c r="MA37" s="54">
        <f t="shared" si="353"/>
        <v>44281</v>
      </c>
      <c r="MB37" s="54">
        <f t="shared" si="353"/>
        <v>44282</v>
      </c>
      <c r="MC37" s="53">
        <f t="shared" si="353"/>
        <v>44283</v>
      </c>
      <c r="MD37" s="54">
        <f t="shared" si="353"/>
        <v>44284</v>
      </c>
      <c r="ME37" s="54">
        <f t="shared" si="353"/>
        <v>44285</v>
      </c>
      <c r="MF37" s="54">
        <f t="shared" si="353"/>
        <v>44286</v>
      </c>
      <c r="MG37" s="54">
        <f t="shared" si="353"/>
        <v>44287</v>
      </c>
      <c r="MH37" s="54">
        <f t="shared" si="353"/>
        <v>44288</v>
      </c>
      <c r="MI37" s="54">
        <f t="shared" si="353"/>
        <v>44289</v>
      </c>
      <c r="MJ37" s="53">
        <f t="shared" si="353"/>
        <v>44290</v>
      </c>
    </row>
    <row r="38" spans="1:348" ht="15" customHeight="1" x14ac:dyDescent="0.25">
      <c r="A38" s="139"/>
      <c r="B38" s="139"/>
      <c r="C38" s="139"/>
      <c r="D38" s="139"/>
      <c r="E38" s="140"/>
      <c r="F38" s="19"/>
      <c r="G38" s="19"/>
      <c r="H38" s="19"/>
      <c r="I38" s="19"/>
      <c r="J38" s="19"/>
      <c r="K38" s="19"/>
      <c r="L38" s="19"/>
      <c r="M38" s="19"/>
      <c r="N38" s="19"/>
      <c r="O38" s="9"/>
      <c r="P38" s="142"/>
      <c r="Q38" s="142"/>
      <c r="R38" s="144"/>
      <c r="S38" s="24"/>
      <c r="T38" s="25"/>
      <c r="U38" s="25"/>
      <c r="V38" s="25"/>
      <c r="W38" s="25"/>
      <c r="X38" s="25"/>
      <c r="Y38" s="25"/>
      <c r="Z38" s="24"/>
      <c r="AA38" s="25"/>
      <c r="AB38" s="25"/>
      <c r="AC38" s="25"/>
      <c r="AD38" s="25"/>
      <c r="AE38" s="25"/>
      <c r="AF38" s="25"/>
      <c r="AG38" s="24"/>
      <c r="AH38" s="25"/>
      <c r="AI38" s="25" t="s">
        <v>38</v>
      </c>
      <c r="AJ38" s="25"/>
      <c r="AK38" s="25" t="s">
        <v>38</v>
      </c>
      <c r="AL38" s="25"/>
      <c r="AM38" s="25"/>
      <c r="AN38" s="24"/>
      <c r="AO38" s="25"/>
      <c r="AP38" s="25" t="s">
        <v>38</v>
      </c>
      <c r="AQ38" s="25"/>
      <c r="AR38" s="25" t="s">
        <v>38</v>
      </c>
      <c r="AS38" s="25"/>
      <c r="AT38" s="25"/>
      <c r="AU38" s="24"/>
      <c r="AV38" s="25"/>
      <c r="AW38" s="25" t="s">
        <v>38</v>
      </c>
      <c r="AX38" s="25" t="s">
        <v>263</v>
      </c>
      <c r="AY38" s="25" t="s">
        <v>38</v>
      </c>
      <c r="AZ38" s="25"/>
      <c r="BA38" s="25"/>
      <c r="BB38" s="24"/>
      <c r="BC38" s="25"/>
      <c r="BD38" s="25" t="s">
        <v>38</v>
      </c>
      <c r="BE38" s="25"/>
      <c r="BF38" s="25" t="s">
        <v>38</v>
      </c>
      <c r="BG38" s="25"/>
      <c r="BH38" s="25"/>
      <c r="BI38" s="24"/>
      <c r="BJ38" s="25"/>
      <c r="BK38" s="25" t="s">
        <v>38</v>
      </c>
      <c r="BL38" s="25"/>
      <c r="BM38" s="25" t="s">
        <v>38</v>
      </c>
      <c r="BN38" s="25" t="s">
        <v>54</v>
      </c>
      <c r="BO38" s="25"/>
      <c r="BP38" s="24" t="s">
        <v>148</v>
      </c>
      <c r="BQ38" s="25"/>
      <c r="BR38" s="25"/>
      <c r="BS38" s="25"/>
      <c r="BT38" s="25"/>
      <c r="BU38" s="25"/>
      <c r="BV38" s="25"/>
      <c r="BW38" s="25" t="s">
        <v>148</v>
      </c>
      <c r="BX38" s="25"/>
      <c r="BY38" s="24"/>
      <c r="BZ38" s="25"/>
      <c r="CA38" s="25"/>
      <c r="CB38" s="25"/>
      <c r="CC38" s="25"/>
      <c r="CD38" s="25"/>
      <c r="CE38" s="25"/>
      <c r="CF38" s="25"/>
      <c r="CG38" s="25"/>
      <c r="CH38" s="24"/>
      <c r="CI38" s="25"/>
      <c r="CJ38" s="25"/>
      <c r="CK38" s="25"/>
      <c r="CL38" s="25"/>
      <c r="CM38" s="25"/>
      <c r="CN38" s="25"/>
      <c r="CO38" s="25"/>
      <c r="CP38" s="25"/>
      <c r="CQ38" s="24"/>
      <c r="CR38" s="25"/>
      <c r="CS38" s="25"/>
      <c r="CT38" s="25"/>
      <c r="CU38" s="25"/>
      <c r="CV38" s="25"/>
      <c r="CW38" s="25"/>
      <c r="CX38" s="25"/>
      <c r="CY38" s="25"/>
      <c r="CZ38" s="24"/>
      <c r="DA38" s="25"/>
      <c r="DB38" s="25"/>
      <c r="DC38" s="25"/>
      <c r="DD38" s="25"/>
      <c r="DE38" s="25"/>
      <c r="DF38" s="25"/>
      <c r="DG38" s="25"/>
      <c r="DH38" s="25"/>
      <c r="DI38" s="24"/>
      <c r="DJ38" s="25"/>
      <c r="DK38" s="25"/>
      <c r="DL38" s="25"/>
      <c r="DM38" s="25"/>
      <c r="DN38" s="25"/>
      <c r="DO38" s="25"/>
      <c r="DP38" s="25"/>
      <c r="DQ38" s="25"/>
      <c r="DR38" s="24"/>
      <c r="DS38" s="25"/>
      <c r="DT38" s="25"/>
      <c r="DU38" s="25"/>
      <c r="DV38" s="25"/>
      <c r="DW38" s="25"/>
      <c r="DX38" s="25"/>
      <c r="DY38" s="25"/>
      <c r="DZ38" s="25"/>
      <c r="EA38" s="24"/>
      <c r="EB38" s="25"/>
      <c r="EC38" s="25"/>
      <c r="ED38" s="25"/>
      <c r="EE38" s="25"/>
      <c r="EF38" s="25"/>
      <c r="EG38" s="25"/>
      <c r="EH38" s="24"/>
      <c r="EI38" s="25"/>
      <c r="EJ38" s="25"/>
      <c r="EK38" s="25"/>
      <c r="EL38" s="25"/>
      <c r="EM38" s="25"/>
      <c r="EN38" s="25"/>
      <c r="EO38" s="24"/>
      <c r="EP38" s="25"/>
      <c r="EQ38" s="25" t="s">
        <v>38</v>
      </c>
      <c r="ER38" s="25"/>
      <c r="ES38" s="25" t="s">
        <v>38</v>
      </c>
      <c r="ET38" s="25" t="s">
        <v>38</v>
      </c>
      <c r="EU38" s="25"/>
      <c r="EV38" s="24"/>
      <c r="EW38" s="25"/>
      <c r="EX38" s="25" t="s">
        <v>38</v>
      </c>
      <c r="EY38" s="25"/>
      <c r="EZ38" s="25" t="s">
        <v>38</v>
      </c>
      <c r="FA38" s="25" t="s">
        <v>38</v>
      </c>
      <c r="FB38" s="25"/>
      <c r="FC38" s="24"/>
      <c r="FD38" s="25"/>
      <c r="FE38" s="25" t="s">
        <v>38</v>
      </c>
      <c r="FF38" s="25"/>
      <c r="FG38" s="25" t="s">
        <v>38</v>
      </c>
      <c r="FH38" s="25" t="s">
        <v>38</v>
      </c>
      <c r="FI38" s="25"/>
      <c r="FJ38" s="24"/>
      <c r="FK38" s="25"/>
      <c r="FL38" s="25" t="s">
        <v>38</v>
      </c>
      <c r="FM38" s="25"/>
      <c r="FN38" s="25" t="s">
        <v>38</v>
      </c>
      <c r="FO38" s="25" t="s">
        <v>38</v>
      </c>
      <c r="FP38" s="25"/>
      <c r="FQ38" s="24"/>
      <c r="FR38" s="25"/>
      <c r="FS38" s="25" t="s">
        <v>38</v>
      </c>
      <c r="FT38" s="25"/>
      <c r="FU38" s="25" t="s">
        <v>38</v>
      </c>
      <c r="FV38" s="25" t="s">
        <v>38</v>
      </c>
      <c r="FW38" s="25"/>
      <c r="FX38" s="24"/>
      <c r="FY38" s="25"/>
      <c r="FZ38" s="25" t="s">
        <v>38</v>
      </c>
      <c r="GA38" s="25"/>
      <c r="GB38" s="25" t="s">
        <v>38</v>
      </c>
      <c r="GC38" s="25" t="s">
        <v>38</v>
      </c>
      <c r="GD38" s="25"/>
      <c r="GE38" s="24"/>
      <c r="GF38" s="25"/>
      <c r="GG38" s="25" t="s">
        <v>38</v>
      </c>
      <c r="GH38" s="25"/>
      <c r="GI38" s="25" t="s">
        <v>38</v>
      </c>
      <c r="GJ38" s="25" t="s">
        <v>38</v>
      </c>
      <c r="GK38" s="25"/>
      <c r="GL38" s="24"/>
      <c r="GM38" s="25"/>
      <c r="GN38" s="25" t="s">
        <v>38</v>
      </c>
      <c r="GO38" s="25"/>
      <c r="GP38" s="25" t="s">
        <v>38</v>
      </c>
      <c r="GQ38" s="25" t="s">
        <v>38</v>
      </c>
      <c r="GR38" s="25"/>
      <c r="GS38" s="24"/>
      <c r="GT38" s="25"/>
      <c r="GU38" s="25" t="s">
        <v>38</v>
      </c>
      <c r="GV38" s="25"/>
      <c r="GW38" s="25" t="s">
        <v>38</v>
      </c>
      <c r="GX38" s="25" t="s">
        <v>38</v>
      </c>
      <c r="GY38" s="25"/>
      <c r="GZ38" s="24"/>
      <c r="HA38" s="25"/>
      <c r="HB38" s="25" t="s">
        <v>38</v>
      </c>
      <c r="HC38" s="25"/>
      <c r="HD38" s="25" t="s">
        <v>38</v>
      </c>
      <c r="HE38" s="25" t="s">
        <v>38</v>
      </c>
      <c r="HF38" s="25"/>
      <c r="HG38" s="24"/>
      <c r="HH38" s="25"/>
      <c r="HI38" s="25" t="s">
        <v>38</v>
      </c>
      <c r="HJ38" s="25"/>
      <c r="HK38" s="25" t="s">
        <v>38</v>
      </c>
      <c r="HL38" s="25" t="s">
        <v>38</v>
      </c>
      <c r="HM38" s="25"/>
      <c r="HN38" s="24"/>
      <c r="HO38" s="25"/>
      <c r="HP38" s="25" t="s">
        <v>38</v>
      </c>
      <c r="HQ38" s="25" t="s">
        <v>38</v>
      </c>
      <c r="HR38" s="25"/>
      <c r="HS38" s="25" t="s">
        <v>38</v>
      </c>
      <c r="HT38" s="25"/>
      <c r="HU38" s="24"/>
      <c r="HV38" s="25"/>
      <c r="HW38" s="25" t="s">
        <v>38</v>
      </c>
      <c r="HX38" s="25"/>
      <c r="HY38" s="25" t="s">
        <v>38</v>
      </c>
      <c r="HZ38" s="25" t="s">
        <v>38</v>
      </c>
      <c r="IA38" s="25"/>
      <c r="IB38" s="24"/>
      <c r="IC38" s="25"/>
      <c r="ID38" s="25" t="s">
        <v>38</v>
      </c>
      <c r="IE38" s="25"/>
      <c r="IF38" s="25" t="s">
        <v>38</v>
      </c>
      <c r="IG38" s="25" t="s">
        <v>38</v>
      </c>
      <c r="IH38" s="25"/>
      <c r="II38" s="24"/>
      <c r="IJ38" s="25"/>
      <c r="IK38" s="25" t="s">
        <v>38</v>
      </c>
      <c r="IL38" s="25"/>
      <c r="IM38" s="25" t="s">
        <v>38</v>
      </c>
      <c r="IN38" s="25" t="s">
        <v>38</v>
      </c>
      <c r="IO38" s="25"/>
      <c r="IP38" s="24"/>
      <c r="IQ38" s="25"/>
      <c r="IR38" s="25" t="s">
        <v>38</v>
      </c>
      <c r="IS38" s="25"/>
      <c r="IT38" s="25" t="s">
        <v>38</v>
      </c>
      <c r="IU38" s="25" t="s">
        <v>38</v>
      </c>
      <c r="IV38" s="25"/>
      <c r="IW38" s="24"/>
      <c r="IX38" s="25"/>
      <c r="IY38" s="25" t="s">
        <v>38</v>
      </c>
      <c r="IZ38" s="25"/>
      <c r="JA38" s="25" t="s">
        <v>38</v>
      </c>
      <c r="JB38" s="25" t="s">
        <v>38</v>
      </c>
      <c r="JC38" s="25"/>
      <c r="JD38" s="24"/>
      <c r="JE38" s="25"/>
      <c r="JF38" s="25" t="s">
        <v>38</v>
      </c>
      <c r="JG38" s="25"/>
      <c r="JH38" s="25" t="s">
        <v>38</v>
      </c>
      <c r="JI38" s="25" t="s">
        <v>38</v>
      </c>
      <c r="JJ38" s="25"/>
      <c r="JK38" s="24"/>
      <c r="JL38" s="25"/>
      <c r="JM38" s="25" t="s">
        <v>38</v>
      </c>
      <c r="JN38" s="25"/>
      <c r="JO38" s="25" t="s">
        <v>38</v>
      </c>
      <c r="JP38" s="25" t="s">
        <v>38</v>
      </c>
      <c r="JQ38" s="25"/>
      <c r="JR38" s="24"/>
      <c r="JS38" s="25"/>
      <c r="JT38" s="25" t="s">
        <v>38</v>
      </c>
      <c r="JU38" s="25"/>
      <c r="JV38" s="25" t="s">
        <v>38</v>
      </c>
      <c r="JW38" s="25" t="s">
        <v>38</v>
      </c>
      <c r="JX38" s="25"/>
      <c r="JY38" s="24"/>
      <c r="JZ38" s="25"/>
      <c r="KA38" s="25" t="s">
        <v>38</v>
      </c>
      <c r="KB38" s="25"/>
      <c r="KC38" s="25" t="s">
        <v>38</v>
      </c>
      <c r="KD38" s="25" t="s">
        <v>38</v>
      </c>
      <c r="KE38" s="25"/>
      <c r="KF38" s="24"/>
      <c r="KG38" s="25"/>
      <c r="KH38" s="25" t="s">
        <v>38</v>
      </c>
      <c r="KI38" s="25"/>
      <c r="KJ38" s="25" t="s">
        <v>38</v>
      </c>
      <c r="KK38" s="25" t="s">
        <v>38</v>
      </c>
      <c r="KL38" s="25"/>
      <c r="KM38" s="24"/>
      <c r="KN38" s="25"/>
      <c r="KO38" s="25" t="s">
        <v>38</v>
      </c>
      <c r="KP38" s="25"/>
      <c r="KQ38" s="25" t="s">
        <v>38</v>
      </c>
      <c r="KR38" s="25" t="s">
        <v>38</v>
      </c>
      <c r="KS38" s="25"/>
      <c r="KT38" s="24"/>
      <c r="KU38" s="25"/>
      <c r="KV38" s="25" t="s">
        <v>38</v>
      </c>
      <c r="KW38" s="25"/>
      <c r="KX38" s="25" t="s">
        <v>38</v>
      </c>
      <c r="KY38" s="25" t="s">
        <v>38</v>
      </c>
      <c r="KZ38" s="25"/>
      <c r="LA38" s="24"/>
      <c r="LB38" s="25"/>
      <c r="LC38" s="25" t="s">
        <v>38</v>
      </c>
      <c r="LD38" s="25"/>
      <c r="LE38" s="25" t="s">
        <v>38</v>
      </c>
      <c r="LF38" s="25"/>
      <c r="LG38" s="25"/>
      <c r="LH38" s="26"/>
      <c r="LI38" s="25"/>
      <c r="LJ38" s="25" t="s">
        <v>38</v>
      </c>
      <c r="LK38" s="25"/>
      <c r="LL38" s="25" t="s">
        <v>38</v>
      </c>
      <c r="LM38" s="25"/>
      <c r="LN38" s="25"/>
      <c r="LO38" s="24"/>
      <c r="LP38" s="25"/>
      <c r="LQ38" s="25"/>
      <c r="LR38" s="25"/>
      <c r="LS38" s="25"/>
      <c r="LT38" s="25"/>
      <c r="LU38" s="25"/>
      <c r="LV38" s="24"/>
      <c r="LW38" s="25"/>
      <c r="LX38" s="25"/>
      <c r="LY38" s="25"/>
      <c r="LZ38" s="25"/>
      <c r="MA38" s="25"/>
      <c r="MB38" s="25"/>
      <c r="MC38" s="24"/>
      <c r="MD38" s="25"/>
      <c r="ME38" s="25"/>
      <c r="MF38" s="25"/>
      <c r="MG38" s="25"/>
      <c r="MH38" s="25"/>
      <c r="MI38" s="25"/>
      <c r="MJ38" s="24"/>
    </row>
    <row r="39" spans="1:348" x14ac:dyDescent="0.25">
      <c r="A39" s="11" t="s">
        <v>148</v>
      </c>
      <c r="B39" s="11"/>
      <c r="C39" s="11"/>
      <c r="D39" s="11"/>
      <c r="E39" s="11"/>
      <c r="F39" s="13" t="s">
        <v>147</v>
      </c>
      <c r="G39" s="40" t="s">
        <v>146</v>
      </c>
      <c r="H39" s="40" t="s">
        <v>119</v>
      </c>
      <c r="I39" s="11" t="s">
        <v>41</v>
      </c>
      <c r="J39" s="11" t="s">
        <v>118</v>
      </c>
      <c r="K39" s="11" t="s">
        <v>42</v>
      </c>
      <c r="L39" s="11" t="s">
        <v>117</v>
      </c>
      <c r="M39" s="11" t="s">
        <v>47</v>
      </c>
      <c r="N39" s="11" t="s">
        <v>100</v>
      </c>
      <c r="O39" s="12" t="s">
        <v>46</v>
      </c>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1"/>
      <c r="DH39" s="11"/>
      <c r="DI39" s="12"/>
      <c r="DJ39" s="11"/>
      <c r="DK39" s="11"/>
      <c r="DL39" s="11"/>
      <c r="DM39" s="11"/>
      <c r="DN39" s="11"/>
      <c r="DO39" s="11"/>
      <c r="DP39" s="11"/>
      <c r="DQ39" s="11"/>
      <c r="DR39" s="12"/>
      <c r="DS39" s="11"/>
      <c r="DT39" s="11"/>
      <c r="DU39" s="11"/>
      <c r="DV39" s="11"/>
      <c r="DW39" s="11"/>
      <c r="DX39" s="11"/>
      <c r="DY39" s="11"/>
      <c r="DZ39" s="11"/>
      <c r="EA39" s="12"/>
      <c r="EB39" s="11"/>
      <c r="EC39" s="11"/>
      <c r="ED39" s="11"/>
      <c r="EE39" s="11"/>
      <c r="EF39" s="11"/>
      <c r="EG39" s="11"/>
      <c r="EH39" s="12"/>
      <c r="EI39" s="11"/>
      <c r="EJ39" s="11"/>
      <c r="EK39" s="11"/>
      <c r="EL39" s="11"/>
      <c r="EM39" s="11"/>
      <c r="EN39" s="11"/>
      <c r="EO39" s="12"/>
      <c r="EP39" s="11"/>
      <c r="EQ39" s="11"/>
      <c r="ER39" s="11"/>
      <c r="ES39" s="11"/>
      <c r="ET39" s="11"/>
      <c r="EU39" s="11"/>
      <c r="EV39" s="12"/>
      <c r="EW39" s="11"/>
      <c r="EX39" s="11"/>
      <c r="EY39" s="11"/>
      <c r="EZ39" s="11"/>
      <c r="FA39" s="11"/>
      <c r="FB39" s="11"/>
      <c r="FC39" s="12"/>
      <c r="FD39" s="11"/>
      <c r="FE39" s="11"/>
      <c r="FF39" s="11"/>
      <c r="FG39" s="11"/>
      <c r="FH39" s="11"/>
      <c r="FI39" s="11"/>
      <c r="FJ39" s="12"/>
      <c r="FK39" s="11"/>
      <c r="FL39" s="11"/>
      <c r="FM39" s="11"/>
      <c r="FN39" s="11"/>
      <c r="FO39" s="11"/>
      <c r="FP39" s="11"/>
      <c r="FQ39" s="12"/>
      <c r="FR39" s="11"/>
      <c r="FS39" s="11"/>
      <c r="FT39" s="11"/>
      <c r="FU39" s="11"/>
      <c r="FV39" s="11"/>
      <c r="FW39" s="11"/>
      <c r="FX39" s="12"/>
      <c r="FY39" s="11"/>
      <c r="FZ39" s="11"/>
      <c r="GA39" s="11"/>
      <c r="GB39" s="11"/>
      <c r="GC39" s="11"/>
      <c r="GD39" s="11"/>
      <c r="GE39" s="12"/>
      <c r="GF39" s="11"/>
      <c r="GG39" s="11"/>
      <c r="GH39" s="11"/>
      <c r="GI39" s="11"/>
      <c r="GJ39" s="11"/>
      <c r="GK39" s="11"/>
      <c r="GL39" s="12"/>
      <c r="GM39" s="11"/>
      <c r="GN39" s="11"/>
      <c r="GO39" s="11"/>
      <c r="GP39" s="11"/>
      <c r="GQ39" s="11"/>
      <c r="GR39" s="11"/>
      <c r="GS39" s="12"/>
      <c r="GT39" s="11"/>
      <c r="GU39" s="11"/>
      <c r="GV39" s="11"/>
      <c r="GW39" s="11"/>
      <c r="GX39" s="11"/>
      <c r="GY39" s="11"/>
      <c r="GZ39" s="12"/>
      <c r="HA39" s="11"/>
      <c r="HB39" s="11"/>
      <c r="HC39" s="11"/>
      <c r="HD39" s="11"/>
      <c r="HE39" s="11"/>
      <c r="HF39" s="11"/>
      <c r="HG39" s="12"/>
      <c r="HH39" s="11"/>
      <c r="HI39" s="11"/>
      <c r="HJ39" s="11"/>
      <c r="HK39" s="11"/>
      <c r="HL39" s="11"/>
      <c r="HM39" s="11"/>
      <c r="HN39" s="12"/>
      <c r="HO39" s="11"/>
      <c r="HP39" s="11"/>
      <c r="HQ39" s="11"/>
      <c r="HR39" s="11"/>
      <c r="HS39" s="11"/>
      <c r="HT39" s="11"/>
      <c r="HU39" s="12"/>
      <c r="HV39" s="11"/>
      <c r="HW39" s="11"/>
      <c r="HX39" s="11"/>
      <c r="HY39" s="11"/>
      <c r="HZ39" s="11"/>
      <c r="IA39" s="11"/>
      <c r="IB39" s="12"/>
      <c r="IC39" s="11"/>
      <c r="ID39" s="11"/>
      <c r="IE39" s="11"/>
      <c r="IF39" s="11"/>
      <c r="IG39" s="11"/>
      <c r="IH39" s="11"/>
      <c r="II39" s="12"/>
      <c r="IJ39" s="11"/>
      <c r="IK39" s="11"/>
      <c r="IL39" s="11"/>
      <c r="IM39" s="11"/>
      <c r="IN39" s="11"/>
      <c r="IO39" s="11"/>
      <c r="IP39" s="12"/>
      <c r="IQ39" s="11"/>
      <c r="IR39" s="11"/>
      <c r="IS39" s="11"/>
      <c r="IT39" s="11"/>
      <c r="IU39" s="11"/>
      <c r="IV39" s="11"/>
      <c r="IW39" s="12"/>
      <c r="IX39" s="11"/>
      <c r="IY39" s="11"/>
      <c r="IZ39" s="11"/>
      <c r="JA39" s="11"/>
      <c r="JB39" s="11"/>
      <c r="JC39" s="11"/>
      <c r="JD39" s="12"/>
      <c r="JE39" s="11"/>
      <c r="JF39" s="11"/>
      <c r="JG39" s="11"/>
      <c r="JH39" s="11"/>
      <c r="JI39" s="11"/>
      <c r="JJ39" s="11"/>
      <c r="JK39" s="12"/>
      <c r="JL39" s="11"/>
      <c r="JM39" s="11"/>
      <c r="JN39" s="11"/>
      <c r="JO39" s="11"/>
      <c r="JP39" s="11"/>
      <c r="JQ39" s="11"/>
      <c r="JR39" s="12"/>
      <c r="JS39" s="11"/>
      <c r="JT39" s="11"/>
      <c r="JU39" s="11"/>
      <c r="JV39" s="11"/>
      <c r="JW39" s="11"/>
      <c r="JX39" s="11"/>
      <c r="JY39" s="12"/>
      <c r="JZ39" s="11"/>
      <c r="KA39" s="11"/>
      <c r="KB39" s="11"/>
      <c r="KC39" s="11"/>
      <c r="KD39" s="11"/>
      <c r="KE39" s="11"/>
      <c r="KF39" s="12"/>
      <c r="KG39" s="11"/>
      <c r="KH39" s="11"/>
      <c r="KI39" s="11"/>
      <c r="KJ39" s="11"/>
      <c r="KK39" s="11"/>
      <c r="KL39" s="11"/>
      <c r="KM39" s="12"/>
      <c r="KN39" s="11"/>
      <c r="KO39" s="11"/>
      <c r="KP39" s="11"/>
      <c r="KQ39" s="11"/>
      <c r="KR39" s="11"/>
      <c r="KS39" s="11"/>
      <c r="KT39" s="12"/>
      <c r="KU39" s="11"/>
      <c r="KV39" s="11"/>
      <c r="KW39" s="11"/>
      <c r="KX39" s="11"/>
      <c r="KY39" s="11"/>
      <c r="KZ39" s="11"/>
      <c r="LA39" s="12"/>
      <c r="LB39" s="11"/>
      <c r="LC39" s="11"/>
      <c r="LD39" s="11"/>
      <c r="LE39" s="11"/>
      <c r="LF39" s="11"/>
      <c r="LG39" s="11"/>
      <c r="LH39" s="12"/>
      <c r="LI39" s="11"/>
      <c r="LJ39" s="11"/>
      <c r="LK39" s="11"/>
      <c r="LL39" s="11"/>
      <c r="LM39" s="11"/>
      <c r="LN39" s="11"/>
      <c r="LO39" s="12"/>
      <c r="LP39" s="11"/>
      <c r="LQ39" s="11"/>
      <c r="LR39" s="11"/>
      <c r="LS39" s="11"/>
      <c r="LT39" s="11"/>
      <c r="LU39" s="11"/>
      <c r="LV39" s="12"/>
      <c r="LW39" s="11"/>
      <c r="LX39" s="11"/>
      <c r="LY39" s="11"/>
      <c r="LZ39" s="11"/>
      <c r="MA39" s="11"/>
      <c r="MB39" s="11"/>
      <c r="MC39" s="12"/>
      <c r="MD39" s="11"/>
      <c r="ME39" s="11"/>
      <c r="MF39" s="11"/>
      <c r="MG39" s="11"/>
      <c r="MH39" s="11"/>
      <c r="MI39" s="11"/>
      <c r="MJ39" s="12"/>
    </row>
    <row r="40" spans="1:348" hidden="1" x14ac:dyDescent="0.25">
      <c r="A40" s="11"/>
      <c r="B40" s="11"/>
      <c r="C40" s="11"/>
      <c r="D40" s="11"/>
      <c r="E40" s="11"/>
      <c r="F40" s="33">
        <v>37257</v>
      </c>
      <c r="G40" s="32">
        <v>37987</v>
      </c>
      <c r="H40" s="32">
        <v>38718</v>
      </c>
      <c r="I40" s="32">
        <v>39083</v>
      </c>
      <c r="J40" s="32">
        <v>39448</v>
      </c>
      <c r="K40" s="32">
        <v>39814</v>
      </c>
      <c r="L40" s="32">
        <v>40179</v>
      </c>
      <c r="M40" s="11"/>
      <c r="N40" s="11"/>
      <c r="O40" s="12"/>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t="7.5" customHeight="1" x14ac:dyDescent="0.25">
      <c r="A41" s="8"/>
      <c r="B41" s="8"/>
      <c r="C41" s="8"/>
      <c r="D41" s="8"/>
      <c r="E41" s="8"/>
      <c r="F41" s="10"/>
      <c r="G41" s="19"/>
      <c r="H41" s="19"/>
      <c r="I41" s="8"/>
      <c r="J41" s="8"/>
      <c r="K41" s="8"/>
      <c r="L41" s="8"/>
      <c r="M41" s="8"/>
      <c r="N41" s="8"/>
      <c r="O41" s="9"/>
      <c r="P41" s="8" t="str">
        <f>IF(SUM(R41:MJ41) &gt; 0, SUM(R41:MJ41), "")</f>
        <v/>
      </c>
      <c r="Q41" s="8"/>
      <c r="R41" s="84"/>
      <c r="S41" s="7"/>
      <c r="Z41" s="7"/>
      <c r="AG41" s="7"/>
      <c r="AN41" s="7"/>
      <c r="AU41" s="7"/>
      <c r="BB41" s="7"/>
      <c r="BI41" s="7"/>
      <c r="BP41" s="7"/>
      <c r="BY41" s="7"/>
      <c r="CH41" s="7"/>
      <c r="CQ41" s="7"/>
      <c r="CZ41" s="7"/>
      <c r="DI41" s="7"/>
      <c r="DR41" s="7"/>
      <c r="EA41" s="7"/>
      <c r="EH41" s="7"/>
      <c r="EO41" s="7"/>
      <c r="EV41" s="7"/>
      <c r="FC41" s="7"/>
      <c r="FJ41" s="7"/>
      <c r="FQ41" s="7"/>
      <c r="FX41" s="7"/>
      <c r="GE41" s="7"/>
      <c r="GL41" s="7"/>
      <c r="GS41" s="7"/>
      <c r="GZ41" s="7"/>
      <c r="HG41" s="7"/>
      <c r="HN41" s="7"/>
      <c r="HU41" s="7"/>
      <c r="IB41" s="7"/>
      <c r="II41" s="7"/>
      <c r="IP41" s="7"/>
      <c r="IW41" s="7"/>
      <c r="JD41" s="7"/>
      <c r="JK41" s="7"/>
      <c r="JR41" s="7"/>
      <c r="JY41" s="7"/>
      <c r="KF41" s="7"/>
      <c r="KM41" s="7"/>
      <c r="KT41" s="7"/>
      <c r="LA41" s="7"/>
      <c r="LH41" s="7"/>
      <c r="LO41" s="7"/>
      <c r="LV41" s="7"/>
      <c r="MC41" s="7"/>
      <c r="MJ41" s="7"/>
    </row>
    <row r="42" spans="1:348" ht="15" customHeight="1" x14ac:dyDescent="0.25">
      <c r="A42" s="8" t="s">
        <v>116</v>
      </c>
      <c r="B42" s="8" t="s">
        <v>115</v>
      </c>
      <c r="C42" s="8" t="s">
        <v>114</v>
      </c>
      <c r="D42" s="8" t="s">
        <v>113</v>
      </c>
      <c r="E42" s="56">
        <v>40073</v>
      </c>
      <c r="F42" s="19">
        <f t="shared" ref="F42:L53" si="354">IF($E42 &gt;= F$40, 1, "")</f>
        <v>1</v>
      </c>
      <c r="G42" s="19">
        <f t="shared" si="354"/>
        <v>1</v>
      </c>
      <c r="H42" s="19">
        <f t="shared" si="354"/>
        <v>1</v>
      </c>
      <c r="I42" s="19">
        <f t="shared" si="354"/>
        <v>1</v>
      </c>
      <c r="J42" s="19">
        <f t="shared" si="354"/>
        <v>1</v>
      </c>
      <c r="K42" s="19">
        <f t="shared" si="354"/>
        <v>1</v>
      </c>
      <c r="L42" s="19" t="str">
        <f t="shared" si="354"/>
        <v/>
      </c>
      <c r="M42" s="8">
        <v>1</v>
      </c>
      <c r="N42" s="8"/>
      <c r="O42" s="9"/>
      <c r="P42" s="8">
        <f t="shared" ref="P42:P60" si="355">IF(SUM(S42:MJ42) &gt; 0, SUM(S42:MJ42), "")</f>
        <v>9</v>
      </c>
      <c r="Q42" s="109">
        <f t="shared" ref="Q42:Q60" si="356">IF(SUM(S42:XFD42) &gt; 0, SUM(S42:XFD42) / $P$61 * 100, "")</f>
        <v>64.285714285714292</v>
      </c>
      <c r="R42" s="84"/>
      <c r="S42" s="7"/>
      <c r="Z42" s="7"/>
      <c r="AG42" s="7"/>
      <c r="AK42">
        <v>1</v>
      </c>
      <c r="AN42" s="7"/>
      <c r="AR42">
        <v>1</v>
      </c>
      <c r="AU42" s="7"/>
      <c r="AX42">
        <v>1</v>
      </c>
      <c r="AY42">
        <v>1</v>
      </c>
      <c r="BB42" s="7"/>
      <c r="BF42">
        <v>1</v>
      </c>
      <c r="BI42" s="7"/>
      <c r="BM42">
        <v>1</v>
      </c>
      <c r="BN42">
        <v>1</v>
      </c>
      <c r="BP42" s="7">
        <v>1</v>
      </c>
      <c r="BW42">
        <v>1</v>
      </c>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73</v>
      </c>
      <c r="B43" s="8" t="s">
        <v>108</v>
      </c>
      <c r="C43" s="8" t="s">
        <v>107</v>
      </c>
      <c r="D43" s="8" t="s">
        <v>106</v>
      </c>
      <c r="E43" s="18">
        <v>39474</v>
      </c>
      <c r="F43" s="10">
        <f t="shared" si="354"/>
        <v>1</v>
      </c>
      <c r="G43" s="19">
        <f t="shared" si="354"/>
        <v>1</v>
      </c>
      <c r="H43" s="19">
        <f t="shared" si="354"/>
        <v>1</v>
      </c>
      <c r="I43" s="19">
        <f t="shared" si="354"/>
        <v>1</v>
      </c>
      <c r="J43" s="19">
        <f t="shared" si="354"/>
        <v>1</v>
      </c>
      <c r="K43" s="19" t="str">
        <f t="shared" si="354"/>
        <v/>
      </c>
      <c r="L43" s="19" t="str">
        <f t="shared" si="354"/>
        <v/>
      </c>
      <c r="M43" s="8">
        <v>1</v>
      </c>
      <c r="N43" s="8"/>
      <c r="O43" s="9"/>
      <c r="P43" s="8">
        <f t="shared" si="355"/>
        <v>14</v>
      </c>
      <c r="Q43" s="109">
        <f t="shared" si="356"/>
        <v>100</v>
      </c>
      <c r="R43" s="84"/>
      <c r="S43" s="7"/>
      <c r="Z43" s="7"/>
      <c r="AG43" s="7"/>
      <c r="AI43">
        <v>1</v>
      </c>
      <c r="AK43">
        <v>1</v>
      </c>
      <c r="AN43" s="7"/>
      <c r="AP43">
        <v>1</v>
      </c>
      <c r="AR43">
        <v>1</v>
      </c>
      <c r="AU43" s="7"/>
      <c r="AW43">
        <v>1</v>
      </c>
      <c r="AX43">
        <v>1</v>
      </c>
      <c r="AY43">
        <v>1</v>
      </c>
      <c r="BB43" s="7"/>
      <c r="BD43">
        <v>1</v>
      </c>
      <c r="BF43">
        <v>1</v>
      </c>
      <c r="BI43" s="7"/>
      <c r="BK43">
        <v>1</v>
      </c>
      <c r="BM43">
        <v>1</v>
      </c>
      <c r="BN43">
        <v>1</v>
      </c>
      <c r="BP43" s="7">
        <v>1</v>
      </c>
      <c r="BW43">
        <v>1</v>
      </c>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237</v>
      </c>
      <c r="B44" s="8" t="s">
        <v>238</v>
      </c>
      <c r="C44" s="8" t="s">
        <v>239</v>
      </c>
      <c r="D44" s="8" t="s">
        <v>240</v>
      </c>
      <c r="E44" s="18">
        <v>39425</v>
      </c>
      <c r="F44" s="10">
        <f t="shared" si="354"/>
        <v>1</v>
      </c>
      <c r="G44" s="19">
        <f t="shared" si="354"/>
        <v>1</v>
      </c>
      <c r="H44" s="19">
        <f t="shared" si="354"/>
        <v>1</v>
      </c>
      <c r="I44" s="19">
        <f t="shared" si="354"/>
        <v>1</v>
      </c>
      <c r="J44" s="19" t="str">
        <f t="shared" si="354"/>
        <v/>
      </c>
      <c r="K44" s="19" t="str">
        <f t="shared" si="354"/>
        <v/>
      </c>
      <c r="L44" s="19" t="str">
        <f t="shared" si="354"/>
        <v/>
      </c>
      <c r="M44" s="8">
        <v>1</v>
      </c>
      <c r="N44" s="8"/>
      <c r="O44" s="9"/>
      <c r="P44" s="8">
        <f t="shared" si="355"/>
        <v>12</v>
      </c>
      <c r="Q44" s="109">
        <f t="shared" si="356"/>
        <v>85.714285714285708</v>
      </c>
      <c r="R44" s="84"/>
      <c r="S44" s="7"/>
      <c r="Z44" s="7"/>
      <c r="AG44" s="7"/>
      <c r="AI44">
        <v>1</v>
      </c>
      <c r="AK44">
        <v>1</v>
      </c>
      <c r="AN44" s="7"/>
      <c r="AP44">
        <v>1</v>
      </c>
      <c r="AR44">
        <v>1</v>
      </c>
      <c r="AU44" s="7"/>
      <c r="AW44">
        <v>1</v>
      </c>
      <c r="AX44">
        <v>1</v>
      </c>
      <c r="AY44">
        <v>1</v>
      </c>
      <c r="BB44" s="7"/>
      <c r="BD44">
        <v>1</v>
      </c>
      <c r="BF44">
        <v>1</v>
      </c>
      <c r="BI44" s="7"/>
      <c r="BK44">
        <v>1</v>
      </c>
      <c r="BM44">
        <v>1</v>
      </c>
      <c r="BN44">
        <v>1</v>
      </c>
      <c r="BP44" s="7"/>
      <c r="BY44" s="7"/>
      <c r="CH44" s="7"/>
      <c r="CQ44" s="7"/>
      <c r="CZ44" s="7"/>
      <c r="DI44" s="7"/>
      <c r="DR44" s="7"/>
      <c r="EA44" s="7"/>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234</v>
      </c>
      <c r="B45" s="8"/>
      <c r="C45" s="8" t="s">
        <v>36</v>
      </c>
      <c r="D45" s="8" t="s">
        <v>235</v>
      </c>
      <c r="E45" s="18">
        <v>38536</v>
      </c>
      <c r="F45" s="10">
        <f t="shared" si="354"/>
        <v>1</v>
      </c>
      <c r="G45" s="19">
        <f t="shared" si="354"/>
        <v>1</v>
      </c>
      <c r="H45" s="19" t="str">
        <f t="shared" si="354"/>
        <v/>
      </c>
      <c r="I45" s="19" t="str">
        <f t="shared" si="354"/>
        <v/>
      </c>
      <c r="J45" s="19" t="str">
        <f t="shared" si="354"/>
        <v/>
      </c>
      <c r="K45" s="19" t="str">
        <f t="shared" si="354"/>
        <v/>
      </c>
      <c r="L45" s="19" t="str">
        <f t="shared" si="354"/>
        <v/>
      </c>
      <c r="M45" s="8">
        <v>1</v>
      </c>
      <c r="N45" s="8"/>
      <c r="O45" s="9"/>
      <c r="P45" s="8">
        <f t="shared" si="355"/>
        <v>5</v>
      </c>
      <c r="Q45" s="109">
        <f t="shared" si="356"/>
        <v>35.714285714285715</v>
      </c>
      <c r="R45" s="84"/>
      <c r="S45" s="7"/>
      <c r="Z45" s="7"/>
      <c r="AG45" s="7"/>
      <c r="AI45">
        <v>1</v>
      </c>
      <c r="AN45" s="7"/>
      <c r="AR45">
        <v>1</v>
      </c>
      <c r="AU45" s="7"/>
      <c r="BB45" s="7"/>
      <c r="BD45">
        <v>1</v>
      </c>
      <c r="BI45" s="7"/>
      <c r="BM45">
        <v>1</v>
      </c>
      <c r="BN45">
        <v>1</v>
      </c>
      <c r="BP45" s="7"/>
      <c r="BY45" s="7"/>
      <c r="CH45" s="7"/>
      <c r="CQ45" s="7"/>
      <c r="CZ45" s="7"/>
      <c r="DI45" s="7"/>
      <c r="DR45" s="7"/>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x14ac:dyDescent="0.25">
      <c r="A46" s="8" t="s">
        <v>230</v>
      </c>
      <c r="B46" s="8" t="s">
        <v>231</v>
      </c>
      <c r="C46" s="8" t="s">
        <v>233</v>
      </c>
      <c r="D46" s="8" t="s">
        <v>232</v>
      </c>
      <c r="E46" s="18">
        <v>38679</v>
      </c>
      <c r="F46" s="10">
        <f t="shared" si="354"/>
        <v>1</v>
      </c>
      <c r="G46" s="19">
        <f t="shared" si="354"/>
        <v>1</v>
      </c>
      <c r="H46" s="19" t="str">
        <f t="shared" si="354"/>
        <v/>
      </c>
      <c r="I46" s="19" t="str">
        <f t="shared" si="354"/>
        <v/>
      </c>
      <c r="J46" s="19" t="str">
        <f t="shared" si="354"/>
        <v/>
      </c>
      <c r="K46" s="19" t="str">
        <f t="shared" si="354"/>
        <v/>
      </c>
      <c r="L46" s="19" t="str">
        <f t="shared" si="354"/>
        <v/>
      </c>
      <c r="M46" s="8">
        <v>1</v>
      </c>
      <c r="N46" s="8"/>
      <c r="O46" s="9"/>
      <c r="P46" s="8">
        <f t="shared" si="355"/>
        <v>5</v>
      </c>
      <c r="Q46" s="109">
        <f t="shared" si="356"/>
        <v>35.714285714285715</v>
      </c>
      <c r="R46" s="84"/>
      <c r="S46" s="7"/>
      <c r="Z46" s="7"/>
      <c r="AG46" s="7"/>
      <c r="AI46">
        <v>1</v>
      </c>
      <c r="AN46" s="7"/>
      <c r="AR46">
        <v>1</v>
      </c>
      <c r="AU46" s="7"/>
      <c r="BB46" s="7"/>
      <c r="BD46">
        <v>1</v>
      </c>
      <c r="BI46" s="7"/>
      <c r="BM46">
        <v>1</v>
      </c>
      <c r="BN46">
        <v>1</v>
      </c>
      <c r="BP46" s="7"/>
      <c r="BY46" s="7"/>
      <c r="CH46" s="7"/>
      <c r="CQ46" s="7"/>
      <c r="CZ46" s="7"/>
      <c r="DI46" s="7"/>
      <c r="DR46" s="7"/>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x14ac:dyDescent="0.25">
      <c r="A47" s="8" t="s">
        <v>62</v>
      </c>
      <c r="B47" s="8"/>
      <c r="C47" s="8" t="s">
        <v>293</v>
      </c>
      <c r="D47" s="8" t="s">
        <v>294</v>
      </c>
      <c r="E47" s="18">
        <v>39814</v>
      </c>
      <c r="F47" s="10">
        <f t="shared" si="354"/>
        <v>1</v>
      </c>
      <c r="G47" s="19">
        <f t="shared" si="354"/>
        <v>1</v>
      </c>
      <c r="H47" s="19">
        <f t="shared" si="354"/>
        <v>1</v>
      </c>
      <c r="I47" s="8">
        <f t="shared" si="354"/>
        <v>1</v>
      </c>
      <c r="J47" s="8">
        <f t="shared" si="354"/>
        <v>1</v>
      </c>
      <c r="K47" s="8">
        <f t="shared" si="354"/>
        <v>1</v>
      </c>
      <c r="L47" s="8" t="str">
        <f t="shared" si="354"/>
        <v/>
      </c>
      <c r="M47" s="8">
        <v>1</v>
      </c>
      <c r="N47" s="8"/>
      <c r="O47" s="9"/>
      <c r="P47" s="8">
        <f t="shared" si="355"/>
        <v>3</v>
      </c>
      <c r="Q47" s="109">
        <f t="shared" si="356"/>
        <v>21.428571428571427</v>
      </c>
      <c r="R47" s="84"/>
      <c r="S47" s="7"/>
      <c r="Z47" s="7"/>
      <c r="AG47" s="7"/>
      <c r="AN47" s="7"/>
      <c r="AP47">
        <v>1</v>
      </c>
      <c r="AU47" s="7"/>
      <c r="AY47">
        <v>1</v>
      </c>
      <c r="BB47" s="7"/>
      <c r="BF47">
        <v>1</v>
      </c>
      <c r="BI47" s="7"/>
      <c r="BP47" s="7"/>
      <c r="BY47" s="7"/>
      <c r="CH47" s="7"/>
      <c r="CQ47" s="7"/>
      <c r="CZ47" s="7"/>
      <c r="DI47" s="7"/>
      <c r="DR47" s="7"/>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x14ac:dyDescent="0.25">
      <c r="A48" s="8" t="s">
        <v>92</v>
      </c>
      <c r="B48" s="8"/>
      <c r="C48" s="8" t="s">
        <v>91</v>
      </c>
      <c r="D48" s="8" t="s">
        <v>90</v>
      </c>
      <c r="E48" s="18">
        <v>39507</v>
      </c>
      <c r="F48" s="10">
        <f t="shared" si="354"/>
        <v>1</v>
      </c>
      <c r="G48" s="19">
        <f t="shared" si="354"/>
        <v>1</v>
      </c>
      <c r="H48" s="19">
        <f t="shared" si="354"/>
        <v>1</v>
      </c>
      <c r="I48" s="19">
        <f t="shared" si="354"/>
        <v>1</v>
      </c>
      <c r="J48" s="19">
        <f t="shared" si="354"/>
        <v>1</v>
      </c>
      <c r="K48" s="19" t="str">
        <f t="shared" si="354"/>
        <v/>
      </c>
      <c r="L48" s="19" t="str">
        <f t="shared" si="354"/>
        <v/>
      </c>
      <c r="M48" s="8">
        <v>1</v>
      </c>
      <c r="N48" s="8"/>
      <c r="O48" s="9"/>
      <c r="P48" s="8">
        <f t="shared" si="355"/>
        <v>12</v>
      </c>
      <c r="Q48" s="109">
        <f t="shared" si="356"/>
        <v>85.714285714285708</v>
      </c>
      <c r="R48" s="84"/>
      <c r="S48" s="7"/>
      <c r="Z48" s="7"/>
      <c r="AG48" s="7"/>
      <c r="AI48">
        <v>1</v>
      </c>
      <c r="AN48" s="7"/>
      <c r="AP48">
        <v>1</v>
      </c>
      <c r="AR48">
        <v>1</v>
      </c>
      <c r="AU48" s="7"/>
      <c r="AW48">
        <v>1</v>
      </c>
      <c r="AX48">
        <v>1</v>
      </c>
      <c r="AY48">
        <v>1</v>
      </c>
      <c r="BB48" s="7"/>
      <c r="BD48">
        <v>1</v>
      </c>
      <c r="BF48">
        <v>1</v>
      </c>
      <c r="BI48" s="7"/>
      <c r="BK48">
        <v>1</v>
      </c>
      <c r="BM48">
        <v>1</v>
      </c>
      <c r="BN48">
        <v>1</v>
      </c>
      <c r="BP48" s="7">
        <v>1</v>
      </c>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89</v>
      </c>
      <c r="B49" s="8"/>
      <c r="C49" s="8" t="s">
        <v>88</v>
      </c>
      <c r="D49" s="8" t="s">
        <v>87</v>
      </c>
      <c r="E49" s="18">
        <v>39651</v>
      </c>
      <c r="F49" s="10">
        <f t="shared" si="354"/>
        <v>1</v>
      </c>
      <c r="G49" s="19">
        <f t="shared" si="354"/>
        <v>1</v>
      </c>
      <c r="H49" s="19">
        <f t="shared" si="354"/>
        <v>1</v>
      </c>
      <c r="I49" s="8">
        <f t="shared" si="354"/>
        <v>1</v>
      </c>
      <c r="J49" s="8">
        <f t="shared" si="354"/>
        <v>1</v>
      </c>
      <c r="K49" s="8" t="str">
        <f t="shared" si="354"/>
        <v/>
      </c>
      <c r="L49" s="8" t="str">
        <f t="shared" si="354"/>
        <v/>
      </c>
      <c r="M49" s="8">
        <v>1</v>
      </c>
      <c r="N49" s="8"/>
      <c r="O49" s="9"/>
      <c r="P49" s="8">
        <f t="shared" si="355"/>
        <v>3</v>
      </c>
      <c r="Q49" s="109">
        <f t="shared" si="356"/>
        <v>21.428571428571427</v>
      </c>
      <c r="R49" s="84"/>
      <c r="S49" s="7"/>
      <c r="Z49" s="7"/>
      <c r="AG49" s="7"/>
      <c r="AI49">
        <v>1</v>
      </c>
      <c r="AK49">
        <v>1</v>
      </c>
      <c r="AN49" s="7"/>
      <c r="AU49" s="7"/>
      <c r="AW49">
        <v>1</v>
      </c>
      <c r="BB49" s="7"/>
      <c r="BI49" s="7"/>
      <c r="BP49" s="7"/>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134</v>
      </c>
      <c r="B50" s="8" t="s">
        <v>133</v>
      </c>
      <c r="C50" s="8" t="s">
        <v>236</v>
      </c>
      <c r="D50" s="8" t="s">
        <v>87</v>
      </c>
      <c r="E50" s="18">
        <v>38979</v>
      </c>
      <c r="F50" s="10">
        <f t="shared" si="354"/>
        <v>1</v>
      </c>
      <c r="G50" s="19">
        <f t="shared" si="354"/>
        <v>1</v>
      </c>
      <c r="H50" s="19">
        <f t="shared" si="354"/>
        <v>1</v>
      </c>
      <c r="I50" s="8" t="str">
        <f t="shared" si="354"/>
        <v/>
      </c>
      <c r="J50" s="8" t="str">
        <f t="shared" si="354"/>
        <v/>
      </c>
      <c r="K50" s="8" t="str">
        <f t="shared" si="354"/>
        <v/>
      </c>
      <c r="L50" s="8" t="str">
        <f t="shared" si="354"/>
        <v/>
      </c>
      <c r="M50" s="8">
        <v>1</v>
      </c>
      <c r="N50" s="8"/>
      <c r="O50" s="9"/>
      <c r="P50" s="8">
        <f t="shared" si="355"/>
        <v>8</v>
      </c>
      <c r="Q50" s="109">
        <f t="shared" si="356"/>
        <v>57.142857142857139</v>
      </c>
      <c r="R50" s="84"/>
      <c r="S50" s="7"/>
      <c r="Z50" s="7"/>
      <c r="AG50" s="7"/>
      <c r="AI50">
        <v>1</v>
      </c>
      <c r="AK50">
        <v>1</v>
      </c>
      <c r="AN50" s="7"/>
      <c r="AU50" s="7"/>
      <c r="AW50">
        <v>1</v>
      </c>
      <c r="AX50">
        <v>1</v>
      </c>
      <c r="BB50" s="7"/>
      <c r="BI50" s="7"/>
      <c r="BK50">
        <v>1</v>
      </c>
      <c r="BM50">
        <v>1</v>
      </c>
      <c r="BN50">
        <v>1</v>
      </c>
      <c r="BP50" s="7">
        <v>1</v>
      </c>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86</v>
      </c>
      <c r="B51" s="8"/>
      <c r="C51" s="8" t="s">
        <v>85</v>
      </c>
      <c r="D51" s="8" t="s">
        <v>84</v>
      </c>
      <c r="E51" s="18">
        <v>39562</v>
      </c>
      <c r="F51" s="10">
        <f t="shared" si="354"/>
        <v>1</v>
      </c>
      <c r="G51" s="19">
        <f t="shared" si="354"/>
        <v>1</v>
      </c>
      <c r="H51" s="19">
        <f t="shared" si="354"/>
        <v>1</v>
      </c>
      <c r="I51" s="8">
        <f t="shared" si="354"/>
        <v>1</v>
      </c>
      <c r="J51" s="8">
        <f t="shared" si="354"/>
        <v>1</v>
      </c>
      <c r="K51" s="8" t="str">
        <f t="shared" si="354"/>
        <v/>
      </c>
      <c r="L51" s="8" t="str">
        <f t="shared" si="354"/>
        <v/>
      </c>
      <c r="M51" s="8">
        <v>1</v>
      </c>
      <c r="N51" s="8"/>
      <c r="O51" s="9"/>
      <c r="P51" s="8">
        <f t="shared" si="355"/>
        <v>5</v>
      </c>
      <c r="Q51" s="109">
        <f t="shared" si="356"/>
        <v>35.714285714285715</v>
      </c>
      <c r="R51" s="84"/>
      <c r="S51" s="7"/>
      <c r="Z51" s="7"/>
      <c r="AG51" s="7"/>
      <c r="AN51" s="7"/>
      <c r="AP51">
        <v>1</v>
      </c>
      <c r="AR51">
        <v>1</v>
      </c>
      <c r="AU51" s="7"/>
      <c r="AW51">
        <v>1</v>
      </c>
      <c r="BB51" s="7"/>
      <c r="BI51" s="7"/>
      <c r="BM51">
        <v>1</v>
      </c>
      <c r="BN51">
        <v>1</v>
      </c>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83</v>
      </c>
      <c r="B52" s="8"/>
      <c r="C52" s="8" t="s">
        <v>82</v>
      </c>
      <c r="D52" s="8" t="s">
        <v>81</v>
      </c>
      <c r="E52" s="18">
        <v>39475</v>
      </c>
      <c r="F52" s="10">
        <f t="shared" si="354"/>
        <v>1</v>
      </c>
      <c r="G52" s="19">
        <f t="shared" si="354"/>
        <v>1</v>
      </c>
      <c r="H52" s="19">
        <f t="shared" si="354"/>
        <v>1</v>
      </c>
      <c r="I52" s="8">
        <f t="shared" si="354"/>
        <v>1</v>
      </c>
      <c r="J52" s="8">
        <f t="shared" si="354"/>
        <v>1</v>
      </c>
      <c r="K52" s="8" t="str">
        <f t="shared" si="354"/>
        <v/>
      </c>
      <c r="L52" s="8" t="str">
        <f t="shared" si="354"/>
        <v/>
      </c>
      <c r="M52" s="8">
        <v>1</v>
      </c>
      <c r="N52" s="8"/>
      <c r="O52" s="9"/>
      <c r="P52" s="8">
        <f t="shared" si="355"/>
        <v>10</v>
      </c>
      <c r="Q52" s="109">
        <f t="shared" si="356"/>
        <v>71.428571428571431</v>
      </c>
      <c r="R52" s="84"/>
      <c r="S52" s="7"/>
      <c r="Z52" s="7"/>
      <c r="AG52" s="7"/>
      <c r="AI52">
        <v>1</v>
      </c>
      <c r="AK52">
        <v>1</v>
      </c>
      <c r="AN52" s="7"/>
      <c r="AP52">
        <v>1</v>
      </c>
      <c r="AR52">
        <v>1</v>
      </c>
      <c r="AU52" s="7"/>
      <c r="AY52">
        <v>1</v>
      </c>
      <c r="BB52" s="7"/>
      <c r="BD52">
        <v>1</v>
      </c>
      <c r="BF52">
        <v>1</v>
      </c>
      <c r="BI52" s="7"/>
      <c r="BK52">
        <v>1</v>
      </c>
      <c r="BM52">
        <v>1</v>
      </c>
      <c r="BN52">
        <v>1</v>
      </c>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80</v>
      </c>
      <c r="B53" s="8"/>
      <c r="C53" s="8" t="s">
        <v>79</v>
      </c>
      <c r="D53" s="8" t="s">
        <v>78</v>
      </c>
      <c r="E53" s="18">
        <v>39927</v>
      </c>
      <c r="F53" s="10">
        <f t="shared" si="354"/>
        <v>1</v>
      </c>
      <c r="G53" s="19">
        <f t="shared" si="354"/>
        <v>1</v>
      </c>
      <c r="H53" s="19">
        <f t="shared" si="354"/>
        <v>1</v>
      </c>
      <c r="I53" s="8">
        <f t="shared" si="354"/>
        <v>1</v>
      </c>
      <c r="J53" s="8">
        <f t="shared" si="354"/>
        <v>1</v>
      </c>
      <c r="K53" s="8">
        <f t="shared" si="354"/>
        <v>1</v>
      </c>
      <c r="L53" s="8" t="str">
        <f t="shared" si="354"/>
        <v/>
      </c>
      <c r="M53" s="8">
        <v>1</v>
      </c>
      <c r="N53" s="8"/>
      <c r="O53" s="9"/>
      <c r="P53" s="8">
        <f t="shared" si="355"/>
        <v>4</v>
      </c>
      <c r="Q53" s="109">
        <f t="shared" si="356"/>
        <v>28.571428571428569</v>
      </c>
      <c r="R53" s="84"/>
      <c r="S53" s="7"/>
      <c r="Z53" s="7"/>
      <c r="AG53" s="7"/>
      <c r="AI53">
        <v>1</v>
      </c>
      <c r="AK53">
        <v>1</v>
      </c>
      <c r="AN53" s="7"/>
      <c r="AP53">
        <v>1</v>
      </c>
      <c r="AU53" s="7"/>
      <c r="AW53">
        <v>1</v>
      </c>
      <c r="BB53" s="7"/>
      <c r="BI53" s="7"/>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77</v>
      </c>
      <c r="B54" s="8" t="s">
        <v>76</v>
      </c>
      <c r="C54" s="8" t="s">
        <v>75</v>
      </c>
      <c r="D54" s="8" t="s">
        <v>74</v>
      </c>
      <c r="E54" s="18">
        <v>40051</v>
      </c>
      <c r="F54" s="10">
        <f t="shared" ref="F54:L60" si="357">IF($E54 &gt;= F$40, 1, "")</f>
        <v>1</v>
      </c>
      <c r="G54" s="19">
        <f t="shared" si="357"/>
        <v>1</v>
      </c>
      <c r="H54" s="19">
        <f t="shared" si="357"/>
        <v>1</v>
      </c>
      <c r="I54" s="8">
        <f t="shared" si="357"/>
        <v>1</v>
      </c>
      <c r="J54" s="8">
        <f t="shared" si="357"/>
        <v>1</v>
      </c>
      <c r="K54" s="8">
        <f t="shared" si="357"/>
        <v>1</v>
      </c>
      <c r="L54" s="8" t="str">
        <f t="shared" si="357"/>
        <v/>
      </c>
      <c r="M54" s="8">
        <v>1</v>
      </c>
      <c r="N54" s="8"/>
      <c r="O54" s="9"/>
      <c r="P54" s="8">
        <f t="shared" si="355"/>
        <v>7</v>
      </c>
      <c r="Q54" s="109">
        <f t="shared" si="356"/>
        <v>50</v>
      </c>
      <c r="R54" s="84"/>
      <c r="S54" s="7"/>
      <c r="Z54" s="7"/>
      <c r="AG54" s="7"/>
      <c r="AI54">
        <v>1</v>
      </c>
      <c r="AN54" s="7"/>
      <c r="AP54">
        <v>1</v>
      </c>
      <c r="AU54" s="7"/>
      <c r="AW54">
        <v>1</v>
      </c>
      <c r="AX54">
        <v>1</v>
      </c>
      <c r="BB54" s="7"/>
      <c r="BD54">
        <v>1</v>
      </c>
      <c r="BI54" s="7"/>
      <c r="BK54">
        <v>1</v>
      </c>
      <c r="BN54">
        <v>1</v>
      </c>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73</v>
      </c>
      <c r="B55" s="8"/>
      <c r="C55" s="8" t="s">
        <v>27</v>
      </c>
      <c r="D55" s="8" t="s">
        <v>70</v>
      </c>
      <c r="E55" s="18">
        <v>40004</v>
      </c>
      <c r="F55" s="10">
        <f t="shared" si="357"/>
        <v>1</v>
      </c>
      <c r="G55" s="19">
        <f t="shared" si="357"/>
        <v>1</v>
      </c>
      <c r="H55" s="19">
        <f t="shared" si="357"/>
        <v>1</v>
      </c>
      <c r="I55" s="8">
        <f t="shared" si="357"/>
        <v>1</v>
      </c>
      <c r="J55" s="8">
        <f t="shared" si="357"/>
        <v>1</v>
      </c>
      <c r="K55" s="8">
        <f t="shared" si="357"/>
        <v>1</v>
      </c>
      <c r="L55" s="8" t="str">
        <f t="shared" si="357"/>
        <v/>
      </c>
      <c r="M55" s="8">
        <v>1</v>
      </c>
      <c r="N55" s="8"/>
      <c r="O55" s="9"/>
      <c r="P55" s="8">
        <f t="shared" si="355"/>
        <v>8</v>
      </c>
      <c r="Q55" s="109">
        <f t="shared" si="356"/>
        <v>57.142857142857139</v>
      </c>
      <c r="R55" s="84"/>
      <c r="S55" s="7"/>
      <c r="Z55" s="7"/>
      <c r="AG55" s="7"/>
      <c r="AI55">
        <v>1</v>
      </c>
      <c r="AN55" s="7"/>
      <c r="AP55">
        <v>1</v>
      </c>
      <c r="AR55">
        <v>1</v>
      </c>
      <c r="AU55" s="7"/>
      <c r="AW55">
        <v>1</v>
      </c>
      <c r="AY55">
        <v>1</v>
      </c>
      <c r="BB55" s="7"/>
      <c r="BD55">
        <v>1</v>
      </c>
      <c r="BI55" s="7"/>
      <c r="BK55">
        <v>1</v>
      </c>
      <c r="BM55">
        <v>1</v>
      </c>
      <c r="BP55" s="7"/>
      <c r="BY55" s="7"/>
      <c r="CH55" s="7"/>
      <c r="CQ55" s="7"/>
      <c r="CZ55" s="7"/>
      <c r="DI55" s="7"/>
      <c r="DR55" s="7"/>
      <c r="EA55" s="7"/>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hidden="1" x14ac:dyDescent="0.25">
      <c r="A56" s="8"/>
      <c r="B56" s="8"/>
      <c r="C56" s="8"/>
      <c r="D56" s="8"/>
      <c r="E56" s="18"/>
      <c r="F56" s="10" t="str">
        <f t="shared" si="357"/>
        <v/>
      </c>
      <c r="G56" s="19" t="str">
        <f t="shared" si="357"/>
        <v/>
      </c>
      <c r="H56" s="19" t="str">
        <f t="shared" si="357"/>
        <v/>
      </c>
      <c r="I56" s="8" t="str">
        <f t="shared" si="357"/>
        <v/>
      </c>
      <c r="J56" s="8" t="str">
        <f t="shared" si="357"/>
        <v/>
      </c>
      <c r="K56" s="8" t="str">
        <f t="shared" si="357"/>
        <v/>
      </c>
      <c r="L56" s="8" t="str">
        <f t="shared" si="357"/>
        <v/>
      </c>
      <c r="M56" s="8"/>
      <c r="N56" s="8"/>
      <c r="O56" s="9"/>
      <c r="P56" s="8" t="str">
        <f t="shared" si="355"/>
        <v/>
      </c>
      <c r="Q56" s="109" t="str">
        <f t="shared" si="356"/>
        <v/>
      </c>
      <c r="R56" s="84" t="str">
        <f>IF(SUM(S56:XFD56) &gt; 0, SUM(S56:XFD56) / $P$61 * 100, "")</f>
        <v/>
      </c>
      <c r="S56" s="7"/>
      <c r="Z56" s="7"/>
      <c r="AG56" s="7"/>
      <c r="AN56" s="7"/>
      <c r="AU56" s="7"/>
      <c r="BB56" s="7"/>
      <c r="BI56" s="7"/>
      <c r="BP56" s="7"/>
      <c r="BY56" s="7"/>
      <c r="CH56" s="7"/>
      <c r="CQ56" s="7"/>
      <c r="CZ56" s="7"/>
      <c r="DI56" s="7"/>
      <c r="DR56" s="7"/>
      <c r="EA56" s="7"/>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7"/>
        <v/>
      </c>
      <c r="G57" s="19" t="str">
        <f t="shared" si="357"/>
        <v/>
      </c>
      <c r="H57" s="19" t="str">
        <f t="shared" si="357"/>
        <v/>
      </c>
      <c r="I57" s="8" t="str">
        <f t="shared" si="357"/>
        <v/>
      </c>
      <c r="J57" s="8" t="str">
        <f t="shared" si="357"/>
        <v/>
      </c>
      <c r="K57" s="8" t="str">
        <f t="shared" si="357"/>
        <v/>
      </c>
      <c r="L57" s="8" t="str">
        <f t="shared" si="357"/>
        <v/>
      </c>
      <c r="M57" s="8"/>
      <c r="N57" s="8"/>
      <c r="O57" s="9"/>
      <c r="P57" s="8" t="str">
        <f t="shared" si="355"/>
        <v/>
      </c>
      <c r="Q57" s="109" t="str">
        <f t="shared" si="356"/>
        <v/>
      </c>
      <c r="R57" s="84" t="str">
        <f>IF(SUM(S57:XFD57) &gt; 0, SUM(S57:XFD57) / $P$61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7"/>
        <v/>
      </c>
      <c r="G58" s="19" t="str">
        <f t="shared" si="357"/>
        <v/>
      </c>
      <c r="H58" s="19" t="str">
        <f t="shared" si="357"/>
        <v/>
      </c>
      <c r="I58" s="8" t="str">
        <f t="shared" si="357"/>
        <v/>
      </c>
      <c r="J58" s="8" t="str">
        <f t="shared" si="357"/>
        <v/>
      </c>
      <c r="K58" s="8" t="str">
        <f t="shared" si="357"/>
        <v/>
      </c>
      <c r="L58" s="8" t="str">
        <f t="shared" si="357"/>
        <v/>
      </c>
      <c r="M58" s="8"/>
      <c r="N58" s="8"/>
      <c r="O58" s="9"/>
      <c r="P58" s="8" t="str">
        <f t="shared" si="355"/>
        <v/>
      </c>
      <c r="Q58" s="109" t="str">
        <f t="shared" si="356"/>
        <v/>
      </c>
      <c r="R58" s="84" t="str">
        <f>IF(SUM(S58:XFD58) &gt; 0, SUM(S58:XFD58) / $P$61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7"/>
        <v/>
      </c>
      <c r="G59" s="19" t="str">
        <f t="shared" si="357"/>
        <v/>
      </c>
      <c r="H59" s="19" t="str">
        <f t="shared" si="357"/>
        <v/>
      </c>
      <c r="I59" s="8" t="str">
        <f t="shared" si="357"/>
        <v/>
      </c>
      <c r="J59" s="8" t="str">
        <f t="shared" si="357"/>
        <v/>
      </c>
      <c r="K59" s="8" t="str">
        <f t="shared" si="357"/>
        <v/>
      </c>
      <c r="L59" s="8" t="str">
        <f t="shared" si="357"/>
        <v/>
      </c>
      <c r="M59" s="8"/>
      <c r="N59" s="8"/>
      <c r="O59" s="9"/>
      <c r="P59" s="8" t="str">
        <f t="shared" si="355"/>
        <v/>
      </c>
      <c r="Q59" s="109" t="str">
        <f t="shared" si="356"/>
        <v/>
      </c>
      <c r="R59" s="84" t="str">
        <f>IF(SUM(S59:XFD59) &gt; 0, SUM(S59:XFD59) / $P$61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t="7.5" customHeight="1" x14ac:dyDescent="0.25">
      <c r="A60" s="8"/>
      <c r="B60" s="8"/>
      <c r="C60" s="8"/>
      <c r="D60" s="8"/>
      <c r="E60" s="18"/>
      <c r="F60" s="10" t="str">
        <f t="shared" si="357"/>
        <v/>
      </c>
      <c r="G60" s="19" t="str">
        <f t="shared" si="357"/>
        <v/>
      </c>
      <c r="H60" s="19" t="str">
        <f t="shared" si="357"/>
        <v/>
      </c>
      <c r="I60" s="19" t="str">
        <f t="shared" si="357"/>
        <v/>
      </c>
      <c r="J60" s="19" t="str">
        <f t="shared" si="357"/>
        <v/>
      </c>
      <c r="K60" s="19" t="str">
        <f t="shared" si="357"/>
        <v/>
      </c>
      <c r="L60" s="19" t="str">
        <f t="shared" si="357"/>
        <v/>
      </c>
      <c r="M60" s="8"/>
      <c r="N60" s="8"/>
      <c r="O60" s="9"/>
      <c r="P60" s="8" t="str">
        <f t="shared" si="355"/>
        <v/>
      </c>
      <c r="Q60" s="109" t="str">
        <f t="shared" si="356"/>
        <v/>
      </c>
      <c r="R60" s="84"/>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15" customHeight="1" x14ac:dyDescent="0.25">
      <c r="A61" s="23" t="s">
        <v>18</v>
      </c>
      <c r="B61" s="20"/>
      <c r="C61" s="20"/>
      <c r="D61" s="20"/>
      <c r="E61" s="59"/>
      <c r="F61" s="20"/>
      <c r="G61" s="20"/>
      <c r="H61" s="20"/>
      <c r="I61" s="20"/>
      <c r="J61" s="20"/>
      <c r="K61" s="20"/>
      <c r="L61" s="20"/>
      <c r="M61" s="20"/>
      <c r="N61" s="20"/>
      <c r="O61" s="21"/>
      <c r="P61" s="3">
        <f>SUM(S61:MJ61)</f>
        <v>14</v>
      </c>
      <c r="Q61" s="60"/>
      <c r="R61" s="82"/>
      <c r="S61" s="21"/>
      <c r="T61" s="20"/>
      <c r="U61" s="20"/>
      <c r="V61" s="20"/>
      <c r="W61" s="20"/>
      <c r="X61" s="20"/>
      <c r="Y61" s="20"/>
      <c r="Z61" s="21"/>
      <c r="AA61" s="20"/>
      <c r="AB61" s="20"/>
      <c r="AC61" s="20"/>
      <c r="AD61" s="20"/>
      <c r="AE61" s="20"/>
      <c r="AF61" s="20"/>
      <c r="AG61" s="21"/>
      <c r="AH61" s="20"/>
      <c r="AI61" s="20">
        <v>1</v>
      </c>
      <c r="AJ61" s="20"/>
      <c r="AK61" s="20">
        <v>1</v>
      </c>
      <c r="AL61" s="20"/>
      <c r="AM61" s="20"/>
      <c r="AN61" s="21"/>
      <c r="AO61" s="20"/>
      <c r="AP61" s="20">
        <v>1</v>
      </c>
      <c r="AQ61" s="20"/>
      <c r="AR61" s="20">
        <v>1</v>
      </c>
      <c r="AS61" s="20"/>
      <c r="AT61" s="20"/>
      <c r="AU61" s="21"/>
      <c r="AV61" s="20"/>
      <c r="AW61" s="20">
        <v>1</v>
      </c>
      <c r="AX61" s="20">
        <v>1</v>
      </c>
      <c r="AY61" s="20">
        <v>1</v>
      </c>
      <c r="AZ61" s="20"/>
      <c r="BA61" s="20"/>
      <c r="BB61" s="21"/>
      <c r="BC61" s="20"/>
      <c r="BD61" s="20">
        <v>1</v>
      </c>
      <c r="BE61" s="20"/>
      <c r="BF61" s="20">
        <v>1</v>
      </c>
      <c r="BG61" s="20"/>
      <c r="BH61" s="20"/>
      <c r="BI61" s="21"/>
      <c r="BJ61" s="20"/>
      <c r="BK61" s="20">
        <v>1</v>
      </c>
      <c r="BL61" s="20"/>
      <c r="BM61" s="20">
        <v>1</v>
      </c>
      <c r="BN61" s="20">
        <v>1</v>
      </c>
      <c r="BO61" s="20"/>
      <c r="BP61" s="21">
        <v>1</v>
      </c>
      <c r="BQ61" s="20"/>
      <c r="BR61" s="20"/>
      <c r="BS61" s="20"/>
      <c r="BT61" s="20"/>
      <c r="BU61" s="20"/>
      <c r="BV61" s="20"/>
      <c r="BW61" s="20">
        <v>1</v>
      </c>
      <c r="BX61" s="20"/>
      <c r="BY61" s="21"/>
      <c r="BZ61" s="20"/>
      <c r="CA61" s="20"/>
      <c r="CB61" s="20"/>
      <c r="CC61" s="20"/>
      <c r="CD61" s="20"/>
      <c r="CE61" s="20"/>
      <c r="CF61" s="20"/>
      <c r="CG61" s="20"/>
      <c r="CH61" s="21"/>
      <c r="CI61" s="20"/>
      <c r="CJ61" s="20"/>
      <c r="CK61" s="20"/>
      <c r="CL61" s="20"/>
      <c r="CM61" s="20"/>
      <c r="CN61" s="20"/>
      <c r="CO61" s="20"/>
      <c r="CP61" s="20"/>
      <c r="CQ61" s="21"/>
      <c r="CR61" s="20"/>
      <c r="CS61" s="20"/>
      <c r="CT61" s="20"/>
      <c r="CU61" s="20"/>
      <c r="CV61" s="20"/>
      <c r="CW61" s="20"/>
      <c r="CX61" s="20"/>
      <c r="CY61" s="20"/>
      <c r="CZ61" s="21"/>
      <c r="DA61" s="20"/>
      <c r="DB61" s="20"/>
      <c r="DC61" s="20"/>
      <c r="DD61" s="20"/>
      <c r="DE61" s="20"/>
      <c r="DF61" s="20"/>
      <c r="DG61" s="20"/>
      <c r="DH61" s="20"/>
      <c r="DI61" s="21"/>
      <c r="DJ61" s="20"/>
      <c r="DK61" s="20"/>
      <c r="DL61" s="20"/>
      <c r="DM61" s="20"/>
      <c r="DN61" s="20"/>
      <c r="DO61" s="20"/>
      <c r="DP61" s="20"/>
      <c r="DQ61" s="20"/>
      <c r="DR61" s="21"/>
      <c r="DS61" s="20"/>
      <c r="DT61" s="20"/>
      <c r="DU61" s="20"/>
      <c r="DV61" s="20"/>
      <c r="DW61" s="20"/>
      <c r="DX61" s="20"/>
      <c r="DY61" s="20"/>
      <c r="DZ61" s="20"/>
      <c r="EA61" s="21"/>
      <c r="EB61" s="20"/>
      <c r="EC61" s="20"/>
      <c r="ED61" s="20"/>
      <c r="EE61" s="20"/>
      <c r="EF61" s="20"/>
      <c r="EG61" s="20"/>
      <c r="EH61" s="21"/>
      <c r="EI61" s="20"/>
      <c r="EJ61" s="20"/>
      <c r="EK61" s="20"/>
      <c r="EL61" s="20"/>
      <c r="EM61" s="20"/>
      <c r="EN61" s="20"/>
      <c r="EO61" s="21"/>
      <c r="EP61" s="20"/>
      <c r="EQ61" s="20"/>
      <c r="ER61" s="20"/>
      <c r="ES61" s="20"/>
      <c r="ET61" s="20"/>
      <c r="EU61" s="20"/>
      <c r="EV61" s="21"/>
      <c r="EW61" s="20"/>
      <c r="EX61" s="20"/>
      <c r="EY61" s="20"/>
      <c r="EZ61" s="20"/>
      <c r="FA61" s="20"/>
      <c r="FB61" s="20"/>
      <c r="FC61" s="21"/>
      <c r="FD61" s="20"/>
      <c r="FE61" s="20"/>
      <c r="FF61" s="20"/>
      <c r="FG61" s="20"/>
      <c r="FH61" s="20"/>
      <c r="FI61" s="20"/>
      <c r="FJ61" s="21"/>
      <c r="FK61" s="20"/>
      <c r="FL61" s="20"/>
      <c r="FM61" s="20"/>
      <c r="FN61" s="20"/>
      <c r="FO61" s="20"/>
      <c r="FP61" s="20"/>
      <c r="FQ61" s="21"/>
      <c r="FR61" s="20"/>
      <c r="FS61" s="20"/>
      <c r="FT61" s="20"/>
      <c r="FU61" s="20"/>
      <c r="FV61" s="20"/>
      <c r="FW61" s="20"/>
      <c r="FX61" s="21"/>
      <c r="FY61" s="20"/>
      <c r="FZ61" s="20"/>
      <c r="GA61" s="20"/>
      <c r="GB61" s="20"/>
      <c r="GC61" s="20"/>
      <c r="GD61" s="20"/>
      <c r="GE61" s="21"/>
      <c r="GF61" s="20"/>
      <c r="GG61" s="20"/>
      <c r="GH61" s="20"/>
      <c r="GI61" s="20"/>
      <c r="GJ61" s="20"/>
      <c r="GK61" s="20"/>
      <c r="GL61" s="21"/>
      <c r="GM61" s="20"/>
      <c r="GN61" s="20"/>
      <c r="GO61" s="20"/>
      <c r="GP61" s="20"/>
      <c r="GQ61" s="20"/>
      <c r="GR61" s="20"/>
      <c r="GS61" s="21"/>
      <c r="GT61" s="20"/>
      <c r="GU61" s="20"/>
      <c r="GV61" s="20"/>
      <c r="GW61" s="20"/>
      <c r="GX61" s="20"/>
      <c r="GY61" s="20"/>
      <c r="GZ61" s="21"/>
      <c r="HA61" s="20"/>
      <c r="HB61" s="20"/>
      <c r="HC61" s="20"/>
      <c r="HD61" s="20"/>
      <c r="HE61" s="20"/>
      <c r="HF61" s="20"/>
      <c r="HG61" s="21"/>
      <c r="HH61" s="20"/>
      <c r="HI61" s="20"/>
      <c r="HJ61" s="20"/>
      <c r="HK61" s="20"/>
      <c r="HL61" s="20"/>
      <c r="HM61" s="20"/>
      <c r="HN61" s="21"/>
      <c r="HO61" s="20"/>
      <c r="HP61" s="20"/>
      <c r="HQ61" s="20"/>
      <c r="HR61" s="20"/>
      <c r="HS61" s="20"/>
      <c r="HT61" s="20"/>
      <c r="HU61" s="21"/>
      <c r="HV61" s="20"/>
      <c r="HW61" s="20"/>
      <c r="HX61" s="20"/>
      <c r="HY61" s="20"/>
      <c r="HZ61" s="20"/>
      <c r="IA61" s="20"/>
      <c r="IB61" s="21"/>
      <c r="IC61" s="20"/>
      <c r="ID61" s="20"/>
      <c r="IE61" s="20"/>
      <c r="IF61" s="20"/>
      <c r="IG61" s="20"/>
      <c r="IH61" s="20"/>
      <c r="II61" s="21"/>
      <c r="IJ61" s="20"/>
      <c r="IK61" s="20"/>
      <c r="IL61" s="20"/>
      <c r="IM61" s="20"/>
      <c r="IN61" s="20"/>
      <c r="IO61" s="20"/>
      <c r="IP61" s="21"/>
      <c r="IQ61" s="20"/>
      <c r="IR61" s="20"/>
      <c r="IS61" s="20"/>
      <c r="IT61" s="20"/>
      <c r="IU61" s="20"/>
      <c r="IV61" s="20"/>
      <c r="IW61" s="21"/>
      <c r="IX61" s="20"/>
      <c r="IY61" s="20"/>
      <c r="IZ61" s="20"/>
      <c r="JA61" s="20"/>
      <c r="JB61" s="20"/>
      <c r="JC61" s="20"/>
      <c r="JD61" s="21"/>
      <c r="JE61" s="20"/>
      <c r="JF61" s="20"/>
      <c r="JG61" s="20"/>
      <c r="JH61" s="20"/>
      <c r="JI61" s="20"/>
      <c r="JJ61" s="20"/>
      <c r="JK61" s="21"/>
      <c r="JL61" s="20"/>
      <c r="JM61" s="20"/>
      <c r="JN61" s="20"/>
      <c r="JO61" s="20"/>
      <c r="JP61" s="20"/>
      <c r="JQ61" s="20"/>
      <c r="JR61" s="21"/>
      <c r="JS61" s="20"/>
      <c r="JT61" s="20"/>
      <c r="JU61" s="20"/>
      <c r="JV61" s="20"/>
      <c r="JW61" s="20"/>
      <c r="JX61" s="20"/>
      <c r="JY61" s="21"/>
      <c r="JZ61" s="20"/>
      <c r="KA61" s="20"/>
      <c r="KB61" s="20"/>
      <c r="KC61" s="20"/>
      <c r="KD61" s="20"/>
      <c r="KE61" s="20"/>
      <c r="KF61" s="21"/>
      <c r="KG61" s="20"/>
      <c r="KH61" s="20"/>
      <c r="KI61" s="20"/>
      <c r="KJ61" s="20"/>
      <c r="KK61" s="20"/>
      <c r="KL61" s="20"/>
      <c r="KM61" s="21"/>
      <c r="KN61" s="20"/>
      <c r="KO61" s="20"/>
      <c r="KP61" s="20"/>
      <c r="KQ61" s="20"/>
      <c r="KR61" s="20"/>
      <c r="KS61" s="20"/>
      <c r="KT61" s="21"/>
      <c r="KU61" s="20"/>
      <c r="KV61" s="20"/>
      <c r="KW61" s="20"/>
      <c r="KX61" s="20"/>
      <c r="KY61" s="20"/>
      <c r="KZ61" s="20"/>
      <c r="LA61" s="21"/>
      <c r="LB61" s="20"/>
      <c r="LC61" s="20"/>
      <c r="LD61" s="20"/>
      <c r="LE61" s="20"/>
      <c r="LF61" s="20"/>
      <c r="LG61" s="20"/>
      <c r="LH61" s="21"/>
      <c r="LI61" s="20"/>
      <c r="LJ61" s="20"/>
      <c r="LK61" s="20"/>
      <c r="LL61" s="20"/>
      <c r="LM61" s="20"/>
      <c r="LN61" s="20"/>
      <c r="LO61" s="21"/>
      <c r="LP61" s="20"/>
      <c r="LQ61" s="20"/>
      <c r="LR61" s="20"/>
      <c r="LS61" s="20"/>
      <c r="LT61" s="20"/>
      <c r="LU61" s="20"/>
      <c r="LV61" s="21"/>
      <c r="LW61" s="20"/>
      <c r="LX61" s="20"/>
      <c r="LY61" s="20"/>
      <c r="LZ61" s="20"/>
      <c r="MA61" s="20"/>
      <c r="MB61" s="20"/>
      <c r="MC61" s="21"/>
      <c r="MD61" s="20"/>
      <c r="ME61" s="20"/>
      <c r="MF61" s="20"/>
      <c r="MG61" s="20"/>
      <c r="MH61" s="20"/>
      <c r="MI61" s="20"/>
      <c r="MJ61" s="21"/>
    </row>
    <row r="62" spans="1:348" ht="15" hidden="1" customHeight="1" x14ac:dyDescent="0.25">
      <c r="A62" s="127" t="s">
        <v>241</v>
      </c>
      <c r="B62" s="128"/>
      <c r="C62" s="128"/>
      <c r="D62" s="128"/>
      <c r="E62" s="59"/>
      <c r="F62" s="128"/>
      <c r="G62" s="128"/>
      <c r="H62" s="128"/>
      <c r="I62" s="128"/>
      <c r="J62" s="128"/>
      <c r="K62" s="128"/>
      <c r="L62" s="128"/>
      <c r="M62" s="128"/>
      <c r="N62" s="128"/>
      <c r="O62" s="61"/>
      <c r="P62" s="81">
        <f>VisibleSum(P41:P60)</f>
        <v>7.5</v>
      </c>
      <c r="Q62" s="117">
        <f>P62 / P61 * 100</f>
        <v>53.571428571428569</v>
      </c>
      <c r="R62" s="83"/>
      <c r="S62" s="61" t="str">
        <f t="shared" ref="S62:CH62" si="358">IF(SUM(S40:S60) &gt; 0, SUM(S40:S60), "")</f>
        <v/>
      </c>
      <c r="T62" s="128" t="str">
        <f t="shared" si="358"/>
        <v/>
      </c>
      <c r="U62" s="128" t="str">
        <f t="shared" si="358"/>
        <v/>
      </c>
      <c r="V62" s="128" t="str">
        <f t="shared" si="358"/>
        <v/>
      </c>
      <c r="W62" s="128" t="str">
        <f t="shared" si="358"/>
        <v/>
      </c>
      <c r="X62" s="128" t="str">
        <f t="shared" si="358"/>
        <v/>
      </c>
      <c r="Y62" s="128" t="str">
        <f t="shared" si="358"/>
        <v/>
      </c>
      <c r="Z62" s="61" t="str">
        <f t="shared" si="358"/>
        <v/>
      </c>
      <c r="AA62" s="128" t="str">
        <f t="shared" si="358"/>
        <v/>
      </c>
      <c r="AB62" s="128" t="str">
        <f t="shared" si="358"/>
        <v/>
      </c>
      <c r="AC62" s="128" t="str">
        <f t="shared" si="358"/>
        <v/>
      </c>
      <c r="AD62" s="128" t="str">
        <f t="shared" si="358"/>
        <v/>
      </c>
      <c r="AE62" s="128" t="str">
        <f t="shared" si="358"/>
        <v/>
      </c>
      <c r="AF62" s="128" t="str">
        <f t="shared" si="358"/>
        <v/>
      </c>
      <c r="AG62" s="61" t="str">
        <f t="shared" si="358"/>
        <v/>
      </c>
      <c r="AH62" s="128" t="str">
        <f t="shared" si="358"/>
        <v/>
      </c>
      <c r="AI62" s="128">
        <f t="shared" si="358"/>
        <v>11</v>
      </c>
      <c r="AJ62" s="128" t="str">
        <f t="shared" si="358"/>
        <v/>
      </c>
      <c r="AK62" s="128">
        <f t="shared" si="358"/>
        <v>7</v>
      </c>
      <c r="AL62" s="128" t="str">
        <f t="shared" si="358"/>
        <v/>
      </c>
      <c r="AM62" s="128" t="str">
        <f t="shared" si="358"/>
        <v/>
      </c>
      <c r="AN62" s="61" t="str">
        <f t="shared" si="358"/>
        <v/>
      </c>
      <c r="AO62" s="128" t="str">
        <f t="shared" si="358"/>
        <v/>
      </c>
      <c r="AP62" s="128">
        <f t="shared" si="358"/>
        <v>9</v>
      </c>
      <c r="AQ62" s="128" t="str">
        <f t="shared" si="358"/>
        <v/>
      </c>
      <c r="AR62" s="128">
        <f t="shared" si="358"/>
        <v>9</v>
      </c>
      <c r="AS62" s="128" t="str">
        <f t="shared" si="358"/>
        <v/>
      </c>
      <c r="AT62" s="128" t="str">
        <f t="shared" si="358"/>
        <v/>
      </c>
      <c r="AU62" s="61" t="str">
        <f t="shared" si="358"/>
        <v/>
      </c>
      <c r="AV62" s="128" t="str">
        <f t="shared" si="358"/>
        <v/>
      </c>
      <c r="AW62" s="128">
        <f t="shared" si="358"/>
        <v>9</v>
      </c>
      <c r="AX62" s="128">
        <f t="shared" si="358"/>
        <v>6</v>
      </c>
      <c r="AY62" s="128">
        <f t="shared" si="358"/>
        <v>7</v>
      </c>
      <c r="AZ62" s="128" t="str">
        <f t="shared" si="358"/>
        <v/>
      </c>
      <c r="BA62" s="128" t="str">
        <f t="shared" si="358"/>
        <v/>
      </c>
      <c r="BB62" s="61" t="str">
        <f t="shared" si="358"/>
        <v/>
      </c>
      <c r="BC62" s="128" t="str">
        <f t="shared" si="358"/>
        <v/>
      </c>
      <c r="BD62" s="128">
        <f t="shared" si="358"/>
        <v>8</v>
      </c>
      <c r="BE62" s="128" t="str">
        <f t="shared" si="358"/>
        <v/>
      </c>
      <c r="BF62" s="128">
        <f t="shared" si="358"/>
        <v>6</v>
      </c>
      <c r="BG62" s="128" t="str">
        <f t="shared" si="358"/>
        <v/>
      </c>
      <c r="BH62" s="128" t="str">
        <f t="shared" si="358"/>
        <v/>
      </c>
      <c r="BI62" s="61" t="str">
        <f t="shared" si="358"/>
        <v/>
      </c>
      <c r="BJ62" s="128" t="str">
        <f t="shared" si="358"/>
        <v/>
      </c>
      <c r="BK62" s="128">
        <f t="shared" si="358"/>
        <v>7</v>
      </c>
      <c r="BL62" s="128" t="str">
        <f t="shared" si="358"/>
        <v/>
      </c>
      <c r="BM62" s="128">
        <f t="shared" si="358"/>
        <v>10</v>
      </c>
      <c r="BN62" s="128">
        <f t="shared" si="358"/>
        <v>10</v>
      </c>
      <c r="BO62" s="128" t="str">
        <f t="shared" si="358"/>
        <v/>
      </c>
      <c r="BP62" s="61">
        <f t="shared" si="358"/>
        <v>4</v>
      </c>
      <c r="BQ62" s="128" t="str">
        <f t="shared" si="358"/>
        <v/>
      </c>
      <c r="BR62" s="128" t="str">
        <f t="shared" si="358"/>
        <v/>
      </c>
      <c r="BS62" s="128" t="str">
        <f t="shared" si="358"/>
        <v/>
      </c>
      <c r="BT62" s="128" t="str">
        <f t="shared" si="358"/>
        <v/>
      </c>
      <c r="BU62" s="128" t="str">
        <f t="shared" si="358"/>
        <v/>
      </c>
      <c r="BV62" s="128" t="str">
        <f t="shared" si="358"/>
        <v/>
      </c>
      <c r="BW62" s="128"/>
      <c r="BX62" s="128"/>
      <c r="BY62" s="61" t="str">
        <f t="shared" si="358"/>
        <v/>
      </c>
      <c r="BZ62" s="128" t="str">
        <f t="shared" si="358"/>
        <v/>
      </c>
      <c r="CA62" s="128" t="str">
        <f t="shared" si="358"/>
        <v/>
      </c>
      <c r="CB62" s="128" t="str">
        <f t="shared" si="358"/>
        <v/>
      </c>
      <c r="CC62" s="128" t="str">
        <f t="shared" si="358"/>
        <v/>
      </c>
      <c r="CD62" s="128" t="str">
        <f t="shared" si="358"/>
        <v/>
      </c>
      <c r="CE62" s="128" t="str">
        <f t="shared" si="358"/>
        <v/>
      </c>
      <c r="CF62" s="128"/>
      <c r="CG62" s="128"/>
      <c r="CH62" s="61" t="str">
        <f t="shared" si="358"/>
        <v/>
      </c>
      <c r="CI62" s="128" t="str">
        <f t="shared" ref="CI62:FD62" si="359">IF(SUM(CI40:CI60) &gt; 0, SUM(CI40:CI60), "")</f>
        <v/>
      </c>
      <c r="CJ62" s="128" t="str">
        <f t="shared" si="359"/>
        <v/>
      </c>
      <c r="CK62" s="128" t="str">
        <f t="shared" si="359"/>
        <v/>
      </c>
      <c r="CL62" s="128" t="str">
        <f t="shared" si="359"/>
        <v/>
      </c>
      <c r="CM62" s="128" t="str">
        <f t="shared" si="359"/>
        <v/>
      </c>
      <c r="CN62" s="128" t="str">
        <f t="shared" si="359"/>
        <v/>
      </c>
      <c r="CO62" s="128" t="str">
        <f t="shared" ref="CO62" si="360">IF(SUM(CO40:CO60) &gt; 0, SUM(CO40:CO60), "")</f>
        <v/>
      </c>
      <c r="CP62" s="128"/>
      <c r="CQ62" s="61" t="str">
        <f t="shared" si="359"/>
        <v/>
      </c>
      <c r="CR62" s="128" t="str">
        <f t="shared" si="359"/>
        <v/>
      </c>
      <c r="CS62" s="128" t="str">
        <f t="shared" si="359"/>
        <v/>
      </c>
      <c r="CT62" s="128" t="str">
        <f t="shared" si="359"/>
        <v/>
      </c>
      <c r="CU62" s="128" t="str">
        <f t="shared" si="359"/>
        <v/>
      </c>
      <c r="CV62" s="128" t="str">
        <f t="shared" si="359"/>
        <v/>
      </c>
      <c r="CW62" s="128"/>
      <c r="CX62" s="128"/>
      <c r="CY62" s="128" t="str">
        <f t="shared" si="359"/>
        <v/>
      </c>
      <c r="CZ62" s="61" t="str">
        <f t="shared" si="359"/>
        <v/>
      </c>
      <c r="DA62" s="128" t="str">
        <f t="shared" si="359"/>
        <v/>
      </c>
      <c r="DB62" s="128" t="str">
        <f t="shared" si="359"/>
        <v/>
      </c>
      <c r="DC62" s="128" t="str">
        <f t="shared" si="359"/>
        <v/>
      </c>
      <c r="DD62" s="128" t="str">
        <f t="shared" si="359"/>
        <v/>
      </c>
      <c r="DE62" s="128" t="str">
        <f t="shared" si="359"/>
        <v/>
      </c>
      <c r="DF62" s="128" t="str">
        <f t="shared" si="359"/>
        <v/>
      </c>
      <c r="DG62" s="128"/>
      <c r="DH62" s="128"/>
      <c r="DI62" s="61" t="str">
        <f t="shared" si="359"/>
        <v/>
      </c>
      <c r="DJ62" s="128" t="str">
        <f t="shared" si="359"/>
        <v/>
      </c>
      <c r="DK62" s="128" t="str">
        <f t="shared" si="359"/>
        <v/>
      </c>
      <c r="DL62" s="128" t="str">
        <f t="shared" si="359"/>
        <v/>
      </c>
      <c r="DM62" s="128" t="str">
        <f t="shared" si="359"/>
        <v/>
      </c>
      <c r="DN62" s="128" t="str">
        <f t="shared" si="359"/>
        <v/>
      </c>
      <c r="DO62" s="128" t="str">
        <f t="shared" si="359"/>
        <v/>
      </c>
      <c r="DP62" s="128"/>
      <c r="DQ62" s="128"/>
      <c r="DR62" s="61" t="str">
        <f t="shared" si="359"/>
        <v/>
      </c>
      <c r="DS62" s="128" t="str">
        <f t="shared" si="359"/>
        <v/>
      </c>
      <c r="DT62" s="128" t="str">
        <f t="shared" si="359"/>
        <v/>
      </c>
      <c r="DU62" s="128" t="str">
        <f t="shared" si="359"/>
        <v/>
      </c>
      <c r="DV62" s="128" t="str">
        <f t="shared" si="359"/>
        <v/>
      </c>
      <c r="DW62" s="128" t="str">
        <f t="shared" si="359"/>
        <v/>
      </c>
      <c r="DX62" s="128"/>
      <c r="DY62" s="128"/>
      <c r="DZ62" s="128" t="str">
        <f t="shared" si="359"/>
        <v/>
      </c>
      <c r="EA62" s="61" t="str">
        <f t="shared" si="359"/>
        <v/>
      </c>
      <c r="EB62" s="128" t="str">
        <f t="shared" si="359"/>
        <v/>
      </c>
      <c r="EC62" s="128" t="str">
        <f t="shared" si="359"/>
        <v/>
      </c>
      <c r="ED62" s="128" t="str">
        <f t="shared" si="359"/>
        <v/>
      </c>
      <c r="EE62" s="128" t="str">
        <f t="shared" si="359"/>
        <v/>
      </c>
      <c r="EF62" s="128" t="str">
        <f t="shared" si="359"/>
        <v/>
      </c>
      <c r="EG62" s="128" t="str">
        <f t="shared" si="359"/>
        <v/>
      </c>
      <c r="EH62" s="61" t="str">
        <f t="shared" si="359"/>
        <v/>
      </c>
      <c r="EI62" s="128" t="str">
        <f t="shared" si="359"/>
        <v/>
      </c>
      <c r="EJ62" s="128" t="str">
        <f t="shared" si="359"/>
        <v/>
      </c>
      <c r="EK62" s="128" t="str">
        <f t="shared" si="359"/>
        <v/>
      </c>
      <c r="EL62" s="128" t="str">
        <f t="shared" si="359"/>
        <v/>
      </c>
      <c r="EM62" s="128" t="str">
        <f t="shared" si="359"/>
        <v/>
      </c>
      <c r="EN62" s="128" t="str">
        <f t="shared" si="359"/>
        <v/>
      </c>
      <c r="EO62" s="61" t="str">
        <f t="shared" si="359"/>
        <v/>
      </c>
      <c r="EP62" s="128" t="str">
        <f t="shared" si="359"/>
        <v/>
      </c>
      <c r="EQ62" s="128" t="str">
        <f t="shared" si="359"/>
        <v/>
      </c>
      <c r="ER62" s="128" t="str">
        <f t="shared" si="359"/>
        <v/>
      </c>
      <c r="ES62" s="128" t="str">
        <f t="shared" si="359"/>
        <v/>
      </c>
      <c r="ET62" s="128" t="str">
        <f t="shared" si="359"/>
        <v/>
      </c>
      <c r="EU62" s="128" t="str">
        <f t="shared" si="359"/>
        <v/>
      </c>
      <c r="EV62" s="61" t="str">
        <f t="shared" si="359"/>
        <v/>
      </c>
      <c r="EW62" s="128" t="str">
        <f t="shared" si="359"/>
        <v/>
      </c>
      <c r="EX62" s="128" t="str">
        <f t="shared" si="359"/>
        <v/>
      </c>
      <c r="EY62" s="128" t="str">
        <f t="shared" si="359"/>
        <v/>
      </c>
      <c r="EZ62" s="128" t="str">
        <f t="shared" si="359"/>
        <v/>
      </c>
      <c r="FA62" s="128" t="str">
        <f t="shared" si="359"/>
        <v/>
      </c>
      <c r="FB62" s="128" t="str">
        <f t="shared" si="359"/>
        <v/>
      </c>
      <c r="FC62" s="61" t="str">
        <f t="shared" si="359"/>
        <v/>
      </c>
      <c r="FD62" s="128" t="str">
        <f t="shared" si="359"/>
        <v/>
      </c>
      <c r="FE62" s="128" t="str">
        <f t="shared" ref="FE62:HP62" si="361">IF(SUM(FE40:FE60) &gt; 0, SUM(FE40:FE60), "")</f>
        <v/>
      </c>
      <c r="FF62" s="128" t="str">
        <f t="shared" si="361"/>
        <v/>
      </c>
      <c r="FG62" s="128" t="str">
        <f t="shared" si="361"/>
        <v/>
      </c>
      <c r="FH62" s="128" t="str">
        <f t="shared" si="361"/>
        <v/>
      </c>
      <c r="FI62" s="128" t="str">
        <f t="shared" si="361"/>
        <v/>
      </c>
      <c r="FJ62" s="61" t="str">
        <f t="shared" si="361"/>
        <v/>
      </c>
      <c r="FK62" s="128" t="str">
        <f t="shared" si="361"/>
        <v/>
      </c>
      <c r="FL62" s="128" t="str">
        <f t="shared" si="361"/>
        <v/>
      </c>
      <c r="FM62" s="128" t="str">
        <f t="shared" si="361"/>
        <v/>
      </c>
      <c r="FN62" s="128" t="str">
        <f t="shared" si="361"/>
        <v/>
      </c>
      <c r="FO62" s="128" t="str">
        <f t="shared" si="361"/>
        <v/>
      </c>
      <c r="FP62" s="128" t="str">
        <f t="shared" si="361"/>
        <v/>
      </c>
      <c r="FQ62" s="61" t="str">
        <f t="shared" si="361"/>
        <v/>
      </c>
      <c r="FR62" s="128" t="str">
        <f t="shared" si="361"/>
        <v/>
      </c>
      <c r="FS62" s="128" t="str">
        <f t="shared" si="361"/>
        <v/>
      </c>
      <c r="FT62" s="128" t="str">
        <f t="shared" si="361"/>
        <v/>
      </c>
      <c r="FU62" s="128" t="str">
        <f t="shared" si="361"/>
        <v/>
      </c>
      <c r="FV62" s="128" t="str">
        <f t="shared" si="361"/>
        <v/>
      </c>
      <c r="FW62" s="128" t="str">
        <f t="shared" si="361"/>
        <v/>
      </c>
      <c r="FX62" s="61" t="str">
        <f t="shared" si="361"/>
        <v/>
      </c>
      <c r="FY62" s="128" t="str">
        <f t="shared" si="361"/>
        <v/>
      </c>
      <c r="FZ62" s="128" t="str">
        <f t="shared" si="361"/>
        <v/>
      </c>
      <c r="GA62" s="128" t="str">
        <f t="shared" si="361"/>
        <v/>
      </c>
      <c r="GB62" s="128" t="str">
        <f t="shared" si="361"/>
        <v/>
      </c>
      <c r="GC62" s="128" t="str">
        <f t="shared" si="361"/>
        <v/>
      </c>
      <c r="GD62" s="128" t="str">
        <f t="shared" si="361"/>
        <v/>
      </c>
      <c r="GE62" s="61" t="str">
        <f t="shared" si="361"/>
        <v/>
      </c>
      <c r="GF62" s="128" t="str">
        <f t="shared" si="361"/>
        <v/>
      </c>
      <c r="GG62" s="128" t="str">
        <f t="shared" si="361"/>
        <v/>
      </c>
      <c r="GH62" s="128" t="str">
        <f t="shared" si="361"/>
        <v/>
      </c>
      <c r="GI62" s="128" t="str">
        <f t="shared" si="361"/>
        <v/>
      </c>
      <c r="GJ62" s="128" t="str">
        <f t="shared" si="361"/>
        <v/>
      </c>
      <c r="GK62" s="128" t="str">
        <f t="shared" si="361"/>
        <v/>
      </c>
      <c r="GL62" s="61" t="str">
        <f t="shared" si="361"/>
        <v/>
      </c>
      <c r="GM62" s="128" t="str">
        <f t="shared" si="361"/>
        <v/>
      </c>
      <c r="GN62" s="128" t="str">
        <f t="shared" si="361"/>
        <v/>
      </c>
      <c r="GO62" s="128" t="str">
        <f t="shared" si="361"/>
        <v/>
      </c>
      <c r="GP62" s="128" t="str">
        <f t="shared" si="361"/>
        <v/>
      </c>
      <c r="GQ62" s="128" t="str">
        <f t="shared" si="361"/>
        <v/>
      </c>
      <c r="GR62" s="128" t="str">
        <f t="shared" si="361"/>
        <v/>
      </c>
      <c r="GS62" s="61" t="str">
        <f t="shared" si="361"/>
        <v/>
      </c>
      <c r="GT62" s="128" t="str">
        <f t="shared" si="361"/>
        <v/>
      </c>
      <c r="GU62" s="128" t="str">
        <f t="shared" si="361"/>
        <v/>
      </c>
      <c r="GV62" s="128" t="str">
        <f t="shared" si="361"/>
        <v/>
      </c>
      <c r="GW62" s="128" t="str">
        <f t="shared" si="361"/>
        <v/>
      </c>
      <c r="GX62" s="128" t="str">
        <f t="shared" si="361"/>
        <v/>
      </c>
      <c r="GY62" s="128" t="str">
        <f t="shared" si="361"/>
        <v/>
      </c>
      <c r="GZ62" s="61" t="str">
        <f t="shared" si="361"/>
        <v/>
      </c>
      <c r="HA62" s="128" t="str">
        <f t="shared" si="361"/>
        <v/>
      </c>
      <c r="HB62" s="128" t="str">
        <f t="shared" si="361"/>
        <v/>
      </c>
      <c r="HC62" s="128" t="str">
        <f t="shared" si="361"/>
        <v/>
      </c>
      <c r="HD62" s="128" t="str">
        <f t="shared" si="361"/>
        <v/>
      </c>
      <c r="HE62" s="128" t="str">
        <f t="shared" si="361"/>
        <v/>
      </c>
      <c r="HF62" s="128" t="str">
        <f t="shared" si="361"/>
        <v/>
      </c>
      <c r="HG62" s="61" t="str">
        <f t="shared" si="361"/>
        <v/>
      </c>
      <c r="HH62" s="128" t="str">
        <f t="shared" si="361"/>
        <v/>
      </c>
      <c r="HI62" s="128" t="str">
        <f t="shared" si="361"/>
        <v/>
      </c>
      <c r="HJ62" s="128" t="str">
        <f t="shared" si="361"/>
        <v/>
      </c>
      <c r="HK62" s="128" t="str">
        <f t="shared" si="361"/>
        <v/>
      </c>
      <c r="HL62" s="128" t="str">
        <f t="shared" si="361"/>
        <v/>
      </c>
      <c r="HM62" s="128" t="str">
        <f t="shared" si="361"/>
        <v/>
      </c>
      <c r="HN62" s="61" t="str">
        <f t="shared" si="361"/>
        <v/>
      </c>
      <c r="HO62" s="128" t="str">
        <f t="shared" si="361"/>
        <v/>
      </c>
      <c r="HP62" s="128" t="str">
        <f t="shared" si="361"/>
        <v/>
      </c>
      <c r="HQ62" s="128" t="str">
        <f t="shared" ref="HQ62:KB62" si="362">IF(SUM(HQ40:HQ60) &gt; 0, SUM(HQ40:HQ60), "")</f>
        <v/>
      </c>
      <c r="HR62" s="128" t="str">
        <f t="shared" si="362"/>
        <v/>
      </c>
      <c r="HS62" s="128" t="str">
        <f t="shared" si="362"/>
        <v/>
      </c>
      <c r="HT62" s="128" t="str">
        <f t="shared" si="362"/>
        <v/>
      </c>
      <c r="HU62" s="61" t="str">
        <f t="shared" si="362"/>
        <v/>
      </c>
      <c r="HV62" s="128" t="str">
        <f t="shared" si="362"/>
        <v/>
      </c>
      <c r="HW62" s="128" t="str">
        <f t="shared" si="362"/>
        <v/>
      </c>
      <c r="HX62" s="128" t="str">
        <f t="shared" si="362"/>
        <v/>
      </c>
      <c r="HY62" s="128" t="str">
        <f t="shared" si="362"/>
        <v/>
      </c>
      <c r="HZ62" s="128" t="str">
        <f t="shared" si="362"/>
        <v/>
      </c>
      <c r="IA62" s="128" t="str">
        <f t="shared" si="362"/>
        <v/>
      </c>
      <c r="IB62" s="61" t="str">
        <f t="shared" si="362"/>
        <v/>
      </c>
      <c r="IC62" s="128" t="str">
        <f t="shared" si="362"/>
        <v/>
      </c>
      <c r="ID62" s="128" t="str">
        <f t="shared" si="362"/>
        <v/>
      </c>
      <c r="IE62" s="128" t="str">
        <f t="shared" si="362"/>
        <v/>
      </c>
      <c r="IF62" s="128" t="str">
        <f t="shared" si="362"/>
        <v/>
      </c>
      <c r="IG62" s="128" t="str">
        <f t="shared" si="362"/>
        <v/>
      </c>
      <c r="IH62" s="128" t="str">
        <f t="shared" si="362"/>
        <v/>
      </c>
      <c r="II62" s="61" t="str">
        <f t="shared" si="362"/>
        <v/>
      </c>
      <c r="IJ62" s="128" t="str">
        <f t="shared" si="362"/>
        <v/>
      </c>
      <c r="IK62" s="128" t="str">
        <f t="shared" si="362"/>
        <v/>
      </c>
      <c r="IL62" s="128" t="str">
        <f t="shared" si="362"/>
        <v/>
      </c>
      <c r="IM62" s="128" t="str">
        <f t="shared" si="362"/>
        <v/>
      </c>
      <c r="IN62" s="128" t="str">
        <f t="shared" si="362"/>
        <v/>
      </c>
      <c r="IO62" s="128" t="str">
        <f t="shared" si="362"/>
        <v/>
      </c>
      <c r="IP62" s="61" t="str">
        <f t="shared" si="362"/>
        <v/>
      </c>
      <c r="IQ62" s="128" t="str">
        <f t="shared" si="362"/>
        <v/>
      </c>
      <c r="IR62" s="128" t="str">
        <f t="shared" si="362"/>
        <v/>
      </c>
      <c r="IS62" s="128" t="str">
        <f t="shared" si="362"/>
        <v/>
      </c>
      <c r="IT62" s="128" t="str">
        <f t="shared" si="362"/>
        <v/>
      </c>
      <c r="IU62" s="128" t="str">
        <f t="shared" si="362"/>
        <v/>
      </c>
      <c r="IV62" s="128" t="str">
        <f t="shared" si="362"/>
        <v/>
      </c>
      <c r="IW62" s="61" t="str">
        <f t="shared" si="362"/>
        <v/>
      </c>
      <c r="IX62" s="128" t="str">
        <f t="shared" si="362"/>
        <v/>
      </c>
      <c r="IY62" s="128" t="str">
        <f t="shared" si="362"/>
        <v/>
      </c>
      <c r="IZ62" s="128" t="str">
        <f t="shared" si="362"/>
        <v/>
      </c>
      <c r="JA62" s="128" t="str">
        <f t="shared" si="362"/>
        <v/>
      </c>
      <c r="JB62" s="128" t="str">
        <f t="shared" si="362"/>
        <v/>
      </c>
      <c r="JC62" s="128" t="str">
        <f t="shared" si="362"/>
        <v/>
      </c>
      <c r="JD62" s="61" t="str">
        <f t="shared" si="362"/>
        <v/>
      </c>
      <c r="JE62" s="128" t="str">
        <f t="shared" si="362"/>
        <v/>
      </c>
      <c r="JF62" s="128" t="str">
        <f t="shared" si="362"/>
        <v/>
      </c>
      <c r="JG62" s="128" t="str">
        <f t="shared" si="362"/>
        <v/>
      </c>
      <c r="JH62" s="128" t="str">
        <f t="shared" si="362"/>
        <v/>
      </c>
      <c r="JI62" s="128" t="str">
        <f t="shared" si="362"/>
        <v/>
      </c>
      <c r="JJ62" s="128" t="str">
        <f t="shared" si="362"/>
        <v/>
      </c>
      <c r="JK62" s="61" t="str">
        <f t="shared" si="362"/>
        <v/>
      </c>
      <c r="JL62" s="128" t="str">
        <f t="shared" si="362"/>
        <v/>
      </c>
      <c r="JM62" s="128" t="str">
        <f t="shared" si="362"/>
        <v/>
      </c>
      <c r="JN62" s="128" t="str">
        <f t="shared" si="362"/>
        <v/>
      </c>
      <c r="JO62" s="128" t="str">
        <f t="shared" si="362"/>
        <v/>
      </c>
      <c r="JP62" s="128" t="str">
        <f t="shared" si="362"/>
        <v/>
      </c>
      <c r="JQ62" s="128" t="str">
        <f t="shared" si="362"/>
        <v/>
      </c>
      <c r="JR62" s="61" t="str">
        <f t="shared" si="362"/>
        <v/>
      </c>
      <c r="JS62" s="128" t="str">
        <f t="shared" si="362"/>
        <v/>
      </c>
      <c r="JT62" s="128" t="str">
        <f t="shared" si="362"/>
        <v/>
      </c>
      <c r="JU62" s="128" t="str">
        <f t="shared" si="362"/>
        <v/>
      </c>
      <c r="JV62" s="128" t="str">
        <f t="shared" si="362"/>
        <v/>
      </c>
      <c r="JW62" s="128" t="str">
        <f t="shared" si="362"/>
        <v/>
      </c>
      <c r="JX62" s="128" t="str">
        <f t="shared" si="362"/>
        <v/>
      </c>
      <c r="JY62" s="61" t="str">
        <f t="shared" si="362"/>
        <v/>
      </c>
      <c r="JZ62" s="128" t="str">
        <f t="shared" si="362"/>
        <v/>
      </c>
      <c r="KA62" s="128" t="str">
        <f t="shared" si="362"/>
        <v/>
      </c>
      <c r="KB62" s="128" t="str">
        <f t="shared" si="362"/>
        <v/>
      </c>
      <c r="KC62" s="128" t="str">
        <f t="shared" ref="KC62:MJ62" si="363">IF(SUM(KC40:KC60) &gt; 0, SUM(KC40:KC60), "")</f>
        <v/>
      </c>
      <c r="KD62" s="128" t="str">
        <f t="shared" si="363"/>
        <v/>
      </c>
      <c r="KE62" s="128" t="str">
        <f t="shared" si="363"/>
        <v/>
      </c>
      <c r="KF62" s="61" t="str">
        <f t="shared" si="363"/>
        <v/>
      </c>
      <c r="KG62" s="128" t="str">
        <f t="shared" si="363"/>
        <v/>
      </c>
      <c r="KH62" s="128" t="str">
        <f t="shared" si="363"/>
        <v/>
      </c>
      <c r="KI62" s="128" t="str">
        <f t="shared" si="363"/>
        <v/>
      </c>
      <c r="KJ62" s="128" t="str">
        <f t="shared" si="363"/>
        <v/>
      </c>
      <c r="KK62" s="128" t="str">
        <f t="shared" si="363"/>
        <v/>
      </c>
      <c r="KL62" s="128" t="str">
        <f t="shared" si="363"/>
        <v/>
      </c>
      <c r="KM62" s="61" t="str">
        <f t="shared" si="363"/>
        <v/>
      </c>
      <c r="KN62" s="128" t="str">
        <f t="shared" si="363"/>
        <v/>
      </c>
      <c r="KO62" s="128" t="str">
        <f t="shared" si="363"/>
        <v/>
      </c>
      <c r="KP62" s="128" t="str">
        <f t="shared" si="363"/>
        <v/>
      </c>
      <c r="KQ62" s="128" t="str">
        <f t="shared" si="363"/>
        <v/>
      </c>
      <c r="KR62" s="128" t="str">
        <f t="shared" si="363"/>
        <v/>
      </c>
      <c r="KS62" s="128" t="str">
        <f t="shared" si="363"/>
        <v/>
      </c>
      <c r="KT62" s="61" t="str">
        <f t="shared" si="363"/>
        <v/>
      </c>
      <c r="KU62" s="128" t="str">
        <f t="shared" si="363"/>
        <v/>
      </c>
      <c r="KV62" s="128" t="str">
        <f t="shared" si="363"/>
        <v/>
      </c>
      <c r="KW62" s="128" t="str">
        <f t="shared" si="363"/>
        <v/>
      </c>
      <c r="KX62" s="128" t="str">
        <f t="shared" si="363"/>
        <v/>
      </c>
      <c r="KY62" s="128" t="str">
        <f t="shared" si="363"/>
        <v/>
      </c>
      <c r="KZ62" s="128" t="str">
        <f t="shared" si="363"/>
        <v/>
      </c>
      <c r="LA62" s="61" t="str">
        <f t="shared" si="363"/>
        <v/>
      </c>
      <c r="LB62" s="128" t="str">
        <f t="shared" si="363"/>
        <v/>
      </c>
      <c r="LC62" s="128" t="str">
        <f t="shared" si="363"/>
        <v/>
      </c>
      <c r="LD62" s="128" t="str">
        <f t="shared" si="363"/>
        <v/>
      </c>
      <c r="LE62" s="128" t="str">
        <f t="shared" si="363"/>
        <v/>
      </c>
      <c r="LF62" s="128" t="str">
        <f t="shared" si="363"/>
        <v/>
      </c>
      <c r="LG62" s="128" t="str">
        <f t="shared" si="363"/>
        <v/>
      </c>
      <c r="LH62" s="61" t="str">
        <f t="shared" si="363"/>
        <v/>
      </c>
      <c r="LI62" s="128" t="str">
        <f t="shared" si="363"/>
        <v/>
      </c>
      <c r="LJ62" s="128" t="str">
        <f t="shared" si="363"/>
        <v/>
      </c>
      <c r="LK62" s="128" t="str">
        <f t="shared" si="363"/>
        <v/>
      </c>
      <c r="LL62" s="128" t="str">
        <f t="shared" si="363"/>
        <v/>
      </c>
      <c r="LM62" s="128" t="str">
        <f t="shared" si="363"/>
        <v/>
      </c>
      <c r="LN62" s="128" t="str">
        <f t="shared" si="363"/>
        <v/>
      </c>
      <c r="LO62" s="61" t="str">
        <f t="shared" si="363"/>
        <v/>
      </c>
      <c r="LP62" s="128" t="str">
        <f t="shared" si="363"/>
        <v/>
      </c>
      <c r="LQ62" s="128" t="str">
        <f t="shared" si="363"/>
        <v/>
      </c>
      <c r="LR62" s="128" t="str">
        <f t="shared" si="363"/>
        <v/>
      </c>
      <c r="LS62" s="128" t="str">
        <f t="shared" si="363"/>
        <v/>
      </c>
      <c r="LT62" s="128" t="str">
        <f t="shared" si="363"/>
        <v/>
      </c>
      <c r="LU62" s="128" t="str">
        <f t="shared" si="363"/>
        <v/>
      </c>
      <c r="LV62" s="61" t="str">
        <f t="shared" si="363"/>
        <v/>
      </c>
      <c r="LW62" s="128" t="str">
        <f t="shared" si="363"/>
        <v/>
      </c>
      <c r="LX62" s="128" t="str">
        <f t="shared" si="363"/>
        <v/>
      </c>
      <c r="LY62" s="128" t="str">
        <f t="shared" si="363"/>
        <v/>
      </c>
      <c r="LZ62" s="128" t="str">
        <f t="shared" si="363"/>
        <v/>
      </c>
      <c r="MA62" s="128" t="str">
        <f t="shared" si="363"/>
        <v/>
      </c>
      <c r="MB62" s="128" t="str">
        <f t="shared" si="363"/>
        <v/>
      </c>
      <c r="MC62" s="61" t="str">
        <f t="shared" si="363"/>
        <v/>
      </c>
      <c r="MD62" s="128" t="str">
        <f t="shared" si="363"/>
        <v/>
      </c>
      <c r="ME62" s="128" t="str">
        <f t="shared" si="363"/>
        <v/>
      </c>
      <c r="MF62" s="128" t="str">
        <f t="shared" si="363"/>
        <v/>
      </c>
      <c r="MG62" s="128" t="str">
        <f t="shared" si="363"/>
        <v/>
      </c>
      <c r="MH62" s="128" t="str">
        <f t="shared" si="363"/>
        <v/>
      </c>
      <c r="MI62" s="128" t="str">
        <f t="shared" si="363"/>
        <v/>
      </c>
      <c r="MJ62" s="61" t="str">
        <f t="shared" si="363"/>
        <v/>
      </c>
    </row>
    <row r="63" spans="1:348" ht="72.75" customHeight="1" x14ac:dyDescent="0.25">
      <c r="A63" s="122"/>
      <c r="B63" s="118"/>
      <c r="C63" s="118"/>
      <c r="D63" s="118"/>
      <c r="E63" s="123"/>
      <c r="F63" s="118"/>
      <c r="G63" s="118"/>
      <c r="H63" s="118"/>
      <c r="I63" s="118"/>
      <c r="J63" s="118"/>
      <c r="K63" s="118"/>
      <c r="L63" s="118"/>
      <c r="M63" s="118"/>
      <c r="N63" s="118"/>
      <c r="O63" s="118"/>
      <c r="P63" s="124" t="s">
        <v>410</v>
      </c>
      <c r="Q63" s="125" t="s">
        <v>410</v>
      </c>
      <c r="R63" s="126"/>
      <c r="S63" s="49">
        <f t="shared" ref="S63:AX63" si="364">S1</f>
        <v>43975</v>
      </c>
      <c r="T63" s="49">
        <f t="shared" si="364"/>
        <v>43976</v>
      </c>
      <c r="U63" s="49">
        <f t="shared" si="364"/>
        <v>43977</v>
      </c>
      <c r="V63" s="49">
        <f t="shared" si="364"/>
        <v>43978</v>
      </c>
      <c r="W63" s="49">
        <f t="shared" si="364"/>
        <v>43979</v>
      </c>
      <c r="X63" s="49">
        <f t="shared" si="364"/>
        <v>43980</v>
      </c>
      <c r="Y63" s="49">
        <f t="shared" si="364"/>
        <v>43981</v>
      </c>
      <c r="Z63" s="49">
        <f t="shared" si="364"/>
        <v>43982</v>
      </c>
      <c r="AA63" s="49">
        <f t="shared" si="364"/>
        <v>43983</v>
      </c>
      <c r="AB63" s="49">
        <f t="shared" si="364"/>
        <v>43984</v>
      </c>
      <c r="AC63" s="49">
        <f t="shared" si="364"/>
        <v>43985</v>
      </c>
      <c r="AD63" s="49">
        <f t="shared" si="364"/>
        <v>43986</v>
      </c>
      <c r="AE63" s="49">
        <f t="shared" si="364"/>
        <v>43987</v>
      </c>
      <c r="AF63" s="49">
        <f t="shared" si="364"/>
        <v>43988</v>
      </c>
      <c r="AG63" s="49">
        <f t="shared" si="364"/>
        <v>43989</v>
      </c>
      <c r="AH63" s="49">
        <f t="shared" si="364"/>
        <v>43990</v>
      </c>
      <c r="AI63" s="49">
        <f t="shared" si="364"/>
        <v>43991</v>
      </c>
      <c r="AJ63" s="49">
        <f t="shared" si="364"/>
        <v>43992</v>
      </c>
      <c r="AK63" s="49">
        <f t="shared" si="364"/>
        <v>43993</v>
      </c>
      <c r="AL63" s="49">
        <f t="shared" si="364"/>
        <v>43994</v>
      </c>
      <c r="AM63" s="49">
        <f t="shared" si="364"/>
        <v>43995</v>
      </c>
      <c r="AN63" s="49">
        <f t="shared" si="364"/>
        <v>43996</v>
      </c>
      <c r="AO63" s="49">
        <f t="shared" si="364"/>
        <v>43997</v>
      </c>
      <c r="AP63" s="49">
        <f t="shared" si="364"/>
        <v>43998</v>
      </c>
      <c r="AQ63" s="49">
        <f t="shared" si="364"/>
        <v>43999</v>
      </c>
      <c r="AR63" s="49">
        <f t="shared" si="364"/>
        <v>44000</v>
      </c>
      <c r="AS63" s="49">
        <f t="shared" si="364"/>
        <v>44001</v>
      </c>
      <c r="AT63" s="49">
        <f t="shared" si="364"/>
        <v>44002</v>
      </c>
      <c r="AU63" s="49">
        <f t="shared" si="364"/>
        <v>44003</v>
      </c>
      <c r="AV63" s="49">
        <f t="shared" si="364"/>
        <v>44004</v>
      </c>
      <c r="AW63" s="49">
        <f t="shared" si="364"/>
        <v>44005</v>
      </c>
      <c r="AX63" s="49">
        <f t="shared" si="364"/>
        <v>44006</v>
      </c>
      <c r="AY63" s="49">
        <f t="shared" ref="AY63:BW63" si="365">AY1</f>
        <v>44007</v>
      </c>
      <c r="AZ63" s="49">
        <f t="shared" si="365"/>
        <v>44008</v>
      </c>
      <c r="BA63" s="49">
        <f t="shared" si="365"/>
        <v>44009</v>
      </c>
      <c r="BB63" s="49">
        <f t="shared" si="365"/>
        <v>44010</v>
      </c>
      <c r="BC63" s="49">
        <f t="shared" si="365"/>
        <v>44011</v>
      </c>
      <c r="BD63" s="49">
        <f t="shared" si="365"/>
        <v>44012</v>
      </c>
      <c r="BE63" s="49">
        <f t="shared" si="365"/>
        <v>44013</v>
      </c>
      <c r="BF63" s="49">
        <f t="shared" si="365"/>
        <v>44014</v>
      </c>
      <c r="BG63" s="49">
        <f t="shared" si="365"/>
        <v>44015</v>
      </c>
      <c r="BH63" s="49">
        <f t="shared" si="365"/>
        <v>44016</v>
      </c>
      <c r="BI63" s="49">
        <f t="shared" si="365"/>
        <v>44017</v>
      </c>
      <c r="BJ63" s="49">
        <f t="shared" si="365"/>
        <v>44018</v>
      </c>
      <c r="BK63" s="49">
        <f t="shared" si="365"/>
        <v>44019</v>
      </c>
      <c r="BL63" s="49">
        <f t="shared" si="365"/>
        <v>44020</v>
      </c>
      <c r="BM63" s="49">
        <f t="shared" si="365"/>
        <v>44021</v>
      </c>
      <c r="BN63" s="49">
        <f t="shared" si="365"/>
        <v>44022</v>
      </c>
      <c r="BO63" s="49">
        <f t="shared" si="365"/>
        <v>44023</v>
      </c>
      <c r="BP63" s="49">
        <f t="shared" si="365"/>
        <v>44024</v>
      </c>
      <c r="BQ63" s="49">
        <f t="shared" si="365"/>
        <v>44025</v>
      </c>
      <c r="BR63" s="49">
        <f t="shared" si="365"/>
        <v>44026</v>
      </c>
      <c r="BS63" s="49">
        <f t="shared" si="365"/>
        <v>44027</v>
      </c>
      <c r="BT63" s="49">
        <f t="shared" si="365"/>
        <v>44028</v>
      </c>
      <c r="BU63" s="49">
        <f t="shared" si="365"/>
        <v>44029</v>
      </c>
      <c r="BV63" s="49">
        <f t="shared" si="365"/>
        <v>44030</v>
      </c>
      <c r="BW63" s="49">
        <f t="shared" si="365"/>
        <v>44031</v>
      </c>
      <c r="BX63" s="49"/>
      <c r="BY63" s="49"/>
      <c r="BZ63" s="49">
        <f t="shared" ref="BZ63:CF63" si="366">BZ1</f>
        <v>44032</v>
      </c>
      <c r="CA63" s="49">
        <f t="shared" si="366"/>
        <v>44033</v>
      </c>
      <c r="CB63" s="49">
        <f t="shared" si="366"/>
        <v>44034</v>
      </c>
      <c r="CC63" s="49">
        <f t="shared" si="366"/>
        <v>44035</v>
      </c>
      <c r="CD63" s="49">
        <f t="shared" si="366"/>
        <v>44036</v>
      </c>
      <c r="CE63" s="49">
        <f t="shared" si="366"/>
        <v>44037</v>
      </c>
      <c r="CF63" s="49">
        <f t="shared" si="366"/>
        <v>44038</v>
      </c>
      <c r="CG63" s="49"/>
      <c r="CH63" s="49"/>
      <c r="CI63" s="49">
        <f t="shared" ref="CI63:CO63" si="367">CI1</f>
        <v>44039</v>
      </c>
      <c r="CJ63" s="49">
        <f t="shared" si="367"/>
        <v>44040</v>
      </c>
      <c r="CK63" s="49">
        <f t="shared" si="367"/>
        <v>44041</v>
      </c>
      <c r="CL63" s="49">
        <f t="shared" si="367"/>
        <v>44042</v>
      </c>
      <c r="CM63" s="49">
        <f t="shared" si="367"/>
        <v>44043</v>
      </c>
      <c r="CN63" s="49">
        <f t="shared" si="367"/>
        <v>44044</v>
      </c>
      <c r="CO63" s="49">
        <f t="shared" si="367"/>
        <v>44045</v>
      </c>
      <c r="CP63" s="49"/>
      <c r="CQ63" s="49"/>
      <c r="CR63" s="49">
        <f t="shared" ref="CR63:FK63" si="368">CR1</f>
        <v>44046</v>
      </c>
      <c r="CS63" s="49">
        <f t="shared" si="368"/>
        <v>44047</v>
      </c>
      <c r="CT63" s="49">
        <f t="shared" si="368"/>
        <v>44048</v>
      </c>
      <c r="CU63" s="49">
        <f t="shared" si="368"/>
        <v>44049</v>
      </c>
      <c r="CV63" s="49">
        <f t="shared" si="368"/>
        <v>44050</v>
      </c>
      <c r="CW63" s="49">
        <f t="shared" si="368"/>
        <v>44051</v>
      </c>
      <c r="CX63" s="49">
        <f t="shared" si="368"/>
        <v>44052</v>
      </c>
      <c r="CY63" s="49"/>
      <c r="CZ63" s="49"/>
      <c r="DA63" s="49">
        <f t="shared" si="368"/>
        <v>44053</v>
      </c>
      <c r="DB63" s="49">
        <f t="shared" si="368"/>
        <v>44054</v>
      </c>
      <c r="DC63" s="49">
        <f t="shared" si="368"/>
        <v>44055</v>
      </c>
      <c r="DD63" s="49">
        <f t="shared" si="368"/>
        <v>44056</v>
      </c>
      <c r="DE63" s="49">
        <f t="shared" si="368"/>
        <v>44057</v>
      </c>
      <c r="DF63" s="49">
        <f t="shared" si="368"/>
        <v>44058</v>
      </c>
      <c r="DG63" s="49">
        <f t="shared" si="368"/>
        <v>44059</v>
      </c>
      <c r="DH63" s="49"/>
      <c r="DI63" s="49"/>
      <c r="DJ63" s="49">
        <f t="shared" si="368"/>
        <v>44060</v>
      </c>
      <c r="DK63" s="49">
        <f t="shared" si="368"/>
        <v>44061</v>
      </c>
      <c r="DL63" s="49">
        <f t="shared" si="368"/>
        <v>44062</v>
      </c>
      <c r="DM63" s="49">
        <f t="shared" si="368"/>
        <v>44063</v>
      </c>
      <c r="DN63" s="49">
        <f t="shared" si="368"/>
        <v>44064</v>
      </c>
      <c r="DO63" s="49">
        <f t="shared" si="368"/>
        <v>44065</v>
      </c>
      <c r="DP63" s="49">
        <f t="shared" si="368"/>
        <v>44066</v>
      </c>
      <c r="DQ63" s="49"/>
      <c r="DR63" s="49"/>
      <c r="DS63" s="49">
        <f t="shared" si="368"/>
        <v>44067</v>
      </c>
      <c r="DT63" s="49">
        <f t="shared" si="368"/>
        <v>44068</v>
      </c>
      <c r="DU63" s="49">
        <f t="shared" si="368"/>
        <v>44069</v>
      </c>
      <c r="DV63" s="49">
        <f t="shared" si="368"/>
        <v>44070</v>
      </c>
      <c r="DW63" s="49">
        <f t="shared" si="368"/>
        <v>44071</v>
      </c>
      <c r="DX63" s="49">
        <f t="shared" si="368"/>
        <v>44072</v>
      </c>
      <c r="DY63" s="49">
        <f t="shared" si="368"/>
        <v>44073</v>
      </c>
      <c r="DZ63" s="49"/>
      <c r="EA63" s="49"/>
      <c r="EB63" s="49">
        <f t="shared" si="368"/>
        <v>44074</v>
      </c>
      <c r="EC63" s="49">
        <f t="shared" si="368"/>
        <v>44075</v>
      </c>
      <c r="ED63" s="49">
        <f t="shared" si="368"/>
        <v>44076</v>
      </c>
      <c r="EE63" s="49">
        <f t="shared" si="368"/>
        <v>44077</v>
      </c>
      <c r="EF63" s="49">
        <f t="shared" si="368"/>
        <v>44078</v>
      </c>
      <c r="EG63" s="49">
        <f t="shared" si="368"/>
        <v>44079</v>
      </c>
      <c r="EH63" s="49">
        <f t="shared" si="368"/>
        <v>44080</v>
      </c>
      <c r="EI63" s="49">
        <f t="shared" si="368"/>
        <v>44081</v>
      </c>
      <c r="EJ63" s="49">
        <f t="shared" si="368"/>
        <v>44082</v>
      </c>
      <c r="EK63" s="49">
        <f t="shared" si="368"/>
        <v>44083</v>
      </c>
      <c r="EL63" s="49">
        <f t="shared" si="368"/>
        <v>44084</v>
      </c>
      <c r="EM63" s="49">
        <f t="shared" si="368"/>
        <v>44085</v>
      </c>
      <c r="EN63" s="49">
        <f t="shared" si="368"/>
        <v>44086</v>
      </c>
      <c r="EO63" s="49">
        <f t="shared" si="368"/>
        <v>44087</v>
      </c>
      <c r="EP63" s="49">
        <f t="shared" si="368"/>
        <v>44088</v>
      </c>
      <c r="EQ63" s="49">
        <f t="shared" si="368"/>
        <v>44089</v>
      </c>
      <c r="ER63" s="49">
        <f t="shared" si="368"/>
        <v>44090</v>
      </c>
      <c r="ES63" s="49">
        <f t="shared" si="368"/>
        <v>44091</v>
      </c>
      <c r="ET63" s="49">
        <f t="shared" si="368"/>
        <v>44092</v>
      </c>
      <c r="EU63" s="49">
        <f t="shared" si="368"/>
        <v>44093</v>
      </c>
      <c r="EV63" s="49">
        <f t="shared" si="368"/>
        <v>44094</v>
      </c>
      <c r="EW63" s="49">
        <f t="shared" si="368"/>
        <v>44095</v>
      </c>
      <c r="EX63" s="49">
        <f t="shared" si="368"/>
        <v>44096</v>
      </c>
      <c r="EY63" s="49">
        <f t="shared" si="368"/>
        <v>44097</v>
      </c>
      <c r="EZ63" s="49">
        <f t="shared" si="368"/>
        <v>44098</v>
      </c>
      <c r="FA63" s="49">
        <f t="shared" si="368"/>
        <v>44099</v>
      </c>
      <c r="FB63" s="49">
        <f t="shared" si="368"/>
        <v>44100</v>
      </c>
      <c r="FC63" s="49">
        <f t="shared" si="368"/>
        <v>44101</v>
      </c>
      <c r="FD63" s="49">
        <f t="shared" si="368"/>
        <v>44102</v>
      </c>
      <c r="FE63" s="49">
        <f t="shared" si="368"/>
        <v>44103</v>
      </c>
      <c r="FF63" s="49">
        <f t="shared" si="368"/>
        <v>44104</v>
      </c>
      <c r="FG63" s="49">
        <f t="shared" si="368"/>
        <v>44105</v>
      </c>
      <c r="FH63" s="49">
        <f t="shared" si="368"/>
        <v>44106</v>
      </c>
      <c r="FI63" s="49">
        <f t="shared" si="368"/>
        <v>44107</v>
      </c>
      <c r="FJ63" s="49">
        <f t="shared" si="368"/>
        <v>44108</v>
      </c>
      <c r="FK63" s="49">
        <f t="shared" si="368"/>
        <v>44109</v>
      </c>
      <c r="FL63" s="49">
        <f t="shared" ref="FL63:HW63" si="369">FL1</f>
        <v>44110</v>
      </c>
      <c r="FM63" s="49">
        <f t="shared" si="369"/>
        <v>44111</v>
      </c>
      <c r="FN63" s="49">
        <f t="shared" si="369"/>
        <v>44112</v>
      </c>
      <c r="FO63" s="49">
        <f t="shared" si="369"/>
        <v>44113</v>
      </c>
      <c r="FP63" s="49">
        <f t="shared" si="369"/>
        <v>44114</v>
      </c>
      <c r="FQ63" s="49">
        <f t="shared" si="369"/>
        <v>44115</v>
      </c>
      <c r="FR63" s="49">
        <f t="shared" si="369"/>
        <v>44116</v>
      </c>
      <c r="FS63" s="49">
        <f t="shared" si="369"/>
        <v>44117</v>
      </c>
      <c r="FT63" s="49">
        <f t="shared" si="369"/>
        <v>44118</v>
      </c>
      <c r="FU63" s="49">
        <f t="shared" si="369"/>
        <v>44119</v>
      </c>
      <c r="FV63" s="49">
        <f t="shared" si="369"/>
        <v>44120</v>
      </c>
      <c r="FW63" s="49">
        <f t="shared" si="369"/>
        <v>44121</v>
      </c>
      <c r="FX63" s="49">
        <f t="shared" si="369"/>
        <v>44122</v>
      </c>
      <c r="FY63" s="49">
        <f t="shared" si="369"/>
        <v>44123</v>
      </c>
      <c r="FZ63" s="49">
        <f t="shared" si="369"/>
        <v>44124</v>
      </c>
      <c r="GA63" s="49">
        <f t="shared" si="369"/>
        <v>44125</v>
      </c>
      <c r="GB63" s="49">
        <f t="shared" si="369"/>
        <v>44126</v>
      </c>
      <c r="GC63" s="49">
        <f t="shared" si="369"/>
        <v>44127</v>
      </c>
      <c r="GD63" s="49">
        <f t="shared" si="369"/>
        <v>44128</v>
      </c>
      <c r="GE63" s="49">
        <f t="shared" si="369"/>
        <v>44129</v>
      </c>
      <c r="GF63" s="49">
        <f t="shared" si="369"/>
        <v>44130</v>
      </c>
      <c r="GG63" s="49">
        <f t="shared" si="369"/>
        <v>44131</v>
      </c>
      <c r="GH63" s="49">
        <f t="shared" si="369"/>
        <v>44132</v>
      </c>
      <c r="GI63" s="49">
        <f t="shared" si="369"/>
        <v>44133</v>
      </c>
      <c r="GJ63" s="49">
        <f t="shared" si="369"/>
        <v>44134</v>
      </c>
      <c r="GK63" s="49">
        <f t="shared" si="369"/>
        <v>44135</v>
      </c>
      <c r="GL63" s="49">
        <f t="shared" si="369"/>
        <v>44136</v>
      </c>
      <c r="GM63" s="49">
        <f t="shared" si="369"/>
        <v>44137</v>
      </c>
      <c r="GN63" s="49">
        <f t="shared" si="369"/>
        <v>44138</v>
      </c>
      <c r="GO63" s="49">
        <f t="shared" si="369"/>
        <v>44139</v>
      </c>
      <c r="GP63" s="49">
        <f t="shared" si="369"/>
        <v>44140</v>
      </c>
      <c r="GQ63" s="49">
        <f t="shared" si="369"/>
        <v>44141</v>
      </c>
      <c r="GR63" s="49">
        <f t="shared" si="369"/>
        <v>44142</v>
      </c>
      <c r="GS63" s="49">
        <f t="shared" si="369"/>
        <v>44143</v>
      </c>
      <c r="GT63" s="49">
        <f t="shared" si="369"/>
        <v>44144</v>
      </c>
      <c r="GU63" s="49">
        <f t="shared" si="369"/>
        <v>44145</v>
      </c>
      <c r="GV63" s="49">
        <f t="shared" si="369"/>
        <v>44146</v>
      </c>
      <c r="GW63" s="49">
        <f t="shared" si="369"/>
        <v>44147</v>
      </c>
      <c r="GX63" s="49">
        <f t="shared" si="369"/>
        <v>44148</v>
      </c>
      <c r="GY63" s="49">
        <f t="shared" si="369"/>
        <v>44149</v>
      </c>
      <c r="GZ63" s="49">
        <f t="shared" si="369"/>
        <v>44150</v>
      </c>
      <c r="HA63" s="49">
        <f t="shared" si="369"/>
        <v>44151</v>
      </c>
      <c r="HB63" s="49">
        <f t="shared" si="369"/>
        <v>44152</v>
      </c>
      <c r="HC63" s="49">
        <f t="shared" si="369"/>
        <v>44153</v>
      </c>
      <c r="HD63" s="49">
        <f t="shared" si="369"/>
        <v>44154</v>
      </c>
      <c r="HE63" s="49">
        <f t="shared" si="369"/>
        <v>44155</v>
      </c>
      <c r="HF63" s="49">
        <f t="shared" si="369"/>
        <v>44156</v>
      </c>
      <c r="HG63" s="49">
        <f t="shared" si="369"/>
        <v>44157</v>
      </c>
      <c r="HH63" s="49">
        <f t="shared" si="369"/>
        <v>44158</v>
      </c>
      <c r="HI63" s="49">
        <f t="shared" si="369"/>
        <v>44159</v>
      </c>
      <c r="HJ63" s="49">
        <f t="shared" si="369"/>
        <v>44160</v>
      </c>
      <c r="HK63" s="49">
        <f t="shared" si="369"/>
        <v>44161</v>
      </c>
      <c r="HL63" s="49">
        <f t="shared" si="369"/>
        <v>44162</v>
      </c>
      <c r="HM63" s="49">
        <f t="shared" si="369"/>
        <v>44163</v>
      </c>
      <c r="HN63" s="49">
        <f t="shared" si="369"/>
        <v>44164</v>
      </c>
      <c r="HO63" s="49">
        <f t="shared" si="369"/>
        <v>44165</v>
      </c>
      <c r="HP63" s="49">
        <f t="shared" si="369"/>
        <v>44166</v>
      </c>
      <c r="HQ63" s="49">
        <f t="shared" si="369"/>
        <v>44167</v>
      </c>
      <c r="HR63" s="49">
        <f t="shared" si="369"/>
        <v>44168</v>
      </c>
      <c r="HS63" s="49">
        <f t="shared" si="369"/>
        <v>44169</v>
      </c>
      <c r="HT63" s="49">
        <f t="shared" si="369"/>
        <v>44170</v>
      </c>
      <c r="HU63" s="49">
        <f t="shared" si="369"/>
        <v>44171</v>
      </c>
      <c r="HV63" s="49">
        <f t="shared" si="369"/>
        <v>44172</v>
      </c>
      <c r="HW63" s="49">
        <f t="shared" si="369"/>
        <v>44173</v>
      </c>
      <c r="HX63" s="49">
        <f t="shared" ref="HX63:KI63" si="370">HX1</f>
        <v>44174</v>
      </c>
      <c r="HY63" s="49">
        <f t="shared" si="370"/>
        <v>44175</v>
      </c>
      <c r="HZ63" s="49">
        <f t="shared" si="370"/>
        <v>44176</v>
      </c>
      <c r="IA63" s="49">
        <f t="shared" si="370"/>
        <v>44177</v>
      </c>
      <c r="IB63" s="49">
        <f t="shared" si="370"/>
        <v>44178</v>
      </c>
      <c r="IC63" s="49">
        <f t="shared" si="370"/>
        <v>44179</v>
      </c>
      <c r="ID63" s="49">
        <f t="shared" si="370"/>
        <v>44180</v>
      </c>
      <c r="IE63" s="49">
        <f t="shared" si="370"/>
        <v>44181</v>
      </c>
      <c r="IF63" s="49">
        <f t="shared" si="370"/>
        <v>44182</v>
      </c>
      <c r="IG63" s="49">
        <f t="shared" si="370"/>
        <v>44183</v>
      </c>
      <c r="IH63" s="49">
        <f t="shared" si="370"/>
        <v>44184</v>
      </c>
      <c r="II63" s="49">
        <f t="shared" si="370"/>
        <v>44185</v>
      </c>
      <c r="IJ63" s="49">
        <f t="shared" si="370"/>
        <v>44186</v>
      </c>
      <c r="IK63" s="49">
        <f t="shared" si="370"/>
        <v>44187</v>
      </c>
      <c r="IL63" s="49">
        <f t="shared" si="370"/>
        <v>44188</v>
      </c>
      <c r="IM63" s="49">
        <f t="shared" si="370"/>
        <v>44189</v>
      </c>
      <c r="IN63" s="49">
        <f t="shared" si="370"/>
        <v>44190</v>
      </c>
      <c r="IO63" s="49">
        <f t="shared" si="370"/>
        <v>44191</v>
      </c>
      <c r="IP63" s="49">
        <f t="shared" si="370"/>
        <v>44192</v>
      </c>
      <c r="IQ63" s="49">
        <f t="shared" si="370"/>
        <v>44193</v>
      </c>
      <c r="IR63" s="49">
        <f t="shared" si="370"/>
        <v>44194</v>
      </c>
      <c r="IS63" s="49">
        <f t="shared" si="370"/>
        <v>44195</v>
      </c>
      <c r="IT63" s="49">
        <f t="shared" si="370"/>
        <v>44196</v>
      </c>
      <c r="IU63" s="49">
        <f t="shared" si="370"/>
        <v>44197</v>
      </c>
      <c r="IV63" s="49">
        <f t="shared" si="370"/>
        <v>44198</v>
      </c>
      <c r="IW63" s="49">
        <f t="shared" si="370"/>
        <v>44199</v>
      </c>
      <c r="IX63" s="49">
        <f t="shared" si="370"/>
        <v>44200</v>
      </c>
      <c r="IY63" s="49">
        <f t="shared" si="370"/>
        <v>44201</v>
      </c>
      <c r="IZ63" s="49">
        <f t="shared" si="370"/>
        <v>44202</v>
      </c>
      <c r="JA63" s="49">
        <f t="shared" si="370"/>
        <v>44203</v>
      </c>
      <c r="JB63" s="49">
        <f t="shared" si="370"/>
        <v>44204</v>
      </c>
      <c r="JC63" s="49">
        <f t="shared" si="370"/>
        <v>44205</v>
      </c>
      <c r="JD63" s="49">
        <f t="shared" si="370"/>
        <v>44206</v>
      </c>
      <c r="JE63" s="49">
        <f t="shared" si="370"/>
        <v>44207</v>
      </c>
      <c r="JF63" s="49">
        <f t="shared" si="370"/>
        <v>44208</v>
      </c>
      <c r="JG63" s="49">
        <f t="shared" si="370"/>
        <v>44209</v>
      </c>
      <c r="JH63" s="49">
        <f t="shared" si="370"/>
        <v>44210</v>
      </c>
      <c r="JI63" s="49">
        <f t="shared" si="370"/>
        <v>44211</v>
      </c>
      <c r="JJ63" s="49">
        <f t="shared" si="370"/>
        <v>44212</v>
      </c>
      <c r="JK63" s="49">
        <f t="shared" si="370"/>
        <v>44213</v>
      </c>
      <c r="JL63" s="49">
        <f t="shared" si="370"/>
        <v>44214</v>
      </c>
      <c r="JM63" s="49">
        <f t="shared" si="370"/>
        <v>44215</v>
      </c>
      <c r="JN63" s="49">
        <f t="shared" si="370"/>
        <v>44216</v>
      </c>
      <c r="JO63" s="49">
        <f t="shared" si="370"/>
        <v>44217</v>
      </c>
      <c r="JP63" s="49">
        <f t="shared" si="370"/>
        <v>44218</v>
      </c>
      <c r="JQ63" s="49">
        <f t="shared" si="370"/>
        <v>44219</v>
      </c>
      <c r="JR63" s="49">
        <f t="shared" si="370"/>
        <v>44220</v>
      </c>
      <c r="JS63" s="49">
        <f t="shared" si="370"/>
        <v>44221</v>
      </c>
      <c r="JT63" s="49">
        <f t="shared" si="370"/>
        <v>44222</v>
      </c>
      <c r="JU63" s="49">
        <f t="shared" si="370"/>
        <v>44223</v>
      </c>
      <c r="JV63" s="49">
        <f t="shared" si="370"/>
        <v>44224</v>
      </c>
      <c r="JW63" s="49">
        <f t="shared" si="370"/>
        <v>44225</v>
      </c>
      <c r="JX63" s="49">
        <f t="shared" si="370"/>
        <v>44226</v>
      </c>
      <c r="JY63" s="49">
        <f t="shared" si="370"/>
        <v>44227</v>
      </c>
      <c r="JZ63" s="49">
        <f t="shared" si="370"/>
        <v>44228</v>
      </c>
      <c r="KA63" s="49">
        <f t="shared" si="370"/>
        <v>44229</v>
      </c>
      <c r="KB63" s="49">
        <f t="shared" si="370"/>
        <v>44230</v>
      </c>
      <c r="KC63" s="49">
        <f t="shared" si="370"/>
        <v>44231</v>
      </c>
      <c r="KD63" s="49">
        <f t="shared" si="370"/>
        <v>44232</v>
      </c>
      <c r="KE63" s="49">
        <f t="shared" si="370"/>
        <v>44233</v>
      </c>
      <c r="KF63" s="49">
        <f t="shared" si="370"/>
        <v>44234</v>
      </c>
      <c r="KG63" s="49">
        <f t="shared" si="370"/>
        <v>44235</v>
      </c>
      <c r="KH63" s="49">
        <f t="shared" si="370"/>
        <v>44236</v>
      </c>
      <c r="KI63" s="49">
        <f t="shared" si="370"/>
        <v>44237</v>
      </c>
      <c r="KJ63" s="49">
        <f t="shared" ref="KJ63:MJ63" si="371">KJ1</f>
        <v>44238</v>
      </c>
      <c r="KK63" s="49">
        <f t="shared" si="371"/>
        <v>44239</v>
      </c>
      <c r="KL63" s="49">
        <f t="shared" si="371"/>
        <v>44240</v>
      </c>
      <c r="KM63" s="49">
        <f t="shared" si="371"/>
        <v>44241</v>
      </c>
      <c r="KN63" s="49">
        <f t="shared" si="371"/>
        <v>44242</v>
      </c>
      <c r="KO63" s="49">
        <f t="shared" si="371"/>
        <v>44243</v>
      </c>
      <c r="KP63" s="49">
        <f t="shared" si="371"/>
        <v>44244</v>
      </c>
      <c r="KQ63" s="49">
        <f t="shared" si="371"/>
        <v>44245</v>
      </c>
      <c r="KR63" s="49">
        <f t="shared" si="371"/>
        <v>44246</v>
      </c>
      <c r="KS63" s="49">
        <f t="shared" si="371"/>
        <v>44247</v>
      </c>
      <c r="KT63" s="49">
        <f t="shared" si="371"/>
        <v>44248</v>
      </c>
      <c r="KU63" s="49">
        <f t="shared" si="371"/>
        <v>44249</v>
      </c>
      <c r="KV63" s="49">
        <f t="shared" si="371"/>
        <v>44250</v>
      </c>
      <c r="KW63" s="49">
        <f t="shared" si="371"/>
        <v>44251</v>
      </c>
      <c r="KX63" s="49">
        <f t="shared" si="371"/>
        <v>44252</v>
      </c>
      <c r="KY63" s="49">
        <f t="shared" si="371"/>
        <v>44253</v>
      </c>
      <c r="KZ63" s="49">
        <f t="shared" si="371"/>
        <v>44254</v>
      </c>
      <c r="LA63" s="49">
        <f t="shared" si="371"/>
        <v>44255</v>
      </c>
      <c r="LB63" s="49">
        <f t="shared" si="371"/>
        <v>44256</v>
      </c>
      <c r="LC63" s="49">
        <f t="shared" si="371"/>
        <v>44257</v>
      </c>
      <c r="LD63" s="49">
        <f t="shared" si="371"/>
        <v>44258</v>
      </c>
      <c r="LE63" s="49">
        <f t="shared" si="371"/>
        <v>44259</v>
      </c>
      <c r="LF63" s="49">
        <f t="shared" si="371"/>
        <v>44260</v>
      </c>
      <c r="LG63" s="49">
        <f t="shared" si="371"/>
        <v>44261</v>
      </c>
      <c r="LH63" s="49">
        <f t="shared" si="371"/>
        <v>44262</v>
      </c>
      <c r="LI63" s="49">
        <f t="shared" si="371"/>
        <v>44263</v>
      </c>
      <c r="LJ63" s="49">
        <f t="shared" si="371"/>
        <v>44264</v>
      </c>
      <c r="LK63" s="49">
        <f t="shared" si="371"/>
        <v>44265</v>
      </c>
      <c r="LL63" s="49">
        <f t="shared" si="371"/>
        <v>44266</v>
      </c>
      <c r="LM63" s="49">
        <f t="shared" si="371"/>
        <v>44267</v>
      </c>
      <c r="LN63" s="49">
        <f t="shared" si="371"/>
        <v>44268</v>
      </c>
      <c r="LO63" s="49">
        <f t="shared" si="371"/>
        <v>44269</v>
      </c>
      <c r="LP63" s="49">
        <f t="shared" si="371"/>
        <v>44270</v>
      </c>
      <c r="LQ63" s="49">
        <f t="shared" si="371"/>
        <v>44271</v>
      </c>
      <c r="LR63" s="49">
        <f t="shared" si="371"/>
        <v>44272</v>
      </c>
      <c r="LS63" s="49">
        <f t="shared" si="371"/>
        <v>44273</v>
      </c>
      <c r="LT63" s="49">
        <f t="shared" si="371"/>
        <v>44274</v>
      </c>
      <c r="LU63" s="49">
        <f t="shared" si="371"/>
        <v>44275</v>
      </c>
      <c r="LV63" s="49">
        <f t="shared" si="371"/>
        <v>44276</v>
      </c>
      <c r="LW63" s="49">
        <f t="shared" si="371"/>
        <v>44277</v>
      </c>
      <c r="LX63" s="49">
        <f t="shared" si="371"/>
        <v>44278</v>
      </c>
      <c r="LY63" s="49">
        <f t="shared" si="371"/>
        <v>44279</v>
      </c>
      <c r="LZ63" s="49">
        <f t="shared" si="371"/>
        <v>44280</v>
      </c>
      <c r="MA63" s="49">
        <f t="shared" si="371"/>
        <v>44281</v>
      </c>
      <c r="MB63" s="49">
        <f t="shared" si="371"/>
        <v>44282</v>
      </c>
      <c r="MC63" s="49">
        <f t="shared" si="371"/>
        <v>44283</v>
      </c>
      <c r="MD63" s="49">
        <f t="shared" si="371"/>
        <v>44284</v>
      </c>
      <c r="ME63" s="49">
        <f t="shared" si="371"/>
        <v>44285</v>
      </c>
      <c r="MF63" s="49">
        <f t="shared" si="371"/>
        <v>44286</v>
      </c>
      <c r="MG63" s="49">
        <f t="shared" si="371"/>
        <v>44287</v>
      </c>
      <c r="MH63" s="49">
        <f t="shared" si="371"/>
        <v>44288</v>
      </c>
      <c r="MI63" s="49">
        <f t="shared" si="371"/>
        <v>44289</v>
      </c>
      <c r="MJ63" s="49">
        <f t="shared" si="371"/>
        <v>44290</v>
      </c>
    </row>
    <row r="64" spans="1:348" ht="15" customHeight="1" x14ac:dyDescent="0.25">
      <c r="A64" s="137" t="s">
        <v>144</v>
      </c>
      <c r="B64" s="137"/>
      <c r="C64" s="137"/>
      <c r="D64" s="137"/>
      <c r="E64" s="138"/>
      <c r="F64" s="30"/>
      <c r="G64" s="30"/>
      <c r="H64" s="30"/>
      <c r="I64" s="30"/>
      <c r="J64" s="30"/>
      <c r="K64" s="30"/>
      <c r="L64" s="30"/>
      <c r="M64" s="30"/>
      <c r="N64" s="30"/>
      <c r="O64" s="29"/>
      <c r="P64" s="141" t="s">
        <v>49</v>
      </c>
      <c r="Q64" s="141" t="s">
        <v>48</v>
      </c>
      <c r="R64" s="143"/>
      <c r="S64" s="57">
        <f t="shared" ref="S64:CE64" si="372">S37</f>
        <v>43975</v>
      </c>
      <c r="T64" s="58">
        <f t="shared" si="372"/>
        <v>43976</v>
      </c>
      <c r="U64" s="58">
        <f t="shared" si="372"/>
        <v>43977</v>
      </c>
      <c r="V64" s="58">
        <f t="shared" si="372"/>
        <v>43978</v>
      </c>
      <c r="W64" s="58">
        <f t="shared" si="372"/>
        <v>43979</v>
      </c>
      <c r="X64" s="58">
        <f t="shared" si="372"/>
        <v>43980</v>
      </c>
      <c r="Y64" s="58">
        <f t="shared" si="372"/>
        <v>43981</v>
      </c>
      <c r="Z64" s="57">
        <f t="shared" si="372"/>
        <v>43982</v>
      </c>
      <c r="AA64" s="58">
        <f t="shared" si="372"/>
        <v>43983</v>
      </c>
      <c r="AB64" s="58">
        <f t="shared" si="372"/>
        <v>43984</v>
      </c>
      <c r="AC64" s="58">
        <f t="shared" si="372"/>
        <v>43985</v>
      </c>
      <c r="AD64" s="58">
        <f t="shared" si="372"/>
        <v>43986</v>
      </c>
      <c r="AE64" s="58">
        <f t="shared" si="372"/>
        <v>43987</v>
      </c>
      <c r="AF64" s="58">
        <f t="shared" si="372"/>
        <v>43988</v>
      </c>
      <c r="AG64" s="57">
        <f t="shared" si="372"/>
        <v>43989</v>
      </c>
      <c r="AH64" s="58">
        <f t="shared" si="372"/>
        <v>43990</v>
      </c>
      <c r="AI64" s="58">
        <f t="shared" si="372"/>
        <v>43991</v>
      </c>
      <c r="AJ64" s="58">
        <f t="shared" si="372"/>
        <v>43992</v>
      </c>
      <c r="AK64" s="58">
        <f t="shared" si="372"/>
        <v>43993</v>
      </c>
      <c r="AL64" s="58">
        <f t="shared" si="372"/>
        <v>43994</v>
      </c>
      <c r="AM64" s="58">
        <f t="shared" si="372"/>
        <v>43995</v>
      </c>
      <c r="AN64" s="57">
        <f t="shared" si="372"/>
        <v>43996</v>
      </c>
      <c r="AO64" s="58">
        <f t="shared" si="372"/>
        <v>43997</v>
      </c>
      <c r="AP64" s="58">
        <f t="shared" si="372"/>
        <v>43998</v>
      </c>
      <c r="AQ64" s="58">
        <f t="shared" si="372"/>
        <v>43999</v>
      </c>
      <c r="AR64" s="58">
        <f t="shared" si="372"/>
        <v>44000</v>
      </c>
      <c r="AS64" s="58">
        <f t="shared" si="372"/>
        <v>44001</v>
      </c>
      <c r="AT64" s="58">
        <f t="shared" si="372"/>
        <v>44002</v>
      </c>
      <c r="AU64" s="57">
        <f t="shared" si="372"/>
        <v>44003</v>
      </c>
      <c r="AV64" s="58">
        <f t="shared" si="372"/>
        <v>44004</v>
      </c>
      <c r="AW64" s="58">
        <f t="shared" si="372"/>
        <v>44005</v>
      </c>
      <c r="AX64" s="58">
        <f t="shared" si="372"/>
        <v>44006</v>
      </c>
      <c r="AY64" s="58">
        <f t="shared" si="372"/>
        <v>44007</v>
      </c>
      <c r="AZ64" s="58">
        <f t="shared" si="372"/>
        <v>44008</v>
      </c>
      <c r="BA64" s="58">
        <f t="shared" si="372"/>
        <v>44009</v>
      </c>
      <c r="BB64" s="57">
        <f t="shared" si="372"/>
        <v>44010</v>
      </c>
      <c r="BC64" s="58">
        <f t="shared" si="372"/>
        <v>44011</v>
      </c>
      <c r="BD64" s="58">
        <f t="shared" si="372"/>
        <v>44012</v>
      </c>
      <c r="BE64" s="58">
        <f t="shared" si="372"/>
        <v>44013</v>
      </c>
      <c r="BF64" s="58">
        <f t="shared" si="372"/>
        <v>44014</v>
      </c>
      <c r="BG64" s="58">
        <f t="shared" si="372"/>
        <v>44015</v>
      </c>
      <c r="BH64" s="58">
        <f t="shared" si="372"/>
        <v>44016</v>
      </c>
      <c r="BI64" s="57">
        <f t="shared" si="372"/>
        <v>44017</v>
      </c>
      <c r="BJ64" s="58">
        <f t="shared" si="372"/>
        <v>44018</v>
      </c>
      <c r="BK64" s="58">
        <f t="shared" si="372"/>
        <v>44019</v>
      </c>
      <c r="BL64" s="58">
        <f t="shared" si="372"/>
        <v>44020</v>
      </c>
      <c r="BM64" s="58">
        <f t="shared" si="372"/>
        <v>44021</v>
      </c>
      <c r="BN64" s="58">
        <f t="shared" si="372"/>
        <v>44022</v>
      </c>
      <c r="BO64" s="58">
        <f t="shared" si="372"/>
        <v>44023</v>
      </c>
      <c r="BP64" s="57">
        <v>12</v>
      </c>
      <c r="BQ64" s="58">
        <f t="shared" si="372"/>
        <v>44025</v>
      </c>
      <c r="BR64" s="58">
        <f t="shared" si="372"/>
        <v>44026</v>
      </c>
      <c r="BS64" s="58">
        <f t="shared" si="372"/>
        <v>44027</v>
      </c>
      <c r="BT64" s="58">
        <f t="shared" si="372"/>
        <v>44028</v>
      </c>
      <c r="BU64" s="58">
        <f t="shared" si="372"/>
        <v>44029</v>
      </c>
      <c r="BV64" s="58">
        <f t="shared" si="372"/>
        <v>44030</v>
      </c>
      <c r="BW64" s="58">
        <v>19</v>
      </c>
      <c r="BX64" s="58"/>
      <c r="BY64" s="57"/>
      <c r="BZ64" s="58">
        <f t="shared" si="372"/>
        <v>44032</v>
      </c>
      <c r="CA64" s="58">
        <f t="shared" si="372"/>
        <v>44033</v>
      </c>
      <c r="CB64" s="58">
        <f t="shared" si="372"/>
        <v>44034</v>
      </c>
      <c r="CC64" s="58">
        <f t="shared" si="372"/>
        <v>44035</v>
      </c>
      <c r="CD64" s="58">
        <f t="shared" si="372"/>
        <v>44036</v>
      </c>
      <c r="CE64" s="58">
        <f t="shared" si="372"/>
        <v>44037</v>
      </c>
      <c r="CF64" s="58">
        <v>26</v>
      </c>
      <c r="CG64" s="58"/>
      <c r="CH64" s="57"/>
      <c r="CI64" s="58">
        <f t="shared" ref="CI64:FD64" si="373">CI37</f>
        <v>44039</v>
      </c>
      <c r="CJ64" s="58">
        <f t="shared" si="373"/>
        <v>44040</v>
      </c>
      <c r="CK64" s="58">
        <f t="shared" si="373"/>
        <v>44041</v>
      </c>
      <c r="CL64" s="58">
        <f t="shared" si="373"/>
        <v>44042</v>
      </c>
      <c r="CM64" s="58">
        <f t="shared" si="373"/>
        <v>44043</v>
      </c>
      <c r="CN64" s="58">
        <f t="shared" si="373"/>
        <v>44044</v>
      </c>
      <c r="CO64" s="58">
        <f t="shared" ref="CO64" si="374">CO37</f>
        <v>44045</v>
      </c>
      <c r="CP64" s="58"/>
      <c r="CQ64" s="57"/>
      <c r="CR64" s="58">
        <f t="shared" si="373"/>
        <v>44046</v>
      </c>
      <c r="CS64" s="58">
        <f t="shared" si="373"/>
        <v>44047</v>
      </c>
      <c r="CT64" s="58">
        <f t="shared" si="373"/>
        <v>44048</v>
      </c>
      <c r="CU64" s="58">
        <f t="shared" si="373"/>
        <v>44049</v>
      </c>
      <c r="CV64" s="58">
        <f t="shared" si="373"/>
        <v>44050</v>
      </c>
      <c r="CW64" s="58">
        <f t="shared" si="373"/>
        <v>44051</v>
      </c>
      <c r="CX64" s="58">
        <f t="shared" si="373"/>
        <v>44052</v>
      </c>
      <c r="CY64" s="58"/>
      <c r="CZ64" s="57"/>
      <c r="DA64" s="58">
        <f t="shared" si="373"/>
        <v>44053</v>
      </c>
      <c r="DB64" s="58">
        <f t="shared" si="373"/>
        <v>44054</v>
      </c>
      <c r="DC64" s="58">
        <f t="shared" si="373"/>
        <v>44055</v>
      </c>
      <c r="DD64" s="58">
        <f t="shared" si="373"/>
        <v>44056</v>
      </c>
      <c r="DE64" s="58">
        <f t="shared" si="373"/>
        <v>44057</v>
      </c>
      <c r="DF64" s="58">
        <f t="shared" si="373"/>
        <v>44058</v>
      </c>
      <c r="DG64" s="58">
        <f t="shared" si="373"/>
        <v>44059</v>
      </c>
      <c r="DH64" s="58"/>
      <c r="DI64" s="57"/>
      <c r="DJ64" s="58">
        <f t="shared" si="373"/>
        <v>44060</v>
      </c>
      <c r="DK64" s="58">
        <f t="shared" si="373"/>
        <v>44061</v>
      </c>
      <c r="DL64" s="58">
        <f t="shared" si="373"/>
        <v>44062</v>
      </c>
      <c r="DM64" s="58">
        <f t="shared" si="373"/>
        <v>44063</v>
      </c>
      <c r="DN64" s="58">
        <f t="shared" si="373"/>
        <v>44064</v>
      </c>
      <c r="DO64" s="58">
        <f t="shared" si="373"/>
        <v>44065</v>
      </c>
      <c r="DP64" s="58">
        <f t="shared" si="373"/>
        <v>44066</v>
      </c>
      <c r="DQ64" s="58"/>
      <c r="DR64" s="57"/>
      <c r="DS64" s="58">
        <f t="shared" si="373"/>
        <v>44067</v>
      </c>
      <c r="DT64" s="58">
        <f t="shared" si="373"/>
        <v>44068</v>
      </c>
      <c r="DU64" s="58">
        <f t="shared" si="373"/>
        <v>44069</v>
      </c>
      <c r="DV64" s="58">
        <f t="shared" si="373"/>
        <v>44070</v>
      </c>
      <c r="DW64" s="58">
        <f t="shared" si="373"/>
        <v>44071</v>
      </c>
      <c r="DX64" s="58">
        <f t="shared" si="373"/>
        <v>44072</v>
      </c>
      <c r="DY64" s="58">
        <f t="shared" si="373"/>
        <v>44073</v>
      </c>
      <c r="DZ64" s="58"/>
      <c r="EA64" s="57"/>
      <c r="EB64" s="58">
        <f t="shared" si="373"/>
        <v>44074</v>
      </c>
      <c r="EC64" s="58">
        <f t="shared" si="373"/>
        <v>44075</v>
      </c>
      <c r="ED64" s="58">
        <f t="shared" si="373"/>
        <v>44076</v>
      </c>
      <c r="EE64" s="58">
        <f t="shared" si="373"/>
        <v>44077</v>
      </c>
      <c r="EF64" s="58">
        <f t="shared" si="373"/>
        <v>44078</v>
      </c>
      <c r="EG64" s="58">
        <f t="shared" si="373"/>
        <v>44079</v>
      </c>
      <c r="EH64" s="57">
        <f t="shared" si="373"/>
        <v>44080</v>
      </c>
      <c r="EI64" s="58">
        <f t="shared" si="373"/>
        <v>44081</v>
      </c>
      <c r="EJ64" s="58">
        <f t="shared" si="373"/>
        <v>44082</v>
      </c>
      <c r="EK64" s="58">
        <f t="shared" si="373"/>
        <v>44083</v>
      </c>
      <c r="EL64" s="58">
        <f t="shared" si="373"/>
        <v>44084</v>
      </c>
      <c r="EM64" s="58">
        <f t="shared" si="373"/>
        <v>44085</v>
      </c>
      <c r="EN64" s="58">
        <f t="shared" si="373"/>
        <v>44086</v>
      </c>
      <c r="EO64" s="57">
        <f t="shared" si="373"/>
        <v>44087</v>
      </c>
      <c r="EP64" s="58">
        <f t="shared" si="373"/>
        <v>44088</v>
      </c>
      <c r="EQ64" s="58">
        <f t="shared" si="373"/>
        <v>44089</v>
      </c>
      <c r="ER64" s="58">
        <f t="shared" si="373"/>
        <v>44090</v>
      </c>
      <c r="ES64" s="58">
        <f t="shared" si="373"/>
        <v>44091</v>
      </c>
      <c r="ET64" s="58">
        <f t="shared" si="373"/>
        <v>44092</v>
      </c>
      <c r="EU64" s="58">
        <f t="shared" si="373"/>
        <v>44093</v>
      </c>
      <c r="EV64" s="57">
        <f t="shared" si="373"/>
        <v>44094</v>
      </c>
      <c r="EW64" s="58">
        <f t="shared" si="373"/>
        <v>44095</v>
      </c>
      <c r="EX64" s="58">
        <f t="shared" si="373"/>
        <v>44096</v>
      </c>
      <c r="EY64" s="58">
        <f t="shared" si="373"/>
        <v>44097</v>
      </c>
      <c r="EZ64" s="58">
        <f t="shared" si="373"/>
        <v>44098</v>
      </c>
      <c r="FA64" s="58">
        <f t="shared" si="373"/>
        <v>44099</v>
      </c>
      <c r="FB64" s="58">
        <f t="shared" si="373"/>
        <v>44100</v>
      </c>
      <c r="FC64" s="57">
        <f t="shared" si="373"/>
        <v>44101</v>
      </c>
      <c r="FD64" s="58">
        <f t="shared" si="373"/>
        <v>44102</v>
      </c>
      <c r="FE64" s="58">
        <f t="shared" ref="FE64:HP64" si="375">FE37</f>
        <v>44103</v>
      </c>
      <c r="FF64" s="58">
        <f t="shared" si="375"/>
        <v>44104</v>
      </c>
      <c r="FG64" s="58">
        <f t="shared" si="375"/>
        <v>44105</v>
      </c>
      <c r="FH64" s="58">
        <f t="shared" si="375"/>
        <v>44106</v>
      </c>
      <c r="FI64" s="58">
        <f t="shared" si="375"/>
        <v>44107</v>
      </c>
      <c r="FJ64" s="57">
        <f t="shared" si="375"/>
        <v>44108</v>
      </c>
      <c r="FK64" s="58">
        <f t="shared" si="375"/>
        <v>44109</v>
      </c>
      <c r="FL64" s="58">
        <f t="shared" si="375"/>
        <v>44110</v>
      </c>
      <c r="FM64" s="58">
        <f t="shared" si="375"/>
        <v>44111</v>
      </c>
      <c r="FN64" s="58">
        <f t="shared" si="375"/>
        <v>44112</v>
      </c>
      <c r="FO64" s="58">
        <f t="shared" si="375"/>
        <v>44113</v>
      </c>
      <c r="FP64" s="58">
        <f t="shared" si="375"/>
        <v>44114</v>
      </c>
      <c r="FQ64" s="57">
        <f t="shared" si="375"/>
        <v>44115</v>
      </c>
      <c r="FR64" s="58">
        <f t="shared" si="375"/>
        <v>44116</v>
      </c>
      <c r="FS64" s="58">
        <f t="shared" si="375"/>
        <v>44117</v>
      </c>
      <c r="FT64" s="58">
        <f t="shared" si="375"/>
        <v>44118</v>
      </c>
      <c r="FU64" s="58">
        <f t="shared" si="375"/>
        <v>44119</v>
      </c>
      <c r="FV64" s="58">
        <f t="shared" si="375"/>
        <v>44120</v>
      </c>
      <c r="FW64" s="58">
        <f t="shared" si="375"/>
        <v>44121</v>
      </c>
      <c r="FX64" s="57">
        <f t="shared" si="375"/>
        <v>44122</v>
      </c>
      <c r="FY64" s="58">
        <f t="shared" si="375"/>
        <v>44123</v>
      </c>
      <c r="FZ64" s="58">
        <f t="shared" si="375"/>
        <v>44124</v>
      </c>
      <c r="GA64" s="58">
        <f t="shared" si="375"/>
        <v>44125</v>
      </c>
      <c r="GB64" s="58">
        <f t="shared" si="375"/>
        <v>44126</v>
      </c>
      <c r="GC64" s="58">
        <f t="shared" si="375"/>
        <v>44127</v>
      </c>
      <c r="GD64" s="58">
        <f t="shared" si="375"/>
        <v>44128</v>
      </c>
      <c r="GE64" s="57">
        <f t="shared" si="375"/>
        <v>44129</v>
      </c>
      <c r="GF64" s="58">
        <f t="shared" si="375"/>
        <v>44130</v>
      </c>
      <c r="GG64" s="58">
        <f t="shared" si="375"/>
        <v>44131</v>
      </c>
      <c r="GH64" s="58">
        <f t="shared" si="375"/>
        <v>44132</v>
      </c>
      <c r="GI64" s="58">
        <f t="shared" si="375"/>
        <v>44133</v>
      </c>
      <c r="GJ64" s="58">
        <f t="shared" si="375"/>
        <v>44134</v>
      </c>
      <c r="GK64" s="58">
        <f t="shared" si="375"/>
        <v>44135</v>
      </c>
      <c r="GL64" s="57">
        <f t="shared" si="375"/>
        <v>44136</v>
      </c>
      <c r="GM64" s="58">
        <f t="shared" si="375"/>
        <v>44137</v>
      </c>
      <c r="GN64" s="58">
        <f t="shared" si="375"/>
        <v>44138</v>
      </c>
      <c r="GO64" s="58">
        <f t="shared" si="375"/>
        <v>44139</v>
      </c>
      <c r="GP64" s="58">
        <f t="shared" si="375"/>
        <v>44140</v>
      </c>
      <c r="GQ64" s="58">
        <f t="shared" si="375"/>
        <v>44141</v>
      </c>
      <c r="GR64" s="58">
        <f t="shared" si="375"/>
        <v>44142</v>
      </c>
      <c r="GS64" s="57">
        <f t="shared" si="375"/>
        <v>44143</v>
      </c>
      <c r="GT64" s="58">
        <f t="shared" si="375"/>
        <v>44144</v>
      </c>
      <c r="GU64" s="58">
        <f t="shared" si="375"/>
        <v>44145</v>
      </c>
      <c r="GV64" s="58">
        <f t="shared" si="375"/>
        <v>44146</v>
      </c>
      <c r="GW64" s="58">
        <f t="shared" si="375"/>
        <v>44147</v>
      </c>
      <c r="GX64" s="58">
        <f t="shared" si="375"/>
        <v>44148</v>
      </c>
      <c r="GY64" s="58">
        <f t="shared" si="375"/>
        <v>44149</v>
      </c>
      <c r="GZ64" s="57">
        <f t="shared" si="375"/>
        <v>44150</v>
      </c>
      <c r="HA64" s="58">
        <f t="shared" si="375"/>
        <v>44151</v>
      </c>
      <c r="HB64" s="58">
        <f t="shared" si="375"/>
        <v>44152</v>
      </c>
      <c r="HC64" s="58">
        <f t="shared" si="375"/>
        <v>44153</v>
      </c>
      <c r="HD64" s="58">
        <f t="shared" si="375"/>
        <v>44154</v>
      </c>
      <c r="HE64" s="58">
        <f t="shared" si="375"/>
        <v>44155</v>
      </c>
      <c r="HF64" s="58">
        <f t="shared" si="375"/>
        <v>44156</v>
      </c>
      <c r="HG64" s="57">
        <f t="shared" si="375"/>
        <v>44157</v>
      </c>
      <c r="HH64" s="58">
        <f t="shared" si="375"/>
        <v>44158</v>
      </c>
      <c r="HI64" s="58">
        <f t="shared" si="375"/>
        <v>44159</v>
      </c>
      <c r="HJ64" s="58">
        <f t="shared" si="375"/>
        <v>44160</v>
      </c>
      <c r="HK64" s="58">
        <f t="shared" si="375"/>
        <v>44161</v>
      </c>
      <c r="HL64" s="58">
        <f t="shared" si="375"/>
        <v>44162</v>
      </c>
      <c r="HM64" s="58">
        <f t="shared" si="375"/>
        <v>44163</v>
      </c>
      <c r="HN64" s="57">
        <f t="shared" si="375"/>
        <v>44164</v>
      </c>
      <c r="HO64" s="58">
        <f t="shared" si="375"/>
        <v>44165</v>
      </c>
      <c r="HP64" s="58">
        <f t="shared" si="375"/>
        <v>44166</v>
      </c>
      <c r="HQ64" s="58">
        <f t="shared" ref="HQ64:KB64" si="376">HQ37</f>
        <v>44167</v>
      </c>
      <c r="HR64" s="58">
        <f t="shared" si="376"/>
        <v>44168</v>
      </c>
      <c r="HS64" s="58">
        <f t="shared" si="376"/>
        <v>44169</v>
      </c>
      <c r="HT64" s="58">
        <f t="shared" si="376"/>
        <v>44170</v>
      </c>
      <c r="HU64" s="57">
        <f t="shared" si="376"/>
        <v>44171</v>
      </c>
      <c r="HV64" s="58">
        <f t="shared" si="376"/>
        <v>44172</v>
      </c>
      <c r="HW64" s="58">
        <f t="shared" si="376"/>
        <v>44173</v>
      </c>
      <c r="HX64" s="58">
        <f t="shared" si="376"/>
        <v>44174</v>
      </c>
      <c r="HY64" s="58">
        <f t="shared" si="376"/>
        <v>44175</v>
      </c>
      <c r="HZ64" s="58">
        <f t="shared" si="376"/>
        <v>44176</v>
      </c>
      <c r="IA64" s="58">
        <f t="shared" si="376"/>
        <v>44177</v>
      </c>
      <c r="IB64" s="57">
        <f t="shared" si="376"/>
        <v>44178</v>
      </c>
      <c r="IC64" s="58">
        <f t="shared" si="376"/>
        <v>44179</v>
      </c>
      <c r="ID64" s="58">
        <f t="shared" si="376"/>
        <v>44180</v>
      </c>
      <c r="IE64" s="58">
        <f t="shared" si="376"/>
        <v>44181</v>
      </c>
      <c r="IF64" s="58">
        <f t="shared" si="376"/>
        <v>44182</v>
      </c>
      <c r="IG64" s="58">
        <f t="shared" si="376"/>
        <v>44183</v>
      </c>
      <c r="IH64" s="58">
        <f t="shared" si="376"/>
        <v>44184</v>
      </c>
      <c r="II64" s="57">
        <f t="shared" si="376"/>
        <v>44185</v>
      </c>
      <c r="IJ64" s="58">
        <f t="shared" si="376"/>
        <v>44186</v>
      </c>
      <c r="IK64" s="58">
        <f t="shared" si="376"/>
        <v>44187</v>
      </c>
      <c r="IL64" s="58">
        <f t="shared" si="376"/>
        <v>44188</v>
      </c>
      <c r="IM64" s="58">
        <f t="shared" si="376"/>
        <v>44189</v>
      </c>
      <c r="IN64" s="58">
        <f t="shared" si="376"/>
        <v>44190</v>
      </c>
      <c r="IO64" s="58">
        <f t="shared" si="376"/>
        <v>44191</v>
      </c>
      <c r="IP64" s="57">
        <f t="shared" si="376"/>
        <v>44192</v>
      </c>
      <c r="IQ64" s="58">
        <f t="shared" si="376"/>
        <v>44193</v>
      </c>
      <c r="IR64" s="58">
        <f t="shared" si="376"/>
        <v>44194</v>
      </c>
      <c r="IS64" s="58">
        <f t="shared" si="376"/>
        <v>44195</v>
      </c>
      <c r="IT64" s="58">
        <f t="shared" si="376"/>
        <v>44196</v>
      </c>
      <c r="IU64" s="58">
        <f t="shared" si="376"/>
        <v>44197</v>
      </c>
      <c r="IV64" s="58">
        <f t="shared" si="376"/>
        <v>44198</v>
      </c>
      <c r="IW64" s="57">
        <f t="shared" si="376"/>
        <v>44199</v>
      </c>
      <c r="IX64" s="58">
        <f t="shared" si="376"/>
        <v>44200</v>
      </c>
      <c r="IY64" s="58">
        <f t="shared" si="376"/>
        <v>44201</v>
      </c>
      <c r="IZ64" s="58">
        <f t="shared" si="376"/>
        <v>44202</v>
      </c>
      <c r="JA64" s="58">
        <f t="shared" si="376"/>
        <v>44203</v>
      </c>
      <c r="JB64" s="58">
        <f t="shared" si="376"/>
        <v>44204</v>
      </c>
      <c r="JC64" s="58">
        <f t="shared" si="376"/>
        <v>44205</v>
      </c>
      <c r="JD64" s="57">
        <f t="shared" si="376"/>
        <v>44206</v>
      </c>
      <c r="JE64" s="58">
        <f t="shared" si="376"/>
        <v>44207</v>
      </c>
      <c r="JF64" s="58">
        <f t="shared" si="376"/>
        <v>44208</v>
      </c>
      <c r="JG64" s="58">
        <f t="shared" si="376"/>
        <v>44209</v>
      </c>
      <c r="JH64" s="58">
        <f t="shared" si="376"/>
        <v>44210</v>
      </c>
      <c r="JI64" s="58">
        <f t="shared" si="376"/>
        <v>44211</v>
      </c>
      <c r="JJ64" s="58">
        <f t="shared" si="376"/>
        <v>44212</v>
      </c>
      <c r="JK64" s="57">
        <f t="shared" si="376"/>
        <v>44213</v>
      </c>
      <c r="JL64" s="58">
        <f t="shared" si="376"/>
        <v>44214</v>
      </c>
      <c r="JM64" s="58">
        <f t="shared" si="376"/>
        <v>44215</v>
      </c>
      <c r="JN64" s="58">
        <f t="shared" si="376"/>
        <v>44216</v>
      </c>
      <c r="JO64" s="58">
        <f t="shared" si="376"/>
        <v>44217</v>
      </c>
      <c r="JP64" s="58">
        <f t="shared" si="376"/>
        <v>44218</v>
      </c>
      <c r="JQ64" s="58">
        <f t="shared" si="376"/>
        <v>44219</v>
      </c>
      <c r="JR64" s="57">
        <f t="shared" si="376"/>
        <v>44220</v>
      </c>
      <c r="JS64" s="58">
        <f t="shared" si="376"/>
        <v>44221</v>
      </c>
      <c r="JT64" s="58">
        <f t="shared" si="376"/>
        <v>44222</v>
      </c>
      <c r="JU64" s="58">
        <f t="shared" si="376"/>
        <v>44223</v>
      </c>
      <c r="JV64" s="58">
        <f t="shared" si="376"/>
        <v>44224</v>
      </c>
      <c r="JW64" s="58">
        <f t="shared" si="376"/>
        <v>44225</v>
      </c>
      <c r="JX64" s="58">
        <f t="shared" si="376"/>
        <v>44226</v>
      </c>
      <c r="JY64" s="57">
        <f t="shared" si="376"/>
        <v>44227</v>
      </c>
      <c r="JZ64" s="58">
        <f t="shared" si="376"/>
        <v>44228</v>
      </c>
      <c r="KA64" s="58">
        <f t="shared" si="376"/>
        <v>44229</v>
      </c>
      <c r="KB64" s="58">
        <f t="shared" si="376"/>
        <v>44230</v>
      </c>
      <c r="KC64" s="58">
        <f t="shared" ref="KC64:MJ64" si="377">KC37</f>
        <v>44231</v>
      </c>
      <c r="KD64" s="58">
        <f t="shared" si="377"/>
        <v>44232</v>
      </c>
      <c r="KE64" s="58">
        <f t="shared" si="377"/>
        <v>44233</v>
      </c>
      <c r="KF64" s="57">
        <f t="shared" si="377"/>
        <v>44234</v>
      </c>
      <c r="KG64" s="58">
        <f t="shared" si="377"/>
        <v>44235</v>
      </c>
      <c r="KH64" s="58">
        <f t="shared" si="377"/>
        <v>44236</v>
      </c>
      <c r="KI64" s="58">
        <f t="shared" si="377"/>
        <v>44237</v>
      </c>
      <c r="KJ64" s="58">
        <f t="shared" si="377"/>
        <v>44238</v>
      </c>
      <c r="KK64" s="58">
        <f t="shared" si="377"/>
        <v>44239</v>
      </c>
      <c r="KL64" s="58">
        <f t="shared" si="377"/>
        <v>44240</v>
      </c>
      <c r="KM64" s="57">
        <f t="shared" si="377"/>
        <v>44241</v>
      </c>
      <c r="KN64" s="58">
        <f t="shared" si="377"/>
        <v>44242</v>
      </c>
      <c r="KO64" s="58">
        <f t="shared" si="377"/>
        <v>44243</v>
      </c>
      <c r="KP64" s="58">
        <f t="shared" si="377"/>
        <v>44244</v>
      </c>
      <c r="KQ64" s="58">
        <f t="shared" si="377"/>
        <v>44245</v>
      </c>
      <c r="KR64" s="58">
        <f t="shared" si="377"/>
        <v>44246</v>
      </c>
      <c r="KS64" s="58">
        <f t="shared" si="377"/>
        <v>44247</v>
      </c>
      <c r="KT64" s="57">
        <f t="shared" si="377"/>
        <v>44248</v>
      </c>
      <c r="KU64" s="58">
        <f t="shared" si="377"/>
        <v>44249</v>
      </c>
      <c r="KV64" s="58">
        <f t="shared" si="377"/>
        <v>44250</v>
      </c>
      <c r="KW64" s="58">
        <f t="shared" si="377"/>
        <v>44251</v>
      </c>
      <c r="KX64" s="58">
        <f t="shared" si="377"/>
        <v>44252</v>
      </c>
      <c r="KY64" s="58">
        <f t="shared" si="377"/>
        <v>44253</v>
      </c>
      <c r="KZ64" s="58">
        <f t="shared" si="377"/>
        <v>44254</v>
      </c>
      <c r="LA64" s="57">
        <f t="shared" si="377"/>
        <v>44255</v>
      </c>
      <c r="LB64" s="58">
        <f t="shared" si="377"/>
        <v>44256</v>
      </c>
      <c r="LC64" s="58">
        <f t="shared" si="377"/>
        <v>44257</v>
      </c>
      <c r="LD64" s="58">
        <f t="shared" si="377"/>
        <v>44258</v>
      </c>
      <c r="LE64" s="58">
        <f t="shared" si="377"/>
        <v>44259</v>
      </c>
      <c r="LF64" s="58">
        <f t="shared" si="377"/>
        <v>44260</v>
      </c>
      <c r="LG64" s="58">
        <f t="shared" si="377"/>
        <v>44261</v>
      </c>
      <c r="LH64" s="57">
        <f t="shared" si="377"/>
        <v>44262</v>
      </c>
      <c r="LI64" s="58">
        <f t="shared" si="377"/>
        <v>44263</v>
      </c>
      <c r="LJ64" s="58">
        <f t="shared" si="377"/>
        <v>44264</v>
      </c>
      <c r="LK64" s="58">
        <f t="shared" si="377"/>
        <v>44265</v>
      </c>
      <c r="LL64" s="58">
        <f t="shared" si="377"/>
        <v>44266</v>
      </c>
      <c r="LM64" s="58">
        <f t="shared" si="377"/>
        <v>44267</v>
      </c>
      <c r="LN64" s="58">
        <f t="shared" si="377"/>
        <v>44268</v>
      </c>
      <c r="LO64" s="57">
        <f t="shared" si="377"/>
        <v>44269</v>
      </c>
      <c r="LP64" s="58">
        <f t="shared" si="377"/>
        <v>44270</v>
      </c>
      <c r="LQ64" s="58">
        <f t="shared" si="377"/>
        <v>44271</v>
      </c>
      <c r="LR64" s="58">
        <f t="shared" si="377"/>
        <v>44272</v>
      </c>
      <c r="LS64" s="58">
        <f t="shared" si="377"/>
        <v>44273</v>
      </c>
      <c r="LT64" s="58">
        <f t="shared" si="377"/>
        <v>44274</v>
      </c>
      <c r="LU64" s="58">
        <f t="shared" si="377"/>
        <v>44275</v>
      </c>
      <c r="LV64" s="57">
        <f t="shared" si="377"/>
        <v>44276</v>
      </c>
      <c r="LW64" s="58">
        <f t="shared" si="377"/>
        <v>44277</v>
      </c>
      <c r="LX64" s="58">
        <f t="shared" si="377"/>
        <v>44278</v>
      </c>
      <c r="LY64" s="58">
        <f t="shared" si="377"/>
        <v>44279</v>
      </c>
      <c r="LZ64" s="58">
        <f t="shared" si="377"/>
        <v>44280</v>
      </c>
      <c r="MA64" s="58">
        <f t="shared" si="377"/>
        <v>44281</v>
      </c>
      <c r="MB64" s="58">
        <f t="shared" si="377"/>
        <v>44282</v>
      </c>
      <c r="MC64" s="57">
        <f t="shared" si="377"/>
        <v>44283</v>
      </c>
      <c r="MD64" s="58">
        <f t="shared" si="377"/>
        <v>44284</v>
      </c>
      <c r="ME64" s="58">
        <f t="shared" si="377"/>
        <v>44285</v>
      </c>
      <c r="MF64" s="58">
        <f t="shared" si="377"/>
        <v>44286</v>
      </c>
      <c r="MG64" s="58">
        <f t="shared" si="377"/>
        <v>44287</v>
      </c>
      <c r="MH64" s="58">
        <f t="shared" si="377"/>
        <v>44288</v>
      </c>
      <c r="MI64" s="58">
        <f t="shared" si="377"/>
        <v>44289</v>
      </c>
      <c r="MJ64" s="57">
        <f t="shared" si="377"/>
        <v>44290</v>
      </c>
    </row>
    <row r="65" spans="1:348" ht="15" customHeight="1" x14ac:dyDescent="0.25">
      <c r="A65" s="139"/>
      <c r="B65" s="139"/>
      <c r="C65" s="139"/>
      <c r="D65" s="139"/>
      <c r="E65" s="140"/>
      <c r="F65" s="28"/>
      <c r="G65" s="28"/>
      <c r="H65" s="28"/>
      <c r="I65" s="28"/>
      <c r="J65" s="28"/>
      <c r="K65" s="28"/>
      <c r="L65" s="28"/>
      <c r="M65" s="28"/>
      <c r="N65" s="28"/>
      <c r="O65" s="27"/>
      <c r="P65" s="142"/>
      <c r="Q65" s="150"/>
      <c r="R65" s="144"/>
      <c r="S65" s="24"/>
      <c r="T65" s="25"/>
      <c r="U65" s="25"/>
      <c r="V65" s="25"/>
      <c r="W65" s="25"/>
      <c r="X65" s="25"/>
      <c r="Y65" s="25"/>
      <c r="Z65" s="24"/>
      <c r="AA65" s="25"/>
      <c r="AB65" s="25"/>
      <c r="AC65" s="25"/>
      <c r="AD65" s="25"/>
      <c r="AE65" s="25"/>
      <c r="AF65" s="25"/>
      <c r="AG65" s="24"/>
      <c r="AH65" s="25"/>
      <c r="AI65" s="25" t="s">
        <v>38</v>
      </c>
      <c r="AJ65" s="25"/>
      <c r="AK65" s="25" t="s">
        <v>38</v>
      </c>
      <c r="AL65" s="25"/>
      <c r="AM65" s="25"/>
      <c r="AN65" s="24"/>
      <c r="AO65" s="25"/>
      <c r="AP65" s="25" t="s">
        <v>38</v>
      </c>
      <c r="AQ65" s="25"/>
      <c r="AR65" s="25" t="s">
        <v>38</v>
      </c>
      <c r="AS65" s="25"/>
      <c r="AT65" s="25"/>
      <c r="AU65" s="24"/>
      <c r="AV65" s="25"/>
      <c r="AW65" s="25" t="s">
        <v>38</v>
      </c>
      <c r="AX65" s="25" t="s">
        <v>263</v>
      </c>
      <c r="AY65" s="25" t="s">
        <v>38</v>
      </c>
      <c r="AZ65" s="25"/>
      <c r="BA65" s="25"/>
      <c r="BB65" s="24"/>
      <c r="BC65" s="25"/>
      <c r="BD65" s="25" t="s">
        <v>38</v>
      </c>
      <c r="BE65" s="25"/>
      <c r="BF65" s="25" t="s">
        <v>38</v>
      </c>
      <c r="BG65" s="25"/>
      <c r="BH65" s="25"/>
      <c r="BI65" s="24"/>
      <c r="BJ65" s="25"/>
      <c r="BK65" s="25" t="s">
        <v>38</v>
      </c>
      <c r="BL65" s="25"/>
      <c r="BM65" s="25" t="s">
        <v>38</v>
      </c>
      <c r="BN65" s="25"/>
      <c r="BO65" s="25"/>
      <c r="BP65" s="24" t="s">
        <v>148</v>
      </c>
      <c r="BQ65" s="25"/>
      <c r="BR65" s="25"/>
      <c r="BS65" s="25"/>
      <c r="BT65" s="25"/>
      <c r="BU65" s="25"/>
      <c r="BV65" s="25"/>
      <c r="BW65" s="25" t="s">
        <v>148</v>
      </c>
      <c r="BX65" s="25"/>
      <c r="BY65" s="24"/>
      <c r="BZ65" s="25"/>
      <c r="CA65" s="25"/>
      <c r="CB65" s="25"/>
      <c r="CC65" s="25"/>
      <c r="CD65" s="25"/>
      <c r="CE65" s="25"/>
      <c r="CF65" s="25"/>
      <c r="CG65" s="25"/>
      <c r="CH65" s="24"/>
      <c r="CI65" s="25"/>
      <c r="CJ65" s="25"/>
      <c r="CK65" s="25"/>
      <c r="CL65" s="25"/>
      <c r="CM65" s="25"/>
      <c r="CN65" s="25"/>
      <c r="CO65" s="25"/>
      <c r="CP65" s="25"/>
      <c r="CQ65" s="24"/>
      <c r="CR65" s="25"/>
      <c r="CS65" s="25"/>
      <c r="CT65" s="25"/>
      <c r="CU65" s="25"/>
      <c r="CV65" s="25"/>
      <c r="CW65" s="25"/>
      <c r="CX65" s="25"/>
      <c r="CY65" s="25"/>
      <c r="CZ65" s="24"/>
      <c r="DA65" s="25"/>
      <c r="DB65" s="25"/>
      <c r="DC65" s="25"/>
      <c r="DD65" s="25"/>
      <c r="DE65" s="25"/>
      <c r="DF65" s="25"/>
      <c r="DG65" s="25"/>
      <c r="DH65" s="25"/>
      <c r="DI65" s="24"/>
      <c r="DJ65" s="25"/>
      <c r="DK65" s="25"/>
      <c r="DL65" s="25"/>
      <c r="DM65" s="25"/>
      <c r="DN65" s="25"/>
      <c r="DO65" s="25"/>
      <c r="DP65" s="25"/>
      <c r="DQ65" s="25"/>
      <c r="DR65" s="24"/>
      <c r="DS65" s="25"/>
      <c r="DT65" s="25"/>
      <c r="DU65" s="25"/>
      <c r="DV65" s="25"/>
      <c r="DW65" s="25"/>
      <c r="DX65" s="25"/>
      <c r="DY65" s="25"/>
      <c r="DZ65" s="25"/>
      <c r="EA65" s="24"/>
      <c r="EB65" s="25"/>
      <c r="EC65" s="25"/>
      <c r="ED65" s="25"/>
      <c r="EE65" s="25"/>
      <c r="EF65" s="25"/>
      <c r="EG65" s="25"/>
      <c r="EH65" s="24"/>
      <c r="EI65" s="25"/>
      <c r="EJ65" s="25"/>
      <c r="EK65" s="25"/>
      <c r="EL65" s="25"/>
      <c r="EM65" s="25"/>
      <c r="EN65" s="25"/>
      <c r="EO65" s="24"/>
      <c r="EP65" s="25"/>
      <c r="EQ65" s="25" t="s">
        <v>38</v>
      </c>
      <c r="ER65" s="25"/>
      <c r="ES65" s="25" t="s">
        <v>38</v>
      </c>
      <c r="ET65" s="25"/>
      <c r="EU65" s="25"/>
      <c r="EV65" s="24"/>
      <c r="EW65" s="25"/>
      <c r="EX65" s="25" t="s">
        <v>38</v>
      </c>
      <c r="EY65" s="25"/>
      <c r="EZ65" s="25" t="s">
        <v>38</v>
      </c>
      <c r="FA65" s="25"/>
      <c r="FB65" s="25"/>
      <c r="FC65" s="24"/>
      <c r="FD65" s="25"/>
      <c r="FE65" s="25"/>
      <c r="FF65" s="25"/>
      <c r="FG65" s="25"/>
      <c r="FH65" s="25" t="s">
        <v>38</v>
      </c>
      <c r="FI65" s="25"/>
      <c r="FJ65" s="24"/>
      <c r="FK65" s="25"/>
      <c r="FL65" s="25" t="s">
        <v>38</v>
      </c>
      <c r="FM65" s="25"/>
      <c r="FN65" s="25" t="s">
        <v>38</v>
      </c>
      <c r="FO65" s="25"/>
      <c r="FP65" s="25"/>
      <c r="FQ65" s="24"/>
      <c r="FR65" s="25"/>
      <c r="FS65" s="25" t="s">
        <v>38</v>
      </c>
      <c r="FT65" s="25"/>
      <c r="FU65" s="25" t="s">
        <v>38</v>
      </c>
      <c r="FV65" s="25"/>
      <c r="FW65" s="25"/>
      <c r="FX65" s="24"/>
      <c r="FY65" s="25"/>
      <c r="FZ65" s="25" t="s">
        <v>38</v>
      </c>
      <c r="GA65" s="25"/>
      <c r="GB65" s="25" t="s">
        <v>38</v>
      </c>
      <c r="GC65" s="25"/>
      <c r="GD65" s="25"/>
      <c r="GE65" s="24"/>
      <c r="GF65" s="25"/>
      <c r="GG65" s="25" t="s">
        <v>38</v>
      </c>
      <c r="GH65" s="25"/>
      <c r="GI65" s="25" t="s">
        <v>38</v>
      </c>
      <c r="GJ65" s="25"/>
      <c r="GK65" s="25"/>
      <c r="GL65" s="24"/>
      <c r="GM65" s="25"/>
      <c r="GN65" s="25" t="s">
        <v>38</v>
      </c>
      <c r="GO65" s="25"/>
      <c r="GP65" s="25" t="s">
        <v>38</v>
      </c>
      <c r="GQ65" s="25"/>
      <c r="GR65" s="25"/>
      <c r="GS65" s="24"/>
      <c r="GT65" s="25"/>
      <c r="GU65" s="25" t="s">
        <v>38</v>
      </c>
      <c r="GV65" s="25"/>
      <c r="GW65" s="25" t="s">
        <v>38</v>
      </c>
      <c r="GX65" s="25"/>
      <c r="GY65" s="25"/>
      <c r="GZ65" s="24"/>
      <c r="HA65" s="25"/>
      <c r="HB65" s="25" t="s">
        <v>38</v>
      </c>
      <c r="HC65" s="25"/>
      <c r="HD65" s="25" t="s">
        <v>38</v>
      </c>
      <c r="HE65" s="25"/>
      <c r="HF65" s="25"/>
      <c r="HG65" s="24"/>
      <c r="HH65" s="25"/>
      <c r="HI65" s="25" t="s">
        <v>38</v>
      </c>
      <c r="HJ65" s="25"/>
      <c r="HK65" s="25" t="s">
        <v>38</v>
      </c>
      <c r="HL65" s="25"/>
      <c r="HM65" s="25"/>
      <c r="HN65" s="24"/>
      <c r="HO65" s="25"/>
      <c r="HP65" s="25" t="s">
        <v>38</v>
      </c>
      <c r="HQ65" s="25"/>
      <c r="HR65" s="25" t="s">
        <v>38</v>
      </c>
      <c r="HS65" s="25"/>
      <c r="HT65" s="25"/>
      <c r="HU65" s="24"/>
      <c r="HV65" s="25"/>
      <c r="HW65" s="25" t="s">
        <v>38</v>
      </c>
      <c r="HX65" s="25"/>
      <c r="HY65" s="25" t="s">
        <v>38</v>
      </c>
      <c r="HZ65" s="25"/>
      <c r="IA65" s="25"/>
      <c r="IB65" s="24"/>
      <c r="IC65" s="25"/>
      <c r="ID65" s="25" t="s">
        <v>38</v>
      </c>
      <c r="IE65" s="25"/>
      <c r="IF65" s="25" t="s">
        <v>38</v>
      </c>
      <c r="IG65" s="25"/>
      <c r="IH65" s="25"/>
      <c r="II65" s="24"/>
      <c r="IJ65" s="25"/>
      <c r="IK65" s="25" t="s">
        <v>38</v>
      </c>
      <c r="IL65" s="25"/>
      <c r="IM65" s="25" t="s">
        <v>38</v>
      </c>
      <c r="IN65" s="25"/>
      <c r="IO65" s="25"/>
      <c r="IP65" s="24"/>
      <c r="IQ65" s="25"/>
      <c r="IR65" s="25" t="s">
        <v>38</v>
      </c>
      <c r="IS65" s="25"/>
      <c r="IT65" s="25" t="s">
        <v>38</v>
      </c>
      <c r="IU65" s="25"/>
      <c r="IV65" s="25"/>
      <c r="IW65" s="24"/>
      <c r="IX65" s="25"/>
      <c r="IY65" s="25" t="s">
        <v>38</v>
      </c>
      <c r="IZ65" s="25"/>
      <c r="JA65" s="25" t="s">
        <v>38</v>
      </c>
      <c r="JB65" s="25"/>
      <c r="JC65" s="25"/>
      <c r="JD65" s="24"/>
      <c r="JE65" s="25"/>
      <c r="JF65" s="25" t="s">
        <v>38</v>
      </c>
      <c r="JG65" s="25"/>
      <c r="JH65" s="25" t="s">
        <v>38</v>
      </c>
      <c r="JI65" s="25"/>
      <c r="JJ65" s="25"/>
      <c r="JK65" s="24"/>
      <c r="JL65" s="25"/>
      <c r="JM65" s="25" t="s">
        <v>38</v>
      </c>
      <c r="JN65" s="25"/>
      <c r="JO65" s="25" t="s">
        <v>38</v>
      </c>
      <c r="JP65" s="25"/>
      <c r="JQ65" s="25"/>
      <c r="JR65" s="24"/>
      <c r="JS65" s="25"/>
      <c r="JT65" s="25" t="s">
        <v>38</v>
      </c>
      <c r="JU65" s="25"/>
      <c r="JV65" s="25" t="s">
        <v>38</v>
      </c>
      <c r="JW65" s="25"/>
      <c r="JX65" s="25"/>
      <c r="JY65" s="24"/>
      <c r="JZ65" s="25"/>
      <c r="KA65" s="25" t="s">
        <v>38</v>
      </c>
      <c r="KB65" s="25"/>
      <c r="KC65" s="25" t="s">
        <v>38</v>
      </c>
      <c r="KD65" s="25"/>
      <c r="KE65" s="25"/>
      <c r="KF65" s="24"/>
      <c r="KG65" s="25"/>
      <c r="KH65" s="25" t="s">
        <v>38</v>
      </c>
      <c r="KI65" s="25"/>
      <c r="KJ65" s="25" t="s">
        <v>38</v>
      </c>
      <c r="KK65" s="25"/>
      <c r="KL65" s="25"/>
      <c r="KM65" s="24"/>
      <c r="KN65" s="25"/>
      <c r="KO65" s="25" t="s">
        <v>38</v>
      </c>
      <c r="KP65" s="25"/>
      <c r="KQ65" s="25" t="s">
        <v>38</v>
      </c>
      <c r="KR65" s="25"/>
      <c r="KS65" s="25"/>
      <c r="KT65" s="24"/>
      <c r="KU65" s="25"/>
      <c r="KV65" s="25" t="s">
        <v>38</v>
      </c>
      <c r="KW65" s="25"/>
      <c r="KX65" s="25" t="s">
        <v>38</v>
      </c>
      <c r="KY65" s="25"/>
      <c r="KZ65" s="25"/>
      <c r="LA65" s="24"/>
      <c r="LB65" s="25"/>
      <c r="LC65" s="25" t="s">
        <v>38</v>
      </c>
      <c r="LD65" s="25"/>
      <c r="LE65" s="25" t="s">
        <v>38</v>
      </c>
      <c r="LF65" s="25"/>
      <c r="LG65" s="25"/>
      <c r="LH65" s="26"/>
      <c r="LI65" s="25"/>
      <c r="LJ65" s="25" t="s">
        <v>38</v>
      </c>
      <c r="LK65" s="25"/>
      <c r="LL65" s="25" t="s">
        <v>38</v>
      </c>
      <c r="LM65" s="25"/>
      <c r="LN65" s="25"/>
      <c r="LO65" s="24"/>
      <c r="LP65" s="25"/>
      <c r="LQ65" s="25"/>
      <c r="LR65" s="25"/>
      <c r="LS65" s="25"/>
      <c r="LT65" s="25"/>
      <c r="LU65" s="25"/>
      <c r="LV65" s="24"/>
      <c r="LW65" s="25"/>
      <c r="LX65" s="25"/>
      <c r="LY65" s="25"/>
      <c r="LZ65" s="25"/>
      <c r="MA65" s="25"/>
      <c r="MB65" s="25"/>
      <c r="MC65" s="24"/>
      <c r="MD65" s="25"/>
      <c r="ME65" s="25"/>
      <c r="MF65" s="25"/>
      <c r="MG65" s="25"/>
      <c r="MH65" s="25"/>
      <c r="MI65" s="25"/>
      <c r="MJ65" s="24"/>
    </row>
    <row r="66" spans="1:348" x14ac:dyDescent="0.25">
      <c r="A66" s="23" t="s">
        <v>16</v>
      </c>
      <c r="B66" s="20"/>
      <c r="C66" s="20"/>
      <c r="D66" s="20"/>
      <c r="E66" s="20"/>
      <c r="F66" s="22" t="str">
        <f t="shared" ref="F66:F71" si="378">IF($E66 &gt;= F$40, 1, "")</f>
        <v/>
      </c>
      <c r="G66" s="20"/>
      <c r="H66" s="20"/>
      <c r="I66" s="20" t="str">
        <f t="shared" ref="I66:L67" si="379">IF($E66 &gt;= I$40, 1, "")</f>
        <v/>
      </c>
      <c r="J66" s="20" t="str">
        <f t="shared" si="379"/>
        <v/>
      </c>
      <c r="K66" s="20" t="str">
        <f t="shared" si="379"/>
        <v/>
      </c>
      <c r="L66" s="20" t="str">
        <f t="shared" si="379"/>
        <v/>
      </c>
      <c r="M66" s="20"/>
      <c r="N66" s="20"/>
      <c r="O66" s="21"/>
      <c r="P66" s="20" t="str">
        <f t="shared" ref="P66:P71" si="380">IF(SUM(S66:MJ66) &gt; 0, SUM(S66:MJ66), "")</f>
        <v/>
      </c>
      <c r="Q66" s="118"/>
      <c r="R66" s="82"/>
      <c r="S66" s="21"/>
      <c r="T66" s="20"/>
      <c r="U66" s="20"/>
      <c r="V66" s="20"/>
      <c r="W66" s="20"/>
      <c r="X66" s="20"/>
      <c r="Y66" s="20"/>
      <c r="Z66" s="21"/>
      <c r="AA66" s="20"/>
      <c r="AB66" s="20"/>
      <c r="AC66" s="20"/>
      <c r="AD66" s="20"/>
      <c r="AE66" s="20"/>
      <c r="AF66" s="20"/>
      <c r="AG66" s="21"/>
      <c r="AH66" s="20"/>
      <c r="AI66" s="20"/>
      <c r="AJ66" s="20"/>
      <c r="AK66" s="20"/>
      <c r="AL66" s="20"/>
      <c r="AM66" s="20"/>
      <c r="AN66" s="21"/>
      <c r="AO66" s="20"/>
      <c r="AP66" s="20"/>
      <c r="AQ66" s="20"/>
      <c r="AR66" s="20"/>
      <c r="AS66" s="20"/>
      <c r="AT66" s="20"/>
      <c r="AU66" s="21"/>
      <c r="AV66" s="20"/>
      <c r="AW66" s="20"/>
      <c r="AX66" s="20"/>
      <c r="AY66" s="20"/>
      <c r="AZ66" s="20"/>
      <c r="BA66" s="20"/>
      <c r="BB66" s="21"/>
      <c r="BC66" s="20"/>
      <c r="BD66" s="20"/>
      <c r="BE66" s="20"/>
      <c r="BF66" s="20"/>
      <c r="BG66" s="20"/>
      <c r="BH66" s="20"/>
      <c r="BI66" s="21"/>
      <c r="BJ66" s="20"/>
      <c r="BK66" s="20"/>
      <c r="BL66" s="20"/>
      <c r="BM66" s="20"/>
      <c r="BN66" s="20"/>
      <c r="BO66" s="20"/>
      <c r="BP66" s="21"/>
      <c r="BQ66" s="20"/>
      <c r="BR66" s="20"/>
      <c r="BS66" s="20"/>
      <c r="BT66" s="20"/>
      <c r="BU66" s="20"/>
      <c r="BV66" s="20"/>
      <c r="BW66" s="20"/>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c r="DU66" s="20"/>
      <c r="DV66" s="20"/>
      <c r="DW66" s="20"/>
      <c r="DX66" s="20"/>
      <c r="DY66" s="20"/>
      <c r="DZ66" s="20"/>
      <c r="EA66" s="21"/>
      <c r="EB66" s="20"/>
      <c r="EC66" s="20"/>
      <c r="ED66" s="20"/>
      <c r="EE66" s="20"/>
      <c r="EF66" s="20"/>
      <c r="EG66" s="20"/>
      <c r="EH66" s="21"/>
      <c r="EI66" s="20"/>
      <c r="EJ66" s="20"/>
      <c r="EK66" s="20"/>
      <c r="EL66" s="20"/>
      <c r="EM66" s="20"/>
      <c r="EN66" s="20"/>
      <c r="EO66" s="21"/>
      <c r="EP66" s="20"/>
      <c r="EQ66" s="20"/>
      <c r="ER66" s="20"/>
      <c r="ES66" s="20"/>
      <c r="ET66" s="20"/>
      <c r="EU66" s="20"/>
      <c r="EV66" s="21"/>
      <c r="EW66" s="20"/>
      <c r="EX66" s="20"/>
      <c r="EY66" s="20"/>
      <c r="EZ66" s="20"/>
      <c r="FA66" s="20"/>
      <c r="FB66" s="20"/>
      <c r="FC66" s="21"/>
      <c r="FD66" s="20"/>
      <c r="FE66" s="20"/>
      <c r="FF66" s="20"/>
      <c r="FG66" s="20"/>
      <c r="FH66" s="20"/>
      <c r="FI66" s="20"/>
      <c r="FJ66" s="21"/>
      <c r="FK66" s="20"/>
      <c r="FL66" s="20"/>
      <c r="FM66" s="20"/>
      <c r="FN66" s="20"/>
      <c r="FO66" s="20"/>
      <c r="FP66" s="20"/>
      <c r="FQ66" s="21"/>
      <c r="FR66" s="20"/>
      <c r="FS66" s="20"/>
      <c r="FT66" s="20"/>
      <c r="FU66" s="20"/>
      <c r="FV66" s="20"/>
      <c r="FW66" s="20"/>
      <c r="FX66" s="21"/>
      <c r="FY66" s="20"/>
      <c r="FZ66" s="20"/>
      <c r="GA66" s="20"/>
      <c r="GB66" s="20"/>
      <c r="GC66" s="20"/>
      <c r="GD66" s="20"/>
      <c r="GE66" s="21"/>
      <c r="GF66" s="20"/>
      <c r="GG66" s="20"/>
      <c r="GH66" s="20"/>
      <c r="GI66" s="20"/>
      <c r="GJ66" s="20"/>
      <c r="GK66" s="20"/>
      <c r="GL66" s="21"/>
      <c r="GM66" s="20"/>
      <c r="GN66" s="20"/>
      <c r="GO66" s="20"/>
      <c r="GP66" s="20"/>
      <c r="GQ66" s="20"/>
      <c r="GR66" s="20"/>
      <c r="GS66" s="21"/>
      <c r="GT66" s="20"/>
      <c r="GU66" s="20"/>
      <c r="GV66" s="20"/>
      <c r="GW66" s="20"/>
      <c r="GX66" s="20"/>
      <c r="GY66" s="20"/>
      <c r="GZ66" s="21"/>
      <c r="HA66" s="20"/>
      <c r="HB66" s="20"/>
      <c r="HC66" s="20"/>
      <c r="HD66" s="20"/>
      <c r="HE66" s="20"/>
      <c r="HF66" s="20"/>
      <c r="HG66" s="21"/>
      <c r="HH66" s="20"/>
      <c r="HI66" s="20"/>
      <c r="HJ66" s="20"/>
      <c r="HK66" s="20"/>
      <c r="HL66" s="20"/>
      <c r="HM66" s="20"/>
      <c r="HN66" s="21"/>
      <c r="HO66" s="20"/>
      <c r="HP66" s="20"/>
      <c r="HQ66" s="20"/>
      <c r="HR66" s="20"/>
      <c r="HS66" s="20"/>
      <c r="HT66" s="20"/>
      <c r="HU66" s="21"/>
      <c r="HV66" s="20"/>
      <c r="HW66" s="20"/>
      <c r="HX66" s="20"/>
      <c r="HY66" s="20"/>
      <c r="HZ66" s="20"/>
      <c r="IA66" s="20"/>
      <c r="IB66" s="21"/>
      <c r="IC66" s="20"/>
      <c r="ID66" s="20"/>
      <c r="IE66" s="20"/>
      <c r="IF66" s="20"/>
      <c r="IG66" s="20"/>
      <c r="IH66" s="20"/>
      <c r="II66" s="21"/>
      <c r="IJ66" s="20"/>
      <c r="IK66" s="20"/>
      <c r="IL66" s="20"/>
      <c r="IM66" s="20"/>
      <c r="IN66" s="20"/>
      <c r="IO66" s="20"/>
      <c r="IP66" s="21"/>
      <c r="IQ66" s="20"/>
      <c r="IR66" s="20"/>
      <c r="IS66" s="20"/>
      <c r="IT66" s="20"/>
      <c r="IU66" s="20"/>
      <c r="IV66" s="20"/>
      <c r="IW66" s="21"/>
      <c r="IX66" s="20"/>
      <c r="IY66" s="20"/>
      <c r="IZ66" s="20"/>
      <c r="JA66" s="20"/>
      <c r="JB66" s="20"/>
      <c r="JC66" s="20"/>
      <c r="JD66" s="21"/>
      <c r="JE66" s="20"/>
      <c r="JF66" s="20"/>
      <c r="JG66" s="20"/>
      <c r="JH66" s="20"/>
      <c r="JI66" s="20"/>
      <c r="JJ66" s="20"/>
      <c r="JK66" s="21"/>
      <c r="JL66" s="20"/>
      <c r="JM66" s="20"/>
      <c r="JN66" s="20"/>
      <c r="JO66" s="20"/>
      <c r="JP66" s="20"/>
      <c r="JQ66" s="20"/>
      <c r="JR66" s="21"/>
      <c r="JS66" s="20"/>
      <c r="JT66" s="20"/>
      <c r="JU66" s="20"/>
      <c r="JV66" s="20"/>
      <c r="JW66" s="20"/>
      <c r="JX66" s="20"/>
      <c r="JY66" s="21"/>
      <c r="JZ66" s="20"/>
      <c r="KA66" s="20"/>
      <c r="KB66" s="20"/>
      <c r="KC66" s="20"/>
      <c r="KD66" s="20"/>
      <c r="KE66" s="20"/>
      <c r="KF66" s="21"/>
      <c r="KG66" s="20"/>
      <c r="KH66" s="20"/>
      <c r="KI66" s="20"/>
      <c r="KJ66" s="20"/>
      <c r="KK66" s="20"/>
      <c r="KL66" s="20"/>
      <c r="KM66" s="21"/>
      <c r="KN66" s="20"/>
      <c r="KO66" s="20"/>
      <c r="KP66" s="20"/>
      <c r="KQ66" s="20"/>
      <c r="KR66" s="20"/>
      <c r="KS66" s="20"/>
      <c r="KT66" s="21"/>
      <c r="KU66" s="20"/>
      <c r="KV66" s="20"/>
      <c r="KW66" s="20"/>
      <c r="KX66" s="20"/>
      <c r="KY66" s="20"/>
      <c r="KZ66" s="20"/>
      <c r="LA66" s="21"/>
      <c r="LB66" s="20"/>
      <c r="LC66" s="20"/>
      <c r="LD66" s="20"/>
      <c r="LE66" s="20"/>
      <c r="LF66" s="20"/>
      <c r="LG66" s="20"/>
      <c r="LH66" s="21"/>
      <c r="LI66" s="20"/>
      <c r="LJ66" s="20"/>
      <c r="LK66" s="20"/>
      <c r="LL66" s="20"/>
      <c r="LM66" s="20"/>
      <c r="LN66" s="20"/>
      <c r="LO66" s="21"/>
      <c r="LP66" s="20"/>
      <c r="LQ66" s="20"/>
      <c r="LR66" s="20"/>
      <c r="LS66" s="20"/>
      <c r="LT66" s="20"/>
      <c r="LU66" s="20"/>
      <c r="LV66" s="21"/>
      <c r="LW66" s="20"/>
      <c r="LX66" s="20"/>
      <c r="LY66" s="20"/>
      <c r="LZ66" s="20"/>
      <c r="MA66" s="20"/>
      <c r="MB66" s="20"/>
      <c r="MC66" s="21"/>
      <c r="MD66" s="20"/>
      <c r="ME66" s="20"/>
      <c r="MF66" s="20"/>
      <c r="MG66" s="20"/>
      <c r="MH66" s="20"/>
      <c r="MI66" s="20"/>
      <c r="MJ66" s="21"/>
    </row>
    <row r="67" spans="1:348" ht="7.5" customHeight="1" x14ac:dyDescent="0.25">
      <c r="A67" s="8"/>
      <c r="B67" s="8"/>
      <c r="C67" s="8"/>
      <c r="D67" s="8"/>
      <c r="E67" s="8"/>
      <c r="F67" s="10" t="str">
        <f t="shared" si="378"/>
        <v/>
      </c>
      <c r="G67" s="19"/>
      <c r="H67" s="19"/>
      <c r="I67" s="19" t="str">
        <f t="shared" si="379"/>
        <v/>
      </c>
      <c r="J67" s="19" t="str">
        <f t="shared" si="379"/>
        <v/>
      </c>
      <c r="K67" s="19" t="str">
        <f t="shared" si="379"/>
        <v/>
      </c>
      <c r="L67" s="19" t="str">
        <f t="shared" si="379"/>
        <v/>
      </c>
      <c r="M67" s="8"/>
      <c r="N67" s="8"/>
      <c r="O67" s="9"/>
      <c r="P67" s="8" t="str">
        <f t="shared" si="380"/>
        <v/>
      </c>
      <c r="Q67" s="109" t="str">
        <f t="shared" ref="Q67:Q72" si="381">IF(SUM(S67:XFD67) &gt; 0, SUM(S67:XFD67) / $P$73 * 100, "")</f>
        <v/>
      </c>
      <c r="R67" s="84"/>
      <c r="S67" s="7"/>
      <c r="Z67" s="7"/>
      <c r="AG67" s="7"/>
      <c r="AN67" s="7"/>
      <c r="AU67" s="7"/>
      <c r="BB67" s="7"/>
      <c r="BI67" s="7"/>
      <c r="BP67" s="7"/>
      <c r="BY67" s="7"/>
      <c r="CH67" s="7"/>
      <c r="CQ67" s="7"/>
      <c r="CZ67" s="7"/>
      <c r="DI67" s="7"/>
      <c r="DR67" s="7"/>
      <c r="EA67" s="7"/>
      <c r="EH67" s="7"/>
      <c r="EO67" s="7"/>
      <c r="EV67" s="7"/>
      <c r="FC67" s="7"/>
      <c r="FJ67" s="7"/>
      <c r="FQ67" s="7"/>
      <c r="FX67" s="7"/>
      <c r="GE67" s="7"/>
      <c r="GL67" s="7"/>
      <c r="GS67" s="7"/>
      <c r="GZ67" s="7"/>
      <c r="HG67" s="7"/>
      <c r="HN67" s="7"/>
      <c r="HU67" s="7"/>
      <c r="IB67" s="7"/>
      <c r="II67" s="7"/>
      <c r="IP67" s="7"/>
      <c r="IW67" s="7"/>
      <c r="JD67" s="7"/>
      <c r="JK67" s="7"/>
      <c r="JR67" s="7"/>
      <c r="JY67" s="7"/>
      <c r="KF67" s="7"/>
      <c r="KM67" s="7"/>
      <c r="KT67" s="7"/>
      <c r="LA67" s="7"/>
      <c r="LH67" s="7"/>
      <c r="LO67" s="7"/>
      <c r="LV67" s="7"/>
      <c r="MC67" s="7"/>
      <c r="MJ67" s="7"/>
    </row>
    <row r="68" spans="1:348" x14ac:dyDescent="0.25">
      <c r="A68" s="8" t="s">
        <v>37</v>
      </c>
      <c r="B68" s="8"/>
      <c r="C68" s="8" t="s">
        <v>36</v>
      </c>
      <c r="D68" s="8" t="s">
        <v>35</v>
      </c>
      <c r="E68" s="18">
        <v>39448</v>
      </c>
      <c r="F68" s="10">
        <f t="shared" si="378"/>
        <v>1</v>
      </c>
      <c r="G68" s="19">
        <f t="shared" ref="G68:H71" si="382">IF($E68 &gt;= G$40, 1, "")</f>
        <v>1</v>
      </c>
      <c r="H68" s="19">
        <f t="shared" si="382"/>
        <v>1</v>
      </c>
      <c r="I68" s="8">
        <f t="shared" ref="I68:L71" si="383">IF($E68 &gt;= I$40, 1, "")</f>
        <v>1</v>
      </c>
      <c r="J68" s="8">
        <f t="shared" si="383"/>
        <v>1</v>
      </c>
      <c r="K68" s="8" t="str">
        <f t="shared" si="383"/>
        <v/>
      </c>
      <c r="L68" s="8" t="str">
        <f t="shared" si="383"/>
        <v/>
      </c>
      <c r="M68" s="8"/>
      <c r="N68" s="8"/>
      <c r="O68" s="9"/>
      <c r="P68" s="8">
        <f t="shared" si="380"/>
        <v>8</v>
      </c>
      <c r="Q68" s="109">
        <f t="shared" si="381"/>
        <v>57.142857142857139</v>
      </c>
      <c r="R68" s="84"/>
      <c r="S68" s="7"/>
      <c r="Z68" s="7"/>
      <c r="AG68" s="7"/>
      <c r="AK68">
        <v>1</v>
      </c>
      <c r="AN68" s="7"/>
      <c r="AP68">
        <v>1</v>
      </c>
      <c r="AU68" s="7"/>
      <c r="AW68">
        <v>1</v>
      </c>
      <c r="BB68" s="7"/>
      <c r="BD68">
        <v>1</v>
      </c>
      <c r="BI68" s="7"/>
      <c r="BK68">
        <v>1</v>
      </c>
      <c r="BM68">
        <v>1</v>
      </c>
      <c r="BN68">
        <v>1</v>
      </c>
      <c r="BP68" s="7"/>
      <c r="BW68">
        <v>1</v>
      </c>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34</v>
      </c>
      <c r="B69" s="8"/>
      <c r="C69" s="8" t="s">
        <v>33</v>
      </c>
      <c r="D69" s="8" t="s">
        <v>32</v>
      </c>
      <c r="E69" s="18">
        <v>39649</v>
      </c>
      <c r="F69" s="10">
        <f t="shared" si="378"/>
        <v>1</v>
      </c>
      <c r="G69" s="19">
        <f t="shared" si="382"/>
        <v>1</v>
      </c>
      <c r="H69" s="19">
        <f t="shared" si="382"/>
        <v>1</v>
      </c>
      <c r="I69" s="8">
        <f t="shared" si="383"/>
        <v>1</v>
      </c>
      <c r="J69" s="8">
        <f t="shared" si="383"/>
        <v>1</v>
      </c>
      <c r="K69" s="8" t="str">
        <f t="shared" si="383"/>
        <v/>
      </c>
      <c r="L69" s="8" t="str">
        <f t="shared" si="383"/>
        <v/>
      </c>
      <c r="M69" s="8"/>
      <c r="N69" s="8"/>
      <c r="O69" s="9"/>
      <c r="P69" s="8" t="str">
        <f t="shared" si="380"/>
        <v/>
      </c>
      <c r="Q69" s="109" t="str">
        <f t="shared" si="381"/>
        <v/>
      </c>
      <c r="R69" s="84"/>
      <c r="S69" s="7"/>
      <c r="Z69" s="7"/>
      <c r="AG69" s="7"/>
      <c r="AN69" s="7"/>
      <c r="AU69" s="7"/>
      <c r="BB69" s="7"/>
      <c r="BI69" s="7"/>
      <c r="BP69" s="7"/>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31</v>
      </c>
      <c r="B70" s="8"/>
      <c r="C70" s="8" t="s">
        <v>30</v>
      </c>
      <c r="D70" s="8" t="s">
        <v>29</v>
      </c>
      <c r="E70" s="18">
        <v>39453</v>
      </c>
      <c r="F70" s="10">
        <f t="shared" si="378"/>
        <v>1</v>
      </c>
      <c r="G70" s="19">
        <f t="shared" si="382"/>
        <v>1</v>
      </c>
      <c r="H70" s="19">
        <f t="shared" si="382"/>
        <v>1</v>
      </c>
      <c r="I70" s="8">
        <f t="shared" si="383"/>
        <v>1</v>
      </c>
      <c r="J70" s="8">
        <f t="shared" si="383"/>
        <v>1</v>
      </c>
      <c r="K70" s="8" t="str">
        <f t="shared" si="383"/>
        <v/>
      </c>
      <c r="L70" s="8" t="str">
        <f t="shared" si="383"/>
        <v/>
      </c>
      <c r="M70" s="8"/>
      <c r="N70" s="8"/>
      <c r="O70" s="9"/>
      <c r="P70" s="8">
        <f t="shared" si="380"/>
        <v>9</v>
      </c>
      <c r="Q70" s="109">
        <f t="shared" si="381"/>
        <v>64.285714285714292</v>
      </c>
      <c r="R70" s="84"/>
      <c r="S70" s="7"/>
      <c r="Z70" s="7"/>
      <c r="AG70" s="7"/>
      <c r="AK70">
        <v>1</v>
      </c>
      <c r="AN70" s="7"/>
      <c r="AR70">
        <v>1</v>
      </c>
      <c r="AU70" s="7"/>
      <c r="BB70" s="7"/>
      <c r="BD70">
        <v>1</v>
      </c>
      <c r="BF70">
        <v>1</v>
      </c>
      <c r="BI70" s="7"/>
      <c r="BK70">
        <v>1</v>
      </c>
      <c r="BM70">
        <v>1</v>
      </c>
      <c r="BN70">
        <v>1</v>
      </c>
      <c r="BP70" s="7">
        <v>1</v>
      </c>
      <c r="BW70">
        <v>1</v>
      </c>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28</v>
      </c>
      <c r="B71" s="8"/>
      <c r="C71" s="8" t="s">
        <v>27</v>
      </c>
      <c r="D71" s="8" t="s">
        <v>26</v>
      </c>
      <c r="E71" s="18">
        <v>39802</v>
      </c>
      <c r="F71" s="10">
        <f t="shared" si="378"/>
        <v>1</v>
      </c>
      <c r="G71" s="19">
        <f t="shared" si="382"/>
        <v>1</v>
      </c>
      <c r="H71" s="19">
        <f t="shared" si="382"/>
        <v>1</v>
      </c>
      <c r="I71" s="8">
        <f t="shared" si="383"/>
        <v>1</v>
      </c>
      <c r="J71" s="8">
        <f t="shared" si="383"/>
        <v>1</v>
      </c>
      <c r="K71" s="8" t="str">
        <f t="shared" si="383"/>
        <v/>
      </c>
      <c r="L71" s="8" t="str">
        <f t="shared" si="383"/>
        <v/>
      </c>
      <c r="M71" s="8"/>
      <c r="N71" s="8"/>
      <c r="O71" s="9"/>
      <c r="P71" s="8">
        <f t="shared" si="380"/>
        <v>7</v>
      </c>
      <c r="Q71" s="109">
        <f t="shared" si="381"/>
        <v>50</v>
      </c>
      <c r="R71" s="84"/>
      <c r="S71" s="7"/>
      <c r="Z71" s="7"/>
      <c r="AG71" s="7"/>
      <c r="AK71">
        <v>1</v>
      </c>
      <c r="AN71" s="7"/>
      <c r="AP71">
        <v>1</v>
      </c>
      <c r="AU71" s="7"/>
      <c r="AW71">
        <v>1</v>
      </c>
      <c r="AY71">
        <v>1</v>
      </c>
      <c r="BB71" s="7"/>
      <c r="BD71">
        <v>1</v>
      </c>
      <c r="BF71">
        <v>1</v>
      </c>
      <c r="BI71" s="7"/>
      <c r="BM71">
        <v>1</v>
      </c>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ht="7.5" customHeight="1" x14ac:dyDescent="0.25">
      <c r="A72" s="8"/>
      <c r="B72" s="8"/>
      <c r="C72" s="8"/>
      <c r="D72" s="8"/>
      <c r="E72" s="8"/>
      <c r="F72" s="10"/>
      <c r="G72" s="19"/>
      <c r="H72" s="19"/>
      <c r="I72" s="8"/>
      <c r="J72" s="8"/>
      <c r="K72" s="8"/>
      <c r="L72" s="8"/>
      <c r="M72" s="8"/>
      <c r="N72" s="8"/>
      <c r="O72" s="9"/>
      <c r="P72" s="8" t="str">
        <f>IF(SUM(R72:MJ72) &gt; 0, SUM(R72:MJ72), "")</f>
        <v/>
      </c>
      <c r="Q72" s="109" t="str">
        <f t="shared" si="381"/>
        <v/>
      </c>
      <c r="R72" s="84"/>
      <c r="S72" s="7"/>
      <c r="Z72" s="7"/>
      <c r="AG72" s="7"/>
      <c r="AN72" s="7"/>
      <c r="AU72" s="7"/>
      <c r="BB72" s="7"/>
      <c r="BI72" s="7"/>
      <c r="BP72" s="7"/>
      <c r="BY72" s="7"/>
      <c r="CH72" s="7"/>
      <c r="CQ72" s="7"/>
      <c r="CZ72" s="7"/>
      <c r="DI72" s="7"/>
      <c r="DR72" s="7"/>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15" customHeight="1" thickBot="1" x14ac:dyDescent="0.3">
      <c r="A73" s="20" t="s">
        <v>18</v>
      </c>
      <c r="B73" s="20"/>
      <c r="C73" s="20"/>
      <c r="D73" s="20"/>
      <c r="E73" s="21"/>
      <c r="F73" s="20"/>
      <c r="G73" s="20"/>
      <c r="H73" s="20"/>
      <c r="I73" s="20"/>
      <c r="J73" s="20"/>
      <c r="K73" s="20"/>
      <c r="L73" s="20"/>
      <c r="M73" s="20"/>
      <c r="N73" s="20"/>
      <c r="O73" s="21"/>
      <c r="P73" s="60">
        <f>SUM(S73:MJ73)</f>
        <v>14</v>
      </c>
      <c r="Q73" s="60"/>
      <c r="R73" s="21"/>
      <c r="S73" s="21"/>
      <c r="T73" s="20"/>
      <c r="U73" s="20"/>
      <c r="V73" s="20"/>
      <c r="W73" s="20"/>
      <c r="X73" s="20"/>
      <c r="Y73" s="20"/>
      <c r="Z73" s="21"/>
      <c r="AA73" s="20"/>
      <c r="AB73" s="20"/>
      <c r="AC73" s="20"/>
      <c r="AD73" s="20"/>
      <c r="AE73" s="20"/>
      <c r="AF73" s="20"/>
      <c r="AG73" s="21"/>
      <c r="AH73" s="20"/>
      <c r="AI73" s="20">
        <v>1</v>
      </c>
      <c r="AJ73" s="20"/>
      <c r="AK73" s="20">
        <v>1</v>
      </c>
      <c r="AL73" s="20"/>
      <c r="AM73" s="20"/>
      <c r="AN73" s="21"/>
      <c r="AO73" s="20"/>
      <c r="AP73" s="20">
        <v>1</v>
      </c>
      <c r="AQ73" s="20"/>
      <c r="AR73" s="20">
        <v>1</v>
      </c>
      <c r="AS73" s="20"/>
      <c r="AT73" s="20"/>
      <c r="AU73" s="21"/>
      <c r="AV73" s="20"/>
      <c r="AW73" s="20">
        <v>1</v>
      </c>
      <c r="AX73" s="20">
        <v>1</v>
      </c>
      <c r="AY73" s="20">
        <v>1</v>
      </c>
      <c r="AZ73" s="20"/>
      <c r="BA73" s="20"/>
      <c r="BB73" s="21"/>
      <c r="BC73" s="20"/>
      <c r="BD73" s="20">
        <v>1</v>
      </c>
      <c r="BE73" s="20"/>
      <c r="BF73" s="20">
        <v>1</v>
      </c>
      <c r="BG73" s="20"/>
      <c r="BH73" s="20"/>
      <c r="BI73" s="21"/>
      <c r="BJ73" s="20"/>
      <c r="BK73" s="20">
        <v>1</v>
      </c>
      <c r="BL73" s="20"/>
      <c r="BM73" s="20">
        <v>1</v>
      </c>
      <c r="BN73" s="20">
        <v>1</v>
      </c>
      <c r="BO73" s="20"/>
      <c r="BP73" s="21">
        <v>1</v>
      </c>
      <c r="BQ73" s="20"/>
      <c r="BR73" s="20"/>
      <c r="BS73" s="20"/>
      <c r="BT73" s="20"/>
      <c r="BU73" s="20"/>
      <c r="BV73" s="20"/>
      <c r="BW73" s="20">
        <v>1</v>
      </c>
      <c r="BX73" s="20"/>
      <c r="BY73" s="21"/>
      <c r="BZ73" s="20"/>
      <c r="CA73" s="20"/>
      <c r="CB73" s="20"/>
      <c r="CC73" s="20"/>
      <c r="CD73" s="20"/>
      <c r="CE73" s="20"/>
      <c r="CF73" s="20"/>
      <c r="CG73" s="20"/>
      <c r="CH73" s="21"/>
      <c r="CI73" s="20"/>
      <c r="CJ73" s="20"/>
      <c r="CK73" s="20"/>
      <c r="CL73" s="20"/>
      <c r="CM73" s="20"/>
      <c r="CN73" s="20"/>
      <c r="CO73" s="20"/>
      <c r="CP73" s="20"/>
      <c r="CQ73" s="21"/>
      <c r="CR73" s="20"/>
      <c r="CS73" s="20"/>
      <c r="CT73" s="20"/>
      <c r="CU73" s="20"/>
      <c r="CV73" s="20"/>
      <c r="CW73" s="20"/>
      <c r="CX73" s="20"/>
      <c r="CY73" s="20"/>
      <c r="CZ73" s="21"/>
      <c r="DA73" s="20"/>
      <c r="DB73" s="20"/>
      <c r="DC73" s="20"/>
      <c r="DD73" s="20"/>
      <c r="DE73" s="20"/>
      <c r="DF73" s="20"/>
      <c r="DG73" s="20"/>
      <c r="DH73" s="20"/>
      <c r="DI73" s="21"/>
      <c r="DJ73" s="20"/>
      <c r="DK73" s="20"/>
      <c r="DL73" s="20"/>
      <c r="DM73" s="20"/>
      <c r="DN73" s="20"/>
      <c r="DO73" s="20"/>
      <c r="DP73" s="20"/>
      <c r="DQ73" s="20"/>
      <c r="DR73" s="21"/>
      <c r="DS73" s="20"/>
      <c r="DT73" s="20"/>
      <c r="DU73" s="20"/>
      <c r="DV73" s="20"/>
      <c r="DW73" s="20"/>
      <c r="DX73" s="20"/>
      <c r="DY73" s="20"/>
      <c r="DZ73" s="20"/>
      <c r="EA73" s="21"/>
      <c r="EB73" s="20"/>
      <c r="EC73" s="20"/>
      <c r="ED73" s="20"/>
      <c r="EE73" s="20"/>
      <c r="EF73" s="20"/>
      <c r="EG73" s="20"/>
      <c r="EH73" s="21"/>
      <c r="EI73" s="20"/>
      <c r="EJ73" s="20"/>
      <c r="EK73" s="20"/>
      <c r="EL73" s="20"/>
      <c r="EM73" s="20"/>
      <c r="EN73" s="20"/>
      <c r="EO73" s="21"/>
      <c r="EP73" s="20"/>
      <c r="EQ73" s="20"/>
      <c r="ER73" s="20"/>
      <c r="ES73" s="20"/>
      <c r="ET73" s="20"/>
      <c r="EU73" s="20"/>
      <c r="EV73" s="21"/>
      <c r="EW73" s="20"/>
      <c r="EX73" s="20"/>
      <c r="EY73" s="20"/>
      <c r="EZ73" s="20"/>
      <c r="FA73" s="20"/>
      <c r="FB73" s="20"/>
      <c r="FC73" s="21"/>
      <c r="FD73" s="20"/>
      <c r="FE73" s="20"/>
      <c r="FF73" s="20"/>
      <c r="FG73" s="20"/>
      <c r="FH73" s="20"/>
      <c r="FI73" s="20"/>
      <c r="FJ73" s="21"/>
      <c r="FK73" s="20"/>
      <c r="FL73" s="20"/>
      <c r="FM73" s="20"/>
      <c r="FN73" s="20"/>
      <c r="FO73" s="20"/>
      <c r="FP73" s="20"/>
      <c r="FQ73" s="21"/>
      <c r="FR73" s="20"/>
      <c r="FS73" s="20"/>
      <c r="FT73" s="20"/>
      <c r="FU73" s="20"/>
      <c r="FV73" s="20"/>
      <c r="FW73" s="20"/>
      <c r="FX73" s="21"/>
      <c r="FY73" s="20"/>
      <c r="FZ73" s="20"/>
      <c r="GA73" s="20"/>
      <c r="GB73" s="20"/>
      <c r="GC73" s="20"/>
      <c r="GD73" s="20"/>
      <c r="GE73" s="21"/>
      <c r="GF73" s="20"/>
      <c r="GG73" s="20"/>
      <c r="GH73" s="20"/>
      <c r="GI73" s="20"/>
      <c r="GJ73" s="20"/>
      <c r="GK73" s="20"/>
      <c r="GL73" s="21"/>
      <c r="GM73" s="20"/>
      <c r="GN73" s="20"/>
      <c r="GO73" s="20"/>
      <c r="GP73" s="20"/>
      <c r="GQ73" s="20"/>
      <c r="GR73" s="20"/>
      <c r="GS73" s="21"/>
      <c r="GT73" s="20"/>
      <c r="GU73" s="20"/>
      <c r="GV73" s="20"/>
      <c r="GW73" s="20"/>
      <c r="GX73" s="20"/>
      <c r="GY73" s="20"/>
      <c r="GZ73" s="21"/>
      <c r="HA73" s="20"/>
      <c r="HB73" s="20"/>
      <c r="HC73" s="20"/>
      <c r="HD73" s="20"/>
      <c r="HE73" s="20"/>
      <c r="HF73" s="20"/>
      <c r="HG73" s="21"/>
      <c r="HH73" s="20"/>
      <c r="HI73" s="20"/>
      <c r="HJ73" s="20"/>
      <c r="HK73" s="20"/>
      <c r="HL73" s="20"/>
      <c r="HM73" s="20"/>
      <c r="HN73" s="21"/>
      <c r="HO73" s="20"/>
      <c r="HP73" s="20"/>
      <c r="HQ73" s="20"/>
      <c r="HR73" s="20"/>
      <c r="HS73" s="20"/>
      <c r="HT73" s="20"/>
      <c r="HU73" s="21"/>
      <c r="HV73" s="20"/>
      <c r="HW73" s="20"/>
      <c r="HX73" s="20"/>
      <c r="HY73" s="20"/>
      <c r="HZ73" s="20"/>
      <c r="IA73" s="20"/>
      <c r="IB73" s="21"/>
      <c r="IC73" s="20"/>
      <c r="ID73" s="20"/>
      <c r="IE73" s="20"/>
      <c r="IF73" s="20"/>
      <c r="IG73" s="20"/>
      <c r="IH73" s="20"/>
      <c r="II73" s="21"/>
      <c r="IJ73" s="20"/>
      <c r="IK73" s="20"/>
      <c r="IL73" s="20"/>
      <c r="IM73" s="20"/>
      <c r="IN73" s="20"/>
      <c r="IO73" s="20"/>
      <c r="IP73" s="21"/>
      <c r="IQ73" s="20"/>
      <c r="IR73" s="20"/>
      <c r="IS73" s="20"/>
      <c r="IT73" s="20"/>
      <c r="IU73" s="20"/>
      <c r="IV73" s="20"/>
      <c r="IW73" s="21"/>
      <c r="IX73" s="20"/>
      <c r="IY73" s="20"/>
      <c r="IZ73" s="20"/>
      <c r="JA73" s="20"/>
      <c r="JB73" s="20"/>
      <c r="JC73" s="20"/>
      <c r="JD73" s="21"/>
      <c r="JE73" s="20"/>
      <c r="JF73" s="20"/>
      <c r="JG73" s="20"/>
      <c r="JH73" s="20"/>
      <c r="JI73" s="20"/>
      <c r="JJ73" s="20"/>
      <c r="JK73" s="21"/>
      <c r="JL73" s="20"/>
      <c r="JM73" s="20"/>
      <c r="JN73" s="20"/>
      <c r="JO73" s="20"/>
      <c r="JP73" s="20"/>
      <c r="JQ73" s="20"/>
      <c r="JR73" s="21"/>
      <c r="JS73" s="20"/>
      <c r="JT73" s="20"/>
      <c r="JU73" s="20"/>
      <c r="JV73" s="20"/>
      <c r="JW73" s="20"/>
      <c r="JX73" s="20"/>
      <c r="JY73" s="21"/>
      <c r="JZ73" s="20"/>
      <c r="KA73" s="20"/>
      <c r="KB73" s="20"/>
      <c r="KC73" s="20"/>
      <c r="KD73" s="20"/>
      <c r="KE73" s="20"/>
      <c r="KF73" s="21"/>
      <c r="KG73" s="20"/>
      <c r="KH73" s="20"/>
      <c r="KI73" s="20"/>
      <c r="KJ73" s="20"/>
      <c r="KK73" s="20"/>
      <c r="KL73" s="20"/>
      <c r="KM73" s="21"/>
      <c r="KN73" s="20"/>
      <c r="KO73" s="20"/>
      <c r="KP73" s="20"/>
      <c r="KQ73" s="20"/>
      <c r="KR73" s="20"/>
      <c r="KS73" s="20"/>
      <c r="KT73" s="21"/>
      <c r="KU73" s="20"/>
      <c r="KV73" s="20"/>
      <c r="KW73" s="20"/>
      <c r="KX73" s="20"/>
      <c r="KY73" s="20"/>
      <c r="KZ73" s="20"/>
      <c r="LA73" s="21"/>
      <c r="LB73" s="20"/>
      <c r="LC73" s="20"/>
      <c r="LD73" s="20"/>
      <c r="LE73" s="20"/>
      <c r="LF73" s="20"/>
      <c r="LG73" s="20"/>
      <c r="LH73" s="21"/>
      <c r="LI73" s="20"/>
      <c r="LJ73" s="20"/>
      <c r="LK73" s="20"/>
      <c r="LL73" s="20"/>
      <c r="LM73" s="20"/>
      <c r="LN73" s="20"/>
      <c r="LO73" s="21"/>
      <c r="LP73" s="20"/>
      <c r="LQ73" s="20"/>
      <c r="LR73" s="20"/>
      <c r="LS73" s="20"/>
      <c r="LT73" s="20"/>
      <c r="LU73" s="20"/>
      <c r="LV73" s="21"/>
      <c r="LW73" s="20"/>
      <c r="LX73" s="20"/>
      <c r="LY73" s="20"/>
      <c r="LZ73" s="20"/>
      <c r="MA73" s="20"/>
      <c r="MB73" s="20"/>
      <c r="MC73" s="21"/>
      <c r="MD73" s="20"/>
      <c r="ME73" s="20"/>
      <c r="MF73" s="20"/>
      <c r="MG73" s="20"/>
      <c r="MH73" s="20"/>
      <c r="MI73" s="20"/>
      <c r="MJ73" s="21"/>
    </row>
    <row r="74" spans="1:348" ht="15.75" thickBot="1" x14ac:dyDescent="0.3">
      <c r="A74" s="64" t="s">
        <v>249</v>
      </c>
      <c r="B74" s="62"/>
      <c r="C74" s="62"/>
      <c r="D74" s="62"/>
      <c r="E74" s="63"/>
      <c r="F74" s="62"/>
      <c r="G74" s="62"/>
      <c r="H74" s="62"/>
      <c r="I74" s="62"/>
      <c r="J74" s="62"/>
      <c r="K74" s="62"/>
      <c r="L74" s="62"/>
      <c r="M74" s="62"/>
      <c r="N74" s="62"/>
      <c r="O74" s="63"/>
      <c r="P74" s="85">
        <f>VisibleSum(P67:P72)</f>
        <v>8</v>
      </c>
      <c r="Q74" s="62">
        <f>P74 / P73 * 100</f>
        <v>57.142857142857139</v>
      </c>
      <c r="R74" s="86"/>
      <c r="S74" s="63" t="str">
        <f>IF(SUM(S41:S60, S68:S71) &gt; 0, SUM(S41:S60, S68:S71), "")</f>
        <v/>
      </c>
      <c r="T74" s="62" t="str">
        <f t="shared" ref="T74:U74" si="384">IF(SUM(T67:T72) &gt; 0, SUM(T67:T72), "")</f>
        <v/>
      </c>
      <c r="U74" s="62" t="str">
        <f t="shared" si="384"/>
        <v/>
      </c>
      <c r="V74" s="62" t="str">
        <f t="shared" ref="V74" si="385">IF(SUM(V67:V72) &gt; 0, SUM(V67:V72), "")</f>
        <v/>
      </c>
      <c r="W74" s="62" t="str">
        <f t="shared" ref="W74" si="386">IF(SUM(W67:W72) &gt; 0, SUM(W67:W72), "")</f>
        <v/>
      </c>
      <c r="X74" s="62" t="str">
        <f t="shared" ref="X74" si="387">IF(SUM(X67:X72) &gt; 0, SUM(X67:X72), "")</f>
        <v/>
      </c>
      <c r="Y74" s="62" t="str">
        <f t="shared" ref="Y74" si="388">IF(SUM(Y67:Y72) &gt; 0, SUM(Y67:Y72), "")</f>
        <v/>
      </c>
      <c r="Z74" s="63" t="str">
        <f t="shared" ref="Z74:AB74" si="389">IF(SUM(Z67:Z72) &gt; 0, SUM(Z67:Z72), "")</f>
        <v/>
      </c>
      <c r="AA74" s="62" t="str">
        <f t="shared" si="389"/>
        <v/>
      </c>
      <c r="AB74" s="62" t="str">
        <f t="shared" si="389"/>
        <v/>
      </c>
      <c r="AC74" s="62" t="str">
        <f t="shared" ref="AC74" si="390">IF(SUM(AC67:AC72) &gt; 0, SUM(AC67:AC72), "")</f>
        <v/>
      </c>
      <c r="AD74" s="62" t="str">
        <f t="shared" ref="AD74" si="391">IF(SUM(AD67:AD72) &gt; 0, SUM(AD67:AD72), "")</f>
        <v/>
      </c>
      <c r="AE74" s="62" t="str">
        <f t="shared" ref="AE74" si="392">IF(SUM(AE67:AE72) &gt; 0, SUM(AE67:AE72), "")</f>
        <v/>
      </c>
      <c r="AF74" s="62" t="str">
        <f t="shared" ref="AF74" si="393">IF(SUM(AF67:AF72) &gt; 0, SUM(AF67:AF72), "")</f>
        <v/>
      </c>
      <c r="AG74" s="63" t="str">
        <f t="shared" ref="AG74" si="394">IF(SUM(AG67:AG72) &gt; 0, SUM(AG67:AG72), "")</f>
        <v/>
      </c>
      <c r="AH74" s="62" t="str">
        <f>IF(SUM(AH67:AH72) &gt; 0, SUM(AH67:AH72), "")</f>
        <v/>
      </c>
      <c r="AI74" s="62" t="str">
        <f>IF(SUM(AI67:AI72) &gt; 0, SUM(AI67:AI72), "")</f>
        <v/>
      </c>
      <c r="AJ74" s="62" t="str">
        <f t="shared" ref="AJ74:AN74" si="395">IF(SUM(AJ67:AJ72) &gt; 0, SUM(AJ67:AJ72), "")</f>
        <v/>
      </c>
      <c r="AK74" s="62">
        <f t="shared" si="395"/>
        <v>3</v>
      </c>
      <c r="AL74" s="62" t="str">
        <f t="shared" si="395"/>
        <v/>
      </c>
      <c r="AM74" s="62" t="str">
        <f t="shared" si="395"/>
        <v/>
      </c>
      <c r="AN74" s="63" t="str">
        <f t="shared" si="395"/>
        <v/>
      </c>
      <c r="AO74" s="62" t="str">
        <f>IF(SUM(AO67:AO72) &gt; 0, SUM(AO67:AO72), "")</f>
        <v/>
      </c>
      <c r="AP74" s="62">
        <f>IF(SUM(AP67:AP72) &gt; 0, SUM(AP67:AP72), "")</f>
        <v>2</v>
      </c>
      <c r="AQ74" s="62" t="str">
        <f t="shared" ref="AQ74" si="396">IF(SUM(AQ67:AQ72) &gt; 0, SUM(AQ67:AQ72), "")</f>
        <v/>
      </c>
      <c r="AR74" s="62">
        <f t="shared" ref="AR74" si="397">IF(SUM(AR67:AR72) &gt; 0, SUM(AR67:AR72), "")</f>
        <v>1</v>
      </c>
      <c r="AS74" s="62" t="str">
        <f t="shared" ref="AS74" si="398">IF(SUM(AS67:AS72) &gt; 0, SUM(AS67:AS72), "")</f>
        <v/>
      </c>
      <c r="AT74" s="62" t="str">
        <f t="shared" ref="AT74" si="399">IF(SUM(AT67:AT72) &gt; 0, SUM(AT67:AT72), "")</f>
        <v/>
      </c>
      <c r="AU74" s="63" t="str">
        <f t="shared" ref="AU74" si="400">IF(SUM(AU67:AU72) &gt; 0, SUM(AU67:AU72), "")</f>
        <v/>
      </c>
      <c r="AV74" s="62" t="str">
        <f>IF(SUM(AV67:AV72) &gt; 0, SUM(AV67:AV72), "")</f>
        <v/>
      </c>
      <c r="AW74" s="62">
        <f>IF(SUM(AW67:AW72) &gt; 0, SUM(AW67:AW72), "")</f>
        <v>2</v>
      </c>
      <c r="AX74" s="62" t="str">
        <f t="shared" ref="AX74" si="401">IF(SUM(AX67:AX72) &gt; 0, SUM(AX67:AX72), "")</f>
        <v/>
      </c>
      <c r="AY74" s="62">
        <f t="shared" ref="AY74" si="402">IF(SUM(AY67:AY72) &gt; 0, SUM(AY67:AY72), "")</f>
        <v>1</v>
      </c>
      <c r="AZ74" s="62" t="str">
        <f t="shared" ref="AZ74" si="403">IF(SUM(AZ67:AZ72) &gt; 0, SUM(AZ67:AZ72), "")</f>
        <v/>
      </c>
      <c r="BA74" s="62" t="str">
        <f t="shared" ref="BA74" si="404">IF(SUM(BA67:BA72) &gt; 0, SUM(BA67:BA72), "")</f>
        <v/>
      </c>
      <c r="BB74" s="63" t="str">
        <f t="shared" ref="BB74" si="405">IF(SUM(BB67:BB72) &gt; 0, SUM(BB67:BB72), "")</f>
        <v/>
      </c>
      <c r="BC74" s="62" t="str">
        <f>IF(SUM(BC67:BC72) &gt; 0, SUM(BC67:BC72), "")</f>
        <v/>
      </c>
      <c r="BD74" s="62">
        <f>IF(SUM(BD67:BD72) &gt; 0, SUM(BD67:BD72), "")</f>
        <v>3</v>
      </c>
      <c r="BE74" s="62" t="str">
        <f t="shared" ref="BE74:ED74" si="406">IF(SUM(BE67:BE72) &gt; 0, SUM(BE67:BE72), "")</f>
        <v/>
      </c>
      <c r="BF74" s="62">
        <f t="shared" si="406"/>
        <v>2</v>
      </c>
      <c r="BG74" s="62" t="str">
        <f t="shared" si="406"/>
        <v/>
      </c>
      <c r="BH74" s="62" t="str">
        <f t="shared" si="406"/>
        <v/>
      </c>
      <c r="BI74" s="63" t="str">
        <f t="shared" si="406"/>
        <v/>
      </c>
      <c r="BJ74" s="62" t="str">
        <f t="shared" si="406"/>
        <v/>
      </c>
      <c r="BK74" s="62">
        <f t="shared" si="406"/>
        <v>2</v>
      </c>
      <c r="BL74" s="62" t="str">
        <f t="shared" si="406"/>
        <v/>
      </c>
      <c r="BM74" s="62">
        <f t="shared" si="406"/>
        <v>3</v>
      </c>
      <c r="BN74" s="62">
        <f t="shared" si="406"/>
        <v>2</v>
      </c>
      <c r="BO74" s="62" t="str">
        <f t="shared" si="406"/>
        <v/>
      </c>
      <c r="BP74" s="63">
        <f t="shared" si="406"/>
        <v>1</v>
      </c>
      <c r="BQ74" s="62" t="str">
        <f t="shared" si="406"/>
        <v/>
      </c>
      <c r="BR74" s="62" t="str">
        <f t="shared" si="406"/>
        <v/>
      </c>
      <c r="BS74" s="62" t="str">
        <f t="shared" si="406"/>
        <v/>
      </c>
      <c r="BT74" s="62" t="str">
        <f t="shared" si="406"/>
        <v/>
      </c>
      <c r="BU74" s="62" t="str">
        <f t="shared" si="406"/>
        <v/>
      </c>
      <c r="BV74" s="62" t="str">
        <f t="shared" si="406"/>
        <v/>
      </c>
      <c r="BW74" s="62">
        <f t="shared" ref="BW74" si="407">IF(SUM(BW67:BW72) &gt; 0, SUM(BW67:BW72), "")</f>
        <v>2</v>
      </c>
      <c r="BX74" s="62"/>
      <c r="BY74" s="63" t="str">
        <f t="shared" si="406"/>
        <v/>
      </c>
      <c r="BZ74" s="62" t="str">
        <f t="shared" si="406"/>
        <v/>
      </c>
      <c r="CA74" s="62" t="str">
        <f t="shared" si="406"/>
        <v/>
      </c>
      <c r="CB74" s="62" t="str">
        <f t="shared" si="406"/>
        <v/>
      </c>
      <c r="CC74" s="62" t="str">
        <f t="shared" si="406"/>
        <v/>
      </c>
      <c r="CD74" s="62" t="str">
        <f t="shared" si="406"/>
        <v/>
      </c>
      <c r="CE74" s="62" t="str">
        <f t="shared" si="406"/>
        <v/>
      </c>
      <c r="CF74" s="62"/>
      <c r="CG74" s="62"/>
      <c r="CH74" s="63" t="str">
        <f t="shared" si="406"/>
        <v/>
      </c>
      <c r="CI74" s="62" t="str">
        <f t="shared" si="406"/>
        <v/>
      </c>
      <c r="CJ74" s="62" t="str">
        <f t="shared" si="406"/>
        <v/>
      </c>
      <c r="CK74" s="62" t="str">
        <f t="shared" si="406"/>
        <v/>
      </c>
      <c r="CL74" s="62" t="str">
        <f t="shared" si="406"/>
        <v/>
      </c>
      <c r="CM74" s="62" t="str">
        <f t="shared" si="406"/>
        <v/>
      </c>
      <c r="CN74" s="62" t="str">
        <f t="shared" si="406"/>
        <v/>
      </c>
      <c r="CO74" s="62" t="str">
        <f t="shared" ref="CO74" si="408">IF(SUM(CO67:CO72) &gt; 0, SUM(CO67:CO72), "")</f>
        <v/>
      </c>
      <c r="CP74" s="62"/>
      <c r="CQ74" s="63" t="str">
        <f t="shared" si="406"/>
        <v/>
      </c>
      <c r="CR74" s="62" t="str">
        <f t="shared" si="406"/>
        <v/>
      </c>
      <c r="CS74" s="62" t="str">
        <f t="shared" si="406"/>
        <v/>
      </c>
      <c r="CT74" s="62" t="str">
        <f t="shared" si="406"/>
        <v/>
      </c>
      <c r="CU74" s="62" t="str">
        <f t="shared" si="406"/>
        <v/>
      </c>
      <c r="CV74" s="62" t="str">
        <f t="shared" si="406"/>
        <v/>
      </c>
      <c r="CW74" s="62"/>
      <c r="CX74" s="62"/>
      <c r="CY74" s="62" t="str">
        <f t="shared" si="406"/>
        <v/>
      </c>
      <c r="CZ74" s="63" t="str">
        <f t="shared" si="406"/>
        <v/>
      </c>
      <c r="DA74" s="62" t="str">
        <f t="shared" si="406"/>
        <v/>
      </c>
      <c r="DB74" s="62" t="str">
        <f t="shared" si="406"/>
        <v/>
      </c>
      <c r="DC74" s="62" t="str">
        <f t="shared" si="406"/>
        <v/>
      </c>
      <c r="DD74" s="62" t="str">
        <f t="shared" si="406"/>
        <v/>
      </c>
      <c r="DE74" s="62" t="str">
        <f t="shared" si="406"/>
        <v/>
      </c>
      <c r="DF74" s="62" t="str">
        <f t="shared" si="406"/>
        <v/>
      </c>
      <c r="DG74" s="62"/>
      <c r="DH74" s="62"/>
      <c r="DI74" s="63" t="str">
        <f t="shared" si="406"/>
        <v/>
      </c>
      <c r="DJ74" s="62" t="str">
        <f t="shared" si="406"/>
        <v/>
      </c>
      <c r="DK74" s="62" t="str">
        <f t="shared" si="406"/>
        <v/>
      </c>
      <c r="DL74" s="62" t="str">
        <f t="shared" si="406"/>
        <v/>
      </c>
      <c r="DM74" s="62" t="str">
        <f t="shared" si="406"/>
        <v/>
      </c>
      <c r="DN74" s="62" t="str">
        <f t="shared" si="406"/>
        <v/>
      </c>
      <c r="DO74" s="62" t="str">
        <f t="shared" si="406"/>
        <v/>
      </c>
      <c r="DP74" s="62"/>
      <c r="DQ74" s="62"/>
      <c r="DR74" s="63" t="str">
        <f t="shared" si="406"/>
        <v/>
      </c>
      <c r="DS74" s="62" t="str">
        <f t="shared" si="406"/>
        <v/>
      </c>
      <c r="DT74" s="62" t="str">
        <f t="shared" si="406"/>
        <v/>
      </c>
      <c r="DU74" s="62" t="str">
        <f t="shared" si="406"/>
        <v/>
      </c>
      <c r="DV74" s="62" t="str">
        <f t="shared" si="406"/>
        <v/>
      </c>
      <c r="DW74" s="62" t="str">
        <f t="shared" si="406"/>
        <v/>
      </c>
      <c r="DX74" s="62"/>
      <c r="DY74" s="62"/>
      <c r="DZ74" s="62" t="str">
        <f t="shared" si="406"/>
        <v/>
      </c>
      <c r="EA74" s="63" t="str">
        <f t="shared" si="406"/>
        <v/>
      </c>
      <c r="EB74" s="62" t="str">
        <f t="shared" si="406"/>
        <v/>
      </c>
      <c r="EC74" s="62" t="str">
        <f t="shared" si="406"/>
        <v/>
      </c>
      <c r="ED74" s="62" t="str">
        <f t="shared" si="406"/>
        <v/>
      </c>
      <c r="EE74" s="62" t="str">
        <f t="shared" ref="EE74:GP74" si="409">IF(SUM(EE67:EE72) &gt; 0, SUM(EE67:EE72), "")</f>
        <v/>
      </c>
      <c r="EF74" s="62" t="str">
        <f t="shared" si="409"/>
        <v/>
      </c>
      <c r="EG74" s="62" t="str">
        <f t="shared" si="409"/>
        <v/>
      </c>
      <c r="EH74" s="63" t="str">
        <f t="shared" si="409"/>
        <v/>
      </c>
      <c r="EI74" s="62" t="str">
        <f t="shared" si="409"/>
        <v/>
      </c>
      <c r="EJ74" s="62" t="str">
        <f t="shared" si="409"/>
        <v/>
      </c>
      <c r="EK74" s="62" t="str">
        <f t="shared" si="409"/>
        <v/>
      </c>
      <c r="EL74" s="62" t="str">
        <f t="shared" si="409"/>
        <v/>
      </c>
      <c r="EM74" s="62" t="str">
        <f t="shared" si="409"/>
        <v/>
      </c>
      <c r="EN74" s="62" t="str">
        <f t="shared" si="409"/>
        <v/>
      </c>
      <c r="EO74" s="63" t="str">
        <f t="shared" si="409"/>
        <v/>
      </c>
      <c r="EP74" s="62" t="str">
        <f t="shared" si="409"/>
        <v/>
      </c>
      <c r="EQ74" s="62" t="str">
        <f t="shared" si="409"/>
        <v/>
      </c>
      <c r="ER74" s="62" t="str">
        <f t="shared" si="409"/>
        <v/>
      </c>
      <c r="ES74" s="62" t="str">
        <f t="shared" si="409"/>
        <v/>
      </c>
      <c r="ET74" s="62" t="str">
        <f t="shared" si="409"/>
        <v/>
      </c>
      <c r="EU74" s="62" t="str">
        <f t="shared" si="409"/>
        <v/>
      </c>
      <c r="EV74" s="63" t="str">
        <f t="shared" si="409"/>
        <v/>
      </c>
      <c r="EW74" s="62" t="str">
        <f t="shared" si="409"/>
        <v/>
      </c>
      <c r="EX74" s="62" t="str">
        <f t="shared" si="409"/>
        <v/>
      </c>
      <c r="EY74" s="62" t="str">
        <f t="shared" si="409"/>
        <v/>
      </c>
      <c r="EZ74" s="62" t="str">
        <f t="shared" si="409"/>
        <v/>
      </c>
      <c r="FA74" s="62" t="str">
        <f t="shared" si="409"/>
        <v/>
      </c>
      <c r="FB74" s="62" t="str">
        <f t="shared" si="409"/>
        <v/>
      </c>
      <c r="FC74" s="63" t="str">
        <f t="shared" si="409"/>
        <v/>
      </c>
      <c r="FD74" s="62" t="str">
        <f t="shared" si="409"/>
        <v/>
      </c>
      <c r="FE74" s="62" t="str">
        <f t="shared" si="409"/>
        <v/>
      </c>
      <c r="FF74" s="62" t="str">
        <f t="shared" si="409"/>
        <v/>
      </c>
      <c r="FG74" s="62" t="str">
        <f t="shared" si="409"/>
        <v/>
      </c>
      <c r="FH74" s="62" t="str">
        <f t="shared" si="409"/>
        <v/>
      </c>
      <c r="FI74" s="62" t="str">
        <f t="shared" si="409"/>
        <v/>
      </c>
      <c r="FJ74" s="63" t="str">
        <f t="shared" si="409"/>
        <v/>
      </c>
      <c r="FK74" s="62" t="str">
        <f t="shared" si="409"/>
        <v/>
      </c>
      <c r="FL74" s="62" t="str">
        <f t="shared" si="409"/>
        <v/>
      </c>
      <c r="FM74" s="62" t="str">
        <f t="shared" si="409"/>
        <v/>
      </c>
      <c r="FN74" s="62" t="str">
        <f t="shared" si="409"/>
        <v/>
      </c>
      <c r="FO74" s="62" t="str">
        <f t="shared" si="409"/>
        <v/>
      </c>
      <c r="FP74" s="62" t="str">
        <f t="shared" si="409"/>
        <v/>
      </c>
      <c r="FQ74" s="63" t="str">
        <f t="shared" si="409"/>
        <v/>
      </c>
      <c r="FR74" s="62" t="str">
        <f t="shared" si="409"/>
        <v/>
      </c>
      <c r="FS74" s="62" t="str">
        <f t="shared" si="409"/>
        <v/>
      </c>
      <c r="FT74" s="62" t="str">
        <f t="shared" si="409"/>
        <v/>
      </c>
      <c r="FU74" s="62" t="str">
        <f t="shared" si="409"/>
        <v/>
      </c>
      <c r="FV74" s="62" t="str">
        <f t="shared" si="409"/>
        <v/>
      </c>
      <c r="FW74" s="62" t="str">
        <f t="shared" si="409"/>
        <v/>
      </c>
      <c r="FX74" s="63" t="str">
        <f t="shared" si="409"/>
        <v/>
      </c>
      <c r="FY74" s="62" t="str">
        <f t="shared" si="409"/>
        <v/>
      </c>
      <c r="FZ74" s="62" t="str">
        <f t="shared" si="409"/>
        <v/>
      </c>
      <c r="GA74" s="62" t="str">
        <f t="shared" si="409"/>
        <v/>
      </c>
      <c r="GB74" s="62" t="str">
        <f t="shared" si="409"/>
        <v/>
      </c>
      <c r="GC74" s="62" t="str">
        <f t="shared" si="409"/>
        <v/>
      </c>
      <c r="GD74" s="62" t="str">
        <f t="shared" si="409"/>
        <v/>
      </c>
      <c r="GE74" s="63" t="str">
        <f t="shared" si="409"/>
        <v/>
      </c>
      <c r="GF74" s="62" t="str">
        <f t="shared" si="409"/>
        <v/>
      </c>
      <c r="GG74" s="62" t="str">
        <f t="shared" si="409"/>
        <v/>
      </c>
      <c r="GH74" s="62" t="str">
        <f t="shared" si="409"/>
        <v/>
      </c>
      <c r="GI74" s="62" t="str">
        <f t="shared" si="409"/>
        <v/>
      </c>
      <c r="GJ74" s="62" t="str">
        <f t="shared" si="409"/>
        <v/>
      </c>
      <c r="GK74" s="62" t="str">
        <f t="shared" si="409"/>
        <v/>
      </c>
      <c r="GL74" s="63" t="str">
        <f t="shared" si="409"/>
        <v/>
      </c>
      <c r="GM74" s="62" t="str">
        <f t="shared" si="409"/>
        <v/>
      </c>
      <c r="GN74" s="62" t="str">
        <f t="shared" si="409"/>
        <v/>
      </c>
      <c r="GO74" s="62" t="str">
        <f t="shared" si="409"/>
        <v/>
      </c>
      <c r="GP74" s="62" t="str">
        <f t="shared" si="409"/>
        <v/>
      </c>
      <c r="GQ74" s="62" t="str">
        <f t="shared" ref="GQ74:JB74" si="410">IF(SUM(GQ67:GQ72) &gt; 0, SUM(GQ67:GQ72), "")</f>
        <v/>
      </c>
      <c r="GR74" s="62" t="str">
        <f t="shared" si="410"/>
        <v/>
      </c>
      <c r="GS74" s="63" t="str">
        <f t="shared" si="410"/>
        <v/>
      </c>
      <c r="GT74" s="62" t="str">
        <f t="shared" si="410"/>
        <v/>
      </c>
      <c r="GU74" s="62" t="str">
        <f t="shared" si="410"/>
        <v/>
      </c>
      <c r="GV74" s="62" t="str">
        <f t="shared" si="410"/>
        <v/>
      </c>
      <c r="GW74" s="62" t="str">
        <f t="shared" si="410"/>
        <v/>
      </c>
      <c r="GX74" s="62" t="str">
        <f t="shared" si="410"/>
        <v/>
      </c>
      <c r="GY74" s="62" t="str">
        <f t="shared" si="410"/>
        <v/>
      </c>
      <c r="GZ74" s="63" t="str">
        <f t="shared" si="410"/>
        <v/>
      </c>
      <c r="HA74" s="62" t="str">
        <f t="shared" si="410"/>
        <v/>
      </c>
      <c r="HB74" s="62" t="str">
        <f t="shared" si="410"/>
        <v/>
      </c>
      <c r="HC74" s="62" t="str">
        <f t="shared" si="410"/>
        <v/>
      </c>
      <c r="HD74" s="62" t="str">
        <f t="shared" si="410"/>
        <v/>
      </c>
      <c r="HE74" s="62" t="str">
        <f t="shared" si="410"/>
        <v/>
      </c>
      <c r="HF74" s="62" t="str">
        <f t="shared" si="410"/>
        <v/>
      </c>
      <c r="HG74" s="63" t="str">
        <f t="shared" si="410"/>
        <v/>
      </c>
      <c r="HH74" s="62" t="str">
        <f t="shared" si="410"/>
        <v/>
      </c>
      <c r="HI74" s="62" t="str">
        <f t="shared" si="410"/>
        <v/>
      </c>
      <c r="HJ74" s="62" t="str">
        <f t="shared" si="410"/>
        <v/>
      </c>
      <c r="HK74" s="62" t="str">
        <f t="shared" si="410"/>
        <v/>
      </c>
      <c r="HL74" s="62" t="str">
        <f t="shared" si="410"/>
        <v/>
      </c>
      <c r="HM74" s="62" t="str">
        <f t="shared" si="410"/>
        <v/>
      </c>
      <c r="HN74" s="63" t="str">
        <f t="shared" si="410"/>
        <v/>
      </c>
      <c r="HO74" s="62" t="str">
        <f t="shared" si="410"/>
        <v/>
      </c>
      <c r="HP74" s="62" t="str">
        <f t="shared" si="410"/>
        <v/>
      </c>
      <c r="HQ74" s="62" t="str">
        <f t="shared" si="410"/>
        <v/>
      </c>
      <c r="HR74" s="62" t="str">
        <f t="shared" si="410"/>
        <v/>
      </c>
      <c r="HS74" s="62" t="str">
        <f t="shared" si="410"/>
        <v/>
      </c>
      <c r="HT74" s="62" t="str">
        <f t="shared" si="410"/>
        <v/>
      </c>
      <c r="HU74" s="63" t="str">
        <f t="shared" si="410"/>
        <v/>
      </c>
      <c r="HV74" s="62" t="str">
        <f t="shared" si="410"/>
        <v/>
      </c>
      <c r="HW74" s="62" t="str">
        <f t="shared" si="410"/>
        <v/>
      </c>
      <c r="HX74" s="62" t="str">
        <f t="shared" si="410"/>
        <v/>
      </c>
      <c r="HY74" s="62" t="str">
        <f t="shared" si="410"/>
        <v/>
      </c>
      <c r="HZ74" s="62" t="str">
        <f t="shared" si="410"/>
        <v/>
      </c>
      <c r="IA74" s="62" t="str">
        <f t="shared" si="410"/>
        <v/>
      </c>
      <c r="IB74" s="63" t="str">
        <f t="shared" si="410"/>
        <v/>
      </c>
      <c r="IC74" s="62" t="str">
        <f t="shared" si="410"/>
        <v/>
      </c>
      <c r="ID74" s="62" t="str">
        <f t="shared" si="410"/>
        <v/>
      </c>
      <c r="IE74" s="62" t="str">
        <f t="shared" si="410"/>
        <v/>
      </c>
      <c r="IF74" s="62" t="str">
        <f t="shared" si="410"/>
        <v/>
      </c>
      <c r="IG74" s="62" t="str">
        <f t="shared" si="410"/>
        <v/>
      </c>
      <c r="IH74" s="62" t="str">
        <f t="shared" si="410"/>
        <v/>
      </c>
      <c r="II74" s="63" t="str">
        <f t="shared" si="410"/>
        <v/>
      </c>
      <c r="IJ74" s="62" t="str">
        <f t="shared" si="410"/>
        <v/>
      </c>
      <c r="IK74" s="62" t="str">
        <f t="shared" si="410"/>
        <v/>
      </c>
      <c r="IL74" s="62" t="str">
        <f t="shared" si="410"/>
        <v/>
      </c>
      <c r="IM74" s="62" t="str">
        <f t="shared" si="410"/>
        <v/>
      </c>
      <c r="IN74" s="62" t="str">
        <f t="shared" si="410"/>
        <v/>
      </c>
      <c r="IO74" s="62" t="str">
        <f t="shared" si="410"/>
        <v/>
      </c>
      <c r="IP74" s="63" t="str">
        <f t="shared" si="410"/>
        <v/>
      </c>
      <c r="IQ74" s="62" t="str">
        <f t="shared" si="410"/>
        <v/>
      </c>
      <c r="IR74" s="62" t="str">
        <f t="shared" si="410"/>
        <v/>
      </c>
      <c r="IS74" s="62" t="str">
        <f t="shared" si="410"/>
        <v/>
      </c>
      <c r="IT74" s="62" t="str">
        <f t="shared" si="410"/>
        <v/>
      </c>
      <c r="IU74" s="62" t="str">
        <f t="shared" si="410"/>
        <v/>
      </c>
      <c r="IV74" s="62" t="str">
        <f t="shared" si="410"/>
        <v/>
      </c>
      <c r="IW74" s="63" t="str">
        <f t="shared" si="410"/>
        <v/>
      </c>
      <c r="IX74" s="62" t="str">
        <f t="shared" si="410"/>
        <v/>
      </c>
      <c r="IY74" s="62" t="str">
        <f t="shared" si="410"/>
        <v/>
      </c>
      <c r="IZ74" s="62" t="str">
        <f t="shared" si="410"/>
        <v/>
      </c>
      <c r="JA74" s="62" t="str">
        <f t="shared" si="410"/>
        <v/>
      </c>
      <c r="JB74" s="62" t="str">
        <f t="shared" si="410"/>
        <v/>
      </c>
      <c r="JC74" s="62" t="str">
        <f t="shared" ref="JC74:LN74" si="411">IF(SUM(JC67:JC72) &gt; 0, SUM(JC67:JC72), "")</f>
        <v/>
      </c>
      <c r="JD74" s="63" t="str">
        <f t="shared" si="411"/>
        <v/>
      </c>
      <c r="JE74" s="62" t="str">
        <f t="shared" si="411"/>
        <v/>
      </c>
      <c r="JF74" s="62" t="str">
        <f t="shared" si="411"/>
        <v/>
      </c>
      <c r="JG74" s="62" t="str">
        <f t="shared" si="411"/>
        <v/>
      </c>
      <c r="JH74" s="62" t="str">
        <f t="shared" si="411"/>
        <v/>
      </c>
      <c r="JI74" s="62" t="str">
        <f t="shared" si="411"/>
        <v/>
      </c>
      <c r="JJ74" s="62" t="str">
        <f t="shared" si="411"/>
        <v/>
      </c>
      <c r="JK74" s="63" t="str">
        <f t="shared" si="411"/>
        <v/>
      </c>
      <c r="JL74" s="62" t="str">
        <f t="shared" si="411"/>
        <v/>
      </c>
      <c r="JM74" s="62" t="str">
        <f t="shared" si="411"/>
        <v/>
      </c>
      <c r="JN74" s="62" t="str">
        <f t="shared" si="411"/>
        <v/>
      </c>
      <c r="JO74" s="62" t="str">
        <f t="shared" si="411"/>
        <v/>
      </c>
      <c r="JP74" s="62" t="str">
        <f t="shared" si="411"/>
        <v/>
      </c>
      <c r="JQ74" s="62" t="str">
        <f t="shared" si="411"/>
        <v/>
      </c>
      <c r="JR74" s="63" t="str">
        <f t="shared" si="411"/>
        <v/>
      </c>
      <c r="JS74" s="62" t="str">
        <f t="shared" si="411"/>
        <v/>
      </c>
      <c r="JT74" s="62" t="str">
        <f t="shared" si="411"/>
        <v/>
      </c>
      <c r="JU74" s="62" t="str">
        <f t="shared" si="411"/>
        <v/>
      </c>
      <c r="JV74" s="62" t="str">
        <f t="shared" si="411"/>
        <v/>
      </c>
      <c r="JW74" s="62" t="str">
        <f t="shared" si="411"/>
        <v/>
      </c>
      <c r="JX74" s="62" t="str">
        <f t="shared" si="411"/>
        <v/>
      </c>
      <c r="JY74" s="63" t="str">
        <f t="shared" si="411"/>
        <v/>
      </c>
      <c r="JZ74" s="62" t="str">
        <f t="shared" si="411"/>
        <v/>
      </c>
      <c r="KA74" s="62" t="str">
        <f t="shared" si="411"/>
        <v/>
      </c>
      <c r="KB74" s="62" t="str">
        <f t="shared" si="411"/>
        <v/>
      </c>
      <c r="KC74" s="62" t="str">
        <f t="shared" si="411"/>
        <v/>
      </c>
      <c r="KD74" s="62" t="str">
        <f t="shared" si="411"/>
        <v/>
      </c>
      <c r="KE74" s="62" t="str">
        <f t="shared" si="411"/>
        <v/>
      </c>
      <c r="KF74" s="63" t="str">
        <f t="shared" si="411"/>
        <v/>
      </c>
      <c r="KG74" s="62" t="str">
        <f t="shared" si="411"/>
        <v/>
      </c>
      <c r="KH74" s="62" t="str">
        <f t="shared" si="411"/>
        <v/>
      </c>
      <c r="KI74" s="62" t="str">
        <f t="shared" si="411"/>
        <v/>
      </c>
      <c r="KJ74" s="62" t="str">
        <f t="shared" si="411"/>
        <v/>
      </c>
      <c r="KK74" s="62" t="str">
        <f t="shared" si="411"/>
        <v/>
      </c>
      <c r="KL74" s="62" t="str">
        <f t="shared" si="411"/>
        <v/>
      </c>
      <c r="KM74" s="63" t="str">
        <f t="shared" si="411"/>
        <v/>
      </c>
      <c r="KN74" s="62" t="str">
        <f t="shared" si="411"/>
        <v/>
      </c>
      <c r="KO74" s="62" t="str">
        <f t="shared" si="411"/>
        <v/>
      </c>
      <c r="KP74" s="62" t="str">
        <f t="shared" si="411"/>
        <v/>
      </c>
      <c r="KQ74" s="62" t="str">
        <f t="shared" si="411"/>
        <v/>
      </c>
      <c r="KR74" s="62" t="str">
        <f t="shared" si="411"/>
        <v/>
      </c>
      <c r="KS74" s="62" t="str">
        <f t="shared" si="411"/>
        <v/>
      </c>
      <c r="KT74" s="63" t="str">
        <f t="shared" si="411"/>
        <v/>
      </c>
      <c r="KU74" s="62" t="str">
        <f t="shared" si="411"/>
        <v/>
      </c>
      <c r="KV74" s="62" t="str">
        <f t="shared" si="411"/>
        <v/>
      </c>
      <c r="KW74" s="62" t="str">
        <f t="shared" si="411"/>
        <v/>
      </c>
      <c r="KX74" s="62" t="str">
        <f t="shared" si="411"/>
        <v/>
      </c>
      <c r="KY74" s="62" t="str">
        <f t="shared" si="411"/>
        <v/>
      </c>
      <c r="KZ74" s="62" t="str">
        <f t="shared" si="411"/>
        <v/>
      </c>
      <c r="LA74" s="63" t="str">
        <f t="shared" si="411"/>
        <v/>
      </c>
      <c r="LB74" s="62" t="str">
        <f t="shared" si="411"/>
        <v/>
      </c>
      <c r="LC74" s="62" t="str">
        <f t="shared" si="411"/>
        <v/>
      </c>
      <c r="LD74" s="62" t="str">
        <f t="shared" si="411"/>
        <v/>
      </c>
      <c r="LE74" s="62" t="str">
        <f t="shared" si="411"/>
        <v/>
      </c>
      <c r="LF74" s="62" t="str">
        <f t="shared" si="411"/>
        <v/>
      </c>
      <c r="LG74" s="62" t="str">
        <f t="shared" si="411"/>
        <v/>
      </c>
      <c r="LH74" s="63" t="str">
        <f t="shared" si="411"/>
        <v/>
      </c>
      <c r="LI74" s="62" t="str">
        <f t="shared" si="411"/>
        <v/>
      </c>
      <c r="LJ74" s="62" t="str">
        <f t="shared" si="411"/>
        <v/>
      </c>
      <c r="LK74" s="62" t="str">
        <f t="shared" si="411"/>
        <v/>
      </c>
      <c r="LL74" s="62" t="str">
        <f t="shared" si="411"/>
        <v/>
      </c>
      <c r="LM74" s="62" t="str">
        <f t="shared" si="411"/>
        <v/>
      </c>
      <c r="LN74" s="62" t="str">
        <f t="shared" si="411"/>
        <v/>
      </c>
      <c r="LO74" s="63" t="str">
        <f t="shared" ref="LO74:MJ74" si="412">IF(SUM(LO67:LO72) &gt; 0, SUM(LO67:LO72), "")</f>
        <v/>
      </c>
      <c r="LP74" s="62" t="str">
        <f t="shared" si="412"/>
        <v/>
      </c>
      <c r="LQ74" s="62" t="str">
        <f t="shared" si="412"/>
        <v/>
      </c>
      <c r="LR74" s="62" t="str">
        <f t="shared" si="412"/>
        <v/>
      </c>
      <c r="LS74" s="62" t="str">
        <f t="shared" si="412"/>
        <v/>
      </c>
      <c r="LT74" s="62" t="str">
        <f t="shared" si="412"/>
        <v/>
      </c>
      <c r="LU74" s="62" t="str">
        <f t="shared" si="412"/>
        <v/>
      </c>
      <c r="LV74" s="63" t="str">
        <f t="shared" si="412"/>
        <v/>
      </c>
      <c r="LW74" s="62" t="str">
        <f t="shared" si="412"/>
        <v/>
      </c>
      <c r="LX74" s="62" t="str">
        <f t="shared" si="412"/>
        <v/>
      </c>
      <c r="LY74" s="62" t="str">
        <f t="shared" si="412"/>
        <v/>
      </c>
      <c r="LZ74" s="62" t="str">
        <f t="shared" si="412"/>
        <v/>
      </c>
      <c r="MA74" s="62" t="str">
        <f t="shared" si="412"/>
        <v/>
      </c>
      <c r="MB74" s="62" t="str">
        <f t="shared" si="412"/>
        <v/>
      </c>
      <c r="MC74" s="63" t="str">
        <f t="shared" si="412"/>
        <v/>
      </c>
      <c r="MD74" s="62" t="str">
        <f t="shared" si="412"/>
        <v/>
      </c>
      <c r="ME74" s="62" t="str">
        <f t="shared" si="412"/>
        <v/>
      </c>
      <c r="MF74" s="62" t="str">
        <f t="shared" si="412"/>
        <v/>
      </c>
      <c r="MG74" s="62" t="str">
        <f t="shared" si="412"/>
        <v/>
      </c>
      <c r="MH74" s="62" t="str">
        <f t="shared" si="412"/>
        <v/>
      </c>
      <c r="MI74" s="62" t="str">
        <f t="shared" si="412"/>
        <v/>
      </c>
      <c r="MJ74" s="87" t="str">
        <f t="shared" si="412"/>
        <v/>
      </c>
    </row>
    <row r="75" spans="1:348" ht="15.75" thickBot="1" x14ac:dyDescent="0.3">
      <c r="A75" s="64" t="s">
        <v>250</v>
      </c>
      <c r="B75" s="62"/>
      <c r="C75" s="62"/>
      <c r="D75" s="62"/>
      <c r="E75" s="63"/>
      <c r="F75" s="62"/>
      <c r="G75" s="62"/>
      <c r="H75" s="62"/>
      <c r="I75" s="62"/>
      <c r="J75" s="62"/>
      <c r="K75" s="62"/>
      <c r="L75" s="62"/>
      <c r="M75" s="62"/>
      <c r="N75" s="62"/>
      <c r="O75" s="63"/>
      <c r="P75" s="62"/>
      <c r="Q75" s="62"/>
      <c r="R75" s="63"/>
      <c r="S75" s="62" t="str">
        <f>IF(SUM(S62, S74) &gt; 0, SUM(S62, S74), "")</f>
        <v/>
      </c>
      <c r="T75" s="65" t="str">
        <f t="shared" ref="T75:Z75" si="413">IF(SUM(T62, T74) &gt; 0, SUM(T62, T74), "")</f>
        <v/>
      </c>
      <c r="U75" s="62" t="str">
        <f t="shared" si="413"/>
        <v/>
      </c>
      <c r="V75" s="62" t="str">
        <f t="shared" si="413"/>
        <v/>
      </c>
      <c r="W75" s="62" t="str">
        <f t="shared" si="413"/>
        <v/>
      </c>
      <c r="X75" s="62" t="str">
        <f t="shared" si="413"/>
        <v/>
      </c>
      <c r="Y75" s="62" t="str">
        <f t="shared" si="413"/>
        <v/>
      </c>
      <c r="Z75" s="63" t="str">
        <f t="shared" si="413"/>
        <v/>
      </c>
      <c r="AA75" s="65" t="str">
        <f t="shared" ref="AA75" si="414">IF(SUM(AA62, AA74) &gt; 0, SUM(AA62, AA74), "")</f>
        <v/>
      </c>
      <c r="AB75" s="62" t="str">
        <f t="shared" ref="AB75" si="415">IF(SUM(AB62, AB74) &gt; 0, SUM(AB62, AB74), "")</f>
        <v/>
      </c>
      <c r="AC75" s="62" t="str">
        <f t="shared" ref="AC75" si="416">IF(SUM(AC62, AC74) &gt; 0, SUM(AC62, AC74), "")</f>
        <v/>
      </c>
      <c r="AD75" s="62" t="str">
        <f t="shared" ref="AD75" si="417">IF(SUM(AD62, AD74) &gt; 0, SUM(AD62, AD74), "")</f>
        <v/>
      </c>
      <c r="AE75" s="62" t="str">
        <f t="shared" ref="AE75" si="418">IF(SUM(AE62, AE74) &gt; 0, SUM(AE62, AE74), "")</f>
        <v/>
      </c>
      <c r="AF75" s="62" t="str">
        <f t="shared" ref="AF75" si="419">IF(SUM(AF62, AF74) &gt; 0, SUM(AF62, AF74), "")</f>
        <v/>
      </c>
      <c r="AG75" s="63" t="str">
        <f t="shared" ref="AG75" si="420">IF(SUM(AG62, AG74) &gt; 0, SUM(AG62, AG74), "")</f>
        <v/>
      </c>
      <c r="AH75" s="65" t="str">
        <f t="shared" ref="AH75" si="421">IF(SUM(AH62, AH74) &gt; 0, SUM(AH62, AH74), "")</f>
        <v/>
      </c>
      <c r="AI75" s="62">
        <f t="shared" ref="AI75" si="422">IF(SUM(AI62, AI74) &gt; 0, SUM(AI62, AI74), "")</f>
        <v>11</v>
      </c>
      <c r="AJ75" s="62" t="str">
        <f t="shared" ref="AJ75" si="423">IF(SUM(AJ62, AJ74) &gt; 0, SUM(AJ62, AJ74), "")</f>
        <v/>
      </c>
      <c r="AK75" s="62">
        <f t="shared" ref="AK75" si="424">IF(SUM(AK62, AK74) &gt; 0, SUM(AK62, AK74), "")</f>
        <v>10</v>
      </c>
      <c r="AL75" s="62" t="str">
        <f t="shared" ref="AL75" si="425">IF(SUM(AL62, AL74) &gt; 0, SUM(AL62, AL74), "")</f>
        <v/>
      </c>
      <c r="AM75" s="62" t="str">
        <f t="shared" ref="AM75" si="426">IF(SUM(AM62, AM74) &gt; 0, SUM(AM62, AM74), "")</f>
        <v/>
      </c>
      <c r="AN75" s="63" t="str">
        <f t="shared" ref="AN75" si="427">IF(SUM(AN62, AN74) &gt; 0, SUM(AN62, AN74), "")</f>
        <v/>
      </c>
      <c r="AO75" s="65" t="str">
        <f t="shared" ref="AO75" si="428">IF(SUM(AO62, AO74) &gt; 0, SUM(AO62, AO74), "")</f>
        <v/>
      </c>
      <c r="AP75" s="62">
        <f t="shared" ref="AP75" si="429">IF(SUM(AP62, AP74) &gt; 0, SUM(AP62, AP74), "")</f>
        <v>11</v>
      </c>
      <c r="AQ75" s="62" t="str">
        <f t="shared" ref="AQ75" si="430">IF(SUM(AQ62, AQ74) &gt; 0, SUM(AQ62, AQ74), "")</f>
        <v/>
      </c>
      <c r="AR75" s="62">
        <f t="shared" ref="AR75" si="431">IF(SUM(AR62, AR74) &gt; 0, SUM(AR62, AR74), "")</f>
        <v>10</v>
      </c>
      <c r="AS75" s="62" t="str">
        <f t="shared" ref="AS75" si="432">IF(SUM(AS62, AS74) &gt; 0, SUM(AS62, AS74), "")</f>
        <v/>
      </c>
      <c r="AT75" s="62" t="str">
        <f t="shared" ref="AT75" si="433">IF(SUM(AT62, AT74) &gt; 0, SUM(AT62, AT74), "")</f>
        <v/>
      </c>
      <c r="AU75" s="63" t="str">
        <f t="shared" ref="AU75" si="434">IF(SUM(AU62, AU74) &gt; 0, SUM(AU62, AU74), "")</f>
        <v/>
      </c>
      <c r="AV75" s="65" t="str">
        <f t="shared" ref="AV75" si="435">IF(SUM(AV62, AV74) &gt; 0, SUM(AV62, AV74), "")</f>
        <v/>
      </c>
      <c r="AW75" s="62">
        <f t="shared" ref="AW75" si="436">IF(SUM(AW62, AW74) &gt; 0, SUM(AW62, AW74), "")</f>
        <v>11</v>
      </c>
      <c r="AX75" s="62">
        <f t="shared" ref="AX75" si="437">IF(SUM(AX62, AX74) &gt; 0, SUM(AX62, AX74), "")</f>
        <v>6</v>
      </c>
      <c r="AY75" s="62">
        <f t="shared" ref="AY75" si="438">IF(SUM(AY62, AY74) &gt; 0, SUM(AY62, AY74), "")</f>
        <v>8</v>
      </c>
      <c r="AZ75" s="62" t="str">
        <f t="shared" ref="AZ75" si="439">IF(SUM(AZ62, AZ74) &gt; 0, SUM(AZ62, AZ74), "")</f>
        <v/>
      </c>
      <c r="BA75" s="62" t="str">
        <f t="shared" ref="BA75" si="440">IF(SUM(BA62, BA74) &gt; 0, SUM(BA62, BA74), "")</f>
        <v/>
      </c>
      <c r="BB75" s="63" t="str">
        <f t="shared" ref="BB75" si="441">IF(SUM(BB62, BB74) &gt; 0, SUM(BB62, BB74), "")</f>
        <v/>
      </c>
      <c r="BC75" s="65" t="str">
        <f t="shared" ref="BC75" si="442">IF(SUM(BC62, BC74) &gt; 0, SUM(BC62, BC74), "")</f>
        <v/>
      </c>
      <c r="BD75" s="62">
        <f t="shared" ref="BD75" si="443">IF(SUM(BD62, BD74) &gt; 0, SUM(BD62, BD74), "")</f>
        <v>11</v>
      </c>
      <c r="BE75" s="62" t="str">
        <f t="shared" ref="BE75" si="444">IF(SUM(BE62, BE74) &gt; 0, SUM(BE62, BE74), "")</f>
        <v/>
      </c>
      <c r="BF75" s="62">
        <f t="shared" ref="BF75" si="445">IF(SUM(BF62, BF74) &gt; 0, SUM(BF62, BF74), "")</f>
        <v>8</v>
      </c>
      <c r="BG75" s="62" t="str">
        <f t="shared" ref="BG75" si="446">IF(SUM(BG62, BG74) &gt; 0, SUM(BG62, BG74), "")</f>
        <v/>
      </c>
      <c r="BH75" s="62" t="str">
        <f t="shared" ref="BH75" si="447">IF(SUM(BH62, BH74) &gt; 0, SUM(BH62, BH74), "")</f>
        <v/>
      </c>
      <c r="BI75" s="63" t="str">
        <f t="shared" ref="BI75" si="448">IF(SUM(BI62, BI74) &gt; 0, SUM(BI62, BI74), "")</f>
        <v/>
      </c>
      <c r="BJ75" s="65" t="str">
        <f t="shared" ref="BJ75" si="449">IF(SUM(BJ62, BJ74) &gt; 0, SUM(BJ62, BJ74), "")</f>
        <v/>
      </c>
      <c r="BK75" s="62">
        <f t="shared" ref="BK75" si="450">IF(SUM(BK62, BK74) &gt; 0, SUM(BK62, BK74), "")</f>
        <v>9</v>
      </c>
      <c r="BL75" s="62" t="str">
        <f t="shared" ref="BL75" si="451">IF(SUM(BL62, BL74) &gt; 0, SUM(BL62, BL74), "")</f>
        <v/>
      </c>
      <c r="BM75" s="62">
        <f t="shared" ref="BM75" si="452">IF(SUM(BM62, BM74) &gt; 0, SUM(BM62, BM74), "")</f>
        <v>13</v>
      </c>
      <c r="BN75" s="62">
        <f t="shared" ref="BN75" si="453">IF(SUM(BN62, BN74) &gt; 0, SUM(BN62, BN74), "")</f>
        <v>12</v>
      </c>
      <c r="BO75" s="62" t="str">
        <f t="shared" ref="BO75:BP75" si="454">IF(SUM(BO62, BO74) &gt; 0, SUM(BO62, BO74), "")</f>
        <v/>
      </c>
      <c r="BP75" s="63">
        <f t="shared" si="454"/>
        <v>5</v>
      </c>
      <c r="BQ75" s="62" t="str">
        <f t="shared" ref="BQ75" si="455">IF(SUM(BQ62, BQ74) &gt; 0, SUM(BQ62, BQ74), "")</f>
        <v/>
      </c>
      <c r="BR75" s="62" t="str">
        <f t="shared" ref="BR75" si="456">IF(SUM(BR62, BR74) &gt; 0, SUM(BR62, BR74), "")</f>
        <v/>
      </c>
      <c r="BS75" s="62" t="str">
        <f t="shared" ref="BS75" si="457">IF(SUM(BS62, BS74) &gt; 0, SUM(BS62, BS74), "")</f>
        <v/>
      </c>
      <c r="BT75" s="62" t="str">
        <f t="shared" ref="BT75" si="458">IF(SUM(BT62, BT74) &gt; 0, SUM(BT62, BT74), "")</f>
        <v/>
      </c>
      <c r="BU75" s="62" t="str">
        <f t="shared" ref="BU75" si="459">IF(SUM(BU62, BU74) &gt; 0, SUM(BU62, BU74), "")</f>
        <v/>
      </c>
      <c r="BV75" s="62" t="str">
        <f t="shared" ref="BV75:BW75" si="460">IF(SUM(BV62, BV74) &gt; 0, SUM(BV62, BV74), "")</f>
        <v/>
      </c>
      <c r="BW75" s="62">
        <f t="shared" si="460"/>
        <v>2</v>
      </c>
      <c r="BX75" s="62"/>
      <c r="BY75" s="63" t="str">
        <f t="shared" ref="BY75" si="461">IF(SUM(BY62, BY74) &gt; 0, SUM(BY62, BY74), "")</f>
        <v/>
      </c>
      <c r="BZ75" s="65" t="str">
        <f t="shared" ref="BZ75" si="462">IF(SUM(BZ62, BZ74) &gt; 0, SUM(BZ62, BZ74), "")</f>
        <v/>
      </c>
      <c r="CA75" s="62" t="str">
        <f t="shared" ref="CA75" si="463">IF(SUM(CA62, CA74) &gt; 0, SUM(CA62, CA74), "")</f>
        <v/>
      </c>
      <c r="CB75" s="62" t="str">
        <f t="shared" ref="CB75" si="464">IF(SUM(CB62, CB74) &gt; 0, SUM(CB62, CB74), "")</f>
        <v/>
      </c>
      <c r="CC75" s="62" t="str">
        <f t="shared" ref="CC75" si="465">IF(SUM(CC62, CC74) &gt; 0, SUM(CC62, CC74), "")</f>
        <v/>
      </c>
      <c r="CD75" s="62" t="str">
        <f t="shared" ref="CD75" si="466">IF(SUM(CD62, CD74) &gt; 0, SUM(CD62, CD74), "")</f>
        <v/>
      </c>
      <c r="CE75" s="62" t="str">
        <f t="shared" ref="CE75" si="467">IF(SUM(CE62, CE74) &gt; 0, SUM(CE62, CE74), "")</f>
        <v/>
      </c>
      <c r="CF75" s="62"/>
      <c r="CG75" s="62"/>
      <c r="CH75" s="63" t="str">
        <f t="shared" ref="CH75" si="468">IF(SUM(CH62, CH74) &gt; 0, SUM(CH62, CH74), "")</f>
        <v/>
      </c>
      <c r="CI75" s="65" t="str">
        <f t="shared" ref="CI75" si="469">IF(SUM(CI62, CI74) &gt; 0, SUM(CI62, CI74), "")</f>
        <v/>
      </c>
      <c r="CJ75" s="62" t="str">
        <f t="shared" ref="CJ75" si="470">IF(SUM(CJ62, CJ74) &gt; 0, SUM(CJ62, CJ74), "")</f>
        <v/>
      </c>
      <c r="CK75" s="62" t="str">
        <f t="shared" ref="CK75" si="471">IF(SUM(CK62, CK74) &gt; 0, SUM(CK62, CK74), "")</f>
        <v/>
      </c>
      <c r="CL75" s="62" t="str">
        <f t="shared" ref="CL75" si="472">IF(SUM(CL62, CL74) &gt; 0, SUM(CL62, CL74), "")</f>
        <v/>
      </c>
      <c r="CM75" s="62" t="str">
        <f t="shared" ref="CM75" si="473">IF(SUM(CM62, CM74) &gt; 0, SUM(CM62, CM74), "")</f>
        <v/>
      </c>
      <c r="CN75" s="62" t="str">
        <f t="shared" ref="CN75:CO75" si="474">IF(SUM(CN62, CN74) &gt; 0, SUM(CN62, CN74), "")</f>
        <v/>
      </c>
      <c r="CO75" s="62" t="str">
        <f t="shared" si="474"/>
        <v/>
      </c>
      <c r="CP75" s="62"/>
      <c r="CQ75" s="63" t="str">
        <f t="shared" ref="CQ75" si="475">IF(SUM(CQ62, CQ74) &gt; 0, SUM(CQ62, CQ74), "")</f>
        <v/>
      </c>
      <c r="CR75" s="65" t="str">
        <f t="shared" ref="CR75" si="476">IF(SUM(CR62, CR74) &gt; 0, SUM(CR62, CR74), "")</f>
        <v/>
      </c>
      <c r="CS75" s="62" t="str">
        <f t="shared" ref="CS75" si="477">IF(SUM(CS62, CS74) &gt; 0, SUM(CS62, CS74), "")</f>
        <v/>
      </c>
      <c r="CT75" s="62" t="str">
        <f t="shared" ref="CT75" si="478">IF(SUM(CT62, CT74) &gt; 0, SUM(CT62, CT74), "")</f>
        <v/>
      </c>
      <c r="CU75" s="62" t="str">
        <f t="shared" ref="CU75" si="479">IF(SUM(CU62, CU74) &gt; 0, SUM(CU62, CU74), "")</f>
        <v/>
      </c>
      <c r="CV75" s="62" t="str">
        <f t="shared" ref="CV75" si="480">IF(SUM(CV62, CV74) &gt; 0, SUM(CV62, CV74), "")</f>
        <v/>
      </c>
      <c r="CW75" s="62"/>
      <c r="CX75" s="62"/>
      <c r="CY75" s="62" t="str">
        <f t="shared" ref="CY75" si="481">IF(SUM(CY62, CY74) &gt; 0, SUM(CY62, CY74), "")</f>
        <v/>
      </c>
      <c r="CZ75" s="63" t="str">
        <f t="shared" ref="CZ75" si="482">IF(SUM(CZ62, CZ74) &gt; 0, SUM(CZ62, CZ74), "")</f>
        <v/>
      </c>
      <c r="DA75" s="65" t="str">
        <f t="shared" ref="DA75" si="483">IF(SUM(DA62, DA74) &gt; 0, SUM(DA62, DA74), "")</f>
        <v/>
      </c>
      <c r="DB75" s="62" t="str">
        <f t="shared" ref="DB75" si="484">IF(SUM(DB62, DB74) &gt; 0, SUM(DB62, DB74), "")</f>
        <v/>
      </c>
      <c r="DC75" s="62" t="str">
        <f t="shared" ref="DC75" si="485">IF(SUM(DC62, DC74) &gt; 0, SUM(DC62, DC74), "")</f>
        <v/>
      </c>
      <c r="DD75" s="62" t="str">
        <f t="shared" ref="DD75" si="486">IF(SUM(DD62, DD74) &gt; 0, SUM(DD62, DD74), "")</f>
        <v/>
      </c>
      <c r="DE75" s="62" t="str">
        <f t="shared" ref="DE75" si="487">IF(SUM(DE62, DE74) &gt; 0, SUM(DE62, DE74), "")</f>
        <v/>
      </c>
      <c r="DF75" s="62" t="str">
        <f t="shared" ref="DF75" si="488">IF(SUM(DF62, DF74) &gt; 0, SUM(DF62, DF74), "")</f>
        <v/>
      </c>
      <c r="DG75" s="62"/>
      <c r="DH75" s="62"/>
      <c r="DI75" s="63" t="str">
        <f t="shared" ref="DI75" si="489">IF(SUM(DI62, DI74) &gt; 0, SUM(DI62, DI74), "")</f>
        <v/>
      </c>
      <c r="DJ75" s="65" t="str">
        <f t="shared" ref="DJ75" si="490">IF(SUM(DJ62, DJ74) &gt; 0, SUM(DJ62, DJ74), "")</f>
        <v/>
      </c>
      <c r="DK75" s="62" t="str">
        <f t="shared" ref="DK75" si="491">IF(SUM(DK62, DK74) &gt; 0, SUM(DK62, DK74), "")</f>
        <v/>
      </c>
      <c r="DL75" s="62" t="str">
        <f t="shared" ref="DL75" si="492">IF(SUM(DL62, DL74) &gt; 0, SUM(DL62, DL74), "")</f>
        <v/>
      </c>
      <c r="DM75" s="62" t="str">
        <f t="shared" ref="DM75" si="493">IF(SUM(DM62, DM74) &gt; 0, SUM(DM62, DM74), "")</f>
        <v/>
      </c>
      <c r="DN75" s="62" t="str">
        <f t="shared" ref="DN75" si="494">IF(SUM(DN62, DN74) &gt; 0, SUM(DN62, DN74), "")</f>
        <v/>
      </c>
      <c r="DO75" s="62" t="str">
        <f t="shared" ref="DO75" si="495">IF(SUM(DO62, DO74) &gt; 0, SUM(DO62, DO74), "")</f>
        <v/>
      </c>
      <c r="DP75" s="62"/>
      <c r="DQ75" s="62"/>
      <c r="DR75" s="63" t="str">
        <f t="shared" ref="DR75" si="496">IF(SUM(DR62, DR74) &gt; 0, SUM(DR62, DR74), "")</f>
        <v/>
      </c>
      <c r="DS75" s="65" t="str">
        <f t="shared" ref="DS75" si="497">IF(SUM(DS62, DS74) &gt; 0, SUM(DS62, DS74), "")</f>
        <v/>
      </c>
      <c r="DT75" s="62" t="str">
        <f t="shared" ref="DT75" si="498">IF(SUM(DT62, DT74) &gt; 0, SUM(DT62, DT74), "")</f>
        <v/>
      </c>
      <c r="DU75" s="62" t="str">
        <f t="shared" ref="DU75" si="499">IF(SUM(DU62, DU74) &gt; 0, SUM(DU62, DU74), "")</f>
        <v/>
      </c>
      <c r="DV75" s="62" t="str">
        <f t="shared" ref="DV75" si="500">IF(SUM(DV62, DV74) &gt; 0, SUM(DV62, DV74), "")</f>
        <v/>
      </c>
      <c r="DW75" s="62" t="str">
        <f t="shared" ref="DW75" si="501">IF(SUM(DW62, DW74) &gt; 0, SUM(DW62, DW74), "")</f>
        <v/>
      </c>
      <c r="DX75" s="62"/>
      <c r="DY75" s="62"/>
      <c r="DZ75" s="62" t="str">
        <f t="shared" ref="DZ75" si="502">IF(SUM(DZ62, DZ74) &gt; 0, SUM(DZ62, DZ74), "")</f>
        <v/>
      </c>
      <c r="EA75" s="63" t="str">
        <f t="shared" ref="EA75" si="503">IF(SUM(EA62, EA74) &gt; 0, SUM(EA62, EA74), "")</f>
        <v/>
      </c>
      <c r="EB75" s="65" t="str">
        <f t="shared" ref="EB75" si="504">IF(SUM(EB62, EB74) &gt; 0, SUM(EB62, EB74), "")</f>
        <v/>
      </c>
      <c r="EC75" s="62" t="str">
        <f t="shared" ref="EC75" si="505">IF(SUM(EC62, EC74) &gt; 0, SUM(EC62, EC74), "")</f>
        <v/>
      </c>
      <c r="ED75" s="62" t="str">
        <f t="shared" ref="ED75" si="506">IF(SUM(ED62, ED74) &gt; 0, SUM(ED62, ED74), "")</f>
        <v/>
      </c>
      <c r="EE75" s="62" t="str">
        <f t="shared" ref="EE75" si="507">IF(SUM(EE62, EE74) &gt; 0, SUM(EE62, EE74), "")</f>
        <v/>
      </c>
      <c r="EF75" s="62" t="str">
        <f t="shared" ref="EF75" si="508">IF(SUM(EF62, EF74) &gt; 0, SUM(EF62, EF74), "")</f>
        <v/>
      </c>
      <c r="EG75" s="62" t="str">
        <f t="shared" ref="EG75" si="509">IF(SUM(EG62, EG74) &gt; 0, SUM(EG62, EG74), "")</f>
        <v/>
      </c>
      <c r="EH75" s="63" t="str">
        <f t="shared" ref="EH75" si="510">IF(SUM(EH62, EH74) &gt; 0, SUM(EH62, EH74), "")</f>
        <v/>
      </c>
      <c r="EI75" s="65" t="str">
        <f t="shared" ref="EI75" si="511">IF(SUM(EI62, EI74) &gt; 0, SUM(EI62, EI74), "")</f>
        <v/>
      </c>
      <c r="EJ75" s="62" t="str">
        <f t="shared" ref="EJ75" si="512">IF(SUM(EJ62, EJ74) &gt; 0, SUM(EJ62, EJ74), "")</f>
        <v/>
      </c>
      <c r="EK75" s="62" t="str">
        <f t="shared" ref="EK75" si="513">IF(SUM(EK62, EK74) &gt; 0, SUM(EK62, EK74), "")</f>
        <v/>
      </c>
      <c r="EL75" s="62" t="str">
        <f t="shared" ref="EL75" si="514">IF(SUM(EL62, EL74) &gt; 0, SUM(EL62, EL74), "")</f>
        <v/>
      </c>
      <c r="EM75" s="62" t="str">
        <f t="shared" ref="EM75" si="515">IF(SUM(EM62, EM74) &gt; 0, SUM(EM62, EM74), "")</f>
        <v/>
      </c>
      <c r="EN75" s="62" t="str">
        <f t="shared" ref="EN75" si="516">IF(SUM(EN62, EN74) &gt; 0, SUM(EN62, EN74), "")</f>
        <v/>
      </c>
      <c r="EO75" s="63" t="str">
        <f t="shared" ref="EO75" si="517">IF(SUM(EO62, EO74) &gt; 0, SUM(EO62, EO74), "")</f>
        <v/>
      </c>
      <c r="EP75" s="65" t="str">
        <f t="shared" ref="EP75" si="518">IF(SUM(EP62, EP74) &gt; 0, SUM(EP62, EP74), "")</f>
        <v/>
      </c>
      <c r="EQ75" s="62" t="str">
        <f t="shared" ref="EQ75" si="519">IF(SUM(EQ62, EQ74) &gt; 0, SUM(EQ62, EQ74), "")</f>
        <v/>
      </c>
      <c r="ER75" s="62" t="str">
        <f t="shared" ref="ER75" si="520">IF(SUM(ER62, ER74) &gt; 0, SUM(ER62, ER74), "")</f>
        <v/>
      </c>
      <c r="ES75" s="62" t="str">
        <f t="shared" ref="ES75" si="521">IF(SUM(ES62, ES74) &gt; 0, SUM(ES62, ES74), "")</f>
        <v/>
      </c>
      <c r="ET75" s="62" t="str">
        <f t="shared" ref="ET75" si="522">IF(SUM(ET62, ET74) &gt; 0, SUM(ET62, ET74), "")</f>
        <v/>
      </c>
      <c r="EU75" s="62" t="str">
        <f t="shared" ref="EU75" si="523">IF(SUM(EU62, EU74) &gt; 0, SUM(EU62, EU74), "")</f>
        <v/>
      </c>
      <c r="EV75" s="63" t="str">
        <f t="shared" ref="EV75" si="524">IF(SUM(EV62, EV74) &gt; 0, SUM(EV62, EV74), "")</f>
        <v/>
      </c>
      <c r="EW75" s="65" t="str">
        <f t="shared" ref="EW75" si="525">IF(SUM(EW62, EW74) &gt; 0, SUM(EW62, EW74), "")</f>
        <v/>
      </c>
      <c r="EX75" s="62" t="str">
        <f t="shared" ref="EX75" si="526">IF(SUM(EX62, EX74) &gt; 0, SUM(EX62, EX74), "")</f>
        <v/>
      </c>
      <c r="EY75" s="62" t="str">
        <f t="shared" ref="EY75" si="527">IF(SUM(EY62, EY74) &gt; 0, SUM(EY62, EY74), "")</f>
        <v/>
      </c>
      <c r="EZ75" s="62" t="str">
        <f t="shared" ref="EZ75" si="528">IF(SUM(EZ62, EZ74) &gt; 0, SUM(EZ62, EZ74), "")</f>
        <v/>
      </c>
      <c r="FA75" s="62" t="str">
        <f t="shared" ref="FA75" si="529">IF(SUM(FA62, FA74) &gt; 0, SUM(FA62, FA74), "")</f>
        <v/>
      </c>
      <c r="FB75" s="62" t="str">
        <f t="shared" ref="FB75" si="530">IF(SUM(FB62, FB74) &gt; 0, SUM(FB62, FB74), "")</f>
        <v/>
      </c>
      <c r="FC75" s="63" t="str">
        <f t="shared" ref="FC75" si="531">IF(SUM(FC62, FC74) &gt; 0, SUM(FC62, FC74), "")</f>
        <v/>
      </c>
      <c r="FD75" s="65" t="str">
        <f t="shared" ref="FD75" si="532">IF(SUM(FD62, FD74) &gt; 0, SUM(FD62, FD74), "")</f>
        <v/>
      </c>
      <c r="FE75" s="62" t="str">
        <f t="shared" ref="FE75" si="533">IF(SUM(FE62, FE74) &gt; 0, SUM(FE62, FE74), "")</f>
        <v/>
      </c>
      <c r="FF75" s="62" t="str">
        <f t="shared" ref="FF75" si="534">IF(SUM(FF62, FF74) &gt; 0, SUM(FF62, FF74), "")</f>
        <v/>
      </c>
      <c r="FG75" s="62" t="str">
        <f t="shared" ref="FG75" si="535">IF(SUM(FG62, FG74) &gt; 0, SUM(FG62, FG74), "")</f>
        <v/>
      </c>
      <c r="FH75" s="62" t="str">
        <f t="shared" ref="FH75" si="536">IF(SUM(FH62, FH74) &gt; 0, SUM(FH62, FH74), "")</f>
        <v/>
      </c>
      <c r="FI75" s="62" t="str">
        <f t="shared" ref="FI75" si="537">IF(SUM(FI62, FI74) &gt; 0, SUM(FI62, FI74), "")</f>
        <v/>
      </c>
      <c r="FJ75" s="63" t="str">
        <f t="shared" ref="FJ75" si="538">IF(SUM(FJ62, FJ74) &gt; 0, SUM(FJ62, FJ74), "")</f>
        <v/>
      </c>
      <c r="FK75" s="65" t="str">
        <f t="shared" ref="FK75" si="539">IF(SUM(FK62, FK74) &gt; 0, SUM(FK62, FK74), "")</f>
        <v/>
      </c>
      <c r="FL75" s="62" t="str">
        <f t="shared" ref="FL75" si="540">IF(SUM(FL62, FL74) &gt; 0, SUM(FL62, FL74), "")</f>
        <v/>
      </c>
      <c r="FM75" s="62" t="str">
        <f t="shared" ref="FM75" si="541">IF(SUM(FM62, FM74) &gt; 0, SUM(FM62, FM74), "")</f>
        <v/>
      </c>
      <c r="FN75" s="62" t="str">
        <f t="shared" ref="FN75" si="542">IF(SUM(FN62, FN74) &gt; 0, SUM(FN62, FN74), "")</f>
        <v/>
      </c>
      <c r="FO75" s="62" t="str">
        <f t="shared" ref="FO75" si="543">IF(SUM(FO62, FO74) &gt; 0, SUM(FO62, FO74), "")</f>
        <v/>
      </c>
      <c r="FP75" s="62" t="str">
        <f t="shared" ref="FP75" si="544">IF(SUM(FP62, FP74) &gt; 0, SUM(FP62, FP74), "")</f>
        <v/>
      </c>
      <c r="FQ75" s="63" t="str">
        <f t="shared" ref="FQ75" si="545">IF(SUM(FQ62, FQ74) &gt; 0, SUM(FQ62, FQ74), "")</f>
        <v/>
      </c>
      <c r="FR75" s="65" t="str">
        <f t="shared" ref="FR75" si="546">IF(SUM(FR62, FR74) &gt; 0, SUM(FR62, FR74), "")</f>
        <v/>
      </c>
      <c r="FS75" s="62" t="str">
        <f t="shared" ref="FS75" si="547">IF(SUM(FS62, FS74) &gt; 0, SUM(FS62, FS74), "")</f>
        <v/>
      </c>
      <c r="FT75" s="62" t="str">
        <f t="shared" ref="FT75" si="548">IF(SUM(FT62, FT74) &gt; 0, SUM(FT62, FT74), "")</f>
        <v/>
      </c>
      <c r="FU75" s="62" t="str">
        <f t="shared" ref="FU75" si="549">IF(SUM(FU62, FU74) &gt; 0, SUM(FU62, FU74), "")</f>
        <v/>
      </c>
      <c r="FV75" s="62" t="str">
        <f t="shared" ref="FV75" si="550">IF(SUM(FV62, FV74) &gt; 0, SUM(FV62, FV74), "")</f>
        <v/>
      </c>
      <c r="FW75" s="62" t="str">
        <f t="shared" ref="FW75" si="551">IF(SUM(FW62, FW74) &gt; 0, SUM(FW62, FW74), "")</f>
        <v/>
      </c>
      <c r="FX75" s="63" t="str">
        <f t="shared" ref="FX75" si="552">IF(SUM(FX62, FX74) &gt; 0, SUM(FX62, FX74), "")</f>
        <v/>
      </c>
      <c r="FY75" s="65" t="str">
        <f t="shared" ref="FY75" si="553">IF(SUM(FY62, FY74) &gt; 0, SUM(FY62, FY74), "")</f>
        <v/>
      </c>
      <c r="FZ75" s="62" t="str">
        <f t="shared" ref="FZ75" si="554">IF(SUM(FZ62, FZ74) &gt; 0, SUM(FZ62, FZ74), "")</f>
        <v/>
      </c>
      <c r="GA75" s="62" t="str">
        <f t="shared" ref="GA75" si="555">IF(SUM(GA62, GA74) &gt; 0, SUM(GA62, GA74), "")</f>
        <v/>
      </c>
      <c r="GB75" s="62" t="str">
        <f t="shared" ref="GB75" si="556">IF(SUM(GB62, GB74) &gt; 0, SUM(GB62, GB74), "")</f>
        <v/>
      </c>
      <c r="GC75" s="62" t="str">
        <f t="shared" ref="GC75" si="557">IF(SUM(GC62, GC74) &gt; 0, SUM(GC62, GC74), "")</f>
        <v/>
      </c>
      <c r="GD75" s="62" t="str">
        <f t="shared" ref="GD75" si="558">IF(SUM(GD62, GD74) &gt; 0, SUM(GD62, GD74), "")</f>
        <v/>
      </c>
      <c r="GE75" s="63" t="str">
        <f t="shared" ref="GE75" si="559">IF(SUM(GE62, GE74) &gt; 0, SUM(GE62, GE74), "")</f>
        <v/>
      </c>
      <c r="GF75" s="65" t="str">
        <f t="shared" ref="GF75" si="560">IF(SUM(GF62, GF74) &gt; 0, SUM(GF62, GF74), "")</f>
        <v/>
      </c>
      <c r="GG75" s="62" t="str">
        <f t="shared" ref="GG75" si="561">IF(SUM(GG62, GG74) &gt; 0, SUM(GG62, GG74), "")</f>
        <v/>
      </c>
      <c r="GH75" s="62" t="str">
        <f t="shared" ref="GH75" si="562">IF(SUM(GH62, GH74) &gt; 0, SUM(GH62, GH74), "")</f>
        <v/>
      </c>
      <c r="GI75" s="62" t="str">
        <f t="shared" ref="GI75" si="563">IF(SUM(GI62, GI74) &gt; 0, SUM(GI62, GI74), "")</f>
        <v/>
      </c>
      <c r="GJ75" s="62" t="str">
        <f t="shared" ref="GJ75" si="564">IF(SUM(GJ62, GJ74) &gt; 0, SUM(GJ62, GJ74), "")</f>
        <v/>
      </c>
      <c r="GK75" s="62" t="str">
        <f t="shared" ref="GK75" si="565">IF(SUM(GK62, GK74) &gt; 0, SUM(GK62, GK74), "")</f>
        <v/>
      </c>
      <c r="GL75" s="63" t="str">
        <f t="shared" ref="GL75" si="566">IF(SUM(GL62, GL74) &gt; 0, SUM(GL62, GL74), "")</f>
        <v/>
      </c>
      <c r="GM75" s="65" t="str">
        <f t="shared" ref="GM75" si="567">IF(SUM(GM62, GM74) &gt; 0, SUM(GM62, GM74), "")</f>
        <v/>
      </c>
      <c r="GN75" s="62" t="str">
        <f t="shared" ref="GN75" si="568">IF(SUM(GN62, GN74) &gt; 0, SUM(GN62, GN74), "")</f>
        <v/>
      </c>
      <c r="GO75" s="62" t="str">
        <f t="shared" ref="GO75" si="569">IF(SUM(GO62, GO74) &gt; 0, SUM(GO62, GO74), "")</f>
        <v/>
      </c>
      <c r="GP75" s="62" t="str">
        <f t="shared" ref="GP75" si="570">IF(SUM(GP62, GP74) &gt; 0, SUM(GP62, GP74), "")</f>
        <v/>
      </c>
      <c r="GQ75" s="62" t="str">
        <f t="shared" ref="GQ75" si="571">IF(SUM(GQ62, GQ74) &gt; 0, SUM(GQ62, GQ74), "")</f>
        <v/>
      </c>
      <c r="GR75" s="62" t="str">
        <f t="shared" ref="GR75" si="572">IF(SUM(GR62, GR74) &gt; 0, SUM(GR62, GR74), "")</f>
        <v/>
      </c>
      <c r="GS75" s="63" t="str">
        <f t="shared" ref="GS75" si="573">IF(SUM(GS62, GS74) &gt; 0, SUM(GS62, GS74), "")</f>
        <v/>
      </c>
      <c r="GT75" s="65" t="str">
        <f t="shared" ref="GT75" si="574">IF(SUM(GT62, GT74) &gt; 0, SUM(GT62, GT74), "")</f>
        <v/>
      </c>
      <c r="GU75" s="62" t="str">
        <f t="shared" ref="GU75" si="575">IF(SUM(GU62, GU74) &gt; 0, SUM(GU62, GU74), "")</f>
        <v/>
      </c>
      <c r="GV75" s="62" t="str">
        <f t="shared" ref="GV75" si="576">IF(SUM(GV62, GV74) &gt; 0, SUM(GV62, GV74), "")</f>
        <v/>
      </c>
      <c r="GW75" s="62" t="str">
        <f t="shared" ref="GW75" si="577">IF(SUM(GW62, GW74) &gt; 0, SUM(GW62, GW74), "")</f>
        <v/>
      </c>
      <c r="GX75" s="62" t="str">
        <f t="shared" ref="GX75" si="578">IF(SUM(GX62, GX74) &gt; 0, SUM(GX62, GX74), "")</f>
        <v/>
      </c>
      <c r="GY75" s="62" t="str">
        <f t="shared" ref="GY75" si="579">IF(SUM(GY62, GY74) &gt; 0, SUM(GY62, GY74), "")</f>
        <v/>
      </c>
      <c r="GZ75" s="63" t="str">
        <f t="shared" ref="GZ75" si="580">IF(SUM(GZ62, GZ74) &gt; 0, SUM(GZ62, GZ74), "")</f>
        <v/>
      </c>
      <c r="HA75" s="65" t="str">
        <f t="shared" ref="HA75" si="581">IF(SUM(HA62, HA74) &gt; 0, SUM(HA62, HA74), "")</f>
        <v/>
      </c>
      <c r="HB75" s="62" t="str">
        <f t="shared" ref="HB75" si="582">IF(SUM(HB62, HB74) &gt; 0, SUM(HB62, HB74), "")</f>
        <v/>
      </c>
      <c r="HC75" s="62" t="str">
        <f t="shared" ref="HC75" si="583">IF(SUM(HC62, HC74) &gt; 0, SUM(HC62, HC74), "")</f>
        <v/>
      </c>
      <c r="HD75" s="62" t="str">
        <f t="shared" ref="HD75" si="584">IF(SUM(HD62, HD74) &gt; 0, SUM(HD62, HD74), "")</f>
        <v/>
      </c>
      <c r="HE75" s="62" t="str">
        <f t="shared" ref="HE75" si="585">IF(SUM(HE62, HE74) &gt; 0, SUM(HE62, HE74), "")</f>
        <v/>
      </c>
      <c r="HF75" s="62" t="str">
        <f t="shared" ref="HF75" si="586">IF(SUM(HF62, HF74) &gt; 0, SUM(HF62, HF74), "")</f>
        <v/>
      </c>
      <c r="HG75" s="63" t="str">
        <f t="shared" ref="HG75" si="587">IF(SUM(HG62, HG74) &gt; 0, SUM(HG62, HG74), "")</f>
        <v/>
      </c>
      <c r="HH75" s="65" t="str">
        <f t="shared" ref="HH75" si="588">IF(SUM(HH62, HH74) &gt; 0, SUM(HH62, HH74), "")</f>
        <v/>
      </c>
      <c r="HI75" s="62" t="str">
        <f t="shared" ref="HI75" si="589">IF(SUM(HI62, HI74) &gt; 0, SUM(HI62, HI74), "")</f>
        <v/>
      </c>
      <c r="HJ75" s="62" t="str">
        <f t="shared" ref="HJ75" si="590">IF(SUM(HJ62, HJ74) &gt; 0, SUM(HJ62, HJ74), "")</f>
        <v/>
      </c>
      <c r="HK75" s="62" t="str">
        <f t="shared" ref="HK75" si="591">IF(SUM(HK62, HK74) &gt; 0, SUM(HK62, HK74), "")</f>
        <v/>
      </c>
      <c r="HL75" s="62" t="str">
        <f t="shared" ref="HL75" si="592">IF(SUM(HL62, HL74) &gt; 0, SUM(HL62, HL74), "")</f>
        <v/>
      </c>
      <c r="HM75" s="62" t="str">
        <f t="shared" ref="HM75" si="593">IF(SUM(HM62, HM74) &gt; 0, SUM(HM62, HM74), "")</f>
        <v/>
      </c>
      <c r="HN75" s="63" t="str">
        <f t="shared" ref="HN75" si="594">IF(SUM(HN62, HN74) &gt; 0, SUM(HN62, HN74), "")</f>
        <v/>
      </c>
      <c r="HO75" s="65" t="str">
        <f t="shared" ref="HO75" si="595">IF(SUM(HO62, HO74) &gt; 0, SUM(HO62, HO74), "")</f>
        <v/>
      </c>
      <c r="HP75" s="62" t="str">
        <f t="shared" ref="HP75" si="596">IF(SUM(HP62, HP74) &gt; 0, SUM(HP62, HP74), "")</f>
        <v/>
      </c>
      <c r="HQ75" s="62" t="str">
        <f t="shared" ref="HQ75" si="597">IF(SUM(HQ62, HQ74) &gt; 0, SUM(HQ62, HQ74), "")</f>
        <v/>
      </c>
      <c r="HR75" s="62" t="str">
        <f t="shared" ref="HR75" si="598">IF(SUM(HR62, HR74) &gt; 0, SUM(HR62, HR74), "")</f>
        <v/>
      </c>
      <c r="HS75" s="62" t="str">
        <f t="shared" ref="HS75" si="599">IF(SUM(HS62, HS74) &gt; 0, SUM(HS62, HS74), "")</f>
        <v/>
      </c>
      <c r="HT75" s="62" t="str">
        <f t="shared" ref="HT75" si="600">IF(SUM(HT62, HT74) &gt; 0, SUM(HT62, HT74), "")</f>
        <v/>
      </c>
      <c r="HU75" s="63" t="str">
        <f t="shared" ref="HU75" si="601">IF(SUM(HU62, HU74) &gt; 0, SUM(HU62, HU74), "")</f>
        <v/>
      </c>
      <c r="HV75" s="65" t="str">
        <f t="shared" ref="HV75" si="602">IF(SUM(HV62, HV74) &gt; 0, SUM(HV62, HV74), "")</f>
        <v/>
      </c>
      <c r="HW75" s="62" t="str">
        <f t="shared" ref="HW75" si="603">IF(SUM(HW62, HW74) &gt; 0, SUM(HW62, HW74), "")</f>
        <v/>
      </c>
      <c r="HX75" s="62" t="str">
        <f t="shared" ref="HX75" si="604">IF(SUM(HX62, HX74) &gt; 0, SUM(HX62, HX74), "")</f>
        <v/>
      </c>
      <c r="HY75" s="62" t="str">
        <f t="shared" ref="HY75" si="605">IF(SUM(HY62, HY74) &gt; 0, SUM(HY62, HY74), "")</f>
        <v/>
      </c>
      <c r="HZ75" s="62" t="str">
        <f t="shared" ref="HZ75" si="606">IF(SUM(HZ62, HZ74) &gt; 0, SUM(HZ62, HZ74), "")</f>
        <v/>
      </c>
      <c r="IA75" s="62" t="str">
        <f t="shared" ref="IA75" si="607">IF(SUM(IA62, IA74) &gt; 0, SUM(IA62, IA74), "")</f>
        <v/>
      </c>
      <c r="IB75" s="63" t="str">
        <f t="shared" ref="IB75" si="608">IF(SUM(IB62, IB74) &gt; 0, SUM(IB62, IB74), "")</f>
        <v/>
      </c>
      <c r="IC75" s="65" t="str">
        <f t="shared" ref="IC75" si="609">IF(SUM(IC62, IC74) &gt; 0, SUM(IC62, IC74), "")</f>
        <v/>
      </c>
      <c r="ID75" s="62" t="str">
        <f t="shared" ref="ID75" si="610">IF(SUM(ID62, ID74) &gt; 0, SUM(ID62, ID74), "")</f>
        <v/>
      </c>
      <c r="IE75" s="62" t="str">
        <f t="shared" ref="IE75" si="611">IF(SUM(IE62, IE74) &gt; 0, SUM(IE62, IE74), "")</f>
        <v/>
      </c>
      <c r="IF75" s="62" t="str">
        <f t="shared" ref="IF75" si="612">IF(SUM(IF62, IF74) &gt; 0, SUM(IF62, IF74), "")</f>
        <v/>
      </c>
      <c r="IG75" s="62" t="str">
        <f t="shared" ref="IG75" si="613">IF(SUM(IG62, IG74) &gt; 0, SUM(IG62, IG74), "")</f>
        <v/>
      </c>
      <c r="IH75" s="62" t="str">
        <f t="shared" ref="IH75" si="614">IF(SUM(IH62, IH74) &gt; 0, SUM(IH62, IH74), "")</f>
        <v/>
      </c>
      <c r="II75" s="63" t="str">
        <f t="shared" ref="II75" si="615">IF(SUM(II62, II74) &gt; 0, SUM(II62, II74), "")</f>
        <v/>
      </c>
      <c r="IJ75" s="65" t="str">
        <f t="shared" ref="IJ75" si="616">IF(SUM(IJ62, IJ74) &gt; 0, SUM(IJ62, IJ74), "")</f>
        <v/>
      </c>
      <c r="IK75" s="62" t="str">
        <f t="shared" ref="IK75" si="617">IF(SUM(IK62, IK74) &gt; 0, SUM(IK62, IK74), "")</f>
        <v/>
      </c>
      <c r="IL75" s="62" t="str">
        <f t="shared" ref="IL75" si="618">IF(SUM(IL62, IL74) &gt; 0, SUM(IL62, IL74), "")</f>
        <v/>
      </c>
      <c r="IM75" s="62" t="str">
        <f t="shared" ref="IM75" si="619">IF(SUM(IM62, IM74) &gt; 0, SUM(IM62, IM74), "")</f>
        <v/>
      </c>
      <c r="IN75" s="62" t="str">
        <f t="shared" ref="IN75" si="620">IF(SUM(IN62, IN74) &gt; 0, SUM(IN62, IN74), "")</f>
        <v/>
      </c>
      <c r="IO75" s="62" t="str">
        <f t="shared" ref="IO75" si="621">IF(SUM(IO62, IO74) &gt; 0, SUM(IO62, IO74), "")</f>
        <v/>
      </c>
      <c r="IP75" s="63" t="str">
        <f t="shared" ref="IP75" si="622">IF(SUM(IP62, IP74) &gt; 0, SUM(IP62, IP74), "")</f>
        <v/>
      </c>
      <c r="IQ75" s="65" t="str">
        <f t="shared" ref="IQ75" si="623">IF(SUM(IQ62, IQ74) &gt; 0, SUM(IQ62, IQ74), "")</f>
        <v/>
      </c>
      <c r="IR75" s="62" t="str">
        <f t="shared" ref="IR75" si="624">IF(SUM(IR62, IR74) &gt; 0, SUM(IR62, IR74), "")</f>
        <v/>
      </c>
      <c r="IS75" s="62" t="str">
        <f t="shared" ref="IS75" si="625">IF(SUM(IS62, IS74) &gt; 0, SUM(IS62, IS74), "")</f>
        <v/>
      </c>
      <c r="IT75" s="62" t="str">
        <f t="shared" ref="IT75" si="626">IF(SUM(IT62, IT74) &gt; 0, SUM(IT62, IT74), "")</f>
        <v/>
      </c>
      <c r="IU75" s="62" t="str">
        <f t="shared" ref="IU75" si="627">IF(SUM(IU62, IU74) &gt; 0, SUM(IU62, IU74), "")</f>
        <v/>
      </c>
      <c r="IV75" s="62" t="str">
        <f t="shared" ref="IV75" si="628">IF(SUM(IV62, IV74) &gt; 0, SUM(IV62, IV74), "")</f>
        <v/>
      </c>
      <c r="IW75" s="63" t="str">
        <f t="shared" ref="IW75" si="629">IF(SUM(IW62, IW74) &gt; 0, SUM(IW62, IW74), "")</f>
        <v/>
      </c>
      <c r="IX75" s="65" t="str">
        <f t="shared" ref="IX75" si="630">IF(SUM(IX62, IX74) &gt; 0, SUM(IX62, IX74), "")</f>
        <v/>
      </c>
      <c r="IY75" s="62" t="str">
        <f t="shared" ref="IY75" si="631">IF(SUM(IY62, IY74) &gt; 0, SUM(IY62, IY74), "")</f>
        <v/>
      </c>
      <c r="IZ75" s="62" t="str">
        <f t="shared" ref="IZ75" si="632">IF(SUM(IZ62, IZ74) &gt; 0, SUM(IZ62, IZ74), "")</f>
        <v/>
      </c>
      <c r="JA75" s="62" t="str">
        <f t="shared" ref="JA75" si="633">IF(SUM(JA62, JA74) &gt; 0, SUM(JA62, JA74), "")</f>
        <v/>
      </c>
      <c r="JB75" s="62" t="str">
        <f t="shared" ref="JB75" si="634">IF(SUM(JB62, JB74) &gt; 0, SUM(JB62, JB74), "")</f>
        <v/>
      </c>
      <c r="JC75" s="62" t="str">
        <f t="shared" ref="JC75" si="635">IF(SUM(JC62, JC74) &gt; 0, SUM(JC62, JC74), "")</f>
        <v/>
      </c>
      <c r="JD75" s="63" t="str">
        <f t="shared" ref="JD75" si="636">IF(SUM(JD62, JD74) &gt; 0, SUM(JD62, JD74), "")</f>
        <v/>
      </c>
      <c r="JE75" s="65" t="str">
        <f t="shared" ref="JE75" si="637">IF(SUM(JE62, JE74) &gt; 0, SUM(JE62, JE74), "")</f>
        <v/>
      </c>
      <c r="JF75" s="62" t="str">
        <f t="shared" ref="JF75" si="638">IF(SUM(JF62, JF74) &gt; 0, SUM(JF62, JF74), "")</f>
        <v/>
      </c>
      <c r="JG75" s="62" t="str">
        <f t="shared" ref="JG75" si="639">IF(SUM(JG62, JG74) &gt; 0, SUM(JG62, JG74), "")</f>
        <v/>
      </c>
      <c r="JH75" s="62" t="str">
        <f t="shared" ref="JH75" si="640">IF(SUM(JH62, JH74) &gt; 0, SUM(JH62, JH74), "")</f>
        <v/>
      </c>
      <c r="JI75" s="62" t="str">
        <f t="shared" ref="JI75" si="641">IF(SUM(JI62, JI74) &gt; 0, SUM(JI62, JI74), "")</f>
        <v/>
      </c>
      <c r="JJ75" s="62" t="str">
        <f t="shared" ref="JJ75" si="642">IF(SUM(JJ62, JJ74) &gt; 0, SUM(JJ62, JJ74), "")</f>
        <v/>
      </c>
      <c r="JK75" s="63" t="str">
        <f t="shared" ref="JK75" si="643">IF(SUM(JK62, JK74) &gt; 0, SUM(JK62, JK74), "")</f>
        <v/>
      </c>
      <c r="JL75" s="65" t="str">
        <f t="shared" ref="JL75" si="644">IF(SUM(JL62, JL74) &gt; 0, SUM(JL62, JL74), "")</f>
        <v/>
      </c>
      <c r="JM75" s="62" t="str">
        <f t="shared" ref="JM75" si="645">IF(SUM(JM62, JM74) &gt; 0, SUM(JM62, JM74), "")</f>
        <v/>
      </c>
      <c r="JN75" s="62" t="str">
        <f t="shared" ref="JN75" si="646">IF(SUM(JN62, JN74) &gt; 0, SUM(JN62, JN74), "")</f>
        <v/>
      </c>
      <c r="JO75" s="62" t="str">
        <f t="shared" ref="JO75" si="647">IF(SUM(JO62, JO74) &gt; 0, SUM(JO62, JO74), "")</f>
        <v/>
      </c>
      <c r="JP75" s="62" t="str">
        <f t="shared" ref="JP75" si="648">IF(SUM(JP62, JP74) &gt; 0, SUM(JP62, JP74), "")</f>
        <v/>
      </c>
      <c r="JQ75" s="62" t="str">
        <f t="shared" ref="JQ75" si="649">IF(SUM(JQ62, JQ74) &gt; 0, SUM(JQ62, JQ74), "")</f>
        <v/>
      </c>
      <c r="JR75" s="63" t="str">
        <f t="shared" ref="JR75" si="650">IF(SUM(JR62, JR74) &gt; 0, SUM(JR62, JR74), "")</f>
        <v/>
      </c>
      <c r="JS75" s="65" t="str">
        <f t="shared" ref="JS75" si="651">IF(SUM(JS62, JS74) &gt; 0, SUM(JS62, JS74), "")</f>
        <v/>
      </c>
      <c r="JT75" s="62" t="str">
        <f t="shared" ref="JT75" si="652">IF(SUM(JT62, JT74) &gt; 0, SUM(JT62, JT74), "")</f>
        <v/>
      </c>
      <c r="JU75" s="62" t="str">
        <f t="shared" ref="JU75" si="653">IF(SUM(JU62, JU74) &gt; 0, SUM(JU62, JU74), "")</f>
        <v/>
      </c>
      <c r="JV75" s="62" t="str">
        <f t="shared" ref="JV75" si="654">IF(SUM(JV62, JV74) &gt; 0, SUM(JV62, JV74), "")</f>
        <v/>
      </c>
      <c r="JW75" s="62" t="str">
        <f t="shared" ref="JW75" si="655">IF(SUM(JW62, JW74) &gt; 0, SUM(JW62, JW74), "")</f>
        <v/>
      </c>
      <c r="JX75" s="62" t="str">
        <f t="shared" ref="JX75" si="656">IF(SUM(JX62, JX74) &gt; 0, SUM(JX62, JX74), "")</f>
        <v/>
      </c>
      <c r="JY75" s="63" t="str">
        <f t="shared" ref="JY75" si="657">IF(SUM(JY62, JY74) &gt; 0, SUM(JY62, JY74), "")</f>
        <v/>
      </c>
      <c r="JZ75" s="65" t="str">
        <f t="shared" ref="JZ75" si="658">IF(SUM(JZ62, JZ74) &gt; 0, SUM(JZ62, JZ74), "")</f>
        <v/>
      </c>
      <c r="KA75" s="62" t="str">
        <f t="shared" ref="KA75" si="659">IF(SUM(KA62, KA74) &gt; 0, SUM(KA62, KA74), "")</f>
        <v/>
      </c>
      <c r="KB75" s="62" t="str">
        <f t="shared" ref="KB75" si="660">IF(SUM(KB62, KB74) &gt; 0, SUM(KB62, KB74), "")</f>
        <v/>
      </c>
      <c r="KC75" s="62" t="str">
        <f t="shared" ref="KC75" si="661">IF(SUM(KC62, KC74) &gt; 0, SUM(KC62, KC74), "")</f>
        <v/>
      </c>
      <c r="KD75" s="62" t="str">
        <f t="shared" ref="KD75" si="662">IF(SUM(KD62, KD74) &gt; 0, SUM(KD62, KD74), "")</f>
        <v/>
      </c>
      <c r="KE75" s="62" t="str">
        <f t="shared" ref="KE75" si="663">IF(SUM(KE62, KE74) &gt; 0, SUM(KE62, KE74), "")</f>
        <v/>
      </c>
      <c r="KF75" s="63" t="str">
        <f t="shared" ref="KF75" si="664">IF(SUM(KF62, KF74) &gt; 0, SUM(KF62, KF74), "")</f>
        <v/>
      </c>
      <c r="KG75" s="65" t="str">
        <f t="shared" ref="KG75" si="665">IF(SUM(KG62, KG74) &gt; 0, SUM(KG62, KG74), "")</f>
        <v/>
      </c>
      <c r="KH75" s="62" t="str">
        <f t="shared" ref="KH75" si="666">IF(SUM(KH62, KH74) &gt; 0, SUM(KH62, KH74), "")</f>
        <v/>
      </c>
      <c r="KI75" s="62" t="str">
        <f t="shared" ref="KI75" si="667">IF(SUM(KI62, KI74) &gt; 0, SUM(KI62, KI74), "")</f>
        <v/>
      </c>
      <c r="KJ75" s="62" t="str">
        <f t="shared" ref="KJ75" si="668">IF(SUM(KJ62, KJ74) &gt; 0, SUM(KJ62, KJ74), "")</f>
        <v/>
      </c>
      <c r="KK75" s="62" t="str">
        <f t="shared" ref="KK75" si="669">IF(SUM(KK62, KK74) &gt; 0, SUM(KK62, KK74), "")</f>
        <v/>
      </c>
      <c r="KL75" s="62" t="str">
        <f t="shared" ref="KL75" si="670">IF(SUM(KL62, KL74) &gt; 0, SUM(KL62, KL74), "")</f>
        <v/>
      </c>
      <c r="KM75" s="63" t="str">
        <f t="shared" ref="KM75" si="671">IF(SUM(KM62, KM74) &gt; 0, SUM(KM62, KM74), "")</f>
        <v/>
      </c>
      <c r="KN75" s="65" t="str">
        <f t="shared" ref="KN75" si="672">IF(SUM(KN62, KN74) &gt; 0, SUM(KN62, KN74), "")</f>
        <v/>
      </c>
      <c r="KO75" s="62" t="str">
        <f t="shared" ref="KO75" si="673">IF(SUM(KO62, KO74) &gt; 0, SUM(KO62, KO74), "")</f>
        <v/>
      </c>
      <c r="KP75" s="62" t="str">
        <f t="shared" ref="KP75" si="674">IF(SUM(KP62, KP74) &gt; 0, SUM(KP62, KP74), "")</f>
        <v/>
      </c>
      <c r="KQ75" s="62" t="str">
        <f t="shared" ref="KQ75" si="675">IF(SUM(KQ62, KQ74) &gt; 0, SUM(KQ62, KQ74), "")</f>
        <v/>
      </c>
      <c r="KR75" s="62" t="str">
        <f t="shared" ref="KR75" si="676">IF(SUM(KR62, KR74) &gt; 0, SUM(KR62, KR74), "")</f>
        <v/>
      </c>
      <c r="KS75" s="62" t="str">
        <f t="shared" ref="KS75" si="677">IF(SUM(KS62, KS74) &gt; 0, SUM(KS62, KS74), "")</f>
        <v/>
      </c>
      <c r="KT75" s="63" t="str">
        <f t="shared" ref="KT75" si="678">IF(SUM(KT62, KT74) &gt; 0, SUM(KT62, KT74), "")</f>
        <v/>
      </c>
      <c r="KU75" s="65" t="str">
        <f t="shared" ref="KU75" si="679">IF(SUM(KU62, KU74) &gt; 0, SUM(KU62, KU74), "")</f>
        <v/>
      </c>
      <c r="KV75" s="62" t="str">
        <f t="shared" ref="KV75" si="680">IF(SUM(KV62, KV74) &gt; 0, SUM(KV62, KV74), "")</f>
        <v/>
      </c>
      <c r="KW75" s="62" t="str">
        <f t="shared" ref="KW75" si="681">IF(SUM(KW62, KW74) &gt; 0, SUM(KW62, KW74), "")</f>
        <v/>
      </c>
      <c r="KX75" s="62" t="str">
        <f t="shared" ref="KX75" si="682">IF(SUM(KX62, KX74) &gt; 0, SUM(KX62, KX74), "")</f>
        <v/>
      </c>
      <c r="KY75" s="62" t="str">
        <f t="shared" ref="KY75" si="683">IF(SUM(KY62, KY74) &gt; 0, SUM(KY62, KY74), "")</f>
        <v/>
      </c>
      <c r="KZ75" s="62" t="str">
        <f t="shared" ref="KZ75" si="684">IF(SUM(KZ62, KZ74) &gt; 0, SUM(KZ62, KZ74), "")</f>
        <v/>
      </c>
      <c r="LA75" s="63" t="str">
        <f t="shared" ref="LA75" si="685">IF(SUM(LA62, LA74) &gt; 0, SUM(LA62, LA74), "")</f>
        <v/>
      </c>
      <c r="LB75" s="65" t="str">
        <f t="shared" ref="LB75" si="686">IF(SUM(LB62, LB74) &gt; 0, SUM(LB62, LB74), "")</f>
        <v/>
      </c>
      <c r="LC75" s="62" t="str">
        <f t="shared" ref="LC75" si="687">IF(SUM(LC62, LC74) &gt; 0, SUM(LC62, LC74), "")</f>
        <v/>
      </c>
      <c r="LD75" s="62" t="str">
        <f t="shared" ref="LD75" si="688">IF(SUM(LD62, LD74) &gt; 0, SUM(LD62, LD74), "")</f>
        <v/>
      </c>
      <c r="LE75" s="62" t="str">
        <f t="shared" ref="LE75" si="689">IF(SUM(LE62, LE74) &gt; 0, SUM(LE62, LE74), "")</f>
        <v/>
      </c>
      <c r="LF75" s="62" t="str">
        <f t="shared" ref="LF75" si="690">IF(SUM(LF62, LF74) &gt; 0, SUM(LF62, LF74), "")</f>
        <v/>
      </c>
      <c r="LG75" s="62" t="str">
        <f t="shared" ref="LG75" si="691">IF(SUM(LG62, LG74) &gt; 0, SUM(LG62, LG74), "")</f>
        <v/>
      </c>
      <c r="LH75" s="63" t="str">
        <f t="shared" ref="LH75" si="692">IF(SUM(LH62, LH74) &gt; 0, SUM(LH62, LH74), "")</f>
        <v/>
      </c>
      <c r="LI75" s="65" t="str">
        <f t="shared" ref="LI75" si="693">IF(SUM(LI62, LI74) &gt; 0, SUM(LI62, LI74), "")</f>
        <v/>
      </c>
      <c r="LJ75" s="62" t="str">
        <f t="shared" ref="LJ75" si="694">IF(SUM(LJ62, LJ74) &gt; 0, SUM(LJ62, LJ74), "")</f>
        <v/>
      </c>
      <c r="LK75" s="62" t="str">
        <f t="shared" ref="LK75" si="695">IF(SUM(LK62, LK74) &gt; 0, SUM(LK62, LK74), "")</f>
        <v/>
      </c>
      <c r="LL75" s="62" t="str">
        <f t="shared" ref="LL75" si="696">IF(SUM(LL62, LL74) &gt; 0, SUM(LL62, LL74), "")</f>
        <v/>
      </c>
      <c r="LM75" s="62" t="str">
        <f t="shared" ref="LM75" si="697">IF(SUM(LM62, LM74) &gt; 0, SUM(LM62, LM74), "")</f>
        <v/>
      </c>
      <c r="LN75" s="62" t="str">
        <f t="shared" ref="LN75" si="698">IF(SUM(LN62, LN74) &gt; 0, SUM(LN62, LN74), "")</f>
        <v/>
      </c>
      <c r="LO75" s="63" t="str">
        <f t="shared" ref="LO75" si="699">IF(SUM(LO62, LO74) &gt; 0, SUM(LO62, LO74), "")</f>
        <v/>
      </c>
      <c r="LP75" s="65" t="str">
        <f t="shared" ref="LP75" si="700">IF(SUM(LP62, LP74) &gt; 0, SUM(LP62, LP74), "")</f>
        <v/>
      </c>
      <c r="LQ75" s="62" t="str">
        <f t="shared" ref="LQ75" si="701">IF(SUM(LQ62, LQ74) &gt; 0, SUM(LQ62, LQ74), "")</f>
        <v/>
      </c>
      <c r="LR75" s="62" t="str">
        <f t="shared" ref="LR75" si="702">IF(SUM(LR62, LR74) &gt; 0, SUM(LR62, LR74), "")</f>
        <v/>
      </c>
      <c r="LS75" s="62" t="str">
        <f t="shared" ref="LS75" si="703">IF(SUM(LS62, LS74) &gt; 0, SUM(LS62, LS74), "")</f>
        <v/>
      </c>
      <c r="LT75" s="62" t="str">
        <f t="shared" ref="LT75" si="704">IF(SUM(LT62, LT74) &gt; 0, SUM(LT62, LT74), "")</f>
        <v/>
      </c>
      <c r="LU75" s="62" t="str">
        <f t="shared" ref="LU75" si="705">IF(SUM(LU62, LU74) &gt; 0, SUM(LU62, LU74), "")</f>
        <v/>
      </c>
      <c r="LV75" s="63" t="str">
        <f t="shared" ref="LV75" si="706">IF(SUM(LV62, LV74) &gt; 0, SUM(LV62, LV74), "")</f>
        <v/>
      </c>
      <c r="LW75" s="65" t="str">
        <f t="shared" ref="LW75" si="707">IF(SUM(LW62, LW74) &gt; 0, SUM(LW62, LW74), "")</f>
        <v/>
      </c>
      <c r="LX75" s="62" t="str">
        <f t="shared" ref="LX75" si="708">IF(SUM(LX62, LX74) &gt; 0, SUM(LX62, LX74), "")</f>
        <v/>
      </c>
      <c r="LY75" s="62" t="str">
        <f t="shared" ref="LY75" si="709">IF(SUM(LY62, LY74) &gt; 0, SUM(LY62, LY74), "")</f>
        <v/>
      </c>
      <c r="LZ75" s="62" t="str">
        <f t="shared" ref="LZ75" si="710">IF(SUM(LZ62, LZ74) &gt; 0, SUM(LZ62, LZ74), "")</f>
        <v/>
      </c>
      <c r="MA75" s="62" t="str">
        <f t="shared" ref="MA75" si="711">IF(SUM(MA62, MA74) &gt; 0, SUM(MA62, MA74), "")</f>
        <v/>
      </c>
      <c r="MB75" s="62" t="str">
        <f t="shared" ref="MB75" si="712">IF(SUM(MB62, MB74) &gt; 0, SUM(MB62, MB74), "")</f>
        <v/>
      </c>
      <c r="MC75" s="63" t="str">
        <f t="shared" ref="MC75" si="713">IF(SUM(MC62, MC74) &gt; 0, SUM(MC62, MC74), "")</f>
        <v/>
      </c>
      <c r="MD75" s="65" t="str">
        <f t="shared" ref="MD75" si="714">IF(SUM(MD62, MD74) &gt; 0, SUM(MD62, MD74), "")</f>
        <v/>
      </c>
      <c r="ME75" s="62" t="str">
        <f t="shared" ref="ME75" si="715">IF(SUM(ME62, ME74) &gt; 0, SUM(ME62, ME74), "")</f>
        <v/>
      </c>
      <c r="MF75" s="62" t="str">
        <f t="shared" ref="MF75" si="716">IF(SUM(MF62, MF74) &gt; 0, SUM(MF62, MF74), "")</f>
        <v/>
      </c>
      <c r="MG75" s="62" t="str">
        <f t="shared" ref="MG75" si="717">IF(SUM(MG62, MG74) &gt; 0, SUM(MG62, MG74), "")</f>
        <v/>
      </c>
      <c r="MH75" s="62" t="str">
        <f t="shared" ref="MH75" si="718">IF(SUM(MH62, MH74) &gt; 0, SUM(MH62, MH74), "")</f>
        <v/>
      </c>
      <c r="MI75" s="62" t="str">
        <f t="shared" ref="MI75" si="719">IF(SUM(MI62, MI74) &gt; 0, SUM(MI62, MI74), "")</f>
        <v/>
      </c>
      <c r="MJ75" s="63" t="str">
        <f t="shared" ref="MJ75" si="720">IF(SUM(MJ62, MJ74) &gt; 0, SUM(MJ62, MJ74), "")</f>
        <v/>
      </c>
    </row>
    <row r="76" spans="1:348" ht="7.5" customHeight="1" x14ac:dyDescent="0.25">
      <c r="A76" s="8"/>
      <c r="B76" s="8"/>
      <c r="C76" s="8"/>
      <c r="D76" s="8"/>
      <c r="E76" s="8"/>
      <c r="F76" s="10"/>
      <c r="G76" s="19"/>
      <c r="H76" s="19"/>
      <c r="I76" s="8"/>
      <c r="J76" s="8"/>
      <c r="K76" s="8"/>
      <c r="L76" s="8"/>
      <c r="M76" s="8"/>
      <c r="N76" s="8"/>
      <c r="O76" s="9"/>
      <c r="P76" s="8"/>
      <c r="Q76" s="8"/>
      <c r="R76" s="9"/>
      <c r="S76" s="7"/>
      <c r="Z76" s="7"/>
      <c r="AG76" s="7"/>
      <c r="AN76" s="7"/>
      <c r="AU76" s="7"/>
      <c r="BB76" s="7"/>
      <c r="BI76" s="7"/>
      <c r="BP76" s="7"/>
      <c r="BY76" s="7"/>
      <c r="CH76" s="7"/>
      <c r="CQ76" s="7"/>
      <c r="CZ76" s="7"/>
      <c r="DI76" s="7"/>
      <c r="DR76" s="7"/>
      <c r="EA76" s="7"/>
      <c r="EH76" s="7"/>
      <c r="EO76" s="7"/>
      <c r="EV76" s="7"/>
      <c r="FC76" s="7"/>
      <c r="FJ76" s="7"/>
      <c r="FQ76" s="7"/>
      <c r="FX76" s="7"/>
      <c r="GE76" s="7"/>
      <c r="GL76" s="7"/>
      <c r="GS76" s="7"/>
      <c r="GZ76" s="7"/>
      <c r="HG76" s="7"/>
      <c r="HN76" s="7"/>
      <c r="HU76" s="7"/>
      <c r="IB76" s="7"/>
      <c r="II76" s="7"/>
      <c r="IP76" s="7"/>
      <c r="IW76" s="7"/>
      <c r="JD76" s="7"/>
      <c r="JK76" s="7"/>
      <c r="JR76" s="7"/>
      <c r="JY76" s="7"/>
      <c r="KF76" s="7"/>
      <c r="KM76" s="7"/>
      <c r="KT76" s="7"/>
      <c r="LA76" s="7"/>
      <c r="LH76" s="7"/>
      <c r="LO76" s="7"/>
      <c r="LV76" s="7"/>
      <c r="MC76" s="7"/>
      <c r="MJ76" s="7"/>
    </row>
    <row r="77" spans="1:348" x14ac:dyDescent="0.25">
      <c r="A77" s="11" t="s">
        <v>24</v>
      </c>
      <c r="B77" s="11"/>
      <c r="C77" s="11"/>
      <c r="D77" s="11"/>
      <c r="E77" s="11"/>
      <c r="F77" s="13"/>
      <c r="G77" s="40"/>
      <c r="H77" s="40"/>
      <c r="I77" s="11"/>
      <c r="J77" s="11"/>
      <c r="K77" s="11"/>
      <c r="L77" s="11"/>
      <c r="M77" s="11"/>
      <c r="N77" s="11"/>
      <c r="O77" s="12"/>
      <c r="P77" s="11"/>
      <c r="Q77" s="11"/>
      <c r="R77" s="12"/>
      <c r="S77" s="12"/>
      <c r="T77" s="11"/>
      <c r="U77" s="11"/>
      <c r="V77" s="11"/>
      <c r="W77" s="11"/>
      <c r="X77" s="11"/>
      <c r="Y77" s="11"/>
      <c r="Z77" s="12"/>
      <c r="AA77" s="11"/>
      <c r="AB77" s="11"/>
      <c r="AC77" s="11"/>
      <c r="AD77" s="11"/>
      <c r="AE77" s="11"/>
      <c r="AF77" s="11"/>
      <c r="AG77" s="12"/>
      <c r="AH77" s="11"/>
      <c r="AI77" s="11"/>
      <c r="AJ77" s="11"/>
      <c r="AK77" s="11"/>
      <c r="AL77" s="11"/>
      <c r="AM77" s="11"/>
      <c r="AN77" s="12"/>
      <c r="AO77" s="11"/>
      <c r="AP77" s="11"/>
      <c r="AQ77" s="11"/>
      <c r="AR77" s="11"/>
      <c r="AS77" s="11"/>
      <c r="AT77" s="11"/>
      <c r="AU77" s="12"/>
      <c r="AV77" s="11"/>
      <c r="AW77" s="11"/>
      <c r="AX77" s="11"/>
      <c r="AY77" s="11"/>
      <c r="AZ77" s="11"/>
      <c r="BA77" s="11"/>
      <c r="BB77" s="12"/>
      <c r="BC77" s="11"/>
      <c r="BD77" s="11"/>
      <c r="BE77" s="11"/>
      <c r="BF77" s="11"/>
      <c r="BG77" s="11"/>
      <c r="BH77" s="11"/>
      <c r="BI77" s="12"/>
      <c r="BJ77" s="11"/>
      <c r="BK77" s="11"/>
      <c r="BL77" s="11"/>
      <c r="BM77" s="11"/>
      <c r="BN77" s="11"/>
      <c r="BO77" s="11"/>
      <c r="BP77" s="12"/>
      <c r="BQ77" s="11"/>
      <c r="BR77" s="11"/>
      <c r="BS77" s="11"/>
      <c r="BT77" s="11"/>
      <c r="BU77" s="11"/>
      <c r="BV77" s="11"/>
      <c r="BW77" s="11"/>
      <c r="BX77" s="11"/>
      <c r="BY77" s="12"/>
      <c r="BZ77" s="11"/>
      <c r="CA77" s="11"/>
      <c r="CB77" s="11"/>
      <c r="CC77" s="11"/>
      <c r="CD77" s="11"/>
      <c r="CE77" s="11"/>
      <c r="CF77" s="11"/>
      <c r="CG77" s="11"/>
      <c r="CH77" s="12"/>
      <c r="CI77" s="11"/>
      <c r="CJ77" s="11"/>
      <c r="CK77" s="11"/>
      <c r="CL77" s="11"/>
      <c r="CM77" s="11"/>
      <c r="CN77" s="11"/>
      <c r="CO77" s="11"/>
      <c r="CP77" s="11"/>
      <c r="CQ77" s="12"/>
      <c r="CR77" s="11"/>
      <c r="CS77" s="11"/>
      <c r="CT77" s="11"/>
      <c r="CU77" s="11"/>
      <c r="CV77" s="11"/>
      <c r="CW77" s="11"/>
      <c r="CX77" s="11"/>
      <c r="CY77" s="11"/>
      <c r="CZ77" s="12"/>
      <c r="DA77" s="11"/>
      <c r="DB77" s="11"/>
      <c r="DC77" s="11"/>
      <c r="DD77" s="11"/>
      <c r="DE77" s="11"/>
      <c r="DF77" s="11"/>
      <c r="DG77" s="11"/>
      <c r="DH77" s="11"/>
      <c r="DI77" s="12"/>
      <c r="DJ77" s="11"/>
      <c r="DK77" s="11"/>
      <c r="DL77" s="11"/>
      <c r="DM77" s="11"/>
      <c r="DN77" s="11"/>
      <c r="DO77" s="11"/>
      <c r="DP77" s="11"/>
      <c r="DQ77" s="11"/>
      <c r="DR77" s="12"/>
      <c r="DS77" s="11"/>
      <c r="DT77" s="11"/>
      <c r="DU77" s="11"/>
      <c r="DV77" s="11"/>
      <c r="DW77" s="11"/>
      <c r="DX77" s="11"/>
      <c r="DY77" s="11"/>
      <c r="DZ77" s="11"/>
      <c r="EA77" s="12"/>
      <c r="EB77" s="11"/>
      <c r="EC77" s="11"/>
      <c r="ED77" s="11"/>
      <c r="EE77" s="11"/>
      <c r="EF77" s="11"/>
      <c r="EG77" s="11"/>
      <c r="EH77" s="12"/>
      <c r="EI77" s="11"/>
      <c r="EJ77" s="11"/>
      <c r="EK77" s="11"/>
      <c r="EL77" s="11"/>
      <c r="EM77" s="11"/>
      <c r="EN77" s="11"/>
      <c r="EO77" s="12"/>
      <c r="EP77" s="11"/>
      <c r="EQ77" s="11"/>
      <c r="ER77" s="11"/>
      <c r="ES77" s="11"/>
      <c r="ET77" s="11"/>
      <c r="EU77" s="11"/>
      <c r="EV77" s="12"/>
      <c r="EW77" s="11"/>
      <c r="EX77" s="11"/>
      <c r="EY77" s="11"/>
      <c r="EZ77" s="11"/>
      <c r="FA77" s="11"/>
      <c r="FB77" s="11"/>
      <c r="FC77" s="12"/>
      <c r="FD77" s="11"/>
      <c r="FE77" s="11"/>
      <c r="FF77" s="11"/>
      <c r="FG77" s="11"/>
      <c r="FH77" s="11"/>
      <c r="FI77" s="11"/>
      <c r="FJ77" s="12"/>
      <c r="FK77" s="11"/>
      <c r="FL77" s="11"/>
      <c r="FM77" s="11"/>
      <c r="FN77" s="11"/>
      <c r="FO77" s="11"/>
      <c r="FP77" s="11"/>
      <c r="FQ77" s="12"/>
      <c r="FR77" s="11"/>
      <c r="FS77" s="11"/>
      <c r="FT77" s="11"/>
      <c r="FU77" s="11"/>
      <c r="FV77" s="11"/>
      <c r="FW77" s="11"/>
      <c r="FX77" s="12"/>
      <c r="FY77" s="11"/>
      <c r="FZ77" s="11"/>
      <c r="GA77" s="11"/>
      <c r="GB77" s="11"/>
      <c r="GC77" s="11"/>
      <c r="GD77" s="11"/>
      <c r="GE77" s="12"/>
      <c r="GF77" s="11"/>
      <c r="GG77" s="11"/>
      <c r="GH77" s="11"/>
      <c r="GI77" s="11"/>
      <c r="GJ77" s="11"/>
      <c r="GK77" s="11"/>
      <c r="GL77" s="12"/>
      <c r="GM77" s="11"/>
      <c r="GN77" s="11"/>
      <c r="GO77" s="11"/>
      <c r="GP77" s="11"/>
      <c r="GQ77" s="11"/>
      <c r="GR77" s="11"/>
      <c r="GS77" s="12"/>
      <c r="GT77" s="11"/>
      <c r="GU77" s="11"/>
      <c r="GV77" s="11"/>
      <c r="GW77" s="11"/>
      <c r="GX77" s="11"/>
      <c r="GY77" s="11"/>
      <c r="GZ77" s="12"/>
      <c r="HA77" s="11"/>
      <c r="HB77" s="11"/>
      <c r="HC77" s="11"/>
      <c r="HD77" s="11"/>
      <c r="HE77" s="11"/>
      <c r="HF77" s="11"/>
      <c r="HG77" s="12"/>
      <c r="HH77" s="11"/>
      <c r="HI77" s="11"/>
      <c r="HJ77" s="11"/>
      <c r="HK77" s="11"/>
      <c r="HL77" s="11"/>
      <c r="HM77" s="11"/>
      <c r="HN77" s="12"/>
      <c r="HO77" s="11"/>
      <c r="HP77" s="11"/>
      <c r="HQ77" s="11"/>
      <c r="HR77" s="11"/>
      <c r="HS77" s="11"/>
      <c r="HT77" s="11"/>
      <c r="HU77" s="12"/>
      <c r="HV77" s="11"/>
      <c r="HW77" s="11"/>
      <c r="HX77" s="11"/>
      <c r="HY77" s="11"/>
      <c r="HZ77" s="11"/>
      <c r="IA77" s="11"/>
      <c r="IB77" s="12"/>
      <c r="IC77" s="11"/>
      <c r="ID77" s="11"/>
      <c r="IE77" s="11"/>
      <c r="IF77" s="11"/>
      <c r="IG77" s="11"/>
      <c r="IH77" s="11"/>
      <c r="II77" s="12"/>
      <c r="IJ77" s="11"/>
      <c r="IK77" s="11"/>
      <c r="IL77" s="11"/>
      <c r="IM77" s="11"/>
      <c r="IN77" s="11"/>
      <c r="IO77" s="11"/>
      <c r="IP77" s="12"/>
      <c r="IQ77" s="11"/>
      <c r="IR77" s="11"/>
      <c r="IS77" s="11"/>
      <c r="IT77" s="11"/>
      <c r="IU77" s="11"/>
      <c r="IV77" s="11"/>
      <c r="IW77" s="12"/>
      <c r="IX77" s="11"/>
      <c r="IY77" s="11"/>
      <c r="IZ77" s="11"/>
      <c r="JA77" s="11"/>
      <c r="JB77" s="11"/>
      <c r="JC77" s="11"/>
      <c r="JD77" s="12"/>
      <c r="JE77" s="11"/>
      <c r="JF77" s="11"/>
      <c r="JG77" s="11"/>
      <c r="JH77" s="11"/>
      <c r="JI77" s="11"/>
      <c r="JJ77" s="11"/>
      <c r="JK77" s="12"/>
      <c r="JL77" s="11"/>
      <c r="JM77" s="11"/>
      <c r="JN77" s="11"/>
      <c r="JO77" s="11"/>
      <c r="JP77" s="11"/>
      <c r="JQ77" s="11"/>
      <c r="JR77" s="12"/>
      <c r="JS77" s="11"/>
      <c r="JT77" s="11"/>
      <c r="JU77" s="11"/>
      <c r="JV77" s="11"/>
      <c r="JW77" s="11"/>
      <c r="JX77" s="11"/>
      <c r="JY77" s="12"/>
      <c r="JZ77" s="11"/>
      <c r="KA77" s="11"/>
      <c r="KB77" s="11"/>
      <c r="KC77" s="11"/>
      <c r="KD77" s="11"/>
      <c r="KE77" s="11"/>
      <c r="KF77" s="12"/>
      <c r="KG77" s="11"/>
      <c r="KH77" s="11"/>
      <c r="KI77" s="11"/>
      <c r="KJ77" s="11"/>
      <c r="KK77" s="11"/>
      <c r="KL77" s="11"/>
      <c r="KM77" s="12"/>
      <c r="KN77" s="11"/>
      <c r="KO77" s="11"/>
      <c r="KP77" s="11"/>
      <c r="KQ77" s="11"/>
      <c r="KR77" s="11"/>
      <c r="KS77" s="11"/>
      <c r="KT77" s="12"/>
      <c r="KU77" s="11"/>
      <c r="KV77" s="11"/>
      <c r="KW77" s="11"/>
      <c r="KX77" s="11"/>
      <c r="KY77" s="11"/>
      <c r="KZ77" s="11"/>
      <c r="LA77" s="12"/>
      <c r="LB77" s="11"/>
      <c r="LC77" s="11"/>
      <c r="LD77" s="11"/>
      <c r="LE77" s="11"/>
      <c r="LF77" s="11"/>
      <c r="LG77" s="11"/>
      <c r="LH77" s="12"/>
      <c r="LI77" s="11"/>
      <c r="LJ77" s="11"/>
      <c r="LK77" s="11"/>
      <c r="LL77" s="11"/>
      <c r="LM77" s="11"/>
      <c r="LN77" s="11"/>
      <c r="LO77" s="12"/>
      <c r="LP77" s="11"/>
      <c r="LQ77" s="11"/>
      <c r="LR77" s="11"/>
      <c r="LS77" s="11"/>
      <c r="LT77" s="11"/>
      <c r="LU77" s="11"/>
      <c r="LV77" s="12"/>
      <c r="LW77" s="11"/>
      <c r="LX77" s="11"/>
      <c r="LY77" s="11"/>
      <c r="LZ77" s="11"/>
      <c r="MA77" s="11"/>
      <c r="MB77" s="11"/>
      <c r="MC77" s="12"/>
      <c r="MD77" s="11"/>
      <c r="ME77" s="11"/>
      <c r="MF77" s="11"/>
      <c r="MG77" s="11"/>
      <c r="MH77" s="11"/>
      <c r="MI77" s="11"/>
      <c r="MJ77" s="12"/>
    </row>
    <row r="78" spans="1:348" x14ac:dyDescent="0.25">
      <c r="A78" s="8" t="s">
        <v>23</v>
      </c>
      <c r="B78" s="8"/>
      <c r="C78" s="8"/>
      <c r="D78" s="8"/>
      <c r="E78" s="8"/>
      <c r="F78" s="10"/>
      <c r="G78" s="19"/>
      <c r="H78" s="19"/>
      <c r="I78" s="8"/>
      <c r="J78" s="8"/>
      <c r="K78" s="8"/>
      <c r="L78" s="8"/>
      <c r="M78" s="8"/>
      <c r="N78" s="8"/>
      <c r="O78" s="9"/>
      <c r="P78" s="8">
        <f>IF(SUM(S78:MJ78) &gt; 0, SUM(S78:MJ78), "")</f>
        <v>39</v>
      </c>
      <c r="Q78" s="109">
        <f t="shared" ref="Q78:Q83" si="721">IF(SUM(S78:XFD78) &gt; 0, SUM(S78:XFD78) / $P$84 * 100, "")</f>
        <v>100</v>
      </c>
      <c r="R78" s="84"/>
      <c r="S78" s="7">
        <v>1</v>
      </c>
      <c r="U78">
        <v>1</v>
      </c>
      <c r="V78">
        <v>1</v>
      </c>
      <c r="X78">
        <v>1</v>
      </c>
      <c r="Z78" s="7"/>
      <c r="AB78">
        <v>1</v>
      </c>
      <c r="AD78">
        <v>1</v>
      </c>
      <c r="AE78">
        <v>1</v>
      </c>
      <c r="AG78" s="7"/>
      <c r="AI78">
        <v>1</v>
      </c>
      <c r="AK78">
        <v>1</v>
      </c>
      <c r="AL78">
        <v>1</v>
      </c>
      <c r="AN78" s="7"/>
      <c r="AP78">
        <v>1</v>
      </c>
      <c r="AR78">
        <v>1</v>
      </c>
      <c r="AS78">
        <v>1</v>
      </c>
      <c r="AU78" s="7"/>
      <c r="AW78">
        <v>1</v>
      </c>
      <c r="AX78">
        <v>1</v>
      </c>
      <c r="AY78">
        <v>1</v>
      </c>
      <c r="AZ78">
        <v>1</v>
      </c>
      <c r="BB78" s="7"/>
      <c r="BD78">
        <v>1</v>
      </c>
      <c r="BF78">
        <v>1</v>
      </c>
      <c r="BG78">
        <v>1</v>
      </c>
      <c r="BI78" s="7"/>
      <c r="BK78">
        <v>1</v>
      </c>
      <c r="BM78">
        <v>1</v>
      </c>
      <c r="BN78">
        <v>1</v>
      </c>
      <c r="BP78" s="7">
        <v>1</v>
      </c>
      <c r="BR78">
        <v>1</v>
      </c>
      <c r="BT78">
        <v>1</v>
      </c>
      <c r="BW78">
        <v>1</v>
      </c>
      <c r="BY78" s="7"/>
      <c r="CC78">
        <v>1</v>
      </c>
      <c r="CF78">
        <v>1</v>
      </c>
      <c r="CH78" s="7"/>
      <c r="CL78">
        <v>1</v>
      </c>
      <c r="CO78">
        <v>1</v>
      </c>
      <c r="CQ78" s="7"/>
      <c r="CS78">
        <v>1</v>
      </c>
      <c r="CU78">
        <v>1</v>
      </c>
      <c r="CV78">
        <v>1</v>
      </c>
      <c r="CX78">
        <v>1</v>
      </c>
      <c r="CZ78" s="7"/>
      <c r="DB78">
        <v>1</v>
      </c>
      <c r="DE78">
        <v>1</v>
      </c>
      <c r="DG78">
        <v>1</v>
      </c>
      <c r="DI78" s="7"/>
      <c r="DK78">
        <v>1</v>
      </c>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8" t="s">
        <v>22</v>
      </c>
      <c r="B79" s="8"/>
      <c r="C79" s="8"/>
      <c r="D79" s="8"/>
      <c r="E79" s="8"/>
      <c r="F79" s="10"/>
      <c r="G79" s="19"/>
      <c r="H79" s="19"/>
      <c r="I79" s="8"/>
      <c r="J79" s="8"/>
      <c r="K79" s="8"/>
      <c r="L79" s="8"/>
      <c r="M79" s="8"/>
      <c r="N79" s="8"/>
      <c r="O79" s="9"/>
      <c r="P79" s="8" t="str">
        <f>IF(SUM(S79:MJ79) &gt; 0, SUM(S79:MJ79), "")</f>
        <v/>
      </c>
      <c r="Q79" s="109" t="str">
        <f t="shared" si="721"/>
        <v/>
      </c>
      <c r="R79" s="84"/>
      <c r="S79" s="7"/>
      <c r="Z79" s="7"/>
      <c r="AG79" s="7"/>
      <c r="AN79" s="7"/>
      <c r="AU79" s="7"/>
      <c r="BB79" s="7"/>
      <c r="BI79" s="7"/>
      <c r="BP79" s="7"/>
      <c r="BY79" s="7"/>
      <c r="CH79" s="7"/>
      <c r="CQ79" s="7"/>
      <c r="CZ79" s="7"/>
      <c r="DI79" s="7"/>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21</v>
      </c>
      <c r="B80" s="8"/>
      <c r="C80" s="8"/>
      <c r="D80" s="8"/>
      <c r="E80" s="8"/>
      <c r="F80" s="10"/>
      <c r="G80" s="19"/>
      <c r="H80" s="19"/>
      <c r="I80" s="8"/>
      <c r="J80" s="8"/>
      <c r="K80" s="8"/>
      <c r="L80" s="8"/>
      <c r="M80" s="8"/>
      <c r="N80" s="8"/>
      <c r="O80" s="9"/>
      <c r="P80" s="8" t="str">
        <f>IF(SUM(S80:MJ80) &gt; 0, SUM(S80:MJ80), "")</f>
        <v/>
      </c>
      <c r="Q80" s="109" t="str">
        <f t="shared" si="721"/>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20</v>
      </c>
      <c r="B81" s="8"/>
      <c r="C81" s="8"/>
      <c r="D81" s="8"/>
      <c r="E81" s="8"/>
      <c r="F81" s="10"/>
      <c r="G81" s="19"/>
      <c r="H81" s="19"/>
      <c r="I81" s="8"/>
      <c r="J81" s="8"/>
      <c r="K81" s="8"/>
      <c r="L81" s="8"/>
      <c r="M81" s="8"/>
      <c r="N81" s="8"/>
      <c r="O81" s="9"/>
      <c r="P81" s="8" t="str">
        <f>IF(SUM(S81:MJ81) &gt; 0, SUM(S81:MJ81), "")</f>
        <v/>
      </c>
      <c r="Q81" s="109" t="str">
        <f t="shared" si="721"/>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19</v>
      </c>
      <c r="B82" s="8"/>
      <c r="C82" s="8"/>
      <c r="D82" s="8"/>
      <c r="E82" s="8"/>
      <c r="F82" s="10"/>
      <c r="G82" s="19"/>
      <c r="H82" s="19"/>
      <c r="I82" s="8"/>
      <c r="J82" s="8"/>
      <c r="K82" s="8"/>
      <c r="L82" s="8"/>
      <c r="M82" s="8"/>
      <c r="N82" s="8"/>
      <c r="O82" s="9"/>
      <c r="P82" s="8">
        <f>IF(SUM(S82:MJ82) &gt; 0, SUM(S82:MJ82), "")</f>
        <v>5</v>
      </c>
      <c r="Q82" s="109">
        <f t="shared" si="721"/>
        <v>12.820512820512819</v>
      </c>
      <c r="R82" s="84"/>
      <c r="S82" s="7"/>
      <c r="Z82" s="7"/>
      <c r="AG82" s="7"/>
      <c r="AK82">
        <v>1</v>
      </c>
      <c r="AN82" s="7"/>
      <c r="AU82" s="7"/>
      <c r="AW82">
        <v>1</v>
      </c>
      <c r="AY82">
        <v>1</v>
      </c>
      <c r="BB82" s="7"/>
      <c r="BF82">
        <v>1</v>
      </c>
      <c r="BI82" s="7"/>
      <c r="BN82">
        <v>1</v>
      </c>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ht="5.25" customHeight="1" x14ac:dyDescent="0.25">
      <c r="A83" s="8"/>
      <c r="B83" s="8"/>
      <c r="C83" s="8"/>
      <c r="D83" s="8"/>
      <c r="E83" s="8"/>
      <c r="F83" s="10"/>
      <c r="G83" s="19"/>
      <c r="H83" s="19"/>
      <c r="I83" s="8"/>
      <c r="J83" s="8"/>
      <c r="K83" s="8"/>
      <c r="L83" s="8"/>
      <c r="M83" s="8"/>
      <c r="N83" s="8"/>
      <c r="O83" s="9"/>
      <c r="P83" s="8" t="str">
        <f>IF(SUM(R83:MJ83) &gt; 0, SUM(R83:MJ83), "")</f>
        <v/>
      </c>
      <c r="Q83" s="109" t="str">
        <f t="shared" si="721"/>
        <v/>
      </c>
      <c r="R83" s="9"/>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6" t="s">
        <v>18</v>
      </c>
      <c r="B84" s="3"/>
      <c r="C84" s="3"/>
      <c r="D84" s="3"/>
      <c r="E84" s="3"/>
      <c r="F84" s="5"/>
      <c r="G84" s="3"/>
      <c r="H84" s="3"/>
      <c r="I84" s="3"/>
      <c r="J84" s="3"/>
      <c r="K84" s="3"/>
      <c r="L84" s="3"/>
      <c r="M84" s="3"/>
      <c r="N84" s="3"/>
      <c r="O84" s="4"/>
      <c r="P84" s="3">
        <f>SUM(S84:MJ84)</f>
        <v>39</v>
      </c>
      <c r="Q84" s="3"/>
      <c r="R84" s="4"/>
      <c r="S84" s="4">
        <v>1</v>
      </c>
      <c r="T84" s="3"/>
      <c r="U84" s="3">
        <v>1</v>
      </c>
      <c r="V84" s="3">
        <v>1</v>
      </c>
      <c r="W84" s="3"/>
      <c r="X84" s="3">
        <v>1</v>
      </c>
      <c r="Y84" s="3"/>
      <c r="Z84" s="4"/>
      <c r="AA84" s="3"/>
      <c r="AB84" s="3">
        <v>1</v>
      </c>
      <c r="AC84" s="3"/>
      <c r="AD84" s="3">
        <v>1</v>
      </c>
      <c r="AE84" s="3">
        <v>1</v>
      </c>
      <c r="AF84" s="3"/>
      <c r="AG84" s="4"/>
      <c r="AH84" s="3"/>
      <c r="AI84" s="3">
        <v>1</v>
      </c>
      <c r="AJ84" s="3"/>
      <c r="AK84" s="3">
        <v>1</v>
      </c>
      <c r="AL84" s="3">
        <v>1</v>
      </c>
      <c r="AM84" s="3"/>
      <c r="AN84" s="4"/>
      <c r="AO84" s="3"/>
      <c r="AP84" s="3">
        <v>1</v>
      </c>
      <c r="AQ84" s="3"/>
      <c r="AR84" s="3">
        <v>1</v>
      </c>
      <c r="AS84" s="3">
        <v>1</v>
      </c>
      <c r="AT84" s="3"/>
      <c r="AU84" s="4"/>
      <c r="AV84" s="3"/>
      <c r="AW84" s="3">
        <v>1</v>
      </c>
      <c r="AX84" s="3">
        <v>1</v>
      </c>
      <c r="AY84" s="3">
        <v>1</v>
      </c>
      <c r="AZ84" s="3">
        <v>1</v>
      </c>
      <c r="BA84" s="3"/>
      <c r="BB84" s="4"/>
      <c r="BC84" s="3"/>
      <c r="BD84" s="3">
        <v>1</v>
      </c>
      <c r="BE84" s="3"/>
      <c r="BF84" s="3">
        <v>1</v>
      </c>
      <c r="BG84" s="3">
        <v>1</v>
      </c>
      <c r="BH84" s="3"/>
      <c r="BI84" s="4"/>
      <c r="BJ84" s="3"/>
      <c r="BK84" s="3">
        <v>1</v>
      </c>
      <c r="BL84" s="3"/>
      <c r="BM84" s="3">
        <v>1</v>
      </c>
      <c r="BN84" s="3">
        <v>1</v>
      </c>
      <c r="BO84" s="3"/>
      <c r="BP84" s="4">
        <v>1</v>
      </c>
      <c r="BQ84" s="3"/>
      <c r="BR84" s="3">
        <v>1</v>
      </c>
      <c r="BS84" s="3"/>
      <c r="BT84" s="3">
        <v>1</v>
      </c>
      <c r="BU84" s="3"/>
      <c r="BV84" s="3"/>
      <c r="BW84" s="3">
        <v>1</v>
      </c>
      <c r="BX84" s="3"/>
      <c r="BY84" s="4"/>
      <c r="BZ84" s="3"/>
      <c r="CA84" s="3"/>
      <c r="CB84" s="3"/>
      <c r="CC84" s="3">
        <v>1</v>
      </c>
      <c r="CD84" s="3"/>
      <c r="CE84" s="3"/>
      <c r="CF84" s="3">
        <v>1</v>
      </c>
      <c r="CG84" s="3"/>
      <c r="CH84" s="4"/>
      <c r="CI84" s="3"/>
      <c r="CJ84" s="3"/>
      <c r="CK84" s="3"/>
      <c r="CL84" s="3">
        <v>1</v>
      </c>
      <c r="CM84" s="3"/>
      <c r="CN84" s="3"/>
      <c r="CO84" s="3">
        <v>1</v>
      </c>
      <c r="CP84" s="3"/>
      <c r="CQ84" s="4"/>
      <c r="CR84" s="3"/>
      <c r="CS84" s="3">
        <v>1</v>
      </c>
      <c r="CT84" s="3"/>
      <c r="CU84" s="3">
        <v>1</v>
      </c>
      <c r="CV84" s="3">
        <v>1</v>
      </c>
      <c r="CW84" s="3"/>
      <c r="CX84" s="3">
        <v>1</v>
      </c>
      <c r="CY84" s="3"/>
      <c r="CZ84" s="4"/>
      <c r="DA84" s="3"/>
      <c r="DB84" s="3">
        <v>1</v>
      </c>
      <c r="DC84" s="3"/>
      <c r="DD84" s="3"/>
      <c r="DE84" s="3">
        <v>1</v>
      </c>
      <c r="DF84" s="3"/>
      <c r="DG84" s="3">
        <v>1</v>
      </c>
      <c r="DH84" s="3"/>
      <c r="DI84" s="4"/>
      <c r="DJ84" s="3"/>
      <c r="DK84" s="3">
        <v>1</v>
      </c>
      <c r="DL84" s="3"/>
      <c r="DM84" s="3"/>
      <c r="DN84" s="3"/>
      <c r="DO84" s="3"/>
      <c r="DP84" s="3"/>
      <c r="DQ84" s="3"/>
      <c r="DR84" s="4"/>
      <c r="DS84" s="3"/>
      <c r="DT84" s="3"/>
      <c r="DU84" s="3"/>
      <c r="DV84" s="3"/>
      <c r="DW84" s="3"/>
      <c r="DX84" s="3"/>
      <c r="DY84" s="3"/>
      <c r="DZ84" s="3"/>
      <c r="EA84" s="4"/>
      <c r="EB84" s="3"/>
      <c r="EC84" s="3"/>
      <c r="ED84" s="3"/>
      <c r="EE84" s="3"/>
      <c r="EF84" s="3"/>
      <c r="EG84" s="3"/>
      <c r="EH84" s="4"/>
      <c r="EI84" s="3"/>
      <c r="EJ84" s="3"/>
      <c r="EK84" s="3"/>
      <c r="EL84" s="3"/>
      <c r="EM84" s="3"/>
      <c r="EN84" s="3"/>
      <c r="EO84" s="4"/>
      <c r="EP84" s="3"/>
      <c r="EQ84" s="3"/>
      <c r="ER84" s="3"/>
      <c r="ES84" s="3"/>
      <c r="ET84" s="3"/>
      <c r="EU84" s="3"/>
      <c r="EV84" s="4"/>
      <c r="EW84" s="3"/>
      <c r="EX84" s="3"/>
      <c r="EY84" s="3"/>
      <c r="EZ84" s="3"/>
      <c r="FA84" s="3"/>
      <c r="FB84" s="3"/>
      <c r="FC84" s="4"/>
      <c r="FD84" s="3"/>
      <c r="FE84" s="3"/>
      <c r="FF84" s="3"/>
      <c r="FG84" s="3"/>
      <c r="FH84" s="3"/>
      <c r="FI84" s="3"/>
      <c r="FJ84" s="4"/>
      <c r="FK84" s="3"/>
      <c r="FL84" s="3"/>
      <c r="FM84" s="3"/>
      <c r="FN84" s="3"/>
      <c r="FO84" s="3"/>
      <c r="FP84" s="3"/>
      <c r="FQ84" s="4"/>
      <c r="FR84" s="3"/>
      <c r="FS84" s="3"/>
      <c r="FT84" s="3"/>
      <c r="FU84" s="3"/>
      <c r="FV84" s="3"/>
      <c r="FW84" s="3"/>
      <c r="FX84" s="4"/>
      <c r="FY84" s="3"/>
      <c r="FZ84" s="3"/>
      <c r="GA84" s="3"/>
      <c r="GB84" s="3"/>
      <c r="GC84" s="3"/>
      <c r="GD84" s="3"/>
      <c r="GE84" s="4"/>
      <c r="GF84" s="3"/>
      <c r="GG84" s="3"/>
      <c r="GH84" s="3"/>
      <c r="GI84" s="3"/>
      <c r="GJ84" s="3"/>
      <c r="GK84" s="3"/>
      <c r="GL84" s="4"/>
      <c r="GM84" s="3"/>
      <c r="GN84" s="3"/>
      <c r="GO84" s="3"/>
      <c r="GP84" s="3"/>
      <c r="GQ84" s="3"/>
      <c r="GR84" s="3"/>
      <c r="GS84" s="4"/>
      <c r="GT84" s="3"/>
      <c r="GU84" s="3"/>
      <c r="GV84" s="3"/>
      <c r="GW84" s="3"/>
      <c r="GX84" s="3"/>
      <c r="GY84" s="3"/>
      <c r="GZ84" s="4"/>
      <c r="HA84" s="3"/>
      <c r="HB84" s="3"/>
      <c r="HC84" s="3"/>
      <c r="HD84" s="3"/>
      <c r="HE84" s="3"/>
      <c r="HF84" s="3"/>
      <c r="HG84" s="4"/>
      <c r="HH84" s="3"/>
      <c r="HI84" s="3"/>
      <c r="HJ84" s="3"/>
      <c r="HK84" s="3"/>
      <c r="HL84" s="3"/>
      <c r="HM84" s="3"/>
      <c r="HN84" s="4"/>
      <c r="HO84" s="3"/>
      <c r="HP84" s="3"/>
      <c r="HQ84" s="3"/>
      <c r="HR84" s="3"/>
      <c r="HS84" s="3"/>
      <c r="HT84" s="3"/>
      <c r="HU84" s="4"/>
      <c r="HV84" s="3"/>
      <c r="HW84" s="3"/>
      <c r="HX84" s="3"/>
      <c r="HY84" s="3"/>
      <c r="HZ84" s="3"/>
      <c r="IA84" s="3"/>
      <c r="IB84" s="4"/>
      <c r="IC84" s="3"/>
      <c r="ID84" s="3"/>
      <c r="IE84" s="3"/>
      <c r="IF84" s="3"/>
      <c r="IG84" s="3"/>
      <c r="IH84" s="3"/>
      <c r="II84" s="4"/>
      <c r="IJ84" s="3"/>
      <c r="IK84" s="3"/>
      <c r="IL84" s="3"/>
      <c r="IM84" s="3"/>
      <c r="IN84" s="3"/>
      <c r="IO84" s="3"/>
      <c r="IP84" s="4"/>
      <c r="IQ84" s="3"/>
      <c r="IR84" s="3"/>
      <c r="IS84" s="3"/>
      <c r="IT84" s="3"/>
      <c r="IU84" s="3"/>
      <c r="IV84" s="3"/>
      <c r="IW84" s="4"/>
      <c r="IX84" s="3"/>
      <c r="IY84" s="3"/>
      <c r="IZ84" s="3"/>
      <c r="JA84" s="3"/>
      <c r="JB84" s="3"/>
      <c r="JC84" s="3"/>
      <c r="JD84" s="4"/>
      <c r="JE84" s="3"/>
      <c r="JF84" s="3"/>
      <c r="JG84" s="3"/>
      <c r="JH84" s="3"/>
      <c r="JI84" s="3"/>
      <c r="JJ84" s="3"/>
      <c r="JK84" s="4"/>
      <c r="JL84" s="3"/>
      <c r="JM84" s="3"/>
      <c r="JN84" s="3"/>
      <c r="JO84" s="3"/>
      <c r="JP84" s="3"/>
      <c r="JQ84" s="3"/>
      <c r="JR84" s="4"/>
      <c r="JS84" s="3"/>
      <c r="JT84" s="3"/>
      <c r="JU84" s="3"/>
      <c r="JV84" s="3"/>
      <c r="JW84" s="3"/>
      <c r="JX84" s="3"/>
      <c r="JY84" s="4"/>
      <c r="JZ84" s="3"/>
      <c r="KA84" s="3"/>
      <c r="KB84" s="3"/>
      <c r="KC84" s="3"/>
      <c r="KD84" s="3"/>
      <c r="KE84" s="3"/>
      <c r="KF84" s="4"/>
      <c r="KG84" s="3"/>
      <c r="KH84" s="3"/>
      <c r="KI84" s="3"/>
      <c r="KJ84" s="3"/>
      <c r="KK84" s="3"/>
      <c r="KL84" s="3"/>
      <c r="KM84" s="4"/>
      <c r="KN84" s="3"/>
      <c r="KO84" s="3"/>
      <c r="KP84" s="3"/>
      <c r="KQ84" s="3"/>
      <c r="KR84" s="3"/>
      <c r="KS84" s="3"/>
      <c r="KT84" s="4"/>
      <c r="KU84" s="3"/>
      <c r="KV84" s="3"/>
      <c r="KW84" s="3"/>
      <c r="KX84" s="3"/>
      <c r="KY84" s="3"/>
      <c r="KZ84" s="3"/>
      <c r="LA84" s="4"/>
      <c r="LB84" s="3"/>
      <c r="LC84" s="3"/>
      <c r="LD84" s="3"/>
      <c r="LE84" s="3"/>
      <c r="LF84" s="3"/>
      <c r="LG84" s="3"/>
      <c r="LH84" s="4"/>
      <c r="LI84" s="3"/>
      <c r="LJ84" s="3"/>
      <c r="LK84" s="3"/>
      <c r="LL84" s="3"/>
      <c r="LM84" s="3"/>
      <c r="LN84" s="3"/>
      <c r="LO84" s="4"/>
      <c r="LP84" s="3"/>
      <c r="LQ84" s="3"/>
      <c r="LR84" s="3"/>
      <c r="LS84" s="3"/>
      <c r="LT84" s="3"/>
      <c r="LU84" s="3"/>
      <c r="LV84" s="4"/>
      <c r="LW84" s="3"/>
      <c r="LX84" s="3"/>
      <c r="LY84" s="3"/>
      <c r="LZ84" s="3"/>
      <c r="MA84" s="3"/>
      <c r="MB84" s="3"/>
      <c r="MC84" s="4"/>
      <c r="MD84" s="3"/>
      <c r="ME84" s="3"/>
      <c r="MF84" s="3"/>
      <c r="MG84" s="3"/>
      <c r="MH84" s="3"/>
      <c r="MI84" s="3"/>
      <c r="MJ84" s="4"/>
    </row>
    <row r="86" spans="1:348" x14ac:dyDescent="0.25">
      <c r="B86" t="s">
        <v>200</v>
      </c>
      <c r="C86" t="s">
        <v>201</v>
      </c>
      <c r="D86" t="s">
        <v>202</v>
      </c>
      <c r="E86" t="s">
        <v>203</v>
      </c>
      <c r="F86" t="s">
        <v>208</v>
      </c>
      <c r="G86" t="s">
        <v>204</v>
      </c>
      <c r="H86" t="s">
        <v>205</v>
      </c>
      <c r="I86" t="s">
        <v>48</v>
      </c>
      <c r="J86" t="s">
        <v>408</v>
      </c>
      <c r="K86" t="s">
        <v>206</v>
      </c>
      <c r="L86" t="s">
        <v>207</v>
      </c>
    </row>
    <row r="87" spans="1:348" ht="15" customHeight="1" x14ac:dyDescent="0.25">
      <c r="A87" t="s">
        <v>17</v>
      </c>
      <c r="B87" t="s">
        <v>145</v>
      </c>
      <c r="C87">
        <v>7</v>
      </c>
      <c r="D87">
        <v>26</v>
      </c>
      <c r="E87">
        <v>32</v>
      </c>
      <c r="F87">
        <v>1</v>
      </c>
      <c r="G87" t="s">
        <v>15</v>
      </c>
      <c r="H87" t="s">
        <v>13</v>
      </c>
      <c r="I87" t="s">
        <v>188</v>
      </c>
      <c r="J87" t="s">
        <v>189</v>
      </c>
      <c r="K87" t="s">
        <v>409</v>
      </c>
      <c r="L87" s="51" t="str">
        <f>FindEnd(S34:MJ34)</f>
        <v>DR</v>
      </c>
      <c r="N87" s="101"/>
      <c r="O87" s="102"/>
      <c r="P87" s="102"/>
      <c r="Q87" s="102"/>
      <c r="R87" s="103"/>
      <c r="S87" s="102"/>
      <c r="V87" s="34"/>
    </row>
    <row r="88" spans="1:348" x14ac:dyDescent="0.25">
      <c r="B88" t="s">
        <v>148</v>
      </c>
      <c r="C88">
        <v>41</v>
      </c>
      <c r="D88">
        <v>58</v>
      </c>
      <c r="E88">
        <v>61</v>
      </c>
      <c r="F88">
        <v>35</v>
      </c>
      <c r="G88" t="s">
        <v>15</v>
      </c>
      <c r="H88" t="s">
        <v>13</v>
      </c>
      <c r="I88" t="s">
        <v>188</v>
      </c>
      <c r="K88" t="s">
        <v>105</v>
      </c>
      <c r="L88" s="51" t="str">
        <f>FindEnd(S61:MJ61)</f>
        <v>BY</v>
      </c>
    </row>
    <row r="89" spans="1:348" x14ac:dyDescent="0.25">
      <c r="B89" t="s">
        <v>16</v>
      </c>
      <c r="C89">
        <v>67</v>
      </c>
      <c r="D89">
        <v>70</v>
      </c>
      <c r="E89">
        <v>73</v>
      </c>
      <c r="F89">
        <v>62</v>
      </c>
      <c r="G89" t="s">
        <v>15</v>
      </c>
      <c r="H89" t="s">
        <v>13</v>
      </c>
      <c r="I89" t="s">
        <v>188</v>
      </c>
      <c r="K89" t="s">
        <v>105</v>
      </c>
      <c r="L89" s="51" t="str">
        <f>FindEnd(S73:MJ73)</f>
        <v>BY</v>
      </c>
    </row>
    <row r="90" spans="1:348" x14ac:dyDescent="0.25">
      <c r="F90" s="106" t="s">
        <v>404</v>
      </c>
      <c r="K90" s="51"/>
    </row>
    <row r="91" spans="1:348" x14ac:dyDescent="0.25">
      <c r="K91" s="51"/>
    </row>
    <row r="92" spans="1:348" x14ac:dyDescent="0.25">
      <c r="K92" s="51"/>
    </row>
    <row r="93" spans="1:348" x14ac:dyDescent="0.25">
      <c r="K93" s="51"/>
    </row>
    <row r="95" spans="1:348" hidden="1" x14ac:dyDescent="0.25">
      <c r="A95" s="8" t="s">
        <v>112</v>
      </c>
      <c r="B95" s="8" t="s">
        <v>111</v>
      </c>
      <c r="C95" s="8" t="s">
        <v>110</v>
      </c>
      <c r="D95" s="8" t="s">
        <v>109</v>
      </c>
      <c r="E95" s="18">
        <v>40099</v>
      </c>
    </row>
    <row r="96" spans="1:348" hidden="1" x14ac:dyDescent="0.25">
      <c r="A96" s="8" t="s">
        <v>83</v>
      </c>
      <c r="B96" s="8"/>
      <c r="C96" s="8" t="s">
        <v>105</v>
      </c>
      <c r="D96" s="8" t="s">
        <v>104</v>
      </c>
      <c r="E96" s="18">
        <v>39365</v>
      </c>
    </row>
    <row r="97" spans="1:5" hidden="1" x14ac:dyDescent="0.25">
      <c r="A97" s="8" t="s">
        <v>103</v>
      </c>
      <c r="B97" s="8"/>
      <c r="C97" s="8" t="s">
        <v>102</v>
      </c>
      <c r="D97" s="8" t="s">
        <v>101</v>
      </c>
      <c r="E97" s="18">
        <v>39705</v>
      </c>
    </row>
    <row r="98" spans="1:5" hidden="1" x14ac:dyDescent="0.25">
      <c r="A98" s="8" t="s">
        <v>86</v>
      </c>
      <c r="B98" s="8"/>
      <c r="C98" s="8" t="s">
        <v>100</v>
      </c>
      <c r="D98" s="8" t="s">
        <v>97</v>
      </c>
      <c r="E98" s="18">
        <v>39386</v>
      </c>
    </row>
    <row r="99" spans="1:5" hidden="1" x14ac:dyDescent="0.25">
      <c r="A99" s="8" t="s">
        <v>99</v>
      </c>
      <c r="B99" s="8"/>
      <c r="C99" s="8" t="s">
        <v>98</v>
      </c>
      <c r="D99" s="8" t="s">
        <v>97</v>
      </c>
      <c r="E99" s="18">
        <v>39386</v>
      </c>
    </row>
    <row r="100" spans="1:5" hidden="1" x14ac:dyDescent="0.25">
      <c r="A100" s="8" t="s">
        <v>96</v>
      </c>
      <c r="B100" s="8" t="s">
        <v>95</v>
      </c>
      <c r="C100" s="8" t="s">
        <v>94</v>
      </c>
      <c r="D100" s="8" t="s">
        <v>93</v>
      </c>
      <c r="E100" s="18">
        <v>39590</v>
      </c>
    </row>
    <row r="101" spans="1:5" x14ac:dyDescent="0.25">
      <c r="A101" s="8" t="s">
        <v>72</v>
      </c>
      <c r="B101" s="8"/>
      <c r="C101" s="8" t="s">
        <v>71</v>
      </c>
      <c r="D101" s="8" t="s">
        <v>70</v>
      </c>
      <c r="E101" s="18">
        <v>40754</v>
      </c>
    </row>
    <row r="102" spans="1:5" x14ac:dyDescent="0.25">
      <c r="A102" s="8" t="s">
        <v>69</v>
      </c>
      <c r="B102" s="8"/>
      <c r="C102" s="8" t="s">
        <v>68</v>
      </c>
      <c r="D102" s="8" t="s">
        <v>67</v>
      </c>
      <c r="E102" s="18"/>
    </row>
    <row r="103" spans="1:5" hidden="1" x14ac:dyDescent="0.25">
      <c r="A103" s="8" t="s">
        <v>66</v>
      </c>
      <c r="B103" s="8" t="s">
        <v>65</v>
      </c>
      <c r="C103" s="8" t="s">
        <v>64</v>
      </c>
      <c r="D103" s="8" t="s">
        <v>63</v>
      </c>
      <c r="E103" s="18">
        <v>39713</v>
      </c>
    </row>
    <row r="104" spans="1:5" x14ac:dyDescent="0.25">
      <c r="A104" s="8" t="s">
        <v>61</v>
      </c>
      <c r="B104" s="8"/>
      <c r="C104" s="8" t="s">
        <v>60</v>
      </c>
      <c r="D104" s="8" t="s">
        <v>59</v>
      </c>
      <c r="E104" s="18"/>
    </row>
    <row r="105" spans="1:5" x14ac:dyDescent="0.25">
      <c r="A105" s="8" t="s">
        <v>58</v>
      </c>
      <c r="B105" s="8"/>
      <c r="C105" s="8" t="s">
        <v>57</v>
      </c>
      <c r="D105" s="8"/>
      <c r="E105" s="18"/>
    </row>
    <row r="106" spans="1:5" x14ac:dyDescent="0.25">
      <c r="A106" s="8" t="s">
        <v>56</v>
      </c>
      <c r="B106" s="8"/>
      <c r="C106" s="8" t="s">
        <v>14</v>
      </c>
      <c r="D106" s="8"/>
      <c r="E106" s="18"/>
    </row>
    <row r="107" spans="1:5" x14ac:dyDescent="0.25">
      <c r="A107" s="8" t="s">
        <v>55</v>
      </c>
      <c r="B107" s="8"/>
      <c r="C107" s="31" t="s">
        <v>54</v>
      </c>
      <c r="D107" s="8"/>
      <c r="E107" s="18"/>
    </row>
    <row r="108" spans="1:5" x14ac:dyDescent="0.25">
      <c r="A108" s="8" t="s">
        <v>53</v>
      </c>
      <c r="B108" s="8"/>
      <c r="C108" s="31" t="s">
        <v>52</v>
      </c>
      <c r="D108" s="8"/>
      <c r="E108" s="18"/>
    </row>
    <row r="109" spans="1:5" x14ac:dyDescent="0.25">
      <c r="A109" s="8" t="s">
        <v>51</v>
      </c>
      <c r="B109" s="8"/>
      <c r="C109" s="31" t="s">
        <v>50</v>
      </c>
      <c r="D109" s="8"/>
      <c r="E109" s="18"/>
    </row>
  </sheetData>
  <dataConsolidate/>
  <mergeCells count="12">
    <mergeCell ref="A64:E65"/>
    <mergeCell ref="P64:P65"/>
    <mergeCell ref="R64:R65"/>
    <mergeCell ref="R2:R3"/>
    <mergeCell ref="A2:E3"/>
    <mergeCell ref="P2:P3"/>
    <mergeCell ref="A37:E38"/>
    <mergeCell ref="P37:P38"/>
    <mergeCell ref="R37:R38"/>
    <mergeCell ref="Q2:Q3"/>
    <mergeCell ref="Q37:Q38"/>
    <mergeCell ref="Q64:Q65"/>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7:DQ26" numberStoredAsText="1"/>
    <ignoredError sqref="P29 Q7 CZ33 Q33" formula="1"/>
    <ignoredError sqref="AI62:CV72 CY65 DZ62:MJ62 AI74:CV77 AI73:BL73 BN73:CV73 AI79:CV83 AI78:CR78 CT78 AI84:CR84 CT84 CY66:DF77 DA63:DF65 CY62:DF62 CY79:DF83 CY78:DA78 DC78:DD78 CY84:DA84 DC84:DD84 DI65:DO77 DJ63:DO64 DI62:DO62 DZ65:MJ84 EB63:MJ63 EB64:MJ64 DS64:DW64 DS63:DW63 DR65:DW84 DR62:DW62 DI79:DO83 DI78:DJ78 DL78:DO78 DF78 DF84 DI84:DJ84 DL84:DO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86</xdr:row>
                    <xdr:rowOff>28575</xdr:rowOff>
                  </from>
                  <to>
                    <xdr:col>0</xdr:col>
                    <xdr:colOff>676275</xdr:colOff>
                    <xdr:row>88</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90</xdr:row>
                    <xdr:rowOff>28575</xdr:rowOff>
                  </from>
                  <to>
                    <xdr:col>9</xdr:col>
                    <xdr:colOff>47625</xdr:colOff>
                    <xdr:row>91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94"/>
  <sheetViews>
    <sheetView workbookViewId="0">
      <selection activeCell="A4" sqref="A4"/>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5">
        <v>44061</v>
      </c>
      <c r="B3" s="74" t="s">
        <v>436</v>
      </c>
      <c r="C3" s="74"/>
      <c r="D3" s="73"/>
    </row>
    <row r="4" spans="1:4" ht="120" x14ac:dyDescent="0.25">
      <c r="A4" s="72"/>
      <c r="B4" s="76" t="s">
        <v>437</v>
      </c>
      <c r="C4" s="74"/>
      <c r="D4" s="73"/>
    </row>
    <row r="5" spans="1:4" x14ac:dyDescent="0.25">
      <c r="A5" s="75">
        <v>44059</v>
      </c>
      <c r="B5" s="74" t="s">
        <v>373</v>
      </c>
      <c r="C5" s="74"/>
      <c r="D5" s="73"/>
    </row>
    <row r="6" spans="1:4" ht="45" x14ac:dyDescent="0.25">
      <c r="A6" s="72"/>
      <c r="B6" s="76" t="s">
        <v>423</v>
      </c>
      <c r="C6" s="74"/>
      <c r="D6" s="73"/>
    </row>
    <row r="7" spans="1:4" x14ac:dyDescent="0.25">
      <c r="A7" s="75">
        <v>44057</v>
      </c>
      <c r="B7" s="74" t="s">
        <v>426</v>
      </c>
      <c r="C7" s="74"/>
      <c r="D7" s="73"/>
    </row>
    <row r="8" spans="1:4" ht="60" x14ac:dyDescent="0.25">
      <c r="A8" s="72"/>
      <c r="B8" s="76" t="s">
        <v>420</v>
      </c>
      <c r="C8" s="74"/>
      <c r="D8" s="73"/>
    </row>
    <row r="9" spans="1:4" x14ac:dyDescent="0.25">
      <c r="A9" s="75">
        <v>44056</v>
      </c>
      <c r="B9" s="74" t="s">
        <v>418</v>
      </c>
      <c r="C9" s="74"/>
      <c r="D9" s="73"/>
    </row>
    <row r="10" spans="1:4" x14ac:dyDescent="0.25">
      <c r="A10" s="72"/>
      <c r="B10" s="73" t="s">
        <v>419</v>
      </c>
      <c r="C10" s="74"/>
      <c r="D10" s="73"/>
    </row>
    <row r="11" spans="1:4" x14ac:dyDescent="0.25">
      <c r="A11" s="75">
        <v>44054</v>
      </c>
      <c r="B11" s="74" t="s">
        <v>416</v>
      </c>
      <c r="C11" s="74"/>
      <c r="D11" s="73"/>
    </row>
    <row r="12" spans="1:4" ht="75" x14ac:dyDescent="0.25">
      <c r="A12" s="72"/>
      <c r="B12" s="76" t="s">
        <v>417</v>
      </c>
      <c r="C12" s="74"/>
      <c r="D12" s="73"/>
    </row>
    <row r="13" spans="1:4" x14ac:dyDescent="0.25">
      <c r="A13" s="72"/>
      <c r="B13" s="73"/>
      <c r="C13" s="74"/>
      <c r="D13" s="73"/>
    </row>
    <row r="14" spans="1:4" x14ac:dyDescent="0.25">
      <c r="A14" s="75">
        <v>44052</v>
      </c>
      <c r="B14" s="74" t="s">
        <v>347</v>
      </c>
      <c r="C14" s="74"/>
      <c r="D14" s="73"/>
    </row>
    <row r="15" spans="1:4" ht="90" x14ac:dyDescent="0.25">
      <c r="A15" s="72"/>
      <c r="B15" s="76" t="s">
        <v>411</v>
      </c>
      <c r="C15" s="74"/>
      <c r="D15" s="73"/>
    </row>
    <row r="16" spans="1:4" x14ac:dyDescent="0.25">
      <c r="A16" s="75">
        <v>44050</v>
      </c>
      <c r="B16" s="74" t="s">
        <v>398</v>
      </c>
      <c r="C16" s="74"/>
      <c r="D16" s="73"/>
    </row>
    <row r="17" spans="1:4" ht="90" x14ac:dyDescent="0.25">
      <c r="A17" s="72"/>
      <c r="B17" s="76" t="s">
        <v>401</v>
      </c>
      <c r="C17" s="74"/>
      <c r="D17" s="73"/>
    </row>
    <row r="18" spans="1:4" x14ac:dyDescent="0.25">
      <c r="A18" s="75">
        <v>44049</v>
      </c>
      <c r="B18" s="74" t="s">
        <v>403</v>
      </c>
      <c r="C18" s="74"/>
      <c r="D18" s="73"/>
    </row>
    <row r="19" spans="1:4" ht="75" x14ac:dyDescent="0.25">
      <c r="A19" s="72"/>
      <c r="B19" s="76" t="s">
        <v>402</v>
      </c>
      <c r="C19" s="74"/>
      <c r="D19" s="73"/>
    </row>
    <row r="20" spans="1:4" x14ac:dyDescent="0.25">
      <c r="A20" s="75">
        <v>44047</v>
      </c>
      <c r="B20" s="74" t="s">
        <v>398</v>
      </c>
      <c r="C20" s="74"/>
      <c r="D20" s="73"/>
    </row>
    <row r="21" spans="1:4" ht="90" x14ac:dyDescent="0.25">
      <c r="A21" s="72"/>
      <c r="B21" s="76" t="s">
        <v>399</v>
      </c>
      <c r="C21" s="74"/>
      <c r="D21" s="73"/>
    </row>
    <row r="22" spans="1:4" x14ac:dyDescent="0.25">
      <c r="A22" s="72"/>
      <c r="B22" s="73"/>
      <c r="C22" s="74"/>
      <c r="D22" s="73"/>
    </row>
    <row r="23" spans="1:4" x14ac:dyDescent="0.25">
      <c r="A23" s="75">
        <v>44045</v>
      </c>
      <c r="B23" s="74" t="s">
        <v>396</v>
      </c>
      <c r="C23" s="74"/>
      <c r="D23" s="73"/>
    </row>
    <row r="24" spans="1:4" ht="60" x14ac:dyDescent="0.25">
      <c r="A24" s="72"/>
      <c r="B24" s="76" t="s">
        <v>397</v>
      </c>
      <c r="C24" s="74"/>
      <c r="D24" s="73"/>
    </row>
    <row r="25" spans="1:4" x14ac:dyDescent="0.25">
      <c r="A25" s="75">
        <v>44042</v>
      </c>
      <c r="B25" s="74" t="s">
        <v>392</v>
      </c>
      <c r="C25" s="74"/>
      <c r="D25" s="73"/>
    </row>
    <row r="26" spans="1:4" ht="45" x14ac:dyDescent="0.25">
      <c r="A26" s="72"/>
      <c r="B26" s="76" t="s">
        <v>391</v>
      </c>
      <c r="C26" s="74"/>
      <c r="D26" s="73"/>
    </row>
    <row r="27" spans="1:4" x14ac:dyDescent="0.25">
      <c r="A27" s="72"/>
      <c r="B27" s="73"/>
      <c r="C27" s="74"/>
      <c r="D27" s="73"/>
    </row>
    <row r="28" spans="1:4" x14ac:dyDescent="0.25">
      <c r="A28" s="75">
        <v>44038</v>
      </c>
      <c r="B28" s="74" t="s">
        <v>387</v>
      </c>
      <c r="C28" s="74"/>
      <c r="D28" s="73"/>
    </row>
    <row r="29" spans="1:4" ht="60" x14ac:dyDescent="0.25">
      <c r="A29" s="72"/>
      <c r="B29" s="76" t="s">
        <v>388</v>
      </c>
      <c r="C29" s="74"/>
      <c r="D29" s="73"/>
    </row>
    <row r="30" spans="1:4" x14ac:dyDescent="0.25">
      <c r="A30" s="75">
        <v>44035</v>
      </c>
      <c r="B30" s="74" t="s">
        <v>375</v>
      </c>
      <c r="C30" s="74"/>
      <c r="D30" s="73"/>
    </row>
    <row r="31" spans="1:4" ht="45" x14ac:dyDescent="0.25">
      <c r="A31" s="72"/>
      <c r="B31" s="76" t="s">
        <v>374</v>
      </c>
      <c r="C31" s="74"/>
      <c r="D31" s="73"/>
    </row>
    <row r="32" spans="1:4" x14ac:dyDescent="0.25">
      <c r="A32" s="72"/>
      <c r="B32" s="73"/>
      <c r="C32" s="74"/>
      <c r="D32" s="73"/>
    </row>
    <row r="33" spans="1:4" x14ac:dyDescent="0.25">
      <c r="A33" s="75">
        <v>44031</v>
      </c>
      <c r="B33" s="74" t="s">
        <v>371</v>
      </c>
      <c r="C33" s="74"/>
      <c r="D33" s="74" t="s">
        <v>373</v>
      </c>
    </row>
    <row r="34" spans="1:4" ht="30" x14ac:dyDescent="0.25">
      <c r="A34" s="72"/>
      <c r="B34" s="76" t="s">
        <v>372</v>
      </c>
      <c r="C34" s="74"/>
      <c r="D34" s="73" t="s">
        <v>348</v>
      </c>
    </row>
    <row r="35" spans="1:4" x14ac:dyDescent="0.25">
      <c r="A35" s="75">
        <v>44028</v>
      </c>
      <c r="B35" s="74" t="s">
        <v>353</v>
      </c>
      <c r="C35" s="74"/>
      <c r="D35" s="73"/>
    </row>
    <row r="36" spans="1:4" x14ac:dyDescent="0.25">
      <c r="A36" s="72"/>
      <c r="B36" s="73" t="s">
        <v>354</v>
      </c>
      <c r="C36" s="74"/>
      <c r="D36" s="73"/>
    </row>
    <row r="37" spans="1:4" x14ac:dyDescent="0.25">
      <c r="A37" s="75">
        <v>44026</v>
      </c>
      <c r="B37" s="74" t="s">
        <v>351</v>
      </c>
      <c r="C37" s="74"/>
      <c r="D37" s="73"/>
    </row>
    <row r="38" spans="1:4" x14ac:dyDescent="0.25">
      <c r="A38" s="72"/>
      <c r="B38" s="73" t="s">
        <v>7</v>
      </c>
      <c r="C38" s="74"/>
      <c r="D38" s="73"/>
    </row>
    <row r="39" spans="1:4" x14ac:dyDescent="0.25">
      <c r="A39" s="72"/>
      <c r="B39" s="73"/>
      <c r="C39" s="74"/>
      <c r="D39" s="73"/>
    </row>
    <row r="40" spans="1:4" x14ac:dyDescent="0.25">
      <c r="A40" s="75">
        <v>44024</v>
      </c>
      <c r="B40" s="74" t="s">
        <v>347</v>
      </c>
      <c r="C40" s="74"/>
      <c r="D40" s="74" t="s">
        <v>350</v>
      </c>
    </row>
    <row r="41" spans="1:4" ht="30" x14ac:dyDescent="0.25">
      <c r="A41" s="72"/>
      <c r="B41" s="76" t="s">
        <v>355</v>
      </c>
      <c r="C41" s="74"/>
      <c r="D41" s="73" t="s">
        <v>348</v>
      </c>
    </row>
    <row r="42" spans="1:4" x14ac:dyDescent="0.25">
      <c r="A42" s="75">
        <v>44022</v>
      </c>
      <c r="B42" s="76"/>
      <c r="C42" s="74"/>
      <c r="D42" s="74" t="s">
        <v>351</v>
      </c>
    </row>
    <row r="43" spans="1:4" x14ac:dyDescent="0.25">
      <c r="A43" s="72"/>
      <c r="B43" s="76"/>
      <c r="C43" s="74"/>
      <c r="D43" s="73" t="s">
        <v>352</v>
      </c>
    </row>
    <row r="44" spans="1:4" x14ac:dyDescent="0.25">
      <c r="A44" s="75">
        <v>44021</v>
      </c>
      <c r="B44" s="74" t="s">
        <v>242</v>
      </c>
      <c r="C44" s="74"/>
      <c r="D44" s="74" t="s">
        <v>296</v>
      </c>
    </row>
    <row r="45" spans="1:4" x14ac:dyDescent="0.25">
      <c r="A45" s="72"/>
      <c r="B45" s="73" t="s">
        <v>346</v>
      </c>
      <c r="C45" s="74"/>
      <c r="D45" s="73" t="s">
        <v>345</v>
      </c>
    </row>
    <row r="46" spans="1:4" x14ac:dyDescent="0.25">
      <c r="A46" s="75">
        <v>44019</v>
      </c>
      <c r="B46" s="74" t="s">
        <v>242</v>
      </c>
      <c r="C46" s="74"/>
      <c r="D46" s="74" t="s">
        <v>296</v>
      </c>
    </row>
    <row r="47" spans="1:4" x14ac:dyDescent="0.25">
      <c r="A47" s="72"/>
      <c r="B47" s="73" t="s">
        <v>300</v>
      </c>
      <c r="C47" s="74"/>
      <c r="D47" s="73" t="s">
        <v>315</v>
      </c>
    </row>
    <row r="48" spans="1:4" x14ac:dyDescent="0.25">
      <c r="A48" s="72"/>
      <c r="B48" s="73"/>
      <c r="C48" s="74"/>
      <c r="D48" s="73"/>
    </row>
    <row r="49" spans="1:4" x14ac:dyDescent="0.25">
      <c r="A49" s="75">
        <v>44015</v>
      </c>
      <c r="B49" s="74" t="s">
        <v>246</v>
      </c>
      <c r="C49" s="74"/>
      <c r="D49" s="73"/>
    </row>
    <row r="50" spans="1:4" ht="75.75" customHeight="1" x14ac:dyDescent="0.25">
      <c r="A50" s="72"/>
      <c r="B50" s="76" t="s">
        <v>314</v>
      </c>
      <c r="C50" s="74"/>
      <c r="D50" s="73"/>
    </row>
    <row r="51" spans="1:4" x14ac:dyDescent="0.25">
      <c r="A51" s="75">
        <v>44014</v>
      </c>
      <c r="B51" s="74" t="s">
        <v>264</v>
      </c>
      <c r="C51" s="74"/>
      <c r="D51" s="74" t="s">
        <v>307</v>
      </c>
    </row>
    <row r="52" spans="1:4" ht="75" x14ac:dyDescent="0.25">
      <c r="A52" s="72"/>
      <c r="B52" s="76" t="s">
        <v>309</v>
      </c>
      <c r="C52" s="74"/>
      <c r="D52" s="76" t="s">
        <v>308</v>
      </c>
    </row>
    <row r="53" spans="1:4" x14ac:dyDescent="0.25">
      <c r="A53" s="75">
        <v>44012</v>
      </c>
      <c r="B53" s="74" t="s">
        <v>264</v>
      </c>
      <c r="C53" s="74"/>
      <c r="D53" s="74" t="s">
        <v>246</v>
      </c>
    </row>
    <row r="54" spans="1:4" ht="45" x14ac:dyDescent="0.25">
      <c r="A54" s="72"/>
      <c r="B54" s="76" t="s">
        <v>301</v>
      </c>
      <c r="C54" s="74"/>
      <c r="D54" s="73" t="s">
        <v>300</v>
      </c>
    </row>
    <row r="55" spans="1:4" x14ac:dyDescent="0.25">
      <c r="A55" s="72"/>
      <c r="B55" s="73"/>
      <c r="C55" s="74"/>
      <c r="D55" s="73"/>
    </row>
    <row r="56" spans="1:4" x14ac:dyDescent="0.25">
      <c r="A56" s="75">
        <v>44008</v>
      </c>
      <c r="B56" s="74" t="s">
        <v>216</v>
      </c>
      <c r="C56" s="74"/>
      <c r="D56" s="73"/>
    </row>
    <row r="57" spans="1:4" ht="105" x14ac:dyDescent="0.25">
      <c r="A57" s="72"/>
      <c r="B57" s="76" t="s">
        <v>297</v>
      </c>
      <c r="C57" s="74"/>
      <c r="D57" s="73"/>
    </row>
    <row r="58" spans="1:4" x14ac:dyDescent="0.25">
      <c r="A58" s="75">
        <v>44007</v>
      </c>
      <c r="B58" s="74" t="s">
        <v>295</v>
      </c>
      <c r="C58" s="74"/>
      <c r="D58" s="74" t="s">
        <v>296</v>
      </c>
    </row>
    <row r="59" spans="1:4" ht="60" x14ac:dyDescent="0.25">
      <c r="A59" s="72"/>
      <c r="B59" s="76" t="s">
        <v>292</v>
      </c>
      <c r="C59" s="74"/>
      <c r="D59" s="76" t="s">
        <v>266</v>
      </c>
    </row>
    <row r="60" spans="1:4" x14ac:dyDescent="0.25">
      <c r="A60" s="75">
        <v>44006</v>
      </c>
      <c r="B60" s="74" t="s">
        <v>290</v>
      </c>
      <c r="C60" s="74"/>
      <c r="D60" s="74" t="s">
        <v>291</v>
      </c>
    </row>
    <row r="61" spans="1:4" x14ac:dyDescent="0.25">
      <c r="A61" s="72"/>
      <c r="B61" s="73" t="s">
        <v>289</v>
      </c>
      <c r="C61" s="74"/>
      <c r="D61" s="73" t="s">
        <v>289</v>
      </c>
    </row>
    <row r="62" spans="1:4" x14ac:dyDescent="0.25">
      <c r="A62" s="75">
        <v>44005</v>
      </c>
      <c r="B62" s="74" t="s">
        <v>264</v>
      </c>
      <c r="C62" s="74"/>
      <c r="D62" s="74" t="s">
        <v>246</v>
      </c>
    </row>
    <row r="63" spans="1:4" ht="45" x14ac:dyDescent="0.25">
      <c r="A63" s="72"/>
      <c r="B63" s="73" t="s">
        <v>265</v>
      </c>
      <c r="C63" s="74"/>
      <c r="D63" s="76" t="s">
        <v>266</v>
      </c>
    </row>
    <row r="64" spans="1:4" x14ac:dyDescent="0.25">
      <c r="A64" s="72"/>
      <c r="B64" s="73"/>
      <c r="C64" s="74"/>
      <c r="D64" s="73"/>
    </row>
    <row r="65" spans="1:4" x14ac:dyDescent="0.25">
      <c r="A65" s="75">
        <v>44001</v>
      </c>
      <c r="B65" s="74" t="s">
        <v>246</v>
      </c>
      <c r="C65" s="74"/>
      <c r="D65" s="73"/>
    </row>
    <row r="66" spans="1:4" ht="135" x14ac:dyDescent="0.25">
      <c r="A66" s="72"/>
      <c r="B66" s="76" t="s">
        <v>262</v>
      </c>
      <c r="C66" s="74"/>
      <c r="D66" s="73"/>
    </row>
    <row r="67" spans="1:4" x14ac:dyDescent="0.25">
      <c r="A67" s="75">
        <v>44000</v>
      </c>
      <c r="B67" s="74" t="s">
        <v>242</v>
      </c>
      <c r="C67" s="74"/>
      <c r="D67" s="74" t="s">
        <v>259</v>
      </c>
    </row>
    <row r="68" spans="1:4" ht="105" x14ac:dyDescent="0.25">
      <c r="A68" s="72"/>
      <c r="B68" s="76" t="s">
        <v>261</v>
      </c>
      <c r="C68" s="74"/>
      <c r="D68" s="76" t="s">
        <v>260</v>
      </c>
    </row>
    <row r="69" spans="1:4" x14ac:dyDescent="0.25">
      <c r="A69" s="75">
        <v>43998</v>
      </c>
      <c r="B69" s="74" t="s">
        <v>213</v>
      </c>
      <c r="C69" s="74"/>
      <c r="D69" s="74" t="s">
        <v>256</v>
      </c>
    </row>
    <row r="70" spans="1:4" ht="120" x14ac:dyDescent="0.25">
      <c r="A70" s="72"/>
      <c r="B70" s="76" t="s">
        <v>257</v>
      </c>
      <c r="C70" s="74"/>
      <c r="D70" s="1" t="s">
        <v>258</v>
      </c>
    </row>
    <row r="71" spans="1:4" x14ac:dyDescent="0.25">
      <c r="A71" s="72"/>
      <c r="B71" s="73"/>
      <c r="C71" s="74"/>
      <c r="D71" s="73"/>
    </row>
    <row r="72" spans="1:4" x14ac:dyDescent="0.25">
      <c r="A72" s="75">
        <v>43994</v>
      </c>
      <c r="B72" s="74" t="s">
        <v>254</v>
      </c>
      <c r="C72" s="74"/>
      <c r="D72" s="73"/>
    </row>
    <row r="73" spans="1:4" ht="75" x14ac:dyDescent="0.25">
      <c r="A73" s="72"/>
      <c r="B73" s="76" t="s">
        <v>255</v>
      </c>
      <c r="C73" s="74"/>
      <c r="D73" s="73"/>
    </row>
    <row r="74" spans="1:4" x14ac:dyDescent="0.25">
      <c r="A74" s="75">
        <v>43993</v>
      </c>
      <c r="B74" s="74" t="s">
        <v>213</v>
      </c>
      <c r="C74" s="74"/>
      <c r="D74" s="74" t="s">
        <v>251</v>
      </c>
    </row>
    <row r="75" spans="1:4" ht="120" x14ac:dyDescent="0.25">
      <c r="A75" s="72"/>
      <c r="B75" s="69" t="s">
        <v>252</v>
      </c>
      <c r="C75" s="74"/>
      <c r="D75" s="76" t="s">
        <v>253</v>
      </c>
    </row>
    <row r="76" spans="1:4" x14ac:dyDescent="0.25">
      <c r="A76" s="75">
        <v>43991</v>
      </c>
      <c r="B76" s="74" t="s">
        <v>242</v>
      </c>
      <c r="C76" s="74"/>
      <c r="D76" s="74" t="s">
        <v>246</v>
      </c>
    </row>
    <row r="77" spans="1:4" ht="105" x14ac:dyDescent="0.25">
      <c r="A77" s="66"/>
      <c r="B77" s="67" t="s">
        <v>243</v>
      </c>
      <c r="C77" s="68"/>
      <c r="D77" s="69" t="s">
        <v>247</v>
      </c>
    </row>
    <row r="78" spans="1:4" x14ac:dyDescent="0.25">
      <c r="A78" s="66"/>
      <c r="B78" s="67"/>
      <c r="C78" s="68"/>
      <c r="D78" s="69"/>
    </row>
    <row r="79" spans="1:4" x14ac:dyDescent="0.25">
      <c r="A79" s="46">
        <v>43987</v>
      </c>
      <c r="B79" s="41" t="s">
        <v>213</v>
      </c>
    </row>
    <row r="80" spans="1:4" ht="195.75" customHeight="1" x14ac:dyDescent="0.25">
      <c r="B80" s="1" t="s">
        <v>215</v>
      </c>
    </row>
    <row r="81" spans="1:2" x14ac:dyDescent="0.25">
      <c r="A81" s="46">
        <v>43986</v>
      </c>
      <c r="B81" s="41" t="s">
        <v>216</v>
      </c>
    </row>
    <row r="82" spans="1:2" ht="165" customHeight="1" x14ac:dyDescent="0.25">
      <c r="B82" s="1" t="s">
        <v>214</v>
      </c>
    </row>
    <row r="83" spans="1:2" x14ac:dyDescent="0.25">
      <c r="A83" s="46">
        <v>43984</v>
      </c>
      <c r="B83" s="41" t="s">
        <v>223</v>
      </c>
    </row>
    <row r="84" spans="1:2" ht="120" x14ac:dyDescent="0.25">
      <c r="B84" s="1" t="s">
        <v>222</v>
      </c>
    </row>
    <row r="86" spans="1:2" x14ac:dyDescent="0.25">
      <c r="A86" s="46">
        <v>43980</v>
      </c>
      <c r="B86" s="41" t="s">
        <v>217</v>
      </c>
    </row>
    <row r="87" spans="1:2" ht="165" x14ac:dyDescent="0.25">
      <c r="B87" s="1" t="s">
        <v>221</v>
      </c>
    </row>
    <row r="88" spans="1:2" x14ac:dyDescent="0.25">
      <c r="A88" s="46">
        <v>43978</v>
      </c>
      <c r="B88" s="41" t="s">
        <v>220</v>
      </c>
    </row>
    <row r="89" spans="1:2" ht="120" x14ac:dyDescent="0.25">
      <c r="B89" s="1" t="s">
        <v>219</v>
      </c>
    </row>
    <row r="90" spans="1:2" x14ac:dyDescent="0.25">
      <c r="A90" s="46">
        <v>43977</v>
      </c>
      <c r="B90" s="41" t="s">
        <v>217</v>
      </c>
    </row>
    <row r="91" spans="1:2" ht="90" x14ac:dyDescent="0.25">
      <c r="B91" s="1" t="s">
        <v>218</v>
      </c>
    </row>
    <row r="93" spans="1:2" x14ac:dyDescent="0.25">
      <c r="A93" s="46">
        <v>43975</v>
      </c>
      <c r="B93" s="41" t="s">
        <v>198</v>
      </c>
    </row>
    <row r="94" spans="1:2" ht="60" x14ac:dyDescent="0.25">
      <c r="B94"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439</v>
      </c>
    </row>
    <row r="2" spans="1:5" hidden="1" x14ac:dyDescent="0.25">
      <c r="A2" s="52" t="s">
        <v>151</v>
      </c>
      <c r="B2" s="52" t="s">
        <v>153</v>
      </c>
      <c r="C2" s="1" t="s">
        <v>310</v>
      </c>
      <c r="E2" t="s">
        <v>311</v>
      </c>
    </row>
    <row r="3" spans="1:5" ht="45" x14ac:dyDescent="0.25">
      <c r="A3" s="52" t="s">
        <v>20</v>
      </c>
      <c r="B3" s="52" t="s">
        <v>149</v>
      </c>
      <c r="C3" s="1" t="s">
        <v>438</v>
      </c>
    </row>
    <row r="4" spans="1:5" ht="30" x14ac:dyDescent="0.25">
      <c r="A4" s="52" t="s">
        <v>178</v>
      </c>
      <c r="B4" s="52" t="s">
        <v>179</v>
      </c>
      <c r="C4" s="1" t="s">
        <v>316</v>
      </c>
    </row>
    <row r="5" spans="1:5" ht="30" x14ac:dyDescent="0.25">
      <c r="A5" s="52" t="s">
        <v>161</v>
      </c>
      <c r="B5" s="52" t="s">
        <v>176</v>
      </c>
      <c r="C5" s="1" t="s">
        <v>228</v>
      </c>
    </row>
    <row r="6" spans="1:5" ht="45" x14ac:dyDescent="0.25">
      <c r="A6" s="52" t="s">
        <v>425</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440</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424</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4" t="s">
        <v>341</v>
      </c>
      <c r="B1" s="154"/>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4" t="s">
        <v>342</v>
      </c>
      <c r="B7" s="154"/>
    </row>
    <row r="8" spans="1:2" ht="15.75" x14ac:dyDescent="0.25">
      <c r="A8" s="152" t="s">
        <v>333</v>
      </c>
      <c r="B8" s="152"/>
    </row>
    <row r="9" spans="1:2" x14ac:dyDescent="0.25">
      <c r="A9" t="s">
        <v>334</v>
      </c>
    </row>
    <row r="11" spans="1:2" ht="15.75" x14ac:dyDescent="0.25">
      <c r="A11" s="153" t="s">
        <v>330</v>
      </c>
      <c r="B11" s="153"/>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1" t="s">
        <v>343</v>
      </c>
      <c r="B23" s="151"/>
    </row>
    <row r="25" spans="1:2" ht="15.75" x14ac:dyDescent="0.25">
      <c r="A25" s="152" t="s">
        <v>335</v>
      </c>
      <c r="B25" s="152"/>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5" t="s">
        <v>298</v>
      </c>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58"/>
      <c r="AT5" s="158"/>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158"/>
    </row>
    <row r="6" spans="1:70" x14ac:dyDescent="0.25">
      <c r="C6" s="2" t="s">
        <v>3</v>
      </c>
    </row>
    <row r="7" spans="1:70" ht="45" customHeight="1" x14ac:dyDescent="0.25">
      <c r="C7" s="155" t="s">
        <v>282</v>
      </c>
      <c r="D7" s="158"/>
      <c r="E7" s="158"/>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row>
    <row r="8" spans="1:70" x14ac:dyDescent="0.25">
      <c r="C8" s="2" t="s">
        <v>4</v>
      </c>
    </row>
    <row r="9" spans="1:70" ht="75" customHeight="1" x14ac:dyDescent="0.25">
      <c r="C9" s="155" t="s">
        <v>275</v>
      </c>
      <c r="D9" s="158"/>
      <c r="E9" s="158"/>
      <c r="F9" s="158"/>
      <c r="G9" s="158"/>
      <c r="H9" s="158"/>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row>
    <row r="10" spans="1:70" x14ac:dyDescent="0.25">
      <c r="C10" s="2" t="s">
        <v>5</v>
      </c>
    </row>
    <row r="11" spans="1:70" ht="75" customHeight="1" x14ac:dyDescent="0.25">
      <c r="C11" s="155" t="s">
        <v>299</v>
      </c>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row>
    <row r="12" spans="1:70" x14ac:dyDescent="0.25">
      <c r="C12" s="2" t="s">
        <v>6</v>
      </c>
    </row>
    <row r="13" spans="1:70" ht="90.75" customHeight="1" x14ac:dyDescent="0.25">
      <c r="C13" s="155" t="s">
        <v>286</v>
      </c>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row>
    <row r="14" spans="1:70" x14ac:dyDescent="0.25">
      <c r="D14" s="2" t="s">
        <v>285</v>
      </c>
    </row>
    <row r="15" spans="1:70" ht="62.25" customHeight="1" x14ac:dyDescent="0.25">
      <c r="D15" s="155" t="s">
        <v>288</v>
      </c>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row>
    <row r="16" spans="1:70" x14ac:dyDescent="0.25">
      <c r="D16" s="2" t="s">
        <v>196</v>
      </c>
    </row>
    <row r="17" spans="1:70" ht="47.25" customHeight="1" x14ac:dyDescent="0.25">
      <c r="D17" s="155" t="s">
        <v>268</v>
      </c>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row>
    <row r="18" spans="1:70" ht="15.75" customHeight="1" x14ac:dyDescent="0.25">
      <c r="D18" s="157" t="s">
        <v>267</v>
      </c>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row>
    <row r="19" spans="1:70" ht="45.75" customHeight="1" x14ac:dyDescent="0.25">
      <c r="D19" s="155" t="s">
        <v>276</v>
      </c>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row>
    <row r="20" spans="1:70" ht="15.75" customHeight="1" x14ac:dyDescent="0.25">
      <c r="D20" s="157" t="s">
        <v>284</v>
      </c>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row>
    <row r="21" spans="1:70" ht="44.25" customHeight="1" x14ac:dyDescent="0.25">
      <c r="D21" s="155" t="s">
        <v>277</v>
      </c>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row>
    <row r="22" spans="1:70" x14ac:dyDescent="0.25">
      <c r="B22" s="2" t="s">
        <v>192</v>
      </c>
      <c r="C22" s="2"/>
    </row>
    <row r="23" spans="1:70" ht="69.75" customHeight="1" x14ac:dyDescent="0.25">
      <c r="B23" s="155" t="s">
        <v>269</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row>
    <row r="24" spans="1:70" x14ac:dyDescent="0.25">
      <c r="C24" s="2" t="s">
        <v>193</v>
      </c>
    </row>
    <row r="25" spans="1:70" ht="204.75" customHeight="1" x14ac:dyDescent="0.25">
      <c r="C25" s="156" t="s">
        <v>211</v>
      </c>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row>
    <row r="26" spans="1:70" x14ac:dyDescent="0.25">
      <c r="C26" s="2" t="s">
        <v>194</v>
      </c>
    </row>
    <row r="27" spans="1:70" ht="244.5" customHeight="1" x14ac:dyDescent="0.25">
      <c r="A27" s="1"/>
      <c r="C27" s="156" t="s">
        <v>195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row>
    <row r="28" spans="1:70" x14ac:dyDescent="0.25">
      <c r="B28" s="2" t="s">
        <v>270</v>
      </c>
      <c r="C28" s="43"/>
    </row>
    <row r="29" spans="1:70" ht="75" customHeight="1" x14ac:dyDescent="0.25">
      <c r="A29" s="1"/>
      <c r="B29" s="155" t="s">
        <v>281</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row>
    <row r="30" spans="1:70" x14ac:dyDescent="0.25">
      <c r="C30" s="2" t="s">
        <v>274</v>
      </c>
    </row>
    <row r="31" spans="1:70" ht="46.5" customHeight="1" x14ac:dyDescent="0.25">
      <c r="A31" s="1"/>
      <c r="C31" s="156" t="s">
        <v>280</v>
      </c>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row>
    <row r="32" spans="1:70" ht="15.75" customHeight="1" x14ac:dyDescent="0.25">
      <c r="C32" s="157" t="s">
        <v>271</v>
      </c>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row>
    <row r="33" spans="1:70" ht="120" customHeight="1" x14ac:dyDescent="0.25">
      <c r="A33" s="43"/>
      <c r="C33" s="155" t="s">
        <v>273</v>
      </c>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row>
    <row r="34" spans="1:70" ht="15.75" customHeight="1" x14ac:dyDescent="0.25">
      <c r="C34" s="157" t="s">
        <v>272</v>
      </c>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row>
    <row r="35" spans="1:70" ht="47.25" customHeight="1" x14ac:dyDescent="0.25">
      <c r="C35" s="156" t="s">
        <v>279</v>
      </c>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row>
    <row r="36" spans="1:70" x14ac:dyDescent="0.25">
      <c r="B36" s="2" t="s">
        <v>2</v>
      </c>
    </row>
    <row r="37" spans="1:70" x14ac:dyDescent="0.25">
      <c r="B37" s="158" t="s">
        <v>12</v>
      </c>
      <c r="C37" s="158"/>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c r="BJ37" s="158"/>
      <c r="BK37" s="158"/>
      <c r="BL37" s="158"/>
      <c r="BM37" s="158"/>
      <c r="BN37" s="158"/>
      <c r="BO37" s="158"/>
      <c r="BP37" s="158"/>
      <c r="BQ37" s="158"/>
      <c r="BR37" s="158"/>
    </row>
    <row r="38" spans="1:70" x14ac:dyDescent="0.25">
      <c r="C38" s="2" t="s">
        <v>7</v>
      </c>
    </row>
    <row r="39" spans="1:70" ht="45.75" customHeight="1" x14ac:dyDescent="0.25">
      <c r="C39" s="155" t="s">
        <v>8</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2020-08-18T20:48:11Z</dcterms:modified>
</cp:coreProperties>
</file>