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BC3EFF6-C53C-41F8-BDF9-35F51727B8A2}" xr6:coauthVersionLast="45" xr6:coauthVersionMax="45" xr10:uidLastSave="{00000000-0000-0000-0000-000000000000}"/>
  <bookViews>
    <workbookView xWindow="28680" yWindow="-120" windowWidth="29040" windowHeight="16440"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1" i="10" l="1"/>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7"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L21" i="10" s="1"/>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4" i="10" l="1"/>
  <c r="L24" i="10" s="1"/>
  <c r="K23" i="10"/>
  <c r="L23" i="10" s="1"/>
  <c r="L22"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<sst xmlns="http://schemas.openxmlformats.org/spreadsheetml/2006/main" count="2498" uniqueCount="802">
  <si>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</si>
  <si>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</si>
  <si>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</si>
  <si>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</si>
  <si>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</si>
  <si>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</si>
  <si>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</si>
  <si>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</si>
  <si>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</si>
  <si>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</si>
  <si>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</si>
  <si>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</si>
  <si>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</si>
  <si>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</si>
  <si>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</si>
  <si>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</si>
  <si>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</si>
  <si>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</si>
  <si>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</si>
  <si>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</si>
  <si>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</si>
  <si>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</si>
  <si>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</si>
  <si>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</si>
  <si>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</si>
  <si>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</si>
  <si>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</si>
  <si>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</si>
  <si>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</si>
  <si>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</si>
  <si>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</si>
  <si>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</si>
  <si>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</si>
  <si>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</si>
  <si>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</si>
  <si>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</si>
  <si>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</si>
  <si>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</si>
  <si>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</si>
  <si>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</si>
  <si>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</si>
  <si>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</si>
  <si>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</si>
  <si>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</si>
  <si>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</si>
  <si>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</si>
  <si>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</si>
  <si>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</si>
  <si>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</si>
  <si>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</si>
  <si>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</si>
  <si>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</si>
  <si>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</si>
  <si>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</si>
  <si>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</si>
  <si>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</si>
  <si>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</si>
  <si>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</si>
  <si>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</si>
  <si>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</si>
  <si>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</si>
  <si>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</si>
  <si>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</si>
  <si>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</si>
  <si>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</si>
  <si>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</si>
  <si>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</si>
  <si>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</si>
  <si>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</si>
  <si>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</si>
  <si>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</si>
  <si>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</si>
  <si>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</si>
  <si>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</si>
  <si>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</si>
  <si>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</si>
  <si>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</si>
  <si>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</si>
  <si>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</si>
  <si>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</si>
  <si>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</si>
  <si>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</si>
  <si>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</si>
  <si>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</si>
  <si>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</si>
  <si>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</si>
  <si>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</si>
  <si>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</si>
  <si>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</si>
  <si>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</si>
  <si>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</si>
  <si>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</si>
  <si>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</si>
  <si>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</si>
  <si>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</si>
  <si>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</si>
  <si>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</si>
  <si>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</si>
  <si>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</si>
  <si>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</si>
  <si>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</si>
  <si>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</si>
  <si>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</si>
  <si>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</si>
  <si>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</si>
  <si>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</si>
  <si>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</si>
  <si>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</si>
  <si>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</si>
  <si>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</si>
  <si>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</si>
  <si>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</si>
  <si>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</si>
  <si>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</si>
  <si>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</si>
  <si>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</si>
  <si>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</si>
  <si>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</si>
  <si>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</si>
  <si>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</si>
  <si>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</si>
  <si>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</si>
  <si>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</si>
  <si>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</si>
  <si>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</si>
  <si>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</si>
  <si>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</si>
  <si>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</si>
  <si>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</si>
  <si>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</si>
  <si>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</si>
  <si>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</si>
  <si>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</si>
  <si>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</si>
  <si>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</si>
  <si>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</si>
  <si>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</si>
  <si>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</si>
  <si>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</si>
  <si>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</si>
  <si>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</si>
  <si>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</si>
  <si>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</si>
  <si>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</si>
  <si>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</si>
  <si>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</si>
  <si>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</si>
  <si>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</si>
  <si>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</si>
  <si>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</si>
  <si>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</si>
  <si>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</si>
  <si>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</si>
  <si>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</si>
  <si>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</si>
  <si>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</si>
  <si>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</si>
  <si>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</si>
  <si>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</si>
  <si>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</si>
  <si>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</si>
  <si>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</si>
  <si>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</si>
  <si>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</si>
  <si>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</si>
  <si>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</si>
  <si>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</si>
  <si>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</si>
  <si>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</si>
  <si>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</si>
  <si>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</si>
  <si>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</si>
  <si>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</si>
  <si>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</si>
  <si>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</si>
  <si>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</si>
  <si>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</si>
  <si>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</si>
  <si>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</si>
  <si>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</si>
  <si>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</si>
  <si>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</si>
  <si>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</si>
  <si>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</si>
  <si>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</si>
  <si>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</si>
  <si>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</si>
  <si>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</si>
  <si>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</si>
  <si>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</si>
  <si>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</si>
  <si>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</si>
  <si>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</si>
  <si>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</si>
  <si>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</si>
  <si>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</si>
  <si>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</si>
  <si>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</si>
  <si>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</si>
  <si>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</si>
  <si>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</si>
  <si>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</si>
  <si>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</si>
  <si>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</si>
  <si>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</si>
  <si>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</si>
  <si>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</si>
  <si>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</si>
  <si>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</si>
  <si>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</si>
  <si>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</si>
  <si>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</si>
  <si>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</si>
  <si>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</si>
  <si>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</si>
  <si>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</si>
  <si>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</si>
  <si>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</si>
  <si>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</si>
  <si>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</si>
  <si>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</si>
  <si>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</si>
  <si>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</si>
  <si>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</si>
  <si>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</si>
  <si>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</si>
  <si>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</si>
  <si>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</si>
  <si>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</si>
  <si>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</si>
  <si>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</si>
  <si>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</si>
  <si>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</si>
  <si>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</si>
  <si>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</si>
  <si>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</si>
  <si>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</si>
  <si>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</si>
  <si>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</si>
  <si>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</si>
  <si>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</si>
  <si>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</si>
  <si>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</si>
  <si>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</si>
  <si>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</si>
  <si>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</si>
  <si>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</si>
  <si>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</si>
  <si>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</si>
  <si>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</si>
  <si>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</si>
  <si>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</si>
  <si>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</si>
  <si>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</si>
  <si>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</si>
  <si>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</si>
  <si>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</si>
  <si>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</si>
  <si>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</si>
  <si>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</si>
  <si>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</si>
  <si>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</si>
  <si>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</si>
  <si>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</si>
  <si>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</si>
  <si>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</si>
  <si>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</si>
  <si>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</si>
  <si>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</si>
  <si>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</si>
  <si>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</si>
  <si>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</si>
  <si>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</si>
  <si>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</si>
  <si>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</si>
  <si>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</si>
  <si>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</si>
  <si>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</si>
  <si>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</si>
  <si>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</si>
  <si>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</si>
  <si>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</si>
  <si>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</si>
  <si>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</si>
  <si>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</si>
  <si>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</si>
  <si>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</si>
  <si>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</si>
  <si>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</si>
  <si>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</si>
  <si>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</si>
  <si>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</si>
  <si>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</si>
  <si>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</si>
  <si>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</si>
  <si>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</si>
  <si>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</si>
  <si>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</si>
  <si>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</si>
  <si>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</si>
  <si>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</si>
  <si>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</si>
  <si>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</si>
  <si>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</si>
  <si>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</si>
  <si>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</si>
  <si>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</si>
  <si>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</si>
  <si>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</si>
  <si>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</si>
  <si>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</si>
  <si>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</si>
  <si>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</si>
  <si>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</si>
  <si>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</si>
  <si>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</si>
  <si>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</si>
  <si>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</si>
  <si>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</si>
  <si>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</si>
  <si>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</si>
  <si>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</si>
  <si>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</si>
  <si>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</si>
  <si>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</si>
  <si>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</si>
  <si>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</si>
  <si>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</si>
  <si>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</si>
  <si>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</si>
  <si>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</si>
  <si>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</si>
  <si>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</si>
  <si>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</si>
  <si>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</si>
  <si>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</si>
  <si>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</si>
  <si>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</si>
  <si>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</si>
  <si>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</si>
  <si>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</si>
  <si>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</si>
  <si>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</si>
  <si>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</si>
  <si>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</si>
  <si>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</si>
  <si>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</si>
  <si>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</si>
  <si>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</si>
  <si>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</si>
  <si>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</si>
  <si>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</si>
  <si>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</si>
  <si>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</si>
  <si>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</si>
  <si>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</si>
  <si>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</si>
  <si>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</si>
  <si>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</si>
  <si>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</si>
  <si>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</si>
  <si>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</si>
  <si>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</si>
  <si>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</si>
  <si>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</si>
  <si>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</si>
  <si>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</si>
  <si>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</si>
  <si>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</si>
  <si>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</si>
  <si>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</si>
  <si>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</si>
  <si>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</si>
  <si>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</si>
  <si>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</si>
  <si>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</si>
  <si>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</si>
  <si>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</si>
  <si>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</si>
  <si>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</si>
  <si>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</si>
  <si>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</si>
  <si>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</si>
  <si>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</si>
  <si>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</si>
  <si>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</si>
  <si>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</si>
  <si>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</si>
  <si>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</si>
  <si>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</si>
  <si>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</si>
  <si>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</si>
  <si>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</si>
  <si>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</si>
  <si>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</si>
  <si>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</si>
  <si>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</si>
  <si>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</si>
  <si>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</si>
  <si>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</si>
  <si>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</si>
  <si>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</si>
  <si>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</si>
  <si>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</si>
  <si>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</si>
  <si>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</si>
  <si>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</si>
  <si>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</si>
  <si>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</si>
  <si>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</si>
  <si>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</si>
  <si>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</si>
  <si>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</si>
  <si>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</si>
  <si>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</si>
  <si>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</si>
  <si>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</si>
  <si>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</si>
  <si>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</si>
  <si>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</si>
  <si>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</si>
  <si>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</si>
  <si>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</si>
  <si>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</si>
  <si>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</si>
  <si>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</si>
  <si>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</si>
  <si>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</si>
  <si>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</si>
  <si>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</si>
  <si>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</si>
  <si>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</si>
  <si>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</si>
  <si>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</si>
  <si>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</si>
  <si>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</si>
  <si>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</si>
  <si>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</si>
  <si>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</si>
  <si>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</si>
  <si>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</si>
  <si>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</si>
  <si>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</si>
  <si>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</si>
  <si>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</si>
  <si>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</si>
  <si>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</si>
  <si>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</si>
  <si>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</si>
  <si>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</si>
  <si>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</si>
  <si>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</si>
  <si>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</si>
  <si>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</si>
  <si>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</si>
  <si>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</si>
  <si>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</si>
  <si>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</si>
  <si>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</si>
  <si>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</si>
  <si>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</si>
  <si>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</si>
  <si>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</si>
  <si>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</si>
  <si>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</si>
  <si>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</si>
  <si>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</si>
  <si>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</si>
  <si>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</si>
  <si>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</si>
  <si>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</si>
  <si>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</si>
  <si>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</si>
  <si>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</si>
  <si>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</si>
  <si>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</si>
  <si>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</si>
  <si>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</si>
  <si>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</si>
  <si>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</si>
  <si>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</si>
  <si>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</si>
  <si>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</si>
  <si>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</si>
  <si>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</si>
  <si>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</si>
  <si>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</si>
  <si>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</si>
  <si>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</si>
  <si>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</si>
  <si>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</si>
  <si>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</si>
  <si>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</si>
  <si>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</si>
  <si>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</si>
  <si>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</si>
  <si>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</si>
  <si>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</si>
  <si>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</si>
  <si>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</si>
  <si>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</si>
  <si>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</si>
  <si>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</si>
  <si>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</si>
  <si>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</si>
  <si>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</si>
  <si>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</si>
  <si>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</si>
  <si>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</si>
  <si>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</si>
  <si>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</si>
  <si>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</si>
  <si>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</si>
  <si>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</si>
  <si>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</si>
  <si>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</si>
  <si>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</si>
  <si>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</si>
  <si>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</si>
  <si>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</si>
  <si>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</si>
  <si>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</si>
  <si>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</si>
  <si>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</si>
  <si>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</si>
  <si>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</si>
  <si>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</si>
  <si>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</si>
  <si>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</si>
  <si>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</si>
  <si>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</si>
  <si>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</si>
  <si>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</si>
  <si>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</si>
  <si>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</si>
  <si>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</si>
  <si>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</si>
  <si>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</si>
  <si>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</si>
  <si>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</si>
  <si>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</si>
  <si>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</si>
  <si>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</si>
  <si>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</si>
  <si>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</si>
  <si>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</si>
  <si>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</si>
  <si>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</si>
  <si>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</si>
  <si>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</si>
  <si>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</si>
  <si>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</si>
  <si>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</si>
  <si>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</si>
  <si>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</si>
  <si>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</si>
  <si>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</si>
  <si>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</si>
  <si>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</si>
  <si>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</si>
  <si>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</si>
  <si>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</si>
  <si>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</si>
  <si>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</si>
  <si>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</si>
  <si>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</si>
  <si>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</si>
  <si>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</si>
  <si>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</si>
  <si>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</si>
  <si>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</si>
  <si>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</si>
  <si>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</si>
  <si>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</si>
  <si>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</si>
  <si>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</si>
  <si>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</si>
  <si>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</si>
  <si>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</si>
  <si>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</si>
  <si>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</si>
  <si>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</si>
  <si>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</si>
  <si>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</si>
  <si>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</si>
  <si>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</si>
  <si>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</si>
  <si>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</si>
  <si>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</si>
  <si>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</si>
  <si>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</si>
  <si>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</si>
  <si>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</si>
  <si>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</si>
  <si>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</si>
  <si>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</si>
  <si>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</si>
  <si>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</si>
  <si>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</si>
  <si>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</si>
  <si>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</si>
  <si>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</si>
  <si>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</si>
  <si>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</si>
  <si>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</si>
  <si>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</si>
  <si>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</si>
  <si>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</si>
  <si>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</si>
  <si>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</si>
  <si>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</si>
  <si>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</si>
  <si>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</si>
  <si>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</si>
  <si>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</si>
  <si>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</si>
  <si>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</si>
  <si>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</si>
  <si>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</si>
  <si>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</si>
  <si>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</si>
  <si>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</si>
  <si>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</si>
  <si>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</si>
  <si>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</si>
  <si>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</si>
  <si>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</si>
  <si>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</si>
  <si>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</si>
  <si>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</si>
  <si>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</si>
  <si>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</si>
  <si>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</si>
  <si>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</si>
  <si>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</si>
  <si>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</si>
  <si>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</si>
  <si>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</si>
  <si>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</si>
  <si>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</si>
  <si>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</si>
  <si>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</si>
  <si>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</si>
  <si>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</si>
  <si>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</si>
  <si>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</si>
  <si>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</si>
  <si>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</si>
  <si>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</si>
  <si>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</si>
  <si>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</si>
  <si>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</si>
  <si>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</si>
  <si>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</si>
  <si>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</si>
  <si>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</si>
  <si>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</si>
  <si>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</si>
  <si>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</si>
  <si>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</si>
  <si>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</si>
  <si>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</si>
  <si>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</si>
  <si>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</si>
  <si>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</si>
  <si>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</si>
  <si>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</si>
  <si>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</si>
  <si>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</si>
  <si>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</si>
  <si>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</si>
  <si>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</si>
  <si>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</si>
  <si>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</si>
  <si>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</si>
  <si>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</si>
  <si>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</si>
  <si>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</si>
  <si>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</si>
  <si>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</si>
  <si>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</si>
  <si>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</si>
  <si>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</si>
  <si>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</si>
  <si>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</si>
  <si>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</si>
  <si>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</si>
  <si>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</si>
  <si>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</si>
  <si>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</si>
  <si>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</si>
  <si>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</si>
  <si>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</si>
  <si>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</si>
  <si>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</si>
  <si>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</si>
  <si>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</si>
  <si>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</si>
  <si>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</si>
  <si>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</si>
  <si>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</si>
  <si>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</si>
  <si>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</si>
  <si>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</si>
  <si>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</si>
  <si>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</si>
  <si>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</si>
  <si>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</si>
  <si>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</si>
  <si>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</si>
  <si>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</si>
  <si>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</si>
  <si>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</si>
  <si>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</si>
  <si>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</si>
  <si>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</si>
  <si>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</si>
  <si>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</si>
  <si>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</si>
  <si>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</si>
  <si>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</si>
  <si>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</si>
  <si>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</si>
  <si>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</si>
  <si>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</si>
  <si>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</si>
  <si>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</si>
  <si>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</si>
  <si>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</si>
  <si>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</si>
  <si>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</si>
  <si>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</si>
  <si>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</si>
  <si>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</si>
  <si>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</si>
  <si>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</si>
  <si>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</si>
  <si>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</si>
  <si>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</si>
  <si>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</si>
  <si>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</si>
  <si>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</si>
  <si>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</si>
  <si>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</si>
  <si>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</si>
  <si>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</si>
  <si>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</si>
  <si>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</si>
  <si>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</si>
  <si>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</si>
  <si>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</si>
  <si>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</si>
  <si>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</si>
  <si>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</si>
  <si>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</si>
  <si>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</si>
  <si>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</si>
  <si>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</si>
  <si>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</si>
  <si>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</si>
  <si>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</si>
  <si>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</si>
  <si>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</si>
  <si>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</si>
  <si>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</si>
  <si>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</si>
  <si>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</si>
  <si>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</si>
  <si>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</si>
  <si>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</si>
  <si>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</si>
  <si>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</si>
  <si>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</si>
  <si>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</si>
  <si>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</si>
  <si>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</si>
  <si>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</si>
  <si>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</si>
  <si>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</si>
  <si>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</si>
  <si>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</si>
  <si>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</si>
  <si>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</si>
  <si>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</si>
  <si>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</si>
  <si>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</si>
  <si>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</si>
  <si>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</si>
  <si>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</si>
  <si>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</si>
  <si>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</si>
  <si>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</si>
  <si>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</si>
  <si>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</si>
  <si>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 xml:space="preserve">  X</t>
  </si>
  <si>
    <t>Winners Score (3x4, 1x5)
Verteidigung nach Seitwärtsbegung (6x12)
Aufspiel-Schlag-Verteidigung mit Nachlaufen
Winners Score (6x "alt", 6x U20 mit 2 Auf, 5x "Junge+")</t>
  </si>
  <si>
    <t>Sa</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</si>
  <si>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</si>
  <si>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</si>
  <si>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</si>
  <si>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</si>
  <si>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4x4 Winners Score
4x4 "Chaos" - Service-Annahme (je 2x 5 Annahmen)
Aufspiel-Schalg-Verteidigung mit Nachlaufen
Einschlagen
4x4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</si>
</sst>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31</xdr:row>
      <xdr:rowOff>180974</xdr:rowOff>
    </xdr:from>
    <xdr:to>
      <xdr:col>1</xdr:col>
      <xdr:colOff>295275</xdr:colOff>
      <xdr:row>32</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48</xdr:row>
      <xdr:rowOff>0</xdr:rowOff>
    </xdr:from>
    <xdr:to>
      <xdr:col>3</xdr:col>
      <xdr:colOff>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48</xdr:row>
      <xdr:rowOff>0</xdr:rowOff>
    </xdr:from>
    <xdr:to>
      <xdr:col>3</xdr:col>
      <xdr:colOff>771525</xdr:colOff>
      <xdr:row>49</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48</xdr:row>
      <xdr:rowOff>0</xdr:rowOff>
    </xdr:from>
    <xdr:to>
      <xdr:col>7</xdr:col>
      <xdr:colOff>695325</xdr:colOff>
      <xdr:row>49</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48</xdr:row>
      <xdr:rowOff>0</xdr:rowOff>
    </xdr:from>
    <xdr:to>
      <xdr:col>11</xdr:col>
      <xdr:colOff>171450</xdr:colOff>
      <xdr:row>49</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49</xdr:row>
      <xdr:rowOff>19050</xdr:rowOff>
    </xdr:from>
    <xdr:to>
      <xdr:col>3</xdr:col>
      <xdr:colOff>28576</xdr:colOff>
      <xdr:row>50</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49</xdr:row>
      <xdr:rowOff>19050</xdr:rowOff>
    </xdr:from>
    <xdr:to>
      <xdr:col>3</xdr:col>
      <xdr:colOff>742950</xdr:colOff>
      <xdr:row>50</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49</xdr:row>
      <xdr:rowOff>9525</xdr:rowOff>
    </xdr:from>
    <xdr:to>
      <xdr:col>7</xdr:col>
      <xdr:colOff>666750</xdr:colOff>
      <xdr:row>49</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topLeftCell="A19" workbookViewId="0">
      <pane xSplit="12" topLeftCell="AK1" activePane="topRight" state="frozen"/>
      <selection pane="topRight" activeCell="BE26" sqref="BE26"/>
    </sheetView>
  </sheetViews>
  <sheetFormatPr baseColWidth="10" defaultRowHeight="15" x14ac:dyDescent="0.25"/>
  <cols>
    <col min="2" max="2" width="9" customWidth="1"/>
    <col min="3" max="3" width="4.5703125" customWidth="1"/>
    <col min="4" max="4" width="12.85546875" customWidth="1"/>
    <col min="5" max="5" width="23.7109375" customWidth="1"/>
    <col min="6" max="6" width="34.28515625" customWidth="1"/>
    <col min="7" max="7" width="14.7109375" customWidth="1"/>
    <col min="9" max="9" width="11.42578125" hidden="1" customWidth="1"/>
    <col min="10" max="12" width="3.7109375" style="44" customWidth="1"/>
    <col min="13" max="255" width="3.7109375" customWidth="1"/>
  </cols>
  <sheetData>
    <row r="1" spans="1:262" ht="15" customHeight="1" x14ac:dyDescent="0.25">
      <c r="A1" s="213" t="s">
        <v>46</v>
      </c>
      <c r="B1" s="214"/>
      <c r="C1" s="214"/>
      <c r="D1" s="214"/>
      <c r="E1" s="214"/>
      <c r="F1" s="214"/>
      <c r="G1" s="214"/>
      <c r="H1" s="215"/>
      <c r="I1" s="205" t="str">
        <f>A1</f>
        <v>BL</v>
      </c>
      <c r="J1" s="219" t="s">
        <v>38</v>
      </c>
      <c r="K1" s="201" t="s">
        <v>49</v>
      </c>
      <c r="L1" s="203"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16"/>
      <c r="B2" s="217"/>
      <c r="C2" s="217"/>
      <c r="D2" s="217"/>
      <c r="E2" s="217"/>
      <c r="F2" s="217"/>
      <c r="G2" s="217"/>
      <c r="H2" s="218"/>
      <c r="I2" s="206"/>
      <c r="J2" s="220"/>
      <c r="K2" s="202"/>
      <c r="L2" s="204"/>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777</v>
      </c>
      <c r="AX2" s="164"/>
      <c r="AY2" s="131" t="s">
        <v>38</v>
      </c>
      <c r="AZ2" s="131" t="s">
        <v>38</v>
      </c>
      <c r="BA2" s="131"/>
      <c r="BB2" s="131" t="s">
        <v>38</v>
      </c>
      <c r="BC2" s="131" t="s">
        <v>38</v>
      </c>
      <c r="BD2" s="131"/>
      <c r="BE2" s="164"/>
      <c r="BF2" s="131"/>
      <c r="BG2" s="131"/>
      <c r="BH2" s="131"/>
      <c r="BI2" s="131"/>
      <c r="BJ2" s="131"/>
      <c r="BK2" s="131" t="s">
        <v>778</v>
      </c>
      <c r="BL2" s="164"/>
      <c r="BM2" s="131"/>
      <c r="BN2" s="131"/>
      <c r="BO2" s="131"/>
      <c r="BP2" s="131"/>
      <c r="BQ2" s="131"/>
      <c r="BR2" s="131" t="s">
        <v>778</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793</v>
      </c>
      <c r="K3" s="36">
        <f>SUM(M3:IU3)</f>
        <v>25</v>
      </c>
      <c r="L3" s="191">
        <f t="shared" ref="L3:L24" si="5">K3/K$25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793</v>
      </c>
      <c r="K4" s="19">
        <f t="shared" ref="K4:K22" si="7">SUM(M4:IU4)</f>
        <v>24</v>
      </c>
      <c r="L4" s="192">
        <f t="shared" si="5"/>
        <v>96</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793</v>
      </c>
      <c r="K5" s="19">
        <f t="shared" si="7"/>
        <v>25</v>
      </c>
      <c r="L5" s="192">
        <f t="shared" si="5"/>
        <v>100</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796</v>
      </c>
      <c r="K6" s="19">
        <f t="shared" si="7"/>
        <v>22</v>
      </c>
      <c r="L6" s="192">
        <f t="shared" si="5"/>
        <v>88</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793</v>
      </c>
      <c r="K7" s="19">
        <f t="shared" si="7"/>
        <v>24</v>
      </c>
      <c r="L7" s="192">
        <f t="shared" si="5"/>
        <v>96</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794</v>
      </c>
      <c r="K8" s="19">
        <f t="shared" si="7"/>
        <v>14</v>
      </c>
      <c r="L8" s="192">
        <f t="shared" si="5"/>
        <v>56.000000000000007</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793</v>
      </c>
      <c r="K9" s="19">
        <f t="shared" si="7"/>
        <v>25</v>
      </c>
      <c r="L9" s="192">
        <f t="shared" si="5"/>
        <v>100</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789</v>
      </c>
      <c r="C10" s="19" t="s">
        <v>158</v>
      </c>
      <c r="D10" s="19" t="s">
        <v>123</v>
      </c>
      <c r="E10" s="19" t="str">
        <f t="shared" si="6"/>
        <v>Stefanie Marbek</v>
      </c>
      <c r="F10" s="19" t="s">
        <v>697</v>
      </c>
      <c r="G10" s="182" t="s">
        <v>709</v>
      </c>
      <c r="H10" s="56">
        <v>38491</v>
      </c>
      <c r="I10" s="176" t="str">
        <f t="shared" si="4"/>
        <v>SM</v>
      </c>
      <c r="J10" s="199" t="s">
        <v>793</v>
      </c>
      <c r="K10" s="19">
        <f t="shared" si="7"/>
        <v>23</v>
      </c>
      <c r="L10" s="192">
        <f t="shared" si="5"/>
        <v>92</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790</v>
      </c>
      <c r="C11" s="19" t="s">
        <v>160</v>
      </c>
      <c r="D11" s="19" t="s">
        <v>122</v>
      </c>
      <c r="E11" s="19" t="str">
        <f t="shared" si="6"/>
        <v>Lea Mehringer</v>
      </c>
      <c r="F11" s="19" t="s">
        <v>684</v>
      </c>
      <c r="G11" s="182" t="s">
        <v>707</v>
      </c>
      <c r="H11" s="56">
        <v>38655</v>
      </c>
      <c r="I11" s="176" t="str">
        <f t="shared" si="4"/>
        <v>LE</v>
      </c>
      <c r="J11" s="199" t="s">
        <v>793</v>
      </c>
      <c r="K11" s="19">
        <f t="shared" si="7"/>
        <v>20</v>
      </c>
      <c r="L11" s="192">
        <f t="shared" si="5"/>
        <v>80</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793</v>
      </c>
      <c r="K12" s="19">
        <f t="shared" si="7"/>
        <v>22</v>
      </c>
      <c r="L12" s="192">
        <f t="shared" si="5"/>
        <v>88</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791</v>
      </c>
      <c r="C13" s="19" t="s">
        <v>143</v>
      </c>
      <c r="D13" s="19" t="s">
        <v>139</v>
      </c>
      <c r="E13" s="19" t="str">
        <f t="shared" si="6"/>
        <v>Lea Murnig</v>
      </c>
      <c r="F13" s="19" t="s">
        <v>690</v>
      </c>
      <c r="G13" s="182" t="s">
        <v>710</v>
      </c>
      <c r="H13" s="56">
        <v>37863</v>
      </c>
      <c r="I13" s="176" t="str">
        <f t="shared" si="4"/>
        <v>LM</v>
      </c>
      <c r="J13" s="199" t="s">
        <v>793</v>
      </c>
      <c r="K13" s="19">
        <f t="shared" si="7"/>
        <v>20</v>
      </c>
      <c r="L13" s="192">
        <f t="shared" si="5"/>
        <v>80</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t="s">
        <v>793</v>
      </c>
      <c r="K14" s="19">
        <f t="shared" si="7"/>
        <v>21</v>
      </c>
      <c r="L14" s="192">
        <f t="shared" si="5"/>
        <v>84</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t="s">
        <v>796</v>
      </c>
      <c r="K15" s="19">
        <f t="shared" si="7"/>
        <v>19</v>
      </c>
      <c r="L15" s="192">
        <f t="shared" si="5"/>
        <v>76</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793</v>
      </c>
      <c r="K16" s="19">
        <f t="shared" si="7"/>
        <v>25</v>
      </c>
      <c r="L16" s="192">
        <f t="shared" si="5"/>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788</v>
      </c>
      <c r="C17" s="19" t="s">
        <v>167</v>
      </c>
      <c r="D17" s="19" t="s">
        <v>168</v>
      </c>
      <c r="E17" s="19" t="str">
        <f t="shared" si="6"/>
        <v>Stefanie Rückenbaum</v>
      </c>
      <c r="F17" s="19" t="s">
        <v>696</v>
      </c>
      <c r="G17" s="182" t="s">
        <v>702</v>
      </c>
      <c r="H17" s="56">
        <v>36870</v>
      </c>
      <c r="I17" s="176" t="str">
        <f t="shared" si="4"/>
        <v>SR</v>
      </c>
      <c r="J17" s="199" t="s">
        <v>793</v>
      </c>
      <c r="K17" s="19">
        <f t="shared" si="7"/>
        <v>25</v>
      </c>
      <c r="L17" s="192">
        <f t="shared" si="5"/>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793</v>
      </c>
      <c r="K18" s="19">
        <f t="shared" si="7"/>
        <v>25</v>
      </c>
      <c r="L18" s="192">
        <f t="shared" si="5"/>
        <v>100</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t="s">
        <v>796</v>
      </c>
      <c r="K19" s="88">
        <f t="shared" si="7"/>
        <v>14</v>
      </c>
      <c r="L19" s="193">
        <f t="shared" si="5"/>
        <v>56.000000000000007</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793</v>
      </c>
      <c r="K20" s="10">
        <f t="shared" si="7"/>
        <v>22</v>
      </c>
      <c r="L20" s="192">
        <f t="shared" si="5"/>
        <v>88</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787</v>
      </c>
      <c r="H21" s="56">
        <v>36872</v>
      </c>
      <c r="I21" s="176" t="str">
        <f t="shared" si="4"/>
        <v>MG</v>
      </c>
      <c r="J21" s="10" t="s">
        <v>793</v>
      </c>
      <c r="K21" s="10">
        <f t="shared" si="7"/>
        <v>4</v>
      </c>
      <c r="L21" s="192">
        <f t="shared" si="5"/>
        <v>16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796</v>
      </c>
      <c r="K22" s="169">
        <f t="shared" si="7"/>
        <v>25</v>
      </c>
      <c r="L22" s="194">
        <f t="shared" si="5"/>
        <v>100</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34"/>
      <c r="BD22" s="34"/>
      <c r="BE22" s="7"/>
      <c r="BF22" s="34"/>
      <c r="BG22" s="34"/>
      <c r="BH22" s="34"/>
      <c r="BI22" s="34"/>
      <c r="BJ22" s="34"/>
      <c r="BK22" s="34"/>
      <c r="BL22" s="7"/>
      <c r="BM22" s="34"/>
      <c r="BN22" s="34"/>
      <c r="BO22" s="34"/>
      <c r="BP22" s="34"/>
      <c r="BQ22" s="34"/>
      <c r="BR22" s="34"/>
      <c r="BS22" s="7"/>
      <c r="BT22" s="34"/>
      <c r="BU22" s="34"/>
      <c r="BV22" s="34"/>
      <c r="BW22" s="34"/>
      <c r="BX22" s="34"/>
      <c r="BY22" s="34"/>
      <c r="BZ22" s="7"/>
      <c r="CA22" s="34"/>
      <c r="CB22" s="34"/>
      <c r="CC22" s="34"/>
      <c r="CD22" s="34"/>
      <c r="CE22" s="34"/>
      <c r="CF22" s="34"/>
      <c r="CG22" s="7"/>
      <c r="CH22" s="34"/>
      <c r="CI22" s="34"/>
      <c r="CJ22" s="34"/>
      <c r="CK22" s="34"/>
      <c r="CL22" s="34"/>
      <c r="CM22" s="34"/>
      <c r="CN22" s="7"/>
      <c r="CO22" s="34"/>
      <c r="CP22" s="34"/>
      <c r="CQ22" s="34"/>
      <c r="CR22" s="34"/>
      <c r="CS22" s="34"/>
      <c r="CT22" s="34"/>
      <c r="CU22" s="7"/>
      <c r="CV22" s="34"/>
      <c r="CW22" s="34"/>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07" t="s">
        <v>647</v>
      </c>
      <c r="B23" s="208"/>
      <c r="C23" s="208"/>
      <c r="D23" s="208"/>
      <c r="E23" s="208"/>
      <c r="F23" s="208"/>
      <c r="G23" s="208"/>
      <c r="H23" s="209"/>
      <c r="I23" s="181" t="str">
        <f>"#1|" &amp; A23</f>
        <v>#1|Spielerinnen</v>
      </c>
      <c r="J23" s="177"/>
      <c r="K23" s="188">
        <f>SUM(K3:K19) / (17)</f>
        <v>21.941176470588236</v>
      </c>
      <c r="L23" s="187">
        <f t="shared" si="5"/>
        <v>87.764705882352942</v>
      </c>
      <c r="M23" s="150">
        <v>12</v>
      </c>
      <c r="N23" s="150">
        <v>7</v>
      </c>
      <c r="O23" s="166"/>
      <c r="P23" s="186" t="str">
        <f>IF(SUM(P3:P19) &gt; 0, SUM(P3:P19), "")</f>
        <v/>
      </c>
      <c r="Q23" s="150" t="str">
        <f t="shared" ref="Q23:V23" si="8">IF(SUM(Q3:Q19) &gt; 0, SUM(Q3:Q19), "")</f>
        <v/>
      </c>
      <c r="R23" s="150" t="str">
        <f t="shared" si="8"/>
        <v/>
      </c>
      <c r="S23" s="150" t="str">
        <f t="shared" si="8"/>
        <v/>
      </c>
      <c r="T23" s="150" t="str">
        <f t="shared" si="8"/>
        <v/>
      </c>
      <c r="U23" s="150">
        <f t="shared" si="8"/>
        <v>15</v>
      </c>
      <c r="V23" s="166" t="str">
        <f t="shared" si="8"/>
        <v/>
      </c>
      <c r="W23" s="186">
        <f>IF(SUM(W3:W19) &gt; 0, SUM(W3:W19), "")</f>
        <v>12</v>
      </c>
      <c r="X23" s="150">
        <f t="shared" ref="X23:AC23" si="9">IF(SUM(X3:X19) &gt; 0, SUM(X3:X19), "")</f>
        <v>14</v>
      </c>
      <c r="Y23" s="150" t="str">
        <f t="shared" si="9"/>
        <v/>
      </c>
      <c r="Z23" s="150">
        <f t="shared" si="9"/>
        <v>13</v>
      </c>
      <c r="AA23" s="150">
        <f t="shared" si="9"/>
        <v>15</v>
      </c>
      <c r="AB23" s="150" t="str">
        <f t="shared" si="9"/>
        <v/>
      </c>
      <c r="AC23" s="166" t="str">
        <f t="shared" si="9"/>
        <v/>
      </c>
      <c r="AD23" s="186">
        <f>IF(SUM(AD3:AD19) &gt; 0, SUM(AD3:AD19), "")</f>
        <v>17</v>
      </c>
      <c r="AE23" s="150">
        <f t="shared" ref="AE23:AJ23" si="10">IF(SUM(AE3:AE19) &gt; 0, SUM(AE3:AE19), "")</f>
        <v>14</v>
      </c>
      <c r="AF23" s="150" t="str">
        <f t="shared" si="10"/>
        <v/>
      </c>
      <c r="AG23" s="150">
        <f t="shared" si="10"/>
        <v>13</v>
      </c>
      <c r="AH23" s="150">
        <f t="shared" si="10"/>
        <v>15</v>
      </c>
      <c r="AI23" s="150">
        <f t="shared" si="10"/>
        <v>17</v>
      </c>
      <c r="AJ23" s="166">
        <f t="shared" si="10"/>
        <v>17</v>
      </c>
      <c r="AK23" s="186">
        <f>IF(SUM(AK3:AK19) &gt; 0, SUM(AK3:AK19), "")</f>
        <v>16</v>
      </c>
      <c r="AL23" s="150">
        <f t="shared" ref="AL23:AQ23" si="11">IF(SUM(AL3:AL19) &gt; 0, SUM(AL3:AL19), "")</f>
        <v>17</v>
      </c>
      <c r="AM23" s="150" t="str">
        <f t="shared" si="11"/>
        <v/>
      </c>
      <c r="AN23" s="150">
        <f t="shared" si="11"/>
        <v>15</v>
      </c>
      <c r="AO23" s="150">
        <f t="shared" si="11"/>
        <v>13</v>
      </c>
      <c r="AP23" s="150">
        <f t="shared" si="11"/>
        <v>17</v>
      </c>
      <c r="AQ23" s="166">
        <f t="shared" si="11"/>
        <v>14</v>
      </c>
      <c r="AR23" s="186">
        <f>IF(SUM(AR3:AR19) &gt; 0, SUM(AR3:AR19), "")</f>
        <v>14</v>
      </c>
      <c r="AS23" s="150">
        <f t="shared" ref="AS23:AX23" si="12">IF(SUM(AS3:AS19) &gt; 0, SUM(AS3:AS19), "")</f>
        <v>16</v>
      </c>
      <c r="AT23" s="150" t="str">
        <f t="shared" si="12"/>
        <v/>
      </c>
      <c r="AU23" s="150">
        <f t="shared" si="12"/>
        <v>16</v>
      </c>
      <c r="AV23" s="150">
        <f t="shared" si="12"/>
        <v>15</v>
      </c>
      <c r="AW23" s="150">
        <f t="shared" si="12"/>
        <v>16</v>
      </c>
      <c r="AX23" s="166" t="str">
        <f t="shared" si="12"/>
        <v/>
      </c>
      <c r="AY23" s="186">
        <f>IF(SUM(AY3:AY19) &gt; 0, SUM(AY3:AY19), "")</f>
        <v>15</v>
      </c>
      <c r="AZ23" s="150">
        <f t="shared" ref="AZ23:BE23" si="13">IF(SUM(AZ3:AZ19) &gt; 0, SUM(AZ3:AZ19), "")</f>
        <v>13</v>
      </c>
      <c r="BA23" s="150" t="str">
        <f t="shared" si="13"/>
        <v/>
      </c>
      <c r="BB23" s="150">
        <f t="shared" si="13"/>
        <v>14</v>
      </c>
      <c r="BC23" s="150" t="str">
        <f t="shared" si="13"/>
        <v/>
      </c>
      <c r="BD23" s="150" t="str">
        <f t="shared" si="13"/>
        <v/>
      </c>
      <c r="BE23" s="166" t="str">
        <f t="shared" si="13"/>
        <v/>
      </c>
      <c r="BF23" s="186" t="str">
        <f>IF(SUM(BF3:BF19) &gt; 0, SUM(BF3:BF19), "")</f>
        <v/>
      </c>
      <c r="BG23" s="150" t="str">
        <f t="shared" ref="BG23:BL23" si="14">IF(SUM(BG3:BG19) &gt; 0, SUM(BG3:BG19), "")</f>
        <v/>
      </c>
      <c r="BH23" s="150" t="str">
        <f t="shared" si="14"/>
        <v/>
      </c>
      <c r="BI23" s="150" t="str">
        <f t="shared" si="14"/>
        <v/>
      </c>
      <c r="BJ23" s="150" t="str">
        <f t="shared" si="14"/>
        <v/>
      </c>
      <c r="BK23" s="150" t="str">
        <f t="shared" si="14"/>
        <v/>
      </c>
      <c r="BL23" s="166" t="str">
        <f t="shared" si="14"/>
        <v/>
      </c>
      <c r="BM23" s="186" t="str">
        <f>IF(SUM(BM3:BM19) &gt; 0, SUM(BM3:BM19), "")</f>
        <v/>
      </c>
      <c r="BN23" s="150" t="str">
        <f t="shared" ref="BN23:BS23" si="15">IF(SUM(BN3:BN19) &gt; 0, SUM(BN3:BN19), "")</f>
        <v/>
      </c>
      <c r="BO23" s="150" t="str">
        <f t="shared" si="15"/>
        <v/>
      </c>
      <c r="BP23" s="150" t="str">
        <f t="shared" si="15"/>
        <v/>
      </c>
      <c r="BQ23" s="150" t="str">
        <f t="shared" si="15"/>
        <v/>
      </c>
      <c r="BR23" s="150" t="str">
        <f t="shared" si="15"/>
        <v/>
      </c>
      <c r="BS23" s="166" t="str">
        <f t="shared" si="15"/>
        <v/>
      </c>
      <c r="BT23" s="186" t="str">
        <f>IF(SUM(BT3:BT19) &gt; 0, SUM(BT3:BT19), "")</f>
        <v/>
      </c>
      <c r="BU23" s="150" t="str">
        <f t="shared" ref="BU23:BZ23" si="16">IF(SUM(BU3:BU19) &gt; 0, SUM(BU3:BU19), "")</f>
        <v/>
      </c>
      <c r="BV23" s="150" t="str">
        <f t="shared" si="16"/>
        <v/>
      </c>
      <c r="BW23" s="150" t="str">
        <f t="shared" si="16"/>
        <v/>
      </c>
      <c r="BX23" s="150" t="str">
        <f t="shared" si="16"/>
        <v/>
      </c>
      <c r="BY23" s="150" t="str">
        <f t="shared" si="16"/>
        <v/>
      </c>
      <c r="BZ23" s="166" t="str">
        <f t="shared" si="16"/>
        <v/>
      </c>
      <c r="CA23" s="186" t="str">
        <f>IF(SUM(CA3:CA19) &gt; 0, SUM(CA3:CA19), "")</f>
        <v/>
      </c>
      <c r="CB23" s="150" t="str">
        <f t="shared" ref="CB23:CG23" si="17">IF(SUM(CB3:CB19) &gt; 0, SUM(CB3:CB19), "")</f>
        <v/>
      </c>
      <c r="CC23" s="150" t="str">
        <f t="shared" si="17"/>
        <v/>
      </c>
      <c r="CD23" s="150" t="str">
        <f t="shared" si="17"/>
        <v/>
      </c>
      <c r="CE23" s="150" t="str">
        <f t="shared" si="17"/>
        <v/>
      </c>
      <c r="CF23" s="150" t="str">
        <f t="shared" si="17"/>
        <v/>
      </c>
      <c r="CG23" s="166" t="str">
        <f t="shared" si="17"/>
        <v/>
      </c>
      <c r="CH23" s="186" t="str">
        <f>IF(SUM(CH3:CH19) &gt; 0, SUM(CH3:CH19), "")</f>
        <v/>
      </c>
      <c r="CI23" s="150" t="str">
        <f t="shared" ref="CI23:CN23" si="18">IF(SUM(CI3:CI19) &gt; 0, SUM(CI3:CI19), "")</f>
        <v/>
      </c>
      <c r="CJ23" s="150" t="str">
        <f t="shared" si="18"/>
        <v/>
      </c>
      <c r="CK23" s="150" t="str">
        <f t="shared" si="18"/>
        <v/>
      </c>
      <c r="CL23" s="150" t="str">
        <f t="shared" si="18"/>
        <v/>
      </c>
      <c r="CM23" s="150" t="str">
        <f t="shared" si="18"/>
        <v/>
      </c>
      <c r="CN23" s="166" t="str">
        <f t="shared" si="18"/>
        <v/>
      </c>
      <c r="CO23" s="186" t="str">
        <f>IF(SUM(CO3:CO19) &gt; 0, SUM(CO3:CO19), "")</f>
        <v/>
      </c>
      <c r="CP23" s="150" t="str">
        <f t="shared" ref="CP23:CU23" si="19">IF(SUM(CP3:CP19) &gt; 0, SUM(CP3:CP19), "")</f>
        <v/>
      </c>
      <c r="CQ23" s="150" t="str">
        <f t="shared" si="19"/>
        <v/>
      </c>
      <c r="CR23" s="150" t="str">
        <f t="shared" si="19"/>
        <v/>
      </c>
      <c r="CS23" s="150" t="str">
        <f t="shared" si="19"/>
        <v/>
      </c>
      <c r="CT23" s="150" t="str">
        <f t="shared" si="19"/>
        <v/>
      </c>
      <c r="CU23" s="166" t="str">
        <f t="shared" si="19"/>
        <v/>
      </c>
      <c r="CV23" s="186" t="str">
        <f>IF(SUM(CV3:CV19) &gt; 0, SUM(CV3:CV19), "")</f>
        <v/>
      </c>
      <c r="CW23" s="150" t="str">
        <f t="shared" ref="CW23:DB23" si="20">IF(SUM(CW3:CW19) &gt; 0, SUM(CW3:CW19), "")</f>
        <v/>
      </c>
      <c r="CX23" s="150" t="str">
        <f t="shared" si="20"/>
        <v/>
      </c>
      <c r="CY23" s="150" t="str">
        <f t="shared" si="20"/>
        <v/>
      </c>
      <c r="CZ23" s="150" t="str">
        <f t="shared" si="20"/>
        <v/>
      </c>
      <c r="DA23" s="150" t="str">
        <f t="shared" si="20"/>
        <v/>
      </c>
      <c r="DB23" s="166" t="str">
        <f t="shared" si="20"/>
        <v/>
      </c>
      <c r="DC23" s="186" t="str">
        <f>IF(SUM(DC3:DC19) &gt; 0, SUM(DC3:DC19), "")</f>
        <v/>
      </c>
      <c r="DD23" s="150" t="str">
        <f t="shared" ref="DD23:DI23" si="21">IF(SUM(DD3:DD19) &gt; 0, SUM(DD3:DD19), "")</f>
        <v/>
      </c>
      <c r="DE23" s="150" t="str">
        <f t="shared" si="21"/>
        <v/>
      </c>
      <c r="DF23" s="150" t="str">
        <f t="shared" si="21"/>
        <v/>
      </c>
      <c r="DG23" s="150" t="str">
        <f t="shared" si="21"/>
        <v/>
      </c>
      <c r="DH23" s="150" t="str">
        <f t="shared" si="21"/>
        <v/>
      </c>
      <c r="DI23" s="166" t="str">
        <f t="shared" si="21"/>
        <v/>
      </c>
      <c r="DJ23" s="186" t="str">
        <f>IF(SUM(DJ3:DJ19) &gt; 0, SUM(DJ3:DJ19), "")</f>
        <v/>
      </c>
      <c r="DK23" s="150" t="str">
        <f t="shared" ref="DK23:DP23" si="22">IF(SUM(DK3:DK19) &gt; 0, SUM(DK3:DK19), "")</f>
        <v/>
      </c>
      <c r="DL23" s="150" t="str">
        <f t="shared" si="22"/>
        <v/>
      </c>
      <c r="DM23" s="150" t="str">
        <f t="shared" si="22"/>
        <v/>
      </c>
      <c r="DN23" s="150" t="str">
        <f t="shared" si="22"/>
        <v/>
      </c>
      <c r="DO23" s="150" t="str">
        <f t="shared" si="22"/>
        <v/>
      </c>
      <c r="DP23" s="166" t="str">
        <f t="shared" si="22"/>
        <v/>
      </c>
      <c r="DQ23" s="186" t="str">
        <f>IF(SUM(DQ3:DQ19) &gt; 0, SUM(DQ3:DQ19), "")</f>
        <v/>
      </c>
      <c r="DR23" s="150" t="str">
        <f t="shared" ref="DR23:DW23" si="23">IF(SUM(DR3:DR19) &gt; 0, SUM(DR3:DR19), "")</f>
        <v/>
      </c>
      <c r="DS23" s="150" t="str">
        <f t="shared" si="23"/>
        <v/>
      </c>
      <c r="DT23" s="150" t="str">
        <f t="shared" si="23"/>
        <v/>
      </c>
      <c r="DU23" s="150" t="str">
        <f t="shared" si="23"/>
        <v/>
      </c>
      <c r="DV23" s="150" t="str">
        <f t="shared" si="23"/>
        <v/>
      </c>
      <c r="DW23" s="166" t="str">
        <f t="shared" si="23"/>
        <v/>
      </c>
      <c r="DX23" s="186" t="str">
        <f>IF(SUM(DX3:DX19) &gt; 0, SUM(DX3:DX19), "")</f>
        <v/>
      </c>
      <c r="DY23" s="150" t="str">
        <f t="shared" ref="DY23:ED23" si="24">IF(SUM(DY3:DY19) &gt; 0, SUM(DY3:DY19), "")</f>
        <v/>
      </c>
      <c r="DZ23" s="150" t="str">
        <f t="shared" si="24"/>
        <v/>
      </c>
      <c r="EA23" s="150" t="str">
        <f t="shared" si="24"/>
        <v/>
      </c>
      <c r="EB23" s="150" t="str">
        <f t="shared" si="24"/>
        <v/>
      </c>
      <c r="EC23" s="150" t="str">
        <f t="shared" si="24"/>
        <v/>
      </c>
      <c r="ED23" s="166" t="str">
        <f t="shared" si="24"/>
        <v/>
      </c>
      <c r="EE23" s="186" t="str">
        <f>IF(SUM(EE3:EE19) &gt; 0, SUM(EE3:EE19), "")</f>
        <v/>
      </c>
      <c r="EF23" s="150" t="str">
        <f t="shared" ref="EF23:EK23" si="25">IF(SUM(EF3:EF19) &gt; 0, SUM(EF3:EF19), "")</f>
        <v/>
      </c>
      <c r="EG23" s="150" t="str">
        <f t="shared" si="25"/>
        <v/>
      </c>
      <c r="EH23" s="150" t="str">
        <f t="shared" si="25"/>
        <v/>
      </c>
      <c r="EI23" s="150" t="str">
        <f t="shared" si="25"/>
        <v/>
      </c>
      <c r="EJ23" s="150" t="str">
        <f t="shared" si="25"/>
        <v/>
      </c>
      <c r="EK23" s="166" t="str">
        <f t="shared" si="25"/>
        <v/>
      </c>
      <c r="EL23" s="186" t="str">
        <f>IF(SUM(EL3:EL19) &gt; 0, SUM(EL3:EL19), "")</f>
        <v/>
      </c>
      <c r="EM23" s="150" t="str">
        <f t="shared" ref="EM23:ER23" si="26">IF(SUM(EM3:EM19) &gt; 0, SUM(EM3:EM19), "")</f>
        <v/>
      </c>
      <c r="EN23" s="150" t="str">
        <f t="shared" si="26"/>
        <v/>
      </c>
      <c r="EO23" s="150" t="str">
        <f t="shared" si="26"/>
        <v/>
      </c>
      <c r="EP23" s="150" t="str">
        <f t="shared" si="26"/>
        <v/>
      </c>
      <c r="EQ23" s="150" t="str">
        <f t="shared" si="26"/>
        <v/>
      </c>
      <c r="ER23" s="166" t="str">
        <f t="shared" si="26"/>
        <v/>
      </c>
      <c r="ES23" s="186" t="str">
        <f>IF(SUM(ES3:ES19) &gt; 0, SUM(ES3:ES19), "")</f>
        <v/>
      </c>
      <c r="ET23" s="150" t="str">
        <f t="shared" ref="ET23:EY23" si="27">IF(SUM(ET3:ET19) &gt; 0, SUM(ET3:ET19), "")</f>
        <v/>
      </c>
      <c r="EU23" s="150" t="str">
        <f t="shared" si="27"/>
        <v/>
      </c>
      <c r="EV23" s="150" t="str">
        <f t="shared" si="27"/>
        <v/>
      </c>
      <c r="EW23" s="150" t="str">
        <f t="shared" si="27"/>
        <v/>
      </c>
      <c r="EX23" s="150" t="str">
        <f t="shared" si="27"/>
        <v/>
      </c>
      <c r="EY23" s="166" t="str">
        <f t="shared" si="27"/>
        <v/>
      </c>
      <c r="EZ23" s="186" t="str">
        <f>IF(SUM(EZ3:EZ19) &gt; 0, SUM(EZ3:EZ19), "")</f>
        <v/>
      </c>
      <c r="FA23" s="150" t="str">
        <f t="shared" ref="FA23:FF23" si="28">IF(SUM(FA3:FA19) &gt; 0, SUM(FA3:FA19), "")</f>
        <v/>
      </c>
      <c r="FB23" s="150" t="str">
        <f t="shared" si="28"/>
        <v/>
      </c>
      <c r="FC23" s="150" t="str">
        <f t="shared" si="28"/>
        <v/>
      </c>
      <c r="FD23" s="150" t="str">
        <f t="shared" si="28"/>
        <v/>
      </c>
      <c r="FE23" s="150" t="str">
        <f t="shared" si="28"/>
        <v/>
      </c>
      <c r="FF23" s="166" t="str">
        <f t="shared" si="28"/>
        <v/>
      </c>
      <c r="FG23" s="186" t="str">
        <f>IF(SUM(FG3:FG19) &gt; 0, SUM(FG3:FG19), "")</f>
        <v/>
      </c>
      <c r="FH23" s="150" t="str">
        <f t="shared" ref="FH23:FM23" si="29">IF(SUM(FH3:FH19) &gt; 0, SUM(FH3:FH19), "")</f>
        <v/>
      </c>
      <c r="FI23" s="150" t="str">
        <f t="shared" si="29"/>
        <v/>
      </c>
      <c r="FJ23" s="150" t="str">
        <f t="shared" si="29"/>
        <v/>
      </c>
      <c r="FK23" s="150" t="str">
        <f t="shared" si="29"/>
        <v/>
      </c>
      <c r="FL23" s="150" t="str">
        <f t="shared" si="29"/>
        <v/>
      </c>
      <c r="FM23" s="166" t="str">
        <f t="shared" si="29"/>
        <v/>
      </c>
      <c r="FN23" s="186" t="str">
        <f>IF(SUM(FN3:FN19) &gt; 0, SUM(FN3:FN19), "")</f>
        <v/>
      </c>
      <c r="FO23" s="150" t="str">
        <f t="shared" ref="FO23:FT23" si="30">IF(SUM(FO3:FO19) &gt; 0, SUM(FO3:FO19), "")</f>
        <v/>
      </c>
      <c r="FP23" s="150" t="str">
        <f t="shared" si="30"/>
        <v/>
      </c>
      <c r="FQ23" s="150" t="str">
        <f t="shared" si="30"/>
        <v/>
      </c>
      <c r="FR23" s="150" t="str">
        <f t="shared" si="30"/>
        <v/>
      </c>
      <c r="FS23" s="150" t="str">
        <f t="shared" si="30"/>
        <v/>
      </c>
      <c r="FT23" s="166" t="str">
        <f t="shared" si="30"/>
        <v/>
      </c>
      <c r="FU23" s="186" t="str">
        <f>IF(SUM(FU3:FU19) &gt; 0, SUM(FU3:FU19), "")</f>
        <v/>
      </c>
      <c r="FV23" s="150" t="str">
        <f t="shared" ref="FV23:GA23" si="31">IF(SUM(FV3:FV19) &gt; 0, SUM(FV3:FV19), "")</f>
        <v/>
      </c>
      <c r="FW23" s="150" t="str">
        <f t="shared" si="31"/>
        <v/>
      </c>
      <c r="FX23" s="150" t="str">
        <f t="shared" si="31"/>
        <v/>
      </c>
      <c r="FY23" s="150" t="str">
        <f t="shared" si="31"/>
        <v/>
      </c>
      <c r="FZ23" s="150" t="str">
        <f t="shared" si="31"/>
        <v/>
      </c>
      <c r="GA23" s="166" t="str">
        <f t="shared" si="31"/>
        <v/>
      </c>
      <c r="GB23" s="186" t="str">
        <f>IF(SUM(GB3:GB19) &gt; 0, SUM(GB3:GB19), "")</f>
        <v/>
      </c>
      <c r="GC23" s="150" t="str">
        <f t="shared" ref="GC23:GH23" si="32">IF(SUM(GC3:GC19) &gt; 0, SUM(GC3:GC19), "")</f>
        <v/>
      </c>
      <c r="GD23" s="150" t="str">
        <f t="shared" si="32"/>
        <v/>
      </c>
      <c r="GE23" s="150" t="str">
        <f t="shared" si="32"/>
        <v/>
      </c>
      <c r="GF23" s="150" t="str">
        <f t="shared" si="32"/>
        <v/>
      </c>
      <c r="GG23" s="150" t="str">
        <f t="shared" si="32"/>
        <v/>
      </c>
      <c r="GH23" s="166" t="str">
        <f t="shared" si="32"/>
        <v/>
      </c>
      <c r="GI23" s="186" t="str">
        <f>IF(SUM(GI3:GI19) &gt; 0, SUM(GI3:GI19), "")</f>
        <v/>
      </c>
      <c r="GJ23" s="150" t="str">
        <f t="shared" ref="GJ23:GO23" si="33">IF(SUM(GJ3:GJ19) &gt; 0, SUM(GJ3:GJ19), "")</f>
        <v/>
      </c>
      <c r="GK23" s="150" t="str">
        <f t="shared" si="33"/>
        <v/>
      </c>
      <c r="GL23" s="150" t="str">
        <f t="shared" si="33"/>
        <v/>
      </c>
      <c r="GM23" s="150" t="str">
        <f t="shared" si="33"/>
        <v/>
      </c>
      <c r="GN23" s="150" t="str">
        <f t="shared" si="33"/>
        <v/>
      </c>
      <c r="GO23" s="166" t="str">
        <f t="shared" si="33"/>
        <v/>
      </c>
      <c r="GP23" s="186" t="str">
        <f>IF(SUM(GP3:GP19) &gt; 0, SUM(GP3:GP19), "")</f>
        <v/>
      </c>
      <c r="GQ23" s="150" t="str">
        <f t="shared" ref="GQ23:GV23" si="34">IF(SUM(GQ3:GQ19) &gt; 0, SUM(GQ3:GQ19), "")</f>
        <v/>
      </c>
      <c r="GR23" s="150" t="str">
        <f t="shared" si="34"/>
        <v/>
      </c>
      <c r="GS23" s="150" t="str">
        <f t="shared" si="34"/>
        <v/>
      </c>
      <c r="GT23" s="150" t="str">
        <f t="shared" si="34"/>
        <v/>
      </c>
      <c r="GU23" s="150" t="str">
        <f t="shared" si="34"/>
        <v/>
      </c>
      <c r="GV23" s="166" t="str">
        <f t="shared" si="34"/>
        <v/>
      </c>
      <c r="GW23" s="186" t="str">
        <f>IF(SUM(GW3:GW19) &gt; 0, SUM(GW3:GW19), "")</f>
        <v/>
      </c>
      <c r="GX23" s="150" t="str">
        <f t="shared" ref="GX23:HC23" si="35">IF(SUM(GX3:GX19) &gt; 0, SUM(GX3:GX19), "")</f>
        <v/>
      </c>
      <c r="GY23" s="150" t="str">
        <f t="shared" si="35"/>
        <v/>
      </c>
      <c r="GZ23" s="150" t="str">
        <f t="shared" si="35"/>
        <v/>
      </c>
      <c r="HA23" s="150" t="str">
        <f t="shared" si="35"/>
        <v/>
      </c>
      <c r="HB23" s="150" t="str">
        <f t="shared" si="35"/>
        <v/>
      </c>
      <c r="HC23" s="166" t="str">
        <f t="shared" si="35"/>
        <v/>
      </c>
      <c r="HD23" s="186" t="str">
        <f>IF(SUM(HD3:HD19) &gt; 0, SUM(HD3:HD19), "")</f>
        <v/>
      </c>
      <c r="HE23" s="150" t="str">
        <f t="shared" ref="HE23:HJ23" si="36">IF(SUM(HE3:HE19) &gt; 0, SUM(HE3:HE19), "")</f>
        <v/>
      </c>
      <c r="HF23" s="150" t="str">
        <f t="shared" si="36"/>
        <v/>
      </c>
      <c r="HG23" s="150" t="str">
        <f t="shared" si="36"/>
        <v/>
      </c>
      <c r="HH23" s="150" t="str">
        <f t="shared" si="36"/>
        <v/>
      </c>
      <c r="HI23" s="150" t="str">
        <f t="shared" si="36"/>
        <v/>
      </c>
      <c r="HJ23" s="166" t="str">
        <f t="shared" si="36"/>
        <v/>
      </c>
      <c r="HK23" s="186" t="str">
        <f>IF(SUM(HK3:HK19) &gt; 0, SUM(HK3:HK19), "")</f>
        <v/>
      </c>
      <c r="HL23" s="150" t="str">
        <f t="shared" ref="HL23:HQ23" si="37">IF(SUM(HL3:HL19) &gt; 0, SUM(HL3:HL19), "")</f>
        <v/>
      </c>
      <c r="HM23" s="150" t="str">
        <f t="shared" si="37"/>
        <v/>
      </c>
      <c r="HN23" s="150" t="str">
        <f t="shared" si="37"/>
        <v/>
      </c>
      <c r="HO23" s="150" t="str">
        <f t="shared" si="37"/>
        <v/>
      </c>
      <c r="HP23" s="150" t="str">
        <f t="shared" si="37"/>
        <v/>
      </c>
      <c r="HQ23" s="166" t="str">
        <f t="shared" si="37"/>
        <v/>
      </c>
      <c r="HR23" s="186" t="str">
        <f>IF(SUM(HR3:HR19) &gt; 0, SUM(HR3:HR19), "")</f>
        <v/>
      </c>
      <c r="HS23" s="150" t="str">
        <f t="shared" ref="HS23:HX23" si="38">IF(SUM(HS3:HS19) &gt; 0, SUM(HS3:HS19), "")</f>
        <v/>
      </c>
      <c r="HT23" s="150" t="str">
        <f t="shared" si="38"/>
        <v/>
      </c>
      <c r="HU23" s="150" t="str">
        <f t="shared" si="38"/>
        <v/>
      </c>
      <c r="HV23" s="150" t="str">
        <f t="shared" si="38"/>
        <v/>
      </c>
      <c r="HW23" s="150" t="str">
        <f t="shared" si="38"/>
        <v/>
      </c>
      <c r="HX23" s="166" t="str">
        <f t="shared" si="38"/>
        <v/>
      </c>
      <c r="HY23" s="186" t="str">
        <f>IF(SUM(HY3:HY19) &gt; 0, SUM(HY3:HY19), "")</f>
        <v/>
      </c>
      <c r="HZ23" s="150" t="str">
        <f t="shared" ref="HZ23:IE23" si="39">IF(SUM(HZ3:HZ19) &gt; 0, SUM(HZ3:HZ19), "")</f>
        <v/>
      </c>
      <c r="IA23" s="150" t="str">
        <f t="shared" si="39"/>
        <v/>
      </c>
      <c r="IB23" s="150" t="str">
        <f t="shared" si="39"/>
        <v/>
      </c>
      <c r="IC23" s="150" t="str">
        <f t="shared" si="39"/>
        <v/>
      </c>
      <c r="ID23" s="150" t="str">
        <f t="shared" si="39"/>
        <v/>
      </c>
      <c r="IE23" s="166" t="str">
        <f t="shared" si="39"/>
        <v/>
      </c>
      <c r="IF23" s="186" t="str">
        <f>IF(SUM(IF3:IF19) &gt; 0, SUM(IF3:IF19), "")</f>
        <v/>
      </c>
      <c r="IG23" s="150" t="str">
        <f t="shared" ref="IG23:IL23" si="40">IF(SUM(IG3:IG19) &gt; 0, SUM(IG3:IG19), "")</f>
        <v/>
      </c>
      <c r="IH23" s="150" t="str">
        <f t="shared" si="40"/>
        <v/>
      </c>
      <c r="II23" s="150" t="str">
        <f t="shared" si="40"/>
        <v/>
      </c>
      <c r="IJ23" s="150" t="str">
        <f t="shared" si="40"/>
        <v/>
      </c>
      <c r="IK23" s="150" t="str">
        <f t="shared" si="40"/>
        <v/>
      </c>
      <c r="IL23" s="166" t="str">
        <f t="shared" si="40"/>
        <v/>
      </c>
      <c r="IM23" s="186" t="str">
        <f>IF(SUM(IM3:IM19) &gt; 0, SUM(IM3:IM19), "")</f>
        <v/>
      </c>
      <c r="IN23" s="150" t="str">
        <f t="shared" ref="IN23:IS23" si="41">IF(SUM(IN3:IN19) &gt; 0, SUM(IN3:IN19), "")</f>
        <v/>
      </c>
      <c r="IO23" s="150" t="str">
        <f t="shared" si="41"/>
        <v/>
      </c>
      <c r="IP23" s="150" t="str">
        <f t="shared" si="41"/>
        <v/>
      </c>
      <c r="IQ23" s="150" t="str">
        <f t="shared" si="41"/>
        <v/>
      </c>
      <c r="IR23" s="150" t="str">
        <f t="shared" si="41"/>
        <v/>
      </c>
      <c r="IS23" s="166" t="str">
        <f t="shared" si="41"/>
        <v/>
      </c>
      <c r="IT23" s="186" t="str">
        <f>IF(SUM(IT3:IT19) &gt; 0, SUM(IT3:IT19), "")</f>
        <v/>
      </c>
      <c r="IU23" s="150" t="str">
        <f t="shared" ref="IU23:IZ23" si="42">IF(SUM(IU3:IU19) &gt; 0, SUM(IU3:IU19), "")</f>
        <v/>
      </c>
      <c r="IV23" s="150" t="str">
        <f t="shared" si="42"/>
        <v/>
      </c>
      <c r="IW23" s="150" t="str">
        <f t="shared" si="42"/>
        <v/>
      </c>
      <c r="IX23" s="150" t="str">
        <f t="shared" si="42"/>
        <v/>
      </c>
      <c r="IY23" s="150" t="str">
        <f t="shared" si="42"/>
        <v/>
      </c>
      <c r="IZ23" s="166" t="str">
        <f t="shared" si="42"/>
        <v/>
      </c>
      <c r="JA23" s="186" t="str">
        <f>IF(SUM(JA3:JA19) &gt; 0, SUM(JA3:JA19), "")</f>
        <v/>
      </c>
      <c r="JB23" s="150" t="str">
        <f t="shared" ref="JB23:JG23" si="43">IF(SUM(JB3:JB19) &gt; 0, SUM(JB3:JB19), "")</f>
        <v/>
      </c>
      <c r="JC23" s="150" t="str">
        <f t="shared" si="43"/>
        <v/>
      </c>
      <c r="JD23" s="150" t="str">
        <f t="shared" si="43"/>
        <v/>
      </c>
      <c r="JE23" s="150" t="str">
        <f t="shared" si="43"/>
        <v/>
      </c>
      <c r="JF23" s="150" t="str">
        <f t="shared" si="43"/>
        <v/>
      </c>
      <c r="JG23" s="166" t="str">
        <f t="shared" si="43"/>
        <v/>
      </c>
    </row>
    <row r="24" spans="1:267" ht="15.75" thickBot="1" x14ac:dyDescent="0.3">
      <c r="A24" s="210" t="s">
        <v>728</v>
      </c>
      <c r="B24" s="211"/>
      <c r="C24" s="211"/>
      <c r="D24" s="211"/>
      <c r="E24" s="211"/>
      <c r="F24" s="211"/>
      <c r="G24" s="211"/>
      <c r="H24" s="212"/>
      <c r="I24" s="180" t="str">
        <f>"#2|" &amp; A24</f>
        <v>#2|Alle</v>
      </c>
      <c r="J24" s="178"/>
      <c r="K24" s="189">
        <f>SUM(K3:K22) / 19</f>
        <v>22.315789473684209</v>
      </c>
      <c r="L24" s="190">
        <f t="shared" si="5"/>
        <v>89.263157894736835</v>
      </c>
      <c r="M24" s="160"/>
      <c r="N24" s="160"/>
      <c r="O24" s="167"/>
      <c r="P24" s="173" t="str">
        <f>IF(SUM(P3:P22) &gt; 0, SUM(P3:P22), "")</f>
        <v/>
      </c>
      <c r="Q24" s="160" t="str">
        <f t="shared" ref="Q24:V24" si="44">IF(SUM(Q3:Q22) &gt; 0, SUM(Q3:Q22), "")</f>
        <v/>
      </c>
      <c r="R24" s="160" t="str">
        <f t="shared" si="44"/>
        <v/>
      </c>
      <c r="S24" s="160" t="str">
        <f t="shared" si="44"/>
        <v/>
      </c>
      <c r="T24" s="160" t="str">
        <f t="shared" si="44"/>
        <v/>
      </c>
      <c r="U24" s="160">
        <f t="shared" si="44"/>
        <v>17</v>
      </c>
      <c r="V24" s="167" t="str">
        <f t="shared" si="44"/>
        <v/>
      </c>
      <c r="W24" s="173">
        <f>IF(SUM(W3:W22) &gt; 0, SUM(W3:W22), "")</f>
        <v>14</v>
      </c>
      <c r="X24" s="160">
        <f t="shared" ref="X24:AC24" si="45">IF(SUM(X3:X22) &gt; 0, SUM(X3:X22), "")</f>
        <v>16</v>
      </c>
      <c r="Y24" s="160" t="str">
        <f t="shared" si="45"/>
        <v/>
      </c>
      <c r="Z24" s="160">
        <f t="shared" si="45"/>
        <v>14</v>
      </c>
      <c r="AA24" s="160">
        <f t="shared" si="45"/>
        <v>16</v>
      </c>
      <c r="AB24" s="160" t="str">
        <f t="shared" si="45"/>
        <v/>
      </c>
      <c r="AC24" s="167" t="str">
        <f t="shared" si="45"/>
        <v/>
      </c>
      <c r="AD24" s="173">
        <f>IF(SUM(AD3:AD22) &gt; 0, SUM(AD3:AD22), "")</f>
        <v>19</v>
      </c>
      <c r="AE24" s="160">
        <f t="shared" ref="AE24:AJ24" si="46">IF(SUM(AE3:AE22) &gt; 0, SUM(AE3:AE22), "")</f>
        <v>16</v>
      </c>
      <c r="AF24" s="160" t="str">
        <f t="shared" si="46"/>
        <v/>
      </c>
      <c r="AG24" s="160">
        <f t="shared" si="46"/>
        <v>14</v>
      </c>
      <c r="AH24" s="160">
        <f t="shared" si="46"/>
        <v>17</v>
      </c>
      <c r="AI24" s="160">
        <f t="shared" si="46"/>
        <v>19</v>
      </c>
      <c r="AJ24" s="167">
        <f t="shared" si="46"/>
        <v>19</v>
      </c>
      <c r="AK24" s="173">
        <f>IF(SUM(AK3:AK22) &gt; 0, SUM(AK3:AK22), "")</f>
        <v>18</v>
      </c>
      <c r="AL24" s="160">
        <f t="shared" ref="AL24:AQ24" si="47">IF(SUM(AL3:AL22) &gt; 0, SUM(AL3:AL22), "")</f>
        <v>19</v>
      </c>
      <c r="AM24" s="160" t="str">
        <f t="shared" si="47"/>
        <v/>
      </c>
      <c r="AN24" s="160">
        <f t="shared" si="47"/>
        <v>17</v>
      </c>
      <c r="AO24" s="160">
        <f t="shared" si="47"/>
        <v>15</v>
      </c>
      <c r="AP24" s="160">
        <f t="shared" si="47"/>
        <v>19</v>
      </c>
      <c r="AQ24" s="167">
        <f t="shared" si="47"/>
        <v>16</v>
      </c>
      <c r="AR24" s="173">
        <f>IF(SUM(AR3:AR22) &gt; 0, SUM(AR3:AR22), "")</f>
        <v>16</v>
      </c>
      <c r="AS24" s="160">
        <f t="shared" ref="AS24:AX24" si="48">IF(SUM(AS3:AS22) &gt; 0, SUM(AS3:AS22), "")</f>
        <v>18</v>
      </c>
      <c r="AT24" s="160" t="str">
        <f t="shared" si="48"/>
        <v/>
      </c>
      <c r="AU24" s="160">
        <f t="shared" si="48"/>
        <v>18</v>
      </c>
      <c r="AV24" s="160">
        <f t="shared" si="48"/>
        <v>18</v>
      </c>
      <c r="AW24" s="160">
        <f t="shared" si="48"/>
        <v>18</v>
      </c>
      <c r="AX24" s="167" t="str">
        <f t="shared" si="48"/>
        <v/>
      </c>
      <c r="AY24" s="173">
        <f>IF(SUM(AY3:AY22) &gt; 0, SUM(AY3:AY22), "")</f>
        <v>18</v>
      </c>
      <c r="AZ24" s="160">
        <f t="shared" ref="AZ24:BE24" si="49">IF(SUM(AZ3:AZ22) &gt; 0, SUM(AZ3:AZ22), "")</f>
        <v>16</v>
      </c>
      <c r="BA24" s="160" t="str">
        <f t="shared" si="49"/>
        <v/>
      </c>
      <c r="BB24" s="160">
        <f t="shared" si="49"/>
        <v>17</v>
      </c>
      <c r="BC24" s="160" t="str">
        <f t="shared" si="49"/>
        <v/>
      </c>
      <c r="BD24" s="160" t="str">
        <f t="shared" si="49"/>
        <v/>
      </c>
      <c r="BE24" s="167" t="str">
        <f t="shared" si="49"/>
        <v/>
      </c>
      <c r="BF24" s="173" t="str">
        <f>IF(SUM(BF3:BF22) &gt; 0, SUM(BF3:BF22), "")</f>
        <v/>
      </c>
      <c r="BG24" s="160" t="str">
        <f t="shared" ref="BG24:BL24" si="50">IF(SUM(BG3:BG22) &gt; 0, SUM(BG3:BG22), "")</f>
        <v/>
      </c>
      <c r="BH24" s="160" t="str">
        <f t="shared" si="50"/>
        <v/>
      </c>
      <c r="BI24" s="160" t="str">
        <f t="shared" si="50"/>
        <v/>
      </c>
      <c r="BJ24" s="160" t="str">
        <f t="shared" si="50"/>
        <v/>
      </c>
      <c r="BK24" s="160" t="str">
        <f t="shared" si="50"/>
        <v/>
      </c>
      <c r="BL24" s="167" t="str">
        <f t="shared" si="50"/>
        <v/>
      </c>
      <c r="BM24" s="173" t="str">
        <f>IF(SUM(BM3:BM22) &gt; 0, SUM(BM3:BM22), "")</f>
        <v/>
      </c>
      <c r="BN24" s="160" t="str">
        <f t="shared" ref="BN24:BS24" si="51">IF(SUM(BN3:BN22) &gt; 0, SUM(BN3:BN22), "")</f>
        <v/>
      </c>
      <c r="BO24" s="160" t="str">
        <f t="shared" si="51"/>
        <v/>
      </c>
      <c r="BP24" s="160" t="str">
        <f t="shared" si="51"/>
        <v/>
      </c>
      <c r="BQ24" s="160" t="str">
        <f t="shared" si="51"/>
        <v/>
      </c>
      <c r="BR24" s="160" t="str">
        <f t="shared" si="51"/>
        <v/>
      </c>
      <c r="BS24" s="167" t="str">
        <f t="shared" si="51"/>
        <v/>
      </c>
      <c r="BT24" s="173" t="str">
        <f>IF(SUM(BT3:BT22) &gt; 0, SUM(BT3:BT22), "")</f>
        <v/>
      </c>
      <c r="BU24" s="160" t="str">
        <f t="shared" ref="BU24:BZ24" si="52">IF(SUM(BU3:BU22) &gt; 0, SUM(BU3:BU22), "")</f>
        <v/>
      </c>
      <c r="BV24" s="160" t="str">
        <f t="shared" si="52"/>
        <v/>
      </c>
      <c r="BW24" s="160" t="str">
        <f t="shared" si="52"/>
        <v/>
      </c>
      <c r="BX24" s="160" t="str">
        <f t="shared" si="52"/>
        <v/>
      </c>
      <c r="BY24" s="160" t="str">
        <f t="shared" si="52"/>
        <v/>
      </c>
      <c r="BZ24" s="167" t="str">
        <f t="shared" si="52"/>
        <v/>
      </c>
      <c r="CA24" s="173" t="str">
        <f>IF(SUM(CA3:CA22) &gt; 0, SUM(CA3:CA22), "")</f>
        <v/>
      </c>
      <c r="CB24" s="160" t="str">
        <f t="shared" ref="CB24:CG24" si="53">IF(SUM(CB3:CB22) &gt; 0, SUM(CB3:CB22), "")</f>
        <v/>
      </c>
      <c r="CC24" s="160" t="str">
        <f t="shared" si="53"/>
        <v/>
      </c>
      <c r="CD24" s="160" t="str">
        <f t="shared" si="53"/>
        <v/>
      </c>
      <c r="CE24" s="160" t="str">
        <f t="shared" si="53"/>
        <v/>
      </c>
      <c r="CF24" s="160" t="str">
        <f t="shared" si="53"/>
        <v/>
      </c>
      <c r="CG24" s="167" t="str">
        <f t="shared" si="53"/>
        <v/>
      </c>
      <c r="CH24" s="173" t="str">
        <f>IF(SUM(CH3:CH22) &gt; 0, SUM(CH3:CH22), "")</f>
        <v/>
      </c>
      <c r="CI24" s="160" t="str">
        <f t="shared" ref="CI24:CN24" si="54">IF(SUM(CI3:CI22) &gt; 0, SUM(CI3:CI22), "")</f>
        <v/>
      </c>
      <c r="CJ24" s="160" t="str">
        <f t="shared" si="54"/>
        <v/>
      </c>
      <c r="CK24" s="160" t="str">
        <f t="shared" si="54"/>
        <v/>
      </c>
      <c r="CL24" s="160" t="str">
        <f t="shared" si="54"/>
        <v/>
      </c>
      <c r="CM24" s="160" t="str">
        <f t="shared" si="54"/>
        <v/>
      </c>
      <c r="CN24" s="167" t="str">
        <f t="shared" si="54"/>
        <v/>
      </c>
      <c r="CO24" s="173" t="str">
        <f>IF(SUM(CO3:CO22) &gt; 0, SUM(CO3:CO22), "")</f>
        <v/>
      </c>
      <c r="CP24" s="160" t="str">
        <f t="shared" ref="CP24:CU24" si="55">IF(SUM(CP3:CP22) &gt; 0, SUM(CP3:CP22), "")</f>
        <v/>
      </c>
      <c r="CQ24" s="160" t="str">
        <f t="shared" si="55"/>
        <v/>
      </c>
      <c r="CR24" s="160" t="str">
        <f t="shared" si="55"/>
        <v/>
      </c>
      <c r="CS24" s="160" t="str">
        <f t="shared" si="55"/>
        <v/>
      </c>
      <c r="CT24" s="160" t="str">
        <f t="shared" si="55"/>
        <v/>
      </c>
      <c r="CU24" s="167" t="str">
        <f t="shared" si="55"/>
        <v/>
      </c>
      <c r="CV24" s="173" t="str">
        <f>IF(SUM(CV3:CV22) &gt; 0, SUM(CV3:CV22), "")</f>
        <v/>
      </c>
      <c r="CW24" s="160" t="str">
        <f t="shared" ref="CW24:DB24" si="56">IF(SUM(CW3:CW22) &gt; 0, SUM(CW3:CW22), "")</f>
        <v/>
      </c>
      <c r="CX24" s="160" t="str">
        <f t="shared" si="56"/>
        <v/>
      </c>
      <c r="CY24" s="160" t="str">
        <f t="shared" si="56"/>
        <v/>
      </c>
      <c r="CZ24" s="160" t="str">
        <f t="shared" si="56"/>
        <v/>
      </c>
      <c r="DA24" s="160" t="str">
        <f t="shared" si="56"/>
        <v/>
      </c>
      <c r="DB24" s="167" t="str">
        <f t="shared" si="56"/>
        <v/>
      </c>
      <c r="DC24" s="173" t="str">
        <f>IF(SUM(DC3:DC22) &gt; 0, SUM(DC3:DC22), "")</f>
        <v/>
      </c>
      <c r="DD24" s="160" t="str">
        <f t="shared" ref="DD24:DI24" si="57">IF(SUM(DD3:DD22) &gt; 0, SUM(DD3:DD22), "")</f>
        <v/>
      </c>
      <c r="DE24" s="160" t="str">
        <f t="shared" si="57"/>
        <v/>
      </c>
      <c r="DF24" s="160" t="str">
        <f t="shared" si="57"/>
        <v/>
      </c>
      <c r="DG24" s="160" t="str">
        <f t="shared" si="57"/>
        <v/>
      </c>
      <c r="DH24" s="160" t="str">
        <f t="shared" si="57"/>
        <v/>
      </c>
      <c r="DI24" s="167" t="str">
        <f t="shared" si="57"/>
        <v/>
      </c>
      <c r="DJ24" s="173" t="str">
        <f>IF(SUM(DJ3:DJ22) &gt; 0, SUM(DJ3:DJ22), "")</f>
        <v/>
      </c>
      <c r="DK24" s="160" t="str">
        <f t="shared" ref="DK24:DP24" si="58">IF(SUM(DK3:DK22) &gt; 0, SUM(DK3:DK22), "")</f>
        <v/>
      </c>
      <c r="DL24" s="160" t="str">
        <f t="shared" si="58"/>
        <v/>
      </c>
      <c r="DM24" s="160" t="str">
        <f t="shared" si="58"/>
        <v/>
      </c>
      <c r="DN24" s="160" t="str">
        <f t="shared" si="58"/>
        <v/>
      </c>
      <c r="DO24" s="160" t="str">
        <f t="shared" si="58"/>
        <v/>
      </c>
      <c r="DP24" s="167" t="str">
        <f t="shared" si="58"/>
        <v/>
      </c>
      <c r="DQ24" s="173" t="str">
        <f>IF(SUM(DQ3:DQ22) &gt; 0, SUM(DQ3:DQ22), "")</f>
        <v/>
      </c>
      <c r="DR24" s="160" t="str">
        <f t="shared" ref="DR24:DW24" si="59">IF(SUM(DR3:DR22) &gt; 0, SUM(DR3:DR22), "")</f>
        <v/>
      </c>
      <c r="DS24" s="160" t="str">
        <f t="shared" si="59"/>
        <v/>
      </c>
      <c r="DT24" s="160" t="str">
        <f t="shared" si="59"/>
        <v/>
      </c>
      <c r="DU24" s="160" t="str">
        <f t="shared" si="59"/>
        <v/>
      </c>
      <c r="DV24" s="160" t="str">
        <f t="shared" si="59"/>
        <v/>
      </c>
      <c r="DW24" s="167" t="str">
        <f t="shared" si="59"/>
        <v/>
      </c>
      <c r="DX24" s="173" t="str">
        <f>IF(SUM(DX3:DX22) &gt; 0, SUM(DX3:DX22), "")</f>
        <v/>
      </c>
      <c r="DY24" s="160" t="str">
        <f t="shared" ref="DY24:ED24" si="60">IF(SUM(DY3:DY22) &gt; 0, SUM(DY3:DY22), "")</f>
        <v/>
      </c>
      <c r="DZ24" s="160" t="str">
        <f t="shared" si="60"/>
        <v/>
      </c>
      <c r="EA24" s="160" t="str">
        <f t="shared" si="60"/>
        <v/>
      </c>
      <c r="EB24" s="160" t="str">
        <f t="shared" si="60"/>
        <v/>
      </c>
      <c r="EC24" s="160" t="str">
        <f t="shared" si="60"/>
        <v/>
      </c>
      <c r="ED24" s="167" t="str">
        <f t="shared" si="60"/>
        <v/>
      </c>
      <c r="EE24" s="173" t="str">
        <f>IF(SUM(EE3:EE22) &gt; 0, SUM(EE3:EE22), "")</f>
        <v/>
      </c>
      <c r="EF24" s="160" t="str">
        <f t="shared" ref="EF24:EK24" si="61">IF(SUM(EF3:EF22) &gt; 0, SUM(EF3:EF22), "")</f>
        <v/>
      </c>
      <c r="EG24" s="160" t="str">
        <f t="shared" si="61"/>
        <v/>
      </c>
      <c r="EH24" s="160" t="str">
        <f t="shared" si="61"/>
        <v/>
      </c>
      <c r="EI24" s="160" t="str">
        <f t="shared" si="61"/>
        <v/>
      </c>
      <c r="EJ24" s="160" t="str">
        <f t="shared" si="61"/>
        <v/>
      </c>
      <c r="EK24" s="167" t="str">
        <f t="shared" si="61"/>
        <v/>
      </c>
      <c r="EL24" s="173" t="str">
        <f>IF(SUM(EL3:EL22) &gt; 0, SUM(EL3:EL22), "")</f>
        <v/>
      </c>
      <c r="EM24" s="160" t="str">
        <f t="shared" ref="EM24:ER24" si="62">IF(SUM(EM3:EM22) &gt; 0, SUM(EM3:EM22), "")</f>
        <v/>
      </c>
      <c r="EN24" s="160" t="str">
        <f t="shared" si="62"/>
        <v/>
      </c>
      <c r="EO24" s="160" t="str">
        <f t="shared" si="62"/>
        <v/>
      </c>
      <c r="EP24" s="160" t="str">
        <f t="shared" si="62"/>
        <v/>
      </c>
      <c r="EQ24" s="160" t="str">
        <f t="shared" si="62"/>
        <v/>
      </c>
      <c r="ER24" s="167" t="str">
        <f t="shared" si="62"/>
        <v/>
      </c>
      <c r="ES24" s="173" t="str">
        <f>IF(SUM(ES3:ES22) &gt; 0, SUM(ES3:ES22), "")</f>
        <v/>
      </c>
      <c r="ET24" s="160" t="str">
        <f t="shared" ref="ET24:EY24" si="63">IF(SUM(ET3:ET22) &gt; 0, SUM(ET3:ET22), "")</f>
        <v/>
      </c>
      <c r="EU24" s="160" t="str">
        <f t="shared" si="63"/>
        <v/>
      </c>
      <c r="EV24" s="160" t="str">
        <f t="shared" si="63"/>
        <v/>
      </c>
      <c r="EW24" s="160" t="str">
        <f t="shared" si="63"/>
        <v/>
      </c>
      <c r="EX24" s="160" t="str">
        <f t="shared" si="63"/>
        <v/>
      </c>
      <c r="EY24" s="167" t="str">
        <f t="shared" si="63"/>
        <v/>
      </c>
      <c r="EZ24" s="173" t="str">
        <f>IF(SUM(EZ3:EZ22) &gt; 0, SUM(EZ3:EZ22), "")</f>
        <v/>
      </c>
      <c r="FA24" s="160" t="str">
        <f t="shared" ref="FA24:FF24" si="64">IF(SUM(FA3:FA22) &gt; 0, SUM(FA3:FA22), "")</f>
        <v/>
      </c>
      <c r="FB24" s="160" t="str">
        <f t="shared" si="64"/>
        <v/>
      </c>
      <c r="FC24" s="160" t="str">
        <f t="shared" si="64"/>
        <v/>
      </c>
      <c r="FD24" s="160" t="str">
        <f t="shared" si="64"/>
        <v/>
      </c>
      <c r="FE24" s="160" t="str">
        <f t="shared" si="64"/>
        <v/>
      </c>
      <c r="FF24" s="167" t="str">
        <f t="shared" si="64"/>
        <v/>
      </c>
      <c r="FG24" s="173" t="str">
        <f>IF(SUM(FG3:FG22) &gt; 0, SUM(FG3:FG22), "")</f>
        <v/>
      </c>
      <c r="FH24" s="160" t="str">
        <f t="shared" ref="FH24:FM24" si="65">IF(SUM(FH3:FH22) &gt; 0, SUM(FH3:FH22), "")</f>
        <v/>
      </c>
      <c r="FI24" s="160" t="str">
        <f t="shared" si="65"/>
        <v/>
      </c>
      <c r="FJ24" s="160" t="str">
        <f t="shared" si="65"/>
        <v/>
      </c>
      <c r="FK24" s="160" t="str">
        <f t="shared" si="65"/>
        <v/>
      </c>
      <c r="FL24" s="160" t="str">
        <f t="shared" si="65"/>
        <v/>
      </c>
      <c r="FM24" s="167" t="str">
        <f t="shared" si="65"/>
        <v/>
      </c>
      <c r="FN24" s="173" t="str">
        <f>IF(SUM(FN3:FN22) &gt; 0, SUM(FN3:FN22), "")</f>
        <v/>
      </c>
      <c r="FO24" s="160" t="str">
        <f t="shared" ref="FO24:FT24" si="66">IF(SUM(FO3:FO22) &gt; 0, SUM(FO3:FO22), "")</f>
        <v/>
      </c>
      <c r="FP24" s="160" t="str">
        <f t="shared" si="66"/>
        <v/>
      </c>
      <c r="FQ24" s="160" t="str">
        <f t="shared" si="66"/>
        <v/>
      </c>
      <c r="FR24" s="160" t="str">
        <f t="shared" si="66"/>
        <v/>
      </c>
      <c r="FS24" s="160" t="str">
        <f t="shared" si="66"/>
        <v/>
      </c>
      <c r="FT24" s="167" t="str">
        <f t="shared" si="66"/>
        <v/>
      </c>
      <c r="FU24" s="173" t="str">
        <f>IF(SUM(FU3:FU22) &gt; 0, SUM(FU3:FU22), "")</f>
        <v/>
      </c>
      <c r="FV24" s="160" t="str">
        <f t="shared" ref="FV24:GA24" si="67">IF(SUM(FV3:FV22) &gt; 0, SUM(FV3:FV22), "")</f>
        <v/>
      </c>
      <c r="FW24" s="160" t="str">
        <f t="shared" si="67"/>
        <v/>
      </c>
      <c r="FX24" s="160" t="str">
        <f t="shared" si="67"/>
        <v/>
      </c>
      <c r="FY24" s="160" t="str">
        <f t="shared" si="67"/>
        <v/>
      </c>
      <c r="FZ24" s="160" t="str">
        <f t="shared" si="67"/>
        <v/>
      </c>
      <c r="GA24" s="167" t="str">
        <f t="shared" si="67"/>
        <v/>
      </c>
      <c r="GB24" s="173" t="str">
        <f>IF(SUM(GB3:GB22) &gt; 0, SUM(GB3:GB22), "")</f>
        <v/>
      </c>
      <c r="GC24" s="160" t="str">
        <f t="shared" ref="GC24:GH24" si="68">IF(SUM(GC3:GC22) &gt; 0, SUM(GC3:GC22), "")</f>
        <v/>
      </c>
      <c r="GD24" s="160" t="str">
        <f t="shared" si="68"/>
        <v/>
      </c>
      <c r="GE24" s="160" t="str">
        <f t="shared" si="68"/>
        <v/>
      </c>
      <c r="GF24" s="160" t="str">
        <f t="shared" si="68"/>
        <v/>
      </c>
      <c r="GG24" s="160" t="str">
        <f t="shared" si="68"/>
        <v/>
      </c>
      <c r="GH24" s="167" t="str">
        <f t="shared" si="68"/>
        <v/>
      </c>
      <c r="GI24" s="173" t="str">
        <f>IF(SUM(GI3:GI22) &gt; 0, SUM(GI3:GI22), "")</f>
        <v/>
      </c>
      <c r="GJ24" s="160" t="str">
        <f t="shared" ref="GJ24:GO24" si="69">IF(SUM(GJ3:GJ22) &gt; 0, SUM(GJ3:GJ22), "")</f>
        <v/>
      </c>
      <c r="GK24" s="160" t="str">
        <f t="shared" si="69"/>
        <v/>
      </c>
      <c r="GL24" s="160" t="str">
        <f t="shared" si="69"/>
        <v/>
      </c>
      <c r="GM24" s="160" t="str">
        <f t="shared" si="69"/>
        <v/>
      </c>
      <c r="GN24" s="160" t="str">
        <f t="shared" si="69"/>
        <v/>
      </c>
      <c r="GO24" s="167" t="str">
        <f t="shared" si="69"/>
        <v/>
      </c>
      <c r="GP24" s="173" t="str">
        <f>IF(SUM(GP3:GP22) &gt; 0, SUM(GP3:GP22), "")</f>
        <v/>
      </c>
      <c r="GQ24" s="160" t="str">
        <f t="shared" ref="GQ24:GV24" si="70">IF(SUM(GQ3:GQ22) &gt; 0, SUM(GQ3:GQ22), "")</f>
        <v/>
      </c>
      <c r="GR24" s="160" t="str">
        <f t="shared" si="70"/>
        <v/>
      </c>
      <c r="GS24" s="160" t="str">
        <f t="shared" si="70"/>
        <v/>
      </c>
      <c r="GT24" s="160" t="str">
        <f t="shared" si="70"/>
        <v/>
      </c>
      <c r="GU24" s="160" t="str">
        <f t="shared" si="70"/>
        <v/>
      </c>
      <c r="GV24" s="167" t="str">
        <f t="shared" si="70"/>
        <v/>
      </c>
      <c r="GW24" s="173" t="str">
        <f>IF(SUM(GW3:GW22) &gt; 0, SUM(GW3:GW22), "")</f>
        <v/>
      </c>
      <c r="GX24" s="160" t="str">
        <f t="shared" ref="GX24:HC24" si="71">IF(SUM(GX3:GX22) &gt; 0, SUM(GX3:GX22), "")</f>
        <v/>
      </c>
      <c r="GY24" s="160" t="str">
        <f t="shared" si="71"/>
        <v/>
      </c>
      <c r="GZ24" s="160" t="str">
        <f t="shared" si="71"/>
        <v/>
      </c>
      <c r="HA24" s="160" t="str">
        <f t="shared" si="71"/>
        <v/>
      </c>
      <c r="HB24" s="160" t="str">
        <f t="shared" si="71"/>
        <v/>
      </c>
      <c r="HC24" s="167" t="str">
        <f t="shared" si="71"/>
        <v/>
      </c>
      <c r="HD24" s="173" t="str">
        <f>IF(SUM(HD3:HD22) &gt; 0, SUM(HD3:HD22), "")</f>
        <v/>
      </c>
      <c r="HE24" s="160" t="str">
        <f t="shared" ref="HE24:HJ24" si="72">IF(SUM(HE3:HE22) &gt; 0, SUM(HE3:HE22), "")</f>
        <v/>
      </c>
      <c r="HF24" s="160" t="str">
        <f t="shared" si="72"/>
        <v/>
      </c>
      <c r="HG24" s="160" t="str">
        <f t="shared" si="72"/>
        <v/>
      </c>
      <c r="HH24" s="160" t="str">
        <f t="shared" si="72"/>
        <v/>
      </c>
      <c r="HI24" s="160" t="str">
        <f t="shared" si="72"/>
        <v/>
      </c>
      <c r="HJ24" s="167" t="str">
        <f t="shared" si="72"/>
        <v/>
      </c>
      <c r="HK24" s="173" t="str">
        <f>IF(SUM(HK3:HK22) &gt; 0, SUM(HK3:HK22), "")</f>
        <v/>
      </c>
      <c r="HL24" s="160" t="str">
        <f t="shared" ref="HL24:HQ24" si="73">IF(SUM(HL3:HL22) &gt; 0, SUM(HL3:HL22), "")</f>
        <v/>
      </c>
      <c r="HM24" s="160" t="str">
        <f t="shared" si="73"/>
        <v/>
      </c>
      <c r="HN24" s="160" t="str">
        <f t="shared" si="73"/>
        <v/>
      </c>
      <c r="HO24" s="160" t="str">
        <f t="shared" si="73"/>
        <v/>
      </c>
      <c r="HP24" s="160" t="str">
        <f t="shared" si="73"/>
        <v/>
      </c>
      <c r="HQ24" s="167" t="str">
        <f t="shared" si="73"/>
        <v/>
      </c>
      <c r="HR24" s="173" t="str">
        <f>IF(SUM(HR3:HR22) &gt; 0, SUM(HR3:HR22), "")</f>
        <v/>
      </c>
      <c r="HS24" s="160" t="str">
        <f t="shared" ref="HS24:HX24" si="74">IF(SUM(HS3:HS22) &gt; 0, SUM(HS3:HS22), "")</f>
        <v/>
      </c>
      <c r="HT24" s="160" t="str">
        <f t="shared" si="74"/>
        <v/>
      </c>
      <c r="HU24" s="160" t="str">
        <f t="shared" si="74"/>
        <v/>
      </c>
      <c r="HV24" s="160" t="str">
        <f t="shared" si="74"/>
        <v/>
      </c>
      <c r="HW24" s="160" t="str">
        <f t="shared" si="74"/>
        <v/>
      </c>
      <c r="HX24" s="167" t="str">
        <f t="shared" si="74"/>
        <v/>
      </c>
      <c r="HY24" s="173" t="str">
        <f>IF(SUM(HY3:HY22) &gt; 0, SUM(HY3:HY22), "")</f>
        <v/>
      </c>
      <c r="HZ24" s="160" t="str">
        <f t="shared" ref="HZ24:IE24" si="75">IF(SUM(HZ3:HZ22) &gt; 0, SUM(HZ3:HZ22), "")</f>
        <v/>
      </c>
      <c r="IA24" s="160" t="str">
        <f t="shared" si="75"/>
        <v/>
      </c>
      <c r="IB24" s="160" t="str">
        <f t="shared" si="75"/>
        <v/>
      </c>
      <c r="IC24" s="160" t="str">
        <f t="shared" si="75"/>
        <v/>
      </c>
      <c r="ID24" s="160" t="str">
        <f t="shared" si="75"/>
        <v/>
      </c>
      <c r="IE24" s="167" t="str">
        <f t="shared" si="75"/>
        <v/>
      </c>
      <c r="IF24" s="173" t="str">
        <f>IF(SUM(IF3:IF22) &gt; 0, SUM(IF3:IF22), "")</f>
        <v/>
      </c>
      <c r="IG24" s="160" t="str">
        <f t="shared" ref="IG24:IL24" si="76">IF(SUM(IG3:IG22) &gt; 0, SUM(IG3:IG22), "")</f>
        <v/>
      </c>
      <c r="IH24" s="160" t="str">
        <f t="shared" si="76"/>
        <v/>
      </c>
      <c r="II24" s="160" t="str">
        <f t="shared" si="76"/>
        <v/>
      </c>
      <c r="IJ24" s="160" t="str">
        <f t="shared" si="76"/>
        <v/>
      </c>
      <c r="IK24" s="160" t="str">
        <f t="shared" si="76"/>
        <v/>
      </c>
      <c r="IL24" s="167" t="str">
        <f t="shared" si="76"/>
        <v/>
      </c>
      <c r="IM24" s="173" t="str">
        <f>IF(SUM(IM3:IM22) &gt; 0, SUM(IM3:IM22), "")</f>
        <v/>
      </c>
      <c r="IN24" s="160" t="str">
        <f t="shared" ref="IN24:IS24" si="77">IF(SUM(IN3:IN22) &gt; 0, SUM(IN3:IN22), "")</f>
        <v/>
      </c>
      <c r="IO24" s="160" t="str">
        <f t="shared" si="77"/>
        <v/>
      </c>
      <c r="IP24" s="160" t="str">
        <f t="shared" si="77"/>
        <v/>
      </c>
      <c r="IQ24" s="160" t="str">
        <f t="shared" si="77"/>
        <v/>
      </c>
      <c r="IR24" s="160" t="str">
        <f t="shared" si="77"/>
        <v/>
      </c>
      <c r="IS24" s="167" t="str">
        <f t="shared" si="77"/>
        <v/>
      </c>
      <c r="IT24" s="173" t="str">
        <f>IF(SUM(IT3:IT22) &gt; 0, SUM(IT3:IT22), "")</f>
        <v/>
      </c>
      <c r="IU24" s="160" t="str">
        <f t="shared" ref="IU24:IZ24" si="78">IF(SUM(IU3:IU22) &gt; 0, SUM(IU3:IU22), "")</f>
        <v/>
      </c>
      <c r="IV24" s="160" t="str">
        <f t="shared" si="78"/>
        <v/>
      </c>
      <c r="IW24" s="160" t="str">
        <f t="shared" si="78"/>
        <v/>
      </c>
      <c r="IX24" s="160" t="str">
        <f t="shared" si="78"/>
        <v/>
      </c>
      <c r="IY24" s="160" t="str">
        <f t="shared" si="78"/>
        <v/>
      </c>
      <c r="IZ24" s="167" t="str">
        <f t="shared" si="78"/>
        <v/>
      </c>
      <c r="JA24" s="173" t="str">
        <f>IF(SUM(JA3:JA22) &gt; 0, SUM(JA3:JA22), "")</f>
        <v/>
      </c>
      <c r="JB24" s="160" t="str">
        <f t="shared" ref="JB24:JG24" si="79">IF(SUM(JB3:JB22) &gt; 0, SUM(JB3:JB22), "")</f>
        <v/>
      </c>
      <c r="JC24" s="160" t="str">
        <f t="shared" si="79"/>
        <v/>
      </c>
      <c r="JD24" s="160" t="str">
        <f t="shared" si="79"/>
        <v/>
      </c>
      <c r="JE24" s="160" t="str">
        <f t="shared" si="79"/>
        <v/>
      </c>
      <c r="JF24" s="160" t="str">
        <f t="shared" si="79"/>
        <v/>
      </c>
      <c r="JG24" s="167" t="str">
        <f t="shared" si="79"/>
        <v/>
      </c>
    </row>
    <row r="25" spans="1:267" ht="15.75" thickBot="1" x14ac:dyDescent="0.3">
      <c r="A25" s="110" t="s">
        <v>18</v>
      </c>
      <c r="B25" s="16" t="s">
        <v>648</v>
      </c>
      <c r="C25" s="16" t="s">
        <v>648</v>
      </c>
      <c r="D25" s="16" t="s">
        <v>648</v>
      </c>
      <c r="E25" s="16"/>
      <c r="F25" s="16"/>
      <c r="G25" s="16"/>
      <c r="H25" s="17" t="s">
        <v>648</v>
      </c>
      <c r="I25" s="179"/>
      <c r="J25" s="184" t="s">
        <v>648</v>
      </c>
      <c r="K25" s="179">
        <f t="shared" ref="K25" si="80">SUM(M25:IU25)</f>
        <v>25</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c r="BD25" s="170"/>
      <c r="BE25" s="172"/>
      <c r="BF25" s="170"/>
      <c r="BG25" s="170"/>
      <c r="BH25" s="170"/>
      <c r="BI25" s="170"/>
      <c r="BJ25" s="170"/>
      <c r="BK25" s="170"/>
      <c r="BL25" s="172"/>
      <c r="BM25" s="170"/>
      <c r="BN25" s="170"/>
      <c r="BO25" s="170"/>
      <c r="BP25" s="170"/>
      <c r="BQ25" s="170"/>
      <c r="BR25" s="170"/>
      <c r="BS25" s="172"/>
      <c r="BT25" s="170"/>
      <c r="BU25" s="170"/>
      <c r="BV25" s="170"/>
      <c r="BW25" s="170"/>
      <c r="BX25" s="170"/>
      <c r="BY25" s="170"/>
      <c r="BZ25" s="172"/>
      <c r="CA25" s="170"/>
      <c r="CB25" s="170"/>
      <c r="CC25" s="170"/>
      <c r="CD25" s="170"/>
      <c r="CE25" s="170"/>
      <c r="CF25" s="170"/>
      <c r="CG25" s="172"/>
      <c r="CH25" s="170"/>
      <c r="CI25" s="170"/>
      <c r="CJ25" s="170"/>
      <c r="CK25" s="170"/>
      <c r="CL25" s="170"/>
      <c r="CM25" s="170"/>
      <c r="CN25" s="172"/>
      <c r="CO25" s="170"/>
      <c r="CP25" s="170"/>
      <c r="CQ25" s="170"/>
      <c r="CR25" s="170"/>
      <c r="CS25" s="170"/>
      <c r="CT25" s="170"/>
      <c r="CU25" s="172"/>
      <c r="CV25" s="170"/>
      <c r="CW25" s="170"/>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783</v>
      </c>
      <c r="BC27" t="s">
        <v>783</v>
      </c>
    </row>
    <row r="28" spans="1:267" x14ac:dyDescent="0.25">
      <c r="C28" t="s">
        <v>673</v>
      </c>
      <c r="D28" t="s">
        <v>741</v>
      </c>
      <c r="N28" s="142" t="s">
        <v>779</v>
      </c>
      <c r="X28" t="s">
        <v>651</v>
      </c>
    </row>
    <row r="29" spans="1:267" x14ac:dyDescent="0.25">
      <c r="C29" t="s">
        <v>674</v>
      </c>
      <c r="D29" t="s">
        <v>724</v>
      </c>
      <c r="O29" t="s">
        <v>780</v>
      </c>
      <c r="Z29" t="s">
        <v>655</v>
      </c>
    </row>
    <row r="30" spans="1:267" x14ac:dyDescent="0.25">
      <c r="C30" t="s">
        <v>675</v>
      </c>
      <c r="D30" t="s">
        <v>725</v>
      </c>
      <c r="M30">
        <v>4</v>
      </c>
      <c r="N30">
        <v>3</v>
      </c>
      <c r="O30">
        <v>7</v>
      </c>
    </row>
    <row r="31" spans="1:267" x14ac:dyDescent="0.25">
      <c r="C31" t="s">
        <v>676</v>
      </c>
      <c r="D31" t="s">
        <v>726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1">B34</f>
        <v>1</v>
      </c>
      <c r="D34">
        <f t="shared" si="81"/>
        <v>1</v>
      </c>
      <c r="H34">
        <f>D34</f>
        <v>1</v>
      </c>
      <c r="I34" s="142" t="s">
        <v>680</v>
      </c>
      <c r="J34">
        <f>H34</f>
        <v>1</v>
      </c>
      <c r="K34">
        <f t="shared" ref="K34:N38" si="82">J34</f>
        <v>1</v>
      </c>
      <c r="L34">
        <f t="shared" si="82"/>
        <v>1</v>
      </c>
      <c r="M34">
        <f t="shared" si="82"/>
        <v>1</v>
      </c>
      <c r="N34">
        <f t="shared" si="82"/>
        <v>1</v>
      </c>
      <c r="Q34" s="45"/>
    </row>
    <row r="35" spans="1:140" x14ac:dyDescent="0.25">
      <c r="A35" t="s">
        <v>668</v>
      </c>
      <c r="B35">
        <v>2</v>
      </c>
      <c r="C35">
        <f t="shared" si="81"/>
        <v>2</v>
      </c>
      <c r="D35">
        <f t="shared" si="81"/>
        <v>2</v>
      </c>
      <c r="H35">
        <f>D35</f>
        <v>2</v>
      </c>
      <c r="I35" s="142" t="s">
        <v>680</v>
      </c>
      <c r="J35">
        <f>H35</f>
        <v>2</v>
      </c>
      <c r="K35">
        <f t="shared" si="82"/>
        <v>2</v>
      </c>
      <c r="L35">
        <f t="shared" si="82"/>
        <v>2</v>
      </c>
      <c r="M35">
        <f t="shared" si="82"/>
        <v>2</v>
      </c>
      <c r="N35">
        <f t="shared" si="82"/>
        <v>2</v>
      </c>
      <c r="Q35" s="45"/>
    </row>
    <row r="36" spans="1:140" x14ac:dyDescent="0.25">
      <c r="A36" t="s">
        <v>200</v>
      </c>
      <c r="B36">
        <v>3</v>
      </c>
      <c r="C36">
        <f t="shared" si="81"/>
        <v>3</v>
      </c>
      <c r="D36">
        <f t="shared" si="81"/>
        <v>3</v>
      </c>
      <c r="H36">
        <f>D36</f>
        <v>3</v>
      </c>
      <c r="I36" s="142" t="s">
        <v>680</v>
      </c>
      <c r="J36">
        <f>H36</f>
        <v>3</v>
      </c>
      <c r="K36">
        <f t="shared" si="82"/>
        <v>3</v>
      </c>
      <c r="L36">
        <f t="shared" si="82"/>
        <v>3</v>
      </c>
      <c r="M36">
        <f t="shared" si="82"/>
        <v>3</v>
      </c>
      <c r="N36">
        <f t="shared" si="82"/>
        <v>3</v>
      </c>
    </row>
    <row r="37" spans="1:140" x14ac:dyDescent="0.25">
      <c r="A37" t="s">
        <v>201</v>
      </c>
      <c r="B37">
        <v>22</v>
      </c>
      <c r="C37">
        <f t="shared" si="81"/>
        <v>22</v>
      </c>
      <c r="D37">
        <f t="shared" si="81"/>
        <v>22</v>
      </c>
      <c r="H37">
        <f>D37</f>
        <v>22</v>
      </c>
      <c r="I37" s="142" t="s">
        <v>680</v>
      </c>
      <c r="J37">
        <f>H37</f>
        <v>22</v>
      </c>
      <c r="K37">
        <f t="shared" si="82"/>
        <v>22</v>
      </c>
      <c r="L37">
        <f t="shared" si="82"/>
        <v>22</v>
      </c>
      <c r="M37">
        <f t="shared" si="82"/>
        <v>22</v>
      </c>
      <c r="N37">
        <f t="shared" si="82"/>
        <v>22</v>
      </c>
      <c r="Q37" s="45"/>
    </row>
    <row r="38" spans="1:140" x14ac:dyDescent="0.25">
      <c r="A38" t="s">
        <v>717</v>
      </c>
      <c r="B38" t="s">
        <v>671</v>
      </c>
      <c r="C38" t="str">
        <f>$B38</f>
        <v>I</v>
      </c>
      <c r="D38" t="str">
        <f>$B38</f>
        <v>I</v>
      </c>
      <c r="H38" t="str">
        <f>D38</f>
        <v>I</v>
      </c>
      <c r="I38" s="142" t="s">
        <v>680</v>
      </c>
      <c r="J38" t="str">
        <f>H38</f>
        <v>I</v>
      </c>
      <c r="K38" t="str">
        <f t="shared" si="82"/>
        <v>I</v>
      </c>
      <c r="L38" t="str">
        <f t="shared" si="82"/>
        <v>I</v>
      </c>
      <c r="M38" t="str">
        <f t="shared" si="82"/>
        <v>I</v>
      </c>
      <c r="N38" t="str">
        <f t="shared" si="82"/>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3">C40</f>
        <v>J</v>
      </c>
      <c r="E40" t="str">
        <f t="shared" si="83"/>
        <v>J</v>
      </c>
      <c r="F40" t="str">
        <f t="shared" si="83"/>
        <v>J</v>
      </c>
      <c r="G40" t="str">
        <f t="shared" si="83"/>
        <v>J</v>
      </c>
      <c r="H40" t="str">
        <f>G40</f>
        <v>J</v>
      </c>
      <c r="I40" t="str">
        <f t="shared" si="83"/>
        <v>J</v>
      </c>
      <c r="J40" t="str">
        <f t="shared" si="83"/>
        <v>J</v>
      </c>
      <c r="K40" t="str">
        <f t="shared" si="83"/>
        <v>J</v>
      </c>
      <c r="L40" t="str">
        <f t="shared" si="83"/>
        <v>J</v>
      </c>
      <c r="M40" t="str">
        <f t="shared" si="83"/>
        <v>J</v>
      </c>
      <c r="N40" t="str">
        <f t="shared" si="83"/>
        <v>J</v>
      </c>
    </row>
    <row r="41" spans="1:140" x14ac:dyDescent="0.25">
      <c r="A41" t="s">
        <v>733</v>
      </c>
      <c r="B41" t="s">
        <v>404</v>
      </c>
      <c r="E41">
        <f t="shared" ref="E41:I41" si="84">D41</f>
        <v>0</v>
      </c>
      <c r="F41">
        <f t="shared" si="84"/>
        <v>0</v>
      </c>
      <c r="G41">
        <f t="shared" si="84"/>
        <v>0</v>
      </c>
      <c r="I41">
        <f t="shared" si="84"/>
        <v>0</v>
      </c>
      <c r="J41"/>
      <c r="K41"/>
      <c r="L41"/>
    </row>
    <row r="42" spans="1:140" x14ac:dyDescent="0.25">
      <c r="A42" t="s">
        <v>734</v>
      </c>
      <c r="B42" t="s">
        <v>52</v>
      </c>
      <c r="E42">
        <f t="shared" ref="E42:I42" si="85">D42</f>
        <v>0</v>
      </c>
      <c r="F42">
        <f t="shared" si="85"/>
        <v>0</v>
      </c>
      <c r="G42">
        <f t="shared" si="85"/>
        <v>0</v>
      </c>
      <c r="I42">
        <f t="shared" si="85"/>
        <v>0</v>
      </c>
      <c r="J42"/>
      <c r="K42"/>
      <c r="L42"/>
    </row>
    <row r="43" spans="1:140" x14ac:dyDescent="0.25">
      <c r="A43" t="s">
        <v>206</v>
      </c>
      <c r="B43" t="str">
        <f>FindEnd(M25:IU25)</f>
        <v>BE</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6">J44</f>
        <v>23</v>
      </c>
      <c r="L44">
        <f t="shared" si="86"/>
        <v>23</v>
      </c>
      <c r="M44">
        <f t="shared" si="86"/>
        <v>23</v>
      </c>
      <c r="N44">
        <f t="shared" si="86"/>
        <v>23</v>
      </c>
    </row>
    <row r="45" spans="1:140" x14ac:dyDescent="0.25">
      <c r="A45" t="s">
        <v>682</v>
      </c>
      <c r="B45">
        <v>24</v>
      </c>
      <c r="C45">
        <f>B45</f>
        <v>24</v>
      </c>
      <c r="D45">
        <f>C45</f>
        <v>24</v>
      </c>
      <c r="H45">
        <f>D45</f>
        <v>24</v>
      </c>
      <c r="I45" s="142" t="s">
        <v>680</v>
      </c>
      <c r="J45">
        <f>H45</f>
        <v>24</v>
      </c>
      <c r="K45">
        <f t="shared" si="86"/>
        <v>24</v>
      </c>
      <c r="L45">
        <f t="shared" si="86"/>
        <v>24</v>
      </c>
      <c r="M45">
        <f t="shared" si="86"/>
        <v>24</v>
      </c>
      <c r="N45">
        <f t="shared" si="86"/>
        <v>24</v>
      </c>
    </row>
    <row r="46" spans="1:140" x14ac:dyDescent="0.25">
      <c r="A46" t="s">
        <v>669</v>
      </c>
      <c r="B46" t="s">
        <v>792</v>
      </c>
      <c r="C46" t="str">
        <f>B46</f>
        <v>K25</v>
      </c>
      <c r="D46" t="str">
        <f t="shared" ref="D46:J46" si="87">C46</f>
        <v>K25</v>
      </c>
      <c r="E46" t="str">
        <f t="shared" si="87"/>
        <v>K25</v>
      </c>
      <c r="F46" t="str">
        <f t="shared" si="87"/>
        <v>K25</v>
      </c>
      <c r="G46" t="str">
        <f t="shared" si="87"/>
        <v>K25</v>
      </c>
      <c r="H46" t="str">
        <f t="shared" si="87"/>
        <v>K25</v>
      </c>
      <c r="I46" t="str">
        <f t="shared" si="87"/>
        <v>K25</v>
      </c>
      <c r="J46" t="str">
        <f t="shared" si="87"/>
        <v>K25</v>
      </c>
      <c r="K46" t="str">
        <f t="shared" si="86"/>
        <v>K25</v>
      </c>
      <c r="L46" t="str">
        <f t="shared" si="86"/>
        <v>K25</v>
      </c>
      <c r="M46" t="str">
        <f t="shared" ref="M46" si="88">L46</f>
        <v>K25</v>
      </c>
      <c r="N46" t="str">
        <f t="shared" ref="N46" si="89">M46</f>
        <v>K25</v>
      </c>
    </row>
    <row r="47" spans="1:140" x14ac:dyDescent="0.25">
      <c r="A47" t="s">
        <v>658</v>
      </c>
      <c r="C47">
        <v>27</v>
      </c>
      <c r="D47">
        <f>C47</f>
        <v>27</v>
      </c>
      <c r="H47">
        <f>D47</f>
        <v>27</v>
      </c>
      <c r="I47" s="142" t="s">
        <v>680</v>
      </c>
      <c r="J47">
        <f>H47</f>
        <v>27</v>
      </c>
      <c r="K47">
        <f t="shared" ref="K47:N48" si="90">J47</f>
        <v>27</v>
      </c>
      <c r="L47">
        <f t="shared" si="90"/>
        <v>27</v>
      </c>
      <c r="M47">
        <f t="shared" si="90"/>
        <v>27</v>
      </c>
      <c r="N47">
        <f t="shared" si="90"/>
        <v>27</v>
      </c>
    </row>
    <row r="48" spans="1:140" x14ac:dyDescent="0.25">
      <c r="A48" t="s">
        <v>659</v>
      </c>
      <c r="C48">
        <v>29</v>
      </c>
      <c r="D48">
        <f>C48</f>
        <v>29</v>
      </c>
      <c r="H48">
        <f>D48</f>
        <v>29</v>
      </c>
      <c r="I48" s="142" t="s">
        <v>680</v>
      </c>
      <c r="J48">
        <f>H48</f>
        <v>29</v>
      </c>
      <c r="K48">
        <f t="shared" si="90"/>
        <v>29</v>
      </c>
      <c r="L48">
        <f t="shared" si="90"/>
        <v>29</v>
      </c>
      <c r="M48">
        <f t="shared" si="90"/>
        <v>29</v>
      </c>
      <c r="N48">
        <f t="shared" si="90"/>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62"/>
  <sheetViews>
    <sheetView workbookViewId="0">
      <selection activeCell="B7" sqref="B7"/>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2"/>
      <c r="B3" s="73"/>
    </row>
    <row r="4" spans="1:2" x14ac:dyDescent="0.25">
      <c r="A4" s="72"/>
      <c r="B4" s="73"/>
    </row>
    <row r="5" spans="1:2" x14ac:dyDescent="0.25">
      <c r="A5" s="72"/>
      <c r="B5" s="73"/>
    </row>
    <row r="6" spans="1:2" x14ac:dyDescent="0.25">
      <c r="A6" s="75">
        <v>44238</v>
      </c>
      <c r="B6" s="74" t="s">
        <v>663</v>
      </c>
    </row>
    <row r="7" spans="1:2" ht="75" x14ac:dyDescent="0.25">
      <c r="A7" s="72"/>
      <c r="B7" s="76" t="s">
        <v>801</v>
      </c>
    </row>
    <row r="8" spans="1:2" x14ac:dyDescent="0.25">
      <c r="A8" s="75">
        <v>44236</v>
      </c>
      <c r="B8" s="74" t="s">
        <v>663</v>
      </c>
    </row>
    <row r="9" spans="1:2" ht="75" x14ac:dyDescent="0.25">
      <c r="A9" s="72"/>
      <c r="B9" s="76" t="s">
        <v>800</v>
      </c>
    </row>
    <row r="10" spans="1:2" x14ac:dyDescent="0.25">
      <c r="A10" s="75">
        <v>44235</v>
      </c>
      <c r="B10" s="74" t="s">
        <v>763</v>
      </c>
    </row>
    <row r="11" spans="1:2" ht="60" x14ac:dyDescent="0.25">
      <c r="A11" s="72"/>
      <c r="B11" s="76" t="s">
        <v>799</v>
      </c>
    </row>
    <row r="12" spans="1:2" x14ac:dyDescent="0.25">
      <c r="A12" s="72"/>
      <c r="B12" s="73"/>
    </row>
    <row r="13" spans="1:2" x14ac:dyDescent="0.25">
      <c r="A13" s="75">
        <v>44233</v>
      </c>
      <c r="B13" s="74" t="s">
        <v>797</v>
      </c>
    </row>
    <row r="14" spans="1:2" x14ac:dyDescent="0.25">
      <c r="A14" s="72"/>
      <c r="B14" s="73" t="s">
        <v>798</v>
      </c>
    </row>
    <row r="15" spans="1:2" x14ac:dyDescent="0.25">
      <c r="A15" s="75">
        <v>44232</v>
      </c>
      <c r="B15" s="74" t="s">
        <v>763</v>
      </c>
    </row>
    <row r="16" spans="1:2" ht="60" x14ac:dyDescent="0.25">
      <c r="A16" s="72"/>
      <c r="B16" s="76" t="s">
        <v>795</v>
      </c>
    </row>
    <row r="17" spans="1:2" x14ac:dyDescent="0.25">
      <c r="A17" s="75">
        <v>44231</v>
      </c>
      <c r="B17" s="74" t="s">
        <v>763</v>
      </c>
    </row>
    <row r="18" spans="1:2" ht="90" x14ac:dyDescent="0.25">
      <c r="A18" s="72"/>
      <c r="B18" s="76" t="s">
        <v>786</v>
      </c>
    </row>
    <row r="19" spans="1:2" x14ac:dyDescent="0.25">
      <c r="A19" s="75">
        <v>44229</v>
      </c>
      <c r="B19" s="74" t="s">
        <v>763</v>
      </c>
    </row>
    <row r="20" spans="1:2" ht="75" x14ac:dyDescent="0.25">
      <c r="A20" s="72"/>
      <c r="B20" s="76" t="s">
        <v>785</v>
      </c>
    </row>
    <row r="21" spans="1:2" x14ac:dyDescent="0.25">
      <c r="A21" s="75">
        <v>44228</v>
      </c>
      <c r="B21" s="74" t="s">
        <v>663</v>
      </c>
    </row>
    <row r="22" spans="1:2" ht="45" x14ac:dyDescent="0.25">
      <c r="A22" s="72"/>
      <c r="B22" s="76" t="s">
        <v>784</v>
      </c>
    </row>
    <row r="23" spans="1:2" x14ac:dyDescent="0.25">
      <c r="A23" s="72"/>
      <c r="B23" s="73"/>
    </row>
    <row r="24" spans="1:2" x14ac:dyDescent="0.25">
      <c r="A24" s="75">
        <v>44227</v>
      </c>
      <c r="B24" s="74" t="s">
        <v>775</v>
      </c>
    </row>
    <row r="25" spans="1:2" ht="60" x14ac:dyDescent="0.25">
      <c r="A25" s="72"/>
      <c r="B25" s="76" t="s">
        <v>776</v>
      </c>
    </row>
    <row r="26" spans="1:2" x14ac:dyDescent="0.25">
      <c r="A26" s="75">
        <v>44226</v>
      </c>
      <c r="B26" s="74" t="s">
        <v>767</v>
      </c>
    </row>
    <row r="27" spans="1:2" x14ac:dyDescent="0.25">
      <c r="A27" s="72"/>
      <c r="B27" s="73" t="s">
        <v>774</v>
      </c>
    </row>
    <row r="28" spans="1:2" x14ac:dyDescent="0.25">
      <c r="A28" s="75">
        <v>44225</v>
      </c>
      <c r="B28" s="74" t="s">
        <v>608</v>
      </c>
    </row>
    <row r="29" spans="1:2" ht="105" x14ac:dyDescent="0.25">
      <c r="A29" s="72"/>
      <c r="B29" s="76" t="s">
        <v>773</v>
      </c>
    </row>
    <row r="30" spans="1:2" x14ac:dyDescent="0.25">
      <c r="A30" s="75">
        <v>44224</v>
      </c>
      <c r="B30" s="74" t="s">
        <v>771</v>
      </c>
    </row>
    <row r="31" spans="1:2" ht="45" x14ac:dyDescent="0.25">
      <c r="A31" s="72"/>
      <c r="B31" s="76" t="s">
        <v>772</v>
      </c>
    </row>
    <row r="32" spans="1:2" x14ac:dyDescent="0.25">
      <c r="A32" s="75">
        <v>44222</v>
      </c>
      <c r="B32" s="74" t="s">
        <v>729</v>
      </c>
    </row>
    <row r="33" spans="1:2" ht="135" x14ac:dyDescent="0.25">
      <c r="A33" s="72"/>
      <c r="B33" s="76" t="s">
        <v>766</v>
      </c>
    </row>
    <row r="34" spans="1:2" x14ac:dyDescent="0.25">
      <c r="A34" s="75">
        <v>44221</v>
      </c>
      <c r="B34" s="74" t="s">
        <v>763</v>
      </c>
    </row>
    <row r="35" spans="1:2" x14ac:dyDescent="0.25">
      <c r="B35" t="s">
        <v>764</v>
      </c>
    </row>
    <row r="36" spans="1:2" x14ac:dyDescent="0.25">
      <c r="A36" s="72"/>
      <c r="B36" s="73"/>
    </row>
    <row r="37" spans="1:2" x14ac:dyDescent="0.25">
      <c r="A37" s="75">
        <v>44220</v>
      </c>
      <c r="B37" s="74" t="s">
        <v>755</v>
      </c>
    </row>
    <row r="38" spans="1:2" ht="75" x14ac:dyDescent="0.25">
      <c r="A38" s="72"/>
      <c r="B38" s="76" t="s">
        <v>761</v>
      </c>
    </row>
    <row r="39" spans="1:2" x14ac:dyDescent="0.25">
      <c r="A39" s="75">
        <v>44219</v>
      </c>
      <c r="B39" s="74" t="s">
        <v>762</v>
      </c>
    </row>
    <row r="40" spans="1:2" x14ac:dyDescent="0.25">
      <c r="A40" s="72"/>
      <c r="B40" s="73" t="s">
        <v>760</v>
      </c>
    </row>
    <row r="41" spans="1:2" x14ac:dyDescent="0.25">
      <c r="A41" s="75">
        <v>44218</v>
      </c>
      <c r="B41" s="74" t="s">
        <v>755</v>
      </c>
    </row>
    <row r="42" spans="1:2" ht="60" x14ac:dyDescent="0.25">
      <c r="A42" s="72"/>
      <c r="B42" s="76" t="s">
        <v>756</v>
      </c>
    </row>
    <row r="43" spans="1:2" x14ac:dyDescent="0.25">
      <c r="A43" s="75">
        <v>44217</v>
      </c>
      <c r="B43" s="74" t="s">
        <v>664</v>
      </c>
    </row>
    <row r="44" spans="1:2" ht="60" x14ac:dyDescent="0.25">
      <c r="A44" s="72"/>
      <c r="B44" s="76" t="s">
        <v>754</v>
      </c>
    </row>
    <row r="45" spans="1:2" x14ac:dyDescent="0.25">
      <c r="A45" s="75">
        <v>44215</v>
      </c>
      <c r="B45" s="74" t="s">
        <v>663</v>
      </c>
    </row>
    <row r="46" spans="1:2" ht="135" x14ac:dyDescent="0.25">
      <c r="A46" s="72"/>
      <c r="B46" s="76" t="s">
        <v>735</v>
      </c>
    </row>
    <row r="47" spans="1:2" x14ac:dyDescent="0.25">
      <c r="A47" s="75">
        <v>44214</v>
      </c>
      <c r="B47" s="74" t="s">
        <v>729</v>
      </c>
    </row>
    <row r="48" spans="1:2" ht="105" x14ac:dyDescent="0.25">
      <c r="A48" s="72"/>
      <c r="B48" s="76" t="s">
        <v>730</v>
      </c>
    </row>
    <row r="49" spans="1:2" x14ac:dyDescent="0.25">
      <c r="A49" s="72"/>
      <c r="B49" s="73"/>
    </row>
    <row r="50" spans="1:2" x14ac:dyDescent="0.25">
      <c r="A50" s="75">
        <v>44211</v>
      </c>
      <c r="B50" s="74" t="s">
        <v>663</v>
      </c>
    </row>
    <row r="51" spans="1:2" ht="105" x14ac:dyDescent="0.25">
      <c r="A51" s="72"/>
      <c r="B51" s="76" t="s">
        <v>665</v>
      </c>
    </row>
    <row r="52" spans="1:2" x14ac:dyDescent="0.25">
      <c r="A52" s="75">
        <v>44210</v>
      </c>
      <c r="B52" s="74" t="s">
        <v>664</v>
      </c>
    </row>
    <row r="53" spans="1:2" ht="75" x14ac:dyDescent="0.25">
      <c r="A53" s="72"/>
      <c r="B53" s="76" t="s">
        <v>654</v>
      </c>
    </row>
    <row r="54" spans="1:2" x14ac:dyDescent="0.25">
      <c r="A54" s="75">
        <v>44208</v>
      </c>
      <c r="B54" s="74" t="s">
        <v>660</v>
      </c>
    </row>
    <row r="55" spans="1:2" ht="75" x14ac:dyDescent="0.25">
      <c r="A55" s="72"/>
      <c r="B55" s="76" t="s">
        <v>666</v>
      </c>
    </row>
    <row r="56" spans="1:2" x14ac:dyDescent="0.25">
      <c r="A56" s="75">
        <v>44207</v>
      </c>
      <c r="B56" s="74" t="s">
        <v>661</v>
      </c>
    </row>
    <row r="57" spans="1:2" ht="45" x14ac:dyDescent="0.25">
      <c r="A57" s="72"/>
      <c r="B57" s="76" t="s">
        <v>653</v>
      </c>
    </row>
    <row r="58" spans="1:2" x14ac:dyDescent="0.25">
      <c r="A58" s="72"/>
      <c r="B58" s="73"/>
    </row>
    <row r="59" spans="1:2" x14ac:dyDescent="0.25">
      <c r="A59" s="75">
        <v>44205</v>
      </c>
      <c r="B59" s="74" t="s">
        <v>662</v>
      </c>
    </row>
    <row r="60" spans="1:2" ht="60" x14ac:dyDescent="0.25">
      <c r="A60" s="72"/>
      <c r="B60" s="76" t="s">
        <v>652</v>
      </c>
    </row>
    <row r="61" spans="1:2" x14ac:dyDescent="0.25">
      <c r="A61" s="72"/>
      <c r="B61" s="73"/>
    </row>
    <row r="62" spans="1:2" x14ac:dyDescent="0.25">
      <c r="A62" s="72"/>
      <c r="B62"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6" t="s">
        <v>768</v>
      </c>
    </row>
    <row r="31" spans="1:7" x14ac:dyDescent="0.25">
      <c r="A31">
        <v>1</v>
      </c>
      <c r="B31" s="8" t="s">
        <v>236</v>
      </c>
      <c r="C31" s="8" t="s">
        <v>237</v>
      </c>
      <c r="D31" s="8" t="s">
        <v>238</v>
      </c>
      <c r="E31" s="8" t="s">
        <v>239</v>
      </c>
      <c r="F31" s="18">
        <v>39425</v>
      </c>
      <c r="G31" s="96" t="s">
        <v>770</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6" t="s">
        <v>768</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6" t="s">
        <v>769</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6" t="s">
        <v>768</v>
      </c>
    </row>
    <row r="38" spans="1:7" x14ac:dyDescent="0.25">
      <c r="A38">
        <v>1</v>
      </c>
      <c r="B38" s="8" t="s">
        <v>428</v>
      </c>
      <c r="C38" s="8"/>
      <c r="D38" s="8" t="s">
        <v>429</v>
      </c>
      <c r="E38" s="8" t="s">
        <v>600</v>
      </c>
      <c r="F38" s="18">
        <v>40003</v>
      </c>
      <c r="G38" s="96" t="s">
        <v>770</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8" t="s">
        <v>144</v>
      </c>
      <c r="B2" s="228"/>
      <c r="C2" s="228"/>
      <c r="D2" s="228"/>
      <c r="E2" s="228"/>
      <c r="F2" s="39"/>
      <c r="G2" s="39"/>
      <c r="H2" s="39"/>
      <c r="I2" s="39"/>
      <c r="J2" s="39"/>
      <c r="K2" s="39"/>
      <c r="L2" s="39"/>
      <c r="M2" s="39"/>
      <c r="N2" s="39"/>
      <c r="O2" s="27"/>
      <c r="P2" s="229" t="s">
        <v>49</v>
      </c>
      <c r="Q2" s="225" t="s">
        <v>48</v>
      </c>
      <c r="R2" s="201"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8"/>
      <c r="B3" s="228"/>
      <c r="C3" s="228"/>
      <c r="D3" s="228"/>
      <c r="E3" s="228"/>
      <c r="F3" s="39"/>
      <c r="G3" s="39"/>
      <c r="H3" s="39"/>
      <c r="I3" s="39"/>
      <c r="J3" s="39"/>
      <c r="K3" s="39"/>
      <c r="L3" s="39"/>
      <c r="M3" s="39"/>
      <c r="N3" s="39"/>
      <c r="O3" s="27"/>
      <c r="P3" s="230"/>
      <c r="Q3" s="226"/>
      <c r="R3" s="227"/>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21" t="s">
        <v>144</v>
      </c>
      <c r="B41" s="221"/>
      <c r="C41" s="221"/>
      <c r="D41" s="221"/>
      <c r="E41" s="222"/>
      <c r="F41" s="36"/>
      <c r="G41" s="36"/>
      <c r="H41" s="36"/>
      <c r="I41" s="36"/>
      <c r="J41" s="36"/>
      <c r="K41" s="36"/>
      <c r="L41" s="36"/>
      <c r="M41" s="36"/>
      <c r="N41" s="36"/>
      <c r="O41" s="35"/>
      <c r="P41" s="231" t="s">
        <v>49</v>
      </c>
      <c r="Q41" s="231" t="s">
        <v>48</v>
      </c>
      <c r="R41" s="232"/>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3"/>
      <c r="B42" s="223"/>
      <c r="C42" s="223"/>
      <c r="D42" s="223"/>
      <c r="E42" s="224"/>
      <c r="F42" s="19"/>
      <c r="G42" s="19"/>
      <c r="H42" s="19"/>
      <c r="I42" s="19"/>
      <c r="J42" s="19"/>
      <c r="K42" s="19"/>
      <c r="L42" s="19"/>
      <c r="M42" s="19"/>
      <c r="N42" s="19"/>
      <c r="O42" s="9"/>
      <c r="P42" s="226"/>
      <c r="Q42" s="226"/>
      <c r="R42" s="227"/>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781</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782</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782</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21" t="s">
        <v>144</v>
      </c>
      <c r="B72" s="221"/>
      <c r="C72" s="221"/>
      <c r="D72" s="221"/>
      <c r="E72" s="222"/>
      <c r="F72" s="30"/>
      <c r="G72" s="30"/>
      <c r="H72" s="30"/>
      <c r="I72" s="30"/>
      <c r="J72" s="30"/>
      <c r="K72" s="30"/>
      <c r="L72" s="30"/>
      <c r="M72" s="30"/>
      <c r="N72" s="30"/>
      <c r="O72" s="29"/>
      <c r="P72" s="225" t="s">
        <v>49</v>
      </c>
      <c r="Q72" s="225" t="s">
        <v>48</v>
      </c>
      <c r="R72" s="201"/>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3"/>
      <c r="B73" s="223"/>
      <c r="C73" s="223"/>
      <c r="D73" s="223"/>
      <c r="E73" s="224"/>
      <c r="F73" s="28"/>
      <c r="G73" s="28"/>
      <c r="H73" s="28"/>
      <c r="I73" s="28"/>
      <c r="J73" s="28"/>
      <c r="K73" s="28"/>
      <c r="L73" s="28"/>
      <c r="M73" s="28"/>
      <c r="N73" s="28"/>
      <c r="O73" s="27"/>
      <c r="P73" s="226"/>
      <c r="Q73" s="233"/>
      <c r="R73" s="227"/>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7" t="s">
        <v>338</v>
      </c>
      <c r="B1" s="237"/>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7" t="s">
        <v>339</v>
      </c>
      <c r="B7" s="237"/>
    </row>
    <row r="8" spans="1:2" ht="15.75" x14ac:dyDescent="0.25">
      <c r="A8" s="235" t="s">
        <v>330</v>
      </c>
      <c r="B8" s="235"/>
    </row>
    <row r="9" spans="1:2" x14ac:dyDescent="0.25">
      <c r="A9" t="s">
        <v>331</v>
      </c>
    </row>
    <row r="11" spans="1:2" ht="15.75" x14ac:dyDescent="0.25">
      <c r="A11" s="236" t="s">
        <v>327</v>
      </c>
      <c r="B11" s="236"/>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4" t="s">
        <v>340</v>
      </c>
      <c r="B23" s="234"/>
    </row>
    <row r="25" spans="1:2" ht="15.75" x14ac:dyDescent="0.25">
      <c r="A25" s="235" t="s">
        <v>332</v>
      </c>
      <c r="B25" s="235"/>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8" t="s">
        <v>297</v>
      </c>
      <c r="C5" s="241"/>
      <c r="D5" s="241"/>
      <c r="E5" s="241"/>
      <c r="F5" s="241"/>
      <c r="G5" s="241"/>
      <c r="H5" s="241"/>
      <c r="I5" s="241"/>
      <c r="J5" s="241"/>
      <c r="K5" s="241"/>
      <c r="L5" s="241"/>
      <c r="M5" s="241"/>
      <c r="N5" s="241"/>
      <c r="O5" s="241"/>
      <c r="P5" s="241"/>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41"/>
      <c r="BK5" s="241"/>
      <c r="BL5" s="241"/>
      <c r="BM5" s="241"/>
      <c r="BN5" s="241"/>
      <c r="BO5" s="241"/>
      <c r="BP5" s="241"/>
      <c r="BQ5" s="241"/>
      <c r="BR5" s="241"/>
    </row>
    <row r="6" spans="1:70" x14ac:dyDescent="0.25">
      <c r="C6" s="2" t="s">
        <v>3</v>
      </c>
    </row>
    <row r="7" spans="1:70" ht="45" customHeight="1" x14ac:dyDescent="0.25">
      <c r="C7" s="238" t="s">
        <v>281</v>
      </c>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row>
    <row r="8" spans="1:70" x14ac:dyDescent="0.25">
      <c r="C8" s="2" t="s">
        <v>4</v>
      </c>
    </row>
    <row r="9" spans="1:70" ht="75" customHeight="1" x14ac:dyDescent="0.25">
      <c r="C9" s="238" t="s">
        <v>274</v>
      </c>
      <c r="D9" s="241"/>
      <c r="E9" s="241"/>
      <c r="F9" s="241"/>
      <c r="G9" s="241"/>
      <c r="H9" s="241"/>
      <c r="I9" s="241"/>
      <c r="J9" s="241"/>
      <c r="K9" s="241"/>
      <c r="L9" s="241"/>
      <c r="M9" s="241"/>
      <c r="N9" s="241"/>
      <c r="O9" s="241"/>
      <c r="P9" s="241"/>
      <c r="Q9" s="241"/>
      <c r="R9" s="241"/>
      <c r="S9" s="241"/>
      <c r="T9" s="241"/>
      <c r="U9" s="241"/>
      <c r="V9" s="241"/>
      <c r="W9" s="241"/>
      <c r="X9" s="241"/>
      <c r="Y9" s="241"/>
      <c r="Z9" s="241"/>
      <c r="AA9" s="241"/>
      <c r="AB9" s="241"/>
      <c r="AC9" s="241"/>
      <c r="AD9" s="241"/>
      <c r="AE9" s="241"/>
      <c r="AF9" s="241"/>
      <c r="AG9" s="241"/>
      <c r="AH9" s="241"/>
      <c r="AI9" s="241"/>
      <c r="AJ9" s="241"/>
      <c r="AK9" s="241"/>
      <c r="AL9" s="241"/>
      <c r="AM9" s="241"/>
      <c r="AN9" s="241"/>
      <c r="AO9" s="241"/>
      <c r="AP9" s="241"/>
      <c r="AQ9" s="241"/>
      <c r="AR9" s="241"/>
      <c r="AS9" s="241"/>
      <c r="AT9" s="241"/>
      <c r="AU9" s="241"/>
      <c r="AV9" s="241"/>
      <c r="AW9" s="241"/>
      <c r="AX9" s="241"/>
      <c r="AY9" s="241"/>
      <c r="AZ9" s="241"/>
      <c r="BA9" s="241"/>
      <c r="BB9" s="241"/>
      <c r="BC9" s="241"/>
      <c r="BD9" s="241"/>
      <c r="BE9" s="241"/>
      <c r="BF9" s="241"/>
      <c r="BG9" s="241"/>
      <c r="BH9" s="241"/>
      <c r="BI9" s="241"/>
      <c r="BJ9" s="241"/>
      <c r="BK9" s="241"/>
      <c r="BL9" s="241"/>
      <c r="BM9" s="241"/>
      <c r="BN9" s="241"/>
      <c r="BO9" s="241"/>
      <c r="BP9" s="241"/>
      <c r="BQ9" s="241"/>
      <c r="BR9" s="241"/>
    </row>
    <row r="10" spans="1:70" x14ac:dyDescent="0.25">
      <c r="C10" s="2" t="s">
        <v>5</v>
      </c>
    </row>
    <row r="11" spans="1:70" ht="75" customHeight="1" x14ac:dyDescent="0.25">
      <c r="C11" s="238" t="s">
        <v>298</v>
      </c>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row>
    <row r="12" spans="1:70" x14ac:dyDescent="0.25">
      <c r="C12" s="2" t="s">
        <v>6</v>
      </c>
    </row>
    <row r="13" spans="1:70" ht="90.75" customHeight="1" x14ac:dyDescent="0.25">
      <c r="C13" s="238" t="s">
        <v>285</v>
      </c>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41"/>
      <c r="AB13" s="241"/>
      <c r="AC13" s="241"/>
      <c r="AD13" s="241"/>
      <c r="AE13" s="241"/>
      <c r="AF13" s="241"/>
      <c r="AG13" s="241"/>
      <c r="AH13" s="241"/>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row>
    <row r="14" spans="1:70" x14ac:dyDescent="0.25">
      <c r="D14" s="2" t="s">
        <v>284</v>
      </c>
    </row>
    <row r="15" spans="1:70" ht="62.25" customHeight="1" x14ac:dyDescent="0.25">
      <c r="D15" s="238" t="s">
        <v>287</v>
      </c>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8"/>
      <c r="BF15" s="238"/>
      <c r="BG15" s="238"/>
      <c r="BH15" s="238"/>
      <c r="BI15" s="238"/>
      <c r="BJ15" s="238"/>
      <c r="BK15" s="238"/>
      <c r="BL15" s="238"/>
      <c r="BM15" s="238"/>
      <c r="BN15" s="238"/>
      <c r="BO15" s="238"/>
      <c r="BP15" s="238"/>
      <c r="BQ15" s="238"/>
      <c r="BR15" s="238"/>
    </row>
    <row r="16" spans="1:70" x14ac:dyDescent="0.25">
      <c r="D16" s="2" t="s">
        <v>195</v>
      </c>
    </row>
    <row r="17" spans="1:70" ht="47.25" customHeight="1" x14ac:dyDescent="0.25">
      <c r="D17" s="238" t="s">
        <v>267</v>
      </c>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8"/>
      <c r="BF17" s="238"/>
      <c r="BG17" s="238"/>
      <c r="BH17" s="238"/>
      <c r="BI17" s="238"/>
      <c r="BJ17" s="238"/>
      <c r="BK17" s="238"/>
      <c r="BL17" s="238"/>
      <c r="BM17" s="238"/>
      <c r="BN17" s="238"/>
      <c r="BO17" s="238"/>
      <c r="BP17" s="238"/>
      <c r="BQ17" s="238"/>
      <c r="BR17" s="238"/>
    </row>
    <row r="18" spans="1:70" ht="15.75" customHeight="1" x14ac:dyDescent="0.25">
      <c r="D18" s="240" t="s">
        <v>266</v>
      </c>
      <c r="E18" s="240"/>
      <c r="F18" s="240"/>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c r="AG18" s="240"/>
      <c r="AH18" s="240"/>
      <c r="AI18" s="240"/>
      <c r="AJ18" s="240"/>
      <c r="AK18" s="240"/>
      <c r="AL18" s="240"/>
      <c r="AM18" s="240"/>
      <c r="AN18" s="240"/>
      <c r="AO18" s="240"/>
      <c r="AP18" s="240"/>
      <c r="AQ18" s="240"/>
      <c r="AR18" s="240"/>
      <c r="AS18" s="240"/>
      <c r="AT18" s="240"/>
      <c r="AU18" s="240"/>
      <c r="AV18" s="240"/>
      <c r="AW18" s="240"/>
      <c r="AX18" s="240"/>
      <c r="AY18" s="240"/>
      <c r="AZ18" s="240"/>
      <c r="BA18" s="240"/>
      <c r="BB18" s="240"/>
      <c r="BC18" s="240"/>
      <c r="BD18" s="240"/>
      <c r="BE18" s="240"/>
      <c r="BF18" s="240"/>
      <c r="BG18" s="240"/>
      <c r="BH18" s="240"/>
      <c r="BI18" s="240"/>
      <c r="BJ18" s="240"/>
      <c r="BK18" s="240"/>
      <c r="BL18" s="240"/>
      <c r="BM18" s="240"/>
      <c r="BN18" s="240"/>
      <c r="BO18" s="240"/>
      <c r="BP18" s="240"/>
      <c r="BQ18" s="240"/>
      <c r="BR18" s="240"/>
    </row>
    <row r="19" spans="1:70" ht="45.75" customHeight="1" x14ac:dyDescent="0.25">
      <c r="D19" s="238" t="s">
        <v>275</v>
      </c>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8"/>
      <c r="BF19" s="238"/>
      <c r="BG19" s="238"/>
      <c r="BH19" s="238"/>
      <c r="BI19" s="238"/>
      <c r="BJ19" s="238"/>
      <c r="BK19" s="238"/>
      <c r="BL19" s="238"/>
      <c r="BM19" s="238"/>
      <c r="BN19" s="238"/>
      <c r="BO19" s="238"/>
      <c r="BP19" s="238"/>
      <c r="BQ19" s="238"/>
      <c r="BR19" s="238"/>
    </row>
    <row r="20" spans="1:70" ht="15.75" customHeight="1" x14ac:dyDescent="0.25">
      <c r="D20" s="240" t="s">
        <v>283</v>
      </c>
      <c r="E20" s="240"/>
      <c r="F20" s="240"/>
      <c r="G20" s="240"/>
      <c r="H20" s="240"/>
      <c r="I20" s="240"/>
      <c r="J20" s="240"/>
      <c r="K20" s="240"/>
      <c r="L20" s="240"/>
      <c r="M20" s="240"/>
      <c r="N20" s="240"/>
      <c r="O20" s="240"/>
      <c r="P20" s="240"/>
      <c r="Q20" s="240"/>
      <c r="R20" s="240"/>
      <c r="S20" s="240"/>
      <c r="T20" s="240"/>
      <c r="U20" s="240"/>
      <c r="V20" s="240"/>
      <c r="W20" s="240"/>
      <c r="X20" s="240"/>
      <c r="Y20" s="240"/>
      <c r="Z20" s="240"/>
      <c r="AA20" s="240"/>
      <c r="AB20" s="240"/>
      <c r="AC20" s="240"/>
      <c r="AD20" s="240"/>
      <c r="AE20" s="240"/>
      <c r="AF20" s="240"/>
      <c r="AG20" s="240"/>
      <c r="AH20" s="240"/>
      <c r="AI20" s="240"/>
      <c r="AJ20" s="240"/>
      <c r="AK20" s="240"/>
      <c r="AL20" s="240"/>
      <c r="AM20" s="240"/>
      <c r="AN20" s="240"/>
      <c r="AO20" s="240"/>
      <c r="AP20" s="240"/>
      <c r="AQ20" s="240"/>
      <c r="AR20" s="240"/>
      <c r="AS20" s="240"/>
      <c r="AT20" s="240"/>
      <c r="AU20" s="240"/>
      <c r="AV20" s="240"/>
      <c r="AW20" s="240"/>
      <c r="AX20" s="240"/>
      <c r="AY20" s="240"/>
      <c r="AZ20" s="240"/>
      <c r="BA20" s="240"/>
      <c r="BB20" s="240"/>
      <c r="BC20" s="240"/>
      <c r="BD20" s="240"/>
      <c r="BE20" s="240"/>
      <c r="BF20" s="240"/>
      <c r="BG20" s="240"/>
      <c r="BH20" s="240"/>
      <c r="BI20" s="240"/>
      <c r="BJ20" s="240"/>
      <c r="BK20" s="240"/>
      <c r="BL20" s="240"/>
      <c r="BM20" s="240"/>
      <c r="BN20" s="240"/>
      <c r="BO20" s="240"/>
      <c r="BP20" s="240"/>
      <c r="BQ20" s="240"/>
      <c r="BR20" s="240"/>
    </row>
    <row r="21" spans="1:70" ht="44.25" customHeight="1" x14ac:dyDescent="0.25">
      <c r="D21" s="238" t="s">
        <v>276</v>
      </c>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8"/>
      <c r="BF21" s="238"/>
      <c r="BG21" s="238"/>
      <c r="BH21" s="238"/>
      <c r="BI21" s="238"/>
      <c r="BJ21" s="238"/>
      <c r="BK21" s="238"/>
      <c r="BL21" s="238"/>
      <c r="BM21" s="238"/>
      <c r="BN21" s="238"/>
      <c r="BO21" s="238"/>
      <c r="BP21" s="238"/>
      <c r="BQ21" s="238"/>
      <c r="BR21" s="238"/>
    </row>
    <row r="22" spans="1:70" x14ac:dyDescent="0.25">
      <c r="B22" s="2" t="s">
        <v>191</v>
      </c>
      <c r="C22" s="2"/>
    </row>
    <row r="23" spans="1:70" ht="69.75" customHeight="1" x14ac:dyDescent="0.25">
      <c r="B23" s="238" t="s">
        <v>268</v>
      </c>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8"/>
      <c r="BF23" s="238"/>
      <c r="BG23" s="238"/>
      <c r="BH23" s="238"/>
      <c r="BI23" s="238"/>
      <c r="BJ23" s="238"/>
      <c r="BK23" s="238"/>
      <c r="BL23" s="238"/>
      <c r="BM23" s="238"/>
      <c r="BN23" s="238"/>
      <c r="BO23" s="238"/>
      <c r="BP23" s="238"/>
      <c r="BQ23" s="238"/>
      <c r="BR23" s="238"/>
    </row>
    <row r="24" spans="1:70" x14ac:dyDescent="0.25">
      <c r="C24" s="2" t="s">
        <v>192</v>
      </c>
    </row>
    <row r="25" spans="1:70" ht="204.75" customHeight="1" x14ac:dyDescent="0.25">
      <c r="C25" s="239" t="s">
        <v>210</v>
      </c>
      <c r="D25" s="239"/>
      <c r="E25" s="239"/>
      <c r="F25" s="239"/>
      <c r="G25" s="239"/>
      <c r="H25" s="239"/>
      <c r="I25" s="239"/>
      <c r="J25" s="239"/>
      <c r="K25" s="239"/>
      <c r="L25" s="239"/>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row>
    <row r="26" spans="1:70" x14ac:dyDescent="0.25">
      <c r="C26" s="2" t="s">
        <v>193</v>
      </c>
    </row>
    <row r="27" spans="1:70" ht="244.5" customHeight="1" x14ac:dyDescent="0.25">
      <c r="A27" s="1"/>
      <c r="C27" s="239" t="s">
        <v>194</v>
      </c>
      <c r="D27" s="239"/>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row>
    <row r="28" spans="1:70" x14ac:dyDescent="0.25">
      <c r="B28" s="2" t="s">
        <v>269</v>
      </c>
      <c r="C28" s="43"/>
    </row>
    <row r="29" spans="1:70" ht="75" customHeight="1" x14ac:dyDescent="0.25">
      <c r="A29" s="1"/>
      <c r="B29" s="238" t="s">
        <v>280</v>
      </c>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row>
    <row r="30" spans="1:70" x14ac:dyDescent="0.25">
      <c r="C30" s="2" t="s">
        <v>273</v>
      </c>
    </row>
    <row r="31" spans="1:70" ht="46.5" customHeight="1" x14ac:dyDescent="0.25">
      <c r="A31" s="1"/>
      <c r="C31" s="239" t="s">
        <v>279</v>
      </c>
      <c r="D31" s="239"/>
      <c r="E31" s="239"/>
      <c r="F31" s="239"/>
      <c r="G31" s="239"/>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row>
    <row r="32" spans="1:70" ht="15.75" customHeight="1" x14ac:dyDescent="0.25">
      <c r="C32" s="240" t="s">
        <v>270</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40"/>
      <c r="BH32" s="240"/>
      <c r="BI32" s="240"/>
      <c r="BJ32" s="240"/>
      <c r="BK32" s="240"/>
      <c r="BL32" s="240"/>
      <c r="BM32" s="240"/>
      <c r="BN32" s="240"/>
      <c r="BO32" s="240"/>
      <c r="BP32" s="240"/>
      <c r="BQ32" s="240"/>
      <c r="BR32" s="240"/>
    </row>
    <row r="33" spans="1:70" ht="120" customHeight="1" x14ac:dyDescent="0.25">
      <c r="A33" s="43"/>
      <c r="C33" s="238" t="s">
        <v>272</v>
      </c>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row>
    <row r="34" spans="1:70" ht="15.75" customHeight="1" x14ac:dyDescent="0.25">
      <c r="C34" s="240" t="s">
        <v>271</v>
      </c>
      <c r="D34" s="240"/>
      <c r="E34" s="240"/>
      <c r="F34" s="240"/>
      <c r="G34" s="240"/>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c r="AG34" s="240"/>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40"/>
      <c r="BH34" s="240"/>
      <c r="BI34" s="240"/>
      <c r="BJ34" s="240"/>
      <c r="BK34" s="240"/>
      <c r="BL34" s="240"/>
      <c r="BM34" s="240"/>
      <c r="BN34" s="240"/>
      <c r="BO34" s="240"/>
      <c r="BP34" s="240"/>
      <c r="BQ34" s="240"/>
      <c r="BR34" s="240"/>
    </row>
    <row r="35" spans="1:70" ht="47.25" customHeight="1" x14ac:dyDescent="0.25">
      <c r="C35" s="239" t="s">
        <v>278</v>
      </c>
      <c r="D35" s="239"/>
      <c r="E35" s="239"/>
      <c r="F35" s="239"/>
      <c r="G35" s="239"/>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row>
    <row r="36" spans="1:70" x14ac:dyDescent="0.25">
      <c r="B36" s="2" t="s">
        <v>2</v>
      </c>
    </row>
    <row r="37" spans="1:70" x14ac:dyDescent="0.25">
      <c r="B37" s="241" t="s">
        <v>12</v>
      </c>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241"/>
      <c r="AH37" s="241"/>
      <c r="AI37" s="241"/>
      <c r="AJ37" s="241"/>
      <c r="AK37" s="241"/>
      <c r="AL37" s="241"/>
      <c r="AM37" s="241"/>
      <c r="AN37" s="241"/>
      <c r="AO37" s="241"/>
      <c r="AP37" s="241"/>
      <c r="AQ37" s="241"/>
      <c r="AR37" s="241"/>
      <c r="AS37" s="241"/>
      <c r="AT37" s="241"/>
      <c r="AU37" s="241"/>
      <c r="AV37" s="241"/>
      <c r="AW37" s="241"/>
      <c r="AX37" s="241"/>
      <c r="AY37" s="241"/>
      <c r="AZ37" s="241"/>
      <c r="BA37" s="241"/>
      <c r="BB37" s="241"/>
      <c r="BC37" s="241"/>
      <c r="BD37" s="241"/>
      <c r="BE37" s="241"/>
      <c r="BF37" s="241"/>
      <c r="BG37" s="241"/>
      <c r="BH37" s="241"/>
      <c r="BI37" s="241"/>
      <c r="BJ37" s="241"/>
      <c r="BK37" s="241"/>
      <c r="BL37" s="241"/>
      <c r="BM37" s="241"/>
      <c r="BN37" s="241"/>
      <c r="BO37" s="241"/>
      <c r="BP37" s="241"/>
      <c r="BQ37" s="241"/>
      <c r="BR37" s="241"/>
    </row>
    <row r="38" spans="1:70" x14ac:dyDescent="0.25">
      <c r="C38" s="2" t="s">
        <v>7</v>
      </c>
    </row>
    <row r="39" spans="1:70" ht="45.75" customHeight="1" x14ac:dyDescent="0.25">
      <c r="C39" s="238" t="s">
        <v>8</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2021-02-11T22:55:02Z</dcterms:modified>
</cp:coreProperties>
</file>