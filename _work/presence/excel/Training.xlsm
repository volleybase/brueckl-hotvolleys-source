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35EAB18E-F679-461F-B992-8DCDC28B608E}"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Anwesend!$B$93:$L$95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60" i="3" l="1"/>
  <c r="P60" i="3"/>
  <c r="FI37" i="3"/>
  <c r="FH37" i="3"/>
  <c r="EZ37" i="3"/>
  <c r="EY37" i="3"/>
  <c r="EX37" i="3"/>
  <c r="F60" i="3"/>
  <c r="G60" i="3"/>
  <c r="H60" i="3"/>
  <c r="I60" i="3"/>
  <c r="J60" i="3"/>
  <c r="K60" i="3"/>
  <c r="L60" i="3"/>
  <c r="Q13" i="3" l="1"/>
  <c r="Q12" i="3"/>
  <c r="P36" i="3"/>
  <c r="Q28" i="3" s="1"/>
  <c r="L93" i="3"/>
  <c r="Q8" i="3" l="1"/>
  <c r="Q9" i="3"/>
  <c r="Q16" i="3"/>
  <c r="Q20" i="3"/>
  <c r="Q21" i="3"/>
  <c r="Q24" i="3"/>
  <c r="Q14" i="3"/>
  <c r="Q22" i="3"/>
  <c r="Q7" i="3"/>
  <c r="Q15" i="3"/>
  <c r="Q23" i="3"/>
  <c r="Q17" i="3"/>
  <c r="Q25" i="3"/>
  <c r="Q10" i="3"/>
  <c r="Q18" i="3"/>
  <c r="Q26" i="3"/>
  <c r="Q11" i="3"/>
  <c r="Q19" i="3"/>
  <c r="M37" i="3"/>
  <c r="Q29" i="3" l="1"/>
  <c r="P61" i="3" l="1"/>
  <c r="P87" i="3"/>
  <c r="FB37" i="3"/>
  <c r="EQ37" i="3" l="1"/>
  <c r="L11" i="3" l="1"/>
  <c r="K11" i="3"/>
  <c r="J11" i="3"/>
  <c r="I11" i="3"/>
  <c r="H11" i="3"/>
  <c r="G11" i="3"/>
  <c r="F11" i="3"/>
  <c r="P11" i="3"/>
  <c r="P79" i="3"/>
  <c r="EI37" i="3" l="1"/>
  <c r="EJ37" i="3"/>
  <c r="ES37" i="3"/>
  <c r="P16" i="3" l="1"/>
  <c r="L16" i="3"/>
  <c r="K16" i="3"/>
  <c r="J16" i="3"/>
  <c r="I16" i="3"/>
  <c r="H16" i="3"/>
  <c r="G16" i="3"/>
  <c r="F16" i="3"/>
  <c r="P46" i="3" l="1"/>
  <c r="L46" i="3"/>
  <c r="K46" i="3"/>
  <c r="J46" i="3"/>
  <c r="I46" i="3"/>
  <c r="H46" i="3"/>
  <c r="G46" i="3"/>
  <c r="F46" i="3"/>
  <c r="P33" i="3" l="1"/>
  <c r="DP37" i="3"/>
  <c r="EA37" i="3"/>
  <c r="P31" i="3" l="1"/>
  <c r="DG37" i="3" l="1"/>
  <c r="DR37" i="3"/>
  <c r="Q89" i="3" l="1"/>
  <c r="Q86" i="3"/>
  <c r="Q85" i="3"/>
  <c r="Q84" i="3"/>
  <c r="Q77" i="3"/>
  <c r="Q72" i="3"/>
  <c r="Q65" i="3"/>
  <c r="Q64" i="3"/>
  <c r="Q63" i="3"/>
  <c r="Q62" i="3"/>
  <c r="Q27" i="3"/>
  <c r="Q35" i="3"/>
  <c r="Q6" i="3"/>
  <c r="CX37" i="3"/>
  <c r="DI37" i="3"/>
  <c r="CZ37" i="3"/>
  <c r="CH37" i="3"/>
  <c r="BY37" i="3"/>
  <c r="CQ37" i="3"/>
  <c r="L94" i="3"/>
  <c r="L95" i="3"/>
  <c r="P37" i="3"/>
  <c r="R37" i="3"/>
  <c r="Q37" i="3" l="1"/>
  <c r="CO79" i="3"/>
  <c r="CO67" i="3"/>
  <c r="CO37" i="3"/>
  <c r="CF37" i="3"/>
  <c r="P67" i="3"/>
  <c r="CO80" i="3" l="1"/>
  <c r="BW79" i="3"/>
  <c r="BW80" i="3" s="1"/>
  <c r="BP79" i="3"/>
  <c r="BP67" i="3"/>
  <c r="BW37" i="3"/>
  <c r="BP37" i="3"/>
  <c r="BP80" i="3" l="1"/>
  <c r="P32" i="3"/>
  <c r="MR79" i="3" l="1"/>
  <c r="MQ79" i="3"/>
  <c r="MP79" i="3"/>
  <c r="MO79" i="3"/>
  <c r="MN79" i="3"/>
  <c r="MM79" i="3"/>
  <c r="ML79" i="3"/>
  <c r="MK79" i="3"/>
  <c r="MJ79" i="3"/>
  <c r="MI79" i="3"/>
  <c r="MH79" i="3"/>
  <c r="MG79" i="3"/>
  <c r="MF79" i="3"/>
  <c r="ME79" i="3"/>
  <c r="MD79" i="3"/>
  <c r="MC79" i="3"/>
  <c r="MB79" i="3"/>
  <c r="MA79" i="3"/>
  <c r="LZ79" i="3"/>
  <c r="LY79" i="3"/>
  <c r="LX79" i="3"/>
  <c r="LW79" i="3"/>
  <c r="LV79" i="3"/>
  <c r="LU79" i="3"/>
  <c r="LT79" i="3"/>
  <c r="LS79" i="3"/>
  <c r="LR79" i="3"/>
  <c r="LQ79" i="3"/>
  <c r="LP79" i="3"/>
  <c r="LO79" i="3"/>
  <c r="LN79" i="3"/>
  <c r="LM79" i="3"/>
  <c r="LL79" i="3"/>
  <c r="LK79" i="3"/>
  <c r="LJ79" i="3"/>
  <c r="LI79" i="3"/>
  <c r="LH79" i="3"/>
  <c r="LG79" i="3"/>
  <c r="LF79" i="3"/>
  <c r="LE79" i="3"/>
  <c r="LD79" i="3"/>
  <c r="LC79" i="3"/>
  <c r="LB79" i="3"/>
  <c r="LA79" i="3"/>
  <c r="KZ79" i="3"/>
  <c r="KY79" i="3"/>
  <c r="KX79" i="3"/>
  <c r="KW79" i="3"/>
  <c r="KV79" i="3"/>
  <c r="KU79" i="3"/>
  <c r="KT79" i="3"/>
  <c r="KS79" i="3"/>
  <c r="KR79" i="3"/>
  <c r="KQ79" i="3"/>
  <c r="KP79" i="3"/>
  <c r="KO79" i="3"/>
  <c r="KN79" i="3"/>
  <c r="KM79" i="3"/>
  <c r="KL79" i="3"/>
  <c r="KK79" i="3"/>
  <c r="KJ79" i="3"/>
  <c r="KI79" i="3"/>
  <c r="KH79" i="3"/>
  <c r="KG79" i="3"/>
  <c r="KF79" i="3"/>
  <c r="KE79" i="3"/>
  <c r="KD79" i="3"/>
  <c r="KC79" i="3"/>
  <c r="KB79" i="3"/>
  <c r="KA79" i="3"/>
  <c r="JZ79" i="3"/>
  <c r="JY79" i="3"/>
  <c r="JX79" i="3"/>
  <c r="JW79" i="3"/>
  <c r="JV79" i="3"/>
  <c r="JU79" i="3"/>
  <c r="JT79" i="3"/>
  <c r="JS79" i="3"/>
  <c r="JR79" i="3"/>
  <c r="JQ79" i="3"/>
  <c r="JP79" i="3"/>
  <c r="JO79" i="3"/>
  <c r="JN79" i="3"/>
  <c r="JM79" i="3"/>
  <c r="JL79" i="3"/>
  <c r="JK79" i="3"/>
  <c r="JJ79" i="3"/>
  <c r="JI79" i="3"/>
  <c r="JH79" i="3"/>
  <c r="JG79" i="3"/>
  <c r="JF79" i="3"/>
  <c r="JE79" i="3"/>
  <c r="JD79" i="3"/>
  <c r="JC79" i="3"/>
  <c r="JB79" i="3"/>
  <c r="JA79" i="3"/>
  <c r="IZ79" i="3"/>
  <c r="IY79" i="3"/>
  <c r="IX79" i="3"/>
  <c r="IW79" i="3"/>
  <c r="IV79" i="3"/>
  <c r="IU79" i="3"/>
  <c r="IT79" i="3"/>
  <c r="IS79" i="3"/>
  <c r="IR79" i="3"/>
  <c r="IQ79" i="3"/>
  <c r="IP79" i="3"/>
  <c r="IO79" i="3"/>
  <c r="IN79" i="3"/>
  <c r="IM79" i="3"/>
  <c r="IL79" i="3"/>
  <c r="IK79" i="3"/>
  <c r="IJ79" i="3"/>
  <c r="II79" i="3"/>
  <c r="IH79" i="3"/>
  <c r="IG79" i="3"/>
  <c r="IF79" i="3"/>
  <c r="IE79" i="3"/>
  <c r="ID79" i="3"/>
  <c r="IC79" i="3"/>
  <c r="IB79" i="3"/>
  <c r="IA79" i="3"/>
  <c r="HZ79" i="3"/>
  <c r="HY79" i="3"/>
  <c r="HX79" i="3"/>
  <c r="HW79" i="3"/>
  <c r="HV79" i="3"/>
  <c r="HU79" i="3"/>
  <c r="HT79" i="3"/>
  <c r="HS79" i="3"/>
  <c r="HR79" i="3"/>
  <c r="HQ79" i="3"/>
  <c r="HP79" i="3"/>
  <c r="HO79" i="3"/>
  <c r="HN79" i="3"/>
  <c r="HM79" i="3"/>
  <c r="HL79" i="3"/>
  <c r="HK79" i="3"/>
  <c r="HJ79" i="3"/>
  <c r="HI79" i="3"/>
  <c r="HH79" i="3"/>
  <c r="HG79" i="3"/>
  <c r="HF79" i="3"/>
  <c r="HE79" i="3"/>
  <c r="HD79" i="3"/>
  <c r="HC79" i="3"/>
  <c r="HB79" i="3"/>
  <c r="HA79" i="3"/>
  <c r="GZ79" i="3"/>
  <c r="GY79" i="3"/>
  <c r="GX79" i="3"/>
  <c r="GW79" i="3"/>
  <c r="GV79" i="3"/>
  <c r="GU79" i="3"/>
  <c r="GT79" i="3"/>
  <c r="GS79" i="3"/>
  <c r="GR79" i="3"/>
  <c r="GQ79" i="3"/>
  <c r="GP79" i="3"/>
  <c r="GO79" i="3"/>
  <c r="GN79" i="3"/>
  <c r="GM79" i="3"/>
  <c r="GL79" i="3"/>
  <c r="GK79" i="3"/>
  <c r="GJ79" i="3"/>
  <c r="GI79" i="3"/>
  <c r="GH79" i="3"/>
  <c r="GG79" i="3"/>
  <c r="GF79" i="3"/>
  <c r="GE79" i="3"/>
  <c r="GD79" i="3"/>
  <c r="GC79" i="3"/>
  <c r="GB79" i="3"/>
  <c r="GA79" i="3"/>
  <c r="FZ79" i="3"/>
  <c r="FY79" i="3"/>
  <c r="FX79" i="3"/>
  <c r="FW79" i="3"/>
  <c r="FV79" i="3"/>
  <c r="FU79" i="3"/>
  <c r="FT79" i="3"/>
  <c r="FS79" i="3"/>
  <c r="FR79" i="3"/>
  <c r="FQ79" i="3"/>
  <c r="FP79" i="3"/>
  <c r="FO79" i="3"/>
  <c r="FN79" i="3"/>
  <c r="FM79" i="3"/>
  <c r="FL79" i="3"/>
  <c r="FK79" i="3"/>
  <c r="FH79" i="3"/>
  <c r="FG79" i="3"/>
  <c r="FF79" i="3"/>
  <c r="FE79" i="3"/>
  <c r="FD79" i="3"/>
  <c r="FC79" i="3"/>
  <c r="FB79" i="3"/>
  <c r="EY79" i="3"/>
  <c r="EX79" i="3"/>
  <c r="EW79" i="3"/>
  <c r="EV79" i="3"/>
  <c r="EU79" i="3"/>
  <c r="ET79" i="3"/>
  <c r="ES79" i="3"/>
  <c r="EP79" i="3"/>
  <c r="EO79" i="3"/>
  <c r="EN79" i="3"/>
  <c r="EM79" i="3"/>
  <c r="EL79" i="3"/>
  <c r="EK79" i="3"/>
  <c r="EJ79" i="3"/>
  <c r="EI79" i="3"/>
  <c r="EE79" i="3"/>
  <c r="ED79" i="3"/>
  <c r="EC79" i="3"/>
  <c r="EB79" i="3"/>
  <c r="EA79" i="3"/>
  <c r="DZ79" i="3"/>
  <c r="DW79" i="3"/>
  <c r="DV79" i="3"/>
  <c r="DU79" i="3"/>
  <c r="DT79" i="3"/>
  <c r="DS79" i="3"/>
  <c r="DR79" i="3"/>
  <c r="DO79" i="3"/>
  <c r="DN79" i="3"/>
  <c r="DM79" i="3"/>
  <c r="DL79" i="3"/>
  <c r="DK79" i="3"/>
  <c r="DJ79" i="3"/>
  <c r="DI79" i="3"/>
  <c r="DF79" i="3"/>
  <c r="DE79" i="3"/>
  <c r="DD79" i="3"/>
  <c r="DC79" i="3"/>
  <c r="DB79" i="3"/>
  <c r="DA79" i="3"/>
  <c r="CZ79" i="3"/>
  <c r="CY79" i="3"/>
  <c r="CV79" i="3"/>
  <c r="CU79" i="3"/>
  <c r="CT79" i="3"/>
  <c r="CS79" i="3"/>
  <c r="CR79" i="3"/>
  <c r="CQ79" i="3"/>
  <c r="CN79" i="3"/>
  <c r="CM79" i="3"/>
  <c r="CL79" i="3"/>
  <c r="CK79" i="3"/>
  <c r="CJ79" i="3"/>
  <c r="CI79" i="3"/>
  <c r="CH79" i="3"/>
  <c r="CE79" i="3"/>
  <c r="CD79" i="3"/>
  <c r="CC79" i="3"/>
  <c r="CB79" i="3"/>
  <c r="CA79" i="3"/>
  <c r="BZ79" i="3"/>
  <c r="BY79" i="3"/>
  <c r="BV79" i="3"/>
  <c r="BU79" i="3"/>
  <c r="BT79" i="3"/>
  <c r="BS79" i="3"/>
  <c r="BR79" i="3"/>
  <c r="BQ79" i="3"/>
  <c r="BO79" i="3"/>
  <c r="BN79" i="3"/>
  <c r="BM79" i="3"/>
  <c r="BL79" i="3"/>
  <c r="BK79" i="3"/>
  <c r="BJ79" i="3"/>
  <c r="BI79" i="3"/>
  <c r="BH79" i="3"/>
  <c r="BG79" i="3"/>
  <c r="BF79" i="3"/>
  <c r="BE79" i="3"/>
  <c r="BD79" i="3"/>
  <c r="BC79" i="3"/>
  <c r="P51" i="3" l="1"/>
  <c r="L51" i="3"/>
  <c r="K51" i="3"/>
  <c r="J51" i="3"/>
  <c r="I51" i="3"/>
  <c r="H51" i="3"/>
  <c r="G51" i="3"/>
  <c r="F51" i="3"/>
  <c r="P59" i="3" l="1"/>
  <c r="L59" i="3"/>
  <c r="K59" i="3"/>
  <c r="J59" i="3"/>
  <c r="I59" i="3"/>
  <c r="H59" i="3"/>
  <c r="G59" i="3"/>
  <c r="F59" i="3"/>
  <c r="P55" i="3"/>
  <c r="L55" i="3"/>
  <c r="K55" i="3"/>
  <c r="J55" i="3"/>
  <c r="I55" i="3"/>
  <c r="H55" i="3"/>
  <c r="G55" i="3"/>
  <c r="F55" i="3"/>
  <c r="H76" i="3" l="1"/>
  <c r="G76" i="3"/>
  <c r="H75" i="3"/>
  <c r="G75" i="3"/>
  <c r="H74" i="3"/>
  <c r="G74" i="3"/>
  <c r="H73" i="3"/>
  <c r="G73" i="3"/>
  <c r="L73" i="3"/>
  <c r="K73" i="3"/>
  <c r="J73" i="3"/>
  <c r="I73" i="3"/>
  <c r="F73" i="3"/>
  <c r="P12" i="3"/>
  <c r="L12" i="3"/>
  <c r="K12" i="3"/>
  <c r="J12" i="3"/>
  <c r="I12" i="3"/>
  <c r="H12" i="3"/>
  <c r="G12" i="3"/>
  <c r="F12" i="3"/>
  <c r="P49" i="3"/>
  <c r="L49" i="3"/>
  <c r="K49" i="3"/>
  <c r="J49" i="3"/>
  <c r="I49" i="3"/>
  <c r="H49" i="3"/>
  <c r="G49" i="3"/>
  <c r="F49" i="3"/>
  <c r="S68" i="3" l="1"/>
  <c r="P78" i="3"/>
  <c r="Q74" i="3" s="1"/>
  <c r="BB79" i="3"/>
  <c r="BA79" i="3"/>
  <c r="AZ79" i="3"/>
  <c r="AY79" i="3"/>
  <c r="AX79" i="3"/>
  <c r="AW79" i="3"/>
  <c r="AV79" i="3"/>
  <c r="AU79" i="3"/>
  <c r="AT79" i="3"/>
  <c r="AS79" i="3"/>
  <c r="AR79" i="3"/>
  <c r="AQ79" i="3"/>
  <c r="AP79" i="3"/>
  <c r="AO79" i="3"/>
  <c r="AG79" i="3"/>
  <c r="AF79" i="3"/>
  <c r="AE79" i="3"/>
  <c r="AD79" i="3"/>
  <c r="AC79" i="3"/>
  <c r="AB79" i="3"/>
  <c r="AA79" i="3"/>
  <c r="Z79" i="3"/>
  <c r="Y79" i="3"/>
  <c r="X79" i="3"/>
  <c r="W79" i="3"/>
  <c r="V79" i="3"/>
  <c r="U79" i="3"/>
  <c r="T79" i="3"/>
  <c r="AN79" i="3"/>
  <c r="AM79" i="3"/>
  <c r="AL79" i="3"/>
  <c r="AK79" i="3"/>
  <c r="AJ79" i="3"/>
  <c r="AH79" i="3"/>
  <c r="AI79" i="3"/>
  <c r="L64" i="3"/>
  <c r="K64" i="3"/>
  <c r="J64" i="3"/>
  <c r="I64" i="3"/>
  <c r="H64" i="3"/>
  <c r="G64" i="3"/>
  <c r="F64" i="3"/>
  <c r="L63" i="3"/>
  <c r="K63" i="3"/>
  <c r="J63" i="3"/>
  <c r="I63" i="3"/>
  <c r="H63" i="3"/>
  <c r="G63" i="3"/>
  <c r="F63" i="3"/>
  <c r="L62" i="3"/>
  <c r="K62" i="3"/>
  <c r="J62" i="3"/>
  <c r="I62" i="3"/>
  <c r="H62" i="3"/>
  <c r="G62" i="3"/>
  <c r="F62" i="3"/>
  <c r="L61" i="3"/>
  <c r="K61" i="3"/>
  <c r="J61" i="3"/>
  <c r="I61" i="3"/>
  <c r="H61" i="3"/>
  <c r="G61" i="3"/>
  <c r="F61" i="3"/>
  <c r="MR67" i="3"/>
  <c r="MQ67" i="3"/>
  <c r="MP67" i="3"/>
  <c r="MO67" i="3"/>
  <c r="MN67" i="3"/>
  <c r="MM67" i="3"/>
  <c r="ML67" i="3"/>
  <c r="MK67" i="3"/>
  <c r="MJ67" i="3"/>
  <c r="MI67" i="3"/>
  <c r="MH67" i="3"/>
  <c r="MG67" i="3"/>
  <c r="MF67" i="3"/>
  <c r="ME67" i="3"/>
  <c r="MD67" i="3"/>
  <c r="MC67" i="3"/>
  <c r="MB67" i="3"/>
  <c r="MA67" i="3"/>
  <c r="LZ67" i="3"/>
  <c r="LY67" i="3"/>
  <c r="LX67" i="3"/>
  <c r="LW67" i="3"/>
  <c r="LV67" i="3"/>
  <c r="LU67" i="3"/>
  <c r="LT67" i="3"/>
  <c r="LS67" i="3"/>
  <c r="LR67" i="3"/>
  <c r="LQ67" i="3"/>
  <c r="LP67" i="3"/>
  <c r="LO67" i="3"/>
  <c r="LN67" i="3"/>
  <c r="LM67" i="3"/>
  <c r="LL67" i="3"/>
  <c r="LK67" i="3"/>
  <c r="LJ67" i="3"/>
  <c r="LI67" i="3"/>
  <c r="LH67" i="3"/>
  <c r="LG67" i="3"/>
  <c r="LF67" i="3"/>
  <c r="LE67" i="3"/>
  <c r="LD67" i="3"/>
  <c r="LC67" i="3"/>
  <c r="LB67" i="3"/>
  <c r="LA67" i="3"/>
  <c r="KZ67" i="3"/>
  <c r="KY67" i="3"/>
  <c r="KX67" i="3"/>
  <c r="KW67" i="3"/>
  <c r="KV67" i="3"/>
  <c r="KU67" i="3"/>
  <c r="KT67" i="3"/>
  <c r="KS67" i="3"/>
  <c r="KR67" i="3"/>
  <c r="KQ67" i="3"/>
  <c r="KP67" i="3"/>
  <c r="KO67" i="3"/>
  <c r="KN67" i="3"/>
  <c r="KM67" i="3"/>
  <c r="KL67" i="3"/>
  <c r="KK67" i="3"/>
  <c r="KJ67" i="3"/>
  <c r="KI67" i="3"/>
  <c r="KH67" i="3"/>
  <c r="KG67" i="3"/>
  <c r="KF67" i="3"/>
  <c r="KE67" i="3"/>
  <c r="KD67" i="3"/>
  <c r="KC67" i="3"/>
  <c r="KB67" i="3"/>
  <c r="KA67" i="3"/>
  <c r="JZ67" i="3"/>
  <c r="JY67" i="3"/>
  <c r="JX67" i="3"/>
  <c r="JW67" i="3"/>
  <c r="JV67" i="3"/>
  <c r="JU67" i="3"/>
  <c r="JT67" i="3"/>
  <c r="JS67" i="3"/>
  <c r="JR67" i="3"/>
  <c r="JQ67" i="3"/>
  <c r="JP67" i="3"/>
  <c r="JO67" i="3"/>
  <c r="JN67" i="3"/>
  <c r="JM67" i="3"/>
  <c r="JL67" i="3"/>
  <c r="JK67" i="3"/>
  <c r="JJ67" i="3"/>
  <c r="JI67" i="3"/>
  <c r="JH67" i="3"/>
  <c r="JG67" i="3"/>
  <c r="JF67" i="3"/>
  <c r="JE67" i="3"/>
  <c r="JD67" i="3"/>
  <c r="JC67" i="3"/>
  <c r="JB67" i="3"/>
  <c r="JA67" i="3"/>
  <c r="IZ67" i="3"/>
  <c r="IY67" i="3"/>
  <c r="IX67" i="3"/>
  <c r="IW67" i="3"/>
  <c r="IV67" i="3"/>
  <c r="IU67" i="3"/>
  <c r="IT67" i="3"/>
  <c r="IS67" i="3"/>
  <c r="IR67" i="3"/>
  <c r="IQ67" i="3"/>
  <c r="IP67" i="3"/>
  <c r="IO67" i="3"/>
  <c r="IN67" i="3"/>
  <c r="IM67" i="3"/>
  <c r="IL67" i="3"/>
  <c r="IK67" i="3"/>
  <c r="IJ67" i="3"/>
  <c r="II67" i="3"/>
  <c r="IH67" i="3"/>
  <c r="IG67" i="3"/>
  <c r="IF67" i="3"/>
  <c r="IE67" i="3"/>
  <c r="ID67" i="3"/>
  <c r="IC67" i="3"/>
  <c r="IB67" i="3"/>
  <c r="IA67" i="3"/>
  <c r="HZ67" i="3"/>
  <c r="HY67" i="3"/>
  <c r="HX67" i="3"/>
  <c r="HW67" i="3"/>
  <c r="HV67" i="3"/>
  <c r="HU67" i="3"/>
  <c r="HT67" i="3"/>
  <c r="HS67" i="3"/>
  <c r="HR67" i="3"/>
  <c r="HQ67" i="3"/>
  <c r="HP67" i="3"/>
  <c r="HO67" i="3"/>
  <c r="HN67" i="3"/>
  <c r="HM67" i="3"/>
  <c r="HL67" i="3"/>
  <c r="HK67" i="3"/>
  <c r="HJ67" i="3"/>
  <c r="HI67" i="3"/>
  <c r="HH67" i="3"/>
  <c r="HG67" i="3"/>
  <c r="HF67" i="3"/>
  <c r="HE67" i="3"/>
  <c r="HD67" i="3"/>
  <c r="HC67" i="3"/>
  <c r="HB67" i="3"/>
  <c r="HA67" i="3"/>
  <c r="GZ67" i="3"/>
  <c r="GY67" i="3"/>
  <c r="GX67" i="3"/>
  <c r="GW67" i="3"/>
  <c r="GV67" i="3"/>
  <c r="GU67" i="3"/>
  <c r="GT67" i="3"/>
  <c r="GS67" i="3"/>
  <c r="GR67" i="3"/>
  <c r="GQ67" i="3"/>
  <c r="GP67" i="3"/>
  <c r="GO67" i="3"/>
  <c r="GN67" i="3"/>
  <c r="GM67" i="3"/>
  <c r="GL67" i="3"/>
  <c r="GK67" i="3"/>
  <c r="GJ67" i="3"/>
  <c r="GI67" i="3"/>
  <c r="GH67" i="3"/>
  <c r="GG67" i="3"/>
  <c r="GF67" i="3"/>
  <c r="GE67" i="3"/>
  <c r="GD67" i="3"/>
  <c r="GC67" i="3"/>
  <c r="GB67" i="3"/>
  <c r="GA67" i="3"/>
  <c r="FZ67" i="3"/>
  <c r="FY67" i="3"/>
  <c r="FX67" i="3"/>
  <c r="FW67" i="3"/>
  <c r="FV67" i="3"/>
  <c r="FU67" i="3"/>
  <c r="FT67" i="3"/>
  <c r="FS67" i="3"/>
  <c r="FR67" i="3"/>
  <c r="FQ67" i="3"/>
  <c r="FP67" i="3"/>
  <c r="FO67" i="3"/>
  <c r="FN67" i="3"/>
  <c r="FM67" i="3"/>
  <c r="FL67" i="3"/>
  <c r="FK67" i="3"/>
  <c r="FH67" i="3"/>
  <c r="FG67" i="3"/>
  <c r="FF67" i="3"/>
  <c r="FE67" i="3"/>
  <c r="FD67" i="3"/>
  <c r="FC67" i="3"/>
  <c r="FB67" i="3"/>
  <c r="EY67" i="3"/>
  <c r="EX67" i="3"/>
  <c r="EW67" i="3"/>
  <c r="EV67" i="3"/>
  <c r="EU67" i="3"/>
  <c r="ET67" i="3"/>
  <c r="ES67" i="3"/>
  <c r="EP67" i="3"/>
  <c r="EO67" i="3"/>
  <c r="EN67" i="3"/>
  <c r="EM67" i="3"/>
  <c r="EL67" i="3"/>
  <c r="EK67" i="3"/>
  <c r="EJ67" i="3"/>
  <c r="EI67" i="3"/>
  <c r="EF67" i="3"/>
  <c r="EE67" i="3"/>
  <c r="ED67" i="3"/>
  <c r="EC67" i="3"/>
  <c r="EB67" i="3"/>
  <c r="EA67" i="3"/>
  <c r="DZ67" i="3"/>
  <c r="DW67" i="3"/>
  <c r="DV67" i="3"/>
  <c r="DU67" i="3"/>
  <c r="DT67" i="3"/>
  <c r="DS67" i="3"/>
  <c r="DR67" i="3"/>
  <c r="DO67" i="3"/>
  <c r="DN67" i="3"/>
  <c r="DM67" i="3"/>
  <c r="DL67" i="3"/>
  <c r="DK67" i="3"/>
  <c r="DJ67" i="3"/>
  <c r="DI67" i="3"/>
  <c r="DF67" i="3"/>
  <c r="DE67" i="3"/>
  <c r="DD67" i="3"/>
  <c r="DC67" i="3"/>
  <c r="DB67" i="3"/>
  <c r="DA67" i="3"/>
  <c r="CZ67" i="3"/>
  <c r="CY67" i="3"/>
  <c r="CV67" i="3"/>
  <c r="CU67" i="3"/>
  <c r="CT67" i="3"/>
  <c r="CS67" i="3"/>
  <c r="CR67" i="3"/>
  <c r="CQ67" i="3"/>
  <c r="CN67" i="3"/>
  <c r="CM67" i="3"/>
  <c r="CL67" i="3"/>
  <c r="CK67" i="3"/>
  <c r="CJ67" i="3"/>
  <c r="CI67" i="3"/>
  <c r="CH67" i="3"/>
  <c r="CE67" i="3"/>
  <c r="CD67" i="3"/>
  <c r="CC67" i="3"/>
  <c r="CB67" i="3"/>
  <c r="CA67" i="3"/>
  <c r="BZ67" i="3"/>
  <c r="BY67" i="3"/>
  <c r="BV67" i="3"/>
  <c r="BU67" i="3"/>
  <c r="BT67" i="3"/>
  <c r="BS67" i="3"/>
  <c r="BR67" i="3"/>
  <c r="BQ67" i="3"/>
  <c r="BO67" i="3"/>
  <c r="BN67" i="3"/>
  <c r="BM67" i="3"/>
  <c r="BL67" i="3"/>
  <c r="BK67" i="3"/>
  <c r="BJ67" i="3"/>
  <c r="BI67" i="3"/>
  <c r="BH67" i="3"/>
  <c r="BG67" i="3"/>
  <c r="BF67" i="3"/>
  <c r="BE67" i="3"/>
  <c r="BD67" i="3"/>
  <c r="BC67" i="3"/>
  <c r="BB67" i="3"/>
  <c r="BA67" i="3"/>
  <c r="AZ67" i="3"/>
  <c r="AY67" i="3"/>
  <c r="AY80" i="3" s="1"/>
  <c r="AX67" i="3"/>
  <c r="AW67" i="3"/>
  <c r="AV67" i="3"/>
  <c r="AV80" i="3" s="1"/>
  <c r="AU67" i="3"/>
  <c r="AT67" i="3"/>
  <c r="AS67" i="3"/>
  <c r="AR67" i="3"/>
  <c r="AQ67" i="3"/>
  <c r="AQ80" i="3" s="1"/>
  <c r="AP67" i="3"/>
  <c r="AO67" i="3"/>
  <c r="S67" i="3"/>
  <c r="AG67" i="3"/>
  <c r="AF67" i="3"/>
  <c r="AE67" i="3"/>
  <c r="AD67" i="3"/>
  <c r="AC67" i="3"/>
  <c r="AB67" i="3"/>
  <c r="AB80" i="3" s="1"/>
  <c r="AA67" i="3"/>
  <c r="Z67" i="3"/>
  <c r="Y67" i="3"/>
  <c r="X67" i="3"/>
  <c r="W67" i="3"/>
  <c r="V67" i="3"/>
  <c r="U67" i="3"/>
  <c r="T67" i="3"/>
  <c r="T80" i="3" s="1"/>
  <c r="AN67" i="3"/>
  <c r="AM67" i="3"/>
  <c r="AL67" i="3"/>
  <c r="AK67" i="3"/>
  <c r="AJ67" i="3"/>
  <c r="AH67" i="3"/>
  <c r="AI67" i="3"/>
  <c r="R64" i="3"/>
  <c r="R63" i="3"/>
  <c r="P66" i="3"/>
  <c r="P48" i="3"/>
  <c r="L48" i="3"/>
  <c r="K48" i="3"/>
  <c r="J48" i="3"/>
  <c r="I48" i="3"/>
  <c r="H48" i="3"/>
  <c r="G48" i="3"/>
  <c r="F48" i="3"/>
  <c r="H65" i="3"/>
  <c r="G65" i="3"/>
  <c r="H58" i="3"/>
  <c r="G58" i="3"/>
  <c r="H57" i="3"/>
  <c r="G57" i="3"/>
  <c r="H56" i="3"/>
  <c r="G56" i="3"/>
  <c r="H54" i="3"/>
  <c r="G54" i="3"/>
  <c r="H53" i="3"/>
  <c r="G53" i="3"/>
  <c r="H52" i="3"/>
  <c r="G52" i="3"/>
  <c r="H50" i="3"/>
  <c r="G50" i="3"/>
  <c r="H47" i="3"/>
  <c r="G47" i="3"/>
  <c r="H45" i="3"/>
  <c r="G45" i="3"/>
  <c r="L58" i="3"/>
  <c r="K58" i="3"/>
  <c r="J58" i="3"/>
  <c r="I58" i="3"/>
  <c r="F58" i="3"/>
  <c r="L57" i="3"/>
  <c r="K57" i="3"/>
  <c r="J57" i="3"/>
  <c r="I57" i="3"/>
  <c r="F57" i="3"/>
  <c r="L56" i="3"/>
  <c r="K56" i="3"/>
  <c r="J56" i="3"/>
  <c r="I56" i="3"/>
  <c r="F56" i="3"/>
  <c r="L50" i="3"/>
  <c r="K50" i="3"/>
  <c r="J50" i="3"/>
  <c r="I50" i="3"/>
  <c r="F50" i="3"/>
  <c r="S39" i="3"/>
  <c r="S40" i="3" s="1"/>
  <c r="S69" i="3" s="1"/>
  <c r="Q46" i="3" l="1"/>
  <c r="Q61" i="3"/>
  <c r="AN80" i="3"/>
  <c r="AA80" i="3"/>
  <c r="AG80" i="3"/>
  <c r="AM80" i="3"/>
  <c r="Z80" i="3"/>
  <c r="Q76" i="3"/>
  <c r="Q75" i="3"/>
  <c r="Q73" i="3"/>
  <c r="Q79" i="3"/>
  <c r="Q57" i="3"/>
  <c r="Q49" i="3"/>
  <c r="Q47" i="3"/>
  <c r="Q58" i="3"/>
  <c r="Q56" i="3"/>
  <c r="Q48" i="3"/>
  <c r="Q59" i="3"/>
  <c r="Q55" i="3"/>
  <c r="Q45" i="3"/>
  <c r="Q54" i="3"/>
  <c r="Q51" i="3"/>
  <c r="Q53" i="3"/>
  <c r="Q50" i="3"/>
  <c r="Q52" i="3"/>
  <c r="Q67" i="3"/>
  <c r="AE80" i="3"/>
  <c r="AT80" i="3"/>
  <c r="BB80" i="3"/>
  <c r="W80" i="3"/>
  <c r="AJ80" i="3"/>
  <c r="AH80" i="3"/>
  <c r="V80" i="3"/>
  <c r="AD80" i="3"/>
  <c r="AC80" i="3"/>
  <c r="X80" i="3"/>
  <c r="AF80" i="3"/>
  <c r="AO80" i="3"/>
  <c r="AZ80" i="3"/>
  <c r="AR80" i="3"/>
  <c r="AS80" i="3"/>
  <c r="BA80" i="3"/>
  <c r="AU80" i="3"/>
  <c r="AP80" i="3"/>
  <c r="AX80" i="3"/>
  <c r="U80" i="3"/>
  <c r="AW80" i="3"/>
  <c r="EY80" i="3"/>
  <c r="AL80" i="3"/>
  <c r="Y80" i="3"/>
  <c r="AI80" i="3"/>
  <c r="AK80" i="3"/>
  <c r="R62" i="3"/>
  <c r="S2" i="3"/>
  <c r="GS37" i="3"/>
  <c r="GS80" i="3"/>
  <c r="T1" i="3"/>
  <c r="T2" i="3" l="1"/>
  <c r="T68" i="3"/>
  <c r="U1" i="3"/>
  <c r="T39" i="3"/>
  <c r="T40" i="3" s="1"/>
  <c r="T69" i="3" s="1"/>
  <c r="P6" i="3"/>
  <c r="P8" i="3"/>
  <c r="U39" i="3" l="1"/>
  <c r="U40" i="3" s="1"/>
  <c r="U69" i="3" s="1"/>
  <c r="U68" i="3"/>
  <c r="V1" i="3"/>
  <c r="U2" i="3"/>
  <c r="N37"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7" i="3"/>
  <c r="F7" i="3"/>
  <c r="P7" i="3"/>
  <c r="P9" i="3"/>
  <c r="P10" i="3"/>
  <c r="P13" i="3"/>
  <c r="P14" i="3"/>
  <c r="P15" i="3"/>
  <c r="P17" i="3"/>
  <c r="P18" i="3"/>
  <c r="P19" i="3"/>
  <c r="P20" i="3"/>
  <c r="P21" i="3"/>
  <c r="P22" i="3"/>
  <c r="P23" i="3"/>
  <c r="P24" i="3"/>
  <c r="P25" i="3"/>
  <c r="P26" i="3"/>
  <c r="P27" i="3"/>
  <c r="P28" i="3"/>
  <c r="P29" i="3"/>
  <c r="P30" i="3"/>
  <c r="P35" i="3"/>
  <c r="O37" i="3"/>
  <c r="S37" i="3"/>
  <c r="T37" i="3"/>
  <c r="U37" i="3"/>
  <c r="V37" i="3"/>
  <c r="W37" i="3"/>
  <c r="Y37" i="3"/>
  <c r="Z37" i="3"/>
  <c r="AA37" i="3"/>
  <c r="AB37" i="3"/>
  <c r="AC37" i="3"/>
  <c r="AD37" i="3"/>
  <c r="AE37" i="3"/>
  <c r="AF37" i="3"/>
  <c r="AG37" i="3"/>
  <c r="AH37" i="3"/>
  <c r="AI37" i="3"/>
  <c r="AJ37" i="3"/>
  <c r="AK37" i="3"/>
  <c r="AL37" i="3"/>
  <c r="AM37" i="3"/>
  <c r="AN37" i="3"/>
  <c r="AO37" i="3"/>
  <c r="AP37" i="3"/>
  <c r="AQ37" i="3"/>
  <c r="AR37" i="3"/>
  <c r="AS37" i="3"/>
  <c r="AT37" i="3"/>
  <c r="AU37" i="3"/>
  <c r="AV37" i="3"/>
  <c r="AW37" i="3"/>
  <c r="AX37" i="3"/>
  <c r="AY37" i="3"/>
  <c r="AZ37" i="3"/>
  <c r="BA37" i="3"/>
  <c r="BB37" i="3"/>
  <c r="BC37" i="3"/>
  <c r="BD37" i="3"/>
  <c r="BE37" i="3"/>
  <c r="BF37" i="3"/>
  <c r="BG37" i="3"/>
  <c r="BH37" i="3"/>
  <c r="BI37" i="3"/>
  <c r="BJ37" i="3"/>
  <c r="BK37" i="3"/>
  <c r="BL37" i="3"/>
  <c r="BM37" i="3"/>
  <c r="BN37" i="3"/>
  <c r="BO37" i="3"/>
  <c r="BQ37" i="3"/>
  <c r="BR37" i="3"/>
  <c r="BS37" i="3"/>
  <c r="BT37" i="3"/>
  <c r="BU37" i="3"/>
  <c r="BV37" i="3"/>
  <c r="BZ37" i="3"/>
  <c r="CA37" i="3"/>
  <c r="CB37" i="3"/>
  <c r="CC37" i="3"/>
  <c r="CD37" i="3"/>
  <c r="CE37" i="3"/>
  <c r="CI37" i="3"/>
  <c r="CJ37" i="3"/>
  <c r="CK37" i="3"/>
  <c r="CL37" i="3"/>
  <c r="CM37" i="3"/>
  <c r="CN37" i="3"/>
  <c r="CR37" i="3"/>
  <c r="CS37" i="3"/>
  <c r="CT37" i="3"/>
  <c r="CU37" i="3"/>
  <c r="CV37" i="3"/>
  <c r="CY37" i="3"/>
  <c r="DA37" i="3"/>
  <c r="DB37" i="3"/>
  <c r="DC37" i="3"/>
  <c r="DD37" i="3"/>
  <c r="DE37" i="3"/>
  <c r="DF37" i="3"/>
  <c r="DJ37" i="3"/>
  <c r="DK37" i="3"/>
  <c r="DL37" i="3"/>
  <c r="DM37" i="3"/>
  <c r="DN37" i="3"/>
  <c r="DO37" i="3"/>
  <c r="DS37" i="3"/>
  <c r="DT37" i="3"/>
  <c r="DU37" i="3"/>
  <c r="DV37" i="3"/>
  <c r="DW37" i="3"/>
  <c r="EB37" i="3"/>
  <c r="EC37" i="3"/>
  <c r="ED37" i="3"/>
  <c r="EE37" i="3"/>
  <c r="EF37" i="3"/>
  <c r="EK37" i="3"/>
  <c r="EL37" i="3"/>
  <c r="EM37" i="3"/>
  <c r="EN37" i="3"/>
  <c r="EO37" i="3"/>
  <c r="EP37" i="3"/>
  <c r="ET37" i="3"/>
  <c r="EU37" i="3"/>
  <c r="EV37" i="3"/>
  <c r="EW37" i="3"/>
  <c r="FC37" i="3"/>
  <c r="FD37" i="3"/>
  <c r="FE37" i="3"/>
  <c r="FF37" i="3"/>
  <c r="FG37" i="3"/>
  <c r="FK37" i="3"/>
  <c r="FL37" i="3"/>
  <c r="FM37" i="3"/>
  <c r="FN37" i="3"/>
  <c r="FO37" i="3"/>
  <c r="FP37" i="3"/>
  <c r="FQ37" i="3"/>
  <c r="FR37" i="3"/>
  <c r="FS37" i="3"/>
  <c r="FT37" i="3"/>
  <c r="FU37" i="3"/>
  <c r="FV37" i="3"/>
  <c r="FW37" i="3"/>
  <c r="FX37" i="3"/>
  <c r="FY37" i="3"/>
  <c r="FZ37" i="3"/>
  <c r="GA37" i="3"/>
  <c r="GB37" i="3"/>
  <c r="GC37" i="3"/>
  <c r="GD37" i="3"/>
  <c r="GE37" i="3"/>
  <c r="GF37" i="3"/>
  <c r="GG37" i="3"/>
  <c r="GH37" i="3"/>
  <c r="GI37" i="3"/>
  <c r="GJ37" i="3"/>
  <c r="GK37" i="3"/>
  <c r="GL37" i="3"/>
  <c r="GM37" i="3"/>
  <c r="GN37" i="3"/>
  <c r="GO37" i="3"/>
  <c r="GP37" i="3"/>
  <c r="GQ37" i="3"/>
  <c r="GR37" i="3"/>
  <c r="GT37" i="3"/>
  <c r="GU37" i="3"/>
  <c r="GV37" i="3"/>
  <c r="GW37" i="3"/>
  <c r="GX37" i="3"/>
  <c r="GY37" i="3"/>
  <c r="HA37" i="3"/>
  <c r="HB37" i="3"/>
  <c r="HC37" i="3"/>
  <c r="HD37" i="3"/>
  <c r="HE37" i="3"/>
  <c r="HF37" i="3"/>
  <c r="HG37" i="3"/>
  <c r="HH37" i="3"/>
  <c r="HI37" i="3"/>
  <c r="HJ37" i="3"/>
  <c r="HK37" i="3"/>
  <c r="HL37" i="3"/>
  <c r="HM37" i="3"/>
  <c r="HN37" i="3"/>
  <c r="HO37" i="3"/>
  <c r="HP37" i="3"/>
  <c r="HQ37" i="3"/>
  <c r="HR37" i="3"/>
  <c r="HS37" i="3"/>
  <c r="HT37" i="3"/>
  <c r="HU37" i="3"/>
  <c r="HV37" i="3"/>
  <c r="HW37" i="3"/>
  <c r="HX37" i="3"/>
  <c r="HY37" i="3"/>
  <c r="HZ37" i="3"/>
  <c r="IA37" i="3"/>
  <c r="IB37" i="3"/>
  <c r="IC37" i="3"/>
  <c r="ID37" i="3"/>
  <c r="IE37" i="3"/>
  <c r="IF37" i="3"/>
  <c r="IG37" i="3"/>
  <c r="IH37" i="3"/>
  <c r="II37" i="3"/>
  <c r="IJ37" i="3"/>
  <c r="IK37" i="3"/>
  <c r="IL37" i="3"/>
  <c r="IM37" i="3"/>
  <c r="IN37" i="3"/>
  <c r="IO37" i="3"/>
  <c r="IP37" i="3"/>
  <c r="IQ37" i="3"/>
  <c r="IR37" i="3"/>
  <c r="IS37" i="3"/>
  <c r="IT37" i="3"/>
  <c r="IU37" i="3"/>
  <c r="IV37" i="3"/>
  <c r="IW37" i="3"/>
  <c r="IX37" i="3"/>
  <c r="IY37" i="3"/>
  <c r="IZ37" i="3"/>
  <c r="JA37" i="3"/>
  <c r="JB37" i="3"/>
  <c r="JC37" i="3"/>
  <c r="JD37" i="3"/>
  <c r="JE37" i="3"/>
  <c r="JF37" i="3"/>
  <c r="JG37" i="3"/>
  <c r="JH37" i="3"/>
  <c r="JI37" i="3"/>
  <c r="JJ37" i="3"/>
  <c r="JK37" i="3"/>
  <c r="JL37" i="3"/>
  <c r="JM37" i="3"/>
  <c r="JN37" i="3"/>
  <c r="JO37" i="3"/>
  <c r="JP37" i="3"/>
  <c r="JQ37" i="3"/>
  <c r="JR37" i="3"/>
  <c r="JS37" i="3"/>
  <c r="JT37" i="3"/>
  <c r="JU37" i="3"/>
  <c r="JV37" i="3"/>
  <c r="JW37" i="3"/>
  <c r="JX37" i="3"/>
  <c r="JY37" i="3"/>
  <c r="JZ37" i="3"/>
  <c r="KA37" i="3"/>
  <c r="KB37" i="3"/>
  <c r="KC37" i="3"/>
  <c r="KD37" i="3"/>
  <c r="KE37" i="3"/>
  <c r="KF37" i="3"/>
  <c r="KG37" i="3"/>
  <c r="KH37" i="3"/>
  <c r="KI37" i="3"/>
  <c r="KJ37" i="3"/>
  <c r="KK37" i="3"/>
  <c r="KL37" i="3"/>
  <c r="KM37" i="3"/>
  <c r="KN37" i="3"/>
  <c r="KO37" i="3"/>
  <c r="KP37" i="3"/>
  <c r="KQ37" i="3"/>
  <c r="KR37" i="3"/>
  <c r="KS37" i="3"/>
  <c r="KT37" i="3"/>
  <c r="KU37" i="3"/>
  <c r="KV37" i="3"/>
  <c r="KW37" i="3"/>
  <c r="KX37" i="3"/>
  <c r="KY37" i="3"/>
  <c r="KZ37" i="3"/>
  <c r="LA37" i="3"/>
  <c r="LB37" i="3"/>
  <c r="LC37" i="3"/>
  <c r="LD37" i="3"/>
  <c r="LE37" i="3"/>
  <c r="LF37" i="3"/>
  <c r="LG37" i="3"/>
  <c r="LH37" i="3"/>
  <c r="LI37" i="3"/>
  <c r="LJ37" i="3"/>
  <c r="LK37" i="3"/>
  <c r="LL37" i="3"/>
  <c r="LM37" i="3"/>
  <c r="LN37" i="3"/>
  <c r="LO37" i="3"/>
  <c r="LP37" i="3"/>
  <c r="LQ37" i="3"/>
  <c r="LR37" i="3"/>
  <c r="LS37" i="3"/>
  <c r="LT37" i="3"/>
  <c r="LU37" i="3"/>
  <c r="LV37" i="3"/>
  <c r="LW37" i="3"/>
  <c r="LX37" i="3"/>
  <c r="LY37" i="3"/>
  <c r="LZ37" i="3"/>
  <c r="MA37" i="3"/>
  <c r="MB37" i="3"/>
  <c r="MC37" i="3"/>
  <c r="MD37" i="3"/>
  <c r="ME37" i="3"/>
  <c r="MF37" i="3"/>
  <c r="MG37" i="3"/>
  <c r="MH37" i="3"/>
  <c r="MI37" i="3"/>
  <c r="MJ37" i="3"/>
  <c r="MK37" i="3"/>
  <c r="ML37" i="3"/>
  <c r="MM37" i="3"/>
  <c r="MN37" i="3"/>
  <c r="MO37" i="3"/>
  <c r="MP37" i="3"/>
  <c r="MQ37" i="3"/>
  <c r="MR37" i="3"/>
  <c r="P44" i="3"/>
  <c r="F45" i="3"/>
  <c r="I45" i="3"/>
  <c r="J45" i="3"/>
  <c r="K45" i="3"/>
  <c r="L45" i="3"/>
  <c r="P45" i="3"/>
  <c r="F47" i="3"/>
  <c r="I47" i="3"/>
  <c r="J47" i="3"/>
  <c r="K47" i="3"/>
  <c r="L47" i="3"/>
  <c r="P47" i="3"/>
  <c r="P50" i="3"/>
  <c r="F52" i="3"/>
  <c r="I52" i="3"/>
  <c r="J52" i="3"/>
  <c r="K52" i="3"/>
  <c r="L52" i="3"/>
  <c r="P52" i="3"/>
  <c r="F53" i="3"/>
  <c r="I53" i="3"/>
  <c r="J53" i="3"/>
  <c r="K53" i="3"/>
  <c r="L53" i="3"/>
  <c r="P53" i="3"/>
  <c r="F54" i="3"/>
  <c r="I54" i="3"/>
  <c r="J54" i="3"/>
  <c r="K54" i="3"/>
  <c r="L54" i="3"/>
  <c r="P54" i="3"/>
  <c r="P56" i="3"/>
  <c r="P57" i="3"/>
  <c r="P58" i="3"/>
  <c r="P62" i="3"/>
  <c r="P63" i="3"/>
  <c r="P64" i="3"/>
  <c r="F65" i="3"/>
  <c r="I65" i="3"/>
  <c r="J65" i="3"/>
  <c r="K65" i="3"/>
  <c r="L65" i="3"/>
  <c r="P65" i="3"/>
  <c r="F71" i="3"/>
  <c r="I71" i="3"/>
  <c r="J71" i="3"/>
  <c r="K71" i="3"/>
  <c r="L71" i="3"/>
  <c r="P71" i="3"/>
  <c r="F72" i="3"/>
  <c r="I72" i="3"/>
  <c r="J72" i="3"/>
  <c r="K72" i="3"/>
  <c r="L72" i="3"/>
  <c r="P72" i="3"/>
  <c r="P73" i="3"/>
  <c r="F74" i="3"/>
  <c r="I74" i="3"/>
  <c r="J74" i="3"/>
  <c r="K74" i="3"/>
  <c r="L74" i="3"/>
  <c r="P74" i="3"/>
  <c r="F75" i="3"/>
  <c r="I75" i="3"/>
  <c r="J75" i="3"/>
  <c r="K75" i="3"/>
  <c r="L75" i="3"/>
  <c r="P75" i="3"/>
  <c r="F76" i="3"/>
  <c r="I76" i="3"/>
  <c r="J76" i="3"/>
  <c r="K76" i="3"/>
  <c r="L76" i="3"/>
  <c r="P76" i="3"/>
  <c r="P77" i="3"/>
  <c r="S79" i="3"/>
  <c r="S80" i="3" s="1"/>
  <c r="BC80" i="3"/>
  <c r="BD80" i="3"/>
  <c r="BE80" i="3"/>
  <c r="BF80" i="3"/>
  <c r="BG80" i="3"/>
  <c r="BH80" i="3"/>
  <c r="BI80" i="3"/>
  <c r="BJ80" i="3"/>
  <c r="BK80" i="3"/>
  <c r="BL80" i="3"/>
  <c r="BM80" i="3"/>
  <c r="BN80" i="3"/>
  <c r="BO80" i="3"/>
  <c r="BQ80" i="3"/>
  <c r="BR80" i="3"/>
  <c r="BS80" i="3"/>
  <c r="BT80" i="3"/>
  <c r="BU80" i="3"/>
  <c r="BV80" i="3"/>
  <c r="BY80" i="3"/>
  <c r="BZ80" i="3"/>
  <c r="CA80" i="3"/>
  <c r="CB80" i="3"/>
  <c r="CC80" i="3"/>
  <c r="CD80" i="3"/>
  <c r="CE80" i="3"/>
  <c r="CH80" i="3"/>
  <c r="CI80" i="3"/>
  <c r="CJ80" i="3"/>
  <c r="CK80" i="3"/>
  <c r="CL80" i="3"/>
  <c r="CM80" i="3"/>
  <c r="CN80" i="3"/>
  <c r="CQ80" i="3"/>
  <c r="CR80" i="3"/>
  <c r="CS80" i="3"/>
  <c r="CT80" i="3"/>
  <c r="CU80" i="3"/>
  <c r="CV80" i="3"/>
  <c r="CY80" i="3"/>
  <c r="CZ80" i="3"/>
  <c r="DA80" i="3"/>
  <c r="DB80" i="3"/>
  <c r="DC80" i="3"/>
  <c r="DD80" i="3"/>
  <c r="DE80" i="3"/>
  <c r="DF80" i="3"/>
  <c r="DI80" i="3"/>
  <c r="DJ80" i="3"/>
  <c r="DK80" i="3"/>
  <c r="DL80" i="3"/>
  <c r="DM80" i="3"/>
  <c r="DN80" i="3"/>
  <c r="DO80" i="3"/>
  <c r="DR80" i="3"/>
  <c r="DS80" i="3"/>
  <c r="DT80" i="3"/>
  <c r="DU80" i="3"/>
  <c r="DV80" i="3"/>
  <c r="DW80" i="3"/>
  <c r="DZ80" i="3"/>
  <c r="EA80" i="3"/>
  <c r="EB80" i="3"/>
  <c r="EC80" i="3"/>
  <c r="ED80" i="3"/>
  <c r="EE80" i="3"/>
  <c r="EF80" i="3"/>
  <c r="EI80" i="3"/>
  <c r="EJ80" i="3"/>
  <c r="EK80" i="3"/>
  <c r="EL80" i="3"/>
  <c r="EM80" i="3"/>
  <c r="EN80" i="3"/>
  <c r="EO80" i="3"/>
  <c r="EP80" i="3"/>
  <c r="ES80" i="3"/>
  <c r="ET80" i="3"/>
  <c r="EU80" i="3"/>
  <c r="EV80" i="3"/>
  <c r="EW80" i="3"/>
  <c r="EX80" i="3"/>
  <c r="FB80" i="3"/>
  <c r="FC80" i="3"/>
  <c r="FD80" i="3"/>
  <c r="FE80" i="3"/>
  <c r="FF80" i="3"/>
  <c r="FG80" i="3"/>
  <c r="FH80" i="3"/>
  <c r="FK80" i="3"/>
  <c r="FL80" i="3"/>
  <c r="FM80" i="3"/>
  <c r="FN80" i="3"/>
  <c r="FO80" i="3"/>
  <c r="FP80" i="3"/>
  <c r="FQ80" i="3"/>
  <c r="FR80" i="3"/>
  <c r="FS80" i="3"/>
  <c r="FT80" i="3"/>
  <c r="FU80" i="3"/>
  <c r="FV80" i="3"/>
  <c r="FW80" i="3"/>
  <c r="FX80" i="3"/>
  <c r="FY80" i="3"/>
  <c r="FZ80" i="3"/>
  <c r="GA80" i="3"/>
  <c r="GB80" i="3"/>
  <c r="GC80" i="3"/>
  <c r="GD80" i="3"/>
  <c r="GE80" i="3"/>
  <c r="GF80" i="3"/>
  <c r="GG80" i="3"/>
  <c r="GH80" i="3"/>
  <c r="GI80" i="3"/>
  <c r="GJ80" i="3"/>
  <c r="GK80" i="3"/>
  <c r="GL80" i="3"/>
  <c r="GM80" i="3"/>
  <c r="GN80" i="3"/>
  <c r="GO80" i="3"/>
  <c r="GP80" i="3"/>
  <c r="GQ80" i="3"/>
  <c r="GR80" i="3"/>
  <c r="GT80" i="3"/>
  <c r="GU80" i="3"/>
  <c r="GV80" i="3"/>
  <c r="GW80" i="3"/>
  <c r="GX80" i="3"/>
  <c r="GY80" i="3"/>
  <c r="GZ80" i="3"/>
  <c r="HA80" i="3"/>
  <c r="HB80" i="3"/>
  <c r="HC80" i="3"/>
  <c r="HD80" i="3"/>
  <c r="HE80" i="3"/>
  <c r="HF80" i="3"/>
  <c r="HG80" i="3"/>
  <c r="HH80" i="3"/>
  <c r="HI80" i="3"/>
  <c r="HJ80" i="3"/>
  <c r="HK80" i="3"/>
  <c r="HL80" i="3"/>
  <c r="HM80" i="3"/>
  <c r="HN80" i="3"/>
  <c r="HO80" i="3"/>
  <c r="HP80" i="3"/>
  <c r="HQ80" i="3"/>
  <c r="HR80" i="3"/>
  <c r="HS80" i="3"/>
  <c r="HT80" i="3"/>
  <c r="HU80" i="3"/>
  <c r="HV80" i="3"/>
  <c r="HW80" i="3"/>
  <c r="HX80" i="3"/>
  <c r="HY80" i="3"/>
  <c r="HZ80" i="3"/>
  <c r="IA80" i="3"/>
  <c r="IB80" i="3"/>
  <c r="IC80" i="3"/>
  <c r="ID80" i="3"/>
  <c r="IE80" i="3"/>
  <c r="IF80" i="3"/>
  <c r="IG80" i="3"/>
  <c r="IH80" i="3"/>
  <c r="II80" i="3"/>
  <c r="IJ80" i="3"/>
  <c r="IK80" i="3"/>
  <c r="IL80" i="3"/>
  <c r="IM80" i="3"/>
  <c r="IN80" i="3"/>
  <c r="IO80" i="3"/>
  <c r="IP80" i="3"/>
  <c r="IQ80" i="3"/>
  <c r="IR80" i="3"/>
  <c r="IS80" i="3"/>
  <c r="IT80" i="3"/>
  <c r="IU80" i="3"/>
  <c r="IV80" i="3"/>
  <c r="IW80" i="3"/>
  <c r="IX80" i="3"/>
  <c r="IY80" i="3"/>
  <c r="IZ80" i="3"/>
  <c r="JA80" i="3"/>
  <c r="JB80" i="3"/>
  <c r="JC80" i="3"/>
  <c r="JD80" i="3"/>
  <c r="JE80" i="3"/>
  <c r="JF80" i="3"/>
  <c r="JG80" i="3"/>
  <c r="JH80" i="3"/>
  <c r="JI80" i="3"/>
  <c r="JJ80" i="3"/>
  <c r="JK80" i="3"/>
  <c r="JL80" i="3"/>
  <c r="JM80" i="3"/>
  <c r="JN80" i="3"/>
  <c r="JO80" i="3"/>
  <c r="JP80" i="3"/>
  <c r="JQ80" i="3"/>
  <c r="JR80" i="3"/>
  <c r="JS80" i="3"/>
  <c r="JT80" i="3"/>
  <c r="JU80" i="3"/>
  <c r="JV80" i="3"/>
  <c r="JW80" i="3"/>
  <c r="JX80" i="3"/>
  <c r="JY80" i="3"/>
  <c r="JZ80" i="3"/>
  <c r="KA80" i="3"/>
  <c r="KB80" i="3"/>
  <c r="KC80" i="3"/>
  <c r="KD80" i="3"/>
  <c r="KE80" i="3"/>
  <c r="KF80" i="3"/>
  <c r="KG80" i="3"/>
  <c r="KH80" i="3"/>
  <c r="KI80" i="3"/>
  <c r="KJ80" i="3"/>
  <c r="KK80" i="3"/>
  <c r="KL80" i="3"/>
  <c r="KM80" i="3"/>
  <c r="KN80" i="3"/>
  <c r="KO80" i="3"/>
  <c r="KP80" i="3"/>
  <c r="KQ80" i="3"/>
  <c r="KR80" i="3"/>
  <c r="KS80" i="3"/>
  <c r="KT80" i="3"/>
  <c r="KU80" i="3"/>
  <c r="KV80" i="3"/>
  <c r="KW80" i="3"/>
  <c r="KX80" i="3"/>
  <c r="KY80" i="3"/>
  <c r="KZ80" i="3"/>
  <c r="LA80" i="3"/>
  <c r="LB80" i="3"/>
  <c r="LC80" i="3"/>
  <c r="LD80" i="3"/>
  <c r="LE80" i="3"/>
  <c r="LF80" i="3"/>
  <c r="LG80" i="3"/>
  <c r="LH80" i="3"/>
  <c r="LI80" i="3"/>
  <c r="LJ80" i="3"/>
  <c r="LK80" i="3"/>
  <c r="LL80" i="3"/>
  <c r="LM80" i="3"/>
  <c r="LN80" i="3"/>
  <c r="LO80" i="3"/>
  <c r="LP80" i="3"/>
  <c r="LQ80" i="3"/>
  <c r="LR80" i="3"/>
  <c r="LS80" i="3"/>
  <c r="LT80" i="3"/>
  <c r="LU80" i="3"/>
  <c r="LV80" i="3"/>
  <c r="LW80" i="3"/>
  <c r="LX80" i="3"/>
  <c r="LY80" i="3"/>
  <c r="LZ80" i="3"/>
  <c r="MA80" i="3"/>
  <c r="MB80" i="3"/>
  <c r="MC80" i="3"/>
  <c r="MD80" i="3"/>
  <c r="ME80" i="3"/>
  <c r="MF80" i="3"/>
  <c r="MG80" i="3"/>
  <c r="MH80" i="3"/>
  <c r="MI80" i="3"/>
  <c r="MJ80" i="3"/>
  <c r="MK80" i="3"/>
  <c r="ML80" i="3"/>
  <c r="MM80" i="3"/>
  <c r="MN80" i="3"/>
  <c r="MO80" i="3"/>
  <c r="MP80" i="3"/>
  <c r="MQ80" i="3"/>
  <c r="MR80" i="3"/>
  <c r="P83" i="3"/>
  <c r="P84" i="3"/>
  <c r="P85" i="3"/>
  <c r="P86" i="3"/>
  <c r="P88" i="3"/>
  <c r="P89" i="3"/>
  <c r="P90" i="3"/>
  <c r="Q87" i="3" s="1"/>
  <c r="Q32" i="3" l="1"/>
  <c r="Q31" i="3"/>
  <c r="Q33" i="3"/>
  <c r="Q30" i="3"/>
  <c r="Q88" i="3"/>
  <c r="Q83" i="3"/>
  <c r="V39" i="3"/>
  <c r="V40" i="3" s="1"/>
  <c r="V69" i="3" s="1"/>
  <c r="V68" i="3"/>
  <c r="V2" i="3"/>
  <c r="W1" i="3"/>
  <c r="H37" i="3"/>
  <c r="G37" i="3"/>
  <c r="K37" i="3"/>
  <c r="L37" i="3"/>
  <c r="I37" i="3"/>
  <c r="F37" i="3"/>
  <c r="J37" i="3"/>
  <c r="W39" i="3" l="1"/>
  <c r="W40" i="3" s="1"/>
  <c r="W69" i="3" s="1"/>
  <c r="W68" i="3"/>
  <c r="W2" i="3"/>
  <c r="X1" i="3"/>
  <c r="X39" i="3" l="1"/>
  <c r="X40" i="3" s="1"/>
  <c r="X69" i="3" s="1"/>
  <c r="X68" i="3"/>
  <c r="X2" i="3"/>
  <c r="Y1" i="3"/>
  <c r="Y2" i="3" s="1"/>
  <c r="Y39" i="3" l="1"/>
  <c r="Y40" i="3" s="1"/>
  <c r="Y69" i="3" s="1"/>
  <c r="Y68" i="3"/>
  <c r="Z1" i="3"/>
  <c r="Z39" i="3" l="1"/>
  <c r="Z40" i="3" s="1"/>
  <c r="Z69" i="3" s="1"/>
  <c r="Z68" i="3"/>
  <c r="Z2" i="3"/>
  <c r="AA1" i="3"/>
  <c r="AA39" i="3" l="1"/>
  <c r="AA40" i="3" s="1"/>
  <c r="AA69" i="3" s="1"/>
  <c r="AA68" i="3"/>
  <c r="AA2" i="3"/>
  <c r="AB1" i="3"/>
  <c r="AB39" i="3" l="1"/>
  <c r="AB40" i="3" s="1"/>
  <c r="AB69" i="3" s="1"/>
  <c r="AB68" i="3"/>
  <c r="AB2" i="3"/>
  <c r="AC1" i="3"/>
  <c r="AC39" i="3" l="1"/>
  <c r="AC40" i="3" s="1"/>
  <c r="AC69" i="3" s="1"/>
  <c r="AC68" i="3"/>
  <c r="AD1" i="3"/>
  <c r="AC2" i="3"/>
  <c r="AD39" i="3" l="1"/>
  <c r="AD40" i="3" s="1"/>
  <c r="AD69" i="3" s="1"/>
  <c r="AD68" i="3"/>
  <c r="AD2" i="3"/>
  <c r="AE1" i="3"/>
  <c r="AE39" i="3" l="1"/>
  <c r="AE40" i="3" s="1"/>
  <c r="AE69" i="3" s="1"/>
  <c r="AE68" i="3"/>
  <c r="AE2" i="3"/>
  <c r="AF1" i="3"/>
  <c r="AF39" i="3" l="1"/>
  <c r="AF40" i="3" s="1"/>
  <c r="AF69" i="3" s="1"/>
  <c r="AF68" i="3"/>
  <c r="AF2" i="3"/>
  <c r="AG1" i="3"/>
  <c r="AG39" i="3" l="1"/>
  <c r="AG40" i="3" s="1"/>
  <c r="AG69" i="3" s="1"/>
  <c r="AG68" i="3"/>
  <c r="AG2" i="3"/>
  <c r="AH1" i="3"/>
  <c r="AH39" i="3" l="1"/>
  <c r="AH40" i="3" s="1"/>
  <c r="AH69" i="3" s="1"/>
  <c r="AH68" i="3"/>
  <c r="AH2" i="3"/>
  <c r="AI1" i="3"/>
  <c r="AI39" i="3" l="1"/>
  <c r="AI40" i="3" s="1"/>
  <c r="AI69" i="3" s="1"/>
  <c r="AI68" i="3"/>
  <c r="AI2" i="3"/>
  <c r="AJ1" i="3"/>
  <c r="AJ39" i="3" l="1"/>
  <c r="AJ40" i="3" s="1"/>
  <c r="AJ69" i="3" s="1"/>
  <c r="AJ68" i="3"/>
  <c r="AJ2" i="3"/>
  <c r="AK1" i="3"/>
  <c r="AK39" i="3" l="1"/>
  <c r="AK40" i="3" s="1"/>
  <c r="AK69" i="3" s="1"/>
  <c r="AK68" i="3"/>
  <c r="AK2" i="3"/>
  <c r="AL1" i="3"/>
  <c r="AL39" i="3" l="1"/>
  <c r="AL40" i="3" s="1"/>
  <c r="AL69" i="3" s="1"/>
  <c r="AL68" i="3"/>
  <c r="AL2" i="3"/>
  <c r="AM1" i="3"/>
  <c r="AM39" i="3" l="1"/>
  <c r="AM40" i="3" s="1"/>
  <c r="AM69" i="3" s="1"/>
  <c r="AM68" i="3"/>
  <c r="AM2" i="3"/>
  <c r="AN1" i="3"/>
  <c r="AN39" i="3" l="1"/>
  <c r="AN40" i="3" s="1"/>
  <c r="AN69" i="3" s="1"/>
  <c r="AN68" i="3"/>
  <c r="AN2" i="3"/>
  <c r="AO1" i="3"/>
  <c r="AO39" i="3" l="1"/>
  <c r="AO40" i="3" s="1"/>
  <c r="AO69" i="3" s="1"/>
  <c r="AO68" i="3"/>
  <c r="AO2" i="3"/>
  <c r="AP1" i="3"/>
  <c r="AQ1" i="3" s="1"/>
  <c r="AP2" i="3" l="1"/>
  <c r="AQ39" i="3"/>
  <c r="AQ40" i="3" s="1"/>
  <c r="AQ69" i="3" s="1"/>
  <c r="AQ68" i="3"/>
  <c r="AP39" i="3"/>
  <c r="AP40" i="3" s="1"/>
  <c r="AP69" i="3" s="1"/>
  <c r="AP68" i="3"/>
  <c r="AR1" i="3"/>
  <c r="AQ2" i="3"/>
  <c r="AR39" i="3" l="1"/>
  <c r="AR40" i="3" s="1"/>
  <c r="AR69" i="3" s="1"/>
  <c r="AR68" i="3"/>
  <c r="AS1" i="3"/>
  <c r="AR2" i="3"/>
  <c r="AS39" i="3" l="1"/>
  <c r="AS40" i="3" s="1"/>
  <c r="AS69" i="3" s="1"/>
  <c r="AS68" i="3"/>
  <c r="AT1" i="3"/>
  <c r="AS2" i="3"/>
  <c r="AT39" i="3" l="1"/>
  <c r="AT40" i="3" s="1"/>
  <c r="AT69" i="3" s="1"/>
  <c r="AT68" i="3"/>
  <c r="AU1" i="3"/>
  <c r="AT2" i="3"/>
  <c r="AU39" i="3" l="1"/>
  <c r="AU40" i="3" s="1"/>
  <c r="AU69" i="3" s="1"/>
  <c r="AU68" i="3"/>
  <c r="AV1" i="3"/>
  <c r="AU2" i="3"/>
  <c r="AV39" i="3" l="1"/>
  <c r="AV40" i="3" s="1"/>
  <c r="AV69" i="3" s="1"/>
  <c r="AV68" i="3"/>
  <c r="AW1" i="3"/>
  <c r="AV2" i="3"/>
  <c r="AW39" i="3" l="1"/>
  <c r="AW40" i="3" s="1"/>
  <c r="AW69" i="3" s="1"/>
  <c r="AW68" i="3"/>
  <c r="AX1" i="3"/>
  <c r="AW2" i="3"/>
  <c r="AX39" i="3" l="1"/>
  <c r="AX40" i="3" s="1"/>
  <c r="AX69" i="3" s="1"/>
  <c r="AX68" i="3"/>
  <c r="AY1" i="3"/>
  <c r="AX2" i="3"/>
  <c r="AY39" i="3" l="1"/>
  <c r="AY40" i="3" s="1"/>
  <c r="AY69" i="3" s="1"/>
  <c r="AY68" i="3"/>
  <c r="AZ1" i="3"/>
  <c r="AY2" i="3"/>
  <c r="AZ39" i="3" l="1"/>
  <c r="AZ40" i="3" s="1"/>
  <c r="AZ69" i="3" s="1"/>
  <c r="AZ68" i="3"/>
  <c r="BA1" i="3"/>
  <c r="AZ2" i="3"/>
  <c r="BA39" i="3" l="1"/>
  <c r="BA40" i="3" s="1"/>
  <c r="BA69" i="3" s="1"/>
  <c r="BA68" i="3"/>
  <c r="BB1" i="3"/>
  <c r="BA2" i="3"/>
  <c r="BB39" i="3" l="1"/>
  <c r="BB40" i="3" s="1"/>
  <c r="BB69" i="3" s="1"/>
  <c r="BB68" i="3"/>
  <c r="BC1" i="3"/>
  <c r="BB2" i="3"/>
  <c r="BC39" i="3" l="1"/>
  <c r="BC40" i="3" s="1"/>
  <c r="BC69" i="3" s="1"/>
  <c r="BC68" i="3"/>
  <c r="BD1" i="3"/>
  <c r="BC2" i="3"/>
  <c r="BD39" i="3" l="1"/>
  <c r="BD40" i="3" s="1"/>
  <c r="BD69" i="3" s="1"/>
  <c r="BD68" i="3"/>
  <c r="BE1" i="3"/>
  <c r="BD2" i="3"/>
  <c r="BE39" i="3" l="1"/>
  <c r="BE40" i="3" s="1"/>
  <c r="BE69" i="3" s="1"/>
  <c r="BE68" i="3"/>
  <c r="BF1" i="3"/>
  <c r="BE2" i="3"/>
  <c r="BF39" i="3" l="1"/>
  <c r="BF40" i="3" s="1"/>
  <c r="BF69" i="3" s="1"/>
  <c r="BF68" i="3"/>
  <c r="BG1" i="3"/>
  <c r="BF2" i="3"/>
  <c r="BG39" i="3" l="1"/>
  <c r="BG40" i="3" s="1"/>
  <c r="BG69" i="3" s="1"/>
  <c r="BG68" i="3"/>
  <c r="BH1" i="3"/>
  <c r="BG2" i="3"/>
  <c r="BH39" i="3" l="1"/>
  <c r="BH40" i="3" s="1"/>
  <c r="BH69" i="3" s="1"/>
  <c r="BH68" i="3"/>
  <c r="BI1" i="3"/>
  <c r="BH2" i="3"/>
  <c r="BI39" i="3" l="1"/>
  <c r="BI40" i="3" s="1"/>
  <c r="BI69" i="3" s="1"/>
  <c r="BI68" i="3"/>
  <c r="BJ1" i="3"/>
  <c r="BI2" i="3"/>
  <c r="BJ39" i="3" l="1"/>
  <c r="BJ40" i="3" s="1"/>
  <c r="BJ69" i="3" s="1"/>
  <c r="BJ68" i="3"/>
  <c r="BK1" i="3"/>
  <c r="BJ2" i="3"/>
  <c r="BK39" i="3" l="1"/>
  <c r="BK40" i="3" s="1"/>
  <c r="BK69" i="3" s="1"/>
  <c r="BK68" i="3"/>
  <c r="BL1" i="3"/>
  <c r="BK2" i="3"/>
  <c r="BL39" i="3" l="1"/>
  <c r="BL40" i="3" s="1"/>
  <c r="BL69" i="3" s="1"/>
  <c r="BL68" i="3"/>
  <c r="BM1" i="3"/>
  <c r="BL2" i="3"/>
  <c r="BM39" i="3" l="1"/>
  <c r="BM40" i="3" s="1"/>
  <c r="BM69" i="3" s="1"/>
  <c r="BM68" i="3"/>
  <c r="BN1" i="3"/>
  <c r="BM2" i="3"/>
  <c r="BN39" i="3" l="1"/>
  <c r="BN40" i="3" s="1"/>
  <c r="BN69" i="3" s="1"/>
  <c r="BN68" i="3"/>
  <c r="BO1" i="3"/>
  <c r="BP1" i="3" s="1"/>
  <c r="BP68" i="3" s="1"/>
  <c r="BN2" i="3"/>
  <c r="BQ1" i="3" l="1"/>
  <c r="BP39" i="3"/>
  <c r="BO39" i="3"/>
  <c r="BO40" i="3" s="1"/>
  <c r="BO69" i="3" s="1"/>
  <c r="BO68" i="3"/>
  <c r="BO2" i="3"/>
  <c r="BQ39" i="3" l="1"/>
  <c r="BQ40" i="3" s="1"/>
  <c r="BQ69" i="3" s="1"/>
  <c r="BQ68" i="3"/>
  <c r="BR1" i="3"/>
  <c r="BQ2" i="3"/>
  <c r="BR39" i="3" l="1"/>
  <c r="BR40" i="3" s="1"/>
  <c r="BR69" i="3" s="1"/>
  <c r="BR68" i="3"/>
  <c r="BS1" i="3"/>
  <c r="BR2" i="3"/>
  <c r="BS39" i="3" l="1"/>
  <c r="BS40" i="3" s="1"/>
  <c r="BS69" i="3" s="1"/>
  <c r="BS68" i="3"/>
  <c r="BT1" i="3"/>
  <c r="BS2" i="3"/>
  <c r="BT39" i="3" l="1"/>
  <c r="BT40" i="3" s="1"/>
  <c r="BT69" i="3" s="1"/>
  <c r="BT68" i="3"/>
  <c r="BU1" i="3"/>
  <c r="BT2" i="3"/>
  <c r="BU39" i="3" l="1"/>
  <c r="BU40" i="3" s="1"/>
  <c r="BU69" i="3" s="1"/>
  <c r="BU68" i="3"/>
  <c r="BV1" i="3"/>
  <c r="BW1" i="3" s="1"/>
  <c r="BU2" i="3"/>
  <c r="BW39" i="3" l="1"/>
  <c r="BW68" i="3"/>
  <c r="BZ1" i="3"/>
  <c r="BW2" i="3"/>
  <c r="BV39" i="3"/>
  <c r="BV40" i="3" s="1"/>
  <c r="BV69" i="3" s="1"/>
  <c r="BV68"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9" i="3" l="1"/>
  <c r="DS40" i="3" s="1"/>
  <c r="DS69" i="3" s="1"/>
  <c r="DS68" i="3"/>
  <c r="DT1" i="3"/>
  <c r="DS2" i="3"/>
  <c r="DT39" i="3" l="1"/>
  <c r="DT40" i="3" s="1"/>
  <c r="DT69" i="3" s="1"/>
  <c r="DT68" i="3"/>
  <c r="DU1" i="3"/>
  <c r="DT2" i="3"/>
  <c r="DU39" i="3" l="1"/>
  <c r="DU40" i="3" s="1"/>
  <c r="DU69" i="3" s="1"/>
  <c r="DU68" i="3"/>
  <c r="DV1" i="3"/>
  <c r="DU2" i="3"/>
  <c r="DV39" i="3" l="1"/>
  <c r="DV40" i="3" s="1"/>
  <c r="DV69" i="3" s="1"/>
  <c r="DV68" i="3"/>
  <c r="DW1" i="3"/>
  <c r="DX1" i="3" s="1"/>
  <c r="DV2" i="3"/>
  <c r="DX2" i="3" l="1"/>
  <c r="DX39" i="3"/>
  <c r="DX40" i="3" s="1"/>
  <c r="DX69" i="3" s="1"/>
  <c r="DX68" i="3"/>
  <c r="DY1" i="3"/>
  <c r="DW39" i="3"/>
  <c r="DW40" i="3" s="1"/>
  <c r="DW69" i="3" s="1"/>
  <c r="DW68" i="3"/>
  <c r="DW2" i="3"/>
  <c r="DY68" i="3" l="1"/>
  <c r="DY39" i="3"/>
  <c r="DY40" i="3" s="1"/>
  <c r="DY69" i="3" s="1"/>
  <c r="EB1" i="3"/>
  <c r="EB39" i="3" s="1"/>
  <c r="EB40" i="3" s="1"/>
  <c r="EB69" i="3" s="1"/>
  <c r="DY2" i="3"/>
  <c r="EB2" i="3" l="1"/>
  <c r="EC1" i="3"/>
  <c r="EB68" i="3"/>
  <c r="EC39" i="3"/>
  <c r="EC40" i="3" s="1"/>
  <c r="EC69" i="3" s="1"/>
  <c r="EC68" i="3"/>
  <c r="ED1" i="3"/>
  <c r="EC2" i="3"/>
  <c r="ED39" i="3" l="1"/>
  <c r="ED40" i="3" s="1"/>
  <c r="ED69" i="3" s="1"/>
  <c r="ED68" i="3"/>
  <c r="EE1" i="3"/>
  <c r="ED2" i="3"/>
  <c r="EE39" i="3" l="1"/>
  <c r="EE40" i="3" s="1"/>
  <c r="EE69" i="3" s="1"/>
  <c r="EE68" i="3"/>
  <c r="EF1" i="3"/>
  <c r="EG1" i="3" s="1"/>
  <c r="EG68" i="3" s="1"/>
  <c r="EE2" i="3"/>
  <c r="EG39" i="3" l="1"/>
  <c r="EG40" i="3" s="1"/>
  <c r="EG69" i="3" s="1"/>
  <c r="EH1" i="3"/>
  <c r="EH68" i="3" s="1"/>
  <c r="EG2" i="3"/>
  <c r="EF39" i="3"/>
  <c r="EF40" i="3" s="1"/>
  <c r="EF69" i="3" s="1"/>
  <c r="EF68" i="3"/>
  <c r="EF2" i="3"/>
  <c r="EH39" i="3" l="1"/>
  <c r="EH40" i="3" s="1"/>
  <c r="EH69" i="3" s="1"/>
  <c r="EK1" i="3"/>
  <c r="EH2" i="3"/>
  <c r="EK39" i="3" l="1"/>
  <c r="EK40" i="3" s="1"/>
  <c r="EK69" i="3" s="1"/>
  <c r="EK68" i="3"/>
  <c r="EL1" i="3"/>
  <c r="EK2" i="3"/>
  <c r="EL39" i="3" l="1"/>
  <c r="EL40" i="3" s="1"/>
  <c r="EL69" i="3" s="1"/>
  <c r="EL68" i="3"/>
  <c r="EM1" i="3"/>
  <c r="EL2" i="3"/>
  <c r="EM39" i="3" l="1"/>
  <c r="EM40" i="3" s="1"/>
  <c r="EM69" i="3" s="1"/>
  <c r="EM68" i="3"/>
  <c r="EN1" i="3"/>
  <c r="EM2" i="3"/>
  <c r="EN39" i="3" l="1"/>
  <c r="EN40" i="3" s="1"/>
  <c r="EN69" i="3" s="1"/>
  <c r="EN68" i="3"/>
  <c r="EO1" i="3"/>
  <c r="EN2" i="3"/>
  <c r="EO39" i="3" l="1"/>
  <c r="EO40" i="3" s="1"/>
  <c r="EO69" i="3" s="1"/>
  <c r="EO68" i="3"/>
  <c r="EP1" i="3"/>
  <c r="EQ1" i="3" s="1"/>
  <c r="EO2" i="3"/>
  <c r="ET1" i="3" l="1"/>
  <c r="EQ39" i="3"/>
  <c r="EQ40" i="3" s="1"/>
  <c r="EQ69" i="3" s="1"/>
  <c r="EQ68" i="3"/>
  <c r="EQ2" i="3"/>
  <c r="EP39" i="3"/>
  <c r="EP40" i="3" s="1"/>
  <c r="EP69" i="3" s="1"/>
  <c r="EP68" i="3"/>
  <c r="EP2" i="3"/>
  <c r="ET39" i="3" l="1"/>
  <c r="ET40" i="3" s="1"/>
  <c r="ET69" i="3" s="1"/>
  <c r="ET68" i="3"/>
  <c r="EU1" i="3"/>
  <c r="ET2" i="3"/>
  <c r="EU39" i="3" l="1"/>
  <c r="EU40" i="3" s="1"/>
  <c r="EU69" i="3" s="1"/>
  <c r="EU68" i="3"/>
  <c r="EV1" i="3"/>
  <c r="EU2" i="3"/>
  <c r="EV39" i="3" l="1"/>
  <c r="EV40" i="3" s="1"/>
  <c r="EV69" i="3" s="1"/>
  <c r="EV68" i="3"/>
  <c r="EW1" i="3"/>
  <c r="EW68" i="3" s="1"/>
  <c r="EV2" i="3"/>
  <c r="EW39" i="3" l="1"/>
  <c r="EW40" i="3" s="1"/>
  <c r="EW69" i="3" s="1"/>
  <c r="EX1" i="3"/>
  <c r="EX68" i="3" s="1"/>
  <c r="EW2" i="3"/>
  <c r="EX39" i="3" l="1"/>
  <c r="EX40" i="3" s="1"/>
  <c r="EX69" i="3" s="1"/>
  <c r="EY1" i="3"/>
  <c r="EX2" i="3"/>
  <c r="EY68" i="3" l="1"/>
  <c r="EZ1" i="3"/>
  <c r="EY2" i="3"/>
  <c r="EY39" i="3"/>
  <c r="EY40" i="3" s="1"/>
  <c r="EY69" i="3" s="1"/>
  <c r="EZ2" i="3" l="1"/>
  <c r="EZ68" i="3"/>
  <c r="EZ39" i="3"/>
  <c r="EZ40" i="3" s="1"/>
  <c r="EZ69" i="3" s="1"/>
  <c r="FC1" i="3"/>
  <c r="FC68" i="3" s="1"/>
  <c r="FC2" i="3"/>
  <c r="FD1" i="3" l="1"/>
  <c r="FC39" i="3"/>
  <c r="FC40" i="3" s="1"/>
  <c r="FC69" i="3" s="1"/>
  <c r="FD39" i="3"/>
  <c r="FD40" i="3" s="1"/>
  <c r="FD69" i="3" s="1"/>
  <c r="FD68" i="3"/>
  <c r="FE1" i="3"/>
  <c r="FD2" i="3"/>
  <c r="FE39" i="3" l="1"/>
  <c r="FE40" i="3" s="1"/>
  <c r="FE69" i="3" s="1"/>
  <c r="FE68" i="3"/>
  <c r="FF1" i="3"/>
  <c r="FE2" i="3"/>
  <c r="FF39" i="3" l="1"/>
  <c r="FF40" i="3" s="1"/>
  <c r="FF69" i="3" s="1"/>
  <c r="FF68" i="3"/>
  <c r="FG1" i="3"/>
  <c r="FF2" i="3"/>
  <c r="FG39" i="3" l="1"/>
  <c r="FG40" i="3" s="1"/>
  <c r="FG69" i="3" s="1"/>
  <c r="FG68" i="3"/>
  <c r="FH1" i="3"/>
  <c r="FI1" i="3" s="1"/>
  <c r="FG2" i="3"/>
  <c r="FI2" i="3" l="1"/>
  <c r="FI39" i="3"/>
  <c r="FI40" i="3" s="1"/>
  <c r="FI69" i="3" s="1"/>
  <c r="FL1" i="3"/>
  <c r="FI68" i="3"/>
  <c r="FH39" i="3"/>
  <c r="FH40" i="3" s="1"/>
  <c r="FH69" i="3" s="1"/>
  <c r="FH68" i="3"/>
  <c r="FH2" i="3"/>
  <c r="FL39" i="3" l="1"/>
  <c r="FL40" i="3" s="1"/>
  <c r="FL69" i="3" s="1"/>
  <c r="FL68" i="3"/>
  <c r="FM1" i="3"/>
  <c r="FL2" i="3"/>
  <c r="FM39" i="3" l="1"/>
  <c r="FM40" i="3" s="1"/>
  <c r="FM69" i="3" s="1"/>
  <c r="FM68" i="3"/>
  <c r="FN1" i="3"/>
  <c r="FM2" i="3"/>
  <c r="FN39" i="3" l="1"/>
  <c r="FN40" i="3" s="1"/>
  <c r="FN69" i="3" s="1"/>
  <c r="FN68" i="3"/>
  <c r="FO1" i="3"/>
  <c r="FN2" i="3"/>
  <c r="FO39" i="3" l="1"/>
  <c r="FO40" i="3" s="1"/>
  <c r="FO69" i="3" s="1"/>
  <c r="FO68" i="3"/>
  <c r="FP1" i="3"/>
  <c r="FO2" i="3"/>
  <c r="FP39" i="3" l="1"/>
  <c r="FP40" i="3" s="1"/>
  <c r="FP69" i="3" s="1"/>
  <c r="FP68" i="3"/>
  <c r="FQ1" i="3"/>
  <c r="FP2" i="3"/>
  <c r="FQ39" i="3" l="1"/>
  <c r="FQ40" i="3" s="1"/>
  <c r="FQ69" i="3" s="1"/>
  <c r="FQ68" i="3"/>
  <c r="FR1" i="3"/>
  <c r="FQ2" i="3"/>
  <c r="FR39" i="3" l="1"/>
  <c r="FR40" i="3" s="1"/>
  <c r="FR69" i="3" s="1"/>
  <c r="FR68" i="3"/>
  <c r="FS1" i="3"/>
  <c r="FR2" i="3"/>
  <c r="FS39" i="3" l="1"/>
  <c r="FS40" i="3" s="1"/>
  <c r="FS69" i="3" s="1"/>
  <c r="FS68" i="3"/>
  <c r="FT1" i="3"/>
  <c r="FS2" i="3"/>
  <c r="FT39" i="3" l="1"/>
  <c r="FT40" i="3" s="1"/>
  <c r="FT69" i="3" s="1"/>
  <c r="FT68" i="3"/>
  <c r="FU1" i="3"/>
  <c r="FT2" i="3"/>
  <c r="FU39" i="3" l="1"/>
  <c r="FU40" i="3" s="1"/>
  <c r="FU69" i="3" s="1"/>
  <c r="FU68" i="3"/>
  <c r="FV1" i="3"/>
  <c r="FU2" i="3"/>
  <c r="FV39" i="3" l="1"/>
  <c r="FV40" i="3" s="1"/>
  <c r="FV69" i="3" s="1"/>
  <c r="FV68" i="3"/>
  <c r="FW1" i="3"/>
  <c r="FV2" i="3"/>
  <c r="FW39" i="3" l="1"/>
  <c r="FW40" i="3" s="1"/>
  <c r="FW69" i="3" s="1"/>
  <c r="FW68" i="3"/>
  <c r="FX1" i="3"/>
  <c r="FW2" i="3"/>
  <c r="FX39" i="3" l="1"/>
  <c r="FX40" i="3" s="1"/>
  <c r="FX69" i="3" s="1"/>
  <c r="FX68" i="3"/>
  <c r="FY1" i="3"/>
  <c r="FX2" i="3"/>
  <c r="FY39" i="3" l="1"/>
  <c r="FY40" i="3" s="1"/>
  <c r="FY69" i="3" s="1"/>
  <c r="FY68" i="3"/>
  <c r="FZ1" i="3"/>
  <c r="FY2" i="3"/>
  <c r="FZ39" i="3" l="1"/>
  <c r="FZ40" i="3" s="1"/>
  <c r="FZ69" i="3" s="1"/>
  <c r="FZ68" i="3"/>
  <c r="GA1" i="3"/>
  <c r="FZ2" i="3"/>
  <c r="GA39" i="3" l="1"/>
  <c r="GA40" i="3" s="1"/>
  <c r="GA69" i="3" s="1"/>
  <c r="GA68" i="3"/>
  <c r="GB1" i="3"/>
  <c r="GA2" i="3"/>
  <c r="GB39" i="3" l="1"/>
  <c r="GB40" i="3" s="1"/>
  <c r="GB69" i="3" s="1"/>
  <c r="GB68" i="3"/>
  <c r="GC1" i="3"/>
  <c r="GB2" i="3"/>
  <c r="GC39" i="3" l="1"/>
  <c r="GC40" i="3" s="1"/>
  <c r="GC69" i="3" s="1"/>
  <c r="GC68" i="3"/>
  <c r="GD1" i="3"/>
  <c r="GC2" i="3"/>
  <c r="GD39" i="3" l="1"/>
  <c r="GD40" i="3" s="1"/>
  <c r="GD69" i="3" s="1"/>
  <c r="GD68" i="3"/>
  <c r="GE1" i="3"/>
  <c r="GD2" i="3"/>
  <c r="GE39" i="3" l="1"/>
  <c r="GE40" i="3" s="1"/>
  <c r="GE69" i="3" s="1"/>
  <c r="GE68" i="3"/>
  <c r="GF1" i="3"/>
  <c r="GE2" i="3"/>
  <c r="GF39" i="3" l="1"/>
  <c r="GF40" i="3" s="1"/>
  <c r="GF69" i="3" s="1"/>
  <c r="GF68" i="3"/>
  <c r="GG1" i="3"/>
  <c r="GF2" i="3"/>
  <c r="GG39" i="3" l="1"/>
  <c r="GG40" i="3" s="1"/>
  <c r="GG69" i="3" s="1"/>
  <c r="GG68" i="3"/>
  <c r="GH1" i="3"/>
  <c r="GG2" i="3"/>
  <c r="GH39" i="3" l="1"/>
  <c r="GH40" i="3" s="1"/>
  <c r="GH69" i="3" s="1"/>
  <c r="GH68" i="3"/>
  <c r="GI1" i="3"/>
  <c r="GH2" i="3"/>
  <c r="GI39" i="3" l="1"/>
  <c r="GI40" i="3" s="1"/>
  <c r="GI69" i="3" s="1"/>
  <c r="GI68" i="3"/>
  <c r="GJ1" i="3"/>
  <c r="GI2" i="3"/>
  <c r="GJ39" i="3" l="1"/>
  <c r="GJ40" i="3" s="1"/>
  <c r="GJ69" i="3" s="1"/>
  <c r="GJ68" i="3"/>
  <c r="GK1" i="3"/>
  <c r="GJ2" i="3"/>
  <c r="GK39" i="3" l="1"/>
  <c r="GK40" i="3" s="1"/>
  <c r="GK69" i="3" s="1"/>
  <c r="GK68" i="3"/>
  <c r="GL1" i="3"/>
  <c r="GK2" i="3"/>
  <c r="GL39" i="3" l="1"/>
  <c r="GL40" i="3" s="1"/>
  <c r="GL69" i="3" s="1"/>
  <c r="GL68" i="3"/>
  <c r="GM1" i="3"/>
  <c r="GL2" i="3"/>
  <c r="GM39" i="3" l="1"/>
  <c r="GM40" i="3" s="1"/>
  <c r="GM69" i="3" s="1"/>
  <c r="GM68" i="3"/>
  <c r="GN1" i="3"/>
  <c r="GM2" i="3"/>
  <c r="GN39" i="3" l="1"/>
  <c r="GN40" i="3" s="1"/>
  <c r="GN69" i="3" s="1"/>
  <c r="GN68" i="3"/>
  <c r="GO1" i="3"/>
  <c r="GN2" i="3"/>
  <c r="GO39" i="3" l="1"/>
  <c r="GO40" i="3" s="1"/>
  <c r="GO69" i="3" s="1"/>
  <c r="GO68" i="3"/>
  <c r="GP1" i="3"/>
  <c r="GO2" i="3"/>
  <c r="GP39" i="3" l="1"/>
  <c r="GP40" i="3" s="1"/>
  <c r="GP69" i="3" s="1"/>
  <c r="GP68" i="3"/>
  <c r="GQ1" i="3"/>
  <c r="GP2" i="3"/>
  <c r="GQ39" i="3" l="1"/>
  <c r="GQ40" i="3" s="1"/>
  <c r="GQ69" i="3" s="1"/>
  <c r="GQ68" i="3"/>
  <c r="GR1" i="3"/>
  <c r="GQ2" i="3"/>
  <c r="GR39" i="3" l="1"/>
  <c r="GR40" i="3" s="1"/>
  <c r="GR69" i="3" s="1"/>
  <c r="GR68" i="3"/>
  <c r="GS1" i="3"/>
  <c r="GR2" i="3"/>
  <c r="GS39" i="3" l="1"/>
  <c r="GS40" i="3" s="1"/>
  <c r="GS69" i="3" s="1"/>
  <c r="GS68" i="3"/>
  <c r="GT1" i="3"/>
  <c r="GS2" i="3"/>
  <c r="GT39" i="3" l="1"/>
  <c r="GT40" i="3" s="1"/>
  <c r="GT69" i="3" s="1"/>
  <c r="GT68" i="3"/>
  <c r="GU1" i="3"/>
  <c r="GT2" i="3"/>
  <c r="GU39" i="3" l="1"/>
  <c r="GU40" i="3" s="1"/>
  <c r="GU69" i="3" s="1"/>
  <c r="GU68" i="3"/>
  <c r="GV1" i="3"/>
  <c r="GU2" i="3"/>
  <c r="GV39" i="3" l="1"/>
  <c r="GV40" i="3" s="1"/>
  <c r="GV69" i="3" s="1"/>
  <c r="GV68" i="3"/>
  <c r="GW1" i="3"/>
  <c r="GV2" i="3"/>
  <c r="GW39" i="3" l="1"/>
  <c r="GW40" i="3" s="1"/>
  <c r="GW69" i="3" s="1"/>
  <c r="GW68" i="3"/>
  <c r="GX1" i="3"/>
  <c r="GW2" i="3"/>
  <c r="GX39" i="3" l="1"/>
  <c r="GX40" i="3" s="1"/>
  <c r="GX69" i="3" s="1"/>
  <c r="GX68" i="3"/>
  <c r="GY1" i="3"/>
  <c r="GX2" i="3"/>
  <c r="GY39" i="3" l="1"/>
  <c r="GY40" i="3" s="1"/>
  <c r="GY69" i="3" s="1"/>
  <c r="GY68" i="3"/>
  <c r="GZ1" i="3"/>
  <c r="GY2" i="3"/>
  <c r="GZ39" i="3" l="1"/>
  <c r="GZ40" i="3" s="1"/>
  <c r="GZ69" i="3" s="1"/>
  <c r="GZ68" i="3"/>
  <c r="HA1" i="3"/>
  <c r="GZ2" i="3"/>
  <c r="HA39" i="3" l="1"/>
  <c r="HA40" i="3" s="1"/>
  <c r="HA69" i="3" s="1"/>
  <c r="HA68" i="3"/>
  <c r="HB1" i="3"/>
  <c r="HA2" i="3"/>
  <c r="HB39" i="3" l="1"/>
  <c r="HB40" i="3" s="1"/>
  <c r="HB69" i="3" s="1"/>
  <c r="HB68" i="3"/>
  <c r="HC1" i="3"/>
  <c r="HB2" i="3"/>
  <c r="HC39" i="3" l="1"/>
  <c r="HC40" i="3" s="1"/>
  <c r="HC69" i="3" s="1"/>
  <c r="HC68" i="3"/>
  <c r="HD1" i="3"/>
  <c r="HC2" i="3"/>
  <c r="HD39" i="3" l="1"/>
  <c r="HD40" i="3" s="1"/>
  <c r="HD69" i="3" s="1"/>
  <c r="HD68" i="3"/>
  <c r="HE1" i="3"/>
  <c r="HD2" i="3"/>
  <c r="HE39" i="3" l="1"/>
  <c r="HE40" i="3" s="1"/>
  <c r="HE69" i="3" s="1"/>
  <c r="HE68" i="3"/>
  <c r="HF1" i="3"/>
  <c r="HE2" i="3"/>
  <c r="HF39" i="3" l="1"/>
  <c r="HF40" i="3" s="1"/>
  <c r="HF69" i="3" s="1"/>
  <c r="HF68" i="3"/>
  <c r="HG1" i="3"/>
  <c r="HF2" i="3"/>
  <c r="HG39" i="3" l="1"/>
  <c r="HG40" i="3" s="1"/>
  <c r="HG69" i="3" s="1"/>
  <c r="HG68" i="3"/>
  <c r="HH1" i="3"/>
  <c r="HG2" i="3"/>
  <c r="HH39" i="3" l="1"/>
  <c r="HH40" i="3" s="1"/>
  <c r="HH69" i="3" s="1"/>
  <c r="HH68" i="3"/>
  <c r="HI1" i="3"/>
  <c r="HH2" i="3"/>
  <c r="HI39" i="3" l="1"/>
  <c r="HI40" i="3" s="1"/>
  <c r="HI69" i="3" s="1"/>
  <c r="HI68" i="3"/>
  <c r="HJ1" i="3"/>
  <c r="HI2" i="3"/>
  <c r="HJ39" i="3" l="1"/>
  <c r="HJ40" i="3" s="1"/>
  <c r="HJ69" i="3" s="1"/>
  <c r="HJ68" i="3"/>
  <c r="HK1" i="3"/>
  <c r="HJ2" i="3"/>
  <c r="HK39" i="3" l="1"/>
  <c r="HK40" i="3" s="1"/>
  <c r="HK69" i="3" s="1"/>
  <c r="HK68" i="3"/>
  <c r="HL1" i="3"/>
  <c r="HK2" i="3"/>
  <c r="HL39" i="3" l="1"/>
  <c r="HL40" i="3" s="1"/>
  <c r="HL69" i="3" s="1"/>
  <c r="HL68" i="3"/>
  <c r="HM1" i="3"/>
  <c r="HL2" i="3"/>
  <c r="HM39" i="3" l="1"/>
  <c r="HM40" i="3" s="1"/>
  <c r="HM69" i="3" s="1"/>
  <c r="HM68" i="3"/>
  <c r="HN1" i="3"/>
  <c r="HM2" i="3"/>
  <c r="HN39" i="3" l="1"/>
  <c r="HN40" i="3" s="1"/>
  <c r="HN69" i="3" s="1"/>
  <c r="HN68" i="3"/>
  <c r="HO1" i="3"/>
  <c r="HN2" i="3"/>
  <c r="HO39" i="3" l="1"/>
  <c r="HO40" i="3" s="1"/>
  <c r="HO69" i="3" s="1"/>
  <c r="HO68" i="3"/>
  <c r="HP1" i="3"/>
  <c r="HO2" i="3"/>
  <c r="HP39" i="3" l="1"/>
  <c r="HP40" i="3" s="1"/>
  <c r="HP69" i="3" s="1"/>
  <c r="HP68" i="3"/>
  <c r="HQ1" i="3"/>
  <c r="HP2" i="3"/>
  <c r="HQ39" i="3" l="1"/>
  <c r="HQ40" i="3" s="1"/>
  <c r="HQ69" i="3" s="1"/>
  <c r="HQ68" i="3"/>
  <c r="HR1" i="3"/>
  <c r="HQ2" i="3"/>
  <c r="HR39" i="3" l="1"/>
  <c r="HR40" i="3" s="1"/>
  <c r="HR69" i="3" s="1"/>
  <c r="HR68" i="3"/>
  <c r="HS1" i="3"/>
  <c r="HR2" i="3"/>
  <c r="HS39" i="3" l="1"/>
  <c r="HS40" i="3" s="1"/>
  <c r="HS69" i="3" s="1"/>
  <c r="HS68" i="3"/>
  <c r="HT1" i="3"/>
  <c r="HS2" i="3"/>
  <c r="HT39" i="3" l="1"/>
  <c r="HT40" i="3" s="1"/>
  <c r="HT69" i="3" s="1"/>
  <c r="HT68" i="3"/>
  <c r="HU1" i="3"/>
  <c r="HT2" i="3"/>
  <c r="HU39" i="3" l="1"/>
  <c r="HU40" i="3" s="1"/>
  <c r="HU69" i="3" s="1"/>
  <c r="HU68" i="3"/>
  <c r="HV1" i="3"/>
  <c r="HU2" i="3"/>
  <c r="HV39" i="3" l="1"/>
  <c r="HV40" i="3" s="1"/>
  <c r="HV69" i="3" s="1"/>
  <c r="HV68" i="3"/>
  <c r="HW1" i="3"/>
  <c r="HV2" i="3"/>
  <c r="HW39" i="3" l="1"/>
  <c r="HW40" i="3" s="1"/>
  <c r="HW69" i="3" s="1"/>
  <c r="HW68" i="3"/>
  <c r="HX1" i="3"/>
  <c r="HW2" i="3"/>
  <c r="HX39" i="3" l="1"/>
  <c r="HX40" i="3" s="1"/>
  <c r="HX69" i="3" s="1"/>
  <c r="HX68" i="3"/>
  <c r="HY1" i="3"/>
  <c r="HX2" i="3"/>
  <c r="HY39" i="3" l="1"/>
  <c r="HY40" i="3" s="1"/>
  <c r="HY69" i="3" s="1"/>
  <c r="HY68" i="3"/>
  <c r="HZ1" i="3"/>
  <c r="HY2" i="3"/>
  <c r="HZ39" i="3" l="1"/>
  <c r="HZ40" i="3" s="1"/>
  <c r="HZ69" i="3" s="1"/>
  <c r="HZ68" i="3"/>
  <c r="IA1" i="3"/>
  <c r="HZ2" i="3"/>
  <c r="IA39" i="3" l="1"/>
  <c r="IA40" i="3" s="1"/>
  <c r="IA69" i="3" s="1"/>
  <c r="IA68" i="3"/>
  <c r="IB1" i="3"/>
  <c r="IA2" i="3"/>
  <c r="IB39" i="3" l="1"/>
  <c r="IB40" i="3" s="1"/>
  <c r="IB69" i="3" s="1"/>
  <c r="IB68" i="3"/>
  <c r="IC1" i="3"/>
  <c r="IB2" i="3"/>
  <c r="IC39" i="3" l="1"/>
  <c r="IC40" i="3" s="1"/>
  <c r="IC69" i="3" s="1"/>
  <c r="IC68" i="3"/>
  <c r="ID1" i="3"/>
  <c r="IC2" i="3"/>
  <c r="ID39" i="3" l="1"/>
  <c r="ID40" i="3" s="1"/>
  <c r="ID69" i="3" s="1"/>
  <c r="ID68" i="3"/>
  <c r="IE1" i="3"/>
  <c r="ID2" i="3"/>
  <c r="IE39" i="3" l="1"/>
  <c r="IE40" i="3" s="1"/>
  <c r="IE69" i="3" s="1"/>
  <c r="IE68" i="3"/>
  <c r="IF1" i="3"/>
  <c r="IE2" i="3"/>
  <c r="IF39" i="3" l="1"/>
  <c r="IF40" i="3" s="1"/>
  <c r="IF69" i="3" s="1"/>
  <c r="IF68" i="3"/>
  <c r="IG1" i="3"/>
  <c r="IF2" i="3"/>
  <c r="IG39" i="3" l="1"/>
  <c r="IG40" i="3" s="1"/>
  <c r="IG69" i="3" s="1"/>
  <c r="IG68" i="3"/>
  <c r="IH1" i="3"/>
  <c r="IG2" i="3"/>
  <c r="IH39" i="3" l="1"/>
  <c r="IH40" i="3" s="1"/>
  <c r="IH69" i="3" s="1"/>
  <c r="IH68" i="3"/>
  <c r="II1" i="3"/>
  <c r="IH2" i="3"/>
  <c r="II39" i="3" l="1"/>
  <c r="II40" i="3" s="1"/>
  <c r="II69" i="3" s="1"/>
  <c r="II68" i="3"/>
  <c r="IJ1" i="3"/>
  <c r="II2" i="3"/>
  <c r="IJ39" i="3" l="1"/>
  <c r="IJ40" i="3" s="1"/>
  <c r="IJ69" i="3" s="1"/>
  <c r="IJ68" i="3"/>
  <c r="IK1" i="3"/>
  <c r="IJ2" i="3"/>
  <c r="IK39" i="3" l="1"/>
  <c r="IK40" i="3" s="1"/>
  <c r="IK69" i="3" s="1"/>
  <c r="IK68" i="3"/>
  <c r="IL1" i="3"/>
  <c r="IK2" i="3"/>
  <c r="IL39" i="3" l="1"/>
  <c r="IL40" i="3" s="1"/>
  <c r="IL69" i="3" s="1"/>
  <c r="IL68" i="3"/>
  <c r="IM1" i="3"/>
  <c r="IL2" i="3"/>
  <c r="IM39" i="3" l="1"/>
  <c r="IM40" i="3" s="1"/>
  <c r="IM69" i="3" s="1"/>
  <c r="IM68" i="3"/>
  <c r="IN1" i="3"/>
  <c r="IM2" i="3"/>
  <c r="IN39" i="3" l="1"/>
  <c r="IN40" i="3" s="1"/>
  <c r="IN69" i="3" s="1"/>
  <c r="IN68" i="3"/>
  <c r="IO1" i="3"/>
  <c r="IN2" i="3"/>
  <c r="IO39" i="3" l="1"/>
  <c r="IO40" i="3" s="1"/>
  <c r="IO69" i="3" s="1"/>
  <c r="IO68" i="3"/>
  <c r="IP1" i="3"/>
  <c r="IO2" i="3"/>
  <c r="IP39" i="3" l="1"/>
  <c r="IP40" i="3" s="1"/>
  <c r="IP69" i="3" s="1"/>
  <c r="IP68" i="3"/>
  <c r="IQ1" i="3"/>
  <c r="IP2" i="3"/>
  <c r="IQ39" i="3" l="1"/>
  <c r="IQ40" i="3" s="1"/>
  <c r="IQ69" i="3" s="1"/>
  <c r="IQ68" i="3"/>
  <c r="IR1" i="3"/>
  <c r="IQ2" i="3"/>
  <c r="IR39" i="3" l="1"/>
  <c r="IR40" i="3" s="1"/>
  <c r="IR69" i="3" s="1"/>
  <c r="IR68" i="3"/>
  <c r="IS1" i="3"/>
  <c r="IR2" i="3"/>
  <c r="IS39" i="3" l="1"/>
  <c r="IS40" i="3" s="1"/>
  <c r="IS69" i="3" s="1"/>
  <c r="IS68" i="3"/>
  <c r="IT1" i="3"/>
  <c r="IS2" i="3"/>
  <c r="IT39" i="3" l="1"/>
  <c r="IT40" i="3" s="1"/>
  <c r="IT69" i="3" s="1"/>
  <c r="IT68" i="3"/>
  <c r="IU1" i="3"/>
  <c r="IT2" i="3"/>
  <c r="IU39" i="3" l="1"/>
  <c r="IU40" i="3" s="1"/>
  <c r="IU69" i="3" s="1"/>
  <c r="IU68" i="3"/>
  <c r="IV1" i="3"/>
  <c r="IU2" i="3"/>
  <c r="IV39" i="3" l="1"/>
  <c r="IV40" i="3" s="1"/>
  <c r="IV69" i="3" s="1"/>
  <c r="IV68" i="3"/>
  <c r="IW1" i="3"/>
  <c r="IV2" i="3"/>
  <c r="IW39" i="3" l="1"/>
  <c r="IW40" i="3" s="1"/>
  <c r="IW69" i="3" s="1"/>
  <c r="IW68" i="3"/>
  <c r="IX1" i="3"/>
  <c r="IW2" i="3"/>
  <c r="IX39" i="3" l="1"/>
  <c r="IX40" i="3" s="1"/>
  <c r="IX69" i="3" s="1"/>
  <c r="IX68" i="3"/>
  <c r="IY1" i="3"/>
  <c r="IX2" i="3"/>
  <c r="IY39" i="3" l="1"/>
  <c r="IY40" i="3" s="1"/>
  <c r="IY69" i="3" s="1"/>
  <c r="IY68" i="3"/>
  <c r="IZ1" i="3"/>
  <c r="IY2" i="3"/>
  <c r="IZ39" i="3" l="1"/>
  <c r="IZ40" i="3" s="1"/>
  <c r="IZ69" i="3" s="1"/>
  <c r="IZ68" i="3"/>
  <c r="JA1" i="3"/>
  <c r="IZ2" i="3"/>
  <c r="JA39" i="3" l="1"/>
  <c r="JA40" i="3" s="1"/>
  <c r="JA69" i="3" s="1"/>
  <c r="JA68" i="3"/>
  <c r="JB1" i="3"/>
  <c r="JA2" i="3"/>
  <c r="JB39" i="3" l="1"/>
  <c r="JB40" i="3" s="1"/>
  <c r="JB69" i="3" s="1"/>
  <c r="JB68" i="3"/>
  <c r="JC1" i="3"/>
  <c r="JB2" i="3"/>
  <c r="JC39" i="3" l="1"/>
  <c r="JC40" i="3" s="1"/>
  <c r="JC69" i="3" s="1"/>
  <c r="JC68" i="3"/>
  <c r="JD1" i="3"/>
  <c r="JC2" i="3"/>
  <c r="JD39" i="3" l="1"/>
  <c r="JD40" i="3" s="1"/>
  <c r="JD69" i="3" s="1"/>
  <c r="JD68" i="3"/>
  <c r="JE1" i="3"/>
  <c r="JD2" i="3"/>
  <c r="JE39" i="3" l="1"/>
  <c r="JE40" i="3" s="1"/>
  <c r="JE69" i="3" s="1"/>
  <c r="JE68" i="3"/>
  <c r="JF1" i="3"/>
  <c r="JE2" i="3"/>
  <c r="JF39" i="3" l="1"/>
  <c r="JF40" i="3" s="1"/>
  <c r="JF69" i="3" s="1"/>
  <c r="JF68" i="3"/>
  <c r="JG1" i="3"/>
  <c r="JF2" i="3"/>
  <c r="JG39" i="3" l="1"/>
  <c r="JG40" i="3" s="1"/>
  <c r="JG69" i="3" s="1"/>
  <c r="JG68" i="3"/>
  <c r="JH1" i="3"/>
  <c r="JG2" i="3"/>
  <c r="JH39" i="3" l="1"/>
  <c r="JH40" i="3" s="1"/>
  <c r="JH69" i="3" s="1"/>
  <c r="JH68" i="3"/>
  <c r="JI1" i="3"/>
  <c r="JH2" i="3"/>
  <c r="JI39" i="3" l="1"/>
  <c r="JI40" i="3" s="1"/>
  <c r="JI69" i="3" s="1"/>
  <c r="JI68" i="3"/>
  <c r="JJ1" i="3"/>
  <c r="JI2" i="3"/>
  <c r="JJ39" i="3" l="1"/>
  <c r="JJ40" i="3" s="1"/>
  <c r="JJ69" i="3" s="1"/>
  <c r="JJ68" i="3"/>
  <c r="JK1" i="3"/>
  <c r="JJ2" i="3"/>
  <c r="JK39" i="3" l="1"/>
  <c r="JK40" i="3" s="1"/>
  <c r="JK69" i="3" s="1"/>
  <c r="JK68" i="3"/>
  <c r="JL1" i="3"/>
  <c r="JK2" i="3"/>
  <c r="JL39" i="3" l="1"/>
  <c r="JL40" i="3" s="1"/>
  <c r="JL69" i="3" s="1"/>
  <c r="JL68" i="3"/>
  <c r="JM1" i="3"/>
  <c r="JL2" i="3"/>
  <c r="JM39" i="3" l="1"/>
  <c r="JM40" i="3" s="1"/>
  <c r="JM69" i="3" s="1"/>
  <c r="JM68" i="3"/>
  <c r="JN1" i="3"/>
  <c r="JM2" i="3"/>
  <c r="JN39" i="3" l="1"/>
  <c r="JN40" i="3" s="1"/>
  <c r="JN69" i="3" s="1"/>
  <c r="JN68" i="3"/>
  <c r="JO1" i="3"/>
  <c r="JN2" i="3"/>
  <c r="JO39" i="3" l="1"/>
  <c r="JO40" i="3" s="1"/>
  <c r="JO69" i="3" s="1"/>
  <c r="JO68" i="3"/>
  <c r="JP1" i="3"/>
  <c r="JO2" i="3"/>
  <c r="JP39" i="3" l="1"/>
  <c r="JP40" i="3" s="1"/>
  <c r="JP69" i="3" s="1"/>
  <c r="JP68" i="3"/>
  <c r="JQ1" i="3"/>
  <c r="JP2" i="3"/>
  <c r="JQ39" i="3" l="1"/>
  <c r="JQ40" i="3" s="1"/>
  <c r="JQ69" i="3" s="1"/>
  <c r="JQ68" i="3"/>
  <c r="JR1" i="3"/>
  <c r="JQ2" i="3"/>
  <c r="JR39" i="3" l="1"/>
  <c r="JR40" i="3" s="1"/>
  <c r="JR69" i="3" s="1"/>
  <c r="JR68" i="3"/>
  <c r="JS1" i="3"/>
  <c r="JR2" i="3"/>
  <c r="JS39" i="3" l="1"/>
  <c r="JS40" i="3" s="1"/>
  <c r="JS69" i="3" s="1"/>
  <c r="JS68" i="3"/>
  <c r="JT1" i="3"/>
  <c r="JS2" i="3"/>
  <c r="JT39" i="3" l="1"/>
  <c r="JT40" i="3" s="1"/>
  <c r="JT69" i="3" s="1"/>
  <c r="JT68" i="3"/>
  <c r="JU1" i="3"/>
  <c r="JT2" i="3"/>
  <c r="JU39" i="3" l="1"/>
  <c r="JU40" i="3" s="1"/>
  <c r="JU69" i="3" s="1"/>
  <c r="JU68" i="3"/>
  <c r="JV1" i="3"/>
  <c r="JU2" i="3"/>
  <c r="JV39" i="3" l="1"/>
  <c r="JV40" i="3" s="1"/>
  <c r="JV69" i="3" s="1"/>
  <c r="JV68" i="3"/>
  <c r="JW1" i="3"/>
  <c r="JV2" i="3"/>
  <c r="JW39" i="3" l="1"/>
  <c r="JW40" i="3" s="1"/>
  <c r="JW69" i="3" s="1"/>
  <c r="JW68" i="3"/>
  <c r="JX1" i="3"/>
  <c r="JW2" i="3"/>
  <c r="JX39" i="3" l="1"/>
  <c r="JX40" i="3" s="1"/>
  <c r="JX69" i="3" s="1"/>
  <c r="JX68" i="3"/>
  <c r="JY1" i="3"/>
  <c r="JX2" i="3"/>
  <c r="JY39" i="3" l="1"/>
  <c r="JY40" i="3" s="1"/>
  <c r="JY69" i="3" s="1"/>
  <c r="JY68" i="3"/>
  <c r="JZ1" i="3"/>
  <c r="JY2" i="3"/>
  <c r="JZ39" i="3" l="1"/>
  <c r="JZ40" i="3" s="1"/>
  <c r="JZ69" i="3" s="1"/>
  <c r="JZ68" i="3"/>
  <c r="KA1" i="3"/>
  <c r="JZ2" i="3"/>
  <c r="KA39" i="3" l="1"/>
  <c r="KA40" i="3" s="1"/>
  <c r="KA69" i="3" s="1"/>
  <c r="KA68" i="3"/>
  <c r="KB1" i="3"/>
  <c r="KA2" i="3"/>
  <c r="KB39" i="3" l="1"/>
  <c r="KB40" i="3" s="1"/>
  <c r="KB69" i="3" s="1"/>
  <c r="KB68" i="3"/>
  <c r="KC1" i="3"/>
  <c r="KB2" i="3"/>
  <c r="KC39" i="3" l="1"/>
  <c r="KC40" i="3" s="1"/>
  <c r="KC69" i="3" s="1"/>
  <c r="KC68" i="3"/>
  <c r="KD1" i="3"/>
  <c r="KC2" i="3"/>
  <c r="KD39" i="3" l="1"/>
  <c r="KD40" i="3" s="1"/>
  <c r="KD69" i="3" s="1"/>
  <c r="KD68" i="3"/>
  <c r="KE1" i="3"/>
  <c r="KD2" i="3"/>
  <c r="KE39" i="3" l="1"/>
  <c r="KE40" i="3" s="1"/>
  <c r="KE69" i="3" s="1"/>
  <c r="KE68" i="3"/>
  <c r="KF1" i="3"/>
  <c r="KE2" i="3"/>
  <c r="KF39" i="3" l="1"/>
  <c r="KF40" i="3" s="1"/>
  <c r="KF69" i="3" s="1"/>
  <c r="KF68" i="3"/>
  <c r="KG1" i="3"/>
  <c r="KF2" i="3"/>
  <c r="KG39" i="3" l="1"/>
  <c r="KG40" i="3" s="1"/>
  <c r="KG69" i="3" s="1"/>
  <c r="KG68" i="3"/>
  <c r="KH1" i="3"/>
  <c r="KG2" i="3"/>
  <c r="KH39" i="3" l="1"/>
  <c r="KH40" i="3" s="1"/>
  <c r="KH69" i="3" s="1"/>
  <c r="KH68" i="3"/>
  <c r="KI1" i="3"/>
  <c r="KH2" i="3"/>
  <c r="KI39" i="3" l="1"/>
  <c r="KI40" i="3" s="1"/>
  <c r="KI69" i="3" s="1"/>
  <c r="KI68" i="3"/>
  <c r="KJ1" i="3"/>
  <c r="KI2" i="3"/>
  <c r="KJ39" i="3" l="1"/>
  <c r="KJ40" i="3" s="1"/>
  <c r="KJ69" i="3" s="1"/>
  <c r="KJ68" i="3"/>
  <c r="KK1" i="3"/>
  <c r="KJ2" i="3"/>
  <c r="KK39" i="3" l="1"/>
  <c r="KK40" i="3" s="1"/>
  <c r="KK69" i="3" s="1"/>
  <c r="KK68" i="3"/>
  <c r="KL1" i="3"/>
  <c r="KK2" i="3"/>
  <c r="KL39" i="3" l="1"/>
  <c r="KL40" i="3" s="1"/>
  <c r="KL69" i="3" s="1"/>
  <c r="KL68" i="3"/>
  <c r="KM1" i="3"/>
  <c r="KL2" i="3"/>
  <c r="KM39" i="3" l="1"/>
  <c r="KM40" i="3" s="1"/>
  <c r="KM69" i="3" s="1"/>
  <c r="KM68" i="3"/>
  <c r="KN1" i="3"/>
  <c r="KM2" i="3"/>
  <c r="KN39" i="3" l="1"/>
  <c r="KN40" i="3" s="1"/>
  <c r="KN69" i="3" s="1"/>
  <c r="KN68" i="3"/>
  <c r="KO1" i="3"/>
  <c r="KN2" i="3"/>
  <c r="KO39" i="3" l="1"/>
  <c r="KO40" i="3" s="1"/>
  <c r="KO69" i="3" s="1"/>
  <c r="KO68" i="3"/>
  <c r="KP1" i="3"/>
  <c r="KO2" i="3"/>
  <c r="KP39" i="3" l="1"/>
  <c r="KP40" i="3" s="1"/>
  <c r="KP69" i="3" s="1"/>
  <c r="KP68" i="3"/>
  <c r="KQ1" i="3"/>
  <c r="KP2" i="3"/>
  <c r="KQ39" i="3" l="1"/>
  <c r="KQ40" i="3" s="1"/>
  <c r="KQ69" i="3" s="1"/>
  <c r="KQ68" i="3"/>
  <c r="KR1" i="3"/>
  <c r="KQ2" i="3"/>
  <c r="KR39" i="3" l="1"/>
  <c r="KR40" i="3" s="1"/>
  <c r="KR69" i="3" s="1"/>
  <c r="KR68" i="3"/>
  <c r="KS1" i="3"/>
  <c r="KR2" i="3"/>
  <c r="KS39" i="3" l="1"/>
  <c r="KS40" i="3" s="1"/>
  <c r="KS69" i="3" s="1"/>
  <c r="KS68" i="3"/>
  <c r="KT1" i="3"/>
  <c r="KS2" i="3"/>
  <c r="KT39" i="3" l="1"/>
  <c r="KT40" i="3" s="1"/>
  <c r="KT69" i="3" s="1"/>
  <c r="KT68" i="3"/>
  <c r="KU1" i="3"/>
  <c r="KT2" i="3"/>
  <c r="KU39" i="3" l="1"/>
  <c r="KU40" i="3" s="1"/>
  <c r="KU69" i="3" s="1"/>
  <c r="KU68" i="3"/>
  <c r="KV1" i="3"/>
  <c r="KU2" i="3"/>
  <c r="KV39" i="3" l="1"/>
  <c r="KV40" i="3" s="1"/>
  <c r="KV69" i="3" s="1"/>
  <c r="KV68" i="3"/>
  <c r="KW1" i="3"/>
  <c r="KV2" i="3"/>
  <c r="KW39" i="3" l="1"/>
  <c r="KW40" i="3" s="1"/>
  <c r="KW69" i="3" s="1"/>
  <c r="KW68" i="3"/>
  <c r="KX1" i="3"/>
  <c r="KW2" i="3"/>
  <c r="KX39" i="3" l="1"/>
  <c r="KX40" i="3" s="1"/>
  <c r="KX69" i="3" s="1"/>
  <c r="KX68" i="3"/>
  <c r="KY1" i="3"/>
  <c r="KX2" i="3"/>
  <c r="KY39" i="3" l="1"/>
  <c r="KY40" i="3" s="1"/>
  <c r="KY69" i="3" s="1"/>
  <c r="KY68" i="3"/>
  <c r="KZ1" i="3"/>
  <c r="KY2" i="3"/>
  <c r="KZ39" i="3" l="1"/>
  <c r="KZ40" i="3" s="1"/>
  <c r="KZ69" i="3" s="1"/>
  <c r="KZ68" i="3"/>
  <c r="LA1" i="3"/>
  <c r="KZ2" i="3"/>
  <c r="LA39" i="3" l="1"/>
  <c r="LA40" i="3" s="1"/>
  <c r="LA69" i="3" s="1"/>
  <c r="LA68" i="3"/>
  <c r="LB1" i="3"/>
  <c r="LA2" i="3"/>
  <c r="LB39" i="3" l="1"/>
  <c r="LB40" i="3" s="1"/>
  <c r="LB69" i="3" s="1"/>
  <c r="LB68" i="3"/>
  <c r="LC1" i="3"/>
  <c r="LB2" i="3"/>
  <c r="LC39" i="3" l="1"/>
  <c r="LC40" i="3" s="1"/>
  <c r="LC69" i="3" s="1"/>
  <c r="LC68" i="3"/>
  <c r="LD1" i="3"/>
  <c r="LC2" i="3"/>
  <c r="LD39" i="3" l="1"/>
  <c r="LD40" i="3" s="1"/>
  <c r="LD69" i="3" s="1"/>
  <c r="LD68" i="3"/>
  <c r="LE1" i="3"/>
  <c r="LD2" i="3"/>
  <c r="LE39" i="3" l="1"/>
  <c r="LE40" i="3" s="1"/>
  <c r="LE69" i="3" s="1"/>
  <c r="LE68" i="3"/>
  <c r="LF1" i="3"/>
  <c r="LE2" i="3"/>
  <c r="LF39" i="3" l="1"/>
  <c r="LF40" i="3" s="1"/>
  <c r="LF69" i="3" s="1"/>
  <c r="LF68" i="3"/>
  <c r="LG1" i="3"/>
  <c r="LF2" i="3"/>
  <c r="LG39" i="3" l="1"/>
  <c r="LG40" i="3" s="1"/>
  <c r="LG69" i="3" s="1"/>
  <c r="LG68" i="3"/>
  <c r="LH1" i="3"/>
  <c r="LG2" i="3"/>
  <c r="LH39" i="3" l="1"/>
  <c r="LH40" i="3" s="1"/>
  <c r="LH69" i="3" s="1"/>
  <c r="LH68" i="3"/>
  <c r="LI1" i="3"/>
  <c r="LH2" i="3"/>
  <c r="LI39" i="3" l="1"/>
  <c r="LI40" i="3" s="1"/>
  <c r="LI69" i="3" s="1"/>
  <c r="LI68" i="3"/>
  <c r="LJ1" i="3"/>
  <c r="LI2" i="3"/>
  <c r="LJ39" i="3" l="1"/>
  <c r="LJ40" i="3" s="1"/>
  <c r="LJ69" i="3" s="1"/>
  <c r="LJ68" i="3"/>
  <c r="LK1" i="3"/>
  <c r="LJ2" i="3"/>
  <c r="LK39" i="3" l="1"/>
  <c r="LK40" i="3" s="1"/>
  <c r="LK69" i="3" s="1"/>
  <c r="LK68" i="3"/>
  <c r="LL1" i="3"/>
  <c r="LK2" i="3"/>
  <c r="LL39" i="3" l="1"/>
  <c r="LL40" i="3" s="1"/>
  <c r="LL69" i="3" s="1"/>
  <c r="LL68" i="3"/>
  <c r="LM1" i="3"/>
  <c r="LL2" i="3"/>
  <c r="LM39" i="3" l="1"/>
  <c r="LM40" i="3" s="1"/>
  <c r="LM69" i="3" s="1"/>
  <c r="LM68" i="3"/>
  <c r="LN1" i="3"/>
  <c r="LM2" i="3"/>
  <c r="LN39" i="3" l="1"/>
  <c r="LN40" i="3" s="1"/>
  <c r="LN69" i="3" s="1"/>
  <c r="LN68" i="3"/>
  <c r="LO1" i="3"/>
  <c r="LN2" i="3"/>
  <c r="LO39" i="3" l="1"/>
  <c r="LO40" i="3" s="1"/>
  <c r="LO69" i="3" s="1"/>
  <c r="LO68" i="3"/>
  <c r="LP1" i="3"/>
  <c r="LO2" i="3"/>
  <c r="LP39" i="3" l="1"/>
  <c r="LP40" i="3" s="1"/>
  <c r="LP69" i="3" s="1"/>
  <c r="LP68" i="3"/>
  <c r="LQ1" i="3"/>
  <c r="LP2" i="3"/>
  <c r="LQ39" i="3" l="1"/>
  <c r="LQ40" i="3" s="1"/>
  <c r="LQ69" i="3" s="1"/>
  <c r="LQ68" i="3"/>
  <c r="LR1" i="3"/>
  <c r="LQ2" i="3"/>
  <c r="LR39" i="3" l="1"/>
  <c r="LR40" i="3" s="1"/>
  <c r="LR69" i="3" s="1"/>
  <c r="LR68" i="3"/>
  <c r="LS1" i="3"/>
  <c r="LR2" i="3"/>
  <c r="LS39" i="3" l="1"/>
  <c r="LS40" i="3" s="1"/>
  <c r="LS69" i="3" s="1"/>
  <c r="LS68" i="3"/>
  <c r="LT1" i="3"/>
  <c r="LS2" i="3"/>
  <c r="LT39" i="3" l="1"/>
  <c r="LT40" i="3" s="1"/>
  <c r="LT69" i="3" s="1"/>
  <c r="LT68" i="3"/>
  <c r="LU1" i="3"/>
  <c r="LT2" i="3"/>
  <c r="LU39" i="3" l="1"/>
  <c r="LU40" i="3" s="1"/>
  <c r="LU69" i="3" s="1"/>
  <c r="LU68" i="3"/>
  <c r="LV1" i="3"/>
  <c r="LU2" i="3"/>
  <c r="LV39" i="3" l="1"/>
  <c r="LV40" i="3" s="1"/>
  <c r="LV69" i="3" s="1"/>
  <c r="LV68" i="3"/>
  <c r="LW1" i="3"/>
  <c r="LV2" i="3"/>
  <c r="LW39" i="3" l="1"/>
  <c r="LW40" i="3" s="1"/>
  <c r="LW69" i="3" s="1"/>
  <c r="LW68" i="3"/>
  <c r="LX1" i="3"/>
  <c r="LW2" i="3"/>
  <c r="LX39" i="3" l="1"/>
  <c r="LX40" i="3" s="1"/>
  <c r="LX69" i="3" s="1"/>
  <c r="LX68" i="3"/>
  <c r="LY1" i="3"/>
  <c r="LX2" i="3"/>
  <c r="LY39" i="3" l="1"/>
  <c r="LY40" i="3" s="1"/>
  <c r="LY69" i="3" s="1"/>
  <c r="LY68" i="3"/>
  <c r="LZ1" i="3"/>
  <c r="LY2" i="3"/>
  <c r="LZ39" i="3" l="1"/>
  <c r="LZ40" i="3" s="1"/>
  <c r="LZ69" i="3" s="1"/>
  <c r="LZ68" i="3"/>
  <c r="MA1" i="3"/>
  <c r="LZ2" i="3"/>
  <c r="MA39" i="3" l="1"/>
  <c r="MA40" i="3" s="1"/>
  <c r="MA69" i="3" s="1"/>
  <c r="MA68" i="3"/>
  <c r="MB1" i="3"/>
  <c r="MA2" i="3"/>
  <c r="MB39" i="3" l="1"/>
  <c r="MB40" i="3" s="1"/>
  <c r="MB69" i="3" s="1"/>
  <c r="MB68" i="3"/>
  <c r="MC1" i="3"/>
  <c r="MB2" i="3"/>
  <c r="MC39" i="3" l="1"/>
  <c r="MC40" i="3" s="1"/>
  <c r="MC69" i="3" s="1"/>
  <c r="MC68" i="3"/>
  <c r="MD1" i="3"/>
  <c r="MC2" i="3"/>
  <c r="MD39" i="3" l="1"/>
  <c r="MD40" i="3" s="1"/>
  <c r="MD69" i="3" s="1"/>
  <c r="MD68" i="3"/>
  <c r="ME1" i="3"/>
  <c r="MD2" i="3"/>
  <c r="ME39" i="3" l="1"/>
  <c r="ME40" i="3" s="1"/>
  <c r="ME69" i="3" s="1"/>
  <c r="ME68" i="3"/>
  <c r="MF1" i="3"/>
  <c r="ME2" i="3"/>
  <c r="MF39" i="3" l="1"/>
  <c r="MF40" i="3" s="1"/>
  <c r="MF69" i="3" s="1"/>
  <c r="MF68" i="3"/>
  <c r="MG1" i="3"/>
  <c r="MF2" i="3"/>
  <c r="MG39" i="3" l="1"/>
  <c r="MG40" i="3" s="1"/>
  <c r="MG69" i="3" s="1"/>
  <c r="MG68" i="3"/>
  <c r="MH1" i="3"/>
  <c r="MG2" i="3"/>
  <c r="MH39" i="3" l="1"/>
  <c r="MH40" i="3" s="1"/>
  <c r="MH69" i="3" s="1"/>
  <c r="MH68" i="3"/>
  <c r="MI1" i="3"/>
  <c r="MH2" i="3"/>
  <c r="MI39" i="3" l="1"/>
  <c r="MI40" i="3" s="1"/>
  <c r="MI69" i="3" s="1"/>
  <c r="MI68" i="3"/>
  <c r="MJ1" i="3"/>
  <c r="MI2" i="3"/>
  <c r="MJ39" i="3" l="1"/>
  <c r="MJ40" i="3" s="1"/>
  <c r="MJ69" i="3" s="1"/>
  <c r="MJ68" i="3"/>
  <c r="MK1" i="3"/>
  <c r="MJ2" i="3"/>
  <c r="MK39" i="3" l="1"/>
  <c r="MK40" i="3" s="1"/>
  <c r="MK69" i="3" s="1"/>
  <c r="MK68" i="3"/>
  <c r="ML1" i="3"/>
  <c r="MK2" i="3"/>
  <c r="ML39" i="3" l="1"/>
  <c r="ML40" i="3" s="1"/>
  <c r="ML69" i="3" s="1"/>
  <c r="ML68" i="3"/>
  <c r="MM1" i="3"/>
  <c r="ML2" i="3"/>
  <c r="MM39" i="3" l="1"/>
  <c r="MM40" i="3" s="1"/>
  <c r="MM69" i="3" s="1"/>
  <c r="MM68" i="3"/>
  <c r="MN1" i="3"/>
  <c r="MM2" i="3"/>
  <c r="MN39" i="3" l="1"/>
  <c r="MN40" i="3" s="1"/>
  <c r="MN69" i="3" s="1"/>
  <c r="MN68" i="3"/>
  <c r="MO1" i="3"/>
  <c r="MN2" i="3"/>
  <c r="MO39" i="3" l="1"/>
  <c r="MO40" i="3" s="1"/>
  <c r="MO69" i="3" s="1"/>
  <c r="MO68" i="3"/>
  <c r="MP1" i="3"/>
  <c r="MO2" i="3"/>
  <c r="MP39" i="3" l="1"/>
  <c r="MP40" i="3" s="1"/>
  <c r="MP69" i="3" s="1"/>
  <c r="MP68" i="3"/>
  <c r="MQ1" i="3"/>
  <c r="MP2" i="3"/>
  <c r="MQ39" i="3" l="1"/>
  <c r="MQ40" i="3" s="1"/>
  <c r="MQ69" i="3" s="1"/>
  <c r="MQ68" i="3"/>
  <c r="MR1" i="3"/>
  <c r="MQ2" i="3"/>
  <c r="R24" i="3"/>
  <c r="R12" i="3"/>
  <c r="R33" i="3"/>
  <c r="R27" i="3"/>
  <c r="R20" i="3"/>
  <c r="R15" i="3"/>
  <c r="R17" i="3"/>
  <c r="R16" i="3"/>
  <c r="R32" i="3"/>
  <c r="R22" i="3"/>
  <c r="R28" i="3"/>
  <c r="R23" i="3"/>
  <c r="R14" i="3"/>
  <c r="MR39" i="3" l="1"/>
  <c r="MR40" i="3" s="1"/>
  <c r="MR69" i="3" s="1"/>
  <c r="MR68" i="3"/>
  <c r="MR2" i="3"/>
  <c r="R25" i="3"/>
  <c r="R11" i="3"/>
  <c r="R8" i="3"/>
  <c r="R30" i="3"/>
  <c r="R21" i="3"/>
  <c r="R18" i="3"/>
  <c r="R19" i="3"/>
  <c r="R9" i="3"/>
  <c r="R13" i="3"/>
  <c r="R26" i="3"/>
  <c r="R31" i="3"/>
  <c r="R7" i="3"/>
  <c r="R29" i="3"/>
  <c r="R10" i="3"/>
</calcChain>
</file>

<file path=xl/sharedStrings.xml><?xml version="1.0" encoding="utf-8"?>
<sst xmlns="http://schemas.openxmlformats.org/spreadsheetml/2006/main" count="1510" uniqueCount="538">
  <si>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</si>
  <si>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</si>
  <si>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</si>
  <si>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</si>
  <si>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</si>
  <si>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</si>
  <si>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</si>
  <si>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</si>
  <si>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</si>
  <si>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</si>
  <si>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</si>
  <si>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</si>
  <si>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</si>
  <si>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</si>
  <si>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</si>
  <si>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</si>
  <si>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</si>
  <si>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</si>
  <si>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</si>
  <si>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</si>
  <si>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</si>
  <si>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</si>
  <si>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</si>
  <si>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</si>
  <si>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</si>
  <si>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</si>
  <si>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</si>
  <si>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</si>
  <si>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</si>
  <si>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</si>
  <si>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</si>
  <si>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</si>
  <si>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</si>
  <si>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</si>
  <si>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</si>
  <si>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</si>
  <si>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</si>
  <si>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</si>
  <si>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</si>
  <si>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</si>
  <si>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</si>
  <si>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</si>
  <si>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</si>
  <si>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</si>
  <si>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</si>
  <si>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</si>
  <si>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</si>
  <si>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</si>
  <si>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</si>
  <si>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</si>
  <si>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</si>
  <si>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</si>
  <si>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</si>
  <si>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</si>
  <si>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</si>
  <si>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</si>
  <si>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</si>
  <si>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</si>
  <si>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</si>
  <si>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</si>
  <si>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</si>
  <si>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</si>
  <si>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</si>
  <si>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</si>
  <si>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</si>
  <si>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</si>
  <si>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</si>
  <si>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</si>
  <si>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</si>
  <si>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</si>
  <si>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</si>
  <si>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</si>
  <si>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</si>
  <si>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</si>
  <si>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</si>
  <si>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</si>
  <si>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</si>
  <si>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</si>
  <si>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</si>
  <si>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</si>
  <si>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</si>
  <si>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</si>
  <si>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</si>
  <si>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</si>
  <si>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</si>
  <si>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</si>
  <si>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</si>
  <si>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</si>
  <si>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</si>
  <si>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</si>
  <si>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</si>
  <si>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</si>
  <si>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</si>
  <si>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</si>
  <si>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</si>
  <si>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</si>
  <si>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</si>
  <si>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</si>
  <si>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</si>
  <si>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</si>
  <si>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</si>
  <si>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</si>
  <si>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</si>
  <si>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</si>
  <si>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</si>
  <si>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</si>
  <si>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</si>
  <si>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</si>
  <si>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</si>
  <si>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</si>
  <si>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</si>
  <si>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</si>
  <si>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</si>
  <si>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</si>
  <si>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</si>
  <si>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</si>
  <si>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</si>
  <si>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</si>
  <si>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</si>
  <si>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</si>
  <si>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</si>
  <si>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</si>
  <si>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</si>
  <si>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</si>
  <si>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</si>
  <si>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</si>
  <si>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</si>
  <si>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</si>
  <si>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</si>
  <si>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</si>
  <si>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</si>
  <si>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</si>
  <si>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</si>
  <si>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</si>
  <si>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</si>
  <si>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</si>
  <si>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</si>
  <si>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</si>
  <si>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</si>
  <si>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</si>
  <si>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</si>
  <si>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</si>
  <si>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</si>
  <si>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</si>
  <si>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</si>
  <si>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</si>
  <si>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</si>
  <si>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</si>
  <si>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</si>
  <si>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</si>
  <si>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</si>
  <si>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</si>
  <si>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</si>
  <si>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</si>
  <si>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</si>
  <si>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</si>
  <si>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</si>
  <si>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</si>
  <si>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</si>
  <si>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</si>
  <si>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</si>
  <si>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</si>
  <si>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</si>
  <si>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</si>
  <si>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</si>
  <si>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</si>
  <si>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</si>
  <si>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</si>
  <si>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</si>
  <si>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</si>
  <si>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</si>
  <si>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</si>
  <si>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</si>
  <si>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</si>
  <si>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</si>
  <si>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</si>
  <si>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</si>
  <si>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</si>
  <si>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</si>
  <si>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</si>
  <si>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</si>
  <si>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</si>
  <si>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</si>
  <si>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</si>
  <si>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</si>
  <si>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</si>
  <si>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</si>
  <si>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</si>
  <si>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</si>
  <si>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</si>
  <si>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</si>
  <si>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</si>
  <si>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</si>
  <si>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</si>
  <si>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</si>
  <si>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</si>
  <si>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</si>
  <si>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</si>
  <si>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</si>
  <si>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</si>
  <si>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</si>
  <si>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</si>
  <si>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</si>
  <si>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</si>
  <si>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</si>
  <si>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</si>
  <si>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</si>
  <si>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</si>
  <si>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</si>
  <si>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</si>
  <si>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</si>
  <si>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</si>
  <si>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</si>
  <si>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</si>
  <si>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</si>
  <si>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</si>
  <si>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</si>
  <si>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</si>
  <si>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</si>
  <si>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</si>
  <si>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</si>
  <si>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</si>
  <si>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</si>
  <si>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</si>
  <si>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</si>
  <si>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</si>
  <si>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</si>
  <si>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</si>
  <si>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</si>
  <si>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</si>
  <si>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</si>
  <si>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</si>
  <si>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</si>
  <si>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</si>
  <si>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</si>
  <si>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</si>
  <si>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</si>
  <si>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</si>
  <si>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</si>
  <si>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</si>
  <si>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</si>
  <si>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</si>
  <si>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</si>
  <si>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</si>
  <si>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</si>
  <si>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</si>
  <si>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</si>
  <si>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</si>
  <si>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</si>
  <si>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</si>
  <si>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</si>
  <si>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</si>
  <si>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</si>
  <si>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</si>
  <si>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</si>
  <si>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</si>
  <si>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</si>
  <si>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</si>
  <si>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</si>
  <si>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</si>
  <si>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</si>
  <si>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</si>
  <si>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</si>
  <si>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</si>
  <si>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</si>
  <si>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</si>
  <si>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</si>
  <si>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</si>
  <si>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</si>
  <si>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</si>
  <si>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</si>
  <si>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</si>
  <si>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</si>
  <si>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</si>
  <si>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</si>
  <si>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</si>
  <si>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</si>
  <si>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</si>
  <si>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</si>
  <si>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</si>
  <si>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</si>
  <si>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</si>
  <si>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</si>
  <si>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</si>
  <si>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</si>
  <si>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</si>
  <si>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</si>
  <si>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</si>
  <si>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</si>
  <si>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</si>
  <si>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</si>
  <si>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</si>
  <si>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</si>
  <si>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</si>
  <si>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</si>
  <si>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</si>
  <si>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</si>
  <si>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</si>
  <si>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</si>
  <si>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</si>
  <si>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</si>
  <si>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</si>
  <si>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</si>
  <si>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</si>
  <si>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</si>
  <si>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</si>
  <si>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</si>
  <si>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</si>
  <si>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</si>
  <si>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</si>
  <si>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</si>
  <si>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</si>
  <si>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</si>
  <si>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</si>
  <si>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</si>
  <si>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</si>
  <si>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</si>
  <si>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</si>
  <si>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</si>
  <si>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</si>
  <si>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</si>
  <si>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</si>
  <si>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</si>
  <si>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</si>
  <si>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</si>
  <si>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</si>
  <si>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</si>
  <si>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</si>
  <si>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</si>
  <si>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</si>
  <si>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</si>
  <si>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</si>
  <si>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</si>
  <si>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</si>
  <si>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</si>
  <si>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</si>
  <si>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</si>
  <si>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</si>
  <si>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</si>
  <si>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</si>
  <si>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</si>
  <si>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</si>
  <si>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</si>
  <si>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</si>
  <si>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</si>
  <si>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</si>
  <si>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</si>
  <si>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</si>
  <si>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</si>
  <si>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</si>
  <si>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</si>
  <si>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</si>
  <si>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</si>
  <si>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</si>
  <si>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</si>
  <si>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</si>
  <si>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</si>
  <si>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</si>
  <si>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</si>
  <si>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</si>
  <si>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</si>
  <si>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</si>
  <si>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</si>
  <si>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</si>
  <si>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</si>
  <si>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</si>
  <si>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</si>
  <si>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</si>
  <si>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</si>
  <si>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</si>
  <si>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</si>
  <si>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</si>
  <si>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</si>
  <si>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</si>
  <si>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</si>
  <si>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</si>
  <si>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</si>
  <si>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</si>
  <si>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</si>
  <si>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</si>
  <si>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</si>
  <si>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</si>
  <si>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</si>
  <si>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</si>
  <si>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</si>
  <si>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</si>
  <si>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</si>
  <si>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</si>
  <si>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</si>
  <si>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</si>
  <si>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</si>
  <si>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</si>
  <si>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</si>
  <si>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</si>
  <si>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</si>
  <si>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</si>
  <si>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</si>
  <si>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</si>
  <si>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</si>
  <si>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</si>
  <si>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</si>
  <si>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</si>
  <si>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</si>
  <si>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</si>
  <si>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</si>
  <si>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</si>
  <si>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</si>
  <si>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</si>
  <si>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</si>
  <si>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</si>
  <si>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</si>
  <si>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</si>
  <si>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</si>
  <si>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</si>
  <si>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</si>
  <si>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</si>
  <si>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</si>
  <si>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</si>
  <si>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</si>
  <si>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</si>
  <si>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</si>
  <si>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</si>
  <si>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</si>
  <si>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</si>
  <si>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</si>
  <si>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</si>
  <si>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</si>
  <si>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</si>
  <si>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</si>
  <si>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</si>
  <si>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</si>
  <si>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</si>
  <si>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</si>
  <si>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</si>
  <si>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</si>
  <si>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</si>
  <si>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</si>
  <si>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</si>
  <si>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</si>
  <si>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</si>
  <si>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</si>
  <si>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</si>
  <si>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</si>
  <si>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</si>
  <si>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</si>
  <si>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</si>
  <si>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</si>
  <si>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</si>
  <si>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</si>
  <si>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</si>
  <si>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</si>
  <si>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</si>
  <si>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</si>
  <si>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</si>
  <si>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</si>
  <si>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</si>
  <si>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</si>
  <si>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</si>
  <si>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</si>
  <si>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</si>
  <si>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</si>
  <si>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</si>
  <si>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</si>
  <si>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</si>
  <si>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</si>
  <si>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</si>
  <si>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</si>
  <si>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</si>
  <si>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</si>
  <si>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</si>
  <si>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</si>
  <si>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</si>
  <si>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</si>
  <si>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</si>
  <si>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</si>
  <si>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</si>
  <si>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</si>
  <si>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</si>
  <si>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</si>
  <si>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</si>
  <si>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</si>
  <si>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</si>
  <si>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</si>
  <si>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</si>
  <si>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</si>
  <si>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</si>
  <si>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</si>
  <si>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</si>
  <si>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</si>
  <si>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</si>
  <si>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</si>
  <si>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</si>
  <si>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</si>
  <si>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</si>
  <si>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</si>
  <si>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</si>
  <si>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</si>
  <si>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</si>
  <si>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</si>
  <si>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</si>
  <si>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</si>
  <si>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</si>
  <si>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</si>
  <si>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</si>
  <si>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</si>
  <si>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</si>
  <si>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</si>
  <si>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</si>
  <si>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</si>
  <si>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</si>
  <si>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</si>
  <si>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</si>
  <si>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</si>
  <si>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</si>
  <si>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</si>
  <si>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</si>
  <si>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(Alex)</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</si>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</sst>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5">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5" xfId="0" quotePrefix="1" applyBorder="1"/>
    <xf numFmtId="0" fontId="0" fillId="0" borderId="16" xfId="0" applyBorder="1" applyAlignment="1">
      <alignment horizontal="right"/>
    </xf>
    <xf numFmtId="0" fontId="11" fillId="2" borderId="18" xfId="1" applyFont="1" applyBorder="1"/>
    <xf numFmtId="0" fontId="0" fillId="0" borderId="9" xfId="0"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92</xdr:row>
          <xdr:rowOff>28575</xdr:rowOff>
        </xdr:from>
        <xdr:to>
          <xdr:col>0</xdr:col>
          <xdr:colOff>676275</xdr:colOff>
          <xdr:row>94</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96</xdr:row>
          <xdr:rowOff>28575</xdr:rowOff>
        </xdr:from>
        <xdr:to>
          <xdr:col>9</xdr:col>
          <xdr:colOff>47625</xdr:colOff>
          <xdr:row>97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R115"/>
  <sheetViews>
    <sheetView tabSelected="1" zoomScaleNormal="100" workbookViewId="0">
      <pane xSplit="18" ySplit="3" topLeftCell="S34" activePane="bottomRight" state="frozen"/>
      <selection pane="topRight" activeCell="F1" sqref="F1"/>
      <selection pane="bottomLeft" activeCell="A3" sqref="A3"/>
      <selection pane="bottomRight" activeCell="P65" sqref="P65"/>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56" width="3.140625" customWidth="1"/>
  </cols>
  <sheetData>
    <row r="1" spans="1:356" ht="69.75" hidden="1" customHeight="1" x14ac:dyDescent="0.25">
      <c r="P1" s="115" t="s">
        <v>408</v>
      </c>
      <c r="Q1" s="116" t="s">
        <v>408</v>
      </c>
      <c r="R1" s="117"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403</v>
      </c>
      <c r="CZ1" s="108"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467</v>
      </c>
      <c r="EJ1" s="49" t="s">
        <v>468</v>
      </c>
      <c r="EK1" s="47">
        <f>EH1 + 1</f>
        <v>44081</v>
      </c>
      <c r="EL1" s="47">
        <f t="shared" si="1"/>
        <v>44082</v>
      </c>
      <c r="EM1" s="47">
        <f t="shared" si="1"/>
        <v>44083</v>
      </c>
      <c r="EN1" s="47">
        <f t="shared" si="1"/>
        <v>44084</v>
      </c>
      <c r="EO1" s="47">
        <f t="shared" si="1"/>
        <v>44085</v>
      </c>
      <c r="EP1" s="47">
        <f t="shared" si="1"/>
        <v>44086</v>
      </c>
      <c r="EQ1" s="47">
        <f t="shared" si="1"/>
        <v>44087</v>
      </c>
      <c r="ER1" s="47" t="s">
        <v>470</v>
      </c>
      <c r="ES1" s="49" t="s">
        <v>471</v>
      </c>
      <c r="ET1" s="47">
        <f>EQ1 + 1</f>
        <v>44088</v>
      </c>
      <c r="EU1" s="47">
        <f t="shared" si="1"/>
        <v>44089</v>
      </c>
      <c r="EV1" s="47">
        <f t="shared" si="1"/>
        <v>44090</v>
      </c>
      <c r="EW1" s="47">
        <f t="shared" si="1"/>
        <v>44091</v>
      </c>
      <c r="EX1" s="47">
        <f t="shared" si="1"/>
        <v>44092</v>
      </c>
      <c r="EY1" s="47">
        <f t="shared" si="1"/>
        <v>44093</v>
      </c>
      <c r="EZ1" s="47">
        <f t="shared" si="1"/>
        <v>44094</v>
      </c>
      <c r="FA1" s="47" t="s">
        <v>512</v>
      </c>
      <c r="FB1" s="49" t="s">
        <v>513</v>
      </c>
      <c r="FC1" s="47">
        <f>EZ1 + 1</f>
        <v>44095</v>
      </c>
      <c r="FD1" s="47">
        <f t="shared" si="1"/>
        <v>44096</v>
      </c>
      <c r="FE1" s="47">
        <f t="shared" si="1"/>
        <v>44097</v>
      </c>
      <c r="FF1" s="47">
        <f t="shared" si="1"/>
        <v>44098</v>
      </c>
      <c r="FG1" s="47">
        <f t="shared" si="1"/>
        <v>44099</v>
      </c>
      <c r="FH1" s="47">
        <f t="shared" si="1"/>
        <v>44100</v>
      </c>
      <c r="FI1" s="47">
        <f t="shared" si="1"/>
        <v>44101</v>
      </c>
      <c r="FJ1" s="47" t="s">
        <v>525</v>
      </c>
      <c r="FK1" s="49" t="s">
        <v>526</v>
      </c>
      <c r="FL1" s="47">
        <f>FI1 + 1</f>
        <v>44102</v>
      </c>
      <c r="FM1" s="47">
        <f t="shared" ref="FM1:HX1" si="5">FL1 + 1</f>
        <v>44103</v>
      </c>
      <c r="FN1" s="47">
        <f t="shared" si="5"/>
        <v>44104</v>
      </c>
      <c r="FO1" s="47">
        <f t="shared" si="5"/>
        <v>44105</v>
      </c>
      <c r="FP1" s="47">
        <f t="shared" si="5"/>
        <v>44106</v>
      </c>
      <c r="FQ1" s="47">
        <f t="shared" si="5"/>
        <v>44107</v>
      </c>
      <c r="FR1" s="49">
        <f t="shared" si="5"/>
        <v>44108</v>
      </c>
      <c r="FS1" s="47">
        <f t="shared" si="5"/>
        <v>44109</v>
      </c>
      <c r="FT1" s="47">
        <f t="shared" si="5"/>
        <v>44110</v>
      </c>
      <c r="FU1" s="47">
        <f t="shared" si="5"/>
        <v>44111</v>
      </c>
      <c r="FV1" s="47">
        <f t="shared" si="5"/>
        <v>44112</v>
      </c>
      <c r="FW1" s="47">
        <f t="shared" si="5"/>
        <v>44113</v>
      </c>
      <c r="FX1" s="47">
        <f t="shared" si="5"/>
        <v>44114</v>
      </c>
      <c r="FY1" s="49">
        <f t="shared" si="5"/>
        <v>44115</v>
      </c>
      <c r="FZ1" s="47">
        <f t="shared" si="5"/>
        <v>44116</v>
      </c>
      <c r="GA1" s="47">
        <f t="shared" si="5"/>
        <v>44117</v>
      </c>
      <c r="GB1" s="47">
        <f t="shared" si="5"/>
        <v>44118</v>
      </c>
      <c r="GC1" s="47">
        <f t="shared" si="5"/>
        <v>44119</v>
      </c>
      <c r="GD1" s="47">
        <f t="shared" si="5"/>
        <v>44120</v>
      </c>
      <c r="GE1" s="47">
        <f t="shared" si="5"/>
        <v>44121</v>
      </c>
      <c r="GF1" s="49">
        <f t="shared" si="5"/>
        <v>44122</v>
      </c>
      <c r="GG1" s="47">
        <f t="shared" si="5"/>
        <v>44123</v>
      </c>
      <c r="GH1" s="47">
        <f t="shared" si="5"/>
        <v>44124</v>
      </c>
      <c r="GI1" s="47">
        <f t="shared" si="5"/>
        <v>44125</v>
      </c>
      <c r="GJ1" s="47">
        <f t="shared" si="5"/>
        <v>44126</v>
      </c>
      <c r="GK1" s="47">
        <f t="shared" si="5"/>
        <v>44127</v>
      </c>
      <c r="GL1" s="47">
        <f t="shared" si="5"/>
        <v>44128</v>
      </c>
      <c r="GM1" s="49">
        <f t="shared" si="5"/>
        <v>44129</v>
      </c>
      <c r="GN1" s="47">
        <f t="shared" si="5"/>
        <v>44130</v>
      </c>
      <c r="GO1" s="47">
        <f t="shared" si="5"/>
        <v>44131</v>
      </c>
      <c r="GP1" s="47">
        <f t="shared" si="5"/>
        <v>44132</v>
      </c>
      <c r="GQ1" s="47">
        <f t="shared" si="5"/>
        <v>44133</v>
      </c>
      <c r="GR1" s="47">
        <f t="shared" si="5"/>
        <v>44134</v>
      </c>
      <c r="GS1" s="47">
        <f t="shared" si="5"/>
        <v>44135</v>
      </c>
      <c r="GT1" s="49">
        <f t="shared" si="5"/>
        <v>44136</v>
      </c>
      <c r="GU1" s="47">
        <f t="shared" si="5"/>
        <v>44137</v>
      </c>
      <c r="GV1" s="47">
        <f t="shared" si="5"/>
        <v>44138</v>
      </c>
      <c r="GW1" s="47">
        <f t="shared" si="5"/>
        <v>44139</v>
      </c>
      <c r="GX1" s="47">
        <f t="shared" si="5"/>
        <v>44140</v>
      </c>
      <c r="GY1" s="47">
        <f t="shared" si="5"/>
        <v>44141</v>
      </c>
      <c r="GZ1" s="47">
        <f t="shared" si="5"/>
        <v>44142</v>
      </c>
      <c r="HA1" s="49">
        <f t="shared" si="5"/>
        <v>44143</v>
      </c>
      <c r="HB1" s="47">
        <f t="shared" si="5"/>
        <v>44144</v>
      </c>
      <c r="HC1" s="47">
        <f t="shared" si="5"/>
        <v>44145</v>
      </c>
      <c r="HD1" s="47">
        <f t="shared" si="5"/>
        <v>44146</v>
      </c>
      <c r="HE1" s="47">
        <f t="shared" si="5"/>
        <v>44147</v>
      </c>
      <c r="HF1" s="47">
        <f t="shared" si="5"/>
        <v>44148</v>
      </c>
      <c r="HG1" s="47">
        <f t="shared" si="5"/>
        <v>44149</v>
      </c>
      <c r="HH1" s="49">
        <f t="shared" si="5"/>
        <v>44150</v>
      </c>
      <c r="HI1" s="47">
        <f t="shared" si="5"/>
        <v>44151</v>
      </c>
      <c r="HJ1" s="47">
        <f t="shared" si="5"/>
        <v>44152</v>
      </c>
      <c r="HK1" s="47">
        <f t="shared" si="5"/>
        <v>44153</v>
      </c>
      <c r="HL1" s="47">
        <f t="shared" si="5"/>
        <v>44154</v>
      </c>
      <c r="HM1" s="47">
        <f t="shared" si="5"/>
        <v>44155</v>
      </c>
      <c r="HN1" s="47">
        <f t="shared" si="5"/>
        <v>44156</v>
      </c>
      <c r="HO1" s="49">
        <f t="shared" si="5"/>
        <v>44157</v>
      </c>
      <c r="HP1" s="47">
        <f t="shared" si="5"/>
        <v>44158</v>
      </c>
      <c r="HQ1" s="47">
        <f t="shared" si="5"/>
        <v>44159</v>
      </c>
      <c r="HR1" s="47">
        <f t="shared" si="5"/>
        <v>44160</v>
      </c>
      <c r="HS1" s="47">
        <f t="shared" si="5"/>
        <v>44161</v>
      </c>
      <c r="HT1" s="47">
        <f t="shared" si="5"/>
        <v>44162</v>
      </c>
      <c r="HU1" s="47">
        <f t="shared" si="5"/>
        <v>44163</v>
      </c>
      <c r="HV1" s="49">
        <f t="shared" si="5"/>
        <v>44164</v>
      </c>
      <c r="HW1" s="47">
        <f t="shared" si="5"/>
        <v>44165</v>
      </c>
      <c r="HX1" s="47">
        <f t="shared" si="5"/>
        <v>44166</v>
      </c>
      <c r="HY1" s="47">
        <f t="shared" ref="HY1:KJ1" si="6">HX1 + 1</f>
        <v>44167</v>
      </c>
      <c r="HZ1" s="47">
        <f t="shared" si="6"/>
        <v>44168</v>
      </c>
      <c r="IA1" s="47">
        <f t="shared" si="6"/>
        <v>44169</v>
      </c>
      <c r="IB1" s="47">
        <f t="shared" si="6"/>
        <v>44170</v>
      </c>
      <c r="IC1" s="49">
        <f t="shared" si="6"/>
        <v>44171</v>
      </c>
      <c r="ID1" s="47">
        <f t="shared" si="6"/>
        <v>44172</v>
      </c>
      <c r="IE1" s="47">
        <f t="shared" si="6"/>
        <v>44173</v>
      </c>
      <c r="IF1" s="47">
        <f t="shared" si="6"/>
        <v>44174</v>
      </c>
      <c r="IG1" s="47">
        <f t="shared" si="6"/>
        <v>44175</v>
      </c>
      <c r="IH1" s="47">
        <f t="shared" si="6"/>
        <v>44176</v>
      </c>
      <c r="II1" s="47">
        <f t="shared" si="6"/>
        <v>44177</v>
      </c>
      <c r="IJ1" s="49">
        <f t="shared" si="6"/>
        <v>44178</v>
      </c>
      <c r="IK1" s="47">
        <f t="shared" si="6"/>
        <v>44179</v>
      </c>
      <c r="IL1" s="47">
        <f t="shared" si="6"/>
        <v>44180</v>
      </c>
      <c r="IM1" s="47">
        <f t="shared" si="6"/>
        <v>44181</v>
      </c>
      <c r="IN1" s="47">
        <f t="shared" si="6"/>
        <v>44182</v>
      </c>
      <c r="IO1" s="47">
        <f t="shared" si="6"/>
        <v>44183</v>
      </c>
      <c r="IP1" s="47">
        <f t="shared" si="6"/>
        <v>44184</v>
      </c>
      <c r="IQ1" s="49">
        <f t="shared" si="6"/>
        <v>44185</v>
      </c>
      <c r="IR1" s="47">
        <f t="shared" si="6"/>
        <v>44186</v>
      </c>
      <c r="IS1" s="47">
        <f t="shared" si="6"/>
        <v>44187</v>
      </c>
      <c r="IT1" s="47">
        <f t="shared" si="6"/>
        <v>44188</v>
      </c>
      <c r="IU1" s="47">
        <f t="shared" si="6"/>
        <v>44189</v>
      </c>
      <c r="IV1" s="47">
        <f t="shared" si="6"/>
        <v>44190</v>
      </c>
      <c r="IW1" s="47">
        <f t="shared" si="6"/>
        <v>44191</v>
      </c>
      <c r="IX1" s="49">
        <f t="shared" si="6"/>
        <v>44192</v>
      </c>
      <c r="IY1" s="47">
        <f t="shared" si="6"/>
        <v>44193</v>
      </c>
      <c r="IZ1" s="47">
        <f t="shared" si="6"/>
        <v>44194</v>
      </c>
      <c r="JA1" s="47">
        <f t="shared" si="6"/>
        <v>44195</v>
      </c>
      <c r="JB1" s="47">
        <f t="shared" si="6"/>
        <v>44196</v>
      </c>
      <c r="JC1" s="47">
        <f t="shared" si="6"/>
        <v>44197</v>
      </c>
      <c r="JD1" s="47">
        <f t="shared" si="6"/>
        <v>44198</v>
      </c>
      <c r="JE1" s="49">
        <f t="shared" si="6"/>
        <v>44199</v>
      </c>
      <c r="JF1" s="47">
        <f t="shared" si="6"/>
        <v>44200</v>
      </c>
      <c r="JG1" s="47">
        <f t="shared" si="6"/>
        <v>44201</v>
      </c>
      <c r="JH1" s="47">
        <f t="shared" si="6"/>
        <v>44202</v>
      </c>
      <c r="JI1" s="47">
        <f t="shared" si="6"/>
        <v>44203</v>
      </c>
      <c r="JJ1" s="47">
        <f t="shared" si="6"/>
        <v>44204</v>
      </c>
      <c r="JK1" s="47">
        <f t="shared" si="6"/>
        <v>44205</v>
      </c>
      <c r="JL1" s="49">
        <f t="shared" si="6"/>
        <v>44206</v>
      </c>
      <c r="JM1" s="47">
        <f t="shared" si="6"/>
        <v>44207</v>
      </c>
      <c r="JN1" s="47">
        <f t="shared" si="6"/>
        <v>44208</v>
      </c>
      <c r="JO1" s="47">
        <f t="shared" si="6"/>
        <v>44209</v>
      </c>
      <c r="JP1" s="47">
        <f t="shared" si="6"/>
        <v>44210</v>
      </c>
      <c r="JQ1" s="47">
        <f t="shared" si="6"/>
        <v>44211</v>
      </c>
      <c r="JR1" s="47">
        <f t="shared" si="6"/>
        <v>44212</v>
      </c>
      <c r="JS1" s="49">
        <f t="shared" si="6"/>
        <v>44213</v>
      </c>
      <c r="JT1" s="47">
        <f t="shared" si="6"/>
        <v>44214</v>
      </c>
      <c r="JU1" s="47">
        <f t="shared" si="6"/>
        <v>44215</v>
      </c>
      <c r="JV1" s="47">
        <f t="shared" si="6"/>
        <v>44216</v>
      </c>
      <c r="JW1" s="47">
        <f t="shared" si="6"/>
        <v>44217</v>
      </c>
      <c r="JX1" s="47">
        <f t="shared" si="6"/>
        <v>44218</v>
      </c>
      <c r="JY1" s="47">
        <f t="shared" si="6"/>
        <v>44219</v>
      </c>
      <c r="JZ1" s="49">
        <f t="shared" si="6"/>
        <v>44220</v>
      </c>
      <c r="KA1" s="47">
        <f t="shared" si="6"/>
        <v>44221</v>
      </c>
      <c r="KB1" s="47">
        <f t="shared" si="6"/>
        <v>44222</v>
      </c>
      <c r="KC1" s="47">
        <f t="shared" si="6"/>
        <v>44223</v>
      </c>
      <c r="KD1" s="47">
        <f t="shared" si="6"/>
        <v>44224</v>
      </c>
      <c r="KE1" s="47">
        <f t="shared" si="6"/>
        <v>44225</v>
      </c>
      <c r="KF1" s="47">
        <f t="shared" si="6"/>
        <v>44226</v>
      </c>
      <c r="KG1" s="49">
        <f t="shared" si="6"/>
        <v>44227</v>
      </c>
      <c r="KH1" s="47">
        <f t="shared" si="6"/>
        <v>44228</v>
      </c>
      <c r="KI1" s="47">
        <f t="shared" si="6"/>
        <v>44229</v>
      </c>
      <c r="KJ1" s="47">
        <f t="shared" si="6"/>
        <v>44230</v>
      </c>
      <c r="KK1" s="47">
        <f t="shared" ref="KK1:MR1" si="7">KJ1 + 1</f>
        <v>44231</v>
      </c>
      <c r="KL1" s="47">
        <f t="shared" si="7"/>
        <v>44232</v>
      </c>
      <c r="KM1" s="47">
        <f t="shared" si="7"/>
        <v>44233</v>
      </c>
      <c r="KN1" s="49">
        <f t="shared" si="7"/>
        <v>44234</v>
      </c>
      <c r="KO1" s="47">
        <f t="shared" si="7"/>
        <v>44235</v>
      </c>
      <c r="KP1" s="47">
        <f t="shared" si="7"/>
        <v>44236</v>
      </c>
      <c r="KQ1" s="47">
        <f t="shared" si="7"/>
        <v>44237</v>
      </c>
      <c r="KR1" s="47">
        <f t="shared" si="7"/>
        <v>44238</v>
      </c>
      <c r="KS1" s="47">
        <f t="shared" si="7"/>
        <v>44239</v>
      </c>
      <c r="KT1" s="47">
        <f t="shared" si="7"/>
        <v>44240</v>
      </c>
      <c r="KU1" s="49">
        <f t="shared" si="7"/>
        <v>44241</v>
      </c>
      <c r="KV1" s="47">
        <f t="shared" si="7"/>
        <v>44242</v>
      </c>
      <c r="KW1" s="47">
        <f t="shared" si="7"/>
        <v>44243</v>
      </c>
      <c r="KX1" s="47">
        <f t="shared" si="7"/>
        <v>44244</v>
      </c>
      <c r="KY1" s="47">
        <f t="shared" si="7"/>
        <v>44245</v>
      </c>
      <c r="KZ1" s="47">
        <f t="shared" si="7"/>
        <v>44246</v>
      </c>
      <c r="LA1" s="47">
        <f t="shared" si="7"/>
        <v>44247</v>
      </c>
      <c r="LB1" s="49">
        <f t="shared" si="7"/>
        <v>44248</v>
      </c>
      <c r="LC1" s="47">
        <f t="shared" si="7"/>
        <v>44249</v>
      </c>
      <c r="LD1" s="47">
        <f t="shared" si="7"/>
        <v>44250</v>
      </c>
      <c r="LE1" s="47">
        <f t="shared" si="7"/>
        <v>44251</v>
      </c>
      <c r="LF1" s="47">
        <f t="shared" si="7"/>
        <v>44252</v>
      </c>
      <c r="LG1" s="47">
        <f t="shared" si="7"/>
        <v>44253</v>
      </c>
      <c r="LH1" s="47">
        <f t="shared" si="7"/>
        <v>44254</v>
      </c>
      <c r="LI1" s="49">
        <f t="shared" si="7"/>
        <v>44255</v>
      </c>
      <c r="LJ1" s="47">
        <f t="shared" si="7"/>
        <v>44256</v>
      </c>
      <c r="LK1" s="47">
        <f t="shared" si="7"/>
        <v>44257</v>
      </c>
      <c r="LL1" s="47">
        <f t="shared" si="7"/>
        <v>44258</v>
      </c>
      <c r="LM1" s="47">
        <f t="shared" si="7"/>
        <v>44259</v>
      </c>
      <c r="LN1" s="47">
        <f t="shared" si="7"/>
        <v>44260</v>
      </c>
      <c r="LO1" s="47">
        <f t="shared" si="7"/>
        <v>44261</v>
      </c>
      <c r="LP1" s="49">
        <f t="shared" si="7"/>
        <v>44262</v>
      </c>
      <c r="LQ1" s="47">
        <f t="shared" si="7"/>
        <v>44263</v>
      </c>
      <c r="LR1" s="47">
        <f t="shared" si="7"/>
        <v>44264</v>
      </c>
      <c r="LS1" s="47">
        <f t="shared" si="7"/>
        <v>44265</v>
      </c>
      <c r="LT1" s="47">
        <f t="shared" si="7"/>
        <v>44266</v>
      </c>
      <c r="LU1" s="47">
        <f t="shared" si="7"/>
        <v>44267</v>
      </c>
      <c r="LV1" s="47">
        <f t="shared" si="7"/>
        <v>44268</v>
      </c>
      <c r="LW1" s="49">
        <f t="shared" si="7"/>
        <v>44269</v>
      </c>
      <c r="LX1" s="47">
        <f t="shared" si="7"/>
        <v>44270</v>
      </c>
      <c r="LY1" s="47">
        <f t="shared" si="7"/>
        <v>44271</v>
      </c>
      <c r="LZ1" s="47">
        <f t="shared" si="7"/>
        <v>44272</v>
      </c>
      <c r="MA1" s="47">
        <f t="shared" si="7"/>
        <v>44273</v>
      </c>
      <c r="MB1" s="47">
        <f t="shared" si="7"/>
        <v>44274</v>
      </c>
      <c r="MC1" s="47">
        <f t="shared" si="7"/>
        <v>44275</v>
      </c>
      <c r="MD1" s="49">
        <f t="shared" si="7"/>
        <v>44276</v>
      </c>
      <c r="ME1" s="47">
        <f t="shared" si="7"/>
        <v>44277</v>
      </c>
      <c r="MF1" s="47">
        <f t="shared" si="7"/>
        <v>44278</v>
      </c>
      <c r="MG1" s="47">
        <f t="shared" si="7"/>
        <v>44279</v>
      </c>
      <c r="MH1" s="47">
        <f t="shared" si="7"/>
        <v>44280</v>
      </c>
      <c r="MI1" s="47">
        <f t="shared" si="7"/>
        <v>44281</v>
      </c>
      <c r="MJ1" s="47">
        <f t="shared" si="7"/>
        <v>44282</v>
      </c>
      <c r="MK1" s="49">
        <f t="shared" si="7"/>
        <v>44283</v>
      </c>
      <c r="ML1" s="47">
        <f t="shared" si="7"/>
        <v>44284</v>
      </c>
      <c r="MM1" s="47">
        <f t="shared" si="7"/>
        <v>44285</v>
      </c>
      <c r="MN1" s="47">
        <f t="shared" si="7"/>
        <v>44286</v>
      </c>
      <c r="MO1" s="47">
        <f t="shared" si="7"/>
        <v>44287</v>
      </c>
      <c r="MP1" s="47">
        <f t="shared" si="7"/>
        <v>44288</v>
      </c>
      <c r="MQ1" s="47">
        <f t="shared" si="7"/>
        <v>44289</v>
      </c>
      <c r="MR1" s="49">
        <f t="shared" si="7"/>
        <v>44290</v>
      </c>
    </row>
    <row r="2" spans="1:356" ht="15" customHeight="1" x14ac:dyDescent="0.25">
      <c r="A2" s="151" t="s">
        <v>144</v>
      </c>
      <c r="B2" s="151"/>
      <c r="C2" s="151"/>
      <c r="D2" s="151"/>
      <c r="E2" s="151"/>
      <c r="F2" s="39"/>
      <c r="G2" s="39"/>
      <c r="H2" s="39"/>
      <c r="I2" s="39"/>
      <c r="J2" s="39"/>
      <c r="K2" s="39"/>
      <c r="L2" s="39"/>
      <c r="M2" s="39"/>
      <c r="N2" s="39"/>
      <c r="O2" s="27"/>
      <c r="P2" s="152" t="s">
        <v>49</v>
      </c>
      <c r="Q2" s="147" t="s">
        <v>48</v>
      </c>
      <c r="R2" s="149"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4">
        <f t="shared" ref="CX2" si="81">CX1</f>
        <v>44052</v>
      </c>
      <c r="CY2" s="41" t="s">
        <v>369</v>
      </c>
      <c r="CZ2" s="105"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469</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472</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514</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 si="129">FQ1</f>
        <v>44107</v>
      </c>
      <c r="FR2" s="50">
        <f t="shared" ref="FR2" si="130">FR1</f>
        <v>44108</v>
      </c>
      <c r="FS2" s="48">
        <f t="shared" ref="FS2" si="131">FS1</f>
        <v>44109</v>
      </c>
      <c r="FT2" s="48">
        <f t="shared" ref="FT2" si="132">FT1</f>
        <v>44110</v>
      </c>
      <c r="FU2" s="48">
        <f t="shared" ref="FU2" si="133">FU1</f>
        <v>44111</v>
      </c>
      <c r="FV2" s="48">
        <f t="shared" ref="FV2" si="134">FV1</f>
        <v>44112</v>
      </c>
      <c r="FW2" s="48">
        <f t="shared" ref="FW2" si="135">FW1</f>
        <v>44113</v>
      </c>
      <c r="FX2" s="48">
        <f t="shared" ref="FX2" si="136">FX1</f>
        <v>44114</v>
      </c>
      <c r="FY2" s="50">
        <f t="shared" ref="FY2" si="137">FY1</f>
        <v>44115</v>
      </c>
      <c r="FZ2" s="48">
        <f t="shared" ref="FZ2" si="138">FZ1</f>
        <v>44116</v>
      </c>
      <c r="GA2" s="48">
        <f t="shared" ref="GA2" si="139">GA1</f>
        <v>44117</v>
      </c>
      <c r="GB2" s="48">
        <f t="shared" ref="GB2" si="140">GB1</f>
        <v>44118</v>
      </c>
      <c r="GC2" s="48">
        <f t="shared" ref="GC2" si="141">GC1</f>
        <v>44119</v>
      </c>
      <c r="GD2" s="48">
        <f t="shared" ref="GD2" si="142">GD1</f>
        <v>44120</v>
      </c>
      <c r="GE2" s="48">
        <f t="shared" ref="GE2" si="143">GE1</f>
        <v>44121</v>
      </c>
      <c r="GF2" s="50">
        <f t="shared" ref="GF2" si="144">GF1</f>
        <v>44122</v>
      </c>
      <c r="GG2" s="48">
        <f t="shared" ref="GG2" si="145">GG1</f>
        <v>44123</v>
      </c>
      <c r="GH2" s="48">
        <f t="shared" ref="GH2" si="146">GH1</f>
        <v>44124</v>
      </c>
      <c r="GI2" s="48">
        <f t="shared" ref="GI2" si="147">GI1</f>
        <v>44125</v>
      </c>
      <c r="GJ2" s="48">
        <f t="shared" ref="GJ2" si="148">GJ1</f>
        <v>44126</v>
      </c>
      <c r="GK2" s="48">
        <f t="shared" ref="GK2" si="149">GK1</f>
        <v>44127</v>
      </c>
      <c r="GL2" s="48">
        <f t="shared" ref="GL2" si="150">GL1</f>
        <v>44128</v>
      </c>
      <c r="GM2" s="50">
        <f t="shared" ref="GM2" si="151">GM1</f>
        <v>44129</v>
      </c>
      <c r="GN2" s="48">
        <f t="shared" ref="GN2" si="152">GN1</f>
        <v>44130</v>
      </c>
      <c r="GO2" s="48">
        <f t="shared" ref="GO2" si="153">GO1</f>
        <v>44131</v>
      </c>
      <c r="GP2" s="48">
        <f t="shared" ref="GP2" si="154">GP1</f>
        <v>44132</v>
      </c>
      <c r="GQ2" s="48">
        <f t="shared" ref="GQ2" si="155">GQ1</f>
        <v>44133</v>
      </c>
      <c r="GR2" s="48">
        <f t="shared" ref="GR2" si="156">GR1</f>
        <v>44134</v>
      </c>
      <c r="GS2" s="48">
        <f t="shared" ref="GS2" si="157">GS1</f>
        <v>44135</v>
      </c>
      <c r="GT2" s="50">
        <f t="shared" ref="GT2" si="158">GT1</f>
        <v>44136</v>
      </c>
      <c r="GU2" s="48">
        <f t="shared" ref="GU2" si="159">GU1</f>
        <v>44137</v>
      </c>
      <c r="GV2" s="48">
        <f t="shared" ref="GV2" si="160">GV1</f>
        <v>44138</v>
      </c>
      <c r="GW2" s="48">
        <f t="shared" ref="GW2" si="161">GW1</f>
        <v>44139</v>
      </c>
      <c r="GX2" s="48">
        <f t="shared" ref="GX2" si="162">GX1</f>
        <v>44140</v>
      </c>
      <c r="GY2" s="48">
        <f t="shared" ref="GY2" si="163">GY1</f>
        <v>44141</v>
      </c>
      <c r="GZ2" s="48">
        <f t="shared" ref="GZ2" si="164">GZ1</f>
        <v>44142</v>
      </c>
      <c r="HA2" s="50">
        <f t="shared" ref="HA2" si="165">HA1</f>
        <v>44143</v>
      </c>
      <c r="HB2" s="48">
        <f t="shared" ref="HB2" si="166">HB1</f>
        <v>44144</v>
      </c>
      <c r="HC2" s="48">
        <f t="shared" ref="HC2" si="167">HC1</f>
        <v>44145</v>
      </c>
      <c r="HD2" s="48">
        <f t="shared" ref="HD2" si="168">HD1</f>
        <v>44146</v>
      </c>
      <c r="HE2" s="48">
        <f t="shared" ref="HE2" si="169">HE1</f>
        <v>44147</v>
      </c>
      <c r="HF2" s="48">
        <f t="shared" ref="HF2" si="170">HF1</f>
        <v>44148</v>
      </c>
      <c r="HG2" s="48">
        <f t="shared" ref="HG2" si="171">HG1</f>
        <v>44149</v>
      </c>
      <c r="HH2" s="50">
        <f t="shared" ref="HH2" si="172">HH1</f>
        <v>44150</v>
      </c>
      <c r="HI2" s="48">
        <f t="shared" ref="HI2" si="173">HI1</f>
        <v>44151</v>
      </c>
      <c r="HJ2" s="48">
        <f t="shared" ref="HJ2" si="174">HJ1</f>
        <v>44152</v>
      </c>
      <c r="HK2" s="48">
        <f t="shared" ref="HK2" si="175">HK1</f>
        <v>44153</v>
      </c>
      <c r="HL2" s="48">
        <f t="shared" ref="HL2" si="176">HL1</f>
        <v>44154</v>
      </c>
      <c r="HM2" s="48">
        <f t="shared" ref="HM2" si="177">HM1</f>
        <v>44155</v>
      </c>
      <c r="HN2" s="48">
        <f t="shared" ref="HN2" si="178">HN1</f>
        <v>44156</v>
      </c>
      <c r="HO2" s="50">
        <f t="shared" ref="HO2" si="179">HO1</f>
        <v>44157</v>
      </c>
      <c r="HP2" s="48">
        <f t="shared" ref="HP2" si="180">HP1</f>
        <v>44158</v>
      </c>
      <c r="HQ2" s="48">
        <f t="shared" ref="HQ2" si="181">HQ1</f>
        <v>44159</v>
      </c>
      <c r="HR2" s="48">
        <f t="shared" ref="HR2" si="182">HR1</f>
        <v>44160</v>
      </c>
      <c r="HS2" s="48">
        <f t="shared" ref="HS2" si="183">HS1</f>
        <v>44161</v>
      </c>
      <c r="HT2" s="48">
        <f t="shared" ref="HT2" si="184">HT1</f>
        <v>44162</v>
      </c>
      <c r="HU2" s="48">
        <f t="shared" ref="HU2" si="185">HU1</f>
        <v>44163</v>
      </c>
      <c r="HV2" s="50">
        <f t="shared" ref="HV2" si="186">HV1</f>
        <v>44164</v>
      </c>
      <c r="HW2" s="48">
        <f t="shared" ref="HW2" si="187">HW1</f>
        <v>44165</v>
      </c>
      <c r="HX2" s="48">
        <f t="shared" ref="HX2" si="188">HX1</f>
        <v>44166</v>
      </c>
      <c r="HY2" s="48">
        <f t="shared" ref="HY2" si="189">HY1</f>
        <v>44167</v>
      </c>
      <c r="HZ2" s="48">
        <f t="shared" ref="HZ2" si="190">HZ1</f>
        <v>44168</v>
      </c>
      <c r="IA2" s="48">
        <f t="shared" ref="IA2" si="191">IA1</f>
        <v>44169</v>
      </c>
      <c r="IB2" s="48">
        <f t="shared" ref="IB2" si="192">IB1</f>
        <v>44170</v>
      </c>
      <c r="IC2" s="50">
        <f t="shared" ref="IC2" si="193">IC1</f>
        <v>44171</v>
      </c>
      <c r="ID2" s="48">
        <f t="shared" ref="ID2" si="194">ID1</f>
        <v>44172</v>
      </c>
      <c r="IE2" s="48">
        <f t="shared" ref="IE2" si="195">IE1</f>
        <v>44173</v>
      </c>
      <c r="IF2" s="48">
        <f t="shared" ref="IF2" si="196">IF1</f>
        <v>44174</v>
      </c>
      <c r="IG2" s="48">
        <f t="shared" ref="IG2" si="197">IG1</f>
        <v>44175</v>
      </c>
      <c r="IH2" s="48">
        <f t="shared" ref="IH2" si="198">IH1</f>
        <v>44176</v>
      </c>
      <c r="II2" s="48">
        <f t="shared" ref="II2" si="199">II1</f>
        <v>44177</v>
      </c>
      <c r="IJ2" s="50">
        <f t="shared" ref="IJ2" si="200">IJ1</f>
        <v>44178</v>
      </c>
      <c r="IK2" s="48">
        <f t="shared" ref="IK2" si="201">IK1</f>
        <v>44179</v>
      </c>
      <c r="IL2" s="48">
        <f t="shared" ref="IL2" si="202">IL1</f>
        <v>44180</v>
      </c>
      <c r="IM2" s="48">
        <f t="shared" ref="IM2" si="203">IM1</f>
        <v>44181</v>
      </c>
      <c r="IN2" s="48">
        <f t="shared" ref="IN2" si="204">IN1</f>
        <v>44182</v>
      </c>
      <c r="IO2" s="48">
        <f t="shared" ref="IO2" si="205">IO1</f>
        <v>44183</v>
      </c>
      <c r="IP2" s="48">
        <f t="shared" ref="IP2" si="206">IP1</f>
        <v>44184</v>
      </c>
      <c r="IQ2" s="50">
        <f t="shared" ref="IQ2" si="207">IQ1</f>
        <v>44185</v>
      </c>
      <c r="IR2" s="48">
        <f t="shared" ref="IR2" si="208">IR1</f>
        <v>44186</v>
      </c>
      <c r="IS2" s="48">
        <f t="shared" ref="IS2" si="209">IS1</f>
        <v>44187</v>
      </c>
      <c r="IT2" s="48">
        <f t="shared" ref="IT2" si="210">IT1</f>
        <v>44188</v>
      </c>
      <c r="IU2" s="48">
        <f t="shared" ref="IU2" si="211">IU1</f>
        <v>44189</v>
      </c>
      <c r="IV2" s="48">
        <f t="shared" ref="IV2" si="212">IV1</f>
        <v>44190</v>
      </c>
      <c r="IW2" s="48">
        <f t="shared" ref="IW2" si="213">IW1</f>
        <v>44191</v>
      </c>
      <c r="IX2" s="50">
        <f t="shared" ref="IX2" si="214">IX1</f>
        <v>44192</v>
      </c>
      <c r="IY2" s="48">
        <f t="shared" ref="IY2" si="215">IY1</f>
        <v>44193</v>
      </c>
      <c r="IZ2" s="48">
        <f t="shared" ref="IZ2" si="216">IZ1</f>
        <v>44194</v>
      </c>
      <c r="JA2" s="48">
        <f t="shared" ref="JA2" si="217">JA1</f>
        <v>44195</v>
      </c>
      <c r="JB2" s="48">
        <f t="shared" ref="JB2" si="218">JB1</f>
        <v>44196</v>
      </c>
      <c r="JC2" s="48">
        <f t="shared" ref="JC2" si="219">JC1</f>
        <v>44197</v>
      </c>
      <c r="JD2" s="48">
        <f t="shared" ref="JD2" si="220">JD1</f>
        <v>44198</v>
      </c>
      <c r="JE2" s="50">
        <f t="shared" ref="JE2" si="221">JE1</f>
        <v>44199</v>
      </c>
      <c r="JF2" s="48">
        <f t="shared" ref="JF2" si="222">JF1</f>
        <v>44200</v>
      </c>
      <c r="JG2" s="48">
        <f t="shared" ref="JG2" si="223">JG1</f>
        <v>44201</v>
      </c>
      <c r="JH2" s="48">
        <f t="shared" ref="JH2" si="224">JH1</f>
        <v>44202</v>
      </c>
      <c r="JI2" s="48">
        <f t="shared" ref="JI2" si="225">JI1</f>
        <v>44203</v>
      </c>
      <c r="JJ2" s="48">
        <f t="shared" ref="JJ2" si="226">JJ1</f>
        <v>44204</v>
      </c>
      <c r="JK2" s="48">
        <f t="shared" ref="JK2" si="227">JK1</f>
        <v>44205</v>
      </c>
      <c r="JL2" s="50">
        <f t="shared" ref="JL2" si="228">JL1</f>
        <v>44206</v>
      </c>
      <c r="JM2" s="48">
        <f t="shared" ref="JM2" si="229">JM1</f>
        <v>44207</v>
      </c>
      <c r="JN2" s="48">
        <f t="shared" ref="JN2" si="230">JN1</f>
        <v>44208</v>
      </c>
      <c r="JO2" s="48">
        <f t="shared" ref="JO2" si="231">JO1</f>
        <v>44209</v>
      </c>
      <c r="JP2" s="48">
        <f t="shared" ref="JP2" si="232">JP1</f>
        <v>44210</v>
      </c>
      <c r="JQ2" s="48">
        <f t="shared" ref="JQ2" si="233">JQ1</f>
        <v>44211</v>
      </c>
      <c r="JR2" s="48">
        <f t="shared" ref="JR2" si="234">JR1</f>
        <v>44212</v>
      </c>
      <c r="JS2" s="50">
        <f t="shared" ref="JS2" si="235">JS1</f>
        <v>44213</v>
      </c>
      <c r="JT2" s="48">
        <f t="shared" ref="JT2" si="236">JT1</f>
        <v>44214</v>
      </c>
      <c r="JU2" s="48">
        <f t="shared" ref="JU2" si="237">JU1</f>
        <v>44215</v>
      </c>
      <c r="JV2" s="48">
        <f t="shared" ref="JV2" si="238">JV1</f>
        <v>44216</v>
      </c>
      <c r="JW2" s="48">
        <f t="shared" ref="JW2" si="239">JW1</f>
        <v>44217</v>
      </c>
      <c r="JX2" s="48">
        <f t="shared" ref="JX2" si="240">JX1</f>
        <v>44218</v>
      </c>
      <c r="JY2" s="48">
        <f t="shared" ref="JY2" si="241">JY1</f>
        <v>44219</v>
      </c>
      <c r="JZ2" s="50">
        <f t="shared" ref="JZ2" si="242">JZ1</f>
        <v>44220</v>
      </c>
      <c r="KA2" s="48">
        <f t="shared" ref="KA2" si="243">KA1</f>
        <v>44221</v>
      </c>
      <c r="KB2" s="48">
        <f t="shared" ref="KB2" si="244">KB1</f>
        <v>44222</v>
      </c>
      <c r="KC2" s="48">
        <f t="shared" ref="KC2" si="245">KC1</f>
        <v>44223</v>
      </c>
      <c r="KD2" s="48">
        <f t="shared" ref="KD2" si="246">KD1</f>
        <v>44224</v>
      </c>
      <c r="KE2" s="48">
        <f t="shared" ref="KE2" si="247">KE1</f>
        <v>44225</v>
      </c>
      <c r="KF2" s="48">
        <f t="shared" ref="KF2" si="248">KF1</f>
        <v>44226</v>
      </c>
      <c r="KG2" s="50">
        <f t="shared" ref="KG2" si="249">KG1</f>
        <v>44227</v>
      </c>
      <c r="KH2" s="48">
        <f t="shared" ref="KH2" si="250">KH1</f>
        <v>44228</v>
      </c>
      <c r="KI2" s="48">
        <f t="shared" ref="KI2" si="251">KI1</f>
        <v>44229</v>
      </c>
      <c r="KJ2" s="48">
        <f t="shared" ref="KJ2" si="252">KJ1</f>
        <v>44230</v>
      </c>
      <c r="KK2" s="48">
        <f t="shared" ref="KK2" si="253">KK1</f>
        <v>44231</v>
      </c>
      <c r="KL2" s="48">
        <f t="shared" ref="KL2" si="254">KL1</f>
        <v>44232</v>
      </c>
      <c r="KM2" s="48">
        <f t="shared" ref="KM2" si="255">KM1</f>
        <v>44233</v>
      </c>
      <c r="KN2" s="50">
        <f t="shared" ref="KN2" si="256">KN1</f>
        <v>44234</v>
      </c>
      <c r="KO2" s="48">
        <f t="shared" ref="KO2" si="257">KO1</f>
        <v>44235</v>
      </c>
      <c r="KP2" s="48">
        <f t="shared" ref="KP2" si="258">KP1</f>
        <v>44236</v>
      </c>
      <c r="KQ2" s="48">
        <f t="shared" ref="KQ2" si="259">KQ1</f>
        <v>44237</v>
      </c>
      <c r="KR2" s="48">
        <f t="shared" ref="KR2" si="260">KR1</f>
        <v>44238</v>
      </c>
      <c r="KS2" s="48">
        <f t="shared" ref="KS2" si="261">KS1</f>
        <v>44239</v>
      </c>
      <c r="KT2" s="48">
        <f t="shared" ref="KT2" si="262">KT1</f>
        <v>44240</v>
      </c>
      <c r="KU2" s="50">
        <f t="shared" ref="KU2" si="263">KU1</f>
        <v>44241</v>
      </c>
      <c r="KV2" s="48">
        <f t="shared" ref="KV2" si="264">KV1</f>
        <v>44242</v>
      </c>
      <c r="KW2" s="48">
        <f t="shared" ref="KW2" si="265">KW1</f>
        <v>44243</v>
      </c>
      <c r="KX2" s="48">
        <f t="shared" ref="KX2" si="266">KX1</f>
        <v>44244</v>
      </c>
      <c r="KY2" s="48">
        <f t="shared" ref="KY2" si="267">KY1</f>
        <v>44245</v>
      </c>
      <c r="KZ2" s="48">
        <f t="shared" ref="KZ2" si="268">KZ1</f>
        <v>44246</v>
      </c>
      <c r="LA2" s="48">
        <f t="shared" ref="LA2" si="269">LA1</f>
        <v>44247</v>
      </c>
      <c r="LB2" s="50">
        <f t="shared" ref="LB2" si="270">LB1</f>
        <v>44248</v>
      </c>
      <c r="LC2" s="48">
        <f t="shared" ref="LC2" si="271">LC1</f>
        <v>44249</v>
      </c>
      <c r="LD2" s="48">
        <f t="shared" ref="LD2" si="272">LD1</f>
        <v>44250</v>
      </c>
      <c r="LE2" s="48">
        <f t="shared" ref="LE2" si="273">LE1</f>
        <v>44251</v>
      </c>
      <c r="LF2" s="48">
        <f t="shared" ref="LF2" si="274">LF1</f>
        <v>44252</v>
      </c>
      <c r="LG2" s="48">
        <f t="shared" ref="LG2" si="275">LG1</f>
        <v>44253</v>
      </c>
      <c r="LH2" s="48">
        <f t="shared" ref="LH2" si="276">LH1</f>
        <v>44254</v>
      </c>
      <c r="LI2" s="50">
        <f t="shared" ref="LI2" si="277">LI1</f>
        <v>44255</v>
      </c>
      <c r="LJ2" s="48">
        <f t="shared" ref="LJ2" si="278">LJ1</f>
        <v>44256</v>
      </c>
      <c r="LK2" s="48">
        <f t="shared" ref="LK2" si="279">LK1</f>
        <v>44257</v>
      </c>
      <c r="LL2" s="48">
        <f t="shared" ref="LL2" si="280">LL1</f>
        <v>44258</v>
      </c>
      <c r="LM2" s="48">
        <f t="shared" ref="LM2" si="281">LM1</f>
        <v>44259</v>
      </c>
      <c r="LN2" s="48">
        <f t="shared" ref="LN2" si="282">LN1</f>
        <v>44260</v>
      </c>
      <c r="LO2" s="48">
        <f t="shared" ref="LO2" si="283">LO1</f>
        <v>44261</v>
      </c>
      <c r="LP2" s="50">
        <f t="shared" ref="LP2" si="284">LP1</f>
        <v>44262</v>
      </c>
      <c r="LQ2" s="48">
        <f t="shared" ref="LQ2" si="285">LQ1</f>
        <v>44263</v>
      </c>
      <c r="LR2" s="48">
        <f t="shared" ref="LR2" si="286">LR1</f>
        <v>44264</v>
      </c>
      <c r="LS2" s="48">
        <f t="shared" ref="LS2" si="287">LS1</f>
        <v>44265</v>
      </c>
      <c r="LT2" s="48">
        <f t="shared" ref="LT2" si="288">LT1</f>
        <v>44266</v>
      </c>
      <c r="LU2" s="48">
        <f t="shared" ref="LU2" si="289">LU1</f>
        <v>44267</v>
      </c>
      <c r="LV2" s="48">
        <f t="shared" ref="LV2" si="290">LV1</f>
        <v>44268</v>
      </c>
      <c r="LW2" s="50">
        <f t="shared" ref="LW2" si="291">LW1</f>
        <v>44269</v>
      </c>
      <c r="LX2" s="48">
        <f t="shared" ref="LX2" si="292">LX1</f>
        <v>44270</v>
      </c>
      <c r="LY2" s="48">
        <f t="shared" ref="LY2" si="293">LY1</f>
        <v>44271</v>
      </c>
      <c r="LZ2" s="48">
        <f t="shared" ref="LZ2" si="294">LZ1</f>
        <v>44272</v>
      </c>
      <c r="MA2" s="48">
        <f t="shared" ref="MA2" si="295">MA1</f>
        <v>44273</v>
      </c>
      <c r="MB2" s="48">
        <f t="shared" ref="MB2" si="296">MB1</f>
        <v>44274</v>
      </c>
      <c r="MC2" s="48">
        <f t="shared" ref="MC2" si="297">MC1</f>
        <v>44275</v>
      </c>
      <c r="MD2" s="50">
        <f t="shared" ref="MD2" si="298">MD1</f>
        <v>44276</v>
      </c>
      <c r="ME2" s="48">
        <f t="shared" ref="ME2" si="299">ME1</f>
        <v>44277</v>
      </c>
      <c r="MF2" s="48">
        <f t="shared" ref="MF2" si="300">MF1</f>
        <v>44278</v>
      </c>
      <c r="MG2" s="48">
        <f t="shared" ref="MG2" si="301">MG1</f>
        <v>44279</v>
      </c>
      <c r="MH2" s="48">
        <f t="shared" ref="MH2" si="302">MH1</f>
        <v>44280</v>
      </c>
      <c r="MI2" s="48">
        <f t="shared" ref="MI2" si="303">MI1</f>
        <v>44281</v>
      </c>
      <c r="MJ2" s="48">
        <f t="shared" ref="MJ2" si="304">MJ1</f>
        <v>44282</v>
      </c>
      <c r="MK2" s="50">
        <f t="shared" ref="MK2" si="305">MK1</f>
        <v>44283</v>
      </c>
      <c r="ML2" s="48">
        <f t="shared" ref="ML2" si="306">ML1</f>
        <v>44284</v>
      </c>
      <c r="MM2" s="48">
        <f t="shared" ref="MM2" si="307">MM1</f>
        <v>44285</v>
      </c>
      <c r="MN2" s="48">
        <f t="shared" ref="MN2" si="308">MN1</f>
        <v>44286</v>
      </c>
      <c r="MO2" s="48">
        <f t="shared" ref="MO2" si="309">MO1</f>
        <v>44287</v>
      </c>
      <c r="MP2" s="48">
        <f t="shared" ref="MP2" si="310">MP1</f>
        <v>44288</v>
      </c>
      <c r="MQ2" s="48">
        <f t="shared" ref="MQ2" si="311">MQ1</f>
        <v>44289</v>
      </c>
      <c r="MR2" s="50">
        <f t="shared" ref="MR2" si="312">MR1</f>
        <v>44290</v>
      </c>
    </row>
    <row r="3" spans="1:356" ht="15" customHeight="1" x14ac:dyDescent="0.25">
      <c r="A3" s="151"/>
      <c r="B3" s="151"/>
      <c r="C3" s="151"/>
      <c r="D3" s="151"/>
      <c r="E3" s="151"/>
      <c r="F3" s="39"/>
      <c r="G3" s="39"/>
      <c r="H3" s="39"/>
      <c r="I3" s="39"/>
      <c r="J3" s="39"/>
      <c r="K3" s="39"/>
      <c r="L3" s="39"/>
      <c r="M3" s="39"/>
      <c r="N3" s="39"/>
      <c r="O3" s="27"/>
      <c r="P3" s="153"/>
      <c r="Q3" s="148"/>
      <c r="R3" s="150"/>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5"/>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2"/>
      <c r="DZ3" s="38"/>
      <c r="EA3" s="24"/>
      <c r="EB3" s="38" t="s">
        <v>38</v>
      </c>
      <c r="EC3" s="38" t="s">
        <v>38</v>
      </c>
      <c r="ED3" s="38"/>
      <c r="EE3" s="38" t="s">
        <v>478</v>
      </c>
      <c r="EF3" s="38" t="s">
        <v>38</v>
      </c>
      <c r="EG3" s="38"/>
      <c r="EH3" s="38"/>
      <c r="EI3" s="38"/>
      <c r="EJ3" s="24"/>
      <c r="EK3" s="38" t="s">
        <v>38</v>
      </c>
      <c r="EL3" s="38" t="s">
        <v>38</v>
      </c>
      <c r="EM3" s="38"/>
      <c r="EN3" s="38" t="s">
        <v>482</v>
      </c>
      <c r="EO3" s="38" t="s">
        <v>478</v>
      </c>
      <c r="EP3" s="38"/>
      <c r="EQ3" s="38" t="s">
        <v>473</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24"/>
      <c r="FS3" s="38" t="s">
        <v>38</v>
      </c>
      <c r="FT3" s="38" t="s">
        <v>38</v>
      </c>
      <c r="FU3" s="38"/>
      <c r="FV3" s="38" t="s">
        <v>38</v>
      </c>
      <c r="FW3" s="38" t="s">
        <v>38</v>
      </c>
      <c r="FX3" s="38"/>
      <c r="FY3" s="24"/>
      <c r="FZ3" s="38" t="s">
        <v>38</v>
      </c>
      <c r="GA3" s="38" t="s">
        <v>38</v>
      </c>
      <c r="GB3" s="38"/>
      <c r="GC3" s="38" t="s">
        <v>38</v>
      </c>
      <c r="GD3" s="38" t="s">
        <v>38</v>
      </c>
      <c r="GE3" s="38"/>
      <c r="GF3" s="24"/>
      <c r="GG3" s="38" t="s">
        <v>38</v>
      </c>
      <c r="GH3" s="38" t="s">
        <v>38</v>
      </c>
      <c r="GI3" s="38"/>
      <c r="GJ3" s="38" t="s">
        <v>38</v>
      </c>
      <c r="GK3" s="38" t="s">
        <v>38</v>
      </c>
      <c r="GL3" s="38"/>
      <c r="GM3" s="24"/>
      <c r="GN3" s="38" t="s">
        <v>38</v>
      </c>
      <c r="GO3" s="38" t="s">
        <v>38</v>
      </c>
      <c r="GP3" s="38"/>
      <c r="GQ3" s="38" t="s">
        <v>38</v>
      </c>
      <c r="GR3" s="38" t="s">
        <v>38</v>
      </c>
      <c r="GS3" s="38"/>
      <c r="GT3" s="24"/>
      <c r="GU3" s="38"/>
      <c r="GV3" s="38" t="s">
        <v>38</v>
      </c>
      <c r="GW3" s="38"/>
      <c r="GX3" s="38" t="s">
        <v>38</v>
      </c>
      <c r="GY3" s="38" t="s">
        <v>38</v>
      </c>
      <c r="GZ3" s="38"/>
      <c r="HA3" s="24"/>
      <c r="HB3" s="38"/>
      <c r="HC3" s="38" t="s">
        <v>38</v>
      </c>
      <c r="HD3" s="38"/>
      <c r="HE3" s="38" t="s">
        <v>38</v>
      </c>
      <c r="HF3" s="38" t="s">
        <v>38</v>
      </c>
      <c r="HG3" s="38"/>
      <c r="HH3" s="24"/>
      <c r="HI3" s="38"/>
      <c r="HJ3" s="38" t="s">
        <v>38</v>
      </c>
      <c r="HK3" s="38"/>
      <c r="HL3" s="38" t="s">
        <v>38</v>
      </c>
      <c r="HM3" s="38" t="s">
        <v>38</v>
      </c>
      <c r="HN3" s="38"/>
      <c r="HO3" s="24"/>
      <c r="HP3" s="38"/>
      <c r="HQ3" s="38" t="s">
        <v>38</v>
      </c>
      <c r="HR3" s="38"/>
      <c r="HS3" s="38" t="s">
        <v>38</v>
      </c>
      <c r="HT3" s="38" t="s">
        <v>38</v>
      </c>
      <c r="HU3" s="38"/>
      <c r="HV3" s="24"/>
      <c r="HW3" s="38"/>
      <c r="HX3" s="38" t="s">
        <v>38</v>
      </c>
      <c r="HY3" s="38" t="s">
        <v>38</v>
      </c>
      <c r="HZ3" s="38"/>
      <c r="IA3" s="38" t="s">
        <v>38</v>
      </c>
      <c r="IB3" s="38">
        <v>14</v>
      </c>
      <c r="IC3" s="24"/>
      <c r="ID3" s="38"/>
      <c r="IE3" s="38" t="s">
        <v>38</v>
      </c>
      <c r="IF3" s="38"/>
      <c r="IG3" s="38" t="s">
        <v>38</v>
      </c>
      <c r="IH3" s="38" t="s">
        <v>38</v>
      </c>
      <c r="II3" s="38"/>
      <c r="IJ3" s="24"/>
      <c r="IK3" s="38"/>
      <c r="IL3" s="38" t="s">
        <v>38</v>
      </c>
      <c r="IM3" s="38"/>
      <c r="IN3" s="38" t="s">
        <v>38</v>
      </c>
      <c r="IO3" s="38" t="s">
        <v>38</v>
      </c>
      <c r="IP3" s="38">
        <v>10</v>
      </c>
      <c r="IQ3" s="24"/>
      <c r="IR3" s="38"/>
      <c r="IS3" s="38" t="s">
        <v>38</v>
      </c>
      <c r="IT3" s="38"/>
      <c r="IU3" s="38" t="s">
        <v>38</v>
      </c>
      <c r="IV3" s="38" t="s">
        <v>38</v>
      </c>
      <c r="IW3" s="38">
        <v>11</v>
      </c>
      <c r="IX3" s="24" t="s">
        <v>47</v>
      </c>
      <c r="IY3" s="38"/>
      <c r="IZ3" s="38" t="s">
        <v>38</v>
      </c>
      <c r="JA3" s="38" t="s">
        <v>40</v>
      </c>
      <c r="JB3" s="38" t="s">
        <v>38</v>
      </c>
      <c r="JC3" s="38" t="s">
        <v>38</v>
      </c>
      <c r="JD3" s="38">
        <v>11</v>
      </c>
      <c r="JE3" s="24">
        <v>13</v>
      </c>
      <c r="JF3" s="38"/>
      <c r="JG3" s="38" t="s">
        <v>38</v>
      </c>
      <c r="JH3" s="38"/>
      <c r="JI3" s="38" t="s">
        <v>38</v>
      </c>
      <c r="JJ3" s="38" t="s">
        <v>38</v>
      </c>
      <c r="JK3" s="38" t="s">
        <v>40</v>
      </c>
      <c r="JL3" s="24">
        <v>12</v>
      </c>
      <c r="JM3" s="38"/>
      <c r="JN3" s="38" t="s">
        <v>38</v>
      </c>
      <c r="JO3" s="38"/>
      <c r="JP3" s="38" t="s">
        <v>38</v>
      </c>
      <c r="JQ3" s="38"/>
      <c r="JR3" s="38" t="s">
        <v>45</v>
      </c>
      <c r="JS3" s="24" t="s">
        <v>45</v>
      </c>
      <c r="JT3" s="38"/>
      <c r="JU3" s="38"/>
      <c r="JV3" s="38"/>
      <c r="JW3" s="38" t="s">
        <v>38</v>
      </c>
      <c r="JX3" s="38" t="s">
        <v>44</v>
      </c>
      <c r="JY3" s="38" t="s">
        <v>44</v>
      </c>
      <c r="JZ3" s="24"/>
      <c r="KA3" s="38" t="s">
        <v>38</v>
      </c>
      <c r="KB3" s="38" t="s">
        <v>38</v>
      </c>
      <c r="KC3" s="38"/>
      <c r="KD3" s="38" t="s">
        <v>38</v>
      </c>
      <c r="KE3" s="38" t="s">
        <v>38</v>
      </c>
      <c r="KF3" s="38"/>
      <c r="KG3" s="24" t="s">
        <v>43</v>
      </c>
      <c r="KH3" s="38"/>
      <c r="KI3" s="38" t="s">
        <v>38</v>
      </c>
      <c r="KJ3" s="38" t="s">
        <v>43</v>
      </c>
      <c r="KK3" s="38" t="s">
        <v>38</v>
      </c>
      <c r="KL3" s="38" t="s">
        <v>38</v>
      </c>
      <c r="KM3" s="38" t="s">
        <v>43</v>
      </c>
      <c r="KN3" s="24" t="s">
        <v>41</v>
      </c>
      <c r="KO3" s="38" t="s">
        <v>40</v>
      </c>
      <c r="KP3" s="38" t="s">
        <v>38</v>
      </c>
      <c r="KQ3" s="38"/>
      <c r="KR3" s="38" t="s">
        <v>38</v>
      </c>
      <c r="KS3" s="38" t="s">
        <v>38</v>
      </c>
      <c r="KT3" s="38">
        <v>12</v>
      </c>
      <c r="KU3" s="24">
        <v>12</v>
      </c>
      <c r="KV3" s="38"/>
      <c r="KW3" s="38" t="s">
        <v>38</v>
      </c>
      <c r="KX3" s="38"/>
      <c r="KY3" s="38" t="s">
        <v>38</v>
      </c>
      <c r="KZ3" s="38" t="s">
        <v>38</v>
      </c>
      <c r="LA3" s="38" t="s">
        <v>38</v>
      </c>
      <c r="LB3" s="24">
        <v>11</v>
      </c>
      <c r="LC3" s="38"/>
      <c r="LD3" s="38" t="s">
        <v>38</v>
      </c>
      <c r="LE3" s="38"/>
      <c r="LF3" s="38" t="s">
        <v>38</v>
      </c>
      <c r="LG3" s="38" t="s">
        <v>38</v>
      </c>
      <c r="LH3" s="38">
        <v>13</v>
      </c>
      <c r="LI3" s="24">
        <v>13</v>
      </c>
      <c r="LJ3" s="38"/>
      <c r="LK3" s="38" t="s">
        <v>38</v>
      </c>
      <c r="LL3" s="38"/>
      <c r="LM3" s="38">
        <v>10</v>
      </c>
      <c r="LN3" s="38"/>
      <c r="LO3" s="38"/>
      <c r="LP3" s="26" t="s">
        <v>39</v>
      </c>
      <c r="LQ3" s="38"/>
      <c r="LR3" s="38" t="s">
        <v>38</v>
      </c>
      <c r="LS3" s="38"/>
      <c r="LT3" s="38" t="s">
        <v>38</v>
      </c>
      <c r="LU3" s="38" t="s">
        <v>38</v>
      </c>
      <c r="LV3" s="38"/>
      <c r="LW3" s="24"/>
      <c r="LX3" s="38"/>
      <c r="LY3" s="38"/>
      <c r="LZ3" s="38"/>
      <c r="MA3" s="38"/>
      <c r="MB3" s="38"/>
      <c r="MC3" s="38"/>
      <c r="MD3" s="24"/>
      <c r="ME3" s="38"/>
      <c r="MF3" s="38"/>
      <c r="MG3" s="38"/>
      <c r="MH3" s="38"/>
      <c r="MI3" s="38"/>
      <c r="MJ3" s="38"/>
      <c r="MK3" s="24"/>
      <c r="ML3" s="38"/>
      <c r="MM3" s="38"/>
      <c r="MN3" s="38"/>
      <c r="MO3" s="38"/>
      <c r="MP3" s="38"/>
      <c r="MQ3" s="38"/>
      <c r="MR3" s="24"/>
    </row>
    <row r="4" spans="1:356" x14ac:dyDescent="0.25">
      <c r="A4" s="11" t="s">
        <v>145</v>
      </c>
      <c r="B4" s="11"/>
      <c r="C4" s="11"/>
      <c r="D4" s="11"/>
      <c r="E4" s="11"/>
      <c r="F4" s="134" t="s">
        <v>147</v>
      </c>
      <c r="G4" s="135" t="s">
        <v>146</v>
      </c>
      <c r="H4" s="135" t="s">
        <v>119</v>
      </c>
      <c r="I4" s="136" t="s">
        <v>41</v>
      </c>
      <c r="J4" s="136" t="s">
        <v>118</v>
      </c>
      <c r="K4" s="136" t="s">
        <v>42</v>
      </c>
      <c r="L4" s="136" t="s">
        <v>117</v>
      </c>
      <c r="M4" s="136" t="s">
        <v>47</v>
      </c>
      <c r="N4" s="136" t="s">
        <v>100</v>
      </c>
      <c r="O4" s="137"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2"/>
      <c r="FS4" s="11"/>
      <c r="FT4" s="11"/>
      <c r="FU4" s="11"/>
      <c r="FV4" s="11"/>
      <c r="FW4" s="11"/>
      <c r="FX4" s="11"/>
      <c r="FY4" s="12"/>
      <c r="FZ4" s="11"/>
      <c r="GA4" s="11"/>
      <c r="GB4" s="11"/>
      <c r="GC4" s="11"/>
      <c r="GD4" s="11"/>
      <c r="GE4" s="11"/>
      <c r="GF4" s="12"/>
      <c r="GG4" s="11"/>
      <c r="GH4" s="11"/>
      <c r="GI4" s="11"/>
      <c r="GJ4" s="11"/>
      <c r="GK4" s="11"/>
      <c r="GL4" s="11"/>
      <c r="GM4" s="12"/>
      <c r="GN4" s="11"/>
      <c r="GO4" s="11"/>
      <c r="GP4" s="11"/>
      <c r="GQ4" s="11"/>
      <c r="GR4" s="11"/>
      <c r="GS4" s="11"/>
      <c r="GT4" s="12"/>
      <c r="GU4" s="11"/>
      <c r="GV4" s="11"/>
      <c r="GW4" s="11"/>
      <c r="GX4" s="11"/>
      <c r="GY4" s="11"/>
      <c r="GZ4" s="11"/>
      <c r="HA4" s="12"/>
      <c r="HB4" s="11"/>
      <c r="HC4" s="11"/>
      <c r="HD4" s="11"/>
      <c r="HE4" s="11"/>
      <c r="HF4" s="11"/>
      <c r="HG4" s="11"/>
      <c r="HH4" s="12"/>
      <c r="HI4" s="11"/>
      <c r="HJ4" s="11"/>
      <c r="HK4" s="11"/>
      <c r="HL4" s="11"/>
      <c r="HM4" s="11"/>
      <c r="HN4" s="11"/>
      <c r="HO4" s="12"/>
      <c r="HP4" s="11"/>
      <c r="HQ4" s="11"/>
      <c r="HR4" s="11"/>
      <c r="HS4" s="11"/>
      <c r="HT4" s="11"/>
      <c r="HU4" s="11"/>
      <c r="HV4" s="12"/>
      <c r="HW4" s="11"/>
      <c r="HX4" s="11"/>
      <c r="HY4" s="11"/>
      <c r="HZ4" s="11"/>
      <c r="IA4" s="11"/>
      <c r="IB4" s="11"/>
      <c r="IC4" s="12"/>
      <c r="ID4" s="11"/>
      <c r="IE4" s="11"/>
      <c r="IF4" s="11"/>
      <c r="IG4" s="11"/>
      <c r="IH4" s="11"/>
      <c r="II4" s="11"/>
      <c r="IJ4" s="12"/>
      <c r="IK4" s="11"/>
      <c r="IL4" s="11"/>
      <c r="IM4" s="11"/>
      <c r="IN4" s="11"/>
      <c r="IO4" s="11"/>
      <c r="IP4" s="11"/>
      <c r="IQ4" s="12"/>
      <c r="IR4" s="11"/>
      <c r="IS4" s="11"/>
      <c r="IT4" s="11"/>
      <c r="IU4" s="11"/>
      <c r="IV4" s="11"/>
      <c r="IW4" s="11"/>
      <c r="IX4" s="12"/>
      <c r="IY4" s="11"/>
      <c r="IZ4" s="11"/>
      <c r="JA4" s="11"/>
      <c r="JB4" s="11"/>
      <c r="JC4" s="11"/>
      <c r="JD4" s="11"/>
      <c r="JE4" s="12"/>
      <c r="JF4" s="11"/>
      <c r="JG4" s="11"/>
      <c r="JH4" s="11"/>
      <c r="JI4" s="11"/>
      <c r="JJ4" s="11"/>
      <c r="JK4" s="11"/>
      <c r="JL4" s="12"/>
      <c r="JM4" s="11"/>
      <c r="JN4" s="11"/>
      <c r="JO4" s="11"/>
      <c r="JP4" s="11"/>
      <c r="JQ4" s="11"/>
      <c r="JR4" s="11"/>
      <c r="JS4" s="12"/>
      <c r="JT4" s="11"/>
      <c r="JU4" s="11"/>
      <c r="JV4" s="11"/>
      <c r="JW4" s="11"/>
      <c r="JX4" s="11"/>
      <c r="JY4" s="11"/>
      <c r="JZ4" s="12"/>
      <c r="KA4" s="11"/>
      <c r="KB4" s="11"/>
      <c r="KC4" s="11"/>
      <c r="KD4" s="11"/>
      <c r="KE4" s="11"/>
      <c r="KF4" s="11"/>
      <c r="KG4" s="12"/>
      <c r="KH4" s="11"/>
      <c r="KI4" s="11"/>
      <c r="KJ4" s="11"/>
      <c r="KK4" s="11"/>
      <c r="KL4" s="11"/>
      <c r="KM4" s="11"/>
      <c r="KN4" s="12"/>
      <c r="KO4" s="11"/>
      <c r="KP4" s="11"/>
      <c r="KQ4" s="11"/>
      <c r="KR4" s="11"/>
      <c r="KS4" s="11"/>
      <c r="KT4" s="11"/>
      <c r="KU4" s="12"/>
      <c r="KV4" s="11"/>
      <c r="KW4" s="11"/>
      <c r="KX4" s="11"/>
      <c r="KY4" s="11"/>
      <c r="KZ4" s="11"/>
      <c r="LA4" s="11"/>
      <c r="LB4" s="12"/>
      <c r="LC4" s="11"/>
      <c r="LD4" s="11"/>
      <c r="LE4" s="11"/>
      <c r="LF4" s="11"/>
      <c r="LG4" s="11"/>
      <c r="LH4" s="11"/>
      <c r="LI4" s="12"/>
      <c r="LJ4" s="11"/>
      <c r="LK4" s="11"/>
      <c r="LL4" s="11"/>
      <c r="LM4" s="11"/>
      <c r="LN4" s="11"/>
      <c r="LO4" s="11"/>
      <c r="LP4" s="12"/>
      <c r="LQ4" s="11"/>
      <c r="LR4" s="11"/>
      <c r="LS4" s="11"/>
      <c r="LT4" s="11"/>
      <c r="LU4" s="11"/>
      <c r="LV4" s="11"/>
      <c r="LW4" s="12"/>
      <c r="LX4" s="11"/>
      <c r="LY4" s="11"/>
      <c r="LZ4" s="11"/>
      <c r="MA4" s="11"/>
      <c r="MB4" s="11"/>
      <c r="MC4" s="11"/>
      <c r="MD4" s="12"/>
      <c r="ME4" s="11"/>
      <c r="MF4" s="11"/>
      <c r="MG4" s="11"/>
      <c r="MH4" s="11"/>
      <c r="MI4" s="11"/>
      <c r="MJ4" s="11"/>
      <c r="MK4" s="12"/>
      <c r="ML4" s="11"/>
      <c r="MM4" s="11"/>
      <c r="MN4" s="11"/>
      <c r="MO4" s="11"/>
      <c r="MP4" s="11"/>
      <c r="MQ4" s="11"/>
      <c r="MR4" s="12"/>
    </row>
    <row r="5" spans="1:35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2"/>
      <c r="FS5" s="11"/>
      <c r="FT5" s="11"/>
      <c r="FU5" s="11"/>
      <c r="FV5" s="11"/>
      <c r="FW5" s="11"/>
      <c r="FX5" s="11"/>
      <c r="FY5" s="12"/>
      <c r="FZ5" s="11"/>
      <c r="GA5" s="11"/>
      <c r="GB5" s="11"/>
      <c r="GC5" s="11"/>
      <c r="GD5" s="11"/>
      <c r="GE5" s="11"/>
      <c r="GF5" s="12"/>
      <c r="GG5" s="11"/>
      <c r="GH5" s="11"/>
      <c r="GI5" s="11"/>
      <c r="GJ5" s="11"/>
      <c r="GK5" s="11"/>
      <c r="GL5" s="11"/>
      <c r="GM5" s="12"/>
      <c r="GN5" s="11"/>
      <c r="GO5" s="11"/>
      <c r="GP5" s="11"/>
      <c r="GQ5" s="11"/>
      <c r="GR5" s="11"/>
      <c r="GS5" s="11"/>
      <c r="GT5" s="12"/>
      <c r="GU5" s="11"/>
      <c r="GV5" s="11"/>
      <c r="GW5" s="11"/>
      <c r="GX5" s="11"/>
      <c r="GY5" s="11"/>
      <c r="GZ5" s="11"/>
      <c r="HA5" s="12"/>
      <c r="HB5" s="11"/>
      <c r="HC5" s="11"/>
      <c r="HD5" s="11"/>
      <c r="HE5" s="11"/>
      <c r="HF5" s="11"/>
      <c r="HG5" s="11"/>
      <c r="HH5" s="12"/>
      <c r="HI5" s="11"/>
      <c r="HJ5" s="11"/>
      <c r="HK5" s="11"/>
      <c r="HL5" s="11"/>
      <c r="HM5" s="11"/>
      <c r="HN5" s="11"/>
      <c r="HO5" s="12"/>
      <c r="HP5" s="11"/>
      <c r="HQ5" s="11"/>
      <c r="HR5" s="11"/>
      <c r="HS5" s="11"/>
      <c r="HT5" s="11"/>
      <c r="HU5" s="11"/>
      <c r="HV5" s="12"/>
      <c r="HW5" s="11"/>
      <c r="HX5" s="11"/>
      <c r="HY5" s="11"/>
      <c r="HZ5" s="11"/>
      <c r="IA5" s="11"/>
      <c r="IB5" s="11"/>
      <c r="IC5" s="12"/>
      <c r="ID5" s="11"/>
      <c r="IE5" s="11"/>
      <c r="IF5" s="11"/>
      <c r="IG5" s="11"/>
      <c r="IH5" s="11"/>
      <c r="II5" s="11"/>
      <c r="IJ5" s="12"/>
      <c r="IK5" s="11"/>
      <c r="IL5" s="11"/>
      <c r="IM5" s="11"/>
      <c r="IN5" s="11"/>
      <c r="IO5" s="11"/>
      <c r="IP5" s="11"/>
      <c r="IQ5" s="12"/>
      <c r="IR5" s="11"/>
      <c r="IS5" s="11"/>
      <c r="IT5" s="11"/>
      <c r="IU5" s="11"/>
      <c r="IV5" s="11"/>
      <c r="IW5" s="11"/>
      <c r="IX5" s="12"/>
      <c r="IY5" s="11"/>
      <c r="IZ5" s="11"/>
      <c r="JA5" s="11"/>
      <c r="JB5" s="11"/>
      <c r="JC5" s="11"/>
      <c r="JD5" s="11"/>
      <c r="JE5" s="12"/>
      <c r="JF5" s="11"/>
      <c r="JG5" s="11"/>
      <c r="JH5" s="11"/>
      <c r="JI5" s="11"/>
      <c r="JJ5" s="11"/>
      <c r="JK5" s="11"/>
      <c r="JL5" s="12"/>
      <c r="JM5" s="11"/>
      <c r="JN5" s="11"/>
      <c r="JO5" s="11"/>
      <c r="JP5" s="11"/>
      <c r="JQ5" s="11"/>
      <c r="JR5" s="11"/>
      <c r="JS5" s="12"/>
      <c r="JT5" s="11"/>
      <c r="JU5" s="11"/>
      <c r="JV5" s="11"/>
      <c r="JW5" s="11"/>
      <c r="JX5" s="11"/>
      <c r="JY5" s="11"/>
      <c r="JZ5" s="12"/>
      <c r="KA5" s="11"/>
      <c r="KB5" s="11"/>
      <c r="KC5" s="11"/>
      <c r="KD5" s="11"/>
      <c r="KE5" s="11"/>
      <c r="KF5" s="11"/>
      <c r="KG5" s="12"/>
      <c r="KH5" s="11"/>
      <c r="KI5" s="11"/>
      <c r="KJ5" s="11"/>
      <c r="KK5" s="11"/>
      <c r="KL5" s="11"/>
      <c r="KM5" s="11"/>
      <c r="KN5" s="12"/>
      <c r="KO5" s="11"/>
      <c r="KP5" s="11"/>
      <c r="KQ5" s="11"/>
      <c r="KR5" s="11"/>
      <c r="KS5" s="11"/>
      <c r="KT5" s="11"/>
      <c r="KU5" s="12"/>
      <c r="KV5" s="11"/>
      <c r="KW5" s="11"/>
      <c r="KX5" s="11"/>
      <c r="KY5" s="11"/>
      <c r="KZ5" s="11"/>
      <c r="LA5" s="11"/>
      <c r="LB5" s="12"/>
      <c r="LC5" s="11"/>
      <c r="LD5" s="11"/>
      <c r="LE5" s="11"/>
      <c r="LF5" s="11"/>
      <c r="LG5" s="11"/>
      <c r="LH5" s="11"/>
      <c r="LI5" s="12"/>
      <c r="LJ5" s="11"/>
      <c r="LK5" s="11"/>
      <c r="LL5" s="11"/>
      <c r="LM5" s="11"/>
      <c r="LN5" s="11"/>
      <c r="LO5" s="11"/>
      <c r="LP5" s="12"/>
      <c r="LQ5" s="11"/>
      <c r="LR5" s="11"/>
      <c r="LS5" s="11"/>
      <c r="LT5" s="11"/>
      <c r="LU5" s="11"/>
      <c r="LV5" s="11"/>
      <c r="LW5" s="12"/>
      <c r="LX5" s="11"/>
      <c r="LY5" s="11"/>
      <c r="LZ5" s="11"/>
      <c r="MA5" s="11"/>
      <c r="MB5" s="11"/>
      <c r="MC5" s="11"/>
      <c r="MD5" s="12"/>
      <c r="ME5" s="11"/>
      <c r="MF5" s="11"/>
      <c r="MG5" s="11"/>
      <c r="MH5" s="11"/>
      <c r="MI5" s="11"/>
      <c r="MJ5" s="11"/>
      <c r="MK5" s="12"/>
      <c r="ML5" s="11"/>
      <c r="MM5" s="11"/>
      <c r="MN5" s="11"/>
      <c r="MO5" s="11"/>
      <c r="MP5" s="11"/>
      <c r="MQ5" s="11"/>
      <c r="MR5" s="12"/>
    </row>
    <row r="6" spans="1:356" ht="7.5" customHeight="1" x14ac:dyDescent="0.25">
      <c r="A6" s="8"/>
      <c r="B6" s="8"/>
      <c r="C6" s="8"/>
      <c r="D6" s="8"/>
      <c r="E6" s="8"/>
      <c r="F6" s="10"/>
      <c r="G6" s="19"/>
      <c r="H6" s="19"/>
      <c r="I6" s="8"/>
      <c r="J6" s="8"/>
      <c r="K6" s="8"/>
      <c r="L6" s="8"/>
      <c r="M6" s="8"/>
      <c r="N6" s="8"/>
      <c r="O6" s="9"/>
      <c r="P6" s="8" t="str">
        <f t="shared" ref="P6:P33" si="313">IF(SUM(S6:MR6) &gt; 0, SUM(S6:MR6), "")</f>
        <v/>
      </c>
      <c r="Q6" s="109" t="str">
        <f>IF(SUM(R6:XFD6) &gt; 0, SUM(R6:XFD6) /#REF! * 100, "")</f>
        <v/>
      </c>
      <c r="R6" s="84"/>
      <c r="S6" s="7"/>
      <c r="Z6" s="7"/>
      <c r="AG6" s="7"/>
      <c r="AN6" s="7"/>
      <c r="AU6" s="7"/>
      <c r="BB6" s="7"/>
      <c r="BI6" s="7"/>
      <c r="BP6" s="7"/>
      <c r="BY6" s="79"/>
      <c r="CH6" s="7"/>
      <c r="CQ6" s="7"/>
      <c r="CZ6" s="7"/>
      <c r="DI6" s="7"/>
      <c r="DR6" s="7"/>
      <c r="EA6" s="79"/>
      <c r="EJ6" s="7"/>
      <c r="ES6" s="7"/>
      <c r="FB6" s="7"/>
      <c r="FK6" s="7"/>
      <c r="FR6" s="7"/>
      <c r="FY6" s="7"/>
      <c r="GF6" s="7"/>
      <c r="GM6" s="7"/>
      <c r="GT6" s="7"/>
      <c r="HA6" s="7"/>
      <c r="HH6" s="7"/>
      <c r="HO6" s="7"/>
      <c r="HV6" s="7"/>
      <c r="IC6" s="7"/>
      <c r="IJ6" s="7"/>
      <c r="IQ6" s="7"/>
      <c r="IX6" s="7"/>
      <c r="JE6" s="7"/>
      <c r="JL6" s="7"/>
      <c r="JS6" s="7"/>
      <c r="JZ6" s="7"/>
      <c r="KG6" s="7"/>
      <c r="KN6" s="7"/>
      <c r="KU6" s="7"/>
      <c r="LB6" s="7"/>
      <c r="LI6" s="7"/>
      <c r="LP6" s="7"/>
      <c r="LW6" s="7"/>
      <c r="MD6" s="7"/>
      <c r="MK6" s="7"/>
      <c r="MR6" s="7"/>
    </row>
    <row r="7" spans="1:356" ht="15" customHeight="1" x14ac:dyDescent="0.25">
      <c r="A7" s="8" t="s">
        <v>128</v>
      </c>
      <c r="B7" s="8" t="s">
        <v>127</v>
      </c>
      <c r="C7" s="8" t="s">
        <v>157</v>
      </c>
      <c r="D7" s="8" t="s">
        <v>126</v>
      </c>
      <c r="E7" s="18">
        <v>38532</v>
      </c>
      <c r="F7" s="10">
        <f>IF($E7 &gt;= F$5, 1, "")</f>
        <v>1</v>
      </c>
      <c r="G7" s="19">
        <f>IF($E7 &gt;= G$5, 1, "")</f>
        <v>1</v>
      </c>
      <c r="H7" s="19" t="str">
        <f t="shared" ref="H7:L7" si="314">IF($E7 &gt;= H$5, 1, "")</f>
        <v/>
      </c>
      <c r="I7" s="19" t="str">
        <f t="shared" si="314"/>
        <v/>
      </c>
      <c r="J7" s="19" t="str">
        <f t="shared" si="314"/>
        <v/>
      </c>
      <c r="K7" s="19" t="str">
        <f t="shared" si="314"/>
        <v/>
      </c>
      <c r="L7" s="19" t="str">
        <f t="shared" si="314"/>
        <v/>
      </c>
      <c r="M7" s="8"/>
      <c r="N7" s="8">
        <v>1</v>
      </c>
      <c r="O7" s="9">
        <v>1</v>
      </c>
      <c r="P7" s="8">
        <f t="shared" si="313"/>
        <v>51</v>
      </c>
      <c r="Q7" s="109">
        <f t="shared" ref="Q7:Q26" si="315">IF(SUM(S7:XFD7) &gt; 0, SUM(S7:XFD7) /P$36 * 100, "")</f>
        <v>83.606557377049185</v>
      </c>
      <c r="R7" s="129" t="str">
        <f t="shared" ref="R7:R33" si="316">KStateSum(S7:MR7, 1)</f>
        <v>5</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J7" s="99" t="s">
        <v>364</v>
      </c>
      <c r="FK7" s="80" t="s">
        <v>366</v>
      </c>
      <c r="FR7" s="7"/>
      <c r="FY7" s="7"/>
      <c r="GF7" s="7"/>
      <c r="GM7" s="7"/>
      <c r="GT7" s="7"/>
      <c r="HA7" s="7"/>
      <c r="HH7" s="7"/>
      <c r="HO7" s="7"/>
      <c r="HV7" s="7"/>
      <c r="IC7" s="7"/>
      <c r="IJ7" s="7"/>
      <c r="IQ7" s="7"/>
      <c r="IX7" s="7"/>
      <c r="JE7" s="7"/>
      <c r="JL7" s="7"/>
      <c r="JS7" s="7"/>
      <c r="JZ7" s="7"/>
      <c r="KG7" s="7"/>
      <c r="KN7" s="7"/>
      <c r="KU7" s="7"/>
      <c r="LB7" s="7"/>
      <c r="LI7" s="7"/>
      <c r="LP7" s="7"/>
      <c r="LW7" s="7"/>
      <c r="MD7" s="7"/>
      <c r="MK7" s="7"/>
      <c r="MR7" s="7"/>
    </row>
    <row r="8" spans="1:356" ht="15" customHeight="1" x14ac:dyDescent="0.25">
      <c r="A8" s="8" t="s">
        <v>151</v>
      </c>
      <c r="B8" s="8" t="s">
        <v>152</v>
      </c>
      <c r="C8" s="8" t="s">
        <v>153</v>
      </c>
      <c r="D8" s="8" t="s">
        <v>154</v>
      </c>
      <c r="E8" s="18">
        <v>36859</v>
      </c>
      <c r="F8" s="10" t="str">
        <f t="shared" ref="F8:L30" si="317">IF($E8 &gt;= F$5, 1, "")</f>
        <v/>
      </c>
      <c r="G8" s="19" t="str">
        <f t="shared" si="317"/>
        <v/>
      </c>
      <c r="H8" s="19" t="str">
        <f t="shared" si="317"/>
        <v/>
      </c>
      <c r="I8" s="19" t="str">
        <f t="shared" si="317"/>
        <v/>
      </c>
      <c r="J8" s="19" t="str">
        <f t="shared" si="317"/>
        <v/>
      </c>
      <c r="K8" s="19" t="str">
        <f t="shared" si="317"/>
        <v/>
      </c>
      <c r="L8" s="19" t="str">
        <f t="shared" si="317"/>
        <v/>
      </c>
      <c r="M8" s="8"/>
      <c r="N8" s="8"/>
      <c r="O8" s="9"/>
      <c r="P8" s="8">
        <f t="shared" si="313"/>
        <v>23</v>
      </c>
      <c r="Q8" s="109">
        <f t="shared" si="315"/>
        <v>37.704918032786885</v>
      </c>
      <c r="R8" s="129" t="str">
        <f t="shared" si="316"/>
        <v>-1</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E8">
        <v>1</v>
      </c>
      <c r="EF8">
        <v>1</v>
      </c>
      <c r="EI8" s="99"/>
      <c r="EJ8" s="80"/>
      <c r="EK8">
        <v>1</v>
      </c>
      <c r="EL8">
        <v>1</v>
      </c>
      <c r="EN8" s="95">
        <v>1</v>
      </c>
      <c r="EO8">
        <v>1</v>
      </c>
      <c r="EQ8">
        <v>1</v>
      </c>
      <c r="ER8" s="99" t="s">
        <v>364</v>
      </c>
      <c r="ES8" s="80" t="s">
        <v>398</v>
      </c>
      <c r="ET8">
        <v>1</v>
      </c>
      <c r="EW8">
        <v>1</v>
      </c>
      <c r="FA8" s="95" t="s">
        <v>364</v>
      </c>
      <c r="FB8" s="80" t="s">
        <v>362</v>
      </c>
      <c r="FC8">
        <v>1</v>
      </c>
      <c r="FE8">
        <v>1</v>
      </c>
      <c r="FJ8" s="99" t="s">
        <v>364</v>
      </c>
      <c r="FK8" s="80" t="s">
        <v>366</v>
      </c>
      <c r="FR8" s="7"/>
      <c r="FY8" s="7"/>
      <c r="GF8" s="7"/>
      <c r="GM8" s="7"/>
      <c r="GT8" s="7"/>
      <c r="HA8" s="7"/>
      <c r="HH8" s="7"/>
      <c r="HO8" s="7"/>
      <c r="HV8" s="7"/>
      <c r="IC8" s="7"/>
      <c r="IJ8" s="7"/>
      <c r="IQ8" s="7"/>
      <c r="IX8" s="7"/>
      <c r="JE8" s="7"/>
      <c r="JL8" s="7"/>
      <c r="JS8" s="7"/>
      <c r="JZ8" s="7"/>
      <c r="KG8" s="7"/>
      <c r="KN8" s="7"/>
      <c r="KU8" s="7"/>
      <c r="LB8" s="7"/>
      <c r="LI8" s="7"/>
      <c r="LP8" s="7"/>
      <c r="LW8" s="7"/>
      <c r="MD8" s="7"/>
      <c r="MK8" s="7"/>
      <c r="MR8" s="7"/>
    </row>
    <row r="9" spans="1:356" ht="15" customHeight="1" x14ac:dyDescent="0.25">
      <c r="A9" s="8" t="s">
        <v>20</v>
      </c>
      <c r="B9" s="8"/>
      <c r="C9" s="8" t="s">
        <v>149</v>
      </c>
      <c r="D9" s="8" t="s">
        <v>150</v>
      </c>
      <c r="E9" s="18">
        <v>37414</v>
      </c>
      <c r="F9" s="10">
        <f t="shared" si="317"/>
        <v>1</v>
      </c>
      <c r="G9" s="19" t="str">
        <f t="shared" si="317"/>
        <v/>
      </c>
      <c r="H9" s="19" t="str">
        <f t="shared" si="317"/>
        <v/>
      </c>
      <c r="I9" s="19" t="str">
        <f t="shared" si="317"/>
        <v/>
      </c>
      <c r="J9" s="19" t="str">
        <f t="shared" si="317"/>
        <v/>
      </c>
      <c r="K9" s="19" t="str">
        <f t="shared" si="317"/>
        <v/>
      </c>
      <c r="L9" s="19" t="str">
        <f t="shared" si="317"/>
        <v/>
      </c>
      <c r="M9" s="8"/>
      <c r="N9" s="8">
        <v>1</v>
      </c>
      <c r="O9" s="9">
        <v>1</v>
      </c>
      <c r="P9" s="8">
        <f t="shared" si="313"/>
        <v>52</v>
      </c>
      <c r="Q9" s="109">
        <f t="shared" si="315"/>
        <v>85.245901639344254</v>
      </c>
      <c r="R9" s="129" t="str">
        <f t="shared" si="316"/>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J9" s="99" t="s">
        <v>364</v>
      </c>
      <c r="FK9" s="80" t="s">
        <v>366</v>
      </c>
      <c r="FR9" s="7"/>
      <c r="FY9" s="7"/>
      <c r="GF9" s="7"/>
      <c r="GM9" s="7"/>
      <c r="GT9" s="7"/>
      <c r="HA9" s="7"/>
      <c r="HH9" s="7"/>
      <c r="HO9" s="7"/>
      <c r="HV9" s="7"/>
      <c r="IC9" s="7"/>
      <c r="IJ9" s="7"/>
      <c r="IQ9" s="7"/>
      <c r="IX9" s="7"/>
      <c r="JE9" s="7"/>
      <c r="JL9" s="7"/>
      <c r="JS9" s="7"/>
      <c r="JZ9" s="7"/>
      <c r="KG9" s="7"/>
      <c r="KN9" s="7"/>
      <c r="KU9" s="7"/>
      <c r="LB9" s="7"/>
      <c r="LI9" s="7"/>
      <c r="LP9" s="7"/>
      <c r="LW9" s="7"/>
      <c r="MD9" s="7"/>
      <c r="MK9" s="7"/>
      <c r="MR9" s="7"/>
    </row>
    <row r="10" spans="1:356" ht="15" customHeight="1" x14ac:dyDescent="0.25">
      <c r="A10" s="8" t="s">
        <v>247</v>
      </c>
      <c r="B10" s="8" t="s">
        <v>177</v>
      </c>
      <c r="C10" s="8" t="s">
        <v>178</v>
      </c>
      <c r="D10" s="8" t="s">
        <v>113</v>
      </c>
      <c r="E10" s="18">
        <v>37608</v>
      </c>
      <c r="F10" s="10">
        <f t="shared" si="317"/>
        <v>1</v>
      </c>
      <c r="G10" s="19" t="str">
        <f t="shared" si="317"/>
        <v/>
      </c>
      <c r="H10" s="19" t="str">
        <f t="shared" si="317"/>
        <v/>
      </c>
      <c r="I10" s="19" t="str">
        <f t="shared" si="317"/>
        <v/>
      </c>
      <c r="J10" s="19" t="str">
        <f t="shared" si="317"/>
        <v/>
      </c>
      <c r="K10" s="19" t="str">
        <f t="shared" si="317"/>
        <v/>
      </c>
      <c r="L10" s="19" t="str">
        <f t="shared" si="317"/>
        <v/>
      </c>
      <c r="M10" s="8"/>
      <c r="N10" s="8">
        <v>1</v>
      </c>
      <c r="O10" s="9">
        <v>1</v>
      </c>
      <c r="P10" s="8">
        <f t="shared" si="313"/>
        <v>42</v>
      </c>
      <c r="Q10" s="109">
        <f t="shared" si="315"/>
        <v>68.852459016393439</v>
      </c>
      <c r="R10" s="129" t="str">
        <f t="shared" si="316"/>
        <v>-16</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J10" s="99" t="s">
        <v>364</v>
      </c>
      <c r="FK10" s="80" t="s">
        <v>366</v>
      </c>
      <c r="FR10" s="7"/>
      <c r="FY10" s="7"/>
      <c r="GF10" s="7"/>
      <c r="GM10" s="7"/>
      <c r="GT10" s="7"/>
      <c r="HA10" s="7"/>
      <c r="HH10" s="7"/>
      <c r="HO10" s="7"/>
      <c r="HV10" s="7"/>
      <c r="IC10" s="7"/>
      <c r="IJ10" s="7"/>
      <c r="IQ10" s="7"/>
      <c r="IX10" s="7"/>
      <c r="JE10" s="7"/>
      <c r="JL10" s="7"/>
      <c r="JS10" s="7"/>
      <c r="JZ10" s="7"/>
      <c r="KG10" s="7"/>
      <c r="KN10" s="7"/>
      <c r="KU10" s="7"/>
      <c r="LB10" s="7"/>
      <c r="LI10" s="7"/>
      <c r="LP10" s="7"/>
      <c r="LW10" s="7"/>
      <c r="MD10" s="7"/>
      <c r="MK10" s="7"/>
      <c r="MR10" s="7"/>
    </row>
    <row r="11" spans="1:356" ht="15" customHeight="1" x14ac:dyDescent="0.25">
      <c r="A11" s="8" t="s">
        <v>387</v>
      </c>
      <c r="B11" s="8"/>
      <c r="C11" s="8" t="s">
        <v>238</v>
      </c>
      <c r="D11" s="8" t="s">
        <v>164</v>
      </c>
      <c r="E11" s="18">
        <v>36672</v>
      </c>
      <c r="F11" s="10" t="str">
        <f t="shared" si="317"/>
        <v/>
      </c>
      <c r="G11" s="19" t="str">
        <f t="shared" si="317"/>
        <v/>
      </c>
      <c r="H11" s="19" t="str">
        <f t="shared" si="317"/>
        <v/>
      </c>
      <c r="I11" s="19" t="str">
        <f t="shared" si="317"/>
        <v/>
      </c>
      <c r="J11" s="19" t="str">
        <f t="shared" si="317"/>
        <v/>
      </c>
      <c r="K11" s="19" t="str">
        <f t="shared" si="317"/>
        <v/>
      </c>
      <c r="L11" s="19" t="str">
        <f t="shared" si="317"/>
        <v/>
      </c>
      <c r="M11" s="8"/>
      <c r="N11" s="8"/>
      <c r="O11" s="9"/>
      <c r="P11" s="8">
        <f t="shared" si="313"/>
        <v>12</v>
      </c>
      <c r="Q11" s="109">
        <f t="shared" si="315"/>
        <v>19.672131147540984</v>
      </c>
      <c r="R11" s="129" t="str">
        <f t="shared" si="316"/>
        <v>-42</v>
      </c>
      <c r="S11" s="7"/>
      <c r="Z11" s="7"/>
      <c r="AG11" s="7"/>
      <c r="AN11" s="7"/>
      <c r="AU11" s="7"/>
      <c r="BB11" s="7"/>
      <c r="BI11" s="7"/>
      <c r="BP11" s="7"/>
      <c r="BX11" s="95" t="s">
        <v>364</v>
      </c>
      <c r="BY11" s="80" t="s">
        <v>368</v>
      </c>
      <c r="CG11" s="95" t="s">
        <v>364</v>
      </c>
      <c r="CH11" s="80" t="s">
        <v>368</v>
      </c>
      <c r="CL11">
        <v>1</v>
      </c>
      <c r="CP11" s="138" t="s">
        <v>398</v>
      </c>
      <c r="CQ11" s="139" t="s">
        <v>487</v>
      </c>
      <c r="CS11">
        <v>1</v>
      </c>
      <c r="CV11">
        <v>1</v>
      </c>
      <c r="CY11" s="138" t="s">
        <v>364</v>
      </c>
      <c r="CZ11" s="139" t="s">
        <v>362</v>
      </c>
      <c r="DH11" s="138" t="s">
        <v>364</v>
      </c>
      <c r="DI11" s="139" t="s">
        <v>365</v>
      </c>
      <c r="DK11">
        <v>1</v>
      </c>
      <c r="DQ11" s="138" t="s">
        <v>364</v>
      </c>
      <c r="DR11" s="139" t="s">
        <v>393</v>
      </c>
      <c r="DT11">
        <v>1</v>
      </c>
      <c r="DZ11" s="95" t="s">
        <v>364</v>
      </c>
      <c r="EA11" s="80" t="s">
        <v>393</v>
      </c>
      <c r="EC11">
        <v>1</v>
      </c>
      <c r="EI11" s="138" t="s">
        <v>364</v>
      </c>
      <c r="EJ11" s="80" t="s">
        <v>393</v>
      </c>
      <c r="EL11">
        <v>1</v>
      </c>
      <c r="EN11" s="95"/>
      <c r="ER11" s="99" t="s">
        <v>364</v>
      </c>
      <c r="ES11" s="80" t="s">
        <v>393</v>
      </c>
      <c r="EU11">
        <v>1</v>
      </c>
      <c r="EV11">
        <v>1</v>
      </c>
      <c r="EW11">
        <v>1</v>
      </c>
      <c r="FA11" s="95" t="s">
        <v>364</v>
      </c>
      <c r="FB11" s="80" t="s">
        <v>363</v>
      </c>
      <c r="FC11">
        <v>1</v>
      </c>
      <c r="FE11">
        <v>1</v>
      </c>
      <c r="FJ11" s="99" t="s">
        <v>364</v>
      </c>
      <c r="FK11" s="80" t="s">
        <v>366</v>
      </c>
      <c r="FR11" s="7"/>
      <c r="FY11" s="7"/>
      <c r="GF11" s="7"/>
      <c r="GM11" s="7"/>
      <c r="GT11" s="7"/>
      <c r="HA11" s="7"/>
      <c r="HH11" s="7"/>
      <c r="HO11" s="7"/>
      <c r="HV11" s="7"/>
      <c r="IC11" s="7"/>
      <c r="IJ11" s="7"/>
      <c r="IQ11" s="7"/>
      <c r="IX11" s="7"/>
      <c r="JE11" s="7"/>
      <c r="JL11" s="7"/>
      <c r="JS11" s="7"/>
      <c r="JZ11" s="7"/>
      <c r="KG11" s="7"/>
      <c r="KN11" s="7"/>
      <c r="KU11" s="7"/>
      <c r="LB11" s="7"/>
      <c r="LI11" s="7"/>
      <c r="LP11" s="7"/>
      <c r="LW11" s="7"/>
      <c r="MD11" s="7"/>
      <c r="MK11" s="7"/>
      <c r="MR11" s="7"/>
    </row>
    <row r="12" spans="1:356" x14ac:dyDescent="0.25">
      <c r="A12" s="8" t="s">
        <v>162</v>
      </c>
      <c r="B12" s="8"/>
      <c r="C12" s="8" t="s">
        <v>163</v>
      </c>
      <c r="D12" s="8" t="s">
        <v>164</v>
      </c>
      <c r="E12" s="18">
        <v>37133</v>
      </c>
      <c r="F12" s="10" t="str">
        <f t="shared" si="317"/>
        <v/>
      </c>
      <c r="G12" s="19" t="str">
        <f t="shared" si="317"/>
        <v/>
      </c>
      <c r="H12" s="19" t="str">
        <f t="shared" si="317"/>
        <v/>
      </c>
      <c r="I12" s="19" t="str">
        <f t="shared" si="317"/>
        <v/>
      </c>
      <c r="J12" s="19" t="str">
        <f t="shared" si="317"/>
        <v/>
      </c>
      <c r="K12" s="19" t="str">
        <f t="shared" si="317"/>
        <v/>
      </c>
      <c r="L12" s="19" t="str">
        <f t="shared" si="317"/>
        <v/>
      </c>
      <c r="M12" s="8"/>
      <c r="N12" s="8"/>
      <c r="O12" s="9">
        <v>1</v>
      </c>
      <c r="P12" s="8">
        <f t="shared" si="313"/>
        <v>47</v>
      </c>
      <c r="Q12" s="109">
        <f t="shared" si="315"/>
        <v>77.049180327868854</v>
      </c>
      <c r="R12" s="129" t="str">
        <f t="shared" si="316"/>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J12" s="99" t="s">
        <v>364</v>
      </c>
      <c r="FK12" s="80" t="s">
        <v>366</v>
      </c>
      <c r="FR12" s="7"/>
      <c r="FY12" s="7"/>
      <c r="GF12" s="7"/>
      <c r="GM12" s="7"/>
      <c r="GT12" s="7"/>
      <c r="HA12" s="7"/>
      <c r="HH12" s="7"/>
      <c r="HO12" s="7"/>
      <c r="HV12" s="7"/>
      <c r="IC12" s="7"/>
      <c r="IJ12" s="7"/>
      <c r="IQ12" s="7"/>
      <c r="IX12" s="7"/>
      <c r="JE12" s="7"/>
      <c r="JL12" s="7"/>
      <c r="JS12" s="7"/>
      <c r="JZ12" s="7"/>
      <c r="KG12" s="7"/>
      <c r="KN12" s="7"/>
      <c r="KU12" s="7"/>
      <c r="LB12" s="7"/>
      <c r="LI12" s="7"/>
      <c r="LP12" s="7"/>
      <c r="LW12" s="7"/>
      <c r="MD12" s="7"/>
      <c r="MK12" s="7"/>
      <c r="MR12" s="7"/>
    </row>
    <row r="13" spans="1:356" x14ac:dyDescent="0.25">
      <c r="A13" s="8" t="s">
        <v>120</v>
      </c>
      <c r="B13" s="8" t="s">
        <v>161</v>
      </c>
      <c r="C13" s="8" t="s">
        <v>175</v>
      </c>
      <c r="D13" s="8" t="s">
        <v>176</v>
      </c>
      <c r="E13" s="18">
        <v>37808</v>
      </c>
      <c r="F13" s="10">
        <f t="shared" si="317"/>
        <v>1</v>
      </c>
      <c r="G13" s="19" t="str">
        <f t="shared" si="317"/>
        <v/>
      </c>
      <c r="H13" s="19" t="str">
        <f t="shared" si="317"/>
        <v/>
      </c>
      <c r="I13" s="19" t="str">
        <f t="shared" si="317"/>
        <v/>
      </c>
      <c r="J13" s="19" t="str">
        <f t="shared" si="317"/>
        <v/>
      </c>
      <c r="K13" s="19" t="str">
        <f t="shared" si="317"/>
        <v/>
      </c>
      <c r="L13" s="19" t="str">
        <f t="shared" si="317"/>
        <v/>
      </c>
      <c r="M13" s="8"/>
      <c r="N13" s="8">
        <v>1</v>
      </c>
      <c r="O13" s="9">
        <v>1</v>
      </c>
      <c r="P13" s="8">
        <f t="shared" si="313"/>
        <v>47</v>
      </c>
      <c r="Q13" s="109">
        <f t="shared" si="315"/>
        <v>77.049180327868854</v>
      </c>
      <c r="R13" s="129" t="str">
        <f t="shared" si="316"/>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J13" s="99" t="s">
        <v>364</v>
      </c>
      <c r="FK13" s="80" t="s">
        <v>366</v>
      </c>
      <c r="FR13" s="7"/>
      <c r="FY13" s="7"/>
      <c r="GF13" s="7"/>
      <c r="GM13" s="7"/>
      <c r="GT13" s="7"/>
      <c r="HA13" s="7"/>
      <c r="HH13" s="7"/>
      <c r="HO13" s="7"/>
      <c r="HV13" s="7"/>
      <c r="IC13" s="7"/>
      <c r="IJ13" s="7"/>
      <c r="IQ13" s="7"/>
      <c r="IX13" s="7"/>
      <c r="JE13" s="7"/>
      <c r="JL13" s="7"/>
      <c r="JS13" s="7"/>
      <c r="JZ13" s="7"/>
      <c r="KG13" s="7"/>
      <c r="KN13" s="7"/>
      <c r="KU13" s="7"/>
      <c r="LB13" s="7"/>
      <c r="LI13" s="7"/>
      <c r="LP13" s="7"/>
      <c r="LW13" s="7"/>
      <c r="MD13" s="7"/>
      <c r="MK13" s="7"/>
      <c r="MR13" s="7"/>
    </row>
    <row r="14" spans="1:356" hidden="1" x14ac:dyDescent="0.25">
      <c r="A14" s="8" t="s">
        <v>177</v>
      </c>
      <c r="B14" s="8"/>
      <c r="C14" s="8" t="s">
        <v>179</v>
      </c>
      <c r="D14" s="8" t="s">
        <v>180</v>
      </c>
      <c r="E14" s="18"/>
      <c r="F14" s="10" t="str">
        <f t="shared" si="317"/>
        <v/>
      </c>
      <c r="G14" s="19" t="str">
        <f t="shared" si="317"/>
        <v/>
      </c>
      <c r="H14" s="19" t="str">
        <f t="shared" si="317"/>
        <v/>
      </c>
      <c r="I14" s="19" t="str">
        <f t="shared" si="317"/>
        <v/>
      </c>
      <c r="J14" s="19" t="str">
        <f t="shared" si="317"/>
        <v/>
      </c>
      <c r="K14" s="19" t="str">
        <f t="shared" si="317"/>
        <v/>
      </c>
      <c r="L14" s="19" t="str">
        <f t="shared" si="317"/>
        <v/>
      </c>
      <c r="M14" s="8"/>
      <c r="N14" s="8">
        <v>1</v>
      </c>
      <c r="O14" s="9"/>
      <c r="P14" s="8">
        <f t="shared" si="313"/>
        <v>1</v>
      </c>
      <c r="Q14" s="109">
        <f t="shared" si="315"/>
        <v>1.639344262295082</v>
      </c>
      <c r="R14" s="129" t="str">
        <f t="shared" si="316"/>
        <v>-7</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366</v>
      </c>
      <c r="FR14" s="7"/>
      <c r="FY14" s="7"/>
      <c r="GF14" s="7"/>
      <c r="GM14" s="7"/>
      <c r="GT14" s="7"/>
      <c r="HA14" s="7"/>
      <c r="HH14" s="7"/>
      <c r="HO14" s="7"/>
      <c r="HV14" s="7"/>
      <c r="IC14" s="7"/>
      <c r="IJ14" s="7"/>
      <c r="IQ14" s="7"/>
      <c r="IX14" s="7"/>
      <c r="JE14" s="7"/>
      <c r="JL14" s="7"/>
      <c r="JS14" s="7"/>
      <c r="JZ14" s="7"/>
      <c r="KG14" s="7"/>
      <c r="KN14" s="7"/>
      <c r="KU14" s="7"/>
      <c r="LB14" s="7"/>
      <c r="LI14" s="7"/>
      <c r="LP14" s="7"/>
      <c r="LW14" s="7"/>
      <c r="MD14" s="7"/>
      <c r="MK14" s="7"/>
      <c r="MR14" s="7"/>
    </row>
    <row r="15" spans="1:356" hidden="1" x14ac:dyDescent="0.25">
      <c r="A15" s="8" t="s">
        <v>171</v>
      </c>
      <c r="B15" s="8" t="s">
        <v>172</v>
      </c>
      <c r="C15" s="8" t="s">
        <v>173</v>
      </c>
      <c r="D15" s="8" t="s">
        <v>174</v>
      </c>
      <c r="E15" s="18">
        <v>36556</v>
      </c>
      <c r="F15" s="10" t="str">
        <f t="shared" si="317"/>
        <v/>
      </c>
      <c r="G15" s="19" t="str">
        <f t="shared" si="317"/>
        <v/>
      </c>
      <c r="H15" s="19" t="str">
        <f t="shared" si="317"/>
        <v/>
      </c>
      <c r="I15" s="19" t="str">
        <f t="shared" si="317"/>
        <v/>
      </c>
      <c r="J15" s="19" t="str">
        <f t="shared" si="317"/>
        <v/>
      </c>
      <c r="K15" s="19" t="str">
        <f t="shared" si="317"/>
        <v/>
      </c>
      <c r="L15" s="19" t="str">
        <f t="shared" si="317"/>
        <v/>
      </c>
      <c r="M15" s="8"/>
      <c r="N15" s="8"/>
      <c r="O15" s="9"/>
      <c r="P15" s="8">
        <f t="shared" si="313"/>
        <v>1</v>
      </c>
      <c r="Q15" s="109">
        <f t="shared" si="315"/>
        <v>1.639344262295082</v>
      </c>
      <c r="R15" s="129" t="str">
        <f t="shared" si="316"/>
        <v>-7</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366</v>
      </c>
      <c r="FR15" s="7"/>
      <c r="FY15" s="7"/>
      <c r="GF15" s="7"/>
      <c r="GM15" s="7"/>
      <c r="GT15" s="7"/>
      <c r="HA15" s="7"/>
      <c r="HH15" s="7"/>
      <c r="HO15" s="7"/>
      <c r="HV15" s="7"/>
      <c r="IC15" s="7"/>
      <c r="IJ15" s="7"/>
      <c r="IQ15" s="7"/>
      <c r="IX15" s="7"/>
      <c r="JE15" s="7"/>
      <c r="JL15" s="7"/>
      <c r="JS15" s="7"/>
      <c r="JZ15" s="7"/>
      <c r="KG15" s="7"/>
      <c r="KN15" s="7"/>
      <c r="KU15" s="7"/>
      <c r="LB15" s="7"/>
      <c r="LI15" s="7"/>
      <c r="LP15" s="7"/>
      <c r="LW15" s="7"/>
      <c r="MD15" s="7"/>
      <c r="MK15" s="7"/>
      <c r="MR15" s="7"/>
    </row>
    <row r="16" spans="1:356" x14ac:dyDescent="0.25">
      <c r="A16" s="8" t="s">
        <v>457</v>
      </c>
      <c r="B16" s="8" t="s">
        <v>230</v>
      </c>
      <c r="C16" s="8" t="s">
        <v>232</v>
      </c>
      <c r="D16" s="8" t="s">
        <v>231</v>
      </c>
      <c r="E16" s="18">
        <v>38679</v>
      </c>
      <c r="F16" s="10">
        <f t="shared" si="317"/>
        <v>1</v>
      </c>
      <c r="G16" s="19">
        <f t="shared" si="317"/>
        <v>1</v>
      </c>
      <c r="H16" s="19" t="str">
        <f t="shared" si="317"/>
        <v/>
      </c>
      <c r="I16" s="19" t="str">
        <f t="shared" si="317"/>
        <v/>
      </c>
      <c r="J16" s="19" t="str">
        <f t="shared" si="317"/>
        <v/>
      </c>
      <c r="K16" s="19" t="str">
        <f t="shared" si="317"/>
        <v/>
      </c>
      <c r="L16" s="19" t="str">
        <f t="shared" si="317"/>
        <v/>
      </c>
      <c r="M16" s="8">
        <v>1</v>
      </c>
      <c r="N16" s="8">
        <v>1</v>
      </c>
      <c r="O16" s="9"/>
      <c r="P16" s="8">
        <f t="shared" si="313"/>
        <v>15</v>
      </c>
      <c r="Q16" s="109">
        <f t="shared" si="315"/>
        <v>24.590163934426229</v>
      </c>
      <c r="R16" s="129" t="str">
        <f t="shared" si="316"/>
        <v>-43</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461</v>
      </c>
      <c r="ER16" s="99" t="s">
        <v>364</v>
      </c>
      <c r="ES16" s="80" t="s">
        <v>363</v>
      </c>
      <c r="ET16">
        <v>1</v>
      </c>
      <c r="FA16" s="95" t="s">
        <v>364</v>
      </c>
      <c r="FB16" s="80" t="s">
        <v>393</v>
      </c>
      <c r="FD16">
        <v>1</v>
      </c>
      <c r="FJ16" s="99" t="s">
        <v>364</v>
      </c>
      <c r="FK16" s="80" t="s">
        <v>366</v>
      </c>
      <c r="FR16" s="7"/>
      <c r="FY16" s="7"/>
      <c r="GF16" s="7"/>
      <c r="GM16" s="7"/>
      <c r="GT16" s="7"/>
      <c r="HA16" s="7"/>
      <c r="HH16" s="7"/>
      <c r="HO16" s="7"/>
      <c r="HV16" s="7"/>
      <c r="IC16" s="7"/>
      <c r="IJ16" s="7"/>
      <c r="IQ16" s="7"/>
      <c r="IX16" s="7"/>
      <c r="JE16" s="7"/>
      <c r="JL16" s="7"/>
      <c r="JS16" s="7"/>
      <c r="JZ16" s="7"/>
      <c r="KG16" s="7"/>
      <c r="KN16" s="7"/>
      <c r="KU16" s="7"/>
      <c r="LB16" s="7"/>
      <c r="LI16" s="7"/>
      <c r="LP16" s="7"/>
      <c r="LW16" s="7"/>
      <c r="MD16" s="7"/>
      <c r="MK16" s="7"/>
      <c r="MR16" s="7"/>
    </row>
    <row r="17" spans="1:356" x14ac:dyDescent="0.25">
      <c r="A17" s="8" t="s">
        <v>125</v>
      </c>
      <c r="B17" s="8" t="s">
        <v>124</v>
      </c>
      <c r="C17" s="8" t="s">
        <v>158</v>
      </c>
      <c r="D17" s="8" t="s">
        <v>123</v>
      </c>
      <c r="E17" s="18">
        <v>38491</v>
      </c>
      <c r="F17" s="10">
        <f t="shared" si="317"/>
        <v>1</v>
      </c>
      <c r="G17" s="19">
        <f t="shared" si="317"/>
        <v>1</v>
      </c>
      <c r="H17" s="19" t="str">
        <f t="shared" si="317"/>
        <v/>
      </c>
      <c r="I17" s="19" t="str">
        <f t="shared" si="317"/>
        <v/>
      </c>
      <c r="J17" s="19" t="str">
        <f t="shared" si="317"/>
        <v/>
      </c>
      <c r="K17" s="19" t="str">
        <f t="shared" si="317"/>
        <v/>
      </c>
      <c r="L17" s="19" t="str">
        <f t="shared" si="317"/>
        <v/>
      </c>
      <c r="M17" s="8"/>
      <c r="N17" s="8">
        <v>1</v>
      </c>
      <c r="O17" s="9">
        <v>1</v>
      </c>
      <c r="P17" s="8">
        <f t="shared" si="313"/>
        <v>45</v>
      </c>
      <c r="Q17" s="109">
        <f t="shared" si="315"/>
        <v>73.770491803278688</v>
      </c>
      <c r="R17" s="129" t="str">
        <f t="shared" si="316"/>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J17" s="99" t="s">
        <v>364</v>
      </c>
      <c r="FK17" s="80" t="s">
        <v>366</v>
      </c>
      <c r="FR17" s="7"/>
      <c r="FY17" s="7"/>
      <c r="GF17" s="7"/>
      <c r="GM17" s="7"/>
      <c r="GT17" s="7"/>
      <c r="HA17" s="7"/>
      <c r="HH17" s="7"/>
      <c r="HO17" s="7"/>
      <c r="HV17" s="7"/>
      <c r="IC17" s="7"/>
      <c r="IJ17" s="7"/>
      <c r="IQ17" s="7"/>
      <c r="IX17" s="7"/>
      <c r="JE17" s="7"/>
      <c r="JL17" s="7"/>
      <c r="JS17" s="7"/>
      <c r="JZ17" s="7"/>
      <c r="KG17" s="7"/>
      <c r="KN17" s="7"/>
      <c r="KU17" s="7"/>
      <c r="LB17" s="7"/>
      <c r="LI17" s="7"/>
      <c r="LP17" s="7"/>
      <c r="LW17" s="7"/>
      <c r="MD17" s="7"/>
      <c r="MK17" s="7"/>
      <c r="MR17" s="7"/>
    </row>
    <row r="18" spans="1:356" x14ac:dyDescent="0.25">
      <c r="A18" s="8" t="s">
        <v>80</v>
      </c>
      <c r="B18" s="8"/>
      <c r="C18" s="8" t="s">
        <v>160</v>
      </c>
      <c r="D18" s="8" t="s">
        <v>122</v>
      </c>
      <c r="E18" s="18">
        <v>38655</v>
      </c>
      <c r="F18" s="10">
        <f t="shared" si="317"/>
        <v>1</v>
      </c>
      <c r="G18" s="19">
        <f t="shared" si="317"/>
        <v>1</v>
      </c>
      <c r="H18" s="19" t="str">
        <f t="shared" si="317"/>
        <v/>
      </c>
      <c r="I18" s="19" t="str">
        <f t="shared" si="317"/>
        <v/>
      </c>
      <c r="J18" s="19" t="str">
        <f t="shared" si="317"/>
        <v/>
      </c>
      <c r="K18" s="19" t="str">
        <f t="shared" si="317"/>
        <v/>
      </c>
      <c r="L18" s="19" t="str">
        <f t="shared" si="317"/>
        <v/>
      </c>
      <c r="M18" s="8"/>
      <c r="N18" s="8">
        <v>1</v>
      </c>
      <c r="O18" s="9">
        <v>1</v>
      </c>
      <c r="P18" s="8">
        <f t="shared" si="313"/>
        <v>44</v>
      </c>
      <c r="Q18" s="109">
        <f t="shared" si="315"/>
        <v>72.131147540983605</v>
      </c>
      <c r="R18" s="129" t="str">
        <f t="shared" si="316"/>
        <v>-9</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J18" s="99" t="s">
        <v>364</v>
      </c>
      <c r="FK18" s="80" t="s">
        <v>366</v>
      </c>
      <c r="FR18" s="7"/>
      <c r="FY18" s="7"/>
      <c r="GF18" s="7"/>
      <c r="GM18" s="7"/>
      <c r="GT18" s="7"/>
      <c r="HA18" s="7"/>
      <c r="HH18" s="7"/>
      <c r="HO18" s="7"/>
      <c r="HV18" s="7"/>
      <c r="IC18" s="7"/>
      <c r="IJ18" s="7"/>
      <c r="IQ18" s="7"/>
      <c r="IX18" s="7"/>
      <c r="JE18" s="7"/>
      <c r="JL18" s="7"/>
      <c r="JS18" s="7"/>
      <c r="JZ18" s="7"/>
      <c r="KG18" s="7"/>
      <c r="KN18" s="7"/>
      <c r="KU18" s="7"/>
      <c r="LB18" s="7"/>
      <c r="LI18" s="7"/>
      <c r="LP18" s="7"/>
      <c r="LW18" s="7"/>
      <c r="MD18" s="7"/>
      <c r="MK18" s="7"/>
      <c r="MR18" s="7"/>
    </row>
    <row r="19" spans="1:356" x14ac:dyDescent="0.25">
      <c r="A19" s="8" t="s">
        <v>155</v>
      </c>
      <c r="B19" s="8"/>
      <c r="C19" s="8" t="s">
        <v>156</v>
      </c>
      <c r="D19" s="8" t="s">
        <v>139</v>
      </c>
      <c r="E19" s="18">
        <v>37863</v>
      </c>
      <c r="F19" s="10">
        <f t="shared" si="317"/>
        <v>1</v>
      </c>
      <c r="G19" s="19" t="str">
        <f t="shared" si="317"/>
        <v/>
      </c>
      <c r="H19" s="19" t="str">
        <f t="shared" si="317"/>
        <v/>
      </c>
      <c r="I19" s="19" t="str">
        <f t="shared" si="317"/>
        <v/>
      </c>
      <c r="J19" s="19" t="str">
        <f t="shared" si="317"/>
        <v/>
      </c>
      <c r="K19" s="19" t="str">
        <f t="shared" si="317"/>
        <v/>
      </c>
      <c r="L19" s="19" t="str">
        <f t="shared" si="317"/>
        <v/>
      </c>
      <c r="M19" s="8"/>
      <c r="N19" s="8">
        <v>1</v>
      </c>
      <c r="O19" s="9">
        <v>1</v>
      </c>
      <c r="P19" s="8">
        <f t="shared" si="313"/>
        <v>46</v>
      </c>
      <c r="Q19" s="109">
        <f t="shared" si="315"/>
        <v>75.409836065573771</v>
      </c>
      <c r="R19" s="129" t="str">
        <f t="shared" si="316"/>
        <v>-4</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J19" s="99" t="s">
        <v>364</v>
      </c>
      <c r="FK19" s="80" t="s">
        <v>366</v>
      </c>
      <c r="FR19" s="7"/>
      <c r="FY19" s="7"/>
      <c r="GF19" s="7"/>
      <c r="GM19" s="7"/>
      <c r="GT19" s="7"/>
      <c r="HA19" s="7"/>
      <c r="HH19" s="7"/>
      <c r="HO19" s="7"/>
      <c r="HV19" s="7"/>
      <c r="IC19" s="7"/>
      <c r="IJ19" s="7"/>
      <c r="IQ19" s="7"/>
      <c r="IX19" s="7"/>
      <c r="JE19" s="7"/>
      <c r="JL19" s="7"/>
      <c r="JS19" s="7"/>
      <c r="JZ19" s="7"/>
      <c r="KG19" s="7"/>
      <c r="KN19" s="7"/>
      <c r="KU19" s="7"/>
      <c r="LB19" s="7"/>
      <c r="LI19" s="7"/>
      <c r="LP19" s="7"/>
      <c r="LW19" s="7"/>
      <c r="MD19" s="7"/>
      <c r="MK19" s="7"/>
      <c r="MR19" s="7"/>
    </row>
    <row r="20" spans="1:356" x14ac:dyDescent="0.25">
      <c r="A20" s="8" t="s">
        <v>80</v>
      </c>
      <c r="B20" s="8"/>
      <c r="C20" s="8" t="s">
        <v>143</v>
      </c>
      <c r="D20" s="8" t="s">
        <v>139</v>
      </c>
      <c r="E20" s="18">
        <v>37863</v>
      </c>
      <c r="F20" s="10">
        <f t="shared" si="317"/>
        <v>1</v>
      </c>
      <c r="G20" s="19" t="str">
        <f t="shared" si="317"/>
        <v/>
      </c>
      <c r="H20" s="19" t="str">
        <f t="shared" si="317"/>
        <v/>
      </c>
      <c r="I20" s="19" t="str">
        <f t="shared" si="317"/>
        <v/>
      </c>
      <c r="J20" s="19" t="str">
        <f t="shared" si="317"/>
        <v/>
      </c>
      <c r="K20" s="19" t="str">
        <f t="shared" si="317"/>
        <v/>
      </c>
      <c r="L20" s="19" t="str">
        <f t="shared" si="317"/>
        <v/>
      </c>
      <c r="M20" s="8"/>
      <c r="N20" s="8">
        <v>1</v>
      </c>
      <c r="O20" s="9">
        <v>1</v>
      </c>
      <c r="P20" s="8">
        <f t="shared" si="313"/>
        <v>42</v>
      </c>
      <c r="Q20" s="109">
        <f t="shared" si="315"/>
        <v>68.852459016393439</v>
      </c>
      <c r="R20" s="129" t="str">
        <f t="shared" si="316"/>
        <v>-22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J20" s="99" t="s">
        <v>364</v>
      </c>
      <c r="FK20" s="80" t="s">
        <v>366</v>
      </c>
      <c r="FR20" s="7"/>
      <c r="FY20" s="7"/>
      <c r="GF20" s="7"/>
      <c r="GM20" s="7"/>
      <c r="GT20" s="7"/>
      <c r="HA20" s="7"/>
      <c r="HH20" s="7"/>
      <c r="HO20" s="7"/>
      <c r="HV20" s="7"/>
      <c r="IC20" s="7"/>
      <c r="IJ20" s="7"/>
      <c r="IQ20" s="7"/>
      <c r="IX20" s="7"/>
      <c r="JE20" s="7"/>
      <c r="JL20" s="7"/>
      <c r="JS20" s="7"/>
      <c r="JZ20" s="7"/>
      <c r="KG20" s="7"/>
      <c r="KN20" s="7"/>
      <c r="KU20" s="7"/>
      <c r="LB20" s="7"/>
      <c r="LI20" s="7"/>
      <c r="LP20" s="7"/>
      <c r="LW20" s="7"/>
      <c r="MD20" s="7"/>
      <c r="MK20" s="7"/>
      <c r="MR20" s="7"/>
    </row>
    <row r="21" spans="1:356" x14ac:dyDescent="0.25">
      <c r="A21" s="8" t="s">
        <v>142</v>
      </c>
      <c r="B21" s="8" t="s">
        <v>141</v>
      </c>
      <c r="C21" s="8" t="s">
        <v>140</v>
      </c>
      <c r="D21" s="8" t="s">
        <v>139</v>
      </c>
      <c r="E21" s="18">
        <v>38954</v>
      </c>
      <c r="F21" s="10">
        <f t="shared" si="317"/>
        <v>1</v>
      </c>
      <c r="G21" s="19">
        <f t="shared" si="317"/>
        <v>1</v>
      </c>
      <c r="H21" s="19">
        <f t="shared" si="317"/>
        <v>1</v>
      </c>
      <c r="I21" s="19" t="str">
        <f t="shared" si="317"/>
        <v/>
      </c>
      <c r="J21" s="19" t="str">
        <f t="shared" si="317"/>
        <v/>
      </c>
      <c r="K21" s="19" t="str">
        <f t="shared" si="317"/>
        <v/>
      </c>
      <c r="L21" s="19" t="str">
        <f t="shared" si="317"/>
        <v/>
      </c>
      <c r="M21" s="8">
        <v>1</v>
      </c>
      <c r="N21" s="8">
        <v>1</v>
      </c>
      <c r="O21" s="9"/>
      <c r="P21" s="8">
        <f t="shared" si="313"/>
        <v>46</v>
      </c>
      <c r="Q21" s="109">
        <f t="shared" si="315"/>
        <v>75.409836065573771</v>
      </c>
      <c r="R21" s="129" t="str">
        <f t="shared" si="316"/>
        <v>-9</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364</v>
      </c>
      <c r="FK21" s="80" t="s">
        <v>366</v>
      </c>
      <c r="FR21" s="7"/>
      <c r="FY21" s="7"/>
      <c r="GF21" s="7"/>
      <c r="GM21" s="7"/>
      <c r="GT21" s="7"/>
      <c r="HA21" s="7"/>
      <c r="HH21" s="7"/>
      <c r="HO21" s="7"/>
      <c r="HV21" s="7"/>
      <c r="IC21" s="7"/>
      <c r="IJ21" s="7"/>
      <c r="IQ21" s="7"/>
      <c r="IX21" s="7"/>
      <c r="JE21" s="7"/>
      <c r="JL21" s="7"/>
      <c r="JS21" s="7"/>
      <c r="JZ21" s="7"/>
      <c r="KG21" s="7"/>
      <c r="KN21" s="7"/>
      <c r="KU21" s="7"/>
      <c r="LB21" s="7"/>
      <c r="LI21" s="7"/>
      <c r="LP21" s="7"/>
      <c r="LW21" s="7"/>
      <c r="MD21" s="7"/>
      <c r="MK21" s="7"/>
      <c r="MR21" s="7"/>
    </row>
    <row r="22" spans="1:356" hidden="1" x14ac:dyDescent="0.25">
      <c r="A22" s="8" t="s">
        <v>162</v>
      </c>
      <c r="B22" s="8" t="s">
        <v>184</v>
      </c>
      <c r="C22" s="8" t="s">
        <v>186</v>
      </c>
      <c r="D22" s="8" t="s">
        <v>185</v>
      </c>
      <c r="E22" s="18"/>
      <c r="F22" s="10" t="str">
        <f t="shared" si="317"/>
        <v/>
      </c>
      <c r="G22" s="19" t="str">
        <f t="shared" si="317"/>
        <v/>
      </c>
      <c r="H22" s="19" t="str">
        <f t="shared" si="317"/>
        <v/>
      </c>
      <c r="I22" s="19" t="str">
        <f t="shared" si="317"/>
        <v/>
      </c>
      <c r="J22" s="19" t="str">
        <f t="shared" si="317"/>
        <v/>
      </c>
      <c r="K22" s="19" t="str">
        <f t="shared" si="317"/>
        <v/>
      </c>
      <c r="L22" s="19" t="str">
        <f t="shared" si="317"/>
        <v/>
      </c>
      <c r="M22" s="8"/>
      <c r="N22" s="8">
        <v>1</v>
      </c>
      <c r="O22" s="9"/>
      <c r="P22" s="8">
        <f t="shared" si="313"/>
        <v>1</v>
      </c>
      <c r="Q22" s="109">
        <f t="shared" si="315"/>
        <v>1.639344262295082</v>
      </c>
      <c r="R22" s="129" t="str">
        <f t="shared" si="316"/>
        <v>-14</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366</v>
      </c>
      <c r="FR22" s="7"/>
      <c r="FY22" s="7"/>
      <c r="GF22" s="7"/>
      <c r="GM22" s="7"/>
      <c r="GT22" s="7"/>
      <c r="HA22" s="7"/>
      <c r="HH22" s="7"/>
      <c r="HO22" s="7"/>
      <c r="HV22" s="7"/>
      <c r="IC22" s="7"/>
      <c r="IJ22" s="7"/>
      <c r="IQ22" s="7"/>
      <c r="IX22" s="7"/>
      <c r="JE22" s="7"/>
      <c r="JL22" s="7"/>
      <c r="JS22" s="7"/>
      <c r="JZ22" s="7"/>
      <c r="KG22" s="7"/>
      <c r="KN22" s="7"/>
      <c r="KU22" s="7"/>
      <c r="LB22" s="7"/>
      <c r="LI22" s="7"/>
      <c r="LP22" s="7"/>
      <c r="LW22" s="7"/>
      <c r="MD22" s="7"/>
      <c r="MK22" s="7"/>
      <c r="MR22" s="7"/>
    </row>
    <row r="23" spans="1:356" x14ac:dyDescent="0.25">
      <c r="A23" s="8" t="s">
        <v>138</v>
      </c>
      <c r="B23" s="8" t="s">
        <v>137</v>
      </c>
      <c r="C23" s="8" t="s">
        <v>136</v>
      </c>
      <c r="D23" s="8" t="s">
        <v>135</v>
      </c>
      <c r="E23" s="18">
        <v>39155</v>
      </c>
      <c r="F23" s="10">
        <f t="shared" si="317"/>
        <v>1</v>
      </c>
      <c r="G23" s="19">
        <f t="shared" si="317"/>
        <v>1</v>
      </c>
      <c r="H23" s="19">
        <f t="shared" si="317"/>
        <v>1</v>
      </c>
      <c r="I23" s="19">
        <f t="shared" si="317"/>
        <v>1</v>
      </c>
      <c r="J23" s="19" t="str">
        <f t="shared" si="317"/>
        <v/>
      </c>
      <c r="K23" s="19" t="str">
        <f t="shared" si="317"/>
        <v/>
      </c>
      <c r="L23" s="19" t="str">
        <f t="shared" si="317"/>
        <v/>
      </c>
      <c r="M23" s="8">
        <v>1</v>
      </c>
      <c r="N23" s="8">
        <v>1</v>
      </c>
      <c r="O23" s="9"/>
      <c r="P23" s="8">
        <f t="shared" si="313"/>
        <v>42</v>
      </c>
      <c r="Q23" s="109">
        <f t="shared" si="315"/>
        <v>68.852459016393439</v>
      </c>
      <c r="R23" s="129" t="str">
        <f t="shared" si="316"/>
        <v>-27</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J23" s="99" t="s">
        <v>364</v>
      </c>
      <c r="FK23" s="80" t="s">
        <v>366</v>
      </c>
      <c r="FR23" s="7"/>
      <c r="FY23" s="7"/>
      <c r="GF23" s="7"/>
      <c r="GM23" s="7"/>
      <c r="GT23" s="7"/>
      <c r="HA23" s="7"/>
      <c r="HH23" s="7"/>
      <c r="HO23" s="7"/>
      <c r="HV23" s="7"/>
      <c r="IC23" s="7"/>
      <c r="IJ23" s="7"/>
      <c r="IQ23" s="7"/>
      <c r="IX23" s="7"/>
      <c r="JE23" s="7"/>
      <c r="JL23" s="7"/>
      <c r="JS23" s="7"/>
      <c r="JZ23" s="7"/>
      <c r="KG23" s="7"/>
      <c r="KN23" s="7"/>
      <c r="KU23" s="7"/>
      <c r="LB23" s="7"/>
      <c r="LI23" s="7"/>
      <c r="LP23" s="7"/>
      <c r="LW23" s="7"/>
      <c r="MD23" s="7"/>
      <c r="MK23" s="7"/>
      <c r="MR23" s="7"/>
    </row>
    <row r="24" spans="1:356" x14ac:dyDescent="0.25">
      <c r="A24" s="8" t="s">
        <v>134</v>
      </c>
      <c r="B24" s="8" t="s">
        <v>133</v>
      </c>
      <c r="C24" s="8" t="s">
        <v>169</v>
      </c>
      <c r="D24" s="8" t="s">
        <v>170</v>
      </c>
      <c r="E24" s="18">
        <v>37177</v>
      </c>
      <c r="F24" s="10" t="str">
        <f t="shared" si="317"/>
        <v/>
      </c>
      <c r="G24" s="19" t="str">
        <f t="shared" si="317"/>
        <v/>
      </c>
      <c r="H24" s="19" t="str">
        <f t="shared" si="317"/>
        <v/>
      </c>
      <c r="I24" s="19" t="str">
        <f t="shared" si="317"/>
        <v/>
      </c>
      <c r="J24" s="19" t="str">
        <f t="shared" si="317"/>
        <v/>
      </c>
      <c r="K24" s="19" t="str">
        <f t="shared" si="317"/>
        <v/>
      </c>
      <c r="L24" s="19" t="str">
        <f t="shared" si="317"/>
        <v/>
      </c>
      <c r="M24" s="8"/>
      <c r="N24" s="8"/>
      <c r="O24" s="9">
        <v>1</v>
      </c>
      <c r="P24" s="8">
        <f t="shared" si="313"/>
        <v>41</v>
      </c>
      <c r="Q24" s="109">
        <f t="shared" si="315"/>
        <v>67.213114754098356</v>
      </c>
      <c r="R24" s="129" t="str">
        <f t="shared" si="316"/>
        <v>-6</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J24" s="99" t="s">
        <v>364</v>
      </c>
      <c r="FK24" s="80" t="s">
        <v>366</v>
      </c>
      <c r="FR24" s="7"/>
      <c r="FY24" s="7"/>
      <c r="GF24" s="7"/>
      <c r="GM24" s="7"/>
      <c r="GT24" s="7"/>
      <c r="HA24" s="7"/>
      <c r="HH24" s="7"/>
      <c r="HO24" s="7"/>
      <c r="HV24" s="7"/>
      <c r="IC24" s="7"/>
      <c r="IJ24" s="7"/>
      <c r="IQ24" s="7"/>
      <c r="IX24" s="7"/>
      <c r="JE24" s="7"/>
      <c r="JL24" s="7"/>
      <c r="JS24" s="7"/>
      <c r="JZ24" s="7"/>
      <c r="KG24" s="7"/>
      <c r="KN24" s="7"/>
      <c r="KU24" s="7"/>
      <c r="LB24" s="7"/>
      <c r="LI24" s="7"/>
      <c r="LP24" s="7"/>
      <c r="LW24" s="7"/>
      <c r="MD24" s="7"/>
      <c r="MK24" s="7"/>
      <c r="MR24" s="7"/>
    </row>
    <row r="25" spans="1:356" x14ac:dyDescent="0.25">
      <c r="A25" s="8" t="s">
        <v>125</v>
      </c>
      <c r="B25" s="8" t="s">
        <v>124</v>
      </c>
      <c r="C25" s="8" t="s">
        <v>167</v>
      </c>
      <c r="D25" s="8" t="s">
        <v>168</v>
      </c>
      <c r="E25" s="18">
        <v>36870</v>
      </c>
      <c r="F25" s="10" t="str">
        <f t="shared" si="317"/>
        <v/>
      </c>
      <c r="G25" s="19" t="str">
        <f t="shared" si="317"/>
        <v/>
      </c>
      <c r="H25" s="19" t="str">
        <f t="shared" si="317"/>
        <v/>
      </c>
      <c r="I25" s="19" t="str">
        <f t="shared" si="317"/>
        <v/>
      </c>
      <c r="J25" s="19" t="str">
        <f t="shared" si="317"/>
        <v/>
      </c>
      <c r="K25" s="19" t="str">
        <f t="shared" si="317"/>
        <v/>
      </c>
      <c r="L25" s="19" t="str">
        <f t="shared" si="317"/>
        <v/>
      </c>
      <c r="M25" s="8"/>
      <c r="N25" s="8"/>
      <c r="O25" s="9">
        <v>1</v>
      </c>
      <c r="P25" s="8">
        <f t="shared" si="313"/>
        <v>49</v>
      </c>
      <c r="Q25" s="109">
        <f t="shared" si="315"/>
        <v>80.327868852459019</v>
      </c>
      <c r="R25" s="129" t="str">
        <f t="shared" si="316"/>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J25" s="99" t="s">
        <v>364</v>
      </c>
      <c r="FK25" s="80" t="s">
        <v>366</v>
      </c>
      <c r="FR25" s="7"/>
      <c r="FY25" s="7"/>
      <c r="GF25" s="7"/>
      <c r="GM25" s="7"/>
      <c r="GT25" s="7"/>
      <c r="HA25" s="7"/>
      <c r="HH25" s="7"/>
      <c r="HO25" s="7"/>
      <c r="HV25" s="7"/>
      <c r="IC25" s="7"/>
      <c r="IJ25" s="7"/>
      <c r="IQ25" s="7"/>
      <c r="IX25" s="7"/>
      <c r="JE25" s="7"/>
      <c r="JL25" s="7"/>
      <c r="JS25" s="7"/>
      <c r="JZ25" s="7"/>
      <c r="KG25" s="7"/>
      <c r="KN25" s="7"/>
      <c r="KU25" s="7"/>
      <c r="LB25" s="7"/>
      <c r="LI25" s="7"/>
      <c r="LP25" s="7"/>
      <c r="LW25" s="7"/>
      <c r="MD25" s="7"/>
      <c r="MK25" s="7"/>
      <c r="MR25" s="7"/>
    </row>
    <row r="26" spans="1:356" x14ac:dyDescent="0.25">
      <c r="A26" s="8" t="s">
        <v>181</v>
      </c>
      <c r="B26" s="8" t="s">
        <v>182</v>
      </c>
      <c r="C26" s="8" t="s">
        <v>183</v>
      </c>
      <c r="D26" s="8" t="s">
        <v>81</v>
      </c>
      <c r="E26" s="18">
        <v>38054</v>
      </c>
      <c r="F26" s="10">
        <f t="shared" si="317"/>
        <v>1</v>
      </c>
      <c r="G26" s="19">
        <f t="shared" si="317"/>
        <v>1</v>
      </c>
      <c r="H26" s="19" t="str">
        <f t="shared" si="317"/>
        <v/>
      </c>
      <c r="I26" s="19" t="str">
        <f t="shared" si="317"/>
        <v/>
      </c>
      <c r="J26" s="19" t="str">
        <f t="shared" si="317"/>
        <v/>
      </c>
      <c r="K26" s="19" t="str">
        <f t="shared" si="317"/>
        <v/>
      </c>
      <c r="L26" s="19" t="str">
        <f t="shared" si="317"/>
        <v/>
      </c>
      <c r="M26" s="8"/>
      <c r="N26" s="8">
        <v>1</v>
      </c>
      <c r="O26" s="9">
        <v>1</v>
      </c>
      <c r="P26" s="8">
        <f t="shared" si="313"/>
        <v>54</v>
      </c>
      <c r="Q26" s="109">
        <f t="shared" si="315"/>
        <v>88.52459016393442</v>
      </c>
      <c r="R26" s="129" t="str">
        <f t="shared" si="316"/>
        <v>-12</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J26" s="99" t="s">
        <v>364</v>
      </c>
      <c r="FK26" s="80" t="s">
        <v>366</v>
      </c>
      <c r="FR26" s="7"/>
      <c r="FY26" s="7"/>
      <c r="GF26" s="7"/>
      <c r="GM26" s="7"/>
      <c r="GT26" s="7"/>
      <c r="HA26" s="7"/>
      <c r="HH26" s="7"/>
      <c r="HO26" s="7"/>
      <c r="HV26" s="7"/>
      <c r="IC26" s="7"/>
      <c r="IJ26" s="7"/>
      <c r="IQ26" s="7"/>
      <c r="IX26" s="7"/>
      <c r="JE26" s="7"/>
      <c r="JL26" s="7"/>
      <c r="JS26" s="7"/>
      <c r="JZ26" s="7"/>
      <c r="KG26" s="7"/>
      <c r="KN26" s="7"/>
      <c r="KU26" s="7"/>
      <c r="LB26" s="7"/>
      <c r="LI26" s="7"/>
      <c r="LP26" s="7"/>
      <c r="LW26" s="7"/>
      <c r="MD26" s="7"/>
      <c r="MK26" s="7"/>
      <c r="MR26" s="7"/>
    </row>
    <row r="27" spans="1:356" hidden="1" x14ac:dyDescent="0.25">
      <c r="A27" s="8" t="s">
        <v>129</v>
      </c>
      <c r="B27" s="8"/>
      <c r="C27" s="8" t="s">
        <v>165</v>
      </c>
      <c r="D27" s="8" t="s">
        <v>166</v>
      </c>
      <c r="E27" s="18">
        <v>36892</v>
      </c>
      <c r="F27" s="10" t="str">
        <f t="shared" si="317"/>
        <v/>
      </c>
      <c r="G27" s="19" t="str">
        <f t="shared" si="317"/>
        <v/>
      </c>
      <c r="H27" s="19" t="str">
        <f t="shared" si="317"/>
        <v/>
      </c>
      <c r="I27" s="19" t="str">
        <f t="shared" si="317"/>
        <v/>
      </c>
      <c r="J27" s="19" t="str">
        <f t="shared" si="317"/>
        <v/>
      </c>
      <c r="K27" s="19" t="str">
        <f t="shared" si="317"/>
        <v/>
      </c>
      <c r="L27" s="19" t="str">
        <f t="shared" si="317"/>
        <v/>
      </c>
      <c r="M27" s="8"/>
      <c r="N27" s="8"/>
      <c r="O27" s="9"/>
      <c r="P27" s="8" t="str">
        <f t="shared" si="313"/>
        <v/>
      </c>
      <c r="Q27" s="109" t="str">
        <f>IF(SUM(S27:XFD27) &gt; 0, SUM(S27:XFD27) /#REF! * 100, "")</f>
        <v/>
      </c>
      <c r="R27" s="129" t="str">
        <f t="shared" si="316"/>
        <v>0</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366</v>
      </c>
      <c r="FR27" s="7"/>
      <c r="FY27" s="7"/>
      <c r="GF27" s="7"/>
      <c r="GM27" s="7"/>
      <c r="GT27" s="7"/>
      <c r="HA27" s="7"/>
      <c r="HH27" s="7"/>
      <c r="HO27" s="7"/>
      <c r="HV27" s="7"/>
      <c r="IC27" s="7"/>
      <c r="IJ27" s="7"/>
      <c r="IQ27" s="7"/>
      <c r="IX27" s="7"/>
      <c r="JE27" s="7"/>
      <c r="JL27" s="7"/>
      <c r="JS27" s="7"/>
      <c r="JZ27" s="7"/>
      <c r="KG27" s="7"/>
      <c r="KN27" s="7"/>
      <c r="KU27" s="7"/>
      <c r="LB27" s="7"/>
      <c r="LI27" s="7"/>
      <c r="LP27" s="7"/>
      <c r="LW27" s="7"/>
      <c r="MD27" s="7"/>
      <c r="MK27" s="7"/>
      <c r="MR27" s="7"/>
    </row>
    <row r="28" spans="1:356" x14ac:dyDescent="0.25">
      <c r="A28" s="88" t="s">
        <v>132</v>
      </c>
      <c r="B28" s="88"/>
      <c r="C28" s="88" t="s">
        <v>131</v>
      </c>
      <c r="D28" s="88" t="s">
        <v>130</v>
      </c>
      <c r="E28" s="89">
        <v>39280</v>
      </c>
      <c r="F28" s="90">
        <f t="shared" si="317"/>
        <v>1</v>
      </c>
      <c r="G28" s="88">
        <f t="shared" si="317"/>
        <v>1</v>
      </c>
      <c r="H28" s="88">
        <f t="shared" si="317"/>
        <v>1</v>
      </c>
      <c r="I28" s="88">
        <f t="shared" si="317"/>
        <v>1</v>
      </c>
      <c r="J28" s="88" t="str">
        <f t="shared" si="317"/>
        <v/>
      </c>
      <c r="K28" s="88" t="str">
        <f t="shared" si="317"/>
        <v/>
      </c>
      <c r="L28" s="88" t="str">
        <f t="shared" si="317"/>
        <v/>
      </c>
      <c r="M28" s="88">
        <v>1</v>
      </c>
      <c r="N28" s="88">
        <v>1</v>
      </c>
      <c r="O28" s="91"/>
      <c r="P28" s="88">
        <f t="shared" si="313"/>
        <v>30</v>
      </c>
      <c r="Q28" s="110">
        <f>IF(SUM(S28:XFD28) &gt; 0, SUM(S28:XFD28) /P$36 * 100, "")</f>
        <v>49.180327868852459</v>
      </c>
      <c r="R28" s="130" t="str">
        <f t="shared" si="316"/>
        <v>-39</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40"/>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366</v>
      </c>
      <c r="FL28" s="93"/>
      <c r="FM28" s="93"/>
      <c r="FN28" s="93"/>
      <c r="FO28" s="93"/>
      <c r="FP28" s="93"/>
      <c r="FQ28" s="93"/>
      <c r="FR28" s="92"/>
      <c r="FS28" s="93"/>
      <c r="FT28" s="93"/>
      <c r="FU28" s="93"/>
      <c r="FV28" s="93"/>
      <c r="FW28" s="93"/>
      <c r="FX28" s="93"/>
      <c r="FY28" s="92"/>
      <c r="FZ28" s="93"/>
      <c r="GA28" s="93"/>
      <c r="GB28" s="93"/>
      <c r="GC28" s="93"/>
      <c r="GD28" s="93"/>
      <c r="GE28" s="93"/>
      <c r="GF28" s="92"/>
      <c r="GG28" s="93"/>
      <c r="GH28" s="93"/>
      <c r="GI28" s="93"/>
      <c r="GJ28" s="93"/>
      <c r="GK28" s="93"/>
      <c r="GL28" s="93"/>
      <c r="GM28" s="92"/>
      <c r="GN28" s="93"/>
      <c r="GO28" s="93"/>
      <c r="GP28" s="93"/>
      <c r="GQ28" s="93"/>
      <c r="GR28" s="93"/>
      <c r="GS28" s="93"/>
      <c r="GT28" s="92"/>
      <c r="GU28" s="93"/>
      <c r="GV28" s="93"/>
      <c r="GW28" s="93"/>
      <c r="GX28" s="93"/>
      <c r="GY28" s="93"/>
      <c r="GZ28" s="93"/>
      <c r="HA28" s="92"/>
      <c r="HB28" s="93"/>
      <c r="HC28" s="93"/>
      <c r="HD28" s="93"/>
      <c r="HE28" s="93"/>
      <c r="HF28" s="93"/>
      <c r="HG28" s="93"/>
      <c r="HH28" s="92"/>
      <c r="HI28" s="93"/>
      <c r="HJ28" s="93"/>
      <c r="HK28" s="93"/>
      <c r="HL28" s="93"/>
      <c r="HM28" s="93"/>
      <c r="HN28" s="93"/>
      <c r="HO28" s="92"/>
      <c r="HP28" s="93"/>
      <c r="HQ28" s="93"/>
      <c r="HR28" s="93"/>
      <c r="HS28" s="93"/>
      <c r="HT28" s="93"/>
      <c r="HU28" s="93"/>
      <c r="HV28" s="92"/>
      <c r="HW28" s="93"/>
      <c r="HX28" s="93"/>
      <c r="HY28" s="93"/>
      <c r="HZ28" s="93"/>
      <c r="IA28" s="93"/>
      <c r="IB28" s="93"/>
      <c r="IC28" s="92"/>
      <c r="ID28" s="93"/>
      <c r="IE28" s="93"/>
      <c r="IF28" s="93"/>
      <c r="IG28" s="93"/>
      <c r="IH28" s="93"/>
      <c r="II28" s="93"/>
      <c r="IJ28" s="92"/>
      <c r="IK28" s="93"/>
      <c r="IL28" s="93"/>
      <c r="IM28" s="93"/>
      <c r="IN28" s="93"/>
      <c r="IO28" s="93"/>
      <c r="IP28" s="93"/>
      <c r="IQ28" s="92"/>
      <c r="IR28" s="93"/>
      <c r="IS28" s="93"/>
      <c r="IT28" s="93"/>
      <c r="IU28" s="93"/>
      <c r="IV28" s="93"/>
      <c r="IW28" s="93"/>
      <c r="IX28" s="92"/>
      <c r="IY28" s="93"/>
      <c r="IZ28" s="93"/>
      <c r="JA28" s="93"/>
      <c r="JB28" s="93"/>
      <c r="JC28" s="93"/>
      <c r="JD28" s="93"/>
      <c r="JE28" s="92"/>
      <c r="JF28" s="93"/>
      <c r="JG28" s="93"/>
      <c r="JH28" s="93"/>
      <c r="JI28" s="93"/>
      <c r="JJ28" s="93"/>
      <c r="JK28" s="93"/>
      <c r="JL28" s="92"/>
      <c r="JM28" s="93"/>
      <c r="JN28" s="93"/>
      <c r="JO28" s="93"/>
      <c r="JP28" s="93"/>
      <c r="JQ28" s="93"/>
      <c r="JR28" s="93"/>
      <c r="JS28" s="92"/>
      <c r="JT28" s="93"/>
      <c r="JU28" s="93"/>
      <c r="JV28" s="93"/>
      <c r="JW28" s="93"/>
      <c r="JX28" s="93"/>
      <c r="JY28" s="93"/>
      <c r="JZ28" s="92"/>
      <c r="KA28" s="93"/>
      <c r="KB28" s="93"/>
      <c r="KC28" s="93"/>
      <c r="KD28" s="93"/>
      <c r="KE28" s="93"/>
      <c r="KF28" s="93"/>
      <c r="KG28" s="92"/>
      <c r="KH28" s="93"/>
      <c r="KI28" s="93"/>
      <c r="KJ28" s="93"/>
      <c r="KK28" s="93"/>
      <c r="KL28" s="93"/>
      <c r="KM28" s="93"/>
      <c r="KN28" s="92"/>
      <c r="KO28" s="93"/>
      <c r="KP28" s="93"/>
      <c r="KQ28" s="93"/>
      <c r="KR28" s="93"/>
      <c r="KS28" s="93"/>
      <c r="KT28" s="93"/>
      <c r="KU28" s="92"/>
      <c r="KV28" s="93"/>
      <c r="KW28" s="93"/>
      <c r="KX28" s="93"/>
      <c r="KY28" s="93"/>
      <c r="KZ28" s="93"/>
      <c r="LA28" s="93"/>
      <c r="LB28" s="92"/>
      <c r="LC28" s="93"/>
      <c r="LD28" s="93"/>
      <c r="LE28" s="93"/>
      <c r="LF28" s="93"/>
      <c r="LG28" s="93"/>
      <c r="LH28" s="93"/>
      <c r="LI28" s="92"/>
      <c r="LJ28" s="93"/>
      <c r="LK28" s="93"/>
      <c r="LL28" s="93"/>
      <c r="LM28" s="93"/>
      <c r="LN28" s="93"/>
      <c r="LO28" s="93"/>
      <c r="LP28" s="92"/>
      <c r="LQ28" s="93"/>
      <c r="LR28" s="93"/>
      <c r="LS28" s="93"/>
      <c r="LT28" s="93"/>
      <c r="LU28" s="93"/>
      <c r="LV28" s="93"/>
      <c r="LW28" s="92"/>
      <c r="LX28" s="93"/>
      <c r="LY28" s="93"/>
      <c r="LZ28" s="93"/>
      <c r="MA28" s="93"/>
      <c r="MB28" s="93"/>
      <c r="MC28" s="93"/>
      <c r="MD28" s="92"/>
      <c r="ME28" s="93"/>
      <c r="MF28" s="93"/>
      <c r="MG28" s="93"/>
      <c r="MH28" s="93"/>
      <c r="MI28" s="93"/>
      <c r="MJ28" s="93"/>
      <c r="MK28" s="92"/>
      <c r="ML28" s="93"/>
      <c r="MM28" s="93"/>
      <c r="MN28" s="93"/>
      <c r="MO28" s="93"/>
      <c r="MP28" s="93"/>
      <c r="MQ28" s="93"/>
      <c r="MR28" s="92"/>
    </row>
    <row r="29" spans="1:356" hidden="1" x14ac:dyDescent="0.25">
      <c r="A29" s="19" t="s">
        <v>92</v>
      </c>
      <c r="B29" s="19"/>
      <c r="C29" s="19" t="s">
        <v>159</v>
      </c>
      <c r="D29" s="19" t="s">
        <v>121</v>
      </c>
      <c r="E29" s="56">
        <v>38544</v>
      </c>
      <c r="F29" s="10">
        <f t="shared" si="317"/>
        <v>1</v>
      </c>
      <c r="G29" s="19">
        <f t="shared" si="317"/>
        <v>1</v>
      </c>
      <c r="H29" s="19" t="str">
        <f t="shared" si="317"/>
        <v/>
      </c>
      <c r="I29" s="19" t="str">
        <f t="shared" si="317"/>
        <v/>
      </c>
      <c r="J29" s="19" t="str">
        <f t="shared" si="317"/>
        <v/>
      </c>
      <c r="K29" s="19" t="str">
        <f t="shared" si="317"/>
        <v/>
      </c>
      <c r="L29" s="19" t="str">
        <f t="shared" si="317"/>
        <v/>
      </c>
      <c r="M29" s="8"/>
      <c r="N29" s="8">
        <v>1</v>
      </c>
      <c r="O29" s="9"/>
      <c r="P29" s="8" t="str">
        <f t="shared" si="313"/>
        <v/>
      </c>
      <c r="Q29" s="109" t="str">
        <f>IF(SUM(S29:XFD29) &gt; 0, SUM(S29:XFD29) /#REF! * 100, "")</f>
        <v/>
      </c>
      <c r="R29" s="129" t="str">
        <f t="shared" si="316"/>
        <v>?</v>
      </c>
      <c r="S29" s="7"/>
      <c r="Z29" s="7"/>
      <c r="AG29" s="7"/>
      <c r="AN29" s="7"/>
      <c r="AU29" s="7"/>
      <c r="BB29" s="7"/>
      <c r="BI29" s="7"/>
      <c r="BP29" s="7"/>
      <c r="BX29" s="96"/>
      <c r="BY29" s="79"/>
      <c r="CG29" s="96"/>
      <c r="CH29" s="80"/>
      <c r="CQ29" s="7"/>
      <c r="CZ29" s="7"/>
      <c r="DI29" s="7"/>
      <c r="DR29" s="7"/>
      <c r="DZ29" s="96"/>
      <c r="EA29" s="79"/>
      <c r="EJ29" s="7"/>
      <c r="EN29" s="96"/>
      <c r="ES29" s="7"/>
      <c r="FB29" s="7"/>
      <c r="FK29" s="7"/>
      <c r="FR29" s="7"/>
      <c r="FY29" s="7"/>
      <c r="GF29" s="7"/>
      <c r="GM29" s="7"/>
      <c r="GT29" s="7"/>
      <c r="HA29" s="7"/>
      <c r="HH29" s="7"/>
      <c r="HO29" s="7"/>
      <c r="HV29" s="7"/>
      <c r="IC29" s="7"/>
      <c r="IJ29" s="7"/>
      <c r="IQ29" s="7"/>
      <c r="IX29" s="7"/>
      <c r="JE29" s="7"/>
      <c r="JL29" s="7"/>
      <c r="JS29" s="7"/>
      <c r="JZ29" s="7"/>
      <c r="KG29" s="7"/>
      <c r="KN29" s="7"/>
      <c r="KU29" s="7"/>
      <c r="LB29" s="7"/>
      <c r="LI29" s="7"/>
      <c r="LP29" s="7"/>
      <c r="LW29" s="7"/>
      <c r="MD29" s="7"/>
      <c r="MK29" s="7"/>
      <c r="MR29" s="7"/>
    </row>
    <row r="30" spans="1:356" hidden="1" x14ac:dyDescent="0.25">
      <c r="A30" s="8" t="s">
        <v>115</v>
      </c>
      <c r="B30" s="8"/>
      <c r="C30" s="8" t="s">
        <v>243</v>
      </c>
      <c r="D30" s="8" t="s">
        <v>244</v>
      </c>
      <c r="E30" s="18">
        <v>36526</v>
      </c>
      <c r="F30" s="10" t="str">
        <f t="shared" si="317"/>
        <v/>
      </c>
      <c r="G30" s="19" t="str">
        <f t="shared" ref="G30:L30" si="318">IF($E30 &gt;= G$5, 1, "")</f>
        <v/>
      </c>
      <c r="H30" s="19" t="str">
        <f t="shared" si="318"/>
        <v/>
      </c>
      <c r="I30" s="19" t="str">
        <f t="shared" si="318"/>
        <v/>
      </c>
      <c r="J30" s="19" t="str">
        <f t="shared" si="318"/>
        <v/>
      </c>
      <c r="K30" s="19" t="str">
        <f t="shared" si="318"/>
        <v/>
      </c>
      <c r="L30" s="19" t="str">
        <f t="shared" si="318"/>
        <v/>
      </c>
      <c r="M30" s="8"/>
      <c r="N30" s="8"/>
      <c r="O30" s="9"/>
      <c r="P30" s="8">
        <f t="shared" si="313"/>
        <v>14</v>
      </c>
      <c r="Q30" s="109" t="e">
        <f>IF(SUM(S30:XFD30) &gt; 0, SUM(S30:XFD30) /#REF! * 100, "")</f>
        <v>#REF!</v>
      </c>
      <c r="R30" s="129" t="str">
        <f t="shared" si="316"/>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K30" s="7"/>
      <c r="FR30" s="7"/>
      <c r="FY30" s="7"/>
      <c r="GF30" s="7"/>
      <c r="GM30" s="7"/>
      <c r="GT30" s="7"/>
      <c r="HA30" s="7"/>
      <c r="HH30" s="7"/>
      <c r="HO30" s="7"/>
      <c r="HV30" s="7"/>
      <c r="IC30" s="7"/>
      <c r="IJ30" s="7"/>
      <c r="IQ30" s="7"/>
      <c r="IX30" s="7"/>
      <c r="JE30" s="7"/>
      <c r="JL30" s="7"/>
      <c r="JS30" s="7"/>
      <c r="JZ30" s="7"/>
      <c r="KG30" s="7"/>
      <c r="KN30" s="7"/>
      <c r="KU30" s="7"/>
      <c r="LB30" s="7"/>
      <c r="LI30" s="7"/>
      <c r="LP30" s="7"/>
      <c r="LW30" s="7"/>
      <c r="MD30" s="7"/>
      <c r="MK30" s="7"/>
      <c r="MR30" s="7"/>
    </row>
    <row r="31" spans="1:356" hidden="1" x14ac:dyDescent="0.25">
      <c r="A31" s="8" t="s">
        <v>430</v>
      </c>
      <c r="B31" s="8"/>
      <c r="C31" s="8" t="s">
        <v>431</v>
      </c>
      <c r="D31" s="8" t="s">
        <v>432</v>
      </c>
      <c r="E31" s="18"/>
      <c r="F31" s="10"/>
      <c r="G31" s="19"/>
      <c r="H31" s="19"/>
      <c r="I31" s="19"/>
      <c r="J31" s="19"/>
      <c r="K31" s="19"/>
      <c r="L31" s="19"/>
      <c r="M31" s="8"/>
      <c r="N31" s="8"/>
      <c r="O31" s="9"/>
      <c r="P31" s="8">
        <f t="shared" si="313"/>
        <v>2</v>
      </c>
      <c r="Q31" s="109" t="e">
        <f>IF(SUM(S31:XFD31) &gt; 0, SUM(S31:XFD31) /#REF! * 100, "")</f>
        <v>#REF!</v>
      </c>
      <c r="R31" s="129" t="str">
        <f t="shared" si="316"/>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R31" s="7"/>
      <c r="FY31" s="7"/>
      <c r="GF31" s="7"/>
      <c r="GM31" s="7"/>
      <c r="GT31" s="7"/>
      <c r="HA31" s="7"/>
      <c r="HH31" s="7"/>
      <c r="HO31" s="7"/>
      <c r="HV31" s="7"/>
      <c r="IC31" s="7"/>
      <c r="IJ31" s="7"/>
      <c r="IQ31" s="7"/>
      <c r="IX31" s="7"/>
      <c r="JE31" s="7"/>
      <c r="JL31" s="7"/>
      <c r="JS31" s="7"/>
      <c r="JZ31" s="7"/>
      <c r="KG31" s="7"/>
      <c r="KN31" s="7"/>
      <c r="KU31" s="7"/>
      <c r="LB31" s="7"/>
      <c r="LI31" s="7"/>
      <c r="LP31" s="7"/>
      <c r="LW31" s="7"/>
      <c r="MD31" s="7"/>
      <c r="MK31" s="7"/>
      <c r="MR31" s="7"/>
    </row>
    <row r="32" spans="1:356" hidden="1" x14ac:dyDescent="0.25">
      <c r="A32" s="8" t="s">
        <v>348</v>
      </c>
      <c r="B32" s="8"/>
      <c r="C32" s="8"/>
      <c r="D32" s="8" t="s">
        <v>524</v>
      </c>
      <c r="E32" s="18"/>
      <c r="F32" s="10"/>
      <c r="G32" s="19"/>
      <c r="H32" s="19"/>
      <c r="I32" s="19"/>
      <c r="J32" s="19"/>
      <c r="K32" s="19"/>
      <c r="L32" s="19"/>
      <c r="M32" s="8"/>
      <c r="N32" s="8"/>
      <c r="O32" s="9"/>
      <c r="P32" s="8">
        <f t="shared" si="313"/>
        <v>2</v>
      </c>
      <c r="Q32" s="109" t="e">
        <f>IF(SUM(S32:XFD32) &gt; 0, SUM(S32:XFD32) /#REF! * 100, "")</f>
        <v>#REF!</v>
      </c>
      <c r="R32" s="129" t="str">
        <f t="shared" si="316"/>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R32" s="7"/>
      <c r="FY32" s="7"/>
      <c r="GF32" s="7"/>
      <c r="GM32" s="7"/>
      <c r="GT32" s="7"/>
      <c r="HA32" s="7"/>
      <c r="HH32" s="7"/>
      <c r="HO32" s="7"/>
      <c r="HV32" s="7"/>
      <c r="IC32" s="7"/>
      <c r="IJ32" s="7"/>
      <c r="IQ32" s="7"/>
      <c r="IX32" s="7"/>
      <c r="JE32" s="7"/>
      <c r="JL32" s="7"/>
      <c r="JS32" s="7"/>
      <c r="JZ32" s="7"/>
      <c r="KG32" s="7"/>
      <c r="KN32" s="7"/>
      <c r="KU32" s="7"/>
      <c r="LB32" s="7"/>
      <c r="LI32" s="7"/>
      <c r="LP32" s="7"/>
      <c r="LW32" s="7"/>
      <c r="MD32" s="7"/>
      <c r="MK32" s="7"/>
      <c r="MR32" s="7"/>
    </row>
    <row r="33" spans="1:356" hidden="1" x14ac:dyDescent="0.25">
      <c r="A33" s="8" t="s">
        <v>488</v>
      </c>
      <c r="B33" s="8"/>
      <c r="C33" s="8"/>
      <c r="D33" s="8" t="s">
        <v>441</v>
      </c>
      <c r="E33" s="18"/>
      <c r="F33" s="10"/>
      <c r="G33" s="19"/>
      <c r="H33" s="19"/>
      <c r="I33" s="19"/>
      <c r="J33" s="19"/>
      <c r="K33" s="19"/>
      <c r="L33" s="19"/>
      <c r="M33" s="8"/>
      <c r="N33" s="8"/>
      <c r="O33" s="9"/>
      <c r="P33" s="8">
        <f t="shared" si="313"/>
        <v>2</v>
      </c>
      <c r="Q33" s="109" t="e">
        <f>IF(SUM(S33:XFD33) &gt; 0, SUM(S33:XFD33) /#REF! * 100, "")</f>
        <v>#REF!</v>
      </c>
      <c r="R33" s="129" t="str">
        <f t="shared" si="316"/>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R33" s="7"/>
      <c r="FY33" s="7"/>
      <c r="GF33" s="7"/>
      <c r="GM33" s="7"/>
      <c r="GT33" s="7"/>
      <c r="HA33" s="7"/>
      <c r="HH33" s="7"/>
      <c r="HO33" s="7"/>
      <c r="HV33" s="7"/>
      <c r="IC33" s="7"/>
      <c r="IJ33" s="7"/>
      <c r="IQ33" s="7"/>
      <c r="IX33" s="7"/>
      <c r="JE33" s="7"/>
      <c r="JL33" s="7"/>
      <c r="JS33" s="7"/>
      <c r="JZ33" s="7"/>
      <c r="KG33" s="7"/>
      <c r="KN33" s="7"/>
      <c r="KU33" s="7"/>
      <c r="LB33" s="7"/>
      <c r="LI33" s="7"/>
      <c r="LP33" s="7"/>
      <c r="LW33" s="7"/>
      <c r="MD33" s="7"/>
      <c r="MK33" s="7"/>
      <c r="MR33" s="7"/>
    </row>
    <row r="34" spans="1:356" x14ac:dyDescent="0.25">
      <c r="A34" s="8" t="s">
        <v>515</v>
      </c>
      <c r="B34" s="8"/>
      <c r="C34" s="8"/>
      <c r="D34" s="8" t="s">
        <v>516</v>
      </c>
      <c r="E34" s="18"/>
      <c r="F34" s="10"/>
      <c r="G34" s="19"/>
      <c r="H34" s="19"/>
      <c r="I34" s="19"/>
      <c r="J34" s="19"/>
      <c r="K34" s="19"/>
      <c r="L34" s="19"/>
      <c r="M34" s="8"/>
      <c r="N34" s="8"/>
      <c r="O34" s="9"/>
      <c r="P34" s="8"/>
      <c r="Q34" s="109"/>
      <c r="R34" s="129"/>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K34" s="7"/>
      <c r="FR34" s="7"/>
      <c r="FY34" s="7"/>
      <c r="GF34" s="7"/>
      <c r="GM34" s="7"/>
      <c r="GT34" s="7"/>
      <c r="HA34" s="7"/>
      <c r="HH34" s="7"/>
      <c r="HO34" s="7"/>
      <c r="HV34" s="7"/>
      <c r="IC34" s="7"/>
      <c r="IJ34" s="7"/>
      <c r="IQ34" s="7"/>
      <c r="IX34" s="7"/>
      <c r="JE34" s="7"/>
      <c r="JL34" s="7"/>
      <c r="JS34" s="7"/>
      <c r="JZ34" s="7"/>
      <c r="KG34" s="7"/>
      <c r="KN34" s="7"/>
      <c r="KU34" s="7"/>
      <c r="LB34" s="7"/>
      <c r="LI34" s="7"/>
      <c r="LP34" s="7"/>
      <c r="LW34" s="7"/>
      <c r="MD34" s="7"/>
      <c r="MK34" s="7"/>
      <c r="MR34" s="7"/>
    </row>
    <row r="35" spans="1:356" ht="7.5" customHeight="1" x14ac:dyDescent="0.25">
      <c r="A35" s="8"/>
      <c r="B35" s="8"/>
      <c r="C35" s="8"/>
      <c r="D35" s="8"/>
      <c r="E35" s="8"/>
      <c r="F35" s="10"/>
      <c r="G35" s="19"/>
      <c r="H35" s="19"/>
      <c r="I35" s="8"/>
      <c r="J35" s="8"/>
      <c r="K35" s="8"/>
      <c r="L35" s="8"/>
      <c r="M35" s="8"/>
      <c r="N35" s="8"/>
      <c r="O35" s="9"/>
      <c r="P35" s="8" t="str">
        <f>IF(SUM(R35:MR35) &gt; 0, SUM(R35:MR35), "")</f>
        <v/>
      </c>
      <c r="Q35" s="19" t="str">
        <f>IF(SUM(R35:XFD35) &gt; 0, SUM(R35:XFD35), "")</f>
        <v/>
      </c>
      <c r="R35" s="9"/>
      <c r="S35" s="7"/>
      <c r="Z35" s="7"/>
      <c r="AG35" s="7"/>
      <c r="AN35" s="7"/>
      <c r="AU35" s="7"/>
      <c r="BB35" s="7"/>
      <c r="BI35" s="7"/>
      <c r="BP35" s="7"/>
      <c r="BX35" s="96"/>
      <c r="BY35" s="79"/>
      <c r="CG35" s="96"/>
      <c r="CH35" s="7"/>
      <c r="CQ35" s="7"/>
      <c r="CZ35" s="7"/>
      <c r="DI35" s="7"/>
      <c r="DR35" s="7"/>
      <c r="DZ35" s="96"/>
      <c r="EA35" s="79"/>
      <c r="EJ35" s="7"/>
      <c r="ES35" s="7"/>
      <c r="FB35" s="7"/>
      <c r="FK35" s="7"/>
      <c r="FR35" s="7"/>
      <c r="FY35" s="7"/>
      <c r="GF35" s="7"/>
      <c r="GM35" s="7"/>
      <c r="GT35" s="7"/>
      <c r="HA35" s="7"/>
      <c r="HH35" s="7"/>
      <c r="HO35" s="7"/>
      <c r="HV35" s="7"/>
      <c r="IC35" s="7"/>
      <c r="IJ35" s="7"/>
      <c r="IQ35" s="7"/>
      <c r="IX35" s="7"/>
      <c r="JE35" s="7"/>
      <c r="JL35" s="7"/>
      <c r="JS35" s="7"/>
      <c r="JZ35" s="7"/>
      <c r="KG35" s="7"/>
      <c r="KN35" s="7"/>
      <c r="KU35" s="7"/>
      <c r="LB35" s="7"/>
      <c r="LI35" s="7"/>
      <c r="LP35" s="7"/>
      <c r="LW35" s="7"/>
      <c r="MD35" s="7"/>
      <c r="MK35" s="7"/>
      <c r="MR35" s="7"/>
    </row>
    <row r="36" spans="1:356" s="142" customFormat="1" ht="15.75" thickBot="1" x14ac:dyDescent="0.3">
      <c r="A36" s="6" t="s">
        <v>18</v>
      </c>
      <c r="B36" s="3"/>
      <c r="C36" s="3"/>
      <c r="D36" s="3"/>
      <c r="E36" s="3"/>
      <c r="F36" s="5"/>
      <c r="G36" s="3"/>
      <c r="H36" s="3"/>
      <c r="I36" s="3"/>
      <c r="J36" s="3"/>
      <c r="K36" s="3"/>
      <c r="L36" s="3"/>
      <c r="M36" s="3"/>
      <c r="N36" s="3"/>
      <c r="O36" s="4"/>
      <c r="P36" s="3">
        <f>SUM(S36:MR36)</f>
        <v>61</v>
      </c>
      <c r="Q36" s="3"/>
      <c r="R36" s="4"/>
      <c r="S36" s="4">
        <v>1</v>
      </c>
      <c r="T36" s="3"/>
      <c r="U36" s="3">
        <v>1</v>
      </c>
      <c r="V36" s="3">
        <v>1</v>
      </c>
      <c r="W36" s="3"/>
      <c r="X36" s="3">
        <v>1</v>
      </c>
      <c r="Y36" s="3"/>
      <c r="Z36" s="4"/>
      <c r="AA36" s="3"/>
      <c r="AB36" s="3">
        <v>1</v>
      </c>
      <c r="AC36" s="3"/>
      <c r="AD36" s="3">
        <v>1</v>
      </c>
      <c r="AE36" s="3">
        <v>1</v>
      </c>
      <c r="AF36" s="3"/>
      <c r="AG36" s="4"/>
      <c r="AH36" s="3"/>
      <c r="AI36" s="3">
        <v>1</v>
      </c>
      <c r="AJ36" s="3"/>
      <c r="AK36" s="3">
        <v>1</v>
      </c>
      <c r="AL36" s="3">
        <v>1</v>
      </c>
      <c r="AM36" s="3"/>
      <c r="AN36" s="4"/>
      <c r="AO36" s="3"/>
      <c r="AP36" s="3">
        <v>1</v>
      </c>
      <c r="AQ36" s="3"/>
      <c r="AR36" s="3">
        <v>1</v>
      </c>
      <c r="AS36" s="3">
        <v>1</v>
      </c>
      <c r="AT36" s="3"/>
      <c r="AU36" s="4"/>
      <c r="AV36" s="3"/>
      <c r="AW36" s="3">
        <v>1</v>
      </c>
      <c r="AX36" s="3"/>
      <c r="AY36" s="3">
        <v>1</v>
      </c>
      <c r="AZ36" s="3">
        <v>1</v>
      </c>
      <c r="BA36" s="3"/>
      <c r="BB36" s="4"/>
      <c r="BC36" s="3"/>
      <c r="BD36" s="3">
        <v>1</v>
      </c>
      <c r="BE36" s="3"/>
      <c r="BF36" s="3">
        <v>1</v>
      </c>
      <c r="BG36" s="3">
        <v>1</v>
      </c>
      <c r="BH36" s="3"/>
      <c r="BI36" s="4"/>
      <c r="BJ36" s="3"/>
      <c r="BK36" s="3">
        <v>1</v>
      </c>
      <c r="BL36" s="3"/>
      <c r="BM36" s="3">
        <v>1</v>
      </c>
      <c r="BN36" s="3"/>
      <c r="BO36" s="3"/>
      <c r="BP36" s="4">
        <v>1</v>
      </c>
      <c r="BQ36" s="3"/>
      <c r="BR36" s="3">
        <v>1</v>
      </c>
      <c r="BS36" s="3"/>
      <c r="BT36" s="3">
        <v>1</v>
      </c>
      <c r="BU36" s="3"/>
      <c r="BV36" s="3"/>
      <c r="BW36" s="3">
        <v>1</v>
      </c>
      <c r="BX36" s="3"/>
      <c r="BY36" s="4"/>
      <c r="BZ36" s="3"/>
      <c r="CA36" s="3"/>
      <c r="CB36" s="3"/>
      <c r="CC36" s="3">
        <v>1</v>
      </c>
      <c r="CD36" s="3"/>
      <c r="CE36" s="3"/>
      <c r="CF36" s="3">
        <v>1</v>
      </c>
      <c r="CG36" s="3"/>
      <c r="CH36" s="4"/>
      <c r="CI36" s="3"/>
      <c r="CJ36" s="3"/>
      <c r="CK36" s="3"/>
      <c r="CL36" s="3">
        <v>1</v>
      </c>
      <c r="CM36" s="3"/>
      <c r="CN36" s="3"/>
      <c r="CO36" s="3">
        <v>1</v>
      </c>
      <c r="CP36" s="3"/>
      <c r="CQ36" s="4"/>
      <c r="CR36" s="3"/>
      <c r="CS36" s="3">
        <v>1</v>
      </c>
      <c r="CT36" s="3"/>
      <c r="CU36" s="3">
        <v>1</v>
      </c>
      <c r="CV36" s="3">
        <v>1</v>
      </c>
      <c r="CW36" s="3"/>
      <c r="CX36" s="3">
        <v>1</v>
      </c>
      <c r="CY36" s="3"/>
      <c r="CZ36" s="4"/>
      <c r="DA36" s="3"/>
      <c r="DB36" s="3">
        <v>1</v>
      </c>
      <c r="DC36" s="3"/>
      <c r="DD36" s="3"/>
      <c r="DE36" s="3">
        <v>1</v>
      </c>
      <c r="DF36" s="3"/>
      <c r="DG36" s="3">
        <v>1</v>
      </c>
      <c r="DH36" s="3"/>
      <c r="DI36" s="4"/>
      <c r="DJ36" s="3"/>
      <c r="DK36" s="3">
        <v>1</v>
      </c>
      <c r="DL36" s="3"/>
      <c r="DM36" s="3">
        <v>1</v>
      </c>
      <c r="DN36" s="3">
        <v>1</v>
      </c>
      <c r="DO36" s="3"/>
      <c r="DP36" s="3">
        <v>1</v>
      </c>
      <c r="DQ36" s="3"/>
      <c r="DR36" s="4"/>
      <c r="DS36" s="3"/>
      <c r="DT36" s="3">
        <v>1</v>
      </c>
      <c r="DU36" s="3"/>
      <c r="DV36" s="3">
        <v>1</v>
      </c>
      <c r="DW36" s="3">
        <v>1</v>
      </c>
      <c r="DX36" s="3"/>
      <c r="DY36" s="3"/>
      <c r="DZ36" s="3"/>
      <c r="EA36" s="4"/>
      <c r="EB36" s="3">
        <v>1</v>
      </c>
      <c r="EC36" s="3">
        <v>1</v>
      </c>
      <c r="ED36" s="3"/>
      <c r="EE36" s="3">
        <v>1</v>
      </c>
      <c r="EF36" s="3">
        <v>1</v>
      </c>
      <c r="EG36" s="3"/>
      <c r="EH36" s="3"/>
      <c r="EI36" s="3"/>
      <c r="EJ36" s="4"/>
      <c r="EK36" s="3">
        <v>1</v>
      </c>
      <c r="EL36" s="3">
        <v>1</v>
      </c>
      <c r="EM36" s="3"/>
      <c r="EN36" s="3">
        <v>1</v>
      </c>
      <c r="EO36" s="3">
        <v>1</v>
      </c>
      <c r="EP36" s="3"/>
      <c r="EQ36" s="3">
        <v>1</v>
      </c>
      <c r="ER36" s="3"/>
      <c r="ES36" s="4"/>
      <c r="ET36" s="3">
        <v>1</v>
      </c>
      <c r="EU36" s="3">
        <v>1</v>
      </c>
      <c r="EV36" s="3">
        <v>1</v>
      </c>
      <c r="EW36" s="3">
        <v>1</v>
      </c>
      <c r="EX36" s="3"/>
      <c r="EY36" s="3"/>
      <c r="EZ36" s="3"/>
      <c r="FA36" s="3"/>
      <c r="FB36" s="4"/>
      <c r="FC36" s="3">
        <v>1</v>
      </c>
      <c r="FD36" s="3"/>
      <c r="FE36" s="3">
        <v>1</v>
      </c>
      <c r="FF36" s="3">
        <v>1</v>
      </c>
      <c r="FG36" s="3">
        <v>1</v>
      </c>
      <c r="FH36" s="3">
        <v>1</v>
      </c>
      <c r="FI36" s="3"/>
      <c r="FJ36" s="3"/>
      <c r="FK36" s="4"/>
      <c r="FL36" s="3"/>
      <c r="FM36" s="3"/>
      <c r="FN36" s="3"/>
      <c r="FO36" s="3"/>
      <c r="FP36" s="3"/>
      <c r="FQ36" s="3"/>
      <c r="FR36" s="4"/>
      <c r="FS36" s="3"/>
      <c r="FT36" s="3"/>
      <c r="FU36" s="3"/>
      <c r="FV36" s="3"/>
      <c r="FW36" s="3"/>
      <c r="FX36" s="3"/>
      <c r="FY36" s="4"/>
      <c r="FZ36" s="3"/>
      <c r="GA36" s="3"/>
      <c r="GB36" s="3"/>
      <c r="GC36" s="3"/>
      <c r="GD36" s="3"/>
      <c r="GE36" s="3"/>
      <c r="GF36" s="4"/>
      <c r="GG36" s="3"/>
      <c r="GH36" s="3"/>
      <c r="GI36" s="3"/>
      <c r="GJ36" s="3"/>
      <c r="GK36" s="3"/>
      <c r="GL36" s="3"/>
      <c r="GM36" s="4"/>
      <c r="GN36" s="3"/>
      <c r="GO36" s="3"/>
      <c r="GP36" s="3"/>
      <c r="GQ36" s="3"/>
      <c r="GR36" s="3"/>
      <c r="GS36" s="3"/>
      <c r="GT36" s="4"/>
      <c r="GU36" s="3"/>
      <c r="GV36" s="3"/>
      <c r="GW36" s="3"/>
      <c r="GX36" s="3"/>
      <c r="GY36" s="3"/>
      <c r="GZ36" s="3"/>
      <c r="HA36" s="4"/>
      <c r="HB36" s="3"/>
      <c r="HC36" s="3"/>
      <c r="HD36" s="3"/>
      <c r="HE36" s="3"/>
      <c r="HF36" s="3"/>
      <c r="HG36" s="3"/>
      <c r="HH36" s="4"/>
      <c r="HI36" s="3"/>
      <c r="HJ36" s="3"/>
      <c r="HK36" s="3"/>
      <c r="HL36" s="3"/>
      <c r="HM36" s="3"/>
      <c r="HN36" s="3"/>
      <c r="HO36" s="4"/>
      <c r="HP36" s="3"/>
      <c r="HQ36" s="3"/>
      <c r="HR36" s="3"/>
      <c r="HS36" s="3"/>
      <c r="HT36" s="3"/>
      <c r="HU36" s="3"/>
      <c r="HV36" s="4"/>
      <c r="HW36" s="3"/>
      <c r="HX36" s="3"/>
      <c r="HY36" s="3"/>
      <c r="HZ36" s="3"/>
      <c r="IA36" s="3"/>
      <c r="IB36" s="3"/>
      <c r="IC36" s="4"/>
      <c r="ID36" s="3"/>
      <c r="IE36" s="3"/>
      <c r="IF36" s="3"/>
      <c r="IG36" s="3"/>
      <c r="IH36" s="3"/>
      <c r="II36" s="3"/>
      <c r="IJ36" s="4"/>
      <c r="IK36" s="3"/>
      <c r="IL36" s="3"/>
      <c r="IM36" s="3"/>
      <c r="IN36" s="3"/>
      <c r="IO36" s="3"/>
      <c r="IP36" s="3"/>
      <c r="IQ36" s="4"/>
      <c r="IR36" s="3"/>
      <c r="IS36" s="3"/>
      <c r="IT36" s="3"/>
      <c r="IU36" s="3"/>
      <c r="IV36" s="3"/>
      <c r="IW36" s="3"/>
      <c r="IX36" s="4"/>
      <c r="IY36" s="3"/>
      <c r="IZ36" s="3"/>
      <c r="JA36" s="3"/>
      <c r="JB36" s="3"/>
      <c r="JC36" s="3"/>
      <c r="JD36" s="3"/>
      <c r="JE36" s="4"/>
      <c r="JF36" s="3"/>
      <c r="JG36" s="3"/>
      <c r="JH36" s="3"/>
      <c r="JI36" s="3"/>
      <c r="JJ36" s="3"/>
      <c r="JK36" s="3"/>
      <c r="JL36" s="4"/>
      <c r="JM36" s="3"/>
      <c r="JN36" s="3"/>
      <c r="JO36" s="3"/>
      <c r="JP36" s="3"/>
      <c r="JQ36" s="3"/>
      <c r="JR36" s="3"/>
      <c r="JS36" s="4"/>
      <c r="JT36" s="3"/>
      <c r="JU36" s="3"/>
      <c r="JV36" s="3"/>
      <c r="JW36" s="3"/>
      <c r="JX36" s="3"/>
      <c r="JY36" s="3"/>
      <c r="JZ36" s="4"/>
      <c r="KA36" s="3"/>
      <c r="KB36" s="3"/>
      <c r="KC36" s="3"/>
      <c r="KD36" s="3"/>
      <c r="KE36" s="3"/>
      <c r="KF36" s="3"/>
      <c r="KG36" s="4"/>
      <c r="KH36" s="3"/>
      <c r="KI36" s="3"/>
      <c r="KJ36" s="3"/>
      <c r="KK36" s="3"/>
      <c r="KL36" s="3"/>
      <c r="KM36" s="3"/>
      <c r="KN36" s="4"/>
      <c r="KO36" s="3"/>
      <c r="KP36" s="3"/>
      <c r="KQ36" s="3"/>
      <c r="KR36" s="3"/>
      <c r="KS36" s="3"/>
      <c r="KT36" s="3"/>
      <c r="KU36" s="4"/>
      <c r="KV36" s="3"/>
      <c r="KW36" s="3"/>
      <c r="KX36" s="3"/>
      <c r="KY36" s="3"/>
      <c r="KZ36" s="3"/>
      <c r="LA36" s="3"/>
      <c r="LB36" s="4"/>
      <c r="LC36" s="3"/>
      <c r="LD36" s="3"/>
      <c r="LE36" s="3"/>
      <c r="LF36" s="3"/>
      <c r="LG36" s="3"/>
      <c r="LH36" s="3"/>
      <c r="LI36" s="4"/>
      <c r="LJ36" s="3"/>
      <c r="LK36" s="3"/>
      <c r="LL36" s="3"/>
      <c r="LM36" s="3"/>
      <c r="LN36" s="3"/>
      <c r="LO36" s="3"/>
      <c r="LP36" s="4"/>
      <c r="LQ36" s="3"/>
      <c r="LR36" s="3"/>
      <c r="LS36" s="3"/>
      <c r="LT36" s="3"/>
      <c r="LU36" s="3"/>
      <c r="LV36" s="3"/>
      <c r="LW36" s="4"/>
      <c r="LX36" s="3"/>
      <c r="LY36" s="3"/>
      <c r="LZ36" s="3"/>
      <c r="MA36" s="3"/>
      <c r="MB36" s="3"/>
      <c r="MC36" s="3"/>
      <c r="MD36" s="4"/>
      <c r="ME36" s="3"/>
      <c r="MF36" s="3"/>
      <c r="MG36" s="3"/>
      <c r="MH36" s="3"/>
      <c r="MI36" s="3"/>
      <c r="MJ36" s="3"/>
      <c r="MK36" s="4"/>
      <c r="ML36" s="3"/>
      <c r="MM36" s="3"/>
      <c r="MN36" s="3"/>
      <c r="MO36" s="3"/>
      <c r="MP36" s="3"/>
      <c r="MQ36" s="3"/>
      <c r="MR36" s="4"/>
    </row>
    <row r="37" spans="1:356" ht="15.75" thickBot="1" x14ac:dyDescent="0.3">
      <c r="A37" s="111" t="s">
        <v>25</v>
      </c>
      <c r="B37" s="16"/>
      <c r="C37" s="16"/>
      <c r="D37" s="16"/>
      <c r="E37" s="17"/>
      <c r="F37" s="16">
        <f t="shared" ref="F37:L37" si="319">SUM(F6:F35)</f>
        <v>14</v>
      </c>
      <c r="G37" s="16">
        <f t="shared" si="319"/>
        <v>9</v>
      </c>
      <c r="H37" s="16">
        <f t="shared" si="319"/>
        <v>3</v>
      </c>
      <c r="I37" s="16">
        <f t="shared" si="319"/>
        <v>2</v>
      </c>
      <c r="J37" s="16">
        <f t="shared" si="319"/>
        <v>0</v>
      </c>
      <c r="K37" s="16">
        <f t="shared" si="319"/>
        <v>0</v>
      </c>
      <c r="L37" s="16">
        <f t="shared" si="319"/>
        <v>0</v>
      </c>
      <c r="M37" s="16">
        <f>SUM(M6:M35)</f>
        <v>4</v>
      </c>
      <c r="N37" s="16">
        <f>SUM(N6:N35)</f>
        <v>16</v>
      </c>
      <c r="O37" s="17">
        <f>SUM(O6:O35)+ SUM(O44:O77)</f>
        <v>12</v>
      </c>
      <c r="P37" s="16">
        <f>VisibleSum(P6:P28)</f>
        <v>40.5</v>
      </c>
      <c r="Q37" s="16">
        <f>P37 / P36 * 100</f>
        <v>66.393442622950815</v>
      </c>
      <c r="R37" s="17">
        <f>VisibleSum(R6:R28)</f>
        <v>-16.5</v>
      </c>
      <c r="S37" s="15">
        <f t="shared" ref="S37:AX37" si="320">IF(SUM(S6:S35) &gt; 0, SUM(S6:S35), "")</f>
        <v>15</v>
      </c>
      <c r="T37" s="14" t="str">
        <f t="shared" si="320"/>
        <v/>
      </c>
      <c r="U37" s="14">
        <f t="shared" si="320"/>
        <v>12</v>
      </c>
      <c r="V37" s="14">
        <f t="shared" si="320"/>
        <v>13</v>
      </c>
      <c r="W37" s="14" t="str">
        <f t="shared" si="320"/>
        <v/>
      </c>
      <c r="X37" s="14">
        <f t="shared" si="320"/>
        <v>12</v>
      </c>
      <c r="Y37" s="14" t="str">
        <f t="shared" si="320"/>
        <v/>
      </c>
      <c r="Z37" s="15" t="str">
        <f t="shared" si="320"/>
        <v/>
      </c>
      <c r="AA37" s="14" t="str">
        <f t="shared" si="320"/>
        <v/>
      </c>
      <c r="AB37" s="14">
        <f t="shared" si="320"/>
        <v>15</v>
      </c>
      <c r="AC37" s="14" t="str">
        <f t="shared" si="320"/>
        <v/>
      </c>
      <c r="AD37" s="14">
        <f t="shared" si="320"/>
        <v>12</v>
      </c>
      <c r="AE37" s="14">
        <f t="shared" si="320"/>
        <v>15</v>
      </c>
      <c r="AF37" s="14" t="str">
        <f t="shared" si="320"/>
        <v/>
      </c>
      <c r="AG37" s="15" t="str">
        <f t="shared" si="320"/>
        <v/>
      </c>
      <c r="AH37" s="14" t="str">
        <f t="shared" si="320"/>
        <v/>
      </c>
      <c r="AI37" s="14">
        <f t="shared" si="320"/>
        <v>16</v>
      </c>
      <c r="AJ37" s="14" t="str">
        <f t="shared" si="320"/>
        <v/>
      </c>
      <c r="AK37" s="14">
        <f t="shared" si="320"/>
        <v>15</v>
      </c>
      <c r="AL37" s="14">
        <f t="shared" si="320"/>
        <v>10</v>
      </c>
      <c r="AM37" s="14" t="str">
        <f t="shared" si="320"/>
        <v/>
      </c>
      <c r="AN37" s="15" t="str">
        <f t="shared" si="320"/>
        <v/>
      </c>
      <c r="AO37" s="14" t="str">
        <f t="shared" si="320"/>
        <v/>
      </c>
      <c r="AP37" s="14">
        <f t="shared" si="320"/>
        <v>15</v>
      </c>
      <c r="AQ37" s="14" t="str">
        <f t="shared" si="320"/>
        <v/>
      </c>
      <c r="AR37" s="14">
        <f t="shared" si="320"/>
        <v>16</v>
      </c>
      <c r="AS37" s="14">
        <f t="shared" si="320"/>
        <v>11</v>
      </c>
      <c r="AT37" s="14" t="str">
        <f t="shared" si="320"/>
        <v/>
      </c>
      <c r="AU37" s="15" t="str">
        <f t="shared" si="320"/>
        <v/>
      </c>
      <c r="AV37" s="14" t="str">
        <f t="shared" si="320"/>
        <v/>
      </c>
      <c r="AW37" s="14">
        <f t="shared" si="320"/>
        <v>14</v>
      </c>
      <c r="AX37" s="14">
        <f t="shared" si="320"/>
        <v>2</v>
      </c>
      <c r="AY37" s="14">
        <f t="shared" ref="AY37:BW37" si="321">IF(SUM(AY6:AY35) &gt; 0, SUM(AY6:AY35), "")</f>
        <v>13</v>
      </c>
      <c r="AZ37" s="14">
        <f t="shared" si="321"/>
        <v>12</v>
      </c>
      <c r="BA37" s="14" t="str">
        <f t="shared" si="321"/>
        <v/>
      </c>
      <c r="BB37" s="15" t="str">
        <f t="shared" si="321"/>
        <v/>
      </c>
      <c r="BC37" s="14" t="str">
        <f t="shared" si="321"/>
        <v/>
      </c>
      <c r="BD37" s="14">
        <f t="shared" si="321"/>
        <v>14</v>
      </c>
      <c r="BE37" s="14" t="str">
        <f t="shared" si="321"/>
        <v/>
      </c>
      <c r="BF37" s="14">
        <f t="shared" si="321"/>
        <v>14</v>
      </c>
      <c r="BG37" s="14">
        <f t="shared" si="321"/>
        <v>11</v>
      </c>
      <c r="BH37" s="14" t="str">
        <f t="shared" si="321"/>
        <v/>
      </c>
      <c r="BI37" s="15" t="str">
        <f t="shared" si="321"/>
        <v/>
      </c>
      <c r="BJ37" s="14" t="str">
        <f t="shared" si="321"/>
        <v/>
      </c>
      <c r="BK37" s="14">
        <f t="shared" si="321"/>
        <v>16</v>
      </c>
      <c r="BL37" s="14" t="str">
        <f t="shared" si="321"/>
        <v/>
      </c>
      <c r="BM37" s="14">
        <f t="shared" si="321"/>
        <v>16</v>
      </c>
      <c r="BN37" s="14" t="str">
        <f t="shared" si="321"/>
        <v/>
      </c>
      <c r="BO37" s="14" t="str">
        <f t="shared" si="321"/>
        <v/>
      </c>
      <c r="BP37" s="15">
        <f t="shared" si="321"/>
        <v>8</v>
      </c>
      <c r="BQ37" s="14" t="str">
        <f t="shared" si="321"/>
        <v/>
      </c>
      <c r="BR37" s="14">
        <f t="shared" si="321"/>
        <v>17</v>
      </c>
      <c r="BS37" s="14" t="str">
        <f t="shared" si="321"/>
        <v/>
      </c>
      <c r="BT37" s="14">
        <f t="shared" si="321"/>
        <v>14</v>
      </c>
      <c r="BU37" s="14" t="str">
        <f t="shared" si="321"/>
        <v/>
      </c>
      <c r="BV37" s="14" t="str">
        <f t="shared" si="321"/>
        <v/>
      </c>
      <c r="BW37" s="14">
        <f t="shared" si="321"/>
        <v>3</v>
      </c>
      <c r="BX37" s="14"/>
      <c r="BY37" s="15">
        <f>VisibleSum(BY6:BY28)</f>
        <v>-3.3529411764705883</v>
      </c>
      <c r="BZ37" s="14" t="str">
        <f t="shared" ref="BZ37:CF37" si="322">IF(SUM(BZ6:BZ35) &gt; 0, SUM(BZ6:BZ35), "")</f>
        <v/>
      </c>
      <c r="CA37" s="14" t="str">
        <f t="shared" si="322"/>
        <v/>
      </c>
      <c r="CB37" s="14" t="str">
        <f t="shared" si="322"/>
        <v/>
      </c>
      <c r="CC37" s="14">
        <f t="shared" si="322"/>
        <v>9</v>
      </c>
      <c r="CD37" s="14" t="str">
        <f t="shared" si="322"/>
        <v/>
      </c>
      <c r="CE37" s="14" t="str">
        <f t="shared" si="322"/>
        <v/>
      </c>
      <c r="CF37" s="14">
        <f t="shared" si="322"/>
        <v>6</v>
      </c>
      <c r="CG37" s="14"/>
      <c r="CH37" s="15">
        <f>VisibleSum(CH6:CH28)</f>
        <v>-4.3529411764705879</v>
      </c>
      <c r="CI37" s="14" t="str">
        <f t="shared" ref="CI37:CO37" si="323">IF(SUM(CI6:CI35) &gt; 0, SUM(CI6:CI35), "")</f>
        <v/>
      </c>
      <c r="CJ37" s="14" t="str">
        <f t="shared" si="323"/>
        <v/>
      </c>
      <c r="CK37" s="14" t="str">
        <f t="shared" si="323"/>
        <v/>
      </c>
      <c r="CL37" s="14">
        <f t="shared" si="323"/>
        <v>10</v>
      </c>
      <c r="CM37" s="14" t="str">
        <f t="shared" si="323"/>
        <v/>
      </c>
      <c r="CN37" s="14" t="str">
        <f t="shared" si="323"/>
        <v/>
      </c>
      <c r="CO37" s="14">
        <f t="shared" si="323"/>
        <v>8</v>
      </c>
      <c r="CP37" s="14"/>
      <c r="CQ37" s="15">
        <f>VisibleSum(CQ6:CQ28)</f>
        <v>-4.4705882352941178</v>
      </c>
      <c r="CR37" s="14" t="str">
        <f>IF(SUM(CR6:CR35) &gt; 0, SUM(CR6:CR35), "")</f>
        <v/>
      </c>
      <c r="CS37" s="14">
        <f>IF(SUM(CS6:CS35) &gt; 0, SUM(CS6:CS35), "")</f>
        <v>13</v>
      </c>
      <c r="CT37" s="14" t="str">
        <f>IF(SUM(CT6:CT35) &gt; 0, SUM(CT6:CT35), "")</f>
        <v/>
      </c>
      <c r="CU37" s="14">
        <f>IF(SUM(CU6:CU35) &gt; 0, SUM(CU6:CU35), "")</f>
        <v>10</v>
      </c>
      <c r="CV37" s="14">
        <f>IF(SUM(CV6:CV35) &gt; 0, SUM(CV6:CV35), "")</f>
        <v>13</v>
      </c>
      <c r="CW37" s="14"/>
      <c r="CX37" s="14">
        <f>IF(SUM(CX6:CX35) &gt; 0, SUM(CX6:CX35), "")</f>
        <v>7</v>
      </c>
      <c r="CY37" s="14" t="str">
        <f>IF(SUM(CY6:CY35) &gt; 0, SUM(CY6:CY35), "")</f>
        <v/>
      </c>
      <c r="CZ37" s="15">
        <f>VisibleSum(CZ6:CZ28)</f>
        <v>-0.29411764705882354</v>
      </c>
      <c r="DA37" s="14" t="str">
        <f t="shared" ref="DA37:DG37" si="324">IF(SUM(DA6:DA35) &gt; 0, SUM(DA6:DA35), "")</f>
        <v/>
      </c>
      <c r="DB37" s="14">
        <f t="shared" si="324"/>
        <v>11</v>
      </c>
      <c r="DC37" s="14" t="str">
        <f t="shared" si="324"/>
        <v/>
      </c>
      <c r="DD37" s="14" t="str">
        <f t="shared" si="324"/>
        <v/>
      </c>
      <c r="DE37" s="14">
        <f t="shared" si="324"/>
        <v>8</v>
      </c>
      <c r="DF37" s="14" t="str">
        <f t="shared" si="324"/>
        <v/>
      </c>
      <c r="DG37" s="14">
        <f t="shared" si="324"/>
        <v>4</v>
      </c>
      <c r="DH37" s="14"/>
      <c r="DI37" s="131">
        <f>IF(VisibleSum(DI6:DI28) = "", "??", VisibleSum(DI6:DI28))</f>
        <v>-1.4705882352941178</v>
      </c>
      <c r="DJ37" s="14" t="str">
        <f t="shared" ref="DJ37:DP37" si="325">IF(SUM(DJ6:DJ35) &gt; 0, SUM(DJ6:DJ35), "")</f>
        <v/>
      </c>
      <c r="DK37" s="14">
        <f t="shared" si="325"/>
        <v>15</v>
      </c>
      <c r="DL37" s="14" t="str">
        <f t="shared" si="325"/>
        <v/>
      </c>
      <c r="DM37" s="14">
        <f t="shared" si="325"/>
        <v>12</v>
      </c>
      <c r="DN37" s="14">
        <f t="shared" si="325"/>
        <v>11</v>
      </c>
      <c r="DO37" s="14" t="str">
        <f t="shared" si="325"/>
        <v/>
      </c>
      <c r="DP37" s="14">
        <f t="shared" si="325"/>
        <v>7</v>
      </c>
      <c r="DQ37" s="14"/>
      <c r="DR37" s="131">
        <f>IF(VisibleSum(DR6:DR28) = "", "??", VisibleSum(DR6:DR28))</f>
        <v>-1.1764705882352942</v>
      </c>
      <c r="DS37" s="14" t="str">
        <f>IF(SUM(DS6:DS35) &gt; 0, SUM(DS6:DS35), "")</f>
        <v/>
      </c>
      <c r="DT37" s="14">
        <f>IF(SUM(DT6:DT35) &gt; 0, SUM(DT6:DT35), "")</f>
        <v>8</v>
      </c>
      <c r="DU37" s="14" t="str">
        <f>IF(SUM(DU6:DU35) &gt; 0, SUM(DU6:DU35), "")</f>
        <v/>
      </c>
      <c r="DV37" s="14">
        <f>IF(SUM(DV6:DV35) &gt; 0, SUM(DV6:DV35), "")</f>
        <v>8</v>
      </c>
      <c r="DW37" s="14">
        <f>IF(SUM(DW6:DW35) &gt; 0, SUM(DW6:DW35), "")</f>
        <v>12</v>
      </c>
      <c r="DX37" s="14"/>
      <c r="DY37" s="14"/>
      <c r="DZ37" s="133"/>
      <c r="EA37" s="131">
        <f>IF(VisibleSum(EA6:EA28) = "", "??", VisibleSum(EA6:EA28))</f>
        <v>-1.1764705882352942</v>
      </c>
      <c r="EB37" s="14">
        <f>IF(SUM(EB6:EB35) &gt; 0, SUM(EB6:EB35), "")</f>
        <v>12</v>
      </c>
      <c r="EC37" s="14">
        <f>IF(SUM(EC6:EC35) &gt; 0, SUM(EC6:EC35), "")</f>
        <v>14</v>
      </c>
      <c r="ED37" s="14" t="str">
        <f>IF(SUM(ED6:ED35) &gt; 0, SUM(ED6:ED35), "")</f>
        <v/>
      </c>
      <c r="EE37" s="14">
        <f>IF(SUM(EE6:EE35) &gt; 0, SUM(EE6:EE35), "")</f>
        <v>17</v>
      </c>
      <c r="EF37" s="14">
        <f>IF(SUM(EF6:EF35) &gt; 0, SUM(EF6:EF35), "")</f>
        <v>10</v>
      </c>
      <c r="EG37" s="14"/>
      <c r="EH37" s="14"/>
      <c r="EI37" s="133" t="str">
        <f>IF(SUM(EI6:EI35) &gt; 0, SUM(EI6:EI35), "")</f>
        <v/>
      </c>
      <c r="EJ37" s="131">
        <f>IF(VisibleSum(EJ6:EJ28) = "", "??", VisibleSum(EJ6:EJ28))</f>
        <v>-1.0588235294117647</v>
      </c>
      <c r="EK37" s="14">
        <f t="shared" ref="EK37:EQ37" si="326">IF(SUM(EK6:EK35) &gt; 0, SUM(EK6:EK35), "")</f>
        <v>15</v>
      </c>
      <c r="EL37" s="14">
        <f t="shared" si="326"/>
        <v>17</v>
      </c>
      <c r="EM37" s="14" t="str">
        <f t="shared" si="326"/>
        <v/>
      </c>
      <c r="EN37" s="14">
        <f t="shared" si="326"/>
        <v>14</v>
      </c>
      <c r="EO37" s="14">
        <f t="shared" si="326"/>
        <v>16</v>
      </c>
      <c r="EP37" s="14" t="str">
        <f t="shared" si="326"/>
        <v/>
      </c>
      <c r="EQ37" s="14">
        <f t="shared" si="326"/>
        <v>15</v>
      </c>
      <c r="ER37" s="14"/>
      <c r="ES37" s="131">
        <f>IF(VisibleSum(ES6:ES28) = "", "??", VisibleSum(ES6:ES28))</f>
        <v>0.88888888888888884</v>
      </c>
      <c r="ET37" s="14">
        <f t="shared" ref="ET37:GC37" si="327">IF(SUM(ET6:ET35) &gt; 0, SUM(ET6:ET35), "")</f>
        <v>13</v>
      </c>
      <c r="EU37" s="14">
        <f t="shared" si="327"/>
        <v>14</v>
      </c>
      <c r="EV37" s="14">
        <f t="shared" si="327"/>
        <v>13</v>
      </c>
      <c r="EW37" s="14">
        <f t="shared" si="327"/>
        <v>16</v>
      </c>
      <c r="EX37" s="14" t="str">
        <f t="shared" si="327"/>
        <v/>
      </c>
      <c r="EY37" s="14" t="str">
        <f t="shared" si="327"/>
        <v/>
      </c>
      <c r="EZ37" s="14" t="str">
        <f t="shared" si="327"/>
        <v/>
      </c>
      <c r="FA37" s="14"/>
      <c r="FB37" s="131">
        <f>IF(VisibleSum(FB6:FB28) = "", "??", VisibleSum(FB6:FB28))</f>
        <v>-1</v>
      </c>
      <c r="FC37" s="14">
        <f t="shared" si="327"/>
        <v>11</v>
      </c>
      <c r="FD37" s="14">
        <f t="shared" si="327"/>
        <v>3</v>
      </c>
      <c r="FE37" s="14">
        <f t="shared" si="327"/>
        <v>14</v>
      </c>
      <c r="FF37" s="14" t="str">
        <f t="shared" si="327"/>
        <v/>
      </c>
      <c r="FG37" s="14" t="str">
        <f t="shared" si="327"/>
        <v/>
      </c>
      <c r="FH37" s="14" t="str">
        <f t="shared" si="327"/>
        <v/>
      </c>
      <c r="FI37" s="14" t="str">
        <f t="shared" si="327"/>
        <v/>
      </c>
      <c r="FJ37" s="14"/>
      <c r="FK37" s="15" t="str">
        <f t="shared" si="327"/>
        <v/>
      </c>
      <c r="FL37" s="14" t="str">
        <f t="shared" si="327"/>
        <v/>
      </c>
      <c r="FM37" s="14" t="str">
        <f t="shared" si="327"/>
        <v/>
      </c>
      <c r="FN37" s="14" t="str">
        <f t="shared" si="327"/>
        <v/>
      </c>
      <c r="FO37" s="14" t="str">
        <f t="shared" si="327"/>
        <v/>
      </c>
      <c r="FP37" s="14" t="str">
        <f t="shared" si="327"/>
        <v/>
      </c>
      <c r="FQ37" s="14" t="str">
        <f t="shared" si="327"/>
        <v/>
      </c>
      <c r="FR37" s="15" t="str">
        <f t="shared" si="327"/>
        <v/>
      </c>
      <c r="FS37" s="14" t="str">
        <f t="shared" si="327"/>
        <v/>
      </c>
      <c r="FT37" s="14" t="str">
        <f t="shared" si="327"/>
        <v/>
      </c>
      <c r="FU37" s="14" t="str">
        <f t="shared" si="327"/>
        <v/>
      </c>
      <c r="FV37" s="14" t="str">
        <f t="shared" si="327"/>
        <v/>
      </c>
      <c r="FW37" s="14" t="str">
        <f t="shared" si="327"/>
        <v/>
      </c>
      <c r="FX37" s="14" t="str">
        <f t="shared" si="327"/>
        <v/>
      </c>
      <c r="FY37" s="15" t="str">
        <f t="shared" si="327"/>
        <v/>
      </c>
      <c r="FZ37" s="14" t="str">
        <f t="shared" si="327"/>
        <v/>
      </c>
      <c r="GA37" s="14" t="str">
        <f t="shared" si="327"/>
        <v/>
      </c>
      <c r="GB37" s="14" t="str">
        <f t="shared" si="327"/>
        <v/>
      </c>
      <c r="GC37" s="14" t="str">
        <f t="shared" si="327"/>
        <v/>
      </c>
      <c r="GD37" s="14" t="str">
        <f t="shared" ref="GD37:GY37" si="328">IF(SUM(GD6:GD35) &gt; 0, SUM(GD6:GD35), "")</f>
        <v/>
      </c>
      <c r="GE37" s="14" t="str">
        <f t="shared" si="328"/>
        <v/>
      </c>
      <c r="GF37" s="15" t="str">
        <f t="shared" si="328"/>
        <v/>
      </c>
      <c r="GG37" s="14" t="str">
        <f t="shared" si="328"/>
        <v/>
      </c>
      <c r="GH37" s="14" t="str">
        <f t="shared" si="328"/>
        <v/>
      </c>
      <c r="GI37" s="14" t="str">
        <f t="shared" si="328"/>
        <v/>
      </c>
      <c r="GJ37" s="14" t="str">
        <f t="shared" si="328"/>
        <v/>
      </c>
      <c r="GK37" s="14" t="str">
        <f t="shared" si="328"/>
        <v/>
      </c>
      <c r="GL37" s="14" t="str">
        <f t="shared" si="328"/>
        <v/>
      </c>
      <c r="GM37" s="15" t="str">
        <f t="shared" si="328"/>
        <v/>
      </c>
      <c r="GN37" s="14" t="str">
        <f t="shared" si="328"/>
        <v/>
      </c>
      <c r="GO37" s="14" t="str">
        <f t="shared" si="328"/>
        <v/>
      </c>
      <c r="GP37" s="14" t="str">
        <f t="shared" si="328"/>
        <v/>
      </c>
      <c r="GQ37" s="14" t="str">
        <f t="shared" si="328"/>
        <v/>
      </c>
      <c r="GR37" s="14" t="str">
        <f t="shared" si="328"/>
        <v/>
      </c>
      <c r="GS37" s="14" t="str">
        <f t="shared" si="328"/>
        <v/>
      </c>
      <c r="GT37" s="15" t="str">
        <f t="shared" si="328"/>
        <v/>
      </c>
      <c r="GU37" s="14" t="str">
        <f t="shared" si="328"/>
        <v/>
      </c>
      <c r="GV37" s="14" t="str">
        <f t="shared" si="328"/>
        <v/>
      </c>
      <c r="GW37" s="14" t="str">
        <f t="shared" si="328"/>
        <v/>
      </c>
      <c r="GX37" s="14" t="str">
        <f t="shared" si="328"/>
        <v/>
      </c>
      <c r="GY37" s="14" t="str">
        <f t="shared" si="328"/>
        <v/>
      </c>
      <c r="GZ37" s="14"/>
      <c r="HA37" s="15" t="str">
        <f t="shared" ref="HA37:IF37" si="329">IF(SUM(HA6:HA35) &gt; 0, SUM(HA6:HA35), "")</f>
        <v/>
      </c>
      <c r="HB37" s="14" t="str">
        <f t="shared" si="329"/>
        <v/>
      </c>
      <c r="HC37" s="14" t="str">
        <f t="shared" si="329"/>
        <v/>
      </c>
      <c r="HD37" s="14" t="str">
        <f t="shared" si="329"/>
        <v/>
      </c>
      <c r="HE37" s="14" t="str">
        <f t="shared" si="329"/>
        <v/>
      </c>
      <c r="HF37" s="14" t="str">
        <f t="shared" si="329"/>
        <v/>
      </c>
      <c r="HG37" s="14" t="str">
        <f t="shared" si="329"/>
        <v/>
      </c>
      <c r="HH37" s="15" t="str">
        <f t="shared" si="329"/>
        <v/>
      </c>
      <c r="HI37" s="14" t="str">
        <f t="shared" si="329"/>
        <v/>
      </c>
      <c r="HJ37" s="14" t="str">
        <f t="shared" si="329"/>
        <v/>
      </c>
      <c r="HK37" s="14" t="str">
        <f t="shared" si="329"/>
        <v/>
      </c>
      <c r="HL37" s="14" t="str">
        <f t="shared" si="329"/>
        <v/>
      </c>
      <c r="HM37" s="14" t="str">
        <f t="shared" si="329"/>
        <v/>
      </c>
      <c r="HN37" s="14" t="str">
        <f t="shared" si="329"/>
        <v/>
      </c>
      <c r="HO37" s="15" t="str">
        <f t="shared" si="329"/>
        <v/>
      </c>
      <c r="HP37" s="14" t="str">
        <f t="shared" si="329"/>
        <v/>
      </c>
      <c r="HQ37" s="14" t="str">
        <f t="shared" si="329"/>
        <v/>
      </c>
      <c r="HR37" s="14" t="str">
        <f t="shared" si="329"/>
        <v/>
      </c>
      <c r="HS37" s="14" t="str">
        <f t="shared" si="329"/>
        <v/>
      </c>
      <c r="HT37" s="14" t="str">
        <f t="shared" si="329"/>
        <v/>
      </c>
      <c r="HU37" s="14" t="str">
        <f t="shared" si="329"/>
        <v/>
      </c>
      <c r="HV37" s="15" t="str">
        <f t="shared" si="329"/>
        <v/>
      </c>
      <c r="HW37" s="14" t="str">
        <f t="shared" si="329"/>
        <v/>
      </c>
      <c r="HX37" s="14" t="str">
        <f t="shared" si="329"/>
        <v/>
      </c>
      <c r="HY37" s="14" t="str">
        <f t="shared" si="329"/>
        <v/>
      </c>
      <c r="HZ37" s="14" t="str">
        <f t="shared" si="329"/>
        <v/>
      </c>
      <c r="IA37" s="14" t="str">
        <f t="shared" si="329"/>
        <v/>
      </c>
      <c r="IB37" s="14" t="str">
        <f t="shared" si="329"/>
        <v/>
      </c>
      <c r="IC37" s="15" t="str">
        <f t="shared" si="329"/>
        <v/>
      </c>
      <c r="ID37" s="14" t="str">
        <f t="shared" si="329"/>
        <v/>
      </c>
      <c r="IE37" s="14" t="str">
        <f t="shared" si="329"/>
        <v/>
      </c>
      <c r="IF37" s="14" t="str">
        <f t="shared" si="329"/>
        <v/>
      </c>
      <c r="IG37" s="14" t="str">
        <f t="shared" ref="IG37:JL37" si="330">IF(SUM(IG6:IG35) &gt; 0, SUM(IG6:IG35), "")</f>
        <v/>
      </c>
      <c r="IH37" s="14" t="str">
        <f t="shared" si="330"/>
        <v/>
      </c>
      <c r="II37" s="14" t="str">
        <f t="shared" si="330"/>
        <v/>
      </c>
      <c r="IJ37" s="15" t="str">
        <f t="shared" si="330"/>
        <v/>
      </c>
      <c r="IK37" s="14" t="str">
        <f t="shared" si="330"/>
        <v/>
      </c>
      <c r="IL37" s="14" t="str">
        <f t="shared" si="330"/>
        <v/>
      </c>
      <c r="IM37" s="14" t="str">
        <f t="shared" si="330"/>
        <v/>
      </c>
      <c r="IN37" s="14" t="str">
        <f t="shared" si="330"/>
        <v/>
      </c>
      <c r="IO37" s="14" t="str">
        <f t="shared" si="330"/>
        <v/>
      </c>
      <c r="IP37" s="14" t="str">
        <f t="shared" si="330"/>
        <v/>
      </c>
      <c r="IQ37" s="15" t="str">
        <f t="shared" si="330"/>
        <v/>
      </c>
      <c r="IR37" s="14" t="str">
        <f t="shared" si="330"/>
        <v/>
      </c>
      <c r="IS37" s="14" t="str">
        <f t="shared" si="330"/>
        <v/>
      </c>
      <c r="IT37" s="14" t="str">
        <f t="shared" si="330"/>
        <v/>
      </c>
      <c r="IU37" s="14" t="str">
        <f t="shared" si="330"/>
        <v/>
      </c>
      <c r="IV37" s="14" t="str">
        <f t="shared" si="330"/>
        <v/>
      </c>
      <c r="IW37" s="14" t="str">
        <f t="shared" si="330"/>
        <v/>
      </c>
      <c r="IX37" s="15" t="str">
        <f t="shared" si="330"/>
        <v/>
      </c>
      <c r="IY37" s="14" t="str">
        <f t="shared" si="330"/>
        <v/>
      </c>
      <c r="IZ37" s="14" t="str">
        <f t="shared" si="330"/>
        <v/>
      </c>
      <c r="JA37" s="14" t="str">
        <f t="shared" si="330"/>
        <v/>
      </c>
      <c r="JB37" s="14" t="str">
        <f t="shared" si="330"/>
        <v/>
      </c>
      <c r="JC37" s="14" t="str">
        <f t="shared" si="330"/>
        <v/>
      </c>
      <c r="JD37" s="14" t="str">
        <f t="shared" si="330"/>
        <v/>
      </c>
      <c r="JE37" s="15" t="str">
        <f t="shared" si="330"/>
        <v/>
      </c>
      <c r="JF37" s="14" t="str">
        <f t="shared" si="330"/>
        <v/>
      </c>
      <c r="JG37" s="14" t="str">
        <f t="shared" si="330"/>
        <v/>
      </c>
      <c r="JH37" s="14" t="str">
        <f t="shared" si="330"/>
        <v/>
      </c>
      <c r="JI37" s="14" t="str">
        <f t="shared" si="330"/>
        <v/>
      </c>
      <c r="JJ37" s="14" t="str">
        <f t="shared" si="330"/>
        <v/>
      </c>
      <c r="JK37" s="14" t="str">
        <f t="shared" si="330"/>
        <v/>
      </c>
      <c r="JL37" s="15" t="str">
        <f t="shared" si="330"/>
        <v/>
      </c>
      <c r="JM37" s="14" t="str">
        <f t="shared" ref="JM37:KR37" si="331">IF(SUM(JM6:JM35) &gt; 0, SUM(JM6:JM35), "")</f>
        <v/>
      </c>
      <c r="JN37" s="14" t="str">
        <f t="shared" si="331"/>
        <v/>
      </c>
      <c r="JO37" s="14" t="str">
        <f t="shared" si="331"/>
        <v/>
      </c>
      <c r="JP37" s="14" t="str">
        <f t="shared" si="331"/>
        <v/>
      </c>
      <c r="JQ37" s="14" t="str">
        <f t="shared" si="331"/>
        <v/>
      </c>
      <c r="JR37" s="14" t="str">
        <f t="shared" si="331"/>
        <v/>
      </c>
      <c r="JS37" s="15" t="str">
        <f t="shared" si="331"/>
        <v/>
      </c>
      <c r="JT37" s="14" t="str">
        <f t="shared" si="331"/>
        <v/>
      </c>
      <c r="JU37" s="14" t="str">
        <f t="shared" si="331"/>
        <v/>
      </c>
      <c r="JV37" s="14" t="str">
        <f t="shared" si="331"/>
        <v/>
      </c>
      <c r="JW37" s="14" t="str">
        <f t="shared" si="331"/>
        <v/>
      </c>
      <c r="JX37" s="14" t="str">
        <f t="shared" si="331"/>
        <v/>
      </c>
      <c r="JY37" s="14" t="str">
        <f t="shared" si="331"/>
        <v/>
      </c>
      <c r="JZ37" s="15" t="str">
        <f t="shared" si="331"/>
        <v/>
      </c>
      <c r="KA37" s="14" t="str">
        <f t="shared" si="331"/>
        <v/>
      </c>
      <c r="KB37" s="14" t="str">
        <f t="shared" si="331"/>
        <v/>
      </c>
      <c r="KC37" s="14" t="str">
        <f t="shared" si="331"/>
        <v/>
      </c>
      <c r="KD37" s="14" t="str">
        <f t="shared" si="331"/>
        <v/>
      </c>
      <c r="KE37" s="14" t="str">
        <f t="shared" si="331"/>
        <v/>
      </c>
      <c r="KF37" s="14" t="str">
        <f t="shared" si="331"/>
        <v/>
      </c>
      <c r="KG37" s="15" t="str">
        <f t="shared" si="331"/>
        <v/>
      </c>
      <c r="KH37" s="14" t="str">
        <f t="shared" si="331"/>
        <v/>
      </c>
      <c r="KI37" s="14" t="str">
        <f t="shared" si="331"/>
        <v/>
      </c>
      <c r="KJ37" s="14" t="str">
        <f t="shared" si="331"/>
        <v/>
      </c>
      <c r="KK37" s="14" t="str">
        <f t="shared" si="331"/>
        <v/>
      </c>
      <c r="KL37" s="14" t="str">
        <f t="shared" si="331"/>
        <v/>
      </c>
      <c r="KM37" s="14" t="str">
        <f t="shared" si="331"/>
        <v/>
      </c>
      <c r="KN37" s="15" t="str">
        <f t="shared" si="331"/>
        <v/>
      </c>
      <c r="KO37" s="14" t="str">
        <f t="shared" si="331"/>
        <v/>
      </c>
      <c r="KP37" s="14" t="str">
        <f t="shared" si="331"/>
        <v/>
      </c>
      <c r="KQ37" s="14" t="str">
        <f t="shared" si="331"/>
        <v/>
      </c>
      <c r="KR37" s="14" t="str">
        <f t="shared" si="331"/>
        <v/>
      </c>
      <c r="KS37" s="14" t="str">
        <f t="shared" ref="KS37:LX37" si="332">IF(SUM(KS6:KS35) &gt; 0, SUM(KS6:KS35), "")</f>
        <v/>
      </c>
      <c r="KT37" s="14" t="str">
        <f t="shared" si="332"/>
        <v/>
      </c>
      <c r="KU37" s="15" t="str">
        <f t="shared" si="332"/>
        <v/>
      </c>
      <c r="KV37" s="14" t="str">
        <f t="shared" si="332"/>
        <v/>
      </c>
      <c r="KW37" s="14" t="str">
        <f t="shared" si="332"/>
        <v/>
      </c>
      <c r="KX37" s="14" t="str">
        <f t="shared" si="332"/>
        <v/>
      </c>
      <c r="KY37" s="14" t="str">
        <f t="shared" si="332"/>
        <v/>
      </c>
      <c r="KZ37" s="14" t="str">
        <f t="shared" si="332"/>
        <v/>
      </c>
      <c r="LA37" s="14" t="str">
        <f t="shared" si="332"/>
        <v/>
      </c>
      <c r="LB37" s="15" t="str">
        <f t="shared" si="332"/>
        <v/>
      </c>
      <c r="LC37" s="14" t="str">
        <f t="shared" si="332"/>
        <v/>
      </c>
      <c r="LD37" s="14" t="str">
        <f t="shared" si="332"/>
        <v/>
      </c>
      <c r="LE37" s="14" t="str">
        <f t="shared" si="332"/>
        <v/>
      </c>
      <c r="LF37" s="14" t="str">
        <f t="shared" si="332"/>
        <v/>
      </c>
      <c r="LG37" s="14" t="str">
        <f t="shared" si="332"/>
        <v/>
      </c>
      <c r="LH37" s="14" t="str">
        <f t="shared" si="332"/>
        <v/>
      </c>
      <c r="LI37" s="15" t="str">
        <f t="shared" si="332"/>
        <v/>
      </c>
      <c r="LJ37" s="14" t="str">
        <f t="shared" si="332"/>
        <v/>
      </c>
      <c r="LK37" s="14" t="str">
        <f t="shared" si="332"/>
        <v/>
      </c>
      <c r="LL37" s="14" t="str">
        <f t="shared" si="332"/>
        <v/>
      </c>
      <c r="LM37" s="14" t="str">
        <f t="shared" si="332"/>
        <v/>
      </c>
      <c r="LN37" s="14" t="str">
        <f t="shared" si="332"/>
        <v/>
      </c>
      <c r="LO37" s="14" t="str">
        <f t="shared" si="332"/>
        <v/>
      </c>
      <c r="LP37" s="15" t="str">
        <f t="shared" si="332"/>
        <v/>
      </c>
      <c r="LQ37" s="14" t="str">
        <f t="shared" si="332"/>
        <v/>
      </c>
      <c r="LR37" s="14" t="str">
        <f t="shared" si="332"/>
        <v/>
      </c>
      <c r="LS37" s="14" t="str">
        <f t="shared" si="332"/>
        <v/>
      </c>
      <c r="LT37" s="14" t="str">
        <f t="shared" si="332"/>
        <v/>
      </c>
      <c r="LU37" s="14" t="str">
        <f t="shared" si="332"/>
        <v/>
      </c>
      <c r="LV37" s="14" t="str">
        <f t="shared" si="332"/>
        <v/>
      </c>
      <c r="LW37" s="15" t="str">
        <f t="shared" si="332"/>
        <v/>
      </c>
      <c r="LX37" s="14" t="str">
        <f t="shared" si="332"/>
        <v/>
      </c>
      <c r="LY37" s="14" t="str">
        <f t="shared" ref="LY37:MR37" si="333">IF(SUM(LY6:LY35) &gt; 0, SUM(LY6:LY35), "")</f>
        <v/>
      </c>
      <c r="LZ37" s="14" t="str">
        <f t="shared" si="333"/>
        <v/>
      </c>
      <c r="MA37" s="14" t="str">
        <f t="shared" si="333"/>
        <v/>
      </c>
      <c r="MB37" s="14" t="str">
        <f t="shared" si="333"/>
        <v/>
      </c>
      <c r="MC37" s="14" t="str">
        <f t="shared" si="333"/>
        <v/>
      </c>
      <c r="MD37" s="15" t="str">
        <f t="shared" si="333"/>
        <v/>
      </c>
      <c r="ME37" s="14" t="str">
        <f t="shared" si="333"/>
        <v/>
      </c>
      <c r="MF37" s="14" t="str">
        <f t="shared" si="333"/>
        <v/>
      </c>
      <c r="MG37" s="14" t="str">
        <f t="shared" si="333"/>
        <v/>
      </c>
      <c r="MH37" s="14" t="str">
        <f t="shared" si="333"/>
        <v/>
      </c>
      <c r="MI37" s="14" t="str">
        <f t="shared" si="333"/>
        <v/>
      </c>
      <c r="MJ37" s="14" t="str">
        <f t="shared" si="333"/>
        <v/>
      </c>
      <c r="MK37" s="15" t="str">
        <f t="shared" si="333"/>
        <v/>
      </c>
      <c r="ML37" s="14" t="str">
        <f t="shared" si="333"/>
        <v/>
      </c>
      <c r="MM37" s="14" t="str">
        <f t="shared" si="333"/>
        <v/>
      </c>
      <c r="MN37" s="14" t="str">
        <f t="shared" si="333"/>
        <v/>
      </c>
      <c r="MO37" s="14" t="str">
        <f t="shared" si="333"/>
        <v/>
      </c>
      <c r="MP37" s="14" t="str">
        <f t="shared" si="333"/>
        <v/>
      </c>
      <c r="MQ37" s="14" t="str">
        <f t="shared" si="333"/>
        <v/>
      </c>
      <c r="MR37" s="112" t="str">
        <f t="shared" si="333"/>
        <v/>
      </c>
    </row>
    <row r="38" spans="1:356" ht="7.5" customHeight="1" x14ac:dyDescent="0.25">
      <c r="A38" s="125"/>
      <c r="B38" s="126"/>
      <c r="C38" s="126"/>
      <c r="D38" s="126"/>
      <c r="E38" s="127"/>
      <c r="F38" s="126"/>
      <c r="G38" s="126"/>
      <c r="H38" s="126"/>
      <c r="I38" s="126"/>
      <c r="J38" s="126"/>
      <c r="K38" s="126"/>
      <c r="L38" s="126"/>
      <c r="M38" s="126"/>
      <c r="N38" s="126"/>
      <c r="O38" s="127"/>
      <c r="P38" s="126"/>
      <c r="Q38" s="126"/>
      <c r="R38" s="127"/>
      <c r="S38" s="37"/>
      <c r="T38" s="128"/>
      <c r="U38" s="128"/>
      <c r="V38" s="128"/>
      <c r="W38" s="128"/>
      <c r="X38" s="128"/>
      <c r="Y38" s="128"/>
      <c r="Z38" s="37"/>
      <c r="AA38" s="128"/>
      <c r="AB38" s="128"/>
      <c r="AC38" s="128"/>
      <c r="AD38" s="128"/>
      <c r="AE38" s="128"/>
      <c r="AF38" s="128"/>
      <c r="AG38" s="37"/>
      <c r="AH38" s="128"/>
      <c r="AI38" s="128"/>
      <c r="AJ38" s="128"/>
      <c r="AK38" s="128"/>
      <c r="AL38" s="128"/>
      <c r="AM38" s="128"/>
      <c r="AN38" s="37"/>
      <c r="AO38" s="128"/>
      <c r="AP38" s="128"/>
      <c r="AQ38" s="128"/>
      <c r="AR38" s="128"/>
      <c r="AS38" s="128"/>
      <c r="AT38" s="128"/>
      <c r="AU38" s="37"/>
      <c r="AV38" s="128"/>
      <c r="AW38" s="128"/>
      <c r="AX38" s="128"/>
      <c r="AY38" s="128"/>
      <c r="AZ38" s="128"/>
      <c r="BA38" s="128"/>
      <c r="BB38" s="37"/>
      <c r="BC38" s="128"/>
      <c r="BD38" s="128"/>
      <c r="BE38" s="128"/>
      <c r="BF38" s="128"/>
      <c r="BG38" s="128"/>
      <c r="BH38" s="128"/>
      <c r="BI38" s="37"/>
      <c r="BJ38" s="128"/>
      <c r="BK38" s="128"/>
      <c r="BL38" s="128"/>
      <c r="BM38" s="128"/>
      <c r="BN38" s="128"/>
      <c r="BO38" s="128"/>
      <c r="BP38" s="37"/>
      <c r="BQ38" s="128"/>
      <c r="BR38" s="128"/>
      <c r="BS38" s="128"/>
      <c r="BT38" s="128"/>
      <c r="BU38" s="128"/>
      <c r="BV38" s="128"/>
      <c r="BW38" s="128"/>
      <c r="BX38" s="128"/>
      <c r="BY38" s="37"/>
      <c r="BZ38" s="128"/>
      <c r="CA38" s="128"/>
      <c r="CB38" s="128"/>
      <c r="CC38" s="128"/>
      <c r="CD38" s="128"/>
      <c r="CE38" s="128"/>
      <c r="CF38" s="128"/>
      <c r="CG38" s="128"/>
      <c r="CH38" s="37"/>
      <c r="CI38" s="128"/>
      <c r="CJ38" s="128"/>
      <c r="CK38" s="128"/>
      <c r="CL38" s="128"/>
      <c r="CM38" s="128"/>
      <c r="CN38" s="128"/>
      <c r="CO38" s="128"/>
      <c r="CP38" s="128"/>
      <c r="CQ38" s="37"/>
      <c r="CR38" s="128"/>
      <c r="CS38" s="128"/>
      <c r="CT38" s="128"/>
      <c r="CU38" s="128"/>
      <c r="CV38" s="128"/>
      <c r="CW38" s="128"/>
      <c r="CX38" s="128"/>
      <c r="CY38" s="128"/>
      <c r="CZ38" s="37"/>
      <c r="DA38" s="128"/>
      <c r="DB38" s="128"/>
      <c r="DC38" s="128"/>
      <c r="DD38" s="128"/>
      <c r="DE38" s="128"/>
      <c r="DF38" s="128"/>
      <c r="DG38" s="128"/>
      <c r="DH38" s="128"/>
      <c r="DI38" s="37"/>
      <c r="DJ38" s="128"/>
      <c r="DK38" s="128"/>
      <c r="DL38" s="128"/>
      <c r="DM38" s="128"/>
      <c r="DN38" s="128"/>
      <c r="DO38" s="128"/>
      <c r="DP38" s="128"/>
      <c r="DQ38" s="128"/>
      <c r="DR38" s="37"/>
      <c r="DS38" s="128"/>
      <c r="DT38" s="128"/>
      <c r="DU38" s="128"/>
      <c r="DV38" s="128"/>
      <c r="DW38" s="128"/>
      <c r="DX38" s="128"/>
      <c r="DY38" s="128"/>
      <c r="DZ38" s="128"/>
      <c r="EA38" s="37"/>
      <c r="EB38" s="128"/>
      <c r="EC38" s="128"/>
      <c r="ED38" s="128"/>
      <c r="EE38" s="128"/>
      <c r="EF38" s="128"/>
      <c r="EG38" s="128"/>
      <c r="EH38" s="128"/>
      <c r="EI38" s="128"/>
      <c r="EJ38" s="37"/>
      <c r="EK38" s="128"/>
      <c r="EL38" s="128"/>
      <c r="EM38" s="128"/>
      <c r="EN38" s="128"/>
      <c r="EO38" s="128"/>
      <c r="EP38" s="128"/>
      <c r="EQ38" s="128"/>
      <c r="ER38" s="128"/>
      <c r="ES38" s="37"/>
      <c r="ET38" s="128"/>
      <c r="EU38" s="128"/>
      <c r="EV38" s="128"/>
      <c r="EW38" s="128"/>
      <c r="EX38" s="128"/>
      <c r="EY38" s="128"/>
      <c r="EZ38" s="128"/>
      <c r="FA38" s="128"/>
      <c r="FB38" s="37"/>
      <c r="FC38" s="128"/>
      <c r="FD38" s="128"/>
      <c r="FE38" s="128"/>
      <c r="FF38" s="128"/>
      <c r="FG38" s="128"/>
      <c r="FH38" s="128"/>
      <c r="FI38" s="128"/>
      <c r="FJ38" s="128"/>
      <c r="FK38" s="37"/>
      <c r="FL38" s="128"/>
      <c r="FM38" s="128"/>
      <c r="FN38" s="128"/>
      <c r="FO38" s="128"/>
      <c r="FP38" s="128"/>
      <c r="FQ38" s="128"/>
      <c r="FR38" s="37"/>
      <c r="FS38" s="128"/>
      <c r="FT38" s="128"/>
      <c r="FU38" s="128"/>
      <c r="FV38" s="128"/>
      <c r="FW38" s="128"/>
      <c r="FX38" s="128"/>
      <c r="FY38" s="37"/>
      <c r="FZ38" s="128"/>
      <c r="GA38" s="128"/>
      <c r="GB38" s="128"/>
      <c r="GC38" s="128"/>
      <c r="GD38" s="128"/>
      <c r="GE38" s="128"/>
      <c r="GF38" s="37"/>
      <c r="GG38" s="128"/>
      <c r="GH38" s="128"/>
      <c r="GI38" s="128"/>
      <c r="GJ38" s="128"/>
      <c r="GK38" s="128"/>
      <c r="GL38" s="128"/>
      <c r="GM38" s="37"/>
      <c r="GN38" s="128"/>
      <c r="GO38" s="128"/>
      <c r="GP38" s="128"/>
      <c r="GQ38" s="128"/>
      <c r="GR38" s="128"/>
      <c r="GS38" s="128"/>
      <c r="GT38" s="37"/>
      <c r="GU38" s="128"/>
      <c r="GV38" s="128"/>
      <c r="GW38" s="128"/>
      <c r="GX38" s="128"/>
      <c r="GY38" s="128"/>
      <c r="GZ38" s="128"/>
      <c r="HA38" s="37"/>
      <c r="HB38" s="128"/>
      <c r="HC38" s="128"/>
      <c r="HD38" s="128"/>
      <c r="HE38" s="128"/>
      <c r="HF38" s="128"/>
      <c r="HG38" s="128"/>
      <c r="HH38" s="37"/>
      <c r="HI38" s="128"/>
      <c r="HJ38" s="128"/>
      <c r="HK38" s="128"/>
      <c r="HL38" s="128"/>
      <c r="HM38" s="128"/>
      <c r="HN38" s="128"/>
      <c r="HO38" s="37"/>
      <c r="HP38" s="128"/>
      <c r="HQ38" s="128"/>
      <c r="HR38" s="128"/>
      <c r="HS38" s="128"/>
      <c r="HT38" s="128"/>
      <c r="HU38" s="128"/>
      <c r="HV38" s="37"/>
      <c r="HW38" s="128"/>
      <c r="HX38" s="128"/>
      <c r="HY38" s="128"/>
      <c r="HZ38" s="128"/>
      <c r="IA38" s="128"/>
      <c r="IB38" s="128"/>
      <c r="IC38" s="37"/>
      <c r="ID38" s="128"/>
      <c r="IE38" s="128"/>
      <c r="IF38" s="128"/>
      <c r="IG38" s="128"/>
      <c r="IH38" s="128"/>
      <c r="II38" s="128"/>
      <c r="IJ38" s="37"/>
      <c r="IK38" s="128"/>
      <c r="IL38" s="128"/>
      <c r="IM38" s="128"/>
      <c r="IN38" s="128"/>
      <c r="IO38" s="128"/>
      <c r="IP38" s="128"/>
      <c r="IQ38" s="37"/>
      <c r="IR38" s="128"/>
      <c r="IS38" s="128"/>
      <c r="IT38" s="128"/>
      <c r="IU38" s="128"/>
      <c r="IV38" s="128"/>
      <c r="IW38" s="128"/>
      <c r="IX38" s="37"/>
      <c r="IY38" s="128"/>
      <c r="IZ38" s="128"/>
      <c r="JA38" s="128"/>
      <c r="JB38" s="128"/>
      <c r="JC38" s="128"/>
      <c r="JD38" s="128"/>
      <c r="JE38" s="37"/>
      <c r="JF38" s="128"/>
      <c r="JG38" s="128"/>
      <c r="JH38" s="128"/>
      <c r="JI38" s="128"/>
      <c r="JJ38" s="128"/>
      <c r="JK38" s="128"/>
      <c r="JL38" s="37"/>
      <c r="JM38" s="128"/>
      <c r="JN38" s="128"/>
      <c r="JO38" s="128"/>
      <c r="JP38" s="128"/>
      <c r="JQ38" s="128"/>
      <c r="JR38" s="128"/>
      <c r="JS38" s="37"/>
      <c r="JT38" s="128"/>
      <c r="JU38" s="128"/>
      <c r="JV38" s="128"/>
      <c r="JW38" s="128"/>
      <c r="JX38" s="128"/>
      <c r="JY38" s="128"/>
      <c r="JZ38" s="37"/>
      <c r="KA38" s="128"/>
      <c r="KB38" s="128"/>
      <c r="KC38" s="128"/>
      <c r="KD38" s="128"/>
      <c r="KE38" s="128"/>
      <c r="KF38" s="128"/>
      <c r="KG38" s="37"/>
      <c r="KH38" s="128"/>
      <c r="KI38" s="128"/>
      <c r="KJ38" s="128"/>
      <c r="KK38" s="128"/>
      <c r="KL38" s="128"/>
      <c r="KM38" s="128"/>
      <c r="KN38" s="37"/>
      <c r="KO38" s="128"/>
      <c r="KP38" s="128"/>
      <c r="KQ38" s="128"/>
      <c r="KR38" s="128"/>
      <c r="KS38" s="128"/>
      <c r="KT38" s="128"/>
      <c r="KU38" s="37"/>
      <c r="KV38" s="128"/>
      <c r="KW38" s="128"/>
      <c r="KX38" s="128"/>
      <c r="KY38" s="128"/>
      <c r="KZ38" s="128"/>
      <c r="LA38" s="128"/>
      <c r="LB38" s="37"/>
      <c r="LC38" s="128"/>
      <c r="LD38" s="128"/>
      <c r="LE38" s="128"/>
      <c r="LF38" s="128"/>
      <c r="LG38" s="128"/>
      <c r="LH38" s="128"/>
      <c r="LI38" s="37"/>
      <c r="LJ38" s="128"/>
      <c r="LK38" s="128"/>
      <c r="LL38" s="128"/>
      <c r="LM38" s="128"/>
      <c r="LN38" s="128"/>
      <c r="LO38" s="128"/>
      <c r="LP38" s="37"/>
      <c r="LQ38" s="128"/>
      <c r="LR38" s="128"/>
      <c r="LS38" s="128"/>
      <c r="LT38" s="128"/>
      <c r="LU38" s="128"/>
      <c r="LV38" s="128"/>
      <c r="LW38" s="37"/>
      <c r="LX38" s="128"/>
      <c r="LY38" s="128"/>
      <c r="LZ38" s="128"/>
      <c r="MA38" s="128"/>
      <c r="MB38" s="128"/>
      <c r="MC38" s="128"/>
      <c r="MD38" s="37"/>
      <c r="ME38" s="128"/>
      <c r="MF38" s="128"/>
      <c r="MG38" s="128"/>
      <c r="MH38" s="128"/>
      <c r="MI38" s="128"/>
      <c r="MJ38" s="128"/>
      <c r="MK38" s="37"/>
      <c r="ML38" s="128"/>
      <c r="MM38" s="128"/>
      <c r="MN38" s="128"/>
      <c r="MO38" s="128"/>
      <c r="MP38" s="128"/>
      <c r="MQ38" s="128"/>
      <c r="MR38" s="37"/>
    </row>
    <row r="39" spans="1:356" ht="66" hidden="1" customHeight="1" x14ac:dyDescent="0.25">
      <c r="A39" s="19"/>
      <c r="B39" s="19"/>
      <c r="C39" s="19"/>
      <c r="D39" s="19"/>
      <c r="E39" s="9"/>
      <c r="F39" s="19"/>
      <c r="G39" s="19"/>
      <c r="H39" s="19"/>
      <c r="I39" s="19"/>
      <c r="J39" s="19"/>
      <c r="K39" s="19"/>
      <c r="L39" s="19"/>
      <c r="M39" s="19"/>
      <c r="N39" s="19"/>
      <c r="O39" s="9"/>
      <c r="P39" s="120" t="s">
        <v>408</v>
      </c>
      <c r="Q39" s="121" t="s">
        <v>408</v>
      </c>
      <c r="R39" s="122"/>
      <c r="S39" s="49">
        <f t="shared" ref="S39:AX39" si="334">S1</f>
        <v>43975</v>
      </c>
      <c r="T39" s="49">
        <f t="shared" si="334"/>
        <v>43976</v>
      </c>
      <c r="U39" s="49">
        <f t="shared" si="334"/>
        <v>43977</v>
      </c>
      <c r="V39" s="49">
        <f t="shared" si="334"/>
        <v>43978</v>
      </c>
      <c r="W39" s="49">
        <f t="shared" si="334"/>
        <v>43979</v>
      </c>
      <c r="X39" s="49">
        <f t="shared" si="334"/>
        <v>43980</v>
      </c>
      <c r="Y39" s="49">
        <f t="shared" si="334"/>
        <v>43981</v>
      </c>
      <c r="Z39" s="49">
        <f t="shared" si="334"/>
        <v>43982</v>
      </c>
      <c r="AA39" s="49">
        <f t="shared" si="334"/>
        <v>43983</v>
      </c>
      <c r="AB39" s="49">
        <f t="shared" si="334"/>
        <v>43984</v>
      </c>
      <c r="AC39" s="49">
        <f t="shared" si="334"/>
        <v>43985</v>
      </c>
      <c r="AD39" s="49">
        <f t="shared" si="334"/>
        <v>43986</v>
      </c>
      <c r="AE39" s="49">
        <f t="shared" si="334"/>
        <v>43987</v>
      </c>
      <c r="AF39" s="49">
        <f t="shared" si="334"/>
        <v>43988</v>
      </c>
      <c r="AG39" s="49">
        <f t="shared" si="334"/>
        <v>43989</v>
      </c>
      <c r="AH39" s="49">
        <f t="shared" si="334"/>
        <v>43990</v>
      </c>
      <c r="AI39" s="49">
        <f t="shared" si="334"/>
        <v>43991</v>
      </c>
      <c r="AJ39" s="49">
        <f t="shared" si="334"/>
        <v>43992</v>
      </c>
      <c r="AK39" s="49">
        <f t="shared" si="334"/>
        <v>43993</v>
      </c>
      <c r="AL39" s="49">
        <f t="shared" si="334"/>
        <v>43994</v>
      </c>
      <c r="AM39" s="49">
        <f t="shared" si="334"/>
        <v>43995</v>
      </c>
      <c r="AN39" s="49">
        <f t="shared" si="334"/>
        <v>43996</v>
      </c>
      <c r="AO39" s="49">
        <f t="shared" si="334"/>
        <v>43997</v>
      </c>
      <c r="AP39" s="49">
        <f t="shared" si="334"/>
        <v>43998</v>
      </c>
      <c r="AQ39" s="49">
        <f t="shared" si="334"/>
        <v>43999</v>
      </c>
      <c r="AR39" s="49">
        <f t="shared" si="334"/>
        <v>44000</v>
      </c>
      <c r="AS39" s="49">
        <f t="shared" si="334"/>
        <v>44001</v>
      </c>
      <c r="AT39" s="49">
        <f t="shared" si="334"/>
        <v>44002</v>
      </c>
      <c r="AU39" s="49">
        <f t="shared" si="334"/>
        <v>44003</v>
      </c>
      <c r="AV39" s="49">
        <f t="shared" si="334"/>
        <v>44004</v>
      </c>
      <c r="AW39" s="49">
        <f t="shared" si="334"/>
        <v>44005</v>
      </c>
      <c r="AX39" s="49">
        <f t="shared" si="334"/>
        <v>44006</v>
      </c>
      <c r="AY39" s="49">
        <f t="shared" ref="AY39:BW39" si="335">AY1</f>
        <v>44007</v>
      </c>
      <c r="AZ39" s="49">
        <f t="shared" si="335"/>
        <v>44008</v>
      </c>
      <c r="BA39" s="49">
        <f t="shared" si="335"/>
        <v>44009</v>
      </c>
      <c r="BB39" s="49">
        <f t="shared" si="335"/>
        <v>44010</v>
      </c>
      <c r="BC39" s="49">
        <f t="shared" si="335"/>
        <v>44011</v>
      </c>
      <c r="BD39" s="49">
        <f t="shared" si="335"/>
        <v>44012</v>
      </c>
      <c r="BE39" s="49">
        <f t="shared" si="335"/>
        <v>44013</v>
      </c>
      <c r="BF39" s="49">
        <f t="shared" si="335"/>
        <v>44014</v>
      </c>
      <c r="BG39" s="49">
        <f t="shared" si="335"/>
        <v>44015</v>
      </c>
      <c r="BH39" s="49">
        <f t="shared" si="335"/>
        <v>44016</v>
      </c>
      <c r="BI39" s="49">
        <f t="shared" si="335"/>
        <v>44017</v>
      </c>
      <c r="BJ39" s="49">
        <f t="shared" si="335"/>
        <v>44018</v>
      </c>
      <c r="BK39" s="49">
        <f t="shared" si="335"/>
        <v>44019</v>
      </c>
      <c r="BL39" s="49">
        <f t="shared" si="335"/>
        <v>44020</v>
      </c>
      <c r="BM39" s="49">
        <f t="shared" si="335"/>
        <v>44021</v>
      </c>
      <c r="BN39" s="49">
        <f t="shared" si="335"/>
        <v>44022</v>
      </c>
      <c r="BO39" s="49">
        <f t="shared" si="335"/>
        <v>44023</v>
      </c>
      <c r="BP39" s="49">
        <f t="shared" si="335"/>
        <v>44024</v>
      </c>
      <c r="BQ39" s="49">
        <f t="shared" si="335"/>
        <v>44025</v>
      </c>
      <c r="BR39" s="49">
        <f t="shared" si="335"/>
        <v>44026</v>
      </c>
      <c r="BS39" s="49">
        <f t="shared" si="335"/>
        <v>44027</v>
      </c>
      <c r="BT39" s="49">
        <f t="shared" si="335"/>
        <v>44028</v>
      </c>
      <c r="BU39" s="49">
        <f t="shared" si="335"/>
        <v>44029</v>
      </c>
      <c r="BV39" s="49">
        <f t="shared" si="335"/>
        <v>44030</v>
      </c>
      <c r="BW39" s="49">
        <f t="shared" si="335"/>
        <v>44031</v>
      </c>
      <c r="BX39" s="49"/>
      <c r="BY39" s="49"/>
      <c r="BZ39" s="49"/>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c r="DA39" s="49"/>
      <c r="DB39" s="49"/>
      <c r="DC39" s="49"/>
      <c r="DD39" s="49"/>
      <c r="DE39" s="49"/>
      <c r="DF39" s="49"/>
      <c r="DG39" s="49"/>
      <c r="DH39" s="49"/>
      <c r="DI39" s="49"/>
      <c r="DJ39" s="49"/>
      <c r="DK39" s="49"/>
      <c r="DL39" s="49"/>
      <c r="DM39" s="49"/>
      <c r="DN39" s="49"/>
      <c r="DO39" s="49"/>
      <c r="DP39" s="49"/>
      <c r="DQ39" s="49"/>
      <c r="DR39" s="49"/>
      <c r="DS39" s="49">
        <f t="shared" ref="DS39:DY39" si="336">DS1</f>
        <v>44067</v>
      </c>
      <c r="DT39" s="49">
        <f t="shared" si="336"/>
        <v>44068</v>
      </c>
      <c r="DU39" s="49">
        <f t="shared" si="336"/>
        <v>44069</v>
      </c>
      <c r="DV39" s="49">
        <f t="shared" si="336"/>
        <v>44070</v>
      </c>
      <c r="DW39" s="49">
        <f t="shared" si="336"/>
        <v>44071</v>
      </c>
      <c r="DX39" s="49">
        <f t="shared" si="336"/>
        <v>44072</v>
      </c>
      <c r="DY39" s="49">
        <f t="shared" si="336"/>
        <v>44073</v>
      </c>
      <c r="DZ39" s="49"/>
      <c r="EA39" s="49"/>
      <c r="EB39" s="49">
        <f t="shared" ref="EB39:EH39" si="337">EB1</f>
        <v>44074</v>
      </c>
      <c r="EC39" s="49">
        <f t="shared" si="337"/>
        <v>44075</v>
      </c>
      <c r="ED39" s="49">
        <f t="shared" si="337"/>
        <v>44076</v>
      </c>
      <c r="EE39" s="49">
        <f t="shared" si="337"/>
        <v>44077</v>
      </c>
      <c r="EF39" s="49">
        <f t="shared" si="337"/>
        <v>44078</v>
      </c>
      <c r="EG39" s="49">
        <f t="shared" si="337"/>
        <v>44079</v>
      </c>
      <c r="EH39" s="49">
        <f t="shared" si="337"/>
        <v>44080</v>
      </c>
      <c r="EI39" s="49"/>
      <c r="EJ39" s="49"/>
      <c r="EK39" s="49">
        <f t="shared" ref="EK39:EQ39" si="338">EK1</f>
        <v>44081</v>
      </c>
      <c r="EL39" s="49">
        <f t="shared" si="338"/>
        <v>44082</v>
      </c>
      <c r="EM39" s="49">
        <f t="shared" si="338"/>
        <v>44083</v>
      </c>
      <c r="EN39" s="49">
        <f t="shared" si="338"/>
        <v>44084</v>
      </c>
      <c r="EO39" s="49">
        <f t="shared" si="338"/>
        <v>44085</v>
      </c>
      <c r="EP39" s="49">
        <f t="shared" si="338"/>
        <v>44086</v>
      </c>
      <c r="EQ39" s="49">
        <f t="shared" si="338"/>
        <v>44087</v>
      </c>
      <c r="ER39" s="49"/>
      <c r="ES39" s="49"/>
      <c r="ET39" s="49">
        <f t="shared" ref="ET39:EZ39" si="339">ET1</f>
        <v>44088</v>
      </c>
      <c r="EU39" s="49">
        <f t="shared" si="339"/>
        <v>44089</v>
      </c>
      <c r="EV39" s="49">
        <f t="shared" si="339"/>
        <v>44090</v>
      </c>
      <c r="EW39" s="49">
        <f t="shared" si="339"/>
        <v>44091</v>
      </c>
      <c r="EX39" s="49">
        <f t="shared" si="339"/>
        <v>44092</v>
      </c>
      <c r="EY39" s="49">
        <f t="shared" si="339"/>
        <v>44093</v>
      </c>
      <c r="EZ39" s="49">
        <f t="shared" si="339"/>
        <v>44094</v>
      </c>
      <c r="FA39" s="49"/>
      <c r="FB39" s="49"/>
      <c r="FC39" s="49">
        <f t="shared" ref="FC39:FI39" si="340">FC1</f>
        <v>44095</v>
      </c>
      <c r="FD39" s="49">
        <f t="shared" si="340"/>
        <v>44096</v>
      </c>
      <c r="FE39" s="49">
        <f t="shared" si="340"/>
        <v>44097</v>
      </c>
      <c r="FF39" s="49">
        <f t="shared" si="340"/>
        <v>44098</v>
      </c>
      <c r="FG39" s="49">
        <f t="shared" si="340"/>
        <v>44099</v>
      </c>
      <c r="FH39" s="49">
        <f t="shared" si="340"/>
        <v>44100</v>
      </c>
      <c r="FI39" s="49">
        <f t="shared" si="340"/>
        <v>44101</v>
      </c>
      <c r="FJ39" s="49"/>
      <c r="FK39" s="49"/>
      <c r="FL39" s="49">
        <f t="shared" ref="FL39:GQ39" si="341">FL1</f>
        <v>44102</v>
      </c>
      <c r="FM39" s="49">
        <f t="shared" si="341"/>
        <v>44103</v>
      </c>
      <c r="FN39" s="49">
        <f t="shared" si="341"/>
        <v>44104</v>
      </c>
      <c r="FO39" s="49">
        <f t="shared" si="341"/>
        <v>44105</v>
      </c>
      <c r="FP39" s="49">
        <f t="shared" si="341"/>
        <v>44106</v>
      </c>
      <c r="FQ39" s="49">
        <f t="shared" si="341"/>
        <v>44107</v>
      </c>
      <c r="FR39" s="49">
        <f t="shared" si="341"/>
        <v>44108</v>
      </c>
      <c r="FS39" s="49">
        <f t="shared" si="341"/>
        <v>44109</v>
      </c>
      <c r="FT39" s="49">
        <f t="shared" si="341"/>
        <v>44110</v>
      </c>
      <c r="FU39" s="49">
        <f t="shared" si="341"/>
        <v>44111</v>
      </c>
      <c r="FV39" s="49">
        <f t="shared" si="341"/>
        <v>44112</v>
      </c>
      <c r="FW39" s="49">
        <f t="shared" si="341"/>
        <v>44113</v>
      </c>
      <c r="FX39" s="49">
        <f t="shared" si="341"/>
        <v>44114</v>
      </c>
      <c r="FY39" s="49">
        <f t="shared" si="341"/>
        <v>44115</v>
      </c>
      <c r="FZ39" s="49">
        <f t="shared" si="341"/>
        <v>44116</v>
      </c>
      <c r="GA39" s="49">
        <f t="shared" si="341"/>
        <v>44117</v>
      </c>
      <c r="GB39" s="49">
        <f t="shared" si="341"/>
        <v>44118</v>
      </c>
      <c r="GC39" s="49">
        <f t="shared" si="341"/>
        <v>44119</v>
      </c>
      <c r="GD39" s="49">
        <f t="shared" si="341"/>
        <v>44120</v>
      </c>
      <c r="GE39" s="49">
        <f t="shared" si="341"/>
        <v>44121</v>
      </c>
      <c r="GF39" s="49">
        <f t="shared" si="341"/>
        <v>44122</v>
      </c>
      <c r="GG39" s="49">
        <f t="shared" si="341"/>
        <v>44123</v>
      </c>
      <c r="GH39" s="49">
        <f t="shared" si="341"/>
        <v>44124</v>
      </c>
      <c r="GI39" s="49">
        <f t="shared" si="341"/>
        <v>44125</v>
      </c>
      <c r="GJ39" s="49">
        <f t="shared" si="341"/>
        <v>44126</v>
      </c>
      <c r="GK39" s="49">
        <f t="shared" si="341"/>
        <v>44127</v>
      </c>
      <c r="GL39" s="49">
        <f t="shared" si="341"/>
        <v>44128</v>
      </c>
      <c r="GM39" s="49">
        <f t="shared" si="341"/>
        <v>44129</v>
      </c>
      <c r="GN39" s="49">
        <f t="shared" si="341"/>
        <v>44130</v>
      </c>
      <c r="GO39" s="49">
        <f t="shared" si="341"/>
        <v>44131</v>
      </c>
      <c r="GP39" s="49">
        <f t="shared" si="341"/>
        <v>44132</v>
      </c>
      <c r="GQ39" s="49">
        <f t="shared" si="341"/>
        <v>44133</v>
      </c>
      <c r="GR39" s="49">
        <f t="shared" ref="GR39:HW39" si="342">GR1</f>
        <v>44134</v>
      </c>
      <c r="GS39" s="49">
        <f t="shared" si="342"/>
        <v>44135</v>
      </c>
      <c r="GT39" s="49">
        <f t="shared" si="342"/>
        <v>44136</v>
      </c>
      <c r="GU39" s="49">
        <f t="shared" si="342"/>
        <v>44137</v>
      </c>
      <c r="GV39" s="49">
        <f t="shared" si="342"/>
        <v>44138</v>
      </c>
      <c r="GW39" s="49">
        <f t="shared" si="342"/>
        <v>44139</v>
      </c>
      <c r="GX39" s="49">
        <f t="shared" si="342"/>
        <v>44140</v>
      </c>
      <c r="GY39" s="49">
        <f t="shared" si="342"/>
        <v>44141</v>
      </c>
      <c r="GZ39" s="49">
        <f t="shared" si="342"/>
        <v>44142</v>
      </c>
      <c r="HA39" s="49">
        <f t="shared" si="342"/>
        <v>44143</v>
      </c>
      <c r="HB39" s="49">
        <f t="shared" si="342"/>
        <v>44144</v>
      </c>
      <c r="HC39" s="49">
        <f t="shared" si="342"/>
        <v>44145</v>
      </c>
      <c r="HD39" s="49">
        <f t="shared" si="342"/>
        <v>44146</v>
      </c>
      <c r="HE39" s="49">
        <f t="shared" si="342"/>
        <v>44147</v>
      </c>
      <c r="HF39" s="49">
        <f t="shared" si="342"/>
        <v>44148</v>
      </c>
      <c r="HG39" s="49">
        <f t="shared" si="342"/>
        <v>44149</v>
      </c>
      <c r="HH39" s="49">
        <f t="shared" si="342"/>
        <v>44150</v>
      </c>
      <c r="HI39" s="49">
        <f t="shared" si="342"/>
        <v>44151</v>
      </c>
      <c r="HJ39" s="49">
        <f t="shared" si="342"/>
        <v>44152</v>
      </c>
      <c r="HK39" s="49">
        <f t="shared" si="342"/>
        <v>44153</v>
      </c>
      <c r="HL39" s="49">
        <f t="shared" si="342"/>
        <v>44154</v>
      </c>
      <c r="HM39" s="49">
        <f t="shared" si="342"/>
        <v>44155</v>
      </c>
      <c r="HN39" s="49">
        <f t="shared" si="342"/>
        <v>44156</v>
      </c>
      <c r="HO39" s="49">
        <f t="shared" si="342"/>
        <v>44157</v>
      </c>
      <c r="HP39" s="49">
        <f t="shared" si="342"/>
        <v>44158</v>
      </c>
      <c r="HQ39" s="49">
        <f t="shared" si="342"/>
        <v>44159</v>
      </c>
      <c r="HR39" s="49">
        <f t="shared" si="342"/>
        <v>44160</v>
      </c>
      <c r="HS39" s="49">
        <f t="shared" si="342"/>
        <v>44161</v>
      </c>
      <c r="HT39" s="49">
        <f t="shared" si="342"/>
        <v>44162</v>
      </c>
      <c r="HU39" s="49">
        <f t="shared" si="342"/>
        <v>44163</v>
      </c>
      <c r="HV39" s="49">
        <f t="shared" si="342"/>
        <v>44164</v>
      </c>
      <c r="HW39" s="49">
        <f t="shared" si="342"/>
        <v>44165</v>
      </c>
      <c r="HX39" s="49">
        <f t="shared" ref="HX39:JC39" si="343">HX1</f>
        <v>44166</v>
      </c>
      <c r="HY39" s="49">
        <f t="shared" si="343"/>
        <v>44167</v>
      </c>
      <c r="HZ39" s="49">
        <f t="shared" si="343"/>
        <v>44168</v>
      </c>
      <c r="IA39" s="49">
        <f t="shared" si="343"/>
        <v>44169</v>
      </c>
      <c r="IB39" s="49">
        <f t="shared" si="343"/>
        <v>44170</v>
      </c>
      <c r="IC39" s="49">
        <f t="shared" si="343"/>
        <v>44171</v>
      </c>
      <c r="ID39" s="49">
        <f t="shared" si="343"/>
        <v>44172</v>
      </c>
      <c r="IE39" s="49">
        <f t="shared" si="343"/>
        <v>44173</v>
      </c>
      <c r="IF39" s="49">
        <f t="shared" si="343"/>
        <v>44174</v>
      </c>
      <c r="IG39" s="49">
        <f t="shared" si="343"/>
        <v>44175</v>
      </c>
      <c r="IH39" s="49">
        <f t="shared" si="343"/>
        <v>44176</v>
      </c>
      <c r="II39" s="49">
        <f t="shared" si="343"/>
        <v>44177</v>
      </c>
      <c r="IJ39" s="49">
        <f t="shared" si="343"/>
        <v>44178</v>
      </c>
      <c r="IK39" s="49">
        <f t="shared" si="343"/>
        <v>44179</v>
      </c>
      <c r="IL39" s="49">
        <f t="shared" si="343"/>
        <v>44180</v>
      </c>
      <c r="IM39" s="49">
        <f t="shared" si="343"/>
        <v>44181</v>
      </c>
      <c r="IN39" s="49">
        <f t="shared" si="343"/>
        <v>44182</v>
      </c>
      <c r="IO39" s="49">
        <f t="shared" si="343"/>
        <v>44183</v>
      </c>
      <c r="IP39" s="49">
        <f t="shared" si="343"/>
        <v>44184</v>
      </c>
      <c r="IQ39" s="49">
        <f t="shared" si="343"/>
        <v>44185</v>
      </c>
      <c r="IR39" s="49">
        <f t="shared" si="343"/>
        <v>44186</v>
      </c>
      <c r="IS39" s="49">
        <f t="shared" si="343"/>
        <v>44187</v>
      </c>
      <c r="IT39" s="49">
        <f t="shared" si="343"/>
        <v>44188</v>
      </c>
      <c r="IU39" s="49">
        <f t="shared" si="343"/>
        <v>44189</v>
      </c>
      <c r="IV39" s="49">
        <f t="shared" si="343"/>
        <v>44190</v>
      </c>
      <c r="IW39" s="49">
        <f t="shared" si="343"/>
        <v>44191</v>
      </c>
      <c r="IX39" s="49">
        <f t="shared" si="343"/>
        <v>44192</v>
      </c>
      <c r="IY39" s="49">
        <f t="shared" si="343"/>
        <v>44193</v>
      </c>
      <c r="IZ39" s="49">
        <f t="shared" si="343"/>
        <v>44194</v>
      </c>
      <c r="JA39" s="49">
        <f t="shared" si="343"/>
        <v>44195</v>
      </c>
      <c r="JB39" s="49">
        <f t="shared" si="343"/>
        <v>44196</v>
      </c>
      <c r="JC39" s="49">
        <f t="shared" si="343"/>
        <v>44197</v>
      </c>
      <c r="JD39" s="49">
        <f t="shared" ref="JD39:KI39" si="344">JD1</f>
        <v>44198</v>
      </c>
      <c r="JE39" s="49">
        <f t="shared" si="344"/>
        <v>44199</v>
      </c>
      <c r="JF39" s="49">
        <f t="shared" si="344"/>
        <v>44200</v>
      </c>
      <c r="JG39" s="49">
        <f t="shared" si="344"/>
        <v>44201</v>
      </c>
      <c r="JH39" s="49">
        <f t="shared" si="344"/>
        <v>44202</v>
      </c>
      <c r="JI39" s="49">
        <f t="shared" si="344"/>
        <v>44203</v>
      </c>
      <c r="JJ39" s="49">
        <f t="shared" si="344"/>
        <v>44204</v>
      </c>
      <c r="JK39" s="49">
        <f t="shared" si="344"/>
        <v>44205</v>
      </c>
      <c r="JL39" s="49">
        <f t="shared" si="344"/>
        <v>44206</v>
      </c>
      <c r="JM39" s="49">
        <f t="shared" si="344"/>
        <v>44207</v>
      </c>
      <c r="JN39" s="49">
        <f t="shared" si="344"/>
        <v>44208</v>
      </c>
      <c r="JO39" s="49">
        <f t="shared" si="344"/>
        <v>44209</v>
      </c>
      <c r="JP39" s="49">
        <f t="shared" si="344"/>
        <v>44210</v>
      </c>
      <c r="JQ39" s="49">
        <f t="shared" si="344"/>
        <v>44211</v>
      </c>
      <c r="JR39" s="49">
        <f t="shared" si="344"/>
        <v>44212</v>
      </c>
      <c r="JS39" s="49">
        <f t="shared" si="344"/>
        <v>44213</v>
      </c>
      <c r="JT39" s="49">
        <f t="shared" si="344"/>
        <v>44214</v>
      </c>
      <c r="JU39" s="49">
        <f t="shared" si="344"/>
        <v>44215</v>
      </c>
      <c r="JV39" s="49">
        <f t="shared" si="344"/>
        <v>44216</v>
      </c>
      <c r="JW39" s="49">
        <f t="shared" si="344"/>
        <v>44217</v>
      </c>
      <c r="JX39" s="49">
        <f t="shared" si="344"/>
        <v>44218</v>
      </c>
      <c r="JY39" s="49">
        <f t="shared" si="344"/>
        <v>44219</v>
      </c>
      <c r="JZ39" s="49">
        <f t="shared" si="344"/>
        <v>44220</v>
      </c>
      <c r="KA39" s="49">
        <f t="shared" si="344"/>
        <v>44221</v>
      </c>
      <c r="KB39" s="49">
        <f t="shared" si="344"/>
        <v>44222</v>
      </c>
      <c r="KC39" s="49">
        <f t="shared" si="344"/>
        <v>44223</v>
      </c>
      <c r="KD39" s="49">
        <f t="shared" si="344"/>
        <v>44224</v>
      </c>
      <c r="KE39" s="49">
        <f t="shared" si="344"/>
        <v>44225</v>
      </c>
      <c r="KF39" s="49">
        <f t="shared" si="344"/>
        <v>44226</v>
      </c>
      <c r="KG39" s="49">
        <f t="shared" si="344"/>
        <v>44227</v>
      </c>
      <c r="KH39" s="49">
        <f t="shared" si="344"/>
        <v>44228</v>
      </c>
      <c r="KI39" s="49">
        <f t="shared" si="344"/>
        <v>44229</v>
      </c>
      <c r="KJ39" s="49">
        <f t="shared" ref="KJ39:LO39" si="345">KJ1</f>
        <v>44230</v>
      </c>
      <c r="KK39" s="49">
        <f t="shared" si="345"/>
        <v>44231</v>
      </c>
      <c r="KL39" s="49">
        <f t="shared" si="345"/>
        <v>44232</v>
      </c>
      <c r="KM39" s="49">
        <f t="shared" si="345"/>
        <v>44233</v>
      </c>
      <c r="KN39" s="49">
        <f t="shared" si="345"/>
        <v>44234</v>
      </c>
      <c r="KO39" s="49">
        <f t="shared" si="345"/>
        <v>44235</v>
      </c>
      <c r="KP39" s="49">
        <f t="shared" si="345"/>
        <v>44236</v>
      </c>
      <c r="KQ39" s="49">
        <f t="shared" si="345"/>
        <v>44237</v>
      </c>
      <c r="KR39" s="49">
        <f t="shared" si="345"/>
        <v>44238</v>
      </c>
      <c r="KS39" s="49">
        <f t="shared" si="345"/>
        <v>44239</v>
      </c>
      <c r="KT39" s="49">
        <f t="shared" si="345"/>
        <v>44240</v>
      </c>
      <c r="KU39" s="49">
        <f t="shared" si="345"/>
        <v>44241</v>
      </c>
      <c r="KV39" s="49">
        <f t="shared" si="345"/>
        <v>44242</v>
      </c>
      <c r="KW39" s="49">
        <f t="shared" si="345"/>
        <v>44243</v>
      </c>
      <c r="KX39" s="49">
        <f t="shared" si="345"/>
        <v>44244</v>
      </c>
      <c r="KY39" s="49">
        <f t="shared" si="345"/>
        <v>44245</v>
      </c>
      <c r="KZ39" s="49">
        <f t="shared" si="345"/>
        <v>44246</v>
      </c>
      <c r="LA39" s="49">
        <f t="shared" si="345"/>
        <v>44247</v>
      </c>
      <c r="LB39" s="49">
        <f t="shared" si="345"/>
        <v>44248</v>
      </c>
      <c r="LC39" s="49">
        <f t="shared" si="345"/>
        <v>44249</v>
      </c>
      <c r="LD39" s="49">
        <f t="shared" si="345"/>
        <v>44250</v>
      </c>
      <c r="LE39" s="49">
        <f t="shared" si="345"/>
        <v>44251</v>
      </c>
      <c r="LF39" s="49">
        <f t="shared" si="345"/>
        <v>44252</v>
      </c>
      <c r="LG39" s="49">
        <f t="shared" si="345"/>
        <v>44253</v>
      </c>
      <c r="LH39" s="49">
        <f t="shared" si="345"/>
        <v>44254</v>
      </c>
      <c r="LI39" s="49">
        <f t="shared" si="345"/>
        <v>44255</v>
      </c>
      <c r="LJ39" s="49">
        <f t="shared" si="345"/>
        <v>44256</v>
      </c>
      <c r="LK39" s="49">
        <f t="shared" si="345"/>
        <v>44257</v>
      </c>
      <c r="LL39" s="49">
        <f t="shared" si="345"/>
        <v>44258</v>
      </c>
      <c r="LM39" s="49">
        <f t="shared" si="345"/>
        <v>44259</v>
      </c>
      <c r="LN39" s="49">
        <f t="shared" si="345"/>
        <v>44260</v>
      </c>
      <c r="LO39" s="49">
        <f t="shared" si="345"/>
        <v>44261</v>
      </c>
      <c r="LP39" s="49">
        <f t="shared" ref="LP39:MR39" si="346">LP1</f>
        <v>44262</v>
      </c>
      <c r="LQ39" s="49">
        <f t="shared" si="346"/>
        <v>44263</v>
      </c>
      <c r="LR39" s="49">
        <f t="shared" si="346"/>
        <v>44264</v>
      </c>
      <c r="LS39" s="49">
        <f t="shared" si="346"/>
        <v>44265</v>
      </c>
      <c r="LT39" s="49">
        <f t="shared" si="346"/>
        <v>44266</v>
      </c>
      <c r="LU39" s="49">
        <f t="shared" si="346"/>
        <v>44267</v>
      </c>
      <c r="LV39" s="49">
        <f t="shared" si="346"/>
        <v>44268</v>
      </c>
      <c r="LW39" s="49">
        <f t="shared" si="346"/>
        <v>44269</v>
      </c>
      <c r="LX39" s="49">
        <f t="shared" si="346"/>
        <v>44270</v>
      </c>
      <c r="LY39" s="49">
        <f t="shared" si="346"/>
        <v>44271</v>
      </c>
      <c r="LZ39" s="49">
        <f t="shared" si="346"/>
        <v>44272</v>
      </c>
      <c r="MA39" s="49">
        <f t="shared" si="346"/>
        <v>44273</v>
      </c>
      <c r="MB39" s="49">
        <f t="shared" si="346"/>
        <v>44274</v>
      </c>
      <c r="MC39" s="49">
        <f t="shared" si="346"/>
        <v>44275</v>
      </c>
      <c r="MD39" s="49">
        <f t="shared" si="346"/>
        <v>44276</v>
      </c>
      <c r="ME39" s="49">
        <f t="shared" si="346"/>
        <v>44277</v>
      </c>
      <c r="MF39" s="49">
        <f t="shared" si="346"/>
        <v>44278</v>
      </c>
      <c r="MG39" s="49">
        <f t="shared" si="346"/>
        <v>44279</v>
      </c>
      <c r="MH39" s="49">
        <f t="shared" si="346"/>
        <v>44280</v>
      </c>
      <c r="MI39" s="49">
        <f t="shared" si="346"/>
        <v>44281</v>
      </c>
      <c r="MJ39" s="49">
        <f t="shared" si="346"/>
        <v>44282</v>
      </c>
      <c r="MK39" s="49">
        <f t="shared" si="346"/>
        <v>44283</v>
      </c>
      <c r="ML39" s="49">
        <f t="shared" si="346"/>
        <v>44284</v>
      </c>
      <c r="MM39" s="49">
        <f t="shared" si="346"/>
        <v>44285</v>
      </c>
      <c r="MN39" s="49">
        <f t="shared" si="346"/>
        <v>44286</v>
      </c>
      <c r="MO39" s="49">
        <f t="shared" si="346"/>
        <v>44287</v>
      </c>
      <c r="MP39" s="49">
        <f t="shared" si="346"/>
        <v>44288</v>
      </c>
      <c r="MQ39" s="49">
        <f t="shared" si="346"/>
        <v>44289</v>
      </c>
      <c r="MR39" s="49">
        <f t="shared" si="346"/>
        <v>44290</v>
      </c>
    </row>
    <row r="40" spans="1:356" ht="15" customHeight="1" x14ac:dyDescent="0.25">
      <c r="A40" s="143" t="s">
        <v>144</v>
      </c>
      <c r="B40" s="143"/>
      <c r="C40" s="143"/>
      <c r="D40" s="143"/>
      <c r="E40" s="144"/>
      <c r="F40" s="36"/>
      <c r="G40" s="36"/>
      <c r="H40" s="36"/>
      <c r="I40" s="36"/>
      <c r="J40" s="36"/>
      <c r="K40" s="36"/>
      <c r="L40" s="36"/>
      <c r="M40" s="36"/>
      <c r="N40" s="36"/>
      <c r="O40" s="35"/>
      <c r="P40" s="154" t="s">
        <v>49</v>
      </c>
      <c r="Q40" s="154" t="s">
        <v>48</v>
      </c>
      <c r="R40" s="155"/>
      <c r="S40" s="54">
        <f>S39</f>
        <v>43975</v>
      </c>
      <c r="T40" s="55">
        <f t="shared" ref="T40:BV40" si="347">T39</f>
        <v>43976</v>
      </c>
      <c r="U40" s="54">
        <f t="shared" si="347"/>
        <v>43977</v>
      </c>
      <c r="V40" s="54">
        <f t="shared" si="347"/>
        <v>43978</v>
      </c>
      <c r="W40" s="54">
        <f t="shared" si="347"/>
        <v>43979</v>
      </c>
      <c r="X40" s="54">
        <f t="shared" si="347"/>
        <v>43980</v>
      </c>
      <c r="Y40" s="54">
        <f t="shared" si="347"/>
        <v>43981</v>
      </c>
      <c r="Z40" s="53">
        <f t="shared" si="347"/>
        <v>43982</v>
      </c>
      <c r="AA40" s="54">
        <f t="shared" si="347"/>
        <v>43983</v>
      </c>
      <c r="AB40" s="54">
        <f t="shared" si="347"/>
        <v>43984</v>
      </c>
      <c r="AC40" s="54">
        <f t="shared" si="347"/>
        <v>43985</v>
      </c>
      <c r="AD40" s="54">
        <f t="shared" si="347"/>
        <v>43986</v>
      </c>
      <c r="AE40" s="54">
        <f t="shared" si="347"/>
        <v>43987</v>
      </c>
      <c r="AF40" s="54">
        <f t="shared" si="347"/>
        <v>43988</v>
      </c>
      <c r="AG40" s="53">
        <f t="shared" si="347"/>
        <v>43989</v>
      </c>
      <c r="AH40" s="54">
        <f t="shared" si="347"/>
        <v>43990</v>
      </c>
      <c r="AI40" s="54">
        <f t="shared" si="347"/>
        <v>43991</v>
      </c>
      <c r="AJ40" s="54">
        <f t="shared" si="347"/>
        <v>43992</v>
      </c>
      <c r="AK40" s="54">
        <f t="shared" si="347"/>
        <v>43993</v>
      </c>
      <c r="AL40" s="54">
        <f t="shared" si="347"/>
        <v>43994</v>
      </c>
      <c r="AM40" s="54">
        <f t="shared" si="347"/>
        <v>43995</v>
      </c>
      <c r="AN40" s="53">
        <f t="shared" si="347"/>
        <v>43996</v>
      </c>
      <c r="AO40" s="54">
        <f t="shared" si="347"/>
        <v>43997</v>
      </c>
      <c r="AP40" s="54">
        <f t="shared" si="347"/>
        <v>43998</v>
      </c>
      <c r="AQ40" s="54">
        <f t="shared" si="347"/>
        <v>43999</v>
      </c>
      <c r="AR40" s="54">
        <f t="shared" si="347"/>
        <v>44000</v>
      </c>
      <c r="AS40" s="54">
        <f t="shared" si="347"/>
        <v>44001</v>
      </c>
      <c r="AT40" s="54">
        <f t="shared" si="347"/>
        <v>44002</v>
      </c>
      <c r="AU40" s="53">
        <f t="shared" si="347"/>
        <v>44003</v>
      </c>
      <c r="AV40" s="54">
        <f t="shared" si="347"/>
        <v>44004</v>
      </c>
      <c r="AW40" s="54">
        <f t="shared" si="347"/>
        <v>44005</v>
      </c>
      <c r="AX40" s="54">
        <f t="shared" si="347"/>
        <v>44006</v>
      </c>
      <c r="AY40" s="54">
        <f t="shared" si="347"/>
        <v>44007</v>
      </c>
      <c r="AZ40" s="54">
        <f t="shared" si="347"/>
        <v>44008</v>
      </c>
      <c r="BA40" s="54">
        <f t="shared" si="347"/>
        <v>44009</v>
      </c>
      <c r="BB40" s="53">
        <f t="shared" si="347"/>
        <v>44010</v>
      </c>
      <c r="BC40" s="54">
        <f t="shared" si="347"/>
        <v>44011</v>
      </c>
      <c r="BD40" s="54">
        <f t="shared" si="347"/>
        <v>44012</v>
      </c>
      <c r="BE40" s="54">
        <f t="shared" si="347"/>
        <v>44013</v>
      </c>
      <c r="BF40" s="54">
        <f t="shared" si="347"/>
        <v>44014</v>
      </c>
      <c r="BG40" s="54">
        <f t="shared" si="347"/>
        <v>44015</v>
      </c>
      <c r="BH40" s="54">
        <f t="shared" si="347"/>
        <v>44016</v>
      </c>
      <c r="BI40" s="53">
        <f t="shared" si="347"/>
        <v>44017</v>
      </c>
      <c r="BJ40" s="54">
        <f t="shared" si="347"/>
        <v>44018</v>
      </c>
      <c r="BK40" s="54">
        <f t="shared" si="347"/>
        <v>44019</v>
      </c>
      <c r="BL40" s="54">
        <f t="shared" si="347"/>
        <v>44020</v>
      </c>
      <c r="BM40" s="54">
        <f t="shared" si="347"/>
        <v>44021</v>
      </c>
      <c r="BN40" s="54">
        <f t="shared" si="347"/>
        <v>44022</v>
      </c>
      <c r="BO40" s="54">
        <f t="shared" si="347"/>
        <v>44023</v>
      </c>
      <c r="BP40" s="53">
        <v>12</v>
      </c>
      <c r="BQ40" s="54">
        <f t="shared" si="347"/>
        <v>44025</v>
      </c>
      <c r="BR40" s="54">
        <f t="shared" si="347"/>
        <v>44026</v>
      </c>
      <c r="BS40" s="54">
        <f t="shared" si="347"/>
        <v>44027</v>
      </c>
      <c r="BT40" s="54">
        <f t="shared" si="347"/>
        <v>44028</v>
      </c>
      <c r="BU40" s="54">
        <f t="shared" si="347"/>
        <v>44029</v>
      </c>
      <c r="BV40" s="54">
        <f t="shared" si="347"/>
        <v>44030</v>
      </c>
      <c r="BW40" s="54">
        <v>19</v>
      </c>
      <c r="BX40" s="54"/>
      <c r="BY40" s="53"/>
      <c r="BZ40" s="54"/>
      <c r="CA40" s="54"/>
      <c r="CB40" s="54"/>
      <c r="CC40" s="54"/>
      <c r="CD40" s="54"/>
      <c r="CE40" s="54"/>
      <c r="CF40" s="54"/>
      <c r="CG40" s="54"/>
      <c r="CH40" s="53"/>
      <c r="CI40" s="54"/>
      <c r="CJ40" s="54"/>
      <c r="CK40" s="54"/>
      <c r="CL40" s="54"/>
      <c r="CM40" s="54"/>
      <c r="CN40" s="54"/>
      <c r="CO40" s="54"/>
      <c r="CP40" s="54"/>
      <c r="CQ40" s="53"/>
      <c r="CR40" s="54"/>
      <c r="CS40" s="54"/>
      <c r="CT40" s="54"/>
      <c r="CU40" s="54"/>
      <c r="CV40" s="54"/>
      <c r="CW40" s="54"/>
      <c r="CX40" s="54"/>
      <c r="CY40" s="54"/>
      <c r="CZ40" s="53"/>
      <c r="DA40" s="54"/>
      <c r="DB40" s="54"/>
      <c r="DC40" s="54"/>
      <c r="DD40" s="54"/>
      <c r="DE40" s="54"/>
      <c r="DF40" s="54"/>
      <c r="DG40" s="54"/>
      <c r="DH40" s="54"/>
      <c r="DI40" s="53"/>
      <c r="DJ40" s="54"/>
      <c r="DK40" s="54"/>
      <c r="DL40" s="54"/>
      <c r="DM40" s="54"/>
      <c r="DN40" s="54"/>
      <c r="DO40" s="54"/>
      <c r="DP40" s="54"/>
      <c r="DQ40" s="54"/>
      <c r="DR40" s="53"/>
      <c r="DS40" s="54">
        <f t="shared" ref="DS40:FL40" si="348">DS39</f>
        <v>44067</v>
      </c>
      <c r="DT40" s="54">
        <f t="shared" si="348"/>
        <v>44068</v>
      </c>
      <c r="DU40" s="54">
        <f t="shared" si="348"/>
        <v>44069</v>
      </c>
      <c r="DV40" s="54">
        <f t="shared" si="348"/>
        <v>44070</v>
      </c>
      <c r="DW40" s="54">
        <f t="shared" si="348"/>
        <v>44071</v>
      </c>
      <c r="DX40" s="54">
        <f t="shared" ref="DX40:DY40" si="349">DX39</f>
        <v>44072</v>
      </c>
      <c r="DY40" s="54">
        <f t="shared" si="349"/>
        <v>44073</v>
      </c>
      <c r="DZ40" s="54"/>
      <c r="EA40" s="53"/>
      <c r="EB40" s="54">
        <f t="shared" si="348"/>
        <v>44074</v>
      </c>
      <c r="EC40" s="54">
        <f t="shared" si="348"/>
        <v>44075</v>
      </c>
      <c r="ED40" s="54">
        <f t="shared" si="348"/>
        <v>44076</v>
      </c>
      <c r="EE40" s="54">
        <f t="shared" si="348"/>
        <v>44077</v>
      </c>
      <c r="EF40" s="54">
        <f t="shared" si="348"/>
        <v>44078</v>
      </c>
      <c r="EG40" s="54">
        <f t="shared" si="348"/>
        <v>44079</v>
      </c>
      <c r="EH40" s="54">
        <f t="shared" si="348"/>
        <v>44080</v>
      </c>
      <c r="EI40" s="54"/>
      <c r="EJ40" s="53"/>
      <c r="EK40" s="54">
        <f t="shared" si="348"/>
        <v>44081</v>
      </c>
      <c r="EL40" s="54">
        <f t="shared" si="348"/>
        <v>44082</v>
      </c>
      <c r="EM40" s="54">
        <f t="shared" si="348"/>
        <v>44083</v>
      </c>
      <c r="EN40" s="54">
        <f t="shared" si="348"/>
        <v>44084</v>
      </c>
      <c r="EO40" s="54">
        <f t="shared" si="348"/>
        <v>44085</v>
      </c>
      <c r="EP40" s="54">
        <f t="shared" si="348"/>
        <v>44086</v>
      </c>
      <c r="EQ40" s="54">
        <f t="shared" si="348"/>
        <v>44087</v>
      </c>
      <c r="ER40" s="54"/>
      <c r="ES40" s="53"/>
      <c r="ET40" s="54">
        <f t="shared" si="348"/>
        <v>44088</v>
      </c>
      <c r="EU40" s="54">
        <f t="shared" si="348"/>
        <v>44089</v>
      </c>
      <c r="EV40" s="54">
        <f t="shared" si="348"/>
        <v>44090</v>
      </c>
      <c r="EW40" s="54">
        <f t="shared" si="348"/>
        <v>44091</v>
      </c>
      <c r="EX40" s="54">
        <f t="shared" si="348"/>
        <v>44092</v>
      </c>
      <c r="EY40" s="54">
        <f t="shared" si="348"/>
        <v>44093</v>
      </c>
      <c r="EZ40" s="54">
        <f t="shared" si="348"/>
        <v>44094</v>
      </c>
      <c r="FA40" s="54"/>
      <c r="FB40" s="53"/>
      <c r="FC40" s="54">
        <f t="shared" si="348"/>
        <v>44095</v>
      </c>
      <c r="FD40" s="54">
        <f t="shared" si="348"/>
        <v>44096</v>
      </c>
      <c r="FE40" s="54">
        <f t="shared" si="348"/>
        <v>44097</v>
      </c>
      <c r="FF40" s="54">
        <f t="shared" si="348"/>
        <v>44098</v>
      </c>
      <c r="FG40" s="54">
        <f t="shared" si="348"/>
        <v>44099</v>
      </c>
      <c r="FH40" s="54">
        <f t="shared" si="348"/>
        <v>44100</v>
      </c>
      <c r="FI40" s="54">
        <f t="shared" si="348"/>
        <v>44101</v>
      </c>
      <c r="FJ40" s="54"/>
      <c r="FK40" s="53"/>
      <c r="FL40" s="54">
        <f t="shared" si="348"/>
        <v>44102</v>
      </c>
      <c r="FM40" s="54">
        <f t="shared" ref="FM40:HX40" si="350">FM39</f>
        <v>44103</v>
      </c>
      <c r="FN40" s="54">
        <f t="shared" si="350"/>
        <v>44104</v>
      </c>
      <c r="FO40" s="54">
        <f t="shared" si="350"/>
        <v>44105</v>
      </c>
      <c r="FP40" s="54">
        <f t="shared" si="350"/>
        <v>44106</v>
      </c>
      <c r="FQ40" s="54">
        <f t="shared" si="350"/>
        <v>44107</v>
      </c>
      <c r="FR40" s="53">
        <f t="shared" si="350"/>
        <v>44108</v>
      </c>
      <c r="FS40" s="54">
        <f t="shared" si="350"/>
        <v>44109</v>
      </c>
      <c r="FT40" s="54">
        <f t="shared" si="350"/>
        <v>44110</v>
      </c>
      <c r="FU40" s="54">
        <f t="shared" si="350"/>
        <v>44111</v>
      </c>
      <c r="FV40" s="54">
        <f t="shared" si="350"/>
        <v>44112</v>
      </c>
      <c r="FW40" s="54">
        <f t="shared" si="350"/>
        <v>44113</v>
      </c>
      <c r="FX40" s="54">
        <f t="shared" si="350"/>
        <v>44114</v>
      </c>
      <c r="FY40" s="53">
        <f t="shared" si="350"/>
        <v>44115</v>
      </c>
      <c r="FZ40" s="54">
        <f t="shared" si="350"/>
        <v>44116</v>
      </c>
      <c r="GA40" s="54">
        <f t="shared" si="350"/>
        <v>44117</v>
      </c>
      <c r="GB40" s="54">
        <f t="shared" si="350"/>
        <v>44118</v>
      </c>
      <c r="GC40" s="54">
        <f t="shared" si="350"/>
        <v>44119</v>
      </c>
      <c r="GD40" s="54">
        <f t="shared" si="350"/>
        <v>44120</v>
      </c>
      <c r="GE40" s="54">
        <f t="shared" si="350"/>
        <v>44121</v>
      </c>
      <c r="GF40" s="53">
        <f t="shared" si="350"/>
        <v>44122</v>
      </c>
      <c r="GG40" s="54">
        <f t="shared" si="350"/>
        <v>44123</v>
      </c>
      <c r="GH40" s="54">
        <f t="shared" si="350"/>
        <v>44124</v>
      </c>
      <c r="GI40" s="54">
        <f t="shared" si="350"/>
        <v>44125</v>
      </c>
      <c r="GJ40" s="54">
        <f t="shared" si="350"/>
        <v>44126</v>
      </c>
      <c r="GK40" s="54">
        <f t="shared" si="350"/>
        <v>44127</v>
      </c>
      <c r="GL40" s="54">
        <f t="shared" si="350"/>
        <v>44128</v>
      </c>
      <c r="GM40" s="53">
        <f t="shared" si="350"/>
        <v>44129</v>
      </c>
      <c r="GN40" s="54">
        <f t="shared" si="350"/>
        <v>44130</v>
      </c>
      <c r="GO40" s="54">
        <f t="shared" si="350"/>
        <v>44131</v>
      </c>
      <c r="GP40" s="54">
        <f t="shared" si="350"/>
        <v>44132</v>
      </c>
      <c r="GQ40" s="54">
        <f t="shared" si="350"/>
        <v>44133</v>
      </c>
      <c r="GR40" s="54">
        <f t="shared" si="350"/>
        <v>44134</v>
      </c>
      <c r="GS40" s="54">
        <f t="shared" si="350"/>
        <v>44135</v>
      </c>
      <c r="GT40" s="53">
        <f t="shared" si="350"/>
        <v>44136</v>
      </c>
      <c r="GU40" s="54">
        <f t="shared" si="350"/>
        <v>44137</v>
      </c>
      <c r="GV40" s="54">
        <f t="shared" si="350"/>
        <v>44138</v>
      </c>
      <c r="GW40" s="54">
        <f t="shared" si="350"/>
        <v>44139</v>
      </c>
      <c r="GX40" s="54">
        <f t="shared" si="350"/>
        <v>44140</v>
      </c>
      <c r="GY40" s="54">
        <f t="shared" si="350"/>
        <v>44141</v>
      </c>
      <c r="GZ40" s="54">
        <f t="shared" si="350"/>
        <v>44142</v>
      </c>
      <c r="HA40" s="53">
        <f t="shared" si="350"/>
        <v>44143</v>
      </c>
      <c r="HB40" s="54">
        <f t="shared" si="350"/>
        <v>44144</v>
      </c>
      <c r="HC40" s="54">
        <f t="shared" si="350"/>
        <v>44145</v>
      </c>
      <c r="HD40" s="54">
        <f t="shared" si="350"/>
        <v>44146</v>
      </c>
      <c r="HE40" s="54">
        <f t="shared" si="350"/>
        <v>44147</v>
      </c>
      <c r="HF40" s="54">
        <f t="shared" si="350"/>
        <v>44148</v>
      </c>
      <c r="HG40" s="54">
        <f t="shared" si="350"/>
        <v>44149</v>
      </c>
      <c r="HH40" s="53">
        <f t="shared" si="350"/>
        <v>44150</v>
      </c>
      <c r="HI40" s="54">
        <f t="shared" si="350"/>
        <v>44151</v>
      </c>
      <c r="HJ40" s="54">
        <f t="shared" si="350"/>
        <v>44152</v>
      </c>
      <c r="HK40" s="54">
        <f t="shared" si="350"/>
        <v>44153</v>
      </c>
      <c r="HL40" s="54">
        <f t="shared" si="350"/>
        <v>44154</v>
      </c>
      <c r="HM40" s="54">
        <f t="shared" si="350"/>
        <v>44155</v>
      </c>
      <c r="HN40" s="54">
        <f t="shared" si="350"/>
        <v>44156</v>
      </c>
      <c r="HO40" s="53">
        <f t="shared" si="350"/>
        <v>44157</v>
      </c>
      <c r="HP40" s="54">
        <f t="shared" si="350"/>
        <v>44158</v>
      </c>
      <c r="HQ40" s="54">
        <f t="shared" si="350"/>
        <v>44159</v>
      </c>
      <c r="HR40" s="54">
        <f t="shared" si="350"/>
        <v>44160</v>
      </c>
      <c r="HS40" s="54">
        <f t="shared" si="350"/>
        <v>44161</v>
      </c>
      <c r="HT40" s="54">
        <f t="shared" si="350"/>
        <v>44162</v>
      </c>
      <c r="HU40" s="54">
        <f t="shared" si="350"/>
        <v>44163</v>
      </c>
      <c r="HV40" s="53">
        <f t="shared" si="350"/>
        <v>44164</v>
      </c>
      <c r="HW40" s="54">
        <f t="shared" si="350"/>
        <v>44165</v>
      </c>
      <c r="HX40" s="54">
        <f t="shared" si="350"/>
        <v>44166</v>
      </c>
      <c r="HY40" s="54">
        <f t="shared" ref="HY40:KJ40" si="351">HY39</f>
        <v>44167</v>
      </c>
      <c r="HZ40" s="54">
        <f t="shared" si="351"/>
        <v>44168</v>
      </c>
      <c r="IA40" s="54">
        <f t="shared" si="351"/>
        <v>44169</v>
      </c>
      <c r="IB40" s="54">
        <f t="shared" si="351"/>
        <v>44170</v>
      </c>
      <c r="IC40" s="53">
        <f t="shared" si="351"/>
        <v>44171</v>
      </c>
      <c r="ID40" s="54">
        <f t="shared" si="351"/>
        <v>44172</v>
      </c>
      <c r="IE40" s="54">
        <f t="shared" si="351"/>
        <v>44173</v>
      </c>
      <c r="IF40" s="54">
        <f t="shared" si="351"/>
        <v>44174</v>
      </c>
      <c r="IG40" s="54">
        <f t="shared" si="351"/>
        <v>44175</v>
      </c>
      <c r="IH40" s="54">
        <f t="shared" si="351"/>
        <v>44176</v>
      </c>
      <c r="II40" s="54">
        <f t="shared" si="351"/>
        <v>44177</v>
      </c>
      <c r="IJ40" s="53">
        <f t="shared" si="351"/>
        <v>44178</v>
      </c>
      <c r="IK40" s="54">
        <f t="shared" si="351"/>
        <v>44179</v>
      </c>
      <c r="IL40" s="54">
        <f t="shared" si="351"/>
        <v>44180</v>
      </c>
      <c r="IM40" s="54">
        <f t="shared" si="351"/>
        <v>44181</v>
      </c>
      <c r="IN40" s="54">
        <f t="shared" si="351"/>
        <v>44182</v>
      </c>
      <c r="IO40" s="54">
        <f t="shared" si="351"/>
        <v>44183</v>
      </c>
      <c r="IP40" s="54">
        <f t="shared" si="351"/>
        <v>44184</v>
      </c>
      <c r="IQ40" s="53">
        <f t="shared" si="351"/>
        <v>44185</v>
      </c>
      <c r="IR40" s="54">
        <f t="shared" si="351"/>
        <v>44186</v>
      </c>
      <c r="IS40" s="54">
        <f t="shared" si="351"/>
        <v>44187</v>
      </c>
      <c r="IT40" s="54">
        <f t="shared" si="351"/>
        <v>44188</v>
      </c>
      <c r="IU40" s="54">
        <f t="shared" si="351"/>
        <v>44189</v>
      </c>
      <c r="IV40" s="54">
        <f t="shared" si="351"/>
        <v>44190</v>
      </c>
      <c r="IW40" s="54">
        <f t="shared" si="351"/>
        <v>44191</v>
      </c>
      <c r="IX40" s="53">
        <f t="shared" si="351"/>
        <v>44192</v>
      </c>
      <c r="IY40" s="54">
        <f t="shared" si="351"/>
        <v>44193</v>
      </c>
      <c r="IZ40" s="54">
        <f t="shared" si="351"/>
        <v>44194</v>
      </c>
      <c r="JA40" s="54">
        <f t="shared" si="351"/>
        <v>44195</v>
      </c>
      <c r="JB40" s="54">
        <f t="shared" si="351"/>
        <v>44196</v>
      </c>
      <c r="JC40" s="54">
        <f t="shared" si="351"/>
        <v>44197</v>
      </c>
      <c r="JD40" s="54">
        <f t="shared" si="351"/>
        <v>44198</v>
      </c>
      <c r="JE40" s="53">
        <f t="shared" si="351"/>
        <v>44199</v>
      </c>
      <c r="JF40" s="54">
        <f t="shared" si="351"/>
        <v>44200</v>
      </c>
      <c r="JG40" s="54">
        <f t="shared" si="351"/>
        <v>44201</v>
      </c>
      <c r="JH40" s="54">
        <f t="shared" si="351"/>
        <v>44202</v>
      </c>
      <c r="JI40" s="54">
        <f t="shared" si="351"/>
        <v>44203</v>
      </c>
      <c r="JJ40" s="54">
        <f t="shared" si="351"/>
        <v>44204</v>
      </c>
      <c r="JK40" s="54">
        <f t="shared" si="351"/>
        <v>44205</v>
      </c>
      <c r="JL40" s="53">
        <f t="shared" si="351"/>
        <v>44206</v>
      </c>
      <c r="JM40" s="54">
        <f t="shared" si="351"/>
        <v>44207</v>
      </c>
      <c r="JN40" s="54">
        <f t="shared" si="351"/>
        <v>44208</v>
      </c>
      <c r="JO40" s="54">
        <f t="shared" si="351"/>
        <v>44209</v>
      </c>
      <c r="JP40" s="54">
        <f t="shared" si="351"/>
        <v>44210</v>
      </c>
      <c r="JQ40" s="54">
        <f t="shared" si="351"/>
        <v>44211</v>
      </c>
      <c r="JR40" s="54">
        <f t="shared" si="351"/>
        <v>44212</v>
      </c>
      <c r="JS40" s="53">
        <f t="shared" si="351"/>
        <v>44213</v>
      </c>
      <c r="JT40" s="54">
        <f t="shared" si="351"/>
        <v>44214</v>
      </c>
      <c r="JU40" s="54">
        <f t="shared" si="351"/>
        <v>44215</v>
      </c>
      <c r="JV40" s="54">
        <f t="shared" si="351"/>
        <v>44216</v>
      </c>
      <c r="JW40" s="54">
        <f t="shared" si="351"/>
        <v>44217</v>
      </c>
      <c r="JX40" s="54">
        <f t="shared" si="351"/>
        <v>44218</v>
      </c>
      <c r="JY40" s="54">
        <f t="shared" si="351"/>
        <v>44219</v>
      </c>
      <c r="JZ40" s="53">
        <f t="shared" si="351"/>
        <v>44220</v>
      </c>
      <c r="KA40" s="54">
        <f t="shared" si="351"/>
        <v>44221</v>
      </c>
      <c r="KB40" s="54">
        <f t="shared" si="351"/>
        <v>44222</v>
      </c>
      <c r="KC40" s="54">
        <f t="shared" si="351"/>
        <v>44223</v>
      </c>
      <c r="KD40" s="54">
        <f t="shared" si="351"/>
        <v>44224</v>
      </c>
      <c r="KE40" s="54">
        <f t="shared" si="351"/>
        <v>44225</v>
      </c>
      <c r="KF40" s="54">
        <f t="shared" si="351"/>
        <v>44226</v>
      </c>
      <c r="KG40" s="53">
        <f t="shared" si="351"/>
        <v>44227</v>
      </c>
      <c r="KH40" s="54">
        <f t="shared" si="351"/>
        <v>44228</v>
      </c>
      <c r="KI40" s="54">
        <f t="shared" si="351"/>
        <v>44229</v>
      </c>
      <c r="KJ40" s="54">
        <f t="shared" si="351"/>
        <v>44230</v>
      </c>
      <c r="KK40" s="54">
        <f t="shared" ref="KK40:MR40" si="352">KK39</f>
        <v>44231</v>
      </c>
      <c r="KL40" s="54">
        <f t="shared" si="352"/>
        <v>44232</v>
      </c>
      <c r="KM40" s="54">
        <f t="shared" si="352"/>
        <v>44233</v>
      </c>
      <c r="KN40" s="53">
        <f t="shared" si="352"/>
        <v>44234</v>
      </c>
      <c r="KO40" s="54">
        <f t="shared" si="352"/>
        <v>44235</v>
      </c>
      <c r="KP40" s="54">
        <f t="shared" si="352"/>
        <v>44236</v>
      </c>
      <c r="KQ40" s="54">
        <f t="shared" si="352"/>
        <v>44237</v>
      </c>
      <c r="KR40" s="54">
        <f t="shared" si="352"/>
        <v>44238</v>
      </c>
      <c r="KS40" s="54">
        <f t="shared" si="352"/>
        <v>44239</v>
      </c>
      <c r="KT40" s="54">
        <f t="shared" si="352"/>
        <v>44240</v>
      </c>
      <c r="KU40" s="53">
        <f t="shared" si="352"/>
        <v>44241</v>
      </c>
      <c r="KV40" s="54">
        <f t="shared" si="352"/>
        <v>44242</v>
      </c>
      <c r="KW40" s="54">
        <f t="shared" si="352"/>
        <v>44243</v>
      </c>
      <c r="KX40" s="54">
        <f t="shared" si="352"/>
        <v>44244</v>
      </c>
      <c r="KY40" s="54">
        <f t="shared" si="352"/>
        <v>44245</v>
      </c>
      <c r="KZ40" s="54">
        <f t="shared" si="352"/>
        <v>44246</v>
      </c>
      <c r="LA40" s="54">
        <f t="shared" si="352"/>
        <v>44247</v>
      </c>
      <c r="LB40" s="53">
        <f t="shared" si="352"/>
        <v>44248</v>
      </c>
      <c r="LC40" s="54">
        <f t="shared" si="352"/>
        <v>44249</v>
      </c>
      <c r="LD40" s="54">
        <f t="shared" si="352"/>
        <v>44250</v>
      </c>
      <c r="LE40" s="54">
        <f t="shared" si="352"/>
        <v>44251</v>
      </c>
      <c r="LF40" s="54">
        <f t="shared" si="352"/>
        <v>44252</v>
      </c>
      <c r="LG40" s="54">
        <f t="shared" si="352"/>
        <v>44253</v>
      </c>
      <c r="LH40" s="54">
        <f t="shared" si="352"/>
        <v>44254</v>
      </c>
      <c r="LI40" s="53">
        <f t="shared" si="352"/>
        <v>44255</v>
      </c>
      <c r="LJ40" s="54">
        <f t="shared" si="352"/>
        <v>44256</v>
      </c>
      <c r="LK40" s="54">
        <f t="shared" si="352"/>
        <v>44257</v>
      </c>
      <c r="LL40" s="54">
        <f t="shared" si="352"/>
        <v>44258</v>
      </c>
      <c r="LM40" s="54">
        <f t="shared" si="352"/>
        <v>44259</v>
      </c>
      <c r="LN40" s="54">
        <f t="shared" si="352"/>
        <v>44260</v>
      </c>
      <c r="LO40" s="54">
        <f t="shared" si="352"/>
        <v>44261</v>
      </c>
      <c r="LP40" s="53">
        <f t="shared" si="352"/>
        <v>44262</v>
      </c>
      <c r="LQ40" s="54">
        <f t="shared" si="352"/>
        <v>44263</v>
      </c>
      <c r="LR40" s="54">
        <f t="shared" si="352"/>
        <v>44264</v>
      </c>
      <c r="LS40" s="54">
        <f t="shared" si="352"/>
        <v>44265</v>
      </c>
      <c r="LT40" s="54">
        <f t="shared" si="352"/>
        <v>44266</v>
      </c>
      <c r="LU40" s="54">
        <f t="shared" si="352"/>
        <v>44267</v>
      </c>
      <c r="LV40" s="54">
        <f t="shared" si="352"/>
        <v>44268</v>
      </c>
      <c r="LW40" s="53">
        <f t="shared" si="352"/>
        <v>44269</v>
      </c>
      <c r="LX40" s="54">
        <f t="shared" si="352"/>
        <v>44270</v>
      </c>
      <c r="LY40" s="54">
        <f t="shared" si="352"/>
        <v>44271</v>
      </c>
      <c r="LZ40" s="54">
        <f t="shared" si="352"/>
        <v>44272</v>
      </c>
      <c r="MA40" s="54">
        <f t="shared" si="352"/>
        <v>44273</v>
      </c>
      <c r="MB40" s="54">
        <f t="shared" si="352"/>
        <v>44274</v>
      </c>
      <c r="MC40" s="54">
        <f t="shared" si="352"/>
        <v>44275</v>
      </c>
      <c r="MD40" s="53">
        <f t="shared" si="352"/>
        <v>44276</v>
      </c>
      <c r="ME40" s="54">
        <f t="shared" si="352"/>
        <v>44277</v>
      </c>
      <c r="MF40" s="54">
        <f t="shared" si="352"/>
        <v>44278</v>
      </c>
      <c r="MG40" s="54">
        <f t="shared" si="352"/>
        <v>44279</v>
      </c>
      <c r="MH40" s="54">
        <f t="shared" si="352"/>
        <v>44280</v>
      </c>
      <c r="MI40" s="54">
        <f t="shared" si="352"/>
        <v>44281</v>
      </c>
      <c r="MJ40" s="54">
        <f t="shared" si="352"/>
        <v>44282</v>
      </c>
      <c r="MK40" s="53">
        <f t="shared" si="352"/>
        <v>44283</v>
      </c>
      <c r="ML40" s="54">
        <f t="shared" si="352"/>
        <v>44284</v>
      </c>
      <c r="MM40" s="54">
        <f t="shared" si="352"/>
        <v>44285</v>
      </c>
      <c r="MN40" s="54">
        <f t="shared" si="352"/>
        <v>44286</v>
      </c>
      <c r="MO40" s="54">
        <f t="shared" si="352"/>
        <v>44287</v>
      </c>
      <c r="MP40" s="54">
        <f t="shared" si="352"/>
        <v>44288</v>
      </c>
      <c r="MQ40" s="54">
        <f t="shared" si="352"/>
        <v>44289</v>
      </c>
      <c r="MR40" s="53">
        <f t="shared" si="352"/>
        <v>44290</v>
      </c>
    </row>
    <row r="41" spans="1:356" ht="15" customHeight="1" x14ac:dyDescent="0.25">
      <c r="A41" s="145"/>
      <c r="B41" s="145"/>
      <c r="C41" s="145"/>
      <c r="D41" s="145"/>
      <c r="E41" s="146"/>
      <c r="F41" s="19"/>
      <c r="G41" s="19"/>
      <c r="H41" s="19"/>
      <c r="I41" s="19"/>
      <c r="J41" s="19"/>
      <c r="K41" s="19"/>
      <c r="L41" s="19"/>
      <c r="M41" s="19"/>
      <c r="N41" s="19"/>
      <c r="O41" s="9"/>
      <c r="P41" s="148"/>
      <c r="Q41" s="148"/>
      <c r="R41" s="150"/>
      <c r="S41" s="24"/>
      <c r="T41" s="25"/>
      <c r="U41" s="25"/>
      <c r="V41" s="25"/>
      <c r="W41" s="25"/>
      <c r="X41" s="25"/>
      <c r="Y41" s="25"/>
      <c r="Z41" s="24"/>
      <c r="AA41" s="25"/>
      <c r="AB41" s="25"/>
      <c r="AC41" s="25"/>
      <c r="AD41" s="25"/>
      <c r="AE41" s="25"/>
      <c r="AF41" s="25"/>
      <c r="AG41" s="24"/>
      <c r="AH41" s="25"/>
      <c r="AI41" s="25" t="s">
        <v>38</v>
      </c>
      <c r="AJ41" s="25"/>
      <c r="AK41" s="25" t="s">
        <v>38</v>
      </c>
      <c r="AL41" s="25"/>
      <c r="AM41" s="25"/>
      <c r="AN41" s="24"/>
      <c r="AO41" s="25"/>
      <c r="AP41" s="25" t="s">
        <v>38</v>
      </c>
      <c r="AQ41" s="25"/>
      <c r="AR41" s="25" t="s">
        <v>38</v>
      </c>
      <c r="AS41" s="25"/>
      <c r="AT41" s="25"/>
      <c r="AU41" s="24"/>
      <c r="AV41" s="25"/>
      <c r="AW41" s="25" t="s">
        <v>38</v>
      </c>
      <c r="AX41" s="25" t="s">
        <v>262</v>
      </c>
      <c r="AY41" s="25" t="s">
        <v>38</v>
      </c>
      <c r="AZ41" s="25"/>
      <c r="BA41" s="25"/>
      <c r="BB41" s="24"/>
      <c r="BC41" s="25"/>
      <c r="BD41" s="25" t="s">
        <v>38</v>
      </c>
      <c r="BE41" s="25"/>
      <c r="BF41" s="25" t="s">
        <v>38</v>
      </c>
      <c r="BG41" s="25"/>
      <c r="BH41" s="25"/>
      <c r="BI41" s="24"/>
      <c r="BJ41" s="25"/>
      <c r="BK41" s="25" t="s">
        <v>38</v>
      </c>
      <c r="BL41" s="25"/>
      <c r="BM41" s="25" t="s">
        <v>38</v>
      </c>
      <c r="BN41" s="25" t="s">
        <v>54</v>
      </c>
      <c r="BO41" s="25"/>
      <c r="BP41" s="24" t="s">
        <v>148</v>
      </c>
      <c r="BQ41" s="25"/>
      <c r="BR41" s="25"/>
      <c r="BS41" s="25"/>
      <c r="BT41" s="25"/>
      <c r="BU41" s="25"/>
      <c r="BV41" s="25"/>
      <c r="BW41" s="25" t="s">
        <v>148</v>
      </c>
      <c r="BX41" s="25"/>
      <c r="BY41" s="24"/>
      <c r="BZ41" s="25"/>
      <c r="CA41" s="25"/>
      <c r="CB41" s="25"/>
      <c r="CC41" s="25"/>
      <c r="CD41" s="25"/>
      <c r="CE41" s="25"/>
      <c r="CF41" s="25"/>
      <c r="CG41" s="25"/>
      <c r="CH41" s="24"/>
      <c r="CI41" s="25"/>
      <c r="CJ41" s="25"/>
      <c r="CK41" s="25"/>
      <c r="CL41" s="25"/>
      <c r="CM41" s="25"/>
      <c r="CN41" s="25"/>
      <c r="CO41" s="25"/>
      <c r="CP41" s="25"/>
      <c r="CQ41" s="24"/>
      <c r="CR41" s="25"/>
      <c r="CS41" s="25"/>
      <c r="CT41" s="25"/>
      <c r="CU41" s="25"/>
      <c r="CV41" s="25"/>
      <c r="CW41" s="25"/>
      <c r="CX41" s="25"/>
      <c r="CY41" s="25"/>
      <c r="CZ41" s="24"/>
      <c r="DA41" s="25"/>
      <c r="DB41" s="25"/>
      <c r="DC41" s="25"/>
      <c r="DD41" s="25"/>
      <c r="DE41" s="25"/>
      <c r="DF41" s="25"/>
      <c r="DG41" s="25"/>
      <c r="DH41" s="25"/>
      <c r="DI41" s="24"/>
      <c r="DJ41" s="25"/>
      <c r="DK41" s="25"/>
      <c r="DL41" s="25"/>
      <c r="DM41" s="25"/>
      <c r="DN41" s="25"/>
      <c r="DO41" s="25"/>
      <c r="DP41" s="25"/>
      <c r="DQ41" s="25"/>
      <c r="DR41" s="24"/>
      <c r="DS41" s="25"/>
      <c r="DT41" s="25" t="s">
        <v>391</v>
      </c>
      <c r="DU41" s="25"/>
      <c r="DV41" s="25" t="s">
        <v>38</v>
      </c>
      <c r="DW41" s="25" t="s">
        <v>38</v>
      </c>
      <c r="DX41" s="25"/>
      <c r="DY41" s="25"/>
      <c r="DZ41" s="25"/>
      <c r="EA41" s="24"/>
      <c r="EB41" s="25"/>
      <c r="EC41" s="25" t="s">
        <v>38</v>
      </c>
      <c r="ED41" s="25"/>
      <c r="EE41" s="25" t="s">
        <v>478</v>
      </c>
      <c r="EF41" s="25" t="s">
        <v>38</v>
      </c>
      <c r="EG41" s="25"/>
      <c r="EH41" s="25"/>
      <c r="EI41" s="25"/>
      <c r="EJ41" s="24"/>
      <c r="EK41" s="25"/>
      <c r="EL41" s="25" t="s">
        <v>38</v>
      </c>
      <c r="EM41" s="25"/>
      <c r="EN41" s="25" t="s">
        <v>38</v>
      </c>
      <c r="EO41" s="25" t="s">
        <v>478</v>
      </c>
      <c r="EP41" s="25"/>
      <c r="EQ41" s="25"/>
      <c r="ER41" s="25"/>
      <c r="ES41" s="24"/>
      <c r="ET41" s="25"/>
      <c r="EU41" s="25" t="s">
        <v>38</v>
      </c>
      <c r="EV41" s="25"/>
      <c r="EW41" s="25" t="s">
        <v>38</v>
      </c>
      <c r="EX41" s="25" t="s">
        <v>38</v>
      </c>
      <c r="EY41" s="25"/>
      <c r="EZ41" s="25"/>
      <c r="FA41" s="25"/>
      <c r="FB41" s="24"/>
      <c r="FC41" s="25"/>
      <c r="FD41" s="25" t="s">
        <v>38</v>
      </c>
      <c r="FE41" s="25"/>
      <c r="FF41" s="25" t="s">
        <v>38</v>
      </c>
      <c r="FG41" s="25" t="s">
        <v>38</v>
      </c>
      <c r="FH41" s="25"/>
      <c r="FI41" s="25"/>
      <c r="FJ41" s="25"/>
      <c r="FK41" s="24"/>
      <c r="FL41" s="25"/>
      <c r="FM41" s="25" t="s">
        <v>38</v>
      </c>
      <c r="FN41" s="25"/>
      <c r="FO41" s="25" t="s">
        <v>38</v>
      </c>
      <c r="FP41" s="25" t="s">
        <v>38</v>
      </c>
      <c r="FQ41" s="25"/>
      <c r="FR41" s="24"/>
      <c r="FS41" s="25"/>
      <c r="FT41" s="25" t="s">
        <v>38</v>
      </c>
      <c r="FU41" s="25"/>
      <c r="FV41" s="25" t="s">
        <v>38</v>
      </c>
      <c r="FW41" s="25" t="s">
        <v>38</v>
      </c>
      <c r="FX41" s="25"/>
      <c r="FY41" s="24"/>
      <c r="FZ41" s="25"/>
      <c r="GA41" s="25" t="s">
        <v>38</v>
      </c>
      <c r="GB41" s="25"/>
      <c r="GC41" s="25" t="s">
        <v>38</v>
      </c>
      <c r="GD41" s="25" t="s">
        <v>38</v>
      </c>
      <c r="GE41" s="25"/>
      <c r="GF41" s="24"/>
      <c r="GG41" s="25"/>
      <c r="GH41" s="25" t="s">
        <v>38</v>
      </c>
      <c r="GI41" s="25"/>
      <c r="GJ41" s="25" t="s">
        <v>38</v>
      </c>
      <c r="GK41" s="25" t="s">
        <v>38</v>
      </c>
      <c r="GL41" s="25"/>
      <c r="GM41" s="24"/>
      <c r="GN41" s="25"/>
      <c r="GO41" s="25" t="s">
        <v>38</v>
      </c>
      <c r="GP41" s="25"/>
      <c r="GQ41" s="25" t="s">
        <v>38</v>
      </c>
      <c r="GR41" s="25" t="s">
        <v>38</v>
      </c>
      <c r="GS41" s="25"/>
      <c r="GT41" s="24"/>
      <c r="GU41" s="25"/>
      <c r="GV41" s="25" t="s">
        <v>38</v>
      </c>
      <c r="GW41" s="25"/>
      <c r="GX41" s="25" t="s">
        <v>38</v>
      </c>
      <c r="GY41" s="25" t="s">
        <v>38</v>
      </c>
      <c r="GZ41" s="25"/>
      <c r="HA41" s="24"/>
      <c r="HB41" s="25"/>
      <c r="HC41" s="25" t="s">
        <v>38</v>
      </c>
      <c r="HD41" s="25"/>
      <c r="HE41" s="25" t="s">
        <v>38</v>
      </c>
      <c r="HF41" s="25" t="s">
        <v>38</v>
      </c>
      <c r="HG41" s="25"/>
      <c r="HH41" s="24"/>
      <c r="HI41" s="25"/>
      <c r="HJ41" s="25" t="s">
        <v>38</v>
      </c>
      <c r="HK41" s="25"/>
      <c r="HL41" s="25" t="s">
        <v>38</v>
      </c>
      <c r="HM41" s="25" t="s">
        <v>38</v>
      </c>
      <c r="HN41" s="25"/>
      <c r="HO41" s="24"/>
      <c r="HP41" s="25"/>
      <c r="HQ41" s="25" t="s">
        <v>38</v>
      </c>
      <c r="HR41" s="25"/>
      <c r="HS41" s="25" t="s">
        <v>38</v>
      </c>
      <c r="HT41" s="25" t="s">
        <v>38</v>
      </c>
      <c r="HU41" s="25"/>
      <c r="HV41" s="24"/>
      <c r="HW41" s="25"/>
      <c r="HX41" s="25" t="s">
        <v>38</v>
      </c>
      <c r="HY41" s="25" t="s">
        <v>38</v>
      </c>
      <c r="HZ41" s="25"/>
      <c r="IA41" s="25" t="s">
        <v>38</v>
      </c>
      <c r="IB41" s="25"/>
      <c r="IC41" s="24"/>
      <c r="ID41" s="25"/>
      <c r="IE41" s="25" t="s">
        <v>38</v>
      </c>
      <c r="IF41" s="25"/>
      <c r="IG41" s="25" t="s">
        <v>38</v>
      </c>
      <c r="IH41" s="25" t="s">
        <v>38</v>
      </c>
      <c r="II41" s="25"/>
      <c r="IJ41" s="24"/>
      <c r="IK41" s="25"/>
      <c r="IL41" s="25" t="s">
        <v>38</v>
      </c>
      <c r="IM41" s="25"/>
      <c r="IN41" s="25" t="s">
        <v>38</v>
      </c>
      <c r="IO41" s="25" t="s">
        <v>38</v>
      </c>
      <c r="IP41" s="25"/>
      <c r="IQ41" s="24"/>
      <c r="IR41" s="25"/>
      <c r="IS41" s="25" t="s">
        <v>38</v>
      </c>
      <c r="IT41" s="25"/>
      <c r="IU41" s="25" t="s">
        <v>38</v>
      </c>
      <c r="IV41" s="25" t="s">
        <v>38</v>
      </c>
      <c r="IW41" s="25"/>
      <c r="IX41" s="24"/>
      <c r="IY41" s="25"/>
      <c r="IZ41" s="25" t="s">
        <v>38</v>
      </c>
      <c r="JA41" s="25"/>
      <c r="JB41" s="25" t="s">
        <v>38</v>
      </c>
      <c r="JC41" s="25" t="s">
        <v>38</v>
      </c>
      <c r="JD41" s="25"/>
      <c r="JE41" s="24"/>
      <c r="JF41" s="25"/>
      <c r="JG41" s="25" t="s">
        <v>38</v>
      </c>
      <c r="JH41" s="25"/>
      <c r="JI41" s="25" t="s">
        <v>38</v>
      </c>
      <c r="JJ41" s="25" t="s">
        <v>38</v>
      </c>
      <c r="JK41" s="25"/>
      <c r="JL41" s="24"/>
      <c r="JM41" s="25"/>
      <c r="JN41" s="25" t="s">
        <v>38</v>
      </c>
      <c r="JO41" s="25"/>
      <c r="JP41" s="25" t="s">
        <v>38</v>
      </c>
      <c r="JQ41" s="25" t="s">
        <v>38</v>
      </c>
      <c r="JR41" s="25"/>
      <c r="JS41" s="24"/>
      <c r="JT41" s="25"/>
      <c r="JU41" s="25" t="s">
        <v>38</v>
      </c>
      <c r="JV41" s="25"/>
      <c r="JW41" s="25" t="s">
        <v>38</v>
      </c>
      <c r="JX41" s="25" t="s">
        <v>38</v>
      </c>
      <c r="JY41" s="25"/>
      <c r="JZ41" s="24"/>
      <c r="KA41" s="25"/>
      <c r="KB41" s="25" t="s">
        <v>38</v>
      </c>
      <c r="KC41" s="25"/>
      <c r="KD41" s="25" t="s">
        <v>38</v>
      </c>
      <c r="KE41" s="25" t="s">
        <v>38</v>
      </c>
      <c r="KF41" s="25"/>
      <c r="KG41" s="24"/>
      <c r="KH41" s="25"/>
      <c r="KI41" s="25" t="s">
        <v>38</v>
      </c>
      <c r="KJ41" s="25"/>
      <c r="KK41" s="25" t="s">
        <v>38</v>
      </c>
      <c r="KL41" s="25" t="s">
        <v>38</v>
      </c>
      <c r="KM41" s="25"/>
      <c r="KN41" s="24"/>
      <c r="KO41" s="25"/>
      <c r="KP41" s="25" t="s">
        <v>38</v>
      </c>
      <c r="KQ41" s="25"/>
      <c r="KR41" s="25" t="s">
        <v>38</v>
      </c>
      <c r="KS41" s="25" t="s">
        <v>38</v>
      </c>
      <c r="KT41" s="25"/>
      <c r="KU41" s="24"/>
      <c r="KV41" s="25"/>
      <c r="KW41" s="25" t="s">
        <v>38</v>
      </c>
      <c r="KX41" s="25"/>
      <c r="KY41" s="25" t="s">
        <v>38</v>
      </c>
      <c r="KZ41" s="25" t="s">
        <v>38</v>
      </c>
      <c r="LA41" s="25"/>
      <c r="LB41" s="24"/>
      <c r="LC41" s="25"/>
      <c r="LD41" s="25" t="s">
        <v>38</v>
      </c>
      <c r="LE41" s="25"/>
      <c r="LF41" s="25" t="s">
        <v>38</v>
      </c>
      <c r="LG41" s="25" t="s">
        <v>38</v>
      </c>
      <c r="LH41" s="25"/>
      <c r="LI41" s="24"/>
      <c r="LJ41" s="25"/>
      <c r="LK41" s="25" t="s">
        <v>38</v>
      </c>
      <c r="LL41" s="25"/>
      <c r="LM41" s="25" t="s">
        <v>38</v>
      </c>
      <c r="LN41" s="25"/>
      <c r="LO41" s="25"/>
      <c r="LP41" s="26"/>
      <c r="LQ41" s="25"/>
      <c r="LR41" s="25" t="s">
        <v>38</v>
      </c>
      <c r="LS41" s="25"/>
      <c r="LT41" s="25" t="s">
        <v>38</v>
      </c>
      <c r="LU41" s="25"/>
      <c r="LV41" s="25"/>
      <c r="LW41" s="24"/>
      <c r="LX41" s="25"/>
      <c r="LY41" s="25"/>
      <c r="LZ41" s="25"/>
      <c r="MA41" s="25"/>
      <c r="MB41" s="25"/>
      <c r="MC41" s="25"/>
      <c r="MD41" s="24"/>
      <c r="ME41" s="25"/>
      <c r="MF41" s="25"/>
      <c r="MG41" s="25"/>
      <c r="MH41" s="25"/>
      <c r="MI41" s="25"/>
      <c r="MJ41" s="25"/>
      <c r="MK41" s="24"/>
      <c r="ML41" s="25"/>
      <c r="MM41" s="25"/>
      <c r="MN41" s="25"/>
      <c r="MO41" s="25"/>
      <c r="MP41" s="25"/>
      <c r="MQ41" s="25"/>
      <c r="MR41" s="24"/>
    </row>
    <row r="42" spans="1:356" x14ac:dyDescent="0.25">
      <c r="A42" s="11" t="s">
        <v>148</v>
      </c>
      <c r="B42" s="11"/>
      <c r="C42" s="11"/>
      <c r="D42" s="11"/>
      <c r="E42" s="11"/>
      <c r="F42" s="134" t="s">
        <v>147</v>
      </c>
      <c r="G42" s="135" t="s">
        <v>146</v>
      </c>
      <c r="H42" s="135" t="s">
        <v>119</v>
      </c>
      <c r="I42" s="136" t="s">
        <v>41</v>
      </c>
      <c r="J42" s="136" t="s">
        <v>118</v>
      </c>
      <c r="K42" s="136" t="s">
        <v>42</v>
      </c>
      <c r="L42" s="136" t="s">
        <v>117</v>
      </c>
      <c r="M42" s="136" t="s">
        <v>47</v>
      </c>
      <c r="N42" s="136" t="s">
        <v>100</v>
      </c>
      <c r="O42" s="137" t="s">
        <v>46</v>
      </c>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1"/>
      <c r="EI42" s="11"/>
      <c r="EJ42" s="12"/>
      <c r="EK42" s="11"/>
      <c r="EL42" s="11"/>
      <c r="EM42" s="11"/>
      <c r="EN42" s="11"/>
      <c r="EO42" s="11"/>
      <c r="EP42" s="11"/>
      <c r="EQ42" s="11"/>
      <c r="ER42" s="11"/>
      <c r="ES42" s="12"/>
      <c r="ET42" s="11"/>
      <c r="EU42" s="11"/>
      <c r="EV42" s="11"/>
      <c r="EW42" s="11"/>
      <c r="EX42" s="11"/>
      <c r="EY42" s="11"/>
      <c r="EZ42" s="11"/>
      <c r="FA42" s="11"/>
      <c r="FB42" s="12"/>
      <c r="FC42" s="11"/>
      <c r="FD42" s="11"/>
      <c r="FE42" s="11"/>
      <c r="FF42" s="11"/>
      <c r="FG42" s="11"/>
      <c r="FH42" s="11"/>
      <c r="FI42" s="11"/>
      <c r="FJ42" s="11"/>
      <c r="FK42" s="12"/>
      <c r="FL42" s="11"/>
      <c r="FM42" s="11"/>
      <c r="FN42" s="11"/>
      <c r="FO42" s="11"/>
      <c r="FP42" s="11"/>
      <c r="FQ42" s="11"/>
      <c r="FR42" s="12"/>
      <c r="FS42" s="11"/>
      <c r="FT42" s="11"/>
      <c r="FU42" s="11"/>
      <c r="FV42" s="11"/>
      <c r="FW42" s="11"/>
      <c r="FX42" s="11"/>
      <c r="FY42" s="12"/>
      <c r="FZ42" s="11"/>
      <c r="GA42" s="11"/>
      <c r="GB42" s="11"/>
      <c r="GC42" s="11"/>
      <c r="GD42" s="11"/>
      <c r="GE42" s="11"/>
      <c r="GF42" s="12"/>
      <c r="GG42" s="11"/>
      <c r="GH42" s="11"/>
      <c r="GI42" s="11"/>
      <c r="GJ42" s="11"/>
      <c r="GK42" s="11"/>
      <c r="GL42" s="11"/>
      <c r="GM42" s="12"/>
      <c r="GN42" s="11"/>
      <c r="GO42" s="11"/>
      <c r="GP42" s="11"/>
      <c r="GQ42" s="11"/>
      <c r="GR42" s="11"/>
      <c r="GS42" s="11"/>
      <c r="GT42" s="12"/>
      <c r="GU42" s="11"/>
      <c r="GV42" s="11"/>
      <c r="GW42" s="11"/>
      <c r="GX42" s="11"/>
      <c r="GY42" s="11"/>
      <c r="GZ42" s="11"/>
      <c r="HA42" s="12"/>
      <c r="HB42" s="11"/>
      <c r="HC42" s="11"/>
      <c r="HD42" s="11"/>
      <c r="HE42" s="11"/>
      <c r="HF42" s="11"/>
      <c r="HG42" s="11"/>
      <c r="HH42" s="12"/>
      <c r="HI42" s="11"/>
      <c r="HJ42" s="11"/>
      <c r="HK42" s="11"/>
      <c r="HL42" s="11"/>
      <c r="HM42" s="11"/>
      <c r="HN42" s="11"/>
      <c r="HO42" s="12"/>
      <c r="HP42" s="11"/>
      <c r="HQ42" s="11"/>
      <c r="HR42" s="11"/>
      <c r="HS42" s="11"/>
      <c r="HT42" s="11"/>
      <c r="HU42" s="11"/>
      <c r="HV42" s="12"/>
      <c r="HW42" s="11"/>
      <c r="HX42" s="11"/>
      <c r="HY42" s="11"/>
      <c r="HZ42" s="11"/>
      <c r="IA42" s="11"/>
      <c r="IB42" s="11"/>
      <c r="IC42" s="12"/>
      <c r="ID42" s="11"/>
      <c r="IE42" s="11"/>
      <c r="IF42" s="11"/>
      <c r="IG42" s="11"/>
      <c r="IH42" s="11"/>
      <c r="II42" s="11"/>
      <c r="IJ42" s="12"/>
      <c r="IK42" s="11"/>
      <c r="IL42" s="11"/>
      <c r="IM42" s="11"/>
      <c r="IN42" s="11"/>
      <c r="IO42" s="11"/>
      <c r="IP42" s="11"/>
      <c r="IQ42" s="12"/>
      <c r="IR42" s="11"/>
      <c r="IS42" s="11"/>
      <c r="IT42" s="11"/>
      <c r="IU42" s="11"/>
      <c r="IV42" s="11"/>
      <c r="IW42" s="11"/>
      <c r="IX42" s="12"/>
      <c r="IY42" s="11"/>
      <c r="IZ42" s="11"/>
      <c r="JA42" s="11"/>
      <c r="JB42" s="11"/>
      <c r="JC42" s="11"/>
      <c r="JD42" s="11"/>
      <c r="JE42" s="12"/>
      <c r="JF42" s="11"/>
      <c r="JG42" s="11"/>
      <c r="JH42" s="11"/>
      <c r="JI42" s="11"/>
      <c r="JJ42" s="11"/>
      <c r="JK42" s="11"/>
      <c r="JL42" s="12"/>
      <c r="JM42" s="11"/>
      <c r="JN42" s="11"/>
      <c r="JO42" s="11"/>
      <c r="JP42" s="11"/>
      <c r="JQ42" s="11"/>
      <c r="JR42" s="11"/>
      <c r="JS42" s="12"/>
      <c r="JT42" s="11"/>
      <c r="JU42" s="11"/>
      <c r="JV42" s="11"/>
      <c r="JW42" s="11"/>
      <c r="JX42" s="11"/>
      <c r="JY42" s="11"/>
      <c r="JZ42" s="12"/>
      <c r="KA42" s="11"/>
      <c r="KB42" s="11"/>
      <c r="KC42" s="11"/>
      <c r="KD42" s="11"/>
      <c r="KE42" s="11"/>
      <c r="KF42" s="11"/>
      <c r="KG42" s="12"/>
      <c r="KH42" s="11"/>
      <c r="KI42" s="11"/>
      <c r="KJ42" s="11"/>
      <c r="KK42" s="11"/>
      <c r="KL42" s="11"/>
      <c r="KM42" s="11"/>
      <c r="KN42" s="12"/>
      <c r="KO42" s="11"/>
      <c r="KP42" s="11"/>
      <c r="KQ42" s="11"/>
      <c r="KR42" s="11"/>
      <c r="KS42" s="11"/>
      <c r="KT42" s="11"/>
      <c r="KU42" s="12"/>
      <c r="KV42" s="11"/>
      <c r="KW42" s="11"/>
      <c r="KX42" s="11"/>
      <c r="KY42" s="11"/>
      <c r="KZ42" s="11"/>
      <c r="LA42" s="11"/>
      <c r="LB42" s="12"/>
      <c r="LC42" s="11"/>
      <c r="LD42" s="11"/>
      <c r="LE42" s="11"/>
      <c r="LF42" s="11"/>
      <c r="LG42" s="11"/>
      <c r="LH42" s="11"/>
      <c r="LI42" s="12"/>
      <c r="LJ42" s="11"/>
      <c r="LK42" s="11"/>
      <c r="LL42" s="11"/>
      <c r="LM42" s="11"/>
      <c r="LN42" s="11"/>
      <c r="LO42" s="11"/>
      <c r="LP42" s="12"/>
      <c r="LQ42" s="11"/>
      <c r="LR42" s="11"/>
      <c r="LS42" s="11"/>
      <c r="LT42" s="11"/>
      <c r="LU42" s="11"/>
      <c r="LV42" s="11"/>
      <c r="LW42" s="12"/>
      <c r="LX42" s="11"/>
      <c r="LY42" s="11"/>
      <c r="LZ42" s="11"/>
      <c r="MA42" s="11"/>
      <c r="MB42" s="11"/>
      <c r="MC42" s="11"/>
      <c r="MD42" s="12"/>
      <c r="ME42" s="11"/>
      <c r="MF42" s="11"/>
      <c r="MG42" s="11"/>
      <c r="MH42" s="11"/>
      <c r="MI42" s="11"/>
      <c r="MJ42" s="11"/>
      <c r="MK42" s="12"/>
      <c r="ML42" s="11"/>
      <c r="MM42" s="11"/>
      <c r="MN42" s="11"/>
      <c r="MO42" s="11"/>
      <c r="MP42" s="11"/>
      <c r="MQ42" s="11"/>
      <c r="MR42" s="12"/>
    </row>
    <row r="43" spans="1:356" hidden="1" x14ac:dyDescent="0.25">
      <c r="A43" s="11"/>
      <c r="B43" s="11"/>
      <c r="C43" s="11"/>
      <c r="D43" s="11"/>
      <c r="E43" s="11"/>
      <c r="F43" s="33">
        <v>37257</v>
      </c>
      <c r="G43" s="32">
        <v>37987</v>
      </c>
      <c r="H43" s="32">
        <v>38718</v>
      </c>
      <c r="I43" s="32">
        <v>39083</v>
      </c>
      <c r="J43" s="32">
        <v>39448</v>
      </c>
      <c r="K43" s="32">
        <v>39814</v>
      </c>
      <c r="L43" s="32">
        <v>40179</v>
      </c>
      <c r="M43" s="11"/>
      <c r="N43" s="11"/>
      <c r="O43" s="12"/>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2"/>
      <c r="FS43" s="11"/>
      <c r="FT43" s="11"/>
      <c r="FU43" s="11"/>
      <c r="FV43" s="11"/>
      <c r="FW43" s="11"/>
      <c r="FX43" s="11"/>
      <c r="FY43" s="12"/>
      <c r="FZ43" s="11"/>
      <c r="GA43" s="11"/>
      <c r="GB43" s="11"/>
      <c r="GC43" s="11"/>
      <c r="GD43" s="11"/>
      <c r="GE43" s="11"/>
      <c r="GF43" s="12"/>
      <c r="GG43" s="11"/>
      <c r="GH43" s="11"/>
      <c r="GI43" s="11"/>
      <c r="GJ43" s="11"/>
      <c r="GK43" s="11"/>
      <c r="GL43" s="11"/>
      <c r="GM43" s="12"/>
      <c r="GN43" s="11"/>
      <c r="GO43" s="11"/>
      <c r="GP43" s="11"/>
      <c r="GQ43" s="11"/>
      <c r="GR43" s="11"/>
      <c r="GS43" s="11"/>
      <c r="GT43" s="12"/>
      <c r="GU43" s="11"/>
      <c r="GV43" s="11"/>
      <c r="GW43" s="11"/>
      <c r="GX43" s="11"/>
      <c r="GY43" s="11"/>
      <c r="GZ43" s="11"/>
      <c r="HA43" s="12"/>
      <c r="HB43" s="11"/>
      <c r="HC43" s="11"/>
      <c r="HD43" s="11"/>
      <c r="HE43" s="11"/>
      <c r="HF43" s="11"/>
      <c r="HG43" s="11"/>
      <c r="HH43" s="12"/>
      <c r="HI43" s="11"/>
      <c r="HJ43" s="11"/>
      <c r="HK43" s="11"/>
      <c r="HL43" s="11"/>
      <c r="HM43" s="11"/>
      <c r="HN43" s="11"/>
      <c r="HO43" s="12"/>
      <c r="HP43" s="11"/>
      <c r="HQ43" s="11"/>
      <c r="HR43" s="11"/>
      <c r="HS43" s="11"/>
      <c r="HT43" s="11"/>
      <c r="HU43" s="11"/>
      <c r="HV43" s="12"/>
      <c r="HW43" s="11"/>
      <c r="HX43" s="11"/>
      <c r="HY43" s="11"/>
      <c r="HZ43" s="11"/>
      <c r="IA43" s="11"/>
      <c r="IB43" s="11"/>
      <c r="IC43" s="12"/>
      <c r="ID43" s="11"/>
      <c r="IE43" s="11"/>
      <c r="IF43" s="11"/>
      <c r="IG43" s="11"/>
      <c r="IH43" s="11"/>
      <c r="II43" s="11"/>
      <c r="IJ43" s="12"/>
      <c r="IK43" s="11"/>
      <c r="IL43" s="11"/>
      <c r="IM43" s="11"/>
      <c r="IN43" s="11"/>
      <c r="IO43" s="11"/>
      <c r="IP43" s="11"/>
      <c r="IQ43" s="12"/>
      <c r="IR43" s="11"/>
      <c r="IS43" s="11"/>
      <c r="IT43" s="11"/>
      <c r="IU43" s="11"/>
      <c r="IV43" s="11"/>
      <c r="IW43" s="11"/>
      <c r="IX43" s="12"/>
      <c r="IY43" s="11"/>
      <c r="IZ43" s="11"/>
      <c r="JA43" s="11"/>
      <c r="JB43" s="11"/>
      <c r="JC43" s="11"/>
      <c r="JD43" s="11"/>
      <c r="JE43" s="12"/>
      <c r="JF43" s="11"/>
      <c r="JG43" s="11"/>
      <c r="JH43" s="11"/>
      <c r="JI43" s="11"/>
      <c r="JJ43" s="11"/>
      <c r="JK43" s="11"/>
      <c r="JL43" s="12"/>
      <c r="JM43" s="11"/>
      <c r="JN43" s="11"/>
      <c r="JO43" s="11"/>
      <c r="JP43" s="11"/>
      <c r="JQ43" s="11"/>
      <c r="JR43" s="11"/>
      <c r="JS43" s="12"/>
      <c r="JT43" s="11"/>
      <c r="JU43" s="11"/>
      <c r="JV43" s="11"/>
      <c r="JW43" s="11"/>
      <c r="JX43" s="11"/>
      <c r="JY43" s="11"/>
      <c r="JZ43" s="12"/>
      <c r="KA43" s="11"/>
      <c r="KB43" s="11"/>
      <c r="KC43" s="11"/>
      <c r="KD43" s="11"/>
      <c r="KE43" s="11"/>
      <c r="KF43" s="11"/>
      <c r="KG43" s="12"/>
      <c r="KH43" s="11"/>
      <c r="KI43" s="11"/>
      <c r="KJ43" s="11"/>
      <c r="KK43" s="11"/>
      <c r="KL43" s="11"/>
      <c r="KM43" s="11"/>
      <c r="KN43" s="12"/>
      <c r="KO43" s="11"/>
      <c r="KP43" s="11"/>
      <c r="KQ43" s="11"/>
      <c r="KR43" s="11"/>
      <c r="KS43" s="11"/>
      <c r="KT43" s="11"/>
      <c r="KU43" s="12"/>
      <c r="KV43" s="11"/>
      <c r="KW43" s="11"/>
      <c r="KX43" s="11"/>
      <c r="KY43" s="11"/>
      <c r="KZ43" s="11"/>
      <c r="LA43" s="11"/>
      <c r="LB43" s="12"/>
      <c r="LC43" s="11"/>
      <c r="LD43" s="11"/>
      <c r="LE43" s="11"/>
      <c r="LF43" s="11"/>
      <c r="LG43" s="11"/>
      <c r="LH43" s="11"/>
      <c r="LI43" s="12"/>
      <c r="LJ43" s="11"/>
      <c r="LK43" s="11"/>
      <c r="LL43" s="11"/>
      <c r="LM43" s="11"/>
      <c r="LN43" s="11"/>
      <c r="LO43" s="11"/>
      <c r="LP43" s="12"/>
      <c r="LQ43" s="11"/>
      <c r="LR43" s="11"/>
      <c r="LS43" s="11"/>
      <c r="LT43" s="11"/>
      <c r="LU43" s="11"/>
      <c r="LV43" s="11"/>
      <c r="LW43" s="12"/>
      <c r="LX43" s="11"/>
      <c r="LY43" s="11"/>
      <c r="LZ43" s="11"/>
      <c r="MA43" s="11"/>
      <c r="MB43" s="11"/>
      <c r="MC43" s="11"/>
      <c r="MD43" s="12"/>
      <c r="ME43" s="11"/>
      <c r="MF43" s="11"/>
      <c r="MG43" s="11"/>
      <c r="MH43" s="11"/>
      <c r="MI43" s="11"/>
      <c r="MJ43" s="11"/>
      <c r="MK43" s="12"/>
      <c r="ML43" s="11"/>
      <c r="MM43" s="11"/>
      <c r="MN43" s="11"/>
      <c r="MO43" s="11"/>
      <c r="MP43" s="11"/>
      <c r="MQ43" s="11"/>
      <c r="MR43" s="12"/>
    </row>
    <row r="44" spans="1:356" ht="7.5" customHeight="1" x14ac:dyDescent="0.25">
      <c r="A44" s="8"/>
      <c r="B44" s="8"/>
      <c r="C44" s="8"/>
      <c r="D44" s="8"/>
      <c r="E44" s="8"/>
      <c r="F44" s="10"/>
      <c r="G44" s="19"/>
      <c r="H44" s="19"/>
      <c r="I44" s="8"/>
      <c r="J44" s="8"/>
      <c r="K44" s="8"/>
      <c r="L44" s="8"/>
      <c r="M44" s="8"/>
      <c r="N44" s="8"/>
      <c r="O44" s="9"/>
      <c r="P44" s="8" t="str">
        <f>IF(SUM(R44:MR44) &gt; 0, SUM(R44:MR44), "")</f>
        <v/>
      </c>
      <c r="Q44" s="8"/>
      <c r="R44" s="84"/>
      <c r="S44" s="7"/>
      <c r="Z44" s="7"/>
      <c r="AG44" s="7"/>
      <c r="AN44" s="7"/>
      <c r="AU44" s="7"/>
      <c r="BB44" s="7"/>
      <c r="BI44" s="7"/>
      <c r="BP44" s="7"/>
      <c r="BY44" s="7"/>
      <c r="CH44" s="7"/>
      <c r="CQ44" s="7"/>
      <c r="CZ44" s="7"/>
      <c r="DI44" s="7"/>
      <c r="DR44" s="7"/>
      <c r="EA44" s="7"/>
      <c r="EJ44" s="7"/>
      <c r="ES44" s="7"/>
      <c r="FB44" s="7"/>
      <c r="FK44" s="7"/>
      <c r="FR44" s="7"/>
      <c r="FY44" s="7"/>
      <c r="GF44" s="7"/>
      <c r="GM44" s="7"/>
      <c r="GT44" s="7"/>
      <c r="HA44" s="7"/>
      <c r="HH44" s="7"/>
      <c r="HO44" s="7"/>
      <c r="HV44" s="7"/>
      <c r="IC44" s="7"/>
      <c r="IJ44" s="7"/>
      <c r="IQ44" s="7"/>
      <c r="IX44" s="7"/>
      <c r="JE44" s="7"/>
      <c r="JL44" s="7"/>
      <c r="JS44" s="7"/>
      <c r="JZ44" s="7"/>
      <c r="KG44" s="7"/>
      <c r="KN44" s="7"/>
      <c r="KU44" s="7"/>
      <c r="LB44" s="7"/>
      <c r="LI44" s="7"/>
      <c r="LP44" s="7"/>
      <c r="LW44" s="7"/>
      <c r="MD44" s="7"/>
      <c r="MK44" s="7"/>
      <c r="MR44" s="7"/>
    </row>
    <row r="45" spans="1:356" ht="15" customHeight="1" x14ac:dyDescent="0.25">
      <c r="A45" s="8" t="s">
        <v>116</v>
      </c>
      <c r="B45" s="8" t="s">
        <v>115</v>
      </c>
      <c r="C45" s="8" t="s">
        <v>114</v>
      </c>
      <c r="D45" s="8" t="s">
        <v>113</v>
      </c>
      <c r="E45" s="56">
        <v>40073</v>
      </c>
      <c r="F45" s="19">
        <f t="shared" ref="F45:L57" si="353">IF($E45 &gt;= F$43, 1, "")</f>
        <v>1</v>
      </c>
      <c r="G45" s="19">
        <f t="shared" si="353"/>
        <v>1</v>
      </c>
      <c r="H45" s="19">
        <f t="shared" si="353"/>
        <v>1</v>
      </c>
      <c r="I45" s="19">
        <f t="shared" si="353"/>
        <v>1</v>
      </c>
      <c r="J45" s="19">
        <f t="shared" si="353"/>
        <v>1</v>
      </c>
      <c r="K45" s="19">
        <f t="shared" si="353"/>
        <v>1</v>
      </c>
      <c r="L45" s="19" t="str">
        <f t="shared" si="353"/>
        <v/>
      </c>
      <c r="M45" s="8">
        <v>1</v>
      </c>
      <c r="N45" s="8"/>
      <c r="O45" s="9"/>
      <c r="P45" s="8">
        <f t="shared" ref="P45:P65" si="354">IF(SUM(S45:MR45) &gt; 0, SUM(S45:MR45), "")</f>
        <v>19</v>
      </c>
      <c r="Q45" s="109">
        <f>IF(SUM(S45:XFD45) &gt; 0, SUM(S45:XFD45) / $P$66 * 100, "")</f>
        <v>70.370370370370367</v>
      </c>
      <c r="R45" s="84"/>
      <c r="S45" s="7"/>
      <c r="Z45" s="7"/>
      <c r="AG45" s="7"/>
      <c r="AK45">
        <v>1</v>
      </c>
      <c r="AN45" s="7"/>
      <c r="AR45">
        <v>1</v>
      </c>
      <c r="AU45" s="7"/>
      <c r="AX45">
        <v>1</v>
      </c>
      <c r="AY45">
        <v>1</v>
      </c>
      <c r="BB45" s="7"/>
      <c r="BF45">
        <v>1</v>
      </c>
      <c r="BI45" s="7"/>
      <c r="BM45">
        <v>1</v>
      </c>
      <c r="BN45">
        <v>1</v>
      </c>
      <c r="BP45" s="7">
        <v>1</v>
      </c>
      <c r="BW45">
        <v>1</v>
      </c>
      <c r="BY45" s="7"/>
      <c r="CH45" s="7"/>
      <c r="CQ45" s="7"/>
      <c r="CZ45" s="7"/>
      <c r="DI45" s="7"/>
      <c r="DR45" s="7"/>
      <c r="DT45">
        <v>1</v>
      </c>
      <c r="DV45">
        <v>1</v>
      </c>
      <c r="DW45">
        <v>1</v>
      </c>
      <c r="EA45" s="7"/>
      <c r="EC45">
        <v>1</v>
      </c>
      <c r="EF45">
        <v>1</v>
      </c>
      <c r="EJ45" s="7"/>
      <c r="EL45">
        <v>1</v>
      </c>
      <c r="EN45">
        <v>1</v>
      </c>
      <c r="ES45" s="7"/>
      <c r="EU45">
        <v>1</v>
      </c>
      <c r="EX45">
        <v>1</v>
      </c>
      <c r="FB45" s="7"/>
      <c r="FD45">
        <v>1</v>
      </c>
      <c r="FK45" s="7"/>
      <c r="FR45" s="7"/>
      <c r="FY45" s="7"/>
      <c r="GF45" s="7"/>
      <c r="GM45" s="7"/>
      <c r="GT45" s="7"/>
      <c r="HA45" s="7"/>
      <c r="HH45" s="7"/>
      <c r="HO45" s="7"/>
      <c r="HV45" s="7"/>
      <c r="IC45" s="7"/>
      <c r="IJ45" s="7"/>
      <c r="IQ45" s="7"/>
      <c r="IX45" s="7"/>
      <c r="JE45" s="7"/>
      <c r="JL45" s="7"/>
      <c r="JS45" s="7"/>
      <c r="JZ45" s="7"/>
      <c r="KG45" s="7"/>
      <c r="KN45" s="7"/>
      <c r="KU45" s="7"/>
      <c r="LB45" s="7"/>
      <c r="LI45" s="7"/>
      <c r="LP45" s="7"/>
      <c r="LW45" s="7"/>
      <c r="MD45" s="7"/>
      <c r="MK45" s="7"/>
      <c r="MR45" s="7"/>
    </row>
    <row r="46" spans="1:356" ht="15" customHeight="1" x14ac:dyDescent="0.25">
      <c r="A46" s="8" t="s">
        <v>112</v>
      </c>
      <c r="B46" s="8" t="s">
        <v>111</v>
      </c>
      <c r="C46" s="8" t="s">
        <v>110</v>
      </c>
      <c r="D46" s="8" t="s">
        <v>109</v>
      </c>
      <c r="E46" s="56">
        <v>40099</v>
      </c>
      <c r="F46" s="19">
        <f t="shared" si="353"/>
        <v>1</v>
      </c>
      <c r="G46" s="19">
        <f t="shared" si="353"/>
        <v>1</v>
      </c>
      <c r="H46" s="19">
        <f t="shared" si="353"/>
        <v>1</v>
      </c>
      <c r="I46" s="19">
        <f t="shared" si="353"/>
        <v>1</v>
      </c>
      <c r="J46" s="19">
        <f t="shared" si="353"/>
        <v>1</v>
      </c>
      <c r="K46" s="19">
        <f t="shared" si="353"/>
        <v>1</v>
      </c>
      <c r="L46" s="19" t="str">
        <f t="shared" si="353"/>
        <v/>
      </c>
      <c r="M46" s="8">
        <v>1</v>
      </c>
      <c r="N46" s="8"/>
      <c r="O46" s="9"/>
      <c r="P46" s="8">
        <f t="shared" si="354"/>
        <v>7</v>
      </c>
      <c r="Q46" s="109">
        <f>IF(SUM(S46:XFD46) &gt; 0, SUM(S46:XFD46) / $P$66 * 100, "")</f>
        <v>25.925925925925924</v>
      </c>
      <c r="R46" s="84"/>
      <c r="S46" s="7"/>
      <c r="Z46" s="7"/>
      <c r="AG46" s="7"/>
      <c r="AN46" s="7"/>
      <c r="AU46" s="7"/>
      <c r="BB46" s="7"/>
      <c r="BI46" s="7"/>
      <c r="BP46" s="7"/>
      <c r="BY46" s="7"/>
      <c r="CH46" s="7"/>
      <c r="CQ46" s="7"/>
      <c r="CZ46" s="7"/>
      <c r="DI46" s="7"/>
      <c r="DR46" s="7"/>
      <c r="DT46">
        <v>1</v>
      </c>
      <c r="DW46">
        <v>1</v>
      </c>
      <c r="EA46" s="7"/>
      <c r="EC46" t="s">
        <v>461</v>
      </c>
      <c r="EJ46" s="7"/>
      <c r="EL46">
        <v>1</v>
      </c>
      <c r="EN46">
        <v>1</v>
      </c>
      <c r="EO46">
        <v>1</v>
      </c>
      <c r="ES46" s="7"/>
      <c r="EU46">
        <v>1</v>
      </c>
      <c r="EX46">
        <v>1</v>
      </c>
      <c r="FB46" s="7"/>
      <c r="FK46" s="7"/>
      <c r="FM46" t="s">
        <v>460</v>
      </c>
      <c r="FR46" s="7"/>
      <c r="FY46" s="7"/>
      <c r="GF46" s="7"/>
      <c r="GM46" s="7"/>
      <c r="GT46" s="7"/>
      <c r="HA46" s="7"/>
      <c r="HH46" s="7"/>
      <c r="HO46" s="7"/>
      <c r="HV46" s="7"/>
      <c r="IC46" s="7"/>
      <c r="IJ46" s="7"/>
      <c r="IQ46" s="7"/>
      <c r="IX46" s="7"/>
      <c r="JE46" s="7"/>
      <c r="JL46" s="7"/>
      <c r="JS46" s="7"/>
      <c r="JZ46" s="7"/>
      <c r="KG46" s="7"/>
      <c r="KN46" s="7"/>
      <c r="KU46" s="7"/>
      <c r="LB46" s="7"/>
      <c r="LI46" s="7"/>
      <c r="LP46" s="7"/>
      <c r="LW46" s="7"/>
      <c r="MD46" s="7"/>
      <c r="MK46" s="7"/>
      <c r="MR46" s="7"/>
    </row>
    <row r="47" spans="1:356" ht="15" customHeight="1" x14ac:dyDescent="0.25">
      <c r="A47" s="8" t="s">
        <v>73</v>
      </c>
      <c r="B47" s="8" t="s">
        <v>108</v>
      </c>
      <c r="C47" s="8" t="s">
        <v>107</v>
      </c>
      <c r="D47" s="8" t="s">
        <v>106</v>
      </c>
      <c r="E47" s="18">
        <v>39474</v>
      </c>
      <c r="F47" s="10">
        <f t="shared" si="353"/>
        <v>1</v>
      </c>
      <c r="G47" s="19">
        <f t="shared" si="353"/>
        <v>1</v>
      </c>
      <c r="H47" s="19">
        <f t="shared" si="353"/>
        <v>1</v>
      </c>
      <c r="I47" s="19">
        <f t="shared" si="353"/>
        <v>1</v>
      </c>
      <c r="J47" s="19">
        <f t="shared" si="353"/>
        <v>1</v>
      </c>
      <c r="K47" s="19" t="str">
        <f t="shared" si="353"/>
        <v/>
      </c>
      <c r="L47" s="19" t="str">
        <f t="shared" si="353"/>
        <v/>
      </c>
      <c r="M47" s="8">
        <v>1</v>
      </c>
      <c r="N47" s="8">
        <v>1</v>
      </c>
      <c r="O47" s="9"/>
      <c r="P47" s="8">
        <f t="shared" si="354"/>
        <v>25</v>
      </c>
      <c r="Q47" s="109">
        <f>IF(SUM(S47:XFD47) &gt; 0, SUM(S47:XFD47) / $P$66 * 100, "")</f>
        <v>92.592592592592595</v>
      </c>
      <c r="R47" s="84"/>
      <c r="S47" s="7"/>
      <c r="Z47" s="7"/>
      <c r="AG47" s="7"/>
      <c r="AI47">
        <v>1</v>
      </c>
      <c r="AK47">
        <v>1</v>
      </c>
      <c r="AN47" s="7"/>
      <c r="AP47">
        <v>1</v>
      </c>
      <c r="AR47">
        <v>1</v>
      </c>
      <c r="AU47" s="7"/>
      <c r="AW47">
        <v>1</v>
      </c>
      <c r="AX47">
        <v>1</v>
      </c>
      <c r="AY47">
        <v>1</v>
      </c>
      <c r="BB47" s="7"/>
      <c r="BD47">
        <v>1</v>
      </c>
      <c r="BF47">
        <v>1</v>
      </c>
      <c r="BI47" s="7"/>
      <c r="BK47">
        <v>1</v>
      </c>
      <c r="BM47">
        <v>1</v>
      </c>
      <c r="BN47">
        <v>1</v>
      </c>
      <c r="BP47" s="7">
        <v>1</v>
      </c>
      <c r="BW47">
        <v>1</v>
      </c>
      <c r="BY47" s="7"/>
      <c r="CH47" s="7"/>
      <c r="CQ47" s="7"/>
      <c r="CZ47" s="7"/>
      <c r="DI47" s="7"/>
      <c r="DR47" s="7"/>
      <c r="DT47">
        <v>1</v>
      </c>
      <c r="DV47">
        <v>1</v>
      </c>
      <c r="EA47" s="7"/>
      <c r="EC47">
        <v>1</v>
      </c>
      <c r="EE47">
        <v>1</v>
      </c>
      <c r="EF47">
        <v>1</v>
      </c>
      <c r="EJ47" s="7"/>
      <c r="EL47">
        <v>1</v>
      </c>
      <c r="EN47">
        <v>1</v>
      </c>
      <c r="EO47">
        <v>1</v>
      </c>
      <c r="ES47" s="7"/>
      <c r="EU47">
        <v>1</v>
      </c>
      <c r="EW47">
        <v>1</v>
      </c>
      <c r="FB47" s="7"/>
      <c r="FD47">
        <v>1</v>
      </c>
      <c r="FK47" s="7"/>
      <c r="FR47" s="7"/>
      <c r="FY47" s="7"/>
      <c r="GF47" s="7"/>
      <c r="GM47" s="7"/>
      <c r="GT47" s="7"/>
      <c r="HA47" s="7"/>
      <c r="HH47" s="7"/>
      <c r="HO47" s="7"/>
      <c r="HV47" s="7"/>
      <c r="IC47" s="7"/>
      <c r="IJ47" s="7"/>
      <c r="IQ47" s="7"/>
      <c r="IX47" s="7"/>
      <c r="JE47" s="7"/>
      <c r="JL47" s="7"/>
      <c r="JS47" s="7"/>
      <c r="JZ47" s="7"/>
      <c r="KG47" s="7"/>
      <c r="KN47" s="7"/>
      <c r="KU47" s="7"/>
      <c r="LB47" s="7"/>
      <c r="LI47" s="7"/>
      <c r="LP47" s="7"/>
      <c r="LW47" s="7"/>
      <c r="MD47" s="7"/>
      <c r="MK47" s="7"/>
      <c r="MR47" s="7"/>
    </row>
    <row r="48" spans="1:356" ht="15" customHeight="1" x14ac:dyDescent="0.25">
      <c r="A48" s="8" t="s">
        <v>236</v>
      </c>
      <c r="B48" s="8" t="s">
        <v>237</v>
      </c>
      <c r="C48" s="8" t="s">
        <v>238</v>
      </c>
      <c r="D48" s="8" t="s">
        <v>239</v>
      </c>
      <c r="E48" s="18">
        <v>39425</v>
      </c>
      <c r="F48" s="10">
        <f t="shared" si="353"/>
        <v>1</v>
      </c>
      <c r="G48" s="19">
        <f t="shared" si="353"/>
        <v>1</v>
      </c>
      <c r="H48" s="19">
        <f t="shared" si="353"/>
        <v>1</v>
      </c>
      <c r="I48" s="19">
        <f t="shared" si="353"/>
        <v>1</v>
      </c>
      <c r="J48" s="19" t="str">
        <f t="shared" si="353"/>
        <v/>
      </c>
      <c r="K48" s="19" t="str">
        <f t="shared" si="353"/>
        <v/>
      </c>
      <c r="L48" s="19" t="str">
        <f t="shared" si="353"/>
        <v/>
      </c>
      <c r="M48" s="8">
        <v>1</v>
      </c>
      <c r="N48" s="8">
        <v>1</v>
      </c>
      <c r="O48" s="9"/>
      <c r="P48" s="8">
        <f t="shared" si="354"/>
        <v>22</v>
      </c>
      <c r="Q48" s="109">
        <f>IF(SUM(S48:XFD48) &gt; 0, SUM(S48:XFD48) / $P$66 * 100, "")</f>
        <v>81.481481481481481</v>
      </c>
      <c r="R48" s="84"/>
      <c r="S48" s="7"/>
      <c r="Z48" s="7"/>
      <c r="AG48" s="7"/>
      <c r="AI48">
        <v>1</v>
      </c>
      <c r="AK48">
        <v>1</v>
      </c>
      <c r="AN48" s="7"/>
      <c r="AP48">
        <v>1</v>
      </c>
      <c r="AR48">
        <v>1</v>
      </c>
      <c r="AU48" s="7"/>
      <c r="AW48">
        <v>1</v>
      </c>
      <c r="AX48">
        <v>1</v>
      </c>
      <c r="AY48">
        <v>1</v>
      </c>
      <c r="BB48" s="7"/>
      <c r="BD48">
        <v>1</v>
      </c>
      <c r="BF48">
        <v>1</v>
      </c>
      <c r="BI48" s="7"/>
      <c r="BK48">
        <v>1</v>
      </c>
      <c r="BM48">
        <v>1</v>
      </c>
      <c r="BN48">
        <v>1</v>
      </c>
      <c r="BP48" s="7"/>
      <c r="BY48" s="7"/>
      <c r="CH48" s="7"/>
      <c r="CQ48" s="7"/>
      <c r="CZ48" s="7"/>
      <c r="DI48" s="7"/>
      <c r="DR48" s="7"/>
      <c r="DT48">
        <v>1</v>
      </c>
      <c r="DV48">
        <v>1</v>
      </c>
      <c r="DW48">
        <v>1</v>
      </c>
      <c r="EA48" s="7"/>
      <c r="EC48">
        <v>1</v>
      </c>
      <c r="EE48">
        <v>1</v>
      </c>
      <c r="EF48">
        <v>1</v>
      </c>
      <c r="EJ48" s="7"/>
      <c r="EN48">
        <v>1</v>
      </c>
      <c r="EO48">
        <v>1</v>
      </c>
      <c r="ES48" s="7"/>
      <c r="EU48">
        <v>1</v>
      </c>
      <c r="FB48" s="7"/>
      <c r="FD48">
        <v>1</v>
      </c>
      <c r="FK48" s="7"/>
      <c r="FR48" s="7"/>
      <c r="FY48" s="7"/>
      <c r="GF48" s="7"/>
      <c r="GM48" s="7"/>
      <c r="GT48" s="7"/>
      <c r="HA48" s="7"/>
      <c r="HH48" s="7"/>
      <c r="HO48" s="7"/>
      <c r="HV48" s="7"/>
      <c r="IC48" s="7"/>
      <c r="IJ48" s="7"/>
      <c r="IQ48" s="7"/>
      <c r="IX48" s="7"/>
      <c r="JE48" s="7"/>
      <c r="JL48" s="7"/>
      <c r="JS48" s="7"/>
      <c r="JZ48" s="7"/>
      <c r="KG48" s="7"/>
      <c r="KN48" s="7"/>
      <c r="KU48" s="7"/>
      <c r="LB48" s="7"/>
      <c r="LI48" s="7"/>
      <c r="LP48" s="7"/>
      <c r="LW48" s="7"/>
      <c r="MD48" s="7"/>
      <c r="MK48" s="7"/>
      <c r="MR48" s="7"/>
    </row>
    <row r="49" spans="1:356" ht="15" hidden="1" customHeight="1" x14ac:dyDescent="0.25">
      <c r="A49" s="8" t="s">
        <v>233</v>
      </c>
      <c r="B49" s="8"/>
      <c r="C49" s="8" t="s">
        <v>36</v>
      </c>
      <c r="D49" s="8" t="s">
        <v>234</v>
      </c>
      <c r="E49" s="18">
        <v>38536</v>
      </c>
      <c r="F49" s="10">
        <f t="shared" si="353"/>
        <v>1</v>
      </c>
      <c r="G49" s="19">
        <f t="shared" si="353"/>
        <v>1</v>
      </c>
      <c r="H49" s="19" t="str">
        <f t="shared" si="353"/>
        <v/>
      </c>
      <c r="I49" s="19" t="str">
        <f t="shared" si="353"/>
        <v/>
      </c>
      <c r="J49" s="19" t="str">
        <f t="shared" si="353"/>
        <v/>
      </c>
      <c r="K49" s="19" t="str">
        <f t="shared" si="353"/>
        <v/>
      </c>
      <c r="L49" s="19" t="str">
        <f t="shared" si="353"/>
        <v/>
      </c>
      <c r="M49" s="8">
        <v>1</v>
      </c>
      <c r="N49" s="8"/>
      <c r="O49" s="9"/>
      <c r="P49" s="8">
        <f t="shared" si="354"/>
        <v>5</v>
      </c>
      <c r="Q49" s="109">
        <f>IF(SUM(S49:XFD49) &gt; 0, SUM(S49:XFD49) / $P$66 * 100, "")</f>
        <v>18.518518518518519</v>
      </c>
      <c r="R49" s="84"/>
      <c r="S49" s="7"/>
      <c r="Z49" s="7"/>
      <c r="AG49" s="7"/>
      <c r="AI49">
        <v>1</v>
      </c>
      <c r="AN49" s="7"/>
      <c r="AR49">
        <v>1</v>
      </c>
      <c r="AU49" s="7"/>
      <c r="BB49" s="7"/>
      <c r="BD49">
        <v>1</v>
      </c>
      <c r="BI49" s="7"/>
      <c r="BM49">
        <v>1</v>
      </c>
      <c r="BN49">
        <v>1</v>
      </c>
      <c r="BP49" s="7"/>
      <c r="BY49" s="7"/>
      <c r="CH49" s="7"/>
      <c r="CQ49" s="7"/>
      <c r="CZ49" s="7"/>
      <c r="DI49" s="7"/>
      <c r="DR49" s="7"/>
      <c r="DT49" t="s">
        <v>444</v>
      </c>
      <c r="EA49" s="7"/>
      <c r="EJ49" s="7"/>
      <c r="ES49" s="7"/>
      <c r="FB49" s="7"/>
      <c r="FK49" s="7"/>
      <c r="FR49" s="7"/>
      <c r="FY49" s="7"/>
      <c r="GF49" s="7"/>
      <c r="GM49" s="7"/>
      <c r="GT49" s="7"/>
      <c r="HA49" s="7"/>
      <c r="HH49" s="7"/>
      <c r="HO49" s="7"/>
      <c r="HV49" s="7"/>
      <c r="IC49" s="7"/>
      <c r="IJ49" s="7"/>
      <c r="IQ49" s="7"/>
      <c r="IX49" s="7"/>
      <c r="JE49" s="7"/>
      <c r="JL49" s="7"/>
      <c r="JS49" s="7"/>
      <c r="JZ49" s="7"/>
      <c r="KG49" s="7"/>
      <c r="KN49" s="7"/>
      <c r="KU49" s="7"/>
      <c r="LB49" s="7"/>
      <c r="LI49" s="7"/>
      <c r="LP49" s="7"/>
      <c r="LW49" s="7"/>
      <c r="MD49" s="7"/>
      <c r="MK49" s="7"/>
      <c r="MR49" s="7"/>
    </row>
    <row r="50" spans="1:356" hidden="1" x14ac:dyDescent="0.25">
      <c r="A50" s="8" t="s">
        <v>229</v>
      </c>
      <c r="B50" s="8" t="s">
        <v>230</v>
      </c>
      <c r="C50" s="8" t="s">
        <v>232</v>
      </c>
      <c r="D50" s="8" t="s">
        <v>231</v>
      </c>
      <c r="E50" s="18">
        <v>38679</v>
      </c>
      <c r="F50" s="10">
        <f t="shared" si="353"/>
        <v>1</v>
      </c>
      <c r="G50" s="19">
        <f t="shared" si="353"/>
        <v>1</v>
      </c>
      <c r="H50" s="19" t="str">
        <f t="shared" si="353"/>
        <v/>
      </c>
      <c r="I50" s="19" t="str">
        <f t="shared" si="353"/>
        <v/>
      </c>
      <c r="J50" s="19" t="str">
        <f t="shared" si="353"/>
        <v/>
      </c>
      <c r="K50" s="19" t="str">
        <f t="shared" si="353"/>
        <v/>
      </c>
      <c r="L50" s="19" t="str">
        <f t="shared" si="353"/>
        <v/>
      </c>
      <c r="M50" s="8">
        <v>1</v>
      </c>
      <c r="N50" s="8"/>
      <c r="O50" s="9"/>
      <c r="P50" s="8">
        <f t="shared" si="354"/>
        <v>6</v>
      </c>
      <c r="Q50" s="109">
        <f>IF(SUM(S50:XFD50) &gt; 0, SUM(S50:XFD50) / $P$66 * 100, "")</f>
        <v>22.222222222222221</v>
      </c>
      <c r="R50" s="84"/>
      <c r="S50" s="7"/>
      <c r="Z50" s="7"/>
      <c r="AG50" s="7"/>
      <c r="AI50">
        <v>1</v>
      </c>
      <c r="AN50" s="7"/>
      <c r="AR50">
        <v>1</v>
      </c>
      <c r="AU50" s="7"/>
      <c r="BB50" s="7"/>
      <c r="BD50">
        <v>1</v>
      </c>
      <c r="BI50" s="7"/>
      <c r="BM50">
        <v>1</v>
      </c>
      <c r="BN50">
        <v>1</v>
      </c>
      <c r="BP50" s="7"/>
      <c r="BY50" s="7"/>
      <c r="CH50" s="7"/>
      <c r="CQ50" s="7"/>
      <c r="CZ50" s="7"/>
      <c r="DI50" s="7"/>
      <c r="DR50" s="7"/>
      <c r="DT50" t="s">
        <v>444</v>
      </c>
      <c r="DW50">
        <v>1</v>
      </c>
      <c r="EA50" s="7"/>
      <c r="EJ50" s="7"/>
      <c r="ES50" s="7"/>
      <c r="FB50" s="7"/>
      <c r="FK50" s="7"/>
      <c r="FR50" s="7"/>
      <c r="FY50" s="7"/>
      <c r="GF50" s="7"/>
      <c r="GM50" s="7"/>
      <c r="GT50" s="7"/>
      <c r="HA50" s="7"/>
      <c r="HH50" s="7"/>
      <c r="HO50" s="7"/>
      <c r="HV50" s="7"/>
      <c r="IC50" s="7"/>
      <c r="IJ50" s="7"/>
      <c r="IQ50" s="7"/>
      <c r="IX50" s="7"/>
      <c r="JE50" s="7"/>
      <c r="JL50" s="7"/>
      <c r="JS50" s="7"/>
      <c r="JZ50" s="7"/>
      <c r="KG50" s="7"/>
      <c r="KN50" s="7"/>
      <c r="KU50" s="7"/>
      <c r="LB50" s="7"/>
      <c r="LI50" s="7"/>
      <c r="LP50" s="7"/>
      <c r="LW50" s="7"/>
      <c r="MD50" s="7"/>
      <c r="MK50" s="7"/>
      <c r="MR50" s="7"/>
    </row>
    <row r="51" spans="1:356" hidden="1" x14ac:dyDescent="0.25">
      <c r="A51" s="8" t="s">
        <v>62</v>
      </c>
      <c r="B51" s="8"/>
      <c r="C51" s="8" t="s">
        <v>292</v>
      </c>
      <c r="D51" s="8" t="s">
        <v>293</v>
      </c>
      <c r="E51" s="18">
        <v>39814</v>
      </c>
      <c r="F51" s="10">
        <f t="shared" si="353"/>
        <v>1</v>
      </c>
      <c r="G51" s="19">
        <f t="shared" si="353"/>
        <v>1</v>
      </c>
      <c r="H51" s="19">
        <f t="shared" si="353"/>
        <v>1</v>
      </c>
      <c r="I51" s="8">
        <f t="shared" si="353"/>
        <v>1</v>
      </c>
      <c r="J51" s="8">
        <f t="shared" si="353"/>
        <v>1</v>
      </c>
      <c r="K51" s="8">
        <f t="shared" si="353"/>
        <v>1</v>
      </c>
      <c r="L51" s="8" t="str">
        <f t="shared" si="353"/>
        <v/>
      </c>
      <c r="M51" s="8">
        <v>1</v>
      </c>
      <c r="N51" s="8"/>
      <c r="O51" s="9"/>
      <c r="P51" s="8">
        <f t="shared" si="354"/>
        <v>3</v>
      </c>
      <c r="Q51" s="109">
        <f>IF(SUM(S51:XFD51) &gt; 0, SUM(S51:XFD51) / $P$66 * 100, "")</f>
        <v>11.111111111111111</v>
      </c>
      <c r="R51" s="84"/>
      <c r="S51" s="7"/>
      <c r="Z51" s="7"/>
      <c r="AG51" s="7"/>
      <c r="AN51" s="7"/>
      <c r="AP51">
        <v>1</v>
      </c>
      <c r="AU51" s="7"/>
      <c r="AY51">
        <v>1</v>
      </c>
      <c r="BB51" s="7"/>
      <c r="BF51">
        <v>1</v>
      </c>
      <c r="BI51" s="7"/>
      <c r="BP51" s="7"/>
      <c r="BY51" s="7"/>
      <c r="CH51" s="7"/>
      <c r="CQ51" s="7"/>
      <c r="CZ51" s="7"/>
      <c r="DI51" s="7"/>
      <c r="DR51" s="7"/>
      <c r="EA51" s="7"/>
      <c r="EJ51" s="7"/>
      <c r="ES51" s="7"/>
      <c r="FB51" s="7"/>
      <c r="FK51" s="7"/>
      <c r="FR51" s="7"/>
      <c r="FY51" s="7"/>
      <c r="GF51" s="7"/>
      <c r="GM51" s="7"/>
      <c r="GT51" s="7"/>
      <c r="HA51" s="7"/>
      <c r="HH51" s="7"/>
      <c r="HO51" s="7"/>
      <c r="HV51" s="7"/>
      <c r="IC51" s="7"/>
      <c r="IJ51" s="7"/>
      <c r="IQ51" s="7"/>
      <c r="IX51" s="7"/>
      <c r="JE51" s="7"/>
      <c r="JL51" s="7"/>
      <c r="JS51" s="7"/>
      <c r="JZ51" s="7"/>
      <c r="KG51" s="7"/>
      <c r="KN51" s="7"/>
      <c r="KU51" s="7"/>
      <c r="LB51" s="7"/>
      <c r="LI51" s="7"/>
      <c r="LP51" s="7"/>
      <c r="LW51" s="7"/>
      <c r="MD51" s="7"/>
      <c r="MK51" s="7"/>
      <c r="MR51" s="7"/>
    </row>
    <row r="52" spans="1:356" x14ac:dyDescent="0.25">
      <c r="A52" s="8" t="s">
        <v>92</v>
      </c>
      <c r="B52" s="8"/>
      <c r="C52" s="8" t="s">
        <v>91</v>
      </c>
      <c r="D52" s="8" t="s">
        <v>90</v>
      </c>
      <c r="E52" s="18">
        <v>39507</v>
      </c>
      <c r="F52" s="10">
        <f t="shared" si="353"/>
        <v>1</v>
      </c>
      <c r="G52" s="19">
        <f t="shared" si="353"/>
        <v>1</v>
      </c>
      <c r="H52" s="19">
        <f t="shared" si="353"/>
        <v>1</v>
      </c>
      <c r="I52" s="19">
        <f t="shared" si="353"/>
        <v>1</v>
      </c>
      <c r="J52" s="19">
        <f t="shared" si="353"/>
        <v>1</v>
      </c>
      <c r="K52" s="19" t="str">
        <f t="shared" si="353"/>
        <v/>
      </c>
      <c r="L52" s="19" t="str">
        <f t="shared" si="353"/>
        <v/>
      </c>
      <c r="M52" s="8">
        <v>1</v>
      </c>
      <c r="N52" s="8">
        <v>1</v>
      </c>
      <c r="O52" s="9"/>
      <c r="P52" s="8">
        <f t="shared" si="354"/>
        <v>21</v>
      </c>
      <c r="Q52" s="109">
        <f>IF(SUM(S52:XFD52) &gt; 0, SUM(S52:XFD52) / $P$66 * 100, "")</f>
        <v>77.777777777777786</v>
      </c>
      <c r="R52" s="84"/>
      <c r="S52" s="7"/>
      <c r="Z52" s="7"/>
      <c r="AG52" s="7"/>
      <c r="AI52">
        <v>1</v>
      </c>
      <c r="AN52" s="7"/>
      <c r="AP52">
        <v>1</v>
      </c>
      <c r="AR52">
        <v>1</v>
      </c>
      <c r="AU52" s="7"/>
      <c r="AW52">
        <v>1</v>
      </c>
      <c r="AX52">
        <v>1</v>
      </c>
      <c r="AY52">
        <v>1</v>
      </c>
      <c r="BB52" s="7"/>
      <c r="BD52">
        <v>1</v>
      </c>
      <c r="BF52">
        <v>1</v>
      </c>
      <c r="BI52" s="7"/>
      <c r="BK52">
        <v>1</v>
      </c>
      <c r="BM52">
        <v>1</v>
      </c>
      <c r="BN52">
        <v>1</v>
      </c>
      <c r="BP52" s="7">
        <v>1</v>
      </c>
      <c r="BY52" s="7"/>
      <c r="CH52" s="7"/>
      <c r="CQ52" s="7"/>
      <c r="CZ52" s="7"/>
      <c r="DI52" s="7"/>
      <c r="DR52" s="7"/>
      <c r="DT52">
        <v>1</v>
      </c>
      <c r="EA52" s="7"/>
      <c r="EC52">
        <v>1</v>
      </c>
      <c r="EE52">
        <v>1</v>
      </c>
      <c r="EF52">
        <v>1</v>
      </c>
      <c r="EJ52" s="7"/>
      <c r="EL52">
        <v>1</v>
      </c>
      <c r="EN52">
        <v>1</v>
      </c>
      <c r="ES52" s="7"/>
      <c r="EU52">
        <v>1</v>
      </c>
      <c r="EX52">
        <v>1</v>
      </c>
      <c r="FB52" s="7"/>
      <c r="FD52">
        <v>1</v>
      </c>
      <c r="FK52" s="7"/>
      <c r="FR52" s="7"/>
      <c r="FY52" s="7"/>
      <c r="GF52" s="7"/>
      <c r="GM52" s="7"/>
      <c r="GT52" s="7"/>
      <c r="HA52" s="7"/>
      <c r="HH52" s="7"/>
      <c r="HO52" s="7"/>
      <c r="HV52" s="7"/>
      <c r="IC52" s="7"/>
      <c r="IJ52" s="7"/>
      <c r="IQ52" s="7"/>
      <c r="IX52" s="7"/>
      <c r="JE52" s="7"/>
      <c r="JL52" s="7"/>
      <c r="JS52" s="7"/>
      <c r="JZ52" s="7"/>
      <c r="KG52" s="7"/>
      <c r="KN52" s="7"/>
      <c r="KU52" s="7"/>
      <c r="LB52" s="7"/>
      <c r="LI52" s="7"/>
      <c r="LP52" s="7"/>
      <c r="LW52" s="7"/>
      <c r="MD52" s="7"/>
      <c r="MK52" s="7"/>
      <c r="MR52" s="7"/>
    </row>
    <row r="53" spans="1:356" hidden="1" x14ac:dyDescent="0.25">
      <c r="A53" s="8" t="s">
        <v>89</v>
      </c>
      <c r="B53" s="8"/>
      <c r="C53" s="8" t="s">
        <v>88</v>
      </c>
      <c r="D53" s="8" t="s">
        <v>87</v>
      </c>
      <c r="E53" s="18">
        <v>39651</v>
      </c>
      <c r="F53" s="10">
        <f t="shared" si="353"/>
        <v>1</v>
      </c>
      <c r="G53" s="19">
        <f t="shared" si="353"/>
        <v>1</v>
      </c>
      <c r="H53" s="19">
        <f t="shared" si="353"/>
        <v>1</v>
      </c>
      <c r="I53" s="8">
        <f t="shared" si="353"/>
        <v>1</v>
      </c>
      <c r="J53" s="8">
        <f t="shared" si="353"/>
        <v>1</v>
      </c>
      <c r="K53" s="8" t="str">
        <f t="shared" si="353"/>
        <v/>
      </c>
      <c r="L53" s="8" t="str">
        <f t="shared" si="353"/>
        <v/>
      </c>
      <c r="M53" s="8">
        <v>1</v>
      </c>
      <c r="N53" s="8"/>
      <c r="O53" s="9"/>
      <c r="P53" s="8">
        <f t="shared" si="354"/>
        <v>3</v>
      </c>
      <c r="Q53" s="109">
        <f>IF(SUM(S53:XFD53) &gt; 0, SUM(S53:XFD53) / $P$66 * 100, "")</f>
        <v>11.111111111111111</v>
      </c>
      <c r="R53" s="84"/>
      <c r="S53" s="7"/>
      <c r="Z53" s="7"/>
      <c r="AG53" s="7"/>
      <c r="AI53">
        <v>1</v>
      </c>
      <c r="AK53">
        <v>1</v>
      </c>
      <c r="AN53" s="7"/>
      <c r="AU53" s="7"/>
      <c r="AW53">
        <v>1</v>
      </c>
      <c r="BB53" s="7"/>
      <c r="BI53" s="7"/>
      <c r="BP53" s="7"/>
      <c r="BY53" s="7"/>
      <c r="CH53" s="7"/>
      <c r="CQ53" s="7"/>
      <c r="CZ53" s="7"/>
      <c r="DI53" s="7"/>
      <c r="DR53" s="7"/>
      <c r="EA53" s="7"/>
      <c r="EJ53" s="7"/>
      <c r="ES53" s="7"/>
      <c r="FB53" s="7"/>
      <c r="FK53" s="7"/>
      <c r="FR53" s="7"/>
      <c r="FY53" s="7"/>
      <c r="GF53" s="7"/>
      <c r="GM53" s="7"/>
      <c r="GT53" s="7"/>
      <c r="HA53" s="7"/>
      <c r="HH53" s="7"/>
      <c r="HO53" s="7"/>
      <c r="HV53" s="7"/>
      <c r="IC53" s="7"/>
      <c r="IJ53" s="7"/>
      <c r="IQ53" s="7"/>
      <c r="IX53" s="7"/>
      <c r="JE53" s="7"/>
      <c r="JL53" s="7"/>
      <c r="JS53" s="7"/>
      <c r="JZ53" s="7"/>
      <c r="KG53" s="7"/>
      <c r="KN53" s="7"/>
      <c r="KU53" s="7"/>
      <c r="LB53" s="7"/>
      <c r="LI53" s="7"/>
      <c r="LP53" s="7"/>
      <c r="LW53" s="7"/>
      <c r="MD53" s="7"/>
      <c r="MK53" s="7"/>
      <c r="MR53" s="7"/>
    </row>
    <row r="54" spans="1:356" x14ac:dyDescent="0.25">
      <c r="A54" s="8" t="s">
        <v>134</v>
      </c>
      <c r="B54" s="8" t="s">
        <v>133</v>
      </c>
      <c r="C54" s="8" t="s">
        <v>235</v>
      </c>
      <c r="D54" s="8" t="s">
        <v>87</v>
      </c>
      <c r="E54" s="18">
        <v>38979</v>
      </c>
      <c r="F54" s="10">
        <f t="shared" si="353"/>
        <v>1</v>
      </c>
      <c r="G54" s="19">
        <f t="shared" si="353"/>
        <v>1</v>
      </c>
      <c r="H54" s="19">
        <f t="shared" si="353"/>
        <v>1</v>
      </c>
      <c r="I54" s="8" t="str">
        <f t="shared" si="353"/>
        <v/>
      </c>
      <c r="J54" s="8" t="str">
        <f t="shared" si="353"/>
        <v/>
      </c>
      <c r="K54" s="8" t="str">
        <f t="shared" si="353"/>
        <v/>
      </c>
      <c r="L54" s="8" t="str">
        <f t="shared" si="353"/>
        <v/>
      </c>
      <c r="M54" s="8">
        <v>1</v>
      </c>
      <c r="N54" s="8">
        <v>1</v>
      </c>
      <c r="O54" s="9"/>
      <c r="P54" s="8">
        <f t="shared" si="354"/>
        <v>18</v>
      </c>
      <c r="Q54" s="109">
        <f>IF(SUM(S54:XFD54) &gt; 0, SUM(S54:XFD54) / $P$66 * 100, "")</f>
        <v>66.666666666666657</v>
      </c>
      <c r="R54" s="84"/>
      <c r="S54" s="7"/>
      <c r="Z54" s="7"/>
      <c r="AG54" s="7"/>
      <c r="AI54">
        <v>1</v>
      </c>
      <c r="AK54">
        <v>1</v>
      </c>
      <c r="AN54" s="7"/>
      <c r="AU54" s="7"/>
      <c r="AW54">
        <v>1</v>
      </c>
      <c r="AX54">
        <v>1</v>
      </c>
      <c r="BB54" s="7"/>
      <c r="BI54" s="7"/>
      <c r="BK54">
        <v>1</v>
      </c>
      <c r="BM54">
        <v>1</v>
      </c>
      <c r="BN54">
        <v>1</v>
      </c>
      <c r="BP54" s="7">
        <v>1</v>
      </c>
      <c r="BY54" s="7"/>
      <c r="CH54" s="7"/>
      <c r="CQ54" s="7"/>
      <c r="CZ54" s="7"/>
      <c r="DI54" s="7"/>
      <c r="DR54" s="7"/>
      <c r="DT54">
        <v>1</v>
      </c>
      <c r="DV54">
        <v>1</v>
      </c>
      <c r="EA54" s="7"/>
      <c r="EC54">
        <v>1</v>
      </c>
      <c r="EE54">
        <v>1</v>
      </c>
      <c r="EJ54" s="7"/>
      <c r="EL54">
        <v>1</v>
      </c>
      <c r="EN54">
        <v>1</v>
      </c>
      <c r="EO54">
        <v>1</v>
      </c>
      <c r="ES54" s="7"/>
      <c r="EU54">
        <v>1</v>
      </c>
      <c r="EW54">
        <v>1</v>
      </c>
      <c r="FB54" s="7"/>
      <c r="FD54">
        <v>1</v>
      </c>
      <c r="FK54" s="7"/>
      <c r="FR54" s="7"/>
      <c r="FY54" s="7"/>
      <c r="GF54" s="7"/>
      <c r="GM54" s="7"/>
      <c r="GT54" s="7"/>
      <c r="HA54" s="7"/>
      <c r="HH54" s="7"/>
      <c r="HO54" s="7"/>
      <c r="HV54" s="7"/>
      <c r="IC54" s="7"/>
      <c r="IJ54" s="7"/>
      <c r="IQ54" s="7"/>
      <c r="IX54" s="7"/>
      <c r="JE54" s="7"/>
      <c r="JL54" s="7"/>
      <c r="JS54" s="7"/>
      <c r="JZ54" s="7"/>
      <c r="KG54" s="7"/>
      <c r="KN54" s="7"/>
      <c r="KU54" s="7"/>
      <c r="LB54" s="7"/>
      <c r="LI54" s="7"/>
      <c r="LP54" s="7"/>
      <c r="LW54" s="7"/>
      <c r="MD54" s="7"/>
      <c r="MK54" s="7"/>
      <c r="MR54" s="7"/>
    </row>
    <row r="55" spans="1:356" hidden="1" x14ac:dyDescent="0.25">
      <c r="A55" s="8" t="s">
        <v>86</v>
      </c>
      <c r="B55" s="8"/>
      <c r="C55" s="8" t="s">
        <v>85</v>
      </c>
      <c r="D55" s="8" t="s">
        <v>84</v>
      </c>
      <c r="E55" s="18">
        <v>39562</v>
      </c>
      <c r="F55" s="10">
        <f t="shared" si="353"/>
        <v>1</v>
      </c>
      <c r="G55" s="19">
        <f t="shared" si="353"/>
        <v>1</v>
      </c>
      <c r="H55" s="19">
        <f t="shared" si="353"/>
        <v>1</v>
      </c>
      <c r="I55" s="8">
        <f t="shared" si="353"/>
        <v>1</v>
      </c>
      <c r="J55" s="8">
        <f t="shared" si="353"/>
        <v>1</v>
      </c>
      <c r="K55" s="8" t="str">
        <f t="shared" si="353"/>
        <v/>
      </c>
      <c r="L55" s="8" t="str">
        <f t="shared" si="353"/>
        <v/>
      </c>
      <c r="M55" s="8">
        <v>1</v>
      </c>
      <c r="N55" s="8"/>
      <c r="O55" s="9"/>
      <c r="P55" s="8">
        <f t="shared" si="354"/>
        <v>5</v>
      </c>
      <c r="Q55" s="109">
        <f>IF(SUM(S55:XFD55) &gt; 0, SUM(S55:XFD55) / $P$66 * 100, "")</f>
        <v>18.518518518518519</v>
      </c>
      <c r="R55" s="84"/>
      <c r="S55" s="7"/>
      <c r="Z55" s="7"/>
      <c r="AG55" s="7"/>
      <c r="AN55" s="7"/>
      <c r="AP55">
        <v>1</v>
      </c>
      <c r="AR55">
        <v>1</v>
      </c>
      <c r="AU55" s="7"/>
      <c r="AW55">
        <v>1</v>
      </c>
      <c r="BB55" s="7"/>
      <c r="BI55" s="7"/>
      <c r="BM55">
        <v>1</v>
      </c>
      <c r="BN55">
        <v>1</v>
      </c>
      <c r="BP55" s="7"/>
      <c r="BY55" s="7"/>
      <c r="CH55" s="7"/>
      <c r="CQ55" s="7"/>
      <c r="CZ55" s="7"/>
      <c r="DI55" s="7"/>
      <c r="DR55" s="7"/>
      <c r="EA55" s="7"/>
      <c r="EJ55" s="7"/>
      <c r="ES55" s="7"/>
      <c r="FB55" s="7"/>
      <c r="FD55" t="s">
        <v>479</v>
      </c>
      <c r="FK55" s="7"/>
      <c r="FR55" s="7"/>
      <c r="FY55" s="7"/>
      <c r="GF55" s="7"/>
      <c r="GM55" s="7"/>
      <c r="GT55" s="7"/>
      <c r="HA55" s="7"/>
      <c r="HH55" s="7"/>
      <c r="HO55" s="7"/>
      <c r="HV55" s="7"/>
      <c r="IC55" s="7"/>
      <c r="IJ55" s="7"/>
      <c r="IQ55" s="7"/>
      <c r="IX55" s="7"/>
      <c r="JE55" s="7"/>
      <c r="JL55" s="7"/>
      <c r="JS55" s="7"/>
      <c r="JZ55" s="7"/>
      <c r="KG55" s="7"/>
      <c r="KN55" s="7"/>
      <c r="KU55" s="7"/>
      <c r="LB55" s="7"/>
      <c r="LI55" s="7"/>
      <c r="LP55" s="7"/>
      <c r="LW55" s="7"/>
      <c r="MD55" s="7"/>
      <c r="MK55" s="7"/>
      <c r="MR55" s="7"/>
    </row>
    <row r="56" spans="1:356" x14ac:dyDescent="0.25">
      <c r="A56" s="8" t="s">
        <v>83</v>
      </c>
      <c r="B56" s="8"/>
      <c r="C56" s="8" t="s">
        <v>82</v>
      </c>
      <c r="D56" s="8" t="s">
        <v>81</v>
      </c>
      <c r="E56" s="18">
        <v>39475</v>
      </c>
      <c r="F56" s="10">
        <f t="shared" si="353"/>
        <v>1</v>
      </c>
      <c r="G56" s="19">
        <f t="shared" si="353"/>
        <v>1</v>
      </c>
      <c r="H56" s="19">
        <f t="shared" si="353"/>
        <v>1</v>
      </c>
      <c r="I56" s="8">
        <f t="shared" si="353"/>
        <v>1</v>
      </c>
      <c r="J56" s="8">
        <f t="shared" si="353"/>
        <v>1</v>
      </c>
      <c r="K56" s="8" t="str">
        <f t="shared" si="353"/>
        <v/>
      </c>
      <c r="L56" s="8" t="str">
        <f t="shared" si="353"/>
        <v/>
      </c>
      <c r="M56" s="8">
        <v>1</v>
      </c>
      <c r="N56" s="8">
        <v>1</v>
      </c>
      <c r="O56" s="9"/>
      <c r="P56" s="8">
        <f t="shared" si="354"/>
        <v>22</v>
      </c>
      <c r="Q56" s="109">
        <f>IF(SUM(S56:XFD56) &gt; 0, SUM(S56:XFD56) / $P$66 * 100, "")</f>
        <v>81.481481481481481</v>
      </c>
      <c r="R56" s="84"/>
      <c r="S56" s="7"/>
      <c r="Z56" s="7"/>
      <c r="AG56" s="7"/>
      <c r="AI56">
        <v>1</v>
      </c>
      <c r="AK56">
        <v>1</v>
      </c>
      <c r="AN56" s="7"/>
      <c r="AP56">
        <v>1</v>
      </c>
      <c r="AR56">
        <v>1</v>
      </c>
      <c r="AU56" s="7"/>
      <c r="AY56">
        <v>1</v>
      </c>
      <c r="BB56" s="7"/>
      <c r="BD56">
        <v>1</v>
      </c>
      <c r="BF56">
        <v>1</v>
      </c>
      <c r="BI56" s="7"/>
      <c r="BK56">
        <v>1</v>
      </c>
      <c r="BM56">
        <v>1</v>
      </c>
      <c r="BN56">
        <v>1</v>
      </c>
      <c r="BP56" s="7"/>
      <c r="BY56" s="7"/>
      <c r="CH56" s="7"/>
      <c r="CQ56" s="7"/>
      <c r="CZ56" s="7"/>
      <c r="DI56" s="7"/>
      <c r="DR56" s="7"/>
      <c r="DT56">
        <v>1</v>
      </c>
      <c r="DV56">
        <v>1</v>
      </c>
      <c r="DW56">
        <v>1</v>
      </c>
      <c r="EA56" s="7"/>
      <c r="EC56">
        <v>1</v>
      </c>
      <c r="EE56">
        <v>1</v>
      </c>
      <c r="EJ56" s="7"/>
      <c r="EL56">
        <v>1</v>
      </c>
      <c r="EN56">
        <v>1</v>
      </c>
      <c r="EO56">
        <v>1</v>
      </c>
      <c r="ES56" s="7"/>
      <c r="EU56">
        <v>1</v>
      </c>
      <c r="EW56">
        <v>1</v>
      </c>
      <c r="EX56">
        <v>1</v>
      </c>
      <c r="FB56" s="7"/>
      <c r="FD56">
        <v>1</v>
      </c>
      <c r="FK56" s="7"/>
      <c r="FR56" s="7"/>
      <c r="FY56" s="7"/>
      <c r="GF56" s="7"/>
      <c r="GM56" s="7"/>
      <c r="GT56" s="7"/>
      <c r="HA56" s="7"/>
      <c r="HH56" s="7"/>
      <c r="HO56" s="7"/>
      <c r="HV56" s="7"/>
      <c r="IC56" s="7"/>
      <c r="IJ56" s="7"/>
      <c r="IQ56" s="7"/>
      <c r="IX56" s="7"/>
      <c r="JE56" s="7"/>
      <c r="JL56" s="7"/>
      <c r="JS56" s="7"/>
      <c r="JZ56" s="7"/>
      <c r="KG56" s="7"/>
      <c r="KN56" s="7"/>
      <c r="KU56" s="7"/>
      <c r="LB56" s="7"/>
      <c r="LI56" s="7"/>
      <c r="LP56" s="7"/>
      <c r="LW56" s="7"/>
      <c r="MD56" s="7"/>
      <c r="MK56" s="7"/>
      <c r="MR56" s="7"/>
    </row>
    <row r="57" spans="1:356" x14ac:dyDescent="0.25">
      <c r="A57" s="8" t="s">
        <v>80</v>
      </c>
      <c r="B57" s="8"/>
      <c r="C57" s="8" t="s">
        <v>79</v>
      </c>
      <c r="D57" s="8" t="s">
        <v>78</v>
      </c>
      <c r="E57" s="18">
        <v>39927</v>
      </c>
      <c r="F57" s="10">
        <f t="shared" si="353"/>
        <v>1</v>
      </c>
      <c r="G57" s="19">
        <f t="shared" si="353"/>
        <v>1</v>
      </c>
      <c r="H57" s="19">
        <f t="shared" si="353"/>
        <v>1</v>
      </c>
      <c r="I57" s="8">
        <f t="shared" si="353"/>
        <v>1</v>
      </c>
      <c r="J57" s="8">
        <f t="shared" si="353"/>
        <v>1</v>
      </c>
      <c r="K57" s="8">
        <f t="shared" si="353"/>
        <v>1</v>
      </c>
      <c r="L57" s="8" t="str">
        <f t="shared" si="353"/>
        <v/>
      </c>
      <c r="M57" s="8">
        <v>1</v>
      </c>
      <c r="N57" s="8"/>
      <c r="O57" s="9"/>
      <c r="P57" s="8">
        <f t="shared" si="354"/>
        <v>6</v>
      </c>
      <c r="Q57" s="109">
        <f>IF(SUM(S57:XFD57) &gt; 0, SUM(S57:XFD57) / $P$66 * 100, "")</f>
        <v>22.222222222222221</v>
      </c>
      <c r="R57" s="84"/>
      <c r="S57" s="7"/>
      <c r="Z57" s="7"/>
      <c r="AG57" s="7"/>
      <c r="AI57">
        <v>1</v>
      </c>
      <c r="AK57">
        <v>1</v>
      </c>
      <c r="AN57" s="7"/>
      <c r="AP57">
        <v>1</v>
      </c>
      <c r="AU57" s="7"/>
      <c r="AW57">
        <v>1</v>
      </c>
      <c r="BB57" s="7"/>
      <c r="BI57" s="7"/>
      <c r="BP57" s="7"/>
      <c r="BY57" s="7"/>
      <c r="CH57" s="7"/>
      <c r="CQ57" s="7"/>
      <c r="CZ57" s="7"/>
      <c r="DI57" s="7"/>
      <c r="DR57" s="7"/>
      <c r="EA57" s="7"/>
      <c r="EJ57" s="7"/>
      <c r="ES57" s="7"/>
      <c r="EW57">
        <v>1</v>
      </c>
      <c r="FB57" s="7"/>
      <c r="FD57">
        <v>1</v>
      </c>
      <c r="FK57" s="7"/>
      <c r="FR57" s="7"/>
      <c r="FY57" s="7"/>
      <c r="GF57" s="7"/>
      <c r="GM57" s="7"/>
      <c r="GT57" s="7"/>
      <c r="HA57" s="7"/>
      <c r="HH57" s="7"/>
      <c r="HO57" s="7"/>
      <c r="HV57" s="7"/>
      <c r="IC57" s="7"/>
      <c r="IJ57" s="7"/>
      <c r="IQ57" s="7"/>
      <c r="IX57" s="7"/>
      <c r="JE57" s="7"/>
      <c r="JL57" s="7"/>
      <c r="JS57" s="7"/>
      <c r="JZ57" s="7"/>
      <c r="KG57" s="7"/>
      <c r="KN57" s="7"/>
      <c r="KU57" s="7"/>
      <c r="LB57" s="7"/>
      <c r="LI57" s="7"/>
      <c r="LP57" s="7"/>
      <c r="LW57" s="7"/>
      <c r="MD57" s="7"/>
      <c r="MK57" s="7"/>
      <c r="MR57" s="7"/>
    </row>
    <row r="58" spans="1:356" x14ac:dyDescent="0.25">
      <c r="A58" s="8" t="s">
        <v>77</v>
      </c>
      <c r="B58" s="8" t="s">
        <v>76</v>
      </c>
      <c r="C58" s="8" t="s">
        <v>75</v>
      </c>
      <c r="D58" s="8" t="s">
        <v>74</v>
      </c>
      <c r="E58" s="18">
        <v>40051</v>
      </c>
      <c r="F58" s="10">
        <f t="shared" ref="F58:L65" si="355">IF($E58 &gt;= F$43, 1, "")</f>
        <v>1</v>
      </c>
      <c r="G58" s="19">
        <f t="shared" si="355"/>
        <v>1</v>
      </c>
      <c r="H58" s="19">
        <f t="shared" si="355"/>
        <v>1</v>
      </c>
      <c r="I58" s="8">
        <f t="shared" si="355"/>
        <v>1</v>
      </c>
      <c r="J58" s="8">
        <f t="shared" si="355"/>
        <v>1</v>
      </c>
      <c r="K58" s="8">
        <f t="shared" si="355"/>
        <v>1</v>
      </c>
      <c r="L58" s="8" t="str">
        <f t="shared" si="355"/>
        <v/>
      </c>
      <c r="M58" s="8">
        <v>1</v>
      </c>
      <c r="N58" s="8"/>
      <c r="O58" s="9"/>
      <c r="P58" s="8">
        <f t="shared" si="354"/>
        <v>9</v>
      </c>
      <c r="Q58" s="109">
        <f>IF(SUM(S58:XFD58) &gt; 0, SUM(S58:XFD58) / $P$66 * 100, "")</f>
        <v>33.333333333333329</v>
      </c>
      <c r="R58" s="84"/>
      <c r="S58" s="7"/>
      <c r="Z58" s="7"/>
      <c r="AG58" s="7"/>
      <c r="AI58">
        <v>1</v>
      </c>
      <c r="AN58" s="7"/>
      <c r="AP58">
        <v>1</v>
      </c>
      <c r="AU58" s="7"/>
      <c r="AW58">
        <v>1</v>
      </c>
      <c r="AX58">
        <v>1</v>
      </c>
      <c r="BB58" s="7"/>
      <c r="BD58">
        <v>1</v>
      </c>
      <c r="BI58" s="7"/>
      <c r="BK58">
        <v>1</v>
      </c>
      <c r="BN58">
        <v>1</v>
      </c>
      <c r="BP58" s="7"/>
      <c r="BY58" s="7"/>
      <c r="CH58" s="7"/>
      <c r="CQ58" s="7"/>
      <c r="CZ58" s="7"/>
      <c r="DI58" s="7"/>
      <c r="DR58" s="7"/>
      <c r="EA58" s="7"/>
      <c r="EJ58" s="7"/>
      <c r="ES58" s="7"/>
      <c r="EU58">
        <v>1</v>
      </c>
      <c r="EX58">
        <v>1</v>
      </c>
      <c r="FB58" s="7"/>
      <c r="FK58" s="7"/>
      <c r="FR58" s="7"/>
      <c r="FY58" s="7"/>
      <c r="GF58" s="7"/>
      <c r="GM58" s="7"/>
      <c r="GT58" s="7"/>
      <c r="HA58" s="7"/>
      <c r="HH58" s="7"/>
      <c r="HO58" s="7"/>
      <c r="HV58" s="7"/>
      <c r="IC58" s="7"/>
      <c r="IJ58" s="7"/>
      <c r="IQ58" s="7"/>
      <c r="IX58" s="7"/>
      <c r="JE58" s="7"/>
      <c r="JL58" s="7"/>
      <c r="JS58" s="7"/>
      <c r="JZ58" s="7"/>
      <c r="KG58" s="7"/>
      <c r="KN58" s="7"/>
      <c r="KU58" s="7"/>
      <c r="LB58" s="7"/>
      <c r="LI58" s="7"/>
      <c r="LP58" s="7"/>
      <c r="LW58" s="7"/>
      <c r="MD58" s="7"/>
      <c r="MK58" s="7"/>
      <c r="MR58" s="7"/>
    </row>
    <row r="59" spans="1:356" x14ac:dyDescent="0.25">
      <c r="A59" s="8" t="s">
        <v>73</v>
      </c>
      <c r="B59" s="8"/>
      <c r="C59" s="8" t="s">
        <v>27</v>
      </c>
      <c r="D59" s="8" t="s">
        <v>70</v>
      </c>
      <c r="E59" s="18">
        <v>40004</v>
      </c>
      <c r="F59" s="10">
        <f t="shared" si="355"/>
        <v>1</v>
      </c>
      <c r="G59" s="19">
        <f t="shared" si="355"/>
        <v>1</v>
      </c>
      <c r="H59" s="19">
        <f t="shared" si="355"/>
        <v>1</v>
      </c>
      <c r="I59" s="8">
        <f t="shared" si="355"/>
        <v>1</v>
      </c>
      <c r="J59" s="8">
        <f t="shared" si="355"/>
        <v>1</v>
      </c>
      <c r="K59" s="8">
        <f t="shared" si="355"/>
        <v>1</v>
      </c>
      <c r="L59" s="8" t="str">
        <f t="shared" si="355"/>
        <v/>
      </c>
      <c r="M59" s="8">
        <v>1</v>
      </c>
      <c r="N59" s="8"/>
      <c r="O59" s="9"/>
      <c r="P59" s="8">
        <f t="shared" si="354"/>
        <v>8</v>
      </c>
      <c r="Q59" s="109">
        <f>IF(SUM(S59:XFD59) &gt; 0, SUM(S59:XFD59) / $P$66 * 100, "")</f>
        <v>29.629629629629626</v>
      </c>
      <c r="R59" s="84"/>
      <c r="S59" s="7"/>
      <c r="Z59" s="7"/>
      <c r="AG59" s="7"/>
      <c r="AI59">
        <v>1</v>
      </c>
      <c r="AN59" s="7"/>
      <c r="AP59">
        <v>1</v>
      </c>
      <c r="AR59">
        <v>1</v>
      </c>
      <c r="AU59" s="7"/>
      <c r="AW59">
        <v>1</v>
      </c>
      <c r="AY59">
        <v>1</v>
      </c>
      <c r="BB59" s="7"/>
      <c r="BD59">
        <v>1</v>
      </c>
      <c r="BI59" s="7"/>
      <c r="BK59">
        <v>1</v>
      </c>
      <c r="BM59">
        <v>1</v>
      </c>
      <c r="BP59" s="7"/>
      <c r="BY59" s="7"/>
      <c r="CH59" s="7"/>
      <c r="CQ59" s="7"/>
      <c r="CZ59" s="7"/>
      <c r="DI59" s="7"/>
      <c r="DR59" s="7"/>
      <c r="EA59" s="7"/>
      <c r="EJ59" s="7"/>
      <c r="ES59" s="7"/>
      <c r="FB59" s="7"/>
      <c r="FK59" s="7"/>
      <c r="FR59" s="7"/>
      <c r="FY59" s="7"/>
      <c r="GF59" s="7"/>
      <c r="GM59" s="7"/>
      <c r="GT59" s="7"/>
      <c r="HA59" s="7"/>
      <c r="HH59" s="7"/>
      <c r="HO59" s="7"/>
      <c r="HV59" s="7"/>
      <c r="IC59" s="7"/>
      <c r="IJ59" s="7"/>
      <c r="IQ59" s="7"/>
      <c r="IX59" s="7"/>
      <c r="JE59" s="7"/>
      <c r="JL59" s="7"/>
      <c r="JS59" s="7"/>
      <c r="JZ59" s="7"/>
      <c r="KG59" s="7"/>
      <c r="KN59" s="7"/>
      <c r="KU59" s="7"/>
      <c r="LB59" s="7"/>
      <c r="LI59" s="7"/>
      <c r="LP59" s="7"/>
      <c r="LW59" s="7"/>
      <c r="MD59" s="7"/>
      <c r="MK59" s="7"/>
      <c r="MR59" s="7"/>
    </row>
    <row r="60" spans="1:356" x14ac:dyDescent="0.25">
      <c r="A60" s="8" t="s">
        <v>72</v>
      </c>
      <c r="B60" s="8"/>
      <c r="C60" s="8" t="s">
        <v>71</v>
      </c>
      <c r="D60" s="8" t="s">
        <v>70</v>
      </c>
      <c r="E60" s="18">
        <v>40179</v>
      </c>
      <c r="F60" s="10">
        <f t="shared" si="355"/>
        <v>1</v>
      </c>
      <c r="G60" s="19">
        <f t="shared" si="355"/>
        <v>1</v>
      </c>
      <c r="H60" s="19">
        <f t="shared" si="355"/>
        <v>1</v>
      </c>
      <c r="I60" s="8">
        <f t="shared" si="355"/>
        <v>1</v>
      </c>
      <c r="J60" s="8">
        <f t="shared" si="355"/>
        <v>1</v>
      </c>
      <c r="K60" s="8">
        <f t="shared" si="355"/>
        <v>1</v>
      </c>
      <c r="L60" s="8">
        <f t="shared" si="355"/>
        <v>1</v>
      </c>
      <c r="M60" s="8"/>
      <c r="N60" s="8"/>
      <c r="O60" s="9"/>
      <c r="P60" s="8">
        <f t="shared" ref="P60" si="356">IF(SUM(S60:MR60) &gt; 0, SUM(S60:MR60), "")</f>
        <v>1</v>
      </c>
      <c r="Q60" s="109">
        <f>IF(SUM(S60:XFD60) &gt; 0, SUM(S60:XFD60) / $P$66 * 100, "")</f>
        <v>3.7037037037037033</v>
      </c>
      <c r="R60" s="84"/>
      <c r="S60" s="7"/>
      <c r="Z60" s="7"/>
      <c r="AG60" s="7"/>
      <c r="AN60" s="7"/>
      <c r="AU60" s="7"/>
      <c r="BB60" s="7"/>
      <c r="BI60" s="7"/>
      <c r="BP60" s="7"/>
      <c r="BY60" s="7"/>
      <c r="CH60" s="7"/>
      <c r="CQ60" s="7"/>
      <c r="CZ60" s="7"/>
      <c r="DI60" s="7"/>
      <c r="DR60" s="7"/>
      <c r="EA60" s="7"/>
      <c r="EJ60" s="7"/>
      <c r="ES60" s="7"/>
      <c r="FB60" s="7"/>
      <c r="FD60">
        <v>1</v>
      </c>
      <c r="FK60" s="7"/>
      <c r="FR60" s="7"/>
      <c r="FY60" s="7"/>
      <c r="GF60" s="7"/>
      <c r="GM60" s="7"/>
      <c r="GT60" s="7"/>
      <c r="HA60" s="7"/>
      <c r="HH60" s="7"/>
      <c r="HO60" s="7"/>
      <c r="HV60" s="7"/>
      <c r="IC60" s="7"/>
      <c r="IJ60" s="7"/>
      <c r="IQ60" s="7"/>
      <c r="IX60" s="7"/>
      <c r="JE60" s="7"/>
      <c r="JL60" s="7"/>
      <c r="JS60" s="7"/>
      <c r="JZ60" s="7"/>
      <c r="KG60" s="7"/>
      <c r="KN60" s="7"/>
      <c r="KU60" s="7"/>
      <c r="LB60" s="7"/>
      <c r="LI60" s="7"/>
      <c r="LP60" s="7"/>
      <c r="LW60" s="7"/>
      <c r="MD60" s="7"/>
      <c r="MK60" s="7"/>
      <c r="MR60" s="7"/>
    </row>
    <row r="61" spans="1:356" x14ac:dyDescent="0.25">
      <c r="A61" s="8" t="s">
        <v>58</v>
      </c>
      <c r="B61" s="8"/>
      <c r="C61" s="8" t="s">
        <v>531</v>
      </c>
      <c r="D61" s="8" t="s">
        <v>527</v>
      </c>
      <c r="E61" s="18">
        <v>39448</v>
      </c>
      <c r="F61" s="10">
        <f t="shared" si="355"/>
        <v>1</v>
      </c>
      <c r="G61" s="19">
        <f t="shared" si="355"/>
        <v>1</v>
      </c>
      <c r="H61" s="19">
        <f t="shared" si="355"/>
        <v>1</v>
      </c>
      <c r="I61" s="8">
        <f t="shared" si="355"/>
        <v>1</v>
      </c>
      <c r="J61" s="8">
        <f t="shared" si="355"/>
        <v>1</v>
      </c>
      <c r="K61" s="8" t="str">
        <f t="shared" si="355"/>
        <v/>
      </c>
      <c r="L61" s="8" t="str">
        <f t="shared" si="355"/>
        <v/>
      </c>
      <c r="M61" s="8">
        <v>1</v>
      </c>
      <c r="N61" s="8"/>
      <c r="O61" s="9"/>
      <c r="P61" s="8">
        <f t="shared" si="354"/>
        <v>1</v>
      </c>
      <c r="Q61" s="109">
        <f>IF(SUM(S61:XFD61) &gt; 0, SUM(S61:XFD61) / $P$66 * 100, "")</f>
        <v>3.7037037037037033</v>
      </c>
      <c r="R61" s="84"/>
      <c r="S61" s="7"/>
      <c r="Z61" s="7"/>
      <c r="AG61" s="7"/>
      <c r="AN61" s="7"/>
      <c r="AU61" s="7"/>
      <c r="BB61" s="7"/>
      <c r="BI61" s="7"/>
      <c r="BP61" s="7"/>
      <c r="BY61" s="7"/>
      <c r="CH61" s="7"/>
      <c r="CQ61" s="7"/>
      <c r="CZ61" s="7"/>
      <c r="DI61" s="7"/>
      <c r="DR61" s="7"/>
      <c r="EA61" s="7"/>
      <c r="EJ61" s="7"/>
      <c r="ES61" s="7"/>
      <c r="EU61">
        <v>1</v>
      </c>
      <c r="FB61" s="7"/>
      <c r="FK61" s="7"/>
      <c r="FR61" s="7"/>
      <c r="FY61" s="7"/>
      <c r="GF61" s="7"/>
      <c r="GM61" s="7"/>
      <c r="GT61" s="7"/>
      <c r="HA61" s="7"/>
      <c r="HH61" s="7"/>
      <c r="HO61" s="7"/>
      <c r="HV61" s="7"/>
      <c r="IC61" s="7"/>
      <c r="IJ61" s="7"/>
      <c r="IQ61" s="7"/>
      <c r="IX61" s="7"/>
      <c r="JE61" s="7"/>
      <c r="JL61" s="7"/>
      <c r="JS61" s="7"/>
      <c r="JZ61" s="7"/>
      <c r="KG61" s="7"/>
      <c r="KN61" s="7"/>
      <c r="KU61" s="7"/>
      <c r="LB61" s="7"/>
      <c r="LI61" s="7"/>
      <c r="LP61" s="7"/>
      <c r="LW61" s="7"/>
      <c r="MD61" s="7"/>
      <c r="MK61" s="7"/>
      <c r="MR61" s="7"/>
    </row>
    <row r="62" spans="1:356" hidden="1" x14ac:dyDescent="0.25">
      <c r="A62" s="8"/>
      <c r="B62" s="8"/>
      <c r="C62" s="8"/>
      <c r="D62" s="8"/>
      <c r="E62" s="18"/>
      <c r="F62" s="10" t="str">
        <f t="shared" si="355"/>
        <v/>
      </c>
      <c r="G62" s="19" t="str">
        <f t="shared" si="355"/>
        <v/>
      </c>
      <c r="H62" s="19" t="str">
        <f t="shared" si="355"/>
        <v/>
      </c>
      <c r="I62" s="8" t="str">
        <f t="shared" si="355"/>
        <v/>
      </c>
      <c r="J62" s="8" t="str">
        <f t="shared" si="355"/>
        <v/>
      </c>
      <c r="K62" s="8" t="str">
        <f t="shared" si="355"/>
        <v/>
      </c>
      <c r="L62" s="8" t="str">
        <f t="shared" si="355"/>
        <v/>
      </c>
      <c r="M62" s="8"/>
      <c r="N62" s="8"/>
      <c r="O62" s="9"/>
      <c r="P62" s="8" t="str">
        <f t="shared" si="354"/>
        <v/>
      </c>
      <c r="Q62" s="109" t="str">
        <f>IF(SUM(S62:XFD62) &gt; 0, SUM(S62:XFD62) / $P$66 * 100, "")</f>
        <v/>
      </c>
      <c r="R62" s="84" t="str">
        <f>IF(SUM(S62:XFD62) &gt; 0, SUM(S62:XFD62) / $P$66 * 100, "")</f>
        <v/>
      </c>
      <c r="S62" s="7"/>
      <c r="Z62" s="7"/>
      <c r="AG62" s="7"/>
      <c r="AN62" s="7"/>
      <c r="AU62" s="7"/>
      <c r="BB62" s="7"/>
      <c r="BI62" s="7"/>
      <c r="BP62" s="7"/>
      <c r="BY62" s="7"/>
      <c r="CH62" s="7"/>
      <c r="CQ62" s="7"/>
      <c r="CZ62" s="7"/>
      <c r="DI62" s="7"/>
      <c r="DR62" s="7"/>
      <c r="EA62" s="7"/>
      <c r="EJ62" s="7"/>
      <c r="ES62" s="7"/>
      <c r="FB62" s="7"/>
      <c r="FK62" s="7"/>
      <c r="FR62" s="7"/>
      <c r="FY62" s="7"/>
      <c r="GF62" s="7"/>
      <c r="GM62" s="7"/>
      <c r="GT62" s="7"/>
      <c r="HA62" s="7"/>
      <c r="HH62" s="7"/>
      <c r="HO62" s="7"/>
      <c r="HV62" s="7"/>
      <c r="IC62" s="7"/>
      <c r="IJ62" s="7"/>
      <c r="IQ62" s="7"/>
      <c r="IX62" s="7"/>
      <c r="JE62" s="7"/>
      <c r="JL62" s="7"/>
      <c r="JS62" s="7"/>
      <c r="JZ62" s="7"/>
      <c r="KG62" s="7"/>
      <c r="KN62" s="7"/>
      <c r="KU62" s="7"/>
      <c r="LB62" s="7"/>
      <c r="LI62" s="7"/>
      <c r="LP62" s="7"/>
      <c r="LW62" s="7"/>
      <c r="MD62" s="7"/>
      <c r="MK62" s="7"/>
      <c r="MR62" s="7"/>
    </row>
    <row r="63" spans="1:356" hidden="1" x14ac:dyDescent="0.25">
      <c r="A63" s="8"/>
      <c r="B63" s="8"/>
      <c r="C63" s="8"/>
      <c r="D63" s="8"/>
      <c r="E63" s="18"/>
      <c r="F63" s="10" t="str">
        <f t="shared" si="355"/>
        <v/>
      </c>
      <c r="G63" s="19" t="str">
        <f t="shared" si="355"/>
        <v/>
      </c>
      <c r="H63" s="19" t="str">
        <f t="shared" si="355"/>
        <v/>
      </c>
      <c r="I63" s="8" t="str">
        <f t="shared" si="355"/>
        <v/>
      </c>
      <c r="J63" s="8" t="str">
        <f t="shared" si="355"/>
        <v/>
      </c>
      <c r="K63" s="8" t="str">
        <f t="shared" si="355"/>
        <v/>
      </c>
      <c r="L63" s="8" t="str">
        <f t="shared" si="355"/>
        <v/>
      </c>
      <c r="M63" s="8"/>
      <c r="N63" s="8"/>
      <c r="O63" s="9"/>
      <c r="P63" s="8" t="str">
        <f t="shared" si="354"/>
        <v/>
      </c>
      <c r="Q63" s="109" t="str">
        <f>IF(SUM(S63:XFD63) &gt; 0, SUM(S63:XFD63) / $P$66 * 100, "")</f>
        <v/>
      </c>
      <c r="R63" s="84" t="str">
        <f>IF(SUM(S63:XFD63) &gt; 0, SUM(S63:XFD63) / $P$66 * 100, "")</f>
        <v/>
      </c>
      <c r="S63" s="7"/>
      <c r="Z63" s="7"/>
      <c r="AG63" s="7"/>
      <c r="AN63" s="7"/>
      <c r="AU63" s="7"/>
      <c r="BB63" s="7"/>
      <c r="BI63" s="7"/>
      <c r="BP63" s="7"/>
      <c r="BY63" s="7"/>
      <c r="CH63" s="7"/>
      <c r="CQ63" s="7"/>
      <c r="CZ63" s="7"/>
      <c r="DI63" s="7"/>
      <c r="DR63" s="7"/>
      <c r="EA63" s="7"/>
      <c r="EJ63" s="7"/>
      <c r="ES63" s="7"/>
      <c r="FB63" s="7"/>
      <c r="FK63" s="7"/>
      <c r="FR63" s="7"/>
      <c r="FY63" s="7"/>
      <c r="GF63" s="7"/>
      <c r="GM63" s="7"/>
      <c r="GT63" s="7"/>
      <c r="HA63" s="7"/>
      <c r="HH63" s="7"/>
      <c r="HO63" s="7"/>
      <c r="HV63" s="7"/>
      <c r="IC63" s="7"/>
      <c r="IJ63" s="7"/>
      <c r="IQ63" s="7"/>
      <c r="IX63" s="7"/>
      <c r="JE63" s="7"/>
      <c r="JL63" s="7"/>
      <c r="JS63" s="7"/>
      <c r="JZ63" s="7"/>
      <c r="KG63" s="7"/>
      <c r="KN63" s="7"/>
      <c r="KU63" s="7"/>
      <c r="LB63" s="7"/>
      <c r="LI63" s="7"/>
      <c r="LP63" s="7"/>
      <c r="LW63" s="7"/>
      <c r="MD63" s="7"/>
      <c r="MK63" s="7"/>
      <c r="MR63" s="7"/>
    </row>
    <row r="64" spans="1:356" hidden="1" x14ac:dyDescent="0.25">
      <c r="A64" s="8"/>
      <c r="B64" s="8"/>
      <c r="C64" s="8"/>
      <c r="D64" s="8"/>
      <c r="E64" s="18"/>
      <c r="F64" s="10" t="str">
        <f t="shared" si="355"/>
        <v/>
      </c>
      <c r="G64" s="19" t="str">
        <f t="shared" si="355"/>
        <v/>
      </c>
      <c r="H64" s="19" t="str">
        <f t="shared" si="355"/>
        <v/>
      </c>
      <c r="I64" s="8" t="str">
        <f t="shared" si="355"/>
        <v/>
      </c>
      <c r="J64" s="8" t="str">
        <f t="shared" si="355"/>
        <v/>
      </c>
      <c r="K64" s="8" t="str">
        <f t="shared" si="355"/>
        <v/>
      </c>
      <c r="L64" s="8" t="str">
        <f t="shared" si="355"/>
        <v/>
      </c>
      <c r="M64" s="8"/>
      <c r="N64" s="8"/>
      <c r="O64" s="9"/>
      <c r="P64" s="8" t="str">
        <f t="shared" si="354"/>
        <v/>
      </c>
      <c r="Q64" s="109" t="str">
        <f>IF(SUM(S64:XFD64) &gt; 0, SUM(S64:XFD64) / $P$66 * 100, "")</f>
        <v/>
      </c>
      <c r="R64" s="84" t="str">
        <f>IF(SUM(S64:XFD64) &gt; 0, SUM(S64:XFD64) / $P$66 * 100, "")</f>
        <v/>
      </c>
      <c r="S64" s="7"/>
      <c r="Z64" s="7"/>
      <c r="AG64" s="7"/>
      <c r="AN64" s="7"/>
      <c r="AU64" s="7"/>
      <c r="BB64" s="7"/>
      <c r="BI64" s="7"/>
      <c r="BP64" s="7"/>
      <c r="BY64" s="7"/>
      <c r="CH64" s="7"/>
      <c r="CQ64" s="7"/>
      <c r="CZ64" s="7"/>
      <c r="DI64" s="7"/>
      <c r="DR64" s="7"/>
      <c r="EA64" s="7"/>
      <c r="EJ64" s="7"/>
      <c r="ES64" s="7"/>
      <c r="FB64" s="7"/>
      <c r="FK64" s="7"/>
      <c r="FR64" s="7"/>
      <c r="FY64" s="7"/>
      <c r="GF64" s="7"/>
      <c r="GM64" s="7"/>
      <c r="GT64" s="7"/>
      <c r="HA64" s="7"/>
      <c r="HH64" s="7"/>
      <c r="HO64" s="7"/>
      <c r="HV64" s="7"/>
      <c r="IC64" s="7"/>
      <c r="IJ64" s="7"/>
      <c r="IQ64" s="7"/>
      <c r="IX64" s="7"/>
      <c r="JE64" s="7"/>
      <c r="JL64" s="7"/>
      <c r="JS64" s="7"/>
      <c r="JZ64" s="7"/>
      <c r="KG64" s="7"/>
      <c r="KN64" s="7"/>
      <c r="KU64" s="7"/>
      <c r="LB64" s="7"/>
      <c r="LI64" s="7"/>
      <c r="LP64" s="7"/>
      <c r="LW64" s="7"/>
      <c r="MD64" s="7"/>
      <c r="MK64" s="7"/>
      <c r="MR64" s="7"/>
    </row>
    <row r="65" spans="1:356" ht="7.5" customHeight="1" x14ac:dyDescent="0.25">
      <c r="A65" s="8"/>
      <c r="B65" s="8"/>
      <c r="C65" s="8"/>
      <c r="D65" s="8"/>
      <c r="E65" s="18"/>
      <c r="F65" s="10" t="str">
        <f t="shared" si="355"/>
        <v/>
      </c>
      <c r="G65" s="19" t="str">
        <f t="shared" si="355"/>
        <v/>
      </c>
      <c r="H65" s="19" t="str">
        <f t="shared" si="355"/>
        <v/>
      </c>
      <c r="I65" s="19" t="str">
        <f t="shared" si="355"/>
        <v/>
      </c>
      <c r="J65" s="19" t="str">
        <f t="shared" si="355"/>
        <v/>
      </c>
      <c r="K65" s="19" t="str">
        <f t="shared" si="355"/>
        <v/>
      </c>
      <c r="L65" s="19" t="str">
        <f t="shared" si="355"/>
        <v/>
      </c>
      <c r="M65" s="8"/>
      <c r="N65" s="8"/>
      <c r="O65" s="9"/>
      <c r="P65" s="8" t="str">
        <f t="shared" si="354"/>
        <v/>
      </c>
      <c r="Q65" s="109" t="str">
        <f>IF(SUM(S65:XFD65) &gt; 0, SUM(S65:XFD65) / $P$66 * 100, "")</f>
        <v/>
      </c>
      <c r="R65" s="84"/>
      <c r="S65" s="7"/>
      <c r="Z65" s="7"/>
      <c r="AG65" s="7"/>
      <c r="AN65" s="7"/>
      <c r="AU65" s="7"/>
      <c r="BB65" s="7"/>
      <c r="BI65" s="7"/>
      <c r="BP65" s="7"/>
      <c r="BY65" s="7"/>
      <c r="CH65" s="7"/>
      <c r="CQ65" s="7"/>
      <c r="CZ65" s="7"/>
      <c r="DI65" s="7"/>
      <c r="DR65" s="7"/>
      <c r="EA65" s="7"/>
      <c r="EJ65" s="7"/>
      <c r="ES65" s="7"/>
      <c r="FB65" s="7"/>
      <c r="FK65" s="7"/>
      <c r="FR65" s="7"/>
      <c r="FY65" s="7"/>
      <c r="GF65" s="7"/>
      <c r="GM65" s="7"/>
      <c r="GT65" s="7"/>
      <c r="HA65" s="7"/>
      <c r="HH65" s="7"/>
      <c r="HO65" s="7"/>
      <c r="HV65" s="7"/>
      <c r="IC65" s="7"/>
      <c r="IJ65" s="7"/>
      <c r="IQ65" s="7"/>
      <c r="IX65" s="7"/>
      <c r="JE65" s="7"/>
      <c r="JL65" s="7"/>
      <c r="JS65" s="7"/>
      <c r="JZ65" s="7"/>
      <c r="KG65" s="7"/>
      <c r="KN65" s="7"/>
      <c r="KU65" s="7"/>
      <c r="LB65" s="7"/>
      <c r="LI65" s="7"/>
      <c r="LP65" s="7"/>
      <c r="LW65" s="7"/>
      <c r="MD65" s="7"/>
      <c r="MK65" s="7"/>
      <c r="MR65" s="7"/>
    </row>
    <row r="66" spans="1:356" ht="15" customHeight="1" x14ac:dyDescent="0.25">
      <c r="A66" s="23" t="s">
        <v>18</v>
      </c>
      <c r="B66" s="20"/>
      <c r="C66" s="20"/>
      <c r="D66" s="20"/>
      <c r="E66" s="59"/>
      <c r="F66" s="20"/>
      <c r="G66" s="20"/>
      <c r="H66" s="20"/>
      <c r="I66" s="20"/>
      <c r="J66" s="20"/>
      <c r="K66" s="20"/>
      <c r="L66" s="20"/>
      <c r="M66" s="20"/>
      <c r="N66" s="20"/>
      <c r="O66" s="21"/>
      <c r="P66" s="3">
        <f>SUM(S66:MR66)</f>
        <v>27</v>
      </c>
      <c r="Q66" s="60"/>
      <c r="R66" s="82"/>
      <c r="S66" s="21"/>
      <c r="T66" s="20"/>
      <c r="U66" s="20"/>
      <c r="V66" s="20"/>
      <c r="W66" s="20"/>
      <c r="X66" s="20"/>
      <c r="Y66" s="20"/>
      <c r="Z66" s="21"/>
      <c r="AA66" s="20"/>
      <c r="AB66" s="20"/>
      <c r="AC66" s="20"/>
      <c r="AD66" s="20"/>
      <c r="AE66" s="20"/>
      <c r="AF66" s="20"/>
      <c r="AG66" s="21"/>
      <c r="AH66" s="20"/>
      <c r="AI66" s="20">
        <v>1</v>
      </c>
      <c r="AJ66" s="20"/>
      <c r="AK66" s="20">
        <v>1</v>
      </c>
      <c r="AL66" s="20"/>
      <c r="AM66" s="20"/>
      <c r="AN66" s="21"/>
      <c r="AO66" s="20"/>
      <c r="AP66" s="20">
        <v>1</v>
      </c>
      <c r="AQ66" s="20"/>
      <c r="AR66" s="20">
        <v>1</v>
      </c>
      <c r="AS66" s="20"/>
      <c r="AT66" s="20"/>
      <c r="AU66" s="21"/>
      <c r="AV66" s="20"/>
      <c r="AW66" s="20">
        <v>1</v>
      </c>
      <c r="AX66" s="20">
        <v>1</v>
      </c>
      <c r="AY66" s="20">
        <v>1</v>
      </c>
      <c r="AZ66" s="20"/>
      <c r="BA66" s="20"/>
      <c r="BB66" s="21"/>
      <c r="BC66" s="20"/>
      <c r="BD66" s="20">
        <v>1</v>
      </c>
      <c r="BE66" s="20"/>
      <c r="BF66" s="20">
        <v>1</v>
      </c>
      <c r="BG66" s="20"/>
      <c r="BH66" s="20"/>
      <c r="BI66" s="21"/>
      <c r="BJ66" s="20"/>
      <c r="BK66" s="20">
        <v>1</v>
      </c>
      <c r="BL66" s="20"/>
      <c r="BM66" s="20">
        <v>1</v>
      </c>
      <c r="BN66" s="20">
        <v>1</v>
      </c>
      <c r="BO66" s="20"/>
      <c r="BP66" s="21">
        <v>1</v>
      </c>
      <c r="BQ66" s="20"/>
      <c r="BR66" s="20"/>
      <c r="BS66" s="20"/>
      <c r="BT66" s="20"/>
      <c r="BU66" s="20"/>
      <c r="BV66" s="20"/>
      <c r="BW66" s="20">
        <v>1</v>
      </c>
      <c r="BX66" s="20"/>
      <c r="BY66" s="21"/>
      <c r="BZ66" s="20"/>
      <c r="CA66" s="20"/>
      <c r="CB66" s="20"/>
      <c r="CC66" s="20"/>
      <c r="CD66" s="20"/>
      <c r="CE66" s="20"/>
      <c r="CF66" s="20"/>
      <c r="CG66" s="20"/>
      <c r="CH66" s="21"/>
      <c r="CI66" s="20"/>
      <c r="CJ66" s="20"/>
      <c r="CK66" s="20"/>
      <c r="CL66" s="20"/>
      <c r="CM66" s="20"/>
      <c r="CN66" s="20"/>
      <c r="CO66" s="20"/>
      <c r="CP66" s="20"/>
      <c r="CQ66" s="21"/>
      <c r="CR66" s="20"/>
      <c r="CS66" s="20"/>
      <c r="CT66" s="20"/>
      <c r="CU66" s="20"/>
      <c r="CV66" s="20"/>
      <c r="CW66" s="20"/>
      <c r="CX66" s="20"/>
      <c r="CY66" s="20"/>
      <c r="CZ66" s="21"/>
      <c r="DA66" s="20"/>
      <c r="DB66" s="20"/>
      <c r="DC66" s="20"/>
      <c r="DD66" s="20"/>
      <c r="DE66" s="20"/>
      <c r="DF66" s="20"/>
      <c r="DG66" s="20"/>
      <c r="DH66" s="20"/>
      <c r="DI66" s="21"/>
      <c r="DJ66" s="20"/>
      <c r="DK66" s="20"/>
      <c r="DL66" s="20"/>
      <c r="DM66" s="20"/>
      <c r="DN66" s="20"/>
      <c r="DO66" s="20"/>
      <c r="DP66" s="20"/>
      <c r="DQ66" s="20"/>
      <c r="DR66" s="21"/>
      <c r="DS66" s="20"/>
      <c r="DT66" s="20">
        <v>1</v>
      </c>
      <c r="DU66" s="20"/>
      <c r="DV66" s="20">
        <v>1</v>
      </c>
      <c r="DW66" s="20">
        <v>1</v>
      </c>
      <c r="DX66" s="20"/>
      <c r="DY66" s="20"/>
      <c r="DZ66" s="20"/>
      <c r="EA66" s="21"/>
      <c r="EB66" s="20"/>
      <c r="EC66" s="20">
        <v>1</v>
      </c>
      <c r="ED66" s="20"/>
      <c r="EE66" s="20">
        <v>1</v>
      </c>
      <c r="EF66" s="20">
        <v>1</v>
      </c>
      <c r="EG66" s="20"/>
      <c r="EH66" s="20"/>
      <c r="EI66" s="20"/>
      <c r="EJ66" s="21"/>
      <c r="EK66" s="20"/>
      <c r="EL66" s="20">
        <v>1</v>
      </c>
      <c r="EM66" s="20"/>
      <c r="EN66" s="20">
        <v>1</v>
      </c>
      <c r="EO66" s="20">
        <v>1</v>
      </c>
      <c r="EP66" s="20"/>
      <c r="EQ66" s="20"/>
      <c r="ER66" s="20"/>
      <c r="ES66" s="21"/>
      <c r="ET66" s="20"/>
      <c r="EU66" s="20">
        <v>1</v>
      </c>
      <c r="EV66" s="20"/>
      <c r="EW66" s="20">
        <v>1</v>
      </c>
      <c r="EX66" s="20">
        <v>1</v>
      </c>
      <c r="EY66" s="20"/>
      <c r="EZ66" s="20"/>
      <c r="FA66" s="20"/>
      <c r="FB66" s="21"/>
      <c r="FC66" s="20"/>
      <c r="FD66" s="20">
        <v>1</v>
      </c>
      <c r="FE66" s="20"/>
      <c r="FF66" s="20"/>
      <c r="FG66" s="20"/>
      <c r="FH66" s="20"/>
      <c r="FI66" s="20"/>
      <c r="FJ66" s="20"/>
      <c r="FK66" s="21"/>
      <c r="FL66" s="20"/>
      <c r="FM66" s="20"/>
      <c r="FN66" s="20"/>
      <c r="FO66" s="20"/>
      <c r="FP66" s="20"/>
      <c r="FQ66" s="20"/>
      <c r="FR66" s="21"/>
      <c r="FS66" s="20"/>
      <c r="FT66" s="20"/>
      <c r="FU66" s="20"/>
      <c r="FV66" s="20"/>
      <c r="FW66" s="20"/>
      <c r="FX66" s="20"/>
      <c r="FY66" s="21"/>
      <c r="FZ66" s="20"/>
      <c r="GA66" s="20"/>
      <c r="GB66" s="20"/>
      <c r="GC66" s="20"/>
      <c r="GD66" s="20"/>
      <c r="GE66" s="20"/>
      <c r="GF66" s="21"/>
      <c r="GG66" s="20"/>
      <c r="GH66" s="20"/>
      <c r="GI66" s="20"/>
      <c r="GJ66" s="20"/>
      <c r="GK66" s="20"/>
      <c r="GL66" s="20"/>
      <c r="GM66" s="21"/>
      <c r="GN66" s="20"/>
      <c r="GO66" s="20"/>
      <c r="GP66" s="20"/>
      <c r="GQ66" s="20"/>
      <c r="GR66" s="20"/>
      <c r="GS66" s="20"/>
      <c r="GT66" s="21"/>
      <c r="GU66" s="20"/>
      <c r="GV66" s="20"/>
      <c r="GW66" s="20"/>
      <c r="GX66" s="20"/>
      <c r="GY66" s="20"/>
      <c r="GZ66" s="20"/>
      <c r="HA66" s="21"/>
      <c r="HB66" s="20"/>
      <c r="HC66" s="20"/>
      <c r="HD66" s="20"/>
      <c r="HE66" s="20"/>
      <c r="HF66" s="20"/>
      <c r="HG66" s="20"/>
      <c r="HH66" s="21"/>
      <c r="HI66" s="20"/>
      <c r="HJ66" s="20"/>
      <c r="HK66" s="20"/>
      <c r="HL66" s="20"/>
      <c r="HM66" s="20"/>
      <c r="HN66" s="20"/>
      <c r="HO66" s="21"/>
      <c r="HP66" s="20"/>
      <c r="HQ66" s="20"/>
      <c r="HR66" s="20"/>
      <c r="HS66" s="20"/>
      <c r="HT66" s="20"/>
      <c r="HU66" s="20"/>
      <c r="HV66" s="21"/>
      <c r="HW66" s="20"/>
      <c r="HX66" s="20"/>
      <c r="HY66" s="20"/>
      <c r="HZ66" s="20"/>
      <c r="IA66" s="20"/>
      <c r="IB66" s="20"/>
      <c r="IC66" s="21"/>
      <c r="ID66" s="20"/>
      <c r="IE66" s="20"/>
      <c r="IF66" s="20"/>
      <c r="IG66" s="20"/>
      <c r="IH66" s="20"/>
      <c r="II66" s="20"/>
      <c r="IJ66" s="21"/>
      <c r="IK66" s="20"/>
      <c r="IL66" s="20"/>
      <c r="IM66" s="20"/>
      <c r="IN66" s="20"/>
      <c r="IO66" s="20"/>
      <c r="IP66" s="20"/>
      <c r="IQ66" s="21"/>
      <c r="IR66" s="20"/>
      <c r="IS66" s="20"/>
      <c r="IT66" s="20"/>
      <c r="IU66" s="20"/>
      <c r="IV66" s="20"/>
      <c r="IW66" s="20"/>
      <c r="IX66" s="21"/>
      <c r="IY66" s="20"/>
      <c r="IZ66" s="20"/>
      <c r="JA66" s="20"/>
      <c r="JB66" s="20"/>
      <c r="JC66" s="20"/>
      <c r="JD66" s="20"/>
      <c r="JE66" s="21"/>
      <c r="JF66" s="20"/>
      <c r="JG66" s="20"/>
      <c r="JH66" s="20"/>
      <c r="JI66" s="20"/>
      <c r="JJ66" s="20"/>
      <c r="JK66" s="20"/>
      <c r="JL66" s="21"/>
      <c r="JM66" s="20"/>
      <c r="JN66" s="20"/>
      <c r="JO66" s="20"/>
      <c r="JP66" s="20"/>
      <c r="JQ66" s="20"/>
      <c r="JR66" s="20"/>
      <c r="JS66" s="21"/>
      <c r="JT66" s="20"/>
      <c r="JU66" s="20"/>
      <c r="JV66" s="20"/>
      <c r="JW66" s="20"/>
      <c r="JX66" s="20"/>
      <c r="JY66" s="20"/>
      <c r="JZ66" s="21"/>
      <c r="KA66" s="20"/>
      <c r="KB66" s="20"/>
      <c r="KC66" s="20"/>
      <c r="KD66" s="20"/>
      <c r="KE66" s="20"/>
      <c r="KF66" s="20"/>
      <c r="KG66" s="21"/>
      <c r="KH66" s="20"/>
      <c r="KI66" s="20"/>
      <c r="KJ66" s="20"/>
      <c r="KK66" s="20"/>
      <c r="KL66" s="20"/>
      <c r="KM66" s="20"/>
      <c r="KN66" s="21"/>
      <c r="KO66" s="20"/>
      <c r="KP66" s="20"/>
      <c r="KQ66" s="20"/>
      <c r="KR66" s="20"/>
      <c r="KS66" s="20"/>
      <c r="KT66" s="20"/>
      <c r="KU66" s="21"/>
      <c r="KV66" s="20"/>
      <c r="KW66" s="20"/>
      <c r="KX66" s="20"/>
      <c r="KY66" s="20"/>
      <c r="KZ66" s="20"/>
      <c r="LA66" s="20"/>
      <c r="LB66" s="21"/>
      <c r="LC66" s="20"/>
      <c r="LD66" s="20"/>
      <c r="LE66" s="20"/>
      <c r="LF66" s="20"/>
      <c r="LG66" s="20"/>
      <c r="LH66" s="20"/>
      <c r="LI66" s="21"/>
      <c r="LJ66" s="20"/>
      <c r="LK66" s="20"/>
      <c r="LL66" s="20"/>
      <c r="LM66" s="20"/>
      <c r="LN66" s="20"/>
      <c r="LO66" s="20"/>
      <c r="LP66" s="21"/>
      <c r="LQ66" s="20"/>
      <c r="LR66" s="20"/>
      <c r="LS66" s="20"/>
      <c r="LT66" s="20"/>
      <c r="LU66" s="20"/>
      <c r="LV66" s="20"/>
      <c r="LW66" s="21"/>
      <c r="LX66" s="20"/>
      <c r="LY66" s="20"/>
      <c r="LZ66" s="20"/>
      <c r="MA66" s="20"/>
      <c r="MB66" s="20"/>
      <c r="MC66" s="20"/>
      <c r="MD66" s="21"/>
      <c r="ME66" s="20"/>
      <c r="MF66" s="20"/>
      <c r="MG66" s="20"/>
      <c r="MH66" s="20"/>
      <c r="MI66" s="20"/>
      <c r="MJ66" s="20"/>
      <c r="MK66" s="21"/>
      <c r="ML66" s="20"/>
      <c r="MM66" s="20"/>
      <c r="MN66" s="20"/>
      <c r="MO66" s="20"/>
      <c r="MP66" s="20"/>
      <c r="MQ66" s="20"/>
      <c r="MR66" s="21"/>
    </row>
    <row r="67" spans="1:356" ht="15" customHeight="1" x14ac:dyDescent="0.25">
      <c r="A67" s="123" t="s">
        <v>240</v>
      </c>
      <c r="B67" s="124"/>
      <c r="C67" s="124"/>
      <c r="D67" s="124"/>
      <c r="E67" s="59"/>
      <c r="F67" s="124"/>
      <c r="G67" s="124"/>
      <c r="H67" s="124"/>
      <c r="I67" s="124"/>
      <c r="J67" s="124"/>
      <c r="K67" s="124"/>
      <c r="L67" s="124"/>
      <c r="M67" s="124"/>
      <c r="N67" s="124"/>
      <c r="O67" s="61"/>
      <c r="P67" s="81">
        <f>VisibleSum(P44:P65)</f>
        <v>13.25</v>
      </c>
      <c r="Q67" s="113">
        <f>P67 / P66 * 100</f>
        <v>49.074074074074076</v>
      </c>
      <c r="R67" s="83"/>
      <c r="S67" s="61" t="str">
        <f t="shared" ref="S67:CH67" si="357">IF(SUM(S43:S65) &gt; 0, SUM(S43:S65), "")</f>
        <v/>
      </c>
      <c r="T67" s="124" t="str">
        <f t="shared" si="357"/>
        <v/>
      </c>
      <c r="U67" s="124" t="str">
        <f t="shared" si="357"/>
        <v/>
      </c>
      <c r="V67" s="124" t="str">
        <f t="shared" si="357"/>
        <v/>
      </c>
      <c r="W67" s="124" t="str">
        <f t="shared" si="357"/>
        <v/>
      </c>
      <c r="X67" s="124" t="str">
        <f t="shared" si="357"/>
        <v/>
      </c>
      <c r="Y67" s="124" t="str">
        <f t="shared" si="357"/>
        <v/>
      </c>
      <c r="Z67" s="61" t="str">
        <f t="shared" si="357"/>
        <v/>
      </c>
      <c r="AA67" s="124" t="str">
        <f t="shared" si="357"/>
        <v/>
      </c>
      <c r="AB67" s="124" t="str">
        <f t="shared" si="357"/>
        <v/>
      </c>
      <c r="AC67" s="124" t="str">
        <f t="shared" si="357"/>
        <v/>
      </c>
      <c r="AD67" s="124" t="str">
        <f t="shared" si="357"/>
        <v/>
      </c>
      <c r="AE67" s="124" t="str">
        <f t="shared" si="357"/>
        <v/>
      </c>
      <c r="AF67" s="124" t="str">
        <f t="shared" si="357"/>
        <v/>
      </c>
      <c r="AG67" s="61" t="str">
        <f t="shared" si="357"/>
        <v/>
      </c>
      <c r="AH67" s="124" t="str">
        <f t="shared" si="357"/>
        <v/>
      </c>
      <c r="AI67" s="124">
        <f t="shared" si="357"/>
        <v>11</v>
      </c>
      <c r="AJ67" s="124" t="str">
        <f t="shared" si="357"/>
        <v/>
      </c>
      <c r="AK67" s="124">
        <f t="shared" si="357"/>
        <v>7</v>
      </c>
      <c r="AL67" s="124" t="str">
        <f t="shared" si="357"/>
        <v/>
      </c>
      <c r="AM67" s="124" t="str">
        <f t="shared" si="357"/>
        <v/>
      </c>
      <c r="AN67" s="61" t="str">
        <f t="shared" si="357"/>
        <v/>
      </c>
      <c r="AO67" s="124" t="str">
        <f t="shared" si="357"/>
        <v/>
      </c>
      <c r="AP67" s="124">
        <f t="shared" si="357"/>
        <v>9</v>
      </c>
      <c r="AQ67" s="124" t="str">
        <f t="shared" si="357"/>
        <v/>
      </c>
      <c r="AR67" s="124">
        <f t="shared" si="357"/>
        <v>9</v>
      </c>
      <c r="AS67" s="124" t="str">
        <f t="shared" si="357"/>
        <v/>
      </c>
      <c r="AT67" s="124" t="str">
        <f t="shared" si="357"/>
        <v/>
      </c>
      <c r="AU67" s="61" t="str">
        <f t="shared" si="357"/>
        <v/>
      </c>
      <c r="AV67" s="124" t="str">
        <f t="shared" si="357"/>
        <v/>
      </c>
      <c r="AW67" s="124">
        <f t="shared" si="357"/>
        <v>9</v>
      </c>
      <c r="AX67" s="124">
        <f t="shared" si="357"/>
        <v>6</v>
      </c>
      <c r="AY67" s="124">
        <f t="shared" si="357"/>
        <v>7</v>
      </c>
      <c r="AZ67" s="124" t="str">
        <f t="shared" si="357"/>
        <v/>
      </c>
      <c r="BA67" s="124" t="str">
        <f t="shared" si="357"/>
        <v/>
      </c>
      <c r="BB67" s="61" t="str">
        <f t="shared" si="357"/>
        <v/>
      </c>
      <c r="BC67" s="124" t="str">
        <f t="shared" si="357"/>
        <v/>
      </c>
      <c r="BD67" s="124">
        <f t="shared" si="357"/>
        <v>8</v>
      </c>
      <c r="BE67" s="124" t="str">
        <f t="shared" si="357"/>
        <v/>
      </c>
      <c r="BF67" s="124">
        <f t="shared" si="357"/>
        <v>6</v>
      </c>
      <c r="BG67" s="124" t="str">
        <f t="shared" si="357"/>
        <v/>
      </c>
      <c r="BH67" s="124" t="str">
        <f t="shared" si="357"/>
        <v/>
      </c>
      <c r="BI67" s="61" t="str">
        <f t="shared" si="357"/>
        <v/>
      </c>
      <c r="BJ67" s="124" t="str">
        <f t="shared" si="357"/>
        <v/>
      </c>
      <c r="BK67" s="124">
        <f t="shared" si="357"/>
        <v>7</v>
      </c>
      <c r="BL67" s="124" t="str">
        <f t="shared" si="357"/>
        <v/>
      </c>
      <c r="BM67" s="124">
        <f t="shared" si="357"/>
        <v>10</v>
      </c>
      <c r="BN67" s="124">
        <f t="shared" si="357"/>
        <v>10</v>
      </c>
      <c r="BO67" s="124" t="str">
        <f t="shared" si="357"/>
        <v/>
      </c>
      <c r="BP67" s="61">
        <f t="shared" si="357"/>
        <v>4</v>
      </c>
      <c r="BQ67" s="124" t="str">
        <f t="shared" si="357"/>
        <v/>
      </c>
      <c r="BR67" s="124" t="str">
        <f t="shared" si="357"/>
        <v/>
      </c>
      <c r="BS67" s="124" t="str">
        <f t="shared" si="357"/>
        <v/>
      </c>
      <c r="BT67" s="124" t="str">
        <f t="shared" si="357"/>
        <v/>
      </c>
      <c r="BU67" s="124" t="str">
        <f t="shared" si="357"/>
        <v/>
      </c>
      <c r="BV67" s="124" t="str">
        <f t="shared" si="357"/>
        <v/>
      </c>
      <c r="BW67" s="124"/>
      <c r="BX67" s="124"/>
      <c r="BY67" s="61" t="str">
        <f t="shared" si="357"/>
        <v/>
      </c>
      <c r="BZ67" s="124" t="str">
        <f t="shared" si="357"/>
        <v/>
      </c>
      <c r="CA67" s="124" t="str">
        <f t="shared" si="357"/>
        <v/>
      </c>
      <c r="CB67" s="124" t="str">
        <f t="shared" si="357"/>
        <v/>
      </c>
      <c r="CC67" s="124" t="str">
        <f t="shared" si="357"/>
        <v/>
      </c>
      <c r="CD67" s="124" t="str">
        <f t="shared" si="357"/>
        <v/>
      </c>
      <c r="CE67" s="124" t="str">
        <f t="shared" si="357"/>
        <v/>
      </c>
      <c r="CF67" s="124"/>
      <c r="CG67" s="124"/>
      <c r="CH67" s="61" t="str">
        <f t="shared" si="357"/>
        <v/>
      </c>
      <c r="CI67" s="124" t="str">
        <f t="shared" ref="CI67:FL67" si="358">IF(SUM(CI43:CI65) &gt; 0, SUM(CI43:CI65), "")</f>
        <v/>
      </c>
      <c r="CJ67" s="124" t="str">
        <f t="shared" si="358"/>
        <v/>
      </c>
      <c r="CK67" s="124" t="str">
        <f t="shared" si="358"/>
        <v/>
      </c>
      <c r="CL67" s="124" t="str">
        <f t="shared" si="358"/>
        <v/>
      </c>
      <c r="CM67" s="124" t="str">
        <f t="shared" si="358"/>
        <v/>
      </c>
      <c r="CN67" s="124" t="str">
        <f t="shared" si="358"/>
        <v/>
      </c>
      <c r="CO67" s="124" t="str">
        <f t="shared" ref="CO67" si="359">IF(SUM(CO43:CO65) &gt; 0, SUM(CO43:CO65), "")</f>
        <v/>
      </c>
      <c r="CP67" s="124"/>
      <c r="CQ67" s="61" t="str">
        <f t="shared" si="358"/>
        <v/>
      </c>
      <c r="CR67" s="124" t="str">
        <f t="shared" si="358"/>
        <v/>
      </c>
      <c r="CS67" s="124" t="str">
        <f t="shared" si="358"/>
        <v/>
      </c>
      <c r="CT67" s="124" t="str">
        <f t="shared" si="358"/>
        <v/>
      </c>
      <c r="CU67" s="124" t="str">
        <f t="shared" si="358"/>
        <v/>
      </c>
      <c r="CV67" s="124" t="str">
        <f t="shared" si="358"/>
        <v/>
      </c>
      <c r="CW67" s="124"/>
      <c r="CX67" s="124"/>
      <c r="CY67" s="124" t="str">
        <f t="shared" si="358"/>
        <v/>
      </c>
      <c r="CZ67" s="61" t="str">
        <f t="shared" si="358"/>
        <v/>
      </c>
      <c r="DA67" s="124" t="str">
        <f t="shared" si="358"/>
        <v/>
      </c>
      <c r="DB67" s="124" t="str">
        <f t="shared" si="358"/>
        <v/>
      </c>
      <c r="DC67" s="124" t="str">
        <f t="shared" si="358"/>
        <v/>
      </c>
      <c r="DD67" s="124" t="str">
        <f t="shared" si="358"/>
        <v/>
      </c>
      <c r="DE67" s="124" t="str">
        <f t="shared" si="358"/>
        <v/>
      </c>
      <c r="DF67" s="124" t="str">
        <f t="shared" si="358"/>
        <v/>
      </c>
      <c r="DG67" s="124"/>
      <c r="DH67" s="124"/>
      <c r="DI67" s="61" t="str">
        <f t="shared" si="358"/>
        <v/>
      </c>
      <c r="DJ67" s="124" t="str">
        <f t="shared" si="358"/>
        <v/>
      </c>
      <c r="DK67" s="124" t="str">
        <f t="shared" si="358"/>
        <v/>
      </c>
      <c r="DL67" s="124" t="str">
        <f t="shared" si="358"/>
        <v/>
      </c>
      <c r="DM67" s="124" t="str">
        <f t="shared" si="358"/>
        <v/>
      </c>
      <c r="DN67" s="124" t="str">
        <f t="shared" si="358"/>
        <v/>
      </c>
      <c r="DO67" s="124" t="str">
        <f t="shared" si="358"/>
        <v/>
      </c>
      <c r="DP67" s="124"/>
      <c r="DQ67" s="124"/>
      <c r="DR67" s="61" t="str">
        <f t="shared" si="358"/>
        <v/>
      </c>
      <c r="DS67" s="124" t="str">
        <f t="shared" si="358"/>
        <v/>
      </c>
      <c r="DT67" s="124">
        <f t="shared" si="358"/>
        <v>7</v>
      </c>
      <c r="DU67" s="124" t="str">
        <f t="shared" si="358"/>
        <v/>
      </c>
      <c r="DV67" s="124">
        <f t="shared" si="358"/>
        <v>5</v>
      </c>
      <c r="DW67" s="124">
        <f t="shared" si="358"/>
        <v>5</v>
      </c>
      <c r="DX67" s="124"/>
      <c r="DY67" s="124"/>
      <c r="DZ67" s="124" t="str">
        <f t="shared" si="358"/>
        <v/>
      </c>
      <c r="EA67" s="61" t="str">
        <f t="shared" si="358"/>
        <v/>
      </c>
      <c r="EB67" s="124" t="str">
        <f t="shared" si="358"/>
        <v/>
      </c>
      <c r="EC67" s="124">
        <f t="shared" si="358"/>
        <v>6</v>
      </c>
      <c r="ED67" s="124" t="str">
        <f t="shared" si="358"/>
        <v/>
      </c>
      <c r="EE67" s="124">
        <f t="shared" si="358"/>
        <v>5</v>
      </c>
      <c r="EF67" s="124">
        <f t="shared" si="358"/>
        <v>4</v>
      </c>
      <c r="EG67" s="124"/>
      <c r="EH67" s="124"/>
      <c r="EI67" s="124" t="str">
        <f t="shared" si="358"/>
        <v/>
      </c>
      <c r="EJ67" s="61" t="str">
        <f t="shared" si="358"/>
        <v/>
      </c>
      <c r="EK67" s="124" t="str">
        <f t="shared" si="358"/>
        <v/>
      </c>
      <c r="EL67" s="124">
        <f t="shared" si="358"/>
        <v>6</v>
      </c>
      <c r="EM67" s="124" t="str">
        <f t="shared" si="358"/>
        <v/>
      </c>
      <c r="EN67" s="124">
        <f t="shared" si="358"/>
        <v>7</v>
      </c>
      <c r="EO67" s="124">
        <f t="shared" si="358"/>
        <v>5</v>
      </c>
      <c r="EP67" s="124" t="str">
        <f t="shared" si="358"/>
        <v/>
      </c>
      <c r="EQ67" s="124"/>
      <c r="ER67" s="124"/>
      <c r="ES67" s="61" t="str">
        <f t="shared" si="358"/>
        <v/>
      </c>
      <c r="ET67" s="124" t="str">
        <f t="shared" si="358"/>
        <v/>
      </c>
      <c r="EU67" s="124">
        <f t="shared" si="358"/>
        <v>9</v>
      </c>
      <c r="EV67" s="124" t="str">
        <f t="shared" si="358"/>
        <v/>
      </c>
      <c r="EW67" s="124">
        <f t="shared" si="358"/>
        <v>4</v>
      </c>
      <c r="EX67" s="124">
        <f t="shared" si="358"/>
        <v>5</v>
      </c>
      <c r="EY67" s="124" t="str">
        <f t="shared" si="358"/>
        <v/>
      </c>
      <c r="EZ67" s="124"/>
      <c r="FA67" s="124"/>
      <c r="FB67" s="61" t="str">
        <f t="shared" si="358"/>
        <v/>
      </c>
      <c r="FC67" s="124" t="str">
        <f t="shared" si="358"/>
        <v/>
      </c>
      <c r="FD67" s="124">
        <f t="shared" si="358"/>
        <v>8</v>
      </c>
      <c r="FE67" s="124" t="str">
        <f t="shared" si="358"/>
        <v/>
      </c>
      <c r="FF67" s="124" t="str">
        <f t="shared" si="358"/>
        <v/>
      </c>
      <c r="FG67" s="124" t="str">
        <f t="shared" si="358"/>
        <v/>
      </c>
      <c r="FH67" s="124" t="str">
        <f t="shared" si="358"/>
        <v/>
      </c>
      <c r="FI67" s="124"/>
      <c r="FJ67" s="124"/>
      <c r="FK67" s="61" t="str">
        <f t="shared" si="358"/>
        <v/>
      </c>
      <c r="FL67" s="124" t="str">
        <f t="shared" si="358"/>
        <v/>
      </c>
      <c r="FM67" s="124" t="str">
        <f t="shared" ref="FM67:HX67" si="360">IF(SUM(FM43:FM65) &gt; 0, SUM(FM43:FM65), "")</f>
        <v/>
      </c>
      <c r="FN67" s="124" t="str">
        <f t="shared" si="360"/>
        <v/>
      </c>
      <c r="FO67" s="124" t="str">
        <f t="shared" si="360"/>
        <v/>
      </c>
      <c r="FP67" s="124" t="str">
        <f t="shared" si="360"/>
        <v/>
      </c>
      <c r="FQ67" s="124" t="str">
        <f t="shared" si="360"/>
        <v/>
      </c>
      <c r="FR67" s="61" t="str">
        <f t="shared" si="360"/>
        <v/>
      </c>
      <c r="FS67" s="124" t="str">
        <f t="shared" si="360"/>
        <v/>
      </c>
      <c r="FT67" s="124" t="str">
        <f t="shared" si="360"/>
        <v/>
      </c>
      <c r="FU67" s="124" t="str">
        <f t="shared" si="360"/>
        <v/>
      </c>
      <c r="FV67" s="124" t="str">
        <f t="shared" si="360"/>
        <v/>
      </c>
      <c r="FW67" s="124" t="str">
        <f t="shared" si="360"/>
        <v/>
      </c>
      <c r="FX67" s="124" t="str">
        <f t="shared" si="360"/>
        <v/>
      </c>
      <c r="FY67" s="61" t="str">
        <f t="shared" si="360"/>
        <v/>
      </c>
      <c r="FZ67" s="124" t="str">
        <f t="shared" si="360"/>
        <v/>
      </c>
      <c r="GA67" s="124" t="str">
        <f t="shared" si="360"/>
        <v/>
      </c>
      <c r="GB67" s="124" t="str">
        <f t="shared" si="360"/>
        <v/>
      </c>
      <c r="GC67" s="124" t="str">
        <f t="shared" si="360"/>
        <v/>
      </c>
      <c r="GD67" s="124" t="str">
        <f t="shared" si="360"/>
        <v/>
      </c>
      <c r="GE67" s="124" t="str">
        <f t="shared" si="360"/>
        <v/>
      </c>
      <c r="GF67" s="61" t="str">
        <f t="shared" si="360"/>
        <v/>
      </c>
      <c r="GG67" s="124" t="str">
        <f t="shared" si="360"/>
        <v/>
      </c>
      <c r="GH67" s="124" t="str">
        <f t="shared" si="360"/>
        <v/>
      </c>
      <c r="GI67" s="124" t="str">
        <f t="shared" si="360"/>
        <v/>
      </c>
      <c r="GJ67" s="124" t="str">
        <f t="shared" si="360"/>
        <v/>
      </c>
      <c r="GK67" s="124" t="str">
        <f t="shared" si="360"/>
        <v/>
      </c>
      <c r="GL67" s="124" t="str">
        <f t="shared" si="360"/>
        <v/>
      </c>
      <c r="GM67" s="61" t="str">
        <f t="shared" si="360"/>
        <v/>
      </c>
      <c r="GN67" s="124" t="str">
        <f t="shared" si="360"/>
        <v/>
      </c>
      <c r="GO67" s="124" t="str">
        <f t="shared" si="360"/>
        <v/>
      </c>
      <c r="GP67" s="124" t="str">
        <f t="shared" si="360"/>
        <v/>
      </c>
      <c r="GQ67" s="124" t="str">
        <f t="shared" si="360"/>
        <v/>
      </c>
      <c r="GR67" s="124" t="str">
        <f t="shared" si="360"/>
        <v/>
      </c>
      <c r="GS67" s="124" t="str">
        <f t="shared" si="360"/>
        <v/>
      </c>
      <c r="GT67" s="61" t="str">
        <f t="shared" si="360"/>
        <v/>
      </c>
      <c r="GU67" s="124" t="str">
        <f t="shared" si="360"/>
        <v/>
      </c>
      <c r="GV67" s="124" t="str">
        <f t="shared" si="360"/>
        <v/>
      </c>
      <c r="GW67" s="124" t="str">
        <f t="shared" si="360"/>
        <v/>
      </c>
      <c r="GX67" s="124" t="str">
        <f t="shared" si="360"/>
        <v/>
      </c>
      <c r="GY67" s="124" t="str">
        <f t="shared" si="360"/>
        <v/>
      </c>
      <c r="GZ67" s="124" t="str">
        <f t="shared" si="360"/>
        <v/>
      </c>
      <c r="HA67" s="61" t="str">
        <f t="shared" si="360"/>
        <v/>
      </c>
      <c r="HB67" s="124" t="str">
        <f t="shared" si="360"/>
        <v/>
      </c>
      <c r="HC67" s="124" t="str">
        <f t="shared" si="360"/>
        <v/>
      </c>
      <c r="HD67" s="124" t="str">
        <f t="shared" si="360"/>
        <v/>
      </c>
      <c r="HE67" s="124" t="str">
        <f t="shared" si="360"/>
        <v/>
      </c>
      <c r="HF67" s="124" t="str">
        <f t="shared" si="360"/>
        <v/>
      </c>
      <c r="HG67" s="124" t="str">
        <f t="shared" si="360"/>
        <v/>
      </c>
      <c r="HH67" s="61" t="str">
        <f t="shared" si="360"/>
        <v/>
      </c>
      <c r="HI67" s="124" t="str">
        <f t="shared" si="360"/>
        <v/>
      </c>
      <c r="HJ67" s="124" t="str">
        <f t="shared" si="360"/>
        <v/>
      </c>
      <c r="HK67" s="124" t="str">
        <f t="shared" si="360"/>
        <v/>
      </c>
      <c r="HL67" s="124" t="str">
        <f t="shared" si="360"/>
        <v/>
      </c>
      <c r="HM67" s="124" t="str">
        <f t="shared" si="360"/>
        <v/>
      </c>
      <c r="HN67" s="124" t="str">
        <f t="shared" si="360"/>
        <v/>
      </c>
      <c r="HO67" s="61" t="str">
        <f t="shared" si="360"/>
        <v/>
      </c>
      <c r="HP67" s="124" t="str">
        <f t="shared" si="360"/>
        <v/>
      </c>
      <c r="HQ67" s="124" t="str">
        <f t="shared" si="360"/>
        <v/>
      </c>
      <c r="HR67" s="124" t="str">
        <f t="shared" si="360"/>
        <v/>
      </c>
      <c r="HS67" s="124" t="str">
        <f t="shared" si="360"/>
        <v/>
      </c>
      <c r="HT67" s="124" t="str">
        <f t="shared" si="360"/>
        <v/>
      </c>
      <c r="HU67" s="124" t="str">
        <f t="shared" si="360"/>
        <v/>
      </c>
      <c r="HV67" s="61" t="str">
        <f t="shared" si="360"/>
        <v/>
      </c>
      <c r="HW67" s="124" t="str">
        <f t="shared" si="360"/>
        <v/>
      </c>
      <c r="HX67" s="124" t="str">
        <f t="shared" si="360"/>
        <v/>
      </c>
      <c r="HY67" s="124" t="str">
        <f t="shared" ref="HY67:KJ67" si="361">IF(SUM(HY43:HY65) &gt; 0, SUM(HY43:HY65), "")</f>
        <v/>
      </c>
      <c r="HZ67" s="124" t="str">
        <f t="shared" si="361"/>
        <v/>
      </c>
      <c r="IA67" s="124" t="str">
        <f t="shared" si="361"/>
        <v/>
      </c>
      <c r="IB67" s="124" t="str">
        <f t="shared" si="361"/>
        <v/>
      </c>
      <c r="IC67" s="61" t="str">
        <f t="shared" si="361"/>
        <v/>
      </c>
      <c r="ID67" s="124" t="str">
        <f t="shared" si="361"/>
        <v/>
      </c>
      <c r="IE67" s="124" t="str">
        <f t="shared" si="361"/>
        <v/>
      </c>
      <c r="IF67" s="124" t="str">
        <f t="shared" si="361"/>
        <v/>
      </c>
      <c r="IG67" s="124" t="str">
        <f t="shared" si="361"/>
        <v/>
      </c>
      <c r="IH67" s="124" t="str">
        <f t="shared" si="361"/>
        <v/>
      </c>
      <c r="II67" s="124" t="str">
        <f t="shared" si="361"/>
        <v/>
      </c>
      <c r="IJ67" s="61" t="str">
        <f t="shared" si="361"/>
        <v/>
      </c>
      <c r="IK67" s="124" t="str">
        <f t="shared" si="361"/>
        <v/>
      </c>
      <c r="IL67" s="124" t="str">
        <f t="shared" si="361"/>
        <v/>
      </c>
      <c r="IM67" s="124" t="str">
        <f t="shared" si="361"/>
        <v/>
      </c>
      <c r="IN67" s="124" t="str">
        <f t="shared" si="361"/>
        <v/>
      </c>
      <c r="IO67" s="124" t="str">
        <f t="shared" si="361"/>
        <v/>
      </c>
      <c r="IP67" s="124" t="str">
        <f t="shared" si="361"/>
        <v/>
      </c>
      <c r="IQ67" s="61" t="str">
        <f t="shared" si="361"/>
        <v/>
      </c>
      <c r="IR67" s="124" t="str">
        <f t="shared" si="361"/>
        <v/>
      </c>
      <c r="IS67" s="124" t="str">
        <f t="shared" si="361"/>
        <v/>
      </c>
      <c r="IT67" s="124" t="str">
        <f t="shared" si="361"/>
        <v/>
      </c>
      <c r="IU67" s="124" t="str">
        <f t="shared" si="361"/>
        <v/>
      </c>
      <c r="IV67" s="124" t="str">
        <f t="shared" si="361"/>
        <v/>
      </c>
      <c r="IW67" s="124" t="str">
        <f t="shared" si="361"/>
        <v/>
      </c>
      <c r="IX67" s="61" t="str">
        <f t="shared" si="361"/>
        <v/>
      </c>
      <c r="IY67" s="124" t="str">
        <f t="shared" si="361"/>
        <v/>
      </c>
      <c r="IZ67" s="124" t="str">
        <f t="shared" si="361"/>
        <v/>
      </c>
      <c r="JA67" s="124" t="str">
        <f t="shared" si="361"/>
        <v/>
      </c>
      <c r="JB67" s="124" t="str">
        <f t="shared" si="361"/>
        <v/>
      </c>
      <c r="JC67" s="124" t="str">
        <f t="shared" si="361"/>
        <v/>
      </c>
      <c r="JD67" s="124" t="str">
        <f t="shared" si="361"/>
        <v/>
      </c>
      <c r="JE67" s="61" t="str">
        <f t="shared" si="361"/>
        <v/>
      </c>
      <c r="JF67" s="124" t="str">
        <f t="shared" si="361"/>
        <v/>
      </c>
      <c r="JG67" s="124" t="str">
        <f t="shared" si="361"/>
        <v/>
      </c>
      <c r="JH67" s="124" t="str">
        <f t="shared" si="361"/>
        <v/>
      </c>
      <c r="JI67" s="124" t="str">
        <f t="shared" si="361"/>
        <v/>
      </c>
      <c r="JJ67" s="124" t="str">
        <f t="shared" si="361"/>
        <v/>
      </c>
      <c r="JK67" s="124" t="str">
        <f t="shared" si="361"/>
        <v/>
      </c>
      <c r="JL67" s="61" t="str">
        <f t="shared" si="361"/>
        <v/>
      </c>
      <c r="JM67" s="124" t="str">
        <f t="shared" si="361"/>
        <v/>
      </c>
      <c r="JN67" s="124" t="str">
        <f t="shared" si="361"/>
        <v/>
      </c>
      <c r="JO67" s="124" t="str">
        <f t="shared" si="361"/>
        <v/>
      </c>
      <c r="JP67" s="124" t="str">
        <f t="shared" si="361"/>
        <v/>
      </c>
      <c r="JQ67" s="124" t="str">
        <f t="shared" si="361"/>
        <v/>
      </c>
      <c r="JR67" s="124" t="str">
        <f t="shared" si="361"/>
        <v/>
      </c>
      <c r="JS67" s="61" t="str">
        <f t="shared" si="361"/>
        <v/>
      </c>
      <c r="JT67" s="124" t="str">
        <f t="shared" si="361"/>
        <v/>
      </c>
      <c r="JU67" s="124" t="str">
        <f t="shared" si="361"/>
        <v/>
      </c>
      <c r="JV67" s="124" t="str">
        <f t="shared" si="361"/>
        <v/>
      </c>
      <c r="JW67" s="124" t="str">
        <f t="shared" si="361"/>
        <v/>
      </c>
      <c r="JX67" s="124" t="str">
        <f t="shared" si="361"/>
        <v/>
      </c>
      <c r="JY67" s="124" t="str">
        <f t="shared" si="361"/>
        <v/>
      </c>
      <c r="JZ67" s="61" t="str">
        <f t="shared" si="361"/>
        <v/>
      </c>
      <c r="KA67" s="124" t="str">
        <f t="shared" si="361"/>
        <v/>
      </c>
      <c r="KB67" s="124" t="str">
        <f t="shared" si="361"/>
        <v/>
      </c>
      <c r="KC67" s="124" t="str">
        <f t="shared" si="361"/>
        <v/>
      </c>
      <c r="KD67" s="124" t="str">
        <f t="shared" si="361"/>
        <v/>
      </c>
      <c r="KE67" s="124" t="str">
        <f t="shared" si="361"/>
        <v/>
      </c>
      <c r="KF67" s="124" t="str">
        <f t="shared" si="361"/>
        <v/>
      </c>
      <c r="KG67" s="61" t="str">
        <f t="shared" si="361"/>
        <v/>
      </c>
      <c r="KH67" s="124" t="str">
        <f t="shared" si="361"/>
        <v/>
      </c>
      <c r="KI67" s="124" t="str">
        <f t="shared" si="361"/>
        <v/>
      </c>
      <c r="KJ67" s="124" t="str">
        <f t="shared" si="361"/>
        <v/>
      </c>
      <c r="KK67" s="124" t="str">
        <f t="shared" ref="KK67:MR67" si="362">IF(SUM(KK43:KK65) &gt; 0, SUM(KK43:KK65), "")</f>
        <v/>
      </c>
      <c r="KL67" s="124" t="str">
        <f t="shared" si="362"/>
        <v/>
      </c>
      <c r="KM67" s="124" t="str">
        <f t="shared" si="362"/>
        <v/>
      </c>
      <c r="KN67" s="61" t="str">
        <f t="shared" si="362"/>
        <v/>
      </c>
      <c r="KO67" s="124" t="str">
        <f t="shared" si="362"/>
        <v/>
      </c>
      <c r="KP67" s="124" t="str">
        <f t="shared" si="362"/>
        <v/>
      </c>
      <c r="KQ67" s="124" t="str">
        <f t="shared" si="362"/>
        <v/>
      </c>
      <c r="KR67" s="124" t="str">
        <f t="shared" si="362"/>
        <v/>
      </c>
      <c r="KS67" s="124" t="str">
        <f t="shared" si="362"/>
        <v/>
      </c>
      <c r="KT67" s="124" t="str">
        <f t="shared" si="362"/>
        <v/>
      </c>
      <c r="KU67" s="61" t="str">
        <f t="shared" si="362"/>
        <v/>
      </c>
      <c r="KV67" s="124" t="str">
        <f t="shared" si="362"/>
        <v/>
      </c>
      <c r="KW67" s="124" t="str">
        <f t="shared" si="362"/>
        <v/>
      </c>
      <c r="KX67" s="124" t="str">
        <f t="shared" si="362"/>
        <v/>
      </c>
      <c r="KY67" s="124" t="str">
        <f t="shared" si="362"/>
        <v/>
      </c>
      <c r="KZ67" s="124" t="str">
        <f t="shared" si="362"/>
        <v/>
      </c>
      <c r="LA67" s="124" t="str">
        <f t="shared" si="362"/>
        <v/>
      </c>
      <c r="LB67" s="61" t="str">
        <f t="shared" si="362"/>
        <v/>
      </c>
      <c r="LC67" s="124" t="str">
        <f t="shared" si="362"/>
        <v/>
      </c>
      <c r="LD67" s="124" t="str">
        <f t="shared" si="362"/>
        <v/>
      </c>
      <c r="LE67" s="124" t="str">
        <f t="shared" si="362"/>
        <v/>
      </c>
      <c r="LF67" s="124" t="str">
        <f t="shared" si="362"/>
        <v/>
      </c>
      <c r="LG67" s="124" t="str">
        <f t="shared" si="362"/>
        <v/>
      </c>
      <c r="LH67" s="124" t="str">
        <f t="shared" si="362"/>
        <v/>
      </c>
      <c r="LI67" s="61" t="str">
        <f t="shared" si="362"/>
        <v/>
      </c>
      <c r="LJ67" s="124" t="str">
        <f t="shared" si="362"/>
        <v/>
      </c>
      <c r="LK67" s="124" t="str">
        <f t="shared" si="362"/>
        <v/>
      </c>
      <c r="LL67" s="124" t="str">
        <f t="shared" si="362"/>
        <v/>
      </c>
      <c r="LM67" s="124" t="str">
        <f t="shared" si="362"/>
        <v/>
      </c>
      <c r="LN67" s="124" t="str">
        <f t="shared" si="362"/>
        <v/>
      </c>
      <c r="LO67" s="124" t="str">
        <f t="shared" si="362"/>
        <v/>
      </c>
      <c r="LP67" s="61" t="str">
        <f t="shared" si="362"/>
        <v/>
      </c>
      <c r="LQ67" s="124" t="str">
        <f t="shared" si="362"/>
        <v/>
      </c>
      <c r="LR67" s="124" t="str">
        <f t="shared" si="362"/>
        <v/>
      </c>
      <c r="LS67" s="124" t="str">
        <f t="shared" si="362"/>
        <v/>
      </c>
      <c r="LT67" s="124" t="str">
        <f t="shared" si="362"/>
        <v/>
      </c>
      <c r="LU67" s="124" t="str">
        <f t="shared" si="362"/>
        <v/>
      </c>
      <c r="LV67" s="124" t="str">
        <f t="shared" si="362"/>
        <v/>
      </c>
      <c r="LW67" s="61" t="str">
        <f t="shared" si="362"/>
        <v/>
      </c>
      <c r="LX67" s="124" t="str">
        <f t="shared" si="362"/>
        <v/>
      </c>
      <c r="LY67" s="124" t="str">
        <f t="shared" si="362"/>
        <v/>
      </c>
      <c r="LZ67" s="124" t="str">
        <f t="shared" si="362"/>
        <v/>
      </c>
      <c r="MA67" s="124" t="str">
        <f t="shared" si="362"/>
        <v/>
      </c>
      <c r="MB67" s="124" t="str">
        <f t="shared" si="362"/>
        <v/>
      </c>
      <c r="MC67" s="124" t="str">
        <f t="shared" si="362"/>
        <v/>
      </c>
      <c r="MD67" s="61" t="str">
        <f t="shared" si="362"/>
        <v/>
      </c>
      <c r="ME67" s="124" t="str">
        <f t="shared" si="362"/>
        <v/>
      </c>
      <c r="MF67" s="124" t="str">
        <f t="shared" si="362"/>
        <v/>
      </c>
      <c r="MG67" s="124" t="str">
        <f t="shared" si="362"/>
        <v/>
      </c>
      <c r="MH67" s="124" t="str">
        <f t="shared" si="362"/>
        <v/>
      </c>
      <c r="MI67" s="124" t="str">
        <f t="shared" si="362"/>
        <v/>
      </c>
      <c r="MJ67" s="124" t="str">
        <f t="shared" si="362"/>
        <v/>
      </c>
      <c r="MK67" s="61" t="str">
        <f t="shared" si="362"/>
        <v/>
      </c>
      <c r="ML67" s="124" t="str">
        <f t="shared" si="362"/>
        <v/>
      </c>
      <c r="MM67" s="124" t="str">
        <f t="shared" si="362"/>
        <v/>
      </c>
      <c r="MN67" s="124" t="str">
        <f t="shared" si="362"/>
        <v/>
      </c>
      <c r="MO67" s="124" t="str">
        <f t="shared" si="362"/>
        <v/>
      </c>
      <c r="MP67" s="124" t="str">
        <f t="shared" si="362"/>
        <v/>
      </c>
      <c r="MQ67" s="124" t="str">
        <f t="shared" si="362"/>
        <v/>
      </c>
      <c r="MR67" s="61" t="str">
        <f t="shared" si="362"/>
        <v/>
      </c>
    </row>
    <row r="68" spans="1:356" ht="72.75" hidden="1" customHeight="1" x14ac:dyDescent="0.25">
      <c r="A68" s="118"/>
      <c r="B68" s="114"/>
      <c r="C68" s="114"/>
      <c r="D68" s="114"/>
      <c r="E68" s="119"/>
      <c r="F68" s="114"/>
      <c r="G68" s="114"/>
      <c r="H68" s="114"/>
      <c r="I68" s="114"/>
      <c r="J68" s="114"/>
      <c r="K68" s="114"/>
      <c r="L68" s="114"/>
      <c r="M68" s="114"/>
      <c r="N68" s="114"/>
      <c r="O68" s="114"/>
      <c r="P68" s="120" t="s">
        <v>408</v>
      </c>
      <c r="Q68" s="121" t="s">
        <v>408</v>
      </c>
      <c r="R68" s="122"/>
      <c r="S68" s="49">
        <f t="shared" ref="S68:AX68" si="363">S1</f>
        <v>43975</v>
      </c>
      <c r="T68" s="49">
        <f t="shared" si="363"/>
        <v>43976</v>
      </c>
      <c r="U68" s="49">
        <f t="shared" si="363"/>
        <v>43977</v>
      </c>
      <c r="V68" s="49">
        <f t="shared" si="363"/>
        <v>43978</v>
      </c>
      <c r="W68" s="49">
        <f t="shared" si="363"/>
        <v>43979</v>
      </c>
      <c r="X68" s="49">
        <f t="shared" si="363"/>
        <v>43980</v>
      </c>
      <c r="Y68" s="49">
        <f t="shared" si="363"/>
        <v>43981</v>
      </c>
      <c r="Z68" s="49">
        <f t="shared" si="363"/>
        <v>43982</v>
      </c>
      <c r="AA68" s="49">
        <f t="shared" si="363"/>
        <v>43983</v>
      </c>
      <c r="AB68" s="49">
        <f t="shared" si="363"/>
        <v>43984</v>
      </c>
      <c r="AC68" s="49">
        <f t="shared" si="363"/>
        <v>43985</v>
      </c>
      <c r="AD68" s="49">
        <f t="shared" si="363"/>
        <v>43986</v>
      </c>
      <c r="AE68" s="49">
        <f t="shared" si="363"/>
        <v>43987</v>
      </c>
      <c r="AF68" s="49">
        <f t="shared" si="363"/>
        <v>43988</v>
      </c>
      <c r="AG68" s="49">
        <f t="shared" si="363"/>
        <v>43989</v>
      </c>
      <c r="AH68" s="49">
        <f t="shared" si="363"/>
        <v>43990</v>
      </c>
      <c r="AI68" s="49">
        <f t="shared" si="363"/>
        <v>43991</v>
      </c>
      <c r="AJ68" s="49">
        <f t="shared" si="363"/>
        <v>43992</v>
      </c>
      <c r="AK68" s="49">
        <f t="shared" si="363"/>
        <v>43993</v>
      </c>
      <c r="AL68" s="49">
        <f t="shared" si="363"/>
        <v>43994</v>
      </c>
      <c r="AM68" s="49">
        <f t="shared" si="363"/>
        <v>43995</v>
      </c>
      <c r="AN68" s="49">
        <f t="shared" si="363"/>
        <v>43996</v>
      </c>
      <c r="AO68" s="49">
        <f t="shared" si="363"/>
        <v>43997</v>
      </c>
      <c r="AP68" s="49">
        <f t="shared" si="363"/>
        <v>43998</v>
      </c>
      <c r="AQ68" s="49">
        <f t="shared" si="363"/>
        <v>43999</v>
      </c>
      <c r="AR68" s="49">
        <f t="shared" si="363"/>
        <v>44000</v>
      </c>
      <c r="AS68" s="49">
        <f t="shared" si="363"/>
        <v>44001</v>
      </c>
      <c r="AT68" s="49">
        <f t="shared" si="363"/>
        <v>44002</v>
      </c>
      <c r="AU68" s="49">
        <f t="shared" si="363"/>
        <v>44003</v>
      </c>
      <c r="AV68" s="49">
        <f t="shared" si="363"/>
        <v>44004</v>
      </c>
      <c r="AW68" s="49">
        <f t="shared" si="363"/>
        <v>44005</v>
      </c>
      <c r="AX68" s="49">
        <f t="shared" si="363"/>
        <v>44006</v>
      </c>
      <c r="AY68" s="49">
        <f t="shared" ref="AY68:BW68" si="364">AY1</f>
        <v>44007</v>
      </c>
      <c r="AZ68" s="49">
        <f t="shared" si="364"/>
        <v>44008</v>
      </c>
      <c r="BA68" s="49">
        <f t="shared" si="364"/>
        <v>44009</v>
      </c>
      <c r="BB68" s="49">
        <f t="shared" si="364"/>
        <v>44010</v>
      </c>
      <c r="BC68" s="49">
        <f t="shared" si="364"/>
        <v>44011</v>
      </c>
      <c r="BD68" s="49">
        <f t="shared" si="364"/>
        <v>44012</v>
      </c>
      <c r="BE68" s="49">
        <f t="shared" si="364"/>
        <v>44013</v>
      </c>
      <c r="BF68" s="49">
        <f t="shared" si="364"/>
        <v>44014</v>
      </c>
      <c r="BG68" s="49">
        <f t="shared" si="364"/>
        <v>44015</v>
      </c>
      <c r="BH68" s="49">
        <f t="shared" si="364"/>
        <v>44016</v>
      </c>
      <c r="BI68" s="49">
        <f t="shared" si="364"/>
        <v>44017</v>
      </c>
      <c r="BJ68" s="49">
        <f t="shared" si="364"/>
        <v>44018</v>
      </c>
      <c r="BK68" s="49">
        <f t="shared" si="364"/>
        <v>44019</v>
      </c>
      <c r="BL68" s="49">
        <f t="shared" si="364"/>
        <v>44020</v>
      </c>
      <c r="BM68" s="49">
        <f t="shared" si="364"/>
        <v>44021</v>
      </c>
      <c r="BN68" s="49">
        <f t="shared" si="364"/>
        <v>44022</v>
      </c>
      <c r="BO68" s="49">
        <f t="shared" si="364"/>
        <v>44023</v>
      </c>
      <c r="BP68" s="49">
        <f t="shared" si="364"/>
        <v>44024</v>
      </c>
      <c r="BQ68" s="49">
        <f t="shared" si="364"/>
        <v>44025</v>
      </c>
      <c r="BR68" s="49">
        <f t="shared" si="364"/>
        <v>44026</v>
      </c>
      <c r="BS68" s="49">
        <f t="shared" si="364"/>
        <v>44027</v>
      </c>
      <c r="BT68" s="49">
        <f t="shared" si="364"/>
        <v>44028</v>
      </c>
      <c r="BU68" s="49">
        <f t="shared" si="364"/>
        <v>44029</v>
      </c>
      <c r="BV68" s="49">
        <f t="shared" si="364"/>
        <v>44030</v>
      </c>
      <c r="BW68" s="49">
        <f t="shared" si="364"/>
        <v>44031</v>
      </c>
      <c r="BX68" s="49"/>
      <c r="BY68" s="49"/>
      <c r="BZ68" s="49"/>
      <c r="CA68" s="49"/>
      <c r="CB68" s="49"/>
      <c r="CC68" s="49"/>
      <c r="CD68" s="49"/>
      <c r="CE68" s="49"/>
      <c r="CF68" s="49"/>
      <c r="CG68" s="49"/>
      <c r="CH68" s="49"/>
      <c r="CI68" s="49"/>
      <c r="CJ68" s="49"/>
      <c r="CK68" s="49"/>
      <c r="CL68" s="49"/>
      <c r="CM68" s="49"/>
      <c r="CN68" s="49"/>
      <c r="CO68" s="49"/>
      <c r="CP68" s="49"/>
      <c r="CQ68" s="49"/>
      <c r="CR68" s="49"/>
      <c r="CS68" s="49"/>
      <c r="CT68" s="49"/>
      <c r="CU68" s="49"/>
      <c r="CV68" s="49"/>
      <c r="CW68" s="49"/>
      <c r="CX68" s="49"/>
      <c r="CY68" s="49"/>
      <c r="CZ68" s="49"/>
      <c r="DA68" s="49"/>
      <c r="DB68" s="49"/>
      <c r="DC68" s="49"/>
      <c r="DD68" s="49"/>
      <c r="DE68" s="49"/>
      <c r="DF68" s="49"/>
      <c r="DG68" s="49"/>
      <c r="DH68" s="49"/>
      <c r="DI68" s="49"/>
      <c r="DJ68" s="49"/>
      <c r="DK68" s="49"/>
      <c r="DL68" s="49"/>
      <c r="DM68" s="49"/>
      <c r="DN68" s="49"/>
      <c r="DO68" s="49"/>
      <c r="DP68" s="49"/>
      <c r="DQ68" s="49"/>
      <c r="DR68" s="49"/>
      <c r="DS68" s="49">
        <f t="shared" ref="DS68:DY68" si="365">DS1</f>
        <v>44067</v>
      </c>
      <c r="DT68" s="49">
        <f t="shared" si="365"/>
        <v>44068</v>
      </c>
      <c r="DU68" s="49">
        <f t="shared" si="365"/>
        <v>44069</v>
      </c>
      <c r="DV68" s="49">
        <f t="shared" si="365"/>
        <v>44070</v>
      </c>
      <c r="DW68" s="49">
        <f t="shared" si="365"/>
        <v>44071</v>
      </c>
      <c r="DX68" s="49">
        <f t="shared" si="365"/>
        <v>44072</v>
      </c>
      <c r="DY68" s="49">
        <f t="shared" si="365"/>
        <v>44073</v>
      </c>
      <c r="DZ68" s="49"/>
      <c r="EA68" s="49"/>
      <c r="EB68" s="49">
        <f t="shared" ref="EB68:EH68" si="366">EB1</f>
        <v>44074</v>
      </c>
      <c r="EC68" s="49">
        <f t="shared" si="366"/>
        <v>44075</v>
      </c>
      <c r="ED68" s="49">
        <f t="shared" si="366"/>
        <v>44076</v>
      </c>
      <c r="EE68" s="49">
        <f t="shared" si="366"/>
        <v>44077</v>
      </c>
      <c r="EF68" s="49">
        <f t="shared" si="366"/>
        <v>44078</v>
      </c>
      <c r="EG68" s="49">
        <f t="shared" si="366"/>
        <v>44079</v>
      </c>
      <c r="EH68" s="49">
        <f t="shared" si="366"/>
        <v>44080</v>
      </c>
      <c r="EI68" s="49"/>
      <c r="EJ68" s="49"/>
      <c r="EK68" s="49">
        <f t="shared" ref="EK68:EQ68" si="367">EK1</f>
        <v>44081</v>
      </c>
      <c r="EL68" s="49">
        <f t="shared" si="367"/>
        <v>44082</v>
      </c>
      <c r="EM68" s="49">
        <f t="shared" si="367"/>
        <v>44083</v>
      </c>
      <c r="EN68" s="49">
        <f t="shared" si="367"/>
        <v>44084</v>
      </c>
      <c r="EO68" s="49">
        <f t="shared" si="367"/>
        <v>44085</v>
      </c>
      <c r="EP68" s="49">
        <f t="shared" si="367"/>
        <v>44086</v>
      </c>
      <c r="EQ68" s="49">
        <f t="shared" si="367"/>
        <v>44087</v>
      </c>
      <c r="ER68" s="49"/>
      <c r="ES68" s="49"/>
      <c r="ET68" s="49">
        <f t="shared" ref="ET68:EZ68" si="368">ET1</f>
        <v>44088</v>
      </c>
      <c r="EU68" s="49">
        <f t="shared" si="368"/>
        <v>44089</v>
      </c>
      <c r="EV68" s="49">
        <f t="shared" si="368"/>
        <v>44090</v>
      </c>
      <c r="EW68" s="49">
        <f t="shared" si="368"/>
        <v>44091</v>
      </c>
      <c r="EX68" s="49">
        <f t="shared" si="368"/>
        <v>44092</v>
      </c>
      <c r="EY68" s="49">
        <f t="shared" si="368"/>
        <v>44093</v>
      </c>
      <c r="EZ68" s="49">
        <f t="shared" si="368"/>
        <v>44094</v>
      </c>
      <c r="FA68" s="49"/>
      <c r="FB68" s="49"/>
      <c r="FC68" s="49">
        <f t="shared" ref="FC68:FI68" si="369">FC1</f>
        <v>44095</v>
      </c>
      <c r="FD68" s="49">
        <f t="shared" si="369"/>
        <v>44096</v>
      </c>
      <c r="FE68" s="49">
        <f t="shared" si="369"/>
        <v>44097</v>
      </c>
      <c r="FF68" s="49">
        <f t="shared" si="369"/>
        <v>44098</v>
      </c>
      <c r="FG68" s="49">
        <f t="shared" si="369"/>
        <v>44099</v>
      </c>
      <c r="FH68" s="49">
        <f t="shared" si="369"/>
        <v>44100</v>
      </c>
      <c r="FI68" s="49">
        <f t="shared" si="369"/>
        <v>44101</v>
      </c>
      <c r="FJ68" s="49"/>
      <c r="FK68" s="49"/>
      <c r="FL68" s="49">
        <f t="shared" ref="FL68:GQ68" si="370">FL1</f>
        <v>44102</v>
      </c>
      <c r="FM68" s="49">
        <f t="shared" si="370"/>
        <v>44103</v>
      </c>
      <c r="FN68" s="49">
        <f t="shared" si="370"/>
        <v>44104</v>
      </c>
      <c r="FO68" s="49">
        <f t="shared" si="370"/>
        <v>44105</v>
      </c>
      <c r="FP68" s="49">
        <f t="shared" si="370"/>
        <v>44106</v>
      </c>
      <c r="FQ68" s="49">
        <f t="shared" si="370"/>
        <v>44107</v>
      </c>
      <c r="FR68" s="49">
        <f t="shared" si="370"/>
        <v>44108</v>
      </c>
      <c r="FS68" s="49">
        <f t="shared" si="370"/>
        <v>44109</v>
      </c>
      <c r="FT68" s="49">
        <f t="shared" si="370"/>
        <v>44110</v>
      </c>
      <c r="FU68" s="49">
        <f t="shared" si="370"/>
        <v>44111</v>
      </c>
      <c r="FV68" s="49">
        <f t="shared" si="370"/>
        <v>44112</v>
      </c>
      <c r="FW68" s="49">
        <f t="shared" si="370"/>
        <v>44113</v>
      </c>
      <c r="FX68" s="49">
        <f t="shared" si="370"/>
        <v>44114</v>
      </c>
      <c r="FY68" s="49">
        <f t="shared" si="370"/>
        <v>44115</v>
      </c>
      <c r="FZ68" s="49">
        <f t="shared" si="370"/>
        <v>44116</v>
      </c>
      <c r="GA68" s="49">
        <f t="shared" si="370"/>
        <v>44117</v>
      </c>
      <c r="GB68" s="49">
        <f t="shared" si="370"/>
        <v>44118</v>
      </c>
      <c r="GC68" s="49">
        <f t="shared" si="370"/>
        <v>44119</v>
      </c>
      <c r="GD68" s="49">
        <f t="shared" si="370"/>
        <v>44120</v>
      </c>
      <c r="GE68" s="49">
        <f t="shared" si="370"/>
        <v>44121</v>
      </c>
      <c r="GF68" s="49">
        <f t="shared" si="370"/>
        <v>44122</v>
      </c>
      <c r="GG68" s="49">
        <f t="shared" si="370"/>
        <v>44123</v>
      </c>
      <c r="GH68" s="49">
        <f t="shared" si="370"/>
        <v>44124</v>
      </c>
      <c r="GI68" s="49">
        <f t="shared" si="370"/>
        <v>44125</v>
      </c>
      <c r="GJ68" s="49">
        <f t="shared" si="370"/>
        <v>44126</v>
      </c>
      <c r="GK68" s="49">
        <f t="shared" si="370"/>
        <v>44127</v>
      </c>
      <c r="GL68" s="49">
        <f t="shared" si="370"/>
        <v>44128</v>
      </c>
      <c r="GM68" s="49">
        <f t="shared" si="370"/>
        <v>44129</v>
      </c>
      <c r="GN68" s="49">
        <f t="shared" si="370"/>
        <v>44130</v>
      </c>
      <c r="GO68" s="49">
        <f t="shared" si="370"/>
        <v>44131</v>
      </c>
      <c r="GP68" s="49">
        <f t="shared" si="370"/>
        <v>44132</v>
      </c>
      <c r="GQ68" s="49">
        <f t="shared" si="370"/>
        <v>44133</v>
      </c>
      <c r="GR68" s="49">
        <f t="shared" ref="GR68:HW68" si="371">GR1</f>
        <v>44134</v>
      </c>
      <c r="GS68" s="49">
        <f t="shared" si="371"/>
        <v>44135</v>
      </c>
      <c r="GT68" s="49">
        <f t="shared" si="371"/>
        <v>44136</v>
      </c>
      <c r="GU68" s="49">
        <f t="shared" si="371"/>
        <v>44137</v>
      </c>
      <c r="GV68" s="49">
        <f t="shared" si="371"/>
        <v>44138</v>
      </c>
      <c r="GW68" s="49">
        <f t="shared" si="371"/>
        <v>44139</v>
      </c>
      <c r="GX68" s="49">
        <f t="shared" si="371"/>
        <v>44140</v>
      </c>
      <c r="GY68" s="49">
        <f t="shared" si="371"/>
        <v>44141</v>
      </c>
      <c r="GZ68" s="49">
        <f t="shared" si="371"/>
        <v>44142</v>
      </c>
      <c r="HA68" s="49">
        <f t="shared" si="371"/>
        <v>44143</v>
      </c>
      <c r="HB68" s="49">
        <f t="shared" si="371"/>
        <v>44144</v>
      </c>
      <c r="HC68" s="49">
        <f t="shared" si="371"/>
        <v>44145</v>
      </c>
      <c r="HD68" s="49">
        <f t="shared" si="371"/>
        <v>44146</v>
      </c>
      <c r="HE68" s="49">
        <f t="shared" si="371"/>
        <v>44147</v>
      </c>
      <c r="HF68" s="49">
        <f t="shared" si="371"/>
        <v>44148</v>
      </c>
      <c r="HG68" s="49">
        <f t="shared" si="371"/>
        <v>44149</v>
      </c>
      <c r="HH68" s="49">
        <f t="shared" si="371"/>
        <v>44150</v>
      </c>
      <c r="HI68" s="49">
        <f t="shared" si="371"/>
        <v>44151</v>
      </c>
      <c r="HJ68" s="49">
        <f t="shared" si="371"/>
        <v>44152</v>
      </c>
      <c r="HK68" s="49">
        <f t="shared" si="371"/>
        <v>44153</v>
      </c>
      <c r="HL68" s="49">
        <f t="shared" si="371"/>
        <v>44154</v>
      </c>
      <c r="HM68" s="49">
        <f t="shared" si="371"/>
        <v>44155</v>
      </c>
      <c r="HN68" s="49">
        <f t="shared" si="371"/>
        <v>44156</v>
      </c>
      <c r="HO68" s="49">
        <f t="shared" si="371"/>
        <v>44157</v>
      </c>
      <c r="HP68" s="49">
        <f t="shared" si="371"/>
        <v>44158</v>
      </c>
      <c r="HQ68" s="49">
        <f t="shared" si="371"/>
        <v>44159</v>
      </c>
      <c r="HR68" s="49">
        <f t="shared" si="371"/>
        <v>44160</v>
      </c>
      <c r="HS68" s="49">
        <f t="shared" si="371"/>
        <v>44161</v>
      </c>
      <c r="HT68" s="49">
        <f t="shared" si="371"/>
        <v>44162</v>
      </c>
      <c r="HU68" s="49">
        <f t="shared" si="371"/>
        <v>44163</v>
      </c>
      <c r="HV68" s="49">
        <f t="shared" si="371"/>
        <v>44164</v>
      </c>
      <c r="HW68" s="49">
        <f t="shared" si="371"/>
        <v>44165</v>
      </c>
      <c r="HX68" s="49">
        <f t="shared" ref="HX68:JC68" si="372">HX1</f>
        <v>44166</v>
      </c>
      <c r="HY68" s="49">
        <f t="shared" si="372"/>
        <v>44167</v>
      </c>
      <c r="HZ68" s="49">
        <f t="shared" si="372"/>
        <v>44168</v>
      </c>
      <c r="IA68" s="49">
        <f t="shared" si="372"/>
        <v>44169</v>
      </c>
      <c r="IB68" s="49">
        <f t="shared" si="372"/>
        <v>44170</v>
      </c>
      <c r="IC68" s="49">
        <f t="shared" si="372"/>
        <v>44171</v>
      </c>
      <c r="ID68" s="49">
        <f t="shared" si="372"/>
        <v>44172</v>
      </c>
      <c r="IE68" s="49">
        <f t="shared" si="372"/>
        <v>44173</v>
      </c>
      <c r="IF68" s="49">
        <f t="shared" si="372"/>
        <v>44174</v>
      </c>
      <c r="IG68" s="49">
        <f t="shared" si="372"/>
        <v>44175</v>
      </c>
      <c r="IH68" s="49">
        <f t="shared" si="372"/>
        <v>44176</v>
      </c>
      <c r="II68" s="49">
        <f t="shared" si="372"/>
        <v>44177</v>
      </c>
      <c r="IJ68" s="49">
        <f t="shared" si="372"/>
        <v>44178</v>
      </c>
      <c r="IK68" s="49">
        <f t="shared" si="372"/>
        <v>44179</v>
      </c>
      <c r="IL68" s="49">
        <f t="shared" si="372"/>
        <v>44180</v>
      </c>
      <c r="IM68" s="49">
        <f t="shared" si="372"/>
        <v>44181</v>
      </c>
      <c r="IN68" s="49">
        <f t="shared" si="372"/>
        <v>44182</v>
      </c>
      <c r="IO68" s="49">
        <f t="shared" si="372"/>
        <v>44183</v>
      </c>
      <c r="IP68" s="49">
        <f t="shared" si="372"/>
        <v>44184</v>
      </c>
      <c r="IQ68" s="49">
        <f t="shared" si="372"/>
        <v>44185</v>
      </c>
      <c r="IR68" s="49">
        <f t="shared" si="372"/>
        <v>44186</v>
      </c>
      <c r="IS68" s="49">
        <f t="shared" si="372"/>
        <v>44187</v>
      </c>
      <c r="IT68" s="49">
        <f t="shared" si="372"/>
        <v>44188</v>
      </c>
      <c r="IU68" s="49">
        <f t="shared" si="372"/>
        <v>44189</v>
      </c>
      <c r="IV68" s="49">
        <f t="shared" si="372"/>
        <v>44190</v>
      </c>
      <c r="IW68" s="49">
        <f t="shared" si="372"/>
        <v>44191</v>
      </c>
      <c r="IX68" s="49">
        <f t="shared" si="372"/>
        <v>44192</v>
      </c>
      <c r="IY68" s="49">
        <f t="shared" si="372"/>
        <v>44193</v>
      </c>
      <c r="IZ68" s="49">
        <f t="shared" si="372"/>
        <v>44194</v>
      </c>
      <c r="JA68" s="49">
        <f t="shared" si="372"/>
        <v>44195</v>
      </c>
      <c r="JB68" s="49">
        <f t="shared" si="372"/>
        <v>44196</v>
      </c>
      <c r="JC68" s="49">
        <f t="shared" si="372"/>
        <v>44197</v>
      </c>
      <c r="JD68" s="49">
        <f t="shared" ref="JD68:KI68" si="373">JD1</f>
        <v>44198</v>
      </c>
      <c r="JE68" s="49">
        <f t="shared" si="373"/>
        <v>44199</v>
      </c>
      <c r="JF68" s="49">
        <f t="shared" si="373"/>
        <v>44200</v>
      </c>
      <c r="JG68" s="49">
        <f t="shared" si="373"/>
        <v>44201</v>
      </c>
      <c r="JH68" s="49">
        <f t="shared" si="373"/>
        <v>44202</v>
      </c>
      <c r="JI68" s="49">
        <f t="shared" si="373"/>
        <v>44203</v>
      </c>
      <c r="JJ68" s="49">
        <f t="shared" si="373"/>
        <v>44204</v>
      </c>
      <c r="JK68" s="49">
        <f t="shared" si="373"/>
        <v>44205</v>
      </c>
      <c r="JL68" s="49">
        <f t="shared" si="373"/>
        <v>44206</v>
      </c>
      <c r="JM68" s="49">
        <f t="shared" si="373"/>
        <v>44207</v>
      </c>
      <c r="JN68" s="49">
        <f t="shared" si="373"/>
        <v>44208</v>
      </c>
      <c r="JO68" s="49">
        <f t="shared" si="373"/>
        <v>44209</v>
      </c>
      <c r="JP68" s="49">
        <f t="shared" si="373"/>
        <v>44210</v>
      </c>
      <c r="JQ68" s="49">
        <f t="shared" si="373"/>
        <v>44211</v>
      </c>
      <c r="JR68" s="49">
        <f t="shared" si="373"/>
        <v>44212</v>
      </c>
      <c r="JS68" s="49">
        <f t="shared" si="373"/>
        <v>44213</v>
      </c>
      <c r="JT68" s="49">
        <f t="shared" si="373"/>
        <v>44214</v>
      </c>
      <c r="JU68" s="49">
        <f t="shared" si="373"/>
        <v>44215</v>
      </c>
      <c r="JV68" s="49">
        <f t="shared" si="373"/>
        <v>44216</v>
      </c>
      <c r="JW68" s="49">
        <f t="shared" si="373"/>
        <v>44217</v>
      </c>
      <c r="JX68" s="49">
        <f t="shared" si="373"/>
        <v>44218</v>
      </c>
      <c r="JY68" s="49">
        <f t="shared" si="373"/>
        <v>44219</v>
      </c>
      <c r="JZ68" s="49">
        <f t="shared" si="373"/>
        <v>44220</v>
      </c>
      <c r="KA68" s="49">
        <f t="shared" si="373"/>
        <v>44221</v>
      </c>
      <c r="KB68" s="49">
        <f t="shared" si="373"/>
        <v>44222</v>
      </c>
      <c r="KC68" s="49">
        <f t="shared" si="373"/>
        <v>44223</v>
      </c>
      <c r="KD68" s="49">
        <f t="shared" si="373"/>
        <v>44224</v>
      </c>
      <c r="KE68" s="49">
        <f t="shared" si="373"/>
        <v>44225</v>
      </c>
      <c r="KF68" s="49">
        <f t="shared" si="373"/>
        <v>44226</v>
      </c>
      <c r="KG68" s="49">
        <f t="shared" si="373"/>
        <v>44227</v>
      </c>
      <c r="KH68" s="49">
        <f t="shared" si="373"/>
        <v>44228</v>
      </c>
      <c r="KI68" s="49">
        <f t="shared" si="373"/>
        <v>44229</v>
      </c>
      <c r="KJ68" s="49">
        <f t="shared" ref="KJ68:LO68" si="374">KJ1</f>
        <v>44230</v>
      </c>
      <c r="KK68" s="49">
        <f t="shared" si="374"/>
        <v>44231</v>
      </c>
      <c r="KL68" s="49">
        <f t="shared" si="374"/>
        <v>44232</v>
      </c>
      <c r="KM68" s="49">
        <f t="shared" si="374"/>
        <v>44233</v>
      </c>
      <c r="KN68" s="49">
        <f t="shared" si="374"/>
        <v>44234</v>
      </c>
      <c r="KO68" s="49">
        <f t="shared" si="374"/>
        <v>44235</v>
      </c>
      <c r="KP68" s="49">
        <f t="shared" si="374"/>
        <v>44236</v>
      </c>
      <c r="KQ68" s="49">
        <f t="shared" si="374"/>
        <v>44237</v>
      </c>
      <c r="KR68" s="49">
        <f t="shared" si="374"/>
        <v>44238</v>
      </c>
      <c r="KS68" s="49">
        <f t="shared" si="374"/>
        <v>44239</v>
      </c>
      <c r="KT68" s="49">
        <f t="shared" si="374"/>
        <v>44240</v>
      </c>
      <c r="KU68" s="49">
        <f t="shared" si="374"/>
        <v>44241</v>
      </c>
      <c r="KV68" s="49">
        <f t="shared" si="374"/>
        <v>44242</v>
      </c>
      <c r="KW68" s="49">
        <f t="shared" si="374"/>
        <v>44243</v>
      </c>
      <c r="KX68" s="49">
        <f t="shared" si="374"/>
        <v>44244</v>
      </c>
      <c r="KY68" s="49">
        <f t="shared" si="374"/>
        <v>44245</v>
      </c>
      <c r="KZ68" s="49">
        <f t="shared" si="374"/>
        <v>44246</v>
      </c>
      <c r="LA68" s="49">
        <f t="shared" si="374"/>
        <v>44247</v>
      </c>
      <c r="LB68" s="49">
        <f t="shared" si="374"/>
        <v>44248</v>
      </c>
      <c r="LC68" s="49">
        <f t="shared" si="374"/>
        <v>44249</v>
      </c>
      <c r="LD68" s="49">
        <f t="shared" si="374"/>
        <v>44250</v>
      </c>
      <c r="LE68" s="49">
        <f t="shared" si="374"/>
        <v>44251</v>
      </c>
      <c r="LF68" s="49">
        <f t="shared" si="374"/>
        <v>44252</v>
      </c>
      <c r="LG68" s="49">
        <f t="shared" si="374"/>
        <v>44253</v>
      </c>
      <c r="LH68" s="49">
        <f t="shared" si="374"/>
        <v>44254</v>
      </c>
      <c r="LI68" s="49">
        <f t="shared" si="374"/>
        <v>44255</v>
      </c>
      <c r="LJ68" s="49">
        <f t="shared" si="374"/>
        <v>44256</v>
      </c>
      <c r="LK68" s="49">
        <f t="shared" si="374"/>
        <v>44257</v>
      </c>
      <c r="LL68" s="49">
        <f t="shared" si="374"/>
        <v>44258</v>
      </c>
      <c r="LM68" s="49">
        <f t="shared" si="374"/>
        <v>44259</v>
      </c>
      <c r="LN68" s="49">
        <f t="shared" si="374"/>
        <v>44260</v>
      </c>
      <c r="LO68" s="49">
        <f t="shared" si="374"/>
        <v>44261</v>
      </c>
      <c r="LP68" s="49">
        <f t="shared" ref="LP68:MR68" si="375">LP1</f>
        <v>44262</v>
      </c>
      <c r="LQ68" s="49">
        <f t="shared" si="375"/>
        <v>44263</v>
      </c>
      <c r="LR68" s="49">
        <f t="shared" si="375"/>
        <v>44264</v>
      </c>
      <c r="LS68" s="49">
        <f t="shared" si="375"/>
        <v>44265</v>
      </c>
      <c r="LT68" s="49">
        <f t="shared" si="375"/>
        <v>44266</v>
      </c>
      <c r="LU68" s="49">
        <f t="shared" si="375"/>
        <v>44267</v>
      </c>
      <c r="LV68" s="49">
        <f t="shared" si="375"/>
        <v>44268</v>
      </c>
      <c r="LW68" s="49">
        <f t="shared" si="375"/>
        <v>44269</v>
      </c>
      <c r="LX68" s="49">
        <f t="shared" si="375"/>
        <v>44270</v>
      </c>
      <c r="LY68" s="49">
        <f t="shared" si="375"/>
        <v>44271</v>
      </c>
      <c r="LZ68" s="49">
        <f t="shared" si="375"/>
        <v>44272</v>
      </c>
      <c r="MA68" s="49">
        <f t="shared" si="375"/>
        <v>44273</v>
      </c>
      <c r="MB68" s="49">
        <f t="shared" si="375"/>
        <v>44274</v>
      </c>
      <c r="MC68" s="49">
        <f t="shared" si="375"/>
        <v>44275</v>
      </c>
      <c r="MD68" s="49">
        <f t="shared" si="375"/>
        <v>44276</v>
      </c>
      <c r="ME68" s="49">
        <f t="shared" si="375"/>
        <v>44277</v>
      </c>
      <c r="MF68" s="49">
        <f t="shared" si="375"/>
        <v>44278</v>
      </c>
      <c r="MG68" s="49">
        <f t="shared" si="375"/>
        <v>44279</v>
      </c>
      <c r="MH68" s="49">
        <f t="shared" si="375"/>
        <v>44280</v>
      </c>
      <c r="MI68" s="49">
        <f t="shared" si="375"/>
        <v>44281</v>
      </c>
      <c r="MJ68" s="49">
        <f t="shared" si="375"/>
        <v>44282</v>
      </c>
      <c r="MK68" s="49">
        <f t="shared" si="375"/>
        <v>44283</v>
      </c>
      <c r="ML68" s="49">
        <f t="shared" si="375"/>
        <v>44284</v>
      </c>
      <c r="MM68" s="49">
        <f t="shared" si="375"/>
        <v>44285</v>
      </c>
      <c r="MN68" s="49">
        <f t="shared" si="375"/>
        <v>44286</v>
      </c>
      <c r="MO68" s="49">
        <f t="shared" si="375"/>
        <v>44287</v>
      </c>
      <c r="MP68" s="49">
        <f t="shared" si="375"/>
        <v>44288</v>
      </c>
      <c r="MQ68" s="49">
        <f t="shared" si="375"/>
        <v>44289</v>
      </c>
      <c r="MR68" s="49">
        <f t="shared" si="375"/>
        <v>44290</v>
      </c>
    </row>
    <row r="69" spans="1:356" ht="15" customHeight="1" x14ac:dyDescent="0.25">
      <c r="A69" s="143" t="s">
        <v>144</v>
      </c>
      <c r="B69" s="143"/>
      <c r="C69" s="143"/>
      <c r="D69" s="143"/>
      <c r="E69" s="144"/>
      <c r="F69" s="30"/>
      <c r="G69" s="30"/>
      <c r="H69" s="30"/>
      <c r="I69" s="30"/>
      <c r="J69" s="30"/>
      <c r="K69" s="30"/>
      <c r="L69" s="30"/>
      <c r="M69" s="30"/>
      <c r="N69" s="30"/>
      <c r="O69" s="29"/>
      <c r="P69" s="147" t="s">
        <v>49</v>
      </c>
      <c r="Q69" s="147" t="s">
        <v>48</v>
      </c>
      <c r="R69" s="149"/>
      <c r="S69" s="57">
        <f t="shared" ref="S69:BV69" si="376">S40</f>
        <v>43975</v>
      </c>
      <c r="T69" s="58">
        <f t="shared" si="376"/>
        <v>43976</v>
      </c>
      <c r="U69" s="58">
        <f t="shared" si="376"/>
        <v>43977</v>
      </c>
      <c r="V69" s="58">
        <f t="shared" si="376"/>
        <v>43978</v>
      </c>
      <c r="W69" s="58">
        <f t="shared" si="376"/>
        <v>43979</v>
      </c>
      <c r="X69" s="58">
        <f t="shared" si="376"/>
        <v>43980</v>
      </c>
      <c r="Y69" s="58">
        <f t="shared" si="376"/>
        <v>43981</v>
      </c>
      <c r="Z69" s="57">
        <f t="shared" si="376"/>
        <v>43982</v>
      </c>
      <c r="AA69" s="58">
        <f t="shared" si="376"/>
        <v>43983</v>
      </c>
      <c r="AB69" s="58">
        <f t="shared" si="376"/>
        <v>43984</v>
      </c>
      <c r="AC69" s="58">
        <f t="shared" si="376"/>
        <v>43985</v>
      </c>
      <c r="AD69" s="58">
        <f t="shared" si="376"/>
        <v>43986</v>
      </c>
      <c r="AE69" s="58">
        <f t="shared" si="376"/>
        <v>43987</v>
      </c>
      <c r="AF69" s="58">
        <f t="shared" si="376"/>
        <v>43988</v>
      </c>
      <c r="AG69" s="57">
        <f t="shared" si="376"/>
        <v>43989</v>
      </c>
      <c r="AH69" s="58">
        <f t="shared" si="376"/>
        <v>43990</v>
      </c>
      <c r="AI69" s="58">
        <f t="shared" si="376"/>
        <v>43991</v>
      </c>
      <c r="AJ69" s="58">
        <f t="shared" si="376"/>
        <v>43992</v>
      </c>
      <c r="AK69" s="58">
        <f t="shared" si="376"/>
        <v>43993</v>
      </c>
      <c r="AL69" s="58">
        <f t="shared" si="376"/>
        <v>43994</v>
      </c>
      <c r="AM69" s="58">
        <f t="shared" si="376"/>
        <v>43995</v>
      </c>
      <c r="AN69" s="57">
        <f t="shared" si="376"/>
        <v>43996</v>
      </c>
      <c r="AO69" s="58">
        <f t="shared" si="376"/>
        <v>43997</v>
      </c>
      <c r="AP69" s="58">
        <f t="shared" si="376"/>
        <v>43998</v>
      </c>
      <c r="AQ69" s="58">
        <f t="shared" si="376"/>
        <v>43999</v>
      </c>
      <c r="AR69" s="58">
        <f t="shared" si="376"/>
        <v>44000</v>
      </c>
      <c r="AS69" s="58">
        <f t="shared" si="376"/>
        <v>44001</v>
      </c>
      <c r="AT69" s="58">
        <f t="shared" si="376"/>
        <v>44002</v>
      </c>
      <c r="AU69" s="57">
        <f t="shared" si="376"/>
        <v>44003</v>
      </c>
      <c r="AV69" s="58">
        <f t="shared" si="376"/>
        <v>44004</v>
      </c>
      <c r="AW69" s="58">
        <f t="shared" si="376"/>
        <v>44005</v>
      </c>
      <c r="AX69" s="58">
        <f t="shared" si="376"/>
        <v>44006</v>
      </c>
      <c r="AY69" s="58">
        <f t="shared" si="376"/>
        <v>44007</v>
      </c>
      <c r="AZ69" s="58">
        <f t="shared" si="376"/>
        <v>44008</v>
      </c>
      <c r="BA69" s="58">
        <f t="shared" si="376"/>
        <v>44009</v>
      </c>
      <c r="BB69" s="57">
        <f t="shared" si="376"/>
        <v>44010</v>
      </c>
      <c r="BC69" s="58">
        <f t="shared" si="376"/>
        <v>44011</v>
      </c>
      <c r="BD69" s="58">
        <f t="shared" si="376"/>
        <v>44012</v>
      </c>
      <c r="BE69" s="58">
        <f t="shared" si="376"/>
        <v>44013</v>
      </c>
      <c r="BF69" s="58">
        <f t="shared" si="376"/>
        <v>44014</v>
      </c>
      <c r="BG69" s="58">
        <f t="shared" si="376"/>
        <v>44015</v>
      </c>
      <c r="BH69" s="58">
        <f t="shared" si="376"/>
        <v>44016</v>
      </c>
      <c r="BI69" s="57">
        <f t="shared" si="376"/>
        <v>44017</v>
      </c>
      <c r="BJ69" s="58">
        <f t="shared" si="376"/>
        <v>44018</v>
      </c>
      <c r="BK69" s="58">
        <f t="shared" si="376"/>
        <v>44019</v>
      </c>
      <c r="BL69" s="58">
        <f t="shared" si="376"/>
        <v>44020</v>
      </c>
      <c r="BM69" s="58">
        <f t="shared" si="376"/>
        <v>44021</v>
      </c>
      <c r="BN69" s="58">
        <f t="shared" si="376"/>
        <v>44022</v>
      </c>
      <c r="BO69" s="58">
        <f t="shared" si="376"/>
        <v>44023</v>
      </c>
      <c r="BP69" s="57">
        <v>12</v>
      </c>
      <c r="BQ69" s="58">
        <f t="shared" si="376"/>
        <v>44025</v>
      </c>
      <c r="BR69" s="58">
        <f t="shared" si="376"/>
        <v>44026</v>
      </c>
      <c r="BS69" s="58">
        <f t="shared" si="376"/>
        <v>44027</v>
      </c>
      <c r="BT69" s="58">
        <f t="shared" si="376"/>
        <v>44028</v>
      </c>
      <c r="BU69" s="58">
        <f t="shared" si="376"/>
        <v>44029</v>
      </c>
      <c r="BV69" s="58">
        <f t="shared" si="376"/>
        <v>44030</v>
      </c>
      <c r="BW69" s="58">
        <v>19</v>
      </c>
      <c r="BX69" s="58"/>
      <c r="BY69" s="57"/>
      <c r="BZ69" s="58"/>
      <c r="CA69" s="58"/>
      <c r="CB69" s="58"/>
      <c r="CC69" s="58"/>
      <c r="CD69" s="58"/>
      <c r="CE69" s="58"/>
      <c r="CF69" s="58"/>
      <c r="CG69" s="58"/>
      <c r="CH69" s="57"/>
      <c r="CI69" s="58"/>
      <c r="CJ69" s="58"/>
      <c r="CK69" s="58"/>
      <c r="CL69" s="58"/>
      <c r="CM69" s="58"/>
      <c r="CN69" s="58"/>
      <c r="CO69" s="58"/>
      <c r="CP69" s="58"/>
      <c r="CQ69" s="57"/>
      <c r="CR69" s="58"/>
      <c r="CS69" s="58"/>
      <c r="CT69" s="58"/>
      <c r="CU69" s="58"/>
      <c r="CV69" s="58"/>
      <c r="CW69" s="58"/>
      <c r="CX69" s="58"/>
      <c r="CY69" s="58"/>
      <c r="CZ69" s="57"/>
      <c r="DA69" s="58"/>
      <c r="DB69" s="58"/>
      <c r="DC69" s="58"/>
      <c r="DD69" s="58"/>
      <c r="DE69" s="58"/>
      <c r="DF69" s="58"/>
      <c r="DG69" s="58"/>
      <c r="DH69" s="58"/>
      <c r="DI69" s="57"/>
      <c r="DJ69" s="58"/>
      <c r="DK69" s="58"/>
      <c r="DL69" s="58"/>
      <c r="DM69" s="58"/>
      <c r="DN69" s="58"/>
      <c r="DO69" s="58"/>
      <c r="DP69" s="58"/>
      <c r="DQ69" s="58"/>
      <c r="DR69" s="57"/>
      <c r="DS69" s="58">
        <f t="shared" ref="DS69:FL69" si="377">DS40</f>
        <v>44067</v>
      </c>
      <c r="DT69" s="58">
        <f t="shared" si="377"/>
        <v>44068</v>
      </c>
      <c r="DU69" s="58">
        <f t="shared" si="377"/>
        <v>44069</v>
      </c>
      <c r="DV69" s="58">
        <f t="shared" si="377"/>
        <v>44070</v>
      </c>
      <c r="DW69" s="58">
        <f t="shared" si="377"/>
        <v>44071</v>
      </c>
      <c r="DX69" s="58">
        <f t="shared" si="377"/>
        <v>44072</v>
      </c>
      <c r="DY69" s="58">
        <f t="shared" si="377"/>
        <v>44073</v>
      </c>
      <c r="DZ69" s="58"/>
      <c r="EA69" s="57"/>
      <c r="EB69" s="58">
        <f t="shared" si="377"/>
        <v>44074</v>
      </c>
      <c r="EC69" s="58">
        <f t="shared" si="377"/>
        <v>44075</v>
      </c>
      <c r="ED69" s="58">
        <f t="shared" si="377"/>
        <v>44076</v>
      </c>
      <c r="EE69" s="58">
        <f t="shared" si="377"/>
        <v>44077</v>
      </c>
      <c r="EF69" s="58">
        <f t="shared" si="377"/>
        <v>44078</v>
      </c>
      <c r="EG69" s="58">
        <f t="shared" si="377"/>
        <v>44079</v>
      </c>
      <c r="EH69" s="58">
        <f t="shared" si="377"/>
        <v>44080</v>
      </c>
      <c r="EI69" s="58"/>
      <c r="EJ69" s="57"/>
      <c r="EK69" s="58">
        <f t="shared" si="377"/>
        <v>44081</v>
      </c>
      <c r="EL69" s="58">
        <f t="shared" si="377"/>
        <v>44082</v>
      </c>
      <c r="EM69" s="58">
        <f t="shared" si="377"/>
        <v>44083</v>
      </c>
      <c r="EN69" s="58">
        <f t="shared" si="377"/>
        <v>44084</v>
      </c>
      <c r="EO69" s="58">
        <f t="shared" si="377"/>
        <v>44085</v>
      </c>
      <c r="EP69" s="58">
        <f t="shared" si="377"/>
        <v>44086</v>
      </c>
      <c r="EQ69" s="58">
        <f t="shared" si="377"/>
        <v>44087</v>
      </c>
      <c r="ER69" s="58"/>
      <c r="ES69" s="57"/>
      <c r="ET69" s="58">
        <f t="shared" si="377"/>
        <v>44088</v>
      </c>
      <c r="EU69" s="58">
        <f t="shared" si="377"/>
        <v>44089</v>
      </c>
      <c r="EV69" s="58">
        <f t="shared" si="377"/>
        <v>44090</v>
      </c>
      <c r="EW69" s="58">
        <f t="shared" si="377"/>
        <v>44091</v>
      </c>
      <c r="EX69" s="58">
        <f t="shared" si="377"/>
        <v>44092</v>
      </c>
      <c r="EY69" s="58">
        <f t="shared" si="377"/>
        <v>44093</v>
      </c>
      <c r="EZ69" s="58">
        <f t="shared" si="377"/>
        <v>44094</v>
      </c>
      <c r="FA69" s="58"/>
      <c r="FB69" s="57"/>
      <c r="FC69" s="58">
        <f t="shared" si="377"/>
        <v>44095</v>
      </c>
      <c r="FD69" s="58">
        <f t="shared" si="377"/>
        <v>44096</v>
      </c>
      <c r="FE69" s="58">
        <f t="shared" si="377"/>
        <v>44097</v>
      </c>
      <c r="FF69" s="58">
        <f t="shared" si="377"/>
        <v>44098</v>
      </c>
      <c r="FG69" s="58">
        <f t="shared" si="377"/>
        <v>44099</v>
      </c>
      <c r="FH69" s="58">
        <f t="shared" si="377"/>
        <v>44100</v>
      </c>
      <c r="FI69" s="58">
        <f t="shared" ref="FI69" si="378">FI40</f>
        <v>44101</v>
      </c>
      <c r="FJ69" s="58"/>
      <c r="FK69" s="57"/>
      <c r="FL69" s="58">
        <f t="shared" si="377"/>
        <v>44102</v>
      </c>
      <c r="FM69" s="58">
        <f t="shared" ref="FM69:HX69" si="379">FM40</f>
        <v>44103</v>
      </c>
      <c r="FN69" s="58">
        <f t="shared" si="379"/>
        <v>44104</v>
      </c>
      <c r="FO69" s="58">
        <f t="shared" si="379"/>
        <v>44105</v>
      </c>
      <c r="FP69" s="58">
        <f t="shared" si="379"/>
        <v>44106</v>
      </c>
      <c r="FQ69" s="58">
        <f t="shared" si="379"/>
        <v>44107</v>
      </c>
      <c r="FR69" s="57">
        <f t="shared" si="379"/>
        <v>44108</v>
      </c>
      <c r="FS69" s="58">
        <f t="shared" si="379"/>
        <v>44109</v>
      </c>
      <c r="FT69" s="58">
        <f t="shared" si="379"/>
        <v>44110</v>
      </c>
      <c r="FU69" s="58">
        <f t="shared" si="379"/>
        <v>44111</v>
      </c>
      <c r="FV69" s="58">
        <f t="shared" si="379"/>
        <v>44112</v>
      </c>
      <c r="FW69" s="58">
        <f t="shared" si="379"/>
        <v>44113</v>
      </c>
      <c r="FX69" s="58">
        <f t="shared" si="379"/>
        <v>44114</v>
      </c>
      <c r="FY69" s="57">
        <f t="shared" si="379"/>
        <v>44115</v>
      </c>
      <c r="FZ69" s="58">
        <f t="shared" si="379"/>
        <v>44116</v>
      </c>
      <c r="GA69" s="58">
        <f t="shared" si="379"/>
        <v>44117</v>
      </c>
      <c r="GB69" s="58">
        <f t="shared" si="379"/>
        <v>44118</v>
      </c>
      <c r="GC69" s="58">
        <f t="shared" si="379"/>
        <v>44119</v>
      </c>
      <c r="GD69" s="58">
        <f t="shared" si="379"/>
        <v>44120</v>
      </c>
      <c r="GE69" s="58">
        <f t="shared" si="379"/>
        <v>44121</v>
      </c>
      <c r="GF69" s="57">
        <f t="shared" si="379"/>
        <v>44122</v>
      </c>
      <c r="GG69" s="58">
        <f t="shared" si="379"/>
        <v>44123</v>
      </c>
      <c r="GH69" s="58">
        <f t="shared" si="379"/>
        <v>44124</v>
      </c>
      <c r="GI69" s="58">
        <f t="shared" si="379"/>
        <v>44125</v>
      </c>
      <c r="GJ69" s="58">
        <f t="shared" si="379"/>
        <v>44126</v>
      </c>
      <c r="GK69" s="58">
        <f t="shared" si="379"/>
        <v>44127</v>
      </c>
      <c r="GL69" s="58">
        <f t="shared" si="379"/>
        <v>44128</v>
      </c>
      <c r="GM69" s="57">
        <f t="shared" si="379"/>
        <v>44129</v>
      </c>
      <c r="GN69" s="58">
        <f t="shared" si="379"/>
        <v>44130</v>
      </c>
      <c r="GO69" s="58">
        <f t="shared" si="379"/>
        <v>44131</v>
      </c>
      <c r="GP69" s="58">
        <f t="shared" si="379"/>
        <v>44132</v>
      </c>
      <c r="GQ69" s="58">
        <f t="shared" si="379"/>
        <v>44133</v>
      </c>
      <c r="GR69" s="58">
        <f t="shared" si="379"/>
        <v>44134</v>
      </c>
      <c r="GS69" s="58">
        <f t="shared" si="379"/>
        <v>44135</v>
      </c>
      <c r="GT69" s="57">
        <f t="shared" si="379"/>
        <v>44136</v>
      </c>
      <c r="GU69" s="58">
        <f t="shared" si="379"/>
        <v>44137</v>
      </c>
      <c r="GV69" s="58">
        <f t="shared" si="379"/>
        <v>44138</v>
      </c>
      <c r="GW69" s="58">
        <f t="shared" si="379"/>
        <v>44139</v>
      </c>
      <c r="GX69" s="58">
        <f t="shared" si="379"/>
        <v>44140</v>
      </c>
      <c r="GY69" s="58">
        <f t="shared" si="379"/>
        <v>44141</v>
      </c>
      <c r="GZ69" s="58">
        <f t="shared" si="379"/>
        <v>44142</v>
      </c>
      <c r="HA69" s="57">
        <f t="shared" si="379"/>
        <v>44143</v>
      </c>
      <c r="HB69" s="58">
        <f t="shared" si="379"/>
        <v>44144</v>
      </c>
      <c r="HC69" s="58">
        <f t="shared" si="379"/>
        <v>44145</v>
      </c>
      <c r="HD69" s="58">
        <f t="shared" si="379"/>
        <v>44146</v>
      </c>
      <c r="HE69" s="58">
        <f t="shared" si="379"/>
        <v>44147</v>
      </c>
      <c r="HF69" s="58">
        <f t="shared" si="379"/>
        <v>44148</v>
      </c>
      <c r="HG69" s="58">
        <f t="shared" si="379"/>
        <v>44149</v>
      </c>
      <c r="HH69" s="57">
        <f t="shared" si="379"/>
        <v>44150</v>
      </c>
      <c r="HI69" s="58">
        <f t="shared" si="379"/>
        <v>44151</v>
      </c>
      <c r="HJ69" s="58">
        <f t="shared" si="379"/>
        <v>44152</v>
      </c>
      <c r="HK69" s="58">
        <f t="shared" si="379"/>
        <v>44153</v>
      </c>
      <c r="HL69" s="58">
        <f t="shared" si="379"/>
        <v>44154</v>
      </c>
      <c r="HM69" s="58">
        <f t="shared" si="379"/>
        <v>44155</v>
      </c>
      <c r="HN69" s="58">
        <f t="shared" si="379"/>
        <v>44156</v>
      </c>
      <c r="HO69" s="57">
        <f t="shared" si="379"/>
        <v>44157</v>
      </c>
      <c r="HP69" s="58">
        <f t="shared" si="379"/>
        <v>44158</v>
      </c>
      <c r="HQ69" s="58">
        <f t="shared" si="379"/>
        <v>44159</v>
      </c>
      <c r="HR69" s="58">
        <f t="shared" si="379"/>
        <v>44160</v>
      </c>
      <c r="HS69" s="58">
        <f t="shared" si="379"/>
        <v>44161</v>
      </c>
      <c r="HT69" s="58">
        <f t="shared" si="379"/>
        <v>44162</v>
      </c>
      <c r="HU69" s="58">
        <f t="shared" si="379"/>
        <v>44163</v>
      </c>
      <c r="HV69" s="57">
        <f t="shared" si="379"/>
        <v>44164</v>
      </c>
      <c r="HW69" s="58">
        <f t="shared" si="379"/>
        <v>44165</v>
      </c>
      <c r="HX69" s="58">
        <f t="shared" si="379"/>
        <v>44166</v>
      </c>
      <c r="HY69" s="58">
        <f t="shared" ref="HY69:KJ69" si="380">HY40</f>
        <v>44167</v>
      </c>
      <c r="HZ69" s="58">
        <f t="shared" si="380"/>
        <v>44168</v>
      </c>
      <c r="IA69" s="58">
        <f t="shared" si="380"/>
        <v>44169</v>
      </c>
      <c r="IB69" s="58">
        <f t="shared" si="380"/>
        <v>44170</v>
      </c>
      <c r="IC69" s="57">
        <f t="shared" si="380"/>
        <v>44171</v>
      </c>
      <c r="ID69" s="58">
        <f t="shared" si="380"/>
        <v>44172</v>
      </c>
      <c r="IE69" s="58">
        <f t="shared" si="380"/>
        <v>44173</v>
      </c>
      <c r="IF69" s="58">
        <f t="shared" si="380"/>
        <v>44174</v>
      </c>
      <c r="IG69" s="58">
        <f t="shared" si="380"/>
        <v>44175</v>
      </c>
      <c r="IH69" s="58">
        <f t="shared" si="380"/>
        <v>44176</v>
      </c>
      <c r="II69" s="58">
        <f t="shared" si="380"/>
        <v>44177</v>
      </c>
      <c r="IJ69" s="57">
        <f t="shared" si="380"/>
        <v>44178</v>
      </c>
      <c r="IK69" s="58">
        <f t="shared" si="380"/>
        <v>44179</v>
      </c>
      <c r="IL69" s="58">
        <f t="shared" si="380"/>
        <v>44180</v>
      </c>
      <c r="IM69" s="58">
        <f t="shared" si="380"/>
        <v>44181</v>
      </c>
      <c r="IN69" s="58">
        <f t="shared" si="380"/>
        <v>44182</v>
      </c>
      <c r="IO69" s="58">
        <f t="shared" si="380"/>
        <v>44183</v>
      </c>
      <c r="IP69" s="58">
        <f t="shared" si="380"/>
        <v>44184</v>
      </c>
      <c r="IQ69" s="57">
        <f t="shared" si="380"/>
        <v>44185</v>
      </c>
      <c r="IR69" s="58">
        <f t="shared" si="380"/>
        <v>44186</v>
      </c>
      <c r="IS69" s="58">
        <f t="shared" si="380"/>
        <v>44187</v>
      </c>
      <c r="IT69" s="58">
        <f t="shared" si="380"/>
        <v>44188</v>
      </c>
      <c r="IU69" s="58">
        <f t="shared" si="380"/>
        <v>44189</v>
      </c>
      <c r="IV69" s="58">
        <f t="shared" si="380"/>
        <v>44190</v>
      </c>
      <c r="IW69" s="58">
        <f t="shared" si="380"/>
        <v>44191</v>
      </c>
      <c r="IX69" s="57">
        <f t="shared" si="380"/>
        <v>44192</v>
      </c>
      <c r="IY69" s="58">
        <f t="shared" si="380"/>
        <v>44193</v>
      </c>
      <c r="IZ69" s="58">
        <f t="shared" si="380"/>
        <v>44194</v>
      </c>
      <c r="JA69" s="58">
        <f t="shared" si="380"/>
        <v>44195</v>
      </c>
      <c r="JB69" s="58">
        <f t="shared" si="380"/>
        <v>44196</v>
      </c>
      <c r="JC69" s="58">
        <f t="shared" si="380"/>
        <v>44197</v>
      </c>
      <c r="JD69" s="58">
        <f t="shared" si="380"/>
        <v>44198</v>
      </c>
      <c r="JE69" s="57">
        <f t="shared" si="380"/>
        <v>44199</v>
      </c>
      <c r="JF69" s="58">
        <f t="shared" si="380"/>
        <v>44200</v>
      </c>
      <c r="JG69" s="58">
        <f t="shared" si="380"/>
        <v>44201</v>
      </c>
      <c r="JH69" s="58">
        <f t="shared" si="380"/>
        <v>44202</v>
      </c>
      <c r="JI69" s="58">
        <f t="shared" si="380"/>
        <v>44203</v>
      </c>
      <c r="JJ69" s="58">
        <f t="shared" si="380"/>
        <v>44204</v>
      </c>
      <c r="JK69" s="58">
        <f t="shared" si="380"/>
        <v>44205</v>
      </c>
      <c r="JL69" s="57">
        <f t="shared" si="380"/>
        <v>44206</v>
      </c>
      <c r="JM69" s="58">
        <f t="shared" si="380"/>
        <v>44207</v>
      </c>
      <c r="JN69" s="58">
        <f t="shared" si="380"/>
        <v>44208</v>
      </c>
      <c r="JO69" s="58">
        <f t="shared" si="380"/>
        <v>44209</v>
      </c>
      <c r="JP69" s="58">
        <f t="shared" si="380"/>
        <v>44210</v>
      </c>
      <c r="JQ69" s="58">
        <f t="shared" si="380"/>
        <v>44211</v>
      </c>
      <c r="JR69" s="58">
        <f t="shared" si="380"/>
        <v>44212</v>
      </c>
      <c r="JS69" s="57">
        <f t="shared" si="380"/>
        <v>44213</v>
      </c>
      <c r="JT69" s="58">
        <f t="shared" si="380"/>
        <v>44214</v>
      </c>
      <c r="JU69" s="58">
        <f t="shared" si="380"/>
        <v>44215</v>
      </c>
      <c r="JV69" s="58">
        <f t="shared" si="380"/>
        <v>44216</v>
      </c>
      <c r="JW69" s="58">
        <f t="shared" si="380"/>
        <v>44217</v>
      </c>
      <c r="JX69" s="58">
        <f t="shared" si="380"/>
        <v>44218</v>
      </c>
      <c r="JY69" s="58">
        <f t="shared" si="380"/>
        <v>44219</v>
      </c>
      <c r="JZ69" s="57">
        <f t="shared" si="380"/>
        <v>44220</v>
      </c>
      <c r="KA69" s="58">
        <f t="shared" si="380"/>
        <v>44221</v>
      </c>
      <c r="KB69" s="58">
        <f t="shared" si="380"/>
        <v>44222</v>
      </c>
      <c r="KC69" s="58">
        <f t="shared" si="380"/>
        <v>44223</v>
      </c>
      <c r="KD69" s="58">
        <f t="shared" si="380"/>
        <v>44224</v>
      </c>
      <c r="KE69" s="58">
        <f t="shared" si="380"/>
        <v>44225</v>
      </c>
      <c r="KF69" s="58">
        <f t="shared" si="380"/>
        <v>44226</v>
      </c>
      <c r="KG69" s="57">
        <f t="shared" si="380"/>
        <v>44227</v>
      </c>
      <c r="KH69" s="58">
        <f t="shared" si="380"/>
        <v>44228</v>
      </c>
      <c r="KI69" s="58">
        <f t="shared" si="380"/>
        <v>44229</v>
      </c>
      <c r="KJ69" s="58">
        <f t="shared" si="380"/>
        <v>44230</v>
      </c>
      <c r="KK69" s="58">
        <f t="shared" ref="KK69:MR69" si="381">KK40</f>
        <v>44231</v>
      </c>
      <c r="KL69" s="58">
        <f t="shared" si="381"/>
        <v>44232</v>
      </c>
      <c r="KM69" s="58">
        <f t="shared" si="381"/>
        <v>44233</v>
      </c>
      <c r="KN69" s="57">
        <f t="shared" si="381"/>
        <v>44234</v>
      </c>
      <c r="KO69" s="58">
        <f t="shared" si="381"/>
        <v>44235</v>
      </c>
      <c r="KP69" s="58">
        <f t="shared" si="381"/>
        <v>44236</v>
      </c>
      <c r="KQ69" s="58">
        <f t="shared" si="381"/>
        <v>44237</v>
      </c>
      <c r="KR69" s="58">
        <f t="shared" si="381"/>
        <v>44238</v>
      </c>
      <c r="KS69" s="58">
        <f t="shared" si="381"/>
        <v>44239</v>
      </c>
      <c r="KT69" s="58">
        <f t="shared" si="381"/>
        <v>44240</v>
      </c>
      <c r="KU69" s="57">
        <f t="shared" si="381"/>
        <v>44241</v>
      </c>
      <c r="KV69" s="58">
        <f t="shared" si="381"/>
        <v>44242</v>
      </c>
      <c r="KW69" s="58">
        <f t="shared" si="381"/>
        <v>44243</v>
      </c>
      <c r="KX69" s="58">
        <f t="shared" si="381"/>
        <v>44244</v>
      </c>
      <c r="KY69" s="58">
        <f t="shared" si="381"/>
        <v>44245</v>
      </c>
      <c r="KZ69" s="58">
        <f t="shared" si="381"/>
        <v>44246</v>
      </c>
      <c r="LA69" s="58">
        <f t="shared" si="381"/>
        <v>44247</v>
      </c>
      <c r="LB69" s="57">
        <f t="shared" si="381"/>
        <v>44248</v>
      </c>
      <c r="LC69" s="58">
        <f t="shared" si="381"/>
        <v>44249</v>
      </c>
      <c r="LD69" s="58">
        <f t="shared" si="381"/>
        <v>44250</v>
      </c>
      <c r="LE69" s="58">
        <f t="shared" si="381"/>
        <v>44251</v>
      </c>
      <c r="LF69" s="58">
        <f t="shared" si="381"/>
        <v>44252</v>
      </c>
      <c r="LG69" s="58">
        <f t="shared" si="381"/>
        <v>44253</v>
      </c>
      <c r="LH69" s="58">
        <f t="shared" si="381"/>
        <v>44254</v>
      </c>
      <c r="LI69" s="57">
        <f t="shared" si="381"/>
        <v>44255</v>
      </c>
      <c r="LJ69" s="58">
        <f t="shared" si="381"/>
        <v>44256</v>
      </c>
      <c r="LK69" s="58">
        <f t="shared" si="381"/>
        <v>44257</v>
      </c>
      <c r="LL69" s="58">
        <f t="shared" si="381"/>
        <v>44258</v>
      </c>
      <c r="LM69" s="58">
        <f t="shared" si="381"/>
        <v>44259</v>
      </c>
      <c r="LN69" s="58">
        <f t="shared" si="381"/>
        <v>44260</v>
      </c>
      <c r="LO69" s="58">
        <f t="shared" si="381"/>
        <v>44261</v>
      </c>
      <c r="LP69" s="57">
        <f t="shared" si="381"/>
        <v>44262</v>
      </c>
      <c r="LQ69" s="58">
        <f t="shared" si="381"/>
        <v>44263</v>
      </c>
      <c r="LR69" s="58">
        <f t="shared" si="381"/>
        <v>44264</v>
      </c>
      <c r="LS69" s="58">
        <f t="shared" si="381"/>
        <v>44265</v>
      </c>
      <c r="LT69" s="58">
        <f t="shared" si="381"/>
        <v>44266</v>
      </c>
      <c r="LU69" s="58">
        <f t="shared" si="381"/>
        <v>44267</v>
      </c>
      <c r="LV69" s="58">
        <f t="shared" si="381"/>
        <v>44268</v>
      </c>
      <c r="LW69" s="57">
        <f t="shared" si="381"/>
        <v>44269</v>
      </c>
      <c r="LX69" s="58">
        <f t="shared" si="381"/>
        <v>44270</v>
      </c>
      <c r="LY69" s="58">
        <f t="shared" si="381"/>
        <v>44271</v>
      </c>
      <c r="LZ69" s="58">
        <f t="shared" si="381"/>
        <v>44272</v>
      </c>
      <c r="MA69" s="58">
        <f t="shared" si="381"/>
        <v>44273</v>
      </c>
      <c r="MB69" s="58">
        <f t="shared" si="381"/>
        <v>44274</v>
      </c>
      <c r="MC69" s="58">
        <f t="shared" si="381"/>
        <v>44275</v>
      </c>
      <c r="MD69" s="57">
        <f t="shared" si="381"/>
        <v>44276</v>
      </c>
      <c r="ME69" s="58">
        <f t="shared" si="381"/>
        <v>44277</v>
      </c>
      <c r="MF69" s="58">
        <f t="shared" si="381"/>
        <v>44278</v>
      </c>
      <c r="MG69" s="58">
        <f t="shared" si="381"/>
        <v>44279</v>
      </c>
      <c r="MH69" s="58">
        <f t="shared" si="381"/>
        <v>44280</v>
      </c>
      <c r="MI69" s="58">
        <f t="shared" si="381"/>
        <v>44281</v>
      </c>
      <c r="MJ69" s="58">
        <f t="shared" si="381"/>
        <v>44282</v>
      </c>
      <c r="MK69" s="57">
        <f t="shared" si="381"/>
        <v>44283</v>
      </c>
      <c r="ML69" s="58">
        <f t="shared" si="381"/>
        <v>44284</v>
      </c>
      <c r="MM69" s="58">
        <f t="shared" si="381"/>
        <v>44285</v>
      </c>
      <c r="MN69" s="58">
        <f t="shared" si="381"/>
        <v>44286</v>
      </c>
      <c r="MO69" s="58">
        <f t="shared" si="381"/>
        <v>44287</v>
      </c>
      <c r="MP69" s="58">
        <f t="shared" si="381"/>
        <v>44288</v>
      </c>
      <c r="MQ69" s="58">
        <f t="shared" si="381"/>
        <v>44289</v>
      </c>
      <c r="MR69" s="57">
        <f t="shared" si="381"/>
        <v>44290</v>
      </c>
    </row>
    <row r="70" spans="1:356" ht="15" customHeight="1" x14ac:dyDescent="0.25">
      <c r="A70" s="145"/>
      <c r="B70" s="145"/>
      <c r="C70" s="145"/>
      <c r="D70" s="145"/>
      <c r="E70" s="146"/>
      <c r="F70" s="28"/>
      <c r="G70" s="28"/>
      <c r="H70" s="28"/>
      <c r="I70" s="28"/>
      <c r="J70" s="28"/>
      <c r="K70" s="28"/>
      <c r="L70" s="28"/>
      <c r="M70" s="28"/>
      <c r="N70" s="28"/>
      <c r="O70" s="27"/>
      <c r="P70" s="148"/>
      <c r="Q70" s="156"/>
      <c r="R70" s="150"/>
      <c r="S70" s="24"/>
      <c r="T70" s="25"/>
      <c r="U70" s="25"/>
      <c r="V70" s="25"/>
      <c r="W70" s="25"/>
      <c r="X70" s="25"/>
      <c r="Y70" s="25"/>
      <c r="Z70" s="24"/>
      <c r="AA70" s="25"/>
      <c r="AB70" s="25"/>
      <c r="AC70" s="25"/>
      <c r="AD70" s="25"/>
      <c r="AE70" s="25"/>
      <c r="AF70" s="25"/>
      <c r="AG70" s="24"/>
      <c r="AH70" s="25"/>
      <c r="AI70" s="25" t="s">
        <v>38</v>
      </c>
      <c r="AJ70" s="25"/>
      <c r="AK70" s="25" t="s">
        <v>38</v>
      </c>
      <c r="AL70" s="25"/>
      <c r="AM70" s="25"/>
      <c r="AN70" s="24"/>
      <c r="AO70" s="25"/>
      <c r="AP70" s="25" t="s">
        <v>38</v>
      </c>
      <c r="AQ70" s="25"/>
      <c r="AR70" s="25" t="s">
        <v>38</v>
      </c>
      <c r="AS70" s="25"/>
      <c r="AT70" s="25"/>
      <c r="AU70" s="24"/>
      <c r="AV70" s="25"/>
      <c r="AW70" s="25" t="s">
        <v>38</v>
      </c>
      <c r="AX70" s="25" t="s">
        <v>262</v>
      </c>
      <c r="AY70" s="25" t="s">
        <v>38</v>
      </c>
      <c r="AZ70" s="25"/>
      <c r="BA70" s="25"/>
      <c r="BB70" s="24"/>
      <c r="BC70" s="25"/>
      <c r="BD70" s="25" t="s">
        <v>38</v>
      </c>
      <c r="BE70" s="25"/>
      <c r="BF70" s="25" t="s">
        <v>38</v>
      </c>
      <c r="BG70" s="25"/>
      <c r="BH70" s="25"/>
      <c r="BI70" s="24"/>
      <c r="BJ70" s="25"/>
      <c r="BK70" s="25" t="s">
        <v>38</v>
      </c>
      <c r="BL70" s="25"/>
      <c r="BM70" s="25" t="s">
        <v>38</v>
      </c>
      <c r="BN70" s="25"/>
      <c r="BO70" s="25"/>
      <c r="BP70" s="24" t="s">
        <v>148</v>
      </c>
      <c r="BQ70" s="25"/>
      <c r="BR70" s="25"/>
      <c r="BS70" s="25"/>
      <c r="BT70" s="25"/>
      <c r="BU70" s="25"/>
      <c r="BV70" s="25"/>
      <c r="BW70" s="25" t="s">
        <v>148</v>
      </c>
      <c r="BX70" s="25"/>
      <c r="BY70" s="24"/>
      <c r="BZ70" s="25"/>
      <c r="CA70" s="25"/>
      <c r="CB70" s="25"/>
      <c r="CC70" s="25"/>
      <c r="CD70" s="25"/>
      <c r="CE70" s="25"/>
      <c r="CF70" s="25"/>
      <c r="CG70" s="25"/>
      <c r="CH70" s="24"/>
      <c r="CI70" s="25"/>
      <c r="CJ70" s="25"/>
      <c r="CK70" s="25"/>
      <c r="CL70" s="25"/>
      <c r="CM70" s="25"/>
      <c r="CN70" s="25"/>
      <c r="CO70" s="25"/>
      <c r="CP70" s="25"/>
      <c r="CQ70" s="24"/>
      <c r="CR70" s="25"/>
      <c r="CS70" s="25"/>
      <c r="CT70" s="25"/>
      <c r="CU70" s="25"/>
      <c r="CV70" s="25"/>
      <c r="CW70" s="25"/>
      <c r="CX70" s="25"/>
      <c r="CY70" s="25"/>
      <c r="CZ70" s="24"/>
      <c r="DA70" s="25"/>
      <c r="DB70" s="25"/>
      <c r="DC70" s="25"/>
      <c r="DD70" s="25"/>
      <c r="DE70" s="25"/>
      <c r="DF70" s="25"/>
      <c r="DG70" s="25"/>
      <c r="DH70" s="25"/>
      <c r="DI70" s="24"/>
      <c r="DJ70" s="25"/>
      <c r="DK70" s="25"/>
      <c r="DL70" s="25"/>
      <c r="DM70" s="25"/>
      <c r="DN70" s="25"/>
      <c r="DO70" s="25"/>
      <c r="DP70" s="25"/>
      <c r="DQ70" s="25"/>
      <c r="DR70" s="24"/>
      <c r="DS70" s="25"/>
      <c r="DT70" s="25" t="s">
        <v>391</v>
      </c>
      <c r="DU70" s="25"/>
      <c r="DV70" s="25" t="s">
        <v>38</v>
      </c>
      <c r="DW70" s="25" t="s">
        <v>38</v>
      </c>
      <c r="DX70" s="25"/>
      <c r="DY70" s="25"/>
      <c r="DZ70" s="25"/>
      <c r="EA70" s="24"/>
      <c r="EB70" s="25"/>
      <c r="EC70" s="25" t="s">
        <v>38</v>
      </c>
      <c r="ED70" s="25"/>
      <c r="EE70" s="25" t="s">
        <v>38</v>
      </c>
      <c r="EF70" s="25" t="s">
        <v>38</v>
      </c>
      <c r="EG70" s="25"/>
      <c r="EH70" s="25"/>
      <c r="EI70" s="25"/>
      <c r="EJ70" s="24"/>
      <c r="EK70" s="25"/>
      <c r="EL70" s="25" t="s">
        <v>38</v>
      </c>
      <c r="EM70" s="25"/>
      <c r="EN70" s="25" t="s">
        <v>38</v>
      </c>
      <c r="EO70" s="25" t="s">
        <v>38</v>
      </c>
      <c r="EP70" s="25"/>
      <c r="EQ70" s="25"/>
      <c r="ER70" s="25"/>
      <c r="ES70" s="24"/>
      <c r="ET70" s="25"/>
      <c r="EU70" s="25" t="s">
        <v>38</v>
      </c>
      <c r="EV70" s="25"/>
      <c r="EW70" s="25" t="s">
        <v>38</v>
      </c>
      <c r="EX70" s="25" t="s">
        <v>38</v>
      </c>
      <c r="EY70" s="25"/>
      <c r="EZ70" s="25"/>
      <c r="FA70" s="25"/>
      <c r="FB70" s="24"/>
      <c r="FC70" s="25"/>
      <c r="FD70" s="25" t="s">
        <v>38</v>
      </c>
      <c r="FE70" s="25"/>
      <c r="FF70" s="25" t="s">
        <v>38</v>
      </c>
      <c r="FG70" s="25" t="s">
        <v>38</v>
      </c>
      <c r="FH70" s="25"/>
      <c r="FI70" s="25"/>
      <c r="FJ70" s="25"/>
      <c r="FK70" s="24"/>
      <c r="FL70" s="25"/>
      <c r="FM70" s="25" t="s">
        <v>38</v>
      </c>
      <c r="FN70" s="25"/>
      <c r="FO70" s="25" t="s">
        <v>38</v>
      </c>
      <c r="FP70" s="25" t="s">
        <v>38</v>
      </c>
      <c r="FQ70" s="25"/>
      <c r="FR70" s="24"/>
      <c r="FS70" s="25"/>
      <c r="FT70" s="25" t="s">
        <v>38</v>
      </c>
      <c r="FU70" s="25"/>
      <c r="FV70" s="25" t="s">
        <v>38</v>
      </c>
      <c r="FW70" s="25"/>
      <c r="FX70" s="25"/>
      <c r="FY70" s="24"/>
      <c r="FZ70" s="25"/>
      <c r="GA70" s="25" t="s">
        <v>38</v>
      </c>
      <c r="GB70" s="25"/>
      <c r="GC70" s="25" t="s">
        <v>38</v>
      </c>
      <c r="GD70" s="25"/>
      <c r="GE70" s="25"/>
      <c r="GF70" s="24"/>
      <c r="GG70" s="25"/>
      <c r="GH70" s="25" t="s">
        <v>38</v>
      </c>
      <c r="GI70" s="25"/>
      <c r="GJ70" s="25" t="s">
        <v>38</v>
      </c>
      <c r="GK70" s="25"/>
      <c r="GL70" s="25"/>
      <c r="GM70" s="24"/>
      <c r="GN70" s="25"/>
      <c r="GO70" s="25" t="s">
        <v>38</v>
      </c>
      <c r="GP70" s="25"/>
      <c r="GQ70" s="25" t="s">
        <v>38</v>
      </c>
      <c r="GR70" s="25"/>
      <c r="GS70" s="25"/>
      <c r="GT70" s="24"/>
      <c r="GU70" s="25"/>
      <c r="GV70" s="25" t="s">
        <v>38</v>
      </c>
      <c r="GW70" s="25"/>
      <c r="GX70" s="25" t="s">
        <v>38</v>
      </c>
      <c r="GY70" s="25"/>
      <c r="GZ70" s="25"/>
      <c r="HA70" s="24"/>
      <c r="HB70" s="25"/>
      <c r="HC70" s="25" t="s">
        <v>38</v>
      </c>
      <c r="HD70" s="25"/>
      <c r="HE70" s="25" t="s">
        <v>38</v>
      </c>
      <c r="HF70" s="25"/>
      <c r="HG70" s="25"/>
      <c r="HH70" s="24"/>
      <c r="HI70" s="25"/>
      <c r="HJ70" s="25" t="s">
        <v>38</v>
      </c>
      <c r="HK70" s="25"/>
      <c r="HL70" s="25" t="s">
        <v>38</v>
      </c>
      <c r="HM70" s="25"/>
      <c r="HN70" s="25"/>
      <c r="HO70" s="24"/>
      <c r="HP70" s="25"/>
      <c r="HQ70" s="25" t="s">
        <v>38</v>
      </c>
      <c r="HR70" s="25"/>
      <c r="HS70" s="25" t="s">
        <v>38</v>
      </c>
      <c r="HT70" s="25"/>
      <c r="HU70" s="25"/>
      <c r="HV70" s="24"/>
      <c r="HW70" s="25"/>
      <c r="HX70" s="25" t="s">
        <v>38</v>
      </c>
      <c r="HY70" s="25"/>
      <c r="HZ70" s="25" t="s">
        <v>38</v>
      </c>
      <c r="IA70" s="25"/>
      <c r="IB70" s="25"/>
      <c r="IC70" s="24"/>
      <c r="ID70" s="25"/>
      <c r="IE70" s="25" t="s">
        <v>38</v>
      </c>
      <c r="IF70" s="25"/>
      <c r="IG70" s="25" t="s">
        <v>38</v>
      </c>
      <c r="IH70" s="25"/>
      <c r="II70" s="25"/>
      <c r="IJ70" s="24"/>
      <c r="IK70" s="25"/>
      <c r="IL70" s="25" t="s">
        <v>38</v>
      </c>
      <c r="IM70" s="25"/>
      <c r="IN70" s="25" t="s">
        <v>38</v>
      </c>
      <c r="IO70" s="25"/>
      <c r="IP70" s="25"/>
      <c r="IQ70" s="24"/>
      <c r="IR70" s="25"/>
      <c r="IS70" s="25" t="s">
        <v>38</v>
      </c>
      <c r="IT70" s="25"/>
      <c r="IU70" s="25" t="s">
        <v>38</v>
      </c>
      <c r="IV70" s="25"/>
      <c r="IW70" s="25"/>
      <c r="IX70" s="24"/>
      <c r="IY70" s="25"/>
      <c r="IZ70" s="25" t="s">
        <v>38</v>
      </c>
      <c r="JA70" s="25"/>
      <c r="JB70" s="25" t="s">
        <v>38</v>
      </c>
      <c r="JC70" s="25"/>
      <c r="JD70" s="25"/>
      <c r="JE70" s="24"/>
      <c r="JF70" s="25"/>
      <c r="JG70" s="25" t="s">
        <v>38</v>
      </c>
      <c r="JH70" s="25"/>
      <c r="JI70" s="25" t="s">
        <v>38</v>
      </c>
      <c r="JJ70" s="25"/>
      <c r="JK70" s="25"/>
      <c r="JL70" s="24"/>
      <c r="JM70" s="25"/>
      <c r="JN70" s="25" t="s">
        <v>38</v>
      </c>
      <c r="JO70" s="25"/>
      <c r="JP70" s="25" t="s">
        <v>38</v>
      </c>
      <c r="JQ70" s="25"/>
      <c r="JR70" s="25"/>
      <c r="JS70" s="24"/>
      <c r="JT70" s="25"/>
      <c r="JU70" s="25" t="s">
        <v>38</v>
      </c>
      <c r="JV70" s="25"/>
      <c r="JW70" s="25" t="s">
        <v>38</v>
      </c>
      <c r="JX70" s="25"/>
      <c r="JY70" s="25"/>
      <c r="JZ70" s="24"/>
      <c r="KA70" s="25"/>
      <c r="KB70" s="25" t="s">
        <v>38</v>
      </c>
      <c r="KC70" s="25"/>
      <c r="KD70" s="25" t="s">
        <v>38</v>
      </c>
      <c r="KE70" s="25"/>
      <c r="KF70" s="25"/>
      <c r="KG70" s="24"/>
      <c r="KH70" s="25"/>
      <c r="KI70" s="25" t="s">
        <v>38</v>
      </c>
      <c r="KJ70" s="25"/>
      <c r="KK70" s="25" t="s">
        <v>38</v>
      </c>
      <c r="KL70" s="25"/>
      <c r="KM70" s="25"/>
      <c r="KN70" s="24"/>
      <c r="KO70" s="25"/>
      <c r="KP70" s="25" t="s">
        <v>38</v>
      </c>
      <c r="KQ70" s="25"/>
      <c r="KR70" s="25" t="s">
        <v>38</v>
      </c>
      <c r="KS70" s="25"/>
      <c r="KT70" s="25"/>
      <c r="KU70" s="24"/>
      <c r="KV70" s="25"/>
      <c r="KW70" s="25" t="s">
        <v>38</v>
      </c>
      <c r="KX70" s="25"/>
      <c r="KY70" s="25" t="s">
        <v>38</v>
      </c>
      <c r="KZ70" s="25"/>
      <c r="LA70" s="25"/>
      <c r="LB70" s="24"/>
      <c r="LC70" s="25"/>
      <c r="LD70" s="25" t="s">
        <v>38</v>
      </c>
      <c r="LE70" s="25"/>
      <c r="LF70" s="25" t="s">
        <v>38</v>
      </c>
      <c r="LG70" s="25"/>
      <c r="LH70" s="25"/>
      <c r="LI70" s="24"/>
      <c r="LJ70" s="25"/>
      <c r="LK70" s="25" t="s">
        <v>38</v>
      </c>
      <c r="LL70" s="25"/>
      <c r="LM70" s="25" t="s">
        <v>38</v>
      </c>
      <c r="LN70" s="25"/>
      <c r="LO70" s="25"/>
      <c r="LP70" s="26"/>
      <c r="LQ70" s="25"/>
      <c r="LR70" s="25" t="s">
        <v>38</v>
      </c>
      <c r="LS70" s="25"/>
      <c r="LT70" s="25" t="s">
        <v>38</v>
      </c>
      <c r="LU70" s="25"/>
      <c r="LV70" s="25"/>
      <c r="LW70" s="24"/>
      <c r="LX70" s="25"/>
      <c r="LY70" s="25"/>
      <c r="LZ70" s="25"/>
      <c r="MA70" s="25"/>
      <c r="MB70" s="25"/>
      <c r="MC70" s="25"/>
      <c r="MD70" s="24"/>
      <c r="ME70" s="25"/>
      <c r="MF70" s="25"/>
      <c r="MG70" s="25"/>
      <c r="MH70" s="25"/>
      <c r="MI70" s="25"/>
      <c r="MJ70" s="25"/>
      <c r="MK70" s="24"/>
      <c r="ML70" s="25"/>
      <c r="MM70" s="25"/>
      <c r="MN70" s="25"/>
      <c r="MO70" s="25"/>
      <c r="MP70" s="25"/>
      <c r="MQ70" s="25"/>
      <c r="MR70" s="24"/>
    </row>
    <row r="71" spans="1:356" x14ac:dyDescent="0.25">
      <c r="A71" s="23" t="s">
        <v>16</v>
      </c>
      <c r="B71" s="20"/>
      <c r="C71" s="20"/>
      <c r="D71" s="20"/>
      <c r="E71" s="20"/>
      <c r="F71" s="22" t="str">
        <f t="shared" ref="F71:F76" si="382">IF($E71 &gt;= F$43, 1, "")</f>
        <v/>
      </c>
      <c r="G71" s="20"/>
      <c r="H71" s="20"/>
      <c r="I71" s="20" t="str">
        <f t="shared" ref="I71:L72" si="383">IF($E71 &gt;= I$43, 1, "")</f>
        <v/>
      </c>
      <c r="J71" s="20" t="str">
        <f t="shared" si="383"/>
        <v/>
      </c>
      <c r="K71" s="20" t="str">
        <f t="shared" si="383"/>
        <v/>
      </c>
      <c r="L71" s="20" t="str">
        <f t="shared" si="383"/>
        <v/>
      </c>
      <c r="M71" s="20"/>
      <c r="N71" s="20"/>
      <c r="O71" s="21"/>
      <c r="P71" s="20" t="str">
        <f t="shared" ref="P71:P76" si="384">IF(SUM(S71:MR71) &gt; 0, SUM(S71:MR71), "")</f>
        <v/>
      </c>
      <c r="Q71" s="114"/>
      <c r="R71" s="82"/>
      <c r="S71" s="21"/>
      <c r="T71" s="20"/>
      <c r="U71" s="20"/>
      <c r="V71" s="20"/>
      <c r="W71" s="20"/>
      <c r="X71" s="20"/>
      <c r="Y71" s="20"/>
      <c r="Z71" s="21"/>
      <c r="AA71" s="20"/>
      <c r="AB71" s="20"/>
      <c r="AC71" s="20"/>
      <c r="AD71" s="20"/>
      <c r="AE71" s="20"/>
      <c r="AF71" s="20"/>
      <c r="AG71" s="21"/>
      <c r="AH71" s="20"/>
      <c r="AI71" s="20"/>
      <c r="AJ71" s="20"/>
      <c r="AK71" s="20"/>
      <c r="AL71" s="20"/>
      <c r="AM71" s="20"/>
      <c r="AN71" s="21"/>
      <c r="AO71" s="20"/>
      <c r="AP71" s="20"/>
      <c r="AQ71" s="20"/>
      <c r="AR71" s="20"/>
      <c r="AS71" s="20"/>
      <c r="AT71" s="20"/>
      <c r="AU71" s="21"/>
      <c r="AV71" s="20"/>
      <c r="AW71" s="20"/>
      <c r="AX71" s="20"/>
      <c r="AY71" s="20"/>
      <c r="AZ71" s="20"/>
      <c r="BA71" s="20"/>
      <c r="BB71" s="21"/>
      <c r="BC71" s="20"/>
      <c r="BD71" s="20"/>
      <c r="BE71" s="20"/>
      <c r="BF71" s="20"/>
      <c r="BG71" s="20"/>
      <c r="BH71" s="20"/>
      <c r="BI71" s="21"/>
      <c r="BJ71" s="20"/>
      <c r="BK71" s="20"/>
      <c r="BL71" s="20"/>
      <c r="BM71" s="20"/>
      <c r="BN71" s="20"/>
      <c r="BO71" s="20"/>
      <c r="BP71" s="21"/>
      <c r="BQ71" s="20"/>
      <c r="BR71" s="20"/>
      <c r="BS71" s="20"/>
      <c r="BT71" s="20"/>
      <c r="BU71" s="20"/>
      <c r="BV71" s="20"/>
      <c r="BW71" s="20"/>
      <c r="BX71" s="20"/>
      <c r="BY71" s="21"/>
      <c r="BZ71" s="20"/>
      <c r="CA71" s="20"/>
      <c r="CB71" s="20"/>
      <c r="CC71" s="20"/>
      <c r="CD71" s="20"/>
      <c r="CE71" s="20"/>
      <c r="CF71" s="20"/>
      <c r="CG71" s="20"/>
      <c r="CH71" s="21"/>
      <c r="CI71" s="20"/>
      <c r="CJ71" s="20"/>
      <c r="CK71" s="20"/>
      <c r="CL71" s="20"/>
      <c r="CM71" s="20"/>
      <c r="CN71" s="20"/>
      <c r="CO71" s="20"/>
      <c r="CP71" s="20"/>
      <c r="CQ71" s="21"/>
      <c r="CR71" s="20"/>
      <c r="CS71" s="20"/>
      <c r="CT71" s="20"/>
      <c r="CU71" s="20"/>
      <c r="CV71" s="20"/>
      <c r="CW71" s="20"/>
      <c r="CX71" s="20"/>
      <c r="CY71" s="20"/>
      <c r="CZ71" s="21"/>
      <c r="DA71" s="20"/>
      <c r="DB71" s="20"/>
      <c r="DC71" s="20"/>
      <c r="DD71" s="20"/>
      <c r="DE71" s="20"/>
      <c r="DF71" s="20"/>
      <c r="DG71" s="20"/>
      <c r="DH71" s="20"/>
      <c r="DI71" s="21"/>
      <c r="DJ71" s="20"/>
      <c r="DK71" s="20"/>
      <c r="DL71" s="20"/>
      <c r="DM71" s="20"/>
      <c r="DN71" s="20"/>
      <c r="DO71" s="20"/>
      <c r="DP71" s="20"/>
      <c r="DQ71" s="20"/>
      <c r="DR71" s="21"/>
      <c r="DS71" s="20"/>
      <c r="DT71" s="20"/>
      <c r="DU71" s="20"/>
      <c r="DV71" s="20"/>
      <c r="DW71" s="20"/>
      <c r="DX71" s="20"/>
      <c r="DY71" s="20"/>
      <c r="DZ71" s="20"/>
      <c r="EA71" s="21"/>
      <c r="EB71" s="20"/>
      <c r="EC71" s="20"/>
      <c r="ED71" s="20"/>
      <c r="EE71" s="20"/>
      <c r="EF71" s="20"/>
      <c r="EG71" s="20"/>
      <c r="EH71" s="20"/>
      <c r="EI71" s="20"/>
      <c r="EJ71" s="21"/>
      <c r="EK71" s="20"/>
      <c r="EL71" s="20"/>
      <c r="EM71" s="20"/>
      <c r="EN71" s="20"/>
      <c r="EO71" s="20"/>
      <c r="EP71" s="20"/>
      <c r="EQ71" s="20"/>
      <c r="ER71" s="20"/>
      <c r="ES71" s="21"/>
      <c r="ET71" s="20"/>
      <c r="EU71" s="20"/>
      <c r="EV71" s="20"/>
      <c r="EW71" s="20"/>
      <c r="EX71" s="20"/>
      <c r="EY71" s="20"/>
      <c r="EZ71" s="20"/>
      <c r="FA71" s="20"/>
      <c r="FB71" s="21"/>
      <c r="FC71" s="20"/>
      <c r="FD71" s="20"/>
      <c r="FE71" s="20"/>
      <c r="FF71" s="20"/>
      <c r="FG71" s="20"/>
      <c r="FH71" s="20"/>
      <c r="FI71" s="20"/>
      <c r="FJ71" s="20"/>
      <c r="FK71" s="21"/>
      <c r="FL71" s="20"/>
      <c r="FM71" s="20"/>
      <c r="FN71" s="20"/>
      <c r="FO71" s="20"/>
      <c r="FP71" s="20"/>
      <c r="FQ71" s="20"/>
      <c r="FR71" s="21"/>
      <c r="FS71" s="20"/>
      <c r="FT71" s="20"/>
      <c r="FU71" s="20"/>
      <c r="FV71" s="20"/>
      <c r="FW71" s="20"/>
      <c r="FX71" s="20"/>
      <c r="FY71" s="21"/>
      <c r="FZ71" s="20"/>
      <c r="GA71" s="20"/>
      <c r="GB71" s="20"/>
      <c r="GC71" s="20"/>
      <c r="GD71" s="20"/>
      <c r="GE71" s="20"/>
      <c r="GF71" s="21"/>
      <c r="GG71" s="20"/>
      <c r="GH71" s="20"/>
      <c r="GI71" s="20"/>
      <c r="GJ71" s="20"/>
      <c r="GK71" s="20"/>
      <c r="GL71" s="20"/>
      <c r="GM71" s="21"/>
      <c r="GN71" s="20"/>
      <c r="GO71" s="20"/>
      <c r="GP71" s="20"/>
      <c r="GQ71" s="20"/>
      <c r="GR71" s="20"/>
      <c r="GS71" s="20"/>
      <c r="GT71" s="21"/>
      <c r="GU71" s="20"/>
      <c r="GV71" s="20"/>
      <c r="GW71" s="20"/>
      <c r="GX71" s="20"/>
      <c r="GY71" s="20"/>
      <c r="GZ71" s="20"/>
      <c r="HA71" s="21"/>
      <c r="HB71" s="20"/>
      <c r="HC71" s="20"/>
      <c r="HD71" s="20"/>
      <c r="HE71" s="20"/>
      <c r="HF71" s="20"/>
      <c r="HG71" s="20"/>
      <c r="HH71" s="21"/>
      <c r="HI71" s="20"/>
      <c r="HJ71" s="20"/>
      <c r="HK71" s="20"/>
      <c r="HL71" s="20"/>
      <c r="HM71" s="20"/>
      <c r="HN71" s="20"/>
      <c r="HO71" s="21"/>
      <c r="HP71" s="20"/>
      <c r="HQ71" s="20"/>
      <c r="HR71" s="20"/>
      <c r="HS71" s="20"/>
      <c r="HT71" s="20"/>
      <c r="HU71" s="20"/>
      <c r="HV71" s="21"/>
      <c r="HW71" s="20"/>
      <c r="HX71" s="20"/>
      <c r="HY71" s="20"/>
      <c r="HZ71" s="20"/>
      <c r="IA71" s="20"/>
      <c r="IB71" s="20"/>
      <c r="IC71" s="21"/>
      <c r="ID71" s="20"/>
      <c r="IE71" s="20"/>
      <c r="IF71" s="20"/>
      <c r="IG71" s="20"/>
      <c r="IH71" s="20"/>
      <c r="II71" s="20"/>
      <c r="IJ71" s="21"/>
      <c r="IK71" s="20"/>
      <c r="IL71" s="20"/>
      <c r="IM71" s="20"/>
      <c r="IN71" s="20"/>
      <c r="IO71" s="20"/>
      <c r="IP71" s="20"/>
      <c r="IQ71" s="21"/>
      <c r="IR71" s="20"/>
      <c r="IS71" s="20"/>
      <c r="IT71" s="20"/>
      <c r="IU71" s="20"/>
      <c r="IV71" s="20"/>
      <c r="IW71" s="20"/>
      <c r="IX71" s="21"/>
      <c r="IY71" s="20"/>
      <c r="IZ71" s="20"/>
      <c r="JA71" s="20"/>
      <c r="JB71" s="20"/>
      <c r="JC71" s="20"/>
      <c r="JD71" s="20"/>
      <c r="JE71" s="21"/>
      <c r="JF71" s="20"/>
      <c r="JG71" s="20"/>
      <c r="JH71" s="20"/>
      <c r="JI71" s="20"/>
      <c r="JJ71" s="20"/>
      <c r="JK71" s="20"/>
      <c r="JL71" s="21"/>
      <c r="JM71" s="20"/>
      <c r="JN71" s="20"/>
      <c r="JO71" s="20"/>
      <c r="JP71" s="20"/>
      <c r="JQ71" s="20"/>
      <c r="JR71" s="20"/>
      <c r="JS71" s="21"/>
      <c r="JT71" s="20"/>
      <c r="JU71" s="20"/>
      <c r="JV71" s="20"/>
      <c r="JW71" s="20"/>
      <c r="JX71" s="20"/>
      <c r="JY71" s="20"/>
      <c r="JZ71" s="21"/>
      <c r="KA71" s="20"/>
      <c r="KB71" s="20"/>
      <c r="KC71" s="20"/>
      <c r="KD71" s="20"/>
      <c r="KE71" s="20"/>
      <c r="KF71" s="20"/>
      <c r="KG71" s="21"/>
      <c r="KH71" s="20"/>
      <c r="KI71" s="20"/>
      <c r="KJ71" s="20"/>
      <c r="KK71" s="20"/>
      <c r="KL71" s="20"/>
      <c r="KM71" s="20"/>
      <c r="KN71" s="21"/>
      <c r="KO71" s="20"/>
      <c r="KP71" s="20"/>
      <c r="KQ71" s="20"/>
      <c r="KR71" s="20"/>
      <c r="KS71" s="20"/>
      <c r="KT71" s="20"/>
      <c r="KU71" s="21"/>
      <c r="KV71" s="20"/>
      <c r="KW71" s="20"/>
      <c r="KX71" s="20"/>
      <c r="KY71" s="20"/>
      <c r="KZ71" s="20"/>
      <c r="LA71" s="20"/>
      <c r="LB71" s="21"/>
      <c r="LC71" s="20"/>
      <c r="LD71" s="20"/>
      <c r="LE71" s="20"/>
      <c r="LF71" s="20"/>
      <c r="LG71" s="20"/>
      <c r="LH71" s="20"/>
      <c r="LI71" s="21"/>
      <c r="LJ71" s="20"/>
      <c r="LK71" s="20"/>
      <c r="LL71" s="20"/>
      <c r="LM71" s="20"/>
      <c r="LN71" s="20"/>
      <c r="LO71" s="20"/>
      <c r="LP71" s="21"/>
      <c r="LQ71" s="20"/>
      <c r="LR71" s="20"/>
      <c r="LS71" s="20"/>
      <c r="LT71" s="20"/>
      <c r="LU71" s="20"/>
      <c r="LV71" s="20"/>
      <c r="LW71" s="21"/>
      <c r="LX71" s="20"/>
      <c r="LY71" s="20"/>
      <c r="LZ71" s="20"/>
      <c r="MA71" s="20"/>
      <c r="MB71" s="20"/>
      <c r="MC71" s="20"/>
      <c r="MD71" s="21"/>
      <c r="ME71" s="20"/>
      <c r="MF71" s="20"/>
      <c r="MG71" s="20"/>
      <c r="MH71" s="20"/>
      <c r="MI71" s="20"/>
      <c r="MJ71" s="20"/>
      <c r="MK71" s="21"/>
      <c r="ML71" s="20"/>
      <c r="MM71" s="20"/>
      <c r="MN71" s="20"/>
      <c r="MO71" s="20"/>
      <c r="MP71" s="20"/>
      <c r="MQ71" s="20"/>
      <c r="MR71" s="21"/>
    </row>
    <row r="72" spans="1:356" ht="7.5" customHeight="1" x14ac:dyDescent="0.25">
      <c r="A72" s="8"/>
      <c r="B72" s="8"/>
      <c r="C72" s="8"/>
      <c r="D72" s="8"/>
      <c r="E72" s="8"/>
      <c r="F72" s="10" t="str">
        <f t="shared" si="382"/>
        <v/>
      </c>
      <c r="G72" s="19"/>
      <c r="H72" s="19"/>
      <c r="I72" s="19" t="str">
        <f t="shared" si="383"/>
        <v/>
      </c>
      <c r="J72" s="19" t="str">
        <f t="shared" si="383"/>
        <v/>
      </c>
      <c r="K72" s="19" t="str">
        <f t="shared" si="383"/>
        <v/>
      </c>
      <c r="L72" s="19" t="str">
        <f t="shared" si="383"/>
        <v/>
      </c>
      <c r="M72" s="8"/>
      <c r="N72" s="8"/>
      <c r="O72" s="9"/>
      <c r="P72" s="8" t="str">
        <f t="shared" si="384"/>
        <v/>
      </c>
      <c r="Q72" s="109" t="str">
        <f t="shared" ref="Q72:Q77" si="385">IF(SUM(S72:XFD72) &gt; 0, SUM(S72:XFD72) / $P$78 * 100, "")</f>
        <v/>
      </c>
      <c r="R72" s="84"/>
      <c r="S72" s="7"/>
      <c r="Z72" s="7"/>
      <c r="AG72" s="7"/>
      <c r="AN72" s="7"/>
      <c r="AU72" s="7"/>
      <c r="BB72" s="7"/>
      <c r="BI72" s="7"/>
      <c r="BP72" s="7"/>
      <c r="BY72" s="7"/>
      <c r="CH72" s="7"/>
      <c r="CQ72" s="7"/>
      <c r="CZ72" s="7"/>
      <c r="DI72" s="7"/>
      <c r="DR72" s="7"/>
      <c r="EA72" s="7"/>
      <c r="EJ72" s="7"/>
      <c r="ES72" s="7"/>
      <c r="FB72" s="7"/>
      <c r="FK72" s="7"/>
      <c r="FR72" s="7"/>
      <c r="FY72" s="7"/>
      <c r="GF72" s="7"/>
      <c r="GM72" s="7"/>
      <c r="GT72" s="7"/>
      <c r="HA72" s="7"/>
      <c r="HH72" s="7"/>
      <c r="HO72" s="7"/>
      <c r="HV72" s="7"/>
      <c r="IC72" s="7"/>
      <c r="IJ72" s="7"/>
      <c r="IQ72" s="7"/>
      <c r="IX72" s="7"/>
      <c r="JE72" s="7"/>
      <c r="JL72" s="7"/>
      <c r="JS72" s="7"/>
      <c r="JZ72" s="7"/>
      <c r="KG72" s="7"/>
      <c r="KN72" s="7"/>
      <c r="KU72" s="7"/>
      <c r="LB72" s="7"/>
      <c r="LI72" s="7"/>
      <c r="LP72" s="7"/>
      <c r="LW72" s="7"/>
      <c r="MD72" s="7"/>
      <c r="MK72" s="7"/>
      <c r="MR72" s="7"/>
    </row>
    <row r="73" spans="1:356" hidden="1" x14ac:dyDescent="0.25">
      <c r="A73" s="8" t="s">
        <v>37</v>
      </c>
      <c r="B73" s="8"/>
      <c r="C73" s="8" t="s">
        <v>36</v>
      </c>
      <c r="D73" s="8" t="s">
        <v>35</v>
      </c>
      <c r="E73" s="18">
        <v>39448</v>
      </c>
      <c r="F73" s="10">
        <f t="shared" si="382"/>
        <v>1</v>
      </c>
      <c r="G73" s="19">
        <f t="shared" ref="G73:H76" si="386">IF($E73 &gt;= G$43, 1, "")</f>
        <v>1</v>
      </c>
      <c r="H73" s="19">
        <f t="shared" si="386"/>
        <v>1</v>
      </c>
      <c r="I73" s="8">
        <f t="shared" ref="I73:L76" si="387">IF($E73 &gt;= I$43, 1, "")</f>
        <v>1</v>
      </c>
      <c r="J73" s="8">
        <f t="shared" si="387"/>
        <v>1</v>
      </c>
      <c r="K73" s="8" t="str">
        <f t="shared" si="387"/>
        <v/>
      </c>
      <c r="L73" s="8" t="str">
        <f t="shared" si="387"/>
        <v/>
      </c>
      <c r="M73" s="8"/>
      <c r="N73" s="8"/>
      <c r="O73" s="9"/>
      <c r="P73" s="8">
        <f t="shared" si="384"/>
        <v>8</v>
      </c>
      <c r="Q73" s="109">
        <f t="shared" si="385"/>
        <v>29.629629629629626</v>
      </c>
      <c r="R73" s="84"/>
      <c r="S73" s="7"/>
      <c r="Z73" s="7"/>
      <c r="AG73" s="7"/>
      <c r="AK73">
        <v>1</v>
      </c>
      <c r="AN73" s="7"/>
      <c r="AP73">
        <v>1</v>
      </c>
      <c r="AU73" s="7"/>
      <c r="AW73">
        <v>1</v>
      </c>
      <c r="BB73" s="7"/>
      <c r="BD73">
        <v>1</v>
      </c>
      <c r="BI73" s="7"/>
      <c r="BK73">
        <v>1</v>
      </c>
      <c r="BM73">
        <v>1</v>
      </c>
      <c r="BN73">
        <v>1</v>
      </c>
      <c r="BP73" s="7"/>
      <c r="BW73">
        <v>1</v>
      </c>
      <c r="BY73" s="7"/>
      <c r="CH73" s="7"/>
      <c r="CQ73" s="7"/>
      <c r="CZ73" s="7"/>
      <c r="DI73" s="7"/>
      <c r="DR73" s="7"/>
      <c r="EA73" s="7"/>
      <c r="EJ73" s="7"/>
      <c r="ES73" s="7"/>
      <c r="FB73" s="7"/>
      <c r="FK73" s="7"/>
      <c r="FR73" s="7"/>
      <c r="FY73" s="7"/>
      <c r="GF73" s="7"/>
      <c r="GM73" s="7"/>
      <c r="GT73" s="7"/>
      <c r="HA73" s="7"/>
      <c r="HH73" s="7"/>
      <c r="HO73" s="7"/>
      <c r="HV73" s="7"/>
      <c r="IC73" s="7"/>
      <c r="IJ73" s="7"/>
      <c r="IQ73" s="7"/>
      <c r="IX73" s="7"/>
      <c r="JE73" s="7"/>
      <c r="JL73" s="7"/>
      <c r="JS73" s="7"/>
      <c r="JZ73" s="7"/>
      <c r="KG73" s="7"/>
      <c r="KN73" s="7"/>
      <c r="KU73" s="7"/>
      <c r="LB73" s="7"/>
      <c r="LI73" s="7"/>
      <c r="LP73" s="7"/>
      <c r="LW73" s="7"/>
      <c r="MD73" s="7"/>
      <c r="MK73" s="7"/>
      <c r="MR73" s="7"/>
    </row>
    <row r="74" spans="1:356" x14ac:dyDescent="0.25">
      <c r="A74" s="8" t="s">
        <v>34</v>
      </c>
      <c r="B74" s="8"/>
      <c r="C74" s="8" t="s">
        <v>33</v>
      </c>
      <c r="D74" s="8" t="s">
        <v>32</v>
      </c>
      <c r="E74" s="18">
        <v>39649</v>
      </c>
      <c r="F74" s="10">
        <f t="shared" si="382"/>
        <v>1</v>
      </c>
      <c r="G74" s="19">
        <f t="shared" si="386"/>
        <v>1</v>
      </c>
      <c r="H74" s="19">
        <f t="shared" si="386"/>
        <v>1</v>
      </c>
      <c r="I74" s="8">
        <f t="shared" si="387"/>
        <v>1</v>
      </c>
      <c r="J74" s="8">
        <f t="shared" si="387"/>
        <v>1</v>
      </c>
      <c r="K74" s="8" t="str">
        <f t="shared" si="387"/>
        <v/>
      </c>
      <c r="L74" s="8" t="str">
        <f t="shared" si="387"/>
        <v/>
      </c>
      <c r="M74" s="8"/>
      <c r="N74" s="8"/>
      <c r="O74" s="9"/>
      <c r="P74" s="8">
        <f t="shared" si="384"/>
        <v>1</v>
      </c>
      <c r="Q74" s="109">
        <f t="shared" si="385"/>
        <v>3.7037037037037033</v>
      </c>
      <c r="R74" s="84"/>
      <c r="S74" s="7"/>
      <c r="Z74" s="7"/>
      <c r="AG74" s="7"/>
      <c r="AN74" s="7"/>
      <c r="AU74" s="7"/>
      <c r="BB74" s="7"/>
      <c r="BI74" s="7"/>
      <c r="BP74" s="7"/>
      <c r="BY74" s="7"/>
      <c r="CH74" s="7"/>
      <c r="CQ74" s="7"/>
      <c r="CZ74" s="7"/>
      <c r="DI74" s="7"/>
      <c r="DR74" s="7"/>
      <c r="EA74" s="7"/>
      <c r="EE74">
        <v>1</v>
      </c>
      <c r="EJ74" s="7"/>
      <c r="ES74" s="7"/>
      <c r="FB74" s="7"/>
      <c r="FK74" s="7"/>
      <c r="FR74" s="7"/>
      <c r="FY74" s="7"/>
      <c r="GF74" s="7"/>
      <c r="GM74" s="7"/>
      <c r="GT74" s="7"/>
      <c r="HA74" s="7"/>
      <c r="HH74" s="7"/>
      <c r="HO74" s="7"/>
      <c r="HV74" s="7"/>
      <c r="IC74" s="7"/>
      <c r="IJ74" s="7"/>
      <c r="IQ74" s="7"/>
      <c r="IX74" s="7"/>
      <c r="JE74" s="7"/>
      <c r="JL74" s="7"/>
      <c r="JS74" s="7"/>
      <c r="JZ74" s="7"/>
      <c r="KG74" s="7"/>
      <c r="KN74" s="7"/>
      <c r="KU74" s="7"/>
      <c r="LB74" s="7"/>
      <c r="LI74" s="7"/>
      <c r="LP74" s="7"/>
      <c r="LW74" s="7"/>
      <c r="MD74" s="7"/>
      <c r="MK74" s="7"/>
      <c r="MR74" s="7"/>
    </row>
    <row r="75" spans="1:356" x14ac:dyDescent="0.25">
      <c r="A75" s="8" t="s">
        <v>31</v>
      </c>
      <c r="B75" s="8"/>
      <c r="C75" s="8" t="s">
        <v>30</v>
      </c>
      <c r="D75" s="8" t="s">
        <v>29</v>
      </c>
      <c r="E75" s="18">
        <v>39453</v>
      </c>
      <c r="F75" s="10">
        <f t="shared" si="382"/>
        <v>1</v>
      </c>
      <c r="G75" s="19">
        <f t="shared" si="386"/>
        <v>1</v>
      </c>
      <c r="H75" s="19">
        <f t="shared" si="386"/>
        <v>1</v>
      </c>
      <c r="I75" s="8">
        <f t="shared" si="387"/>
        <v>1</v>
      </c>
      <c r="J75" s="8">
        <f t="shared" si="387"/>
        <v>1</v>
      </c>
      <c r="K75" s="8" t="str">
        <f t="shared" si="387"/>
        <v/>
      </c>
      <c r="L75" s="8" t="str">
        <f t="shared" si="387"/>
        <v/>
      </c>
      <c r="M75" s="8"/>
      <c r="N75" s="8"/>
      <c r="O75" s="9"/>
      <c r="P75" s="8">
        <f t="shared" si="384"/>
        <v>19</v>
      </c>
      <c r="Q75" s="109">
        <f t="shared" si="385"/>
        <v>70.370370370370367</v>
      </c>
      <c r="R75" s="84"/>
      <c r="S75" s="7"/>
      <c r="Z75" s="7"/>
      <c r="AG75" s="7"/>
      <c r="AK75">
        <v>1</v>
      </c>
      <c r="AN75" s="7"/>
      <c r="AR75">
        <v>1</v>
      </c>
      <c r="AU75" s="7"/>
      <c r="BB75" s="7"/>
      <c r="BD75">
        <v>1</v>
      </c>
      <c r="BF75">
        <v>1</v>
      </c>
      <c r="BI75" s="7"/>
      <c r="BK75">
        <v>1</v>
      </c>
      <c r="BM75">
        <v>1</v>
      </c>
      <c r="BN75">
        <v>1</v>
      </c>
      <c r="BP75" s="7">
        <v>1</v>
      </c>
      <c r="BW75">
        <v>1</v>
      </c>
      <c r="BY75" s="7"/>
      <c r="CH75" s="7"/>
      <c r="CQ75" s="7"/>
      <c r="CZ75" s="7"/>
      <c r="DI75" s="7"/>
      <c r="DR75" s="7"/>
      <c r="DT75">
        <v>1</v>
      </c>
      <c r="DV75">
        <v>1</v>
      </c>
      <c r="EA75" s="7"/>
      <c r="EC75">
        <v>1</v>
      </c>
      <c r="EJ75" s="7"/>
      <c r="EL75">
        <v>1</v>
      </c>
      <c r="EN75">
        <v>1</v>
      </c>
      <c r="EO75">
        <v>1</v>
      </c>
      <c r="ES75" s="7"/>
      <c r="EU75">
        <v>1</v>
      </c>
      <c r="EW75">
        <v>1</v>
      </c>
      <c r="EX75">
        <v>1</v>
      </c>
      <c r="FB75" s="7"/>
      <c r="FD75">
        <v>1</v>
      </c>
      <c r="FK75" s="7"/>
      <c r="FR75" s="7"/>
      <c r="FY75" s="7"/>
      <c r="GF75" s="7"/>
      <c r="GM75" s="7"/>
      <c r="GT75" s="7"/>
      <c r="HA75" s="7"/>
      <c r="HH75" s="7"/>
      <c r="HO75" s="7"/>
      <c r="HV75" s="7"/>
      <c r="IC75" s="7"/>
      <c r="IJ75" s="7"/>
      <c r="IQ75" s="7"/>
      <c r="IX75" s="7"/>
      <c r="JE75" s="7"/>
      <c r="JL75" s="7"/>
      <c r="JS75" s="7"/>
      <c r="JZ75" s="7"/>
      <c r="KG75" s="7"/>
      <c r="KN75" s="7"/>
      <c r="KU75" s="7"/>
      <c r="LB75" s="7"/>
      <c r="LI75" s="7"/>
      <c r="LP75" s="7"/>
      <c r="LW75" s="7"/>
      <c r="MD75" s="7"/>
      <c r="MK75" s="7"/>
      <c r="MR75" s="7"/>
    </row>
    <row r="76" spans="1:356" x14ac:dyDescent="0.25">
      <c r="A76" s="8" t="s">
        <v>28</v>
      </c>
      <c r="B76" s="8"/>
      <c r="C76" s="8" t="s">
        <v>27</v>
      </c>
      <c r="D76" s="8" t="s">
        <v>26</v>
      </c>
      <c r="E76" s="18">
        <v>39802</v>
      </c>
      <c r="F76" s="10">
        <f t="shared" si="382"/>
        <v>1</v>
      </c>
      <c r="G76" s="19">
        <f t="shared" si="386"/>
        <v>1</v>
      </c>
      <c r="H76" s="19">
        <f t="shared" si="386"/>
        <v>1</v>
      </c>
      <c r="I76" s="8">
        <f t="shared" si="387"/>
        <v>1</v>
      </c>
      <c r="J76" s="8">
        <f t="shared" si="387"/>
        <v>1</v>
      </c>
      <c r="K76" s="8" t="str">
        <f t="shared" si="387"/>
        <v/>
      </c>
      <c r="L76" s="8" t="str">
        <f t="shared" si="387"/>
        <v/>
      </c>
      <c r="M76" s="8"/>
      <c r="N76" s="8"/>
      <c r="O76" s="9"/>
      <c r="P76" s="8">
        <f t="shared" si="384"/>
        <v>10</v>
      </c>
      <c r="Q76" s="109">
        <f t="shared" si="385"/>
        <v>37.037037037037038</v>
      </c>
      <c r="R76" s="84"/>
      <c r="S76" s="7"/>
      <c r="Z76" s="7"/>
      <c r="AG76" s="7"/>
      <c r="AK76">
        <v>1</v>
      </c>
      <c r="AN76" s="7"/>
      <c r="AP76">
        <v>1</v>
      </c>
      <c r="AU76" s="7"/>
      <c r="AW76">
        <v>1</v>
      </c>
      <c r="AY76">
        <v>1</v>
      </c>
      <c r="BB76" s="7"/>
      <c r="BD76">
        <v>1</v>
      </c>
      <c r="BF76">
        <v>1</v>
      </c>
      <c r="BI76" s="7"/>
      <c r="BM76">
        <v>1</v>
      </c>
      <c r="BP76" s="7"/>
      <c r="BY76" s="7"/>
      <c r="CH76" s="7"/>
      <c r="CQ76" s="7"/>
      <c r="CZ76" s="7"/>
      <c r="DI76" s="7"/>
      <c r="DR76" s="7"/>
      <c r="DV76">
        <v>1</v>
      </c>
      <c r="DW76">
        <v>1</v>
      </c>
      <c r="EA76" s="7"/>
      <c r="EJ76" s="7"/>
      <c r="EO76">
        <v>1</v>
      </c>
      <c r="ES76" s="7"/>
      <c r="FB76" s="7"/>
      <c r="FK76" s="7"/>
      <c r="FR76" s="7"/>
      <c r="FY76" s="7"/>
      <c r="GF76" s="7"/>
      <c r="GM76" s="7"/>
      <c r="GT76" s="7"/>
      <c r="HA76" s="7"/>
      <c r="HH76" s="7"/>
      <c r="HO76" s="7"/>
      <c r="HV76" s="7"/>
      <c r="IC76" s="7"/>
      <c r="IJ76" s="7"/>
      <c r="IQ76" s="7"/>
      <c r="IX76" s="7"/>
      <c r="JE76" s="7"/>
      <c r="JL76" s="7"/>
      <c r="JS76" s="7"/>
      <c r="JZ76" s="7"/>
      <c r="KG76" s="7"/>
      <c r="KN76" s="7"/>
      <c r="KU76" s="7"/>
      <c r="LB76" s="7"/>
      <c r="LI76" s="7"/>
      <c r="LP76" s="7"/>
      <c r="LW76" s="7"/>
      <c r="MD76" s="7"/>
      <c r="MK76" s="7"/>
      <c r="MR76" s="7"/>
    </row>
    <row r="77" spans="1:356" ht="7.5" customHeight="1" x14ac:dyDescent="0.25">
      <c r="A77" s="8"/>
      <c r="B77" s="8"/>
      <c r="C77" s="8"/>
      <c r="D77" s="8"/>
      <c r="E77" s="8"/>
      <c r="F77" s="10"/>
      <c r="G77" s="19"/>
      <c r="H77" s="19"/>
      <c r="I77" s="8"/>
      <c r="J77" s="8"/>
      <c r="K77" s="8"/>
      <c r="L77" s="8"/>
      <c r="M77" s="8"/>
      <c r="N77" s="8"/>
      <c r="O77" s="9"/>
      <c r="P77" s="8" t="str">
        <f>IF(SUM(R77:MR77) &gt; 0, SUM(R77:MR77), "")</f>
        <v/>
      </c>
      <c r="Q77" s="109" t="str">
        <f t="shared" si="385"/>
        <v/>
      </c>
      <c r="R77" s="84"/>
      <c r="S77" s="7"/>
      <c r="Z77" s="7"/>
      <c r="AG77" s="7"/>
      <c r="AN77" s="7"/>
      <c r="AU77" s="7"/>
      <c r="BB77" s="7"/>
      <c r="BI77" s="7"/>
      <c r="BP77" s="7"/>
      <c r="BY77" s="7"/>
      <c r="CH77" s="7"/>
      <c r="CQ77" s="7"/>
      <c r="CZ77" s="7"/>
      <c r="DI77" s="7"/>
      <c r="DR77" s="7"/>
      <c r="EA77" s="7"/>
      <c r="EJ77" s="7"/>
      <c r="ES77" s="7"/>
      <c r="FB77" s="7"/>
      <c r="FK77" s="7"/>
      <c r="FR77" s="7"/>
      <c r="FY77" s="7"/>
      <c r="GF77" s="7"/>
      <c r="GM77" s="7"/>
      <c r="GT77" s="7"/>
      <c r="HA77" s="7"/>
      <c r="HH77" s="7"/>
      <c r="HO77" s="7"/>
      <c r="HV77" s="7"/>
      <c r="IC77" s="7"/>
      <c r="IJ77" s="7"/>
      <c r="IQ77" s="7"/>
      <c r="IX77" s="7"/>
      <c r="JE77" s="7"/>
      <c r="JL77" s="7"/>
      <c r="JS77" s="7"/>
      <c r="JZ77" s="7"/>
      <c r="KG77" s="7"/>
      <c r="KN77" s="7"/>
      <c r="KU77" s="7"/>
      <c r="LB77" s="7"/>
      <c r="LI77" s="7"/>
      <c r="LP77" s="7"/>
      <c r="LW77" s="7"/>
      <c r="MD77" s="7"/>
      <c r="MK77" s="7"/>
      <c r="MR77" s="7"/>
    </row>
    <row r="78" spans="1:356" ht="15" customHeight="1" thickBot="1" x14ac:dyDescent="0.3">
      <c r="A78" s="20" t="s">
        <v>18</v>
      </c>
      <c r="B78" s="20"/>
      <c r="C78" s="20"/>
      <c r="D78" s="20"/>
      <c r="E78" s="21"/>
      <c r="F78" s="20"/>
      <c r="G78" s="20"/>
      <c r="H78" s="20"/>
      <c r="I78" s="20"/>
      <c r="J78" s="20"/>
      <c r="K78" s="20"/>
      <c r="L78" s="20"/>
      <c r="M78" s="20"/>
      <c r="N78" s="20"/>
      <c r="O78" s="21"/>
      <c r="P78" s="60">
        <f>SUM(S78:MR78)</f>
        <v>27</v>
      </c>
      <c r="Q78" s="60"/>
      <c r="R78" s="21"/>
      <c r="S78" s="21"/>
      <c r="T78" s="20"/>
      <c r="U78" s="20"/>
      <c r="V78" s="20"/>
      <c r="W78" s="20"/>
      <c r="X78" s="20"/>
      <c r="Y78" s="20"/>
      <c r="Z78" s="21"/>
      <c r="AA78" s="20"/>
      <c r="AB78" s="20"/>
      <c r="AC78" s="20"/>
      <c r="AD78" s="20"/>
      <c r="AE78" s="20"/>
      <c r="AF78" s="20"/>
      <c r="AG78" s="21"/>
      <c r="AH78" s="20"/>
      <c r="AI78" s="20">
        <v>1</v>
      </c>
      <c r="AJ78" s="20"/>
      <c r="AK78" s="20">
        <v>1</v>
      </c>
      <c r="AL78" s="20"/>
      <c r="AM78" s="20"/>
      <c r="AN78" s="21"/>
      <c r="AO78" s="20"/>
      <c r="AP78" s="20">
        <v>1</v>
      </c>
      <c r="AQ78" s="20"/>
      <c r="AR78" s="20">
        <v>1</v>
      </c>
      <c r="AS78" s="20"/>
      <c r="AT78" s="20"/>
      <c r="AU78" s="21"/>
      <c r="AV78" s="20"/>
      <c r="AW78" s="20">
        <v>1</v>
      </c>
      <c r="AX78" s="20">
        <v>1</v>
      </c>
      <c r="AY78" s="20">
        <v>1</v>
      </c>
      <c r="AZ78" s="20"/>
      <c r="BA78" s="20"/>
      <c r="BB78" s="21"/>
      <c r="BC78" s="20"/>
      <c r="BD78" s="20">
        <v>1</v>
      </c>
      <c r="BE78" s="20"/>
      <c r="BF78" s="20">
        <v>1</v>
      </c>
      <c r="BG78" s="20"/>
      <c r="BH78" s="20"/>
      <c r="BI78" s="21"/>
      <c r="BJ78" s="20"/>
      <c r="BK78" s="20">
        <v>1</v>
      </c>
      <c r="BL78" s="20"/>
      <c r="BM78" s="20">
        <v>1</v>
      </c>
      <c r="BN78" s="20">
        <v>1</v>
      </c>
      <c r="BO78" s="20"/>
      <c r="BP78" s="21">
        <v>1</v>
      </c>
      <c r="BQ78" s="20"/>
      <c r="BR78" s="20"/>
      <c r="BS78" s="20"/>
      <c r="BT78" s="20"/>
      <c r="BU78" s="20"/>
      <c r="BV78" s="20"/>
      <c r="BW78" s="20">
        <v>1</v>
      </c>
      <c r="BX78" s="20"/>
      <c r="BY78" s="21"/>
      <c r="BZ78" s="20"/>
      <c r="CA78" s="20"/>
      <c r="CB78" s="20"/>
      <c r="CC78" s="20"/>
      <c r="CD78" s="20"/>
      <c r="CE78" s="20"/>
      <c r="CF78" s="20"/>
      <c r="CG78" s="20"/>
      <c r="CH78" s="21"/>
      <c r="CI78" s="20"/>
      <c r="CJ78" s="20"/>
      <c r="CK78" s="20"/>
      <c r="CL78" s="20"/>
      <c r="CM78" s="20"/>
      <c r="CN78" s="20"/>
      <c r="CO78" s="20"/>
      <c r="CP78" s="20"/>
      <c r="CQ78" s="21"/>
      <c r="CR78" s="20"/>
      <c r="CS78" s="20"/>
      <c r="CT78" s="20"/>
      <c r="CU78" s="20"/>
      <c r="CV78" s="20"/>
      <c r="CW78" s="20"/>
      <c r="CX78" s="20"/>
      <c r="CY78" s="20"/>
      <c r="CZ78" s="21"/>
      <c r="DA78" s="20"/>
      <c r="DB78" s="20"/>
      <c r="DC78" s="20"/>
      <c r="DD78" s="20"/>
      <c r="DE78" s="20"/>
      <c r="DF78" s="20"/>
      <c r="DG78" s="20"/>
      <c r="DH78" s="20"/>
      <c r="DI78" s="21"/>
      <c r="DJ78" s="20"/>
      <c r="DK78" s="20"/>
      <c r="DL78" s="20"/>
      <c r="DM78" s="20"/>
      <c r="DN78" s="20"/>
      <c r="DO78" s="20"/>
      <c r="DP78" s="20"/>
      <c r="DQ78" s="20"/>
      <c r="DR78" s="21"/>
      <c r="DS78" s="20"/>
      <c r="DT78" s="20">
        <v>1</v>
      </c>
      <c r="DU78" s="20"/>
      <c r="DV78" s="20">
        <v>1</v>
      </c>
      <c r="DW78" s="20">
        <v>1</v>
      </c>
      <c r="DX78" s="20"/>
      <c r="DY78" s="20"/>
      <c r="DZ78" s="20"/>
      <c r="EA78" s="21"/>
      <c r="EB78" s="20"/>
      <c r="EC78" s="20">
        <v>1</v>
      </c>
      <c r="ED78" s="20"/>
      <c r="EE78" s="20">
        <v>1</v>
      </c>
      <c r="EF78" s="20">
        <v>1</v>
      </c>
      <c r="EG78" s="20"/>
      <c r="EH78" s="20"/>
      <c r="EI78" s="20"/>
      <c r="EJ78" s="21"/>
      <c r="EK78" s="20"/>
      <c r="EL78" s="20">
        <v>1</v>
      </c>
      <c r="EM78" s="20"/>
      <c r="EN78" s="20">
        <v>1</v>
      </c>
      <c r="EO78" s="20">
        <v>1</v>
      </c>
      <c r="EP78" s="20"/>
      <c r="EQ78" s="20"/>
      <c r="ER78" s="20"/>
      <c r="ES78" s="21"/>
      <c r="ET78" s="20"/>
      <c r="EU78" s="20">
        <v>1</v>
      </c>
      <c r="EV78" s="20"/>
      <c r="EW78" s="20">
        <v>1</v>
      </c>
      <c r="EX78" s="20">
        <v>1</v>
      </c>
      <c r="EY78" s="20"/>
      <c r="EZ78" s="20"/>
      <c r="FA78" s="20"/>
      <c r="FB78" s="21"/>
      <c r="FC78" s="20"/>
      <c r="FD78" s="20">
        <v>1</v>
      </c>
      <c r="FE78" s="20"/>
      <c r="FF78" s="20"/>
      <c r="FG78" s="20"/>
      <c r="FH78" s="20"/>
      <c r="FI78" s="20"/>
      <c r="FJ78" s="20"/>
      <c r="FK78" s="21"/>
      <c r="FL78" s="20"/>
      <c r="FM78" s="20"/>
      <c r="FN78" s="20"/>
      <c r="FO78" s="20"/>
      <c r="FP78" s="20"/>
      <c r="FQ78" s="20"/>
      <c r="FR78" s="21"/>
      <c r="FS78" s="20"/>
      <c r="FT78" s="20"/>
      <c r="FU78" s="20"/>
      <c r="FV78" s="20"/>
      <c r="FW78" s="20"/>
      <c r="FX78" s="20"/>
      <c r="FY78" s="21"/>
      <c r="FZ78" s="20"/>
      <c r="GA78" s="20"/>
      <c r="GB78" s="20"/>
      <c r="GC78" s="20"/>
      <c r="GD78" s="20"/>
      <c r="GE78" s="20"/>
      <c r="GF78" s="21"/>
      <c r="GG78" s="20"/>
      <c r="GH78" s="20"/>
      <c r="GI78" s="20"/>
      <c r="GJ78" s="20"/>
      <c r="GK78" s="20"/>
      <c r="GL78" s="20"/>
      <c r="GM78" s="21"/>
      <c r="GN78" s="20"/>
      <c r="GO78" s="20"/>
      <c r="GP78" s="20"/>
      <c r="GQ78" s="20"/>
      <c r="GR78" s="20"/>
      <c r="GS78" s="20"/>
      <c r="GT78" s="21"/>
      <c r="GU78" s="20"/>
      <c r="GV78" s="20"/>
      <c r="GW78" s="20"/>
      <c r="GX78" s="20"/>
      <c r="GY78" s="20"/>
      <c r="GZ78" s="20"/>
      <c r="HA78" s="21"/>
      <c r="HB78" s="20"/>
      <c r="HC78" s="20"/>
      <c r="HD78" s="20"/>
      <c r="HE78" s="20"/>
      <c r="HF78" s="20"/>
      <c r="HG78" s="20"/>
      <c r="HH78" s="21"/>
      <c r="HI78" s="20"/>
      <c r="HJ78" s="20"/>
      <c r="HK78" s="20"/>
      <c r="HL78" s="20"/>
      <c r="HM78" s="20"/>
      <c r="HN78" s="20"/>
      <c r="HO78" s="21"/>
      <c r="HP78" s="20"/>
      <c r="HQ78" s="20"/>
      <c r="HR78" s="20"/>
      <c r="HS78" s="20"/>
      <c r="HT78" s="20"/>
      <c r="HU78" s="20"/>
      <c r="HV78" s="21"/>
      <c r="HW78" s="20"/>
      <c r="HX78" s="20"/>
      <c r="HY78" s="20"/>
      <c r="HZ78" s="20"/>
      <c r="IA78" s="20"/>
      <c r="IB78" s="20"/>
      <c r="IC78" s="21"/>
      <c r="ID78" s="20"/>
      <c r="IE78" s="20"/>
      <c r="IF78" s="20"/>
      <c r="IG78" s="20"/>
      <c r="IH78" s="20"/>
      <c r="II78" s="20"/>
      <c r="IJ78" s="21"/>
      <c r="IK78" s="20"/>
      <c r="IL78" s="20"/>
      <c r="IM78" s="20"/>
      <c r="IN78" s="20"/>
      <c r="IO78" s="20"/>
      <c r="IP78" s="20"/>
      <c r="IQ78" s="21"/>
      <c r="IR78" s="20"/>
      <c r="IS78" s="20"/>
      <c r="IT78" s="20"/>
      <c r="IU78" s="20"/>
      <c r="IV78" s="20"/>
      <c r="IW78" s="20"/>
      <c r="IX78" s="21"/>
      <c r="IY78" s="20"/>
      <c r="IZ78" s="20"/>
      <c r="JA78" s="20"/>
      <c r="JB78" s="20"/>
      <c r="JC78" s="20"/>
      <c r="JD78" s="20"/>
      <c r="JE78" s="21"/>
      <c r="JF78" s="20"/>
      <c r="JG78" s="20"/>
      <c r="JH78" s="20"/>
      <c r="JI78" s="20"/>
      <c r="JJ78" s="20"/>
      <c r="JK78" s="20"/>
      <c r="JL78" s="21"/>
      <c r="JM78" s="20"/>
      <c r="JN78" s="20"/>
      <c r="JO78" s="20"/>
      <c r="JP78" s="20"/>
      <c r="JQ78" s="20"/>
      <c r="JR78" s="20"/>
      <c r="JS78" s="21"/>
      <c r="JT78" s="20"/>
      <c r="JU78" s="20"/>
      <c r="JV78" s="20"/>
      <c r="JW78" s="20"/>
      <c r="JX78" s="20"/>
      <c r="JY78" s="20"/>
      <c r="JZ78" s="21"/>
      <c r="KA78" s="20"/>
      <c r="KB78" s="20"/>
      <c r="KC78" s="20"/>
      <c r="KD78" s="20"/>
      <c r="KE78" s="20"/>
      <c r="KF78" s="20"/>
      <c r="KG78" s="21"/>
      <c r="KH78" s="20"/>
      <c r="KI78" s="20"/>
      <c r="KJ78" s="20"/>
      <c r="KK78" s="20"/>
      <c r="KL78" s="20"/>
      <c r="KM78" s="20"/>
      <c r="KN78" s="21"/>
      <c r="KO78" s="20"/>
      <c r="KP78" s="20"/>
      <c r="KQ78" s="20"/>
      <c r="KR78" s="20"/>
      <c r="KS78" s="20"/>
      <c r="KT78" s="20"/>
      <c r="KU78" s="21"/>
      <c r="KV78" s="20"/>
      <c r="KW78" s="20"/>
      <c r="KX78" s="20"/>
      <c r="KY78" s="20"/>
      <c r="KZ78" s="20"/>
      <c r="LA78" s="20"/>
      <c r="LB78" s="21"/>
      <c r="LC78" s="20"/>
      <c r="LD78" s="20"/>
      <c r="LE78" s="20"/>
      <c r="LF78" s="20"/>
      <c r="LG78" s="20"/>
      <c r="LH78" s="20"/>
      <c r="LI78" s="21"/>
      <c r="LJ78" s="20"/>
      <c r="LK78" s="20"/>
      <c r="LL78" s="20"/>
      <c r="LM78" s="20"/>
      <c r="LN78" s="20"/>
      <c r="LO78" s="20"/>
      <c r="LP78" s="21"/>
      <c r="LQ78" s="20"/>
      <c r="LR78" s="20"/>
      <c r="LS78" s="20"/>
      <c r="LT78" s="20"/>
      <c r="LU78" s="20"/>
      <c r="LV78" s="20"/>
      <c r="LW78" s="21"/>
      <c r="LX78" s="20"/>
      <c r="LY78" s="20"/>
      <c r="LZ78" s="20"/>
      <c r="MA78" s="20"/>
      <c r="MB78" s="20"/>
      <c r="MC78" s="20"/>
      <c r="MD78" s="21"/>
      <c r="ME78" s="20"/>
      <c r="MF78" s="20"/>
      <c r="MG78" s="20"/>
      <c r="MH78" s="20"/>
      <c r="MI78" s="20"/>
      <c r="MJ78" s="20"/>
      <c r="MK78" s="21"/>
      <c r="ML78" s="20"/>
      <c r="MM78" s="20"/>
      <c r="MN78" s="20"/>
      <c r="MO78" s="20"/>
      <c r="MP78" s="20"/>
      <c r="MQ78" s="20"/>
      <c r="MR78" s="21"/>
    </row>
    <row r="79" spans="1:356" ht="15.75" thickBot="1" x14ac:dyDescent="0.3">
      <c r="A79" s="64" t="s">
        <v>248</v>
      </c>
      <c r="B79" s="62"/>
      <c r="C79" s="62"/>
      <c r="D79" s="62"/>
      <c r="E79" s="63"/>
      <c r="F79" s="62"/>
      <c r="G79" s="62"/>
      <c r="H79" s="62"/>
      <c r="I79" s="62"/>
      <c r="J79" s="62"/>
      <c r="K79" s="62"/>
      <c r="L79" s="62"/>
      <c r="M79" s="62"/>
      <c r="N79" s="62"/>
      <c r="O79" s="63"/>
      <c r="P79" s="85">
        <f>VisibleSum(P73:P76)</f>
        <v>9.6666666666666661</v>
      </c>
      <c r="Q79" s="62">
        <f>P79 / P78 * 100</f>
        <v>35.802469135802468</v>
      </c>
      <c r="R79" s="86"/>
      <c r="S79" s="63" t="str">
        <f>IF(SUM(S44:S65, S73:S76) &gt; 0, SUM(S44:S65, S73:S76), "")</f>
        <v/>
      </c>
      <c r="T79" s="62" t="str">
        <f t="shared" ref="T79:U79" si="388">IF(SUM(T72:T77) &gt; 0, SUM(T72:T77), "")</f>
        <v/>
      </c>
      <c r="U79" s="62" t="str">
        <f t="shared" si="388"/>
        <v/>
      </c>
      <c r="V79" s="62" t="str">
        <f t="shared" ref="V79" si="389">IF(SUM(V72:V77) &gt; 0, SUM(V72:V77), "")</f>
        <v/>
      </c>
      <c r="W79" s="62" t="str">
        <f t="shared" ref="W79" si="390">IF(SUM(W72:W77) &gt; 0, SUM(W72:W77), "")</f>
        <v/>
      </c>
      <c r="X79" s="62" t="str">
        <f t="shared" ref="X79" si="391">IF(SUM(X72:X77) &gt; 0, SUM(X72:X77), "")</f>
        <v/>
      </c>
      <c r="Y79" s="62" t="str">
        <f t="shared" ref="Y79" si="392">IF(SUM(Y72:Y77) &gt; 0, SUM(Y72:Y77), "")</f>
        <v/>
      </c>
      <c r="Z79" s="63" t="str">
        <f t="shared" ref="Z79:AB79" si="393">IF(SUM(Z72:Z77) &gt; 0, SUM(Z72:Z77), "")</f>
        <v/>
      </c>
      <c r="AA79" s="62" t="str">
        <f t="shared" si="393"/>
        <v/>
      </c>
      <c r="AB79" s="62" t="str">
        <f t="shared" si="393"/>
        <v/>
      </c>
      <c r="AC79" s="62" t="str">
        <f t="shared" ref="AC79" si="394">IF(SUM(AC72:AC77) &gt; 0, SUM(AC72:AC77), "")</f>
        <v/>
      </c>
      <c r="AD79" s="62" t="str">
        <f t="shared" ref="AD79" si="395">IF(SUM(AD72:AD77) &gt; 0, SUM(AD72:AD77), "")</f>
        <v/>
      </c>
      <c r="AE79" s="62" t="str">
        <f t="shared" ref="AE79" si="396">IF(SUM(AE72:AE77) &gt; 0, SUM(AE72:AE77), "")</f>
        <v/>
      </c>
      <c r="AF79" s="62" t="str">
        <f t="shared" ref="AF79" si="397">IF(SUM(AF72:AF77) &gt; 0, SUM(AF72:AF77), "")</f>
        <v/>
      </c>
      <c r="AG79" s="63" t="str">
        <f t="shared" ref="AG79" si="398">IF(SUM(AG72:AG77) &gt; 0, SUM(AG72:AG77), "")</f>
        <v/>
      </c>
      <c r="AH79" s="62" t="str">
        <f>IF(SUM(AH72:AH77) &gt; 0, SUM(AH72:AH77), "")</f>
        <v/>
      </c>
      <c r="AI79" s="62" t="str">
        <f>IF(SUM(AI72:AI77) &gt; 0, SUM(AI72:AI77), "")</f>
        <v/>
      </c>
      <c r="AJ79" s="62" t="str">
        <f t="shared" ref="AJ79:AN79" si="399">IF(SUM(AJ72:AJ77) &gt; 0, SUM(AJ72:AJ77), "")</f>
        <v/>
      </c>
      <c r="AK79" s="62">
        <f t="shared" si="399"/>
        <v>3</v>
      </c>
      <c r="AL79" s="62" t="str">
        <f t="shared" si="399"/>
        <v/>
      </c>
      <c r="AM79" s="62" t="str">
        <f t="shared" si="399"/>
        <v/>
      </c>
      <c r="AN79" s="63" t="str">
        <f t="shared" si="399"/>
        <v/>
      </c>
      <c r="AO79" s="62" t="str">
        <f>IF(SUM(AO72:AO77) &gt; 0, SUM(AO72:AO77), "")</f>
        <v/>
      </c>
      <c r="AP79" s="62">
        <f>IF(SUM(AP72:AP77) &gt; 0, SUM(AP72:AP77), "")</f>
        <v>2</v>
      </c>
      <c r="AQ79" s="62" t="str">
        <f t="shared" ref="AQ79" si="400">IF(SUM(AQ72:AQ77) &gt; 0, SUM(AQ72:AQ77), "")</f>
        <v/>
      </c>
      <c r="AR79" s="62">
        <f t="shared" ref="AR79" si="401">IF(SUM(AR72:AR77) &gt; 0, SUM(AR72:AR77), "")</f>
        <v>1</v>
      </c>
      <c r="AS79" s="62" t="str">
        <f t="shared" ref="AS79" si="402">IF(SUM(AS72:AS77) &gt; 0, SUM(AS72:AS77), "")</f>
        <v/>
      </c>
      <c r="AT79" s="62" t="str">
        <f t="shared" ref="AT79" si="403">IF(SUM(AT72:AT77) &gt; 0, SUM(AT72:AT77), "")</f>
        <v/>
      </c>
      <c r="AU79" s="63" t="str">
        <f t="shared" ref="AU79" si="404">IF(SUM(AU72:AU77) &gt; 0, SUM(AU72:AU77), "")</f>
        <v/>
      </c>
      <c r="AV79" s="62" t="str">
        <f>IF(SUM(AV72:AV77) &gt; 0, SUM(AV72:AV77), "")</f>
        <v/>
      </c>
      <c r="AW79" s="62">
        <f>IF(SUM(AW72:AW77) &gt; 0, SUM(AW72:AW77), "")</f>
        <v>2</v>
      </c>
      <c r="AX79" s="62" t="str">
        <f t="shared" ref="AX79" si="405">IF(SUM(AX72:AX77) &gt; 0, SUM(AX72:AX77), "")</f>
        <v/>
      </c>
      <c r="AY79" s="62">
        <f t="shared" ref="AY79" si="406">IF(SUM(AY72:AY77) &gt; 0, SUM(AY72:AY77), "")</f>
        <v>1</v>
      </c>
      <c r="AZ79" s="62" t="str">
        <f t="shared" ref="AZ79" si="407">IF(SUM(AZ72:AZ77) &gt; 0, SUM(AZ72:AZ77), "")</f>
        <v/>
      </c>
      <c r="BA79" s="62" t="str">
        <f t="shared" ref="BA79" si="408">IF(SUM(BA72:BA77) &gt; 0, SUM(BA72:BA77), "")</f>
        <v/>
      </c>
      <c r="BB79" s="63" t="str">
        <f t="shared" ref="BB79" si="409">IF(SUM(BB72:BB77) &gt; 0, SUM(BB72:BB77), "")</f>
        <v/>
      </c>
      <c r="BC79" s="62" t="str">
        <f>IF(SUM(BC72:BC77) &gt; 0, SUM(BC72:BC77), "")</f>
        <v/>
      </c>
      <c r="BD79" s="62">
        <f>IF(SUM(BD72:BD77) &gt; 0, SUM(BD72:BD77), "")</f>
        <v>3</v>
      </c>
      <c r="BE79" s="62" t="str">
        <f t="shared" ref="BE79:ED79" si="410">IF(SUM(BE72:BE77) &gt; 0, SUM(BE72:BE77), "")</f>
        <v/>
      </c>
      <c r="BF79" s="62">
        <f t="shared" si="410"/>
        <v>2</v>
      </c>
      <c r="BG79" s="62" t="str">
        <f t="shared" si="410"/>
        <v/>
      </c>
      <c r="BH79" s="62" t="str">
        <f t="shared" si="410"/>
        <v/>
      </c>
      <c r="BI79" s="63" t="str">
        <f t="shared" si="410"/>
        <v/>
      </c>
      <c r="BJ79" s="62" t="str">
        <f t="shared" si="410"/>
        <v/>
      </c>
      <c r="BK79" s="62">
        <f t="shared" si="410"/>
        <v>2</v>
      </c>
      <c r="BL79" s="62" t="str">
        <f t="shared" si="410"/>
        <v/>
      </c>
      <c r="BM79" s="62">
        <f t="shared" si="410"/>
        <v>3</v>
      </c>
      <c r="BN79" s="62">
        <f t="shared" si="410"/>
        <v>2</v>
      </c>
      <c r="BO79" s="62" t="str">
        <f t="shared" si="410"/>
        <v/>
      </c>
      <c r="BP79" s="63">
        <f t="shared" si="410"/>
        <v>1</v>
      </c>
      <c r="BQ79" s="62" t="str">
        <f t="shared" si="410"/>
        <v/>
      </c>
      <c r="BR79" s="62" t="str">
        <f t="shared" si="410"/>
        <v/>
      </c>
      <c r="BS79" s="62" t="str">
        <f t="shared" si="410"/>
        <v/>
      </c>
      <c r="BT79" s="62" t="str">
        <f t="shared" si="410"/>
        <v/>
      </c>
      <c r="BU79" s="62" t="str">
        <f t="shared" si="410"/>
        <v/>
      </c>
      <c r="BV79" s="62" t="str">
        <f t="shared" si="410"/>
        <v/>
      </c>
      <c r="BW79" s="62">
        <f t="shared" ref="BW79" si="411">IF(SUM(BW72:BW77) &gt; 0, SUM(BW72:BW77), "")</f>
        <v>2</v>
      </c>
      <c r="BX79" s="62"/>
      <c r="BY79" s="63" t="str">
        <f t="shared" si="410"/>
        <v/>
      </c>
      <c r="BZ79" s="62" t="str">
        <f t="shared" si="410"/>
        <v/>
      </c>
      <c r="CA79" s="62" t="str">
        <f t="shared" si="410"/>
        <v/>
      </c>
      <c r="CB79" s="62" t="str">
        <f t="shared" si="410"/>
        <v/>
      </c>
      <c r="CC79" s="62" t="str">
        <f t="shared" si="410"/>
        <v/>
      </c>
      <c r="CD79" s="62" t="str">
        <f t="shared" si="410"/>
        <v/>
      </c>
      <c r="CE79" s="62" t="str">
        <f t="shared" si="410"/>
        <v/>
      </c>
      <c r="CF79" s="62"/>
      <c r="CG79" s="62"/>
      <c r="CH79" s="63" t="str">
        <f t="shared" si="410"/>
        <v/>
      </c>
      <c r="CI79" s="62" t="str">
        <f t="shared" si="410"/>
        <v/>
      </c>
      <c r="CJ79" s="62" t="str">
        <f t="shared" si="410"/>
        <v/>
      </c>
      <c r="CK79" s="62" t="str">
        <f t="shared" si="410"/>
        <v/>
      </c>
      <c r="CL79" s="62" t="str">
        <f t="shared" si="410"/>
        <v/>
      </c>
      <c r="CM79" s="62" t="str">
        <f t="shared" si="410"/>
        <v/>
      </c>
      <c r="CN79" s="62" t="str">
        <f t="shared" si="410"/>
        <v/>
      </c>
      <c r="CO79" s="62" t="str">
        <f t="shared" ref="CO79" si="412">IF(SUM(CO72:CO77) &gt; 0, SUM(CO72:CO77), "")</f>
        <v/>
      </c>
      <c r="CP79" s="62"/>
      <c r="CQ79" s="63" t="str">
        <f t="shared" si="410"/>
        <v/>
      </c>
      <c r="CR79" s="62" t="str">
        <f t="shared" si="410"/>
        <v/>
      </c>
      <c r="CS79" s="62" t="str">
        <f t="shared" si="410"/>
        <v/>
      </c>
      <c r="CT79" s="62" t="str">
        <f t="shared" si="410"/>
        <v/>
      </c>
      <c r="CU79" s="62" t="str">
        <f t="shared" si="410"/>
        <v/>
      </c>
      <c r="CV79" s="62" t="str">
        <f t="shared" si="410"/>
        <v/>
      </c>
      <c r="CW79" s="62"/>
      <c r="CX79" s="62"/>
      <c r="CY79" s="62" t="str">
        <f t="shared" si="410"/>
        <v/>
      </c>
      <c r="CZ79" s="63" t="str">
        <f t="shared" si="410"/>
        <v/>
      </c>
      <c r="DA79" s="62" t="str">
        <f t="shared" si="410"/>
        <v/>
      </c>
      <c r="DB79" s="62" t="str">
        <f t="shared" si="410"/>
        <v/>
      </c>
      <c r="DC79" s="62" t="str">
        <f t="shared" si="410"/>
        <v/>
      </c>
      <c r="DD79" s="62" t="str">
        <f t="shared" si="410"/>
        <v/>
      </c>
      <c r="DE79" s="62" t="str">
        <f t="shared" si="410"/>
        <v/>
      </c>
      <c r="DF79" s="62" t="str">
        <f t="shared" si="410"/>
        <v/>
      </c>
      <c r="DG79" s="62"/>
      <c r="DH79" s="62"/>
      <c r="DI79" s="63" t="str">
        <f t="shared" si="410"/>
        <v/>
      </c>
      <c r="DJ79" s="62" t="str">
        <f t="shared" si="410"/>
        <v/>
      </c>
      <c r="DK79" s="62" t="str">
        <f t="shared" si="410"/>
        <v/>
      </c>
      <c r="DL79" s="62" t="str">
        <f t="shared" si="410"/>
        <v/>
      </c>
      <c r="DM79" s="62" t="str">
        <f t="shared" si="410"/>
        <v/>
      </c>
      <c r="DN79" s="62" t="str">
        <f t="shared" si="410"/>
        <v/>
      </c>
      <c r="DO79" s="62" t="str">
        <f t="shared" si="410"/>
        <v/>
      </c>
      <c r="DP79" s="62"/>
      <c r="DQ79" s="62"/>
      <c r="DR79" s="63" t="str">
        <f t="shared" si="410"/>
        <v/>
      </c>
      <c r="DS79" s="62" t="str">
        <f t="shared" si="410"/>
        <v/>
      </c>
      <c r="DT79" s="62">
        <f t="shared" si="410"/>
        <v>1</v>
      </c>
      <c r="DU79" s="62" t="str">
        <f t="shared" si="410"/>
        <v/>
      </c>
      <c r="DV79" s="62">
        <f t="shared" si="410"/>
        <v>2</v>
      </c>
      <c r="DW79" s="62">
        <f t="shared" si="410"/>
        <v>1</v>
      </c>
      <c r="DX79" s="62"/>
      <c r="DY79" s="62"/>
      <c r="DZ79" s="62" t="str">
        <f t="shared" si="410"/>
        <v/>
      </c>
      <c r="EA79" s="63" t="str">
        <f t="shared" si="410"/>
        <v/>
      </c>
      <c r="EB79" s="62" t="str">
        <f t="shared" si="410"/>
        <v/>
      </c>
      <c r="EC79" s="62">
        <f t="shared" si="410"/>
        <v>1</v>
      </c>
      <c r="ED79" s="62" t="str">
        <f t="shared" si="410"/>
        <v/>
      </c>
      <c r="EE79" s="62">
        <f t="shared" ref="EE79:GX79" si="413">IF(SUM(EE72:EE77) &gt; 0, SUM(EE72:EE77), "")</f>
        <v>1</v>
      </c>
      <c r="EF79" s="62">
        <v>0</v>
      </c>
      <c r="EG79" s="62"/>
      <c r="EH79" s="62"/>
      <c r="EI79" s="62" t="str">
        <f t="shared" si="413"/>
        <v/>
      </c>
      <c r="EJ79" s="63" t="str">
        <f t="shared" si="413"/>
        <v/>
      </c>
      <c r="EK79" s="62" t="str">
        <f t="shared" si="413"/>
        <v/>
      </c>
      <c r="EL79" s="62">
        <f t="shared" si="413"/>
        <v>1</v>
      </c>
      <c r="EM79" s="62" t="str">
        <f t="shared" si="413"/>
        <v/>
      </c>
      <c r="EN79" s="62">
        <f t="shared" si="413"/>
        <v>1</v>
      </c>
      <c r="EO79" s="62">
        <f t="shared" si="413"/>
        <v>2</v>
      </c>
      <c r="EP79" s="62" t="str">
        <f t="shared" si="413"/>
        <v/>
      </c>
      <c r="EQ79" s="62"/>
      <c r="ER79" s="62"/>
      <c r="ES79" s="63" t="str">
        <f t="shared" si="413"/>
        <v/>
      </c>
      <c r="ET79" s="62" t="str">
        <f t="shared" si="413"/>
        <v/>
      </c>
      <c r="EU79" s="62">
        <f t="shared" si="413"/>
        <v>1</v>
      </c>
      <c r="EV79" s="62" t="str">
        <f t="shared" si="413"/>
        <v/>
      </c>
      <c r="EW79" s="62">
        <f t="shared" si="413"/>
        <v>1</v>
      </c>
      <c r="EX79" s="62">
        <f t="shared" si="413"/>
        <v>1</v>
      </c>
      <c r="EY79" s="62" t="str">
        <f t="shared" si="413"/>
        <v/>
      </c>
      <c r="EZ79" s="62"/>
      <c r="FA79" s="62"/>
      <c r="FB79" s="63" t="str">
        <f t="shared" si="413"/>
        <v/>
      </c>
      <c r="FC79" s="62" t="str">
        <f t="shared" si="413"/>
        <v/>
      </c>
      <c r="FD79" s="62">
        <f t="shared" si="413"/>
        <v>1</v>
      </c>
      <c r="FE79" s="62" t="str">
        <f t="shared" si="413"/>
        <v/>
      </c>
      <c r="FF79" s="62" t="str">
        <f t="shared" si="413"/>
        <v/>
      </c>
      <c r="FG79" s="62" t="str">
        <f t="shared" si="413"/>
        <v/>
      </c>
      <c r="FH79" s="62" t="str">
        <f t="shared" si="413"/>
        <v/>
      </c>
      <c r="FI79" s="62"/>
      <c r="FJ79" s="62"/>
      <c r="FK79" s="63" t="str">
        <f t="shared" si="413"/>
        <v/>
      </c>
      <c r="FL79" s="62" t="str">
        <f t="shared" si="413"/>
        <v/>
      </c>
      <c r="FM79" s="62" t="str">
        <f t="shared" si="413"/>
        <v/>
      </c>
      <c r="FN79" s="62" t="str">
        <f t="shared" si="413"/>
        <v/>
      </c>
      <c r="FO79" s="62" t="str">
        <f t="shared" si="413"/>
        <v/>
      </c>
      <c r="FP79" s="62" t="str">
        <f t="shared" si="413"/>
        <v/>
      </c>
      <c r="FQ79" s="62" t="str">
        <f t="shared" si="413"/>
        <v/>
      </c>
      <c r="FR79" s="63" t="str">
        <f t="shared" si="413"/>
        <v/>
      </c>
      <c r="FS79" s="62" t="str">
        <f t="shared" si="413"/>
        <v/>
      </c>
      <c r="FT79" s="62" t="str">
        <f t="shared" si="413"/>
        <v/>
      </c>
      <c r="FU79" s="62" t="str">
        <f t="shared" si="413"/>
        <v/>
      </c>
      <c r="FV79" s="62" t="str">
        <f t="shared" si="413"/>
        <v/>
      </c>
      <c r="FW79" s="62" t="str">
        <f t="shared" si="413"/>
        <v/>
      </c>
      <c r="FX79" s="62" t="str">
        <f t="shared" si="413"/>
        <v/>
      </c>
      <c r="FY79" s="63" t="str">
        <f t="shared" si="413"/>
        <v/>
      </c>
      <c r="FZ79" s="62" t="str">
        <f t="shared" si="413"/>
        <v/>
      </c>
      <c r="GA79" s="62" t="str">
        <f t="shared" si="413"/>
        <v/>
      </c>
      <c r="GB79" s="62" t="str">
        <f t="shared" si="413"/>
        <v/>
      </c>
      <c r="GC79" s="62" t="str">
        <f t="shared" si="413"/>
        <v/>
      </c>
      <c r="GD79" s="62" t="str">
        <f t="shared" si="413"/>
        <v/>
      </c>
      <c r="GE79" s="62" t="str">
        <f t="shared" si="413"/>
        <v/>
      </c>
      <c r="GF79" s="63" t="str">
        <f t="shared" si="413"/>
        <v/>
      </c>
      <c r="GG79" s="62" t="str">
        <f t="shared" si="413"/>
        <v/>
      </c>
      <c r="GH79" s="62" t="str">
        <f t="shared" si="413"/>
        <v/>
      </c>
      <c r="GI79" s="62" t="str">
        <f t="shared" si="413"/>
        <v/>
      </c>
      <c r="GJ79" s="62" t="str">
        <f t="shared" si="413"/>
        <v/>
      </c>
      <c r="GK79" s="62" t="str">
        <f t="shared" si="413"/>
        <v/>
      </c>
      <c r="GL79" s="62" t="str">
        <f t="shared" si="413"/>
        <v/>
      </c>
      <c r="GM79" s="63" t="str">
        <f t="shared" si="413"/>
        <v/>
      </c>
      <c r="GN79" s="62" t="str">
        <f t="shared" si="413"/>
        <v/>
      </c>
      <c r="GO79" s="62" t="str">
        <f t="shared" si="413"/>
        <v/>
      </c>
      <c r="GP79" s="62" t="str">
        <f t="shared" si="413"/>
        <v/>
      </c>
      <c r="GQ79" s="62" t="str">
        <f t="shared" si="413"/>
        <v/>
      </c>
      <c r="GR79" s="62" t="str">
        <f t="shared" si="413"/>
        <v/>
      </c>
      <c r="GS79" s="62" t="str">
        <f t="shared" si="413"/>
        <v/>
      </c>
      <c r="GT79" s="63" t="str">
        <f t="shared" si="413"/>
        <v/>
      </c>
      <c r="GU79" s="62" t="str">
        <f t="shared" si="413"/>
        <v/>
      </c>
      <c r="GV79" s="62" t="str">
        <f t="shared" si="413"/>
        <v/>
      </c>
      <c r="GW79" s="62" t="str">
        <f t="shared" si="413"/>
        <v/>
      </c>
      <c r="GX79" s="62" t="str">
        <f t="shared" si="413"/>
        <v/>
      </c>
      <c r="GY79" s="62" t="str">
        <f t="shared" ref="GY79:JJ79" si="414">IF(SUM(GY72:GY77) &gt; 0, SUM(GY72:GY77), "")</f>
        <v/>
      </c>
      <c r="GZ79" s="62" t="str">
        <f t="shared" si="414"/>
        <v/>
      </c>
      <c r="HA79" s="63" t="str">
        <f t="shared" si="414"/>
        <v/>
      </c>
      <c r="HB79" s="62" t="str">
        <f t="shared" si="414"/>
        <v/>
      </c>
      <c r="HC79" s="62" t="str">
        <f t="shared" si="414"/>
        <v/>
      </c>
      <c r="HD79" s="62" t="str">
        <f t="shared" si="414"/>
        <v/>
      </c>
      <c r="HE79" s="62" t="str">
        <f t="shared" si="414"/>
        <v/>
      </c>
      <c r="HF79" s="62" t="str">
        <f t="shared" si="414"/>
        <v/>
      </c>
      <c r="HG79" s="62" t="str">
        <f t="shared" si="414"/>
        <v/>
      </c>
      <c r="HH79" s="63" t="str">
        <f t="shared" si="414"/>
        <v/>
      </c>
      <c r="HI79" s="62" t="str">
        <f t="shared" si="414"/>
        <v/>
      </c>
      <c r="HJ79" s="62" t="str">
        <f t="shared" si="414"/>
        <v/>
      </c>
      <c r="HK79" s="62" t="str">
        <f t="shared" si="414"/>
        <v/>
      </c>
      <c r="HL79" s="62" t="str">
        <f t="shared" si="414"/>
        <v/>
      </c>
      <c r="HM79" s="62" t="str">
        <f t="shared" si="414"/>
        <v/>
      </c>
      <c r="HN79" s="62" t="str">
        <f t="shared" si="414"/>
        <v/>
      </c>
      <c r="HO79" s="63" t="str">
        <f t="shared" si="414"/>
        <v/>
      </c>
      <c r="HP79" s="62" t="str">
        <f t="shared" si="414"/>
        <v/>
      </c>
      <c r="HQ79" s="62" t="str">
        <f t="shared" si="414"/>
        <v/>
      </c>
      <c r="HR79" s="62" t="str">
        <f t="shared" si="414"/>
        <v/>
      </c>
      <c r="HS79" s="62" t="str">
        <f t="shared" si="414"/>
        <v/>
      </c>
      <c r="HT79" s="62" t="str">
        <f t="shared" si="414"/>
        <v/>
      </c>
      <c r="HU79" s="62" t="str">
        <f t="shared" si="414"/>
        <v/>
      </c>
      <c r="HV79" s="63" t="str">
        <f t="shared" si="414"/>
        <v/>
      </c>
      <c r="HW79" s="62" t="str">
        <f t="shared" si="414"/>
        <v/>
      </c>
      <c r="HX79" s="62" t="str">
        <f t="shared" si="414"/>
        <v/>
      </c>
      <c r="HY79" s="62" t="str">
        <f t="shared" si="414"/>
        <v/>
      </c>
      <c r="HZ79" s="62" t="str">
        <f t="shared" si="414"/>
        <v/>
      </c>
      <c r="IA79" s="62" t="str">
        <f t="shared" si="414"/>
        <v/>
      </c>
      <c r="IB79" s="62" t="str">
        <f t="shared" si="414"/>
        <v/>
      </c>
      <c r="IC79" s="63" t="str">
        <f t="shared" si="414"/>
        <v/>
      </c>
      <c r="ID79" s="62" t="str">
        <f t="shared" si="414"/>
        <v/>
      </c>
      <c r="IE79" s="62" t="str">
        <f t="shared" si="414"/>
        <v/>
      </c>
      <c r="IF79" s="62" t="str">
        <f t="shared" si="414"/>
        <v/>
      </c>
      <c r="IG79" s="62" t="str">
        <f t="shared" si="414"/>
        <v/>
      </c>
      <c r="IH79" s="62" t="str">
        <f t="shared" si="414"/>
        <v/>
      </c>
      <c r="II79" s="62" t="str">
        <f t="shared" si="414"/>
        <v/>
      </c>
      <c r="IJ79" s="63" t="str">
        <f t="shared" si="414"/>
        <v/>
      </c>
      <c r="IK79" s="62" t="str">
        <f t="shared" si="414"/>
        <v/>
      </c>
      <c r="IL79" s="62" t="str">
        <f t="shared" si="414"/>
        <v/>
      </c>
      <c r="IM79" s="62" t="str">
        <f t="shared" si="414"/>
        <v/>
      </c>
      <c r="IN79" s="62" t="str">
        <f t="shared" si="414"/>
        <v/>
      </c>
      <c r="IO79" s="62" t="str">
        <f t="shared" si="414"/>
        <v/>
      </c>
      <c r="IP79" s="62" t="str">
        <f t="shared" si="414"/>
        <v/>
      </c>
      <c r="IQ79" s="63" t="str">
        <f t="shared" si="414"/>
        <v/>
      </c>
      <c r="IR79" s="62" t="str">
        <f t="shared" si="414"/>
        <v/>
      </c>
      <c r="IS79" s="62" t="str">
        <f t="shared" si="414"/>
        <v/>
      </c>
      <c r="IT79" s="62" t="str">
        <f t="shared" si="414"/>
        <v/>
      </c>
      <c r="IU79" s="62" t="str">
        <f t="shared" si="414"/>
        <v/>
      </c>
      <c r="IV79" s="62" t="str">
        <f t="shared" si="414"/>
        <v/>
      </c>
      <c r="IW79" s="62" t="str">
        <f t="shared" si="414"/>
        <v/>
      </c>
      <c r="IX79" s="63" t="str">
        <f t="shared" si="414"/>
        <v/>
      </c>
      <c r="IY79" s="62" t="str">
        <f t="shared" si="414"/>
        <v/>
      </c>
      <c r="IZ79" s="62" t="str">
        <f t="shared" si="414"/>
        <v/>
      </c>
      <c r="JA79" s="62" t="str">
        <f t="shared" si="414"/>
        <v/>
      </c>
      <c r="JB79" s="62" t="str">
        <f t="shared" si="414"/>
        <v/>
      </c>
      <c r="JC79" s="62" t="str">
        <f t="shared" si="414"/>
        <v/>
      </c>
      <c r="JD79" s="62" t="str">
        <f t="shared" si="414"/>
        <v/>
      </c>
      <c r="JE79" s="63" t="str">
        <f t="shared" si="414"/>
        <v/>
      </c>
      <c r="JF79" s="62" t="str">
        <f t="shared" si="414"/>
        <v/>
      </c>
      <c r="JG79" s="62" t="str">
        <f t="shared" si="414"/>
        <v/>
      </c>
      <c r="JH79" s="62" t="str">
        <f t="shared" si="414"/>
        <v/>
      </c>
      <c r="JI79" s="62" t="str">
        <f t="shared" si="414"/>
        <v/>
      </c>
      <c r="JJ79" s="62" t="str">
        <f t="shared" si="414"/>
        <v/>
      </c>
      <c r="JK79" s="62" t="str">
        <f t="shared" ref="JK79:LV79" si="415">IF(SUM(JK72:JK77) &gt; 0, SUM(JK72:JK77), "")</f>
        <v/>
      </c>
      <c r="JL79" s="63" t="str">
        <f t="shared" si="415"/>
        <v/>
      </c>
      <c r="JM79" s="62" t="str">
        <f t="shared" si="415"/>
        <v/>
      </c>
      <c r="JN79" s="62" t="str">
        <f t="shared" si="415"/>
        <v/>
      </c>
      <c r="JO79" s="62" t="str">
        <f t="shared" si="415"/>
        <v/>
      </c>
      <c r="JP79" s="62" t="str">
        <f t="shared" si="415"/>
        <v/>
      </c>
      <c r="JQ79" s="62" t="str">
        <f t="shared" si="415"/>
        <v/>
      </c>
      <c r="JR79" s="62" t="str">
        <f t="shared" si="415"/>
        <v/>
      </c>
      <c r="JS79" s="63" t="str">
        <f t="shared" si="415"/>
        <v/>
      </c>
      <c r="JT79" s="62" t="str">
        <f t="shared" si="415"/>
        <v/>
      </c>
      <c r="JU79" s="62" t="str">
        <f t="shared" si="415"/>
        <v/>
      </c>
      <c r="JV79" s="62" t="str">
        <f t="shared" si="415"/>
        <v/>
      </c>
      <c r="JW79" s="62" t="str">
        <f t="shared" si="415"/>
        <v/>
      </c>
      <c r="JX79" s="62" t="str">
        <f t="shared" si="415"/>
        <v/>
      </c>
      <c r="JY79" s="62" t="str">
        <f t="shared" si="415"/>
        <v/>
      </c>
      <c r="JZ79" s="63" t="str">
        <f t="shared" si="415"/>
        <v/>
      </c>
      <c r="KA79" s="62" t="str">
        <f t="shared" si="415"/>
        <v/>
      </c>
      <c r="KB79" s="62" t="str">
        <f t="shared" si="415"/>
        <v/>
      </c>
      <c r="KC79" s="62" t="str">
        <f t="shared" si="415"/>
        <v/>
      </c>
      <c r="KD79" s="62" t="str">
        <f t="shared" si="415"/>
        <v/>
      </c>
      <c r="KE79" s="62" t="str">
        <f t="shared" si="415"/>
        <v/>
      </c>
      <c r="KF79" s="62" t="str">
        <f t="shared" si="415"/>
        <v/>
      </c>
      <c r="KG79" s="63" t="str">
        <f t="shared" si="415"/>
        <v/>
      </c>
      <c r="KH79" s="62" t="str">
        <f t="shared" si="415"/>
        <v/>
      </c>
      <c r="KI79" s="62" t="str">
        <f t="shared" si="415"/>
        <v/>
      </c>
      <c r="KJ79" s="62" t="str">
        <f t="shared" si="415"/>
        <v/>
      </c>
      <c r="KK79" s="62" t="str">
        <f t="shared" si="415"/>
        <v/>
      </c>
      <c r="KL79" s="62" t="str">
        <f t="shared" si="415"/>
        <v/>
      </c>
      <c r="KM79" s="62" t="str">
        <f t="shared" si="415"/>
        <v/>
      </c>
      <c r="KN79" s="63" t="str">
        <f t="shared" si="415"/>
        <v/>
      </c>
      <c r="KO79" s="62" t="str">
        <f t="shared" si="415"/>
        <v/>
      </c>
      <c r="KP79" s="62" t="str">
        <f t="shared" si="415"/>
        <v/>
      </c>
      <c r="KQ79" s="62" t="str">
        <f t="shared" si="415"/>
        <v/>
      </c>
      <c r="KR79" s="62" t="str">
        <f t="shared" si="415"/>
        <v/>
      </c>
      <c r="KS79" s="62" t="str">
        <f t="shared" si="415"/>
        <v/>
      </c>
      <c r="KT79" s="62" t="str">
        <f t="shared" si="415"/>
        <v/>
      </c>
      <c r="KU79" s="63" t="str">
        <f t="shared" si="415"/>
        <v/>
      </c>
      <c r="KV79" s="62" t="str">
        <f t="shared" si="415"/>
        <v/>
      </c>
      <c r="KW79" s="62" t="str">
        <f t="shared" si="415"/>
        <v/>
      </c>
      <c r="KX79" s="62" t="str">
        <f t="shared" si="415"/>
        <v/>
      </c>
      <c r="KY79" s="62" t="str">
        <f t="shared" si="415"/>
        <v/>
      </c>
      <c r="KZ79" s="62" t="str">
        <f t="shared" si="415"/>
        <v/>
      </c>
      <c r="LA79" s="62" t="str">
        <f t="shared" si="415"/>
        <v/>
      </c>
      <c r="LB79" s="63" t="str">
        <f t="shared" si="415"/>
        <v/>
      </c>
      <c r="LC79" s="62" t="str">
        <f t="shared" si="415"/>
        <v/>
      </c>
      <c r="LD79" s="62" t="str">
        <f t="shared" si="415"/>
        <v/>
      </c>
      <c r="LE79" s="62" t="str">
        <f t="shared" si="415"/>
        <v/>
      </c>
      <c r="LF79" s="62" t="str">
        <f t="shared" si="415"/>
        <v/>
      </c>
      <c r="LG79" s="62" t="str">
        <f t="shared" si="415"/>
        <v/>
      </c>
      <c r="LH79" s="62" t="str">
        <f t="shared" si="415"/>
        <v/>
      </c>
      <c r="LI79" s="63" t="str">
        <f t="shared" si="415"/>
        <v/>
      </c>
      <c r="LJ79" s="62" t="str">
        <f t="shared" si="415"/>
        <v/>
      </c>
      <c r="LK79" s="62" t="str">
        <f t="shared" si="415"/>
        <v/>
      </c>
      <c r="LL79" s="62" t="str">
        <f t="shared" si="415"/>
        <v/>
      </c>
      <c r="LM79" s="62" t="str">
        <f t="shared" si="415"/>
        <v/>
      </c>
      <c r="LN79" s="62" t="str">
        <f t="shared" si="415"/>
        <v/>
      </c>
      <c r="LO79" s="62" t="str">
        <f t="shared" si="415"/>
        <v/>
      </c>
      <c r="LP79" s="63" t="str">
        <f t="shared" si="415"/>
        <v/>
      </c>
      <c r="LQ79" s="62" t="str">
        <f t="shared" si="415"/>
        <v/>
      </c>
      <c r="LR79" s="62" t="str">
        <f t="shared" si="415"/>
        <v/>
      </c>
      <c r="LS79" s="62" t="str">
        <f t="shared" si="415"/>
        <v/>
      </c>
      <c r="LT79" s="62" t="str">
        <f t="shared" si="415"/>
        <v/>
      </c>
      <c r="LU79" s="62" t="str">
        <f t="shared" si="415"/>
        <v/>
      </c>
      <c r="LV79" s="62" t="str">
        <f t="shared" si="415"/>
        <v/>
      </c>
      <c r="LW79" s="63" t="str">
        <f t="shared" ref="LW79:MR79" si="416">IF(SUM(LW72:LW77) &gt; 0, SUM(LW72:LW77), "")</f>
        <v/>
      </c>
      <c r="LX79" s="62" t="str">
        <f t="shared" si="416"/>
        <v/>
      </c>
      <c r="LY79" s="62" t="str">
        <f t="shared" si="416"/>
        <v/>
      </c>
      <c r="LZ79" s="62" t="str">
        <f t="shared" si="416"/>
        <v/>
      </c>
      <c r="MA79" s="62" t="str">
        <f t="shared" si="416"/>
        <v/>
      </c>
      <c r="MB79" s="62" t="str">
        <f t="shared" si="416"/>
        <v/>
      </c>
      <c r="MC79" s="62" t="str">
        <f t="shared" si="416"/>
        <v/>
      </c>
      <c r="MD79" s="63" t="str">
        <f t="shared" si="416"/>
        <v/>
      </c>
      <c r="ME79" s="62" t="str">
        <f t="shared" si="416"/>
        <v/>
      </c>
      <c r="MF79" s="62" t="str">
        <f t="shared" si="416"/>
        <v/>
      </c>
      <c r="MG79" s="62" t="str">
        <f t="shared" si="416"/>
        <v/>
      </c>
      <c r="MH79" s="62" t="str">
        <f t="shared" si="416"/>
        <v/>
      </c>
      <c r="MI79" s="62" t="str">
        <f t="shared" si="416"/>
        <v/>
      </c>
      <c r="MJ79" s="62" t="str">
        <f t="shared" si="416"/>
        <v/>
      </c>
      <c r="MK79" s="63" t="str">
        <f t="shared" si="416"/>
        <v/>
      </c>
      <c r="ML79" s="62" t="str">
        <f t="shared" si="416"/>
        <v/>
      </c>
      <c r="MM79" s="62" t="str">
        <f t="shared" si="416"/>
        <v/>
      </c>
      <c r="MN79" s="62" t="str">
        <f t="shared" si="416"/>
        <v/>
      </c>
      <c r="MO79" s="62" t="str">
        <f t="shared" si="416"/>
        <v/>
      </c>
      <c r="MP79" s="62" t="str">
        <f t="shared" si="416"/>
        <v/>
      </c>
      <c r="MQ79" s="62" t="str">
        <f t="shared" si="416"/>
        <v/>
      </c>
      <c r="MR79" s="87" t="str">
        <f t="shared" si="416"/>
        <v/>
      </c>
    </row>
    <row r="80" spans="1:356" ht="15.75" thickBot="1" x14ac:dyDescent="0.3">
      <c r="A80" s="64" t="s">
        <v>249</v>
      </c>
      <c r="B80" s="62"/>
      <c r="C80" s="62"/>
      <c r="D80" s="62"/>
      <c r="E80" s="63"/>
      <c r="F80" s="62"/>
      <c r="G80" s="62"/>
      <c r="H80" s="62"/>
      <c r="I80" s="62"/>
      <c r="J80" s="62"/>
      <c r="K80" s="62"/>
      <c r="L80" s="62"/>
      <c r="M80" s="62"/>
      <c r="N80" s="62"/>
      <c r="O80" s="63"/>
      <c r="P80" s="62"/>
      <c r="Q80" s="62"/>
      <c r="R80" s="63"/>
      <c r="S80" s="62" t="str">
        <f>IF(SUM(S67, S79) &gt; 0, SUM(S67, S79), "")</f>
        <v/>
      </c>
      <c r="T80" s="65" t="str">
        <f t="shared" ref="T80:Z80" si="417">IF(SUM(T67, T79) &gt; 0, SUM(T67, T79), "")</f>
        <v/>
      </c>
      <c r="U80" s="62" t="str">
        <f t="shared" si="417"/>
        <v/>
      </c>
      <c r="V80" s="62" t="str">
        <f t="shared" si="417"/>
        <v/>
      </c>
      <c r="W80" s="62" t="str">
        <f t="shared" si="417"/>
        <v/>
      </c>
      <c r="X80" s="62" t="str">
        <f t="shared" si="417"/>
        <v/>
      </c>
      <c r="Y80" s="62" t="str">
        <f t="shared" si="417"/>
        <v/>
      </c>
      <c r="Z80" s="63" t="str">
        <f t="shared" si="417"/>
        <v/>
      </c>
      <c r="AA80" s="65" t="str">
        <f t="shared" ref="AA80" si="418">IF(SUM(AA67, AA79) &gt; 0, SUM(AA67, AA79), "")</f>
        <v/>
      </c>
      <c r="AB80" s="62" t="str">
        <f t="shared" ref="AB80" si="419">IF(SUM(AB67, AB79) &gt; 0, SUM(AB67, AB79), "")</f>
        <v/>
      </c>
      <c r="AC80" s="62" t="str">
        <f t="shared" ref="AC80" si="420">IF(SUM(AC67, AC79) &gt; 0, SUM(AC67, AC79), "")</f>
        <v/>
      </c>
      <c r="AD80" s="62" t="str">
        <f t="shared" ref="AD80" si="421">IF(SUM(AD67, AD79) &gt; 0, SUM(AD67, AD79), "")</f>
        <v/>
      </c>
      <c r="AE80" s="62" t="str">
        <f t="shared" ref="AE80" si="422">IF(SUM(AE67, AE79) &gt; 0, SUM(AE67, AE79), "")</f>
        <v/>
      </c>
      <c r="AF80" s="62" t="str">
        <f t="shared" ref="AF80" si="423">IF(SUM(AF67, AF79) &gt; 0, SUM(AF67, AF79), "")</f>
        <v/>
      </c>
      <c r="AG80" s="63" t="str">
        <f t="shared" ref="AG80" si="424">IF(SUM(AG67, AG79) &gt; 0, SUM(AG67, AG79), "")</f>
        <v/>
      </c>
      <c r="AH80" s="65" t="str">
        <f t="shared" ref="AH80" si="425">IF(SUM(AH67, AH79) &gt; 0, SUM(AH67, AH79), "")</f>
        <v/>
      </c>
      <c r="AI80" s="62">
        <f t="shared" ref="AI80" si="426">IF(SUM(AI67, AI79) &gt; 0, SUM(AI67, AI79), "")</f>
        <v>11</v>
      </c>
      <c r="AJ80" s="62" t="str">
        <f t="shared" ref="AJ80" si="427">IF(SUM(AJ67, AJ79) &gt; 0, SUM(AJ67, AJ79), "")</f>
        <v/>
      </c>
      <c r="AK80" s="62">
        <f t="shared" ref="AK80" si="428">IF(SUM(AK67, AK79) &gt; 0, SUM(AK67, AK79), "")</f>
        <v>10</v>
      </c>
      <c r="AL80" s="62" t="str">
        <f t="shared" ref="AL80" si="429">IF(SUM(AL67, AL79) &gt; 0, SUM(AL67, AL79), "")</f>
        <v/>
      </c>
      <c r="AM80" s="62" t="str">
        <f t="shared" ref="AM80" si="430">IF(SUM(AM67, AM79) &gt; 0, SUM(AM67, AM79), "")</f>
        <v/>
      </c>
      <c r="AN80" s="63" t="str">
        <f t="shared" ref="AN80" si="431">IF(SUM(AN67, AN79) &gt; 0, SUM(AN67, AN79), "")</f>
        <v/>
      </c>
      <c r="AO80" s="65" t="str">
        <f t="shared" ref="AO80" si="432">IF(SUM(AO67, AO79) &gt; 0, SUM(AO67, AO79), "")</f>
        <v/>
      </c>
      <c r="AP80" s="62">
        <f t="shared" ref="AP80" si="433">IF(SUM(AP67, AP79) &gt; 0, SUM(AP67, AP79), "")</f>
        <v>11</v>
      </c>
      <c r="AQ80" s="62" t="str">
        <f t="shared" ref="AQ80" si="434">IF(SUM(AQ67, AQ79) &gt; 0, SUM(AQ67, AQ79), "")</f>
        <v/>
      </c>
      <c r="AR80" s="62">
        <f t="shared" ref="AR80" si="435">IF(SUM(AR67, AR79) &gt; 0, SUM(AR67, AR79), "")</f>
        <v>10</v>
      </c>
      <c r="AS80" s="62" t="str">
        <f t="shared" ref="AS80" si="436">IF(SUM(AS67, AS79) &gt; 0, SUM(AS67, AS79), "")</f>
        <v/>
      </c>
      <c r="AT80" s="62" t="str">
        <f t="shared" ref="AT80" si="437">IF(SUM(AT67, AT79) &gt; 0, SUM(AT67, AT79), "")</f>
        <v/>
      </c>
      <c r="AU80" s="63" t="str">
        <f t="shared" ref="AU80" si="438">IF(SUM(AU67, AU79) &gt; 0, SUM(AU67, AU79), "")</f>
        <v/>
      </c>
      <c r="AV80" s="65" t="str">
        <f t="shared" ref="AV80" si="439">IF(SUM(AV67, AV79) &gt; 0, SUM(AV67, AV79), "")</f>
        <v/>
      </c>
      <c r="AW80" s="62">
        <f t="shared" ref="AW80" si="440">IF(SUM(AW67, AW79) &gt; 0, SUM(AW67, AW79), "")</f>
        <v>11</v>
      </c>
      <c r="AX80" s="62">
        <f t="shared" ref="AX80" si="441">IF(SUM(AX67, AX79) &gt; 0, SUM(AX67, AX79), "")</f>
        <v>6</v>
      </c>
      <c r="AY80" s="62">
        <f t="shared" ref="AY80" si="442">IF(SUM(AY67, AY79) &gt; 0, SUM(AY67, AY79), "")</f>
        <v>8</v>
      </c>
      <c r="AZ80" s="62" t="str">
        <f t="shared" ref="AZ80" si="443">IF(SUM(AZ67, AZ79) &gt; 0, SUM(AZ67, AZ79), "")</f>
        <v/>
      </c>
      <c r="BA80" s="62" t="str">
        <f t="shared" ref="BA80" si="444">IF(SUM(BA67, BA79) &gt; 0, SUM(BA67, BA79), "")</f>
        <v/>
      </c>
      <c r="BB80" s="63" t="str">
        <f t="shared" ref="BB80" si="445">IF(SUM(BB67, BB79) &gt; 0, SUM(BB67, BB79), "")</f>
        <v/>
      </c>
      <c r="BC80" s="65" t="str">
        <f t="shared" ref="BC80" si="446">IF(SUM(BC67, BC79) &gt; 0, SUM(BC67, BC79), "")</f>
        <v/>
      </c>
      <c r="BD80" s="62">
        <f t="shared" ref="BD80" si="447">IF(SUM(BD67, BD79) &gt; 0, SUM(BD67, BD79), "")</f>
        <v>11</v>
      </c>
      <c r="BE80" s="62" t="str">
        <f t="shared" ref="BE80" si="448">IF(SUM(BE67, BE79) &gt; 0, SUM(BE67, BE79), "")</f>
        <v/>
      </c>
      <c r="BF80" s="62">
        <f t="shared" ref="BF80" si="449">IF(SUM(BF67, BF79) &gt; 0, SUM(BF67, BF79), "")</f>
        <v>8</v>
      </c>
      <c r="BG80" s="62" t="str">
        <f t="shared" ref="BG80" si="450">IF(SUM(BG67, BG79) &gt; 0, SUM(BG67, BG79), "")</f>
        <v/>
      </c>
      <c r="BH80" s="62" t="str">
        <f t="shared" ref="BH80" si="451">IF(SUM(BH67, BH79) &gt; 0, SUM(BH67, BH79), "")</f>
        <v/>
      </c>
      <c r="BI80" s="63" t="str">
        <f t="shared" ref="BI80" si="452">IF(SUM(BI67, BI79) &gt; 0, SUM(BI67, BI79), "")</f>
        <v/>
      </c>
      <c r="BJ80" s="65" t="str">
        <f t="shared" ref="BJ80" si="453">IF(SUM(BJ67, BJ79) &gt; 0, SUM(BJ67, BJ79), "")</f>
        <v/>
      </c>
      <c r="BK80" s="62">
        <f t="shared" ref="BK80" si="454">IF(SUM(BK67, BK79) &gt; 0, SUM(BK67, BK79), "")</f>
        <v>9</v>
      </c>
      <c r="BL80" s="62" t="str">
        <f t="shared" ref="BL80" si="455">IF(SUM(BL67, BL79) &gt; 0, SUM(BL67, BL79), "")</f>
        <v/>
      </c>
      <c r="BM80" s="62">
        <f t="shared" ref="BM80" si="456">IF(SUM(BM67, BM79) &gt; 0, SUM(BM67, BM79), "")</f>
        <v>13</v>
      </c>
      <c r="BN80" s="62">
        <f t="shared" ref="BN80" si="457">IF(SUM(BN67, BN79) &gt; 0, SUM(BN67, BN79), "")</f>
        <v>12</v>
      </c>
      <c r="BO80" s="62" t="str">
        <f t="shared" ref="BO80:BP80" si="458">IF(SUM(BO67, BO79) &gt; 0, SUM(BO67, BO79), "")</f>
        <v/>
      </c>
      <c r="BP80" s="63">
        <f t="shared" si="458"/>
        <v>5</v>
      </c>
      <c r="BQ80" s="62" t="str">
        <f t="shared" ref="BQ80" si="459">IF(SUM(BQ67, BQ79) &gt; 0, SUM(BQ67, BQ79), "")</f>
        <v/>
      </c>
      <c r="BR80" s="62" t="str">
        <f t="shared" ref="BR80" si="460">IF(SUM(BR67, BR79) &gt; 0, SUM(BR67, BR79), "")</f>
        <v/>
      </c>
      <c r="BS80" s="62" t="str">
        <f t="shared" ref="BS80" si="461">IF(SUM(BS67, BS79) &gt; 0, SUM(BS67, BS79), "")</f>
        <v/>
      </c>
      <c r="BT80" s="62" t="str">
        <f t="shared" ref="BT80" si="462">IF(SUM(BT67, BT79) &gt; 0, SUM(BT67, BT79), "")</f>
        <v/>
      </c>
      <c r="BU80" s="62" t="str">
        <f t="shared" ref="BU80" si="463">IF(SUM(BU67, BU79) &gt; 0, SUM(BU67, BU79), "")</f>
        <v/>
      </c>
      <c r="BV80" s="62" t="str">
        <f t="shared" ref="BV80:BW80" si="464">IF(SUM(BV67, BV79) &gt; 0, SUM(BV67, BV79), "")</f>
        <v/>
      </c>
      <c r="BW80" s="62">
        <f t="shared" si="464"/>
        <v>2</v>
      </c>
      <c r="BX80" s="62"/>
      <c r="BY80" s="63" t="str">
        <f t="shared" ref="BY80" si="465">IF(SUM(BY67, BY79) &gt; 0, SUM(BY67, BY79), "")</f>
        <v/>
      </c>
      <c r="BZ80" s="65" t="str">
        <f t="shared" ref="BZ80" si="466">IF(SUM(BZ67, BZ79) &gt; 0, SUM(BZ67, BZ79), "")</f>
        <v/>
      </c>
      <c r="CA80" s="62" t="str">
        <f t="shared" ref="CA80" si="467">IF(SUM(CA67, CA79) &gt; 0, SUM(CA67, CA79), "")</f>
        <v/>
      </c>
      <c r="CB80" s="62" t="str">
        <f t="shared" ref="CB80" si="468">IF(SUM(CB67, CB79) &gt; 0, SUM(CB67, CB79), "")</f>
        <v/>
      </c>
      <c r="CC80" s="62" t="str">
        <f t="shared" ref="CC80" si="469">IF(SUM(CC67, CC79) &gt; 0, SUM(CC67, CC79), "")</f>
        <v/>
      </c>
      <c r="CD80" s="62" t="str">
        <f t="shared" ref="CD80" si="470">IF(SUM(CD67, CD79) &gt; 0, SUM(CD67, CD79), "")</f>
        <v/>
      </c>
      <c r="CE80" s="62" t="str">
        <f t="shared" ref="CE80" si="471">IF(SUM(CE67, CE79) &gt; 0, SUM(CE67, CE79), "")</f>
        <v/>
      </c>
      <c r="CF80" s="62"/>
      <c r="CG80" s="62"/>
      <c r="CH80" s="63" t="str">
        <f t="shared" ref="CH80" si="472">IF(SUM(CH67, CH79) &gt; 0, SUM(CH67, CH79), "")</f>
        <v/>
      </c>
      <c r="CI80" s="65" t="str">
        <f t="shared" ref="CI80" si="473">IF(SUM(CI67, CI79) &gt; 0, SUM(CI67, CI79), "")</f>
        <v/>
      </c>
      <c r="CJ80" s="62" t="str">
        <f t="shared" ref="CJ80" si="474">IF(SUM(CJ67, CJ79) &gt; 0, SUM(CJ67, CJ79), "")</f>
        <v/>
      </c>
      <c r="CK80" s="62" t="str">
        <f t="shared" ref="CK80" si="475">IF(SUM(CK67, CK79) &gt; 0, SUM(CK67, CK79), "")</f>
        <v/>
      </c>
      <c r="CL80" s="62" t="str">
        <f t="shared" ref="CL80" si="476">IF(SUM(CL67, CL79) &gt; 0, SUM(CL67, CL79), "")</f>
        <v/>
      </c>
      <c r="CM80" s="62" t="str">
        <f t="shared" ref="CM80" si="477">IF(SUM(CM67, CM79) &gt; 0, SUM(CM67, CM79), "")</f>
        <v/>
      </c>
      <c r="CN80" s="62" t="str">
        <f t="shared" ref="CN80:CO80" si="478">IF(SUM(CN67, CN79) &gt; 0, SUM(CN67, CN79), "")</f>
        <v/>
      </c>
      <c r="CO80" s="62" t="str">
        <f t="shared" si="478"/>
        <v/>
      </c>
      <c r="CP80" s="62"/>
      <c r="CQ80" s="63" t="str">
        <f t="shared" ref="CQ80" si="479">IF(SUM(CQ67, CQ79) &gt; 0, SUM(CQ67, CQ79), "")</f>
        <v/>
      </c>
      <c r="CR80" s="65" t="str">
        <f t="shared" ref="CR80" si="480">IF(SUM(CR67, CR79) &gt; 0, SUM(CR67, CR79), "")</f>
        <v/>
      </c>
      <c r="CS80" s="62" t="str">
        <f t="shared" ref="CS80" si="481">IF(SUM(CS67, CS79) &gt; 0, SUM(CS67, CS79), "")</f>
        <v/>
      </c>
      <c r="CT80" s="62" t="str">
        <f t="shared" ref="CT80" si="482">IF(SUM(CT67, CT79) &gt; 0, SUM(CT67, CT79), "")</f>
        <v/>
      </c>
      <c r="CU80" s="62" t="str">
        <f t="shared" ref="CU80" si="483">IF(SUM(CU67, CU79) &gt; 0, SUM(CU67, CU79), "")</f>
        <v/>
      </c>
      <c r="CV80" s="62" t="str">
        <f t="shared" ref="CV80" si="484">IF(SUM(CV67, CV79) &gt; 0, SUM(CV67, CV79), "")</f>
        <v/>
      </c>
      <c r="CW80" s="62"/>
      <c r="CX80" s="62"/>
      <c r="CY80" s="62" t="str">
        <f t="shared" ref="CY80" si="485">IF(SUM(CY67, CY79) &gt; 0, SUM(CY67, CY79), "")</f>
        <v/>
      </c>
      <c r="CZ80" s="63" t="str">
        <f t="shared" ref="CZ80" si="486">IF(SUM(CZ67, CZ79) &gt; 0, SUM(CZ67, CZ79), "")</f>
        <v/>
      </c>
      <c r="DA80" s="65" t="str">
        <f t="shared" ref="DA80" si="487">IF(SUM(DA67, DA79) &gt; 0, SUM(DA67, DA79), "")</f>
        <v/>
      </c>
      <c r="DB80" s="62" t="str">
        <f t="shared" ref="DB80" si="488">IF(SUM(DB67, DB79) &gt; 0, SUM(DB67, DB79), "")</f>
        <v/>
      </c>
      <c r="DC80" s="62" t="str">
        <f t="shared" ref="DC80" si="489">IF(SUM(DC67, DC79) &gt; 0, SUM(DC67, DC79), "")</f>
        <v/>
      </c>
      <c r="DD80" s="62" t="str">
        <f t="shared" ref="DD80" si="490">IF(SUM(DD67, DD79) &gt; 0, SUM(DD67, DD79), "")</f>
        <v/>
      </c>
      <c r="DE80" s="62" t="str">
        <f t="shared" ref="DE80" si="491">IF(SUM(DE67, DE79) &gt; 0, SUM(DE67, DE79), "")</f>
        <v/>
      </c>
      <c r="DF80" s="62" t="str">
        <f t="shared" ref="DF80" si="492">IF(SUM(DF67, DF79) &gt; 0, SUM(DF67, DF79), "")</f>
        <v/>
      </c>
      <c r="DG80" s="62"/>
      <c r="DH80" s="62"/>
      <c r="DI80" s="63" t="str">
        <f t="shared" ref="DI80" si="493">IF(SUM(DI67, DI79) &gt; 0, SUM(DI67, DI79), "")</f>
        <v/>
      </c>
      <c r="DJ80" s="65" t="str">
        <f t="shared" ref="DJ80" si="494">IF(SUM(DJ67, DJ79) &gt; 0, SUM(DJ67, DJ79), "")</f>
        <v/>
      </c>
      <c r="DK80" s="62" t="str">
        <f t="shared" ref="DK80" si="495">IF(SUM(DK67, DK79) &gt; 0, SUM(DK67, DK79), "")</f>
        <v/>
      </c>
      <c r="DL80" s="62" t="str">
        <f t="shared" ref="DL80" si="496">IF(SUM(DL67, DL79) &gt; 0, SUM(DL67, DL79), "")</f>
        <v/>
      </c>
      <c r="DM80" s="62" t="str">
        <f t="shared" ref="DM80" si="497">IF(SUM(DM67, DM79) &gt; 0, SUM(DM67, DM79), "")</f>
        <v/>
      </c>
      <c r="DN80" s="62" t="str">
        <f t="shared" ref="DN80" si="498">IF(SUM(DN67, DN79) &gt; 0, SUM(DN67, DN79), "")</f>
        <v/>
      </c>
      <c r="DO80" s="62" t="str">
        <f t="shared" ref="DO80" si="499">IF(SUM(DO67, DO79) &gt; 0, SUM(DO67, DO79), "")</f>
        <v/>
      </c>
      <c r="DP80" s="62"/>
      <c r="DQ80" s="62"/>
      <c r="DR80" s="63" t="str">
        <f t="shared" ref="DR80" si="500">IF(SUM(DR67, DR79) &gt; 0, SUM(DR67, DR79), "")</f>
        <v/>
      </c>
      <c r="DS80" s="65" t="str">
        <f t="shared" ref="DS80" si="501">IF(SUM(DS67, DS79) &gt; 0, SUM(DS67, DS79), "")</f>
        <v/>
      </c>
      <c r="DT80" s="62">
        <f t="shared" ref="DT80" si="502">IF(SUM(DT67, DT79) &gt; 0, SUM(DT67, DT79), "")</f>
        <v>8</v>
      </c>
      <c r="DU80" s="62" t="str">
        <f t="shared" ref="DU80" si="503">IF(SUM(DU67, DU79) &gt; 0, SUM(DU67, DU79), "")</f>
        <v/>
      </c>
      <c r="DV80" s="62">
        <f t="shared" ref="DV80" si="504">IF(SUM(DV67, DV79) &gt; 0, SUM(DV67, DV79), "")</f>
        <v>7</v>
      </c>
      <c r="DW80" s="62">
        <f t="shared" ref="DW80" si="505">IF(SUM(DW67, DW79) &gt; 0, SUM(DW67, DW79), "")</f>
        <v>6</v>
      </c>
      <c r="DX80" s="62"/>
      <c r="DY80" s="62"/>
      <c r="DZ80" s="62" t="str">
        <f t="shared" ref="DZ80" si="506">IF(SUM(DZ67, DZ79) &gt; 0, SUM(DZ67, DZ79), "")</f>
        <v/>
      </c>
      <c r="EA80" s="63" t="str">
        <f t="shared" ref="EA80" si="507">IF(SUM(EA67, EA79) &gt; 0, SUM(EA67, EA79), "")</f>
        <v/>
      </c>
      <c r="EB80" s="65" t="str">
        <f t="shared" ref="EB80" si="508">IF(SUM(EB67, EB79) &gt; 0, SUM(EB67, EB79), "")</f>
        <v/>
      </c>
      <c r="EC80" s="62">
        <f t="shared" ref="EC80" si="509">IF(SUM(EC67, EC79) &gt; 0, SUM(EC67, EC79), "")</f>
        <v>7</v>
      </c>
      <c r="ED80" s="62" t="str">
        <f t="shared" ref="ED80" si="510">IF(SUM(ED67, ED79) &gt; 0, SUM(ED67, ED79), "")</f>
        <v/>
      </c>
      <c r="EE80" s="62">
        <f t="shared" ref="EE80" si="511">IF(SUM(EE67, EE79) &gt; 0, SUM(EE67, EE79), "")</f>
        <v>6</v>
      </c>
      <c r="EF80" s="62">
        <f t="shared" ref="EF80" si="512">IF(SUM(EF67, EF79) &gt; 0, SUM(EF67, EF79), "")</f>
        <v>4</v>
      </c>
      <c r="EG80" s="62"/>
      <c r="EH80" s="62"/>
      <c r="EI80" s="62" t="str">
        <f t="shared" ref="EI80" si="513">IF(SUM(EI67, EI79) &gt; 0, SUM(EI67, EI79), "")</f>
        <v/>
      </c>
      <c r="EJ80" s="63" t="str">
        <f t="shared" ref="EJ80" si="514">IF(SUM(EJ67, EJ79) &gt; 0, SUM(EJ67, EJ79), "")</f>
        <v/>
      </c>
      <c r="EK80" s="65" t="str">
        <f t="shared" ref="EK80" si="515">IF(SUM(EK67, EK79) &gt; 0, SUM(EK67, EK79), "")</f>
        <v/>
      </c>
      <c r="EL80" s="62">
        <f t="shared" ref="EL80" si="516">IF(SUM(EL67, EL79) &gt; 0, SUM(EL67, EL79), "")</f>
        <v>7</v>
      </c>
      <c r="EM80" s="62" t="str">
        <f t="shared" ref="EM80" si="517">IF(SUM(EM67, EM79) &gt; 0, SUM(EM67, EM79), "")</f>
        <v/>
      </c>
      <c r="EN80" s="62">
        <f t="shared" ref="EN80" si="518">IF(SUM(EN67, EN79) &gt; 0, SUM(EN67, EN79), "")</f>
        <v>8</v>
      </c>
      <c r="EO80" s="62">
        <f t="shared" ref="EO80" si="519">IF(SUM(EO67, EO79) &gt; 0, SUM(EO67, EO79), "")</f>
        <v>7</v>
      </c>
      <c r="EP80" s="62" t="str">
        <f t="shared" ref="EP80" si="520">IF(SUM(EP67, EP79) &gt; 0, SUM(EP67, EP79), "")</f>
        <v/>
      </c>
      <c r="EQ80" s="62"/>
      <c r="ER80" s="62"/>
      <c r="ES80" s="63" t="str">
        <f t="shared" ref="ES80" si="521">IF(SUM(ES67, ES79) &gt; 0, SUM(ES67, ES79), "")</f>
        <v/>
      </c>
      <c r="ET80" s="65" t="str">
        <f t="shared" ref="ET80" si="522">IF(SUM(ET67, ET79) &gt; 0, SUM(ET67, ET79), "")</f>
        <v/>
      </c>
      <c r="EU80" s="62">
        <f t="shared" ref="EU80" si="523">IF(SUM(EU67, EU79) &gt; 0, SUM(EU67, EU79), "")</f>
        <v>10</v>
      </c>
      <c r="EV80" s="62" t="str">
        <f t="shared" ref="EV80" si="524">IF(SUM(EV67, EV79) &gt; 0, SUM(EV67, EV79), "")</f>
        <v/>
      </c>
      <c r="EW80" s="62">
        <f t="shared" ref="EW80" si="525">IF(SUM(EW67, EW79) &gt; 0, SUM(EW67, EW79), "")</f>
        <v>5</v>
      </c>
      <c r="EX80" s="62">
        <f t="shared" ref="EX80" si="526">IF(SUM(EX67, EX79) &gt; 0, SUM(EX67, EX79), "")</f>
        <v>6</v>
      </c>
      <c r="EY80" s="62" t="str">
        <f t="shared" ref="EY80" si="527">IF(SUM(EY67, EY79) &gt; 0, SUM(EY67, EY79), "")</f>
        <v/>
      </c>
      <c r="EZ80" s="62"/>
      <c r="FA80" s="62"/>
      <c r="FB80" s="63" t="str">
        <f t="shared" ref="FB80" si="528">IF(SUM(FB67, FB79) &gt; 0, SUM(FB67, FB79), "")</f>
        <v/>
      </c>
      <c r="FC80" s="65" t="str">
        <f t="shared" ref="FC80" si="529">IF(SUM(FC67, FC79) &gt; 0, SUM(FC67, FC79), "")</f>
        <v/>
      </c>
      <c r="FD80" s="62">
        <f t="shared" ref="FD80" si="530">IF(SUM(FD67, FD79) &gt; 0, SUM(FD67, FD79), "")</f>
        <v>9</v>
      </c>
      <c r="FE80" s="62" t="str">
        <f t="shared" ref="FE80" si="531">IF(SUM(FE67, FE79) &gt; 0, SUM(FE67, FE79), "")</f>
        <v/>
      </c>
      <c r="FF80" s="62" t="str">
        <f t="shared" ref="FF80" si="532">IF(SUM(FF67, FF79) &gt; 0, SUM(FF67, FF79), "")</f>
        <v/>
      </c>
      <c r="FG80" s="62" t="str">
        <f t="shared" ref="FG80" si="533">IF(SUM(FG67, FG79) &gt; 0, SUM(FG67, FG79), "")</f>
        <v/>
      </c>
      <c r="FH80" s="62" t="str">
        <f t="shared" ref="FH80" si="534">IF(SUM(FH67, FH79) &gt; 0, SUM(FH67, FH79), "")</f>
        <v/>
      </c>
      <c r="FI80" s="62"/>
      <c r="FJ80" s="62"/>
      <c r="FK80" s="63" t="str">
        <f t="shared" ref="FK80" si="535">IF(SUM(FK67, FK79) &gt; 0, SUM(FK67, FK79), "")</f>
        <v/>
      </c>
      <c r="FL80" s="65" t="str">
        <f t="shared" ref="FL80" si="536">IF(SUM(FL67, FL79) &gt; 0, SUM(FL67, FL79), "")</f>
        <v/>
      </c>
      <c r="FM80" s="62" t="str">
        <f t="shared" ref="FM80" si="537">IF(SUM(FM67, FM79) &gt; 0, SUM(FM67, FM79), "")</f>
        <v/>
      </c>
      <c r="FN80" s="62" t="str">
        <f t="shared" ref="FN80" si="538">IF(SUM(FN67, FN79) &gt; 0, SUM(FN67, FN79), "")</f>
        <v/>
      </c>
      <c r="FO80" s="62" t="str">
        <f t="shared" ref="FO80" si="539">IF(SUM(FO67, FO79) &gt; 0, SUM(FO67, FO79), "")</f>
        <v/>
      </c>
      <c r="FP80" s="62" t="str">
        <f t="shared" ref="FP80" si="540">IF(SUM(FP67, FP79) &gt; 0, SUM(FP67, FP79), "")</f>
        <v/>
      </c>
      <c r="FQ80" s="62" t="str">
        <f t="shared" ref="FQ80" si="541">IF(SUM(FQ67, FQ79) &gt; 0, SUM(FQ67, FQ79), "")</f>
        <v/>
      </c>
      <c r="FR80" s="63" t="str">
        <f t="shared" ref="FR80" si="542">IF(SUM(FR67, FR79) &gt; 0, SUM(FR67, FR79), "")</f>
        <v/>
      </c>
      <c r="FS80" s="65" t="str">
        <f t="shared" ref="FS80" si="543">IF(SUM(FS67, FS79) &gt; 0, SUM(FS67, FS79), "")</f>
        <v/>
      </c>
      <c r="FT80" s="62" t="str">
        <f t="shared" ref="FT80" si="544">IF(SUM(FT67, FT79) &gt; 0, SUM(FT67, FT79), "")</f>
        <v/>
      </c>
      <c r="FU80" s="62" t="str">
        <f t="shared" ref="FU80" si="545">IF(SUM(FU67, FU79) &gt; 0, SUM(FU67, FU79), "")</f>
        <v/>
      </c>
      <c r="FV80" s="62" t="str">
        <f t="shared" ref="FV80" si="546">IF(SUM(FV67, FV79) &gt; 0, SUM(FV67, FV79), "")</f>
        <v/>
      </c>
      <c r="FW80" s="62" t="str">
        <f t="shared" ref="FW80" si="547">IF(SUM(FW67, FW79) &gt; 0, SUM(FW67, FW79), "")</f>
        <v/>
      </c>
      <c r="FX80" s="62" t="str">
        <f t="shared" ref="FX80" si="548">IF(SUM(FX67, FX79) &gt; 0, SUM(FX67, FX79), "")</f>
        <v/>
      </c>
      <c r="FY80" s="63" t="str">
        <f t="shared" ref="FY80" si="549">IF(SUM(FY67, FY79) &gt; 0, SUM(FY67, FY79), "")</f>
        <v/>
      </c>
      <c r="FZ80" s="65" t="str">
        <f t="shared" ref="FZ80" si="550">IF(SUM(FZ67, FZ79) &gt; 0, SUM(FZ67, FZ79), "")</f>
        <v/>
      </c>
      <c r="GA80" s="62" t="str">
        <f t="shared" ref="GA80" si="551">IF(SUM(GA67, GA79) &gt; 0, SUM(GA67, GA79), "")</f>
        <v/>
      </c>
      <c r="GB80" s="62" t="str">
        <f t="shared" ref="GB80" si="552">IF(SUM(GB67, GB79) &gt; 0, SUM(GB67, GB79), "")</f>
        <v/>
      </c>
      <c r="GC80" s="62" t="str">
        <f t="shared" ref="GC80" si="553">IF(SUM(GC67, GC79) &gt; 0, SUM(GC67, GC79), "")</f>
        <v/>
      </c>
      <c r="GD80" s="62" t="str">
        <f t="shared" ref="GD80" si="554">IF(SUM(GD67, GD79) &gt; 0, SUM(GD67, GD79), "")</f>
        <v/>
      </c>
      <c r="GE80" s="62" t="str">
        <f t="shared" ref="GE80" si="555">IF(SUM(GE67, GE79) &gt; 0, SUM(GE67, GE79), "")</f>
        <v/>
      </c>
      <c r="GF80" s="63" t="str">
        <f t="shared" ref="GF80" si="556">IF(SUM(GF67, GF79) &gt; 0, SUM(GF67, GF79), "")</f>
        <v/>
      </c>
      <c r="GG80" s="65" t="str">
        <f t="shared" ref="GG80" si="557">IF(SUM(GG67, GG79) &gt; 0, SUM(GG67, GG79), "")</f>
        <v/>
      </c>
      <c r="GH80" s="62" t="str">
        <f t="shared" ref="GH80" si="558">IF(SUM(GH67, GH79) &gt; 0, SUM(GH67, GH79), "")</f>
        <v/>
      </c>
      <c r="GI80" s="62" t="str">
        <f t="shared" ref="GI80" si="559">IF(SUM(GI67, GI79) &gt; 0, SUM(GI67, GI79), "")</f>
        <v/>
      </c>
      <c r="GJ80" s="62" t="str">
        <f t="shared" ref="GJ80" si="560">IF(SUM(GJ67, GJ79) &gt; 0, SUM(GJ67, GJ79), "")</f>
        <v/>
      </c>
      <c r="GK80" s="62" t="str">
        <f t="shared" ref="GK80" si="561">IF(SUM(GK67, GK79) &gt; 0, SUM(GK67, GK79), "")</f>
        <v/>
      </c>
      <c r="GL80" s="62" t="str">
        <f t="shared" ref="GL80" si="562">IF(SUM(GL67, GL79) &gt; 0, SUM(GL67, GL79), "")</f>
        <v/>
      </c>
      <c r="GM80" s="63" t="str">
        <f t="shared" ref="GM80" si="563">IF(SUM(GM67, GM79) &gt; 0, SUM(GM67, GM79), "")</f>
        <v/>
      </c>
      <c r="GN80" s="65" t="str">
        <f t="shared" ref="GN80" si="564">IF(SUM(GN67, GN79) &gt; 0, SUM(GN67, GN79), "")</f>
        <v/>
      </c>
      <c r="GO80" s="62" t="str">
        <f t="shared" ref="GO80" si="565">IF(SUM(GO67, GO79) &gt; 0, SUM(GO67, GO79), "")</f>
        <v/>
      </c>
      <c r="GP80" s="62" t="str">
        <f t="shared" ref="GP80" si="566">IF(SUM(GP67, GP79) &gt; 0, SUM(GP67, GP79), "")</f>
        <v/>
      </c>
      <c r="GQ80" s="62" t="str">
        <f t="shared" ref="GQ80" si="567">IF(SUM(GQ67, GQ79) &gt; 0, SUM(GQ67, GQ79), "")</f>
        <v/>
      </c>
      <c r="GR80" s="62" t="str">
        <f t="shared" ref="GR80" si="568">IF(SUM(GR67, GR79) &gt; 0, SUM(GR67, GR79), "")</f>
        <v/>
      </c>
      <c r="GS80" s="62" t="str">
        <f t="shared" ref="GS80" si="569">IF(SUM(GS67, GS79) &gt; 0, SUM(GS67, GS79), "")</f>
        <v/>
      </c>
      <c r="GT80" s="63" t="str">
        <f t="shared" ref="GT80" si="570">IF(SUM(GT67, GT79) &gt; 0, SUM(GT67, GT79), "")</f>
        <v/>
      </c>
      <c r="GU80" s="65" t="str">
        <f t="shared" ref="GU80" si="571">IF(SUM(GU67, GU79) &gt; 0, SUM(GU67, GU79), "")</f>
        <v/>
      </c>
      <c r="GV80" s="62" t="str">
        <f t="shared" ref="GV80" si="572">IF(SUM(GV67, GV79) &gt; 0, SUM(GV67, GV79), "")</f>
        <v/>
      </c>
      <c r="GW80" s="62" t="str">
        <f t="shared" ref="GW80" si="573">IF(SUM(GW67, GW79) &gt; 0, SUM(GW67, GW79), "")</f>
        <v/>
      </c>
      <c r="GX80" s="62" t="str">
        <f t="shared" ref="GX80" si="574">IF(SUM(GX67, GX79) &gt; 0, SUM(GX67, GX79), "")</f>
        <v/>
      </c>
      <c r="GY80" s="62" t="str">
        <f t="shared" ref="GY80" si="575">IF(SUM(GY67, GY79) &gt; 0, SUM(GY67, GY79), "")</f>
        <v/>
      </c>
      <c r="GZ80" s="62" t="str">
        <f t="shared" ref="GZ80" si="576">IF(SUM(GZ67, GZ79) &gt; 0, SUM(GZ67, GZ79), "")</f>
        <v/>
      </c>
      <c r="HA80" s="63" t="str">
        <f t="shared" ref="HA80" si="577">IF(SUM(HA67, HA79) &gt; 0, SUM(HA67, HA79), "")</f>
        <v/>
      </c>
      <c r="HB80" s="65" t="str">
        <f t="shared" ref="HB80" si="578">IF(SUM(HB67, HB79) &gt; 0, SUM(HB67, HB79), "")</f>
        <v/>
      </c>
      <c r="HC80" s="62" t="str">
        <f t="shared" ref="HC80" si="579">IF(SUM(HC67, HC79) &gt; 0, SUM(HC67, HC79), "")</f>
        <v/>
      </c>
      <c r="HD80" s="62" t="str">
        <f t="shared" ref="HD80" si="580">IF(SUM(HD67, HD79) &gt; 0, SUM(HD67, HD79), "")</f>
        <v/>
      </c>
      <c r="HE80" s="62" t="str">
        <f t="shared" ref="HE80" si="581">IF(SUM(HE67, HE79) &gt; 0, SUM(HE67, HE79), "")</f>
        <v/>
      </c>
      <c r="HF80" s="62" t="str">
        <f t="shared" ref="HF80" si="582">IF(SUM(HF67, HF79) &gt; 0, SUM(HF67, HF79), "")</f>
        <v/>
      </c>
      <c r="HG80" s="62" t="str">
        <f t="shared" ref="HG80" si="583">IF(SUM(HG67, HG79) &gt; 0, SUM(HG67, HG79), "")</f>
        <v/>
      </c>
      <c r="HH80" s="63" t="str">
        <f t="shared" ref="HH80" si="584">IF(SUM(HH67, HH79) &gt; 0, SUM(HH67, HH79), "")</f>
        <v/>
      </c>
      <c r="HI80" s="65" t="str">
        <f t="shared" ref="HI80" si="585">IF(SUM(HI67, HI79) &gt; 0, SUM(HI67, HI79), "")</f>
        <v/>
      </c>
      <c r="HJ80" s="62" t="str">
        <f t="shared" ref="HJ80" si="586">IF(SUM(HJ67, HJ79) &gt; 0, SUM(HJ67, HJ79), "")</f>
        <v/>
      </c>
      <c r="HK80" s="62" t="str">
        <f t="shared" ref="HK80" si="587">IF(SUM(HK67, HK79) &gt; 0, SUM(HK67, HK79), "")</f>
        <v/>
      </c>
      <c r="HL80" s="62" t="str">
        <f t="shared" ref="HL80" si="588">IF(SUM(HL67, HL79) &gt; 0, SUM(HL67, HL79), "")</f>
        <v/>
      </c>
      <c r="HM80" s="62" t="str">
        <f t="shared" ref="HM80" si="589">IF(SUM(HM67, HM79) &gt; 0, SUM(HM67, HM79), "")</f>
        <v/>
      </c>
      <c r="HN80" s="62" t="str">
        <f t="shared" ref="HN80" si="590">IF(SUM(HN67, HN79) &gt; 0, SUM(HN67, HN79), "")</f>
        <v/>
      </c>
      <c r="HO80" s="63" t="str">
        <f t="shared" ref="HO80" si="591">IF(SUM(HO67, HO79) &gt; 0, SUM(HO67, HO79), "")</f>
        <v/>
      </c>
      <c r="HP80" s="65" t="str">
        <f t="shared" ref="HP80" si="592">IF(SUM(HP67, HP79) &gt; 0, SUM(HP67, HP79), "")</f>
        <v/>
      </c>
      <c r="HQ80" s="62" t="str">
        <f t="shared" ref="HQ80" si="593">IF(SUM(HQ67, HQ79) &gt; 0, SUM(HQ67, HQ79), "")</f>
        <v/>
      </c>
      <c r="HR80" s="62" t="str">
        <f t="shared" ref="HR80" si="594">IF(SUM(HR67, HR79) &gt; 0, SUM(HR67, HR79), "")</f>
        <v/>
      </c>
      <c r="HS80" s="62" t="str">
        <f t="shared" ref="HS80" si="595">IF(SUM(HS67, HS79) &gt; 0, SUM(HS67, HS79), "")</f>
        <v/>
      </c>
      <c r="HT80" s="62" t="str">
        <f t="shared" ref="HT80" si="596">IF(SUM(HT67, HT79) &gt; 0, SUM(HT67, HT79), "")</f>
        <v/>
      </c>
      <c r="HU80" s="62" t="str">
        <f t="shared" ref="HU80" si="597">IF(SUM(HU67, HU79) &gt; 0, SUM(HU67, HU79), "")</f>
        <v/>
      </c>
      <c r="HV80" s="63" t="str">
        <f t="shared" ref="HV80" si="598">IF(SUM(HV67, HV79) &gt; 0, SUM(HV67, HV79), "")</f>
        <v/>
      </c>
      <c r="HW80" s="65" t="str">
        <f t="shared" ref="HW80" si="599">IF(SUM(HW67, HW79) &gt; 0, SUM(HW67, HW79), "")</f>
        <v/>
      </c>
      <c r="HX80" s="62" t="str">
        <f t="shared" ref="HX80" si="600">IF(SUM(HX67, HX79) &gt; 0, SUM(HX67, HX79), "")</f>
        <v/>
      </c>
      <c r="HY80" s="62" t="str">
        <f t="shared" ref="HY80" si="601">IF(SUM(HY67, HY79) &gt; 0, SUM(HY67, HY79), "")</f>
        <v/>
      </c>
      <c r="HZ80" s="62" t="str">
        <f t="shared" ref="HZ80" si="602">IF(SUM(HZ67, HZ79) &gt; 0, SUM(HZ67, HZ79), "")</f>
        <v/>
      </c>
      <c r="IA80" s="62" t="str">
        <f t="shared" ref="IA80" si="603">IF(SUM(IA67, IA79) &gt; 0, SUM(IA67, IA79), "")</f>
        <v/>
      </c>
      <c r="IB80" s="62" t="str">
        <f t="shared" ref="IB80" si="604">IF(SUM(IB67, IB79) &gt; 0, SUM(IB67, IB79), "")</f>
        <v/>
      </c>
      <c r="IC80" s="63" t="str">
        <f t="shared" ref="IC80" si="605">IF(SUM(IC67, IC79) &gt; 0, SUM(IC67, IC79), "")</f>
        <v/>
      </c>
      <c r="ID80" s="65" t="str">
        <f t="shared" ref="ID80" si="606">IF(SUM(ID67, ID79) &gt; 0, SUM(ID67, ID79), "")</f>
        <v/>
      </c>
      <c r="IE80" s="62" t="str">
        <f t="shared" ref="IE80" si="607">IF(SUM(IE67, IE79) &gt; 0, SUM(IE67, IE79), "")</f>
        <v/>
      </c>
      <c r="IF80" s="62" t="str">
        <f t="shared" ref="IF80" si="608">IF(SUM(IF67, IF79) &gt; 0, SUM(IF67, IF79), "")</f>
        <v/>
      </c>
      <c r="IG80" s="62" t="str">
        <f t="shared" ref="IG80" si="609">IF(SUM(IG67, IG79) &gt; 0, SUM(IG67, IG79), "")</f>
        <v/>
      </c>
      <c r="IH80" s="62" t="str">
        <f t="shared" ref="IH80" si="610">IF(SUM(IH67, IH79) &gt; 0, SUM(IH67, IH79), "")</f>
        <v/>
      </c>
      <c r="II80" s="62" t="str">
        <f t="shared" ref="II80" si="611">IF(SUM(II67, II79) &gt; 0, SUM(II67, II79), "")</f>
        <v/>
      </c>
      <c r="IJ80" s="63" t="str">
        <f t="shared" ref="IJ80" si="612">IF(SUM(IJ67, IJ79) &gt; 0, SUM(IJ67, IJ79), "")</f>
        <v/>
      </c>
      <c r="IK80" s="65" t="str">
        <f t="shared" ref="IK80" si="613">IF(SUM(IK67, IK79) &gt; 0, SUM(IK67, IK79), "")</f>
        <v/>
      </c>
      <c r="IL80" s="62" t="str">
        <f t="shared" ref="IL80" si="614">IF(SUM(IL67, IL79) &gt; 0, SUM(IL67, IL79), "")</f>
        <v/>
      </c>
      <c r="IM80" s="62" t="str">
        <f t="shared" ref="IM80" si="615">IF(SUM(IM67, IM79) &gt; 0, SUM(IM67, IM79), "")</f>
        <v/>
      </c>
      <c r="IN80" s="62" t="str">
        <f t="shared" ref="IN80" si="616">IF(SUM(IN67, IN79) &gt; 0, SUM(IN67, IN79), "")</f>
        <v/>
      </c>
      <c r="IO80" s="62" t="str">
        <f t="shared" ref="IO80" si="617">IF(SUM(IO67, IO79) &gt; 0, SUM(IO67, IO79), "")</f>
        <v/>
      </c>
      <c r="IP80" s="62" t="str">
        <f t="shared" ref="IP80" si="618">IF(SUM(IP67, IP79) &gt; 0, SUM(IP67, IP79), "")</f>
        <v/>
      </c>
      <c r="IQ80" s="63" t="str">
        <f t="shared" ref="IQ80" si="619">IF(SUM(IQ67, IQ79) &gt; 0, SUM(IQ67, IQ79), "")</f>
        <v/>
      </c>
      <c r="IR80" s="65" t="str">
        <f t="shared" ref="IR80" si="620">IF(SUM(IR67, IR79) &gt; 0, SUM(IR67, IR79), "")</f>
        <v/>
      </c>
      <c r="IS80" s="62" t="str">
        <f t="shared" ref="IS80" si="621">IF(SUM(IS67, IS79) &gt; 0, SUM(IS67, IS79), "")</f>
        <v/>
      </c>
      <c r="IT80" s="62" t="str">
        <f t="shared" ref="IT80" si="622">IF(SUM(IT67, IT79) &gt; 0, SUM(IT67, IT79), "")</f>
        <v/>
      </c>
      <c r="IU80" s="62" t="str">
        <f t="shared" ref="IU80" si="623">IF(SUM(IU67, IU79) &gt; 0, SUM(IU67, IU79), "")</f>
        <v/>
      </c>
      <c r="IV80" s="62" t="str">
        <f t="shared" ref="IV80" si="624">IF(SUM(IV67, IV79) &gt; 0, SUM(IV67, IV79), "")</f>
        <v/>
      </c>
      <c r="IW80" s="62" t="str">
        <f t="shared" ref="IW80" si="625">IF(SUM(IW67, IW79) &gt; 0, SUM(IW67, IW79), "")</f>
        <v/>
      </c>
      <c r="IX80" s="63" t="str">
        <f t="shared" ref="IX80" si="626">IF(SUM(IX67, IX79) &gt; 0, SUM(IX67, IX79), "")</f>
        <v/>
      </c>
      <c r="IY80" s="65" t="str">
        <f t="shared" ref="IY80" si="627">IF(SUM(IY67, IY79) &gt; 0, SUM(IY67, IY79), "")</f>
        <v/>
      </c>
      <c r="IZ80" s="62" t="str">
        <f t="shared" ref="IZ80" si="628">IF(SUM(IZ67, IZ79) &gt; 0, SUM(IZ67, IZ79), "")</f>
        <v/>
      </c>
      <c r="JA80" s="62" t="str">
        <f t="shared" ref="JA80" si="629">IF(SUM(JA67, JA79) &gt; 0, SUM(JA67, JA79), "")</f>
        <v/>
      </c>
      <c r="JB80" s="62" t="str">
        <f t="shared" ref="JB80" si="630">IF(SUM(JB67, JB79) &gt; 0, SUM(JB67, JB79), "")</f>
        <v/>
      </c>
      <c r="JC80" s="62" t="str">
        <f t="shared" ref="JC80" si="631">IF(SUM(JC67, JC79) &gt; 0, SUM(JC67, JC79), "")</f>
        <v/>
      </c>
      <c r="JD80" s="62" t="str">
        <f t="shared" ref="JD80" si="632">IF(SUM(JD67, JD79) &gt; 0, SUM(JD67, JD79), "")</f>
        <v/>
      </c>
      <c r="JE80" s="63" t="str">
        <f t="shared" ref="JE80" si="633">IF(SUM(JE67, JE79) &gt; 0, SUM(JE67, JE79), "")</f>
        <v/>
      </c>
      <c r="JF80" s="65" t="str">
        <f t="shared" ref="JF80" si="634">IF(SUM(JF67, JF79) &gt; 0, SUM(JF67, JF79), "")</f>
        <v/>
      </c>
      <c r="JG80" s="62" t="str">
        <f t="shared" ref="JG80" si="635">IF(SUM(JG67, JG79) &gt; 0, SUM(JG67, JG79), "")</f>
        <v/>
      </c>
      <c r="JH80" s="62" t="str">
        <f t="shared" ref="JH80" si="636">IF(SUM(JH67, JH79) &gt; 0, SUM(JH67, JH79), "")</f>
        <v/>
      </c>
      <c r="JI80" s="62" t="str">
        <f t="shared" ref="JI80" si="637">IF(SUM(JI67, JI79) &gt; 0, SUM(JI67, JI79), "")</f>
        <v/>
      </c>
      <c r="JJ80" s="62" t="str">
        <f t="shared" ref="JJ80" si="638">IF(SUM(JJ67, JJ79) &gt; 0, SUM(JJ67, JJ79), "")</f>
        <v/>
      </c>
      <c r="JK80" s="62" t="str">
        <f t="shared" ref="JK80" si="639">IF(SUM(JK67, JK79) &gt; 0, SUM(JK67, JK79), "")</f>
        <v/>
      </c>
      <c r="JL80" s="63" t="str">
        <f t="shared" ref="JL80" si="640">IF(SUM(JL67, JL79) &gt; 0, SUM(JL67, JL79), "")</f>
        <v/>
      </c>
      <c r="JM80" s="65" t="str">
        <f t="shared" ref="JM80" si="641">IF(SUM(JM67, JM79) &gt; 0, SUM(JM67, JM79), "")</f>
        <v/>
      </c>
      <c r="JN80" s="62" t="str">
        <f t="shared" ref="JN80" si="642">IF(SUM(JN67, JN79) &gt; 0, SUM(JN67, JN79), "")</f>
        <v/>
      </c>
      <c r="JO80" s="62" t="str">
        <f t="shared" ref="JO80" si="643">IF(SUM(JO67, JO79) &gt; 0, SUM(JO67, JO79), "")</f>
        <v/>
      </c>
      <c r="JP80" s="62" t="str">
        <f t="shared" ref="JP80" si="644">IF(SUM(JP67, JP79) &gt; 0, SUM(JP67, JP79), "")</f>
        <v/>
      </c>
      <c r="JQ80" s="62" t="str">
        <f t="shared" ref="JQ80" si="645">IF(SUM(JQ67, JQ79) &gt; 0, SUM(JQ67, JQ79), "")</f>
        <v/>
      </c>
      <c r="JR80" s="62" t="str">
        <f t="shared" ref="JR80" si="646">IF(SUM(JR67, JR79) &gt; 0, SUM(JR67, JR79), "")</f>
        <v/>
      </c>
      <c r="JS80" s="63" t="str">
        <f t="shared" ref="JS80" si="647">IF(SUM(JS67, JS79) &gt; 0, SUM(JS67, JS79), "")</f>
        <v/>
      </c>
      <c r="JT80" s="65" t="str">
        <f t="shared" ref="JT80" si="648">IF(SUM(JT67, JT79) &gt; 0, SUM(JT67, JT79), "")</f>
        <v/>
      </c>
      <c r="JU80" s="62" t="str">
        <f t="shared" ref="JU80" si="649">IF(SUM(JU67, JU79) &gt; 0, SUM(JU67, JU79), "")</f>
        <v/>
      </c>
      <c r="JV80" s="62" t="str">
        <f t="shared" ref="JV80" si="650">IF(SUM(JV67, JV79) &gt; 0, SUM(JV67, JV79), "")</f>
        <v/>
      </c>
      <c r="JW80" s="62" t="str">
        <f t="shared" ref="JW80" si="651">IF(SUM(JW67, JW79) &gt; 0, SUM(JW67, JW79), "")</f>
        <v/>
      </c>
      <c r="JX80" s="62" t="str">
        <f t="shared" ref="JX80" si="652">IF(SUM(JX67, JX79) &gt; 0, SUM(JX67, JX79), "")</f>
        <v/>
      </c>
      <c r="JY80" s="62" t="str">
        <f t="shared" ref="JY80" si="653">IF(SUM(JY67, JY79) &gt; 0, SUM(JY67, JY79), "")</f>
        <v/>
      </c>
      <c r="JZ80" s="63" t="str">
        <f t="shared" ref="JZ80" si="654">IF(SUM(JZ67, JZ79) &gt; 0, SUM(JZ67, JZ79), "")</f>
        <v/>
      </c>
      <c r="KA80" s="65" t="str">
        <f t="shared" ref="KA80" si="655">IF(SUM(KA67, KA79) &gt; 0, SUM(KA67, KA79), "")</f>
        <v/>
      </c>
      <c r="KB80" s="62" t="str">
        <f t="shared" ref="KB80" si="656">IF(SUM(KB67, KB79) &gt; 0, SUM(KB67, KB79), "")</f>
        <v/>
      </c>
      <c r="KC80" s="62" t="str">
        <f t="shared" ref="KC80" si="657">IF(SUM(KC67, KC79) &gt; 0, SUM(KC67, KC79), "")</f>
        <v/>
      </c>
      <c r="KD80" s="62" t="str">
        <f t="shared" ref="KD80" si="658">IF(SUM(KD67, KD79) &gt; 0, SUM(KD67, KD79), "")</f>
        <v/>
      </c>
      <c r="KE80" s="62" t="str">
        <f t="shared" ref="KE80" si="659">IF(SUM(KE67, KE79) &gt; 0, SUM(KE67, KE79), "")</f>
        <v/>
      </c>
      <c r="KF80" s="62" t="str">
        <f t="shared" ref="KF80" si="660">IF(SUM(KF67, KF79) &gt; 0, SUM(KF67, KF79), "")</f>
        <v/>
      </c>
      <c r="KG80" s="63" t="str">
        <f t="shared" ref="KG80" si="661">IF(SUM(KG67, KG79) &gt; 0, SUM(KG67, KG79), "")</f>
        <v/>
      </c>
      <c r="KH80" s="65" t="str">
        <f t="shared" ref="KH80" si="662">IF(SUM(KH67, KH79) &gt; 0, SUM(KH67, KH79), "")</f>
        <v/>
      </c>
      <c r="KI80" s="62" t="str">
        <f t="shared" ref="KI80" si="663">IF(SUM(KI67, KI79) &gt; 0, SUM(KI67, KI79), "")</f>
        <v/>
      </c>
      <c r="KJ80" s="62" t="str">
        <f t="shared" ref="KJ80" si="664">IF(SUM(KJ67, KJ79) &gt; 0, SUM(KJ67, KJ79), "")</f>
        <v/>
      </c>
      <c r="KK80" s="62" t="str">
        <f t="shared" ref="KK80" si="665">IF(SUM(KK67, KK79) &gt; 0, SUM(KK67, KK79), "")</f>
        <v/>
      </c>
      <c r="KL80" s="62" t="str">
        <f t="shared" ref="KL80" si="666">IF(SUM(KL67, KL79) &gt; 0, SUM(KL67, KL79), "")</f>
        <v/>
      </c>
      <c r="KM80" s="62" t="str">
        <f t="shared" ref="KM80" si="667">IF(SUM(KM67, KM79) &gt; 0, SUM(KM67, KM79), "")</f>
        <v/>
      </c>
      <c r="KN80" s="63" t="str">
        <f t="shared" ref="KN80" si="668">IF(SUM(KN67, KN79) &gt; 0, SUM(KN67, KN79), "")</f>
        <v/>
      </c>
      <c r="KO80" s="65" t="str">
        <f t="shared" ref="KO80" si="669">IF(SUM(KO67, KO79) &gt; 0, SUM(KO67, KO79), "")</f>
        <v/>
      </c>
      <c r="KP80" s="62" t="str">
        <f t="shared" ref="KP80" si="670">IF(SUM(KP67, KP79) &gt; 0, SUM(KP67, KP79), "")</f>
        <v/>
      </c>
      <c r="KQ80" s="62" t="str">
        <f t="shared" ref="KQ80" si="671">IF(SUM(KQ67, KQ79) &gt; 0, SUM(KQ67, KQ79), "")</f>
        <v/>
      </c>
      <c r="KR80" s="62" t="str">
        <f t="shared" ref="KR80" si="672">IF(SUM(KR67, KR79) &gt; 0, SUM(KR67, KR79), "")</f>
        <v/>
      </c>
      <c r="KS80" s="62" t="str">
        <f t="shared" ref="KS80" si="673">IF(SUM(KS67, KS79) &gt; 0, SUM(KS67, KS79), "")</f>
        <v/>
      </c>
      <c r="KT80" s="62" t="str">
        <f t="shared" ref="KT80" si="674">IF(SUM(KT67, KT79) &gt; 0, SUM(KT67, KT79), "")</f>
        <v/>
      </c>
      <c r="KU80" s="63" t="str">
        <f t="shared" ref="KU80" si="675">IF(SUM(KU67, KU79) &gt; 0, SUM(KU67, KU79), "")</f>
        <v/>
      </c>
      <c r="KV80" s="65" t="str">
        <f t="shared" ref="KV80" si="676">IF(SUM(KV67, KV79) &gt; 0, SUM(KV67, KV79), "")</f>
        <v/>
      </c>
      <c r="KW80" s="62" t="str">
        <f t="shared" ref="KW80" si="677">IF(SUM(KW67, KW79) &gt; 0, SUM(KW67, KW79), "")</f>
        <v/>
      </c>
      <c r="KX80" s="62" t="str">
        <f t="shared" ref="KX80" si="678">IF(SUM(KX67, KX79) &gt; 0, SUM(KX67, KX79), "")</f>
        <v/>
      </c>
      <c r="KY80" s="62" t="str">
        <f t="shared" ref="KY80" si="679">IF(SUM(KY67, KY79) &gt; 0, SUM(KY67, KY79), "")</f>
        <v/>
      </c>
      <c r="KZ80" s="62" t="str">
        <f t="shared" ref="KZ80" si="680">IF(SUM(KZ67, KZ79) &gt; 0, SUM(KZ67, KZ79), "")</f>
        <v/>
      </c>
      <c r="LA80" s="62" t="str">
        <f t="shared" ref="LA80" si="681">IF(SUM(LA67, LA79) &gt; 0, SUM(LA67, LA79), "")</f>
        <v/>
      </c>
      <c r="LB80" s="63" t="str">
        <f t="shared" ref="LB80" si="682">IF(SUM(LB67, LB79) &gt; 0, SUM(LB67, LB79), "")</f>
        <v/>
      </c>
      <c r="LC80" s="65" t="str">
        <f t="shared" ref="LC80" si="683">IF(SUM(LC67, LC79) &gt; 0, SUM(LC67, LC79), "")</f>
        <v/>
      </c>
      <c r="LD80" s="62" t="str">
        <f t="shared" ref="LD80" si="684">IF(SUM(LD67, LD79) &gt; 0, SUM(LD67, LD79), "")</f>
        <v/>
      </c>
      <c r="LE80" s="62" t="str">
        <f t="shared" ref="LE80" si="685">IF(SUM(LE67, LE79) &gt; 0, SUM(LE67, LE79), "")</f>
        <v/>
      </c>
      <c r="LF80" s="62" t="str">
        <f t="shared" ref="LF80" si="686">IF(SUM(LF67, LF79) &gt; 0, SUM(LF67, LF79), "")</f>
        <v/>
      </c>
      <c r="LG80" s="62" t="str">
        <f t="shared" ref="LG80" si="687">IF(SUM(LG67, LG79) &gt; 0, SUM(LG67, LG79), "")</f>
        <v/>
      </c>
      <c r="LH80" s="62" t="str">
        <f t="shared" ref="LH80" si="688">IF(SUM(LH67, LH79) &gt; 0, SUM(LH67, LH79), "")</f>
        <v/>
      </c>
      <c r="LI80" s="63" t="str">
        <f t="shared" ref="LI80" si="689">IF(SUM(LI67, LI79) &gt; 0, SUM(LI67, LI79), "")</f>
        <v/>
      </c>
      <c r="LJ80" s="65" t="str">
        <f t="shared" ref="LJ80" si="690">IF(SUM(LJ67, LJ79) &gt; 0, SUM(LJ67, LJ79), "")</f>
        <v/>
      </c>
      <c r="LK80" s="62" t="str">
        <f t="shared" ref="LK80" si="691">IF(SUM(LK67, LK79) &gt; 0, SUM(LK67, LK79), "")</f>
        <v/>
      </c>
      <c r="LL80" s="62" t="str">
        <f t="shared" ref="LL80" si="692">IF(SUM(LL67, LL79) &gt; 0, SUM(LL67, LL79), "")</f>
        <v/>
      </c>
      <c r="LM80" s="62" t="str">
        <f t="shared" ref="LM80" si="693">IF(SUM(LM67, LM79) &gt; 0, SUM(LM67, LM79), "")</f>
        <v/>
      </c>
      <c r="LN80" s="62" t="str">
        <f t="shared" ref="LN80" si="694">IF(SUM(LN67, LN79) &gt; 0, SUM(LN67, LN79), "")</f>
        <v/>
      </c>
      <c r="LO80" s="62" t="str">
        <f t="shared" ref="LO80" si="695">IF(SUM(LO67, LO79) &gt; 0, SUM(LO67, LO79), "")</f>
        <v/>
      </c>
      <c r="LP80" s="63" t="str">
        <f t="shared" ref="LP80" si="696">IF(SUM(LP67, LP79) &gt; 0, SUM(LP67, LP79), "")</f>
        <v/>
      </c>
      <c r="LQ80" s="65" t="str">
        <f t="shared" ref="LQ80" si="697">IF(SUM(LQ67, LQ79) &gt; 0, SUM(LQ67, LQ79), "")</f>
        <v/>
      </c>
      <c r="LR80" s="62" t="str">
        <f t="shared" ref="LR80" si="698">IF(SUM(LR67, LR79) &gt; 0, SUM(LR67, LR79), "")</f>
        <v/>
      </c>
      <c r="LS80" s="62" t="str">
        <f t="shared" ref="LS80" si="699">IF(SUM(LS67, LS79) &gt; 0, SUM(LS67, LS79), "")</f>
        <v/>
      </c>
      <c r="LT80" s="62" t="str">
        <f t="shared" ref="LT80" si="700">IF(SUM(LT67, LT79) &gt; 0, SUM(LT67, LT79), "")</f>
        <v/>
      </c>
      <c r="LU80" s="62" t="str">
        <f t="shared" ref="LU80" si="701">IF(SUM(LU67, LU79) &gt; 0, SUM(LU67, LU79), "")</f>
        <v/>
      </c>
      <c r="LV80" s="62" t="str">
        <f t="shared" ref="LV80" si="702">IF(SUM(LV67, LV79) &gt; 0, SUM(LV67, LV79), "")</f>
        <v/>
      </c>
      <c r="LW80" s="63" t="str">
        <f t="shared" ref="LW80" si="703">IF(SUM(LW67, LW79) &gt; 0, SUM(LW67, LW79), "")</f>
        <v/>
      </c>
      <c r="LX80" s="65" t="str">
        <f t="shared" ref="LX80" si="704">IF(SUM(LX67, LX79) &gt; 0, SUM(LX67, LX79), "")</f>
        <v/>
      </c>
      <c r="LY80" s="62" t="str">
        <f t="shared" ref="LY80" si="705">IF(SUM(LY67, LY79) &gt; 0, SUM(LY67, LY79), "")</f>
        <v/>
      </c>
      <c r="LZ80" s="62" t="str">
        <f t="shared" ref="LZ80" si="706">IF(SUM(LZ67, LZ79) &gt; 0, SUM(LZ67, LZ79), "")</f>
        <v/>
      </c>
      <c r="MA80" s="62" t="str">
        <f t="shared" ref="MA80" si="707">IF(SUM(MA67, MA79) &gt; 0, SUM(MA67, MA79), "")</f>
        <v/>
      </c>
      <c r="MB80" s="62" t="str">
        <f t="shared" ref="MB80" si="708">IF(SUM(MB67, MB79) &gt; 0, SUM(MB67, MB79), "")</f>
        <v/>
      </c>
      <c r="MC80" s="62" t="str">
        <f t="shared" ref="MC80" si="709">IF(SUM(MC67, MC79) &gt; 0, SUM(MC67, MC79), "")</f>
        <v/>
      </c>
      <c r="MD80" s="63" t="str">
        <f t="shared" ref="MD80" si="710">IF(SUM(MD67, MD79) &gt; 0, SUM(MD67, MD79), "")</f>
        <v/>
      </c>
      <c r="ME80" s="65" t="str">
        <f t="shared" ref="ME80" si="711">IF(SUM(ME67, ME79) &gt; 0, SUM(ME67, ME79), "")</f>
        <v/>
      </c>
      <c r="MF80" s="62" t="str">
        <f t="shared" ref="MF80" si="712">IF(SUM(MF67, MF79) &gt; 0, SUM(MF67, MF79), "")</f>
        <v/>
      </c>
      <c r="MG80" s="62" t="str">
        <f t="shared" ref="MG80" si="713">IF(SUM(MG67, MG79) &gt; 0, SUM(MG67, MG79), "")</f>
        <v/>
      </c>
      <c r="MH80" s="62" t="str">
        <f t="shared" ref="MH80" si="714">IF(SUM(MH67, MH79) &gt; 0, SUM(MH67, MH79), "")</f>
        <v/>
      </c>
      <c r="MI80" s="62" t="str">
        <f t="shared" ref="MI80" si="715">IF(SUM(MI67, MI79) &gt; 0, SUM(MI67, MI79), "")</f>
        <v/>
      </c>
      <c r="MJ80" s="62" t="str">
        <f t="shared" ref="MJ80" si="716">IF(SUM(MJ67, MJ79) &gt; 0, SUM(MJ67, MJ79), "")</f>
        <v/>
      </c>
      <c r="MK80" s="63" t="str">
        <f t="shared" ref="MK80" si="717">IF(SUM(MK67, MK79) &gt; 0, SUM(MK67, MK79), "")</f>
        <v/>
      </c>
      <c r="ML80" s="65" t="str">
        <f t="shared" ref="ML80" si="718">IF(SUM(ML67, ML79) &gt; 0, SUM(ML67, ML79), "")</f>
        <v/>
      </c>
      <c r="MM80" s="62" t="str">
        <f t="shared" ref="MM80" si="719">IF(SUM(MM67, MM79) &gt; 0, SUM(MM67, MM79), "")</f>
        <v/>
      </c>
      <c r="MN80" s="62" t="str">
        <f t="shared" ref="MN80" si="720">IF(SUM(MN67, MN79) &gt; 0, SUM(MN67, MN79), "")</f>
        <v/>
      </c>
      <c r="MO80" s="62" t="str">
        <f t="shared" ref="MO80" si="721">IF(SUM(MO67, MO79) &gt; 0, SUM(MO67, MO79), "")</f>
        <v/>
      </c>
      <c r="MP80" s="62" t="str">
        <f t="shared" ref="MP80" si="722">IF(SUM(MP67, MP79) &gt; 0, SUM(MP67, MP79), "")</f>
        <v/>
      </c>
      <c r="MQ80" s="62" t="str">
        <f t="shared" ref="MQ80" si="723">IF(SUM(MQ67, MQ79) &gt; 0, SUM(MQ67, MQ79), "")</f>
        <v/>
      </c>
      <c r="MR80" s="63" t="str">
        <f t="shared" ref="MR80" si="724">IF(SUM(MR67, MR79) &gt; 0, SUM(MR67, MR79), "")</f>
        <v/>
      </c>
    </row>
    <row r="81" spans="1:356" ht="7.5" customHeight="1" x14ac:dyDescent="0.25">
      <c r="A81" s="8"/>
      <c r="B81" s="8"/>
      <c r="C81" s="8"/>
      <c r="D81" s="8"/>
      <c r="E81" s="8"/>
      <c r="F81" s="10"/>
      <c r="G81" s="19"/>
      <c r="H81" s="19"/>
      <c r="I81" s="8"/>
      <c r="J81" s="8"/>
      <c r="K81" s="8"/>
      <c r="L81" s="8"/>
      <c r="M81" s="8"/>
      <c r="N81" s="8"/>
      <c r="O81" s="9"/>
      <c r="P81" s="8"/>
      <c r="Q81" s="8"/>
      <c r="R81" s="9"/>
      <c r="S81" s="7"/>
      <c r="Z81" s="7"/>
      <c r="AG81" s="7"/>
      <c r="AN81" s="7"/>
      <c r="AU81" s="7"/>
      <c r="BB81" s="7"/>
      <c r="BI81" s="7"/>
      <c r="BP81" s="7"/>
      <c r="BY81" s="7"/>
      <c r="CH81" s="7"/>
      <c r="CQ81" s="7"/>
      <c r="CZ81" s="7"/>
      <c r="DI81" s="7"/>
      <c r="DR81" s="7"/>
      <c r="EA81" s="7"/>
      <c r="EJ81" s="7"/>
      <c r="ES81" s="7"/>
      <c r="FB81" s="7"/>
      <c r="FK81" s="7"/>
      <c r="FR81" s="7"/>
      <c r="FY81" s="7"/>
      <c r="GF81" s="7"/>
      <c r="GM81" s="7"/>
      <c r="GT81" s="7"/>
      <c r="HA81" s="7"/>
      <c r="HH81" s="7"/>
      <c r="HO81" s="7"/>
      <c r="HV81" s="7"/>
      <c r="IC81" s="7"/>
      <c r="IJ81" s="7"/>
      <c r="IQ81" s="7"/>
      <c r="IX81" s="7"/>
      <c r="JE81" s="7"/>
      <c r="JL81" s="7"/>
      <c r="JS81" s="7"/>
      <c r="JZ81" s="7"/>
      <c r="KG81" s="7"/>
      <c r="KN81" s="7"/>
      <c r="KU81" s="7"/>
      <c r="LB81" s="7"/>
      <c r="LI81" s="7"/>
      <c r="LP81" s="7"/>
      <c r="LW81" s="7"/>
      <c r="MD81" s="7"/>
      <c r="MK81" s="7"/>
      <c r="MR81" s="7"/>
    </row>
    <row r="82" spans="1:356" x14ac:dyDescent="0.25">
      <c r="A82" s="11" t="s">
        <v>24</v>
      </c>
      <c r="B82" s="11"/>
      <c r="C82" s="11"/>
      <c r="D82" s="11"/>
      <c r="E82" s="11"/>
      <c r="F82" s="13"/>
      <c r="G82" s="40"/>
      <c r="H82" s="40"/>
      <c r="I82" s="11"/>
      <c r="J82" s="11"/>
      <c r="K82" s="11"/>
      <c r="L82" s="11"/>
      <c r="M82" s="11"/>
      <c r="N82" s="11"/>
      <c r="O82" s="12"/>
      <c r="P82" s="11"/>
      <c r="Q82" s="11"/>
      <c r="R82" s="12"/>
      <c r="S82" s="12"/>
      <c r="T82" s="11"/>
      <c r="U82" s="11"/>
      <c r="V82" s="11"/>
      <c r="W82" s="11"/>
      <c r="X82" s="11"/>
      <c r="Y82" s="11"/>
      <c r="Z82" s="12"/>
      <c r="AA82" s="11"/>
      <c r="AB82" s="11"/>
      <c r="AC82" s="11"/>
      <c r="AD82" s="11"/>
      <c r="AE82" s="11"/>
      <c r="AF82" s="11"/>
      <c r="AG82" s="12"/>
      <c r="AH82" s="11"/>
      <c r="AI82" s="11"/>
      <c r="AJ82" s="11"/>
      <c r="AK82" s="11"/>
      <c r="AL82" s="11"/>
      <c r="AM82" s="11"/>
      <c r="AN82" s="12"/>
      <c r="AO82" s="11"/>
      <c r="AP82" s="11"/>
      <c r="AQ82" s="11"/>
      <c r="AR82" s="11"/>
      <c r="AS82" s="11"/>
      <c r="AT82" s="11"/>
      <c r="AU82" s="12"/>
      <c r="AV82" s="11"/>
      <c r="AW82" s="11"/>
      <c r="AX82" s="11"/>
      <c r="AY82" s="11"/>
      <c r="AZ82" s="11"/>
      <c r="BA82" s="11"/>
      <c r="BB82" s="12"/>
      <c r="BC82" s="11"/>
      <c r="BD82" s="11"/>
      <c r="BE82" s="11"/>
      <c r="BF82" s="11"/>
      <c r="BG82" s="11"/>
      <c r="BH82" s="11"/>
      <c r="BI82" s="12"/>
      <c r="BJ82" s="11"/>
      <c r="BK82" s="11"/>
      <c r="BL82" s="11"/>
      <c r="BM82" s="11"/>
      <c r="BN82" s="11"/>
      <c r="BO82" s="11"/>
      <c r="BP82" s="12"/>
      <c r="BQ82" s="11"/>
      <c r="BR82" s="11"/>
      <c r="BS82" s="11"/>
      <c r="BT82" s="11"/>
      <c r="BU82" s="11"/>
      <c r="BV82" s="11"/>
      <c r="BW82" s="11"/>
      <c r="BX82" s="11"/>
      <c r="BY82" s="12"/>
      <c r="BZ82" s="11"/>
      <c r="CA82" s="11"/>
      <c r="CB82" s="11"/>
      <c r="CC82" s="11"/>
      <c r="CD82" s="11"/>
      <c r="CE82" s="11"/>
      <c r="CF82" s="11"/>
      <c r="CG82" s="11"/>
      <c r="CH82" s="12"/>
      <c r="CI82" s="11"/>
      <c r="CJ82" s="11"/>
      <c r="CK82" s="11"/>
      <c r="CL82" s="11"/>
      <c r="CM82" s="11"/>
      <c r="CN82" s="11"/>
      <c r="CO82" s="11"/>
      <c r="CP82" s="11"/>
      <c r="CQ82" s="12"/>
      <c r="CR82" s="11"/>
      <c r="CS82" s="11"/>
      <c r="CT82" s="11"/>
      <c r="CU82" s="11"/>
      <c r="CV82" s="11"/>
      <c r="CW82" s="11"/>
      <c r="CX82" s="11"/>
      <c r="CY82" s="11"/>
      <c r="CZ82" s="12"/>
      <c r="DA82" s="11"/>
      <c r="DB82" s="11"/>
      <c r="DC82" s="11"/>
      <c r="DD82" s="11"/>
      <c r="DE82" s="11"/>
      <c r="DF82" s="11"/>
      <c r="DG82" s="11"/>
      <c r="DH82" s="11"/>
      <c r="DI82" s="12"/>
      <c r="DJ82" s="11"/>
      <c r="DK82" s="11"/>
      <c r="DL82" s="11"/>
      <c r="DM82" s="11"/>
      <c r="DN82" s="11"/>
      <c r="DO82" s="11"/>
      <c r="DP82" s="11"/>
      <c r="DQ82" s="11"/>
      <c r="DR82" s="12"/>
      <c r="DS82" s="11"/>
      <c r="DT82" s="11"/>
      <c r="DU82" s="11"/>
      <c r="DV82" s="11"/>
      <c r="DW82" s="11"/>
      <c r="DX82" s="11"/>
      <c r="DY82" s="11"/>
      <c r="DZ82" s="11"/>
      <c r="EA82" s="12"/>
      <c r="EB82" s="11"/>
      <c r="EC82" s="11"/>
      <c r="ED82" s="11"/>
      <c r="EE82" s="11"/>
      <c r="EF82" s="11"/>
      <c r="EG82" s="11"/>
      <c r="EH82" s="11"/>
      <c r="EI82" s="11"/>
      <c r="EJ82" s="12"/>
      <c r="EK82" s="11"/>
      <c r="EL82" s="11"/>
      <c r="EM82" s="11"/>
      <c r="EN82" s="11"/>
      <c r="EO82" s="11"/>
      <c r="EP82" s="11"/>
      <c r="EQ82" s="11"/>
      <c r="ER82" s="11"/>
      <c r="ES82" s="12"/>
      <c r="ET82" s="11"/>
      <c r="EU82" s="11"/>
      <c r="EV82" s="11"/>
      <c r="EW82" s="11"/>
      <c r="EX82" s="11"/>
      <c r="EY82" s="11"/>
      <c r="EZ82" s="11"/>
      <c r="FA82" s="11"/>
      <c r="FB82" s="12"/>
      <c r="FC82" s="11"/>
      <c r="FD82" s="11"/>
      <c r="FE82" s="11"/>
      <c r="FF82" s="11"/>
      <c r="FG82" s="11"/>
      <c r="FH82" s="11"/>
      <c r="FI82" s="11"/>
      <c r="FJ82" s="11"/>
      <c r="FK82" s="12"/>
      <c r="FL82" s="11"/>
      <c r="FM82" s="11"/>
      <c r="FN82" s="11"/>
      <c r="FO82" s="11"/>
      <c r="FP82" s="11"/>
      <c r="FQ82" s="11"/>
      <c r="FR82" s="12"/>
      <c r="FS82" s="11"/>
      <c r="FT82" s="11"/>
      <c r="FU82" s="11"/>
      <c r="FV82" s="11"/>
      <c r="FW82" s="11"/>
      <c r="FX82" s="11"/>
      <c r="FY82" s="12"/>
      <c r="FZ82" s="11"/>
      <c r="GA82" s="11"/>
      <c r="GB82" s="11"/>
      <c r="GC82" s="11"/>
      <c r="GD82" s="11"/>
      <c r="GE82" s="11"/>
      <c r="GF82" s="12"/>
      <c r="GG82" s="11"/>
      <c r="GH82" s="11"/>
      <c r="GI82" s="11"/>
      <c r="GJ82" s="11"/>
      <c r="GK82" s="11"/>
      <c r="GL82" s="11"/>
      <c r="GM82" s="12"/>
      <c r="GN82" s="11"/>
      <c r="GO82" s="11"/>
      <c r="GP82" s="11"/>
      <c r="GQ82" s="11"/>
      <c r="GR82" s="11"/>
      <c r="GS82" s="11"/>
      <c r="GT82" s="12"/>
      <c r="GU82" s="11"/>
      <c r="GV82" s="11"/>
      <c r="GW82" s="11"/>
      <c r="GX82" s="11"/>
      <c r="GY82" s="11"/>
      <c r="GZ82" s="11"/>
      <c r="HA82" s="12"/>
      <c r="HB82" s="11"/>
      <c r="HC82" s="11"/>
      <c r="HD82" s="11"/>
      <c r="HE82" s="11"/>
      <c r="HF82" s="11"/>
      <c r="HG82" s="11"/>
      <c r="HH82" s="12"/>
      <c r="HI82" s="11"/>
      <c r="HJ82" s="11"/>
      <c r="HK82" s="11"/>
      <c r="HL82" s="11"/>
      <c r="HM82" s="11"/>
      <c r="HN82" s="11"/>
      <c r="HO82" s="12"/>
      <c r="HP82" s="11"/>
      <c r="HQ82" s="11"/>
      <c r="HR82" s="11"/>
      <c r="HS82" s="11"/>
      <c r="HT82" s="11"/>
      <c r="HU82" s="11"/>
      <c r="HV82" s="12"/>
      <c r="HW82" s="11"/>
      <c r="HX82" s="11"/>
      <c r="HY82" s="11"/>
      <c r="HZ82" s="11"/>
      <c r="IA82" s="11"/>
      <c r="IB82" s="11"/>
      <c r="IC82" s="12"/>
      <c r="ID82" s="11"/>
      <c r="IE82" s="11"/>
      <c r="IF82" s="11"/>
      <c r="IG82" s="11"/>
      <c r="IH82" s="11"/>
      <c r="II82" s="11"/>
      <c r="IJ82" s="12"/>
      <c r="IK82" s="11"/>
      <c r="IL82" s="11"/>
      <c r="IM82" s="11"/>
      <c r="IN82" s="11"/>
      <c r="IO82" s="11"/>
      <c r="IP82" s="11"/>
      <c r="IQ82" s="12"/>
      <c r="IR82" s="11"/>
      <c r="IS82" s="11"/>
      <c r="IT82" s="11"/>
      <c r="IU82" s="11"/>
      <c r="IV82" s="11"/>
      <c r="IW82" s="11"/>
      <c r="IX82" s="12"/>
      <c r="IY82" s="11"/>
      <c r="IZ82" s="11"/>
      <c r="JA82" s="11"/>
      <c r="JB82" s="11"/>
      <c r="JC82" s="11"/>
      <c r="JD82" s="11"/>
      <c r="JE82" s="12"/>
      <c r="JF82" s="11"/>
      <c r="JG82" s="11"/>
      <c r="JH82" s="11"/>
      <c r="JI82" s="11"/>
      <c r="JJ82" s="11"/>
      <c r="JK82" s="11"/>
      <c r="JL82" s="12"/>
      <c r="JM82" s="11"/>
      <c r="JN82" s="11"/>
      <c r="JO82" s="11"/>
      <c r="JP82" s="11"/>
      <c r="JQ82" s="11"/>
      <c r="JR82" s="11"/>
      <c r="JS82" s="12"/>
      <c r="JT82" s="11"/>
      <c r="JU82" s="11"/>
      <c r="JV82" s="11"/>
      <c r="JW82" s="11"/>
      <c r="JX82" s="11"/>
      <c r="JY82" s="11"/>
      <c r="JZ82" s="12"/>
      <c r="KA82" s="11"/>
      <c r="KB82" s="11"/>
      <c r="KC82" s="11"/>
      <c r="KD82" s="11"/>
      <c r="KE82" s="11"/>
      <c r="KF82" s="11"/>
      <c r="KG82" s="12"/>
      <c r="KH82" s="11"/>
      <c r="KI82" s="11"/>
      <c r="KJ82" s="11"/>
      <c r="KK82" s="11"/>
      <c r="KL82" s="11"/>
      <c r="KM82" s="11"/>
      <c r="KN82" s="12"/>
      <c r="KO82" s="11"/>
      <c r="KP82" s="11"/>
      <c r="KQ82" s="11"/>
      <c r="KR82" s="11"/>
      <c r="KS82" s="11"/>
      <c r="KT82" s="11"/>
      <c r="KU82" s="12"/>
      <c r="KV82" s="11"/>
      <c r="KW82" s="11"/>
      <c r="KX82" s="11"/>
      <c r="KY82" s="11"/>
      <c r="KZ82" s="11"/>
      <c r="LA82" s="11"/>
      <c r="LB82" s="12"/>
      <c r="LC82" s="11"/>
      <c r="LD82" s="11"/>
      <c r="LE82" s="11"/>
      <c r="LF82" s="11"/>
      <c r="LG82" s="11"/>
      <c r="LH82" s="11"/>
      <c r="LI82" s="12"/>
      <c r="LJ82" s="11"/>
      <c r="LK82" s="11"/>
      <c r="LL82" s="11"/>
      <c r="LM82" s="11"/>
      <c r="LN82" s="11"/>
      <c r="LO82" s="11"/>
      <c r="LP82" s="12"/>
      <c r="LQ82" s="11"/>
      <c r="LR82" s="11"/>
      <c r="LS82" s="11"/>
      <c r="LT82" s="11"/>
      <c r="LU82" s="11"/>
      <c r="LV82" s="11"/>
      <c r="LW82" s="12"/>
      <c r="LX82" s="11"/>
      <c r="LY82" s="11"/>
      <c r="LZ82" s="11"/>
      <c r="MA82" s="11"/>
      <c r="MB82" s="11"/>
      <c r="MC82" s="11"/>
      <c r="MD82" s="12"/>
      <c r="ME82" s="11"/>
      <c r="MF82" s="11"/>
      <c r="MG82" s="11"/>
      <c r="MH82" s="11"/>
      <c r="MI82" s="11"/>
      <c r="MJ82" s="11"/>
      <c r="MK82" s="12"/>
      <c r="ML82" s="11"/>
      <c r="MM82" s="11"/>
      <c r="MN82" s="11"/>
      <c r="MO82" s="11"/>
      <c r="MP82" s="11"/>
      <c r="MQ82" s="11"/>
      <c r="MR82" s="12"/>
    </row>
    <row r="83" spans="1:356" x14ac:dyDescent="0.25">
      <c r="A83" s="8" t="s">
        <v>23</v>
      </c>
      <c r="B83" s="8"/>
      <c r="C83" s="8"/>
      <c r="D83" s="8"/>
      <c r="E83" s="8"/>
      <c r="F83" s="10"/>
      <c r="G83" s="19"/>
      <c r="H83" s="19"/>
      <c r="I83" s="8"/>
      <c r="J83" s="8"/>
      <c r="K83" s="8"/>
      <c r="L83" s="8"/>
      <c r="M83" s="8"/>
      <c r="N83" s="8"/>
      <c r="O83" s="9"/>
      <c r="P83" s="8">
        <f t="shared" ref="P83:P88" si="725">IF(SUM(S83:MR83) &gt; 0, SUM(S83:MR83), "")</f>
        <v>61</v>
      </c>
      <c r="Q83" s="109">
        <f t="shared" ref="Q83:Q89" si="726">IF(SUM(S83:XFD83) &gt; 0, SUM(S83:XFD83) / $P$90 * 100, "")</f>
        <v>100</v>
      </c>
      <c r="R83" s="84"/>
      <c r="S83" s="7">
        <v>1</v>
      </c>
      <c r="U83">
        <v>1</v>
      </c>
      <c r="V83">
        <v>1</v>
      </c>
      <c r="X83">
        <v>1</v>
      </c>
      <c r="Z83" s="7"/>
      <c r="AB83">
        <v>1</v>
      </c>
      <c r="AD83">
        <v>1</v>
      </c>
      <c r="AE83">
        <v>1</v>
      </c>
      <c r="AG83" s="7"/>
      <c r="AI83">
        <v>1</v>
      </c>
      <c r="AK83">
        <v>1</v>
      </c>
      <c r="AL83">
        <v>1</v>
      </c>
      <c r="AN83" s="7"/>
      <c r="AP83">
        <v>1</v>
      </c>
      <c r="AR83">
        <v>1</v>
      </c>
      <c r="AS83">
        <v>1</v>
      </c>
      <c r="AU83" s="7"/>
      <c r="AW83">
        <v>1</v>
      </c>
      <c r="AX83">
        <v>1</v>
      </c>
      <c r="AY83">
        <v>1</v>
      </c>
      <c r="AZ83">
        <v>1</v>
      </c>
      <c r="BB83" s="7"/>
      <c r="BD83">
        <v>1</v>
      </c>
      <c r="BF83">
        <v>1</v>
      </c>
      <c r="BG83">
        <v>1</v>
      </c>
      <c r="BI83" s="7"/>
      <c r="BK83">
        <v>1</v>
      </c>
      <c r="BM83">
        <v>1</v>
      </c>
      <c r="BN83">
        <v>1</v>
      </c>
      <c r="BP83" s="7">
        <v>1</v>
      </c>
      <c r="BR83">
        <v>1</v>
      </c>
      <c r="BT83">
        <v>1</v>
      </c>
      <c r="BW83">
        <v>1</v>
      </c>
      <c r="BY83" s="7"/>
      <c r="CC83">
        <v>1</v>
      </c>
      <c r="CF83">
        <v>1</v>
      </c>
      <c r="CH83" s="7"/>
      <c r="CL83">
        <v>1</v>
      </c>
      <c r="CO83">
        <v>1</v>
      </c>
      <c r="CQ83" s="7"/>
      <c r="CS83">
        <v>1</v>
      </c>
      <c r="CU83">
        <v>1</v>
      </c>
      <c r="CV83">
        <v>1</v>
      </c>
      <c r="CX83">
        <v>1</v>
      </c>
      <c r="CZ83" s="7"/>
      <c r="DB83">
        <v>1</v>
      </c>
      <c r="DE83">
        <v>1</v>
      </c>
      <c r="DG83">
        <v>1</v>
      </c>
      <c r="DI83" s="7"/>
      <c r="DK83">
        <v>1</v>
      </c>
      <c r="DM83">
        <v>1</v>
      </c>
      <c r="DN83">
        <v>1</v>
      </c>
      <c r="DR83" s="7"/>
      <c r="DT83">
        <v>1</v>
      </c>
      <c r="DV83">
        <v>1</v>
      </c>
      <c r="DW83">
        <v>1</v>
      </c>
      <c r="EA83" s="7"/>
      <c r="EB83">
        <v>1</v>
      </c>
      <c r="EC83">
        <v>1</v>
      </c>
      <c r="EE83">
        <v>1</v>
      </c>
      <c r="EF83">
        <v>1</v>
      </c>
      <c r="EJ83" s="7"/>
      <c r="EK83">
        <v>1</v>
      </c>
      <c r="EL83">
        <v>1</v>
      </c>
      <c r="EN83">
        <v>1</v>
      </c>
      <c r="EO83">
        <v>1</v>
      </c>
      <c r="EQ83">
        <v>1</v>
      </c>
      <c r="ES83" s="7"/>
      <c r="ET83">
        <v>1</v>
      </c>
      <c r="EU83">
        <v>1</v>
      </c>
      <c r="EV83">
        <v>1</v>
      </c>
      <c r="EW83">
        <v>1</v>
      </c>
      <c r="EX83">
        <v>1</v>
      </c>
      <c r="FB83" s="7"/>
      <c r="FC83">
        <v>1</v>
      </c>
      <c r="FD83">
        <v>1</v>
      </c>
      <c r="FE83">
        <v>1</v>
      </c>
      <c r="FK83" s="7"/>
      <c r="FR83" s="7"/>
      <c r="FY83" s="7"/>
      <c r="GF83" s="7"/>
      <c r="GM83" s="7"/>
      <c r="GT83" s="7"/>
      <c r="HA83" s="7"/>
      <c r="HH83" s="7"/>
      <c r="HO83" s="7"/>
      <c r="HV83" s="7"/>
      <c r="IC83" s="7"/>
      <c r="IJ83" s="7"/>
      <c r="IQ83" s="7"/>
      <c r="IX83" s="7"/>
      <c r="JE83" s="7"/>
      <c r="JL83" s="7"/>
      <c r="JS83" s="7"/>
      <c r="JZ83" s="7"/>
      <c r="KG83" s="7"/>
      <c r="KN83" s="7"/>
      <c r="KU83" s="7"/>
      <c r="LB83" s="7"/>
      <c r="LI83" s="7"/>
      <c r="LP83" s="7"/>
      <c r="LW83" s="7"/>
      <c r="MD83" s="7"/>
      <c r="MK83" s="7"/>
      <c r="MR83" s="7"/>
    </row>
    <row r="84" spans="1:356" x14ac:dyDescent="0.25">
      <c r="A84" s="8" t="s">
        <v>22</v>
      </c>
      <c r="B84" s="8"/>
      <c r="C84" s="8"/>
      <c r="D84" s="8"/>
      <c r="E84" s="8"/>
      <c r="F84" s="10"/>
      <c r="G84" s="19"/>
      <c r="H84" s="19"/>
      <c r="I84" s="8"/>
      <c r="J84" s="8"/>
      <c r="K84" s="8"/>
      <c r="L84" s="8"/>
      <c r="M84" s="8"/>
      <c r="N84" s="8"/>
      <c r="O84" s="9"/>
      <c r="P84" s="8" t="str">
        <f t="shared" si="725"/>
        <v/>
      </c>
      <c r="Q84" s="109" t="str">
        <f t="shared" si="726"/>
        <v/>
      </c>
      <c r="R84" s="84"/>
      <c r="S84" s="7"/>
      <c r="Z84" s="7"/>
      <c r="AG84" s="7"/>
      <c r="AN84" s="7"/>
      <c r="AU84" s="7"/>
      <c r="BB84" s="7"/>
      <c r="BI84" s="7"/>
      <c r="BP84" s="7"/>
      <c r="BY84" s="7"/>
      <c r="CH84" s="7"/>
      <c r="CQ84" s="7"/>
      <c r="CZ84" s="7"/>
      <c r="DI84" s="7"/>
      <c r="DR84" s="7"/>
      <c r="EA84" s="7"/>
      <c r="EJ84" s="7"/>
      <c r="ES84" s="7"/>
      <c r="FB84" s="7"/>
      <c r="FK84" s="7"/>
      <c r="FR84" s="7"/>
      <c r="FY84" s="7"/>
      <c r="GF84" s="7"/>
      <c r="GM84" s="7"/>
      <c r="GT84" s="7"/>
      <c r="HA84" s="7"/>
      <c r="HH84" s="7"/>
      <c r="HO84" s="7"/>
      <c r="HV84" s="7"/>
      <c r="IC84" s="7"/>
      <c r="IJ84" s="7"/>
      <c r="IQ84" s="7"/>
      <c r="IX84" s="7"/>
      <c r="JE84" s="7"/>
      <c r="JL84" s="7"/>
      <c r="JS84" s="7"/>
      <c r="JZ84" s="7"/>
      <c r="KG84" s="7"/>
      <c r="KN84" s="7"/>
      <c r="KU84" s="7"/>
      <c r="LB84" s="7"/>
      <c r="LI84" s="7"/>
      <c r="LP84" s="7"/>
      <c r="LW84" s="7"/>
      <c r="MD84" s="7"/>
      <c r="MK84" s="7"/>
      <c r="MR84" s="7"/>
    </row>
    <row r="85" spans="1:356" x14ac:dyDescent="0.25">
      <c r="A85" s="8" t="s">
        <v>21</v>
      </c>
      <c r="B85" s="8"/>
      <c r="C85" s="8"/>
      <c r="D85" s="8"/>
      <c r="E85" s="8"/>
      <c r="F85" s="10"/>
      <c r="G85" s="19"/>
      <c r="H85" s="19"/>
      <c r="I85" s="8"/>
      <c r="J85" s="8"/>
      <c r="K85" s="8"/>
      <c r="L85" s="8"/>
      <c r="M85" s="8"/>
      <c r="N85" s="8"/>
      <c r="O85" s="9"/>
      <c r="P85" s="8" t="str">
        <f t="shared" si="725"/>
        <v/>
      </c>
      <c r="Q85" s="109" t="str">
        <f t="shared" si="726"/>
        <v/>
      </c>
      <c r="R85" s="84"/>
      <c r="S85" s="7"/>
      <c r="Z85" s="7"/>
      <c r="AG85" s="7"/>
      <c r="AN85" s="7"/>
      <c r="AU85" s="7"/>
      <c r="BB85" s="7"/>
      <c r="BI85" s="7"/>
      <c r="BP85" s="7"/>
      <c r="BY85" s="7"/>
      <c r="CH85" s="7"/>
      <c r="CQ85" s="7"/>
      <c r="CZ85" s="7"/>
      <c r="DI85" s="7"/>
      <c r="DR85" s="7"/>
      <c r="EA85" s="7"/>
      <c r="EJ85" s="7"/>
      <c r="ES85" s="7"/>
      <c r="FB85" s="7"/>
      <c r="FK85" s="7"/>
      <c r="FR85" s="7"/>
      <c r="FY85" s="7"/>
      <c r="GF85" s="7"/>
      <c r="GM85" s="7"/>
      <c r="GT85" s="7"/>
      <c r="HA85" s="7"/>
      <c r="HH85" s="7"/>
      <c r="HO85" s="7"/>
      <c r="HV85" s="7"/>
      <c r="IC85" s="7"/>
      <c r="IJ85" s="7"/>
      <c r="IQ85" s="7"/>
      <c r="IX85" s="7"/>
      <c r="JE85" s="7"/>
      <c r="JL85" s="7"/>
      <c r="JS85" s="7"/>
      <c r="JZ85" s="7"/>
      <c r="KG85" s="7"/>
      <c r="KN85" s="7"/>
      <c r="KU85" s="7"/>
      <c r="LB85" s="7"/>
      <c r="LI85" s="7"/>
      <c r="LP85" s="7"/>
      <c r="LW85" s="7"/>
      <c r="MD85" s="7"/>
      <c r="MK85" s="7"/>
      <c r="MR85" s="7"/>
    </row>
    <row r="86" spans="1:356" x14ac:dyDescent="0.25">
      <c r="A86" s="8" t="s">
        <v>20</v>
      </c>
      <c r="B86" s="8"/>
      <c r="C86" s="8"/>
      <c r="D86" s="8"/>
      <c r="E86" s="8"/>
      <c r="F86" s="10"/>
      <c r="G86" s="19"/>
      <c r="H86" s="19"/>
      <c r="I86" s="8"/>
      <c r="J86" s="8"/>
      <c r="K86" s="8"/>
      <c r="L86" s="8"/>
      <c r="M86" s="8"/>
      <c r="N86" s="8"/>
      <c r="O86" s="9"/>
      <c r="P86" s="8" t="str">
        <f t="shared" si="725"/>
        <v/>
      </c>
      <c r="Q86" s="109" t="str">
        <f t="shared" si="726"/>
        <v/>
      </c>
      <c r="R86" s="84"/>
      <c r="S86" s="7"/>
      <c r="Z86" s="7"/>
      <c r="AG86" s="7"/>
      <c r="AN86" s="7"/>
      <c r="AU86" s="7"/>
      <c r="BB86" s="7"/>
      <c r="BI86" s="7"/>
      <c r="BP86" s="7"/>
      <c r="BY86" s="7"/>
      <c r="CH86" s="7"/>
      <c r="CQ86" s="7"/>
      <c r="CZ86" s="7"/>
      <c r="DI86" s="7"/>
      <c r="DR86" s="7"/>
      <c r="EA86" s="7"/>
      <c r="EJ86" s="7"/>
      <c r="ES86" s="7"/>
      <c r="FB86" s="7"/>
      <c r="FK86" s="7"/>
      <c r="FR86" s="7"/>
      <c r="FY86" s="7"/>
      <c r="GF86" s="7"/>
      <c r="GM86" s="7"/>
      <c r="GT86" s="7"/>
      <c r="HA86" s="7"/>
      <c r="HH86" s="7"/>
      <c r="HO86" s="7"/>
      <c r="HV86" s="7"/>
      <c r="IC86" s="7"/>
      <c r="IJ86" s="7"/>
      <c r="IQ86" s="7"/>
      <c r="IX86" s="7"/>
      <c r="JE86" s="7"/>
      <c r="JL86" s="7"/>
      <c r="JS86" s="7"/>
      <c r="JZ86" s="7"/>
      <c r="KG86" s="7"/>
      <c r="KN86" s="7"/>
      <c r="KU86" s="7"/>
      <c r="LB86" s="7"/>
      <c r="LI86" s="7"/>
      <c r="LP86" s="7"/>
      <c r="LW86" s="7"/>
      <c r="MD86" s="7"/>
      <c r="MK86" s="7"/>
      <c r="MR86" s="7"/>
    </row>
    <row r="87" spans="1:356" x14ac:dyDescent="0.25">
      <c r="A87" s="8" t="s">
        <v>152</v>
      </c>
      <c r="B87" s="8"/>
      <c r="C87" s="8"/>
      <c r="D87" s="8"/>
      <c r="E87" s="8"/>
      <c r="F87" s="10"/>
      <c r="G87" s="19"/>
      <c r="H87" s="19"/>
      <c r="I87" s="8"/>
      <c r="J87" s="8"/>
      <c r="K87" s="8"/>
      <c r="L87" s="8"/>
      <c r="M87" s="8"/>
      <c r="N87" s="8"/>
      <c r="O87" s="9"/>
      <c r="P87" s="8">
        <f t="shared" si="725"/>
        <v>1</v>
      </c>
      <c r="Q87" s="109">
        <f t="shared" si="726"/>
        <v>1.639344262295082</v>
      </c>
      <c r="R87" s="84"/>
      <c r="S87" s="7"/>
      <c r="Z87" s="7"/>
      <c r="AG87" s="7"/>
      <c r="AN87" s="7"/>
      <c r="AU87" s="7"/>
      <c r="BB87" s="7"/>
      <c r="BI87" s="7"/>
      <c r="BP87" s="7"/>
      <c r="BY87" s="7"/>
      <c r="CH87" s="7"/>
      <c r="CQ87" s="7"/>
      <c r="CZ87" s="7"/>
      <c r="DI87" s="7"/>
      <c r="DR87" s="7"/>
      <c r="EA87" s="7"/>
      <c r="EJ87" s="7"/>
      <c r="ES87" s="7"/>
      <c r="EU87">
        <v>1</v>
      </c>
      <c r="FB87" s="7"/>
      <c r="FK87" s="7"/>
      <c r="FR87" s="7"/>
      <c r="FY87" s="7"/>
      <c r="GF87" s="7"/>
      <c r="GM87" s="7"/>
      <c r="GT87" s="7"/>
      <c r="HA87" s="7"/>
      <c r="HH87" s="7"/>
      <c r="HO87" s="7"/>
      <c r="HV87" s="7"/>
      <c r="IC87" s="7"/>
      <c r="IJ87" s="7"/>
      <c r="IQ87" s="7"/>
      <c r="IX87" s="7"/>
      <c r="JE87" s="7"/>
      <c r="JL87" s="7"/>
      <c r="JS87" s="7"/>
      <c r="JZ87" s="7"/>
      <c r="KG87" s="7"/>
      <c r="KN87" s="7"/>
      <c r="KU87" s="7"/>
      <c r="LB87" s="7"/>
      <c r="LI87" s="7"/>
      <c r="LP87" s="7"/>
      <c r="LW87" s="7"/>
      <c r="MD87" s="7"/>
      <c r="MK87" s="7"/>
      <c r="MR87" s="7"/>
    </row>
    <row r="88" spans="1:356" x14ac:dyDescent="0.25">
      <c r="A88" s="8" t="s">
        <v>19</v>
      </c>
      <c r="B88" s="8"/>
      <c r="C88" s="8"/>
      <c r="D88" s="8"/>
      <c r="E88" s="8"/>
      <c r="F88" s="10"/>
      <c r="G88" s="19"/>
      <c r="H88" s="19"/>
      <c r="I88" s="8"/>
      <c r="J88" s="8"/>
      <c r="K88" s="8"/>
      <c r="L88" s="8"/>
      <c r="M88" s="8"/>
      <c r="N88" s="8"/>
      <c r="O88" s="9"/>
      <c r="P88" s="8">
        <f t="shared" si="725"/>
        <v>14</v>
      </c>
      <c r="Q88" s="109">
        <f t="shared" si="726"/>
        <v>22.950819672131146</v>
      </c>
      <c r="R88" s="84"/>
      <c r="S88" s="7"/>
      <c r="Z88" s="7"/>
      <c r="AG88" s="7"/>
      <c r="AK88">
        <v>1</v>
      </c>
      <c r="AN88" s="7"/>
      <c r="AU88" s="7"/>
      <c r="AW88">
        <v>1</v>
      </c>
      <c r="AY88">
        <v>1</v>
      </c>
      <c r="BB88" s="7"/>
      <c r="BF88">
        <v>1</v>
      </c>
      <c r="BI88" s="7"/>
      <c r="BN88">
        <v>1</v>
      </c>
      <c r="BP88" s="7"/>
      <c r="BY88" s="7"/>
      <c r="CH88" s="7"/>
      <c r="CQ88" s="7"/>
      <c r="CZ88" s="7"/>
      <c r="DI88" s="7"/>
      <c r="DR88" s="7"/>
      <c r="DT88">
        <v>1</v>
      </c>
      <c r="EA88" s="7"/>
      <c r="EC88">
        <v>1</v>
      </c>
      <c r="EE88">
        <v>1</v>
      </c>
      <c r="EJ88" s="7"/>
      <c r="EL88">
        <v>1</v>
      </c>
      <c r="EN88">
        <v>1</v>
      </c>
      <c r="EO88">
        <v>1</v>
      </c>
      <c r="ES88" s="7"/>
      <c r="EW88">
        <v>1</v>
      </c>
      <c r="EX88">
        <v>1</v>
      </c>
      <c r="FB88" s="7"/>
      <c r="FD88">
        <v>1</v>
      </c>
      <c r="FK88" s="7"/>
      <c r="FR88" s="7"/>
      <c r="FY88" s="7"/>
      <c r="GF88" s="7"/>
      <c r="GM88" s="7"/>
      <c r="GT88" s="7"/>
      <c r="HA88" s="7"/>
      <c r="HH88" s="7"/>
      <c r="HO88" s="7"/>
      <c r="HV88" s="7"/>
      <c r="IC88" s="7"/>
      <c r="IJ88" s="7"/>
      <c r="IQ88" s="7"/>
      <c r="IX88" s="7"/>
      <c r="JE88" s="7"/>
      <c r="JL88" s="7"/>
      <c r="JS88" s="7"/>
      <c r="JZ88" s="7"/>
      <c r="KG88" s="7"/>
      <c r="KN88" s="7"/>
      <c r="KU88" s="7"/>
      <c r="LB88" s="7"/>
      <c r="LI88" s="7"/>
      <c r="LP88" s="7"/>
      <c r="LW88" s="7"/>
      <c r="MD88" s="7"/>
      <c r="MK88" s="7"/>
      <c r="MR88" s="7"/>
    </row>
    <row r="89" spans="1:356" ht="5.25" customHeight="1" x14ac:dyDescent="0.25">
      <c r="A89" s="8"/>
      <c r="B89" s="8"/>
      <c r="C89" s="8"/>
      <c r="D89" s="8"/>
      <c r="E89" s="8"/>
      <c r="F89" s="10"/>
      <c r="G89" s="19"/>
      <c r="H89" s="19"/>
      <c r="I89" s="8"/>
      <c r="J89" s="8"/>
      <c r="K89" s="8"/>
      <c r="L89" s="8"/>
      <c r="M89" s="8"/>
      <c r="N89" s="8"/>
      <c r="O89" s="9"/>
      <c r="P89" s="8" t="str">
        <f>IF(SUM(R89:MR89) &gt; 0, SUM(R89:MR89), "")</f>
        <v/>
      </c>
      <c r="Q89" s="109" t="str">
        <f t="shared" si="726"/>
        <v/>
      </c>
      <c r="R89" s="9"/>
      <c r="S89" s="7"/>
      <c r="Z89" s="7"/>
      <c r="AG89" s="7"/>
      <c r="AN89" s="7"/>
      <c r="AU89" s="7"/>
      <c r="BB89" s="7"/>
      <c r="BI89" s="7"/>
      <c r="BP89" s="7"/>
      <c r="BY89" s="7"/>
      <c r="CH89" s="7"/>
      <c r="CQ89" s="7"/>
      <c r="CZ89" s="7"/>
      <c r="DI89" s="7"/>
      <c r="DR89" s="7"/>
      <c r="EA89" s="7"/>
      <c r="EJ89" s="7"/>
      <c r="ES89" s="7"/>
      <c r="FB89" s="7"/>
      <c r="FK89" s="7"/>
      <c r="FR89" s="7"/>
      <c r="FY89" s="7"/>
      <c r="GF89" s="7"/>
      <c r="GM89" s="7"/>
      <c r="GT89" s="7"/>
      <c r="HA89" s="7"/>
      <c r="HH89" s="7"/>
      <c r="HO89" s="7"/>
      <c r="HV89" s="7"/>
      <c r="IC89" s="7"/>
      <c r="IJ89" s="7"/>
      <c r="IQ89" s="7"/>
      <c r="IX89" s="7"/>
      <c r="JE89" s="7"/>
      <c r="JL89" s="7"/>
      <c r="JS89" s="7"/>
      <c r="JZ89" s="7"/>
      <c r="KG89" s="7"/>
      <c r="KN89" s="7"/>
      <c r="KU89" s="7"/>
      <c r="LB89" s="7"/>
      <c r="LI89" s="7"/>
      <c r="LP89" s="7"/>
      <c r="LW89" s="7"/>
      <c r="MD89" s="7"/>
      <c r="MK89" s="7"/>
      <c r="MR89" s="7"/>
    </row>
    <row r="90" spans="1:356" x14ac:dyDescent="0.25">
      <c r="A90" s="6" t="s">
        <v>18</v>
      </c>
      <c r="B90" s="3"/>
      <c r="C90" s="3"/>
      <c r="D90" s="3"/>
      <c r="E90" s="3"/>
      <c r="F90" s="5"/>
      <c r="G90" s="3"/>
      <c r="H90" s="3"/>
      <c r="I90" s="3"/>
      <c r="J90" s="3"/>
      <c r="K90" s="3"/>
      <c r="L90" s="3"/>
      <c r="M90" s="3"/>
      <c r="N90" s="3"/>
      <c r="O90" s="4"/>
      <c r="P90" s="3">
        <f>SUM(S90:MR90)</f>
        <v>61</v>
      </c>
      <c r="Q90" s="3"/>
      <c r="R90" s="4"/>
      <c r="S90" s="4">
        <v>1</v>
      </c>
      <c r="T90" s="3"/>
      <c r="U90" s="3">
        <v>1</v>
      </c>
      <c r="V90" s="3">
        <v>1</v>
      </c>
      <c r="W90" s="3"/>
      <c r="X90" s="3">
        <v>1</v>
      </c>
      <c r="Y90" s="3"/>
      <c r="Z90" s="4"/>
      <c r="AA90" s="3"/>
      <c r="AB90" s="3">
        <v>1</v>
      </c>
      <c r="AC90" s="3"/>
      <c r="AD90" s="3">
        <v>1</v>
      </c>
      <c r="AE90" s="3">
        <v>1</v>
      </c>
      <c r="AF90" s="3"/>
      <c r="AG90" s="4"/>
      <c r="AH90" s="3"/>
      <c r="AI90" s="3">
        <v>1</v>
      </c>
      <c r="AJ90" s="3"/>
      <c r="AK90" s="3">
        <v>1</v>
      </c>
      <c r="AL90" s="3">
        <v>1</v>
      </c>
      <c r="AM90" s="3"/>
      <c r="AN90" s="4"/>
      <c r="AO90" s="3"/>
      <c r="AP90" s="3">
        <v>1</v>
      </c>
      <c r="AQ90" s="3"/>
      <c r="AR90" s="3">
        <v>1</v>
      </c>
      <c r="AS90" s="3">
        <v>1</v>
      </c>
      <c r="AT90" s="3"/>
      <c r="AU90" s="4"/>
      <c r="AV90" s="3"/>
      <c r="AW90" s="3">
        <v>1</v>
      </c>
      <c r="AX90" s="3">
        <v>1</v>
      </c>
      <c r="AY90" s="3">
        <v>1</v>
      </c>
      <c r="AZ90" s="3">
        <v>1</v>
      </c>
      <c r="BA90" s="3"/>
      <c r="BB90" s="4"/>
      <c r="BC90" s="3"/>
      <c r="BD90" s="3">
        <v>1</v>
      </c>
      <c r="BE90" s="3"/>
      <c r="BF90" s="3">
        <v>1</v>
      </c>
      <c r="BG90" s="3">
        <v>1</v>
      </c>
      <c r="BH90" s="3"/>
      <c r="BI90" s="4"/>
      <c r="BJ90" s="3"/>
      <c r="BK90" s="3">
        <v>1</v>
      </c>
      <c r="BL90" s="3"/>
      <c r="BM90" s="3">
        <v>1</v>
      </c>
      <c r="BN90" s="3">
        <v>1</v>
      </c>
      <c r="BO90" s="3"/>
      <c r="BP90" s="4">
        <v>1</v>
      </c>
      <c r="BQ90" s="3"/>
      <c r="BR90" s="3">
        <v>1</v>
      </c>
      <c r="BS90" s="3"/>
      <c r="BT90" s="3">
        <v>1</v>
      </c>
      <c r="BU90" s="3"/>
      <c r="BV90" s="3"/>
      <c r="BW90" s="3">
        <v>1</v>
      </c>
      <c r="BX90" s="3"/>
      <c r="BY90" s="4"/>
      <c r="BZ90" s="3"/>
      <c r="CA90" s="3"/>
      <c r="CB90" s="3"/>
      <c r="CC90" s="3">
        <v>1</v>
      </c>
      <c r="CD90" s="3"/>
      <c r="CE90" s="3"/>
      <c r="CF90" s="3">
        <v>1</v>
      </c>
      <c r="CG90" s="3"/>
      <c r="CH90" s="4"/>
      <c r="CI90" s="3"/>
      <c r="CJ90" s="3"/>
      <c r="CK90" s="3"/>
      <c r="CL90" s="3">
        <v>1</v>
      </c>
      <c r="CM90" s="3"/>
      <c r="CN90" s="3"/>
      <c r="CO90" s="3">
        <v>1</v>
      </c>
      <c r="CP90" s="3"/>
      <c r="CQ90" s="4"/>
      <c r="CR90" s="3"/>
      <c r="CS90" s="3">
        <v>1</v>
      </c>
      <c r="CT90" s="3"/>
      <c r="CU90" s="3">
        <v>1</v>
      </c>
      <c r="CV90" s="3">
        <v>1</v>
      </c>
      <c r="CW90" s="3"/>
      <c r="CX90" s="3">
        <v>1</v>
      </c>
      <c r="CY90" s="3"/>
      <c r="CZ90" s="4"/>
      <c r="DA90" s="3"/>
      <c r="DB90" s="3">
        <v>1</v>
      </c>
      <c r="DC90" s="3"/>
      <c r="DD90" s="3"/>
      <c r="DE90" s="3">
        <v>1</v>
      </c>
      <c r="DF90" s="3"/>
      <c r="DG90" s="3">
        <v>1</v>
      </c>
      <c r="DH90" s="3"/>
      <c r="DI90" s="4"/>
      <c r="DJ90" s="3"/>
      <c r="DK90" s="3">
        <v>1</v>
      </c>
      <c r="DL90" s="3"/>
      <c r="DM90" s="3">
        <v>1</v>
      </c>
      <c r="DN90" s="3">
        <v>1</v>
      </c>
      <c r="DO90" s="3"/>
      <c r="DP90" s="3"/>
      <c r="DQ90" s="3"/>
      <c r="DR90" s="4"/>
      <c r="DS90" s="3"/>
      <c r="DT90" s="3">
        <v>1</v>
      </c>
      <c r="DU90" s="3"/>
      <c r="DV90" s="3">
        <v>1</v>
      </c>
      <c r="DW90" s="3">
        <v>1</v>
      </c>
      <c r="DX90" s="3"/>
      <c r="DY90" s="3"/>
      <c r="DZ90" s="3"/>
      <c r="EA90" s="4"/>
      <c r="EB90" s="3">
        <v>1</v>
      </c>
      <c r="EC90" s="3">
        <v>1</v>
      </c>
      <c r="ED90" s="3"/>
      <c r="EE90" s="3">
        <v>1</v>
      </c>
      <c r="EF90" s="3">
        <v>1</v>
      </c>
      <c r="EG90" s="3"/>
      <c r="EH90" s="3"/>
      <c r="EI90" s="3"/>
      <c r="EJ90" s="4"/>
      <c r="EK90" s="3">
        <v>1</v>
      </c>
      <c r="EL90" s="3">
        <v>1</v>
      </c>
      <c r="EM90" s="3"/>
      <c r="EN90" s="3">
        <v>1</v>
      </c>
      <c r="EO90" s="3">
        <v>1</v>
      </c>
      <c r="EP90" s="3"/>
      <c r="EQ90" s="3">
        <v>1</v>
      </c>
      <c r="ER90" s="3"/>
      <c r="ES90" s="4"/>
      <c r="ET90" s="3">
        <v>1</v>
      </c>
      <c r="EU90" s="3">
        <v>1</v>
      </c>
      <c r="EV90" s="3">
        <v>1</v>
      </c>
      <c r="EW90" s="3">
        <v>1</v>
      </c>
      <c r="EX90" s="3">
        <v>1</v>
      </c>
      <c r="EY90" s="3"/>
      <c r="EZ90" s="3"/>
      <c r="FA90" s="3"/>
      <c r="FB90" s="4"/>
      <c r="FC90" s="3">
        <v>1</v>
      </c>
      <c r="FD90" s="3">
        <v>1</v>
      </c>
      <c r="FE90" s="3">
        <v>1</v>
      </c>
      <c r="FF90" s="3"/>
      <c r="FG90" s="3"/>
      <c r="FH90" s="3"/>
      <c r="FI90" s="3"/>
      <c r="FJ90" s="3"/>
      <c r="FK90" s="4"/>
      <c r="FL90" s="3"/>
      <c r="FM90" s="3"/>
      <c r="FN90" s="3"/>
      <c r="FO90" s="3"/>
      <c r="FP90" s="3"/>
      <c r="FQ90" s="3"/>
      <c r="FR90" s="4"/>
      <c r="FS90" s="3"/>
      <c r="FT90" s="3"/>
      <c r="FU90" s="3"/>
      <c r="FV90" s="3"/>
      <c r="FW90" s="3"/>
      <c r="FX90" s="3"/>
      <c r="FY90" s="4"/>
      <c r="FZ90" s="3"/>
      <c r="GA90" s="3"/>
      <c r="GB90" s="3"/>
      <c r="GC90" s="3"/>
      <c r="GD90" s="3"/>
      <c r="GE90" s="3"/>
      <c r="GF90" s="4"/>
      <c r="GG90" s="3"/>
      <c r="GH90" s="3"/>
      <c r="GI90" s="3"/>
      <c r="GJ90" s="3"/>
      <c r="GK90" s="3"/>
      <c r="GL90" s="3"/>
      <c r="GM90" s="4"/>
      <c r="GN90" s="3"/>
      <c r="GO90" s="3"/>
      <c r="GP90" s="3"/>
      <c r="GQ90" s="3"/>
      <c r="GR90" s="3"/>
      <c r="GS90" s="3"/>
      <c r="GT90" s="4"/>
      <c r="GU90" s="3"/>
      <c r="GV90" s="3"/>
      <c r="GW90" s="3"/>
      <c r="GX90" s="3"/>
      <c r="GY90" s="3"/>
      <c r="GZ90" s="3"/>
      <c r="HA90" s="4"/>
      <c r="HB90" s="3"/>
      <c r="HC90" s="3"/>
      <c r="HD90" s="3"/>
      <c r="HE90" s="3"/>
      <c r="HF90" s="3"/>
      <c r="HG90" s="3"/>
      <c r="HH90" s="4"/>
      <c r="HI90" s="3"/>
      <c r="HJ90" s="3"/>
      <c r="HK90" s="3"/>
      <c r="HL90" s="3"/>
      <c r="HM90" s="3"/>
      <c r="HN90" s="3"/>
      <c r="HO90" s="4"/>
      <c r="HP90" s="3"/>
      <c r="HQ90" s="3"/>
      <c r="HR90" s="3"/>
      <c r="HS90" s="3"/>
      <c r="HT90" s="3"/>
      <c r="HU90" s="3"/>
      <c r="HV90" s="4"/>
      <c r="HW90" s="3"/>
      <c r="HX90" s="3"/>
      <c r="HY90" s="3"/>
      <c r="HZ90" s="3"/>
      <c r="IA90" s="3"/>
      <c r="IB90" s="3"/>
      <c r="IC90" s="4"/>
      <c r="ID90" s="3"/>
      <c r="IE90" s="3"/>
      <c r="IF90" s="3"/>
      <c r="IG90" s="3"/>
      <c r="IH90" s="3"/>
      <c r="II90" s="3"/>
      <c r="IJ90" s="4"/>
      <c r="IK90" s="3"/>
      <c r="IL90" s="3"/>
      <c r="IM90" s="3"/>
      <c r="IN90" s="3"/>
      <c r="IO90" s="3"/>
      <c r="IP90" s="3"/>
      <c r="IQ90" s="4"/>
      <c r="IR90" s="3"/>
      <c r="IS90" s="3"/>
      <c r="IT90" s="3"/>
      <c r="IU90" s="3"/>
      <c r="IV90" s="3"/>
      <c r="IW90" s="3"/>
      <c r="IX90" s="4"/>
      <c r="IY90" s="3"/>
      <c r="IZ90" s="3"/>
      <c r="JA90" s="3"/>
      <c r="JB90" s="3"/>
      <c r="JC90" s="3"/>
      <c r="JD90" s="3"/>
      <c r="JE90" s="4"/>
      <c r="JF90" s="3"/>
      <c r="JG90" s="3"/>
      <c r="JH90" s="3"/>
      <c r="JI90" s="3"/>
      <c r="JJ90" s="3"/>
      <c r="JK90" s="3"/>
      <c r="JL90" s="4"/>
      <c r="JM90" s="3"/>
      <c r="JN90" s="3"/>
      <c r="JO90" s="3"/>
      <c r="JP90" s="3"/>
      <c r="JQ90" s="3"/>
      <c r="JR90" s="3"/>
      <c r="JS90" s="4"/>
      <c r="JT90" s="3"/>
      <c r="JU90" s="3"/>
      <c r="JV90" s="3"/>
      <c r="JW90" s="3"/>
      <c r="JX90" s="3"/>
      <c r="JY90" s="3"/>
      <c r="JZ90" s="4"/>
      <c r="KA90" s="3"/>
      <c r="KB90" s="3"/>
      <c r="KC90" s="3"/>
      <c r="KD90" s="3"/>
      <c r="KE90" s="3"/>
      <c r="KF90" s="3"/>
      <c r="KG90" s="4"/>
      <c r="KH90" s="3"/>
      <c r="KI90" s="3"/>
      <c r="KJ90" s="3"/>
      <c r="KK90" s="3"/>
      <c r="KL90" s="3"/>
      <c r="KM90" s="3"/>
      <c r="KN90" s="4"/>
      <c r="KO90" s="3"/>
      <c r="KP90" s="3"/>
      <c r="KQ90" s="3"/>
      <c r="KR90" s="3"/>
      <c r="KS90" s="3"/>
      <c r="KT90" s="3"/>
      <c r="KU90" s="4"/>
      <c r="KV90" s="3"/>
      <c r="KW90" s="3"/>
      <c r="KX90" s="3"/>
      <c r="KY90" s="3"/>
      <c r="KZ90" s="3"/>
      <c r="LA90" s="3"/>
      <c r="LB90" s="4"/>
      <c r="LC90" s="3"/>
      <c r="LD90" s="3"/>
      <c r="LE90" s="3"/>
      <c r="LF90" s="3"/>
      <c r="LG90" s="3"/>
      <c r="LH90" s="3"/>
      <c r="LI90" s="4"/>
      <c r="LJ90" s="3"/>
      <c r="LK90" s="3"/>
      <c r="LL90" s="3"/>
      <c r="LM90" s="3"/>
      <c r="LN90" s="3"/>
      <c r="LO90" s="3"/>
      <c r="LP90" s="4"/>
      <c r="LQ90" s="3"/>
      <c r="LR90" s="3"/>
      <c r="LS90" s="3"/>
      <c r="LT90" s="3"/>
      <c r="LU90" s="3"/>
      <c r="LV90" s="3"/>
      <c r="LW90" s="4"/>
      <c r="LX90" s="3"/>
      <c r="LY90" s="3"/>
      <c r="LZ90" s="3"/>
      <c r="MA90" s="3"/>
      <c r="MB90" s="3"/>
      <c r="MC90" s="3"/>
      <c r="MD90" s="4"/>
      <c r="ME90" s="3"/>
      <c r="MF90" s="3"/>
      <c r="MG90" s="3"/>
      <c r="MH90" s="3"/>
      <c r="MI90" s="3"/>
      <c r="MJ90" s="3"/>
      <c r="MK90" s="4"/>
      <c r="ML90" s="3"/>
      <c r="MM90" s="3"/>
      <c r="MN90" s="3"/>
      <c r="MO90" s="3"/>
      <c r="MP90" s="3"/>
      <c r="MQ90" s="3"/>
      <c r="MR90" s="4"/>
    </row>
    <row r="92" spans="1:356" x14ac:dyDescent="0.25">
      <c r="B92" t="s">
        <v>199</v>
      </c>
      <c r="C92" t="s">
        <v>200</v>
      </c>
      <c r="D92" t="s">
        <v>201</v>
      </c>
      <c r="E92" t="s">
        <v>202</v>
      </c>
      <c r="F92" t="s">
        <v>207</v>
      </c>
      <c r="G92" t="s">
        <v>203</v>
      </c>
      <c r="H92" t="s">
        <v>204</v>
      </c>
      <c r="I92" t="s">
        <v>48</v>
      </c>
      <c r="J92" t="s">
        <v>406</v>
      </c>
      <c r="K92" t="s">
        <v>205</v>
      </c>
      <c r="L92" t="s">
        <v>206</v>
      </c>
    </row>
    <row r="93" spans="1:356" ht="15" customHeight="1" x14ac:dyDescent="0.25">
      <c r="A93" t="s">
        <v>17</v>
      </c>
      <c r="B93" t="s">
        <v>145</v>
      </c>
      <c r="C93">
        <v>7</v>
      </c>
      <c r="D93">
        <v>28</v>
      </c>
      <c r="E93">
        <v>37</v>
      </c>
      <c r="F93">
        <v>1</v>
      </c>
      <c r="G93" t="s">
        <v>15</v>
      </c>
      <c r="H93" t="s">
        <v>13</v>
      </c>
      <c r="I93" t="s">
        <v>187</v>
      </c>
      <c r="J93" t="s">
        <v>188</v>
      </c>
      <c r="K93" t="s">
        <v>407</v>
      </c>
      <c r="L93" s="51" t="str">
        <f>FindEnd(S36:MR36)</f>
        <v>FK</v>
      </c>
      <c r="N93" s="101"/>
      <c r="O93" s="102"/>
      <c r="P93" s="102"/>
      <c r="Q93" s="102"/>
      <c r="R93" s="103"/>
      <c r="S93" s="102"/>
      <c r="V93" s="34"/>
    </row>
    <row r="94" spans="1:356" x14ac:dyDescent="0.25">
      <c r="B94" t="s">
        <v>148</v>
      </c>
      <c r="C94">
        <v>45</v>
      </c>
      <c r="D94">
        <v>63</v>
      </c>
      <c r="E94">
        <v>67</v>
      </c>
      <c r="F94">
        <v>39</v>
      </c>
      <c r="G94" t="s">
        <v>15</v>
      </c>
      <c r="H94" t="s">
        <v>13</v>
      </c>
      <c r="I94" t="s">
        <v>187</v>
      </c>
      <c r="K94" t="s">
        <v>105</v>
      </c>
      <c r="L94" s="51" t="str">
        <f>FindEnd(S66:MR66)</f>
        <v>FK</v>
      </c>
    </row>
    <row r="95" spans="1:356" x14ac:dyDescent="0.25">
      <c r="B95" t="s">
        <v>16</v>
      </c>
      <c r="C95">
        <v>73</v>
      </c>
      <c r="D95">
        <v>76</v>
      </c>
      <c r="E95">
        <v>79</v>
      </c>
      <c r="F95">
        <v>68</v>
      </c>
      <c r="G95" t="s">
        <v>15</v>
      </c>
      <c r="H95" t="s">
        <v>13</v>
      </c>
      <c r="I95" t="s">
        <v>187</v>
      </c>
      <c r="K95" t="s">
        <v>105</v>
      </c>
      <c r="L95" s="51" t="str">
        <f>FindEnd(S78:MR78)</f>
        <v>FK</v>
      </c>
    </row>
    <row r="96" spans="1:356" x14ac:dyDescent="0.25">
      <c r="F96" s="106" t="s">
        <v>402</v>
      </c>
      <c r="K96" s="51"/>
    </row>
    <row r="97" spans="1:11" x14ac:dyDescent="0.25">
      <c r="K97" s="51"/>
    </row>
    <row r="98" spans="1:11" x14ac:dyDescent="0.25">
      <c r="K98" s="51"/>
    </row>
    <row r="99" spans="1:11" x14ac:dyDescent="0.25">
      <c r="K99" s="51"/>
    </row>
    <row r="100" spans="1:11" hidden="1" x14ac:dyDescent="0.25">
      <c r="A100" s="8" t="s">
        <v>112</v>
      </c>
      <c r="B100" s="8" t="s">
        <v>111</v>
      </c>
      <c r="C100" s="8" t="s">
        <v>110</v>
      </c>
      <c r="D100" s="8" t="s">
        <v>109</v>
      </c>
      <c r="E100" s="18">
        <v>40099</v>
      </c>
    </row>
    <row r="101" spans="1:11" hidden="1" x14ac:dyDescent="0.25">
      <c r="A101" s="8" t="s">
        <v>83</v>
      </c>
      <c r="B101" s="8"/>
      <c r="C101" s="8" t="s">
        <v>105</v>
      </c>
      <c r="D101" s="8" t="s">
        <v>104</v>
      </c>
      <c r="E101" s="18">
        <v>39365</v>
      </c>
    </row>
    <row r="102" spans="1:11" hidden="1" x14ac:dyDescent="0.25">
      <c r="A102" s="8" t="s">
        <v>103</v>
      </c>
      <c r="B102" s="8"/>
      <c r="C102" s="8" t="s">
        <v>102</v>
      </c>
      <c r="D102" s="8" t="s">
        <v>101</v>
      </c>
      <c r="E102" s="18">
        <v>39705</v>
      </c>
    </row>
    <row r="103" spans="1:11" hidden="1" x14ac:dyDescent="0.25">
      <c r="A103" s="8" t="s">
        <v>86</v>
      </c>
      <c r="B103" s="8"/>
      <c r="C103" s="8" t="s">
        <v>100</v>
      </c>
      <c r="D103" s="8" t="s">
        <v>97</v>
      </c>
      <c r="E103" s="18">
        <v>39386</v>
      </c>
    </row>
    <row r="104" spans="1:11" hidden="1" x14ac:dyDescent="0.25">
      <c r="A104" s="8" t="s">
        <v>99</v>
      </c>
      <c r="B104" s="8"/>
      <c r="C104" s="8" t="s">
        <v>98</v>
      </c>
      <c r="D104" s="8" t="s">
        <v>97</v>
      </c>
      <c r="E104" s="18">
        <v>39386</v>
      </c>
    </row>
    <row r="105" spans="1:11" hidden="1" x14ac:dyDescent="0.25">
      <c r="A105" s="8" t="s">
        <v>96</v>
      </c>
      <c r="B105" s="8" t="s">
        <v>95</v>
      </c>
      <c r="C105" s="8" t="s">
        <v>94</v>
      </c>
      <c r="D105" s="8" t="s">
        <v>93</v>
      </c>
      <c r="E105" s="18">
        <v>39590</v>
      </c>
    </row>
    <row r="106" spans="1:11" x14ac:dyDescent="0.25">
      <c r="A106" s="8" t="s">
        <v>72</v>
      </c>
      <c r="B106" s="8"/>
      <c r="C106" s="8" t="s">
        <v>71</v>
      </c>
      <c r="D106" s="8" t="s">
        <v>70</v>
      </c>
      <c r="E106" s="18">
        <v>40754</v>
      </c>
    </row>
    <row r="107" spans="1:11" x14ac:dyDescent="0.25">
      <c r="A107" s="8" t="s">
        <v>69</v>
      </c>
      <c r="B107" s="8"/>
      <c r="C107" s="8" t="s">
        <v>68</v>
      </c>
      <c r="D107" s="8" t="s">
        <v>67</v>
      </c>
      <c r="E107" s="18"/>
    </row>
    <row r="108" spans="1:11" hidden="1" x14ac:dyDescent="0.25">
      <c r="A108" s="8" t="s">
        <v>66</v>
      </c>
      <c r="B108" s="8" t="s">
        <v>65</v>
      </c>
      <c r="C108" s="8" t="s">
        <v>64</v>
      </c>
      <c r="D108" s="8" t="s">
        <v>63</v>
      </c>
      <c r="E108" s="18">
        <v>39713</v>
      </c>
    </row>
    <row r="109" spans="1:11" x14ac:dyDescent="0.25">
      <c r="A109" s="8" t="s">
        <v>61</v>
      </c>
      <c r="B109" s="8"/>
      <c r="C109" s="8" t="s">
        <v>60</v>
      </c>
      <c r="D109" s="8" t="s">
        <v>59</v>
      </c>
      <c r="E109" s="18"/>
    </row>
    <row r="110" spans="1:11" hidden="1" x14ac:dyDescent="0.25">
      <c r="A110" s="8" t="s">
        <v>58</v>
      </c>
      <c r="B110" s="8"/>
      <c r="C110" s="8" t="s">
        <v>57</v>
      </c>
      <c r="D110" s="8"/>
      <c r="E110" s="18"/>
    </row>
    <row r="111" spans="1:11" x14ac:dyDescent="0.25">
      <c r="A111" s="8" t="s">
        <v>56</v>
      </c>
      <c r="B111" s="8"/>
      <c r="C111" s="8" t="s">
        <v>14</v>
      </c>
      <c r="D111" s="8"/>
      <c r="E111" s="18"/>
    </row>
    <row r="112" spans="1:11" x14ac:dyDescent="0.25">
      <c r="A112" s="8" t="s">
        <v>55</v>
      </c>
      <c r="B112" s="8"/>
      <c r="C112" s="31" t="s">
        <v>54</v>
      </c>
      <c r="D112" s="8"/>
      <c r="E112" s="18"/>
    </row>
    <row r="113" spans="1:5" x14ac:dyDescent="0.25">
      <c r="A113" s="8" t="s">
        <v>53</v>
      </c>
      <c r="B113" s="8"/>
      <c r="C113" s="31" t="s">
        <v>52</v>
      </c>
      <c r="D113" s="8"/>
      <c r="E113" s="18"/>
    </row>
    <row r="114" spans="1:5" x14ac:dyDescent="0.25">
      <c r="A114" s="8" t="s">
        <v>51</v>
      </c>
      <c r="B114" s="8"/>
      <c r="C114" s="31" t="s">
        <v>50</v>
      </c>
      <c r="D114" s="8"/>
      <c r="E114" s="18"/>
    </row>
    <row r="115" spans="1:5" x14ac:dyDescent="0.25">
      <c r="A115" s="8" t="s">
        <v>62</v>
      </c>
      <c r="B115" s="8"/>
      <c r="C115" s="31" t="s">
        <v>292</v>
      </c>
      <c r="D115" s="8" t="s">
        <v>293</v>
      </c>
    </row>
  </sheetData>
  <dataConsolidate/>
  <mergeCells count="12">
    <mergeCell ref="A69:E70"/>
    <mergeCell ref="P69:P70"/>
    <mergeCell ref="R69:R70"/>
    <mergeCell ref="R2:R3"/>
    <mergeCell ref="A2:E3"/>
    <mergeCell ref="P2:P3"/>
    <mergeCell ref="A40:E41"/>
    <mergeCell ref="P40:P41"/>
    <mergeCell ref="R40:R41"/>
    <mergeCell ref="Q2:Q3"/>
    <mergeCell ref="Q40:Q41"/>
    <mergeCell ref="Q69:Q70"/>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DZ8 CP12:CZ15 CP8 CR8:CX8 CG12:CH15 CG8 DZ19:EA25 EA18 DZ27:EA28 EA26 DZ7:EA7 EI12:EJ28 EN22 EN14:EN15 EN27 EI7:EJ10 CG9:CH10 DZ9:EA10 DQ9:DR10 DH9:DI10 BX7:BX10 BY9:BY10 EI11:EJ11 BX11:EH11 EK11:EN11 CG16:EA16 BY16 ER7:ER20 EN29:EN30 ER22 ER24:ER27 ES7:ES10 ES24:ES28 ES19:ES20 ES22 ES18 ES23 ES21 ES11:ES17 FA7:FB28" numberStoredAsText="1"/>
    <ignoredError sqref="P31 EJ37 EA37 CZ37 Q37:CY37 DA37:DZ37 EB37:EI37 EK37:EW37 Q28 FA37:FG37 FJ37:MR37" formula="1"/>
    <ignoredError sqref="AI67:CV67 CY70 AI79:CV82 AI78:BL78 BN78:CV78 AI88:CV89 AI83:CR83 CT83 AI90:CR90 CT90 CY71:DF82 DA70:DF70 CY67:DF67 CY88:DF89 CY83:DA83 DC83:DD83 CY90:DA90 DC90:DD90 DI70:DO82 DI67:DO67 DS68:DW69 DR67:DW67 DI88:DO89 DI83:DJ83 DL83 DF83 DF90 DI90:DJ90 DL90 DO83 DO90 AI70:CV77 AI68:BY69 DR77:DU77 DR75:DS75 DU75 DR72:DW72 DR70:DS71 DU70:DU71 DR74:DW74 DR73:DS73 DU73 DR76:DT76 DR79:DW82 DR78:DS78 DU78 DR84:DW86 DR83:DS83 DU83 DR89:DW89 DR88:DS88 DU88:DW88 DR90:DS90 DU90 DZ70:EB70 ED70 DW77 DZ75:EB75 DZ78:EB78 ED78 DZ83:EA83 ED83 DZ88:EB88 ED88 DZ90:EA90 ED90 EF88 EF74 DZ89:EF89 DZ84:EF86 DZ80:EF82 ED75:EF75 DZ76:EF77 EB68:EF69 DZ71:EF72 DZ67:EF67 EI67:EP67 EI71:EP72 EK68:EP69 FK88:MR90 DZ79:EE79 ES70:EW70 FB70:FF70 FK70:FL70 FN70 FP70:MR70 EI77:EP77 EI75:EK75 EM75 EI79:EP82 EI78:EK78 EM78 EI84:EP86 EI83:EJ83 EM83 EI89:EP89 EI88:EK88 EM88 EI90:EJ90 EM90 EI70:EK70 EM70 EP70 EI76:EN76 EP75:EP76 EP78 EP83 EP88 EP90 EI74:EP74 EI73:EK73 DZ73:ED74 EY70 ET68:EY69 ES71:EY74 ES67:EY67 FK67:MR67 ES89:EY89 ES83 ES90 ES84:EY86 FK71:MR86 DI84:DO86 CY84:DF86 AI84:CV86 ES79:EY82 ES78:ET78 EV78 ES76:EY77 ES75:ET75 EV75 EY75 EY78 EY83 ES88:EV88 EY88 EY90 FB71:FH74 FC68:FH69 FH70 FB67:FH67 FB89:FH89 FL69:MR69 FL68:MR68 FB76:FH77 FB75:FC75 FE75:FH75 FB79:FH82 FB78:FC78 FE78:FH78 FB84:FH86 FB83 FF83:FH83 FB88:FC88 FE88:FH88 FB90 FF90:FH90"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92</xdr:row>
                    <xdr:rowOff>28575</xdr:rowOff>
                  </from>
                  <to>
                    <xdr:col>0</xdr:col>
                    <xdr:colOff>676275</xdr:colOff>
                    <xdr:row>94</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96</xdr:row>
                    <xdr:rowOff>28575</xdr:rowOff>
                  </from>
                  <to>
                    <xdr:col>9</xdr:col>
                    <xdr:colOff>47625</xdr:colOff>
                    <xdr:row>97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51"/>
  <sheetViews>
    <sheetView workbookViewId="0">
      <selection activeCell="B9" sqref="B9"/>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5">
        <v>44097</v>
      </c>
      <c r="B8" s="74" t="s">
        <v>536</v>
      </c>
      <c r="C8" s="74"/>
      <c r="D8" s="73"/>
    </row>
    <row r="9" spans="1:4" ht="60" x14ac:dyDescent="0.25">
      <c r="A9" s="72"/>
      <c r="B9" s="76" t="s">
        <v>537</v>
      </c>
      <c r="C9" s="74"/>
      <c r="D9" s="73"/>
    </row>
    <row r="10" spans="1:4" x14ac:dyDescent="0.25">
      <c r="A10" s="75">
        <v>44096</v>
      </c>
      <c r="B10" s="74" t="s">
        <v>532</v>
      </c>
      <c r="C10" s="74"/>
      <c r="D10" s="74" t="s">
        <v>534</v>
      </c>
    </row>
    <row r="11" spans="1:4" ht="105" x14ac:dyDescent="0.25">
      <c r="A11" s="72"/>
      <c r="B11" s="76" t="s">
        <v>533</v>
      </c>
      <c r="C11" s="74"/>
      <c r="D11" s="76" t="s">
        <v>535</v>
      </c>
    </row>
    <row r="12" spans="1:4" x14ac:dyDescent="0.25">
      <c r="A12" s="75">
        <v>44095</v>
      </c>
      <c r="B12" s="74" t="s">
        <v>529</v>
      </c>
      <c r="C12" s="74"/>
      <c r="D12" s="73"/>
    </row>
    <row r="13" spans="1:4" ht="90" x14ac:dyDescent="0.25">
      <c r="A13" s="72"/>
      <c r="B13" s="76" t="s">
        <v>530</v>
      </c>
      <c r="C13" s="74"/>
      <c r="D13" s="73"/>
    </row>
    <row r="14" spans="1:4" x14ac:dyDescent="0.25">
      <c r="A14" s="72"/>
      <c r="B14" s="73"/>
      <c r="C14" s="74"/>
      <c r="D14" s="73"/>
    </row>
    <row r="15" spans="1:4" x14ac:dyDescent="0.25">
      <c r="A15" s="75">
        <v>44092</v>
      </c>
      <c r="B15" s="73"/>
      <c r="C15" s="74"/>
      <c r="D15" s="74" t="s">
        <v>454</v>
      </c>
    </row>
    <row r="16" spans="1:4" ht="45" x14ac:dyDescent="0.25">
      <c r="A16" s="72"/>
      <c r="B16" s="73"/>
      <c r="C16" s="74"/>
      <c r="D16" s="76" t="s">
        <v>528</v>
      </c>
    </row>
    <row r="17" spans="1:4" x14ac:dyDescent="0.25">
      <c r="A17" s="75">
        <v>44091</v>
      </c>
      <c r="B17" s="74" t="s">
        <v>521</v>
      </c>
      <c r="C17" s="74"/>
      <c r="D17" s="74" t="s">
        <v>518</v>
      </c>
    </row>
    <row r="18" spans="1:4" ht="105" x14ac:dyDescent="0.25">
      <c r="A18" s="72"/>
      <c r="B18" s="76" t="s">
        <v>520</v>
      </c>
      <c r="C18" s="74"/>
      <c r="D18" s="76" t="s">
        <v>519</v>
      </c>
    </row>
    <row r="19" spans="1:4" x14ac:dyDescent="0.25">
      <c r="A19" s="75">
        <v>44090</v>
      </c>
      <c r="B19" s="74" t="s">
        <v>522</v>
      </c>
      <c r="C19" s="74"/>
      <c r="D19" s="73"/>
    </row>
    <row r="20" spans="1:4" ht="180" x14ac:dyDescent="0.25">
      <c r="A20" s="72"/>
      <c r="B20" s="76" t="s">
        <v>517</v>
      </c>
      <c r="C20" s="74"/>
      <c r="D20" s="73"/>
    </row>
    <row r="21" spans="1:4" x14ac:dyDescent="0.25">
      <c r="A21" s="75">
        <v>44089</v>
      </c>
      <c r="B21" s="74" t="s">
        <v>462</v>
      </c>
      <c r="C21" s="74"/>
      <c r="D21" s="74" t="s">
        <v>474</v>
      </c>
    </row>
    <row r="22" spans="1:4" ht="75" x14ac:dyDescent="0.25">
      <c r="A22" s="72"/>
      <c r="B22" s="76" t="s">
        <v>511</v>
      </c>
      <c r="C22" s="74"/>
      <c r="D22" s="76" t="s">
        <v>510</v>
      </c>
    </row>
    <row r="23" spans="1:4" x14ac:dyDescent="0.25">
      <c r="A23" s="75">
        <v>44088</v>
      </c>
      <c r="B23" s="74" t="s">
        <v>523</v>
      </c>
      <c r="C23" s="74"/>
      <c r="D23" s="73"/>
    </row>
    <row r="24" spans="1:4" ht="45" x14ac:dyDescent="0.25">
      <c r="A24" s="72"/>
      <c r="B24" s="76" t="s">
        <v>509</v>
      </c>
      <c r="C24" s="74"/>
      <c r="D24" s="73"/>
    </row>
    <row r="25" spans="1:4" x14ac:dyDescent="0.25">
      <c r="A25" s="72"/>
      <c r="B25" s="73"/>
      <c r="C25" s="74"/>
      <c r="D25" s="73"/>
    </row>
    <row r="26" spans="1:4" x14ac:dyDescent="0.25">
      <c r="A26" s="75">
        <v>44087</v>
      </c>
      <c r="B26" s="74" t="s">
        <v>507</v>
      </c>
      <c r="C26" s="74"/>
    </row>
    <row r="27" spans="1:4" ht="120" x14ac:dyDescent="0.25">
      <c r="A27" s="72"/>
      <c r="B27" s="76" t="s">
        <v>506</v>
      </c>
      <c r="C27" s="74"/>
      <c r="D27" s="73"/>
    </row>
    <row r="28" spans="1:4" x14ac:dyDescent="0.25">
      <c r="A28" s="75">
        <v>44085</v>
      </c>
      <c r="B28" s="74" t="s">
        <v>492</v>
      </c>
      <c r="C28" s="74"/>
      <c r="D28" s="74" t="s">
        <v>450</v>
      </c>
    </row>
    <row r="29" spans="1:4" ht="210" x14ac:dyDescent="0.25">
      <c r="A29" s="72"/>
      <c r="B29" s="76" t="s">
        <v>494</v>
      </c>
      <c r="C29" s="74"/>
      <c r="D29" s="76" t="s">
        <v>493</v>
      </c>
    </row>
    <row r="30" spans="1:4" x14ac:dyDescent="0.25">
      <c r="A30" s="75">
        <v>44084</v>
      </c>
      <c r="B30" s="74" t="s">
        <v>489</v>
      </c>
      <c r="C30" s="74"/>
      <c r="D30" s="74" t="s">
        <v>449</v>
      </c>
    </row>
    <row r="31" spans="1:4" ht="45" x14ac:dyDescent="0.25">
      <c r="A31" s="72"/>
      <c r="B31" s="76" t="s">
        <v>490</v>
      </c>
      <c r="C31" s="74"/>
      <c r="D31" s="76" t="s">
        <v>491</v>
      </c>
    </row>
    <row r="32" spans="1:4" x14ac:dyDescent="0.25">
      <c r="A32" s="75">
        <v>44082</v>
      </c>
      <c r="B32" s="74" t="s">
        <v>465</v>
      </c>
      <c r="C32" s="74"/>
      <c r="D32" s="74" t="s">
        <v>450</v>
      </c>
    </row>
    <row r="33" spans="1:4" ht="90" x14ac:dyDescent="0.25">
      <c r="A33" s="72"/>
      <c r="B33" s="76" t="s">
        <v>485</v>
      </c>
      <c r="C33" s="74"/>
      <c r="D33" s="76" t="s">
        <v>483</v>
      </c>
    </row>
    <row r="34" spans="1:4" x14ac:dyDescent="0.25">
      <c r="A34" s="75">
        <v>44081</v>
      </c>
      <c r="B34" s="74" t="s">
        <v>481</v>
      </c>
      <c r="C34" s="74"/>
      <c r="D34" s="73"/>
    </row>
    <row r="35" spans="1:4" ht="120" x14ac:dyDescent="0.25">
      <c r="A35" s="72"/>
      <c r="B35" s="76" t="s">
        <v>484</v>
      </c>
      <c r="C35" s="74"/>
      <c r="D35" s="73"/>
    </row>
    <row r="36" spans="1:4" x14ac:dyDescent="0.25">
      <c r="A36" s="72"/>
      <c r="B36" s="73"/>
      <c r="C36" s="74"/>
      <c r="D36" s="73"/>
    </row>
    <row r="37" spans="1:4" x14ac:dyDescent="0.25">
      <c r="A37" s="75">
        <v>44078</v>
      </c>
      <c r="B37" s="74" t="s">
        <v>474</v>
      </c>
      <c r="C37" s="74"/>
      <c r="D37" s="74" t="s">
        <v>475</v>
      </c>
    </row>
    <row r="38" spans="1:4" ht="75" x14ac:dyDescent="0.25">
      <c r="A38" s="72"/>
      <c r="B38" s="76" t="s">
        <v>477</v>
      </c>
      <c r="C38" s="74"/>
      <c r="D38" s="76" t="s">
        <v>476</v>
      </c>
    </row>
    <row r="39" spans="1:4" x14ac:dyDescent="0.25">
      <c r="A39" s="75">
        <v>44077</v>
      </c>
      <c r="B39" s="74" t="s">
        <v>465</v>
      </c>
      <c r="C39" s="74"/>
      <c r="D39" s="74" t="s">
        <v>454</v>
      </c>
    </row>
    <row r="40" spans="1:4" ht="75" x14ac:dyDescent="0.25">
      <c r="A40" s="72"/>
      <c r="B40" s="76" t="s">
        <v>480</v>
      </c>
      <c r="C40" s="74"/>
      <c r="D40" s="76" t="s">
        <v>466</v>
      </c>
    </row>
    <row r="41" spans="1:4" x14ac:dyDescent="0.25">
      <c r="A41" s="75">
        <v>44075</v>
      </c>
      <c r="B41" s="74" t="s">
        <v>462</v>
      </c>
      <c r="C41" s="74"/>
      <c r="D41" s="74" t="s">
        <v>450</v>
      </c>
    </row>
    <row r="42" spans="1:4" ht="60" x14ac:dyDescent="0.25">
      <c r="A42" s="72"/>
      <c r="B42" s="76" t="s">
        <v>464</v>
      </c>
      <c r="C42" s="74"/>
      <c r="D42" s="76" t="s">
        <v>463</v>
      </c>
    </row>
    <row r="43" spans="1:4" x14ac:dyDescent="0.25">
      <c r="A43" s="75">
        <v>44074</v>
      </c>
      <c r="B43" s="74" t="s">
        <v>453</v>
      </c>
      <c r="C43" s="74"/>
      <c r="D43" s="73"/>
    </row>
    <row r="44" spans="1:4" ht="74.25" customHeight="1" x14ac:dyDescent="0.25">
      <c r="A44" s="72"/>
      <c r="B44" s="76" t="s">
        <v>458</v>
      </c>
      <c r="C44" s="74"/>
      <c r="D44" s="73"/>
    </row>
    <row r="45" spans="1:4" x14ac:dyDescent="0.25">
      <c r="A45" s="72"/>
      <c r="B45" s="73"/>
      <c r="C45" s="74"/>
      <c r="D45" s="73"/>
    </row>
    <row r="46" spans="1:4" x14ac:dyDescent="0.25">
      <c r="A46" s="75">
        <v>44071</v>
      </c>
      <c r="B46" s="74" t="s">
        <v>453</v>
      </c>
      <c r="C46" s="74"/>
      <c r="D46" s="74" t="s">
        <v>454</v>
      </c>
    </row>
    <row r="47" spans="1:4" ht="105" x14ac:dyDescent="0.25">
      <c r="A47" s="72"/>
      <c r="B47" s="76" t="s">
        <v>456</v>
      </c>
      <c r="C47" s="74"/>
      <c r="D47" s="76" t="s">
        <v>455</v>
      </c>
    </row>
    <row r="48" spans="1:4" x14ac:dyDescent="0.25">
      <c r="A48" s="75">
        <v>44070</v>
      </c>
      <c r="B48" s="74" t="s">
        <v>449</v>
      </c>
      <c r="C48" s="74"/>
      <c r="D48" s="74" t="s">
        <v>450</v>
      </c>
    </row>
    <row r="49" spans="1:4" ht="90" x14ac:dyDescent="0.25">
      <c r="A49" s="72"/>
      <c r="B49" s="76" t="s">
        <v>451</v>
      </c>
      <c r="C49" s="74"/>
      <c r="D49" s="76" t="s">
        <v>452</v>
      </c>
    </row>
    <row r="50" spans="1:4" x14ac:dyDescent="0.25">
      <c r="A50" s="75">
        <v>44068</v>
      </c>
      <c r="B50" s="74" t="s">
        <v>445</v>
      </c>
      <c r="C50" s="74"/>
      <c r="D50" s="74" t="s">
        <v>446</v>
      </c>
    </row>
    <row r="51" spans="1:4" ht="75" x14ac:dyDescent="0.25">
      <c r="A51" s="72"/>
      <c r="B51" s="76" t="s">
        <v>447</v>
      </c>
      <c r="C51" s="74"/>
      <c r="D51" s="76" t="s">
        <v>448</v>
      </c>
    </row>
    <row r="52" spans="1:4" x14ac:dyDescent="0.25">
      <c r="A52" s="72"/>
      <c r="B52" s="73"/>
      <c r="C52" s="74"/>
      <c r="D52" s="73"/>
    </row>
    <row r="53" spans="1:4" x14ac:dyDescent="0.25">
      <c r="A53" s="75">
        <v>44066</v>
      </c>
      <c r="B53" s="74" t="s">
        <v>442</v>
      </c>
      <c r="C53" s="74"/>
      <c r="D53" s="73"/>
    </row>
    <row r="54" spans="1:4" ht="60" x14ac:dyDescent="0.25">
      <c r="A54" s="72"/>
      <c r="B54" s="76" t="s">
        <v>443</v>
      </c>
      <c r="C54" s="74"/>
      <c r="D54" s="73"/>
    </row>
    <row r="55" spans="1:4" x14ac:dyDescent="0.25">
      <c r="A55" s="75">
        <v>44064</v>
      </c>
      <c r="B55" s="74" t="s">
        <v>439</v>
      </c>
      <c r="C55" s="74"/>
      <c r="D55" s="73"/>
    </row>
    <row r="56" spans="1:4" ht="90" x14ac:dyDescent="0.25">
      <c r="A56" s="72"/>
      <c r="B56" s="76" t="s">
        <v>440</v>
      </c>
      <c r="C56" s="74"/>
      <c r="D56" s="73"/>
    </row>
    <row r="57" spans="1:4" x14ac:dyDescent="0.25">
      <c r="A57" s="75">
        <v>44063</v>
      </c>
      <c r="B57" s="74" t="s">
        <v>437</v>
      </c>
      <c r="C57" s="74"/>
      <c r="D57" s="73"/>
    </row>
    <row r="58" spans="1:4" ht="75" x14ac:dyDescent="0.25">
      <c r="A58" s="72"/>
      <c r="B58" s="76" t="s">
        <v>438</v>
      </c>
      <c r="C58" s="74"/>
      <c r="D58" s="73"/>
    </row>
    <row r="59" spans="1:4" x14ac:dyDescent="0.25">
      <c r="A59" s="75">
        <v>44061</v>
      </c>
      <c r="B59" s="74" t="s">
        <v>433</v>
      </c>
      <c r="C59" s="74"/>
      <c r="D59" s="73"/>
    </row>
    <row r="60" spans="1:4" ht="120" x14ac:dyDescent="0.25">
      <c r="A60" s="72"/>
      <c r="B60" s="76" t="s">
        <v>434</v>
      </c>
      <c r="C60" s="74"/>
      <c r="D60" s="73"/>
    </row>
    <row r="61" spans="1:4" x14ac:dyDescent="0.25">
      <c r="A61" s="72"/>
      <c r="B61" s="76"/>
      <c r="C61" s="74"/>
      <c r="D61" s="73"/>
    </row>
    <row r="62" spans="1:4" x14ac:dyDescent="0.25">
      <c r="A62" s="75">
        <v>44059</v>
      </c>
      <c r="B62" s="74" t="s">
        <v>372</v>
      </c>
      <c r="C62" s="74"/>
      <c r="D62" s="73"/>
    </row>
    <row r="63" spans="1:4" ht="45" x14ac:dyDescent="0.25">
      <c r="A63" s="72"/>
      <c r="B63" s="76" t="s">
        <v>420</v>
      </c>
      <c r="C63" s="74"/>
      <c r="D63" s="73"/>
    </row>
    <row r="64" spans="1:4" x14ac:dyDescent="0.25">
      <c r="A64" s="75">
        <v>44057</v>
      </c>
      <c r="B64" s="74" t="s">
        <v>423</v>
      </c>
      <c r="C64" s="74"/>
      <c r="D64" s="73"/>
    </row>
    <row r="65" spans="1:4" ht="60" x14ac:dyDescent="0.25">
      <c r="A65" s="72"/>
      <c r="B65" s="76" t="s">
        <v>418</v>
      </c>
      <c r="C65" s="74"/>
      <c r="D65" s="73"/>
    </row>
    <row r="66" spans="1:4" x14ac:dyDescent="0.25">
      <c r="A66" s="75">
        <v>44056</v>
      </c>
      <c r="B66" s="74" t="s">
        <v>416</v>
      </c>
      <c r="C66" s="74"/>
      <c r="D66" s="73"/>
    </row>
    <row r="67" spans="1:4" x14ac:dyDescent="0.25">
      <c r="A67" s="72"/>
      <c r="B67" s="73" t="s">
        <v>417</v>
      </c>
      <c r="C67" s="74"/>
      <c r="D67" s="73"/>
    </row>
    <row r="68" spans="1:4" x14ac:dyDescent="0.25">
      <c r="A68" s="75">
        <v>44054</v>
      </c>
      <c r="B68" s="74" t="s">
        <v>414</v>
      </c>
      <c r="C68" s="74"/>
      <c r="D68" s="73"/>
    </row>
    <row r="69" spans="1:4" ht="75" x14ac:dyDescent="0.25">
      <c r="A69" s="72"/>
      <c r="B69" s="76" t="s">
        <v>415</v>
      </c>
      <c r="C69" s="74"/>
      <c r="D69" s="73"/>
    </row>
    <row r="70" spans="1:4" x14ac:dyDescent="0.25">
      <c r="A70" s="72"/>
      <c r="B70" s="73"/>
      <c r="C70" s="74"/>
      <c r="D70" s="73"/>
    </row>
    <row r="71" spans="1:4" x14ac:dyDescent="0.25">
      <c r="A71" s="75">
        <v>44052</v>
      </c>
      <c r="B71" s="74" t="s">
        <v>346</v>
      </c>
      <c r="C71" s="74"/>
      <c r="D71" s="73"/>
    </row>
    <row r="72" spans="1:4" ht="90" x14ac:dyDescent="0.25">
      <c r="A72" s="72"/>
      <c r="B72" s="76" t="s">
        <v>409</v>
      </c>
      <c r="C72" s="74"/>
      <c r="D72" s="73"/>
    </row>
    <row r="73" spans="1:4" x14ac:dyDescent="0.25">
      <c r="A73" s="75">
        <v>44050</v>
      </c>
      <c r="B73" s="74" t="s">
        <v>396</v>
      </c>
      <c r="C73" s="74"/>
      <c r="D73" s="73"/>
    </row>
    <row r="74" spans="1:4" ht="90" x14ac:dyDescent="0.25">
      <c r="A74" s="72"/>
      <c r="B74" s="76" t="s">
        <v>399</v>
      </c>
      <c r="C74" s="74"/>
      <c r="D74" s="73"/>
    </row>
    <row r="75" spans="1:4" x14ac:dyDescent="0.25">
      <c r="A75" s="75">
        <v>44049</v>
      </c>
      <c r="B75" s="74" t="s">
        <v>401</v>
      </c>
      <c r="C75" s="74"/>
      <c r="D75" s="73"/>
    </row>
    <row r="76" spans="1:4" ht="75" x14ac:dyDescent="0.25">
      <c r="A76" s="72"/>
      <c r="B76" s="76" t="s">
        <v>400</v>
      </c>
      <c r="C76" s="74"/>
      <c r="D76" s="73"/>
    </row>
    <row r="77" spans="1:4" x14ac:dyDescent="0.25">
      <c r="A77" s="75">
        <v>44047</v>
      </c>
      <c r="B77" s="74" t="s">
        <v>396</v>
      </c>
      <c r="C77" s="74"/>
      <c r="D77" s="73"/>
    </row>
    <row r="78" spans="1:4" ht="90" x14ac:dyDescent="0.25">
      <c r="A78" s="72"/>
      <c r="B78" s="76" t="s">
        <v>397</v>
      </c>
      <c r="C78" s="74"/>
      <c r="D78" s="73"/>
    </row>
    <row r="79" spans="1:4" x14ac:dyDescent="0.25">
      <c r="A79" s="72"/>
      <c r="B79" s="73"/>
      <c r="C79" s="74"/>
      <c r="D79" s="73"/>
    </row>
    <row r="80" spans="1:4" x14ac:dyDescent="0.25">
      <c r="A80" s="75">
        <v>44045</v>
      </c>
      <c r="B80" s="74" t="s">
        <v>394</v>
      </c>
      <c r="C80" s="74"/>
      <c r="D80" s="73"/>
    </row>
    <row r="81" spans="1:4" ht="60" x14ac:dyDescent="0.25">
      <c r="A81" s="72"/>
      <c r="B81" s="76" t="s">
        <v>395</v>
      </c>
      <c r="C81" s="74"/>
      <c r="D81" s="73"/>
    </row>
    <row r="82" spans="1:4" x14ac:dyDescent="0.25">
      <c r="A82" s="75">
        <v>44042</v>
      </c>
      <c r="B82" s="74" t="s">
        <v>390</v>
      </c>
      <c r="C82" s="74"/>
      <c r="D82" s="73"/>
    </row>
    <row r="83" spans="1:4" ht="45" x14ac:dyDescent="0.25">
      <c r="A83" s="72"/>
      <c r="B83" s="76" t="s">
        <v>389</v>
      </c>
      <c r="C83" s="74"/>
      <c r="D83" s="73"/>
    </row>
    <row r="84" spans="1:4" x14ac:dyDescent="0.25">
      <c r="A84" s="72"/>
      <c r="B84" s="73"/>
      <c r="C84" s="74"/>
      <c r="D84" s="73"/>
    </row>
    <row r="85" spans="1:4" x14ac:dyDescent="0.25">
      <c r="A85" s="75">
        <v>44038</v>
      </c>
      <c r="B85" s="74" t="s">
        <v>385</v>
      </c>
      <c r="C85" s="74"/>
      <c r="D85" s="73"/>
    </row>
    <row r="86" spans="1:4" ht="60" x14ac:dyDescent="0.25">
      <c r="A86" s="72"/>
      <c r="B86" s="76" t="s">
        <v>386</v>
      </c>
      <c r="C86" s="74"/>
      <c r="D86" s="73"/>
    </row>
    <row r="87" spans="1:4" x14ac:dyDescent="0.25">
      <c r="A87" s="75">
        <v>44035</v>
      </c>
      <c r="B87" s="74" t="s">
        <v>374</v>
      </c>
      <c r="C87" s="74"/>
      <c r="D87" s="73"/>
    </row>
    <row r="88" spans="1:4" ht="45" x14ac:dyDescent="0.25">
      <c r="A88" s="72"/>
      <c r="B88" s="76" t="s">
        <v>373</v>
      </c>
      <c r="C88" s="74"/>
      <c r="D88" s="73"/>
    </row>
    <row r="89" spans="1:4" x14ac:dyDescent="0.25">
      <c r="A89" s="72"/>
      <c r="B89" s="73"/>
      <c r="C89" s="74"/>
      <c r="D89" s="73"/>
    </row>
    <row r="90" spans="1:4" x14ac:dyDescent="0.25">
      <c r="A90" s="75">
        <v>44031</v>
      </c>
      <c r="B90" s="74" t="s">
        <v>370</v>
      </c>
      <c r="C90" s="74"/>
      <c r="D90" s="74" t="s">
        <v>372</v>
      </c>
    </row>
    <row r="91" spans="1:4" ht="30" x14ac:dyDescent="0.25">
      <c r="A91" s="72"/>
      <c r="B91" s="76" t="s">
        <v>371</v>
      </c>
      <c r="C91" s="74"/>
      <c r="D91" s="73" t="s">
        <v>347</v>
      </c>
    </row>
    <row r="92" spans="1:4" x14ac:dyDescent="0.25">
      <c r="A92" s="75">
        <v>44028</v>
      </c>
      <c r="B92" s="74" t="s">
        <v>352</v>
      </c>
      <c r="C92" s="74"/>
      <c r="D92" s="73"/>
    </row>
    <row r="93" spans="1:4" x14ac:dyDescent="0.25">
      <c r="A93" s="72"/>
      <c r="B93" s="73" t="s">
        <v>353</v>
      </c>
      <c r="C93" s="74"/>
      <c r="D93" s="73"/>
    </row>
    <row r="94" spans="1:4" x14ac:dyDescent="0.25">
      <c r="A94" s="75">
        <v>44026</v>
      </c>
      <c r="B94" s="74" t="s">
        <v>350</v>
      </c>
      <c r="C94" s="74"/>
      <c r="D94" s="73"/>
    </row>
    <row r="95" spans="1:4" x14ac:dyDescent="0.25">
      <c r="A95" s="72"/>
      <c r="B95" s="73" t="s">
        <v>7</v>
      </c>
      <c r="C95" s="74"/>
      <c r="D95" s="73"/>
    </row>
    <row r="96" spans="1:4" x14ac:dyDescent="0.25">
      <c r="A96" s="72"/>
      <c r="B96" s="73"/>
      <c r="C96" s="74"/>
      <c r="D96" s="73"/>
    </row>
    <row r="97" spans="1:4" x14ac:dyDescent="0.25">
      <c r="A97" s="75">
        <v>44024</v>
      </c>
      <c r="B97" s="74" t="s">
        <v>346</v>
      </c>
      <c r="C97" s="74"/>
      <c r="D97" s="74" t="s">
        <v>349</v>
      </c>
    </row>
    <row r="98" spans="1:4" ht="30" x14ac:dyDescent="0.25">
      <c r="A98" s="72"/>
      <c r="B98" s="76" t="s">
        <v>354</v>
      </c>
      <c r="C98" s="74"/>
      <c r="D98" s="73" t="s">
        <v>347</v>
      </c>
    </row>
    <row r="99" spans="1:4" x14ac:dyDescent="0.25">
      <c r="A99" s="75">
        <v>44022</v>
      </c>
      <c r="B99" s="76"/>
      <c r="C99" s="74"/>
      <c r="D99" s="74" t="s">
        <v>350</v>
      </c>
    </row>
    <row r="100" spans="1:4" x14ac:dyDescent="0.25">
      <c r="A100" s="72"/>
      <c r="B100" s="76"/>
      <c r="C100" s="74"/>
      <c r="D100" s="73" t="s">
        <v>351</v>
      </c>
    </row>
    <row r="101" spans="1:4" x14ac:dyDescent="0.25">
      <c r="A101" s="75">
        <v>44021</v>
      </c>
      <c r="B101" s="74" t="s">
        <v>241</v>
      </c>
      <c r="C101" s="74"/>
      <c r="D101" s="74" t="s">
        <v>295</v>
      </c>
    </row>
    <row r="102" spans="1:4" x14ac:dyDescent="0.25">
      <c r="A102" s="72"/>
      <c r="B102" s="73" t="s">
        <v>345</v>
      </c>
      <c r="C102" s="74"/>
      <c r="D102" s="73" t="s">
        <v>344</v>
      </c>
    </row>
    <row r="103" spans="1:4" x14ac:dyDescent="0.25">
      <c r="A103" s="75">
        <v>44019</v>
      </c>
      <c r="B103" s="74" t="s">
        <v>241</v>
      </c>
      <c r="C103" s="74"/>
      <c r="D103" s="74" t="s">
        <v>295</v>
      </c>
    </row>
    <row r="104" spans="1:4" x14ac:dyDescent="0.25">
      <c r="A104" s="72"/>
      <c r="B104" s="73" t="s">
        <v>299</v>
      </c>
      <c r="C104" s="74"/>
      <c r="D104" s="73" t="s">
        <v>314</v>
      </c>
    </row>
    <row r="105" spans="1:4" x14ac:dyDescent="0.25">
      <c r="A105" s="72"/>
      <c r="B105" s="73"/>
      <c r="C105" s="74"/>
      <c r="D105" s="73"/>
    </row>
    <row r="106" spans="1:4" x14ac:dyDescent="0.25">
      <c r="A106" s="75">
        <v>44015</v>
      </c>
      <c r="B106" s="74" t="s">
        <v>245</v>
      </c>
      <c r="C106" s="74"/>
      <c r="D106" s="73"/>
    </row>
    <row r="107" spans="1:4" ht="75.75" customHeight="1" x14ac:dyDescent="0.25">
      <c r="A107" s="72"/>
      <c r="B107" s="76" t="s">
        <v>313</v>
      </c>
      <c r="C107" s="74"/>
      <c r="D107" s="73"/>
    </row>
    <row r="108" spans="1:4" x14ac:dyDescent="0.25">
      <c r="A108" s="75">
        <v>44014</v>
      </c>
      <c r="B108" s="74" t="s">
        <v>263</v>
      </c>
      <c r="C108" s="74"/>
      <c r="D108" s="74" t="s">
        <v>306</v>
      </c>
    </row>
    <row r="109" spans="1:4" ht="75" x14ac:dyDescent="0.25">
      <c r="A109" s="72"/>
      <c r="B109" s="76" t="s">
        <v>308</v>
      </c>
      <c r="C109" s="74"/>
      <c r="D109" s="76" t="s">
        <v>307</v>
      </c>
    </row>
    <row r="110" spans="1:4" x14ac:dyDescent="0.25">
      <c r="A110" s="75">
        <v>44012</v>
      </c>
      <c r="B110" s="74" t="s">
        <v>263</v>
      </c>
      <c r="C110" s="74"/>
      <c r="D110" s="74" t="s">
        <v>245</v>
      </c>
    </row>
    <row r="111" spans="1:4" ht="45" x14ac:dyDescent="0.25">
      <c r="A111" s="72"/>
      <c r="B111" s="76" t="s">
        <v>300</v>
      </c>
      <c r="C111" s="74"/>
      <c r="D111" s="73" t="s">
        <v>299</v>
      </c>
    </row>
    <row r="112" spans="1:4" x14ac:dyDescent="0.25">
      <c r="A112" s="72"/>
      <c r="B112" s="73"/>
      <c r="C112" s="74"/>
      <c r="D112" s="73"/>
    </row>
    <row r="113" spans="1:4" x14ac:dyDescent="0.25">
      <c r="A113" s="75">
        <v>44008</v>
      </c>
      <c r="B113" s="74" t="s">
        <v>215</v>
      </c>
      <c r="C113" s="74"/>
      <c r="D113" s="73"/>
    </row>
    <row r="114" spans="1:4" ht="105" x14ac:dyDescent="0.25">
      <c r="A114" s="72"/>
      <c r="B114" s="76" t="s">
        <v>296</v>
      </c>
      <c r="C114" s="74"/>
      <c r="D114" s="73"/>
    </row>
    <row r="115" spans="1:4" x14ac:dyDescent="0.25">
      <c r="A115" s="75">
        <v>44007</v>
      </c>
      <c r="B115" s="74" t="s">
        <v>294</v>
      </c>
      <c r="C115" s="74"/>
      <c r="D115" s="74" t="s">
        <v>295</v>
      </c>
    </row>
    <row r="116" spans="1:4" ht="60" x14ac:dyDescent="0.25">
      <c r="A116" s="72"/>
      <c r="B116" s="76" t="s">
        <v>291</v>
      </c>
      <c r="C116" s="74"/>
      <c r="D116" s="76" t="s">
        <v>265</v>
      </c>
    </row>
    <row r="117" spans="1:4" x14ac:dyDescent="0.25">
      <c r="A117" s="75">
        <v>44006</v>
      </c>
      <c r="B117" s="74" t="s">
        <v>289</v>
      </c>
      <c r="C117" s="74"/>
      <c r="D117" s="74" t="s">
        <v>290</v>
      </c>
    </row>
    <row r="118" spans="1:4" x14ac:dyDescent="0.25">
      <c r="A118" s="72"/>
      <c r="B118" s="73" t="s">
        <v>288</v>
      </c>
      <c r="C118" s="74"/>
      <c r="D118" s="73" t="s">
        <v>288</v>
      </c>
    </row>
    <row r="119" spans="1:4" x14ac:dyDescent="0.25">
      <c r="A119" s="75">
        <v>44005</v>
      </c>
      <c r="B119" s="74" t="s">
        <v>263</v>
      </c>
      <c r="C119" s="74"/>
      <c r="D119" s="74" t="s">
        <v>245</v>
      </c>
    </row>
    <row r="120" spans="1:4" ht="45" x14ac:dyDescent="0.25">
      <c r="A120" s="72"/>
      <c r="B120" s="73" t="s">
        <v>264</v>
      </c>
      <c r="C120" s="74"/>
      <c r="D120" s="76" t="s">
        <v>265</v>
      </c>
    </row>
    <row r="121" spans="1:4" x14ac:dyDescent="0.25">
      <c r="A121" s="72"/>
      <c r="B121" s="73"/>
      <c r="C121" s="74"/>
      <c r="D121" s="73"/>
    </row>
    <row r="122" spans="1:4" x14ac:dyDescent="0.25">
      <c r="A122" s="75">
        <v>44001</v>
      </c>
      <c r="B122" s="74" t="s">
        <v>245</v>
      </c>
      <c r="C122" s="74"/>
      <c r="D122" s="73"/>
    </row>
    <row r="123" spans="1:4" ht="135" x14ac:dyDescent="0.25">
      <c r="A123" s="72"/>
      <c r="B123" s="76" t="s">
        <v>261</v>
      </c>
      <c r="C123" s="74"/>
      <c r="D123" s="73"/>
    </row>
    <row r="124" spans="1:4" x14ac:dyDescent="0.25">
      <c r="A124" s="75">
        <v>44000</v>
      </c>
      <c r="B124" s="74" t="s">
        <v>241</v>
      </c>
      <c r="C124" s="74"/>
      <c r="D124" s="74" t="s">
        <v>258</v>
      </c>
    </row>
    <row r="125" spans="1:4" ht="105" x14ac:dyDescent="0.25">
      <c r="A125" s="72"/>
      <c r="B125" s="76" t="s">
        <v>260</v>
      </c>
      <c r="C125" s="74"/>
      <c r="D125" s="76" t="s">
        <v>259</v>
      </c>
    </row>
    <row r="126" spans="1:4" x14ac:dyDescent="0.25">
      <c r="A126" s="75">
        <v>43998</v>
      </c>
      <c r="B126" s="74" t="s">
        <v>212</v>
      </c>
      <c r="C126" s="74"/>
      <c r="D126" s="74" t="s">
        <v>255</v>
      </c>
    </row>
    <row r="127" spans="1:4" ht="120" x14ac:dyDescent="0.25">
      <c r="A127" s="72"/>
      <c r="B127" s="76" t="s">
        <v>256</v>
      </c>
      <c r="C127" s="74"/>
      <c r="D127" s="1" t="s">
        <v>257</v>
      </c>
    </row>
    <row r="128" spans="1:4" x14ac:dyDescent="0.25">
      <c r="A128" s="72"/>
      <c r="B128" s="73"/>
      <c r="C128" s="74"/>
      <c r="D128" s="73"/>
    </row>
    <row r="129" spans="1:4" x14ac:dyDescent="0.25">
      <c r="A129" s="75">
        <v>43994</v>
      </c>
      <c r="B129" s="74" t="s">
        <v>253</v>
      </c>
      <c r="C129" s="74"/>
      <c r="D129" s="73"/>
    </row>
    <row r="130" spans="1:4" ht="75" x14ac:dyDescent="0.25">
      <c r="A130" s="72"/>
      <c r="B130" s="76" t="s">
        <v>254</v>
      </c>
      <c r="C130" s="74"/>
      <c r="D130" s="73"/>
    </row>
    <row r="131" spans="1:4" x14ac:dyDescent="0.25">
      <c r="A131" s="75">
        <v>43993</v>
      </c>
      <c r="B131" s="74" t="s">
        <v>212</v>
      </c>
      <c r="C131" s="74"/>
      <c r="D131" s="74" t="s">
        <v>250</v>
      </c>
    </row>
    <row r="132" spans="1:4" ht="120" x14ac:dyDescent="0.25">
      <c r="A132" s="72"/>
      <c r="B132" s="69" t="s">
        <v>251</v>
      </c>
      <c r="C132" s="74"/>
      <c r="D132" s="76" t="s">
        <v>252</v>
      </c>
    </row>
    <row r="133" spans="1:4" x14ac:dyDescent="0.25">
      <c r="A133" s="75">
        <v>43991</v>
      </c>
      <c r="B133" s="74" t="s">
        <v>241</v>
      </c>
      <c r="C133" s="74"/>
      <c r="D133" s="74" t="s">
        <v>245</v>
      </c>
    </row>
    <row r="134" spans="1:4" ht="105" x14ac:dyDescent="0.25">
      <c r="A134" s="66"/>
      <c r="B134" s="67" t="s">
        <v>242</v>
      </c>
      <c r="C134" s="68"/>
      <c r="D134" s="69" t="s">
        <v>246</v>
      </c>
    </row>
    <row r="135" spans="1:4" x14ac:dyDescent="0.25">
      <c r="A135" s="66"/>
      <c r="B135" s="67"/>
      <c r="C135" s="68"/>
      <c r="D135" s="69"/>
    </row>
    <row r="136" spans="1:4" x14ac:dyDescent="0.25">
      <c r="A136" s="46">
        <v>43987</v>
      </c>
      <c r="B136" s="41" t="s">
        <v>212</v>
      </c>
    </row>
    <row r="137" spans="1:4" ht="195.75" customHeight="1" x14ac:dyDescent="0.25">
      <c r="B137" s="1" t="s">
        <v>214</v>
      </c>
    </row>
    <row r="138" spans="1:4" x14ac:dyDescent="0.25">
      <c r="A138" s="46">
        <v>43986</v>
      </c>
      <c r="B138" s="41" t="s">
        <v>215</v>
      </c>
    </row>
    <row r="139" spans="1:4" ht="165" customHeight="1" x14ac:dyDescent="0.25">
      <c r="B139" s="1" t="s">
        <v>213</v>
      </c>
    </row>
    <row r="140" spans="1:4" x14ac:dyDescent="0.25">
      <c r="A140" s="46">
        <v>43984</v>
      </c>
      <c r="B140" s="41" t="s">
        <v>222</v>
      </c>
    </row>
    <row r="141" spans="1:4" ht="120" x14ac:dyDescent="0.25">
      <c r="B141" s="1" t="s">
        <v>221</v>
      </c>
    </row>
    <row r="143" spans="1:4" x14ac:dyDescent="0.25">
      <c r="A143" s="46">
        <v>43980</v>
      </c>
      <c r="B143" s="41" t="s">
        <v>216</v>
      </c>
    </row>
    <row r="144" spans="1:4" ht="165" x14ac:dyDescent="0.25">
      <c r="B144" s="1" t="s">
        <v>220</v>
      </c>
    </row>
    <row r="145" spans="1:2" x14ac:dyDescent="0.25">
      <c r="A145" s="46">
        <v>43978</v>
      </c>
      <c r="B145" s="41" t="s">
        <v>219</v>
      </c>
    </row>
    <row r="146" spans="1:2" ht="120" x14ac:dyDescent="0.25">
      <c r="B146" s="1" t="s">
        <v>218</v>
      </c>
    </row>
    <row r="147" spans="1:2" x14ac:dyDescent="0.25">
      <c r="A147" s="46">
        <v>43977</v>
      </c>
      <c r="B147" s="41" t="s">
        <v>216</v>
      </c>
    </row>
    <row r="148" spans="1:2" ht="90" x14ac:dyDescent="0.25">
      <c r="B148" s="1" t="s">
        <v>217</v>
      </c>
    </row>
    <row r="150" spans="1:2" x14ac:dyDescent="0.25">
      <c r="A150" s="46">
        <v>43975</v>
      </c>
      <c r="B150" s="41" t="s">
        <v>197</v>
      </c>
    </row>
    <row r="151" spans="1:2" ht="60" x14ac:dyDescent="0.25">
      <c r="B151"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41" t="s">
        <v>495</v>
      </c>
      <c r="B1" s="141" t="s">
        <v>496</v>
      </c>
      <c r="C1" s="141" t="s">
        <v>497</v>
      </c>
    </row>
    <row r="2" spans="1:3" hidden="1" x14ac:dyDescent="0.25">
      <c r="A2" t="s">
        <v>498</v>
      </c>
      <c r="B2" t="s">
        <v>499</v>
      </c>
      <c r="C2" t="s">
        <v>502</v>
      </c>
    </row>
    <row r="3" spans="1:3" ht="285" x14ac:dyDescent="0.25">
      <c r="A3" s="76" t="s">
        <v>508</v>
      </c>
      <c r="B3" s="76" t="s">
        <v>500</v>
      </c>
      <c r="C3" s="76" t="s">
        <v>501</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503</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486</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505</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504</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0" t="s">
        <v>340</v>
      </c>
      <c r="B1" s="160"/>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0" t="s">
        <v>341</v>
      </c>
      <c r="B7" s="160"/>
    </row>
    <row r="8" spans="1:2" ht="15.75" x14ac:dyDescent="0.25">
      <c r="A8" s="158" t="s">
        <v>332</v>
      </c>
      <c r="B8" s="158"/>
    </row>
    <row r="9" spans="1:2" x14ac:dyDescent="0.25">
      <c r="A9" t="s">
        <v>333</v>
      </c>
    </row>
    <row r="11" spans="1:2" ht="15.75" x14ac:dyDescent="0.25">
      <c r="A11" s="159" t="s">
        <v>329</v>
      </c>
      <c r="B11" s="159"/>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57" t="s">
        <v>342</v>
      </c>
      <c r="B23" s="157"/>
    </row>
    <row r="25" spans="1:2" ht="15.75" x14ac:dyDescent="0.25">
      <c r="A25" s="158" t="s">
        <v>334</v>
      </c>
      <c r="B25" s="158"/>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1" t="s">
        <v>297</v>
      </c>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2"/>
      <c r="AG5" s="162"/>
      <c r="AH5" s="162"/>
      <c r="AI5" s="162"/>
      <c r="AJ5" s="162"/>
      <c r="AK5" s="162"/>
      <c r="AL5" s="162"/>
      <c r="AM5" s="162"/>
      <c r="AN5" s="162"/>
      <c r="AO5" s="162"/>
      <c r="AP5" s="162"/>
      <c r="AQ5" s="162"/>
      <c r="AR5" s="162"/>
      <c r="AS5" s="162"/>
      <c r="AT5" s="162"/>
      <c r="AU5" s="162"/>
      <c r="AV5" s="162"/>
      <c r="AW5" s="162"/>
      <c r="AX5" s="162"/>
      <c r="AY5" s="162"/>
      <c r="AZ5" s="162"/>
      <c r="BA5" s="162"/>
      <c r="BB5" s="162"/>
      <c r="BC5" s="162"/>
      <c r="BD5" s="162"/>
      <c r="BE5" s="162"/>
      <c r="BF5" s="162"/>
      <c r="BG5" s="162"/>
      <c r="BH5" s="162"/>
      <c r="BI5" s="162"/>
      <c r="BJ5" s="162"/>
      <c r="BK5" s="162"/>
      <c r="BL5" s="162"/>
      <c r="BM5" s="162"/>
      <c r="BN5" s="162"/>
      <c r="BO5" s="162"/>
      <c r="BP5" s="162"/>
      <c r="BQ5" s="162"/>
      <c r="BR5" s="162"/>
    </row>
    <row r="6" spans="1:70" x14ac:dyDescent="0.25">
      <c r="C6" s="2" t="s">
        <v>3</v>
      </c>
    </row>
    <row r="7" spans="1:70" ht="45" customHeight="1" x14ac:dyDescent="0.25">
      <c r="C7" s="161" t="s">
        <v>281</v>
      </c>
      <c r="D7" s="162"/>
      <c r="E7" s="162"/>
      <c r="F7" s="162"/>
      <c r="G7" s="162"/>
      <c r="H7" s="162"/>
      <c r="I7" s="162"/>
      <c r="J7" s="162"/>
      <c r="K7" s="162"/>
      <c r="L7" s="162"/>
      <c r="M7" s="162"/>
      <c r="N7" s="162"/>
      <c r="O7" s="162"/>
      <c r="P7" s="162"/>
      <c r="Q7" s="162"/>
      <c r="R7" s="162"/>
      <c r="S7" s="162"/>
      <c r="T7" s="162"/>
      <c r="U7" s="162"/>
      <c r="V7" s="162"/>
      <c r="W7" s="162"/>
      <c r="X7" s="162"/>
      <c r="Y7" s="162"/>
      <c r="Z7" s="162"/>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row>
    <row r="8" spans="1:70" x14ac:dyDescent="0.25">
      <c r="C8" s="2" t="s">
        <v>4</v>
      </c>
    </row>
    <row r="9" spans="1:70" ht="75" customHeight="1" x14ac:dyDescent="0.25">
      <c r="C9" s="161" t="s">
        <v>274</v>
      </c>
      <c r="D9" s="162"/>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2"/>
      <c r="AH9" s="162"/>
      <c r="AI9" s="162"/>
      <c r="AJ9" s="162"/>
      <c r="AK9" s="162"/>
      <c r="AL9" s="162"/>
      <c r="AM9" s="162"/>
      <c r="AN9" s="162"/>
      <c r="AO9" s="162"/>
      <c r="AP9" s="162"/>
      <c r="AQ9" s="162"/>
      <c r="AR9" s="162"/>
      <c r="AS9" s="162"/>
      <c r="AT9" s="162"/>
      <c r="AU9" s="162"/>
      <c r="AV9" s="162"/>
      <c r="AW9" s="162"/>
      <c r="AX9" s="162"/>
      <c r="AY9" s="162"/>
      <c r="AZ9" s="162"/>
      <c r="BA9" s="162"/>
      <c r="BB9" s="162"/>
      <c r="BC9" s="162"/>
      <c r="BD9" s="162"/>
      <c r="BE9" s="162"/>
      <c r="BF9" s="162"/>
      <c r="BG9" s="162"/>
      <c r="BH9" s="162"/>
      <c r="BI9" s="162"/>
      <c r="BJ9" s="162"/>
      <c r="BK9" s="162"/>
      <c r="BL9" s="162"/>
      <c r="BM9" s="162"/>
      <c r="BN9" s="162"/>
      <c r="BO9" s="162"/>
      <c r="BP9" s="162"/>
      <c r="BQ9" s="162"/>
      <c r="BR9" s="162"/>
    </row>
    <row r="10" spans="1:70" x14ac:dyDescent="0.25">
      <c r="C10" s="2" t="s">
        <v>5</v>
      </c>
    </row>
    <row r="11" spans="1:70" ht="75" customHeight="1" x14ac:dyDescent="0.25">
      <c r="C11" s="161" t="s">
        <v>298</v>
      </c>
      <c r="D11" s="162"/>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c r="AY11" s="162"/>
      <c r="AZ11" s="162"/>
      <c r="BA11" s="162"/>
      <c r="BB11" s="162"/>
      <c r="BC11" s="162"/>
      <c r="BD11" s="162"/>
      <c r="BE11" s="162"/>
      <c r="BF11" s="162"/>
      <c r="BG11" s="162"/>
      <c r="BH11" s="162"/>
      <c r="BI11" s="162"/>
      <c r="BJ11" s="162"/>
      <c r="BK11" s="162"/>
      <c r="BL11" s="162"/>
      <c r="BM11" s="162"/>
      <c r="BN11" s="162"/>
      <c r="BO11" s="162"/>
      <c r="BP11" s="162"/>
      <c r="BQ11" s="162"/>
      <c r="BR11" s="162"/>
    </row>
    <row r="12" spans="1:70" x14ac:dyDescent="0.25">
      <c r="C12" s="2" t="s">
        <v>6</v>
      </c>
    </row>
    <row r="13" spans="1:70" ht="90.75" customHeight="1" x14ac:dyDescent="0.25">
      <c r="C13" s="161" t="s">
        <v>285</v>
      </c>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c r="BF13" s="162"/>
      <c r="BG13" s="162"/>
      <c r="BH13" s="162"/>
      <c r="BI13" s="162"/>
      <c r="BJ13" s="162"/>
      <c r="BK13" s="162"/>
      <c r="BL13" s="162"/>
      <c r="BM13" s="162"/>
      <c r="BN13" s="162"/>
      <c r="BO13" s="162"/>
      <c r="BP13" s="162"/>
      <c r="BQ13" s="162"/>
      <c r="BR13" s="162"/>
    </row>
    <row r="14" spans="1:70" x14ac:dyDescent="0.25">
      <c r="D14" s="2" t="s">
        <v>284</v>
      </c>
    </row>
    <row r="15" spans="1:70" ht="62.25" customHeight="1" x14ac:dyDescent="0.25">
      <c r="D15" s="161" t="s">
        <v>287</v>
      </c>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1"/>
      <c r="AS15" s="161"/>
      <c r="AT15" s="161"/>
      <c r="AU15" s="161"/>
      <c r="AV15" s="161"/>
      <c r="AW15" s="161"/>
      <c r="AX15" s="161"/>
      <c r="AY15" s="161"/>
      <c r="AZ15" s="161"/>
      <c r="BA15" s="161"/>
      <c r="BB15" s="161"/>
      <c r="BC15" s="161"/>
      <c r="BD15" s="161"/>
      <c r="BE15" s="161"/>
      <c r="BF15" s="161"/>
      <c r="BG15" s="161"/>
      <c r="BH15" s="161"/>
      <c r="BI15" s="161"/>
      <c r="BJ15" s="161"/>
      <c r="BK15" s="161"/>
      <c r="BL15" s="161"/>
      <c r="BM15" s="161"/>
      <c r="BN15" s="161"/>
      <c r="BO15" s="161"/>
      <c r="BP15" s="161"/>
      <c r="BQ15" s="161"/>
      <c r="BR15" s="161"/>
    </row>
    <row r="16" spans="1:70" x14ac:dyDescent="0.25">
      <c r="D16" s="2" t="s">
        <v>195</v>
      </c>
    </row>
    <row r="17" spans="1:70" ht="47.25" customHeight="1" x14ac:dyDescent="0.25">
      <c r="D17" s="161" t="s">
        <v>267</v>
      </c>
      <c r="E17" s="161"/>
      <c r="F17" s="161"/>
      <c r="G17" s="161"/>
      <c r="H17" s="161"/>
      <c r="I17" s="161"/>
      <c r="J17" s="161"/>
      <c r="K17" s="161"/>
      <c r="L17" s="161"/>
      <c r="M17" s="161"/>
      <c r="N17" s="161"/>
      <c r="O17" s="161"/>
      <c r="P17" s="16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61"/>
      <c r="AQ17" s="161"/>
      <c r="AR17" s="161"/>
      <c r="AS17" s="161"/>
      <c r="AT17" s="161"/>
      <c r="AU17" s="161"/>
      <c r="AV17" s="161"/>
      <c r="AW17" s="161"/>
      <c r="AX17" s="161"/>
      <c r="AY17" s="161"/>
      <c r="AZ17" s="161"/>
      <c r="BA17" s="161"/>
      <c r="BB17" s="161"/>
      <c r="BC17" s="161"/>
      <c r="BD17" s="161"/>
      <c r="BE17" s="161"/>
      <c r="BF17" s="161"/>
      <c r="BG17" s="161"/>
      <c r="BH17" s="161"/>
      <c r="BI17" s="161"/>
      <c r="BJ17" s="161"/>
      <c r="BK17" s="161"/>
      <c r="BL17" s="161"/>
      <c r="BM17" s="161"/>
      <c r="BN17" s="161"/>
      <c r="BO17" s="161"/>
      <c r="BP17" s="161"/>
      <c r="BQ17" s="161"/>
      <c r="BR17" s="161"/>
    </row>
    <row r="18" spans="1:70" ht="15.75" customHeight="1" x14ac:dyDescent="0.25">
      <c r="D18" s="163" t="s">
        <v>266</v>
      </c>
      <c r="E18" s="163"/>
      <c r="F18" s="163"/>
      <c r="G18" s="163"/>
      <c r="H18" s="163"/>
      <c r="I18" s="163"/>
      <c r="J18" s="163"/>
      <c r="K18" s="163"/>
      <c r="L18" s="163"/>
      <c r="M18" s="163"/>
      <c r="N18" s="163"/>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row>
    <row r="19" spans="1:70" ht="45.75" customHeight="1" x14ac:dyDescent="0.25">
      <c r="D19" s="161" t="s">
        <v>275</v>
      </c>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1"/>
      <c r="AS19" s="161"/>
      <c r="AT19" s="161"/>
      <c r="AU19" s="161"/>
      <c r="AV19" s="161"/>
      <c r="AW19" s="161"/>
      <c r="AX19" s="161"/>
      <c r="AY19" s="161"/>
      <c r="AZ19" s="161"/>
      <c r="BA19" s="161"/>
      <c r="BB19" s="161"/>
      <c r="BC19" s="161"/>
      <c r="BD19" s="161"/>
      <c r="BE19" s="161"/>
      <c r="BF19" s="161"/>
      <c r="BG19" s="161"/>
      <c r="BH19" s="161"/>
      <c r="BI19" s="161"/>
      <c r="BJ19" s="161"/>
      <c r="BK19" s="161"/>
      <c r="BL19" s="161"/>
      <c r="BM19" s="161"/>
      <c r="BN19" s="161"/>
      <c r="BO19" s="161"/>
      <c r="BP19" s="161"/>
      <c r="BQ19" s="161"/>
      <c r="BR19" s="161"/>
    </row>
    <row r="20" spans="1:70" ht="15.75" customHeight="1" x14ac:dyDescent="0.25">
      <c r="D20" s="163" t="s">
        <v>283</v>
      </c>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row>
    <row r="21" spans="1:70" ht="44.25" customHeight="1" x14ac:dyDescent="0.25">
      <c r="D21" s="161" t="s">
        <v>276</v>
      </c>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161"/>
      <c r="AY21" s="161"/>
      <c r="AZ21" s="161"/>
      <c r="BA21" s="161"/>
      <c r="BB21" s="161"/>
      <c r="BC21" s="161"/>
      <c r="BD21" s="161"/>
      <c r="BE21" s="161"/>
      <c r="BF21" s="161"/>
      <c r="BG21" s="161"/>
      <c r="BH21" s="161"/>
      <c r="BI21" s="161"/>
      <c r="BJ21" s="161"/>
      <c r="BK21" s="161"/>
      <c r="BL21" s="161"/>
      <c r="BM21" s="161"/>
      <c r="BN21" s="161"/>
      <c r="BO21" s="161"/>
      <c r="BP21" s="161"/>
      <c r="BQ21" s="161"/>
      <c r="BR21" s="161"/>
    </row>
    <row r="22" spans="1:70" x14ac:dyDescent="0.25">
      <c r="B22" s="2" t="s">
        <v>191</v>
      </c>
      <c r="C22" s="2"/>
    </row>
    <row r="23" spans="1:70" ht="69.75" customHeight="1" x14ac:dyDescent="0.25">
      <c r="B23" s="161" t="s">
        <v>268</v>
      </c>
      <c r="C23" s="161"/>
      <c r="D23" s="161"/>
      <c r="E23" s="161"/>
      <c r="F23" s="161"/>
      <c r="G23" s="161"/>
      <c r="H23" s="161"/>
      <c r="I23" s="161"/>
      <c r="J23" s="161"/>
      <c r="K23" s="161"/>
      <c r="L23" s="161"/>
      <c r="M23" s="161"/>
      <c r="N23" s="161"/>
      <c r="O23" s="161"/>
      <c r="P23" s="161"/>
      <c r="Q23" s="161"/>
      <c r="R23" s="161"/>
      <c r="S23" s="161"/>
      <c r="T23" s="161"/>
      <c r="U23" s="161"/>
      <c r="V23" s="161"/>
      <c r="W23" s="161"/>
      <c r="X23" s="161"/>
      <c r="Y23" s="161"/>
      <c r="Z23" s="161"/>
      <c r="AA23" s="161"/>
      <c r="AB23" s="161"/>
      <c r="AC23" s="161"/>
      <c r="AD23" s="161"/>
      <c r="AE23" s="161"/>
      <c r="AF23" s="161"/>
      <c r="AG23" s="161"/>
      <c r="AH23" s="161"/>
      <c r="AI23" s="161"/>
      <c r="AJ23" s="161"/>
      <c r="AK23" s="161"/>
      <c r="AL23" s="161"/>
      <c r="AM23" s="161"/>
      <c r="AN23" s="161"/>
      <c r="AO23" s="161"/>
      <c r="AP23" s="161"/>
      <c r="AQ23" s="161"/>
      <c r="AR23" s="161"/>
      <c r="AS23" s="161"/>
      <c r="AT23" s="161"/>
      <c r="AU23" s="161"/>
      <c r="AV23" s="161"/>
      <c r="AW23" s="161"/>
      <c r="AX23" s="161"/>
      <c r="AY23" s="161"/>
      <c r="AZ23" s="161"/>
      <c r="BA23" s="161"/>
      <c r="BB23" s="161"/>
      <c r="BC23" s="161"/>
      <c r="BD23" s="161"/>
      <c r="BE23" s="161"/>
      <c r="BF23" s="161"/>
      <c r="BG23" s="161"/>
      <c r="BH23" s="161"/>
      <c r="BI23" s="161"/>
      <c r="BJ23" s="161"/>
      <c r="BK23" s="161"/>
      <c r="BL23" s="161"/>
      <c r="BM23" s="161"/>
      <c r="BN23" s="161"/>
      <c r="BO23" s="161"/>
      <c r="BP23" s="161"/>
      <c r="BQ23" s="161"/>
      <c r="BR23" s="161"/>
    </row>
    <row r="24" spans="1:70" x14ac:dyDescent="0.25">
      <c r="C24" s="2" t="s">
        <v>192</v>
      </c>
    </row>
    <row r="25" spans="1:70" ht="204.75" customHeight="1" x14ac:dyDescent="0.25">
      <c r="C25" s="164" t="s">
        <v>210</v>
      </c>
      <c r="D25" s="164"/>
      <c r="E25" s="164"/>
      <c r="F25" s="164"/>
      <c r="G25" s="164"/>
      <c r="H25" s="164"/>
      <c r="I25" s="164"/>
      <c r="J25" s="164"/>
      <c r="K25" s="164"/>
      <c r="L25" s="164"/>
      <c r="M25" s="164"/>
      <c r="N25" s="164"/>
      <c r="O25" s="164"/>
      <c r="P25" s="164"/>
      <c r="Q25" s="164"/>
      <c r="R25" s="164"/>
      <c r="S25" s="164"/>
      <c r="T25" s="164"/>
      <c r="U25" s="164"/>
      <c r="V25" s="164"/>
      <c r="W25" s="164"/>
      <c r="X25" s="164"/>
      <c r="Y25" s="164"/>
      <c r="Z25" s="164"/>
      <c r="AA25" s="164"/>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c r="BJ25" s="164"/>
      <c r="BK25" s="164"/>
      <c r="BL25" s="164"/>
      <c r="BM25" s="164"/>
      <c r="BN25" s="164"/>
      <c r="BO25" s="164"/>
      <c r="BP25" s="164"/>
      <c r="BQ25" s="164"/>
      <c r="BR25" s="164"/>
    </row>
    <row r="26" spans="1:70" x14ac:dyDescent="0.25">
      <c r="C26" s="2" t="s">
        <v>193</v>
      </c>
    </row>
    <row r="27" spans="1:70" ht="244.5" customHeight="1" x14ac:dyDescent="0.25">
      <c r="A27" s="1"/>
      <c r="C27" s="164" t="s">
        <v>194</v>
      </c>
      <c r="D27" s="164"/>
      <c r="E27" s="164"/>
      <c r="F27" s="164"/>
      <c r="G27" s="164"/>
      <c r="H27" s="164"/>
      <c r="I27" s="164"/>
      <c r="J27" s="164"/>
      <c r="K27" s="164"/>
      <c r="L27" s="164"/>
      <c r="M27" s="164"/>
      <c r="N27" s="164"/>
      <c r="O27" s="164"/>
      <c r="P27" s="164"/>
      <c r="Q27" s="164"/>
      <c r="R27" s="164"/>
      <c r="S27" s="164"/>
      <c r="T27" s="164"/>
      <c r="U27" s="164"/>
      <c r="V27" s="164"/>
      <c r="W27" s="164"/>
      <c r="X27" s="164"/>
      <c r="Y27" s="164"/>
      <c r="Z27" s="164"/>
      <c r="AA27" s="164"/>
      <c r="AB27" s="164"/>
      <c r="AC27" s="164"/>
      <c r="AD27" s="164"/>
      <c r="AE27" s="164"/>
      <c r="AF27" s="164"/>
      <c r="AG27" s="164"/>
      <c r="AH27" s="164"/>
      <c r="AI27" s="164"/>
      <c r="AJ27" s="164"/>
      <c r="AK27" s="164"/>
      <c r="AL27" s="164"/>
      <c r="AM27" s="164"/>
      <c r="AN27" s="164"/>
      <c r="AO27" s="164"/>
      <c r="AP27" s="164"/>
      <c r="AQ27" s="164"/>
      <c r="AR27" s="164"/>
      <c r="AS27" s="164"/>
      <c r="AT27" s="164"/>
      <c r="AU27" s="164"/>
      <c r="AV27" s="164"/>
      <c r="AW27" s="164"/>
      <c r="AX27" s="164"/>
      <c r="AY27" s="164"/>
      <c r="AZ27" s="164"/>
      <c r="BA27" s="164"/>
      <c r="BB27" s="164"/>
      <c r="BC27" s="164"/>
      <c r="BD27" s="164"/>
      <c r="BE27" s="164"/>
      <c r="BF27" s="164"/>
      <c r="BG27" s="164"/>
      <c r="BH27" s="164"/>
      <c r="BI27" s="164"/>
      <c r="BJ27" s="164"/>
      <c r="BK27" s="164"/>
      <c r="BL27" s="164"/>
      <c r="BM27" s="164"/>
      <c r="BN27" s="164"/>
      <c r="BO27" s="164"/>
      <c r="BP27" s="164"/>
      <c r="BQ27" s="164"/>
      <c r="BR27" s="164"/>
    </row>
    <row r="28" spans="1:70" x14ac:dyDescent="0.25">
      <c r="B28" s="2" t="s">
        <v>269</v>
      </c>
      <c r="C28" s="43"/>
    </row>
    <row r="29" spans="1:70" ht="75" customHeight="1" x14ac:dyDescent="0.25">
      <c r="A29" s="1"/>
      <c r="B29" s="161" t="s">
        <v>280</v>
      </c>
      <c r="C29" s="161"/>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c r="AG29" s="161"/>
      <c r="AH29" s="161"/>
      <c r="AI29" s="161"/>
      <c r="AJ29" s="161"/>
      <c r="AK29" s="161"/>
      <c r="AL29" s="161"/>
      <c r="AM29" s="161"/>
      <c r="AN29" s="161"/>
      <c r="AO29" s="161"/>
      <c r="AP29" s="161"/>
      <c r="AQ29" s="161"/>
      <c r="AR29" s="161"/>
      <c r="AS29" s="161"/>
      <c r="AT29" s="161"/>
      <c r="AU29" s="161"/>
      <c r="AV29" s="161"/>
      <c r="AW29" s="161"/>
      <c r="AX29" s="161"/>
      <c r="AY29" s="161"/>
      <c r="AZ29" s="161"/>
      <c r="BA29" s="161"/>
      <c r="BB29" s="161"/>
      <c r="BC29" s="161"/>
      <c r="BD29" s="161"/>
      <c r="BE29" s="161"/>
      <c r="BF29" s="161"/>
      <c r="BG29" s="161"/>
      <c r="BH29" s="161"/>
      <c r="BI29" s="161"/>
      <c r="BJ29" s="161"/>
      <c r="BK29" s="161"/>
      <c r="BL29" s="161"/>
      <c r="BM29" s="161"/>
      <c r="BN29" s="161"/>
      <c r="BO29" s="161"/>
      <c r="BP29" s="161"/>
      <c r="BQ29" s="161"/>
      <c r="BR29" s="161"/>
    </row>
    <row r="30" spans="1:70" x14ac:dyDescent="0.25">
      <c r="C30" s="2" t="s">
        <v>273</v>
      </c>
    </row>
    <row r="31" spans="1:70" ht="46.5" customHeight="1" x14ac:dyDescent="0.25">
      <c r="A31" s="1"/>
      <c r="C31" s="164" t="s">
        <v>279</v>
      </c>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64"/>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c r="BJ31" s="164"/>
      <c r="BK31" s="164"/>
      <c r="BL31" s="164"/>
      <c r="BM31" s="164"/>
      <c r="BN31" s="164"/>
      <c r="BO31" s="164"/>
      <c r="BP31" s="164"/>
      <c r="BQ31" s="164"/>
      <c r="BR31" s="164"/>
    </row>
    <row r="32" spans="1:70" ht="15.75" customHeight="1" x14ac:dyDescent="0.25">
      <c r="C32" s="163" t="s">
        <v>270</v>
      </c>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row>
    <row r="33" spans="1:70" ht="120" customHeight="1" x14ac:dyDescent="0.25">
      <c r="A33" s="43"/>
      <c r="C33" s="161" t="s">
        <v>272</v>
      </c>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c r="AG33" s="161"/>
      <c r="AH33" s="161"/>
      <c r="AI33" s="161"/>
      <c r="AJ33" s="161"/>
      <c r="AK33" s="161"/>
      <c r="AL33" s="161"/>
      <c r="AM33" s="161"/>
      <c r="AN33" s="161"/>
      <c r="AO33" s="161"/>
      <c r="AP33" s="161"/>
      <c r="AQ33" s="161"/>
      <c r="AR33" s="161"/>
      <c r="AS33" s="161"/>
      <c r="AT33" s="161"/>
      <c r="AU33" s="161"/>
      <c r="AV33" s="161"/>
      <c r="AW33" s="161"/>
      <c r="AX33" s="161"/>
      <c r="AY33" s="161"/>
      <c r="AZ33" s="161"/>
      <c r="BA33" s="161"/>
      <c r="BB33" s="161"/>
      <c r="BC33" s="161"/>
      <c r="BD33" s="161"/>
      <c r="BE33" s="161"/>
      <c r="BF33" s="161"/>
      <c r="BG33" s="161"/>
      <c r="BH33" s="161"/>
      <c r="BI33" s="161"/>
      <c r="BJ33" s="161"/>
      <c r="BK33" s="161"/>
      <c r="BL33" s="161"/>
      <c r="BM33" s="161"/>
      <c r="BN33" s="161"/>
      <c r="BO33" s="161"/>
      <c r="BP33" s="161"/>
      <c r="BQ33" s="161"/>
      <c r="BR33" s="161"/>
    </row>
    <row r="34" spans="1:70" ht="15.75" customHeight="1" x14ac:dyDescent="0.25">
      <c r="C34" s="163" t="s">
        <v>271</v>
      </c>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row>
    <row r="35" spans="1:70" ht="47.25" customHeight="1" x14ac:dyDescent="0.25">
      <c r="C35" s="164" t="s">
        <v>278</v>
      </c>
      <c r="D35" s="164"/>
      <c r="E35" s="164"/>
      <c r="F35" s="164"/>
      <c r="G35" s="164"/>
      <c r="H35" s="164"/>
      <c r="I35" s="164"/>
      <c r="J35" s="164"/>
      <c r="K35" s="164"/>
      <c r="L35" s="164"/>
      <c r="M35" s="164"/>
      <c r="N35" s="164"/>
      <c r="O35" s="164"/>
      <c r="P35" s="164"/>
      <c r="Q35" s="164"/>
      <c r="R35" s="164"/>
      <c r="S35" s="164"/>
      <c r="T35" s="164"/>
      <c r="U35" s="164"/>
      <c r="V35" s="164"/>
      <c r="W35" s="164"/>
      <c r="X35" s="164"/>
      <c r="Y35" s="164"/>
      <c r="Z35" s="164"/>
      <c r="AA35" s="164"/>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c r="BJ35" s="164"/>
      <c r="BK35" s="164"/>
      <c r="BL35" s="164"/>
      <c r="BM35" s="164"/>
      <c r="BN35" s="164"/>
      <c r="BO35" s="164"/>
      <c r="BP35" s="164"/>
      <c r="BQ35" s="164"/>
      <c r="BR35" s="164"/>
    </row>
    <row r="36" spans="1:70" x14ac:dyDescent="0.25">
      <c r="B36" s="2" t="s">
        <v>2</v>
      </c>
    </row>
    <row r="37" spans="1:70" x14ac:dyDescent="0.25">
      <c r="B37" s="162" t="s">
        <v>12</v>
      </c>
      <c r="C37" s="162"/>
      <c r="D37" s="162"/>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c r="AY37" s="162"/>
      <c r="AZ37" s="162"/>
      <c r="BA37" s="162"/>
      <c r="BB37" s="162"/>
      <c r="BC37" s="162"/>
      <c r="BD37" s="162"/>
      <c r="BE37" s="162"/>
      <c r="BF37" s="162"/>
      <c r="BG37" s="162"/>
      <c r="BH37" s="162"/>
      <c r="BI37" s="162"/>
      <c r="BJ37" s="162"/>
      <c r="BK37" s="162"/>
      <c r="BL37" s="162"/>
      <c r="BM37" s="162"/>
      <c r="BN37" s="162"/>
      <c r="BO37" s="162"/>
      <c r="BP37" s="162"/>
      <c r="BQ37" s="162"/>
      <c r="BR37" s="162"/>
    </row>
    <row r="38" spans="1:70" x14ac:dyDescent="0.25">
      <c r="C38" s="2" t="s">
        <v>7</v>
      </c>
    </row>
    <row r="39" spans="1:70" ht="45.75" customHeight="1" x14ac:dyDescent="0.25">
      <c r="C39" s="161" t="s">
        <v>8</v>
      </c>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c r="AG39" s="161"/>
      <c r="AH39" s="161"/>
      <c r="AI39" s="161"/>
      <c r="AJ39" s="161"/>
      <c r="AK39" s="161"/>
      <c r="AL39" s="161"/>
      <c r="AM39" s="161"/>
      <c r="AN39" s="161"/>
      <c r="AO39" s="161"/>
      <c r="AP39" s="161"/>
      <c r="AQ39" s="161"/>
      <c r="AR39" s="161"/>
      <c r="AS39" s="161"/>
      <c r="AT39" s="161"/>
      <c r="AU39" s="161"/>
      <c r="AV39" s="161"/>
      <c r="AW39" s="161"/>
      <c r="AX39" s="161"/>
      <c r="AY39" s="161"/>
      <c r="AZ39" s="161"/>
      <c r="BA39" s="161"/>
      <c r="BB39" s="161"/>
      <c r="BC39" s="161"/>
      <c r="BD39" s="161"/>
      <c r="BE39" s="161"/>
      <c r="BF39" s="161"/>
      <c r="BG39" s="161"/>
      <c r="BH39" s="161"/>
      <c r="BI39" s="161"/>
      <c r="BJ39" s="161"/>
      <c r="BK39" s="161"/>
      <c r="BL39" s="161"/>
      <c r="BM39" s="161"/>
      <c r="BN39" s="161"/>
      <c r="BO39" s="161"/>
      <c r="BP39" s="161"/>
      <c r="BQ39" s="161"/>
      <c r="BR39" s="161"/>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2020-09-24T08:45:25Z</dcterms:modified>
</cp:coreProperties>
</file>