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8C182C2B-4584-4468-8BD9-EEC46A447D18}" xr6:coauthVersionLast="44" xr6:coauthVersionMax="44" xr10:uidLastSave="{00000000-0000-0000-0000-000000000000}"/>
  <bookViews>
    <workbookView xWindow="28680" yWindow="-120" windowWidth="29040" windowHeight="16440" xr2:uid="{C02B7525-F58C-4FF6-BB5A-AEA42BBECA1C}"/>
  </bookViews>
  <sheets>
    <sheet name="Anwesend" sheetId="3" r:id="rId1"/>
    <sheet name="Tagebuch" sheetId="4" r:id="rId2"/>
    <sheet name="Todos" sheetId="8" r:id="rId3"/>
    <sheet name="Individuelle Hinweise" sheetId="5" r:id="rId4"/>
    <sheet name="Trainingsplan" sheetId="7" r:id="rId5"/>
    <sheet name="HerzHirn__" sheetId="6" r:id="rId6"/>
    <sheet name="HerzHirn_alt" sheetId="1" r:id="rId7"/>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S70" i="3" l="1"/>
  <c r="GS38" i="3"/>
  <c r="GN82" i="3" l="1"/>
  <c r="P58" i="3" l="1"/>
  <c r="GU38" i="3"/>
  <c r="P67" i="3" l="1"/>
  <c r="FT38" i="3"/>
  <c r="GC38" i="3"/>
  <c r="GL38" i="3"/>
  <c r="P62" i="3" l="1"/>
  <c r="FI38" i="3"/>
  <c r="FH38" i="3"/>
  <c r="EZ38" i="3"/>
  <c r="EY38" i="3"/>
  <c r="EX38" i="3"/>
  <c r="F62" i="3"/>
  <c r="G62" i="3"/>
  <c r="H62" i="3"/>
  <c r="I62" i="3"/>
  <c r="J62" i="3"/>
  <c r="K62" i="3"/>
  <c r="L62" i="3"/>
  <c r="FK38" i="3"/>
  <c r="P37" i="3" l="1"/>
  <c r="Q12" i="3" s="1"/>
  <c r="L96" i="3"/>
  <c r="Q28" i="3" l="1"/>
  <c r="Q30" i="3"/>
  <c r="Q13" i="3"/>
  <c r="Q8" i="3"/>
  <c r="Q9" i="3"/>
  <c r="Q16" i="3"/>
  <c r="Q20" i="3"/>
  <c r="Q21" i="3"/>
  <c r="Q24" i="3"/>
  <c r="Q14" i="3"/>
  <c r="Q22" i="3"/>
  <c r="Q7" i="3"/>
  <c r="Q15" i="3"/>
  <c r="Q23" i="3"/>
  <c r="Q17" i="3"/>
  <c r="Q25" i="3"/>
  <c r="Q10" i="3"/>
  <c r="Q18" i="3"/>
  <c r="Q26" i="3"/>
  <c r="Q11" i="3"/>
  <c r="Q19" i="3"/>
  <c r="M38" i="3"/>
  <c r="Q29" i="3" l="1"/>
  <c r="P63"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6" i="3"/>
  <c r="Q65" i="3"/>
  <c r="Q64" i="3"/>
  <c r="Q27" i="3"/>
  <c r="Q36" i="3"/>
  <c r="Q6" i="3"/>
  <c r="CX38" i="3"/>
  <c r="CZ38" i="3"/>
  <c r="DI38" i="3"/>
  <c r="CQ38" i="3"/>
  <c r="BY38" i="3"/>
  <c r="CH38" i="3"/>
  <c r="L98" i="3"/>
  <c r="L97" i="3"/>
  <c r="R38" i="3"/>
  <c r="P38" i="3"/>
  <c r="Q38" i="3" l="1"/>
  <c r="CO82" i="3"/>
  <c r="CO70" i="3"/>
  <c r="CO38" i="3"/>
  <c r="CF38" i="3"/>
  <c r="P70" i="3"/>
  <c r="CO83" i="3" l="1"/>
  <c r="BW82" i="3"/>
  <c r="BW83" i="3" s="1"/>
  <c r="BP82" i="3"/>
  <c r="BP70" i="3"/>
  <c r="BW38" i="3"/>
  <c r="BP38" i="3"/>
  <c r="BP83" i="3" l="1"/>
  <c r="P32" i="3"/>
  <c r="NB82" i="3" l="1"/>
  <c r="NA82" i="3"/>
  <c r="MZ82" i="3"/>
  <c r="MY82" i="3"/>
  <c r="MX82" i="3"/>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M82" i="3"/>
  <c r="IL82" i="3"/>
  <c r="IK82" i="3"/>
  <c r="IJ82" i="3"/>
  <c r="II82" i="3"/>
  <c r="IH82" i="3"/>
  <c r="IG82" i="3"/>
  <c r="IF82" i="3"/>
  <c r="IE82" i="3"/>
  <c r="ID82" i="3"/>
  <c r="IC82" i="3"/>
  <c r="IB82" i="3"/>
  <c r="IA82" i="3"/>
  <c r="HZ82" i="3"/>
  <c r="HY82" i="3"/>
  <c r="HX82" i="3"/>
  <c r="HW82" i="3"/>
  <c r="HV82" i="3"/>
  <c r="HU82" i="3"/>
  <c r="HT82" i="3"/>
  <c r="HS82" i="3"/>
  <c r="HR82" i="3"/>
  <c r="HQ82" i="3"/>
  <c r="HP82" i="3"/>
  <c r="HO82" i="3"/>
  <c r="HN82" i="3"/>
  <c r="HM82" i="3"/>
  <c r="HL82" i="3"/>
  <c r="HK82" i="3"/>
  <c r="HJ82" i="3"/>
  <c r="HI82" i="3"/>
  <c r="HH82" i="3"/>
  <c r="HG82" i="3"/>
  <c r="HF82" i="3"/>
  <c r="HE82" i="3"/>
  <c r="HD82" i="3"/>
  <c r="HA82" i="3"/>
  <c r="GZ82" i="3"/>
  <c r="GY82" i="3"/>
  <c r="GX82" i="3"/>
  <c r="GW82" i="3"/>
  <c r="GV82" i="3"/>
  <c r="GU82" i="3"/>
  <c r="GR82" i="3"/>
  <c r="GQ82" i="3"/>
  <c r="GP82" i="3"/>
  <c r="GO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1" i="3" l="1"/>
  <c r="L61" i="3"/>
  <c r="K61" i="3"/>
  <c r="J61" i="3"/>
  <c r="I61" i="3"/>
  <c r="H61" i="3"/>
  <c r="G61" i="3"/>
  <c r="F61"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6" i="3"/>
  <c r="K66" i="3"/>
  <c r="J66" i="3"/>
  <c r="I66" i="3"/>
  <c r="H66" i="3"/>
  <c r="G66" i="3"/>
  <c r="F66" i="3"/>
  <c r="L65" i="3"/>
  <c r="K65" i="3"/>
  <c r="J65" i="3"/>
  <c r="I65" i="3"/>
  <c r="H65" i="3"/>
  <c r="G65" i="3"/>
  <c r="F65" i="3"/>
  <c r="L64" i="3"/>
  <c r="K64" i="3"/>
  <c r="J64" i="3"/>
  <c r="I64" i="3"/>
  <c r="H64" i="3"/>
  <c r="G64" i="3"/>
  <c r="F64" i="3"/>
  <c r="L63" i="3"/>
  <c r="K63" i="3"/>
  <c r="J63" i="3"/>
  <c r="I63" i="3"/>
  <c r="H63" i="3"/>
  <c r="G63" i="3"/>
  <c r="F63" i="3"/>
  <c r="NB70" i="3"/>
  <c r="NA70" i="3"/>
  <c r="MZ70" i="3"/>
  <c r="MY70"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M70" i="3"/>
  <c r="IL70" i="3"/>
  <c r="IK70" i="3"/>
  <c r="IJ70" i="3"/>
  <c r="II70" i="3"/>
  <c r="IH70" i="3"/>
  <c r="IG70" i="3"/>
  <c r="IF70" i="3"/>
  <c r="IE70" i="3"/>
  <c r="ID70" i="3"/>
  <c r="IC70" i="3"/>
  <c r="IB70" i="3"/>
  <c r="IA70" i="3"/>
  <c r="HZ70" i="3"/>
  <c r="HY70" i="3"/>
  <c r="HX70" i="3"/>
  <c r="HW70" i="3"/>
  <c r="HV70" i="3"/>
  <c r="HU70" i="3"/>
  <c r="HT70" i="3"/>
  <c r="HS70" i="3"/>
  <c r="HR70" i="3"/>
  <c r="HQ70" i="3"/>
  <c r="HP70" i="3"/>
  <c r="HO70" i="3"/>
  <c r="HN70" i="3"/>
  <c r="HM70" i="3"/>
  <c r="HL70" i="3"/>
  <c r="HK70" i="3"/>
  <c r="HJ70" i="3"/>
  <c r="HI70" i="3"/>
  <c r="HH70" i="3"/>
  <c r="HG70" i="3"/>
  <c r="HF70" i="3"/>
  <c r="HE70" i="3"/>
  <c r="HD70" i="3"/>
  <c r="HA70" i="3"/>
  <c r="GZ70" i="3"/>
  <c r="GY70" i="3"/>
  <c r="GX70" i="3"/>
  <c r="GW70" i="3"/>
  <c r="GV70" i="3"/>
  <c r="GU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A70" i="3"/>
  <c r="Z70" i="3"/>
  <c r="Y70" i="3"/>
  <c r="X70" i="3"/>
  <c r="W70" i="3"/>
  <c r="V70" i="3"/>
  <c r="U70" i="3"/>
  <c r="T70" i="3"/>
  <c r="AN70" i="3"/>
  <c r="AM70" i="3"/>
  <c r="AL70" i="3"/>
  <c r="AK70" i="3"/>
  <c r="AJ70" i="3"/>
  <c r="AH70" i="3"/>
  <c r="AI70" i="3"/>
  <c r="R66" i="3"/>
  <c r="R65" i="3"/>
  <c r="P69" i="3"/>
  <c r="Q58" i="3" s="1"/>
  <c r="P49" i="3"/>
  <c r="L49" i="3"/>
  <c r="K49" i="3"/>
  <c r="J49" i="3"/>
  <c r="I49" i="3"/>
  <c r="H49" i="3"/>
  <c r="G49" i="3"/>
  <c r="F49" i="3"/>
  <c r="H68" i="3"/>
  <c r="G68" i="3"/>
  <c r="H60" i="3"/>
  <c r="G60" i="3"/>
  <c r="H59" i="3"/>
  <c r="G59" i="3"/>
  <c r="H57" i="3"/>
  <c r="G57" i="3"/>
  <c r="H55" i="3"/>
  <c r="G55" i="3"/>
  <c r="H54" i="3"/>
  <c r="G54" i="3"/>
  <c r="H53" i="3"/>
  <c r="G53" i="3"/>
  <c r="H51" i="3"/>
  <c r="G51" i="3"/>
  <c r="H48" i="3"/>
  <c r="G48" i="3"/>
  <c r="H46" i="3"/>
  <c r="G46" i="3"/>
  <c r="L60" i="3"/>
  <c r="K60" i="3"/>
  <c r="J60" i="3"/>
  <c r="I60" i="3"/>
  <c r="F60" i="3"/>
  <c r="L59" i="3"/>
  <c r="K59" i="3"/>
  <c r="J59" i="3"/>
  <c r="I59" i="3"/>
  <c r="F59" i="3"/>
  <c r="L57" i="3"/>
  <c r="K57" i="3"/>
  <c r="J57" i="3"/>
  <c r="I57" i="3"/>
  <c r="F57" i="3"/>
  <c r="L51" i="3"/>
  <c r="K51" i="3"/>
  <c r="J51" i="3"/>
  <c r="I51" i="3"/>
  <c r="F51" i="3"/>
  <c r="S40" i="3"/>
  <c r="S41" i="3" s="1"/>
  <c r="S72" i="3" s="1"/>
  <c r="T83" i="3" l="1"/>
  <c r="AB83" i="3"/>
  <c r="Q62" i="3"/>
  <c r="Q67" i="3"/>
  <c r="Q47" i="3"/>
  <c r="Q63" i="3"/>
  <c r="AN83" i="3"/>
  <c r="AA83" i="3"/>
  <c r="AG83" i="3"/>
  <c r="AM83" i="3"/>
  <c r="Z83" i="3"/>
  <c r="Q79" i="3"/>
  <c r="Q78" i="3"/>
  <c r="Q76" i="3"/>
  <c r="Q82" i="3"/>
  <c r="Q59" i="3"/>
  <c r="Q50" i="3"/>
  <c r="Q48" i="3"/>
  <c r="Q60" i="3"/>
  <c r="Q57" i="3"/>
  <c r="Q49" i="3"/>
  <c r="Q61"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4" i="3"/>
  <c r="S2" i="3"/>
  <c r="HA38" i="3"/>
  <c r="HA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V38" i="3"/>
  <c r="GW38" i="3"/>
  <c r="GX38" i="3"/>
  <c r="GY38" i="3"/>
  <c r="GZ38" i="3"/>
  <c r="HD38" i="3"/>
  <c r="HE38" i="3"/>
  <c r="HF38" i="3"/>
  <c r="HG38" i="3"/>
  <c r="HH38" i="3"/>
  <c r="HI38" i="3"/>
  <c r="HK38" i="3"/>
  <c r="HL38" i="3"/>
  <c r="HM38" i="3"/>
  <c r="HN38" i="3"/>
  <c r="HO38" i="3"/>
  <c r="HP38" i="3"/>
  <c r="HQ38" i="3"/>
  <c r="HR38" i="3"/>
  <c r="HS38" i="3"/>
  <c r="HT38" i="3"/>
  <c r="HU38" i="3"/>
  <c r="HV38" i="3"/>
  <c r="HW38" i="3"/>
  <c r="HX38" i="3"/>
  <c r="HY38" i="3"/>
  <c r="HZ38" i="3"/>
  <c r="IA38" i="3"/>
  <c r="IB38" i="3"/>
  <c r="IC38" i="3"/>
  <c r="ID38" i="3"/>
  <c r="IE38" i="3"/>
  <c r="IF38" i="3"/>
  <c r="IG38" i="3"/>
  <c r="IH38" i="3"/>
  <c r="II38" i="3"/>
  <c r="IJ38" i="3"/>
  <c r="IK38" i="3"/>
  <c r="IL38" i="3"/>
  <c r="IM38" i="3"/>
  <c r="IN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MY38" i="3"/>
  <c r="MZ38" i="3"/>
  <c r="NA38" i="3"/>
  <c r="NB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9" i="3"/>
  <c r="P60" i="3"/>
  <c r="P64" i="3"/>
  <c r="P65" i="3"/>
  <c r="P66"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U83" i="3"/>
  <c r="GV83" i="3"/>
  <c r="GW83" i="3"/>
  <c r="GX83" i="3"/>
  <c r="GY83" i="3"/>
  <c r="GZ83" i="3"/>
  <c r="HD83" i="3"/>
  <c r="HE83" i="3"/>
  <c r="HF83" i="3"/>
  <c r="HG83" i="3"/>
  <c r="HH83" i="3"/>
  <c r="HI83" i="3"/>
  <c r="HJ83" i="3"/>
  <c r="HK83" i="3"/>
  <c r="HL83" i="3"/>
  <c r="HM83" i="3"/>
  <c r="HN83" i="3"/>
  <c r="HO83" i="3"/>
  <c r="HP83" i="3"/>
  <c r="HQ83" i="3"/>
  <c r="HR83" i="3"/>
  <c r="HS83" i="3"/>
  <c r="HT83" i="3"/>
  <c r="HU83" i="3"/>
  <c r="HV83" i="3"/>
  <c r="HW83" i="3"/>
  <c r="HX83" i="3"/>
  <c r="HY83" i="3"/>
  <c r="HZ83" i="3"/>
  <c r="IA83" i="3"/>
  <c r="IB83" i="3"/>
  <c r="IC83" i="3"/>
  <c r="ID83" i="3"/>
  <c r="IE83" i="3"/>
  <c r="IF83" i="3"/>
  <c r="IG83" i="3"/>
  <c r="IH83" i="3"/>
  <c r="II83" i="3"/>
  <c r="IJ83" i="3"/>
  <c r="IK83" i="3"/>
  <c r="IL83" i="3"/>
  <c r="IM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MY83" i="3"/>
  <c r="MZ83" i="3"/>
  <c r="NA83" i="3"/>
  <c r="NB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D71" i="3"/>
  <c r="EE1" i="3"/>
  <c r="ED2" i="3"/>
  <c r="EE40" i="3" l="1"/>
  <c r="EE41" i="3" s="1"/>
  <c r="EE72" i="3" s="1"/>
  <c r="EE71" i="3"/>
  <c r="EF1" i="3"/>
  <c r="EG1" i="3" s="1"/>
  <c r="EG71" i="3" s="1"/>
  <c r="EE2" i="3"/>
  <c r="EG40" i="3" l="1"/>
  <c r="EG41" i="3" s="1"/>
  <c r="EG72" i="3" s="1"/>
  <c r="EH1" i="3"/>
  <c r="EH71" i="3" s="1"/>
  <c r="EG2" i="3"/>
  <c r="EF40" i="3"/>
  <c r="EF41" i="3" s="1"/>
  <c r="EF72" i="3" s="1"/>
  <c r="EF71" i="3"/>
  <c r="EF2" i="3"/>
  <c r="EH40" i="3" l="1"/>
  <c r="EH41" i="3" s="1"/>
  <c r="EH72" i="3" s="1"/>
  <c r="EK1" i="3"/>
  <c r="EH2" i="3"/>
  <c r="EK40" i="3" l="1"/>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E2" i="3"/>
  <c r="FF1" i="3" l="1"/>
  <c r="FF71" i="3" s="1"/>
  <c r="FE71" i="3"/>
  <c r="FF2" i="3" l="1"/>
  <c r="FF40" i="3"/>
  <c r="FF41" i="3" s="1"/>
  <c r="FF72" i="3" s="1"/>
  <c r="FG1" i="3"/>
  <c r="FG40" i="3" s="1"/>
  <c r="FG41" i="3" s="1"/>
  <c r="FG72" i="3" s="1"/>
  <c r="FG2" i="3" l="1"/>
  <c r="FH1" i="3"/>
  <c r="FI1" i="3" s="1"/>
  <c r="FI2" i="3" s="1"/>
  <c r="FG71" i="3"/>
  <c r="FH2" i="3" l="1"/>
  <c r="FH71" i="3"/>
  <c r="FI40" i="3"/>
  <c r="FI41" i="3" s="1"/>
  <c r="FI72" i="3" s="1"/>
  <c r="FH40" i="3"/>
  <c r="FH41" i="3" s="1"/>
  <c r="FH72" i="3" s="1"/>
  <c r="FI71" i="3"/>
  <c r="FL1" i="3"/>
  <c r="FM1" i="3" s="1"/>
  <c r="FL40" i="3"/>
  <c r="FL41" i="3" s="1"/>
  <c r="FL72" i="3" s="1"/>
  <c r="FL71" i="3"/>
  <c r="FL2" i="3" l="1"/>
  <c r="FM40" i="3"/>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S1" i="3" s="1"/>
  <c r="GQ2" i="3"/>
  <c r="GS2" i="3" l="1"/>
  <c r="GS40" i="3"/>
  <c r="GS41" i="3" s="1"/>
  <c r="GS72" i="3" s="1"/>
  <c r="GV1" i="3"/>
  <c r="GS71" i="3"/>
  <c r="GR40" i="3"/>
  <c r="GR41" i="3" s="1"/>
  <c r="GR72" i="3" s="1"/>
  <c r="GR71" i="3"/>
  <c r="GR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HB1" i="3" s="1"/>
  <c r="GZ2" i="3"/>
  <c r="HB2" i="3" l="1"/>
  <c r="HB71" i="3"/>
  <c r="HB40" i="3"/>
  <c r="HB41" i="3" s="1"/>
  <c r="HB72" i="3" s="1"/>
  <c r="HE1" i="3"/>
  <c r="HA40" i="3"/>
  <c r="HA41" i="3" s="1"/>
  <c r="HA72" i="3" s="1"/>
  <c r="HA71" i="3"/>
  <c r="HA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I2" i="3"/>
  <c r="HJ40" i="3" l="1"/>
  <c r="HJ41" i="3" s="1"/>
  <c r="HJ72" i="3" s="1"/>
  <c r="HJ71" i="3"/>
  <c r="HK1" i="3"/>
  <c r="HJ2" i="3"/>
  <c r="HK40" i="3" l="1"/>
  <c r="HK41" i="3" s="1"/>
  <c r="HK72" i="3" s="1"/>
  <c r="HK71" i="3"/>
  <c r="HL1" i="3"/>
  <c r="HK2" i="3"/>
  <c r="HL40" i="3" l="1"/>
  <c r="HL41" i="3" s="1"/>
  <c r="HL72" i="3" s="1"/>
  <c r="HL71" i="3"/>
  <c r="HM1" i="3"/>
  <c r="HL2" i="3"/>
  <c r="HM40" i="3" l="1"/>
  <c r="HM41" i="3" s="1"/>
  <c r="HM72" i="3" s="1"/>
  <c r="HM71" i="3"/>
  <c r="HN1" i="3"/>
  <c r="HM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T1" i="3"/>
  <c r="HS2" i="3"/>
  <c r="HT40" i="3" l="1"/>
  <c r="HT41" i="3" s="1"/>
  <c r="HT72" i="3" s="1"/>
  <c r="HT71" i="3"/>
  <c r="HU1" i="3"/>
  <c r="HT2" i="3"/>
  <c r="HU40" i="3" l="1"/>
  <c r="HU41" i="3" s="1"/>
  <c r="HU72" i="3" s="1"/>
  <c r="HU71" i="3"/>
  <c r="HV1" i="3"/>
  <c r="HU2" i="3"/>
  <c r="HV40" i="3" l="1"/>
  <c r="HV41" i="3" s="1"/>
  <c r="HV72" i="3" s="1"/>
  <c r="HV71" i="3"/>
  <c r="HW1" i="3"/>
  <c r="HV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C1" i="3"/>
  <c r="IB2" i="3"/>
  <c r="IC40" i="3" l="1"/>
  <c r="IC41" i="3" s="1"/>
  <c r="IC72" i="3" s="1"/>
  <c r="IC71" i="3"/>
  <c r="ID1" i="3"/>
  <c r="IC2" i="3"/>
  <c r="ID40" i="3" l="1"/>
  <c r="ID41" i="3" s="1"/>
  <c r="ID72" i="3" s="1"/>
  <c r="ID71" i="3"/>
  <c r="IE1" i="3"/>
  <c r="ID2" i="3"/>
  <c r="IE40" i="3" l="1"/>
  <c r="IE41" i="3" s="1"/>
  <c r="IE72" i="3" s="1"/>
  <c r="IE71" i="3"/>
  <c r="IF1" i="3"/>
  <c r="IE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L1" i="3"/>
  <c r="IK2" i="3"/>
  <c r="IL40" i="3" l="1"/>
  <c r="IL41" i="3" s="1"/>
  <c r="IL72" i="3" s="1"/>
  <c r="IL71" i="3"/>
  <c r="IM1" i="3"/>
  <c r="IL2" i="3"/>
  <c r="IM40" i="3" l="1"/>
  <c r="IM41" i="3" s="1"/>
  <c r="IM72" i="3" s="1"/>
  <c r="IM71" i="3"/>
  <c r="IN1" i="3"/>
  <c r="IM2" i="3"/>
  <c r="IN40" i="3" l="1"/>
  <c r="IN41" i="3" s="1"/>
  <c r="IN72" i="3" s="1"/>
  <c r="IN71" i="3"/>
  <c r="IO1" i="3"/>
  <c r="IN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MX40" i="3" l="1"/>
  <c r="MX41" i="3" s="1"/>
  <c r="MX72" i="3" s="1"/>
  <c r="MX71" i="3"/>
  <c r="MY1" i="3"/>
  <c r="MX2" i="3"/>
  <c r="MY40" i="3" l="1"/>
  <c r="MY41" i="3" s="1"/>
  <c r="MY72" i="3" s="1"/>
  <c r="MY71" i="3"/>
  <c r="MZ1" i="3"/>
  <c r="MY2" i="3"/>
  <c r="MZ40" i="3" l="1"/>
  <c r="MZ41" i="3" s="1"/>
  <c r="MZ72" i="3" s="1"/>
  <c r="MZ71" i="3"/>
  <c r="NA1" i="3"/>
  <c r="MZ2" i="3"/>
  <c r="NA40" i="3" l="1"/>
  <c r="NA41" i="3" s="1"/>
  <c r="NA72" i="3" s="1"/>
  <c r="NA71" i="3"/>
  <c r="NB1" i="3"/>
  <c r="NA2" i="3"/>
  <c r="R15" i="3"/>
  <c r="R22" i="3"/>
  <c r="R32" i="3"/>
  <c r="R33" i="3"/>
  <c r="R30" i="3"/>
  <c r="R14" i="3"/>
  <c r="R27" i="3"/>
  <c r="R24" i="3"/>
  <c r="R12" i="3"/>
  <c r="R28" i="3"/>
  <c r="R23" i="3"/>
  <c r="R20" i="3"/>
  <c r="R17" i="3"/>
  <c r="R16" i="3"/>
  <c r="NB40" i="3" l="1"/>
  <c r="NB41" i="3" s="1"/>
  <c r="NB72" i="3" s="1"/>
  <c r="NB71" i="3"/>
  <c r="NB2" i="3"/>
  <c r="R29" i="3"/>
  <c r="R31" i="3"/>
  <c r="R26" i="3"/>
  <c r="R25" i="3"/>
  <c r="R13" i="3"/>
  <c r="R11" i="3"/>
  <c r="R9" i="3"/>
  <c r="R8" i="3"/>
  <c r="R21" i="3"/>
  <c r="R19" i="3"/>
  <c r="R18" i="3"/>
  <c r="R10" i="3"/>
  <c r="R7" i="3"/>
</calcChain>
</file>

<file path=xl/sharedStrings.xml><?xml version="1.0" encoding="utf-8"?>
<sst xmlns="http://schemas.openxmlformats.org/spreadsheetml/2006/main" count="1810" uniqueCount="611">
  <si>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</si>
  <si>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</si>
  <si>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</si>
  <si>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</si>
  <si>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</si>
  <si>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</si>
  <si>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</si>
  <si>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</si>
  <si>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</si>
  <si>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</si>
  <si>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</si>
  <si>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</si>
  <si>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</si>
  <si>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</si>
  <si>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</si>
  <si>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</si>
  <si>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</si>
  <si>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</si>
  <si>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</si>
  <si>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</si>
  <si>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</si>
  <si>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</si>
  <si>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</si>
  <si>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</si>
  <si>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</si>
  <si>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</si>
  <si>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</si>
  <si>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</si>
  <si>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</si>
  <si>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</si>
  <si>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</si>
  <si>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</si>
  <si>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</si>
  <si>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</si>
  <si>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</si>
  <si>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</si>
  <si>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</si>
  <si>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</si>
  <si>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</si>
  <si>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</si>
  <si>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</si>
  <si>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</si>
  <si>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</si>
  <si>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</si>
  <si>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</si>
  <si>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</si>
  <si>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</si>
  <si>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</si>
  <si>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</si>
  <si>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</si>
  <si>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</si>
  <si>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</si>
  <si>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</si>
  <si>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</si>
  <si>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</si>
  <si>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</si>
  <si>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</si>
  <si>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</si>
  <si>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</si>
  <si>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</si>
  <si>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</si>
  <si>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</si>
  <si>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</si>
  <si>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</si>
  <si>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</si>
  <si>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</si>
  <si>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</si>
  <si>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</si>
  <si>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</si>
  <si>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</si>
  <si>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</si>
  <si>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</si>
  <si>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</si>
  <si>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</si>
  <si>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</si>
  <si>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</si>
  <si>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</si>
  <si>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</si>
  <si>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</si>
  <si>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</si>
  <si>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</si>
  <si>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</si>
  <si>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</si>
  <si>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</si>
  <si>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</si>
  <si>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</si>
  <si>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</si>
  <si>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</si>
  <si>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</si>
  <si>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</si>
  <si>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</si>
  <si>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</si>
  <si>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</si>
  <si>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</si>
  <si>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</si>
  <si>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</si>
  <si>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</si>
  <si>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</si>
  <si>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</si>
  <si>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</si>
  <si>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</si>
  <si>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</si>
  <si>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</si>
  <si>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</si>
  <si>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</si>
  <si>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</si>
  <si>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</si>
  <si>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</si>
  <si>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</si>
  <si>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</si>
  <si>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</si>
  <si>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</si>
  <si>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</si>
  <si>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</si>
  <si>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</si>
  <si>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</si>
  <si>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</si>
  <si>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</si>
  <si>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</si>
  <si>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</si>
  <si>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</si>
  <si>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</si>
  <si>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</si>
  <si>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</si>
  <si>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</si>
  <si>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</si>
  <si>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</si>
  <si>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</si>
  <si>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</si>
  <si>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</si>
  <si>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</si>
  <si>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</si>
  <si>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</si>
  <si>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</si>
  <si>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</si>
  <si>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</si>
  <si>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</si>
  <si>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</si>
  <si>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</si>
  <si>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</si>
  <si>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</si>
  <si>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</si>
  <si>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</si>
  <si>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</si>
  <si>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</si>
  <si>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</si>
  <si>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</si>
  <si>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</si>
  <si>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</si>
  <si>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</si>
  <si>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</si>
  <si>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</si>
  <si>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</si>
  <si>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</si>
  <si>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</si>
  <si>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</si>
  <si>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</si>
  <si>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</si>
  <si>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</si>
  <si>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</si>
  <si>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</si>
  <si>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</si>
  <si>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</si>
  <si>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</si>
  <si>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</si>
  <si>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</si>
  <si>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</si>
  <si>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</si>
  <si>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</si>
  <si>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</si>
  <si>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</si>
  <si>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</si>
  <si>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</si>
  <si>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</si>
  <si>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</si>
  <si>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</si>
  <si>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</si>
  <si>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</si>
  <si>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</si>
  <si>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</si>
  <si>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</si>
  <si>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</si>
  <si>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</si>
  <si>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</si>
  <si>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</si>
  <si>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</si>
  <si>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</si>
  <si>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</si>
  <si>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</si>
  <si>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</si>
  <si>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</si>
  <si>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</si>
  <si>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</si>
  <si>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</si>
  <si>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</si>
  <si>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</si>
  <si>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</si>
  <si>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</si>
  <si>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</si>
  <si>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</si>
  <si>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</si>
  <si>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</si>
  <si>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</si>
  <si>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</si>
  <si>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</si>
  <si>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</si>
  <si>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</si>
  <si>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</si>
  <si>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</si>
  <si>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</si>
  <si>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</si>
  <si>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</si>
  <si>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</si>
  <si>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</si>
  <si>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</si>
  <si>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</si>
  <si>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</si>
  <si>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</si>
  <si>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</si>
  <si>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</si>
  <si>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</si>
  <si>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</si>
  <si>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</si>
  <si>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</si>
  <si>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</si>
  <si>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</si>
  <si>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</si>
  <si>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</si>
  <si>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</si>
  <si>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</si>
  <si>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</si>
  <si>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</si>
  <si>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</si>
  <si>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</si>
  <si>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</si>
  <si>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</si>
  <si>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</si>
  <si>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</si>
  <si>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</si>
  <si>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</si>
  <si>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</si>
  <si>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</si>
  <si>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</si>
  <si>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</si>
  <si>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</si>
  <si>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</si>
  <si>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</si>
  <si>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</si>
  <si>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</si>
  <si>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</si>
  <si>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</si>
  <si>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</si>
  <si>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</si>
  <si>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</si>
  <si>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</si>
  <si>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</si>
  <si>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</si>
  <si>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</si>
  <si>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</si>
  <si>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</si>
  <si>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</si>
  <si>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</si>
  <si>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</si>
  <si>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</si>
  <si>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</si>
  <si>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</si>
  <si>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</si>
  <si>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</si>
  <si>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</si>
  <si>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</si>
  <si>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</si>
  <si>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</si>
  <si>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</si>
  <si>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</si>
  <si>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</si>
  <si>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</si>
  <si>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</si>
  <si>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</si>
  <si>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</si>
  <si>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</si>
  <si>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</si>
  <si>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</si>
  <si>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</si>
  <si>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</si>
  <si>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</si>
  <si>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</si>
  <si>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</si>
  <si>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</si>
  <si>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</si>
  <si>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</si>
  <si>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</si>
  <si>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</si>
  <si>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</si>
  <si>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</si>
  <si>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</si>
  <si>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</si>
  <si>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</si>
  <si>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</si>
  <si>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</si>
  <si>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</si>
  <si>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</si>
  <si>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</si>
  <si>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</si>
  <si>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</si>
  <si>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</si>
  <si>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</si>
  <si>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</si>
  <si>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</si>
  <si>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</si>
  <si>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</si>
  <si>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</si>
  <si>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</si>
  <si>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</si>
  <si>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</si>
  <si>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</si>
  <si>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</si>
  <si>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</si>
  <si>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</si>
  <si>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</si>
  <si>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</si>
  <si>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</si>
  <si>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</si>
  <si>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</si>
  <si>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</si>
  <si>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</si>
  <si>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</si>
  <si>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</si>
  <si>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</si>
  <si>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</si>
  <si>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</si>
  <si>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</si>
  <si>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</si>
  <si>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</si>
  <si>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</si>
  <si>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</si>
  <si>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</si>
  <si>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</si>
  <si>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</si>
  <si>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</si>
  <si>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</si>
  <si>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</si>
  <si>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</si>
  <si>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</si>
  <si>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</si>
  <si>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</si>
  <si>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</si>
  <si>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</si>
  <si>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</si>
  <si>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</si>
  <si>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</si>
  <si>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</si>
  <si>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</si>
  <si>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</si>
  <si>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</si>
  <si>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</si>
  <si>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</si>
  <si>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</si>
  <si>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</si>
  <si>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</si>
  <si>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</si>
  <si>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</si>
  <si>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</si>
  <si>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</si>
  <si>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</si>
  <si>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</si>
  <si>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</si>
  <si>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</si>
  <si>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</si>
  <si>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</si>
  <si>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</si>
  <si>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</si>
  <si>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</si>
  <si>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</si>
  <si>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</si>
  <si>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</si>
  <si>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</si>
  <si>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</si>
  <si>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</si>
  <si>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</si>
  <si>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</si>
  <si>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</si>
  <si>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</si>
  <si>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</si>
  <si>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</si>
  <si>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</si>
  <si>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</si>
  <si>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</si>
  <si>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</si>
  <si>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</si>
  <si>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</si>
  <si>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</si>
  <si>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</si>
  <si>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</si>
  <si>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</si>
  <si>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</si>
  <si>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</si>
  <si>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</si>
  <si>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</si>
  <si>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</si>
  <si>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</si>
  <si>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</si>
  <si>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</si>
  <si>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</si>
  <si>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</si>
  <si>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</si>
  <si>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</si>
  <si>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</si>
  <si>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</si>
  <si>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</si>
  <si>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</si>
  <si>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</si>
  <si>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</si>
  <si>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</si>
  <si>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</si>
  <si>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</si>
  <si>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</si>
  <si>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</si>
  <si>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</si>
  <si>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</si>
  <si>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</si>
  <si>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</si>
  <si>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</si>
  <si>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</si>
  <si>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</si>
  <si>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</si>
  <si>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</si>
  <si>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</si>
  <si>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</si>
  <si>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</si>
  <si>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</si>
  <si>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</si>
  <si>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</si>
  <si>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</si>
  <si>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</si>
  <si>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</si>
  <si>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</si>
  <si>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</si>
  <si>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</si>
  <si>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</si>
  <si>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</si>
  <si>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</si>
  <si>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</si>
  <si>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</si>
  <si>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</si>
  <si>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</si>
  <si>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</si>
  <si>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</si>
  <si>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</si>
  <si>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</si>
  <si>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</si>
  <si>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</si>
  <si>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</si>
  <si>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</si>
  <si>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</si>
  <si>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</si>
  <si>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</si>
  <si>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</si>
  <si>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</si>
  <si>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</si>
  <si>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</si>
  <si>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</si>
  <si>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</si>
  <si>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</si>
  <si>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</si>
  <si>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</si>
  <si>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</si>
  <si>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</si>
  <si>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</si>
  <si>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</si>
  <si>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</si>
  <si>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</si>
  <si>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</si>
  <si>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</si>
  <si>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</si>
  <si>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</si>
  <si>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</si>
  <si>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</si>
  <si>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</si>
  <si>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</si>
  <si>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</si>
  <si>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</si>
  <si>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</si>
  <si>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</si>
  <si>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</si>
  <si>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</si>
  <si>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</si>
  <si>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</si>
  <si>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</si>
  <si>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</si>
  <si>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</si>
  <si>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</si>
  <si>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</si>
  <si>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</si>
  <si>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</si>
  <si>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</si>
  <si>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</si>
  <si>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</si>
  <si>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</si>
  <si>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</si>
  <si>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</si>
  <si>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</si>
  <si>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</si>
  <si>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</si>
  <si>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</si>
  <si>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</si>
  <si>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</si>
  <si>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</si>
  <si>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</si>
  <si>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</si>
  <si>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</si>
  <si>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</si>
  <si>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</si>
  <si>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</si>
  <si>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</si>
  <si>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</si>
  <si>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</si>
  <si>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</si>
  <si>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</si>
  <si>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</si>
  <si>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</si>
  <si>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</si>
  <si>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</si>
  <si>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</si>
  <si>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</si>
  <si>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</si>
  <si>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</si>
  <si>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</si>
  <si>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</si>
  <si>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</si>
  <si>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</si>
  <si>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</si>
  <si>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</si>
  <si>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</si>
  <si>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</si>
  <si>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</si>
  <si>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</si>
  <si>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</si>
  <si>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</si>
  <si>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</si>
  <si>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</si>
  <si>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</si>
  <si>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</si>
  <si>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</si>
  <si>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</si>
  <si>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</si>
  <si>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</si>
  <si>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</si>
  <si>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</si>
  <si>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</si>
  <si>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</si>
  <si>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</si>
  <si>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</si>
  <si>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</si>
  <si>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</si>
  <si>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</si>
  <si>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</si>
  <si>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</si>
  <si>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Externe</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</si>
  <si>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</si>
  <si>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</si>
  <si>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</si>
  <si>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</si>
  <si>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</si>
  <si>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</si>
  <si>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</si>
  <si>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</si>
  <si>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</si>
  <si>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</si>
  <si>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</si>
  <si>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</si>
  <si>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</si>
  <si>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</si>
  <si>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</si>
  <si>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</si>
  <si>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</si>
  <si>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</si>
  <si>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</si>
  <si>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</si>
  <si>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</si>
  <si>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</si>
  <si>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</si>
  <si>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</si>
  <si>
    <t>MS (12 + 1)</t>
  </si>
  <si>
    <t>(längsgeteiltes Feld)
2 mit 2 mit Nachlaufen mit 3 Berührungen (1 Gruppe mit Durchwechseln auf einer Seite), nur OZ + ZU
(wie zuvor) Winners Score (OZ, UZ, Service von unten, mit Angriffsdrücken)
25 Liegestütz
(wie zuvor) Service von oben + Schlag erlaubt
(wie zuvor) niederes Netz, verkürztes Feld, Ziel: Runterschlagen</t>
  </si>
  <si>
    <t>U/L</t>
  </si>
  <si>
    <t>:H15</t>
  </si>
  <si>
    <t>:K15</t>
  </si>
  <si>
    <t>:H16</t>
  </si>
  <si>
    <t>:K16</t>
  </si>
  <si>
    <t>Auswärts ist es etwas schwieriger, schlussendlich ein klares 3:0.
Konzentration behalten!</t>
  </si>
  <si>
    <t>2 mit 2 mit Nachlaufen mit 3 Berührungen
kurz Winners Score
paarweise mit Durchwechseln - UZ
2x 3 Spiele 2:2</t>
  </si>
  <si>
    <t xml:space="preserve">3er/4er Gruppen mit Nachlaufen - Konzentration OZ, UZ
Service von unten -&gt; perfekte Annahme, mit Kräftigung, dann Service von oben
Service geg. Grundsechs -&gt; Ausspielen, mit kleinen Spielen
Winners Score
</t>
  </si>
  <si>
    <t>MS Weiz (13)</t>
  </si>
  <si>
    <t>MS (11 + 1)</t>
  </si>
  <si>
    <t>Nachbesprechung Spiel
paarweise Wurf/Druck/Schlag - Annahme, dann Verteidigung
4 Gruppen: Service - Annahme - Fangen
Winners Score</t>
  </si>
  <si>
    <t>Baggerlafale, einzeln, dann paarweise
im Wechsel: Frosch(UZ), Wurf/Schlag im Stand geg. Mauer
einzeln OZ auf Korb (vw, rw, vw)
Schlag im Stand über tiefes Netz
selbstangeworfenen Bälle schlagen
Einschlagen, tw. 1er
Spiel</t>
  </si>
  <si>
    <t>MS (6, Kleinfeld)</t>
  </si>
  <si>
    <t>MS (5, Kleinfeld)</t>
  </si>
  <si>
    <t>MS (8 + 6, Kleinfeld)</t>
  </si>
  <si>
    <t>Winners Score OZ+UZ, Service von unten + Ringe zum Durchlaufen
Einspielen mit Nachlaufen
Service auf Grundsechs, dann 3 Angriffe
Winners Score (6:4:4)</t>
  </si>
  <si>
    <t>(Statusbesprechungen)
3 mit 3 mit Nachlaufen mit drei Berührungen (mit Zusatzaufgaben)
paarweise (OZ, UZ mit 2 Bällen)
paarweise Schlag-Verteidigung - 3 Serien
Spiele am längsgeteilten Feld
6:6</t>
  </si>
  <si>
    <t>Baggerlafale, einzeln, dann paarweise
Spielsystem - 2x Technik mit Strutzi
Strutzi macht fertig</t>
  </si>
  <si>
    <t>3x4 Konzentration mit 3 Berührungen - Hinterspieler spielt auf
Einspielen in 3er Gruppen mit Nachlaufen
Service geg. Grundsechs (mit und ohne Libera) + Doppelwechsel
Spiel 6:6</t>
  </si>
  <si>
    <t>Schmid</t>
  </si>
  <si>
    <t>(Strutzi)</t>
  </si>
  <si>
    <t>Friesach (12)</t>
  </si>
  <si>
    <t>Spiel geg. Hausmannstätten
1. Satz sehr gut, dann immer wieder Probleme mit der Geduld.
Manchmal ist es notwendig einen Punkt mehrfach zu machen!
Mit Kampf und viel Einsatz zurückgekommen und gewonnen - Hurra!</t>
  </si>
  <si>
    <t>Villach (7)</t>
  </si>
  <si>
    <t>Villach (7+3)</t>
  </si>
  <si>
    <t>UL: 3:2 geg. Villach</t>
  </si>
  <si>
    <t>LL: 3:2 geg. Villach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</si>
</sst>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2"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s>
  <cellStyleXfs count="2">
    <xf numFmtId="0" fontId="0" fillId="0" borderId="0"/>
    <xf numFmtId="0" fontId="3" fillId="2" borderId="1" applyNumberFormat="0" applyAlignment="0" applyProtection="0"/>
  </cellStyleXfs>
  <cellXfs count="170">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0" fillId="0" borderId="0" xfId="0" applyAlignment="1">
      <alignment horizontal="center"/>
    </xf>
    <xf numFmtId="0" fontId="0" fillId="0" borderId="16" xfId="0" applyBorder="1" applyAlignment="1">
      <alignment horizont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xf numFmtId="20" fontId="0" fillId="0" borderId="0" xfId="0" applyNumberFormat="1" applyAlignment="1">
      <alignment vertical="top"/>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NB123"/>
  <sheetViews>
    <sheetView tabSelected="1" zoomScaleNormal="100" workbookViewId="0">
      <pane xSplit="18" ySplit="3" topLeftCell="FQ55" activePane="bottomRight" state="frozen"/>
      <selection pane="topRight" activeCell="F1" sqref="F1"/>
      <selection pane="bottomLeft" activeCell="A3" sqref="A3"/>
      <selection pane="bottomRight" activeCell="GS101" sqref="GS101"/>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66" width="3.140625" customWidth="1"/>
  </cols>
  <sheetData>
    <row r="1" spans="1:366" ht="69.75" hidden="1" customHeight="1" x14ac:dyDescent="0.25">
      <c r="P1" s="114" t="s">
        <v>408</v>
      </c>
      <c r="Q1" s="115" t="s">
        <v>408</v>
      </c>
      <c r="R1" s="116" t="s">
        <v>408</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377</v>
      </c>
      <c r="BY1" s="49" t="s">
        <v>359</v>
      </c>
      <c r="BZ1" s="47">
        <f>BW1 + 1</f>
        <v>44032</v>
      </c>
      <c r="CA1" s="47">
        <f t="shared" si="0"/>
        <v>44033</v>
      </c>
      <c r="CB1" s="47">
        <f t="shared" si="0"/>
        <v>44034</v>
      </c>
      <c r="CC1" s="47">
        <f t="shared" si="0"/>
        <v>44035</v>
      </c>
      <c r="CD1" s="47">
        <f t="shared" si="0"/>
        <v>44036</v>
      </c>
      <c r="CE1" s="47">
        <f t="shared" si="0"/>
        <v>44037</v>
      </c>
      <c r="CF1" s="98">
        <f>CE1 + 1</f>
        <v>44038</v>
      </c>
      <c r="CG1" s="98" t="s">
        <v>381</v>
      </c>
      <c r="CH1" s="49" t="s">
        <v>360</v>
      </c>
      <c r="CI1" s="47">
        <f>CF1 + 1</f>
        <v>44039</v>
      </c>
      <c r="CJ1" s="47">
        <f t="shared" ref="CJ1:FI1" si="1">CI1 + 1</f>
        <v>44040</v>
      </c>
      <c r="CK1" s="47">
        <f t="shared" si="1"/>
        <v>44041</v>
      </c>
      <c r="CL1" s="47">
        <f t="shared" si="1"/>
        <v>44042</v>
      </c>
      <c r="CM1" s="47">
        <f t="shared" si="1"/>
        <v>44043</v>
      </c>
      <c r="CN1" s="47">
        <f t="shared" si="1"/>
        <v>44044</v>
      </c>
      <c r="CO1" s="47">
        <f t="shared" si="1"/>
        <v>44045</v>
      </c>
      <c r="CP1" s="47" t="s">
        <v>382</v>
      </c>
      <c r="CQ1" s="49" t="s">
        <v>375</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403</v>
      </c>
      <c r="CZ1" s="107" t="s">
        <v>404</v>
      </c>
      <c r="DA1" s="47">
        <f>CX1 + 1</f>
        <v>44053</v>
      </c>
      <c r="DB1" s="47">
        <f t="shared" si="1"/>
        <v>44054</v>
      </c>
      <c r="DC1" s="47">
        <f t="shared" si="1"/>
        <v>44055</v>
      </c>
      <c r="DD1" s="47">
        <f t="shared" si="1"/>
        <v>44056</v>
      </c>
      <c r="DE1" s="47">
        <f t="shared" si="1"/>
        <v>44057</v>
      </c>
      <c r="DF1" s="47">
        <f t="shared" si="1"/>
        <v>44058</v>
      </c>
      <c r="DG1" s="47">
        <f t="shared" si="1"/>
        <v>44059</v>
      </c>
      <c r="DH1" s="47" t="s">
        <v>410</v>
      </c>
      <c r="DI1" s="49" t="s">
        <v>411</v>
      </c>
      <c r="DJ1" s="47">
        <f>DG1 + 1</f>
        <v>44060</v>
      </c>
      <c r="DK1" s="47">
        <f t="shared" si="1"/>
        <v>44061</v>
      </c>
      <c r="DL1" s="47">
        <f t="shared" si="1"/>
        <v>44062</v>
      </c>
      <c r="DM1" s="47">
        <f t="shared" si="1"/>
        <v>44063</v>
      </c>
      <c r="DN1" s="47">
        <f t="shared" si="1"/>
        <v>44064</v>
      </c>
      <c r="DO1" s="47">
        <f t="shared" si="1"/>
        <v>44065</v>
      </c>
      <c r="DP1" s="47">
        <f t="shared" si="1"/>
        <v>44066</v>
      </c>
      <c r="DQ1" s="47" t="s">
        <v>424</v>
      </c>
      <c r="DR1" s="49" t="s">
        <v>425</v>
      </c>
      <c r="DS1" s="47">
        <f>DP1 + 1</f>
        <v>44067</v>
      </c>
      <c r="DT1" s="47">
        <f t="shared" si="1"/>
        <v>44068</v>
      </c>
      <c r="DU1" s="47">
        <f t="shared" si="1"/>
        <v>44069</v>
      </c>
      <c r="DV1" s="47">
        <f t="shared" si="1"/>
        <v>44070</v>
      </c>
      <c r="DW1" s="47">
        <f t="shared" si="1"/>
        <v>44071</v>
      </c>
      <c r="DX1" s="47">
        <f t="shared" si="1"/>
        <v>44072</v>
      </c>
      <c r="DY1" s="47">
        <f t="shared" si="1"/>
        <v>44073</v>
      </c>
      <c r="DZ1" s="47" t="s">
        <v>427</v>
      </c>
      <c r="EA1" s="49" t="s">
        <v>428</v>
      </c>
      <c r="EB1" s="47">
        <f>DY1 + 1</f>
        <v>44074</v>
      </c>
      <c r="EC1" s="47">
        <f t="shared" si="1"/>
        <v>44075</v>
      </c>
      <c r="ED1" s="47">
        <f t="shared" si="1"/>
        <v>44076</v>
      </c>
      <c r="EE1" s="47">
        <f t="shared" si="1"/>
        <v>44077</v>
      </c>
      <c r="EF1" s="47">
        <f t="shared" si="1"/>
        <v>44078</v>
      </c>
      <c r="EG1" s="47">
        <f t="shared" ref="EG1:EH1" si="4">EF1 + 1</f>
        <v>44079</v>
      </c>
      <c r="EH1" s="47">
        <f t="shared" si="4"/>
        <v>44080</v>
      </c>
      <c r="EI1" s="47" t="s">
        <v>466</v>
      </c>
      <c r="EJ1" s="49" t="s">
        <v>467</v>
      </c>
      <c r="EK1" s="47">
        <f>EH1 + 1</f>
        <v>44081</v>
      </c>
      <c r="EL1" s="47">
        <f t="shared" si="1"/>
        <v>44082</v>
      </c>
      <c r="EM1" s="47">
        <f t="shared" si="1"/>
        <v>44083</v>
      </c>
      <c r="EN1" s="47">
        <f t="shared" si="1"/>
        <v>44084</v>
      </c>
      <c r="EO1" s="47">
        <f t="shared" si="1"/>
        <v>44085</v>
      </c>
      <c r="EP1" s="47">
        <f t="shared" si="1"/>
        <v>44086</v>
      </c>
      <c r="EQ1" s="47">
        <f t="shared" si="1"/>
        <v>44087</v>
      </c>
      <c r="ER1" s="47" t="s">
        <v>469</v>
      </c>
      <c r="ES1" s="49" t="s">
        <v>470</v>
      </c>
      <c r="ET1" s="47">
        <f>EQ1 + 1</f>
        <v>44088</v>
      </c>
      <c r="EU1" s="47">
        <f t="shared" si="1"/>
        <v>44089</v>
      </c>
      <c r="EV1" s="47">
        <f t="shared" si="1"/>
        <v>44090</v>
      </c>
      <c r="EW1" s="47">
        <f t="shared" si="1"/>
        <v>44091</v>
      </c>
      <c r="EX1" s="47">
        <f t="shared" si="1"/>
        <v>44092</v>
      </c>
      <c r="EY1" s="47">
        <f t="shared" si="1"/>
        <v>44093</v>
      </c>
      <c r="EZ1" s="47">
        <f t="shared" si="1"/>
        <v>44094</v>
      </c>
      <c r="FA1" s="47" t="s">
        <v>511</v>
      </c>
      <c r="FB1" s="49" t="s">
        <v>512</v>
      </c>
      <c r="FC1" s="47">
        <f>EZ1 + 1</f>
        <v>44095</v>
      </c>
      <c r="FD1" s="47">
        <f t="shared" si="1"/>
        <v>44096</v>
      </c>
      <c r="FE1" s="47">
        <f t="shared" si="1"/>
        <v>44097</v>
      </c>
      <c r="FF1" s="47">
        <f t="shared" si="1"/>
        <v>44098</v>
      </c>
      <c r="FG1" s="47">
        <f t="shared" si="1"/>
        <v>44099</v>
      </c>
      <c r="FH1" s="47">
        <f t="shared" si="1"/>
        <v>44100</v>
      </c>
      <c r="FI1" s="47">
        <f t="shared" si="1"/>
        <v>44101</v>
      </c>
      <c r="FJ1" s="47" t="s">
        <v>523</v>
      </c>
      <c r="FK1" s="49" t="s">
        <v>524</v>
      </c>
      <c r="FL1" s="47">
        <f>FI1 + 1</f>
        <v>44102</v>
      </c>
      <c r="FM1" s="47">
        <f t="shared" ref="FM1:IH1" si="5">FL1 + 1</f>
        <v>44103</v>
      </c>
      <c r="FN1" s="47">
        <f t="shared" si="5"/>
        <v>44104</v>
      </c>
      <c r="FO1" s="47">
        <f t="shared" si="5"/>
        <v>44105</v>
      </c>
      <c r="FP1" s="47">
        <f t="shared" si="5"/>
        <v>44106</v>
      </c>
      <c r="FQ1" s="47">
        <f t="shared" si="5"/>
        <v>44107</v>
      </c>
      <c r="FR1" s="47">
        <f t="shared" si="5"/>
        <v>44108</v>
      </c>
      <c r="FS1" s="47" t="s">
        <v>542</v>
      </c>
      <c r="FT1" s="49" t="s">
        <v>543</v>
      </c>
      <c r="FU1" s="47">
        <f>FR1 + 1</f>
        <v>44109</v>
      </c>
      <c r="FV1" s="47">
        <f t="shared" si="5"/>
        <v>44110</v>
      </c>
      <c r="FW1" s="47">
        <f t="shared" si="5"/>
        <v>44111</v>
      </c>
      <c r="FX1" s="47">
        <f t="shared" si="5"/>
        <v>44112</v>
      </c>
      <c r="FY1" s="47">
        <f t="shared" si="5"/>
        <v>44113</v>
      </c>
      <c r="FZ1" s="47">
        <f t="shared" si="5"/>
        <v>44114</v>
      </c>
      <c r="GA1" s="47">
        <f t="shared" si="5"/>
        <v>44115</v>
      </c>
      <c r="GB1" s="47" t="s">
        <v>564</v>
      </c>
      <c r="GC1" s="49" t="s">
        <v>565</v>
      </c>
      <c r="GD1" s="47">
        <f>GA1 + 1</f>
        <v>44116</v>
      </c>
      <c r="GE1" s="47">
        <f t="shared" si="5"/>
        <v>44117</v>
      </c>
      <c r="GF1" s="47">
        <f t="shared" si="5"/>
        <v>44118</v>
      </c>
      <c r="GG1" s="47">
        <f t="shared" si="5"/>
        <v>44119</v>
      </c>
      <c r="GH1" s="47">
        <f t="shared" si="5"/>
        <v>44120</v>
      </c>
      <c r="GI1" s="47">
        <f t="shared" si="5"/>
        <v>44121</v>
      </c>
      <c r="GJ1" s="47">
        <f t="shared" si="5"/>
        <v>44122</v>
      </c>
      <c r="GK1" s="47" t="s">
        <v>580</v>
      </c>
      <c r="GL1" s="49" t="s">
        <v>581</v>
      </c>
      <c r="GM1" s="47">
        <f>GJ1 + 1</f>
        <v>44123</v>
      </c>
      <c r="GN1" s="47">
        <f t="shared" si="5"/>
        <v>44124</v>
      </c>
      <c r="GO1" s="47">
        <f t="shared" si="5"/>
        <v>44125</v>
      </c>
      <c r="GP1" s="47">
        <f t="shared" si="5"/>
        <v>44126</v>
      </c>
      <c r="GQ1" s="47">
        <f t="shared" si="5"/>
        <v>44127</v>
      </c>
      <c r="GR1" s="47">
        <f t="shared" si="5"/>
        <v>44128</v>
      </c>
      <c r="GS1" s="47">
        <f t="shared" si="5"/>
        <v>44129</v>
      </c>
      <c r="GT1" s="47" t="s">
        <v>585</v>
      </c>
      <c r="GU1" s="49" t="s">
        <v>586</v>
      </c>
      <c r="GV1" s="47">
        <f>GS1 + 1</f>
        <v>44130</v>
      </c>
      <c r="GW1" s="47">
        <f t="shared" si="5"/>
        <v>44131</v>
      </c>
      <c r="GX1" s="47">
        <f t="shared" si="5"/>
        <v>44132</v>
      </c>
      <c r="GY1" s="47">
        <f t="shared" si="5"/>
        <v>44133</v>
      </c>
      <c r="GZ1" s="47">
        <f t="shared" si="5"/>
        <v>44134</v>
      </c>
      <c r="HA1" s="47">
        <f t="shared" si="5"/>
        <v>44135</v>
      </c>
      <c r="HB1" s="47">
        <f t="shared" si="5"/>
        <v>44136</v>
      </c>
      <c r="HC1" s="47" t="s">
        <v>587</v>
      </c>
      <c r="HD1" s="49" t="s">
        <v>588</v>
      </c>
      <c r="HE1" s="47">
        <f>HB1 + 1</f>
        <v>44137</v>
      </c>
      <c r="HF1" s="47">
        <f t="shared" si="5"/>
        <v>44138</v>
      </c>
      <c r="HG1" s="47">
        <f t="shared" si="5"/>
        <v>44139</v>
      </c>
      <c r="HH1" s="47">
        <f t="shared" si="5"/>
        <v>44140</v>
      </c>
      <c r="HI1" s="47">
        <f t="shared" si="5"/>
        <v>44141</v>
      </c>
      <c r="HJ1" s="47">
        <f t="shared" si="5"/>
        <v>44142</v>
      </c>
      <c r="HK1" s="49">
        <f t="shared" si="5"/>
        <v>44143</v>
      </c>
      <c r="HL1" s="47">
        <f t="shared" si="5"/>
        <v>44144</v>
      </c>
      <c r="HM1" s="47">
        <f t="shared" si="5"/>
        <v>44145</v>
      </c>
      <c r="HN1" s="47">
        <f t="shared" si="5"/>
        <v>44146</v>
      </c>
      <c r="HO1" s="47">
        <f t="shared" si="5"/>
        <v>44147</v>
      </c>
      <c r="HP1" s="47">
        <f t="shared" si="5"/>
        <v>44148</v>
      </c>
      <c r="HQ1" s="47">
        <f t="shared" si="5"/>
        <v>44149</v>
      </c>
      <c r="HR1" s="49">
        <f t="shared" si="5"/>
        <v>44150</v>
      </c>
      <c r="HS1" s="47">
        <f t="shared" si="5"/>
        <v>44151</v>
      </c>
      <c r="HT1" s="47">
        <f t="shared" si="5"/>
        <v>44152</v>
      </c>
      <c r="HU1" s="47">
        <f t="shared" si="5"/>
        <v>44153</v>
      </c>
      <c r="HV1" s="47">
        <f t="shared" si="5"/>
        <v>44154</v>
      </c>
      <c r="HW1" s="47">
        <f t="shared" si="5"/>
        <v>44155</v>
      </c>
      <c r="HX1" s="47">
        <f t="shared" si="5"/>
        <v>44156</v>
      </c>
      <c r="HY1" s="49">
        <f t="shared" si="5"/>
        <v>44157</v>
      </c>
      <c r="HZ1" s="47">
        <f t="shared" si="5"/>
        <v>44158</v>
      </c>
      <c r="IA1" s="47">
        <f t="shared" si="5"/>
        <v>44159</v>
      </c>
      <c r="IB1" s="47">
        <f t="shared" si="5"/>
        <v>44160</v>
      </c>
      <c r="IC1" s="47">
        <f t="shared" si="5"/>
        <v>44161</v>
      </c>
      <c r="ID1" s="47">
        <f t="shared" si="5"/>
        <v>44162</v>
      </c>
      <c r="IE1" s="47">
        <f t="shared" si="5"/>
        <v>44163</v>
      </c>
      <c r="IF1" s="49">
        <f t="shared" si="5"/>
        <v>44164</v>
      </c>
      <c r="IG1" s="47">
        <f t="shared" si="5"/>
        <v>44165</v>
      </c>
      <c r="IH1" s="47">
        <f t="shared" si="5"/>
        <v>44166</v>
      </c>
      <c r="II1" s="47">
        <f t="shared" ref="II1:KT1" si="6">IH1 + 1</f>
        <v>44167</v>
      </c>
      <c r="IJ1" s="47">
        <f t="shared" si="6"/>
        <v>44168</v>
      </c>
      <c r="IK1" s="47">
        <f t="shared" si="6"/>
        <v>44169</v>
      </c>
      <c r="IL1" s="47">
        <f t="shared" si="6"/>
        <v>44170</v>
      </c>
      <c r="IM1" s="49">
        <f t="shared" si="6"/>
        <v>44171</v>
      </c>
      <c r="IN1" s="47">
        <f t="shared" si="6"/>
        <v>44172</v>
      </c>
      <c r="IO1" s="47">
        <f t="shared" si="6"/>
        <v>44173</v>
      </c>
      <c r="IP1" s="47">
        <f t="shared" si="6"/>
        <v>44174</v>
      </c>
      <c r="IQ1" s="47">
        <f t="shared" si="6"/>
        <v>44175</v>
      </c>
      <c r="IR1" s="47">
        <f t="shared" si="6"/>
        <v>44176</v>
      </c>
      <c r="IS1" s="47">
        <f t="shared" si="6"/>
        <v>44177</v>
      </c>
      <c r="IT1" s="49">
        <f t="shared" si="6"/>
        <v>44178</v>
      </c>
      <c r="IU1" s="47">
        <f t="shared" si="6"/>
        <v>44179</v>
      </c>
      <c r="IV1" s="47">
        <f t="shared" si="6"/>
        <v>44180</v>
      </c>
      <c r="IW1" s="47">
        <f t="shared" si="6"/>
        <v>44181</v>
      </c>
      <c r="IX1" s="47">
        <f t="shared" si="6"/>
        <v>44182</v>
      </c>
      <c r="IY1" s="47">
        <f t="shared" si="6"/>
        <v>44183</v>
      </c>
      <c r="IZ1" s="47">
        <f t="shared" si="6"/>
        <v>44184</v>
      </c>
      <c r="JA1" s="49">
        <f t="shared" si="6"/>
        <v>44185</v>
      </c>
      <c r="JB1" s="47">
        <f t="shared" si="6"/>
        <v>44186</v>
      </c>
      <c r="JC1" s="47">
        <f t="shared" si="6"/>
        <v>44187</v>
      </c>
      <c r="JD1" s="47">
        <f t="shared" si="6"/>
        <v>44188</v>
      </c>
      <c r="JE1" s="47">
        <f t="shared" si="6"/>
        <v>44189</v>
      </c>
      <c r="JF1" s="47">
        <f t="shared" si="6"/>
        <v>44190</v>
      </c>
      <c r="JG1" s="47">
        <f t="shared" si="6"/>
        <v>44191</v>
      </c>
      <c r="JH1" s="49">
        <f t="shared" si="6"/>
        <v>44192</v>
      </c>
      <c r="JI1" s="47">
        <f t="shared" si="6"/>
        <v>44193</v>
      </c>
      <c r="JJ1" s="47">
        <f t="shared" si="6"/>
        <v>44194</v>
      </c>
      <c r="JK1" s="47">
        <f t="shared" si="6"/>
        <v>44195</v>
      </c>
      <c r="JL1" s="47">
        <f t="shared" si="6"/>
        <v>44196</v>
      </c>
      <c r="JM1" s="47">
        <f t="shared" si="6"/>
        <v>44197</v>
      </c>
      <c r="JN1" s="47">
        <f t="shared" si="6"/>
        <v>44198</v>
      </c>
      <c r="JO1" s="49">
        <f t="shared" si="6"/>
        <v>44199</v>
      </c>
      <c r="JP1" s="47">
        <f t="shared" si="6"/>
        <v>44200</v>
      </c>
      <c r="JQ1" s="47">
        <f t="shared" si="6"/>
        <v>44201</v>
      </c>
      <c r="JR1" s="47">
        <f t="shared" si="6"/>
        <v>44202</v>
      </c>
      <c r="JS1" s="47">
        <f t="shared" si="6"/>
        <v>44203</v>
      </c>
      <c r="JT1" s="47">
        <f t="shared" si="6"/>
        <v>44204</v>
      </c>
      <c r="JU1" s="47">
        <f t="shared" si="6"/>
        <v>44205</v>
      </c>
      <c r="JV1" s="49">
        <f t="shared" si="6"/>
        <v>44206</v>
      </c>
      <c r="JW1" s="47">
        <f t="shared" si="6"/>
        <v>44207</v>
      </c>
      <c r="JX1" s="47">
        <f t="shared" si="6"/>
        <v>44208</v>
      </c>
      <c r="JY1" s="47">
        <f t="shared" si="6"/>
        <v>44209</v>
      </c>
      <c r="JZ1" s="47">
        <f t="shared" si="6"/>
        <v>44210</v>
      </c>
      <c r="KA1" s="47">
        <f t="shared" si="6"/>
        <v>44211</v>
      </c>
      <c r="KB1" s="47">
        <f t="shared" si="6"/>
        <v>44212</v>
      </c>
      <c r="KC1" s="49">
        <f t="shared" si="6"/>
        <v>44213</v>
      </c>
      <c r="KD1" s="47">
        <f t="shared" si="6"/>
        <v>44214</v>
      </c>
      <c r="KE1" s="47">
        <f t="shared" si="6"/>
        <v>44215</v>
      </c>
      <c r="KF1" s="47">
        <f t="shared" si="6"/>
        <v>44216</v>
      </c>
      <c r="KG1" s="47">
        <f t="shared" si="6"/>
        <v>44217</v>
      </c>
      <c r="KH1" s="47">
        <f t="shared" si="6"/>
        <v>44218</v>
      </c>
      <c r="KI1" s="47">
        <f t="shared" si="6"/>
        <v>44219</v>
      </c>
      <c r="KJ1" s="49">
        <f t="shared" si="6"/>
        <v>44220</v>
      </c>
      <c r="KK1" s="47">
        <f t="shared" si="6"/>
        <v>44221</v>
      </c>
      <c r="KL1" s="47">
        <f t="shared" si="6"/>
        <v>44222</v>
      </c>
      <c r="KM1" s="47">
        <f t="shared" si="6"/>
        <v>44223</v>
      </c>
      <c r="KN1" s="47">
        <f t="shared" si="6"/>
        <v>44224</v>
      </c>
      <c r="KO1" s="47">
        <f t="shared" si="6"/>
        <v>44225</v>
      </c>
      <c r="KP1" s="47">
        <f t="shared" si="6"/>
        <v>44226</v>
      </c>
      <c r="KQ1" s="49">
        <f t="shared" si="6"/>
        <v>44227</v>
      </c>
      <c r="KR1" s="47">
        <f t="shared" si="6"/>
        <v>44228</v>
      </c>
      <c r="KS1" s="47">
        <f t="shared" si="6"/>
        <v>44229</v>
      </c>
      <c r="KT1" s="47">
        <f t="shared" si="6"/>
        <v>44230</v>
      </c>
      <c r="KU1" s="47">
        <f t="shared" ref="KU1:NB1" si="7">KT1 + 1</f>
        <v>44231</v>
      </c>
      <c r="KV1" s="47">
        <f t="shared" si="7"/>
        <v>44232</v>
      </c>
      <c r="KW1" s="47">
        <f t="shared" si="7"/>
        <v>44233</v>
      </c>
      <c r="KX1" s="49">
        <f t="shared" si="7"/>
        <v>44234</v>
      </c>
      <c r="KY1" s="47">
        <f t="shared" si="7"/>
        <v>44235</v>
      </c>
      <c r="KZ1" s="47">
        <f t="shared" si="7"/>
        <v>44236</v>
      </c>
      <c r="LA1" s="47">
        <f t="shared" si="7"/>
        <v>44237</v>
      </c>
      <c r="LB1" s="47">
        <f t="shared" si="7"/>
        <v>44238</v>
      </c>
      <c r="LC1" s="47">
        <f t="shared" si="7"/>
        <v>44239</v>
      </c>
      <c r="LD1" s="47">
        <f t="shared" si="7"/>
        <v>44240</v>
      </c>
      <c r="LE1" s="49">
        <f t="shared" si="7"/>
        <v>44241</v>
      </c>
      <c r="LF1" s="47">
        <f t="shared" si="7"/>
        <v>44242</v>
      </c>
      <c r="LG1" s="47">
        <f t="shared" si="7"/>
        <v>44243</v>
      </c>
      <c r="LH1" s="47">
        <f t="shared" si="7"/>
        <v>44244</v>
      </c>
      <c r="LI1" s="47">
        <f t="shared" si="7"/>
        <v>44245</v>
      </c>
      <c r="LJ1" s="47">
        <f t="shared" si="7"/>
        <v>44246</v>
      </c>
      <c r="LK1" s="47">
        <f t="shared" si="7"/>
        <v>44247</v>
      </c>
      <c r="LL1" s="49">
        <f t="shared" si="7"/>
        <v>44248</v>
      </c>
      <c r="LM1" s="47">
        <f t="shared" si="7"/>
        <v>44249</v>
      </c>
      <c r="LN1" s="47">
        <f t="shared" si="7"/>
        <v>44250</v>
      </c>
      <c r="LO1" s="47">
        <f t="shared" si="7"/>
        <v>44251</v>
      </c>
      <c r="LP1" s="47">
        <f t="shared" si="7"/>
        <v>44252</v>
      </c>
      <c r="LQ1" s="47">
        <f t="shared" si="7"/>
        <v>44253</v>
      </c>
      <c r="LR1" s="47">
        <f t="shared" si="7"/>
        <v>44254</v>
      </c>
      <c r="LS1" s="49">
        <f t="shared" si="7"/>
        <v>44255</v>
      </c>
      <c r="LT1" s="47">
        <f t="shared" si="7"/>
        <v>44256</v>
      </c>
      <c r="LU1" s="47">
        <f t="shared" si="7"/>
        <v>44257</v>
      </c>
      <c r="LV1" s="47">
        <f t="shared" si="7"/>
        <v>44258</v>
      </c>
      <c r="LW1" s="47">
        <f t="shared" si="7"/>
        <v>44259</v>
      </c>
      <c r="LX1" s="47">
        <f t="shared" si="7"/>
        <v>44260</v>
      </c>
      <c r="LY1" s="47">
        <f t="shared" si="7"/>
        <v>44261</v>
      </c>
      <c r="LZ1" s="49">
        <f t="shared" si="7"/>
        <v>44262</v>
      </c>
      <c r="MA1" s="47">
        <f t="shared" si="7"/>
        <v>44263</v>
      </c>
      <c r="MB1" s="47">
        <f t="shared" si="7"/>
        <v>44264</v>
      </c>
      <c r="MC1" s="47">
        <f t="shared" si="7"/>
        <v>44265</v>
      </c>
      <c r="MD1" s="47">
        <f t="shared" si="7"/>
        <v>44266</v>
      </c>
      <c r="ME1" s="47">
        <f t="shared" si="7"/>
        <v>44267</v>
      </c>
      <c r="MF1" s="47">
        <f t="shared" si="7"/>
        <v>44268</v>
      </c>
      <c r="MG1" s="49">
        <f t="shared" si="7"/>
        <v>44269</v>
      </c>
      <c r="MH1" s="47">
        <f t="shared" si="7"/>
        <v>44270</v>
      </c>
      <c r="MI1" s="47">
        <f t="shared" si="7"/>
        <v>44271</v>
      </c>
      <c r="MJ1" s="47">
        <f t="shared" si="7"/>
        <v>44272</v>
      </c>
      <c r="MK1" s="47">
        <f t="shared" si="7"/>
        <v>44273</v>
      </c>
      <c r="ML1" s="47">
        <f t="shared" si="7"/>
        <v>44274</v>
      </c>
      <c r="MM1" s="47">
        <f t="shared" si="7"/>
        <v>44275</v>
      </c>
      <c r="MN1" s="49">
        <f t="shared" si="7"/>
        <v>44276</v>
      </c>
      <c r="MO1" s="47">
        <f t="shared" si="7"/>
        <v>44277</v>
      </c>
      <c r="MP1" s="47">
        <f t="shared" si="7"/>
        <v>44278</v>
      </c>
      <c r="MQ1" s="47">
        <f t="shared" si="7"/>
        <v>44279</v>
      </c>
      <c r="MR1" s="47">
        <f t="shared" si="7"/>
        <v>44280</v>
      </c>
      <c r="MS1" s="47">
        <f t="shared" si="7"/>
        <v>44281</v>
      </c>
      <c r="MT1" s="47">
        <f t="shared" si="7"/>
        <v>44282</v>
      </c>
      <c r="MU1" s="49">
        <f t="shared" si="7"/>
        <v>44283</v>
      </c>
      <c r="MV1" s="47">
        <f t="shared" si="7"/>
        <v>44284</v>
      </c>
      <c r="MW1" s="47">
        <f t="shared" si="7"/>
        <v>44285</v>
      </c>
      <c r="MX1" s="47">
        <f t="shared" si="7"/>
        <v>44286</v>
      </c>
      <c r="MY1" s="47">
        <f t="shared" si="7"/>
        <v>44287</v>
      </c>
      <c r="MZ1" s="47">
        <f t="shared" si="7"/>
        <v>44288</v>
      </c>
      <c r="NA1" s="47">
        <f t="shared" si="7"/>
        <v>44289</v>
      </c>
      <c r="NB1" s="49">
        <f t="shared" si="7"/>
        <v>44290</v>
      </c>
    </row>
    <row r="2" spans="1:366" ht="15" customHeight="1" x14ac:dyDescent="0.25">
      <c r="A2" s="155" t="s">
        <v>144</v>
      </c>
      <c r="B2" s="155"/>
      <c r="C2" s="155"/>
      <c r="D2" s="155"/>
      <c r="E2" s="155"/>
      <c r="F2" s="39"/>
      <c r="G2" s="39"/>
      <c r="H2" s="39"/>
      <c r="I2" s="39"/>
      <c r="J2" s="39"/>
      <c r="K2" s="39"/>
      <c r="L2" s="39"/>
      <c r="M2" s="39"/>
      <c r="N2" s="39"/>
      <c r="O2" s="27"/>
      <c r="P2" s="156" t="s">
        <v>49</v>
      </c>
      <c r="Q2" s="151" t="s">
        <v>48</v>
      </c>
      <c r="R2" s="153" t="s">
        <v>406</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369</v>
      </c>
      <c r="BY2" s="50" t="s">
        <v>358</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369</v>
      </c>
      <c r="CH2" s="50" t="s">
        <v>361</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369</v>
      </c>
      <c r="CQ2" s="50" t="s">
        <v>376</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369</v>
      </c>
      <c r="CZ2" s="104" t="s">
        <v>405</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369</v>
      </c>
      <c r="DI2" s="50" t="s">
        <v>412</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369</v>
      </c>
      <c r="DR2" s="50" t="s">
        <v>426</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369</v>
      </c>
      <c r="EA2" s="50" t="s">
        <v>429</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369</v>
      </c>
      <c r="EJ2" s="50" t="s">
        <v>468</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369</v>
      </c>
      <c r="ES2" s="50" t="s">
        <v>471</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369</v>
      </c>
      <c r="FB2" s="50" t="s">
        <v>513</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369</v>
      </c>
      <c r="FK2" s="50" t="s">
        <v>406</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369</v>
      </c>
      <c r="FT2" s="50" t="s">
        <v>406</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369</v>
      </c>
      <c r="GC2" s="50" t="s">
        <v>406</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369</v>
      </c>
      <c r="GL2" s="50" t="s">
        <v>406</v>
      </c>
      <c r="GM2" s="48">
        <f t="shared" ref="GM2" si="142">GM1</f>
        <v>44123</v>
      </c>
      <c r="GN2" s="48">
        <f t="shared" ref="GN2" si="143">GN1</f>
        <v>44124</v>
      </c>
      <c r="GO2" s="48">
        <f t="shared" ref="GO2" si="144">GO1</f>
        <v>44125</v>
      </c>
      <c r="GP2" s="48">
        <f t="shared" ref="GP2" si="145">GP1</f>
        <v>44126</v>
      </c>
      <c r="GQ2" s="48">
        <f t="shared" ref="GQ2" si="146">GQ1</f>
        <v>44127</v>
      </c>
      <c r="GR2" s="48">
        <f t="shared" ref="GR2:GS2" si="147">GR1</f>
        <v>44128</v>
      </c>
      <c r="GS2" s="48">
        <f t="shared" si="147"/>
        <v>44129</v>
      </c>
      <c r="GT2" s="48" t="s">
        <v>369</v>
      </c>
      <c r="GU2" s="50" t="s">
        <v>406</v>
      </c>
      <c r="GV2" s="48">
        <f t="shared" ref="GV2" si="148">GV1</f>
        <v>44130</v>
      </c>
      <c r="GW2" s="48">
        <f t="shared" ref="GW2" si="149">GW1</f>
        <v>44131</v>
      </c>
      <c r="GX2" s="48">
        <f t="shared" ref="GX2" si="150">GX1</f>
        <v>44132</v>
      </c>
      <c r="GY2" s="48">
        <f t="shared" ref="GY2" si="151">GY1</f>
        <v>44133</v>
      </c>
      <c r="GZ2" s="48">
        <f t="shared" ref="GZ2" si="152">GZ1</f>
        <v>44134</v>
      </c>
      <c r="HA2" s="48">
        <f t="shared" ref="HA2:HB2" si="153">HA1</f>
        <v>44135</v>
      </c>
      <c r="HB2" s="48">
        <f t="shared" si="153"/>
        <v>44136</v>
      </c>
      <c r="HC2" s="48" t="s">
        <v>369</v>
      </c>
      <c r="HD2" s="50" t="s">
        <v>406</v>
      </c>
      <c r="HE2" s="48">
        <f t="shared" ref="HE2" si="154">HE1</f>
        <v>44137</v>
      </c>
      <c r="HF2" s="48">
        <f t="shared" ref="HF2" si="155">HF1</f>
        <v>44138</v>
      </c>
      <c r="HG2" s="48">
        <f t="shared" ref="HG2" si="156">HG1</f>
        <v>44139</v>
      </c>
      <c r="HH2" s="48">
        <f t="shared" ref="HH2" si="157">HH1</f>
        <v>44140</v>
      </c>
      <c r="HI2" s="48">
        <f t="shared" ref="HI2" si="158">HI1</f>
        <v>44141</v>
      </c>
      <c r="HJ2" s="48">
        <f t="shared" ref="HJ2" si="159">HJ1</f>
        <v>44142</v>
      </c>
      <c r="HK2" s="50">
        <f t="shared" ref="HK2" si="160">HK1</f>
        <v>44143</v>
      </c>
      <c r="HL2" s="48">
        <f t="shared" ref="HL2" si="161">HL1</f>
        <v>44144</v>
      </c>
      <c r="HM2" s="48">
        <f t="shared" ref="HM2" si="162">HM1</f>
        <v>44145</v>
      </c>
      <c r="HN2" s="48">
        <f t="shared" ref="HN2" si="163">HN1</f>
        <v>44146</v>
      </c>
      <c r="HO2" s="48">
        <f t="shared" ref="HO2" si="164">HO1</f>
        <v>44147</v>
      </c>
      <c r="HP2" s="48">
        <f t="shared" ref="HP2" si="165">HP1</f>
        <v>44148</v>
      </c>
      <c r="HQ2" s="48">
        <f t="shared" ref="HQ2" si="166">HQ1</f>
        <v>44149</v>
      </c>
      <c r="HR2" s="50">
        <f t="shared" ref="HR2" si="167">HR1</f>
        <v>44150</v>
      </c>
      <c r="HS2" s="48">
        <f t="shared" ref="HS2" si="168">HS1</f>
        <v>44151</v>
      </c>
      <c r="HT2" s="48">
        <f t="shared" ref="HT2" si="169">HT1</f>
        <v>44152</v>
      </c>
      <c r="HU2" s="48">
        <f t="shared" ref="HU2" si="170">HU1</f>
        <v>44153</v>
      </c>
      <c r="HV2" s="48">
        <f t="shared" ref="HV2" si="171">HV1</f>
        <v>44154</v>
      </c>
      <c r="HW2" s="48">
        <f t="shared" ref="HW2" si="172">HW1</f>
        <v>44155</v>
      </c>
      <c r="HX2" s="48">
        <f t="shared" ref="HX2" si="173">HX1</f>
        <v>44156</v>
      </c>
      <c r="HY2" s="50">
        <f t="shared" ref="HY2" si="174">HY1</f>
        <v>44157</v>
      </c>
      <c r="HZ2" s="48">
        <f t="shared" ref="HZ2" si="175">HZ1</f>
        <v>44158</v>
      </c>
      <c r="IA2" s="48">
        <f t="shared" ref="IA2" si="176">IA1</f>
        <v>44159</v>
      </c>
      <c r="IB2" s="48">
        <f t="shared" ref="IB2" si="177">IB1</f>
        <v>44160</v>
      </c>
      <c r="IC2" s="48">
        <f t="shared" ref="IC2" si="178">IC1</f>
        <v>44161</v>
      </c>
      <c r="ID2" s="48">
        <f t="shared" ref="ID2" si="179">ID1</f>
        <v>44162</v>
      </c>
      <c r="IE2" s="48">
        <f t="shared" ref="IE2" si="180">IE1</f>
        <v>44163</v>
      </c>
      <c r="IF2" s="50">
        <f t="shared" ref="IF2" si="181">IF1</f>
        <v>44164</v>
      </c>
      <c r="IG2" s="48">
        <f t="shared" ref="IG2" si="182">IG1</f>
        <v>44165</v>
      </c>
      <c r="IH2" s="48">
        <f t="shared" ref="IH2" si="183">IH1</f>
        <v>44166</v>
      </c>
      <c r="II2" s="48">
        <f t="shared" ref="II2" si="184">II1</f>
        <v>44167</v>
      </c>
      <c r="IJ2" s="48">
        <f t="shared" ref="IJ2" si="185">IJ1</f>
        <v>44168</v>
      </c>
      <c r="IK2" s="48">
        <f t="shared" ref="IK2" si="186">IK1</f>
        <v>44169</v>
      </c>
      <c r="IL2" s="48">
        <f t="shared" ref="IL2" si="187">IL1</f>
        <v>44170</v>
      </c>
      <c r="IM2" s="50">
        <f t="shared" ref="IM2" si="188">IM1</f>
        <v>44171</v>
      </c>
      <c r="IN2" s="48">
        <f t="shared" ref="IN2" si="189">IN1</f>
        <v>44172</v>
      </c>
      <c r="IO2" s="48">
        <f t="shared" ref="IO2" si="190">IO1</f>
        <v>44173</v>
      </c>
      <c r="IP2" s="48">
        <f t="shared" ref="IP2" si="191">IP1</f>
        <v>44174</v>
      </c>
      <c r="IQ2" s="48">
        <f t="shared" ref="IQ2" si="192">IQ1</f>
        <v>44175</v>
      </c>
      <c r="IR2" s="48">
        <f t="shared" ref="IR2" si="193">IR1</f>
        <v>44176</v>
      </c>
      <c r="IS2" s="48">
        <f t="shared" ref="IS2" si="194">IS1</f>
        <v>44177</v>
      </c>
      <c r="IT2" s="50">
        <f t="shared" ref="IT2" si="195">IT1</f>
        <v>44178</v>
      </c>
      <c r="IU2" s="48">
        <f t="shared" ref="IU2" si="196">IU1</f>
        <v>44179</v>
      </c>
      <c r="IV2" s="48">
        <f t="shared" ref="IV2" si="197">IV1</f>
        <v>44180</v>
      </c>
      <c r="IW2" s="48">
        <f t="shared" ref="IW2" si="198">IW1</f>
        <v>44181</v>
      </c>
      <c r="IX2" s="48">
        <f t="shared" ref="IX2" si="199">IX1</f>
        <v>44182</v>
      </c>
      <c r="IY2" s="48">
        <f t="shared" ref="IY2" si="200">IY1</f>
        <v>44183</v>
      </c>
      <c r="IZ2" s="48">
        <f t="shared" ref="IZ2" si="201">IZ1</f>
        <v>44184</v>
      </c>
      <c r="JA2" s="50">
        <f t="shared" ref="JA2" si="202">JA1</f>
        <v>44185</v>
      </c>
      <c r="JB2" s="48">
        <f t="shared" ref="JB2" si="203">JB1</f>
        <v>44186</v>
      </c>
      <c r="JC2" s="48">
        <f t="shared" ref="JC2" si="204">JC1</f>
        <v>44187</v>
      </c>
      <c r="JD2" s="48">
        <f t="shared" ref="JD2" si="205">JD1</f>
        <v>44188</v>
      </c>
      <c r="JE2" s="48">
        <f t="shared" ref="JE2" si="206">JE1</f>
        <v>44189</v>
      </c>
      <c r="JF2" s="48">
        <f t="shared" ref="JF2" si="207">JF1</f>
        <v>44190</v>
      </c>
      <c r="JG2" s="48">
        <f t="shared" ref="JG2" si="208">JG1</f>
        <v>44191</v>
      </c>
      <c r="JH2" s="50">
        <f t="shared" ref="JH2" si="209">JH1</f>
        <v>44192</v>
      </c>
      <c r="JI2" s="48">
        <f t="shared" ref="JI2" si="210">JI1</f>
        <v>44193</v>
      </c>
      <c r="JJ2" s="48">
        <f t="shared" ref="JJ2" si="211">JJ1</f>
        <v>44194</v>
      </c>
      <c r="JK2" s="48">
        <f t="shared" ref="JK2" si="212">JK1</f>
        <v>44195</v>
      </c>
      <c r="JL2" s="48">
        <f t="shared" ref="JL2" si="213">JL1</f>
        <v>44196</v>
      </c>
      <c r="JM2" s="48">
        <f t="shared" ref="JM2" si="214">JM1</f>
        <v>44197</v>
      </c>
      <c r="JN2" s="48">
        <f t="shared" ref="JN2" si="215">JN1</f>
        <v>44198</v>
      </c>
      <c r="JO2" s="50">
        <f t="shared" ref="JO2" si="216">JO1</f>
        <v>44199</v>
      </c>
      <c r="JP2" s="48">
        <f t="shared" ref="JP2" si="217">JP1</f>
        <v>44200</v>
      </c>
      <c r="JQ2" s="48">
        <f t="shared" ref="JQ2" si="218">JQ1</f>
        <v>44201</v>
      </c>
      <c r="JR2" s="48">
        <f t="shared" ref="JR2" si="219">JR1</f>
        <v>44202</v>
      </c>
      <c r="JS2" s="48">
        <f t="shared" ref="JS2" si="220">JS1</f>
        <v>44203</v>
      </c>
      <c r="JT2" s="48">
        <f t="shared" ref="JT2" si="221">JT1</f>
        <v>44204</v>
      </c>
      <c r="JU2" s="48">
        <f t="shared" ref="JU2" si="222">JU1</f>
        <v>44205</v>
      </c>
      <c r="JV2" s="50">
        <f t="shared" ref="JV2" si="223">JV1</f>
        <v>44206</v>
      </c>
      <c r="JW2" s="48">
        <f t="shared" ref="JW2" si="224">JW1</f>
        <v>44207</v>
      </c>
      <c r="JX2" s="48">
        <f t="shared" ref="JX2" si="225">JX1</f>
        <v>44208</v>
      </c>
      <c r="JY2" s="48">
        <f t="shared" ref="JY2" si="226">JY1</f>
        <v>44209</v>
      </c>
      <c r="JZ2" s="48">
        <f t="shared" ref="JZ2" si="227">JZ1</f>
        <v>44210</v>
      </c>
      <c r="KA2" s="48">
        <f t="shared" ref="KA2" si="228">KA1</f>
        <v>44211</v>
      </c>
      <c r="KB2" s="48">
        <f t="shared" ref="KB2" si="229">KB1</f>
        <v>44212</v>
      </c>
      <c r="KC2" s="50">
        <f t="shared" ref="KC2" si="230">KC1</f>
        <v>44213</v>
      </c>
      <c r="KD2" s="48">
        <f t="shared" ref="KD2" si="231">KD1</f>
        <v>44214</v>
      </c>
      <c r="KE2" s="48">
        <f t="shared" ref="KE2" si="232">KE1</f>
        <v>44215</v>
      </c>
      <c r="KF2" s="48">
        <f t="shared" ref="KF2" si="233">KF1</f>
        <v>44216</v>
      </c>
      <c r="KG2" s="48">
        <f t="shared" ref="KG2" si="234">KG1</f>
        <v>44217</v>
      </c>
      <c r="KH2" s="48">
        <f t="shared" ref="KH2" si="235">KH1</f>
        <v>44218</v>
      </c>
      <c r="KI2" s="48">
        <f t="shared" ref="KI2" si="236">KI1</f>
        <v>44219</v>
      </c>
      <c r="KJ2" s="50">
        <f t="shared" ref="KJ2" si="237">KJ1</f>
        <v>44220</v>
      </c>
      <c r="KK2" s="48">
        <f t="shared" ref="KK2" si="238">KK1</f>
        <v>44221</v>
      </c>
      <c r="KL2" s="48">
        <f t="shared" ref="KL2" si="239">KL1</f>
        <v>44222</v>
      </c>
      <c r="KM2" s="48">
        <f t="shared" ref="KM2" si="240">KM1</f>
        <v>44223</v>
      </c>
      <c r="KN2" s="48">
        <f t="shared" ref="KN2" si="241">KN1</f>
        <v>44224</v>
      </c>
      <c r="KO2" s="48">
        <f t="shared" ref="KO2" si="242">KO1</f>
        <v>44225</v>
      </c>
      <c r="KP2" s="48">
        <f t="shared" ref="KP2" si="243">KP1</f>
        <v>44226</v>
      </c>
      <c r="KQ2" s="50">
        <f t="shared" ref="KQ2" si="244">KQ1</f>
        <v>44227</v>
      </c>
      <c r="KR2" s="48">
        <f t="shared" ref="KR2" si="245">KR1</f>
        <v>44228</v>
      </c>
      <c r="KS2" s="48">
        <f t="shared" ref="KS2" si="246">KS1</f>
        <v>44229</v>
      </c>
      <c r="KT2" s="48">
        <f t="shared" ref="KT2" si="247">KT1</f>
        <v>44230</v>
      </c>
      <c r="KU2" s="48">
        <f t="shared" ref="KU2" si="248">KU1</f>
        <v>44231</v>
      </c>
      <c r="KV2" s="48">
        <f t="shared" ref="KV2" si="249">KV1</f>
        <v>44232</v>
      </c>
      <c r="KW2" s="48">
        <f t="shared" ref="KW2" si="250">KW1</f>
        <v>44233</v>
      </c>
      <c r="KX2" s="50">
        <f t="shared" ref="KX2" si="251">KX1</f>
        <v>44234</v>
      </c>
      <c r="KY2" s="48">
        <f t="shared" ref="KY2" si="252">KY1</f>
        <v>44235</v>
      </c>
      <c r="KZ2" s="48">
        <f t="shared" ref="KZ2" si="253">KZ1</f>
        <v>44236</v>
      </c>
      <c r="LA2" s="48">
        <f t="shared" ref="LA2" si="254">LA1</f>
        <v>44237</v>
      </c>
      <c r="LB2" s="48">
        <f t="shared" ref="LB2" si="255">LB1</f>
        <v>44238</v>
      </c>
      <c r="LC2" s="48">
        <f t="shared" ref="LC2" si="256">LC1</f>
        <v>44239</v>
      </c>
      <c r="LD2" s="48">
        <f t="shared" ref="LD2" si="257">LD1</f>
        <v>44240</v>
      </c>
      <c r="LE2" s="50">
        <f t="shared" ref="LE2" si="258">LE1</f>
        <v>44241</v>
      </c>
      <c r="LF2" s="48">
        <f t="shared" ref="LF2" si="259">LF1</f>
        <v>44242</v>
      </c>
      <c r="LG2" s="48">
        <f t="shared" ref="LG2" si="260">LG1</f>
        <v>44243</v>
      </c>
      <c r="LH2" s="48">
        <f t="shared" ref="LH2" si="261">LH1</f>
        <v>44244</v>
      </c>
      <c r="LI2" s="48">
        <f t="shared" ref="LI2" si="262">LI1</f>
        <v>44245</v>
      </c>
      <c r="LJ2" s="48">
        <f t="shared" ref="LJ2" si="263">LJ1</f>
        <v>44246</v>
      </c>
      <c r="LK2" s="48">
        <f t="shared" ref="LK2" si="264">LK1</f>
        <v>44247</v>
      </c>
      <c r="LL2" s="50">
        <f t="shared" ref="LL2" si="265">LL1</f>
        <v>44248</v>
      </c>
      <c r="LM2" s="48">
        <f t="shared" ref="LM2" si="266">LM1</f>
        <v>44249</v>
      </c>
      <c r="LN2" s="48">
        <f t="shared" ref="LN2" si="267">LN1</f>
        <v>44250</v>
      </c>
      <c r="LO2" s="48">
        <f t="shared" ref="LO2" si="268">LO1</f>
        <v>44251</v>
      </c>
      <c r="LP2" s="48">
        <f t="shared" ref="LP2" si="269">LP1</f>
        <v>44252</v>
      </c>
      <c r="LQ2" s="48">
        <f t="shared" ref="LQ2" si="270">LQ1</f>
        <v>44253</v>
      </c>
      <c r="LR2" s="48">
        <f t="shared" ref="LR2" si="271">LR1</f>
        <v>44254</v>
      </c>
      <c r="LS2" s="50">
        <f t="shared" ref="LS2" si="272">LS1</f>
        <v>44255</v>
      </c>
      <c r="LT2" s="48">
        <f t="shared" ref="LT2" si="273">LT1</f>
        <v>44256</v>
      </c>
      <c r="LU2" s="48">
        <f t="shared" ref="LU2" si="274">LU1</f>
        <v>44257</v>
      </c>
      <c r="LV2" s="48">
        <f t="shared" ref="LV2" si="275">LV1</f>
        <v>44258</v>
      </c>
      <c r="LW2" s="48">
        <f t="shared" ref="LW2" si="276">LW1</f>
        <v>44259</v>
      </c>
      <c r="LX2" s="48">
        <f t="shared" ref="LX2" si="277">LX1</f>
        <v>44260</v>
      </c>
      <c r="LY2" s="48">
        <f t="shared" ref="LY2" si="278">LY1</f>
        <v>44261</v>
      </c>
      <c r="LZ2" s="50">
        <f t="shared" ref="LZ2" si="279">LZ1</f>
        <v>44262</v>
      </c>
      <c r="MA2" s="48">
        <f t="shared" ref="MA2" si="280">MA1</f>
        <v>44263</v>
      </c>
      <c r="MB2" s="48">
        <f t="shared" ref="MB2" si="281">MB1</f>
        <v>44264</v>
      </c>
      <c r="MC2" s="48">
        <f t="shared" ref="MC2" si="282">MC1</f>
        <v>44265</v>
      </c>
      <c r="MD2" s="48">
        <f t="shared" ref="MD2" si="283">MD1</f>
        <v>44266</v>
      </c>
      <c r="ME2" s="48">
        <f t="shared" ref="ME2" si="284">ME1</f>
        <v>44267</v>
      </c>
      <c r="MF2" s="48">
        <f t="shared" ref="MF2" si="285">MF1</f>
        <v>44268</v>
      </c>
      <c r="MG2" s="50">
        <f t="shared" ref="MG2" si="286">MG1</f>
        <v>44269</v>
      </c>
      <c r="MH2" s="48">
        <f t="shared" ref="MH2" si="287">MH1</f>
        <v>44270</v>
      </c>
      <c r="MI2" s="48">
        <f t="shared" ref="MI2" si="288">MI1</f>
        <v>44271</v>
      </c>
      <c r="MJ2" s="48">
        <f t="shared" ref="MJ2" si="289">MJ1</f>
        <v>44272</v>
      </c>
      <c r="MK2" s="48">
        <f t="shared" ref="MK2" si="290">MK1</f>
        <v>44273</v>
      </c>
      <c r="ML2" s="48">
        <f t="shared" ref="ML2" si="291">ML1</f>
        <v>44274</v>
      </c>
      <c r="MM2" s="48">
        <f t="shared" ref="MM2" si="292">MM1</f>
        <v>44275</v>
      </c>
      <c r="MN2" s="50">
        <f t="shared" ref="MN2" si="293">MN1</f>
        <v>44276</v>
      </c>
      <c r="MO2" s="48">
        <f t="shared" ref="MO2" si="294">MO1</f>
        <v>44277</v>
      </c>
      <c r="MP2" s="48">
        <f t="shared" ref="MP2" si="295">MP1</f>
        <v>44278</v>
      </c>
      <c r="MQ2" s="48">
        <f t="shared" ref="MQ2" si="296">MQ1</f>
        <v>44279</v>
      </c>
      <c r="MR2" s="48">
        <f t="shared" ref="MR2" si="297">MR1</f>
        <v>44280</v>
      </c>
      <c r="MS2" s="48">
        <f t="shared" ref="MS2" si="298">MS1</f>
        <v>44281</v>
      </c>
      <c r="MT2" s="48">
        <f t="shared" ref="MT2" si="299">MT1</f>
        <v>44282</v>
      </c>
      <c r="MU2" s="50">
        <f t="shared" ref="MU2" si="300">MU1</f>
        <v>44283</v>
      </c>
      <c r="MV2" s="48">
        <f t="shared" ref="MV2" si="301">MV1</f>
        <v>44284</v>
      </c>
      <c r="MW2" s="48">
        <f t="shared" ref="MW2" si="302">MW1</f>
        <v>44285</v>
      </c>
      <c r="MX2" s="48">
        <f t="shared" ref="MX2" si="303">MX1</f>
        <v>44286</v>
      </c>
      <c r="MY2" s="48">
        <f t="shared" ref="MY2" si="304">MY1</f>
        <v>44287</v>
      </c>
      <c r="MZ2" s="48">
        <f t="shared" ref="MZ2" si="305">MZ1</f>
        <v>44288</v>
      </c>
      <c r="NA2" s="48">
        <f t="shared" ref="NA2" si="306">NA1</f>
        <v>44289</v>
      </c>
      <c r="NB2" s="50">
        <f t="shared" ref="NB2" si="307">NB1</f>
        <v>44290</v>
      </c>
    </row>
    <row r="3" spans="1:366" ht="15" customHeight="1" x14ac:dyDescent="0.25">
      <c r="A3" s="155"/>
      <c r="B3" s="155"/>
      <c r="C3" s="155"/>
      <c r="D3" s="155"/>
      <c r="E3" s="155"/>
      <c r="F3" s="39"/>
      <c r="G3" s="39"/>
      <c r="H3" s="39"/>
      <c r="I3" s="39"/>
      <c r="J3" s="39"/>
      <c r="K3" s="39"/>
      <c r="L3" s="39"/>
      <c r="M3" s="39"/>
      <c r="N3" s="39"/>
      <c r="O3" s="27"/>
      <c r="P3" s="157"/>
      <c r="Q3" s="152"/>
      <c r="R3" s="154"/>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391</v>
      </c>
      <c r="CM3" s="38"/>
      <c r="CN3" s="38"/>
      <c r="CO3" s="38" t="s">
        <v>148</v>
      </c>
      <c r="CP3" s="38"/>
      <c r="CQ3" s="24"/>
      <c r="CR3" s="25"/>
      <c r="CS3" s="25" t="s">
        <v>391</v>
      </c>
      <c r="CT3" s="25"/>
      <c r="CU3" s="38" t="s">
        <v>148</v>
      </c>
      <c r="CV3" s="38" t="s">
        <v>391</v>
      </c>
      <c r="CW3" s="38"/>
      <c r="CX3" s="25" t="s">
        <v>148</v>
      </c>
      <c r="CY3" s="41"/>
      <c r="CZ3" s="104"/>
      <c r="DA3" s="38"/>
      <c r="DB3" s="38" t="s">
        <v>391</v>
      </c>
      <c r="DC3" s="38"/>
      <c r="DD3" s="38" t="s">
        <v>148</v>
      </c>
      <c r="DE3" s="38" t="s">
        <v>391</v>
      </c>
      <c r="DF3" s="38"/>
      <c r="DG3" s="38" t="s">
        <v>148</v>
      </c>
      <c r="DH3" s="38"/>
      <c r="DI3" s="24"/>
      <c r="DJ3" s="38"/>
      <c r="DK3" s="38" t="s">
        <v>391</v>
      </c>
      <c r="DL3" s="38"/>
      <c r="DM3" s="38" t="s">
        <v>148</v>
      </c>
      <c r="DN3" s="38" t="s">
        <v>391</v>
      </c>
      <c r="DO3" s="38"/>
      <c r="DP3" s="38" t="s">
        <v>148</v>
      </c>
      <c r="DQ3" s="38"/>
      <c r="DR3" s="24"/>
      <c r="DS3" s="38"/>
      <c r="DT3" s="38" t="s">
        <v>391</v>
      </c>
      <c r="DU3" s="38"/>
      <c r="DV3" s="38" t="s">
        <v>38</v>
      </c>
      <c r="DW3" s="38" t="s">
        <v>38</v>
      </c>
      <c r="DX3" s="38"/>
      <c r="DY3" s="131"/>
      <c r="DZ3" s="38"/>
      <c r="EA3" s="24"/>
      <c r="EB3" s="38" t="s">
        <v>38</v>
      </c>
      <c r="EC3" s="38" t="s">
        <v>38</v>
      </c>
      <c r="ED3" s="38"/>
      <c r="EE3" s="38" t="s">
        <v>477</v>
      </c>
      <c r="EF3" s="38" t="s">
        <v>38</v>
      </c>
      <c r="EG3" s="38"/>
      <c r="EH3" s="38"/>
      <c r="EI3" s="38"/>
      <c r="EJ3" s="24"/>
      <c r="EK3" s="38" t="s">
        <v>38</v>
      </c>
      <c r="EL3" s="38" t="s">
        <v>38</v>
      </c>
      <c r="EM3" s="38"/>
      <c r="EN3" s="38" t="s">
        <v>481</v>
      </c>
      <c r="EO3" s="38" t="s">
        <v>477</v>
      </c>
      <c r="EP3" s="38"/>
      <c r="EQ3" s="38" t="s">
        <v>472</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t="s">
        <v>46</v>
      </c>
      <c r="GS3" s="38" t="s">
        <v>100</v>
      </c>
      <c r="GT3" s="38"/>
      <c r="GU3" s="24"/>
      <c r="GV3" s="38" t="s">
        <v>46</v>
      </c>
      <c r="GW3" s="38" t="s">
        <v>38</v>
      </c>
      <c r="GX3" s="38"/>
      <c r="GY3" s="38" t="s">
        <v>38</v>
      </c>
      <c r="GZ3" s="38" t="s">
        <v>38</v>
      </c>
      <c r="HA3" s="38" t="s">
        <v>46</v>
      </c>
      <c r="HB3" s="38"/>
      <c r="HC3" s="38"/>
      <c r="HD3" s="24"/>
      <c r="HE3" s="38"/>
      <c r="HF3" s="38" t="s">
        <v>38</v>
      </c>
      <c r="HG3" s="38"/>
      <c r="HH3" s="38" t="s">
        <v>38</v>
      </c>
      <c r="HI3" s="38" t="s">
        <v>38</v>
      </c>
      <c r="HJ3" s="38"/>
      <c r="HK3" s="24"/>
      <c r="HL3" s="38"/>
      <c r="HM3" s="38" t="s">
        <v>38</v>
      </c>
      <c r="HN3" s="38"/>
      <c r="HO3" s="38" t="s">
        <v>38</v>
      </c>
      <c r="HP3" s="38" t="s">
        <v>38</v>
      </c>
      <c r="HQ3" s="38"/>
      <c r="HR3" s="24"/>
      <c r="HS3" s="38"/>
      <c r="HT3" s="38" t="s">
        <v>38</v>
      </c>
      <c r="HU3" s="38"/>
      <c r="HV3" s="38" t="s">
        <v>38</v>
      </c>
      <c r="HW3" s="38" t="s">
        <v>38</v>
      </c>
      <c r="HX3" s="38"/>
      <c r="HY3" s="24"/>
      <c r="HZ3" s="38"/>
      <c r="IA3" s="38" t="s">
        <v>38</v>
      </c>
      <c r="IB3" s="38"/>
      <c r="IC3" s="38" t="s">
        <v>38</v>
      </c>
      <c r="ID3" s="38" t="s">
        <v>38</v>
      </c>
      <c r="IE3" s="38"/>
      <c r="IF3" s="24"/>
      <c r="IG3" s="38"/>
      <c r="IH3" s="38" t="s">
        <v>38</v>
      </c>
      <c r="II3" s="38" t="s">
        <v>38</v>
      </c>
      <c r="IJ3" s="38"/>
      <c r="IK3" s="38" t="s">
        <v>38</v>
      </c>
      <c r="IL3" s="38">
        <v>14</v>
      </c>
      <c r="IM3" s="24"/>
      <c r="IN3" s="38"/>
      <c r="IO3" s="38" t="s">
        <v>38</v>
      </c>
      <c r="IP3" s="38"/>
      <c r="IQ3" s="38" t="s">
        <v>38</v>
      </c>
      <c r="IR3" s="38" t="s">
        <v>38</v>
      </c>
      <c r="IS3" s="38"/>
      <c r="IT3" s="24"/>
      <c r="IU3" s="38"/>
      <c r="IV3" s="38" t="s">
        <v>38</v>
      </c>
      <c r="IW3" s="38"/>
      <c r="IX3" s="38" t="s">
        <v>38</v>
      </c>
      <c r="IY3" s="38" t="s">
        <v>38</v>
      </c>
      <c r="IZ3" s="38">
        <v>10</v>
      </c>
      <c r="JA3" s="24"/>
      <c r="JB3" s="38"/>
      <c r="JC3" s="38" t="s">
        <v>38</v>
      </c>
      <c r="JD3" s="38"/>
      <c r="JE3" s="38" t="s">
        <v>38</v>
      </c>
      <c r="JF3" s="38" t="s">
        <v>38</v>
      </c>
      <c r="JG3" s="38">
        <v>11</v>
      </c>
      <c r="JH3" s="24" t="s">
        <v>47</v>
      </c>
      <c r="JI3" s="38"/>
      <c r="JJ3" s="38" t="s">
        <v>38</v>
      </c>
      <c r="JK3" s="38" t="s">
        <v>40</v>
      </c>
      <c r="JL3" s="38" t="s">
        <v>38</v>
      </c>
      <c r="JM3" s="38" t="s">
        <v>38</v>
      </c>
      <c r="JN3" s="38">
        <v>11</v>
      </c>
      <c r="JO3" s="24">
        <v>13</v>
      </c>
      <c r="JP3" s="38"/>
      <c r="JQ3" s="38" t="s">
        <v>38</v>
      </c>
      <c r="JR3" s="38"/>
      <c r="JS3" s="38" t="s">
        <v>38</v>
      </c>
      <c r="JT3" s="38" t="s">
        <v>38</v>
      </c>
      <c r="JU3" s="38" t="s">
        <v>40</v>
      </c>
      <c r="JV3" s="24">
        <v>12</v>
      </c>
      <c r="JW3" s="38"/>
      <c r="JX3" s="38" t="s">
        <v>38</v>
      </c>
      <c r="JY3" s="38"/>
      <c r="JZ3" s="38" t="s">
        <v>38</v>
      </c>
      <c r="KA3" s="38"/>
      <c r="KB3" s="38" t="s">
        <v>45</v>
      </c>
      <c r="KC3" s="24" t="s">
        <v>45</v>
      </c>
      <c r="KD3" s="38"/>
      <c r="KE3" s="38"/>
      <c r="KF3" s="38"/>
      <c r="KG3" s="38" t="s">
        <v>38</v>
      </c>
      <c r="KH3" s="38" t="s">
        <v>44</v>
      </c>
      <c r="KI3" s="38" t="s">
        <v>44</v>
      </c>
      <c r="KJ3" s="24"/>
      <c r="KK3" s="38" t="s">
        <v>38</v>
      </c>
      <c r="KL3" s="38" t="s">
        <v>38</v>
      </c>
      <c r="KM3" s="38"/>
      <c r="KN3" s="38" t="s">
        <v>38</v>
      </c>
      <c r="KO3" s="38" t="s">
        <v>38</v>
      </c>
      <c r="KP3" s="38"/>
      <c r="KQ3" s="24" t="s">
        <v>43</v>
      </c>
      <c r="KR3" s="38"/>
      <c r="KS3" s="38" t="s">
        <v>38</v>
      </c>
      <c r="KT3" s="38" t="s">
        <v>43</v>
      </c>
      <c r="KU3" s="38" t="s">
        <v>38</v>
      </c>
      <c r="KV3" s="38" t="s">
        <v>38</v>
      </c>
      <c r="KW3" s="38" t="s">
        <v>43</v>
      </c>
      <c r="KX3" s="24" t="s">
        <v>41</v>
      </c>
      <c r="KY3" s="38" t="s">
        <v>40</v>
      </c>
      <c r="KZ3" s="38" t="s">
        <v>38</v>
      </c>
      <c r="LA3" s="38"/>
      <c r="LB3" s="38" t="s">
        <v>38</v>
      </c>
      <c r="LC3" s="38" t="s">
        <v>38</v>
      </c>
      <c r="LD3" s="38">
        <v>12</v>
      </c>
      <c r="LE3" s="24">
        <v>12</v>
      </c>
      <c r="LF3" s="38"/>
      <c r="LG3" s="38" t="s">
        <v>38</v>
      </c>
      <c r="LH3" s="38"/>
      <c r="LI3" s="38" t="s">
        <v>38</v>
      </c>
      <c r="LJ3" s="38" t="s">
        <v>38</v>
      </c>
      <c r="LK3" s="38" t="s">
        <v>38</v>
      </c>
      <c r="LL3" s="24">
        <v>11</v>
      </c>
      <c r="LM3" s="38"/>
      <c r="LN3" s="38" t="s">
        <v>38</v>
      </c>
      <c r="LO3" s="38"/>
      <c r="LP3" s="38" t="s">
        <v>38</v>
      </c>
      <c r="LQ3" s="38" t="s">
        <v>38</v>
      </c>
      <c r="LR3" s="38">
        <v>13</v>
      </c>
      <c r="LS3" s="24">
        <v>13</v>
      </c>
      <c r="LT3" s="38"/>
      <c r="LU3" s="38" t="s">
        <v>38</v>
      </c>
      <c r="LV3" s="38"/>
      <c r="LW3" s="38">
        <v>10</v>
      </c>
      <c r="LX3" s="38"/>
      <c r="LY3" s="38"/>
      <c r="LZ3" s="26" t="s">
        <v>39</v>
      </c>
      <c r="MA3" s="38"/>
      <c r="MB3" s="38" t="s">
        <v>38</v>
      </c>
      <c r="MC3" s="38"/>
      <c r="MD3" s="38" t="s">
        <v>38</v>
      </c>
      <c r="ME3" s="38" t="s">
        <v>38</v>
      </c>
      <c r="MF3" s="38"/>
      <c r="MG3" s="24"/>
      <c r="MH3" s="38"/>
      <c r="MI3" s="38"/>
      <c r="MJ3" s="38"/>
      <c r="MK3" s="38"/>
      <c r="ML3" s="38"/>
      <c r="MM3" s="38"/>
      <c r="MN3" s="24"/>
      <c r="MO3" s="38"/>
      <c r="MP3" s="38"/>
      <c r="MQ3" s="38"/>
      <c r="MR3" s="38"/>
      <c r="MS3" s="38"/>
      <c r="MT3" s="38"/>
      <c r="MU3" s="24"/>
      <c r="MV3" s="38"/>
      <c r="MW3" s="38"/>
      <c r="MX3" s="38"/>
      <c r="MY3" s="38"/>
      <c r="MZ3" s="38"/>
      <c r="NA3" s="38"/>
      <c r="NB3" s="24"/>
    </row>
    <row r="4" spans="1:366"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1"/>
      <c r="GT4" s="11"/>
      <c r="GU4" s="12"/>
      <c r="GV4" s="11"/>
      <c r="GW4" s="11"/>
      <c r="GX4" s="11"/>
      <c r="GY4" s="11"/>
      <c r="GZ4" s="11"/>
      <c r="HA4" s="11"/>
      <c r="HB4" s="11"/>
      <c r="HC4" s="11"/>
      <c r="HD4" s="12"/>
      <c r="HE4" s="11"/>
      <c r="HF4" s="11"/>
      <c r="HG4" s="11"/>
      <c r="HH4" s="11"/>
      <c r="HI4" s="11"/>
      <c r="HJ4" s="11"/>
      <c r="HK4" s="12"/>
      <c r="HL4" s="11"/>
      <c r="HM4" s="11"/>
      <c r="HN4" s="11"/>
      <c r="HO4" s="11"/>
      <c r="HP4" s="11"/>
      <c r="HQ4" s="11"/>
      <c r="HR4" s="12"/>
      <c r="HS4" s="11"/>
      <c r="HT4" s="11"/>
      <c r="HU4" s="11"/>
      <c r="HV4" s="11"/>
      <c r="HW4" s="11"/>
      <c r="HX4" s="11"/>
      <c r="HY4" s="12"/>
      <c r="HZ4" s="11"/>
      <c r="IA4" s="11"/>
      <c r="IB4" s="11"/>
      <c r="IC4" s="11"/>
      <c r="ID4" s="11"/>
      <c r="IE4" s="11"/>
      <c r="IF4" s="12"/>
      <c r="IG4" s="11"/>
      <c r="IH4" s="11"/>
      <c r="II4" s="11"/>
      <c r="IJ4" s="11"/>
      <c r="IK4" s="11"/>
      <c r="IL4" s="11"/>
      <c r="IM4" s="12"/>
      <c r="IN4" s="11"/>
      <c r="IO4" s="11"/>
      <c r="IP4" s="11"/>
      <c r="IQ4" s="11"/>
      <c r="IR4" s="11"/>
      <c r="IS4" s="11"/>
      <c r="IT4" s="12"/>
      <c r="IU4" s="11"/>
      <c r="IV4" s="11"/>
      <c r="IW4" s="11"/>
      <c r="IX4" s="11"/>
      <c r="IY4" s="11"/>
      <c r="IZ4" s="11"/>
      <c r="JA4" s="12"/>
      <c r="JB4" s="11"/>
      <c r="JC4" s="11"/>
      <c r="JD4" s="11"/>
      <c r="JE4" s="11"/>
      <c r="JF4" s="11"/>
      <c r="JG4" s="11"/>
      <c r="JH4" s="12"/>
      <c r="JI4" s="11"/>
      <c r="JJ4" s="11"/>
      <c r="JK4" s="11"/>
      <c r="JL4" s="11"/>
      <c r="JM4" s="11"/>
      <c r="JN4" s="11"/>
      <c r="JO4" s="12"/>
      <c r="JP4" s="11"/>
      <c r="JQ4" s="11"/>
      <c r="JR4" s="11"/>
      <c r="JS4" s="11"/>
      <c r="JT4" s="11"/>
      <c r="JU4" s="11"/>
      <c r="JV4" s="12"/>
      <c r="JW4" s="11"/>
      <c r="JX4" s="11"/>
      <c r="JY4" s="11"/>
      <c r="JZ4" s="11"/>
      <c r="KA4" s="11"/>
      <c r="KB4" s="11"/>
      <c r="KC4" s="12"/>
      <c r="KD4" s="11"/>
      <c r="KE4" s="11"/>
      <c r="KF4" s="11"/>
      <c r="KG4" s="11"/>
      <c r="KH4" s="11"/>
      <c r="KI4" s="11"/>
      <c r="KJ4" s="12"/>
      <c r="KK4" s="11"/>
      <c r="KL4" s="11"/>
      <c r="KM4" s="11"/>
      <c r="KN4" s="11"/>
      <c r="KO4" s="11"/>
      <c r="KP4" s="11"/>
      <c r="KQ4" s="12"/>
      <c r="KR4" s="11"/>
      <c r="KS4" s="11"/>
      <c r="KT4" s="11"/>
      <c r="KU4" s="11"/>
      <c r="KV4" s="11"/>
      <c r="KW4" s="11"/>
      <c r="KX4" s="12"/>
      <c r="KY4" s="11"/>
      <c r="KZ4" s="11"/>
      <c r="LA4" s="11"/>
      <c r="LB4" s="11"/>
      <c r="LC4" s="11"/>
      <c r="LD4" s="11"/>
      <c r="LE4" s="12"/>
      <c r="LF4" s="11"/>
      <c r="LG4" s="11"/>
      <c r="LH4" s="11"/>
      <c r="LI4" s="11"/>
      <c r="LJ4" s="11"/>
      <c r="LK4" s="11"/>
      <c r="LL4" s="12"/>
      <c r="LM4" s="11"/>
      <c r="LN4" s="11"/>
      <c r="LO4" s="11"/>
      <c r="LP4" s="11"/>
      <c r="LQ4" s="11"/>
      <c r="LR4" s="11"/>
      <c r="LS4" s="12"/>
      <c r="LT4" s="11"/>
      <c r="LU4" s="11"/>
      <c r="LV4" s="11"/>
      <c r="LW4" s="11"/>
      <c r="LX4" s="11"/>
      <c r="LY4" s="11"/>
      <c r="LZ4" s="12"/>
      <c r="MA4" s="11"/>
      <c r="MB4" s="11"/>
      <c r="MC4" s="11"/>
      <c r="MD4" s="11"/>
      <c r="ME4" s="11"/>
      <c r="MF4" s="11"/>
      <c r="MG4" s="12"/>
      <c r="MH4" s="11"/>
      <c r="MI4" s="11"/>
      <c r="MJ4" s="11"/>
      <c r="MK4" s="11"/>
      <c r="ML4" s="11"/>
      <c r="MM4" s="11"/>
      <c r="MN4" s="12"/>
      <c r="MO4" s="11"/>
      <c r="MP4" s="11"/>
      <c r="MQ4" s="11"/>
      <c r="MR4" s="11"/>
      <c r="MS4" s="11"/>
      <c r="MT4" s="11"/>
      <c r="MU4" s="12"/>
      <c r="MV4" s="11"/>
      <c r="MW4" s="11"/>
      <c r="MX4" s="11"/>
      <c r="MY4" s="11"/>
      <c r="MZ4" s="11"/>
      <c r="NA4" s="11"/>
      <c r="NB4" s="12"/>
    </row>
    <row r="5" spans="1:366"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1"/>
      <c r="GT5" s="11"/>
      <c r="GU5" s="12"/>
      <c r="GV5" s="11"/>
      <c r="GW5" s="11"/>
      <c r="GX5" s="11"/>
      <c r="GY5" s="11"/>
      <c r="GZ5" s="11"/>
      <c r="HA5" s="11"/>
      <c r="HB5" s="11"/>
      <c r="HC5" s="11"/>
      <c r="HD5" s="12"/>
      <c r="HE5" s="11"/>
      <c r="HF5" s="11"/>
      <c r="HG5" s="11"/>
      <c r="HH5" s="11"/>
      <c r="HI5" s="11"/>
      <c r="HJ5" s="11"/>
      <c r="HK5" s="12"/>
      <c r="HL5" s="11"/>
      <c r="HM5" s="11"/>
      <c r="HN5" s="11"/>
      <c r="HO5" s="11"/>
      <c r="HP5" s="11"/>
      <c r="HQ5" s="11"/>
      <c r="HR5" s="12"/>
      <c r="HS5" s="11"/>
      <c r="HT5" s="11"/>
      <c r="HU5" s="11"/>
      <c r="HV5" s="11"/>
      <c r="HW5" s="11"/>
      <c r="HX5" s="11"/>
      <c r="HY5" s="12"/>
      <c r="HZ5" s="11"/>
      <c r="IA5" s="11"/>
      <c r="IB5" s="11"/>
      <c r="IC5" s="11"/>
      <c r="ID5" s="11"/>
      <c r="IE5" s="11"/>
      <c r="IF5" s="12"/>
      <c r="IG5" s="11"/>
      <c r="IH5" s="11"/>
      <c r="II5" s="11"/>
      <c r="IJ5" s="11"/>
      <c r="IK5" s="11"/>
      <c r="IL5" s="11"/>
      <c r="IM5" s="12"/>
      <c r="IN5" s="11"/>
      <c r="IO5" s="11"/>
      <c r="IP5" s="11"/>
      <c r="IQ5" s="11"/>
      <c r="IR5" s="11"/>
      <c r="IS5" s="11"/>
      <c r="IT5" s="12"/>
      <c r="IU5" s="11"/>
      <c r="IV5" s="11"/>
      <c r="IW5" s="11"/>
      <c r="IX5" s="11"/>
      <c r="IY5" s="11"/>
      <c r="IZ5" s="11"/>
      <c r="JA5" s="12"/>
      <c r="JB5" s="11"/>
      <c r="JC5" s="11"/>
      <c r="JD5" s="11"/>
      <c r="JE5" s="11"/>
      <c r="JF5" s="11"/>
      <c r="JG5" s="11"/>
      <c r="JH5" s="12"/>
      <c r="JI5" s="11"/>
      <c r="JJ5" s="11"/>
      <c r="JK5" s="11"/>
      <c r="JL5" s="11"/>
      <c r="JM5" s="11"/>
      <c r="JN5" s="11"/>
      <c r="JO5" s="12"/>
      <c r="JP5" s="11"/>
      <c r="JQ5" s="11"/>
      <c r="JR5" s="11"/>
      <c r="JS5" s="11"/>
      <c r="JT5" s="11"/>
      <c r="JU5" s="11"/>
      <c r="JV5" s="12"/>
      <c r="JW5" s="11"/>
      <c r="JX5" s="11"/>
      <c r="JY5" s="11"/>
      <c r="JZ5" s="11"/>
      <c r="KA5" s="11"/>
      <c r="KB5" s="11"/>
      <c r="KC5" s="12"/>
      <c r="KD5" s="11"/>
      <c r="KE5" s="11"/>
      <c r="KF5" s="11"/>
      <c r="KG5" s="11"/>
      <c r="KH5" s="11"/>
      <c r="KI5" s="11"/>
      <c r="KJ5" s="12"/>
      <c r="KK5" s="11"/>
      <c r="KL5" s="11"/>
      <c r="KM5" s="11"/>
      <c r="KN5" s="11"/>
      <c r="KO5" s="11"/>
      <c r="KP5" s="11"/>
      <c r="KQ5" s="12"/>
      <c r="KR5" s="11"/>
      <c r="KS5" s="11"/>
      <c r="KT5" s="11"/>
      <c r="KU5" s="11"/>
      <c r="KV5" s="11"/>
      <c r="KW5" s="11"/>
      <c r="KX5" s="12"/>
      <c r="KY5" s="11"/>
      <c r="KZ5" s="11"/>
      <c r="LA5" s="11"/>
      <c r="LB5" s="11"/>
      <c r="LC5" s="11"/>
      <c r="LD5" s="11"/>
      <c r="LE5" s="12"/>
      <c r="LF5" s="11"/>
      <c r="LG5" s="11"/>
      <c r="LH5" s="11"/>
      <c r="LI5" s="11"/>
      <c r="LJ5" s="11"/>
      <c r="LK5" s="11"/>
      <c r="LL5" s="12"/>
      <c r="LM5" s="11"/>
      <c r="LN5" s="11"/>
      <c r="LO5" s="11"/>
      <c r="LP5" s="11"/>
      <c r="LQ5" s="11"/>
      <c r="LR5" s="11"/>
      <c r="LS5" s="12"/>
      <c r="LT5" s="11"/>
      <c r="LU5" s="11"/>
      <c r="LV5" s="11"/>
      <c r="LW5" s="11"/>
      <c r="LX5" s="11"/>
      <c r="LY5" s="11"/>
      <c r="LZ5" s="12"/>
      <c r="MA5" s="11"/>
      <c r="MB5" s="11"/>
      <c r="MC5" s="11"/>
      <c r="MD5" s="11"/>
      <c r="ME5" s="11"/>
      <c r="MF5" s="11"/>
      <c r="MG5" s="12"/>
      <c r="MH5" s="11"/>
      <c r="MI5" s="11"/>
      <c r="MJ5" s="11"/>
      <c r="MK5" s="11"/>
      <c r="ML5" s="11"/>
      <c r="MM5" s="11"/>
      <c r="MN5" s="12"/>
      <c r="MO5" s="11"/>
      <c r="MP5" s="11"/>
      <c r="MQ5" s="11"/>
      <c r="MR5" s="11"/>
      <c r="MS5" s="11"/>
      <c r="MT5" s="11"/>
      <c r="MU5" s="12"/>
      <c r="MV5" s="11"/>
      <c r="MW5" s="11"/>
      <c r="MX5" s="11"/>
      <c r="MY5" s="11"/>
      <c r="MZ5" s="11"/>
      <c r="NA5" s="11"/>
      <c r="NB5" s="12"/>
    </row>
    <row r="6" spans="1:366" ht="7.5" customHeight="1" x14ac:dyDescent="0.25">
      <c r="A6" s="8"/>
      <c r="B6" s="8"/>
      <c r="C6" s="8"/>
      <c r="D6" s="8"/>
      <c r="E6" s="8"/>
      <c r="F6" s="10"/>
      <c r="G6" s="19"/>
      <c r="H6" s="19"/>
      <c r="I6" s="8"/>
      <c r="J6" s="8"/>
      <c r="K6" s="8"/>
      <c r="L6" s="8"/>
      <c r="M6" s="8"/>
      <c r="N6" s="8"/>
      <c r="O6" s="9"/>
      <c r="P6" s="8" t="str">
        <f t="shared" ref="P6:P33" si="308">IF(SUM(S6:NB6) &gt; 0, SUM(S6:NB6),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U6" s="7"/>
      <c r="HD6" s="7"/>
      <c r="HK6" s="7"/>
      <c r="HR6" s="7"/>
      <c r="HY6" s="7"/>
      <c r="IF6" s="7"/>
      <c r="IM6" s="7"/>
      <c r="IT6" s="7"/>
      <c r="JA6" s="7"/>
      <c r="JH6" s="7"/>
      <c r="JO6" s="7"/>
      <c r="JV6" s="7"/>
      <c r="KC6" s="7"/>
      <c r="KJ6" s="7"/>
      <c r="KQ6" s="7"/>
      <c r="KX6" s="7"/>
      <c r="LE6" s="7"/>
      <c r="LL6" s="7"/>
      <c r="LS6" s="7"/>
      <c r="LZ6" s="7"/>
      <c r="MG6" s="7"/>
      <c r="MN6" s="7"/>
      <c r="MU6" s="7"/>
      <c r="NB6" s="7"/>
    </row>
    <row r="7" spans="1:366" ht="15" customHeight="1" x14ac:dyDescent="0.25">
      <c r="A7" s="8" t="s">
        <v>128</v>
      </c>
      <c r="B7" s="8" t="s">
        <v>127</v>
      </c>
      <c r="C7" s="8" t="s">
        <v>157</v>
      </c>
      <c r="D7" s="8" t="s">
        <v>126</v>
      </c>
      <c r="E7" s="18">
        <v>38532</v>
      </c>
      <c r="F7" s="10">
        <f>IF($E7 &gt;= F$5, 1, "")</f>
        <v>1</v>
      </c>
      <c r="G7" s="19">
        <f>IF($E7 &gt;= G$5, 1, "")</f>
        <v>1</v>
      </c>
      <c r="H7" s="19" t="str">
        <f t="shared" ref="H7:L7" si="309">IF($E7 &gt;= H$5, 1, "")</f>
        <v/>
      </c>
      <c r="I7" s="19" t="str">
        <f t="shared" si="309"/>
        <v/>
      </c>
      <c r="J7" s="19" t="str">
        <f t="shared" si="309"/>
        <v/>
      </c>
      <c r="K7" s="19" t="str">
        <f t="shared" si="309"/>
        <v/>
      </c>
      <c r="L7" s="19" t="str">
        <f t="shared" si="309"/>
        <v/>
      </c>
      <c r="M7" s="8"/>
      <c r="N7" s="8">
        <v>1</v>
      </c>
      <c r="O7" s="9">
        <v>1</v>
      </c>
      <c r="P7" s="8">
        <f t="shared" si="308"/>
        <v>75</v>
      </c>
      <c r="Q7" s="108">
        <f t="shared" ref="Q7:Q26" si="310">IF(SUM(S7:XFD7) &gt; 0, SUM(S7:XFD7) /P$37 * 100, "")</f>
        <v>91.463414634146346</v>
      </c>
      <c r="R7" s="128" t="str">
        <f t="shared" ref="R7:R33" si="311">KStateSum(S7:NB7, 1)</f>
        <v>11</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378</v>
      </c>
      <c r="BY7" s="80" t="s">
        <v>362</v>
      </c>
      <c r="CC7">
        <v>1</v>
      </c>
      <c r="CG7" s="95" t="s">
        <v>378</v>
      </c>
      <c r="CH7" s="80" t="s">
        <v>364</v>
      </c>
      <c r="CL7">
        <v>1</v>
      </c>
      <c r="CP7" s="99" t="s">
        <v>378</v>
      </c>
      <c r="CQ7" s="80" t="s">
        <v>364</v>
      </c>
      <c r="CS7">
        <v>1</v>
      </c>
      <c r="CV7">
        <v>1</v>
      </c>
      <c r="CY7" s="99" t="s">
        <v>379</v>
      </c>
      <c r="CZ7" s="80" t="s">
        <v>392</v>
      </c>
      <c r="DB7">
        <v>1</v>
      </c>
      <c r="DH7" s="99" t="s">
        <v>380</v>
      </c>
      <c r="DI7" s="80">
        <v>2</v>
      </c>
      <c r="DK7">
        <v>1</v>
      </c>
      <c r="DM7">
        <v>1</v>
      </c>
      <c r="DP7">
        <v>1</v>
      </c>
      <c r="DQ7" s="99" t="s">
        <v>392</v>
      </c>
      <c r="DR7" s="80">
        <v>1</v>
      </c>
      <c r="DT7">
        <v>1</v>
      </c>
      <c r="DV7">
        <v>1</v>
      </c>
      <c r="DW7">
        <v>1</v>
      </c>
      <c r="DZ7" s="95" t="s">
        <v>392</v>
      </c>
      <c r="EA7" s="80" t="s">
        <v>398</v>
      </c>
      <c r="EB7">
        <v>1</v>
      </c>
      <c r="EC7">
        <v>1</v>
      </c>
      <c r="EE7">
        <v>1</v>
      </c>
      <c r="EF7">
        <v>1</v>
      </c>
      <c r="EI7" s="99" t="s">
        <v>364</v>
      </c>
      <c r="EJ7" s="80" t="s">
        <v>364</v>
      </c>
      <c r="EK7">
        <v>1</v>
      </c>
      <c r="EL7">
        <v>1</v>
      </c>
      <c r="EN7" s="95">
        <v>1</v>
      </c>
      <c r="EO7">
        <v>1</v>
      </c>
      <c r="EQ7">
        <v>1</v>
      </c>
      <c r="ER7" s="99" t="s">
        <v>364</v>
      </c>
      <c r="ES7" s="80" t="s">
        <v>398</v>
      </c>
      <c r="ET7">
        <v>1</v>
      </c>
      <c r="EU7">
        <v>1</v>
      </c>
      <c r="EV7">
        <v>1</v>
      </c>
      <c r="EW7">
        <v>1</v>
      </c>
      <c r="FA7" s="95" t="s">
        <v>364</v>
      </c>
      <c r="FB7" s="80" t="s">
        <v>364</v>
      </c>
      <c r="FC7">
        <v>1</v>
      </c>
      <c r="FE7">
        <v>1</v>
      </c>
      <c r="FF7">
        <v>1</v>
      </c>
      <c r="FG7">
        <v>1</v>
      </c>
      <c r="FH7">
        <v>1</v>
      </c>
      <c r="FJ7" s="99" t="s">
        <v>364</v>
      </c>
      <c r="FK7" s="80" t="s">
        <v>398</v>
      </c>
      <c r="FL7">
        <v>1</v>
      </c>
      <c r="FM7">
        <v>1</v>
      </c>
      <c r="FO7">
        <v>1</v>
      </c>
      <c r="FP7">
        <v>1</v>
      </c>
      <c r="FQ7">
        <v>1</v>
      </c>
      <c r="FS7" s="95" t="s">
        <v>364</v>
      </c>
      <c r="FT7" s="80" t="s">
        <v>398</v>
      </c>
      <c r="FU7">
        <v>1</v>
      </c>
      <c r="FV7">
        <v>1</v>
      </c>
      <c r="FX7">
        <v>1</v>
      </c>
      <c r="FY7">
        <v>1</v>
      </c>
      <c r="FZ7">
        <v>1</v>
      </c>
      <c r="GB7">
        <v>0</v>
      </c>
      <c r="GC7" s="80" t="s">
        <v>398</v>
      </c>
      <c r="GD7">
        <v>1</v>
      </c>
      <c r="GE7">
        <v>1</v>
      </c>
      <c r="GG7">
        <v>1</v>
      </c>
      <c r="GH7">
        <v>1</v>
      </c>
      <c r="GI7">
        <v>1</v>
      </c>
      <c r="GK7" s="95" t="s">
        <v>364</v>
      </c>
      <c r="GL7" s="80" t="s">
        <v>398</v>
      </c>
      <c r="GM7">
        <v>1</v>
      </c>
      <c r="GN7">
        <v>1</v>
      </c>
      <c r="GP7">
        <v>1</v>
      </c>
      <c r="GQ7">
        <v>1</v>
      </c>
      <c r="GR7">
        <v>1</v>
      </c>
      <c r="GS7" s="145">
        <v>1</v>
      </c>
      <c r="GT7" s="95" t="s">
        <v>364</v>
      </c>
      <c r="GU7" s="80" t="s">
        <v>392</v>
      </c>
      <c r="HD7" s="7"/>
      <c r="HK7" s="7"/>
      <c r="HR7" s="7"/>
      <c r="HY7" s="7"/>
      <c r="IF7" s="7"/>
      <c r="IM7" s="7"/>
      <c r="IT7" s="7"/>
      <c r="JA7" s="7"/>
      <c r="JH7" s="7"/>
      <c r="JO7" s="7"/>
      <c r="JV7" s="7"/>
      <c r="KC7" s="7"/>
      <c r="KJ7" s="7"/>
      <c r="KQ7" s="7"/>
      <c r="KX7" s="7"/>
      <c r="LE7" s="7"/>
      <c r="LL7" s="7"/>
      <c r="LS7" s="7"/>
      <c r="LZ7" s="7"/>
      <c r="MG7" s="7"/>
      <c r="MN7" s="7"/>
      <c r="MU7" s="7"/>
      <c r="NB7" s="7"/>
    </row>
    <row r="8" spans="1:366" ht="15" customHeight="1" x14ac:dyDescent="0.25">
      <c r="A8" s="8" t="s">
        <v>151</v>
      </c>
      <c r="B8" s="8" t="s">
        <v>152</v>
      </c>
      <c r="C8" s="8" t="s">
        <v>153</v>
      </c>
      <c r="D8" s="8" t="s">
        <v>154</v>
      </c>
      <c r="E8" s="18">
        <v>36859</v>
      </c>
      <c r="F8" s="10" t="str">
        <f t="shared" ref="F8:L30" si="312">IF($E8 &gt;= F$5, 1, "")</f>
        <v/>
      </c>
      <c r="G8" s="19" t="str">
        <f t="shared" si="312"/>
        <v/>
      </c>
      <c r="H8" s="19" t="str">
        <f t="shared" si="312"/>
        <v/>
      </c>
      <c r="I8" s="19" t="str">
        <f t="shared" si="312"/>
        <v/>
      </c>
      <c r="J8" s="19" t="str">
        <f t="shared" si="312"/>
        <v/>
      </c>
      <c r="K8" s="19" t="str">
        <f t="shared" si="312"/>
        <v/>
      </c>
      <c r="L8" s="19" t="str">
        <f t="shared" si="312"/>
        <v/>
      </c>
      <c r="M8" s="8"/>
      <c r="N8" s="8"/>
      <c r="O8" s="9"/>
      <c r="P8" s="8">
        <f t="shared" si="308"/>
        <v>40</v>
      </c>
      <c r="Q8" s="108">
        <f t="shared" si="310"/>
        <v>48.780487804878049</v>
      </c>
      <c r="R8" s="128" t="str">
        <f t="shared" si="311"/>
        <v>-42</v>
      </c>
      <c r="S8" s="7">
        <v>1</v>
      </c>
      <c r="U8">
        <v>1</v>
      </c>
      <c r="V8">
        <v>1</v>
      </c>
      <c r="X8">
        <v>1</v>
      </c>
      <c r="Z8" s="7"/>
      <c r="AB8">
        <v>1</v>
      </c>
      <c r="AE8">
        <v>1</v>
      </c>
      <c r="AG8" s="7"/>
      <c r="AI8">
        <v>1</v>
      </c>
      <c r="AK8">
        <v>1</v>
      </c>
      <c r="AN8" s="7"/>
      <c r="AR8">
        <v>1</v>
      </c>
      <c r="AU8" s="7"/>
      <c r="AW8">
        <v>1</v>
      </c>
      <c r="BB8" s="7"/>
      <c r="BI8" s="7"/>
      <c r="BP8" s="7"/>
      <c r="BR8">
        <v>1</v>
      </c>
      <c r="BX8" s="99" t="s">
        <v>364</v>
      </c>
      <c r="BY8" s="80" t="s">
        <v>486</v>
      </c>
      <c r="CG8" s="99" t="s">
        <v>364</v>
      </c>
      <c r="CH8" s="80" t="s">
        <v>368</v>
      </c>
      <c r="CP8" s="95" t="s">
        <v>364</v>
      </c>
      <c r="CQ8" s="80" t="s">
        <v>368</v>
      </c>
      <c r="CY8" s="99" t="s">
        <v>364</v>
      </c>
      <c r="CZ8" s="80" t="s">
        <v>365</v>
      </c>
      <c r="DH8" s="99" t="s">
        <v>364</v>
      </c>
      <c r="DI8" s="80" t="s">
        <v>365</v>
      </c>
      <c r="DQ8" s="99" t="s">
        <v>364</v>
      </c>
      <c r="DR8" s="80" t="s">
        <v>365</v>
      </c>
      <c r="DZ8" s="99" t="s">
        <v>364</v>
      </c>
      <c r="EA8" s="80" t="s">
        <v>365</v>
      </c>
      <c r="EB8">
        <v>1</v>
      </c>
      <c r="EE8">
        <v>1</v>
      </c>
      <c r="EF8">
        <v>1</v>
      </c>
      <c r="EI8" s="99" t="s">
        <v>364</v>
      </c>
      <c r="EJ8" s="80" t="s">
        <v>363</v>
      </c>
      <c r="EK8">
        <v>1</v>
      </c>
      <c r="EL8">
        <v>1</v>
      </c>
      <c r="EN8" s="95">
        <v>1</v>
      </c>
      <c r="EO8">
        <v>1</v>
      </c>
      <c r="EQ8">
        <v>1</v>
      </c>
      <c r="ER8" s="99" t="s">
        <v>364</v>
      </c>
      <c r="ES8" s="80" t="s">
        <v>398</v>
      </c>
      <c r="ET8">
        <v>1</v>
      </c>
      <c r="EW8">
        <v>1</v>
      </c>
      <c r="FA8" s="95" t="s">
        <v>364</v>
      </c>
      <c r="FB8" s="80" t="s">
        <v>362</v>
      </c>
      <c r="FC8">
        <v>1</v>
      </c>
      <c r="FE8">
        <v>1</v>
      </c>
      <c r="FF8">
        <v>1</v>
      </c>
      <c r="FG8">
        <v>1</v>
      </c>
      <c r="FH8">
        <v>1</v>
      </c>
      <c r="FJ8" s="99" t="s">
        <v>364</v>
      </c>
      <c r="FK8" s="80" t="s">
        <v>398</v>
      </c>
      <c r="FL8">
        <v>1</v>
      </c>
      <c r="FP8">
        <v>1</v>
      </c>
      <c r="FQ8">
        <v>1</v>
      </c>
      <c r="FS8" s="99" t="s">
        <v>364</v>
      </c>
      <c r="FT8" s="80" t="s">
        <v>363</v>
      </c>
      <c r="FU8">
        <v>1</v>
      </c>
      <c r="FV8">
        <v>1</v>
      </c>
      <c r="FY8">
        <v>1</v>
      </c>
      <c r="GB8">
        <v>0</v>
      </c>
      <c r="GC8" s="80" t="s">
        <v>363</v>
      </c>
      <c r="GD8">
        <v>1</v>
      </c>
      <c r="GE8">
        <v>1</v>
      </c>
      <c r="GH8">
        <v>1</v>
      </c>
      <c r="GI8">
        <v>1</v>
      </c>
      <c r="GK8" s="95" t="s">
        <v>364</v>
      </c>
      <c r="GL8" s="80" t="s">
        <v>364</v>
      </c>
      <c r="GM8">
        <v>1</v>
      </c>
      <c r="GN8">
        <v>1</v>
      </c>
      <c r="GP8">
        <v>1</v>
      </c>
      <c r="GR8">
        <v>1</v>
      </c>
      <c r="GS8" s="145"/>
      <c r="GT8" s="95" t="s">
        <v>364</v>
      </c>
      <c r="GU8" s="80" t="s">
        <v>364</v>
      </c>
      <c r="HD8" s="7"/>
      <c r="HK8" s="7"/>
      <c r="HR8" s="7"/>
      <c r="HY8" s="7"/>
      <c r="IF8" s="7"/>
      <c r="IM8" s="7"/>
      <c r="IT8" s="7"/>
      <c r="JA8" s="7"/>
      <c r="JH8" s="7"/>
      <c r="JO8" s="7"/>
      <c r="JV8" s="7"/>
      <c r="KC8" s="7"/>
      <c r="KJ8" s="7"/>
      <c r="KQ8" s="7"/>
      <c r="KX8" s="7"/>
      <c r="LE8" s="7"/>
      <c r="LL8" s="7"/>
      <c r="LS8" s="7"/>
      <c r="LZ8" s="7"/>
      <c r="MG8" s="7"/>
      <c r="MN8" s="7"/>
      <c r="MU8" s="7"/>
      <c r="NB8" s="7"/>
    </row>
    <row r="9" spans="1:366" ht="15" customHeight="1" x14ac:dyDescent="0.25">
      <c r="A9" s="8" t="s">
        <v>20</v>
      </c>
      <c r="B9" s="8"/>
      <c r="C9" s="8" t="s">
        <v>149</v>
      </c>
      <c r="D9" s="8" t="s">
        <v>150</v>
      </c>
      <c r="E9" s="18">
        <v>37414</v>
      </c>
      <c r="F9" s="10">
        <f t="shared" si="312"/>
        <v>1</v>
      </c>
      <c r="G9" s="19" t="str">
        <f t="shared" si="312"/>
        <v/>
      </c>
      <c r="H9" s="19" t="str">
        <f t="shared" si="312"/>
        <v/>
      </c>
      <c r="I9" s="19" t="str">
        <f t="shared" si="312"/>
        <v/>
      </c>
      <c r="J9" s="19" t="str">
        <f t="shared" si="312"/>
        <v/>
      </c>
      <c r="K9" s="19" t="str">
        <f t="shared" si="312"/>
        <v/>
      </c>
      <c r="L9" s="19" t="str">
        <f t="shared" si="312"/>
        <v/>
      </c>
      <c r="M9" s="8"/>
      <c r="N9" s="8">
        <v>1</v>
      </c>
      <c r="O9" s="9">
        <v>1</v>
      </c>
      <c r="P9" s="8">
        <f t="shared" si="308"/>
        <v>71</v>
      </c>
      <c r="Q9" s="108">
        <f t="shared" si="310"/>
        <v>86.58536585365853</v>
      </c>
      <c r="R9" s="128" t="str">
        <f t="shared" si="311"/>
        <v>-14</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364</v>
      </c>
      <c r="BY9" s="80" t="s">
        <v>365</v>
      </c>
      <c r="CC9">
        <v>1</v>
      </c>
      <c r="CF9">
        <v>1</v>
      </c>
      <c r="CG9" s="95" t="s">
        <v>364</v>
      </c>
      <c r="CH9" s="80" t="s">
        <v>365</v>
      </c>
      <c r="CL9">
        <v>1</v>
      </c>
      <c r="CO9">
        <v>1</v>
      </c>
      <c r="CP9" s="99" t="s">
        <v>364</v>
      </c>
      <c r="CQ9" s="80" t="s">
        <v>365</v>
      </c>
      <c r="CS9">
        <v>1</v>
      </c>
      <c r="CU9">
        <v>1</v>
      </c>
      <c r="CX9">
        <v>1</v>
      </c>
      <c r="CY9" s="99" t="s">
        <v>364</v>
      </c>
      <c r="CZ9" s="80" t="s">
        <v>363</v>
      </c>
      <c r="DB9">
        <v>1</v>
      </c>
      <c r="DE9">
        <v>1</v>
      </c>
      <c r="DG9">
        <v>1</v>
      </c>
      <c r="DH9" s="99" t="s">
        <v>364</v>
      </c>
      <c r="DI9" s="80" t="s">
        <v>363</v>
      </c>
      <c r="DK9">
        <v>1</v>
      </c>
      <c r="DM9">
        <v>1</v>
      </c>
      <c r="DN9">
        <v>1</v>
      </c>
      <c r="DP9">
        <v>1</v>
      </c>
      <c r="DQ9" s="99" t="s">
        <v>364</v>
      </c>
      <c r="DR9" s="80" t="s">
        <v>364</v>
      </c>
      <c r="DT9">
        <v>1</v>
      </c>
      <c r="DV9">
        <v>1</v>
      </c>
      <c r="DW9">
        <v>1</v>
      </c>
      <c r="DZ9" s="95" t="s">
        <v>364</v>
      </c>
      <c r="EA9" s="80" t="s">
        <v>363</v>
      </c>
      <c r="EB9">
        <v>1</v>
      </c>
      <c r="EC9">
        <v>1</v>
      </c>
      <c r="EE9">
        <v>1</v>
      </c>
      <c r="EF9">
        <v>1</v>
      </c>
      <c r="EI9" s="99" t="s">
        <v>364</v>
      </c>
      <c r="EJ9" s="80" t="s">
        <v>364</v>
      </c>
      <c r="EK9">
        <v>1</v>
      </c>
      <c r="EL9">
        <v>1</v>
      </c>
      <c r="EN9" s="95">
        <v>1</v>
      </c>
      <c r="EO9">
        <v>1</v>
      </c>
      <c r="EQ9">
        <v>1</v>
      </c>
      <c r="ER9" s="99" t="s">
        <v>364</v>
      </c>
      <c r="ES9" s="80" t="s">
        <v>398</v>
      </c>
      <c r="EU9">
        <v>1</v>
      </c>
      <c r="EV9">
        <v>1</v>
      </c>
      <c r="EW9">
        <v>1</v>
      </c>
      <c r="FA9" s="95" t="s">
        <v>364</v>
      </c>
      <c r="FB9" s="80" t="s">
        <v>363</v>
      </c>
      <c r="FC9">
        <v>1</v>
      </c>
      <c r="FE9">
        <v>1</v>
      </c>
      <c r="FF9">
        <v>1</v>
      </c>
      <c r="FG9">
        <v>1</v>
      </c>
      <c r="FH9">
        <v>1</v>
      </c>
      <c r="FJ9" s="99" t="s">
        <v>364</v>
      </c>
      <c r="FK9" s="80" t="s">
        <v>398</v>
      </c>
      <c r="FP9">
        <v>1</v>
      </c>
      <c r="FQ9">
        <v>1</v>
      </c>
      <c r="FS9" s="99" t="s">
        <v>364</v>
      </c>
      <c r="FT9" s="80" t="s">
        <v>362</v>
      </c>
      <c r="FU9">
        <v>1</v>
      </c>
      <c r="FV9">
        <v>1</v>
      </c>
      <c r="FX9">
        <v>1</v>
      </c>
      <c r="FY9">
        <v>1</v>
      </c>
      <c r="FZ9">
        <v>1</v>
      </c>
      <c r="GB9">
        <v>0</v>
      </c>
      <c r="GC9" s="80" t="s">
        <v>398</v>
      </c>
      <c r="GD9">
        <v>1</v>
      </c>
      <c r="GE9">
        <v>1</v>
      </c>
      <c r="GG9">
        <v>1</v>
      </c>
      <c r="GH9">
        <v>1</v>
      </c>
      <c r="GI9">
        <v>1</v>
      </c>
      <c r="GK9" s="95" t="s">
        <v>364</v>
      </c>
      <c r="GL9" s="80" t="s">
        <v>398</v>
      </c>
      <c r="GM9">
        <v>1</v>
      </c>
      <c r="GN9">
        <v>1</v>
      </c>
      <c r="GP9">
        <v>1</v>
      </c>
      <c r="GR9">
        <v>1</v>
      </c>
      <c r="GS9" s="145"/>
      <c r="GT9" s="95" t="s">
        <v>364</v>
      </c>
      <c r="GU9" s="80" t="s">
        <v>364</v>
      </c>
      <c r="HD9" s="7"/>
      <c r="HK9" s="7"/>
      <c r="HR9" s="7"/>
      <c r="HY9" s="7"/>
      <c r="IF9" s="7"/>
      <c r="IM9" s="7"/>
      <c r="IT9" s="7"/>
      <c r="JA9" s="7"/>
      <c r="JH9" s="7"/>
      <c r="JO9" s="7"/>
      <c r="JV9" s="7"/>
      <c r="KC9" s="7"/>
      <c r="KJ9" s="7"/>
      <c r="KQ9" s="7"/>
      <c r="KX9" s="7"/>
      <c r="LE9" s="7"/>
      <c r="LL9" s="7"/>
      <c r="LS9" s="7"/>
      <c r="LZ9" s="7"/>
      <c r="MG9" s="7"/>
      <c r="MN9" s="7"/>
      <c r="MU9" s="7"/>
      <c r="NB9" s="7"/>
    </row>
    <row r="10" spans="1:366" ht="15" customHeight="1" x14ac:dyDescent="0.25">
      <c r="A10" s="8" t="s">
        <v>247</v>
      </c>
      <c r="B10" s="8" t="s">
        <v>177</v>
      </c>
      <c r="C10" s="8" t="s">
        <v>178</v>
      </c>
      <c r="D10" s="8" t="s">
        <v>113</v>
      </c>
      <c r="E10" s="18">
        <v>37608</v>
      </c>
      <c r="F10" s="10">
        <f t="shared" si="312"/>
        <v>1</v>
      </c>
      <c r="G10" s="19" t="str">
        <f t="shared" si="312"/>
        <v/>
      </c>
      <c r="H10" s="19" t="str">
        <f t="shared" si="312"/>
        <v/>
      </c>
      <c r="I10" s="19" t="str">
        <f t="shared" si="312"/>
        <v/>
      </c>
      <c r="J10" s="19" t="str">
        <f t="shared" si="312"/>
        <v/>
      </c>
      <c r="K10" s="19" t="str">
        <f t="shared" si="312"/>
        <v/>
      </c>
      <c r="L10" s="19" t="str">
        <f t="shared" si="312"/>
        <v/>
      </c>
      <c r="M10" s="8"/>
      <c r="N10" s="8">
        <v>1</v>
      </c>
      <c r="O10" s="9">
        <v>1</v>
      </c>
      <c r="P10" s="8">
        <f t="shared" si="308"/>
        <v>57</v>
      </c>
      <c r="Q10" s="108">
        <f t="shared" si="310"/>
        <v>69.512195121951208</v>
      </c>
      <c r="R10" s="128" t="str">
        <f t="shared" si="311"/>
        <v>-19</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364</v>
      </c>
      <c r="BY10" s="80" t="s">
        <v>367</v>
      </c>
      <c r="CC10">
        <v>1</v>
      </c>
      <c r="CF10">
        <v>1</v>
      </c>
      <c r="CG10" s="95" t="s">
        <v>364</v>
      </c>
      <c r="CH10" s="80" t="s">
        <v>365</v>
      </c>
      <c r="CP10" s="99" t="s">
        <v>392</v>
      </c>
      <c r="CQ10" s="80" t="s">
        <v>367</v>
      </c>
      <c r="CY10" s="99" t="s">
        <v>378</v>
      </c>
      <c r="CZ10" s="80" t="s">
        <v>392</v>
      </c>
      <c r="DH10" s="99" t="s">
        <v>379</v>
      </c>
      <c r="DI10" s="80" t="s">
        <v>364</v>
      </c>
      <c r="DK10">
        <v>1</v>
      </c>
      <c r="DM10">
        <v>1</v>
      </c>
      <c r="DN10">
        <v>1</v>
      </c>
      <c r="DP10">
        <v>1</v>
      </c>
      <c r="DQ10" s="99" t="s">
        <v>398</v>
      </c>
      <c r="DR10" s="80" t="s">
        <v>398</v>
      </c>
      <c r="DT10">
        <v>1</v>
      </c>
      <c r="DV10">
        <v>1</v>
      </c>
      <c r="DZ10" s="95" t="s">
        <v>398</v>
      </c>
      <c r="EA10" s="80" t="s">
        <v>363</v>
      </c>
      <c r="EB10">
        <v>1</v>
      </c>
      <c r="EC10">
        <v>1</v>
      </c>
      <c r="EE10">
        <v>1</v>
      </c>
      <c r="EF10">
        <v>1</v>
      </c>
      <c r="EI10" s="99" t="s">
        <v>364</v>
      </c>
      <c r="EJ10" s="80" t="s">
        <v>364</v>
      </c>
      <c r="EK10">
        <v>1</v>
      </c>
      <c r="EL10">
        <v>1</v>
      </c>
      <c r="EN10" s="95">
        <v>1</v>
      </c>
      <c r="EO10">
        <v>1</v>
      </c>
      <c r="ER10" s="99" t="s">
        <v>364</v>
      </c>
      <c r="ES10" s="80" t="s">
        <v>364</v>
      </c>
      <c r="ET10">
        <v>1</v>
      </c>
      <c r="EU10">
        <v>1</v>
      </c>
      <c r="FA10" s="95" t="s">
        <v>364</v>
      </c>
      <c r="FB10" s="80" t="s">
        <v>362</v>
      </c>
      <c r="FC10">
        <v>1</v>
      </c>
      <c r="FE10">
        <v>1</v>
      </c>
      <c r="FF10">
        <v>1</v>
      </c>
      <c r="FG10">
        <v>1</v>
      </c>
      <c r="FH10">
        <v>1</v>
      </c>
      <c r="FJ10" s="99" t="s">
        <v>364</v>
      </c>
      <c r="FK10" s="80" t="s">
        <v>398</v>
      </c>
      <c r="FM10">
        <v>1</v>
      </c>
      <c r="FP10">
        <v>1</v>
      </c>
      <c r="FQ10">
        <v>1</v>
      </c>
      <c r="FS10" s="99" t="s">
        <v>364</v>
      </c>
      <c r="FT10" s="80" t="s">
        <v>363</v>
      </c>
      <c r="FU10">
        <v>1</v>
      </c>
      <c r="FV10">
        <v>1</v>
      </c>
      <c r="FX10">
        <v>1</v>
      </c>
      <c r="GB10">
        <v>0</v>
      </c>
      <c r="GC10" s="80" t="s">
        <v>363</v>
      </c>
      <c r="GG10">
        <v>1</v>
      </c>
      <c r="GH10">
        <v>1</v>
      </c>
      <c r="GK10" s="95" t="s">
        <v>364</v>
      </c>
      <c r="GL10" s="80" t="s">
        <v>362</v>
      </c>
      <c r="GN10">
        <v>1</v>
      </c>
      <c r="GQ10">
        <v>1</v>
      </c>
      <c r="GR10">
        <v>1</v>
      </c>
      <c r="GS10" s="145">
        <v>1</v>
      </c>
      <c r="GT10" s="95" t="s">
        <v>364</v>
      </c>
      <c r="GU10" s="80" t="s">
        <v>364</v>
      </c>
      <c r="HD10" s="7"/>
      <c r="HK10" s="7"/>
      <c r="HR10" s="7"/>
      <c r="HY10" s="7"/>
      <c r="IF10" s="7"/>
      <c r="IM10" s="7"/>
      <c r="IT10" s="7"/>
      <c r="JA10" s="7"/>
      <c r="JH10" s="7"/>
      <c r="JO10" s="7"/>
      <c r="JV10" s="7"/>
      <c r="KC10" s="7"/>
      <c r="KJ10" s="7"/>
      <c r="KQ10" s="7"/>
      <c r="KX10" s="7"/>
      <c r="LE10" s="7"/>
      <c r="LL10" s="7"/>
      <c r="LS10" s="7"/>
      <c r="LZ10" s="7"/>
      <c r="MG10" s="7"/>
      <c r="MN10" s="7"/>
      <c r="MU10" s="7"/>
      <c r="NB10" s="7"/>
    </row>
    <row r="11" spans="1:366" ht="15" customHeight="1" x14ac:dyDescent="0.25">
      <c r="A11" s="8" t="s">
        <v>387</v>
      </c>
      <c r="B11" s="8"/>
      <c r="C11" s="8" t="s">
        <v>238</v>
      </c>
      <c r="D11" s="8" t="s">
        <v>164</v>
      </c>
      <c r="E11" s="18">
        <v>36672</v>
      </c>
      <c r="F11" s="10" t="str">
        <f t="shared" si="312"/>
        <v/>
      </c>
      <c r="G11" s="19" t="str">
        <f t="shared" si="312"/>
        <v/>
      </c>
      <c r="H11" s="19" t="str">
        <f t="shared" si="312"/>
        <v/>
      </c>
      <c r="I11" s="19" t="str">
        <f t="shared" si="312"/>
        <v/>
      </c>
      <c r="J11" s="19" t="str">
        <f t="shared" si="312"/>
        <v/>
      </c>
      <c r="K11" s="19" t="str">
        <f t="shared" si="312"/>
        <v/>
      </c>
      <c r="L11" s="19" t="str">
        <f t="shared" si="312"/>
        <v/>
      </c>
      <c r="M11" s="8"/>
      <c r="N11" s="8"/>
      <c r="O11" s="9"/>
      <c r="P11" s="8">
        <f t="shared" si="308"/>
        <v>34</v>
      </c>
      <c r="Q11" s="108">
        <f t="shared" si="310"/>
        <v>41.463414634146339</v>
      </c>
      <c r="R11" s="128" t="str">
        <f t="shared" si="311"/>
        <v>-38</v>
      </c>
      <c r="S11" s="7"/>
      <c r="Z11" s="7"/>
      <c r="AG11" s="7"/>
      <c r="AN11" s="7"/>
      <c r="AU11" s="7"/>
      <c r="BB11" s="7"/>
      <c r="BI11" s="7"/>
      <c r="BP11" s="7"/>
      <c r="BX11" s="95" t="s">
        <v>364</v>
      </c>
      <c r="BY11" s="80" t="s">
        <v>368</v>
      </c>
      <c r="CG11" s="95" t="s">
        <v>364</v>
      </c>
      <c r="CH11" s="80" t="s">
        <v>368</v>
      </c>
      <c r="CL11">
        <v>1</v>
      </c>
      <c r="CP11" s="137" t="s">
        <v>398</v>
      </c>
      <c r="CQ11" s="80" t="s">
        <v>486</v>
      </c>
      <c r="CS11">
        <v>1</v>
      </c>
      <c r="CV11">
        <v>1</v>
      </c>
      <c r="CY11" s="137" t="s">
        <v>364</v>
      </c>
      <c r="CZ11" s="80" t="s">
        <v>362</v>
      </c>
      <c r="DH11" s="137" t="s">
        <v>364</v>
      </c>
      <c r="DI11" s="80" t="s">
        <v>365</v>
      </c>
      <c r="DK11">
        <v>1</v>
      </c>
      <c r="DQ11" s="137" t="s">
        <v>364</v>
      </c>
      <c r="DR11" s="80" t="s">
        <v>393</v>
      </c>
      <c r="DT11">
        <v>1</v>
      </c>
      <c r="DZ11" s="95" t="s">
        <v>364</v>
      </c>
      <c r="EA11" s="80" t="s">
        <v>393</v>
      </c>
      <c r="EC11">
        <v>1</v>
      </c>
      <c r="EI11" s="137" t="s">
        <v>364</v>
      </c>
      <c r="EJ11" s="80" t="s">
        <v>393</v>
      </c>
      <c r="EL11">
        <v>1</v>
      </c>
      <c r="EN11" s="95"/>
      <c r="ER11" s="99" t="s">
        <v>364</v>
      </c>
      <c r="ES11" s="80" t="s">
        <v>393</v>
      </c>
      <c r="EU11">
        <v>1</v>
      </c>
      <c r="EV11">
        <v>1</v>
      </c>
      <c r="EW11">
        <v>1</v>
      </c>
      <c r="FA11" s="95" t="s">
        <v>364</v>
      </c>
      <c r="FB11" s="80" t="s">
        <v>363</v>
      </c>
      <c r="FC11">
        <v>1</v>
      </c>
      <c r="FE11">
        <v>1</v>
      </c>
      <c r="FF11">
        <v>1</v>
      </c>
      <c r="FG11">
        <v>1</v>
      </c>
      <c r="FH11">
        <v>1</v>
      </c>
      <c r="FJ11" s="99" t="s">
        <v>364</v>
      </c>
      <c r="FK11" s="80" t="s">
        <v>398</v>
      </c>
      <c r="FL11">
        <v>1</v>
      </c>
      <c r="FM11">
        <v>1</v>
      </c>
      <c r="FP11">
        <v>1</v>
      </c>
      <c r="FQ11">
        <v>1</v>
      </c>
      <c r="FS11" s="99" t="s">
        <v>364</v>
      </c>
      <c r="FT11" s="80" t="s">
        <v>364</v>
      </c>
      <c r="FU11">
        <v>1</v>
      </c>
      <c r="FV11">
        <v>1</v>
      </c>
      <c r="FX11">
        <v>1</v>
      </c>
      <c r="FY11">
        <v>1</v>
      </c>
      <c r="FZ11">
        <v>1</v>
      </c>
      <c r="GB11">
        <v>0</v>
      </c>
      <c r="GC11" s="80" t="s">
        <v>398</v>
      </c>
      <c r="GD11">
        <v>1</v>
      </c>
      <c r="GE11">
        <v>1</v>
      </c>
      <c r="GG11">
        <v>1</v>
      </c>
      <c r="GH11">
        <v>1</v>
      </c>
      <c r="GI11">
        <v>1</v>
      </c>
      <c r="GK11" s="95" t="s">
        <v>364</v>
      </c>
      <c r="GL11" s="80" t="s">
        <v>398</v>
      </c>
      <c r="GM11">
        <v>1</v>
      </c>
      <c r="GN11">
        <v>1</v>
      </c>
      <c r="GP11">
        <v>1</v>
      </c>
      <c r="GQ11">
        <v>1</v>
      </c>
      <c r="GR11">
        <v>1</v>
      </c>
      <c r="GS11" s="145"/>
      <c r="GT11" s="95" t="s">
        <v>364</v>
      </c>
      <c r="GU11" s="80" t="s">
        <v>398</v>
      </c>
      <c r="HD11" s="7"/>
      <c r="HK11" s="7"/>
      <c r="HR11" s="7"/>
      <c r="HY11" s="7"/>
      <c r="IF11" s="7"/>
      <c r="IM11" s="7"/>
      <c r="IT11" s="7"/>
      <c r="JA11" s="7"/>
      <c r="JH11" s="7"/>
      <c r="JO11" s="7"/>
      <c r="JV11" s="7"/>
      <c r="KC11" s="7"/>
      <c r="KJ11" s="7"/>
      <c r="KQ11" s="7"/>
      <c r="KX11" s="7"/>
      <c r="LE11" s="7"/>
      <c r="LL11" s="7"/>
      <c r="LS11" s="7"/>
      <c r="LZ11" s="7"/>
      <c r="MG11" s="7"/>
      <c r="MN11" s="7"/>
      <c r="MU11" s="7"/>
      <c r="NB11" s="7"/>
    </row>
    <row r="12" spans="1:366" x14ac:dyDescent="0.25">
      <c r="A12" s="8" t="s">
        <v>162</v>
      </c>
      <c r="B12" s="8"/>
      <c r="C12" s="8" t="s">
        <v>163</v>
      </c>
      <c r="D12" s="8" t="s">
        <v>164</v>
      </c>
      <c r="E12" s="18">
        <v>37133</v>
      </c>
      <c r="F12" s="10" t="str">
        <f t="shared" si="312"/>
        <v/>
      </c>
      <c r="G12" s="19" t="str">
        <f t="shared" si="312"/>
        <v/>
      </c>
      <c r="H12" s="19" t="str">
        <f t="shared" si="312"/>
        <v/>
      </c>
      <c r="I12" s="19" t="str">
        <f t="shared" si="312"/>
        <v/>
      </c>
      <c r="J12" s="19" t="str">
        <f t="shared" si="312"/>
        <v/>
      </c>
      <c r="K12" s="19" t="str">
        <f t="shared" si="312"/>
        <v/>
      </c>
      <c r="L12" s="19" t="str">
        <f t="shared" si="312"/>
        <v/>
      </c>
      <c r="M12" s="8"/>
      <c r="N12" s="8"/>
      <c r="O12" s="9">
        <v>1</v>
      </c>
      <c r="P12" s="8">
        <f t="shared" si="308"/>
        <v>66</v>
      </c>
      <c r="Q12" s="108">
        <f t="shared" si="310"/>
        <v>80.487804878048792</v>
      </c>
      <c r="R12" s="128" t="str">
        <f t="shared" si="311"/>
        <v>-19</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364</v>
      </c>
      <c r="BY12" s="80" t="s">
        <v>365</v>
      </c>
      <c r="CC12">
        <v>1</v>
      </c>
      <c r="CF12">
        <v>1</v>
      </c>
      <c r="CG12" s="95" t="s">
        <v>364</v>
      </c>
      <c r="CH12" s="80" t="s">
        <v>365</v>
      </c>
      <c r="CL12">
        <v>1</v>
      </c>
      <c r="CP12" s="99" t="s">
        <v>364</v>
      </c>
      <c r="CQ12" s="80" t="s">
        <v>367</v>
      </c>
      <c r="CS12">
        <v>1</v>
      </c>
      <c r="CU12">
        <v>1</v>
      </c>
      <c r="CV12">
        <v>1</v>
      </c>
      <c r="CY12" s="99" t="s">
        <v>364</v>
      </c>
      <c r="CZ12" s="80" t="s">
        <v>363</v>
      </c>
      <c r="DB12">
        <v>1</v>
      </c>
      <c r="DE12">
        <v>1</v>
      </c>
      <c r="DH12" s="99" t="s">
        <v>364</v>
      </c>
      <c r="DI12" s="80" t="s">
        <v>362</v>
      </c>
      <c r="DK12">
        <v>1</v>
      </c>
      <c r="DM12">
        <v>1</v>
      </c>
      <c r="DN12">
        <v>1</v>
      </c>
      <c r="DP12">
        <v>1</v>
      </c>
      <c r="DQ12" s="99" t="s">
        <v>364</v>
      </c>
      <c r="DR12" s="80" t="s">
        <v>364</v>
      </c>
      <c r="DT12">
        <v>1</v>
      </c>
      <c r="DV12" t="s">
        <v>388</v>
      </c>
      <c r="DZ12" s="95" t="s">
        <v>364</v>
      </c>
      <c r="EA12" s="80" t="s">
        <v>393</v>
      </c>
      <c r="EB12">
        <v>1</v>
      </c>
      <c r="EC12">
        <v>1</v>
      </c>
      <c r="EE12">
        <v>1</v>
      </c>
      <c r="EF12">
        <v>1</v>
      </c>
      <c r="EI12" s="99" t="s">
        <v>364</v>
      </c>
      <c r="EJ12" s="80" t="s">
        <v>364</v>
      </c>
      <c r="EK12">
        <v>1</v>
      </c>
      <c r="EL12">
        <v>1</v>
      </c>
      <c r="EN12" s="95">
        <v>1</v>
      </c>
      <c r="EO12">
        <v>1</v>
      </c>
      <c r="EQ12">
        <v>1</v>
      </c>
      <c r="ER12" s="99" t="s">
        <v>364</v>
      </c>
      <c r="ES12" s="80" t="s">
        <v>398</v>
      </c>
      <c r="ET12">
        <v>1</v>
      </c>
      <c r="EU12">
        <v>1</v>
      </c>
      <c r="EV12">
        <v>1</v>
      </c>
      <c r="EW12">
        <v>1</v>
      </c>
      <c r="FA12" s="95" t="s">
        <v>364</v>
      </c>
      <c r="FB12" s="80" t="s">
        <v>364</v>
      </c>
      <c r="FE12">
        <v>1</v>
      </c>
      <c r="FF12">
        <v>1</v>
      </c>
      <c r="FG12">
        <v>1</v>
      </c>
      <c r="FH12">
        <v>1</v>
      </c>
      <c r="FJ12" s="99" t="s">
        <v>364</v>
      </c>
      <c r="FK12" s="80" t="s">
        <v>364</v>
      </c>
      <c r="FO12">
        <v>1</v>
      </c>
      <c r="FQ12">
        <v>1</v>
      </c>
      <c r="FS12" s="99" t="s">
        <v>364</v>
      </c>
      <c r="FT12" s="80" t="s">
        <v>362</v>
      </c>
      <c r="FU12">
        <v>1</v>
      </c>
      <c r="FV12">
        <v>1</v>
      </c>
      <c r="FX12">
        <v>1</v>
      </c>
      <c r="FY12">
        <v>1</v>
      </c>
      <c r="FZ12">
        <v>1</v>
      </c>
      <c r="GB12">
        <v>0</v>
      </c>
      <c r="GC12" s="80" t="s">
        <v>398</v>
      </c>
      <c r="GE12">
        <v>1</v>
      </c>
      <c r="GG12">
        <v>1</v>
      </c>
      <c r="GH12">
        <v>1</v>
      </c>
      <c r="GI12">
        <v>1</v>
      </c>
      <c r="GK12" s="95" t="s">
        <v>364</v>
      </c>
      <c r="GL12" s="80" t="s">
        <v>364</v>
      </c>
      <c r="GM12">
        <v>1</v>
      </c>
      <c r="GN12">
        <v>1</v>
      </c>
      <c r="GP12">
        <v>1</v>
      </c>
      <c r="GQ12">
        <v>1</v>
      </c>
      <c r="GR12">
        <v>1</v>
      </c>
      <c r="GS12" s="145"/>
      <c r="GT12" s="95" t="s">
        <v>364</v>
      </c>
      <c r="GU12" s="80" t="s">
        <v>398</v>
      </c>
      <c r="HD12" s="7"/>
      <c r="HK12" s="7"/>
      <c r="HR12" s="7"/>
      <c r="HY12" s="7"/>
      <c r="IF12" s="7"/>
      <c r="IM12" s="7"/>
      <c r="IT12" s="7"/>
      <c r="JA12" s="7"/>
      <c r="JH12" s="7"/>
      <c r="JO12" s="7"/>
      <c r="JV12" s="7"/>
      <c r="KC12" s="7"/>
      <c r="KJ12" s="7"/>
      <c r="KQ12" s="7"/>
      <c r="KX12" s="7"/>
      <c r="LE12" s="7"/>
      <c r="LL12" s="7"/>
      <c r="LS12" s="7"/>
      <c r="LZ12" s="7"/>
      <c r="MG12" s="7"/>
      <c r="MN12" s="7"/>
      <c r="MU12" s="7"/>
      <c r="NB12" s="7"/>
    </row>
    <row r="13" spans="1:366" x14ac:dyDescent="0.25">
      <c r="A13" s="8" t="s">
        <v>120</v>
      </c>
      <c r="B13" s="8" t="s">
        <v>161</v>
      </c>
      <c r="C13" s="8" t="s">
        <v>175</v>
      </c>
      <c r="D13" s="8" t="s">
        <v>176</v>
      </c>
      <c r="E13" s="18">
        <v>37808</v>
      </c>
      <c r="F13" s="10">
        <f t="shared" si="312"/>
        <v>1</v>
      </c>
      <c r="G13" s="19" t="str">
        <f t="shared" si="312"/>
        <v/>
      </c>
      <c r="H13" s="19" t="str">
        <f t="shared" si="312"/>
        <v/>
      </c>
      <c r="I13" s="19" t="str">
        <f t="shared" si="312"/>
        <v/>
      </c>
      <c r="J13" s="19" t="str">
        <f t="shared" si="312"/>
        <v/>
      </c>
      <c r="K13" s="19" t="str">
        <f t="shared" si="312"/>
        <v/>
      </c>
      <c r="L13" s="19" t="str">
        <f t="shared" si="312"/>
        <v/>
      </c>
      <c r="M13" s="8"/>
      <c r="N13" s="8">
        <v>1</v>
      </c>
      <c r="O13" s="9">
        <v>1</v>
      </c>
      <c r="P13" s="8">
        <f t="shared" si="308"/>
        <v>68</v>
      </c>
      <c r="Q13" s="108">
        <f t="shared" si="310"/>
        <v>82.926829268292678</v>
      </c>
      <c r="R13" s="128" t="str">
        <f t="shared" si="311"/>
        <v>-8</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378</v>
      </c>
      <c r="BY13" s="80" t="s">
        <v>364</v>
      </c>
      <c r="CC13">
        <v>1</v>
      </c>
      <c r="CG13" s="95" t="s">
        <v>378</v>
      </c>
      <c r="CH13" s="80" t="s">
        <v>364</v>
      </c>
      <c r="CL13">
        <v>1</v>
      </c>
      <c r="CO13">
        <v>1</v>
      </c>
      <c r="CP13" s="99" t="s">
        <v>364</v>
      </c>
      <c r="CQ13" s="80" t="s">
        <v>365</v>
      </c>
      <c r="CS13">
        <v>1</v>
      </c>
      <c r="CU13">
        <v>1</v>
      </c>
      <c r="CV13">
        <v>1</v>
      </c>
      <c r="CY13" s="99" t="s">
        <v>364</v>
      </c>
      <c r="CZ13" s="80" t="s">
        <v>363</v>
      </c>
      <c r="DB13">
        <v>1</v>
      </c>
      <c r="DG13">
        <v>1</v>
      </c>
      <c r="DH13" s="99" t="s">
        <v>398</v>
      </c>
      <c r="DI13" s="80" t="s">
        <v>363</v>
      </c>
      <c r="DK13">
        <v>1</v>
      </c>
      <c r="DM13">
        <v>1</v>
      </c>
      <c r="DQ13" s="99" t="s">
        <v>398</v>
      </c>
      <c r="DR13" s="80" t="s">
        <v>363</v>
      </c>
      <c r="DT13" t="s">
        <v>388</v>
      </c>
      <c r="DZ13" s="95" t="s">
        <v>364</v>
      </c>
      <c r="EA13" s="80" t="s">
        <v>365</v>
      </c>
      <c r="EB13">
        <v>1</v>
      </c>
      <c r="EC13">
        <v>1</v>
      </c>
      <c r="EE13">
        <v>1</v>
      </c>
      <c r="EI13" s="99" t="s">
        <v>364</v>
      </c>
      <c r="EJ13" s="80" t="s">
        <v>363</v>
      </c>
      <c r="EK13">
        <v>1</v>
      </c>
      <c r="EL13">
        <v>1</v>
      </c>
      <c r="EN13" s="95">
        <v>1</v>
      </c>
      <c r="EO13">
        <v>1</v>
      </c>
      <c r="EQ13">
        <v>1</v>
      </c>
      <c r="ER13" s="99" t="s">
        <v>364</v>
      </c>
      <c r="ES13" s="80" t="s">
        <v>398</v>
      </c>
      <c r="ET13">
        <v>1</v>
      </c>
      <c r="EU13">
        <v>1</v>
      </c>
      <c r="EV13">
        <v>1</v>
      </c>
      <c r="EW13">
        <v>1</v>
      </c>
      <c r="FA13" s="95" t="s">
        <v>364</v>
      </c>
      <c r="FB13" s="80" t="s">
        <v>364</v>
      </c>
      <c r="FC13">
        <v>1</v>
      </c>
      <c r="FE13">
        <v>1</v>
      </c>
      <c r="FF13">
        <v>1</v>
      </c>
      <c r="FG13">
        <v>1</v>
      </c>
      <c r="FH13">
        <v>1</v>
      </c>
      <c r="FJ13" s="99" t="s">
        <v>364</v>
      </c>
      <c r="FK13" s="80" t="s">
        <v>398</v>
      </c>
      <c r="FO13">
        <v>1</v>
      </c>
      <c r="FP13">
        <v>1</v>
      </c>
      <c r="FQ13">
        <v>1</v>
      </c>
      <c r="FS13" s="99" t="s">
        <v>364</v>
      </c>
      <c r="FT13" s="80" t="s">
        <v>363</v>
      </c>
      <c r="FU13">
        <v>1</v>
      </c>
      <c r="FV13">
        <v>1</v>
      </c>
      <c r="FX13">
        <v>1</v>
      </c>
      <c r="FY13">
        <v>1</v>
      </c>
      <c r="FZ13">
        <v>1</v>
      </c>
      <c r="GB13">
        <v>0</v>
      </c>
      <c r="GC13" s="80" t="s">
        <v>398</v>
      </c>
      <c r="GD13">
        <v>1</v>
      </c>
      <c r="GE13">
        <v>1</v>
      </c>
      <c r="GG13">
        <v>1</v>
      </c>
      <c r="GH13">
        <v>1</v>
      </c>
      <c r="GI13">
        <v>1</v>
      </c>
      <c r="GK13" s="95" t="s">
        <v>364</v>
      </c>
      <c r="GL13" s="80" t="s">
        <v>398</v>
      </c>
      <c r="GM13">
        <v>1</v>
      </c>
      <c r="GN13">
        <v>1</v>
      </c>
      <c r="GP13">
        <v>1</v>
      </c>
      <c r="GQ13">
        <v>1</v>
      </c>
      <c r="GR13">
        <v>1</v>
      </c>
      <c r="GS13" s="145"/>
      <c r="GT13" s="95" t="s">
        <v>364</v>
      </c>
      <c r="GU13" s="80" t="s">
        <v>398</v>
      </c>
      <c r="HD13" s="7"/>
      <c r="HK13" s="7"/>
      <c r="HR13" s="7"/>
      <c r="HY13" s="7"/>
      <c r="IF13" s="7"/>
      <c r="IM13" s="7"/>
      <c r="IT13" s="7"/>
      <c r="JA13" s="7"/>
      <c r="JH13" s="7"/>
      <c r="JO13" s="7"/>
      <c r="JV13" s="7"/>
      <c r="KC13" s="7"/>
      <c r="KJ13" s="7"/>
      <c r="KQ13" s="7"/>
      <c r="KX13" s="7"/>
      <c r="LE13" s="7"/>
      <c r="LL13" s="7"/>
      <c r="LS13" s="7"/>
      <c r="LZ13" s="7"/>
      <c r="MG13" s="7"/>
      <c r="MN13" s="7"/>
      <c r="MU13" s="7"/>
      <c r="NB13" s="7"/>
    </row>
    <row r="14" spans="1:366" hidden="1" x14ac:dyDescent="0.25">
      <c r="A14" s="8" t="s">
        <v>177</v>
      </c>
      <c r="B14" s="8"/>
      <c r="C14" s="8" t="s">
        <v>179</v>
      </c>
      <c r="D14" s="8" t="s">
        <v>180</v>
      </c>
      <c r="E14" s="18"/>
      <c r="F14" s="10" t="str">
        <f t="shared" si="312"/>
        <v/>
      </c>
      <c r="G14" s="19" t="str">
        <f t="shared" si="312"/>
        <v/>
      </c>
      <c r="H14" s="19" t="str">
        <f t="shared" si="312"/>
        <v/>
      </c>
      <c r="I14" s="19" t="str">
        <f t="shared" si="312"/>
        <v/>
      </c>
      <c r="J14" s="19" t="str">
        <f t="shared" si="312"/>
        <v/>
      </c>
      <c r="K14" s="19" t="str">
        <f t="shared" si="312"/>
        <v/>
      </c>
      <c r="L14" s="19" t="str">
        <f t="shared" si="312"/>
        <v/>
      </c>
      <c r="M14" s="8"/>
      <c r="N14" s="8">
        <v>1</v>
      </c>
      <c r="O14" s="9"/>
      <c r="P14" s="8">
        <f t="shared" si="308"/>
        <v>1</v>
      </c>
      <c r="Q14" s="108">
        <f t="shared" si="310"/>
        <v>1.2195121951219512</v>
      </c>
      <c r="R14" s="128" t="str">
        <f t="shared" si="311"/>
        <v>-6</v>
      </c>
      <c r="S14" s="7">
        <v>1</v>
      </c>
      <c r="Z14" s="7"/>
      <c r="AG14" s="7"/>
      <c r="AN14" s="7"/>
      <c r="AU14" s="7"/>
      <c r="BB14" s="7"/>
      <c r="BI14" s="7"/>
      <c r="BP14" s="7"/>
      <c r="BX14" s="96"/>
      <c r="BY14" s="79"/>
      <c r="CG14" s="95" t="s">
        <v>364</v>
      </c>
      <c r="CH14" s="80" t="s">
        <v>367</v>
      </c>
      <c r="CP14" s="99" t="s">
        <v>364</v>
      </c>
      <c r="CQ14" s="80" t="s">
        <v>366</v>
      </c>
      <c r="CY14" s="99" t="s">
        <v>364</v>
      </c>
      <c r="CZ14" s="80" t="s">
        <v>363</v>
      </c>
      <c r="DH14" s="99" t="s">
        <v>364</v>
      </c>
      <c r="DI14" s="80" t="s">
        <v>366</v>
      </c>
      <c r="DQ14" s="99" t="s">
        <v>364</v>
      </c>
      <c r="DR14" s="80" t="s">
        <v>366</v>
      </c>
      <c r="DZ14" s="95" t="s">
        <v>364</v>
      </c>
      <c r="EA14" s="80" t="s">
        <v>363</v>
      </c>
      <c r="EI14" s="99" t="s">
        <v>364</v>
      </c>
      <c r="EJ14" s="80" t="s">
        <v>364</v>
      </c>
      <c r="EN14" s="95" t="s">
        <v>398</v>
      </c>
      <c r="ER14" s="99" t="s">
        <v>364</v>
      </c>
      <c r="ES14" s="80" t="s">
        <v>398</v>
      </c>
      <c r="FA14" s="95" t="s">
        <v>364</v>
      </c>
      <c r="FB14" s="80" t="s">
        <v>364</v>
      </c>
      <c r="FJ14" s="99" t="s">
        <v>364</v>
      </c>
      <c r="FK14" s="80" t="s">
        <v>398</v>
      </c>
      <c r="FS14" s="99" t="s">
        <v>364</v>
      </c>
      <c r="FT14" s="80" t="s">
        <v>366</v>
      </c>
      <c r="GC14" s="80" t="s">
        <v>366</v>
      </c>
      <c r="GK14" s="95" t="s">
        <v>364</v>
      </c>
      <c r="GL14" s="80" t="s">
        <v>366</v>
      </c>
      <c r="GS14" s="145"/>
      <c r="GT14" s="95" t="s">
        <v>364</v>
      </c>
      <c r="GU14" s="80" t="s">
        <v>366</v>
      </c>
      <c r="HD14" s="7"/>
      <c r="HK14" s="7"/>
      <c r="HR14" s="7"/>
      <c r="HY14" s="7"/>
      <c r="IF14" s="7"/>
      <c r="IM14" s="7"/>
      <c r="IT14" s="7"/>
      <c r="JA14" s="7"/>
      <c r="JH14" s="7"/>
      <c r="JO14" s="7"/>
      <c r="JV14" s="7"/>
      <c r="KC14" s="7"/>
      <c r="KJ14" s="7"/>
      <c r="KQ14" s="7"/>
      <c r="KX14" s="7"/>
      <c r="LE14" s="7"/>
      <c r="LL14" s="7"/>
      <c r="LS14" s="7"/>
      <c r="LZ14" s="7"/>
      <c r="MG14" s="7"/>
      <c r="MN14" s="7"/>
      <c r="MU14" s="7"/>
      <c r="NB14" s="7"/>
    </row>
    <row r="15" spans="1:366" hidden="1" x14ac:dyDescent="0.25">
      <c r="A15" s="8" t="s">
        <v>171</v>
      </c>
      <c r="B15" s="8" t="s">
        <v>172</v>
      </c>
      <c r="C15" s="8" t="s">
        <v>173</v>
      </c>
      <c r="D15" s="8" t="s">
        <v>174</v>
      </c>
      <c r="E15" s="18">
        <v>36556</v>
      </c>
      <c r="F15" s="10" t="str">
        <f t="shared" si="312"/>
        <v/>
      </c>
      <c r="G15" s="19" t="str">
        <f t="shared" si="312"/>
        <v/>
      </c>
      <c r="H15" s="19" t="str">
        <f t="shared" si="312"/>
        <v/>
      </c>
      <c r="I15" s="19" t="str">
        <f t="shared" si="312"/>
        <v/>
      </c>
      <c r="J15" s="19" t="str">
        <f t="shared" si="312"/>
        <v/>
      </c>
      <c r="K15" s="19" t="str">
        <f t="shared" si="312"/>
        <v/>
      </c>
      <c r="L15" s="19" t="str">
        <f t="shared" si="312"/>
        <v/>
      </c>
      <c r="M15" s="8"/>
      <c r="N15" s="8"/>
      <c r="O15" s="9"/>
      <c r="P15" s="8">
        <f t="shared" si="308"/>
        <v>1</v>
      </c>
      <c r="Q15" s="108">
        <f t="shared" si="310"/>
        <v>1.2195121951219512</v>
      </c>
      <c r="R15" s="128" t="str">
        <f t="shared" si="311"/>
        <v>-6</v>
      </c>
      <c r="S15" s="7">
        <v>1</v>
      </c>
      <c r="Z15" s="7"/>
      <c r="AG15" s="7"/>
      <c r="AN15" s="7"/>
      <c r="AU15" s="7"/>
      <c r="BB15" s="7"/>
      <c r="BI15" s="7"/>
      <c r="BP15" s="7"/>
      <c r="BX15" s="96"/>
      <c r="BY15" s="79"/>
      <c r="CG15" s="95" t="s">
        <v>364</v>
      </c>
      <c r="CH15" s="80" t="s">
        <v>367</v>
      </c>
      <c r="CP15" s="99" t="s">
        <v>364</v>
      </c>
      <c r="CQ15" s="80" t="s">
        <v>366</v>
      </c>
      <c r="CY15" s="99" t="s">
        <v>364</v>
      </c>
      <c r="CZ15" s="80" t="s">
        <v>363</v>
      </c>
      <c r="DH15" s="99" t="s">
        <v>364</v>
      </c>
      <c r="DI15" s="80" t="s">
        <v>366</v>
      </c>
      <c r="DQ15" s="99" t="s">
        <v>364</v>
      </c>
      <c r="DR15" s="80" t="s">
        <v>366</v>
      </c>
      <c r="DZ15" s="95" t="s">
        <v>364</v>
      </c>
      <c r="EA15" s="80" t="s">
        <v>363</v>
      </c>
      <c r="EI15" s="99" t="s">
        <v>364</v>
      </c>
      <c r="EJ15" s="80" t="s">
        <v>364</v>
      </c>
      <c r="EN15" s="95" t="s">
        <v>398</v>
      </c>
      <c r="ER15" s="99" t="s">
        <v>364</v>
      </c>
      <c r="ES15" s="80" t="s">
        <v>398</v>
      </c>
      <c r="FA15" s="95" t="s">
        <v>364</v>
      </c>
      <c r="FB15" s="80" t="s">
        <v>364</v>
      </c>
      <c r="FJ15" s="99" t="s">
        <v>364</v>
      </c>
      <c r="FK15" s="80" t="s">
        <v>398</v>
      </c>
      <c r="FS15" s="99" t="s">
        <v>364</v>
      </c>
      <c r="FT15" s="80" t="s">
        <v>366</v>
      </c>
      <c r="GC15" s="80" t="s">
        <v>366</v>
      </c>
      <c r="GK15" s="95" t="s">
        <v>364</v>
      </c>
      <c r="GL15" s="80" t="s">
        <v>366</v>
      </c>
      <c r="GS15" s="145"/>
      <c r="GT15" s="95" t="s">
        <v>364</v>
      </c>
      <c r="GU15" s="80" t="s">
        <v>366</v>
      </c>
      <c r="HD15" s="7"/>
      <c r="HK15" s="7"/>
      <c r="HR15" s="7"/>
      <c r="HY15" s="7"/>
      <c r="IF15" s="7"/>
      <c r="IM15" s="7"/>
      <c r="IT15" s="7"/>
      <c r="JA15" s="7"/>
      <c r="JH15" s="7"/>
      <c r="JO15" s="7"/>
      <c r="JV15" s="7"/>
      <c r="KC15" s="7"/>
      <c r="KJ15" s="7"/>
      <c r="KQ15" s="7"/>
      <c r="KX15" s="7"/>
      <c r="LE15" s="7"/>
      <c r="LL15" s="7"/>
      <c r="LS15" s="7"/>
      <c r="LZ15" s="7"/>
      <c r="MG15" s="7"/>
      <c r="MN15" s="7"/>
      <c r="MU15" s="7"/>
      <c r="NB15" s="7"/>
    </row>
    <row r="16" spans="1:366" x14ac:dyDescent="0.25">
      <c r="A16" s="8" t="s">
        <v>457</v>
      </c>
      <c r="B16" s="8" t="s">
        <v>230</v>
      </c>
      <c r="C16" s="8" t="s">
        <v>232</v>
      </c>
      <c r="D16" s="8" t="s">
        <v>231</v>
      </c>
      <c r="E16" s="18">
        <v>38679</v>
      </c>
      <c r="F16" s="10">
        <f t="shared" si="312"/>
        <v>1</v>
      </c>
      <c r="G16" s="19">
        <f t="shared" si="312"/>
        <v>1</v>
      </c>
      <c r="H16" s="19" t="str">
        <f t="shared" si="312"/>
        <v/>
      </c>
      <c r="I16" s="19" t="str">
        <f t="shared" si="312"/>
        <v/>
      </c>
      <c r="J16" s="19" t="str">
        <f t="shared" si="312"/>
        <v/>
      </c>
      <c r="K16" s="19" t="str">
        <f t="shared" si="312"/>
        <v/>
      </c>
      <c r="L16" s="19" t="str">
        <f t="shared" si="312"/>
        <v/>
      </c>
      <c r="M16" s="8">
        <v>1</v>
      </c>
      <c r="N16" s="8">
        <v>1</v>
      </c>
      <c r="O16" s="9"/>
      <c r="P16" s="8">
        <f t="shared" si="308"/>
        <v>26</v>
      </c>
      <c r="Q16" s="108">
        <f t="shared" si="310"/>
        <v>31.707317073170731</v>
      </c>
      <c r="R16" s="128" t="str">
        <f t="shared" si="311"/>
        <v>-51</v>
      </c>
      <c r="S16" s="7"/>
      <c r="Z16" s="7"/>
      <c r="AG16" s="7"/>
      <c r="AN16" s="7"/>
      <c r="AU16" s="7"/>
      <c r="BB16" s="7"/>
      <c r="BI16" s="7"/>
      <c r="BP16" s="7"/>
      <c r="BX16" s="96">
        <v>5</v>
      </c>
      <c r="BY16" s="80" t="s">
        <v>368</v>
      </c>
      <c r="CG16" s="95" t="s">
        <v>364</v>
      </c>
      <c r="CH16" s="80" t="s">
        <v>368</v>
      </c>
      <c r="CP16" s="95" t="s">
        <v>364</v>
      </c>
      <c r="CQ16" s="80" t="s">
        <v>368</v>
      </c>
      <c r="CY16" s="99" t="s">
        <v>364</v>
      </c>
      <c r="CZ16" s="80" t="s">
        <v>365</v>
      </c>
      <c r="DH16" s="99" t="s">
        <v>364</v>
      </c>
      <c r="DI16" s="80" t="s">
        <v>365</v>
      </c>
      <c r="DQ16" s="99" t="s">
        <v>364</v>
      </c>
      <c r="DR16" s="80" t="s">
        <v>365</v>
      </c>
      <c r="DZ16" s="95">
        <v>1</v>
      </c>
      <c r="EA16" s="80" t="s">
        <v>393</v>
      </c>
      <c r="EB16">
        <v>1</v>
      </c>
      <c r="EC16">
        <v>1</v>
      </c>
      <c r="EE16">
        <v>1</v>
      </c>
      <c r="EF16">
        <v>1</v>
      </c>
      <c r="EI16" s="99" t="s">
        <v>364</v>
      </c>
      <c r="EJ16" s="80" t="s">
        <v>364</v>
      </c>
      <c r="EK16">
        <v>1</v>
      </c>
      <c r="EL16">
        <v>1</v>
      </c>
      <c r="EN16" s="95">
        <v>1</v>
      </c>
      <c r="EO16" t="s">
        <v>460</v>
      </c>
      <c r="ER16" s="99" t="s">
        <v>364</v>
      </c>
      <c r="ES16" s="80" t="s">
        <v>363</v>
      </c>
      <c r="ET16">
        <v>1</v>
      </c>
      <c r="FA16" s="95" t="s">
        <v>364</v>
      </c>
      <c r="FB16" s="80" t="s">
        <v>393</v>
      </c>
      <c r="FD16">
        <v>1</v>
      </c>
      <c r="FG16">
        <v>1</v>
      </c>
      <c r="FJ16" s="99" t="s">
        <v>364</v>
      </c>
      <c r="FK16" s="80" t="s">
        <v>362</v>
      </c>
      <c r="FL16">
        <v>1</v>
      </c>
      <c r="FM16">
        <v>1</v>
      </c>
      <c r="FP16">
        <v>1</v>
      </c>
      <c r="FS16" s="99" t="s">
        <v>364</v>
      </c>
      <c r="FT16" s="80" t="s">
        <v>363</v>
      </c>
      <c r="FU16">
        <v>1</v>
      </c>
      <c r="FV16">
        <v>1</v>
      </c>
      <c r="GB16">
        <v>0</v>
      </c>
      <c r="GC16" s="80" t="s">
        <v>362</v>
      </c>
      <c r="GD16">
        <v>1</v>
      </c>
      <c r="GE16">
        <v>1</v>
      </c>
      <c r="GK16" s="95" t="s">
        <v>364</v>
      </c>
      <c r="GL16" s="80" t="s">
        <v>362</v>
      </c>
      <c r="GM16">
        <v>1</v>
      </c>
      <c r="GN16">
        <v>1</v>
      </c>
      <c r="GS16" s="145">
        <v>1</v>
      </c>
      <c r="GT16" s="95" t="s">
        <v>364</v>
      </c>
      <c r="GU16" s="80" t="s">
        <v>363</v>
      </c>
      <c r="HD16" s="7"/>
      <c r="HK16" s="7"/>
      <c r="HR16" s="7"/>
      <c r="HY16" s="7"/>
      <c r="IF16" s="7"/>
      <c r="IM16" s="7"/>
      <c r="IT16" s="7"/>
      <c r="JA16" s="7"/>
      <c r="JH16" s="7"/>
      <c r="JO16" s="7"/>
      <c r="JV16" s="7"/>
      <c r="KC16" s="7"/>
      <c r="KJ16" s="7"/>
      <c r="KQ16" s="7"/>
      <c r="KX16" s="7"/>
      <c r="LE16" s="7"/>
      <c r="LL16" s="7"/>
      <c r="LS16" s="7"/>
      <c r="LZ16" s="7"/>
      <c r="MG16" s="7"/>
      <c r="MN16" s="7"/>
      <c r="MU16" s="7"/>
      <c r="NB16" s="7"/>
    </row>
    <row r="17" spans="1:366" x14ac:dyDescent="0.25">
      <c r="A17" s="8" t="s">
        <v>125</v>
      </c>
      <c r="B17" s="8" t="s">
        <v>124</v>
      </c>
      <c r="C17" s="8" t="s">
        <v>158</v>
      </c>
      <c r="D17" s="8" t="s">
        <v>123</v>
      </c>
      <c r="E17" s="18">
        <v>38491</v>
      </c>
      <c r="F17" s="10">
        <f t="shared" si="312"/>
        <v>1</v>
      </c>
      <c r="G17" s="19">
        <f t="shared" si="312"/>
        <v>1</v>
      </c>
      <c r="H17" s="19" t="str">
        <f t="shared" si="312"/>
        <v/>
      </c>
      <c r="I17" s="19" t="str">
        <f t="shared" si="312"/>
        <v/>
      </c>
      <c r="J17" s="19" t="str">
        <f t="shared" si="312"/>
        <v/>
      </c>
      <c r="K17" s="19" t="str">
        <f t="shared" si="312"/>
        <v/>
      </c>
      <c r="L17" s="19" t="str">
        <f t="shared" si="312"/>
        <v/>
      </c>
      <c r="M17" s="8"/>
      <c r="N17" s="8">
        <v>1</v>
      </c>
      <c r="O17" s="9">
        <v>1</v>
      </c>
      <c r="P17" s="8">
        <f t="shared" si="308"/>
        <v>66</v>
      </c>
      <c r="Q17" s="108">
        <f t="shared" si="310"/>
        <v>80.487804878048792</v>
      </c>
      <c r="R17" s="128" t="str">
        <f t="shared" si="311"/>
        <v>-12</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378</v>
      </c>
      <c r="BY17" s="80" t="s">
        <v>364</v>
      </c>
      <c r="CC17">
        <v>1</v>
      </c>
      <c r="CG17" s="95" t="s">
        <v>380</v>
      </c>
      <c r="CH17" s="80" t="s">
        <v>363</v>
      </c>
      <c r="CL17">
        <v>1</v>
      </c>
      <c r="CP17" s="99" t="s">
        <v>364</v>
      </c>
      <c r="CQ17" s="80" t="s">
        <v>367</v>
      </c>
      <c r="CS17">
        <v>1</v>
      </c>
      <c r="CU17">
        <v>1</v>
      </c>
      <c r="CV17">
        <v>1</v>
      </c>
      <c r="CY17" s="99" t="s">
        <v>364</v>
      </c>
      <c r="CZ17" s="80" t="s">
        <v>363</v>
      </c>
      <c r="DH17" s="99" t="s">
        <v>364</v>
      </c>
      <c r="DI17" s="80" t="s">
        <v>365</v>
      </c>
      <c r="DK17">
        <v>1</v>
      </c>
      <c r="DM17">
        <v>1</v>
      </c>
      <c r="DN17">
        <v>1</v>
      </c>
      <c r="DQ17" s="99" t="s">
        <v>364</v>
      </c>
      <c r="DR17" s="80" t="s">
        <v>363</v>
      </c>
      <c r="DT17">
        <v>1</v>
      </c>
      <c r="DV17">
        <v>1</v>
      </c>
      <c r="DW17">
        <v>1</v>
      </c>
      <c r="DZ17" s="95" t="s">
        <v>364</v>
      </c>
      <c r="EA17" s="80" t="s">
        <v>363</v>
      </c>
      <c r="EC17">
        <v>1</v>
      </c>
      <c r="EE17">
        <v>1</v>
      </c>
      <c r="EF17">
        <v>1</v>
      </c>
      <c r="EI17" s="99" t="s">
        <v>364</v>
      </c>
      <c r="EJ17" s="80" t="s">
        <v>363</v>
      </c>
      <c r="EK17">
        <v>1</v>
      </c>
      <c r="EL17">
        <v>1</v>
      </c>
      <c r="EN17" s="95">
        <v>1</v>
      </c>
      <c r="EO17">
        <v>1</v>
      </c>
      <c r="EQ17">
        <v>1</v>
      </c>
      <c r="ER17" s="99" t="s">
        <v>364</v>
      </c>
      <c r="ES17" s="80" t="s">
        <v>398</v>
      </c>
      <c r="EU17">
        <v>1</v>
      </c>
      <c r="EV17">
        <v>1</v>
      </c>
      <c r="EW17">
        <v>1</v>
      </c>
      <c r="FA17" s="95" t="s">
        <v>364</v>
      </c>
      <c r="FB17" s="80" t="s">
        <v>363</v>
      </c>
      <c r="FD17">
        <v>1</v>
      </c>
      <c r="FE17">
        <v>1</v>
      </c>
      <c r="FF17">
        <v>1</v>
      </c>
      <c r="FG17">
        <v>1</v>
      </c>
      <c r="FH17">
        <v>1</v>
      </c>
      <c r="FJ17" s="99" t="s">
        <v>364</v>
      </c>
      <c r="FK17" s="80" t="s">
        <v>398</v>
      </c>
      <c r="FM17">
        <v>1</v>
      </c>
      <c r="FO17">
        <v>1</v>
      </c>
      <c r="FP17">
        <v>1</v>
      </c>
      <c r="FQ17">
        <v>1</v>
      </c>
      <c r="FS17" s="99" t="s">
        <v>364</v>
      </c>
      <c r="FT17" s="80" t="s">
        <v>364</v>
      </c>
      <c r="FU17">
        <v>1</v>
      </c>
      <c r="FV17">
        <v>1</v>
      </c>
      <c r="FX17">
        <v>1</v>
      </c>
      <c r="FY17">
        <v>1</v>
      </c>
      <c r="FZ17">
        <v>1</v>
      </c>
      <c r="GB17">
        <v>0</v>
      </c>
      <c r="GC17" s="80" t="s">
        <v>398</v>
      </c>
      <c r="GD17">
        <v>1</v>
      </c>
      <c r="GE17">
        <v>1</v>
      </c>
      <c r="GH17">
        <v>1</v>
      </c>
      <c r="GI17">
        <v>1</v>
      </c>
      <c r="GK17" s="95" t="s">
        <v>364</v>
      </c>
      <c r="GL17" s="80" t="s">
        <v>364</v>
      </c>
      <c r="GM17">
        <v>1</v>
      </c>
      <c r="GP17">
        <v>1</v>
      </c>
      <c r="GQ17">
        <v>1</v>
      </c>
      <c r="GR17">
        <v>1</v>
      </c>
      <c r="GS17" s="145">
        <v>1</v>
      </c>
      <c r="GT17" s="95" t="s">
        <v>364</v>
      </c>
      <c r="GU17" s="80" t="s">
        <v>398</v>
      </c>
      <c r="HD17" s="7"/>
      <c r="HK17" s="7"/>
      <c r="HR17" s="7"/>
      <c r="HY17" s="7"/>
      <c r="IF17" s="7"/>
      <c r="IM17" s="7"/>
      <c r="IT17" s="7"/>
      <c r="JA17" s="7"/>
      <c r="JH17" s="7"/>
      <c r="JO17" s="7"/>
      <c r="JV17" s="7"/>
      <c r="KC17" s="7"/>
      <c r="KJ17" s="7"/>
      <c r="KQ17" s="7"/>
      <c r="KX17" s="7"/>
      <c r="LE17" s="7"/>
      <c r="LL17" s="7"/>
      <c r="LS17" s="7"/>
      <c r="LZ17" s="7"/>
      <c r="MG17" s="7"/>
      <c r="MN17" s="7"/>
      <c r="MU17" s="7"/>
      <c r="NB17" s="7"/>
    </row>
    <row r="18" spans="1:366" x14ac:dyDescent="0.25">
      <c r="A18" s="8" t="s">
        <v>80</v>
      </c>
      <c r="B18" s="8"/>
      <c r="C18" s="8" t="s">
        <v>160</v>
      </c>
      <c r="D18" s="8" t="s">
        <v>122</v>
      </c>
      <c r="E18" s="18">
        <v>38655</v>
      </c>
      <c r="F18" s="10">
        <f t="shared" si="312"/>
        <v>1</v>
      </c>
      <c r="G18" s="19">
        <f t="shared" si="312"/>
        <v>1</v>
      </c>
      <c r="H18" s="19" t="str">
        <f t="shared" si="312"/>
        <v/>
      </c>
      <c r="I18" s="19" t="str">
        <f t="shared" si="312"/>
        <v/>
      </c>
      <c r="J18" s="19" t="str">
        <f t="shared" si="312"/>
        <v/>
      </c>
      <c r="K18" s="19" t="str">
        <f t="shared" si="312"/>
        <v/>
      </c>
      <c r="L18" s="19" t="str">
        <f t="shared" si="312"/>
        <v/>
      </c>
      <c r="M18" s="8"/>
      <c r="N18" s="8">
        <v>1</v>
      </c>
      <c r="O18" s="9">
        <v>1</v>
      </c>
      <c r="P18" s="8">
        <f t="shared" si="308"/>
        <v>60</v>
      </c>
      <c r="Q18" s="108">
        <f t="shared" si="310"/>
        <v>73.170731707317074</v>
      </c>
      <c r="R18" s="128" t="str">
        <f t="shared" si="311"/>
        <v>-12</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380</v>
      </c>
      <c r="BY18" s="80" t="s">
        <v>363</v>
      </c>
      <c r="CC18">
        <v>1</v>
      </c>
      <c r="CG18" s="95" t="s">
        <v>379</v>
      </c>
      <c r="CH18" s="80" t="s">
        <v>362</v>
      </c>
      <c r="CL18">
        <v>1</v>
      </c>
      <c r="CP18" s="99" t="s">
        <v>379</v>
      </c>
      <c r="CQ18" s="80" t="s">
        <v>362</v>
      </c>
      <c r="CV18">
        <v>1</v>
      </c>
      <c r="CY18" s="99" t="s">
        <v>364</v>
      </c>
      <c r="CZ18" s="80" t="s">
        <v>393</v>
      </c>
      <c r="DB18">
        <v>1</v>
      </c>
      <c r="DH18" s="99" t="s">
        <v>364</v>
      </c>
      <c r="DI18" s="80" t="s">
        <v>393</v>
      </c>
      <c r="DK18">
        <v>1</v>
      </c>
      <c r="DM18">
        <v>1</v>
      </c>
      <c r="DN18">
        <v>1</v>
      </c>
      <c r="DQ18" s="99" t="s">
        <v>364</v>
      </c>
      <c r="DR18" s="80" t="s">
        <v>363</v>
      </c>
      <c r="DT18" t="s">
        <v>413</v>
      </c>
      <c r="DW18">
        <v>1</v>
      </c>
      <c r="DZ18" s="95">
        <v>8</v>
      </c>
      <c r="EA18" s="80" t="s">
        <v>380</v>
      </c>
      <c r="EB18">
        <v>1</v>
      </c>
      <c r="EC18">
        <v>1</v>
      </c>
      <c r="EE18">
        <v>1</v>
      </c>
      <c r="EI18" s="99" t="s">
        <v>364</v>
      </c>
      <c r="EJ18" s="80" t="s">
        <v>363</v>
      </c>
      <c r="EK18">
        <v>1</v>
      </c>
      <c r="EL18">
        <v>1</v>
      </c>
      <c r="EN18" s="95">
        <v>1</v>
      </c>
      <c r="EQ18">
        <v>1</v>
      </c>
      <c r="ER18" s="99" t="s">
        <v>364</v>
      </c>
      <c r="ES18" s="80" t="s">
        <v>364</v>
      </c>
      <c r="ET18">
        <v>1</v>
      </c>
      <c r="EV18">
        <v>1</v>
      </c>
      <c r="EW18">
        <v>1</v>
      </c>
      <c r="FA18" s="95" t="s">
        <v>364</v>
      </c>
      <c r="FB18" s="80" t="s">
        <v>363</v>
      </c>
      <c r="FC18">
        <v>1</v>
      </c>
      <c r="FF18">
        <v>1</v>
      </c>
      <c r="FH18">
        <v>1</v>
      </c>
      <c r="FJ18" s="99" t="s">
        <v>364</v>
      </c>
      <c r="FK18" s="80" t="s">
        <v>363</v>
      </c>
      <c r="FM18">
        <v>1</v>
      </c>
      <c r="FP18">
        <v>1</v>
      </c>
      <c r="FQ18">
        <v>1</v>
      </c>
      <c r="FS18" s="99" t="s">
        <v>364</v>
      </c>
      <c r="FT18" s="80" t="s">
        <v>363</v>
      </c>
      <c r="FU18">
        <v>1</v>
      </c>
      <c r="FV18">
        <v>1</v>
      </c>
      <c r="FY18">
        <v>1</v>
      </c>
      <c r="FZ18">
        <v>1</v>
      </c>
      <c r="GB18">
        <v>0</v>
      </c>
      <c r="GC18" s="80" t="s">
        <v>364</v>
      </c>
      <c r="GD18">
        <v>1</v>
      </c>
      <c r="GE18">
        <v>1</v>
      </c>
      <c r="GH18">
        <v>1</v>
      </c>
      <c r="GI18">
        <v>1</v>
      </c>
      <c r="GK18" s="95" t="s">
        <v>364</v>
      </c>
      <c r="GL18" s="80" t="s">
        <v>364</v>
      </c>
      <c r="GM18">
        <v>1</v>
      </c>
      <c r="GQ18">
        <v>1</v>
      </c>
      <c r="GS18" s="145">
        <v>1</v>
      </c>
      <c r="GT18" s="95" t="s">
        <v>364</v>
      </c>
      <c r="GU18" s="80" t="s">
        <v>363</v>
      </c>
      <c r="HD18" s="7"/>
      <c r="HK18" s="7"/>
      <c r="HR18" s="7"/>
      <c r="HY18" s="7"/>
      <c r="IF18" s="7"/>
      <c r="IM18" s="7"/>
      <c r="IT18" s="7"/>
      <c r="JA18" s="7"/>
      <c r="JH18" s="7"/>
      <c r="JO18" s="7"/>
      <c r="JV18" s="7"/>
      <c r="KC18" s="7"/>
      <c r="KJ18" s="7"/>
      <c r="KQ18" s="7"/>
      <c r="KX18" s="7"/>
      <c r="LE18" s="7"/>
      <c r="LL18" s="7"/>
      <c r="LS18" s="7"/>
      <c r="LZ18" s="7"/>
      <c r="MG18" s="7"/>
      <c r="MN18" s="7"/>
      <c r="MU18" s="7"/>
      <c r="NB18" s="7"/>
    </row>
    <row r="19" spans="1:366" x14ac:dyDescent="0.25">
      <c r="A19" s="8" t="s">
        <v>155</v>
      </c>
      <c r="B19" s="8"/>
      <c r="C19" s="8" t="s">
        <v>156</v>
      </c>
      <c r="D19" s="8" t="s">
        <v>139</v>
      </c>
      <c r="E19" s="18">
        <v>37863</v>
      </c>
      <c r="F19" s="10">
        <f t="shared" si="312"/>
        <v>1</v>
      </c>
      <c r="G19" s="19" t="str">
        <f t="shared" si="312"/>
        <v/>
      </c>
      <c r="H19" s="19" t="str">
        <f t="shared" si="312"/>
        <v/>
      </c>
      <c r="I19" s="19" t="str">
        <f t="shared" si="312"/>
        <v/>
      </c>
      <c r="J19" s="19" t="str">
        <f t="shared" si="312"/>
        <v/>
      </c>
      <c r="K19" s="19" t="str">
        <f t="shared" si="312"/>
        <v/>
      </c>
      <c r="L19" s="19" t="str">
        <f t="shared" si="312"/>
        <v/>
      </c>
      <c r="M19" s="8"/>
      <c r="N19" s="8">
        <v>1</v>
      </c>
      <c r="O19" s="9">
        <v>1</v>
      </c>
      <c r="P19" s="8">
        <f t="shared" si="308"/>
        <v>61</v>
      </c>
      <c r="Q19" s="108">
        <f t="shared" si="310"/>
        <v>74.390243902439025</v>
      </c>
      <c r="R19" s="128" t="str">
        <f t="shared" si="311"/>
        <v>-7</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378</v>
      </c>
      <c r="BY19" s="80" t="s">
        <v>364</v>
      </c>
      <c r="CG19" s="95" t="s">
        <v>384</v>
      </c>
      <c r="CH19" s="80" t="s">
        <v>383</v>
      </c>
      <c r="CO19">
        <v>1</v>
      </c>
      <c r="CP19" s="99" t="s">
        <v>379</v>
      </c>
      <c r="CQ19" s="80" t="s">
        <v>362</v>
      </c>
      <c r="CS19">
        <v>1</v>
      </c>
      <c r="CU19">
        <v>1</v>
      </c>
      <c r="CV19">
        <v>1</v>
      </c>
      <c r="CX19">
        <v>1</v>
      </c>
      <c r="CY19" s="99" t="s">
        <v>380</v>
      </c>
      <c r="CZ19" s="80" t="s">
        <v>380</v>
      </c>
      <c r="DB19">
        <v>1</v>
      </c>
      <c r="DE19">
        <v>1</v>
      </c>
      <c r="DH19" s="99" t="s">
        <v>380</v>
      </c>
      <c r="DI19" s="80" t="s">
        <v>384</v>
      </c>
      <c r="DK19">
        <v>1</v>
      </c>
      <c r="DM19">
        <v>1</v>
      </c>
      <c r="DN19">
        <v>1</v>
      </c>
      <c r="DQ19" s="99" t="s">
        <v>398</v>
      </c>
      <c r="DR19" s="80" t="s">
        <v>364</v>
      </c>
      <c r="DT19" t="s">
        <v>388</v>
      </c>
      <c r="DW19">
        <v>1</v>
      </c>
      <c r="DZ19" s="95" t="s">
        <v>364</v>
      </c>
      <c r="EA19" s="80" t="s">
        <v>393</v>
      </c>
      <c r="EB19" t="s">
        <v>388</v>
      </c>
      <c r="EE19">
        <v>1</v>
      </c>
      <c r="EI19" s="99" t="s">
        <v>364</v>
      </c>
      <c r="EJ19" s="80" t="s">
        <v>393</v>
      </c>
      <c r="EK19">
        <v>1</v>
      </c>
      <c r="EL19">
        <v>1</v>
      </c>
      <c r="EN19" s="95">
        <v>1</v>
      </c>
      <c r="EO19">
        <v>1</v>
      </c>
      <c r="EQ19">
        <v>1</v>
      </c>
      <c r="ER19" s="99" t="s">
        <v>364</v>
      </c>
      <c r="ES19" s="80" t="s">
        <v>398</v>
      </c>
      <c r="ET19">
        <v>1</v>
      </c>
      <c r="EU19">
        <v>1</v>
      </c>
      <c r="EV19">
        <v>1</v>
      </c>
      <c r="EW19">
        <v>1</v>
      </c>
      <c r="FA19" s="95" t="s">
        <v>364</v>
      </c>
      <c r="FB19" s="80" t="s">
        <v>364</v>
      </c>
      <c r="FC19">
        <v>1</v>
      </c>
      <c r="FE19">
        <v>1</v>
      </c>
      <c r="FF19">
        <v>1</v>
      </c>
      <c r="FH19">
        <v>1</v>
      </c>
      <c r="FJ19" s="99" t="s">
        <v>364</v>
      </c>
      <c r="FK19" s="80" t="s">
        <v>364</v>
      </c>
      <c r="FM19">
        <v>1</v>
      </c>
      <c r="FO19">
        <v>1</v>
      </c>
      <c r="FP19">
        <v>1</v>
      </c>
      <c r="FQ19">
        <v>1</v>
      </c>
      <c r="FS19" s="99" t="s">
        <v>364</v>
      </c>
      <c r="FT19" s="80" t="s">
        <v>364</v>
      </c>
      <c r="FV19">
        <v>1</v>
      </c>
      <c r="GB19">
        <v>0</v>
      </c>
      <c r="GC19" s="80" t="s">
        <v>393</v>
      </c>
      <c r="GD19">
        <v>1</v>
      </c>
      <c r="GE19">
        <v>1</v>
      </c>
      <c r="GH19">
        <v>1</v>
      </c>
      <c r="GI19">
        <v>1</v>
      </c>
      <c r="GK19" s="95" t="s">
        <v>364</v>
      </c>
      <c r="GL19" s="80" t="s">
        <v>364</v>
      </c>
      <c r="GM19">
        <v>1</v>
      </c>
      <c r="GQ19">
        <v>1</v>
      </c>
      <c r="GR19">
        <v>1</v>
      </c>
      <c r="GS19" s="145">
        <v>1</v>
      </c>
      <c r="GT19" s="95" t="s">
        <v>364</v>
      </c>
      <c r="GU19" s="80" t="s">
        <v>364</v>
      </c>
      <c r="HD19" s="7"/>
      <c r="HK19" s="7"/>
      <c r="HR19" s="7"/>
      <c r="HY19" s="7"/>
      <c r="IF19" s="7"/>
      <c r="IM19" s="7"/>
      <c r="IT19" s="7"/>
      <c r="JA19" s="7"/>
      <c r="JH19" s="7"/>
      <c r="JO19" s="7"/>
      <c r="JV19" s="7"/>
      <c r="KC19" s="7"/>
      <c r="KJ19" s="7"/>
      <c r="KQ19" s="7"/>
      <c r="KX19" s="7"/>
      <c r="LE19" s="7"/>
      <c r="LL19" s="7"/>
      <c r="LS19" s="7"/>
      <c r="LZ19" s="7"/>
      <c r="MG19" s="7"/>
      <c r="MN19" s="7"/>
      <c r="MU19" s="7"/>
      <c r="NB19" s="7"/>
    </row>
    <row r="20" spans="1:366" x14ac:dyDescent="0.25">
      <c r="A20" s="8" t="s">
        <v>80</v>
      </c>
      <c r="B20" s="8"/>
      <c r="C20" s="8" t="s">
        <v>143</v>
      </c>
      <c r="D20" s="8" t="s">
        <v>139</v>
      </c>
      <c r="E20" s="18">
        <v>37863</v>
      </c>
      <c r="F20" s="10">
        <f t="shared" si="312"/>
        <v>1</v>
      </c>
      <c r="G20" s="19" t="str">
        <f t="shared" si="312"/>
        <v/>
      </c>
      <c r="H20" s="19" t="str">
        <f t="shared" si="312"/>
        <v/>
      </c>
      <c r="I20" s="19" t="str">
        <f t="shared" si="312"/>
        <v/>
      </c>
      <c r="J20" s="19" t="str">
        <f t="shared" si="312"/>
        <v/>
      </c>
      <c r="K20" s="19" t="str">
        <f t="shared" si="312"/>
        <v/>
      </c>
      <c r="L20" s="19" t="str">
        <f t="shared" si="312"/>
        <v/>
      </c>
      <c r="M20" s="8"/>
      <c r="N20" s="8">
        <v>1</v>
      </c>
      <c r="O20" s="9">
        <v>1</v>
      </c>
      <c r="P20" s="8">
        <f t="shared" si="308"/>
        <v>55</v>
      </c>
      <c r="Q20" s="108">
        <f t="shared" si="310"/>
        <v>67.073170731707322</v>
      </c>
      <c r="R20" s="128" t="str">
        <f t="shared" si="311"/>
        <v>-28</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378</v>
      </c>
      <c r="BY20" s="80" t="s">
        <v>364</v>
      </c>
      <c r="CG20" s="95" t="s">
        <v>364</v>
      </c>
      <c r="CH20" s="80" t="s">
        <v>368</v>
      </c>
      <c r="CO20">
        <v>1</v>
      </c>
      <c r="CP20" s="99" t="s">
        <v>364</v>
      </c>
      <c r="CQ20" s="80" t="s">
        <v>367</v>
      </c>
      <c r="CS20">
        <v>1</v>
      </c>
      <c r="CU20">
        <v>1</v>
      </c>
      <c r="CV20">
        <v>1</v>
      </c>
      <c r="CX20">
        <v>1</v>
      </c>
      <c r="CY20" s="99" t="s">
        <v>364</v>
      </c>
      <c r="CZ20" s="80" t="s">
        <v>364</v>
      </c>
      <c r="DB20">
        <v>1</v>
      </c>
      <c r="DE20">
        <v>1</v>
      </c>
      <c r="DH20" s="99" t="s">
        <v>364</v>
      </c>
      <c r="DI20" s="80" t="s">
        <v>362</v>
      </c>
      <c r="DK20">
        <v>1</v>
      </c>
      <c r="DM20">
        <v>1</v>
      </c>
      <c r="DN20">
        <v>1</v>
      </c>
      <c r="DQ20" s="99" t="s">
        <v>398</v>
      </c>
      <c r="DR20" s="80" t="s">
        <v>364</v>
      </c>
      <c r="DT20" t="s">
        <v>388</v>
      </c>
      <c r="DW20">
        <v>1</v>
      </c>
      <c r="DZ20" s="95" t="s">
        <v>364</v>
      </c>
      <c r="EA20" s="80" t="s">
        <v>393</v>
      </c>
      <c r="EB20" t="s">
        <v>388</v>
      </c>
      <c r="EE20">
        <v>1</v>
      </c>
      <c r="EI20" s="99" t="s">
        <v>364</v>
      </c>
      <c r="EJ20" s="80" t="s">
        <v>393</v>
      </c>
      <c r="EK20">
        <v>1</v>
      </c>
      <c r="EL20">
        <v>1</v>
      </c>
      <c r="EN20" s="95">
        <v>1</v>
      </c>
      <c r="EO20">
        <v>1</v>
      </c>
      <c r="EQ20">
        <v>1</v>
      </c>
      <c r="ER20" s="99" t="s">
        <v>364</v>
      </c>
      <c r="ES20" s="80" t="s">
        <v>398</v>
      </c>
      <c r="ET20">
        <v>1</v>
      </c>
      <c r="EU20">
        <v>1</v>
      </c>
      <c r="EW20">
        <v>1</v>
      </c>
      <c r="FA20" s="95" t="s">
        <v>364</v>
      </c>
      <c r="FB20" s="80" t="s">
        <v>363</v>
      </c>
      <c r="FE20">
        <v>1</v>
      </c>
      <c r="FH20">
        <v>1</v>
      </c>
      <c r="FJ20" s="99" t="s">
        <v>364</v>
      </c>
      <c r="FK20" s="80" t="s">
        <v>362</v>
      </c>
      <c r="FM20">
        <v>1</v>
      </c>
      <c r="FO20">
        <v>1</v>
      </c>
      <c r="FP20">
        <v>1</v>
      </c>
      <c r="FQ20">
        <v>1</v>
      </c>
      <c r="FS20" s="99" t="s">
        <v>364</v>
      </c>
      <c r="FT20" s="80" t="s">
        <v>364</v>
      </c>
      <c r="FV20">
        <v>1</v>
      </c>
      <c r="GB20">
        <v>0</v>
      </c>
      <c r="GC20" s="80" t="s">
        <v>393</v>
      </c>
      <c r="GD20">
        <v>1</v>
      </c>
      <c r="GE20">
        <v>1</v>
      </c>
      <c r="GG20">
        <v>1</v>
      </c>
      <c r="GH20">
        <v>1</v>
      </c>
      <c r="GI20">
        <v>1</v>
      </c>
      <c r="GK20" s="95" t="s">
        <v>364</v>
      </c>
      <c r="GL20" s="80" t="s">
        <v>398</v>
      </c>
      <c r="GM20">
        <v>1</v>
      </c>
      <c r="GS20" s="145">
        <v>1</v>
      </c>
      <c r="GT20" s="95" t="s">
        <v>364</v>
      </c>
      <c r="GU20" s="80" t="s">
        <v>362</v>
      </c>
      <c r="HD20" s="7"/>
      <c r="HK20" s="7"/>
      <c r="HR20" s="7"/>
      <c r="HY20" s="7"/>
      <c r="IF20" s="7"/>
      <c r="IM20" s="7"/>
      <c r="IT20" s="7"/>
      <c r="JA20" s="7"/>
      <c r="JH20" s="7"/>
      <c r="JO20" s="7"/>
      <c r="JV20" s="7"/>
      <c r="KC20" s="7"/>
      <c r="KJ20" s="7"/>
      <c r="KQ20" s="7"/>
      <c r="KX20" s="7"/>
      <c r="LE20" s="7"/>
      <c r="LL20" s="7"/>
      <c r="LS20" s="7"/>
      <c r="LZ20" s="7"/>
      <c r="MG20" s="7"/>
      <c r="MN20" s="7"/>
      <c r="MU20" s="7"/>
      <c r="NB20" s="7"/>
    </row>
    <row r="21" spans="1:366" x14ac:dyDescent="0.25">
      <c r="A21" s="8" t="s">
        <v>142</v>
      </c>
      <c r="B21" s="8" t="s">
        <v>141</v>
      </c>
      <c r="C21" s="8" t="s">
        <v>140</v>
      </c>
      <c r="D21" s="8" t="s">
        <v>139</v>
      </c>
      <c r="E21" s="18">
        <v>38954</v>
      </c>
      <c r="F21" s="10">
        <f t="shared" si="312"/>
        <v>1</v>
      </c>
      <c r="G21" s="19">
        <f t="shared" si="312"/>
        <v>1</v>
      </c>
      <c r="H21" s="19">
        <f t="shared" si="312"/>
        <v>1</v>
      </c>
      <c r="I21" s="19" t="str">
        <f t="shared" si="312"/>
        <v/>
      </c>
      <c r="J21" s="19" t="str">
        <f t="shared" si="312"/>
        <v/>
      </c>
      <c r="K21" s="19" t="str">
        <f t="shared" si="312"/>
        <v/>
      </c>
      <c r="L21" s="19" t="str">
        <f t="shared" si="312"/>
        <v/>
      </c>
      <c r="M21" s="8">
        <v>1</v>
      </c>
      <c r="N21" s="8">
        <v>1</v>
      </c>
      <c r="O21" s="9"/>
      <c r="P21" s="8">
        <f t="shared" si="308"/>
        <v>52</v>
      </c>
      <c r="Q21" s="108">
        <f t="shared" si="310"/>
        <v>63.414634146341463</v>
      </c>
      <c r="R21" s="128" t="str">
        <f t="shared" si="311"/>
        <v>-21</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378</v>
      </c>
      <c r="BY21" s="80" t="s">
        <v>364</v>
      </c>
      <c r="CG21" s="95" t="s">
        <v>364</v>
      </c>
      <c r="CH21" s="80" t="s">
        <v>368</v>
      </c>
      <c r="CO21">
        <v>1</v>
      </c>
      <c r="CP21" s="99" t="s">
        <v>364</v>
      </c>
      <c r="CQ21" s="80" t="s">
        <v>367</v>
      </c>
      <c r="CS21">
        <v>1</v>
      </c>
      <c r="CU21">
        <v>1</v>
      </c>
      <c r="CV21">
        <v>1</v>
      </c>
      <c r="CX21">
        <v>1</v>
      </c>
      <c r="CY21" s="99" t="s">
        <v>380</v>
      </c>
      <c r="CZ21" s="80" t="s">
        <v>380</v>
      </c>
      <c r="DB21">
        <v>1</v>
      </c>
      <c r="DE21">
        <v>1</v>
      </c>
      <c r="DH21" s="99" t="s">
        <v>419</v>
      </c>
      <c r="DI21" s="80" t="s">
        <v>384</v>
      </c>
      <c r="DK21">
        <v>1</v>
      </c>
      <c r="DM21">
        <v>1</v>
      </c>
      <c r="DN21">
        <v>1</v>
      </c>
      <c r="DQ21" s="99" t="s">
        <v>398</v>
      </c>
      <c r="DR21" s="80" t="s">
        <v>364</v>
      </c>
      <c r="DT21" t="s">
        <v>388</v>
      </c>
      <c r="DW21">
        <v>1</v>
      </c>
      <c r="DZ21" s="95" t="s">
        <v>364</v>
      </c>
      <c r="EA21" s="80" t="s">
        <v>393</v>
      </c>
      <c r="EB21" t="s">
        <v>388</v>
      </c>
      <c r="EE21">
        <v>1</v>
      </c>
      <c r="EI21" s="99" t="s">
        <v>364</v>
      </c>
      <c r="EJ21" s="80" t="s">
        <v>393</v>
      </c>
      <c r="EK21">
        <v>1</v>
      </c>
      <c r="EL21">
        <v>1</v>
      </c>
      <c r="EN21" s="96"/>
      <c r="EO21">
        <v>1</v>
      </c>
      <c r="EQ21">
        <v>1</v>
      </c>
      <c r="ER21" s="99">
        <v>4</v>
      </c>
      <c r="ES21" s="80" t="s">
        <v>379</v>
      </c>
      <c r="ET21">
        <v>1</v>
      </c>
      <c r="EU21">
        <v>1</v>
      </c>
      <c r="EW21">
        <v>1</v>
      </c>
      <c r="FA21" s="95" t="s">
        <v>364</v>
      </c>
      <c r="FB21" s="80" t="s">
        <v>363</v>
      </c>
      <c r="FC21">
        <v>1</v>
      </c>
      <c r="FJ21" s="99" t="s">
        <v>398</v>
      </c>
      <c r="FK21" s="80" t="s">
        <v>362</v>
      </c>
      <c r="FP21">
        <v>1</v>
      </c>
      <c r="FS21" s="99">
        <v>0</v>
      </c>
      <c r="FT21" s="80" t="s">
        <v>393</v>
      </c>
      <c r="GB21">
        <v>0</v>
      </c>
      <c r="GC21" s="80" t="s">
        <v>365</v>
      </c>
      <c r="GE21">
        <v>1</v>
      </c>
      <c r="GG21">
        <v>1</v>
      </c>
      <c r="GH21">
        <v>1</v>
      </c>
      <c r="GK21" s="95" t="s">
        <v>364</v>
      </c>
      <c r="GL21" s="80" t="s">
        <v>363</v>
      </c>
      <c r="GQ21">
        <v>1</v>
      </c>
      <c r="GS21" s="145">
        <v>1</v>
      </c>
      <c r="GT21" s="95" t="s">
        <v>364</v>
      </c>
      <c r="GU21" s="80" t="s">
        <v>362</v>
      </c>
      <c r="HD21" s="7"/>
      <c r="HK21" s="7"/>
      <c r="HR21" s="7"/>
      <c r="HY21" s="7"/>
      <c r="IF21" s="7"/>
      <c r="IM21" s="7"/>
      <c r="IT21" s="7"/>
      <c r="JA21" s="7"/>
      <c r="JH21" s="7"/>
      <c r="JO21" s="7"/>
      <c r="JV21" s="7"/>
      <c r="KC21" s="7"/>
      <c r="KJ21" s="7"/>
      <c r="KQ21" s="7"/>
      <c r="KX21" s="7"/>
      <c r="LE21" s="7"/>
      <c r="LL21" s="7"/>
      <c r="LS21" s="7"/>
      <c r="LZ21" s="7"/>
      <c r="MG21" s="7"/>
      <c r="MN21" s="7"/>
      <c r="MU21" s="7"/>
      <c r="NB21" s="7"/>
    </row>
    <row r="22" spans="1:366" hidden="1" x14ac:dyDescent="0.25">
      <c r="A22" s="8" t="s">
        <v>162</v>
      </c>
      <c r="B22" s="8" t="s">
        <v>184</v>
      </c>
      <c r="C22" s="8" t="s">
        <v>186</v>
      </c>
      <c r="D22" s="8" t="s">
        <v>185</v>
      </c>
      <c r="E22" s="18"/>
      <c r="F22" s="10" t="str">
        <f t="shared" si="312"/>
        <v/>
      </c>
      <c r="G22" s="19" t="str">
        <f t="shared" si="312"/>
        <v/>
      </c>
      <c r="H22" s="19" t="str">
        <f t="shared" si="312"/>
        <v/>
      </c>
      <c r="I22" s="19" t="str">
        <f t="shared" si="312"/>
        <v/>
      </c>
      <c r="J22" s="19" t="str">
        <f t="shared" si="312"/>
        <v/>
      </c>
      <c r="K22" s="19" t="str">
        <f t="shared" si="312"/>
        <v/>
      </c>
      <c r="L22" s="19" t="str">
        <f t="shared" si="312"/>
        <v/>
      </c>
      <c r="M22" s="8"/>
      <c r="N22" s="8">
        <v>1</v>
      </c>
      <c r="O22" s="9"/>
      <c r="P22" s="8">
        <f t="shared" si="308"/>
        <v>1</v>
      </c>
      <c r="Q22" s="108">
        <f t="shared" si="310"/>
        <v>1.2195121951219512</v>
      </c>
      <c r="R22" s="128" t="str">
        <f t="shared" si="311"/>
        <v>-13</v>
      </c>
      <c r="S22" s="7">
        <v>1</v>
      </c>
      <c r="Z22" s="7"/>
      <c r="AG22" s="7"/>
      <c r="AN22" s="7"/>
      <c r="AU22" s="7"/>
      <c r="BB22" s="7"/>
      <c r="BI22" s="7"/>
      <c r="BP22" s="7"/>
      <c r="BX22" s="95" t="s">
        <v>364</v>
      </c>
      <c r="BY22" s="80" t="s">
        <v>367</v>
      </c>
      <c r="CG22" s="95" t="s">
        <v>364</v>
      </c>
      <c r="CH22" s="80" t="s">
        <v>368</v>
      </c>
      <c r="CP22" s="99" t="s">
        <v>364</v>
      </c>
      <c r="CQ22" s="80" t="s">
        <v>366</v>
      </c>
      <c r="CY22" s="99" t="s">
        <v>364</v>
      </c>
      <c r="CZ22" s="80" t="s">
        <v>366</v>
      </c>
      <c r="DH22" s="99" t="s">
        <v>364</v>
      </c>
      <c r="DI22" s="80" t="s">
        <v>366</v>
      </c>
      <c r="DQ22" s="99" t="s">
        <v>364</v>
      </c>
      <c r="DR22" s="80" t="s">
        <v>366</v>
      </c>
      <c r="DZ22" s="95" t="s">
        <v>364</v>
      </c>
      <c r="EA22" s="80" t="s">
        <v>363</v>
      </c>
      <c r="EI22" s="99" t="s">
        <v>364</v>
      </c>
      <c r="EJ22" s="80" t="s">
        <v>364</v>
      </c>
      <c r="EN22" s="96"/>
      <c r="ER22" s="99" t="s">
        <v>364</v>
      </c>
      <c r="ES22" s="80" t="s">
        <v>398</v>
      </c>
      <c r="FA22" s="95" t="s">
        <v>364</v>
      </c>
      <c r="FB22" s="80" t="s">
        <v>364</v>
      </c>
      <c r="FJ22" s="99" t="s">
        <v>364</v>
      </c>
      <c r="FK22" s="80" t="s">
        <v>398</v>
      </c>
      <c r="FS22" s="99" t="s">
        <v>364</v>
      </c>
      <c r="FT22" s="80" t="s">
        <v>366</v>
      </c>
      <c r="GC22" s="80" t="s">
        <v>366</v>
      </c>
      <c r="GK22" s="95" t="s">
        <v>364</v>
      </c>
      <c r="GL22" s="80" t="s">
        <v>366</v>
      </c>
      <c r="GS22" s="145"/>
      <c r="GT22" s="95" t="s">
        <v>364</v>
      </c>
      <c r="GU22" s="80" t="s">
        <v>366</v>
      </c>
      <c r="HD22" s="7"/>
      <c r="HK22" s="7"/>
      <c r="HR22" s="7"/>
      <c r="HY22" s="7"/>
      <c r="IF22" s="7"/>
      <c r="IM22" s="7"/>
      <c r="IT22" s="7"/>
      <c r="JA22" s="7"/>
      <c r="JH22" s="7"/>
      <c r="JO22" s="7"/>
      <c r="JV22" s="7"/>
      <c r="KC22" s="7"/>
      <c r="KJ22" s="7"/>
      <c r="KQ22" s="7"/>
      <c r="KX22" s="7"/>
      <c r="LE22" s="7"/>
      <c r="LL22" s="7"/>
      <c r="LS22" s="7"/>
      <c r="LZ22" s="7"/>
      <c r="MG22" s="7"/>
      <c r="MN22" s="7"/>
      <c r="MU22" s="7"/>
      <c r="NB22" s="7"/>
    </row>
    <row r="23" spans="1:366" x14ac:dyDescent="0.25">
      <c r="A23" s="8" t="s">
        <v>138</v>
      </c>
      <c r="B23" s="8" t="s">
        <v>137</v>
      </c>
      <c r="C23" s="8" t="s">
        <v>136</v>
      </c>
      <c r="D23" s="8" t="s">
        <v>135</v>
      </c>
      <c r="E23" s="18">
        <v>39155</v>
      </c>
      <c r="F23" s="10">
        <f t="shared" si="312"/>
        <v>1</v>
      </c>
      <c r="G23" s="19">
        <f t="shared" si="312"/>
        <v>1</v>
      </c>
      <c r="H23" s="19">
        <f t="shared" si="312"/>
        <v>1</v>
      </c>
      <c r="I23" s="19">
        <f t="shared" si="312"/>
        <v>1</v>
      </c>
      <c r="J23" s="19" t="str">
        <f t="shared" si="312"/>
        <v/>
      </c>
      <c r="K23" s="19" t="str">
        <f t="shared" si="312"/>
        <v/>
      </c>
      <c r="L23" s="19" t="str">
        <f t="shared" si="312"/>
        <v/>
      </c>
      <c r="M23" s="8">
        <v>1</v>
      </c>
      <c r="N23" s="8">
        <v>1</v>
      </c>
      <c r="O23" s="9"/>
      <c r="P23" s="8">
        <f t="shared" si="308"/>
        <v>54</v>
      </c>
      <c r="Q23" s="108">
        <f t="shared" si="310"/>
        <v>65.853658536585371</v>
      </c>
      <c r="R23" s="128" t="str">
        <f t="shared" si="311"/>
        <v>-31</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378</v>
      </c>
      <c r="BY23" s="80" t="s">
        <v>364</v>
      </c>
      <c r="CG23" s="95" t="s">
        <v>364</v>
      </c>
      <c r="CH23" s="80" t="s">
        <v>368</v>
      </c>
      <c r="CP23" s="99" t="s">
        <v>364</v>
      </c>
      <c r="CQ23" s="80" t="s">
        <v>368</v>
      </c>
      <c r="CY23" s="99" t="s">
        <v>364</v>
      </c>
      <c r="CZ23" s="80" t="s">
        <v>365</v>
      </c>
      <c r="DH23" s="99" t="s">
        <v>364</v>
      </c>
      <c r="DI23" s="80" t="s">
        <v>365</v>
      </c>
      <c r="DN23">
        <v>1</v>
      </c>
      <c r="DQ23" s="99" t="s">
        <v>364</v>
      </c>
      <c r="DR23" s="80" t="s">
        <v>393</v>
      </c>
      <c r="DV23">
        <v>1</v>
      </c>
      <c r="DW23">
        <v>1</v>
      </c>
      <c r="DZ23" s="95" t="s">
        <v>364</v>
      </c>
      <c r="EA23" s="80" t="s">
        <v>362</v>
      </c>
      <c r="EB23">
        <v>1</v>
      </c>
      <c r="EC23">
        <v>1</v>
      </c>
      <c r="EE23">
        <v>1</v>
      </c>
      <c r="EF23">
        <v>1</v>
      </c>
      <c r="EI23" s="99" t="s">
        <v>364</v>
      </c>
      <c r="EJ23" s="80" t="s">
        <v>364</v>
      </c>
      <c r="EN23" s="96"/>
      <c r="EO23">
        <v>1</v>
      </c>
      <c r="EQ23">
        <v>1</v>
      </c>
      <c r="ER23" s="99">
        <v>4</v>
      </c>
      <c r="ES23" s="80" t="s">
        <v>392</v>
      </c>
      <c r="ET23">
        <v>1</v>
      </c>
      <c r="EU23">
        <v>1</v>
      </c>
      <c r="EV23">
        <v>1</v>
      </c>
      <c r="EW23">
        <v>1</v>
      </c>
      <c r="FA23" s="95" t="s">
        <v>364</v>
      </c>
      <c r="FB23" s="80" t="s">
        <v>364</v>
      </c>
      <c r="FD23">
        <v>1</v>
      </c>
      <c r="FE23">
        <v>1</v>
      </c>
      <c r="FF23">
        <v>1</v>
      </c>
      <c r="FJ23" s="99" t="s">
        <v>392</v>
      </c>
      <c r="FK23" s="80" t="s">
        <v>398</v>
      </c>
      <c r="FL23">
        <v>1</v>
      </c>
      <c r="FM23">
        <v>1</v>
      </c>
      <c r="FO23">
        <v>1</v>
      </c>
      <c r="FS23" s="99">
        <v>0</v>
      </c>
      <c r="FT23" s="80" t="s">
        <v>363</v>
      </c>
      <c r="FU23">
        <v>1</v>
      </c>
      <c r="FX23">
        <v>1</v>
      </c>
      <c r="GB23">
        <v>0</v>
      </c>
      <c r="GC23" s="80" t="s">
        <v>362</v>
      </c>
      <c r="GD23">
        <v>1</v>
      </c>
      <c r="GG23">
        <v>1</v>
      </c>
      <c r="GK23" s="95" t="s">
        <v>364</v>
      </c>
      <c r="GL23" s="80" t="s">
        <v>362</v>
      </c>
      <c r="GM23">
        <v>1</v>
      </c>
      <c r="GP23">
        <v>1</v>
      </c>
      <c r="GQ23">
        <v>1</v>
      </c>
      <c r="GS23" s="145">
        <v>1</v>
      </c>
      <c r="GT23" s="95" t="s">
        <v>364</v>
      </c>
      <c r="GU23" s="80" t="s">
        <v>364</v>
      </c>
      <c r="HD23" s="7"/>
      <c r="HK23" s="7"/>
      <c r="HR23" s="7"/>
      <c r="HY23" s="7"/>
      <c r="IF23" s="7"/>
      <c r="IM23" s="7"/>
      <c r="IT23" s="7"/>
      <c r="JA23" s="7"/>
      <c r="JH23" s="7"/>
      <c r="JO23" s="7"/>
      <c r="JV23" s="7"/>
      <c r="KC23" s="7"/>
      <c r="KJ23" s="7"/>
      <c r="KQ23" s="7"/>
      <c r="KX23" s="7"/>
      <c r="LE23" s="7"/>
      <c r="LL23" s="7"/>
      <c r="LS23" s="7"/>
      <c r="LZ23" s="7"/>
      <c r="MG23" s="7"/>
      <c r="MN23" s="7"/>
      <c r="MU23" s="7"/>
      <c r="NB23" s="7"/>
    </row>
    <row r="24" spans="1:366" x14ac:dyDescent="0.25">
      <c r="A24" s="8" t="s">
        <v>134</v>
      </c>
      <c r="B24" s="8" t="s">
        <v>133</v>
      </c>
      <c r="C24" s="8" t="s">
        <v>169</v>
      </c>
      <c r="D24" s="8" t="s">
        <v>170</v>
      </c>
      <c r="E24" s="18">
        <v>37177</v>
      </c>
      <c r="F24" s="10" t="str">
        <f t="shared" si="312"/>
        <v/>
      </c>
      <c r="G24" s="19" t="str">
        <f t="shared" si="312"/>
        <v/>
      </c>
      <c r="H24" s="19" t="str">
        <f t="shared" si="312"/>
        <v/>
      </c>
      <c r="I24" s="19" t="str">
        <f t="shared" si="312"/>
        <v/>
      </c>
      <c r="J24" s="19" t="str">
        <f t="shared" si="312"/>
        <v/>
      </c>
      <c r="K24" s="19" t="str">
        <f t="shared" si="312"/>
        <v/>
      </c>
      <c r="L24" s="19" t="str">
        <f t="shared" si="312"/>
        <v/>
      </c>
      <c r="M24" s="8"/>
      <c r="N24" s="8"/>
      <c r="O24" s="9">
        <v>1</v>
      </c>
      <c r="P24" s="8">
        <f t="shared" si="308"/>
        <v>63</v>
      </c>
      <c r="Q24" s="108">
        <f t="shared" si="310"/>
        <v>76.829268292682926</v>
      </c>
      <c r="R24" s="128" t="str">
        <f t="shared" si="311"/>
        <v>-4</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392</v>
      </c>
      <c r="BY24" s="80" t="s">
        <v>362</v>
      </c>
      <c r="CC24">
        <v>1</v>
      </c>
      <c r="CF24">
        <v>1</v>
      </c>
      <c r="CG24" s="95" t="s">
        <v>384</v>
      </c>
      <c r="CH24" s="80" t="s">
        <v>363</v>
      </c>
      <c r="CL24">
        <v>1</v>
      </c>
      <c r="CO24">
        <v>1</v>
      </c>
      <c r="CP24" s="99" t="s">
        <v>380</v>
      </c>
      <c r="CQ24" s="80" t="s">
        <v>398</v>
      </c>
      <c r="CS24">
        <v>1</v>
      </c>
      <c r="CU24">
        <v>1</v>
      </c>
      <c r="CV24">
        <v>1</v>
      </c>
      <c r="CX24">
        <v>1</v>
      </c>
      <c r="CY24" s="99" t="s">
        <v>364</v>
      </c>
      <c r="CZ24" s="80" t="s">
        <v>364</v>
      </c>
      <c r="DB24">
        <v>1</v>
      </c>
      <c r="DE24">
        <v>1</v>
      </c>
      <c r="DH24" s="99" t="s">
        <v>364</v>
      </c>
      <c r="DI24" s="80" t="s">
        <v>362</v>
      </c>
      <c r="DK24">
        <v>1</v>
      </c>
      <c r="DN24">
        <v>1</v>
      </c>
      <c r="DQ24" s="99" t="s">
        <v>364</v>
      </c>
      <c r="DR24" s="80" t="s">
        <v>362</v>
      </c>
      <c r="DT24">
        <v>1</v>
      </c>
      <c r="DV24">
        <v>1</v>
      </c>
      <c r="DW24">
        <v>1</v>
      </c>
      <c r="DZ24" s="95" t="s">
        <v>364</v>
      </c>
      <c r="EA24" s="80" t="s">
        <v>363</v>
      </c>
      <c r="EB24">
        <v>1</v>
      </c>
      <c r="EC24">
        <v>1</v>
      </c>
      <c r="EE24">
        <v>1</v>
      </c>
      <c r="EF24">
        <v>1</v>
      </c>
      <c r="EI24" s="99" t="s">
        <v>364</v>
      </c>
      <c r="EJ24" s="80" t="s">
        <v>364</v>
      </c>
      <c r="EK24">
        <v>1</v>
      </c>
      <c r="EL24">
        <v>1</v>
      </c>
      <c r="EN24" s="95">
        <v>1</v>
      </c>
      <c r="EO24">
        <v>1</v>
      </c>
      <c r="EQ24">
        <v>1</v>
      </c>
      <c r="ER24" s="99" t="s">
        <v>364</v>
      </c>
      <c r="ES24" s="80" t="s">
        <v>398</v>
      </c>
      <c r="ET24">
        <v>1</v>
      </c>
      <c r="EU24">
        <v>1</v>
      </c>
      <c r="EV24">
        <v>1</v>
      </c>
      <c r="EW24">
        <v>1</v>
      </c>
      <c r="FA24" s="95" t="s">
        <v>364</v>
      </c>
      <c r="FB24" s="80" t="s">
        <v>364</v>
      </c>
      <c r="FF24">
        <v>1</v>
      </c>
      <c r="FG24">
        <v>1</v>
      </c>
      <c r="FH24">
        <v>1</v>
      </c>
      <c r="FJ24" s="99" t="s">
        <v>364</v>
      </c>
      <c r="FK24" s="80" t="s">
        <v>363</v>
      </c>
      <c r="FM24">
        <v>1</v>
      </c>
      <c r="FO24">
        <v>1</v>
      </c>
      <c r="FP24">
        <v>1</v>
      </c>
      <c r="FQ24">
        <v>1</v>
      </c>
      <c r="FS24" s="99" t="s">
        <v>364</v>
      </c>
      <c r="FT24" s="80" t="s">
        <v>364</v>
      </c>
      <c r="FU24">
        <v>1</v>
      </c>
      <c r="FV24">
        <v>1</v>
      </c>
      <c r="FX24">
        <v>1</v>
      </c>
      <c r="FY24">
        <v>1</v>
      </c>
      <c r="FZ24">
        <v>1</v>
      </c>
      <c r="GB24">
        <v>0</v>
      </c>
      <c r="GC24" s="80" t="s">
        <v>398</v>
      </c>
      <c r="GD24">
        <v>1</v>
      </c>
      <c r="GE24">
        <v>1</v>
      </c>
      <c r="GG24">
        <v>1</v>
      </c>
      <c r="GH24">
        <v>1</v>
      </c>
      <c r="GI24">
        <v>1</v>
      </c>
      <c r="GK24" s="95" t="s">
        <v>364</v>
      </c>
      <c r="GL24" s="80" t="s">
        <v>398</v>
      </c>
      <c r="GM24">
        <v>1</v>
      </c>
      <c r="GN24">
        <v>1</v>
      </c>
      <c r="GP24">
        <v>1</v>
      </c>
      <c r="GQ24">
        <v>1</v>
      </c>
      <c r="GR24">
        <v>1</v>
      </c>
      <c r="GS24" s="145"/>
      <c r="GT24" s="95" t="s">
        <v>364</v>
      </c>
      <c r="GU24" s="80" t="s">
        <v>398</v>
      </c>
      <c r="HD24" s="7"/>
      <c r="HK24" s="7"/>
      <c r="HR24" s="7"/>
      <c r="HY24" s="7"/>
      <c r="IF24" s="7"/>
      <c r="IM24" s="7"/>
      <c r="IT24" s="7"/>
      <c r="JA24" s="7"/>
      <c r="JH24" s="7"/>
      <c r="JO24" s="7"/>
      <c r="JV24" s="7"/>
      <c r="KC24" s="7"/>
      <c r="KJ24" s="7"/>
      <c r="KQ24" s="7"/>
      <c r="KX24" s="7"/>
      <c r="LE24" s="7"/>
      <c r="LL24" s="7"/>
      <c r="LS24" s="7"/>
      <c r="LZ24" s="7"/>
      <c r="MG24" s="7"/>
      <c r="MN24" s="7"/>
      <c r="MU24" s="7"/>
      <c r="NB24" s="7"/>
    </row>
    <row r="25" spans="1:366" x14ac:dyDescent="0.25">
      <c r="A25" s="8" t="s">
        <v>125</v>
      </c>
      <c r="B25" s="8" t="s">
        <v>124</v>
      </c>
      <c r="C25" s="8" t="s">
        <v>167</v>
      </c>
      <c r="D25" s="8" t="s">
        <v>168</v>
      </c>
      <c r="E25" s="18">
        <v>36870</v>
      </c>
      <c r="F25" s="10" t="str">
        <f t="shared" si="312"/>
        <v/>
      </c>
      <c r="G25" s="19" t="str">
        <f t="shared" si="312"/>
        <v/>
      </c>
      <c r="H25" s="19" t="str">
        <f t="shared" si="312"/>
        <v/>
      </c>
      <c r="I25" s="19" t="str">
        <f t="shared" si="312"/>
        <v/>
      </c>
      <c r="J25" s="19" t="str">
        <f t="shared" si="312"/>
        <v/>
      </c>
      <c r="K25" s="19" t="str">
        <f t="shared" si="312"/>
        <v/>
      </c>
      <c r="L25" s="19" t="str">
        <f t="shared" si="312"/>
        <v/>
      </c>
      <c r="M25" s="8"/>
      <c r="N25" s="8"/>
      <c r="O25" s="9">
        <v>1</v>
      </c>
      <c r="P25" s="8">
        <f t="shared" si="308"/>
        <v>67</v>
      </c>
      <c r="Q25" s="108">
        <f t="shared" si="310"/>
        <v>81.707317073170728</v>
      </c>
      <c r="R25" s="128" t="str">
        <f t="shared" si="311"/>
        <v>-12</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364</v>
      </c>
      <c r="BY25" s="80" t="s">
        <v>368</v>
      </c>
      <c r="CC25">
        <v>1</v>
      </c>
      <c r="CF25">
        <v>1</v>
      </c>
      <c r="CG25" s="95" t="s">
        <v>392</v>
      </c>
      <c r="CH25" s="80" t="s">
        <v>362</v>
      </c>
      <c r="CJ25" s="34"/>
      <c r="CL25">
        <v>1</v>
      </c>
      <c r="CO25">
        <v>1</v>
      </c>
      <c r="CP25" s="99" t="s">
        <v>379</v>
      </c>
      <c r="CQ25" s="80" t="s">
        <v>364</v>
      </c>
      <c r="CS25">
        <v>1</v>
      </c>
      <c r="CU25">
        <v>1</v>
      </c>
      <c r="CV25">
        <v>1</v>
      </c>
      <c r="CX25">
        <v>1</v>
      </c>
      <c r="CY25" s="99" t="s">
        <v>364</v>
      </c>
      <c r="CZ25" s="80" t="s">
        <v>364</v>
      </c>
      <c r="DB25">
        <v>1</v>
      </c>
      <c r="DE25">
        <v>1</v>
      </c>
      <c r="DG25">
        <v>1</v>
      </c>
      <c r="DH25" s="99" t="s">
        <v>364</v>
      </c>
      <c r="DI25" s="80" t="s">
        <v>363</v>
      </c>
      <c r="DK25">
        <v>1</v>
      </c>
      <c r="DM25">
        <v>1</v>
      </c>
      <c r="DN25">
        <v>1</v>
      </c>
      <c r="DQ25" s="99" t="s">
        <v>364</v>
      </c>
      <c r="DR25" s="80" t="s">
        <v>363</v>
      </c>
      <c r="DT25">
        <v>1</v>
      </c>
      <c r="DV25">
        <v>1</v>
      </c>
      <c r="DW25">
        <v>1</v>
      </c>
      <c r="DZ25" s="95" t="s">
        <v>364</v>
      </c>
      <c r="EA25" s="80" t="s">
        <v>363</v>
      </c>
      <c r="EB25">
        <v>1</v>
      </c>
      <c r="EC25">
        <v>1</v>
      </c>
      <c r="EE25">
        <v>1</v>
      </c>
      <c r="EF25">
        <v>1</v>
      </c>
      <c r="EI25" s="99" t="s">
        <v>364</v>
      </c>
      <c r="EJ25" s="80" t="s">
        <v>364</v>
      </c>
      <c r="EK25">
        <v>1</v>
      </c>
      <c r="EL25">
        <v>1</v>
      </c>
      <c r="EN25" s="95">
        <v>1</v>
      </c>
      <c r="EO25">
        <v>1</v>
      </c>
      <c r="EQ25">
        <v>1</v>
      </c>
      <c r="ER25" s="99" t="s">
        <v>364</v>
      </c>
      <c r="ES25" s="80" t="s">
        <v>398</v>
      </c>
      <c r="ET25">
        <v>1</v>
      </c>
      <c r="EU25">
        <v>1</v>
      </c>
      <c r="EV25">
        <v>1</v>
      </c>
      <c r="EW25">
        <v>1</v>
      </c>
      <c r="FA25" s="95" t="s">
        <v>364</v>
      </c>
      <c r="FB25" s="80" t="s">
        <v>364</v>
      </c>
      <c r="FC25">
        <v>1</v>
      </c>
      <c r="FE25">
        <v>1</v>
      </c>
      <c r="FG25">
        <v>1</v>
      </c>
      <c r="FH25">
        <v>1</v>
      </c>
      <c r="FJ25" s="99" t="s">
        <v>364</v>
      </c>
      <c r="FK25" s="80" t="s">
        <v>364</v>
      </c>
      <c r="FL25">
        <v>1</v>
      </c>
      <c r="FO25">
        <v>1</v>
      </c>
      <c r="FP25">
        <v>1</v>
      </c>
      <c r="FQ25">
        <v>1</v>
      </c>
      <c r="FS25" s="99" t="s">
        <v>364</v>
      </c>
      <c r="FT25" s="80" t="s">
        <v>364</v>
      </c>
      <c r="FU25">
        <v>1</v>
      </c>
      <c r="FV25">
        <v>1</v>
      </c>
      <c r="FY25">
        <v>1</v>
      </c>
      <c r="FZ25">
        <v>1</v>
      </c>
      <c r="GB25">
        <v>0</v>
      </c>
      <c r="GC25" s="80" t="s">
        <v>364</v>
      </c>
      <c r="GE25">
        <v>1</v>
      </c>
      <c r="GG25">
        <v>1</v>
      </c>
      <c r="GH25">
        <v>1</v>
      </c>
      <c r="GI25">
        <v>1</v>
      </c>
      <c r="GK25" s="95" t="s">
        <v>364</v>
      </c>
      <c r="GL25" s="80" t="s">
        <v>364</v>
      </c>
      <c r="GN25">
        <v>1</v>
      </c>
      <c r="GP25">
        <v>1</v>
      </c>
      <c r="GQ25">
        <v>1</v>
      </c>
      <c r="GR25">
        <v>1</v>
      </c>
      <c r="GS25" s="145"/>
      <c r="GT25" s="95" t="s">
        <v>364</v>
      </c>
      <c r="GU25" s="80" t="s">
        <v>364</v>
      </c>
      <c r="HD25" s="7"/>
      <c r="HK25" s="7"/>
      <c r="HR25" s="7"/>
      <c r="HY25" s="7"/>
      <c r="IF25" s="7"/>
      <c r="IM25" s="7"/>
      <c r="IT25" s="7"/>
      <c r="JA25" s="7"/>
      <c r="JH25" s="7"/>
      <c r="JO25" s="7"/>
      <c r="JV25" s="7"/>
      <c r="KC25" s="7"/>
      <c r="KJ25" s="7"/>
      <c r="KQ25" s="7"/>
      <c r="KX25" s="7"/>
      <c r="LE25" s="7"/>
      <c r="LL25" s="7"/>
      <c r="LS25" s="7"/>
      <c r="LZ25" s="7"/>
      <c r="MG25" s="7"/>
      <c r="MN25" s="7"/>
      <c r="MU25" s="7"/>
      <c r="NB25" s="7"/>
    </row>
    <row r="26" spans="1:366" x14ac:dyDescent="0.25">
      <c r="A26" s="8" t="s">
        <v>181</v>
      </c>
      <c r="B26" s="8" t="s">
        <v>182</v>
      </c>
      <c r="C26" s="8" t="s">
        <v>183</v>
      </c>
      <c r="D26" s="8" t="s">
        <v>81</v>
      </c>
      <c r="E26" s="18">
        <v>38054</v>
      </c>
      <c r="F26" s="10">
        <f t="shared" si="312"/>
        <v>1</v>
      </c>
      <c r="G26" s="19">
        <f t="shared" si="312"/>
        <v>1</v>
      </c>
      <c r="H26" s="19" t="str">
        <f t="shared" si="312"/>
        <v/>
      </c>
      <c r="I26" s="19" t="str">
        <f t="shared" si="312"/>
        <v/>
      </c>
      <c r="J26" s="19" t="str">
        <f t="shared" si="312"/>
        <v/>
      </c>
      <c r="K26" s="19" t="str">
        <f t="shared" si="312"/>
        <v/>
      </c>
      <c r="L26" s="19" t="str">
        <f t="shared" si="312"/>
        <v/>
      </c>
      <c r="M26" s="8"/>
      <c r="N26" s="8">
        <v>1</v>
      </c>
      <c r="O26" s="9">
        <v>1</v>
      </c>
      <c r="P26" s="8">
        <f t="shared" si="308"/>
        <v>75</v>
      </c>
      <c r="Q26" s="108">
        <f t="shared" si="310"/>
        <v>91.463414634146346</v>
      </c>
      <c r="R26" s="128" t="str">
        <f t="shared" si="311"/>
        <v>-9</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392</v>
      </c>
      <c r="BY26" s="80" t="s">
        <v>367</v>
      </c>
      <c r="CF26">
        <v>1</v>
      </c>
      <c r="CG26" s="95" t="s">
        <v>384</v>
      </c>
      <c r="CH26" s="80" t="s">
        <v>393</v>
      </c>
      <c r="CL26">
        <v>1</v>
      </c>
      <c r="CO26">
        <v>1</v>
      </c>
      <c r="CP26" s="99" t="s">
        <v>364</v>
      </c>
      <c r="CQ26" s="80" t="s">
        <v>365</v>
      </c>
      <c r="CS26">
        <v>1</v>
      </c>
      <c r="CU26">
        <v>1</v>
      </c>
      <c r="CV26">
        <v>1</v>
      </c>
      <c r="CX26">
        <v>1</v>
      </c>
      <c r="CY26" s="99" t="s">
        <v>364</v>
      </c>
      <c r="CZ26" s="80" t="s">
        <v>364</v>
      </c>
      <c r="DB26">
        <v>1</v>
      </c>
      <c r="DE26">
        <v>1</v>
      </c>
      <c r="DG26">
        <v>1</v>
      </c>
      <c r="DH26" s="99" t="s">
        <v>364</v>
      </c>
      <c r="DI26" s="80" t="s">
        <v>363</v>
      </c>
      <c r="DK26">
        <v>1</v>
      </c>
      <c r="DP26">
        <v>1</v>
      </c>
      <c r="DQ26" s="99" t="s">
        <v>364</v>
      </c>
      <c r="DR26" s="80" t="s">
        <v>362</v>
      </c>
      <c r="DT26" t="s">
        <v>413</v>
      </c>
      <c r="DW26">
        <v>1</v>
      </c>
      <c r="DZ26" s="95">
        <v>8</v>
      </c>
      <c r="EA26" s="80" t="s">
        <v>380</v>
      </c>
      <c r="EB26">
        <v>1</v>
      </c>
      <c r="EC26">
        <v>1</v>
      </c>
      <c r="EE26">
        <v>1</v>
      </c>
      <c r="EI26" s="99" t="s">
        <v>364</v>
      </c>
      <c r="EJ26" s="80" t="s">
        <v>363</v>
      </c>
      <c r="EK26">
        <v>1</v>
      </c>
      <c r="EL26">
        <v>1</v>
      </c>
      <c r="EN26" s="95">
        <v>1</v>
      </c>
      <c r="EO26">
        <v>1</v>
      </c>
      <c r="EQ26">
        <v>1</v>
      </c>
      <c r="ER26" s="99" t="s">
        <v>364</v>
      </c>
      <c r="ES26" s="80" t="s">
        <v>398</v>
      </c>
      <c r="EU26">
        <v>1</v>
      </c>
      <c r="EV26">
        <v>1</v>
      </c>
      <c r="EW26">
        <v>1</v>
      </c>
      <c r="FA26" s="95" t="s">
        <v>364</v>
      </c>
      <c r="FB26" s="80" t="s">
        <v>363</v>
      </c>
      <c r="FC26">
        <v>1</v>
      </c>
      <c r="FE26">
        <v>1</v>
      </c>
      <c r="FF26">
        <v>1</v>
      </c>
      <c r="FH26">
        <v>1</v>
      </c>
      <c r="FJ26" s="99" t="s">
        <v>364</v>
      </c>
      <c r="FK26" s="80" t="s">
        <v>364</v>
      </c>
      <c r="FM26">
        <v>1</v>
      </c>
      <c r="FO26">
        <v>1</v>
      </c>
      <c r="FP26">
        <v>1</v>
      </c>
      <c r="FQ26">
        <v>1</v>
      </c>
      <c r="FS26" s="99" t="s">
        <v>364</v>
      </c>
      <c r="FT26" s="80" t="s">
        <v>364</v>
      </c>
      <c r="FU26">
        <v>1</v>
      </c>
      <c r="FV26">
        <v>1</v>
      </c>
      <c r="FX26">
        <v>1</v>
      </c>
      <c r="FY26">
        <v>1</v>
      </c>
      <c r="FZ26">
        <v>1</v>
      </c>
      <c r="GB26">
        <v>0</v>
      </c>
      <c r="GC26" s="80" t="s">
        <v>398</v>
      </c>
      <c r="GD26">
        <v>1</v>
      </c>
      <c r="GE26">
        <v>1</v>
      </c>
      <c r="GG26">
        <v>1</v>
      </c>
      <c r="GH26">
        <v>1</v>
      </c>
      <c r="GI26">
        <v>1</v>
      </c>
      <c r="GK26" s="95" t="s">
        <v>364</v>
      </c>
      <c r="GL26" s="80" t="s">
        <v>398</v>
      </c>
      <c r="GM26">
        <v>1</v>
      </c>
      <c r="GN26">
        <v>1</v>
      </c>
      <c r="GP26">
        <v>1</v>
      </c>
      <c r="GQ26">
        <v>1</v>
      </c>
      <c r="GR26">
        <v>1</v>
      </c>
      <c r="GS26" s="145"/>
      <c r="GT26" s="95" t="s">
        <v>364</v>
      </c>
      <c r="GU26" s="80" t="s">
        <v>398</v>
      </c>
      <c r="HD26" s="7"/>
      <c r="HK26" s="7"/>
      <c r="HR26" s="7"/>
      <c r="HY26" s="7"/>
      <c r="IF26" s="7"/>
      <c r="IM26" s="7"/>
      <c r="IT26" s="7"/>
      <c r="JA26" s="7"/>
      <c r="JH26" s="7"/>
      <c r="JO26" s="7"/>
      <c r="JV26" s="7"/>
      <c r="KC26" s="7"/>
      <c r="KJ26" s="7"/>
      <c r="KQ26" s="7"/>
      <c r="KX26" s="7"/>
      <c r="LE26" s="7"/>
      <c r="LL26" s="7"/>
      <c r="LS26" s="7"/>
      <c r="LZ26" s="7"/>
      <c r="MG26" s="7"/>
      <c r="MN26" s="7"/>
      <c r="MU26" s="7"/>
      <c r="NB26" s="7"/>
    </row>
    <row r="27" spans="1:366" hidden="1" x14ac:dyDescent="0.25">
      <c r="A27" s="8" t="s">
        <v>129</v>
      </c>
      <c r="B27" s="8"/>
      <c r="C27" s="8" t="s">
        <v>165</v>
      </c>
      <c r="D27" s="8" t="s">
        <v>166</v>
      </c>
      <c r="E27" s="18">
        <v>36892</v>
      </c>
      <c r="F27" s="10" t="str">
        <f t="shared" si="312"/>
        <v/>
      </c>
      <c r="G27" s="19" t="str">
        <f t="shared" si="312"/>
        <v/>
      </c>
      <c r="H27" s="19" t="str">
        <f t="shared" si="312"/>
        <v/>
      </c>
      <c r="I27" s="19" t="str">
        <f t="shared" si="312"/>
        <v/>
      </c>
      <c r="J27" s="19" t="str">
        <f t="shared" si="312"/>
        <v/>
      </c>
      <c r="K27" s="19" t="str">
        <f t="shared" si="312"/>
        <v/>
      </c>
      <c r="L27" s="19" t="str">
        <f t="shared" si="312"/>
        <v/>
      </c>
      <c r="M27" s="8"/>
      <c r="N27" s="8"/>
      <c r="O27" s="9"/>
      <c r="P27" s="8" t="str">
        <f t="shared" si="308"/>
        <v/>
      </c>
      <c r="Q27" s="108" t="str">
        <f>IF(SUM(S27:XFD27) &gt; 0, SUM(S27:XFD27) /#REF! * 100, "")</f>
        <v/>
      </c>
      <c r="R27" s="128" t="str">
        <f t="shared" si="311"/>
        <v>1</v>
      </c>
      <c r="S27" s="7"/>
      <c r="Z27" s="7"/>
      <c r="AG27" s="7"/>
      <c r="AN27" s="7"/>
      <c r="AU27" s="7"/>
      <c r="BB27" s="7"/>
      <c r="BI27" s="7"/>
      <c r="BP27" s="7"/>
      <c r="BX27" s="95" t="s">
        <v>364</v>
      </c>
      <c r="BY27" s="79"/>
      <c r="CG27" s="95" t="s">
        <v>364</v>
      </c>
      <c r="CH27" s="80" t="s">
        <v>366</v>
      </c>
      <c r="CP27" s="99" t="s">
        <v>364</v>
      </c>
      <c r="CQ27" s="80" t="s">
        <v>366</v>
      </c>
      <c r="CY27" s="99" t="s">
        <v>364</v>
      </c>
      <c r="CZ27" s="80" t="s">
        <v>366</v>
      </c>
      <c r="DH27" s="99" t="s">
        <v>364</v>
      </c>
      <c r="DI27" s="80" t="s">
        <v>366</v>
      </c>
      <c r="DQ27" s="96"/>
      <c r="DR27" s="80" t="s">
        <v>366</v>
      </c>
      <c r="DZ27" s="95" t="s">
        <v>364</v>
      </c>
      <c r="EA27" s="80" t="s">
        <v>363</v>
      </c>
      <c r="EI27" s="99" t="s">
        <v>364</v>
      </c>
      <c r="EJ27" s="80" t="s">
        <v>364</v>
      </c>
      <c r="EN27" s="96"/>
      <c r="ER27" s="99" t="s">
        <v>364</v>
      </c>
      <c r="ES27" s="80" t="s">
        <v>398</v>
      </c>
      <c r="FA27" s="95" t="s">
        <v>364</v>
      </c>
      <c r="FB27" s="80" t="s">
        <v>364</v>
      </c>
      <c r="FJ27" s="99" t="s">
        <v>364</v>
      </c>
      <c r="FK27" s="80" t="s">
        <v>398</v>
      </c>
      <c r="FS27" s="99" t="s">
        <v>364</v>
      </c>
      <c r="FT27" s="80" t="s">
        <v>366</v>
      </c>
      <c r="GC27" s="80" t="s">
        <v>366</v>
      </c>
      <c r="GK27" s="96"/>
      <c r="GL27" s="80" t="s">
        <v>366</v>
      </c>
      <c r="GS27" s="145"/>
      <c r="GT27" s="96"/>
      <c r="GU27" s="80" t="s">
        <v>366</v>
      </c>
      <c r="HD27" s="7"/>
      <c r="HK27" s="7"/>
      <c r="HR27" s="7"/>
      <c r="HY27" s="7"/>
      <c r="IF27" s="7"/>
      <c r="IM27" s="7"/>
      <c r="IT27" s="7"/>
      <c r="JA27" s="7"/>
      <c r="JH27" s="7"/>
      <c r="JO27" s="7"/>
      <c r="JV27" s="7"/>
      <c r="KC27" s="7"/>
      <c r="KJ27" s="7"/>
      <c r="KQ27" s="7"/>
      <c r="KX27" s="7"/>
      <c r="LE27" s="7"/>
      <c r="LL27" s="7"/>
      <c r="LS27" s="7"/>
      <c r="LZ27" s="7"/>
      <c r="MG27" s="7"/>
      <c r="MN27" s="7"/>
      <c r="MU27" s="7"/>
      <c r="NB27" s="7"/>
    </row>
    <row r="28" spans="1:366" x14ac:dyDescent="0.25">
      <c r="A28" s="88" t="s">
        <v>132</v>
      </c>
      <c r="B28" s="88"/>
      <c r="C28" s="88" t="s">
        <v>131</v>
      </c>
      <c r="D28" s="88" t="s">
        <v>130</v>
      </c>
      <c r="E28" s="89">
        <v>39280</v>
      </c>
      <c r="F28" s="90">
        <f t="shared" si="312"/>
        <v>1</v>
      </c>
      <c r="G28" s="88">
        <f t="shared" si="312"/>
        <v>1</v>
      </c>
      <c r="H28" s="88">
        <f t="shared" si="312"/>
        <v>1</v>
      </c>
      <c r="I28" s="88">
        <f t="shared" si="312"/>
        <v>1</v>
      </c>
      <c r="J28" s="88" t="str">
        <f t="shared" si="312"/>
        <v/>
      </c>
      <c r="K28" s="88" t="str">
        <f t="shared" si="312"/>
        <v/>
      </c>
      <c r="L28" s="88" t="str">
        <f t="shared" si="312"/>
        <v/>
      </c>
      <c r="M28" s="88">
        <v>1</v>
      </c>
      <c r="N28" s="88">
        <v>1</v>
      </c>
      <c r="O28" s="91"/>
      <c r="P28" s="88">
        <f t="shared" si="308"/>
        <v>34</v>
      </c>
      <c r="Q28" s="109">
        <f>IF(SUM(S28:XFD28) &gt; 0, SUM(S28:XFD28) /P$37 * 100, "")</f>
        <v>41.463414634146339</v>
      </c>
      <c r="R28" s="129" t="str">
        <f t="shared" si="311"/>
        <v>-55</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364</v>
      </c>
      <c r="BY28" s="94" t="s">
        <v>368</v>
      </c>
      <c r="BZ28" s="93"/>
      <c r="CA28" s="93"/>
      <c r="CB28" s="93"/>
      <c r="CC28" s="93"/>
      <c r="CD28" s="93"/>
      <c r="CE28" s="93"/>
      <c r="CF28" s="93"/>
      <c r="CG28" s="97" t="s">
        <v>364</v>
      </c>
      <c r="CH28" s="94" t="s">
        <v>368</v>
      </c>
      <c r="CI28" s="93"/>
      <c r="CJ28" s="93"/>
      <c r="CK28" s="93"/>
      <c r="CL28" s="93"/>
      <c r="CM28" s="93"/>
      <c r="CN28" s="93"/>
      <c r="CO28" s="93"/>
      <c r="CP28" s="97" t="s">
        <v>364</v>
      </c>
      <c r="CQ28" s="94" t="s">
        <v>368</v>
      </c>
      <c r="CR28" s="93"/>
      <c r="CS28" s="93">
        <v>1</v>
      </c>
      <c r="CT28" s="93"/>
      <c r="CU28" s="93"/>
      <c r="CV28" s="93">
        <v>1</v>
      </c>
      <c r="CW28" s="93"/>
      <c r="CX28" s="93"/>
      <c r="CY28" s="97" t="s">
        <v>364</v>
      </c>
      <c r="CZ28" s="94" t="s">
        <v>362</v>
      </c>
      <c r="DA28" s="93"/>
      <c r="DB28" s="93"/>
      <c r="DC28" s="93"/>
      <c r="DD28" s="93"/>
      <c r="DE28" s="93"/>
      <c r="DF28" s="93"/>
      <c r="DG28" s="93"/>
      <c r="DH28" s="97" t="s">
        <v>364</v>
      </c>
      <c r="DI28" s="94" t="s">
        <v>365</v>
      </c>
      <c r="DJ28" s="93"/>
      <c r="DK28" s="93"/>
      <c r="DL28" s="93"/>
      <c r="DM28" s="93"/>
      <c r="DN28" s="93"/>
      <c r="DO28" s="93"/>
      <c r="DP28" s="93"/>
      <c r="DQ28" s="97" t="s">
        <v>364</v>
      </c>
      <c r="DR28" s="94" t="s">
        <v>365</v>
      </c>
      <c r="DS28" s="93"/>
      <c r="DT28" s="93"/>
      <c r="DU28" s="93"/>
      <c r="DV28" s="93">
        <v>1</v>
      </c>
      <c r="DW28" s="93">
        <v>1</v>
      </c>
      <c r="DX28" s="93"/>
      <c r="DY28" s="93"/>
      <c r="DZ28" s="97" t="s">
        <v>364</v>
      </c>
      <c r="EA28" s="94" t="s">
        <v>362</v>
      </c>
      <c r="EB28" s="93"/>
      <c r="EC28" s="93">
        <v>1</v>
      </c>
      <c r="ED28" s="93"/>
      <c r="EE28" s="93">
        <v>1</v>
      </c>
      <c r="EF28" s="93"/>
      <c r="EG28" s="93"/>
      <c r="EH28" s="93"/>
      <c r="EI28" s="97" t="s">
        <v>364</v>
      </c>
      <c r="EJ28" s="94" t="s">
        <v>362</v>
      </c>
      <c r="EK28" s="93"/>
      <c r="EL28" s="93">
        <v>1</v>
      </c>
      <c r="EM28" s="93"/>
      <c r="EN28" s="138"/>
      <c r="EO28" s="93">
        <v>1</v>
      </c>
      <c r="EP28" s="93"/>
      <c r="EQ28" s="93">
        <v>1</v>
      </c>
      <c r="ER28" s="97">
        <v>4</v>
      </c>
      <c r="ES28" s="94" t="s">
        <v>384</v>
      </c>
      <c r="ET28" s="93"/>
      <c r="EU28" s="93"/>
      <c r="EV28" s="93"/>
      <c r="EW28" s="93"/>
      <c r="EX28" s="93"/>
      <c r="EY28" s="93"/>
      <c r="EZ28" s="93"/>
      <c r="FA28" s="97" t="s">
        <v>364</v>
      </c>
      <c r="FB28" s="94" t="s">
        <v>365</v>
      </c>
      <c r="FC28" s="93"/>
      <c r="FD28" s="93"/>
      <c r="FE28" s="93"/>
      <c r="FF28" s="93"/>
      <c r="FG28" s="93"/>
      <c r="FH28" s="93"/>
      <c r="FI28" s="93"/>
      <c r="FJ28" s="97" t="s">
        <v>364</v>
      </c>
      <c r="FK28" s="94" t="s">
        <v>365</v>
      </c>
      <c r="FL28" s="93"/>
      <c r="FM28" s="93"/>
      <c r="FN28" s="93"/>
      <c r="FO28" s="93"/>
      <c r="FP28" s="93"/>
      <c r="FQ28" s="93"/>
      <c r="FR28" s="93"/>
      <c r="FS28" s="97">
        <v>0</v>
      </c>
      <c r="FT28" s="94" t="s">
        <v>365</v>
      </c>
      <c r="FU28" s="93"/>
      <c r="FV28" s="93"/>
      <c r="FW28" s="93"/>
      <c r="FX28" s="93"/>
      <c r="FY28" s="93"/>
      <c r="FZ28" s="93"/>
      <c r="GA28" s="93"/>
      <c r="GB28" s="93">
        <v>0</v>
      </c>
      <c r="GC28" s="94" t="s">
        <v>365</v>
      </c>
      <c r="GD28" s="93">
        <v>1</v>
      </c>
      <c r="GE28" s="93">
        <v>1</v>
      </c>
      <c r="GF28" s="93"/>
      <c r="GG28" s="93"/>
      <c r="GH28" s="93"/>
      <c r="GI28" s="93"/>
      <c r="GJ28" s="93"/>
      <c r="GK28" s="97" t="s">
        <v>364</v>
      </c>
      <c r="GL28" s="94" t="s">
        <v>362</v>
      </c>
      <c r="GM28" s="93"/>
      <c r="GN28" s="93"/>
      <c r="GO28" s="93"/>
      <c r="GP28" s="93"/>
      <c r="GQ28" s="93">
        <v>1</v>
      </c>
      <c r="GR28" s="93"/>
      <c r="GS28" s="146">
        <v>1</v>
      </c>
      <c r="GT28" s="97" t="s">
        <v>364</v>
      </c>
      <c r="GU28" s="94" t="s">
        <v>362</v>
      </c>
      <c r="GV28" s="93"/>
      <c r="GW28" s="93"/>
      <c r="GX28" s="93"/>
      <c r="GY28" s="93"/>
      <c r="GZ28" s="93"/>
      <c r="HA28" s="93"/>
      <c r="HB28" s="93"/>
      <c r="HC28" s="93"/>
      <c r="HD28" s="92"/>
      <c r="HE28" s="93"/>
      <c r="HF28" s="93"/>
      <c r="HG28" s="93"/>
      <c r="HH28" s="93"/>
      <c r="HI28" s="93"/>
      <c r="HJ28" s="93"/>
      <c r="HK28" s="92"/>
      <c r="HL28" s="93"/>
      <c r="HM28" s="93"/>
      <c r="HN28" s="93"/>
      <c r="HO28" s="93"/>
      <c r="HP28" s="93"/>
      <c r="HQ28" s="93"/>
      <c r="HR28" s="92"/>
      <c r="HS28" s="93"/>
      <c r="HT28" s="93"/>
      <c r="HU28" s="93"/>
      <c r="HV28" s="93"/>
      <c r="HW28" s="93"/>
      <c r="HX28" s="93"/>
      <c r="HY28" s="92"/>
      <c r="HZ28" s="93"/>
      <c r="IA28" s="93"/>
      <c r="IB28" s="93"/>
      <c r="IC28" s="93"/>
      <c r="ID28" s="93"/>
      <c r="IE28" s="93"/>
      <c r="IF28" s="92"/>
      <c r="IG28" s="93"/>
      <c r="IH28" s="93"/>
      <c r="II28" s="93"/>
      <c r="IJ28" s="93"/>
      <c r="IK28" s="93"/>
      <c r="IL28" s="93"/>
      <c r="IM28" s="92"/>
      <c r="IN28" s="93"/>
      <c r="IO28" s="93"/>
      <c r="IP28" s="93"/>
      <c r="IQ28" s="93"/>
      <c r="IR28" s="93"/>
      <c r="IS28" s="93"/>
      <c r="IT28" s="92"/>
      <c r="IU28" s="93"/>
      <c r="IV28" s="93"/>
      <c r="IW28" s="93"/>
      <c r="IX28" s="93"/>
      <c r="IY28" s="93"/>
      <c r="IZ28" s="93"/>
      <c r="JA28" s="92"/>
      <c r="JB28" s="93"/>
      <c r="JC28" s="93"/>
      <c r="JD28" s="93"/>
      <c r="JE28" s="93"/>
      <c r="JF28" s="93"/>
      <c r="JG28" s="93"/>
      <c r="JH28" s="92"/>
      <c r="JI28" s="93"/>
      <c r="JJ28" s="93"/>
      <c r="JK28" s="93"/>
      <c r="JL28" s="93"/>
      <c r="JM28" s="93"/>
      <c r="JN28" s="93"/>
      <c r="JO28" s="92"/>
      <c r="JP28" s="93"/>
      <c r="JQ28" s="93"/>
      <c r="JR28" s="93"/>
      <c r="JS28" s="93"/>
      <c r="JT28" s="93"/>
      <c r="JU28" s="93"/>
      <c r="JV28" s="92"/>
      <c r="JW28" s="93"/>
      <c r="JX28" s="93"/>
      <c r="JY28" s="93"/>
      <c r="JZ28" s="93"/>
      <c r="KA28" s="93"/>
      <c r="KB28" s="93"/>
      <c r="KC28" s="92"/>
      <c r="KD28" s="93"/>
      <c r="KE28" s="93"/>
      <c r="KF28" s="93"/>
      <c r="KG28" s="93"/>
      <c r="KH28" s="93"/>
      <c r="KI28" s="93"/>
      <c r="KJ28" s="92"/>
      <c r="KK28" s="93"/>
      <c r="KL28" s="93"/>
      <c r="KM28" s="93"/>
      <c r="KN28" s="93"/>
      <c r="KO28" s="93"/>
      <c r="KP28" s="93"/>
      <c r="KQ28" s="92"/>
      <c r="KR28" s="93"/>
      <c r="KS28" s="93"/>
      <c r="KT28" s="93"/>
      <c r="KU28" s="93"/>
      <c r="KV28" s="93"/>
      <c r="KW28" s="93"/>
      <c r="KX28" s="92"/>
      <c r="KY28" s="93"/>
      <c r="KZ28" s="93"/>
      <c r="LA28" s="93"/>
      <c r="LB28" s="93"/>
      <c r="LC28" s="93"/>
      <c r="LD28" s="93"/>
      <c r="LE28" s="92"/>
      <c r="LF28" s="93"/>
      <c r="LG28" s="93"/>
      <c r="LH28" s="93"/>
      <c r="LI28" s="93"/>
      <c r="LJ28" s="93"/>
      <c r="LK28" s="93"/>
      <c r="LL28" s="92"/>
      <c r="LM28" s="93"/>
      <c r="LN28" s="93"/>
      <c r="LO28" s="93"/>
      <c r="LP28" s="93"/>
      <c r="LQ28" s="93"/>
      <c r="LR28" s="93"/>
      <c r="LS28" s="92"/>
      <c r="LT28" s="93"/>
      <c r="LU28" s="93"/>
      <c r="LV28" s="93"/>
      <c r="LW28" s="93"/>
      <c r="LX28" s="93"/>
      <c r="LY28" s="93"/>
      <c r="LZ28" s="92"/>
      <c r="MA28" s="93"/>
      <c r="MB28" s="93"/>
      <c r="MC28" s="93"/>
      <c r="MD28" s="93"/>
      <c r="ME28" s="93"/>
      <c r="MF28" s="93"/>
      <c r="MG28" s="92"/>
      <c r="MH28" s="93"/>
      <c r="MI28" s="93"/>
      <c r="MJ28" s="93"/>
      <c r="MK28" s="93"/>
      <c r="ML28" s="93"/>
      <c r="MM28" s="93"/>
      <c r="MN28" s="92"/>
      <c r="MO28" s="93"/>
      <c r="MP28" s="93"/>
      <c r="MQ28" s="93"/>
      <c r="MR28" s="93"/>
      <c r="MS28" s="93"/>
      <c r="MT28" s="93"/>
      <c r="MU28" s="92"/>
      <c r="MV28" s="93"/>
      <c r="MW28" s="93"/>
      <c r="MX28" s="93"/>
      <c r="MY28" s="93"/>
      <c r="MZ28" s="93"/>
      <c r="NA28" s="93"/>
      <c r="NB28" s="92"/>
    </row>
    <row r="29" spans="1:366" hidden="1" x14ac:dyDescent="0.25">
      <c r="A29" s="19" t="s">
        <v>92</v>
      </c>
      <c r="B29" s="19"/>
      <c r="C29" s="19" t="s">
        <v>159</v>
      </c>
      <c r="D29" s="19" t="s">
        <v>121</v>
      </c>
      <c r="E29" s="56">
        <v>38544</v>
      </c>
      <c r="F29" s="10">
        <f t="shared" si="312"/>
        <v>1</v>
      </c>
      <c r="G29" s="19">
        <f t="shared" si="312"/>
        <v>1</v>
      </c>
      <c r="H29" s="19" t="str">
        <f t="shared" si="312"/>
        <v/>
      </c>
      <c r="I29" s="19" t="str">
        <f t="shared" si="312"/>
        <v/>
      </c>
      <c r="J29" s="19" t="str">
        <f t="shared" si="312"/>
        <v/>
      </c>
      <c r="K29" s="19" t="str">
        <f t="shared" si="312"/>
        <v/>
      </c>
      <c r="L29" s="19" t="str">
        <f t="shared" si="312"/>
        <v/>
      </c>
      <c r="M29" s="8"/>
      <c r="N29" s="8">
        <v>1</v>
      </c>
      <c r="O29" s="9"/>
      <c r="P29" s="8" t="str">
        <f t="shared" si="308"/>
        <v/>
      </c>
      <c r="Q29" s="108" t="str">
        <f>IF(SUM(S29:XFD29) &gt; 0, SUM(S29:XFD29) /#REF! * 100, "")</f>
        <v/>
      </c>
      <c r="R29" s="128" t="str">
        <f t="shared" si="311"/>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U29" s="7"/>
      <c r="HD29" s="7"/>
      <c r="HK29" s="7"/>
      <c r="HR29" s="7"/>
      <c r="HY29" s="7"/>
      <c r="IF29" s="7"/>
      <c r="IM29" s="7"/>
      <c r="IT29" s="7"/>
      <c r="JA29" s="7"/>
      <c r="JH29" s="7"/>
      <c r="JO29" s="7"/>
      <c r="JV29" s="7"/>
      <c r="KC29" s="7"/>
      <c r="KJ29" s="7"/>
      <c r="KQ29" s="7"/>
      <c r="KX29" s="7"/>
      <c r="LE29" s="7"/>
      <c r="LL29" s="7"/>
      <c r="LS29" s="7"/>
      <c r="LZ29" s="7"/>
      <c r="MG29" s="7"/>
      <c r="MN29" s="7"/>
      <c r="MU29" s="7"/>
      <c r="NB29" s="7"/>
    </row>
    <row r="30" spans="1:366" x14ac:dyDescent="0.25">
      <c r="A30" s="8" t="s">
        <v>115</v>
      </c>
      <c r="B30" s="8"/>
      <c r="C30" s="8" t="s">
        <v>243</v>
      </c>
      <c r="D30" s="8" t="s">
        <v>244</v>
      </c>
      <c r="E30" s="18">
        <v>36526</v>
      </c>
      <c r="F30" s="10" t="str">
        <f t="shared" si="312"/>
        <v/>
      </c>
      <c r="G30" s="19" t="str">
        <f t="shared" ref="G30:L30" si="313">IF($E30 &gt;= G$5, 1, "")</f>
        <v/>
      </c>
      <c r="H30" s="19" t="str">
        <f t="shared" si="313"/>
        <v/>
      </c>
      <c r="I30" s="19" t="str">
        <f t="shared" si="313"/>
        <v/>
      </c>
      <c r="J30" s="19" t="str">
        <f t="shared" si="313"/>
        <v/>
      </c>
      <c r="K30" s="19" t="str">
        <f t="shared" si="313"/>
        <v/>
      </c>
      <c r="L30" s="19" t="str">
        <f t="shared" si="313"/>
        <v/>
      </c>
      <c r="M30" s="8"/>
      <c r="N30" s="8"/>
      <c r="O30" s="9"/>
      <c r="P30" s="8">
        <f t="shared" si="308"/>
        <v>15</v>
      </c>
      <c r="Q30" s="108">
        <f>IF(SUM(S30:XFD30) &gt; 0, SUM(S30:XFD30) /P$37 * 100, "")</f>
        <v>18.292682926829269</v>
      </c>
      <c r="R30" s="141" t="str">
        <f t="shared" si="311"/>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U30" s="7"/>
      <c r="HD30" s="7"/>
      <c r="HK30" s="7"/>
      <c r="HR30" s="7"/>
      <c r="HY30" s="7"/>
      <c r="IF30" s="7"/>
      <c r="IM30" s="7"/>
      <c r="IT30" s="7"/>
      <c r="JA30" s="7"/>
      <c r="JH30" s="7"/>
      <c r="JO30" s="7"/>
      <c r="JV30" s="7"/>
      <c r="KC30" s="7"/>
      <c r="KJ30" s="7"/>
      <c r="KQ30" s="7"/>
      <c r="KX30" s="7"/>
      <c r="LE30" s="7"/>
      <c r="LL30" s="7"/>
      <c r="LS30" s="7"/>
      <c r="LZ30" s="7"/>
      <c r="MG30" s="7"/>
      <c r="MN30" s="7"/>
      <c r="MU30" s="7"/>
      <c r="NB30" s="7"/>
    </row>
    <row r="31" spans="1:366" hidden="1" x14ac:dyDescent="0.25">
      <c r="A31" s="8" t="s">
        <v>430</v>
      </c>
      <c r="B31" s="8"/>
      <c r="C31" s="8" t="s">
        <v>431</v>
      </c>
      <c r="D31" s="8" t="s">
        <v>432</v>
      </c>
      <c r="E31" s="18"/>
      <c r="F31" s="10"/>
      <c r="G31" s="19"/>
      <c r="H31" s="19"/>
      <c r="I31" s="19"/>
      <c r="J31" s="19"/>
      <c r="K31" s="19"/>
      <c r="L31" s="19"/>
      <c r="M31" s="8"/>
      <c r="N31" s="8"/>
      <c r="O31" s="9"/>
      <c r="P31" s="8">
        <f t="shared" si="308"/>
        <v>2</v>
      </c>
      <c r="Q31" s="108" t="e">
        <f>IF(SUM(S31:XFD31) &gt; 0, SUM(S31:XFD31) /#REF! * 100, "")</f>
        <v>#REF!</v>
      </c>
      <c r="R31" s="128" t="str">
        <f t="shared" si="311"/>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U31" s="7"/>
      <c r="HD31" s="7"/>
      <c r="HK31" s="7"/>
      <c r="HR31" s="7"/>
      <c r="HY31" s="7"/>
      <c r="IF31" s="7"/>
      <c r="IM31" s="7"/>
      <c r="IT31" s="7"/>
      <c r="JA31" s="7"/>
      <c r="JH31" s="7"/>
      <c r="JO31" s="7"/>
      <c r="JV31" s="7"/>
      <c r="KC31" s="7"/>
      <c r="KJ31" s="7"/>
      <c r="KQ31" s="7"/>
      <c r="KX31" s="7"/>
      <c r="LE31" s="7"/>
      <c r="LL31" s="7"/>
      <c r="LS31" s="7"/>
      <c r="LZ31" s="7"/>
      <c r="MG31" s="7"/>
      <c r="MN31" s="7"/>
      <c r="MU31" s="7"/>
      <c r="NB31" s="7"/>
    </row>
    <row r="32" spans="1:366" hidden="1" x14ac:dyDescent="0.25">
      <c r="A32" s="8" t="s">
        <v>348</v>
      </c>
      <c r="B32" s="8"/>
      <c r="C32" s="8"/>
      <c r="D32" s="8" t="s">
        <v>522</v>
      </c>
      <c r="E32" s="18"/>
      <c r="F32" s="10"/>
      <c r="G32" s="19"/>
      <c r="H32" s="19"/>
      <c r="I32" s="19"/>
      <c r="J32" s="19"/>
      <c r="K32" s="19"/>
      <c r="L32" s="19"/>
      <c r="M32" s="8"/>
      <c r="N32" s="8"/>
      <c r="O32" s="9"/>
      <c r="P32" s="8">
        <f t="shared" si="308"/>
        <v>2</v>
      </c>
      <c r="Q32" s="108" t="e">
        <f>IF(SUM(S32:XFD32) &gt; 0, SUM(S32:XFD32) /#REF! * 100, "")</f>
        <v>#REF!</v>
      </c>
      <c r="R32" s="128" t="str">
        <f t="shared" si="311"/>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U32" s="7"/>
      <c r="HD32" s="7"/>
      <c r="HK32" s="7"/>
      <c r="HR32" s="7"/>
      <c r="HY32" s="7"/>
      <c r="IF32" s="7"/>
      <c r="IM32" s="7"/>
      <c r="IT32" s="7"/>
      <c r="JA32" s="7"/>
      <c r="JH32" s="7"/>
      <c r="JO32" s="7"/>
      <c r="JV32" s="7"/>
      <c r="KC32" s="7"/>
      <c r="KJ32" s="7"/>
      <c r="KQ32" s="7"/>
      <c r="KX32" s="7"/>
      <c r="LE32" s="7"/>
      <c r="LL32" s="7"/>
      <c r="LS32" s="7"/>
      <c r="LZ32" s="7"/>
      <c r="MG32" s="7"/>
      <c r="MN32" s="7"/>
      <c r="MU32" s="7"/>
      <c r="NB32" s="7"/>
    </row>
    <row r="33" spans="1:366" hidden="1" x14ac:dyDescent="0.25">
      <c r="A33" s="8" t="s">
        <v>487</v>
      </c>
      <c r="B33" s="8"/>
      <c r="C33" s="8"/>
      <c r="D33" s="8" t="s">
        <v>441</v>
      </c>
      <c r="E33" s="18"/>
      <c r="F33" s="10"/>
      <c r="G33" s="19"/>
      <c r="H33" s="19"/>
      <c r="I33" s="19"/>
      <c r="J33" s="19"/>
      <c r="K33" s="19"/>
      <c r="L33" s="19"/>
      <c r="M33" s="8"/>
      <c r="N33" s="8"/>
      <c r="O33" s="9"/>
      <c r="P33" s="8">
        <f t="shared" si="308"/>
        <v>2</v>
      </c>
      <c r="Q33" s="108" t="e">
        <f>IF(SUM(S33:XFD33) &gt; 0, SUM(S33:XFD33) /#REF! * 100, "")</f>
        <v>#REF!</v>
      </c>
      <c r="R33" s="128" t="str">
        <f t="shared" si="311"/>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U33" s="7"/>
      <c r="HD33" s="7"/>
      <c r="HK33" s="7"/>
      <c r="HR33" s="7"/>
      <c r="HY33" s="7"/>
      <c r="IF33" s="7"/>
      <c r="IM33" s="7"/>
      <c r="IT33" s="7"/>
      <c r="JA33" s="7"/>
      <c r="JH33" s="7"/>
      <c r="JO33" s="7"/>
      <c r="JV33" s="7"/>
      <c r="KC33" s="7"/>
      <c r="KJ33" s="7"/>
      <c r="KQ33" s="7"/>
      <c r="KX33" s="7"/>
      <c r="LE33" s="7"/>
      <c r="LL33" s="7"/>
      <c r="LS33" s="7"/>
      <c r="LZ33" s="7"/>
      <c r="MG33" s="7"/>
      <c r="MN33" s="7"/>
      <c r="MU33" s="7"/>
      <c r="NB33" s="7"/>
    </row>
    <row r="34" spans="1:366" x14ac:dyDescent="0.25">
      <c r="A34" s="8" t="s">
        <v>514</v>
      </c>
      <c r="B34" s="8"/>
      <c r="C34" s="8"/>
      <c r="D34" s="8" t="s">
        <v>552</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G34">
        <v>1</v>
      </c>
      <c r="GL34" s="7"/>
      <c r="GN34">
        <v>1</v>
      </c>
      <c r="GP34">
        <v>1</v>
      </c>
      <c r="GU34" s="7"/>
      <c r="HD34" s="7"/>
      <c r="HK34" s="7"/>
      <c r="HR34" s="7"/>
      <c r="HY34" s="7"/>
      <c r="IF34" s="7"/>
      <c r="IM34" s="7"/>
      <c r="IT34" s="7"/>
      <c r="JA34" s="7"/>
      <c r="JH34" s="7"/>
      <c r="JO34" s="7"/>
      <c r="JV34" s="7"/>
      <c r="KC34" s="7"/>
      <c r="KJ34" s="7"/>
      <c r="KQ34" s="7"/>
      <c r="KX34" s="7"/>
      <c r="LE34" s="7"/>
      <c r="LL34" s="7"/>
      <c r="LS34" s="7"/>
      <c r="LZ34" s="7"/>
      <c r="MG34" s="7"/>
      <c r="MN34" s="7"/>
      <c r="MU34" s="7"/>
      <c r="NB34" s="7"/>
    </row>
    <row r="35" spans="1:366" x14ac:dyDescent="0.25">
      <c r="A35" s="8" t="s">
        <v>550</v>
      </c>
      <c r="B35" s="8"/>
      <c r="C35" s="8"/>
      <c r="D35" s="8" t="s">
        <v>551</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U35" s="7"/>
      <c r="HD35" s="7"/>
      <c r="HK35" s="7"/>
      <c r="HR35" s="7"/>
      <c r="HY35" s="7"/>
      <c r="IF35" s="7"/>
      <c r="IM35" s="7"/>
      <c r="IT35" s="7"/>
      <c r="JA35" s="7"/>
      <c r="JH35" s="7"/>
      <c r="JO35" s="7"/>
      <c r="JV35" s="7"/>
      <c r="KC35" s="7"/>
      <c r="KJ35" s="7"/>
      <c r="KQ35" s="7"/>
      <c r="KX35" s="7"/>
      <c r="LE35" s="7"/>
      <c r="LL35" s="7"/>
      <c r="LS35" s="7"/>
      <c r="LZ35" s="7"/>
      <c r="MG35" s="7"/>
      <c r="MN35" s="7"/>
      <c r="MU35" s="7"/>
      <c r="NB35" s="7"/>
    </row>
    <row r="36" spans="1:366" ht="7.5" customHeight="1" x14ac:dyDescent="0.25">
      <c r="A36" s="8"/>
      <c r="B36" s="8"/>
      <c r="C36" s="8"/>
      <c r="D36" s="8"/>
      <c r="E36" s="8"/>
      <c r="F36" s="10"/>
      <c r="G36" s="19"/>
      <c r="H36" s="19"/>
      <c r="I36" s="8"/>
      <c r="J36" s="8"/>
      <c r="K36" s="8"/>
      <c r="L36" s="8"/>
      <c r="M36" s="8"/>
      <c r="N36" s="8"/>
      <c r="O36" s="9"/>
      <c r="P36" s="8" t="str">
        <f>IF(SUM(R36:NB36) &gt; 0, SUM(R36:NB36),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U36" s="7"/>
      <c r="HD36" s="7"/>
      <c r="HK36" s="7"/>
      <c r="HR36" s="7"/>
      <c r="HY36" s="7"/>
      <c r="IF36" s="7"/>
      <c r="IM36" s="7"/>
      <c r="IT36" s="7"/>
      <c r="JA36" s="7"/>
      <c r="JH36" s="7"/>
      <c r="JO36" s="7"/>
      <c r="JV36" s="7"/>
      <c r="KC36" s="7"/>
      <c r="KJ36" s="7"/>
      <c r="KQ36" s="7"/>
      <c r="KX36" s="7"/>
      <c r="LE36" s="7"/>
      <c r="LL36" s="7"/>
      <c r="LS36" s="7"/>
      <c r="LZ36" s="7"/>
      <c r="MG36" s="7"/>
      <c r="MN36" s="7"/>
      <c r="MU36" s="7"/>
      <c r="NB36" s="7"/>
    </row>
    <row r="37" spans="1:366" s="140" customFormat="1" ht="15.75" thickBot="1" x14ac:dyDescent="0.3">
      <c r="A37" s="6" t="s">
        <v>18</v>
      </c>
      <c r="B37" s="3"/>
      <c r="C37" s="3"/>
      <c r="D37" s="3"/>
      <c r="E37" s="3"/>
      <c r="F37" s="5"/>
      <c r="G37" s="3"/>
      <c r="H37" s="3"/>
      <c r="I37" s="3"/>
      <c r="J37" s="3"/>
      <c r="K37" s="3"/>
      <c r="L37" s="3"/>
      <c r="M37" s="3"/>
      <c r="N37" s="3"/>
      <c r="O37" s="4"/>
      <c r="P37" s="3">
        <f>SUM(S37:NB37)</f>
        <v>82</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v>1</v>
      </c>
      <c r="GH37" s="3">
        <v>1</v>
      </c>
      <c r="GI37" s="3">
        <v>1</v>
      </c>
      <c r="GJ37" s="3"/>
      <c r="GK37" s="3"/>
      <c r="GL37" s="4"/>
      <c r="GM37" s="3">
        <v>1</v>
      </c>
      <c r="GN37" s="3">
        <v>1</v>
      </c>
      <c r="GO37" s="3"/>
      <c r="GP37" s="3">
        <v>1</v>
      </c>
      <c r="GQ37" s="3">
        <v>1</v>
      </c>
      <c r="GR37" s="3">
        <v>1</v>
      </c>
      <c r="GS37" s="3">
        <v>1</v>
      </c>
      <c r="GT37" s="3"/>
      <c r="GU37" s="4"/>
      <c r="GV37" s="3"/>
      <c r="GW37" s="3"/>
      <c r="GX37" s="3"/>
      <c r="GY37" s="3"/>
      <c r="GZ37" s="3"/>
      <c r="HA37" s="3"/>
      <c r="HB37" s="3"/>
      <c r="HC37" s="3"/>
      <c r="HD37" s="4"/>
      <c r="HE37" s="3"/>
      <c r="HF37" s="3"/>
      <c r="HG37" s="3"/>
      <c r="HH37" s="3"/>
      <c r="HI37" s="3"/>
      <c r="HJ37" s="3"/>
      <c r="HK37" s="4"/>
      <c r="HL37" s="3"/>
      <c r="HM37" s="3"/>
      <c r="HN37" s="3"/>
      <c r="HO37" s="3"/>
      <c r="HP37" s="3"/>
      <c r="HQ37" s="3"/>
      <c r="HR37" s="4"/>
      <c r="HS37" s="3"/>
      <c r="HT37" s="3"/>
      <c r="HU37" s="3"/>
      <c r="HV37" s="3"/>
      <c r="HW37" s="3"/>
      <c r="HX37" s="3"/>
      <c r="HY37" s="4"/>
      <c r="HZ37" s="3"/>
      <c r="IA37" s="3"/>
      <c r="IB37" s="3"/>
      <c r="IC37" s="3"/>
      <c r="ID37" s="3"/>
      <c r="IE37" s="3"/>
      <c r="IF37" s="4"/>
      <c r="IG37" s="3"/>
      <c r="IH37" s="3"/>
      <c r="II37" s="3"/>
      <c r="IJ37" s="3"/>
      <c r="IK37" s="3"/>
      <c r="IL37" s="3"/>
      <c r="IM37" s="4"/>
      <c r="IN37" s="3"/>
      <c r="IO37" s="3"/>
      <c r="IP37" s="3"/>
      <c r="IQ37" s="3"/>
      <c r="IR37" s="3"/>
      <c r="IS37" s="3"/>
      <c r="IT37" s="4"/>
      <c r="IU37" s="3"/>
      <c r="IV37" s="3"/>
      <c r="IW37" s="3"/>
      <c r="IX37" s="3"/>
      <c r="IY37" s="3"/>
      <c r="IZ37" s="3"/>
      <c r="JA37" s="4"/>
      <c r="JB37" s="3"/>
      <c r="JC37" s="3"/>
      <c r="JD37" s="3"/>
      <c r="JE37" s="3"/>
      <c r="JF37" s="3"/>
      <c r="JG37" s="3"/>
      <c r="JH37" s="4"/>
      <c r="JI37" s="3"/>
      <c r="JJ37" s="3"/>
      <c r="JK37" s="3"/>
      <c r="JL37" s="3"/>
      <c r="JM37" s="3"/>
      <c r="JN37" s="3"/>
      <c r="JO37" s="4"/>
      <c r="JP37" s="3"/>
      <c r="JQ37" s="3"/>
      <c r="JR37" s="3"/>
      <c r="JS37" s="3"/>
      <c r="JT37" s="3"/>
      <c r="JU37" s="3"/>
      <c r="JV37" s="4"/>
      <c r="JW37" s="3"/>
      <c r="JX37" s="3"/>
      <c r="JY37" s="3"/>
      <c r="JZ37" s="3"/>
      <c r="KA37" s="3"/>
      <c r="KB37" s="3"/>
      <c r="KC37" s="4"/>
      <c r="KD37" s="3"/>
      <c r="KE37" s="3"/>
      <c r="KF37" s="3"/>
      <c r="KG37" s="3"/>
      <c r="KH37" s="3"/>
      <c r="KI37" s="3"/>
      <c r="KJ37" s="4"/>
      <c r="KK37" s="3"/>
      <c r="KL37" s="3"/>
      <c r="KM37" s="3"/>
      <c r="KN37" s="3"/>
      <c r="KO37" s="3"/>
      <c r="KP37" s="3"/>
      <c r="KQ37" s="4"/>
      <c r="KR37" s="3"/>
      <c r="KS37" s="3"/>
      <c r="KT37" s="3"/>
      <c r="KU37" s="3"/>
      <c r="KV37" s="3"/>
      <c r="KW37" s="3"/>
      <c r="KX37" s="4"/>
      <c r="KY37" s="3"/>
      <c r="KZ37" s="3"/>
      <c r="LA37" s="3"/>
      <c r="LB37" s="3"/>
      <c r="LC37" s="3"/>
      <c r="LD37" s="3"/>
      <c r="LE37" s="4"/>
      <c r="LF37" s="3"/>
      <c r="LG37" s="3"/>
      <c r="LH37" s="3"/>
      <c r="LI37" s="3"/>
      <c r="LJ37" s="3"/>
      <c r="LK37" s="3"/>
      <c r="LL37" s="4"/>
      <c r="LM37" s="3"/>
      <c r="LN37" s="3"/>
      <c r="LO37" s="3"/>
      <c r="LP37" s="3"/>
      <c r="LQ37" s="3"/>
      <c r="LR37" s="3"/>
      <c r="LS37" s="4"/>
      <c r="LT37" s="3"/>
      <c r="LU37" s="3"/>
      <c r="LV37" s="3"/>
      <c r="LW37" s="3"/>
      <c r="LX37" s="3"/>
      <c r="LY37" s="3"/>
      <c r="LZ37" s="4"/>
      <c r="MA37" s="3"/>
      <c r="MB37" s="3"/>
      <c r="MC37" s="3"/>
      <c r="MD37" s="3"/>
      <c r="ME37" s="3"/>
      <c r="MF37" s="3"/>
      <c r="MG37" s="4"/>
      <c r="MH37" s="3"/>
      <c r="MI37" s="3"/>
      <c r="MJ37" s="3"/>
      <c r="MK37" s="3"/>
      <c r="ML37" s="3"/>
      <c r="MM37" s="3"/>
      <c r="MN37" s="4"/>
      <c r="MO37" s="3"/>
      <c r="MP37" s="3"/>
      <c r="MQ37" s="3"/>
      <c r="MR37" s="3"/>
      <c r="MS37" s="3"/>
      <c r="MT37" s="3"/>
      <c r="MU37" s="4"/>
      <c r="MV37" s="3"/>
      <c r="MW37" s="3"/>
      <c r="MX37" s="3"/>
      <c r="MY37" s="3"/>
      <c r="MZ37" s="3"/>
      <c r="NA37" s="3"/>
      <c r="NB37" s="4"/>
    </row>
    <row r="38" spans="1:366" ht="15.75" thickBot="1" x14ac:dyDescent="0.3">
      <c r="A38" s="110" t="s">
        <v>25</v>
      </c>
      <c r="B38" s="16"/>
      <c r="C38" s="16"/>
      <c r="D38" s="16"/>
      <c r="E38" s="17"/>
      <c r="F38" s="16">
        <f t="shared" ref="F38:N38" si="314">SUM(F6:F36)</f>
        <v>14</v>
      </c>
      <c r="G38" s="16">
        <f t="shared" si="314"/>
        <v>9</v>
      </c>
      <c r="H38" s="16">
        <f t="shared" si="314"/>
        <v>3</v>
      </c>
      <c r="I38" s="16">
        <f t="shared" si="314"/>
        <v>2</v>
      </c>
      <c r="J38" s="16">
        <f t="shared" si="314"/>
        <v>0</v>
      </c>
      <c r="K38" s="16">
        <f t="shared" si="314"/>
        <v>0</v>
      </c>
      <c r="L38" s="16">
        <f t="shared" si="314"/>
        <v>0</v>
      </c>
      <c r="M38" s="16">
        <f t="shared" si="314"/>
        <v>4</v>
      </c>
      <c r="N38" s="16">
        <f t="shared" si="314"/>
        <v>16</v>
      </c>
      <c r="O38" s="17">
        <f>SUM(O6:O36)+ SUM(O45:O80)</f>
        <v>12</v>
      </c>
      <c r="P38" s="16">
        <f>VisibleSum(P6:P28)</f>
        <v>56.888888888888886</v>
      </c>
      <c r="Q38" s="16">
        <f>P38 / P37 * 100</f>
        <v>69.376693766937663</v>
      </c>
      <c r="R38" s="17">
        <f>VisibleSum(R6:R28)</f>
        <v>-20.666666666666668</v>
      </c>
      <c r="S38" s="15">
        <f t="shared" ref="S38:AX38" si="315">IF(SUM(S6:S36) &gt; 0, SUM(S6:S36), "")</f>
        <v>15</v>
      </c>
      <c r="T38" s="14" t="str">
        <f t="shared" si="315"/>
        <v/>
      </c>
      <c r="U38" s="14">
        <f t="shared" si="315"/>
        <v>12</v>
      </c>
      <c r="V38" s="14">
        <f t="shared" si="315"/>
        <v>13</v>
      </c>
      <c r="W38" s="14" t="str">
        <f t="shared" si="315"/>
        <v/>
      </c>
      <c r="X38" s="14">
        <f t="shared" si="315"/>
        <v>12</v>
      </c>
      <c r="Y38" s="14" t="str">
        <f t="shared" si="315"/>
        <v/>
      </c>
      <c r="Z38" s="15" t="str">
        <f t="shared" si="315"/>
        <v/>
      </c>
      <c r="AA38" s="14" t="str">
        <f t="shared" si="315"/>
        <v/>
      </c>
      <c r="AB38" s="14">
        <f t="shared" si="315"/>
        <v>15</v>
      </c>
      <c r="AC38" s="14" t="str">
        <f t="shared" si="315"/>
        <v/>
      </c>
      <c r="AD38" s="14">
        <f t="shared" si="315"/>
        <v>12</v>
      </c>
      <c r="AE38" s="14">
        <f t="shared" si="315"/>
        <v>15</v>
      </c>
      <c r="AF38" s="14" t="str">
        <f t="shared" si="315"/>
        <v/>
      </c>
      <c r="AG38" s="15" t="str">
        <f t="shared" si="315"/>
        <v/>
      </c>
      <c r="AH38" s="14" t="str">
        <f t="shared" si="315"/>
        <v/>
      </c>
      <c r="AI38" s="14">
        <f t="shared" si="315"/>
        <v>16</v>
      </c>
      <c r="AJ38" s="14" t="str">
        <f t="shared" si="315"/>
        <v/>
      </c>
      <c r="AK38" s="14">
        <f t="shared" si="315"/>
        <v>15</v>
      </c>
      <c r="AL38" s="14">
        <f t="shared" si="315"/>
        <v>10</v>
      </c>
      <c r="AM38" s="14" t="str">
        <f t="shared" si="315"/>
        <v/>
      </c>
      <c r="AN38" s="15" t="str">
        <f t="shared" si="315"/>
        <v/>
      </c>
      <c r="AO38" s="14" t="str">
        <f t="shared" si="315"/>
        <v/>
      </c>
      <c r="AP38" s="14">
        <f t="shared" si="315"/>
        <v>15</v>
      </c>
      <c r="AQ38" s="14" t="str">
        <f t="shared" si="315"/>
        <v/>
      </c>
      <c r="AR38" s="14">
        <f t="shared" si="315"/>
        <v>16</v>
      </c>
      <c r="AS38" s="14">
        <f t="shared" si="315"/>
        <v>11</v>
      </c>
      <c r="AT38" s="14" t="str">
        <f t="shared" si="315"/>
        <v/>
      </c>
      <c r="AU38" s="15" t="str">
        <f t="shared" si="315"/>
        <v/>
      </c>
      <c r="AV38" s="14" t="str">
        <f t="shared" si="315"/>
        <v/>
      </c>
      <c r="AW38" s="14">
        <f t="shared" si="315"/>
        <v>14</v>
      </c>
      <c r="AX38" s="14">
        <f t="shared" si="315"/>
        <v>2</v>
      </c>
      <c r="AY38" s="14">
        <f t="shared" ref="AY38:BW38" si="316">IF(SUM(AY6:AY36) &gt; 0, SUM(AY6:AY36), "")</f>
        <v>13</v>
      </c>
      <c r="AZ38" s="14">
        <f t="shared" si="316"/>
        <v>12</v>
      </c>
      <c r="BA38" s="14" t="str">
        <f t="shared" si="316"/>
        <v/>
      </c>
      <c r="BB38" s="15" t="str">
        <f t="shared" si="316"/>
        <v/>
      </c>
      <c r="BC38" s="14" t="str">
        <f t="shared" si="316"/>
        <v/>
      </c>
      <c r="BD38" s="14">
        <f t="shared" si="316"/>
        <v>14</v>
      </c>
      <c r="BE38" s="14" t="str">
        <f t="shared" si="316"/>
        <v/>
      </c>
      <c r="BF38" s="14">
        <f t="shared" si="316"/>
        <v>14</v>
      </c>
      <c r="BG38" s="14">
        <f t="shared" si="316"/>
        <v>11</v>
      </c>
      <c r="BH38" s="14" t="str">
        <f t="shared" si="316"/>
        <v/>
      </c>
      <c r="BI38" s="15" t="str">
        <f t="shared" si="316"/>
        <v/>
      </c>
      <c r="BJ38" s="14" t="str">
        <f t="shared" si="316"/>
        <v/>
      </c>
      <c r="BK38" s="14">
        <f t="shared" si="316"/>
        <v>16</v>
      </c>
      <c r="BL38" s="14" t="str">
        <f t="shared" si="316"/>
        <v/>
      </c>
      <c r="BM38" s="14">
        <f t="shared" si="316"/>
        <v>16</v>
      </c>
      <c r="BN38" s="14" t="str">
        <f t="shared" si="316"/>
        <v/>
      </c>
      <c r="BO38" s="14" t="str">
        <f t="shared" si="316"/>
        <v/>
      </c>
      <c r="BP38" s="15">
        <f t="shared" si="316"/>
        <v>8</v>
      </c>
      <c r="BQ38" s="14" t="str">
        <f t="shared" si="316"/>
        <v/>
      </c>
      <c r="BR38" s="14">
        <f t="shared" si="316"/>
        <v>17</v>
      </c>
      <c r="BS38" s="14" t="str">
        <f t="shared" si="316"/>
        <v/>
      </c>
      <c r="BT38" s="14">
        <f t="shared" si="316"/>
        <v>14</v>
      </c>
      <c r="BU38" s="14" t="str">
        <f t="shared" si="316"/>
        <v/>
      </c>
      <c r="BV38" s="14" t="str">
        <f t="shared" si="316"/>
        <v/>
      </c>
      <c r="BW38" s="14">
        <f t="shared" si="316"/>
        <v>3</v>
      </c>
      <c r="BX38" s="14"/>
      <c r="BY38" s="15">
        <f>VisibleSum(BY6:BY28)</f>
        <v>-3.5555555555555554</v>
      </c>
      <c r="BZ38" s="14" t="str">
        <f t="shared" ref="BZ38:CF38" si="317">IF(SUM(BZ6:BZ36) &gt; 0, SUM(BZ6:BZ36), "")</f>
        <v/>
      </c>
      <c r="CA38" s="14" t="str">
        <f t="shared" si="317"/>
        <v/>
      </c>
      <c r="CB38" s="14" t="str">
        <f t="shared" si="317"/>
        <v/>
      </c>
      <c r="CC38" s="14">
        <f t="shared" si="317"/>
        <v>9</v>
      </c>
      <c r="CD38" s="14" t="str">
        <f t="shared" si="317"/>
        <v/>
      </c>
      <c r="CE38" s="14" t="str">
        <f t="shared" si="317"/>
        <v/>
      </c>
      <c r="CF38" s="14">
        <f t="shared" si="317"/>
        <v>6</v>
      </c>
      <c r="CG38" s="14"/>
      <c r="CH38" s="15">
        <f>VisibleSum(CH6:CH28)</f>
        <v>-4.5555555555555554</v>
      </c>
      <c r="CI38" s="14" t="str">
        <f t="shared" ref="CI38:CO38" si="318">IF(SUM(CI6:CI36) &gt; 0, SUM(CI6:CI36), "")</f>
        <v/>
      </c>
      <c r="CJ38" s="14" t="str">
        <f t="shared" si="318"/>
        <v/>
      </c>
      <c r="CK38" s="14" t="str">
        <f t="shared" si="318"/>
        <v/>
      </c>
      <c r="CL38" s="14">
        <f t="shared" si="318"/>
        <v>10</v>
      </c>
      <c r="CM38" s="14" t="str">
        <f t="shared" si="318"/>
        <v/>
      </c>
      <c r="CN38" s="14" t="str">
        <f t="shared" si="318"/>
        <v/>
      </c>
      <c r="CO38" s="14">
        <f t="shared" si="318"/>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9">IF(SUM(DA6:DA36) &gt; 0, SUM(DA6:DA36), "")</f>
        <v/>
      </c>
      <c r="DB38" s="14">
        <f t="shared" si="319"/>
        <v>11</v>
      </c>
      <c r="DC38" s="14" t="str">
        <f t="shared" si="319"/>
        <v/>
      </c>
      <c r="DD38" s="14" t="str">
        <f t="shared" si="319"/>
        <v/>
      </c>
      <c r="DE38" s="14">
        <f t="shared" si="319"/>
        <v>8</v>
      </c>
      <c r="DF38" s="14" t="str">
        <f t="shared" si="319"/>
        <v/>
      </c>
      <c r="DG38" s="14">
        <f t="shared" si="319"/>
        <v>4</v>
      </c>
      <c r="DH38" s="14"/>
      <c r="DI38" s="130">
        <f>IF(VisibleSum(DI6:DI28) = "", "??", VisibleSum(DI6:DI28))</f>
        <v>-1.6111111111111112</v>
      </c>
      <c r="DJ38" s="14" t="str">
        <f t="shared" ref="DJ38:DP38" si="320">IF(SUM(DJ6:DJ36) &gt; 0, SUM(DJ6:DJ36), "")</f>
        <v/>
      </c>
      <c r="DK38" s="14">
        <f t="shared" si="320"/>
        <v>15</v>
      </c>
      <c r="DL38" s="14" t="str">
        <f t="shared" si="320"/>
        <v/>
      </c>
      <c r="DM38" s="14">
        <f t="shared" si="320"/>
        <v>12</v>
      </c>
      <c r="DN38" s="14">
        <f t="shared" si="320"/>
        <v>11</v>
      </c>
      <c r="DO38" s="14" t="str">
        <f t="shared" si="320"/>
        <v/>
      </c>
      <c r="DP38" s="14">
        <f t="shared" si="320"/>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21">IF(SUM(EK6:EK36) &gt; 0, SUM(EK6:EK36), "")</f>
        <v>15</v>
      </c>
      <c r="EL38" s="14">
        <f t="shared" si="321"/>
        <v>17</v>
      </c>
      <c r="EM38" s="14" t="str">
        <f t="shared" si="321"/>
        <v/>
      </c>
      <c r="EN38" s="14">
        <f t="shared" si="321"/>
        <v>14</v>
      </c>
      <c r="EO38" s="14">
        <f t="shared" si="321"/>
        <v>16</v>
      </c>
      <c r="EP38" s="14" t="str">
        <f t="shared" si="321"/>
        <v/>
      </c>
      <c r="EQ38" s="14">
        <f t="shared" si="321"/>
        <v>15</v>
      </c>
      <c r="ER38" s="14"/>
      <c r="ES38" s="130">
        <f>IF(VisibleSum(ES6:ES28) = "", "??", VisibleSum(ES6:ES28))</f>
        <v>0.88888888888888884</v>
      </c>
      <c r="ET38" s="14">
        <f t="shared" ref="ET38:EZ38" si="322">IF(SUM(ET6:ET36) &gt; 0, SUM(ET6:ET36), "")</f>
        <v>13</v>
      </c>
      <c r="EU38" s="14">
        <f t="shared" si="322"/>
        <v>14</v>
      </c>
      <c r="EV38" s="14">
        <f t="shared" si="322"/>
        <v>13</v>
      </c>
      <c r="EW38" s="14">
        <f t="shared" si="322"/>
        <v>16</v>
      </c>
      <c r="EX38" s="14" t="str">
        <f t="shared" si="322"/>
        <v/>
      </c>
      <c r="EY38" s="14" t="str">
        <f t="shared" si="322"/>
        <v/>
      </c>
      <c r="EZ38" s="14" t="str">
        <f t="shared" si="322"/>
        <v/>
      </c>
      <c r="FA38" s="14"/>
      <c r="FB38" s="130">
        <f>IF(VisibleSum(FB6:FB28) = "", "??", VisibleSum(FB6:FB28))</f>
        <v>-1</v>
      </c>
      <c r="FC38" s="14">
        <f t="shared" ref="FC38:FI38" si="323">IF(SUM(FC6:FC36) &gt; 0, SUM(FC6:FC36), "")</f>
        <v>11</v>
      </c>
      <c r="FD38" s="14">
        <f t="shared" si="323"/>
        <v>3</v>
      </c>
      <c r="FE38" s="14">
        <f t="shared" si="323"/>
        <v>14</v>
      </c>
      <c r="FF38" s="14">
        <f t="shared" si="323"/>
        <v>15</v>
      </c>
      <c r="FG38" s="14">
        <f t="shared" si="323"/>
        <v>11</v>
      </c>
      <c r="FH38" s="14">
        <f t="shared" si="323"/>
        <v>14</v>
      </c>
      <c r="FI38" s="14" t="str">
        <f t="shared" si="323"/>
        <v/>
      </c>
      <c r="FJ38" s="14"/>
      <c r="FK38" s="130">
        <f>IF(VisibleSum(FK6:FK28) = "", "??", VisibleSum(FK6:FK28))</f>
        <v>-0.22222222222222221</v>
      </c>
      <c r="FL38" s="14">
        <f t="shared" ref="FL38:HI38" si="324">IF(SUM(FL6:FL36) &gt; 0, SUM(FL6:FL36), "")</f>
        <v>6</v>
      </c>
      <c r="FM38" s="14">
        <f t="shared" si="324"/>
        <v>11</v>
      </c>
      <c r="FN38" s="14" t="str">
        <f t="shared" si="324"/>
        <v/>
      </c>
      <c r="FO38" s="14">
        <f t="shared" si="324"/>
        <v>12</v>
      </c>
      <c r="FP38" s="14">
        <f t="shared" si="324"/>
        <v>15</v>
      </c>
      <c r="FQ38" s="14">
        <f t="shared" si="324"/>
        <v>14</v>
      </c>
      <c r="FR38" s="14"/>
      <c r="FS38" s="14"/>
      <c r="FT38" s="130">
        <f>IF(VisibleSum(FT6:FT28) = "", "??", VisibleSum(FT6:FT28))</f>
        <v>-0.88888888888888884</v>
      </c>
      <c r="FU38" s="14">
        <f t="shared" si="324"/>
        <v>14</v>
      </c>
      <c r="FV38" s="14">
        <f t="shared" si="324"/>
        <v>15</v>
      </c>
      <c r="FW38" s="14" t="str">
        <f t="shared" si="324"/>
        <v/>
      </c>
      <c r="FX38" s="14">
        <f t="shared" si="324"/>
        <v>11</v>
      </c>
      <c r="FY38" s="14">
        <f t="shared" si="324"/>
        <v>11</v>
      </c>
      <c r="FZ38" s="14">
        <f t="shared" si="324"/>
        <v>10</v>
      </c>
      <c r="GA38" s="14"/>
      <c r="GB38" s="14"/>
      <c r="GC38" s="130">
        <f>IF(VisibleSum(GC6:GC28) = "", "??", VisibleSum(GC6:GC28))</f>
        <v>-0.66666666666666663</v>
      </c>
      <c r="GD38" s="14">
        <f t="shared" si="324"/>
        <v>14</v>
      </c>
      <c r="GE38" s="14">
        <f t="shared" si="324"/>
        <v>17</v>
      </c>
      <c r="GF38" s="14" t="str">
        <f t="shared" si="324"/>
        <v/>
      </c>
      <c r="GG38" s="14">
        <f t="shared" si="324"/>
        <v>13</v>
      </c>
      <c r="GH38" s="14">
        <f t="shared" si="324"/>
        <v>15</v>
      </c>
      <c r="GI38" s="14">
        <f t="shared" si="324"/>
        <v>13</v>
      </c>
      <c r="GJ38" s="14"/>
      <c r="GK38" s="14"/>
      <c r="GL38" s="130">
        <f>IF(VisibleSum(GL6:GL28) = "", "??", VisibleSum(GL6:GL28))</f>
        <v>-0.1111111111111111</v>
      </c>
      <c r="GM38" s="14">
        <f t="shared" si="324"/>
        <v>14</v>
      </c>
      <c r="GN38" s="14">
        <f t="shared" si="324"/>
        <v>12</v>
      </c>
      <c r="GO38" s="14" t="str">
        <f t="shared" si="324"/>
        <v/>
      </c>
      <c r="GP38" s="14">
        <f t="shared" si="324"/>
        <v>12</v>
      </c>
      <c r="GQ38" s="14">
        <f t="shared" si="324"/>
        <v>14</v>
      </c>
      <c r="GR38" s="14">
        <f t="shared" si="324"/>
        <v>12</v>
      </c>
      <c r="GS38" s="14">
        <f t="shared" si="324"/>
        <v>10</v>
      </c>
      <c r="GT38" s="14"/>
      <c r="GU38" s="130">
        <f>IF(VisibleSum(GU6:GU28) = "", "??", VisibleSum(GU6:GU28))</f>
        <v>0</v>
      </c>
      <c r="GV38" s="14" t="str">
        <f t="shared" si="324"/>
        <v/>
      </c>
      <c r="GW38" s="14" t="str">
        <f t="shared" si="324"/>
        <v/>
      </c>
      <c r="GX38" s="14" t="str">
        <f t="shared" si="324"/>
        <v/>
      </c>
      <c r="GY38" s="14" t="str">
        <f t="shared" si="324"/>
        <v/>
      </c>
      <c r="GZ38" s="14" t="str">
        <f t="shared" si="324"/>
        <v/>
      </c>
      <c r="HA38" s="14" t="str">
        <f t="shared" si="324"/>
        <v/>
      </c>
      <c r="HB38" s="14"/>
      <c r="HC38" s="14"/>
      <c r="HD38" s="15" t="str">
        <f t="shared" si="324"/>
        <v/>
      </c>
      <c r="HE38" s="14" t="str">
        <f t="shared" si="324"/>
        <v/>
      </c>
      <c r="HF38" s="14" t="str">
        <f t="shared" si="324"/>
        <v/>
      </c>
      <c r="HG38" s="14" t="str">
        <f t="shared" si="324"/>
        <v/>
      </c>
      <c r="HH38" s="14" t="str">
        <f t="shared" si="324"/>
        <v/>
      </c>
      <c r="HI38" s="14" t="str">
        <f t="shared" si="324"/>
        <v/>
      </c>
      <c r="HJ38" s="14"/>
      <c r="HK38" s="15" t="str">
        <f t="shared" ref="HK38:IP38" si="325">IF(SUM(HK6:HK36) &gt; 0, SUM(HK6:HK36), "")</f>
        <v/>
      </c>
      <c r="HL38" s="14" t="str">
        <f t="shared" si="325"/>
        <v/>
      </c>
      <c r="HM38" s="14" t="str">
        <f t="shared" si="325"/>
        <v/>
      </c>
      <c r="HN38" s="14" t="str">
        <f t="shared" si="325"/>
        <v/>
      </c>
      <c r="HO38" s="14" t="str">
        <f t="shared" si="325"/>
        <v/>
      </c>
      <c r="HP38" s="14" t="str">
        <f t="shared" si="325"/>
        <v/>
      </c>
      <c r="HQ38" s="14" t="str">
        <f t="shared" si="325"/>
        <v/>
      </c>
      <c r="HR38" s="15" t="str">
        <f t="shared" si="325"/>
        <v/>
      </c>
      <c r="HS38" s="14" t="str">
        <f t="shared" si="325"/>
        <v/>
      </c>
      <c r="HT38" s="14" t="str">
        <f t="shared" si="325"/>
        <v/>
      </c>
      <c r="HU38" s="14" t="str">
        <f t="shared" si="325"/>
        <v/>
      </c>
      <c r="HV38" s="14" t="str">
        <f t="shared" si="325"/>
        <v/>
      </c>
      <c r="HW38" s="14" t="str">
        <f t="shared" si="325"/>
        <v/>
      </c>
      <c r="HX38" s="14" t="str">
        <f t="shared" si="325"/>
        <v/>
      </c>
      <c r="HY38" s="15" t="str">
        <f t="shared" si="325"/>
        <v/>
      </c>
      <c r="HZ38" s="14" t="str">
        <f t="shared" si="325"/>
        <v/>
      </c>
      <c r="IA38" s="14" t="str">
        <f t="shared" si="325"/>
        <v/>
      </c>
      <c r="IB38" s="14" t="str">
        <f t="shared" si="325"/>
        <v/>
      </c>
      <c r="IC38" s="14" t="str">
        <f t="shared" si="325"/>
        <v/>
      </c>
      <c r="ID38" s="14" t="str">
        <f t="shared" si="325"/>
        <v/>
      </c>
      <c r="IE38" s="14" t="str">
        <f t="shared" si="325"/>
        <v/>
      </c>
      <c r="IF38" s="15" t="str">
        <f t="shared" si="325"/>
        <v/>
      </c>
      <c r="IG38" s="14" t="str">
        <f t="shared" si="325"/>
        <v/>
      </c>
      <c r="IH38" s="14" t="str">
        <f t="shared" si="325"/>
        <v/>
      </c>
      <c r="II38" s="14" t="str">
        <f t="shared" si="325"/>
        <v/>
      </c>
      <c r="IJ38" s="14" t="str">
        <f t="shared" si="325"/>
        <v/>
      </c>
      <c r="IK38" s="14" t="str">
        <f t="shared" si="325"/>
        <v/>
      </c>
      <c r="IL38" s="14" t="str">
        <f t="shared" si="325"/>
        <v/>
      </c>
      <c r="IM38" s="15" t="str">
        <f t="shared" si="325"/>
        <v/>
      </c>
      <c r="IN38" s="14" t="str">
        <f t="shared" si="325"/>
        <v/>
      </c>
      <c r="IO38" s="14" t="str">
        <f t="shared" si="325"/>
        <v/>
      </c>
      <c r="IP38" s="14" t="str">
        <f t="shared" si="325"/>
        <v/>
      </c>
      <c r="IQ38" s="14" t="str">
        <f t="shared" ref="IQ38:JV38" si="326">IF(SUM(IQ6:IQ36) &gt; 0, SUM(IQ6:IQ36), "")</f>
        <v/>
      </c>
      <c r="IR38" s="14" t="str">
        <f t="shared" si="326"/>
        <v/>
      </c>
      <c r="IS38" s="14" t="str">
        <f t="shared" si="326"/>
        <v/>
      </c>
      <c r="IT38" s="15" t="str">
        <f t="shared" si="326"/>
        <v/>
      </c>
      <c r="IU38" s="14" t="str">
        <f t="shared" si="326"/>
        <v/>
      </c>
      <c r="IV38" s="14" t="str">
        <f t="shared" si="326"/>
        <v/>
      </c>
      <c r="IW38" s="14" t="str">
        <f t="shared" si="326"/>
        <v/>
      </c>
      <c r="IX38" s="14" t="str">
        <f t="shared" si="326"/>
        <v/>
      </c>
      <c r="IY38" s="14" t="str">
        <f t="shared" si="326"/>
        <v/>
      </c>
      <c r="IZ38" s="14" t="str">
        <f t="shared" si="326"/>
        <v/>
      </c>
      <c r="JA38" s="15" t="str">
        <f t="shared" si="326"/>
        <v/>
      </c>
      <c r="JB38" s="14" t="str">
        <f t="shared" si="326"/>
        <v/>
      </c>
      <c r="JC38" s="14" t="str">
        <f t="shared" si="326"/>
        <v/>
      </c>
      <c r="JD38" s="14" t="str">
        <f t="shared" si="326"/>
        <v/>
      </c>
      <c r="JE38" s="14" t="str">
        <f t="shared" si="326"/>
        <v/>
      </c>
      <c r="JF38" s="14" t="str">
        <f t="shared" si="326"/>
        <v/>
      </c>
      <c r="JG38" s="14" t="str">
        <f t="shared" si="326"/>
        <v/>
      </c>
      <c r="JH38" s="15" t="str">
        <f t="shared" si="326"/>
        <v/>
      </c>
      <c r="JI38" s="14" t="str">
        <f t="shared" si="326"/>
        <v/>
      </c>
      <c r="JJ38" s="14" t="str">
        <f t="shared" si="326"/>
        <v/>
      </c>
      <c r="JK38" s="14" t="str">
        <f t="shared" si="326"/>
        <v/>
      </c>
      <c r="JL38" s="14" t="str">
        <f t="shared" si="326"/>
        <v/>
      </c>
      <c r="JM38" s="14" t="str">
        <f t="shared" si="326"/>
        <v/>
      </c>
      <c r="JN38" s="14" t="str">
        <f t="shared" si="326"/>
        <v/>
      </c>
      <c r="JO38" s="15" t="str">
        <f t="shared" si="326"/>
        <v/>
      </c>
      <c r="JP38" s="14" t="str">
        <f t="shared" si="326"/>
        <v/>
      </c>
      <c r="JQ38" s="14" t="str">
        <f t="shared" si="326"/>
        <v/>
      </c>
      <c r="JR38" s="14" t="str">
        <f t="shared" si="326"/>
        <v/>
      </c>
      <c r="JS38" s="14" t="str">
        <f t="shared" si="326"/>
        <v/>
      </c>
      <c r="JT38" s="14" t="str">
        <f t="shared" si="326"/>
        <v/>
      </c>
      <c r="JU38" s="14" t="str">
        <f t="shared" si="326"/>
        <v/>
      </c>
      <c r="JV38" s="15" t="str">
        <f t="shared" si="326"/>
        <v/>
      </c>
      <c r="JW38" s="14" t="str">
        <f t="shared" ref="JW38:LB38" si="327">IF(SUM(JW6:JW36) &gt; 0, SUM(JW6:JW36), "")</f>
        <v/>
      </c>
      <c r="JX38" s="14" t="str">
        <f t="shared" si="327"/>
        <v/>
      </c>
      <c r="JY38" s="14" t="str">
        <f t="shared" si="327"/>
        <v/>
      </c>
      <c r="JZ38" s="14" t="str">
        <f t="shared" si="327"/>
        <v/>
      </c>
      <c r="KA38" s="14" t="str">
        <f t="shared" si="327"/>
        <v/>
      </c>
      <c r="KB38" s="14" t="str">
        <f t="shared" si="327"/>
        <v/>
      </c>
      <c r="KC38" s="15" t="str">
        <f t="shared" si="327"/>
        <v/>
      </c>
      <c r="KD38" s="14" t="str">
        <f t="shared" si="327"/>
        <v/>
      </c>
      <c r="KE38" s="14" t="str">
        <f t="shared" si="327"/>
        <v/>
      </c>
      <c r="KF38" s="14" t="str">
        <f t="shared" si="327"/>
        <v/>
      </c>
      <c r="KG38" s="14" t="str">
        <f t="shared" si="327"/>
        <v/>
      </c>
      <c r="KH38" s="14" t="str">
        <f t="shared" si="327"/>
        <v/>
      </c>
      <c r="KI38" s="14" t="str">
        <f t="shared" si="327"/>
        <v/>
      </c>
      <c r="KJ38" s="15" t="str">
        <f t="shared" si="327"/>
        <v/>
      </c>
      <c r="KK38" s="14" t="str">
        <f t="shared" si="327"/>
        <v/>
      </c>
      <c r="KL38" s="14" t="str">
        <f t="shared" si="327"/>
        <v/>
      </c>
      <c r="KM38" s="14" t="str">
        <f t="shared" si="327"/>
        <v/>
      </c>
      <c r="KN38" s="14" t="str">
        <f t="shared" si="327"/>
        <v/>
      </c>
      <c r="KO38" s="14" t="str">
        <f t="shared" si="327"/>
        <v/>
      </c>
      <c r="KP38" s="14" t="str">
        <f t="shared" si="327"/>
        <v/>
      </c>
      <c r="KQ38" s="15" t="str">
        <f t="shared" si="327"/>
        <v/>
      </c>
      <c r="KR38" s="14" t="str">
        <f t="shared" si="327"/>
        <v/>
      </c>
      <c r="KS38" s="14" t="str">
        <f t="shared" si="327"/>
        <v/>
      </c>
      <c r="KT38" s="14" t="str">
        <f t="shared" si="327"/>
        <v/>
      </c>
      <c r="KU38" s="14" t="str">
        <f t="shared" si="327"/>
        <v/>
      </c>
      <c r="KV38" s="14" t="str">
        <f t="shared" si="327"/>
        <v/>
      </c>
      <c r="KW38" s="14" t="str">
        <f t="shared" si="327"/>
        <v/>
      </c>
      <c r="KX38" s="15" t="str">
        <f t="shared" si="327"/>
        <v/>
      </c>
      <c r="KY38" s="14" t="str">
        <f t="shared" si="327"/>
        <v/>
      </c>
      <c r="KZ38" s="14" t="str">
        <f t="shared" si="327"/>
        <v/>
      </c>
      <c r="LA38" s="14" t="str">
        <f t="shared" si="327"/>
        <v/>
      </c>
      <c r="LB38" s="14" t="str">
        <f t="shared" si="327"/>
        <v/>
      </c>
      <c r="LC38" s="14" t="str">
        <f t="shared" ref="LC38:MH38" si="328">IF(SUM(LC6:LC36) &gt; 0, SUM(LC6:LC36), "")</f>
        <v/>
      </c>
      <c r="LD38" s="14" t="str">
        <f t="shared" si="328"/>
        <v/>
      </c>
      <c r="LE38" s="15" t="str">
        <f t="shared" si="328"/>
        <v/>
      </c>
      <c r="LF38" s="14" t="str">
        <f t="shared" si="328"/>
        <v/>
      </c>
      <c r="LG38" s="14" t="str">
        <f t="shared" si="328"/>
        <v/>
      </c>
      <c r="LH38" s="14" t="str">
        <f t="shared" si="328"/>
        <v/>
      </c>
      <c r="LI38" s="14" t="str">
        <f t="shared" si="328"/>
        <v/>
      </c>
      <c r="LJ38" s="14" t="str">
        <f t="shared" si="328"/>
        <v/>
      </c>
      <c r="LK38" s="14" t="str">
        <f t="shared" si="328"/>
        <v/>
      </c>
      <c r="LL38" s="15" t="str">
        <f t="shared" si="328"/>
        <v/>
      </c>
      <c r="LM38" s="14" t="str">
        <f t="shared" si="328"/>
        <v/>
      </c>
      <c r="LN38" s="14" t="str">
        <f t="shared" si="328"/>
        <v/>
      </c>
      <c r="LO38" s="14" t="str">
        <f t="shared" si="328"/>
        <v/>
      </c>
      <c r="LP38" s="14" t="str">
        <f t="shared" si="328"/>
        <v/>
      </c>
      <c r="LQ38" s="14" t="str">
        <f t="shared" si="328"/>
        <v/>
      </c>
      <c r="LR38" s="14" t="str">
        <f t="shared" si="328"/>
        <v/>
      </c>
      <c r="LS38" s="15" t="str">
        <f t="shared" si="328"/>
        <v/>
      </c>
      <c r="LT38" s="14" t="str">
        <f t="shared" si="328"/>
        <v/>
      </c>
      <c r="LU38" s="14" t="str">
        <f t="shared" si="328"/>
        <v/>
      </c>
      <c r="LV38" s="14" t="str">
        <f t="shared" si="328"/>
        <v/>
      </c>
      <c r="LW38" s="14" t="str">
        <f t="shared" si="328"/>
        <v/>
      </c>
      <c r="LX38" s="14" t="str">
        <f t="shared" si="328"/>
        <v/>
      </c>
      <c r="LY38" s="14" t="str">
        <f t="shared" si="328"/>
        <v/>
      </c>
      <c r="LZ38" s="15" t="str">
        <f t="shared" si="328"/>
        <v/>
      </c>
      <c r="MA38" s="14" t="str">
        <f t="shared" si="328"/>
        <v/>
      </c>
      <c r="MB38" s="14" t="str">
        <f t="shared" si="328"/>
        <v/>
      </c>
      <c r="MC38" s="14" t="str">
        <f t="shared" si="328"/>
        <v/>
      </c>
      <c r="MD38" s="14" t="str">
        <f t="shared" si="328"/>
        <v/>
      </c>
      <c r="ME38" s="14" t="str">
        <f t="shared" si="328"/>
        <v/>
      </c>
      <c r="MF38" s="14" t="str">
        <f t="shared" si="328"/>
        <v/>
      </c>
      <c r="MG38" s="15" t="str">
        <f t="shared" si="328"/>
        <v/>
      </c>
      <c r="MH38" s="14" t="str">
        <f t="shared" si="328"/>
        <v/>
      </c>
      <c r="MI38" s="14" t="str">
        <f t="shared" ref="MI38:NB38" si="329">IF(SUM(MI6:MI36) &gt; 0, SUM(MI6:MI36), "")</f>
        <v/>
      </c>
      <c r="MJ38" s="14" t="str">
        <f t="shared" si="329"/>
        <v/>
      </c>
      <c r="MK38" s="14" t="str">
        <f t="shared" si="329"/>
        <v/>
      </c>
      <c r="ML38" s="14" t="str">
        <f t="shared" si="329"/>
        <v/>
      </c>
      <c r="MM38" s="14" t="str">
        <f t="shared" si="329"/>
        <v/>
      </c>
      <c r="MN38" s="15" t="str">
        <f t="shared" si="329"/>
        <v/>
      </c>
      <c r="MO38" s="14" t="str">
        <f t="shared" si="329"/>
        <v/>
      </c>
      <c r="MP38" s="14" t="str">
        <f t="shared" si="329"/>
        <v/>
      </c>
      <c r="MQ38" s="14" t="str">
        <f t="shared" si="329"/>
        <v/>
      </c>
      <c r="MR38" s="14" t="str">
        <f t="shared" si="329"/>
        <v/>
      </c>
      <c r="MS38" s="14" t="str">
        <f t="shared" si="329"/>
        <v/>
      </c>
      <c r="MT38" s="14" t="str">
        <f t="shared" si="329"/>
        <v/>
      </c>
      <c r="MU38" s="15" t="str">
        <f t="shared" si="329"/>
        <v/>
      </c>
      <c r="MV38" s="14" t="str">
        <f t="shared" si="329"/>
        <v/>
      </c>
      <c r="MW38" s="14" t="str">
        <f t="shared" si="329"/>
        <v/>
      </c>
      <c r="MX38" s="14" t="str">
        <f t="shared" si="329"/>
        <v/>
      </c>
      <c r="MY38" s="14" t="str">
        <f t="shared" si="329"/>
        <v/>
      </c>
      <c r="MZ38" s="14" t="str">
        <f t="shared" si="329"/>
        <v/>
      </c>
      <c r="NA38" s="14" t="str">
        <f t="shared" si="329"/>
        <v/>
      </c>
      <c r="NB38" s="111" t="str">
        <f t="shared" si="329"/>
        <v/>
      </c>
    </row>
    <row r="39" spans="1:366"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127"/>
      <c r="GT39" s="127"/>
      <c r="GU39" s="37"/>
      <c r="GV39" s="127"/>
      <c r="GW39" s="127"/>
      <c r="GX39" s="127"/>
      <c r="GY39" s="127"/>
      <c r="GZ39" s="127"/>
      <c r="HA39" s="127"/>
      <c r="HB39" s="127"/>
      <c r="HC39" s="127"/>
      <c r="HD39" s="37"/>
      <c r="HE39" s="127"/>
      <c r="HF39" s="127"/>
      <c r="HG39" s="127"/>
      <c r="HH39" s="127"/>
      <c r="HI39" s="127"/>
      <c r="HJ39" s="127"/>
      <c r="HK39" s="37"/>
      <c r="HL39" s="127"/>
      <c r="HM39" s="127"/>
      <c r="HN39" s="127"/>
      <c r="HO39" s="127"/>
      <c r="HP39" s="127"/>
      <c r="HQ39" s="127"/>
      <c r="HR39" s="37"/>
      <c r="HS39" s="127"/>
      <c r="HT39" s="127"/>
      <c r="HU39" s="127"/>
      <c r="HV39" s="127"/>
      <c r="HW39" s="127"/>
      <c r="HX39" s="127"/>
      <c r="HY39" s="37"/>
      <c r="HZ39" s="127"/>
      <c r="IA39" s="127"/>
      <c r="IB39" s="127"/>
      <c r="IC39" s="127"/>
      <c r="ID39" s="127"/>
      <c r="IE39" s="127"/>
      <c r="IF39" s="37"/>
      <c r="IG39" s="127"/>
      <c r="IH39" s="127"/>
      <c r="II39" s="127"/>
      <c r="IJ39" s="127"/>
      <c r="IK39" s="127"/>
      <c r="IL39" s="127"/>
      <c r="IM39" s="37"/>
      <c r="IN39" s="127"/>
      <c r="IO39" s="127"/>
      <c r="IP39" s="127"/>
      <c r="IQ39" s="127"/>
      <c r="IR39" s="127"/>
      <c r="IS39" s="127"/>
      <c r="IT39" s="37"/>
      <c r="IU39" s="127"/>
      <c r="IV39" s="127"/>
      <c r="IW39" s="127"/>
      <c r="IX39" s="127"/>
      <c r="IY39" s="127"/>
      <c r="IZ39" s="127"/>
      <c r="JA39" s="37"/>
      <c r="JB39" s="127"/>
      <c r="JC39" s="127"/>
      <c r="JD39" s="127"/>
      <c r="JE39" s="127"/>
      <c r="JF39" s="127"/>
      <c r="JG39" s="127"/>
      <c r="JH39" s="37"/>
      <c r="JI39" s="127"/>
      <c r="JJ39" s="127"/>
      <c r="JK39" s="127"/>
      <c r="JL39" s="127"/>
      <c r="JM39" s="127"/>
      <c r="JN39" s="127"/>
      <c r="JO39" s="37"/>
      <c r="JP39" s="127"/>
      <c r="JQ39" s="127"/>
      <c r="JR39" s="127"/>
      <c r="JS39" s="127"/>
      <c r="JT39" s="127"/>
      <c r="JU39" s="127"/>
      <c r="JV39" s="37"/>
      <c r="JW39" s="127"/>
      <c r="JX39" s="127"/>
      <c r="JY39" s="127"/>
      <c r="JZ39" s="127"/>
      <c r="KA39" s="127"/>
      <c r="KB39" s="127"/>
      <c r="KC39" s="37"/>
      <c r="KD39" s="127"/>
      <c r="KE39" s="127"/>
      <c r="KF39" s="127"/>
      <c r="KG39" s="127"/>
      <c r="KH39" s="127"/>
      <c r="KI39" s="127"/>
      <c r="KJ39" s="37"/>
      <c r="KK39" s="127"/>
      <c r="KL39" s="127"/>
      <c r="KM39" s="127"/>
      <c r="KN39" s="127"/>
      <c r="KO39" s="127"/>
      <c r="KP39" s="127"/>
      <c r="KQ39" s="37"/>
      <c r="KR39" s="127"/>
      <c r="KS39" s="127"/>
      <c r="KT39" s="127"/>
      <c r="KU39" s="127"/>
      <c r="KV39" s="127"/>
      <c r="KW39" s="127"/>
      <c r="KX39" s="37"/>
      <c r="KY39" s="127"/>
      <c r="KZ39" s="127"/>
      <c r="LA39" s="127"/>
      <c r="LB39" s="127"/>
      <c r="LC39" s="127"/>
      <c r="LD39" s="127"/>
      <c r="LE39" s="37"/>
      <c r="LF39" s="127"/>
      <c r="LG39" s="127"/>
      <c r="LH39" s="127"/>
      <c r="LI39" s="127"/>
      <c r="LJ39" s="127"/>
      <c r="LK39" s="127"/>
      <c r="LL39" s="37"/>
      <c r="LM39" s="127"/>
      <c r="LN39" s="127"/>
      <c r="LO39" s="127"/>
      <c r="LP39" s="127"/>
      <c r="LQ39" s="127"/>
      <c r="LR39" s="127"/>
      <c r="LS39" s="37"/>
      <c r="LT39" s="127"/>
      <c r="LU39" s="127"/>
      <c r="LV39" s="127"/>
      <c r="LW39" s="127"/>
      <c r="LX39" s="127"/>
      <c r="LY39" s="127"/>
      <c r="LZ39" s="37"/>
      <c r="MA39" s="127"/>
      <c r="MB39" s="127"/>
      <c r="MC39" s="127"/>
      <c r="MD39" s="127"/>
      <c r="ME39" s="127"/>
      <c r="MF39" s="127"/>
      <c r="MG39" s="37"/>
      <c r="MH39" s="127"/>
      <c r="MI39" s="127"/>
      <c r="MJ39" s="127"/>
      <c r="MK39" s="127"/>
      <c r="ML39" s="127"/>
      <c r="MM39" s="127"/>
      <c r="MN39" s="37"/>
      <c r="MO39" s="127"/>
      <c r="MP39" s="127"/>
      <c r="MQ39" s="127"/>
      <c r="MR39" s="127"/>
      <c r="MS39" s="127"/>
      <c r="MT39" s="127"/>
      <c r="MU39" s="37"/>
      <c r="MV39" s="127"/>
      <c r="MW39" s="127"/>
      <c r="MX39" s="127"/>
      <c r="MY39" s="127"/>
      <c r="MZ39" s="127"/>
      <c r="NA39" s="127"/>
      <c r="NB39" s="37"/>
    </row>
    <row r="40" spans="1:366" ht="66" hidden="1" customHeight="1" x14ac:dyDescent="0.25">
      <c r="A40" s="19"/>
      <c r="B40" s="19"/>
      <c r="C40" s="19"/>
      <c r="D40" s="19"/>
      <c r="E40" s="9"/>
      <c r="F40" s="19"/>
      <c r="G40" s="19"/>
      <c r="H40" s="19"/>
      <c r="I40" s="19"/>
      <c r="J40" s="19"/>
      <c r="K40" s="19"/>
      <c r="L40" s="19"/>
      <c r="M40" s="19"/>
      <c r="N40" s="19"/>
      <c r="O40" s="9"/>
      <c r="P40" s="119" t="s">
        <v>408</v>
      </c>
      <c r="Q40" s="120" t="s">
        <v>408</v>
      </c>
      <c r="R40" s="121"/>
      <c r="S40" s="49">
        <f t="shared" ref="S40:AX40" si="330">S1</f>
        <v>43975</v>
      </c>
      <c r="T40" s="49">
        <f t="shared" si="330"/>
        <v>43976</v>
      </c>
      <c r="U40" s="49">
        <f t="shared" si="330"/>
        <v>43977</v>
      </c>
      <c r="V40" s="49">
        <f t="shared" si="330"/>
        <v>43978</v>
      </c>
      <c r="W40" s="49">
        <f t="shared" si="330"/>
        <v>43979</v>
      </c>
      <c r="X40" s="49">
        <f t="shared" si="330"/>
        <v>43980</v>
      </c>
      <c r="Y40" s="49">
        <f t="shared" si="330"/>
        <v>43981</v>
      </c>
      <c r="Z40" s="49">
        <f t="shared" si="330"/>
        <v>43982</v>
      </c>
      <c r="AA40" s="49">
        <f t="shared" si="330"/>
        <v>43983</v>
      </c>
      <c r="AB40" s="49">
        <f t="shared" si="330"/>
        <v>43984</v>
      </c>
      <c r="AC40" s="49">
        <f t="shared" si="330"/>
        <v>43985</v>
      </c>
      <c r="AD40" s="49">
        <f t="shared" si="330"/>
        <v>43986</v>
      </c>
      <c r="AE40" s="49">
        <f t="shared" si="330"/>
        <v>43987</v>
      </c>
      <c r="AF40" s="49">
        <f t="shared" si="330"/>
        <v>43988</v>
      </c>
      <c r="AG40" s="49">
        <f t="shared" si="330"/>
        <v>43989</v>
      </c>
      <c r="AH40" s="49">
        <f t="shared" si="330"/>
        <v>43990</v>
      </c>
      <c r="AI40" s="49">
        <f t="shared" si="330"/>
        <v>43991</v>
      </c>
      <c r="AJ40" s="49">
        <f t="shared" si="330"/>
        <v>43992</v>
      </c>
      <c r="AK40" s="49">
        <f t="shared" si="330"/>
        <v>43993</v>
      </c>
      <c r="AL40" s="49">
        <f t="shared" si="330"/>
        <v>43994</v>
      </c>
      <c r="AM40" s="49">
        <f t="shared" si="330"/>
        <v>43995</v>
      </c>
      <c r="AN40" s="49">
        <f t="shared" si="330"/>
        <v>43996</v>
      </c>
      <c r="AO40" s="49">
        <f t="shared" si="330"/>
        <v>43997</v>
      </c>
      <c r="AP40" s="49">
        <f t="shared" si="330"/>
        <v>43998</v>
      </c>
      <c r="AQ40" s="49">
        <f t="shared" si="330"/>
        <v>43999</v>
      </c>
      <c r="AR40" s="49">
        <f t="shared" si="330"/>
        <v>44000</v>
      </c>
      <c r="AS40" s="49">
        <f t="shared" si="330"/>
        <v>44001</v>
      </c>
      <c r="AT40" s="49">
        <f t="shared" si="330"/>
        <v>44002</v>
      </c>
      <c r="AU40" s="49">
        <f t="shared" si="330"/>
        <v>44003</v>
      </c>
      <c r="AV40" s="49">
        <f t="shared" si="330"/>
        <v>44004</v>
      </c>
      <c r="AW40" s="49">
        <f t="shared" si="330"/>
        <v>44005</v>
      </c>
      <c r="AX40" s="49">
        <f t="shared" si="330"/>
        <v>44006</v>
      </c>
      <c r="AY40" s="49">
        <f t="shared" ref="AY40:BW40" si="331">AY1</f>
        <v>44007</v>
      </c>
      <c r="AZ40" s="49">
        <f t="shared" si="331"/>
        <v>44008</v>
      </c>
      <c r="BA40" s="49">
        <f t="shared" si="331"/>
        <v>44009</v>
      </c>
      <c r="BB40" s="49">
        <f t="shared" si="331"/>
        <v>44010</v>
      </c>
      <c r="BC40" s="49">
        <f t="shared" si="331"/>
        <v>44011</v>
      </c>
      <c r="BD40" s="49">
        <f t="shared" si="331"/>
        <v>44012</v>
      </c>
      <c r="BE40" s="49">
        <f t="shared" si="331"/>
        <v>44013</v>
      </c>
      <c r="BF40" s="49">
        <f t="shared" si="331"/>
        <v>44014</v>
      </c>
      <c r="BG40" s="49">
        <f t="shared" si="331"/>
        <v>44015</v>
      </c>
      <c r="BH40" s="49">
        <f t="shared" si="331"/>
        <v>44016</v>
      </c>
      <c r="BI40" s="49">
        <f t="shared" si="331"/>
        <v>44017</v>
      </c>
      <c r="BJ40" s="49">
        <f t="shared" si="331"/>
        <v>44018</v>
      </c>
      <c r="BK40" s="49">
        <f t="shared" si="331"/>
        <v>44019</v>
      </c>
      <c r="BL40" s="49">
        <f t="shared" si="331"/>
        <v>44020</v>
      </c>
      <c r="BM40" s="49">
        <f t="shared" si="331"/>
        <v>44021</v>
      </c>
      <c r="BN40" s="49">
        <f t="shared" si="331"/>
        <v>44022</v>
      </c>
      <c r="BO40" s="49">
        <f t="shared" si="331"/>
        <v>44023</v>
      </c>
      <c r="BP40" s="49">
        <f t="shared" si="331"/>
        <v>44024</v>
      </c>
      <c r="BQ40" s="49">
        <f t="shared" si="331"/>
        <v>44025</v>
      </c>
      <c r="BR40" s="49">
        <f t="shared" si="331"/>
        <v>44026</v>
      </c>
      <c r="BS40" s="49">
        <f t="shared" si="331"/>
        <v>44027</v>
      </c>
      <c r="BT40" s="49">
        <f t="shared" si="331"/>
        <v>44028</v>
      </c>
      <c r="BU40" s="49">
        <f t="shared" si="331"/>
        <v>44029</v>
      </c>
      <c r="BV40" s="49">
        <f t="shared" si="331"/>
        <v>44030</v>
      </c>
      <c r="BW40" s="49">
        <f t="shared" si="331"/>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32">DS1</f>
        <v>44067</v>
      </c>
      <c r="DT40" s="49">
        <f t="shared" si="332"/>
        <v>44068</v>
      </c>
      <c r="DU40" s="49">
        <f t="shared" si="332"/>
        <v>44069</v>
      </c>
      <c r="DV40" s="49">
        <f t="shared" si="332"/>
        <v>44070</v>
      </c>
      <c r="DW40" s="49">
        <f t="shared" si="332"/>
        <v>44071</v>
      </c>
      <c r="DX40" s="49">
        <f t="shared" si="332"/>
        <v>44072</v>
      </c>
      <c r="DY40" s="49">
        <f t="shared" si="332"/>
        <v>44073</v>
      </c>
      <c r="DZ40" s="49"/>
      <c r="EA40" s="49"/>
      <c r="EB40" s="49">
        <f t="shared" ref="EB40:EH40" si="333">EB1</f>
        <v>44074</v>
      </c>
      <c r="EC40" s="49">
        <f t="shared" si="333"/>
        <v>44075</v>
      </c>
      <c r="ED40" s="49">
        <f t="shared" si="333"/>
        <v>44076</v>
      </c>
      <c r="EE40" s="49">
        <f t="shared" si="333"/>
        <v>44077</v>
      </c>
      <c r="EF40" s="49">
        <f t="shared" si="333"/>
        <v>44078</v>
      </c>
      <c r="EG40" s="49">
        <f t="shared" si="333"/>
        <v>44079</v>
      </c>
      <c r="EH40" s="49">
        <f t="shared" si="333"/>
        <v>44080</v>
      </c>
      <c r="EI40" s="49"/>
      <c r="EJ40" s="49"/>
      <c r="EK40" s="49">
        <f t="shared" ref="EK40:EQ40" si="334">EK1</f>
        <v>44081</v>
      </c>
      <c r="EL40" s="49">
        <f t="shared" si="334"/>
        <v>44082</v>
      </c>
      <c r="EM40" s="49">
        <f t="shared" si="334"/>
        <v>44083</v>
      </c>
      <c r="EN40" s="49">
        <f t="shared" si="334"/>
        <v>44084</v>
      </c>
      <c r="EO40" s="49">
        <f t="shared" si="334"/>
        <v>44085</v>
      </c>
      <c r="EP40" s="49">
        <f t="shared" si="334"/>
        <v>44086</v>
      </c>
      <c r="EQ40" s="49">
        <f t="shared" si="334"/>
        <v>44087</v>
      </c>
      <c r="ER40" s="49"/>
      <c r="ES40" s="49"/>
      <c r="ET40" s="49">
        <f t="shared" ref="ET40:EZ40" si="335">ET1</f>
        <v>44088</v>
      </c>
      <c r="EU40" s="49">
        <f t="shared" si="335"/>
        <v>44089</v>
      </c>
      <c r="EV40" s="49">
        <f t="shared" si="335"/>
        <v>44090</v>
      </c>
      <c r="EW40" s="49">
        <f t="shared" si="335"/>
        <v>44091</v>
      </c>
      <c r="EX40" s="49">
        <f t="shared" si="335"/>
        <v>44092</v>
      </c>
      <c r="EY40" s="49">
        <f t="shared" si="335"/>
        <v>44093</v>
      </c>
      <c r="EZ40" s="49">
        <f t="shared" si="335"/>
        <v>44094</v>
      </c>
      <c r="FA40" s="49"/>
      <c r="FB40" s="49"/>
      <c r="FC40" s="49">
        <f t="shared" ref="FC40:FI40" si="336">FC1</f>
        <v>44095</v>
      </c>
      <c r="FD40" s="49">
        <f t="shared" si="336"/>
        <v>44096</v>
      </c>
      <c r="FE40" s="49">
        <f t="shared" si="336"/>
        <v>44097</v>
      </c>
      <c r="FF40" s="49">
        <f t="shared" si="336"/>
        <v>44098</v>
      </c>
      <c r="FG40" s="49">
        <f t="shared" si="336"/>
        <v>44099</v>
      </c>
      <c r="FH40" s="49">
        <f t="shared" si="336"/>
        <v>44100</v>
      </c>
      <c r="FI40" s="49">
        <f t="shared" si="336"/>
        <v>44101</v>
      </c>
      <c r="FJ40" s="49"/>
      <c r="FK40" s="49"/>
      <c r="FL40" s="49">
        <f t="shared" ref="FL40:GY40" si="337">FL1</f>
        <v>44102</v>
      </c>
      <c r="FM40" s="49">
        <f t="shared" si="337"/>
        <v>44103</v>
      </c>
      <c r="FN40" s="49">
        <f t="shared" si="337"/>
        <v>44104</v>
      </c>
      <c r="FO40" s="49">
        <f t="shared" si="337"/>
        <v>44105</v>
      </c>
      <c r="FP40" s="49">
        <f t="shared" si="337"/>
        <v>44106</v>
      </c>
      <c r="FQ40" s="49">
        <f t="shared" si="337"/>
        <v>44107</v>
      </c>
      <c r="FR40" s="49">
        <f t="shared" si="337"/>
        <v>44108</v>
      </c>
      <c r="FS40" s="49"/>
      <c r="FT40" s="49"/>
      <c r="FU40" s="49">
        <f t="shared" si="337"/>
        <v>44109</v>
      </c>
      <c r="FV40" s="49">
        <f t="shared" si="337"/>
        <v>44110</v>
      </c>
      <c r="FW40" s="49">
        <f t="shared" si="337"/>
        <v>44111</v>
      </c>
      <c r="FX40" s="49">
        <f t="shared" si="337"/>
        <v>44112</v>
      </c>
      <c r="FY40" s="49">
        <f t="shared" si="337"/>
        <v>44113</v>
      </c>
      <c r="FZ40" s="49">
        <f t="shared" si="337"/>
        <v>44114</v>
      </c>
      <c r="GA40" s="49">
        <f t="shared" ref="GA40" si="338">GA1</f>
        <v>44115</v>
      </c>
      <c r="GB40" s="49"/>
      <c r="GC40" s="49"/>
      <c r="GD40" s="49">
        <f t="shared" si="337"/>
        <v>44116</v>
      </c>
      <c r="GE40" s="49">
        <f t="shared" si="337"/>
        <v>44117</v>
      </c>
      <c r="GF40" s="49">
        <f t="shared" si="337"/>
        <v>44118</v>
      </c>
      <c r="GG40" s="49">
        <f t="shared" si="337"/>
        <v>44119</v>
      </c>
      <c r="GH40" s="49">
        <f t="shared" si="337"/>
        <v>44120</v>
      </c>
      <c r="GI40" s="49">
        <f t="shared" si="337"/>
        <v>44121</v>
      </c>
      <c r="GJ40" s="49">
        <f t="shared" si="337"/>
        <v>44122</v>
      </c>
      <c r="GK40" s="49"/>
      <c r="GL40" s="49"/>
      <c r="GM40" s="49">
        <f t="shared" si="337"/>
        <v>44123</v>
      </c>
      <c r="GN40" s="49">
        <f t="shared" si="337"/>
        <v>44124</v>
      </c>
      <c r="GO40" s="49">
        <f t="shared" si="337"/>
        <v>44125</v>
      </c>
      <c r="GP40" s="49">
        <f t="shared" si="337"/>
        <v>44126</v>
      </c>
      <c r="GQ40" s="49">
        <f t="shared" si="337"/>
        <v>44127</v>
      </c>
      <c r="GR40" s="49">
        <f t="shared" si="337"/>
        <v>44128</v>
      </c>
      <c r="GS40" s="49">
        <f t="shared" si="337"/>
        <v>44129</v>
      </c>
      <c r="GT40" s="49"/>
      <c r="GU40" s="49"/>
      <c r="GV40" s="49">
        <f t="shared" si="337"/>
        <v>44130</v>
      </c>
      <c r="GW40" s="49">
        <f t="shared" si="337"/>
        <v>44131</v>
      </c>
      <c r="GX40" s="49">
        <f t="shared" si="337"/>
        <v>44132</v>
      </c>
      <c r="GY40" s="49">
        <f t="shared" si="337"/>
        <v>44133</v>
      </c>
      <c r="GZ40" s="49">
        <f t="shared" ref="GZ40:IG40" si="339">GZ1</f>
        <v>44134</v>
      </c>
      <c r="HA40" s="49">
        <f t="shared" si="339"/>
        <v>44135</v>
      </c>
      <c r="HB40" s="49">
        <f t="shared" ref="HB40" si="340">HB1</f>
        <v>44136</v>
      </c>
      <c r="HC40" s="49"/>
      <c r="HD40" s="49"/>
      <c r="HE40" s="49">
        <f t="shared" si="339"/>
        <v>44137</v>
      </c>
      <c r="HF40" s="49">
        <f t="shared" si="339"/>
        <v>44138</v>
      </c>
      <c r="HG40" s="49">
        <f t="shared" si="339"/>
        <v>44139</v>
      </c>
      <c r="HH40" s="49">
        <f t="shared" si="339"/>
        <v>44140</v>
      </c>
      <c r="HI40" s="49">
        <f t="shared" si="339"/>
        <v>44141</v>
      </c>
      <c r="HJ40" s="49">
        <f t="shared" si="339"/>
        <v>44142</v>
      </c>
      <c r="HK40" s="49">
        <f t="shared" si="339"/>
        <v>44143</v>
      </c>
      <c r="HL40" s="49">
        <f t="shared" si="339"/>
        <v>44144</v>
      </c>
      <c r="HM40" s="49">
        <f t="shared" si="339"/>
        <v>44145</v>
      </c>
      <c r="HN40" s="49">
        <f t="shared" si="339"/>
        <v>44146</v>
      </c>
      <c r="HO40" s="49">
        <f t="shared" si="339"/>
        <v>44147</v>
      </c>
      <c r="HP40" s="49">
        <f t="shared" si="339"/>
        <v>44148</v>
      </c>
      <c r="HQ40" s="49">
        <f t="shared" si="339"/>
        <v>44149</v>
      </c>
      <c r="HR40" s="49">
        <f t="shared" si="339"/>
        <v>44150</v>
      </c>
      <c r="HS40" s="49">
        <f t="shared" si="339"/>
        <v>44151</v>
      </c>
      <c r="HT40" s="49">
        <f t="shared" si="339"/>
        <v>44152</v>
      </c>
      <c r="HU40" s="49">
        <f t="shared" si="339"/>
        <v>44153</v>
      </c>
      <c r="HV40" s="49">
        <f t="shared" si="339"/>
        <v>44154</v>
      </c>
      <c r="HW40" s="49">
        <f t="shared" si="339"/>
        <v>44155</v>
      </c>
      <c r="HX40" s="49">
        <f t="shared" si="339"/>
        <v>44156</v>
      </c>
      <c r="HY40" s="49">
        <f t="shared" si="339"/>
        <v>44157</v>
      </c>
      <c r="HZ40" s="49">
        <f t="shared" si="339"/>
        <v>44158</v>
      </c>
      <c r="IA40" s="49">
        <f t="shared" si="339"/>
        <v>44159</v>
      </c>
      <c r="IB40" s="49">
        <f t="shared" si="339"/>
        <v>44160</v>
      </c>
      <c r="IC40" s="49">
        <f t="shared" si="339"/>
        <v>44161</v>
      </c>
      <c r="ID40" s="49">
        <f t="shared" si="339"/>
        <v>44162</v>
      </c>
      <c r="IE40" s="49">
        <f t="shared" si="339"/>
        <v>44163</v>
      </c>
      <c r="IF40" s="49">
        <f t="shared" si="339"/>
        <v>44164</v>
      </c>
      <c r="IG40" s="49">
        <f t="shared" si="339"/>
        <v>44165</v>
      </c>
      <c r="IH40" s="49">
        <f t="shared" ref="IH40:JM40" si="341">IH1</f>
        <v>44166</v>
      </c>
      <c r="II40" s="49">
        <f t="shared" si="341"/>
        <v>44167</v>
      </c>
      <c r="IJ40" s="49">
        <f t="shared" si="341"/>
        <v>44168</v>
      </c>
      <c r="IK40" s="49">
        <f t="shared" si="341"/>
        <v>44169</v>
      </c>
      <c r="IL40" s="49">
        <f t="shared" si="341"/>
        <v>44170</v>
      </c>
      <c r="IM40" s="49">
        <f t="shared" si="341"/>
        <v>44171</v>
      </c>
      <c r="IN40" s="49">
        <f t="shared" si="341"/>
        <v>44172</v>
      </c>
      <c r="IO40" s="49">
        <f t="shared" si="341"/>
        <v>44173</v>
      </c>
      <c r="IP40" s="49">
        <f t="shared" si="341"/>
        <v>44174</v>
      </c>
      <c r="IQ40" s="49">
        <f t="shared" si="341"/>
        <v>44175</v>
      </c>
      <c r="IR40" s="49">
        <f t="shared" si="341"/>
        <v>44176</v>
      </c>
      <c r="IS40" s="49">
        <f t="shared" si="341"/>
        <v>44177</v>
      </c>
      <c r="IT40" s="49">
        <f t="shared" si="341"/>
        <v>44178</v>
      </c>
      <c r="IU40" s="49">
        <f t="shared" si="341"/>
        <v>44179</v>
      </c>
      <c r="IV40" s="49">
        <f t="shared" si="341"/>
        <v>44180</v>
      </c>
      <c r="IW40" s="49">
        <f t="shared" si="341"/>
        <v>44181</v>
      </c>
      <c r="IX40" s="49">
        <f t="shared" si="341"/>
        <v>44182</v>
      </c>
      <c r="IY40" s="49">
        <f t="shared" si="341"/>
        <v>44183</v>
      </c>
      <c r="IZ40" s="49">
        <f t="shared" si="341"/>
        <v>44184</v>
      </c>
      <c r="JA40" s="49">
        <f t="shared" si="341"/>
        <v>44185</v>
      </c>
      <c r="JB40" s="49">
        <f t="shared" si="341"/>
        <v>44186</v>
      </c>
      <c r="JC40" s="49">
        <f t="shared" si="341"/>
        <v>44187</v>
      </c>
      <c r="JD40" s="49">
        <f t="shared" si="341"/>
        <v>44188</v>
      </c>
      <c r="JE40" s="49">
        <f t="shared" si="341"/>
        <v>44189</v>
      </c>
      <c r="JF40" s="49">
        <f t="shared" si="341"/>
        <v>44190</v>
      </c>
      <c r="JG40" s="49">
        <f t="shared" si="341"/>
        <v>44191</v>
      </c>
      <c r="JH40" s="49">
        <f t="shared" si="341"/>
        <v>44192</v>
      </c>
      <c r="JI40" s="49">
        <f t="shared" si="341"/>
        <v>44193</v>
      </c>
      <c r="JJ40" s="49">
        <f t="shared" si="341"/>
        <v>44194</v>
      </c>
      <c r="JK40" s="49">
        <f t="shared" si="341"/>
        <v>44195</v>
      </c>
      <c r="JL40" s="49">
        <f t="shared" si="341"/>
        <v>44196</v>
      </c>
      <c r="JM40" s="49">
        <f t="shared" si="341"/>
        <v>44197</v>
      </c>
      <c r="JN40" s="49">
        <f t="shared" ref="JN40:KS40" si="342">JN1</f>
        <v>44198</v>
      </c>
      <c r="JO40" s="49">
        <f t="shared" si="342"/>
        <v>44199</v>
      </c>
      <c r="JP40" s="49">
        <f t="shared" si="342"/>
        <v>44200</v>
      </c>
      <c r="JQ40" s="49">
        <f t="shared" si="342"/>
        <v>44201</v>
      </c>
      <c r="JR40" s="49">
        <f t="shared" si="342"/>
        <v>44202</v>
      </c>
      <c r="JS40" s="49">
        <f t="shared" si="342"/>
        <v>44203</v>
      </c>
      <c r="JT40" s="49">
        <f t="shared" si="342"/>
        <v>44204</v>
      </c>
      <c r="JU40" s="49">
        <f t="shared" si="342"/>
        <v>44205</v>
      </c>
      <c r="JV40" s="49">
        <f t="shared" si="342"/>
        <v>44206</v>
      </c>
      <c r="JW40" s="49">
        <f t="shared" si="342"/>
        <v>44207</v>
      </c>
      <c r="JX40" s="49">
        <f t="shared" si="342"/>
        <v>44208</v>
      </c>
      <c r="JY40" s="49">
        <f t="shared" si="342"/>
        <v>44209</v>
      </c>
      <c r="JZ40" s="49">
        <f t="shared" si="342"/>
        <v>44210</v>
      </c>
      <c r="KA40" s="49">
        <f t="shared" si="342"/>
        <v>44211</v>
      </c>
      <c r="KB40" s="49">
        <f t="shared" si="342"/>
        <v>44212</v>
      </c>
      <c r="KC40" s="49">
        <f t="shared" si="342"/>
        <v>44213</v>
      </c>
      <c r="KD40" s="49">
        <f t="shared" si="342"/>
        <v>44214</v>
      </c>
      <c r="KE40" s="49">
        <f t="shared" si="342"/>
        <v>44215</v>
      </c>
      <c r="KF40" s="49">
        <f t="shared" si="342"/>
        <v>44216</v>
      </c>
      <c r="KG40" s="49">
        <f t="shared" si="342"/>
        <v>44217</v>
      </c>
      <c r="KH40" s="49">
        <f t="shared" si="342"/>
        <v>44218</v>
      </c>
      <c r="KI40" s="49">
        <f t="shared" si="342"/>
        <v>44219</v>
      </c>
      <c r="KJ40" s="49">
        <f t="shared" si="342"/>
        <v>44220</v>
      </c>
      <c r="KK40" s="49">
        <f t="shared" si="342"/>
        <v>44221</v>
      </c>
      <c r="KL40" s="49">
        <f t="shared" si="342"/>
        <v>44222</v>
      </c>
      <c r="KM40" s="49">
        <f t="shared" si="342"/>
        <v>44223</v>
      </c>
      <c r="KN40" s="49">
        <f t="shared" si="342"/>
        <v>44224</v>
      </c>
      <c r="KO40" s="49">
        <f t="shared" si="342"/>
        <v>44225</v>
      </c>
      <c r="KP40" s="49">
        <f t="shared" si="342"/>
        <v>44226</v>
      </c>
      <c r="KQ40" s="49">
        <f t="shared" si="342"/>
        <v>44227</v>
      </c>
      <c r="KR40" s="49">
        <f t="shared" si="342"/>
        <v>44228</v>
      </c>
      <c r="KS40" s="49">
        <f t="shared" si="342"/>
        <v>44229</v>
      </c>
      <c r="KT40" s="49">
        <f t="shared" ref="KT40:LY40" si="343">KT1</f>
        <v>44230</v>
      </c>
      <c r="KU40" s="49">
        <f t="shared" si="343"/>
        <v>44231</v>
      </c>
      <c r="KV40" s="49">
        <f t="shared" si="343"/>
        <v>44232</v>
      </c>
      <c r="KW40" s="49">
        <f t="shared" si="343"/>
        <v>44233</v>
      </c>
      <c r="KX40" s="49">
        <f t="shared" si="343"/>
        <v>44234</v>
      </c>
      <c r="KY40" s="49">
        <f t="shared" si="343"/>
        <v>44235</v>
      </c>
      <c r="KZ40" s="49">
        <f t="shared" si="343"/>
        <v>44236</v>
      </c>
      <c r="LA40" s="49">
        <f t="shared" si="343"/>
        <v>44237</v>
      </c>
      <c r="LB40" s="49">
        <f t="shared" si="343"/>
        <v>44238</v>
      </c>
      <c r="LC40" s="49">
        <f t="shared" si="343"/>
        <v>44239</v>
      </c>
      <c r="LD40" s="49">
        <f t="shared" si="343"/>
        <v>44240</v>
      </c>
      <c r="LE40" s="49">
        <f t="shared" si="343"/>
        <v>44241</v>
      </c>
      <c r="LF40" s="49">
        <f t="shared" si="343"/>
        <v>44242</v>
      </c>
      <c r="LG40" s="49">
        <f t="shared" si="343"/>
        <v>44243</v>
      </c>
      <c r="LH40" s="49">
        <f t="shared" si="343"/>
        <v>44244</v>
      </c>
      <c r="LI40" s="49">
        <f t="shared" si="343"/>
        <v>44245</v>
      </c>
      <c r="LJ40" s="49">
        <f t="shared" si="343"/>
        <v>44246</v>
      </c>
      <c r="LK40" s="49">
        <f t="shared" si="343"/>
        <v>44247</v>
      </c>
      <c r="LL40" s="49">
        <f t="shared" si="343"/>
        <v>44248</v>
      </c>
      <c r="LM40" s="49">
        <f t="shared" si="343"/>
        <v>44249</v>
      </c>
      <c r="LN40" s="49">
        <f t="shared" si="343"/>
        <v>44250</v>
      </c>
      <c r="LO40" s="49">
        <f t="shared" si="343"/>
        <v>44251</v>
      </c>
      <c r="LP40" s="49">
        <f t="shared" si="343"/>
        <v>44252</v>
      </c>
      <c r="LQ40" s="49">
        <f t="shared" si="343"/>
        <v>44253</v>
      </c>
      <c r="LR40" s="49">
        <f t="shared" si="343"/>
        <v>44254</v>
      </c>
      <c r="LS40" s="49">
        <f t="shared" si="343"/>
        <v>44255</v>
      </c>
      <c r="LT40" s="49">
        <f t="shared" si="343"/>
        <v>44256</v>
      </c>
      <c r="LU40" s="49">
        <f t="shared" si="343"/>
        <v>44257</v>
      </c>
      <c r="LV40" s="49">
        <f t="shared" si="343"/>
        <v>44258</v>
      </c>
      <c r="LW40" s="49">
        <f t="shared" si="343"/>
        <v>44259</v>
      </c>
      <c r="LX40" s="49">
        <f t="shared" si="343"/>
        <v>44260</v>
      </c>
      <c r="LY40" s="49">
        <f t="shared" si="343"/>
        <v>44261</v>
      </c>
      <c r="LZ40" s="49">
        <f t="shared" ref="LZ40:NB40" si="344">LZ1</f>
        <v>44262</v>
      </c>
      <c r="MA40" s="49">
        <f t="shared" si="344"/>
        <v>44263</v>
      </c>
      <c r="MB40" s="49">
        <f t="shared" si="344"/>
        <v>44264</v>
      </c>
      <c r="MC40" s="49">
        <f t="shared" si="344"/>
        <v>44265</v>
      </c>
      <c r="MD40" s="49">
        <f t="shared" si="344"/>
        <v>44266</v>
      </c>
      <c r="ME40" s="49">
        <f t="shared" si="344"/>
        <v>44267</v>
      </c>
      <c r="MF40" s="49">
        <f t="shared" si="344"/>
        <v>44268</v>
      </c>
      <c r="MG40" s="49">
        <f t="shared" si="344"/>
        <v>44269</v>
      </c>
      <c r="MH40" s="49">
        <f t="shared" si="344"/>
        <v>44270</v>
      </c>
      <c r="MI40" s="49">
        <f t="shared" si="344"/>
        <v>44271</v>
      </c>
      <c r="MJ40" s="49">
        <f t="shared" si="344"/>
        <v>44272</v>
      </c>
      <c r="MK40" s="49">
        <f t="shared" si="344"/>
        <v>44273</v>
      </c>
      <c r="ML40" s="49">
        <f t="shared" si="344"/>
        <v>44274</v>
      </c>
      <c r="MM40" s="49">
        <f t="shared" si="344"/>
        <v>44275</v>
      </c>
      <c r="MN40" s="49">
        <f t="shared" si="344"/>
        <v>44276</v>
      </c>
      <c r="MO40" s="49">
        <f t="shared" si="344"/>
        <v>44277</v>
      </c>
      <c r="MP40" s="49">
        <f t="shared" si="344"/>
        <v>44278</v>
      </c>
      <c r="MQ40" s="49">
        <f t="shared" si="344"/>
        <v>44279</v>
      </c>
      <c r="MR40" s="49">
        <f t="shared" si="344"/>
        <v>44280</v>
      </c>
      <c r="MS40" s="49">
        <f t="shared" si="344"/>
        <v>44281</v>
      </c>
      <c r="MT40" s="49">
        <f t="shared" si="344"/>
        <v>44282</v>
      </c>
      <c r="MU40" s="49">
        <f t="shared" si="344"/>
        <v>44283</v>
      </c>
      <c r="MV40" s="49">
        <f t="shared" si="344"/>
        <v>44284</v>
      </c>
      <c r="MW40" s="49">
        <f t="shared" si="344"/>
        <v>44285</v>
      </c>
      <c r="MX40" s="49">
        <f t="shared" si="344"/>
        <v>44286</v>
      </c>
      <c r="MY40" s="49">
        <f t="shared" si="344"/>
        <v>44287</v>
      </c>
      <c r="MZ40" s="49">
        <f t="shared" si="344"/>
        <v>44288</v>
      </c>
      <c r="NA40" s="49">
        <f t="shared" si="344"/>
        <v>44289</v>
      </c>
      <c r="NB40" s="49">
        <f t="shared" si="344"/>
        <v>44290</v>
      </c>
    </row>
    <row r="41" spans="1:366" ht="15" customHeight="1" x14ac:dyDescent="0.25">
      <c r="A41" s="147" t="s">
        <v>144</v>
      </c>
      <c r="B41" s="147"/>
      <c r="C41" s="147"/>
      <c r="D41" s="147"/>
      <c r="E41" s="148"/>
      <c r="F41" s="36"/>
      <c r="G41" s="36"/>
      <c r="H41" s="36"/>
      <c r="I41" s="36"/>
      <c r="J41" s="36"/>
      <c r="K41" s="36"/>
      <c r="L41" s="36"/>
      <c r="M41" s="36"/>
      <c r="N41" s="36"/>
      <c r="O41" s="35"/>
      <c r="P41" s="158" t="s">
        <v>49</v>
      </c>
      <c r="Q41" s="158" t="s">
        <v>48</v>
      </c>
      <c r="R41" s="159"/>
      <c r="S41" s="54">
        <f>S40</f>
        <v>43975</v>
      </c>
      <c r="T41" s="55">
        <f t="shared" ref="T41:BV41" si="345">T40</f>
        <v>43976</v>
      </c>
      <c r="U41" s="54">
        <f t="shared" si="345"/>
        <v>43977</v>
      </c>
      <c r="V41" s="54">
        <f t="shared" si="345"/>
        <v>43978</v>
      </c>
      <c r="W41" s="54">
        <f t="shared" si="345"/>
        <v>43979</v>
      </c>
      <c r="X41" s="54">
        <f t="shared" si="345"/>
        <v>43980</v>
      </c>
      <c r="Y41" s="54">
        <f t="shared" si="345"/>
        <v>43981</v>
      </c>
      <c r="Z41" s="53">
        <f t="shared" si="345"/>
        <v>43982</v>
      </c>
      <c r="AA41" s="54">
        <f t="shared" si="345"/>
        <v>43983</v>
      </c>
      <c r="AB41" s="54">
        <f t="shared" si="345"/>
        <v>43984</v>
      </c>
      <c r="AC41" s="54">
        <f t="shared" si="345"/>
        <v>43985</v>
      </c>
      <c r="AD41" s="54">
        <f t="shared" si="345"/>
        <v>43986</v>
      </c>
      <c r="AE41" s="54">
        <f t="shared" si="345"/>
        <v>43987</v>
      </c>
      <c r="AF41" s="54">
        <f t="shared" si="345"/>
        <v>43988</v>
      </c>
      <c r="AG41" s="53">
        <f t="shared" si="345"/>
        <v>43989</v>
      </c>
      <c r="AH41" s="54">
        <f t="shared" si="345"/>
        <v>43990</v>
      </c>
      <c r="AI41" s="54">
        <f t="shared" si="345"/>
        <v>43991</v>
      </c>
      <c r="AJ41" s="54">
        <f t="shared" si="345"/>
        <v>43992</v>
      </c>
      <c r="AK41" s="54">
        <f t="shared" si="345"/>
        <v>43993</v>
      </c>
      <c r="AL41" s="54">
        <f t="shared" si="345"/>
        <v>43994</v>
      </c>
      <c r="AM41" s="54">
        <f t="shared" si="345"/>
        <v>43995</v>
      </c>
      <c r="AN41" s="53">
        <f t="shared" si="345"/>
        <v>43996</v>
      </c>
      <c r="AO41" s="54">
        <f t="shared" si="345"/>
        <v>43997</v>
      </c>
      <c r="AP41" s="54">
        <f t="shared" si="345"/>
        <v>43998</v>
      </c>
      <c r="AQ41" s="54">
        <f t="shared" si="345"/>
        <v>43999</v>
      </c>
      <c r="AR41" s="54">
        <f t="shared" si="345"/>
        <v>44000</v>
      </c>
      <c r="AS41" s="54">
        <f t="shared" si="345"/>
        <v>44001</v>
      </c>
      <c r="AT41" s="54">
        <f t="shared" si="345"/>
        <v>44002</v>
      </c>
      <c r="AU41" s="53">
        <f t="shared" si="345"/>
        <v>44003</v>
      </c>
      <c r="AV41" s="54">
        <f t="shared" si="345"/>
        <v>44004</v>
      </c>
      <c r="AW41" s="54">
        <f t="shared" si="345"/>
        <v>44005</v>
      </c>
      <c r="AX41" s="54">
        <f t="shared" si="345"/>
        <v>44006</v>
      </c>
      <c r="AY41" s="54">
        <f t="shared" si="345"/>
        <v>44007</v>
      </c>
      <c r="AZ41" s="54">
        <f t="shared" si="345"/>
        <v>44008</v>
      </c>
      <c r="BA41" s="54">
        <f t="shared" si="345"/>
        <v>44009</v>
      </c>
      <c r="BB41" s="53">
        <f t="shared" si="345"/>
        <v>44010</v>
      </c>
      <c r="BC41" s="54">
        <f t="shared" si="345"/>
        <v>44011</v>
      </c>
      <c r="BD41" s="54">
        <f t="shared" si="345"/>
        <v>44012</v>
      </c>
      <c r="BE41" s="54">
        <f t="shared" si="345"/>
        <v>44013</v>
      </c>
      <c r="BF41" s="54">
        <f t="shared" si="345"/>
        <v>44014</v>
      </c>
      <c r="BG41" s="54">
        <f t="shared" si="345"/>
        <v>44015</v>
      </c>
      <c r="BH41" s="54">
        <f t="shared" si="345"/>
        <v>44016</v>
      </c>
      <c r="BI41" s="53">
        <f t="shared" si="345"/>
        <v>44017</v>
      </c>
      <c r="BJ41" s="54">
        <f t="shared" si="345"/>
        <v>44018</v>
      </c>
      <c r="BK41" s="54">
        <f t="shared" si="345"/>
        <v>44019</v>
      </c>
      <c r="BL41" s="54">
        <f t="shared" si="345"/>
        <v>44020</v>
      </c>
      <c r="BM41" s="54">
        <f t="shared" si="345"/>
        <v>44021</v>
      </c>
      <c r="BN41" s="54">
        <f t="shared" si="345"/>
        <v>44022</v>
      </c>
      <c r="BO41" s="54">
        <f t="shared" si="345"/>
        <v>44023</v>
      </c>
      <c r="BP41" s="53">
        <v>12</v>
      </c>
      <c r="BQ41" s="54">
        <f t="shared" si="345"/>
        <v>44025</v>
      </c>
      <c r="BR41" s="54">
        <f t="shared" si="345"/>
        <v>44026</v>
      </c>
      <c r="BS41" s="54">
        <f t="shared" si="345"/>
        <v>44027</v>
      </c>
      <c r="BT41" s="54">
        <f t="shared" si="345"/>
        <v>44028</v>
      </c>
      <c r="BU41" s="54">
        <f t="shared" si="345"/>
        <v>44029</v>
      </c>
      <c r="BV41" s="54">
        <f t="shared" si="345"/>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6">DS40</f>
        <v>44067</v>
      </c>
      <c r="DT41" s="54">
        <f t="shared" si="346"/>
        <v>44068</v>
      </c>
      <c r="DU41" s="54">
        <f t="shared" si="346"/>
        <v>44069</v>
      </c>
      <c r="DV41" s="54">
        <f t="shared" si="346"/>
        <v>44070</v>
      </c>
      <c r="DW41" s="54">
        <f t="shared" si="346"/>
        <v>44071</v>
      </c>
      <c r="DX41" s="54">
        <f t="shared" ref="DX41:DY41" si="347">DX40</f>
        <v>44072</v>
      </c>
      <c r="DY41" s="54">
        <f t="shared" si="347"/>
        <v>44073</v>
      </c>
      <c r="DZ41" s="54"/>
      <c r="EA41" s="53"/>
      <c r="EB41" s="54">
        <f t="shared" si="346"/>
        <v>44074</v>
      </c>
      <c r="EC41" s="54">
        <f t="shared" si="346"/>
        <v>44075</v>
      </c>
      <c r="ED41" s="54">
        <f t="shared" si="346"/>
        <v>44076</v>
      </c>
      <c r="EE41" s="54">
        <f t="shared" si="346"/>
        <v>44077</v>
      </c>
      <c r="EF41" s="54">
        <f t="shared" si="346"/>
        <v>44078</v>
      </c>
      <c r="EG41" s="54">
        <f t="shared" si="346"/>
        <v>44079</v>
      </c>
      <c r="EH41" s="54">
        <f t="shared" si="346"/>
        <v>44080</v>
      </c>
      <c r="EI41" s="54"/>
      <c r="EJ41" s="53"/>
      <c r="EK41" s="54">
        <f t="shared" si="346"/>
        <v>44081</v>
      </c>
      <c r="EL41" s="54">
        <f t="shared" si="346"/>
        <v>44082</v>
      </c>
      <c r="EM41" s="54">
        <f t="shared" si="346"/>
        <v>44083</v>
      </c>
      <c r="EN41" s="54">
        <f t="shared" si="346"/>
        <v>44084</v>
      </c>
      <c r="EO41" s="54">
        <f t="shared" si="346"/>
        <v>44085</v>
      </c>
      <c r="EP41" s="54">
        <f t="shared" si="346"/>
        <v>44086</v>
      </c>
      <c r="EQ41" s="54">
        <f t="shared" si="346"/>
        <v>44087</v>
      </c>
      <c r="ER41" s="54"/>
      <c r="ES41" s="53"/>
      <c r="ET41" s="54">
        <f t="shared" si="346"/>
        <v>44088</v>
      </c>
      <c r="EU41" s="54">
        <f t="shared" si="346"/>
        <v>44089</v>
      </c>
      <c r="EV41" s="54">
        <f t="shared" si="346"/>
        <v>44090</v>
      </c>
      <c r="EW41" s="54">
        <f t="shared" si="346"/>
        <v>44091</v>
      </c>
      <c r="EX41" s="54">
        <f t="shared" si="346"/>
        <v>44092</v>
      </c>
      <c r="EY41" s="54">
        <f t="shared" si="346"/>
        <v>44093</v>
      </c>
      <c r="EZ41" s="54">
        <f t="shared" si="346"/>
        <v>44094</v>
      </c>
      <c r="FA41" s="54"/>
      <c r="FB41" s="53"/>
      <c r="FC41" s="54">
        <f t="shared" si="346"/>
        <v>44095</v>
      </c>
      <c r="FD41" s="54">
        <f t="shared" si="346"/>
        <v>44096</v>
      </c>
      <c r="FE41" s="54">
        <f t="shared" si="346"/>
        <v>44097</v>
      </c>
      <c r="FF41" s="54">
        <f t="shared" si="346"/>
        <v>44098</v>
      </c>
      <c r="FG41" s="54">
        <f t="shared" si="346"/>
        <v>44099</v>
      </c>
      <c r="FH41" s="54">
        <f t="shared" si="346"/>
        <v>44100</v>
      </c>
      <c r="FI41" s="54">
        <f t="shared" si="346"/>
        <v>44101</v>
      </c>
      <c r="FJ41" s="54"/>
      <c r="FK41" s="53"/>
      <c r="FL41" s="54">
        <f t="shared" si="346"/>
        <v>44102</v>
      </c>
      <c r="FM41" s="54">
        <f t="shared" ref="FM41:IH41" si="348">FM40</f>
        <v>44103</v>
      </c>
      <c r="FN41" s="54">
        <f t="shared" si="348"/>
        <v>44104</v>
      </c>
      <c r="FO41" s="54">
        <f t="shared" si="348"/>
        <v>44105</v>
      </c>
      <c r="FP41" s="54">
        <f t="shared" si="348"/>
        <v>44106</v>
      </c>
      <c r="FQ41" s="54">
        <f t="shared" si="348"/>
        <v>44107</v>
      </c>
      <c r="FR41" s="54">
        <f t="shared" si="348"/>
        <v>44108</v>
      </c>
      <c r="FS41" s="54"/>
      <c r="FT41" s="53"/>
      <c r="FU41" s="54">
        <f t="shared" si="348"/>
        <v>44109</v>
      </c>
      <c r="FV41" s="54">
        <f t="shared" si="348"/>
        <v>44110</v>
      </c>
      <c r="FW41" s="54">
        <f t="shared" si="348"/>
        <v>44111</v>
      </c>
      <c r="FX41" s="54">
        <f t="shared" si="348"/>
        <v>44112</v>
      </c>
      <c r="FY41" s="54">
        <f t="shared" si="348"/>
        <v>44113</v>
      </c>
      <c r="FZ41" s="54">
        <f t="shared" si="348"/>
        <v>44114</v>
      </c>
      <c r="GA41" s="54">
        <f t="shared" ref="GA41" si="349">GA40</f>
        <v>44115</v>
      </c>
      <c r="GB41" s="54"/>
      <c r="GC41" s="53"/>
      <c r="GD41" s="54">
        <f t="shared" si="348"/>
        <v>44116</v>
      </c>
      <c r="GE41" s="54">
        <f t="shared" si="348"/>
        <v>44117</v>
      </c>
      <c r="GF41" s="54">
        <f t="shared" si="348"/>
        <v>44118</v>
      </c>
      <c r="GG41" s="54">
        <f t="shared" si="348"/>
        <v>44119</v>
      </c>
      <c r="GH41" s="54">
        <f t="shared" si="348"/>
        <v>44120</v>
      </c>
      <c r="GI41" s="54">
        <f t="shared" si="348"/>
        <v>44121</v>
      </c>
      <c r="GJ41" s="54">
        <f t="shared" si="348"/>
        <v>44122</v>
      </c>
      <c r="GK41" s="54"/>
      <c r="GL41" s="53"/>
      <c r="GM41" s="54">
        <f t="shared" si="348"/>
        <v>44123</v>
      </c>
      <c r="GN41" s="54">
        <f t="shared" si="348"/>
        <v>44124</v>
      </c>
      <c r="GO41" s="54">
        <f t="shared" si="348"/>
        <v>44125</v>
      </c>
      <c r="GP41" s="54">
        <f t="shared" si="348"/>
        <v>44126</v>
      </c>
      <c r="GQ41" s="54">
        <f t="shared" si="348"/>
        <v>44127</v>
      </c>
      <c r="GR41" s="54">
        <f t="shared" si="348"/>
        <v>44128</v>
      </c>
      <c r="GS41" s="54">
        <f t="shared" si="348"/>
        <v>44129</v>
      </c>
      <c r="GT41" s="54"/>
      <c r="GU41" s="53"/>
      <c r="GV41" s="54">
        <f t="shared" si="348"/>
        <v>44130</v>
      </c>
      <c r="GW41" s="54">
        <f t="shared" si="348"/>
        <v>44131</v>
      </c>
      <c r="GX41" s="54">
        <f t="shared" si="348"/>
        <v>44132</v>
      </c>
      <c r="GY41" s="54">
        <f t="shared" si="348"/>
        <v>44133</v>
      </c>
      <c r="GZ41" s="54">
        <f t="shared" si="348"/>
        <v>44134</v>
      </c>
      <c r="HA41" s="54">
        <f t="shared" si="348"/>
        <v>44135</v>
      </c>
      <c r="HB41" s="54">
        <f t="shared" ref="HB41" si="350">HB40</f>
        <v>44136</v>
      </c>
      <c r="HC41" s="54"/>
      <c r="HD41" s="53"/>
      <c r="HE41" s="54">
        <f t="shared" si="348"/>
        <v>44137</v>
      </c>
      <c r="HF41" s="54">
        <f t="shared" si="348"/>
        <v>44138</v>
      </c>
      <c r="HG41" s="54">
        <f t="shared" si="348"/>
        <v>44139</v>
      </c>
      <c r="HH41" s="54">
        <f t="shared" si="348"/>
        <v>44140</v>
      </c>
      <c r="HI41" s="54">
        <f t="shared" si="348"/>
        <v>44141</v>
      </c>
      <c r="HJ41" s="54">
        <f t="shared" si="348"/>
        <v>44142</v>
      </c>
      <c r="HK41" s="53">
        <f t="shared" si="348"/>
        <v>44143</v>
      </c>
      <c r="HL41" s="54">
        <f t="shared" si="348"/>
        <v>44144</v>
      </c>
      <c r="HM41" s="54">
        <f t="shared" si="348"/>
        <v>44145</v>
      </c>
      <c r="HN41" s="54">
        <f t="shared" si="348"/>
        <v>44146</v>
      </c>
      <c r="HO41" s="54">
        <f t="shared" si="348"/>
        <v>44147</v>
      </c>
      <c r="HP41" s="54">
        <f t="shared" si="348"/>
        <v>44148</v>
      </c>
      <c r="HQ41" s="54">
        <f t="shared" si="348"/>
        <v>44149</v>
      </c>
      <c r="HR41" s="53">
        <f t="shared" si="348"/>
        <v>44150</v>
      </c>
      <c r="HS41" s="54">
        <f t="shared" si="348"/>
        <v>44151</v>
      </c>
      <c r="HT41" s="54">
        <f t="shared" si="348"/>
        <v>44152</v>
      </c>
      <c r="HU41" s="54">
        <f t="shared" si="348"/>
        <v>44153</v>
      </c>
      <c r="HV41" s="54">
        <f t="shared" si="348"/>
        <v>44154</v>
      </c>
      <c r="HW41" s="54">
        <f t="shared" si="348"/>
        <v>44155</v>
      </c>
      <c r="HX41" s="54">
        <f t="shared" si="348"/>
        <v>44156</v>
      </c>
      <c r="HY41" s="53">
        <f t="shared" si="348"/>
        <v>44157</v>
      </c>
      <c r="HZ41" s="54">
        <f t="shared" si="348"/>
        <v>44158</v>
      </c>
      <c r="IA41" s="54">
        <f t="shared" si="348"/>
        <v>44159</v>
      </c>
      <c r="IB41" s="54">
        <f t="shared" si="348"/>
        <v>44160</v>
      </c>
      <c r="IC41" s="54">
        <f t="shared" si="348"/>
        <v>44161</v>
      </c>
      <c r="ID41" s="54">
        <f t="shared" si="348"/>
        <v>44162</v>
      </c>
      <c r="IE41" s="54">
        <f t="shared" si="348"/>
        <v>44163</v>
      </c>
      <c r="IF41" s="53">
        <f t="shared" si="348"/>
        <v>44164</v>
      </c>
      <c r="IG41" s="54">
        <f t="shared" si="348"/>
        <v>44165</v>
      </c>
      <c r="IH41" s="54">
        <f t="shared" si="348"/>
        <v>44166</v>
      </c>
      <c r="II41" s="54">
        <f t="shared" ref="II41:KT41" si="351">II40</f>
        <v>44167</v>
      </c>
      <c r="IJ41" s="54">
        <f t="shared" si="351"/>
        <v>44168</v>
      </c>
      <c r="IK41" s="54">
        <f t="shared" si="351"/>
        <v>44169</v>
      </c>
      <c r="IL41" s="54">
        <f t="shared" si="351"/>
        <v>44170</v>
      </c>
      <c r="IM41" s="53">
        <f t="shared" si="351"/>
        <v>44171</v>
      </c>
      <c r="IN41" s="54">
        <f t="shared" si="351"/>
        <v>44172</v>
      </c>
      <c r="IO41" s="54">
        <f t="shared" si="351"/>
        <v>44173</v>
      </c>
      <c r="IP41" s="54">
        <f t="shared" si="351"/>
        <v>44174</v>
      </c>
      <c r="IQ41" s="54">
        <f t="shared" si="351"/>
        <v>44175</v>
      </c>
      <c r="IR41" s="54">
        <f t="shared" si="351"/>
        <v>44176</v>
      </c>
      <c r="IS41" s="54">
        <f t="shared" si="351"/>
        <v>44177</v>
      </c>
      <c r="IT41" s="53">
        <f t="shared" si="351"/>
        <v>44178</v>
      </c>
      <c r="IU41" s="54">
        <f t="shared" si="351"/>
        <v>44179</v>
      </c>
      <c r="IV41" s="54">
        <f t="shared" si="351"/>
        <v>44180</v>
      </c>
      <c r="IW41" s="54">
        <f t="shared" si="351"/>
        <v>44181</v>
      </c>
      <c r="IX41" s="54">
        <f t="shared" si="351"/>
        <v>44182</v>
      </c>
      <c r="IY41" s="54">
        <f t="shared" si="351"/>
        <v>44183</v>
      </c>
      <c r="IZ41" s="54">
        <f t="shared" si="351"/>
        <v>44184</v>
      </c>
      <c r="JA41" s="53">
        <f t="shared" si="351"/>
        <v>44185</v>
      </c>
      <c r="JB41" s="54">
        <f t="shared" si="351"/>
        <v>44186</v>
      </c>
      <c r="JC41" s="54">
        <f t="shared" si="351"/>
        <v>44187</v>
      </c>
      <c r="JD41" s="54">
        <f t="shared" si="351"/>
        <v>44188</v>
      </c>
      <c r="JE41" s="54">
        <f t="shared" si="351"/>
        <v>44189</v>
      </c>
      <c r="JF41" s="54">
        <f t="shared" si="351"/>
        <v>44190</v>
      </c>
      <c r="JG41" s="54">
        <f t="shared" si="351"/>
        <v>44191</v>
      </c>
      <c r="JH41" s="53">
        <f t="shared" si="351"/>
        <v>44192</v>
      </c>
      <c r="JI41" s="54">
        <f t="shared" si="351"/>
        <v>44193</v>
      </c>
      <c r="JJ41" s="54">
        <f t="shared" si="351"/>
        <v>44194</v>
      </c>
      <c r="JK41" s="54">
        <f t="shared" si="351"/>
        <v>44195</v>
      </c>
      <c r="JL41" s="54">
        <f t="shared" si="351"/>
        <v>44196</v>
      </c>
      <c r="JM41" s="54">
        <f t="shared" si="351"/>
        <v>44197</v>
      </c>
      <c r="JN41" s="54">
        <f t="shared" si="351"/>
        <v>44198</v>
      </c>
      <c r="JO41" s="53">
        <f t="shared" si="351"/>
        <v>44199</v>
      </c>
      <c r="JP41" s="54">
        <f t="shared" si="351"/>
        <v>44200</v>
      </c>
      <c r="JQ41" s="54">
        <f t="shared" si="351"/>
        <v>44201</v>
      </c>
      <c r="JR41" s="54">
        <f t="shared" si="351"/>
        <v>44202</v>
      </c>
      <c r="JS41" s="54">
        <f t="shared" si="351"/>
        <v>44203</v>
      </c>
      <c r="JT41" s="54">
        <f t="shared" si="351"/>
        <v>44204</v>
      </c>
      <c r="JU41" s="54">
        <f t="shared" si="351"/>
        <v>44205</v>
      </c>
      <c r="JV41" s="53">
        <f t="shared" si="351"/>
        <v>44206</v>
      </c>
      <c r="JW41" s="54">
        <f t="shared" si="351"/>
        <v>44207</v>
      </c>
      <c r="JX41" s="54">
        <f t="shared" si="351"/>
        <v>44208</v>
      </c>
      <c r="JY41" s="54">
        <f t="shared" si="351"/>
        <v>44209</v>
      </c>
      <c r="JZ41" s="54">
        <f t="shared" si="351"/>
        <v>44210</v>
      </c>
      <c r="KA41" s="54">
        <f t="shared" si="351"/>
        <v>44211</v>
      </c>
      <c r="KB41" s="54">
        <f t="shared" si="351"/>
        <v>44212</v>
      </c>
      <c r="KC41" s="53">
        <f t="shared" si="351"/>
        <v>44213</v>
      </c>
      <c r="KD41" s="54">
        <f t="shared" si="351"/>
        <v>44214</v>
      </c>
      <c r="KE41" s="54">
        <f t="shared" si="351"/>
        <v>44215</v>
      </c>
      <c r="KF41" s="54">
        <f t="shared" si="351"/>
        <v>44216</v>
      </c>
      <c r="KG41" s="54">
        <f t="shared" si="351"/>
        <v>44217</v>
      </c>
      <c r="KH41" s="54">
        <f t="shared" si="351"/>
        <v>44218</v>
      </c>
      <c r="KI41" s="54">
        <f t="shared" si="351"/>
        <v>44219</v>
      </c>
      <c r="KJ41" s="53">
        <f t="shared" si="351"/>
        <v>44220</v>
      </c>
      <c r="KK41" s="54">
        <f t="shared" si="351"/>
        <v>44221</v>
      </c>
      <c r="KL41" s="54">
        <f t="shared" si="351"/>
        <v>44222</v>
      </c>
      <c r="KM41" s="54">
        <f t="shared" si="351"/>
        <v>44223</v>
      </c>
      <c r="KN41" s="54">
        <f t="shared" si="351"/>
        <v>44224</v>
      </c>
      <c r="KO41" s="54">
        <f t="shared" si="351"/>
        <v>44225</v>
      </c>
      <c r="KP41" s="54">
        <f t="shared" si="351"/>
        <v>44226</v>
      </c>
      <c r="KQ41" s="53">
        <f t="shared" si="351"/>
        <v>44227</v>
      </c>
      <c r="KR41" s="54">
        <f t="shared" si="351"/>
        <v>44228</v>
      </c>
      <c r="KS41" s="54">
        <f t="shared" si="351"/>
        <v>44229</v>
      </c>
      <c r="KT41" s="54">
        <f t="shared" si="351"/>
        <v>44230</v>
      </c>
      <c r="KU41" s="54">
        <f t="shared" ref="KU41:NB41" si="352">KU40</f>
        <v>44231</v>
      </c>
      <c r="KV41" s="54">
        <f t="shared" si="352"/>
        <v>44232</v>
      </c>
      <c r="KW41" s="54">
        <f t="shared" si="352"/>
        <v>44233</v>
      </c>
      <c r="KX41" s="53">
        <f t="shared" si="352"/>
        <v>44234</v>
      </c>
      <c r="KY41" s="54">
        <f t="shared" si="352"/>
        <v>44235</v>
      </c>
      <c r="KZ41" s="54">
        <f t="shared" si="352"/>
        <v>44236</v>
      </c>
      <c r="LA41" s="54">
        <f t="shared" si="352"/>
        <v>44237</v>
      </c>
      <c r="LB41" s="54">
        <f t="shared" si="352"/>
        <v>44238</v>
      </c>
      <c r="LC41" s="54">
        <f t="shared" si="352"/>
        <v>44239</v>
      </c>
      <c r="LD41" s="54">
        <f t="shared" si="352"/>
        <v>44240</v>
      </c>
      <c r="LE41" s="53">
        <f t="shared" si="352"/>
        <v>44241</v>
      </c>
      <c r="LF41" s="54">
        <f t="shared" si="352"/>
        <v>44242</v>
      </c>
      <c r="LG41" s="54">
        <f t="shared" si="352"/>
        <v>44243</v>
      </c>
      <c r="LH41" s="54">
        <f t="shared" si="352"/>
        <v>44244</v>
      </c>
      <c r="LI41" s="54">
        <f t="shared" si="352"/>
        <v>44245</v>
      </c>
      <c r="LJ41" s="54">
        <f t="shared" si="352"/>
        <v>44246</v>
      </c>
      <c r="LK41" s="54">
        <f t="shared" si="352"/>
        <v>44247</v>
      </c>
      <c r="LL41" s="53">
        <f t="shared" si="352"/>
        <v>44248</v>
      </c>
      <c r="LM41" s="54">
        <f t="shared" si="352"/>
        <v>44249</v>
      </c>
      <c r="LN41" s="54">
        <f t="shared" si="352"/>
        <v>44250</v>
      </c>
      <c r="LO41" s="54">
        <f t="shared" si="352"/>
        <v>44251</v>
      </c>
      <c r="LP41" s="54">
        <f t="shared" si="352"/>
        <v>44252</v>
      </c>
      <c r="LQ41" s="54">
        <f t="shared" si="352"/>
        <v>44253</v>
      </c>
      <c r="LR41" s="54">
        <f t="shared" si="352"/>
        <v>44254</v>
      </c>
      <c r="LS41" s="53">
        <f t="shared" si="352"/>
        <v>44255</v>
      </c>
      <c r="LT41" s="54">
        <f t="shared" si="352"/>
        <v>44256</v>
      </c>
      <c r="LU41" s="54">
        <f t="shared" si="352"/>
        <v>44257</v>
      </c>
      <c r="LV41" s="54">
        <f t="shared" si="352"/>
        <v>44258</v>
      </c>
      <c r="LW41" s="54">
        <f t="shared" si="352"/>
        <v>44259</v>
      </c>
      <c r="LX41" s="54">
        <f t="shared" si="352"/>
        <v>44260</v>
      </c>
      <c r="LY41" s="54">
        <f t="shared" si="352"/>
        <v>44261</v>
      </c>
      <c r="LZ41" s="53">
        <f t="shared" si="352"/>
        <v>44262</v>
      </c>
      <c r="MA41" s="54">
        <f t="shared" si="352"/>
        <v>44263</v>
      </c>
      <c r="MB41" s="54">
        <f t="shared" si="352"/>
        <v>44264</v>
      </c>
      <c r="MC41" s="54">
        <f t="shared" si="352"/>
        <v>44265</v>
      </c>
      <c r="MD41" s="54">
        <f t="shared" si="352"/>
        <v>44266</v>
      </c>
      <c r="ME41" s="54">
        <f t="shared" si="352"/>
        <v>44267</v>
      </c>
      <c r="MF41" s="54">
        <f t="shared" si="352"/>
        <v>44268</v>
      </c>
      <c r="MG41" s="53">
        <f t="shared" si="352"/>
        <v>44269</v>
      </c>
      <c r="MH41" s="54">
        <f t="shared" si="352"/>
        <v>44270</v>
      </c>
      <c r="MI41" s="54">
        <f t="shared" si="352"/>
        <v>44271</v>
      </c>
      <c r="MJ41" s="54">
        <f t="shared" si="352"/>
        <v>44272</v>
      </c>
      <c r="MK41" s="54">
        <f t="shared" si="352"/>
        <v>44273</v>
      </c>
      <c r="ML41" s="54">
        <f t="shared" si="352"/>
        <v>44274</v>
      </c>
      <c r="MM41" s="54">
        <f t="shared" si="352"/>
        <v>44275</v>
      </c>
      <c r="MN41" s="53">
        <f t="shared" si="352"/>
        <v>44276</v>
      </c>
      <c r="MO41" s="54">
        <f t="shared" si="352"/>
        <v>44277</v>
      </c>
      <c r="MP41" s="54">
        <f t="shared" si="352"/>
        <v>44278</v>
      </c>
      <c r="MQ41" s="54">
        <f t="shared" si="352"/>
        <v>44279</v>
      </c>
      <c r="MR41" s="54">
        <f t="shared" si="352"/>
        <v>44280</v>
      </c>
      <c r="MS41" s="54">
        <f t="shared" si="352"/>
        <v>44281</v>
      </c>
      <c r="MT41" s="54">
        <f t="shared" si="352"/>
        <v>44282</v>
      </c>
      <c r="MU41" s="53">
        <f t="shared" si="352"/>
        <v>44283</v>
      </c>
      <c r="MV41" s="54">
        <f t="shared" si="352"/>
        <v>44284</v>
      </c>
      <c r="MW41" s="54">
        <f t="shared" si="352"/>
        <v>44285</v>
      </c>
      <c r="MX41" s="54">
        <f t="shared" si="352"/>
        <v>44286</v>
      </c>
      <c r="MY41" s="54">
        <f t="shared" si="352"/>
        <v>44287</v>
      </c>
      <c r="MZ41" s="54">
        <f t="shared" si="352"/>
        <v>44288</v>
      </c>
      <c r="NA41" s="54">
        <f t="shared" si="352"/>
        <v>44289</v>
      </c>
      <c r="NB41" s="53">
        <f t="shared" si="352"/>
        <v>44290</v>
      </c>
    </row>
    <row r="42" spans="1:366" ht="15" customHeight="1" x14ac:dyDescent="0.25">
      <c r="A42" s="149"/>
      <c r="B42" s="149"/>
      <c r="C42" s="149"/>
      <c r="D42" s="149"/>
      <c r="E42" s="150"/>
      <c r="F42" s="19"/>
      <c r="G42" s="19"/>
      <c r="H42" s="19"/>
      <c r="I42" s="19"/>
      <c r="J42" s="19"/>
      <c r="K42" s="19"/>
      <c r="L42" s="19"/>
      <c r="M42" s="19"/>
      <c r="N42" s="19"/>
      <c r="O42" s="9"/>
      <c r="P42" s="152"/>
      <c r="Q42" s="152"/>
      <c r="R42" s="154"/>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391</v>
      </c>
      <c r="DU42" s="25"/>
      <c r="DV42" s="25" t="s">
        <v>38</v>
      </c>
      <c r="DW42" s="25" t="s">
        <v>38</v>
      </c>
      <c r="DX42" s="25"/>
      <c r="DY42" s="25"/>
      <c r="DZ42" s="25"/>
      <c r="EA42" s="24"/>
      <c r="EB42" s="25"/>
      <c r="EC42" s="25" t="s">
        <v>38</v>
      </c>
      <c r="ED42" s="25"/>
      <c r="EE42" s="25" t="s">
        <v>477</v>
      </c>
      <c r="EF42" s="25" t="s">
        <v>38</v>
      </c>
      <c r="EG42" s="25"/>
      <c r="EH42" s="25"/>
      <c r="EI42" s="25"/>
      <c r="EJ42" s="24"/>
      <c r="EK42" s="25"/>
      <c r="EL42" s="25" t="s">
        <v>38</v>
      </c>
      <c r="EM42" s="25"/>
      <c r="EN42" s="25" t="s">
        <v>38</v>
      </c>
      <c r="EO42" s="25" t="s">
        <v>477</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5" t="s">
        <v>584</v>
      </c>
      <c r="GT42" s="25"/>
      <c r="GU42" s="24"/>
      <c r="GV42" s="25"/>
      <c r="GW42" s="25" t="s">
        <v>38</v>
      </c>
      <c r="GX42" s="25"/>
      <c r="GY42" s="25" t="s">
        <v>38</v>
      </c>
      <c r="GZ42" s="25" t="s">
        <v>38</v>
      </c>
      <c r="HA42" s="25"/>
      <c r="HB42" s="25"/>
      <c r="HC42" s="25"/>
      <c r="HD42" s="24"/>
      <c r="HE42" s="25"/>
      <c r="HF42" s="25" t="s">
        <v>38</v>
      </c>
      <c r="HG42" s="25"/>
      <c r="HH42" s="25" t="s">
        <v>38</v>
      </c>
      <c r="HI42" s="25" t="s">
        <v>38</v>
      </c>
      <c r="HJ42" s="25"/>
      <c r="HK42" s="24"/>
      <c r="HL42" s="25"/>
      <c r="HM42" s="25" t="s">
        <v>38</v>
      </c>
      <c r="HN42" s="25"/>
      <c r="HO42" s="25" t="s">
        <v>38</v>
      </c>
      <c r="HP42" s="25" t="s">
        <v>38</v>
      </c>
      <c r="HQ42" s="25"/>
      <c r="HR42" s="24"/>
      <c r="HS42" s="25"/>
      <c r="HT42" s="25" t="s">
        <v>38</v>
      </c>
      <c r="HU42" s="25"/>
      <c r="HV42" s="25" t="s">
        <v>38</v>
      </c>
      <c r="HW42" s="25" t="s">
        <v>38</v>
      </c>
      <c r="HX42" s="25"/>
      <c r="HY42" s="24"/>
      <c r="HZ42" s="25"/>
      <c r="IA42" s="25" t="s">
        <v>38</v>
      </c>
      <c r="IB42" s="25"/>
      <c r="IC42" s="25" t="s">
        <v>38</v>
      </c>
      <c r="ID42" s="25" t="s">
        <v>38</v>
      </c>
      <c r="IE42" s="25"/>
      <c r="IF42" s="24"/>
      <c r="IG42" s="25"/>
      <c r="IH42" s="25" t="s">
        <v>38</v>
      </c>
      <c r="II42" s="25" t="s">
        <v>38</v>
      </c>
      <c r="IJ42" s="25"/>
      <c r="IK42" s="25" t="s">
        <v>38</v>
      </c>
      <c r="IL42" s="25"/>
      <c r="IM42" s="24"/>
      <c r="IN42" s="25"/>
      <c r="IO42" s="25" t="s">
        <v>38</v>
      </c>
      <c r="IP42" s="25"/>
      <c r="IQ42" s="25" t="s">
        <v>38</v>
      </c>
      <c r="IR42" s="25" t="s">
        <v>38</v>
      </c>
      <c r="IS42" s="25"/>
      <c r="IT42" s="24"/>
      <c r="IU42" s="25"/>
      <c r="IV42" s="25" t="s">
        <v>38</v>
      </c>
      <c r="IW42" s="25"/>
      <c r="IX42" s="25" t="s">
        <v>38</v>
      </c>
      <c r="IY42" s="25" t="s">
        <v>38</v>
      </c>
      <c r="IZ42" s="25"/>
      <c r="JA42" s="24"/>
      <c r="JB42" s="25"/>
      <c r="JC42" s="25" t="s">
        <v>38</v>
      </c>
      <c r="JD42" s="25"/>
      <c r="JE42" s="25" t="s">
        <v>38</v>
      </c>
      <c r="JF42" s="25" t="s">
        <v>38</v>
      </c>
      <c r="JG42" s="25"/>
      <c r="JH42" s="24"/>
      <c r="JI42" s="25"/>
      <c r="JJ42" s="25" t="s">
        <v>38</v>
      </c>
      <c r="JK42" s="25"/>
      <c r="JL42" s="25" t="s">
        <v>38</v>
      </c>
      <c r="JM42" s="25" t="s">
        <v>38</v>
      </c>
      <c r="JN42" s="25"/>
      <c r="JO42" s="24"/>
      <c r="JP42" s="25"/>
      <c r="JQ42" s="25" t="s">
        <v>38</v>
      </c>
      <c r="JR42" s="25"/>
      <c r="JS42" s="25" t="s">
        <v>38</v>
      </c>
      <c r="JT42" s="25" t="s">
        <v>38</v>
      </c>
      <c r="JU42" s="25"/>
      <c r="JV42" s="24"/>
      <c r="JW42" s="25"/>
      <c r="JX42" s="25" t="s">
        <v>38</v>
      </c>
      <c r="JY42" s="25"/>
      <c r="JZ42" s="25" t="s">
        <v>38</v>
      </c>
      <c r="KA42" s="25" t="s">
        <v>38</v>
      </c>
      <c r="KB42" s="25"/>
      <c r="KC42" s="24"/>
      <c r="KD42" s="25"/>
      <c r="KE42" s="25" t="s">
        <v>38</v>
      </c>
      <c r="KF42" s="25"/>
      <c r="KG42" s="25" t="s">
        <v>38</v>
      </c>
      <c r="KH42" s="25" t="s">
        <v>38</v>
      </c>
      <c r="KI42" s="25"/>
      <c r="KJ42" s="24"/>
      <c r="KK42" s="25"/>
      <c r="KL42" s="25" t="s">
        <v>38</v>
      </c>
      <c r="KM42" s="25"/>
      <c r="KN42" s="25" t="s">
        <v>38</v>
      </c>
      <c r="KO42" s="25" t="s">
        <v>38</v>
      </c>
      <c r="KP42" s="25"/>
      <c r="KQ42" s="24"/>
      <c r="KR42" s="25"/>
      <c r="KS42" s="25" t="s">
        <v>38</v>
      </c>
      <c r="KT42" s="25"/>
      <c r="KU42" s="25" t="s">
        <v>38</v>
      </c>
      <c r="KV42" s="25" t="s">
        <v>38</v>
      </c>
      <c r="KW42" s="25"/>
      <c r="KX42" s="24"/>
      <c r="KY42" s="25"/>
      <c r="KZ42" s="25" t="s">
        <v>38</v>
      </c>
      <c r="LA42" s="25"/>
      <c r="LB42" s="25" t="s">
        <v>38</v>
      </c>
      <c r="LC42" s="25" t="s">
        <v>38</v>
      </c>
      <c r="LD42" s="25"/>
      <c r="LE42" s="24"/>
      <c r="LF42" s="25"/>
      <c r="LG42" s="25" t="s">
        <v>38</v>
      </c>
      <c r="LH42" s="25"/>
      <c r="LI42" s="25" t="s">
        <v>38</v>
      </c>
      <c r="LJ42" s="25" t="s">
        <v>38</v>
      </c>
      <c r="LK42" s="25"/>
      <c r="LL42" s="24"/>
      <c r="LM42" s="25"/>
      <c r="LN42" s="25" t="s">
        <v>38</v>
      </c>
      <c r="LO42" s="25"/>
      <c r="LP42" s="25" t="s">
        <v>38</v>
      </c>
      <c r="LQ42" s="25" t="s">
        <v>38</v>
      </c>
      <c r="LR42" s="25"/>
      <c r="LS42" s="24"/>
      <c r="LT42" s="25"/>
      <c r="LU42" s="25" t="s">
        <v>38</v>
      </c>
      <c r="LV42" s="25"/>
      <c r="LW42" s="25" t="s">
        <v>38</v>
      </c>
      <c r="LX42" s="25"/>
      <c r="LY42" s="25"/>
      <c r="LZ42" s="26"/>
      <c r="MA42" s="25"/>
      <c r="MB42" s="25" t="s">
        <v>38</v>
      </c>
      <c r="MC42" s="25"/>
      <c r="MD42" s="25" t="s">
        <v>38</v>
      </c>
      <c r="ME42" s="25"/>
      <c r="MF42" s="25"/>
      <c r="MG42" s="24"/>
      <c r="MH42" s="25"/>
      <c r="MI42" s="25"/>
      <c r="MJ42" s="25"/>
      <c r="MK42" s="25"/>
      <c r="ML42" s="25"/>
      <c r="MM42" s="25"/>
      <c r="MN42" s="24"/>
      <c r="MO42" s="25"/>
      <c r="MP42" s="25"/>
      <c r="MQ42" s="25"/>
      <c r="MR42" s="25"/>
      <c r="MS42" s="25"/>
      <c r="MT42" s="25"/>
      <c r="MU42" s="24"/>
      <c r="MV42" s="25"/>
      <c r="MW42" s="25"/>
      <c r="MX42" s="25"/>
      <c r="MY42" s="25"/>
      <c r="MZ42" s="25"/>
      <c r="NA42" s="25"/>
      <c r="NB42" s="24"/>
    </row>
    <row r="43" spans="1:366"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1"/>
      <c r="GT43" s="11"/>
      <c r="GU43" s="12"/>
      <c r="GV43" s="11"/>
      <c r="GW43" s="11"/>
      <c r="GX43" s="11"/>
      <c r="GY43" s="11"/>
      <c r="GZ43" s="11"/>
      <c r="HA43" s="11"/>
      <c r="HB43" s="11"/>
      <c r="HC43" s="11"/>
      <c r="HD43" s="12"/>
      <c r="HE43" s="11"/>
      <c r="HF43" s="11"/>
      <c r="HG43" s="11"/>
      <c r="HH43" s="11"/>
      <c r="HI43" s="11"/>
      <c r="HJ43" s="11"/>
      <c r="HK43" s="12"/>
      <c r="HL43" s="11"/>
      <c r="HM43" s="11"/>
      <c r="HN43" s="11"/>
      <c r="HO43" s="11"/>
      <c r="HP43" s="11"/>
      <c r="HQ43" s="11"/>
      <c r="HR43" s="12"/>
      <c r="HS43" s="11"/>
      <c r="HT43" s="11"/>
      <c r="HU43" s="11"/>
      <c r="HV43" s="11"/>
      <c r="HW43" s="11"/>
      <c r="HX43" s="11"/>
      <c r="HY43" s="12"/>
      <c r="HZ43" s="11"/>
      <c r="IA43" s="11"/>
      <c r="IB43" s="11"/>
      <c r="IC43" s="11"/>
      <c r="ID43" s="11"/>
      <c r="IE43" s="11"/>
      <c r="IF43" s="12"/>
      <c r="IG43" s="11"/>
      <c r="IH43" s="11"/>
      <c r="II43" s="11"/>
      <c r="IJ43" s="11"/>
      <c r="IK43" s="11"/>
      <c r="IL43" s="11"/>
      <c r="IM43" s="12"/>
      <c r="IN43" s="11"/>
      <c r="IO43" s="11"/>
      <c r="IP43" s="11"/>
      <c r="IQ43" s="11"/>
      <c r="IR43" s="11"/>
      <c r="IS43" s="11"/>
      <c r="IT43" s="12"/>
      <c r="IU43" s="11"/>
      <c r="IV43" s="11"/>
      <c r="IW43" s="11"/>
      <c r="IX43" s="11"/>
      <c r="IY43" s="11"/>
      <c r="IZ43" s="11"/>
      <c r="JA43" s="12"/>
      <c r="JB43" s="11"/>
      <c r="JC43" s="11"/>
      <c r="JD43" s="11"/>
      <c r="JE43" s="11"/>
      <c r="JF43" s="11"/>
      <c r="JG43" s="11"/>
      <c r="JH43" s="12"/>
      <c r="JI43" s="11"/>
      <c r="JJ43" s="11"/>
      <c r="JK43" s="11"/>
      <c r="JL43" s="11"/>
      <c r="JM43" s="11"/>
      <c r="JN43" s="11"/>
      <c r="JO43" s="12"/>
      <c r="JP43" s="11"/>
      <c r="JQ43" s="11"/>
      <c r="JR43" s="11"/>
      <c r="JS43" s="11"/>
      <c r="JT43" s="11"/>
      <c r="JU43" s="11"/>
      <c r="JV43" s="12"/>
      <c r="JW43" s="11"/>
      <c r="JX43" s="11"/>
      <c r="JY43" s="11"/>
      <c r="JZ43" s="11"/>
      <c r="KA43" s="11"/>
      <c r="KB43" s="11"/>
      <c r="KC43" s="12"/>
      <c r="KD43" s="11"/>
      <c r="KE43" s="11"/>
      <c r="KF43" s="11"/>
      <c r="KG43" s="11"/>
      <c r="KH43" s="11"/>
      <c r="KI43" s="11"/>
      <c r="KJ43" s="12"/>
      <c r="KK43" s="11"/>
      <c r="KL43" s="11"/>
      <c r="KM43" s="11"/>
      <c r="KN43" s="11"/>
      <c r="KO43" s="11"/>
      <c r="KP43" s="11"/>
      <c r="KQ43" s="12"/>
      <c r="KR43" s="11"/>
      <c r="KS43" s="11"/>
      <c r="KT43" s="11"/>
      <c r="KU43" s="11"/>
      <c r="KV43" s="11"/>
      <c r="KW43" s="11"/>
      <c r="KX43" s="12"/>
      <c r="KY43" s="11"/>
      <c r="KZ43" s="11"/>
      <c r="LA43" s="11"/>
      <c r="LB43" s="11"/>
      <c r="LC43" s="11"/>
      <c r="LD43" s="11"/>
      <c r="LE43" s="12"/>
      <c r="LF43" s="11"/>
      <c r="LG43" s="11"/>
      <c r="LH43" s="11"/>
      <c r="LI43" s="11"/>
      <c r="LJ43" s="11"/>
      <c r="LK43" s="11"/>
      <c r="LL43" s="12"/>
      <c r="LM43" s="11"/>
      <c r="LN43" s="11"/>
      <c r="LO43" s="11"/>
      <c r="LP43" s="11"/>
      <c r="LQ43" s="11"/>
      <c r="LR43" s="11"/>
      <c r="LS43" s="12"/>
      <c r="LT43" s="11"/>
      <c r="LU43" s="11"/>
      <c r="LV43" s="11"/>
      <c r="LW43" s="11"/>
      <c r="LX43" s="11"/>
      <c r="LY43" s="11"/>
      <c r="LZ43" s="12"/>
      <c r="MA43" s="11"/>
      <c r="MB43" s="11"/>
      <c r="MC43" s="11"/>
      <c r="MD43" s="11"/>
      <c r="ME43" s="11"/>
      <c r="MF43" s="11"/>
      <c r="MG43" s="12"/>
      <c r="MH43" s="11"/>
      <c r="MI43" s="11"/>
      <c r="MJ43" s="11"/>
      <c r="MK43" s="11"/>
      <c r="ML43" s="11"/>
      <c r="MM43" s="11"/>
      <c r="MN43" s="12"/>
      <c r="MO43" s="11"/>
      <c r="MP43" s="11"/>
      <c r="MQ43" s="11"/>
      <c r="MR43" s="11"/>
      <c r="MS43" s="11"/>
      <c r="MT43" s="11"/>
      <c r="MU43" s="12"/>
      <c r="MV43" s="11"/>
      <c r="MW43" s="11"/>
      <c r="MX43" s="11"/>
      <c r="MY43" s="11"/>
      <c r="MZ43" s="11"/>
      <c r="NA43" s="11"/>
      <c r="NB43" s="12"/>
    </row>
    <row r="44" spans="1:366"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1"/>
      <c r="GT44" s="11"/>
      <c r="GU44" s="12"/>
      <c r="GV44" s="11"/>
      <c r="GW44" s="11"/>
      <c r="GX44" s="11"/>
      <c r="GY44" s="11"/>
      <c r="GZ44" s="11"/>
      <c r="HA44" s="11"/>
      <c r="HB44" s="11"/>
      <c r="HC44" s="11"/>
      <c r="HD44" s="12"/>
      <c r="HE44" s="11"/>
      <c r="HF44" s="11"/>
      <c r="HG44" s="11"/>
      <c r="HH44" s="11"/>
      <c r="HI44" s="11"/>
      <c r="HJ44" s="11"/>
      <c r="HK44" s="12"/>
      <c r="HL44" s="11"/>
      <c r="HM44" s="11"/>
      <c r="HN44" s="11"/>
      <c r="HO44" s="11"/>
      <c r="HP44" s="11"/>
      <c r="HQ44" s="11"/>
      <c r="HR44" s="12"/>
      <c r="HS44" s="11"/>
      <c r="HT44" s="11"/>
      <c r="HU44" s="11"/>
      <c r="HV44" s="11"/>
      <c r="HW44" s="11"/>
      <c r="HX44" s="11"/>
      <c r="HY44" s="12"/>
      <c r="HZ44" s="11"/>
      <c r="IA44" s="11"/>
      <c r="IB44" s="11"/>
      <c r="IC44" s="11"/>
      <c r="ID44" s="11"/>
      <c r="IE44" s="11"/>
      <c r="IF44" s="12"/>
      <c r="IG44" s="11"/>
      <c r="IH44" s="11"/>
      <c r="II44" s="11"/>
      <c r="IJ44" s="11"/>
      <c r="IK44" s="11"/>
      <c r="IL44" s="11"/>
      <c r="IM44" s="12"/>
      <c r="IN44" s="11"/>
      <c r="IO44" s="11"/>
      <c r="IP44" s="11"/>
      <c r="IQ44" s="11"/>
      <c r="IR44" s="11"/>
      <c r="IS44" s="11"/>
      <c r="IT44" s="12"/>
      <c r="IU44" s="11"/>
      <c r="IV44" s="11"/>
      <c r="IW44" s="11"/>
      <c r="IX44" s="11"/>
      <c r="IY44" s="11"/>
      <c r="IZ44" s="11"/>
      <c r="JA44" s="12"/>
      <c r="JB44" s="11"/>
      <c r="JC44" s="11"/>
      <c r="JD44" s="11"/>
      <c r="JE44" s="11"/>
      <c r="JF44" s="11"/>
      <c r="JG44" s="11"/>
      <c r="JH44" s="12"/>
      <c r="JI44" s="11"/>
      <c r="JJ44" s="11"/>
      <c r="JK44" s="11"/>
      <c r="JL44" s="11"/>
      <c r="JM44" s="11"/>
      <c r="JN44" s="11"/>
      <c r="JO44" s="12"/>
      <c r="JP44" s="11"/>
      <c r="JQ44" s="11"/>
      <c r="JR44" s="11"/>
      <c r="JS44" s="11"/>
      <c r="JT44" s="11"/>
      <c r="JU44" s="11"/>
      <c r="JV44" s="12"/>
      <c r="JW44" s="11"/>
      <c r="JX44" s="11"/>
      <c r="JY44" s="11"/>
      <c r="JZ44" s="11"/>
      <c r="KA44" s="11"/>
      <c r="KB44" s="11"/>
      <c r="KC44" s="12"/>
      <c r="KD44" s="11"/>
      <c r="KE44" s="11"/>
      <c r="KF44" s="11"/>
      <c r="KG44" s="11"/>
      <c r="KH44" s="11"/>
      <c r="KI44" s="11"/>
      <c r="KJ44" s="12"/>
      <c r="KK44" s="11"/>
      <c r="KL44" s="11"/>
      <c r="KM44" s="11"/>
      <c r="KN44" s="11"/>
      <c r="KO44" s="11"/>
      <c r="KP44" s="11"/>
      <c r="KQ44" s="12"/>
      <c r="KR44" s="11"/>
      <c r="KS44" s="11"/>
      <c r="KT44" s="11"/>
      <c r="KU44" s="11"/>
      <c r="KV44" s="11"/>
      <c r="KW44" s="11"/>
      <c r="KX44" s="12"/>
      <c r="KY44" s="11"/>
      <c r="KZ44" s="11"/>
      <c r="LA44" s="11"/>
      <c r="LB44" s="11"/>
      <c r="LC44" s="11"/>
      <c r="LD44" s="11"/>
      <c r="LE44" s="12"/>
      <c r="LF44" s="11"/>
      <c r="LG44" s="11"/>
      <c r="LH44" s="11"/>
      <c r="LI44" s="11"/>
      <c r="LJ44" s="11"/>
      <c r="LK44" s="11"/>
      <c r="LL44" s="12"/>
      <c r="LM44" s="11"/>
      <c r="LN44" s="11"/>
      <c r="LO44" s="11"/>
      <c r="LP44" s="11"/>
      <c r="LQ44" s="11"/>
      <c r="LR44" s="11"/>
      <c r="LS44" s="12"/>
      <c r="LT44" s="11"/>
      <c r="LU44" s="11"/>
      <c r="LV44" s="11"/>
      <c r="LW44" s="11"/>
      <c r="LX44" s="11"/>
      <c r="LY44" s="11"/>
      <c r="LZ44" s="12"/>
      <c r="MA44" s="11"/>
      <c r="MB44" s="11"/>
      <c r="MC44" s="11"/>
      <c r="MD44" s="11"/>
      <c r="ME44" s="11"/>
      <c r="MF44" s="11"/>
      <c r="MG44" s="12"/>
      <c r="MH44" s="11"/>
      <c r="MI44" s="11"/>
      <c r="MJ44" s="11"/>
      <c r="MK44" s="11"/>
      <c r="ML44" s="11"/>
      <c r="MM44" s="11"/>
      <c r="MN44" s="12"/>
      <c r="MO44" s="11"/>
      <c r="MP44" s="11"/>
      <c r="MQ44" s="11"/>
      <c r="MR44" s="11"/>
      <c r="MS44" s="11"/>
      <c r="MT44" s="11"/>
      <c r="MU44" s="12"/>
      <c r="MV44" s="11"/>
      <c r="MW44" s="11"/>
      <c r="MX44" s="11"/>
      <c r="MY44" s="11"/>
      <c r="MZ44" s="11"/>
      <c r="NA44" s="11"/>
      <c r="NB44" s="12"/>
    </row>
    <row r="45" spans="1:366" ht="7.5" customHeight="1" x14ac:dyDescent="0.25">
      <c r="A45" s="8"/>
      <c r="B45" s="8"/>
      <c r="C45" s="8"/>
      <c r="D45" s="8"/>
      <c r="E45" s="8"/>
      <c r="F45" s="10"/>
      <c r="G45" s="19"/>
      <c r="H45" s="19"/>
      <c r="I45" s="8"/>
      <c r="J45" s="8"/>
      <c r="K45" s="8"/>
      <c r="L45" s="8"/>
      <c r="M45" s="8"/>
      <c r="N45" s="8"/>
      <c r="O45" s="9"/>
      <c r="P45" s="8" t="str">
        <f>IF(SUM(R45:NB45) &gt; 0, SUM(R45:NB45), "")</f>
        <v/>
      </c>
      <c r="Q45" s="8"/>
      <c r="R45" s="84"/>
      <c r="S45" s="7"/>
      <c r="Z45" s="7"/>
      <c r="AG45" s="7"/>
      <c r="AN45" s="7"/>
      <c r="AU45" s="7"/>
      <c r="BB45" s="7"/>
      <c r="BI45" s="7"/>
      <c r="BP45" s="7"/>
      <c r="BY45" s="7"/>
      <c r="CH45" s="7"/>
      <c r="CQ45" s="7"/>
      <c r="CZ45" s="7"/>
      <c r="DI45" s="7"/>
      <c r="DR45" s="7"/>
      <c r="EA45" s="7"/>
      <c r="EJ45" s="7"/>
      <c r="ES45" s="7"/>
      <c r="FB45" s="7"/>
      <c r="FK45" s="7"/>
      <c r="FT45" s="7"/>
      <c r="GC45" s="7"/>
      <c r="GL45" s="7"/>
      <c r="GU45" s="7"/>
      <c r="HD45" s="7"/>
      <c r="HK45" s="7"/>
      <c r="HR45" s="7"/>
      <c r="HY45" s="7"/>
      <c r="IF45" s="7"/>
      <c r="IM45" s="7"/>
      <c r="IT45" s="7"/>
      <c r="JA45" s="7"/>
      <c r="JH45" s="7"/>
      <c r="JO45" s="7"/>
      <c r="JV45" s="7"/>
      <c r="KC45" s="7"/>
      <c r="KJ45" s="7"/>
      <c r="KQ45" s="7"/>
      <c r="KX45" s="7"/>
      <c r="LE45" s="7"/>
      <c r="LL45" s="7"/>
      <c r="LS45" s="7"/>
      <c r="LZ45" s="7"/>
      <c r="MG45" s="7"/>
      <c r="MN45" s="7"/>
      <c r="MU45" s="7"/>
      <c r="NB45" s="7"/>
    </row>
    <row r="46" spans="1:366" ht="15" customHeight="1" x14ac:dyDescent="0.25">
      <c r="A46" s="8" t="s">
        <v>116</v>
      </c>
      <c r="B46" s="8" t="s">
        <v>115</v>
      </c>
      <c r="C46" s="8" t="s">
        <v>114</v>
      </c>
      <c r="D46" s="8" t="s">
        <v>113</v>
      </c>
      <c r="E46" s="56">
        <v>40073</v>
      </c>
      <c r="F46" s="19">
        <f t="shared" ref="F46:L59" si="353">IF($E46 &gt;= F$44, 1, "")</f>
        <v>1</v>
      </c>
      <c r="G46" s="19">
        <f t="shared" si="353"/>
        <v>1</v>
      </c>
      <c r="H46" s="19">
        <f t="shared" si="353"/>
        <v>1</v>
      </c>
      <c r="I46" s="19">
        <f t="shared" si="353"/>
        <v>1</v>
      </c>
      <c r="J46" s="19">
        <f t="shared" si="353"/>
        <v>1</v>
      </c>
      <c r="K46" s="19">
        <f t="shared" si="353"/>
        <v>1</v>
      </c>
      <c r="L46" s="19" t="str">
        <f t="shared" si="353"/>
        <v/>
      </c>
      <c r="M46" s="8">
        <v>1</v>
      </c>
      <c r="N46" s="8"/>
      <c r="O46" s="9"/>
      <c r="P46" s="8">
        <f t="shared" ref="P46:P68" si="354">IF(SUM(S46:NB46) &gt; 0, SUM(S46:NB46), "")</f>
        <v>26</v>
      </c>
      <c r="Q46" s="108">
        <f t="shared" ref="Q46:Q68" si="355">IF(SUM(S46:XFD46) &gt; 0, SUM(S46:XFD46) / $P$69 * 100, "")</f>
        <v>61.904761904761905</v>
      </c>
      <c r="R46" s="84"/>
      <c r="S46" s="7"/>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P46">
        <v>1</v>
      </c>
      <c r="GQ46">
        <v>1</v>
      </c>
      <c r="GS46" s="145">
        <v>1</v>
      </c>
      <c r="GU46" s="7"/>
      <c r="HD46" s="7"/>
      <c r="HK46" s="7"/>
      <c r="HR46" s="7"/>
      <c r="HY46" s="7"/>
      <c r="IF46" s="7"/>
      <c r="IM46" s="7"/>
      <c r="IT46" s="7"/>
      <c r="JA46" s="7"/>
      <c r="JH46" s="7"/>
      <c r="JO46" s="7"/>
      <c r="JV46" s="7"/>
      <c r="KC46" s="7"/>
      <c r="KJ46" s="7"/>
      <c r="KQ46" s="7"/>
      <c r="KX46" s="7"/>
      <c r="LE46" s="7"/>
      <c r="LL46" s="7"/>
      <c r="LS46" s="7"/>
      <c r="LZ46" s="7"/>
      <c r="MG46" s="7"/>
      <c r="MN46" s="7"/>
      <c r="MU46" s="7"/>
      <c r="NB46" s="7"/>
    </row>
    <row r="47" spans="1:366" ht="15" customHeight="1" x14ac:dyDescent="0.25">
      <c r="A47" s="8" t="s">
        <v>112</v>
      </c>
      <c r="B47" s="8" t="s">
        <v>111</v>
      </c>
      <c r="C47" s="8" t="s">
        <v>110</v>
      </c>
      <c r="D47" s="8" t="s">
        <v>109</v>
      </c>
      <c r="E47" s="56">
        <v>40099</v>
      </c>
      <c r="F47" s="19">
        <f t="shared" si="353"/>
        <v>1</v>
      </c>
      <c r="G47" s="19">
        <f t="shared" si="353"/>
        <v>1</v>
      </c>
      <c r="H47" s="19">
        <f t="shared" si="353"/>
        <v>1</v>
      </c>
      <c r="I47" s="19">
        <f t="shared" si="353"/>
        <v>1</v>
      </c>
      <c r="J47" s="19">
        <f t="shared" si="353"/>
        <v>1</v>
      </c>
      <c r="K47" s="19">
        <f t="shared" si="353"/>
        <v>1</v>
      </c>
      <c r="L47" s="19" t="str">
        <f t="shared" si="353"/>
        <v/>
      </c>
      <c r="M47" s="8">
        <v>1</v>
      </c>
      <c r="N47" s="8"/>
      <c r="O47" s="9"/>
      <c r="P47" s="8">
        <f t="shared" si="354"/>
        <v>13</v>
      </c>
      <c r="Q47" s="108">
        <f t="shared" si="355"/>
        <v>30.952380952380953</v>
      </c>
      <c r="R47" s="84"/>
      <c r="S47" s="7"/>
      <c r="Z47" s="7"/>
      <c r="AG47" s="7"/>
      <c r="AN47" s="7"/>
      <c r="AU47" s="7"/>
      <c r="BB47" s="7"/>
      <c r="BI47" s="7"/>
      <c r="BP47" s="7"/>
      <c r="BY47" s="7"/>
      <c r="CH47" s="7"/>
      <c r="CQ47" s="7"/>
      <c r="CZ47" s="7"/>
      <c r="DI47" s="7"/>
      <c r="DR47" s="7"/>
      <c r="DT47">
        <v>1</v>
      </c>
      <c r="DW47">
        <v>1</v>
      </c>
      <c r="EA47" s="7"/>
      <c r="EC47" t="s">
        <v>460</v>
      </c>
      <c r="EJ47" s="7"/>
      <c r="EL47">
        <v>1</v>
      </c>
      <c r="EN47">
        <v>1</v>
      </c>
      <c r="EO47">
        <v>1</v>
      </c>
      <c r="ES47" s="7"/>
      <c r="EU47">
        <v>1</v>
      </c>
      <c r="EX47">
        <v>1</v>
      </c>
      <c r="FB47" s="7"/>
      <c r="FG47">
        <v>1</v>
      </c>
      <c r="FK47" s="7"/>
      <c r="FP47">
        <v>1</v>
      </c>
      <c r="FT47" s="7"/>
      <c r="FY47">
        <v>1</v>
      </c>
      <c r="GC47" s="7"/>
      <c r="GH47">
        <v>1</v>
      </c>
      <c r="GL47" s="7"/>
      <c r="GP47">
        <v>1</v>
      </c>
      <c r="GQ47">
        <v>1</v>
      </c>
      <c r="GS47" s="145"/>
      <c r="GU47" s="7"/>
      <c r="HD47" s="7"/>
      <c r="HK47" s="7"/>
      <c r="HR47" s="7"/>
      <c r="HY47" s="7"/>
      <c r="IF47" s="7"/>
      <c r="IM47" s="7"/>
      <c r="IT47" s="7"/>
      <c r="JA47" s="7"/>
      <c r="JH47" s="7"/>
      <c r="JO47" s="7"/>
      <c r="JV47" s="7"/>
      <c r="KC47" s="7"/>
      <c r="KJ47" s="7"/>
      <c r="KQ47" s="7"/>
      <c r="KX47" s="7"/>
      <c r="LE47" s="7"/>
      <c r="LL47" s="7"/>
      <c r="LS47" s="7"/>
      <c r="LZ47" s="7"/>
      <c r="MG47" s="7"/>
      <c r="MN47" s="7"/>
      <c r="MU47" s="7"/>
      <c r="NB47" s="7"/>
    </row>
    <row r="48" spans="1:366" ht="15" customHeight="1" x14ac:dyDescent="0.25">
      <c r="A48" s="8" t="s">
        <v>73</v>
      </c>
      <c r="B48" s="8" t="s">
        <v>108</v>
      </c>
      <c r="C48" s="8" t="s">
        <v>107</v>
      </c>
      <c r="D48" s="8" t="s">
        <v>106</v>
      </c>
      <c r="E48" s="18">
        <v>39474</v>
      </c>
      <c r="F48" s="10">
        <f t="shared" si="353"/>
        <v>1</v>
      </c>
      <c r="G48" s="19">
        <f t="shared" si="353"/>
        <v>1</v>
      </c>
      <c r="H48" s="19">
        <f t="shared" si="353"/>
        <v>1</v>
      </c>
      <c r="I48" s="19">
        <f t="shared" si="353"/>
        <v>1</v>
      </c>
      <c r="J48" s="19">
        <f t="shared" si="353"/>
        <v>1</v>
      </c>
      <c r="K48" s="19" t="str">
        <f t="shared" si="353"/>
        <v/>
      </c>
      <c r="L48" s="19" t="str">
        <f t="shared" si="353"/>
        <v/>
      </c>
      <c r="M48" s="8">
        <v>1</v>
      </c>
      <c r="N48" s="8">
        <v>1</v>
      </c>
      <c r="O48" s="9"/>
      <c r="P48" s="8">
        <f t="shared" si="354"/>
        <v>39</v>
      </c>
      <c r="Q48" s="108">
        <f t="shared" si="355"/>
        <v>92.857142857142861</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G48">
        <v>1</v>
      </c>
      <c r="GH48">
        <v>1</v>
      </c>
      <c r="GL48" s="7"/>
      <c r="GN48">
        <v>1</v>
      </c>
      <c r="GQ48">
        <v>1</v>
      </c>
      <c r="GS48" s="145">
        <v>1</v>
      </c>
      <c r="GU48" s="7"/>
      <c r="HD48" s="7"/>
      <c r="HK48" s="7"/>
      <c r="HR48" s="7"/>
      <c r="HY48" s="7"/>
      <c r="IF48" s="7"/>
      <c r="IM48" s="7"/>
      <c r="IT48" s="7"/>
      <c r="JA48" s="7"/>
      <c r="JH48" s="7"/>
      <c r="JO48" s="7"/>
      <c r="JV48" s="7"/>
      <c r="KC48" s="7"/>
      <c r="KJ48" s="7"/>
      <c r="KQ48" s="7"/>
      <c r="KX48" s="7"/>
      <c r="LE48" s="7"/>
      <c r="LL48" s="7"/>
      <c r="LS48" s="7"/>
      <c r="LZ48" s="7"/>
      <c r="MG48" s="7"/>
      <c r="MN48" s="7"/>
      <c r="MU48" s="7"/>
      <c r="NB48" s="7"/>
    </row>
    <row r="49" spans="1:366" ht="15" customHeight="1" x14ac:dyDescent="0.25">
      <c r="A49" s="8" t="s">
        <v>236</v>
      </c>
      <c r="B49" s="8" t="s">
        <v>237</v>
      </c>
      <c r="C49" s="8" t="s">
        <v>238</v>
      </c>
      <c r="D49" s="8" t="s">
        <v>239</v>
      </c>
      <c r="E49" s="18">
        <v>39425</v>
      </c>
      <c r="F49" s="10">
        <f t="shared" si="353"/>
        <v>1</v>
      </c>
      <c r="G49" s="19">
        <f t="shared" si="353"/>
        <v>1</v>
      </c>
      <c r="H49" s="19">
        <f t="shared" si="353"/>
        <v>1</v>
      </c>
      <c r="I49" s="19">
        <f t="shared" si="353"/>
        <v>1</v>
      </c>
      <c r="J49" s="19" t="str">
        <f t="shared" si="353"/>
        <v/>
      </c>
      <c r="K49" s="19" t="str">
        <f t="shared" si="353"/>
        <v/>
      </c>
      <c r="L49" s="19" t="str">
        <f t="shared" si="353"/>
        <v/>
      </c>
      <c r="M49" s="8">
        <v>1</v>
      </c>
      <c r="N49" s="8">
        <v>1</v>
      </c>
      <c r="O49" s="9"/>
      <c r="P49" s="8">
        <f t="shared" si="354"/>
        <v>31</v>
      </c>
      <c r="Q49" s="108">
        <f t="shared" si="355"/>
        <v>73.80952380952381</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G49">
        <v>1</v>
      </c>
      <c r="GH49">
        <v>1</v>
      </c>
      <c r="GL49" s="7"/>
      <c r="GP49">
        <v>1</v>
      </c>
      <c r="GQ49">
        <v>1</v>
      </c>
      <c r="GS49" s="145">
        <v>1</v>
      </c>
      <c r="GU49" s="7"/>
      <c r="HD49" s="7"/>
      <c r="HK49" s="7"/>
      <c r="HR49" s="7"/>
      <c r="HY49" s="7"/>
      <c r="IF49" s="7"/>
      <c r="IM49" s="7"/>
      <c r="IT49" s="7"/>
      <c r="JA49" s="7"/>
      <c r="JH49" s="7"/>
      <c r="JO49" s="7"/>
      <c r="JV49" s="7"/>
      <c r="KC49" s="7"/>
      <c r="KJ49" s="7"/>
      <c r="KQ49" s="7"/>
      <c r="KX49" s="7"/>
      <c r="LE49" s="7"/>
      <c r="LL49" s="7"/>
      <c r="LS49" s="7"/>
      <c r="LZ49" s="7"/>
      <c r="MG49" s="7"/>
      <c r="MN49" s="7"/>
      <c r="MU49" s="7"/>
      <c r="NB49" s="7"/>
    </row>
    <row r="50" spans="1:366" ht="15" hidden="1" customHeight="1" x14ac:dyDescent="0.25">
      <c r="A50" s="8" t="s">
        <v>233</v>
      </c>
      <c r="B50" s="8"/>
      <c r="C50" s="8" t="s">
        <v>36</v>
      </c>
      <c r="D50" s="8" t="s">
        <v>234</v>
      </c>
      <c r="E50" s="18">
        <v>38536</v>
      </c>
      <c r="F50" s="10">
        <f t="shared" si="353"/>
        <v>1</v>
      </c>
      <c r="G50" s="19">
        <f t="shared" si="353"/>
        <v>1</v>
      </c>
      <c r="H50" s="19" t="str">
        <f t="shared" si="353"/>
        <v/>
      </c>
      <c r="I50" s="19" t="str">
        <f t="shared" si="353"/>
        <v/>
      </c>
      <c r="J50" s="19" t="str">
        <f t="shared" si="353"/>
        <v/>
      </c>
      <c r="K50" s="19" t="str">
        <f t="shared" si="353"/>
        <v/>
      </c>
      <c r="L50" s="19" t="str">
        <f t="shared" si="353"/>
        <v/>
      </c>
      <c r="M50" s="8">
        <v>1</v>
      </c>
      <c r="N50" s="8"/>
      <c r="O50" s="9"/>
      <c r="P50" s="8">
        <f t="shared" si="354"/>
        <v>5</v>
      </c>
      <c r="Q50" s="108">
        <f t="shared" si="355"/>
        <v>11.904761904761903</v>
      </c>
      <c r="R50" s="84"/>
      <c r="S50" s="7"/>
      <c r="Z50" s="7"/>
      <c r="AG50" s="7"/>
      <c r="AI50">
        <v>1</v>
      </c>
      <c r="AN50" s="7"/>
      <c r="AR50">
        <v>1</v>
      </c>
      <c r="AU50" s="7"/>
      <c r="BB50" s="7"/>
      <c r="BD50">
        <v>1</v>
      </c>
      <c r="BI50" s="7"/>
      <c r="BM50">
        <v>1</v>
      </c>
      <c r="BN50">
        <v>1</v>
      </c>
      <c r="BP50" s="7"/>
      <c r="BY50" s="7"/>
      <c r="CH50" s="7"/>
      <c r="CQ50" s="7"/>
      <c r="CZ50" s="7"/>
      <c r="DI50" s="7"/>
      <c r="DR50" s="7"/>
      <c r="DT50" t="s">
        <v>444</v>
      </c>
      <c r="EA50" s="7"/>
      <c r="EJ50" s="7"/>
      <c r="ES50" s="7"/>
      <c r="FB50" s="7"/>
      <c r="FK50" s="7"/>
      <c r="FT50" s="7"/>
      <c r="GC50" s="7"/>
      <c r="GL50" s="7"/>
      <c r="GS50" s="145"/>
      <c r="GU50" s="7"/>
      <c r="HD50" s="7"/>
      <c r="HK50" s="7"/>
      <c r="HR50" s="7"/>
      <c r="HY50" s="7"/>
      <c r="IF50" s="7"/>
      <c r="IM50" s="7"/>
      <c r="IT50" s="7"/>
      <c r="JA50" s="7"/>
      <c r="JH50" s="7"/>
      <c r="JO50" s="7"/>
      <c r="JV50" s="7"/>
      <c r="KC50" s="7"/>
      <c r="KJ50" s="7"/>
      <c r="KQ50" s="7"/>
      <c r="KX50" s="7"/>
      <c r="LE50" s="7"/>
      <c r="LL50" s="7"/>
      <c r="LS50" s="7"/>
      <c r="LZ50" s="7"/>
      <c r="MG50" s="7"/>
      <c r="MN50" s="7"/>
      <c r="MU50" s="7"/>
      <c r="NB50" s="7"/>
    </row>
    <row r="51" spans="1:366" hidden="1" x14ac:dyDescent="0.25">
      <c r="A51" s="8" t="s">
        <v>229</v>
      </c>
      <c r="B51" s="8" t="s">
        <v>230</v>
      </c>
      <c r="C51" s="8" t="s">
        <v>232</v>
      </c>
      <c r="D51" s="8" t="s">
        <v>231</v>
      </c>
      <c r="E51" s="18">
        <v>38679</v>
      </c>
      <c r="F51" s="10">
        <f t="shared" si="353"/>
        <v>1</v>
      </c>
      <c r="G51" s="19">
        <f t="shared" si="353"/>
        <v>1</v>
      </c>
      <c r="H51" s="19" t="str">
        <f t="shared" si="353"/>
        <v/>
      </c>
      <c r="I51" s="19" t="str">
        <f t="shared" si="353"/>
        <v/>
      </c>
      <c r="J51" s="19" t="str">
        <f t="shared" si="353"/>
        <v/>
      </c>
      <c r="K51" s="19" t="str">
        <f t="shared" si="353"/>
        <v/>
      </c>
      <c r="L51" s="19" t="str">
        <f t="shared" si="353"/>
        <v/>
      </c>
      <c r="M51" s="8">
        <v>1</v>
      </c>
      <c r="N51" s="8"/>
      <c r="O51" s="9"/>
      <c r="P51" s="8">
        <f t="shared" si="354"/>
        <v>6</v>
      </c>
      <c r="Q51" s="108">
        <f t="shared" si="355"/>
        <v>14.285714285714285</v>
      </c>
      <c r="R51" s="84"/>
      <c r="S51" s="7"/>
      <c r="Z51" s="7"/>
      <c r="AG51" s="7"/>
      <c r="AI51">
        <v>1</v>
      </c>
      <c r="AN51" s="7"/>
      <c r="AR51">
        <v>1</v>
      </c>
      <c r="AU51" s="7"/>
      <c r="BB51" s="7"/>
      <c r="BD51">
        <v>1</v>
      </c>
      <c r="BI51" s="7"/>
      <c r="BM51">
        <v>1</v>
      </c>
      <c r="BN51">
        <v>1</v>
      </c>
      <c r="BP51" s="7"/>
      <c r="BY51" s="7"/>
      <c r="CH51" s="7"/>
      <c r="CQ51" s="7"/>
      <c r="CZ51" s="7"/>
      <c r="DI51" s="7"/>
      <c r="DR51" s="7"/>
      <c r="DT51" t="s">
        <v>444</v>
      </c>
      <c r="DW51">
        <v>1</v>
      </c>
      <c r="EA51" s="7"/>
      <c r="EJ51" s="7"/>
      <c r="ES51" s="7"/>
      <c r="FB51" s="7"/>
      <c r="FK51" s="7"/>
      <c r="FT51" s="7"/>
      <c r="GC51" s="7"/>
      <c r="GL51" s="7"/>
      <c r="GS51" s="145"/>
      <c r="GU51" s="7"/>
      <c r="HD51" s="7"/>
      <c r="HK51" s="7"/>
      <c r="HR51" s="7"/>
      <c r="HY51" s="7"/>
      <c r="IF51" s="7"/>
      <c r="IM51" s="7"/>
      <c r="IT51" s="7"/>
      <c r="JA51" s="7"/>
      <c r="JH51" s="7"/>
      <c r="JO51" s="7"/>
      <c r="JV51" s="7"/>
      <c r="KC51" s="7"/>
      <c r="KJ51" s="7"/>
      <c r="KQ51" s="7"/>
      <c r="KX51" s="7"/>
      <c r="LE51" s="7"/>
      <c r="LL51" s="7"/>
      <c r="LS51" s="7"/>
      <c r="LZ51" s="7"/>
      <c r="MG51" s="7"/>
      <c r="MN51" s="7"/>
      <c r="MU51" s="7"/>
      <c r="NB51" s="7"/>
    </row>
    <row r="52" spans="1:366" hidden="1" x14ac:dyDescent="0.25">
      <c r="A52" s="8" t="s">
        <v>62</v>
      </c>
      <c r="B52" s="8"/>
      <c r="C52" s="8" t="s">
        <v>292</v>
      </c>
      <c r="D52" s="8" t="s">
        <v>293</v>
      </c>
      <c r="E52" s="18">
        <v>39814</v>
      </c>
      <c r="F52" s="10">
        <f t="shared" si="353"/>
        <v>1</v>
      </c>
      <c r="G52" s="19">
        <f t="shared" si="353"/>
        <v>1</v>
      </c>
      <c r="H52" s="19">
        <f t="shared" si="353"/>
        <v>1</v>
      </c>
      <c r="I52" s="8">
        <f t="shared" si="353"/>
        <v>1</v>
      </c>
      <c r="J52" s="8">
        <f t="shared" si="353"/>
        <v>1</v>
      </c>
      <c r="K52" s="8">
        <f t="shared" si="353"/>
        <v>1</v>
      </c>
      <c r="L52" s="8" t="str">
        <f t="shared" si="353"/>
        <v/>
      </c>
      <c r="M52" s="8">
        <v>1</v>
      </c>
      <c r="N52" s="8"/>
      <c r="O52" s="9"/>
      <c r="P52" s="8">
        <f t="shared" si="354"/>
        <v>3</v>
      </c>
      <c r="Q52" s="108">
        <f t="shared" si="355"/>
        <v>7.1428571428571423</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S52" s="145"/>
      <c r="GU52" s="7"/>
      <c r="HD52" s="7"/>
      <c r="HK52" s="7"/>
      <c r="HR52" s="7"/>
      <c r="HY52" s="7"/>
      <c r="IF52" s="7"/>
      <c r="IM52" s="7"/>
      <c r="IT52" s="7"/>
      <c r="JA52" s="7"/>
      <c r="JH52" s="7"/>
      <c r="JO52" s="7"/>
      <c r="JV52" s="7"/>
      <c r="KC52" s="7"/>
      <c r="KJ52" s="7"/>
      <c r="KQ52" s="7"/>
      <c r="KX52" s="7"/>
      <c r="LE52" s="7"/>
      <c r="LL52" s="7"/>
      <c r="LS52" s="7"/>
      <c r="LZ52" s="7"/>
      <c r="MG52" s="7"/>
      <c r="MN52" s="7"/>
      <c r="MU52" s="7"/>
      <c r="NB52" s="7"/>
    </row>
    <row r="53" spans="1:366" x14ac:dyDescent="0.25">
      <c r="A53" s="8" t="s">
        <v>92</v>
      </c>
      <c r="B53" s="8"/>
      <c r="C53" s="8" t="s">
        <v>91</v>
      </c>
      <c r="D53" s="8" t="s">
        <v>90</v>
      </c>
      <c r="E53" s="18">
        <v>39507</v>
      </c>
      <c r="F53" s="10">
        <f t="shared" si="353"/>
        <v>1</v>
      </c>
      <c r="G53" s="19">
        <f t="shared" si="353"/>
        <v>1</v>
      </c>
      <c r="H53" s="19">
        <f t="shared" si="353"/>
        <v>1</v>
      </c>
      <c r="I53" s="19">
        <f t="shared" si="353"/>
        <v>1</v>
      </c>
      <c r="J53" s="19">
        <f t="shared" si="353"/>
        <v>1</v>
      </c>
      <c r="K53" s="19" t="str">
        <f t="shared" si="353"/>
        <v/>
      </c>
      <c r="L53" s="19" t="str">
        <f t="shared" si="353"/>
        <v/>
      </c>
      <c r="M53" s="8">
        <v>1</v>
      </c>
      <c r="N53" s="8">
        <v>1</v>
      </c>
      <c r="O53" s="9"/>
      <c r="P53" s="8">
        <f t="shared" si="354"/>
        <v>30</v>
      </c>
      <c r="Q53" s="108">
        <f t="shared" si="355"/>
        <v>71.428571428571431</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N53">
        <v>1</v>
      </c>
      <c r="GP53">
        <v>1</v>
      </c>
      <c r="GS53" s="145">
        <v>1</v>
      </c>
      <c r="GU53" s="7"/>
      <c r="HD53" s="7"/>
      <c r="HK53" s="7"/>
      <c r="HR53" s="7"/>
      <c r="HY53" s="7"/>
      <c r="IF53" s="7"/>
      <c r="IM53" s="7"/>
      <c r="IT53" s="7"/>
      <c r="JA53" s="7"/>
      <c r="JH53" s="7"/>
      <c r="JO53" s="7"/>
      <c r="JV53" s="7"/>
      <c r="KC53" s="7"/>
      <c r="KJ53" s="7"/>
      <c r="KQ53" s="7"/>
      <c r="KX53" s="7"/>
      <c r="LE53" s="7"/>
      <c r="LL53" s="7"/>
      <c r="LS53" s="7"/>
      <c r="LZ53" s="7"/>
      <c r="MG53" s="7"/>
      <c r="MN53" s="7"/>
      <c r="MU53" s="7"/>
      <c r="NB53" s="7"/>
    </row>
    <row r="54" spans="1:366" hidden="1" x14ac:dyDescent="0.25">
      <c r="A54" s="8" t="s">
        <v>89</v>
      </c>
      <c r="B54" s="8"/>
      <c r="C54" s="8" t="s">
        <v>88</v>
      </c>
      <c r="D54" s="8" t="s">
        <v>87</v>
      </c>
      <c r="E54" s="18">
        <v>39651</v>
      </c>
      <c r="F54" s="10">
        <f t="shared" si="353"/>
        <v>1</v>
      </c>
      <c r="G54" s="19">
        <f t="shared" si="353"/>
        <v>1</v>
      </c>
      <c r="H54" s="19">
        <f t="shared" si="353"/>
        <v>1</v>
      </c>
      <c r="I54" s="8">
        <f t="shared" si="353"/>
        <v>1</v>
      </c>
      <c r="J54" s="8">
        <f t="shared" si="353"/>
        <v>1</v>
      </c>
      <c r="K54" s="8" t="str">
        <f t="shared" si="353"/>
        <v/>
      </c>
      <c r="L54" s="8" t="str">
        <f t="shared" si="353"/>
        <v/>
      </c>
      <c r="M54" s="8">
        <v>1</v>
      </c>
      <c r="N54" s="8"/>
      <c r="O54" s="9"/>
      <c r="P54" s="8">
        <f t="shared" si="354"/>
        <v>3</v>
      </c>
      <c r="Q54" s="108">
        <f t="shared" si="355"/>
        <v>7.1428571428571423</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S54" s="145"/>
      <c r="GU54" s="7"/>
      <c r="HD54" s="7"/>
      <c r="HK54" s="7"/>
      <c r="HR54" s="7"/>
      <c r="HY54" s="7"/>
      <c r="IF54" s="7"/>
      <c r="IM54" s="7"/>
      <c r="IT54" s="7"/>
      <c r="JA54" s="7"/>
      <c r="JH54" s="7"/>
      <c r="JO54" s="7"/>
      <c r="JV54" s="7"/>
      <c r="KC54" s="7"/>
      <c r="KJ54" s="7"/>
      <c r="KQ54" s="7"/>
      <c r="KX54" s="7"/>
      <c r="LE54" s="7"/>
      <c r="LL54" s="7"/>
      <c r="LS54" s="7"/>
      <c r="LZ54" s="7"/>
      <c r="MG54" s="7"/>
      <c r="MN54" s="7"/>
      <c r="MU54" s="7"/>
      <c r="NB54" s="7"/>
    </row>
    <row r="55" spans="1:366" x14ac:dyDescent="0.25">
      <c r="A55" s="8" t="s">
        <v>134</v>
      </c>
      <c r="B55" s="8" t="s">
        <v>133</v>
      </c>
      <c r="C55" s="8" t="s">
        <v>235</v>
      </c>
      <c r="D55" s="8" t="s">
        <v>87</v>
      </c>
      <c r="E55" s="18">
        <v>38979</v>
      </c>
      <c r="F55" s="10">
        <f t="shared" si="353"/>
        <v>1</v>
      </c>
      <c r="G55" s="19">
        <f t="shared" si="353"/>
        <v>1</v>
      </c>
      <c r="H55" s="19">
        <f t="shared" si="353"/>
        <v>1</v>
      </c>
      <c r="I55" s="8" t="str">
        <f t="shared" si="353"/>
        <v/>
      </c>
      <c r="J55" s="8" t="str">
        <f t="shared" si="353"/>
        <v/>
      </c>
      <c r="K55" s="8" t="str">
        <f t="shared" si="353"/>
        <v/>
      </c>
      <c r="L55" s="8" t="str">
        <f t="shared" si="353"/>
        <v/>
      </c>
      <c r="M55" s="8">
        <v>1</v>
      </c>
      <c r="N55" s="8">
        <v>1</v>
      </c>
      <c r="O55" s="9"/>
      <c r="P55" s="8">
        <f t="shared" si="354"/>
        <v>25</v>
      </c>
      <c r="Q55" s="108">
        <f t="shared" si="355"/>
        <v>59.523809523809526</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G55">
        <v>1</v>
      </c>
      <c r="GH55">
        <v>1</v>
      </c>
      <c r="GL55" s="7"/>
      <c r="GS55" s="145"/>
      <c r="GU55" s="7"/>
      <c r="HD55" s="7"/>
      <c r="HK55" s="7"/>
      <c r="HR55" s="7"/>
      <c r="HY55" s="7"/>
      <c r="IF55" s="7"/>
      <c r="IM55" s="7"/>
      <c r="IT55" s="7"/>
      <c r="JA55" s="7"/>
      <c r="JH55" s="7"/>
      <c r="JO55" s="7"/>
      <c r="JV55" s="7"/>
      <c r="KC55" s="7"/>
      <c r="KJ55" s="7"/>
      <c r="KQ55" s="7"/>
      <c r="KX55" s="7"/>
      <c r="LE55" s="7"/>
      <c r="LL55" s="7"/>
      <c r="LS55" s="7"/>
      <c r="LZ55" s="7"/>
      <c r="MG55" s="7"/>
      <c r="MN55" s="7"/>
      <c r="MU55" s="7"/>
      <c r="NB55" s="7"/>
    </row>
    <row r="56" spans="1:366" hidden="1" x14ac:dyDescent="0.25">
      <c r="A56" s="8" t="s">
        <v>86</v>
      </c>
      <c r="B56" s="8"/>
      <c r="C56" s="8" t="s">
        <v>85</v>
      </c>
      <c r="D56" s="8" t="s">
        <v>84</v>
      </c>
      <c r="E56" s="18">
        <v>39562</v>
      </c>
      <c r="F56" s="10">
        <f t="shared" si="353"/>
        <v>1</v>
      </c>
      <c r="G56" s="19">
        <f t="shared" si="353"/>
        <v>1</v>
      </c>
      <c r="H56" s="19">
        <f t="shared" si="353"/>
        <v>1</v>
      </c>
      <c r="I56" s="8">
        <f t="shared" si="353"/>
        <v>1</v>
      </c>
      <c r="J56" s="8">
        <f t="shared" si="353"/>
        <v>1</v>
      </c>
      <c r="K56" s="8" t="str">
        <f t="shared" si="353"/>
        <v/>
      </c>
      <c r="L56" s="8" t="str">
        <f t="shared" si="353"/>
        <v/>
      </c>
      <c r="M56" s="8">
        <v>1</v>
      </c>
      <c r="N56" s="8"/>
      <c r="O56" s="9"/>
      <c r="P56" s="8">
        <f t="shared" si="354"/>
        <v>5</v>
      </c>
      <c r="Q56" s="108">
        <f t="shared" si="355"/>
        <v>11.904761904761903</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478</v>
      </c>
      <c r="FK56" s="7"/>
      <c r="FT56" s="7"/>
      <c r="GC56" s="7"/>
      <c r="GL56" s="7"/>
      <c r="GS56" s="145"/>
      <c r="GU56" s="7"/>
      <c r="HD56" s="7"/>
      <c r="HK56" s="7"/>
      <c r="HR56" s="7"/>
      <c r="HY56" s="7"/>
      <c r="IF56" s="7"/>
      <c r="IM56" s="7"/>
      <c r="IT56" s="7"/>
      <c r="JA56" s="7"/>
      <c r="JH56" s="7"/>
      <c r="JO56" s="7"/>
      <c r="JV56" s="7"/>
      <c r="KC56" s="7"/>
      <c r="KJ56" s="7"/>
      <c r="KQ56" s="7"/>
      <c r="KX56" s="7"/>
      <c r="LE56" s="7"/>
      <c r="LL56" s="7"/>
      <c r="LS56" s="7"/>
      <c r="LZ56" s="7"/>
      <c r="MG56" s="7"/>
      <c r="MN56" s="7"/>
      <c r="MU56" s="7"/>
      <c r="NB56" s="7"/>
    </row>
    <row r="57" spans="1:366" x14ac:dyDescent="0.25">
      <c r="A57" s="8" t="s">
        <v>83</v>
      </c>
      <c r="B57" s="8"/>
      <c r="C57" s="8" t="s">
        <v>82</v>
      </c>
      <c r="D57" s="8" t="s">
        <v>81</v>
      </c>
      <c r="E57" s="18">
        <v>39475</v>
      </c>
      <c r="F57" s="10">
        <f t="shared" si="353"/>
        <v>1</v>
      </c>
      <c r="G57" s="19">
        <f t="shared" si="353"/>
        <v>1</v>
      </c>
      <c r="H57" s="19">
        <f t="shared" si="353"/>
        <v>1</v>
      </c>
      <c r="I57" s="8">
        <f t="shared" si="353"/>
        <v>1</v>
      </c>
      <c r="J57" s="8">
        <f t="shared" si="353"/>
        <v>1</v>
      </c>
      <c r="K57" s="8" t="str">
        <f t="shared" si="353"/>
        <v/>
      </c>
      <c r="L57" s="8" t="str">
        <f t="shared" si="353"/>
        <v/>
      </c>
      <c r="M57" s="8">
        <v>1</v>
      </c>
      <c r="N57" s="8">
        <v>1</v>
      </c>
      <c r="O57" s="9"/>
      <c r="P57" s="8">
        <f t="shared" si="354"/>
        <v>35</v>
      </c>
      <c r="Q57" s="108">
        <f t="shared" si="355"/>
        <v>83.333333333333343</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G57">
        <v>1</v>
      </c>
      <c r="GH57">
        <v>1</v>
      </c>
      <c r="GL57" s="7"/>
      <c r="GN57">
        <v>1</v>
      </c>
      <c r="GQ57">
        <v>1</v>
      </c>
      <c r="GS57" s="145">
        <v>1</v>
      </c>
      <c r="GU57" s="7"/>
      <c r="HD57" s="7"/>
      <c r="HK57" s="7"/>
      <c r="HR57" s="7"/>
      <c r="HY57" s="7"/>
      <c r="IF57" s="7"/>
      <c r="IM57" s="7"/>
      <c r="IT57" s="7"/>
      <c r="JA57" s="7"/>
      <c r="JH57" s="7"/>
      <c r="JO57" s="7"/>
      <c r="JV57" s="7"/>
      <c r="KC57" s="7"/>
      <c r="KJ57" s="7"/>
      <c r="KQ57" s="7"/>
      <c r="KX57" s="7"/>
      <c r="LE57" s="7"/>
      <c r="LL57" s="7"/>
      <c r="LS57" s="7"/>
      <c r="LZ57" s="7"/>
      <c r="MG57" s="7"/>
      <c r="MN57" s="7"/>
      <c r="MU57" s="7"/>
      <c r="NB57" s="7"/>
    </row>
    <row r="58" spans="1:366" x14ac:dyDescent="0.25">
      <c r="A58" s="8" t="s">
        <v>430</v>
      </c>
      <c r="B58" s="8"/>
      <c r="C58" s="8" t="s">
        <v>431</v>
      </c>
      <c r="D58" s="8" t="s">
        <v>603</v>
      </c>
      <c r="E58" s="18"/>
      <c r="F58" s="10"/>
      <c r="G58" s="19"/>
      <c r="H58" s="19"/>
      <c r="I58" s="8"/>
      <c r="J58" s="8"/>
      <c r="K58" s="8"/>
      <c r="L58" s="8"/>
      <c r="M58" s="8"/>
      <c r="N58" s="8"/>
      <c r="O58" s="9"/>
      <c r="P58" s="8">
        <f t="shared" ref="P58" si="356">IF(SUM(S58:NB58) &gt; 0, SUM(S58:NB58), "")</f>
        <v>7</v>
      </c>
      <c r="Q58" s="108">
        <f t="shared" si="355"/>
        <v>16.666666666666664</v>
      </c>
      <c r="R58" s="84"/>
      <c r="S58" s="7"/>
      <c r="Z58" s="7"/>
      <c r="AG58" s="7"/>
      <c r="AN58" s="7"/>
      <c r="AU58" s="7"/>
      <c r="BB58" s="7"/>
      <c r="BI58" s="7"/>
      <c r="BP58" s="7"/>
      <c r="BY58" s="7"/>
      <c r="CH58" s="7"/>
      <c r="CQ58" s="7"/>
      <c r="CZ58" s="7"/>
      <c r="DI58" s="7"/>
      <c r="DR58" s="7"/>
      <c r="EA58" s="7"/>
      <c r="EJ58" s="7"/>
      <c r="ES58" s="7"/>
      <c r="FB58" s="7"/>
      <c r="FK58" s="7"/>
      <c r="FT58" s="7"/>
      <c r="FV58">
        <v>1</v>
      </c>
      <c r="FX58">
        <v>1</v>
      </c>
      <c r="FY58">
        <v>1</v>
      </c>
      <c r="GC58" s="7"/>
      <c r="GE58">
        <v>1</v>
      </c>
      <c r="GH58">
        <v>1</v>
      </c>
      <c r="GL58" s="7"/>
      <c r="GQ58">
        <v>1</v>
      </c>
      <c r="GS58" s="145">
        <v>1</v>
      </c>
      <c r="GU58" s="7"/>
      <c r="HD58" s="7"/>
      <c r="HK58" s="7"/>
      <c r="HR58" s="7"/>
      <c r="HY58" s="7"/>
      <c r="IF58" s="7"/>
      <c r="IM58" s="7"/>
      <c r="IT58" s="7"/>
      <c r="JA58" s="7"/>
      <c r="JH58" s="7"/>
      <c r="JO58" s="7"/>
      <c r="JV58" s="7"/>
      <c r="KC58" s="7"/>
      <c r="KJ58" s="7"/>
      <c r="KQ58" s="7"/>
      <c r="KX58" s="7"/>
      <c r="LE58" s="7"/>
      <c r="LL58" s="7"/>
      <c r="LS58" s="7"/>
      <c r="LZ58" s="7"/>
      <c r="MG58" s="7"/>
      <c r="MN58" s="7"/>
      <c r="MU58" s="7"/>
      <c r="NB58" s="7"/>
    </row>
    <row r="59" spans="1:366" x14ac:dyDescent="0.25">
      <c r="A59" s="8" t="s">
        <v>80</v>
      </c>
      <c r="B59" s="8"/>
      <c r="C59" s="8" t="s">
        <v>79</v>
      </c>
      <c r="D59" s="8" t="s">
        <v>78</v>
      </c>
      <c r="E59" s="18">
        <v>39927</v>
      </c>
      <c r="F59" s="10">
        <f t="shared" si="353"/>
        <v>1</v>
      </c>
      <c r="G59" s="19">
        <f t="shared" si="353"/>
        <v>1</v>
      </c>
      <c r="H59" s="19">
        <f t="shared" si="353"/>
        <v>1</v>
      </c>
      <c r="I59" s="8">
        <f t="shared" si="353"/>
        <v>1</v>
      </c>
      <c r="J59" s="8">
        <f t="shared" si="353"/>
        <v>1</v>
      </c>
      <c r="K59" s="8">
        <f t="shared" si="353"/>
        <v>1</v>
      </c>
      <c r="L59" s="8" t="str">
        <f t="shared" si="353"/>
        <v/>
      </c>
      <c r="M59" s="8">
        <v>1</v>
      </c>
      <c r="N59" s="8"/>
      <c r="O59" s="9"/>
      <c r="P59" s="8">
        <f t="shared" si="354"/>
        <v>7</v>
      </c>
      <c r="Q59" s="108">
        <f t="shared" si="355"/>
        <v>16.666666666666664</v>
      </c>
      <c r="R59" s="84"/>
      <c r="S59" s="7"/>
      <c r="Z59" s="7"/>
      <c r="AG59" s="7"/>
      <c r="AI59">
        <v>1</v>
      </c>
      <c r="AK59">
        <v>1</v>
      </c>
      <c r="AN59" s="7"/>
      <c r="AP59">
        <v>1</v>
      </c>
      <c r="AU59" s="7"/>
      <c r="AW59">
        <v>1</v>
      </c>
      <c r="BB59" s="7"/>
      <c r="BI59" s="7"/>
      <c r="BP59" s="7"/>
      <c r="BY59" s="7"/>
      <c r="CH59" s="7"/>
      <c r="CQ59" s="7"/>
      <c r="CZ59" s="7"/>
      <c r="DI59" s="7"/>
      <c r="DR59" s="7"/>
      <c r="EA59" s="7"/>
      <c r="EJ59" s="7"/>
      <c r="ES59" s="7"/>
      <c r="EW59">
        <v>1</v>
      </c>
      <c r="FB59" s="7"/>
      <c r="FD59">
        <v>1</v>
      </c>
      <c r="FK59" s="7"/>
      <c r="FT59" s="7"/>
      <c r="GC59" s="7"/>
      <c r="GL59" s="7"/>
      <c r="GN59">
        <v>1</v>
      </c>
      <c r="GS59" s="145"/>
      <c r="GU59" s="7"/>
      <c r="HD59" s="7"/>
      <c r="HK59" s="7"/>
      <c r="HR59" s="7"/>
      <c r="HY59" s="7"/>
      <c r="IF59" s="7"/>
      <c r="IM59" s="7"/>
      <c r="IT59" s="7"/>
      <c r="JA59" s="7"/>
      <c r="JH59" s="7"/>
      <c r="JO59" s="7"/>
      <c r="JV59" s="7"/>
      <c r="KC59" s="7"/>
      <c r="KJ59" s="7"/>
      <c r="KQ59" s="7"/>
      <c r="KX59" s="7"/>
      <c r="LE59" s="7"/>
      <c r="LL59" s="7"/>
      <c r="LS59" s="7"/>
      <c r="LZ59" s="7"/>
      <c r="MG59" s="7"/>
      <c r="MN59" s="7"/>
      <c r="MU59" s="7"/>
      <c r="NB59" s="7"/>
    </row>
    <row r="60" spans="1:366" x14ac:dyDescent="0.25">
      <c r="A60" s="8" t="s">
        <v>77</v>
      </c>
      <c r="B60" s="8" t="s">
        <v>76</v>
      </c>
      <c r="C60" s="8" t="s">
        <v>75</v>
      </c>
      <c r="D60" s="8" t="s">
        <v>74</v>
      </c>
      <c r="E60" s="18">
        <v>40051</v>
      </c>
      <c r="F60" s="10">
        <f t="shared" ref="F60:L68" si="357">IF($E60 &gt;= F$44, 1, "")</f>
        <v>1</v>
      </c>
      <c r="G60" s="19">
        <f t="shared" si="357"/>
        <v>1</v>
      </c>
      <c r="H60" s="19">
        <f t="shared" si="357"/>
        <v>1</v>
      </c>
      <c r="I60" s="8">
        <f t="shared" si="357"/>
        <v>1</v>
      </c>
      <c r="J60" s="8">
        <f t="shared" si="357"/>
        <v>1</v>
      </c>
      <c r="K60" s="8">
        <f t="shared" si="357"/>
        <v>1</v>
      </c>
      <c r="L60" s="8" t="str">
        <f t="shared" si="357"/>
        <v/>
      </c>
      <c r="M60" s="8">
        <v>1</v>
      </c>
      <c r="N60" s="8"/>
      <c r="O60" s="9"/>
      <c r="P60" s="8">
        <f t="shared" si="354"/>
        <v>13</v>
      </c>
      <c r="Q60" s="108">
        <f t="shared" si="355"/>
        <v>30.952380952380953</v>
      </c>
      <c r="R60" s="84"/>
      <c r="S60" s="7"/>
      <c r="Z60" s="7"/>
      <c r="AG60" s="7"/>
      <c r="AI60">
        <v>1</v>
      </c>
      <c r="AN60" s="7"/>
      <c r="AP60">
        <v>1</v>
      </c>
      <c r="AU60" s="7"/>
      <c r="AW60">
        <v>1</v>
      </c>
      <c r="AX60">
        <v>1</v>
      </c>
      <c r="BB60" s="7"/>
      <c r="BD60">
        <v>1</v>
      </c>
      <c r="BI60" s="7"/>
      <c r="BK60">
        <v>1</v>
      </c>
      <c r="BN60">
        <v>1</v>
      </c>
      <c r="BP60" s="7"/>
      <c r="BY60" s="7"/>
      <c r="CH60" s="7"/>
      <c r="CQ60" s="7"/>
      <c r="CZ60" s="7"/>
      <c r="DI60" s="7"/>
      <c r="DR60" s="7"/>
      <c r="EA60" s="7"/>
      <c r="EJ60" s="7"/>
      <c r="ES60" s="7"/>
      <c r="EU60">
        <v>1</v>
      </c>
      <c r="EX60">
        <v>1</v>
      </c>
      <c r="FB60" s="7"/>
      <c r="FK60" s="7"/>
      <c r="FM60">
        <v>1</v>
      </c>
      <c r="FT60" s="7"/>
      <c r="FV60">
        <v>1</v>
      </c>
      <c r="GC60" s="7"/>
      <c r="GH60">
        <v>1</v>
      </c>
      <c r="GL60" s="7"/>
      <c r="GN60">
        <v>1</v>
      </c>
      <c r="GS60" s="145"/>
      <c r="GU60" s="7"/>
      <c r="HD60" s="7"/>
      <c r="HK60" s="7"/>
      <c r="HR60" s="7"/>
      <c r="HY60" s="7"/>
      <c r="IF60" s="7"/>
      <c r="IM60" s="7"/>
      <c r="IT60" s="7"/>
      <c r="JA60" s="7"/>
      <c r="JH60" s="7"/>
      <c r="JO60" s="7"/>
      <c r="JV60" s="7"/>
      <c r="KC60" s="7"/>
      <c r="KJ60" s="7"/>
      <c r="KQ60" s="7"/>
      <c r="KX60" s="7"/>
      <c r="LE60" s="7"/>
      <c r="LL60" s="7"/>
      <c r="LS60" s="7"/>
      <c r="LZ60" s="7"/>
      <c r="MG60" s="7"/>
      <c r="MN60" s="7"/>
      <c r="MU60" s="7"/>
      <c r="NB60" s="7"/>
    </row>
    <row r="61" spans="1:366" x14ac:dyDescent="0.25">
      <c r="A61" s="8" t="s">
        <v>73</v>
      </c>
      <c r="B61" s="8"/>
      <c r="C61" s="8" t="s">
        <v>27</v>
      </c>
      <c r="D61" s="8" t="s">
        <v>70</v>
      </c>
      <c r="E61" s="18">
        <v>40004</v>
      </c>
      <c r="F61" s="10">
        <f t="shared" si="357"/>
        <v>1</v>
      </c>
      <c r="G61" s="19">
        <f t="shared" si="357"/>
        <v>1</v>
      </c>
      <c r="H61" s="19">
        <f t="shared" si="357"/>
        <v>1</v>
      </c>
      <c r="I61" s="8">
        <f t="shared" si="357"/>
        <v>1</v>
      </c>
      <c r="J61" s="8">
        <f t="shared" si="357"/>
        <v>1</v>
      </c>
      <c r="K61" s="8">
        <f t="shared" si="357"/>
        <v>1</v>
      </c>
      <c r="L61" s="8" t="str">
        <f t="shared" si="357"/>
        <v/>
      </c>
      <c r="M61" s="8">
        <v>1</v>
      </c>
      <c r="N61" s="8"/>
      <c r="O61" s="9"/>
      <c r="P61" s="8">
        <f t="shared" si="354"/>
        <v>13</v>
      </c>
      <c r="Q61" s="108">
        <f t="shared" si="355"/>
        <v>30.952380952380953</v>
      </c>
      <c r="R61" s="84"/>
      <c r="S61" s="7"/>
      <c r="Z61" s="7"/>
      <c r="AG61" s="7"/>
      <c r="AI61">
        <v>1</v>
      </c>
      <c r="AN61" s="7"/>
      <c r="AP61">
        <v>1</v>
      </c>
      <c r="AR61">
        <v>1</v>
      </c>
      <c r="AU61" s="7"/>
      <c r="AW61">
        <v>1</v>
      </c>
      <c r="AY61">
        <v>1</v>
      </c>
      <c r="BB61" s="7"/>
      <c r="BD61">
        <v>1</v>
      </c>
      <c r="BI61" s="7"/>
      <c r="BK61">
        <v>1</v>
      </c>
      <c r="BM61">
        <v>1</v>
      </c>
      <c r="BP61" s="7"/>
      <c r="BY61" s="7"/>
      <c r="CH61" s="7"/>
      <c r="CQ61" s="7"/>
      <c r="CZ61" s="7"/>
      <c r="DI61" s="7"/>
      <c r="DR61" s="7"/>
      <c r="EA61" s="7"/>
      <c r="EJ61" s="7"/>
      <c r="ES61" s="7"/>
      <c r="FB61" s="7"/>
      <c r="FF61">
        <v>1</v>
      </c>
      <c r="FK61" s="7"/>
      <c r="FT61" s="7"/>
      <c r="FV61">
        <v>1</v>
      </c>
      <c r="FX61">
        <v>1</v>
      </c>
      <c r="GC61" s="7"/>
      <c r="GE61">
        <v>1</v>
      </c>
      <c r="GL61" s="7"/>
      <c r="GP61">
        <v>1</v>
      </c>
      <c r="GS61" s="145"/>
      <c r="GU61" s="7"/>
      <c r="HD61" s="7"/>
      <c r="HK61" s="7"/>
      <c r="HR61" s="7"/>
      <c r="HY61" s="7"/>
      <c r="IF61" s="7"/>
      <c r="IM61" s="7"/>
      <c r="IT61" s="7"/>
      <c r="JA61" s="7"/>
      <c r="JH61" s="7"/>
      <c r="JO61" s="7"/>
      <c r="JV61" s="7"/>
      <c r="KC61" s="7"/>
      <c r="KJ61" s="7"/>
      <c r="KQ61" s="7"/>
      <c r="KX61" s="7"/>
      <c r="LE61" s="7"/>
      <c r="LL61" s="7"/>
      <c r="LS61" s="7"/>
      <c r="LZ61" s="7"/>
      <c r="MG61" s="7"/>
      <c r="MN61" s="7"/>
      <c r="MU61" s="7"/>
      <c r="NB61" s="7"/>
    </row>
    <row r="62" spans="1:366" x14ac:dyDescent="0.25">
      <c r="A62" s="8" t="s">
        <v>72</v>
      </c>
      <c r="B62" s="8"/>
      <c r="C62" s="8" t="s">
        <v>71</v>
      </c>
      <c r="D62" s="8" t="s">
        <v>70</v>
      </c>
      <c r="E62" s="18">
        <v>40179</v>
      </c>
      <c r="F62" s="10">
        <f t="shared" si="357"/>
        <v>1</v>
      </c>
      <c r="G62" s="19">
        <f t="shared" si="357"/>
        <v>1</v>
      </c>
      <c r="H62" s="19">
        <f t="shared" si="357"/>
        <v>1</v>
      </c>
      <c r="I62" s="8">
        <f t="shared" si="357"/>
        <v>1</v>
      </c>
      <c r="J62" s="8">
        <f t="shared" si="357"/>
        <v>1</v>
      </c>
      <c r="K62" s="8">
        <f t="shared" si="357"/>
        <v>1</v>
      </c>
      <c r="L62" s="8">
        <f t="shared" si="357"/>
        <v>1</v>
      </c>
      <c r="M62" s="8"/>
      <c r="N62" s="8"/>
      <c r="O62" s="9"/>
      <c r="P62" s="8">
        <f t="shared" si="354"/>
        <v>7</v>
      </c>
      <c r="Q62" s="108">
        <f t="shared" si="355"/>
        <v>16.666666666666664</v>
      </c>
      <c r="R62" s="84"/>
      <c r="S62" s="7"/>
      <c r="Z62" s="7"/>
      <c r="AG62" s="7"/>
      <c r="AN62" s="7"/>
      <c r="AU62" s="7"/>
      <c r="BB62" s="7"/>
      <c r="BI62" s="7"/>
      <c r="BP62" s="7"/>
      <c r="BY62" s="7"/>
      <c r="CH62" s="7"/>
      <c r="CQ62" s="7"/>
      <c r="CZ62" s="7"/>
      <c r="DI62" s="7"/>
      <c r="DR62" s="7"/>
      <c r="EA62" s="7"/>
      <c r="EJ62" s="7"/>
      <c r="ES62" s="7"/>
      <c r="FB62" s="7"/>
      <c r="FD62">
        <v>1</v>
      </c>
      <c r="FF62">
        <v>1</v>
      </c>
      <c r="FK62" s="7"/>
      <c r="FO62">
        <v>1</v>
      </c>
      <c r="FT62" s="7"/>
      <c r="FV62">
        <v>1</v>
      </c>
      <c r="FX62">
        <v>1</v>
      </c>
      <c r="GC62" s="7"/>
      <c r="GG62">
        <v>1</v>
      </c>
      <c r="GL62" s="7"/>
      <c r="GP62">
        <v>1</v>
      </c>
      <c r="GS62" s="145"/>
      <c r="GU62" s="7"/>
      <c r="HD62" s="7"/>
      <c r="HK62" s="7"/>
      <c r="HR62" s="7"/>
      <c r="HY62" s="7"/>
      <c r="IF62" s="7"/>
      <c r="IM62" s="7"/>
      <c r="IT62" s="7"/>
      <c r="JA62" s="7"/>
      <c r="JH62" s="7"/>
      <c r="JO62" s="7"/>
      <c r="JV62" s="7"/>
      <c r="KC62" s="7"/>
      <c r="KJ62" s="7"/>
      <c r="KQ62" s="7"/>
      <c r="KX62" s="7"/>
      <c r="LE62" s="7"/>
      <c r="LL62" s="7"/>
      <c r="LS62" s="7"/>
      <c r="LZ62" s="7"/>
      <c r="MG62" s="7"/>
      <c r="MN62" s="7"/>
      <c r="MU62" s="7"/>
      <c r="NB62" s="7"/>
    </row>
    <row r="63" spans="1:366" hidden="1" x14ac:dyDescent="0.25">
      <c r="A63" s="8" t="s">
        <v>58</v>
      </c>
      <c r="B63" s="8"/>
      <c r="C63" s="8" t="s">
        <v>529</v>
      </c>
      <c r="D63" s="8" t="s">
        <v>525</v>
      </c>
      <c r="E63" s="18">
        <v>39448</v>
      </c>
      <c r="F63" s="10">
        <f t="shared" si="357"/>
        <v>1</v>
      </c>
      <c r="G63" s="19">
        <f t="shared" si="357"/>
        <v>1</v>
      </c>
      <c r="H63" s="19">
        <f t="shared" si="357"/>
        <v>1</v>
      </c>
      <c r="I63" s="8">
        <f t="shared" si="357"/>
        <v>1</v>
      </c>
      <c r="J63" s="8">
        <f t="shared" si="357"/>
        <v>1</v>
      </c>
      <c r="K63" s="8" t="str">
        <f t="shared" si="357"/>
        <v/>
      </c>
      <c r="L63" s="8" t="str">
        <f t="shared" si="357"/>
        <v/>
      </c>
      <c r="M63" s="8">
        <v>1</v>
      </c>
      <c r="N63" s="8"/>
      <c r="O63" s="9"/>
      <c r="P63" s="8">
        <f t="shared" si="354"/>
        <v>1</v>
      </c>
      <c r="Q63" s="108">
        <f t="shared" si="355"/>
        <v>2.3809523809523809</v>
      </c>
      <c r="R63" s="84"/>
      <c r="S63" s="7"/>
      <c r="Z63" s="7"/>
      <c r="AG63" s="7"/>
      <c r="AN63" s="7"/>
      <c r="AU63" s="7"/>
      <c r="BB63" s="7"/>
      <c r="BI63" s="7"/>
      <c r="BP63" s="7"/>
      <c r="BY63" s="7"/>
      <c r="CH63" s="7"/>
      <c r="CQ63" s="7"/>
      <c r="CZ63" s="7"/>
      <c r="DI63" s="7"/>
      <c r="DR63" s="7"/>
      <c r="EA63" s="7"/>
      <c r="EJ63" s="7"/>
      <c r="ES63" s="7"/>
      <c r="EU63">
        <v>1</v>
      </c>
      <c r="FB63" s="7"/>
      <c r="FK63" s="7"/>
      <c r="FT63" s="7"/>
      <c r="GC63" s="7"/>
      <c r="GL63" s="7"/>
      <c r="GS63" s="145"/>
      <c r="GU63" s="7"/>
      <c r="HD63" s="7"/>
      <c r="HK63" s="7"/>
      <c r="HR63" s="7"/>
      <c r="HY63" s="7"/>
      <c r="IF63" s="7"/>
      <c r="IM63" s="7"/>
      <c r="IT63" s="7"/>
      <c r="JA63" s="7"/>
      <c r="JH63" s="7"/>
      <c r="JO63" s="7"/>
      <c r="JV63" s="7"/>
      <c r="KC63" s="7"/>
      <c r="KJ63" s="7"/>
      <c r="KQ63" s="7"/>
      <c r="KX63" s="7"/>
      <c r="LE63" s="7"/>
      <c r="LL63" s="7"/>
      <c r="LS63" s="7"/>
      <c r="LZ63" s="7"/>
      <c r="MG63" s="7"/>
      <c r="MN63" s="7"/>
      <c r="MU63" s="7"/>
      <c r="NB63" s="7"/>
    </row>
    <row r="64" spans="1:366" hidden="1" x14ac:dyDescent="0.25">
      <c r="A64" s="8"/>
      <c r="B64" s="8"/>
      <c r="C64" s="8"/>
      <c r="D64" s="8"/>
      <c r="E64" s="18"/>
      <c r="F64" s="10" t="str">
        <f t="shared" si="357"/>
        <v/>
      </c>
      <c r="G64" s="19" t="str">
        <f t="shared" si="357"/>
        <v/>
      </c>
      <c r="H64" s="19" t="str">
        <f t="shared" si="357"/>
        <v/>
      </c>
      <c r="I64" s="8" t="str">
        <f t="shared" si="357"/>
        <v/>
      </c>
      <c r="J64" s="8" t="str">
        <f t="shared" si="357"/>
        <v/>
      </c>
      <c r="K64" s="8" t="str">
        <f t="shared" si="357"/>
        <v/>
      </c>
      <c r="L64" s="8" t="str">
        <f t="shared" si="357"/>
        <v/>
      </c>
      <c r="M64" s="8"/>
      <c r="N64" s="8"/>
      <c r="O64" s="9"/>
      <c r="P64" s="8" t="str">
        <f t="shared" si="354"/>
        <v/>
      </c>
      <c r="Q64" s="108" t="str">
        <f t="shared" si="355"/>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S64" s="145"/>
      <c r="GU64" s="7"/>
      <c r="HD64" s="7"/>
      <c r="HK64" s="7"/>
      <c r="HR64" s="7"/>
      <c r="HY64" s="7"/>
      <c r="IF64" s="7"/>
      <c r="IM64" s="7"/>
      <c r="IT64" s="7"/>
      <c r="JA64" s="7"/>
      <c r="JH64" s="7"/>
      <c r="JO64" s="7"/>
      <c r="JV64" s="7"/>
      <c r="KC64" s="7"/>
      <c r="KJ64" s="7"/>
      <c r="KQ64" s="7"/>
      <c r="KX64" s="7"/>
      <c r="LE64" s="7"/>
      <c r="LL64" s="7"/>
      <c r="LS64" s="7"/>
      <c r="LZ64" s="7"/>
      <c r="MG64" s="7"/>
      <c r="MN64" s="7"/>
      <c r="MU64" s="7"/>
      <c r="NB64" s="7"/>
    </row>
    <row r="65" spans="1:366" hidden="1" x14ac:dyDescent="0.25">
      <c r="A65" s="8"/>
      <c r="B65" s="8"/>
      <c r="C65" s="8"/>
      <c r="D65" s="8"/>
      <c r="E65" s="18"/>
      <c r="F65" s="10" t="str">
        <f t="shared" si="357"/>
        <v/>
      </c>
      <c r="G65" s="19" t="str">
        <f t="shared" si="357"/>
        <v/>
      </c>
      <c r="H65" s="19" t="str">
        <f t="shared" si="357"/>
        <v/>
      </c>
      <c r="I65" s="8" t="str">
        <f t="shared" si="357"/>
        <v/>
      </c>
      <c r="J65" s="8" t="str">
        <f t="shared" si="357"/>
        <v/>
      </c>
      <c r="K65" s="8" t="str">
        <f t="shared" si="357"/>
        <v/>
      </c>
      <c r="L65" s="8" t="str">
        <f t="shared" si="357"/>
        <v/>
      </c>
      <c r="M65" s="8"/>
      <c r="N65" s="8"/>
      <c r="O65" s="9"/>
      <c r="P65" s="8" t="str">
        <f t="shared" si="354"/>
        <v/>
      </c>
      <c r="Q65" s="108" t="str">
        <f t="shared" si="355"/>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S65" s="145"/>
      <c r="GU65" s="7"/>
      <c r="HD65" s="7"/>
      <c r="HK65" s="7"/>
      <c r="HR65" s="7"/>
      <c r="HY65" s="7"/>
      <c r="IF65" s="7"/>
      <c r="IM65" s="7"/>
      <c r="IT65" s="7"/>
      <c r="JA65" s="7"/>
      <c r="JH65" s="7"/>
      <c r="JO65" s="7"/>
      <c r="JV65" s="7"/>
      <c r="KC65" s="7"/>
      <c r="KJ65" s="7"/>
      <c r="KQ65" s="7"/>
      <c r="KX65" s="7"/>
      <c r="LE65" s="7"/>
      <c r="LL65" s="7"/>
      <c r="LS65" s="7"/>
      <c r="LZ65" s="7"/>
      <c r="MG65" s="7"/>
      <c r="MN65" s="7"/>
      <c r="MU65" s="7"/>
      <c r="NB65" s="7"/>
    </row>
    <row r="66" spans="1:366" hidden="1" x14ac:dyDescent="0.25">
      <c r="A66" s="8"/>
      <c r="B66" s="8"/>
      <c r="C66" s="8"/>
      <c r="D66" s="8"/>
      <c r="E66" s="18"/>
      <c r="F66" s="10" t="str">
        <f t="shared" si="357"/>
        <v/>
      </c>
      <c r="G66" s="19" t="str">
        <f t="shared" si="357"/>
        <v/>
      </c>
      <c r="H66" s="19" t="str">
        <f t="shared" si="357"/>
        <v/>
      </c>
      <c r="I66" s="8" t="str">
        <f t="shared" si="357"/>
        <v/>
      </c>
      <c r="J66" s="8" t="str">
        <f t="shared" si="357"/>
        <v/>
      </c>
      <c r="K66" s="8" t="str">
        <f t="shared" si="357"/>
        <v/>
      </c>
      <c r="L66" s="8" t="str">
        <f t="shared" si="357"/>
        <v/>
      </c>
      <c r="M66" s="8"/>
      <c r="N66" s="8"/>
      <c r="O66" s="9"/>
      <c r="P66" s="8" t="str">
        <f t="shared" si="354"/>
        <v/>
      </c>
      <c r="Q66" s="108" t="str">
        <f t="shared" si="355"/>
        <v/>
      </c>
      <c r="R66" s="84" t="str">
        <f>IF(SUM(S66:XFD66) &gt; 0, SUM(S66:XFD66) / $P$69 * 100, "")</f>
        <v/>
      </c>
      <c r="S66" s="7"/>
      <c r="Z66" s="7"/>
      <c r="AG66" s="7"/>
      <c r="AN66" s="7"/>
      <c r="AU66" s="7"/>
      <c r="BB66" s="7"/>
      <c r="BI66" s="7"/>
      <c r="BP66" s="7"/>
      <c r="BY66" s="7"/>
      <c r="CH66" s="7"/>
      <c r="CQ66" s="7"/>
      <c r="CZ66" s="7"/>
      <c r="DI66" s="7"/>
      <c r="DR66" s="7"/>
      <c r="EA66" s="7"/>
      <c r="EJ66" s="7"/>
      <c r="ES66" s="7"/>
      <c r="FB66" s="7"/>
      <c r="FK66" s="7"/>
      <c r="FT66" s="7"/>
      <c r="GC66" s="7"/>
      <c r="GL66" s="7"/>
      <c r="GS66" s="145"/>
      <c r="GU66" s="7"/>
      <c r="HD66" s="7"/>
      <c r="HK66" s="7"/>
      <c r="HR66" s="7"/>
      <c r="HY66" s="7"/>
      <c r="IF66" s="7"/>
      <c r="IM66" s="7"/>
      <c r="IT66" s="7"/>
      <c r="JA66" s="7"/>
      <c r="JH66" s="7"/>
      <c r="JO66" s="7"/>
      <c r="JV66" s="7"/>
      <c r="KC66" s="7"/>
      <c r="KJ66" s="7"/>
      <c r="KQ66" s="7"/>
      <c r="KX66" s="7"/>
      <c r="LE66" s="7"/>
      <c r="LL66" s="7"/>
      <c r="LS66" s="7"/>
      <c r="LZ66" s="7"/>
      <c r="MG66" s="7"/>
      <c r="MN66" s="7"/>
      <c r="MU66" s="7"/>
      <c r="NB66" s="7"/>
    </row>
    <row r="67" spans="1:366" x14ac:dyDescent="0.25">
      <c r="A67" s="8" t="s">
        <v>80</v>
      </c>
      <c r="B67" s="8"/>
      <c r="C67" s="8"/>
      <c r="D67" s="8" t="s">
        <v>558</v>
      </c>
      <c r="E67" s="144" t="s">
        <v>559</v>
      </c>
      <c r="F67" s="10"/>
      <c r="G67" s="19"/>
      <c r="H67" s="19"/>
      <c r="I67" s="8"/>
      <c r="J67" s="8"/>
      <c r="K67" s="8"/>
      <c r="L67" s="8"/>
      <c r="M67" s="8"/>
      <c r="N67" s="8"/>
      <c r="O67" s="9"/>
      <c r="P67" s="8">
        <f t="shared" si="354"/>
        <v>1</v>
      </c>
      <c r="Q67" s="108">
        <f t="shared" si="355"/>
        <v>2.3809523809523809</v>
      </c>
      <c r="R67" s="84"/>
      <c r="S67" s="7"/>
      <c r="Z67" s="7"/>
      <c r="AG67" s="7"/>
      <c r="AN67" s="7"/>
      <c r="AU67" s="7"/>
      <c r="BB67" s="7"/>
      <c r="BI67" s="7"/>
      <c r="BP67" s="7"/>
      <c r="BY67" s="7"/>
      <c r="CH67" s="7"/>
      <c r="CQ67" s="7"/>
      <c r="CZ67" s="7"/>
      <c r="DI67" s="7"/>
      <c r="DR67" s="7"/>
      <c r="EA67" s="7"/>
      <c r="EJ67" s="7"/>
      <c r="ES67" s="7"/>
      <c r="FB67" s="7"/>
      <c r="FK67" s="7"/>
      <c r="FP67">
        <v>1</v>
      </c>
      <c r="FT67" s="7"/>
      <c r="GC67" s="7"/>
      <c r="GL67" s="7"/>
      <c r="GS67" s="145"/>
      <c r="GU67" s="7"/>
      <c r="HD67" s="7"/>
      <c r="HK67" s="7"/>
      <c r="HR67" s="7"/>
      <c r="HY67" s="7"/>
      <c r="IF67" s="7"/>
      <c r="IM67" s="7"/>
      <c r="IT67" s="7"/>
      <c r="JA67" s="7"/>
      <c r="JH67" s="7"/>
      <c r="JO67" s="7"/>
      <c r="JV67" s="7"/>
      <c r="KC67" s="7"/>
      <c r="KJ67" s="7"/>
      <c r="KQ67" s="7"/>
      <c r="KX67" s="7"/>
      <c r="LE67" s="7"/>
      <c r="LL67" s="7"/>
      <c r="LS67" s="7"/>
      <c r="LZ67" s="7"/>
      <c r="MG67" s="7"/>
      <c r="MN67" s="7"/>
      <c r="MU67" s="7"/>
      <c r="NB67" s="7"/>
    </row>
    <row r="68" spans="1:366" ht="7.5" customHeight="1" x14ac:dyDescent="0.25">
      <c r="A68" s="8"/>
      <c r="B68" s="8"/>
      <c r="C68" s="8"/>
      <c r="D68" s="8"/>
      <c r="E68" s="18"/>
      <c r="F68" s="10" t="str">
        <f t="shared" si="357"/>
        <v/>
      </c>
      <c r="G68" s="19" t="str">
        <f t="shared" si="357"/>
        <v/>
      </c>
      <c r="H68" s="19" t="str">
        <f t="shared" si="357"/>
        <v/>
      </c>
      <c r="I68" s="19" t="str">
        <f t="shared" si="357"/>
        <v/>
      </c>
      <c r="J68" s="19" t="str">
        <f t="shared" si="357"/>
        <v/>
      </c>
      <c r="K68" s="19" t="str">
        <f t="shared" si="357"/>
        <v/>
      </c>
      <c r="L68" s="19" t="str">
        <f t="shared" si="357"/>
        <v/>
      </c>
      <c r="M68" s="8"/>
      <c r="N68" s="8"/>
      <c r="O68" s="9"/>
      <c r="P68" s="8" t="str">
        <f t="shared" si="354"/>
        <v/>
      </c>
      <c r="Q68" s="108" t="str">
        <f t="shared" si="355"/>
        <v/>
      </c>
      <c r="R68" s="84"/>
      <c r="S68" s="7"/>
      <c r="Z68" s="7"/>
      <c r="AG68" s="7"/>
      <c r="AN68" s="7"/>
      <c r="AU68" s="7"/>
      <c r="BB68" s="7"/>
      <c r="BI68" s="7"/>
      <c r="BP68" s="7"/>
      <c r="BY68" s="7"/>
      <c r="CH68" s="7"/>
      <c r="CQ68" s="7"/>
      <c r="CZ68" s="7"/>
      <c r="DI68" s="7"/>
      <c r="DR68" s="7"/>
      <c r="EA68" s="7"/>
      <c r="EJ68" s="7"/>
      <c r="ES68" s="7"/>
      <c r="FB68" s="7"/>
      <c r="FK68" s="7"/>
      <c r="FT68" s="7"/>
      <c r="GC68" s="7"/>
      <c r="GL68" s="7"/>
      <c r="GU68" s="7"/>
      <c r="HD68" s="7"/>
      <c r="HK68" s="7"/>
      <c r="HR68" s="7"/>
      <c r="HY68" s="7"/>
      <c r="IF68" s="7"/>
      <c r="IM68" s="7"/>
      <c r="IT68" s="7"/>
      <c r="JA68" s="7"/>
      <c r="JH68" s="7"/>
      <c r="JO68" s="7"/>
      <c r="JV68" s="7"/>
      <c r="KC68" s="7"/>
      <c r="KJ68" s="7"/>
      <c r="KQ68" s="7"/>
      <c r="KX68" s="7"/>
      <c r="LE68" s="7"/>
      <c r="LL68" s="7"/>
      <c r="LS68" s="7"/>
      <c r="LZ68" s="7"/>
      <c r="MG68" s="7"/>
      <c r="MN68" s="7"/>
      <c r="MU68" s="7"/>
      <c r="NB68" s="7"/>
    </row>
    <row r="69" spans="1:366" ht="15" customHeight="1" x14ac:dyDescent="0.25">
      <c r="A69" s="23" t="s">
        <v>18</v>
      </c>
      <c r="B69" s="20"/>
      <c r="C69" s="20"/>
      <c r="D69" s="20"/>
      <c r="E69" s="59"/>
      <c r="F69" s="20"/>
      <c r="G69" s="20"/>
      <c r="H69" s="20"/>
      <c r="I69" s="20"/>
      <c r="J69" s="20"/>
      <c r="K69" s="20"/>
      <c r="L69" s="20"/>
      <c r="M69" s="20"/>
      <c r="N69" s="20"/>
      <c r="O69" s="21"/>
      <c r="P69" s="3">
        <f>SUM(S69:NB69)</f>
        <v>42</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v>1</v>
      </c>
      <c r="GH69" s="20">
        <v>1</v>
      </c>
      <c r="GI69" s="20"/>
      <c r="GJ69" s="20"/>
      <c r="GK69" s="20"/>
      <c r="GL69" s="21"/>
      <c r="GM69" s="20"/>
      <c r="GN69" s="20">
        <v>1</v>
      </c>
      <c r="GO69" s="20"/>
      <c r="GP69" s="20">
        <v>1</v>
      </c>
      <c r="GQ69" s="20">
        <v>1</v>
      </c>
      <c r="GR69" s="20"/>
      <c r="GS69" s="20">
        <v>1</v>
      </c>
      <c r="GT69" s="20"/>
      <c r="GU69" s="21"/>
      <c r="GV69" s="20"/>
      <c r="GW69" s="20"/>
      <c r="GX69" s="20"/>
      <c r="GY69" s="20"/>
      <c r="GZ69" s="20"/>
      <c r="HA69" s="20"/>
      <c r="HB69" s="20"/>
      <c r="HC69" s="20"/>
      <c r="HD69" s="21"/>
      <c r="HE69" s="20"/>
      <c r="HF69" s="20"/>
      <c r="HG69" s="20"/>
      <c r="HH69" s="20"/>
      <c r="HI69" s="20"/>
      <c r="HJ69" s="20"/>
      <c r="HK69" s="21"/>
      <c r="HL69" s="20"/>
      <c r="HM69" s="20"/>
      <c r="HN69" s="20"/>
      <c r="HO69" s="20"/>
      <c r="HP69" s="20"/>
      <c r="HQ69" s="20"/>
      <c r="HR69" s="21"/>
      <c r="HS69" s="20"/>
      <c r="HT69" s="20"/>
      <c r="HU69" s="20"/>
      <c r="HV69" s="20"/>
      <c r="HW69" s="20"/>
      <c r="HX69" s="20"/>
      <c r="HY69" s="21"/>
      <c r="HZ69" s="20"/>
      <c r="IA69" s="20"/>
      <c r="IB69" s="20"/>
      <c r="IC69" s="20"/>
      <c r="ID69" s="20"/>
      <c r="IE69" s="20"/>
      <c r="IF69" s="21"/>
      <c r="IG69" s="20"/>
      <c r="IH69" s="20"/>
      <c r="II69" s="20"/>
      <c r="IJ69" s="20"/>
      <c r="IK69" s="20"/>
      <c r="IL69" s="20"/>
      <c r="IM69" s="21"/>
      <c r="IN69" s="20"/>
      <c r="IO69" s="20"/>
      <c r="IP69" s="20"/>
      <c r="IQ69" s="20"/>
      <c r="IR69" s="20"/>
      <c r="IS69" s="20"/>
      <c r="IT69" s="21"/>
      <c r="IU69" s="20"/>
      <c r="IV69" s="20"/>
      <c r="IW69" s="20"/>
      <c r="IX69" s="20"/>
      <c r="IY69" s="20"/>
      <c r="IZ69" s="20"/>
      <c r="JA69" s="21"/>
      <c r="JB69" s="20"/>
      <c r="JC69" s="20"/>
      <c r="JD69" s="20"/>
      <c r="JE69" s="20"/>
      <c r="JF69" s="20"/>
      <c r="JG69" s="20"/>
      <c r="JH69" s="21"/>
      <c r="JI69" s="20"/>
      <c r="JJ69" s="20"/>
      <c r="JK69" s="20"/>
      <c r="JL69" s="20"/>
      <c r="JM69" s="20"/>
      <c r="JN69" s="20"/>
      <c r="JO69" s="21"/>
      <c r="JP69" s="20"/>
      <c r="JQ69" s="20"/>
      <c r="JR69" s="20"/>
      <c r="JS69" s="20"/>
      <c r="JT69" s="20"/>
      <c r="JU69" s="20"/>
      <c r="JV69" s="21"/>
      <c r="JW69" s="20"/>
      <c r="JX69" s="20"/>
      <c r="JY69" s="20"/>
      <c r="JZ69" s="20"/>
      <c r="KA69" s="20"/>
      <c r="KB69" s="20"/>
      <c r="KC69" s="21"/>
      <c r="KD69" s="20"/>
      <c r="KE69" s="20"/>
      <c r="KF69" s="20"/>
      <c r="KG69" s="20"/>
      <c r="KH69" s="20"/>
      <c r="KI69" s="20"/>
      <c r="KJ69" s="21"/>
      <c r="KK69" s="20"/>
      <c r="KL69" s="20"/>
      <c r="KM69" s="20"/>
      <c r="KN69" s="20"/>
      <c r="KO69" s="20"/>
      <c r="KP69" s="20"/>
      <c r="KQ69" s="21"/>
      <c r="KR69" s="20"/>
      <c r="KS69" s="20"/>
      <c r="KT69" s="20"/>
      <c r="KU69" s="20"/>
      <c r="KV69" s="20"/>
      <c r="KW69" s="20"/>
      <c r="KX69" s="21"/>
      <c r="KY69" s="20"/>
      <c r="KZ69" s="20"/>
      <c r="LA69" s="20"/>
      <c r="LB69" s="20"/>
      <c r="LC69" s="20"/>
      <c r="LD69" s="20"/>
      <c r="LE69" s="21"/>
      <c r="LF69" s="20"/>
      <c r="LG69" s="20"/>
      <c r="LH69" s="20"/>
      <c r="LI69" s="20"/>
      <c r="LJ69" s="20"/>
      <c r="LK69" s="20"/>
      <c r="LL69" s="21"/>
      <c r="LM69" s="20"/>
      <c r="LN69" s="20"/>
      <c r="LO69" s="20"/>
      <c r="LP69" s="20"/>
      <c r="LQ69" s="20"/>
      <c r="LR69" s="20"/>
      <c r="LS69" s="21"/>
      <c r="LT69" s="20"/>
      <c r="LU69" s="20"/>
      <c r="LV69" s="20"/>
      <c r="LW69" s="20"/>
      <c r="LX69" s="20"/>
      <c r="LY69" s="20"/>
      <c r="LZ69" s="21"/>
      <c r="MA69" s="20"/>
      <c r="MB69" s="20"/>
      <c r="MC69" s="20"/>
      <c r="MD69" s="20"/>
      <c r="ME69" s="20"/>
      <c r="MF69" s="20"/>
      <c r="MG69" s="21"/>
      <c r="MH69" s="20"/>
      <c r="MI69" s="20"/>
      <c r="MJ69" s="20"/>
      <c r="MK69" s="20"/>
      <c r="ML69" s="20"/>
      <c r="MM69" s="20"/>
      <c r="MN69" s="21"/>
      <c r="MO69" s="20"/>
      <c r="MP69" s="20"/>
      <c r="MQ69" s="20"/>
      <c r="MR69" s="20"/>
      <c r="MS69" s="20"/>
      <c r="MT69" s="20"/>
      <c r="MU69" s="21"/>
      <c r="MV69" s="20"/>
      <c r="MW69" s="20"/>
      <c r="MX69" s="20"/>
      <c r="MY69" s="20"/>
      <c r="MZ69" s="20"/>
      <c r="NA69" s="20"/>
      <c r="NB69" s="21"/>
    </row>
    <row r="70" spans="1:366" ht="15" customHeight="1" x14ac:dyDescent="0.25">
      <c r="A70" s="122" t="s">
        <v>240</v>
      </c>
      <c r="B70" s="123"/>
      <c r="C70" s="123"/>
      <c r="D70" s="123"/>
      <c r="E70" s="59"/>
      <c r="F70" s="123"/>
      <c r="G70" s="123"/>
      <c r="H70" s="123"/>
      <c r="I70" s="123"/>
      <c r="J70" s="123"/>
      <c r="K70" s="123"/>
      <c r="L70" s="123"/>
      <c r="M70" s="123"/>
      <c r="N70" s="123"/>
      <c r="O70" s="61"/>
      <c r="P70" s="81">
        <f>VisibleSum(P45:P68)</f>
        <v>19</v>
      </c>
      <c r="Q70" s="112">
        <f>P70 / P69 * 100</f>
        <v>45.238095238095241</v>
      </c>
      <c r="R70" s="83"/>
      <c r="S70" s="61" t="str">
        <f t="shared" ref="S70:AX70" si="358">IF(SUM(S44:S68) &gt; 0, SUM(S44:S68), "")</f>
        <v/>
      </c>
      <c r="T70" s="123" t="str">
        <f t="shared" si="358"/>
        <v/>
      </c>
      <c r="U70" s="123" t="str">
        <f t="shared" si="358"/>
        <v/>
      </c>
      <c r="V70" s="123" t="str">
        <f t="shared" si="358"/>
        <v/>
      </c>
      <c r="W70" s="123" t="str">
        <f t="shared" si="358"/>
        <v/>
      </c>
      <c r="X70" s="123" t="str">
        <f t="shared" si="358"/>
        <v/>
      </c>
      <c r="Y70" s="123" t="str">
        <f t="shared" si="358"/>
        <v/>
      </c>
      <c r="Z70" s="61" t="str">
        <f t="shared" si="358"/>
        <v/>
      </c>
      <c r="AA70" s="123" t="str">
        <f t="shared" si="358"/>
        <v/>
      </c>
      <c r="AB70" s="123" t="str">
        <f t="shared" si="358"/>
        <v/>
      </c>
      <c r="AC70" s="123" t="str">
        <f t="shared" si="358"/>
        <v/>
      </c>
      <c r="AD70" s="123" t="str">
        <f t="shared" si="358"/>
        <v/>
      </c>
      <c r="AE70" s="123" t="str">
        <f t="shared" si="358"/>
        <v/>
      </c>
      <c r="AF70" s="123" t="str">
        <f t="shared" si="358"/>
        <v/>
      </c>
      <c r="AG70" s="61" t="str">
        <f t="shared" si="358"/>
        <v/>
      </c>
      <c r="AH70" s="123" t="str">
        <f t="shared" si="358"/>
        <v/>
      </c>
      <c r="AI70" s="123">
        <f t="shared" si="358"/>
        <v>11</v>
      </c>
      <c r="AJ70" s="123" t="str">
        <f t="shared" si="358"/>
        <v/>
      </c>
      <c r="AK70" s="123">
        <f t="shared" si="358"/>
        <v>7</v>
      </c>
      <c r="AL70" s="123" t="str">
        <f t="shared" si="358"/>
        <v/>
      </c>
      <c r="AM70" s="123" t="str">
        <f t="shared" si="358"/>
        <v/>
      </c>
      <c r="AN70" s="61" t="str">
        <f t="shared" si="358"/>
        <v/>
      </c>
      <c r="AO70" s="123" t="str">
        <f t="shared" si="358"/>
        <v/>
      </c>
      <c r="AP70" s="123">
        <f t="shared" si="358"/>
        <v>9</v>
      </c>
      <c r="AQ70" s="123" t="str">
        <f t="shared" si="358"/>
        <v/>
      </c>
      <c r="AR70" s="123">
        <f t="shared" si="358"/>
        <v>9</v>
      </c>
      <c r="AS70" s="123" t="str">
        <f t="shared" si="358"/>
        <v/>
      </c>
      <c r="AT70" s="123" t="str">
        <f t="shared" si="358"/>
        <v/>
      </c>
      <c r="AU70" s="61" t="str">
        <f t="shared" si="358"/>
        <v/>
      </c>
      <c r="AV70" s="123" t="str">
        <f t="shared" si="358"/>
        <v/>
      </c>
      <c r="AW70" s="123">
        <f t="shared" si="358"/>
        <v>9</v>
      </c>
      <c r="AX70" s="123">
        <f t="shared" si="358"/>
        <v>6</v>
      </c>
      <c r="AY70" s="123">
        <f t="shared" ref="AY70:BV70" si="359">IF(SUM(AY44:AY68) &gt; 0, SUM(AY44:AY68), "")</f>
        <v>7</v>
      </c>
      <c r="AZ70" s="123" t="str">
        <f t="shared" si="359"/>
        <v/>
      </c>
      <c r="BA70" s="123" t="str">
        <f t="shared" si="359"/>
        <v/>
      </c>
      <c r="BB70" s="61" t="str">
        <f t="shared" si="359"/>
        <v/>
      </c>
      <c r="BC70" s="123" t="str">
        <f t="shared" si="359"/>
        <v/>
      </c>
      <c r="BD70" s="123">
        <f t="shared" si="359"/>
        <v>8</v>
      </c>
      <c r="BE70" s="123" t="str">
        <f t="shared" si="359"/>
        <v/>
      </c>
      <c r="BF70" s="123">
        <f t="shared" si="359"/>
        <v>6</v>
      </c>
      <c r="BG70" s="123" t="str">
        <f t="shared" si="359"/>
        <v/>
      </c>
      <c r="BH70" s="123" t="str">
        <f t="shared" si="359"/>
        <v/>
      </c>
      <c r="BI70" s="61" t="str">
        <f t="shared" si="359"/>
        <v/>
      </c>
      <c r="BJ70" s="123" t="str">
        <f t="shared" si="359"/>
        <v/>
      </c>
      <c r="BK70" s="123">
        <f t="shared" si="359"/>
        <v>7</v>
      </c>
      <c r="BL70" s="123" t="str">
        <f t="shared" si="359"/>
        <v/>
      </c>
      <c r="BM70" s="123">
        <f t="shared" si="359"/>
        <v>10</v>
      </c>
      <c r="BN70" s="123">
        <f t="shared" si="359"/>
        <v>10</v>
      </c>
      <c r="BO70" s="123" t="str">
        <f t="shared" si="359"/>
        <v/>
      </c>
      <c r="BP70" s="61">
        <f t="shared" si="359"/>
        <v>4</v>
      </c>
      <c r="BQ70" s="123" t="str">
        <f t="shared" si="359"/>
        <v/>
      </c>
      <c r="BR70" s="123" t="str">
        <f t="shared" si="359"/>
        <v/>
      </c>
      <c r="BS70" s="123" t="str">
        <f t="shared" si="359"/>
        <v/>
      </c>
      <c r="BT70" s="123" t="str">
        <f t="shared" si="359"/>
        <v/>
      </c>
      <c r="BU70" s="123" t="str">
        <f t="shared" si="359"/>
        <v/>
      </c>
      <c r="BV70" s="123" t="str">
        <f t="shared" si="359"/>
        <v/>
      </c>
      <c r="BW70" s="123"/>
      <c r="BX70" s="123"/>
      <c r="BY70" s="61" t="str">
        <f t="shared" ref="BY70:CE70" si="360">IF(SUM(BY44:BY68) &gt; 0, SUM(BY44:BY68), "")</f>
        <v/>
      </c>
      <c r="BZ70" s="123" t="str">
        <f t="shared" si="360"/>
        <v/>
      </c>
      <c r="CA70" s="123" t="str">
        <f t="shared" si="360"/>
        <v/>
      </c>
      <c r="CB70" s="123" t="str">
        <f t="shared" si="360"/>
        <v/>
      </c>
      <c r="CC70" s="123" t="str">
        <f t="shared" si="360"/>
        <v/>
      </c>
      <c r="CD70" s="123" t="str">
        <f t="shared" si="360"/>
        <v/>
      </c>
      <c r="CE70" s="123" t="str">
        <f t="shared" si="360"/>
        <v/>
      </c>
      <c r="CF70" s="123"/>
      <c r="CG70" s="123"/>
      <c r="CH70" s="61" t="str">
        <f t="shared" ref="CH70:CO70" si="361">IF(SUM(CH44:CH68) &gt; 0, SUM(CH44:CH68), "")</f>
        <v/>
      </c>
      <c r="CI70" s="123" t="str">
        <f t="shared" si="361"/>
        <v/>
      </c>
      <c r="CJ70" s="123" t="str">
        <f t="shared" si="361"/>
        <v/>
      </c>
      <c r="CK70" s="123" t="str">
        <f t="shared" si="361"/>
        <v/>
      </c>
      <c r="CL70" s="123" t="str">
        <f t="shared" si="361"/>
        <v/>
      </c>
      <c r="CM70" s="123" t="str">
        <f t="shared" si="361"/>
        <v/>
      </c>
      <c r="CN70" s="123" t="str">
        <f t="shared" si="361"/>
        <v/>
      </c>
      <c r="CO70" s="123" t="str">
        <f t="shared" si="361"/>
        <v/>
      </c>
      <c r="CP70" s="123"/>
      <c r="CQ70" s="61" t="str">
        <f t="shared" ref="CQ70:CV70" si="362">IF(SUM(CQ44:CQ68) &gt; 0, SUM(CQ44:CQ68), "")</f>
        <v/>
      </c>
      <c r="CR70" s="123" t="str">
        <f t="shared" si="362"/>
        <v/>
      </c>
      <c r="CS70" s="123" t="str">
        <f t="shared" si="362"/>
        <v/>
      </c>
      <c r="CT70" s="123" t="str">
        <f t="shared" si="362"/>
        <v/>
      </c>
      <c r="CU70" s="123" t="str">
        <f t="shared" si="362"/>
        <v/>
      </c>
      <c r="CV70" s="123" t="str">
        <f t="shared" si="362"/>
        <v/>
      </c>
      <c r="CW70" s="123"/>
      <c r="CX70" s="123"/>
      <c r="CY70" s="123" t="str">
        <f t="shared" ref="CY70:DF70" si="363">IF(SUM(CY44:CY68) &gt; 0, SUM(CY44:CY68), "")</f>
        <v/>
      </c>
      <c r="CZ70" s="61" t="str">
        <f t="shared" si="363"/>
        <v/>
      </c>
      <c r="DA70" s="123" t="str">
        <f t="shared" si="363"/>
        <v/>
      </c>
      <c r="DB70" s="123" t="str">
        <f t="shared" si="363"/>
        <v/>
      </c>
      <c r="DC70" s="123" t="str">
        <f t="shared" si="363"/>
        <v/>
      </c>
      <c r="DD70" s="123" t="str">
        <f t="shared" si="363"/>
        <v/>
      </c>
      <c r="DE70" s="123" t="str">
        <f t="shared" si="363"/>
        <v/>
      </c>
      <c r="DF70" s="123" t="str">
        <f t="shared" si="363"/>
        <v/>
      </c>
      <c r="DG70" s="123"/>
      <c r="DH70" s="123"/>
      <c r="DI70" s="61" t="str">
        <f t="shared" ref="DI70:DO70" si="364">IF(SUM(DI44:DI68) &gt; 0, SUM(DI44:DI68), "")</f>
        <v/>
      </c>
      <c r="DJ70" s="123" t="str">
        <f t="shared" si="364"/>
        <v/>
      </c>
      <c r="DK70" s="123" t="str">
        <f t="shared" si="364"/>
        <v/>
      </c>
      <c r="DL70" s="123" t="str">
        <f t="shared" si="364"/>
        <v/>
      </c>
      <c r="DM70" s="123" t="str">
        <f t="shared" si="364"/>
        <v/>
      </c>
      <c r="DN70" s="123" t="str">
        <f t="shared" si="364"/>
        <v/>
      </c>
      <c r="DO70" s="123" t="str">
        <f t="shared" si="364"/>
        <v/>
      </c>
      <c r="DP70" s="123"/>
      <c r="DQ70" s="123"/>
      <c r="DR70" s="61" t="str">
        <f t="shared" ref="DR70:DW70" si="365">IF(SUM(DR44:DR68) &gt; 0, SUM(DR44:DR68), "")</f>
        <v/>
      </c>
      <c r="DS70" s="123" t="str">
        <f t="shared" si="365"/>
        <v/>
      </c>
      <c r="DT70" s="123">
        <f t="shared" si="365"/>
        <v>7</v>
      </c>
      <c r="DU70" s="123" t="str">
        <f t="shared" si="365"/>
        <v/>
      </c>
      <c r="DV70" s="123">
        <f t="shared" si="365"/>
        <v>5</v>
      </c>
      <c r="DW70" s="123">
        <f t="shared" si="365"/>
        <v>5</v>
      </c>
      <c r="DX70" s="123"/>
      <c r="DY70" s="123"/>
      <c r="DZ70" s="123" t="str">
        <f t="shared" ref="DZ70:EF70" si="366">IF(SUM(DZ44:DZ68) &gt; 0, SUM(DZ44:DZ68), "")</f>
        <v/>
      </c>
      <c r="EA70" s="61" t="str">
        <f t="shared" si="366"/>
        <v/>
      </c>
      <c r="EB70" s="123" t="str">
        <f t="shared" si="366"/>
        <v/>
      </c>
      <c r="EC70" s="123">
        <f t="shared" si="366"/>
        <v>6</v>
      </c>
      <c r="ED70" s="123" t="str">
        <f t="shared" si="366"/>
        <v/>
      </c>
      <c r="EE70" s="123">
        <f t="shared" si="366"/>
        <v>5</v>
      </c>
      <c r="EF70" s="123">
        <f t="shared" si="366"/>
        <v>4</v>
      </c>
      <c r="EG70" s="123"/>
      <c r="EH70" s="123"/>
      <c r="EI70" s="123" t="str">
        <f t="shared" ref="EI70:EP70" si="367">IF(SUM(EI44:EI68) &gt; 0, SUM(EI44:EI68), "")</f>
        <v/>
      </c>
      <c r="EJ70" s="61" t="str">
        <f t="shared" si="367"/>
        <v/>
      </c>
      <c r="EK70" s="123" t="str">
        <f t="shared" si="367"/>
        <v/>
      </c>
      <c r="EL70" s="123">
        <f t="shared" si="367"/>
        <v>6</v>
      </c>
      <c r="EM70" s="123" t="str">
        <f t="shared" si="367"/>
        <v/>
      </c>
      <c r="EN70" s="123">
        <f t="shared" si="367"/>
        <v>7</v>
      </c>
      <c r="EO70" s="123">
        <f t="shared" si="367"/>
        <v>5</v>
      </c>
      <c r="EP70" s="123" t="str">
        <f t="shared" si="367"/>
        <v/>
      </c>
      <c r="EQ70" s="123"/>
      <c r="ER70" s="123"/>
      <c r="ES70" s="61" t="str">
        <f t="shared" ref="ES70:EY70" si="368">IF(SUM(ES44:ES68) &gt; 0, SUM(ES44:ES68), "")</f>
        <v/>
      </c>
      <c r="ET70" s="123" t="str">
        <f t="shared" si="368"/>
        <v/>
      </c>
      <c r="EU70" s="123">
        <f t="shared" si="368"/>
        <v>9</v>
      </c>
      <c r="EV70" s="123" t="str">
        <f t="shared" si="368"/>
        <v/>
      </c>
      <c r="EW70" s="123">
        <f t="shared" si="368"/>
        <v>4</v>
      </c>
      <c r="EX70" s="123">
        <f t="shared" si="368"/>
        <v>5</v>
      </c>
      <c r="EY70" s="123" t="str">
        <f t="shared" si="368"/>
        <v/>
      </c>
      <c r="EZ70" s="123"/>
      <c r="FA70" s="123"/>
      <c r="FB70" s="61" t="str">
        <f t="shared" ref="FB70:FH70" si="369">IF(SUM(FB44:FB68) &gt; 0, SUM(FB44:FB68), "")</f>
        <v/>
      </c>
      <c r="FC70" s="123" t="str">
        <f t="shared" si="369"/>
        <v/>
      </c>
      <c r="FD70" s="123">
        <f t="shared" si="369"/>
        <v>8</v>
      </c>
      <c r="FE70" s="123" t="str">
        <f t="shared" si="369"/>
        <v/>
      </c>
      <c r="FF70" s="123">
        <f t="shared" si="369"/>
        <v>7</v>
      </c>
      <c r="FG70" s="123">
        <f t="shared" si="369"/>
        <v>5</v>
      </c>
      <c r="FH70" s="123" t="str">
        <f t="shared" si="369"/>
        <v/>
      </c>
      <c r="FI70" s="123"/>
      <c r="FJ70" s="123"/>
      <c r="FK70" s="61" t="str">
        <f t="shared" ref="FK70:FQ70" si="370">IF(SUM(FK44:FK68) &gt; 0, SUM(FK44:FK68), "")</f>
        <v/>
      </c>
      <c r="FL70" s="123" t="str">
        <f t="shared" si="370"/>
        <v/>
      </c>
      <c r="FM70" s="123">
        <f t="shared" si="370"/>
        <v>5</v>
      </c>
      <c r="FN70" s="123" t="str">
        <f t="shared" si="370"/>
        <v/>
      </c>
      <c r="FO70" s="123">
        <f t="shared" si="370"/>
        <v>6</v>
      </c>
      <c r="FP70" s="123">
        <f t="shared" si="370"/>
        <v>7</v>
      </c>
      <c r="FQ70" s="123" t="str">
        <f t="shared" si="370"/>
        <v/>
      </c>
      <c r="FR70" s="123"/>
      <c r="FS70" s="123"/>
      <c r="FT70" s="61" t="str">
        <f t="shared" ref="FT70:FZ70" si="371">IF(SUM(FT44:FT68) &gt; 0, SUM(FT44:FT68), "")</f>
        <v/>
      </c>
      <c r="FU70" s="123" t="str">
        <f t="shared" si="371"/>
        <v/>
      </c>
      <c r="FV70" s="123">
        <f t="shared" si="371"/>
        <v>8</v>
      </c>
      <c r="FW70" s="123" t="str">
        <f t="shared" si="371"/>
        <v/>
      </c>
      <c r="FX70" s="123">
        <f t="shared" si="371"/>
        <v>7</v>
      </c>
      <c r="FY70" s="123">
        <f t="shared" si="371"/>
        <v>5</v>
      </c>
      <c r="FZ70" s="123" t="str">
        <f t="shared" si="371"/>
        <v/>
      </c>
      <c r="GA70" s="123"/>
      <c r="GB70" s="123"/>
      <c r="GC70" s="61" t="str">
        <f t="shared" ref="GC70:GI70" si="372">IF(SUM(GC44:GC68) &gt; 0, SUM(GC44:GC68), "")</f>
        <v/>
      </c>
      <c r="GD70" s="123" t="str">
        <f t="shared" si="372"/>
        <v/>
      </c>
      <c r="GE70" s="123">
        <f t="shared" si="372"/>
        <v>4</v>
      </c>
      <c r="GF70" s="123" t="str">
        <f t="shared" si="372"/>
        <v/>
      </c>
      <c r="GG70" s="123">
        <f t="shared" si="372"/>
        <v>5</v>
      </c>
      <c r="GH70" s="123">
        <f t="shared" si="372"/>
        <v>7</v>
      </c>
      <c r="GI70" s="123" t="str">
        <f t="shared" si="372"/>
        <v/>
      </c>
      <c r="GJ70" s="123"/>
      <c r="GK70" s="123"/>
      <c r="GL70" s="61" t="str">
        <f t="shared" ref="GL70:GS70" si="373">IF(SUM(GL44:GL68) &gt; 0, SUM(GL44:GL68), "")</f>
        <v/>
      </c>
      <c r="GM70" s="123" t="str">
        <f t="shared" si="373"/>
        <v/>
      </c>
      <c r="GN70" s="123">
        <f t="shared" si="373"/>
        <v>5</v>
      </c>
      <c r="GO70" s="123" t="str">
        <f t="shared" si="373"/>
        <v/>
      </c>
      <c r="GP70" s="123">
        <f t="shared" si="373"/>
        <v>6</v>
      </c>
      <c r="GQ70" s="123">
        <f t="shared" si="373"/>
        <v>6</v>
      </c>
      <c r="GR70" s="123" t="str">
        <f t="shared" si="373"/>
        <v/>
      </c>
      <c r="GS70" s="123">
        <f t="shared" si="373"/>
        <v>6</v>
      </c>
      <c r="GT70" s="123"/>
      <c r="GU70" s="61" t="str">
        <f t="shared" ref="GU70:HA70" si="374">IF(SUM(GU44:GU68) &gt; 0, SUM(GU44:GU68), "")</f>
        <v/>
      </c>
      <c r="GV70" s="123" t="str">
        <f t="shared" si="374"/>
        <v/>
      </c>
      <c r="GW70" s="123" t="str">
        <f t="shared" si="374"/>
        <v/>
      </c>
      <c r="GX70" s="123" t="str">
        <f t="shared" si="374"/>
        <v/>
      </c>
      <c r="GY70" s="123" t="str">
        <f t="shared" si="374"/>
        <v/>
      </c>
      <c r="GZ70" s="123" t="str">
        <f t="shared" si="374"/>
        <v/>
      </c>
      <c r="HA70" s="123" t="str">
        <f t="shared" si="374"/>
        <v/>
      </c>
      <c r="HB70" s="123"/>
      <c r="HC70" s="123"/>
      <c r="HD70" s="61" t="str">
        <f t="shared" ref="HD70:II70" si="375">IF(SUM(HD44:HD68) &gt; 0, SUM(HD44:HD68), "")</f>
        <v/>
      </c>
      <c r="HE70" s="123" t="str">
        <f t="shared" si="375"/>
        <v/>
      </c>
      <c r="HF70" s="123" t="str">
        <f t="shared" si="375"/>
        <v/>
      </c>
      <c r="HG70" s="123" t="str">
        <f t="shared" si="375"/>
        <v/>
      </c>
      <c r="HH70" s="123" t="str">
        <f t="shared" si="375"/>
        <v/>
      </c>
      <c r="HI70" s="123" t="str">
        <f t="shared" si="375"/>
        <v/>
      </c>
      <c r="HJ70" s="123" t="str">
        <f t="shared" si="375"/>
        <v/>
      </c>
      <c r="HK70" s="61" t="str">
        <f t="shared" si="375"/>
        <v/>
      </c>
      <c r="HL70" s="123" t="str">
        <f t="shared" si="375"/>
        <v/>
      </c>
      <c r="HM70" s="123" t="str">
        <f t="shared" si="375"/>
        <v/>
      </c>
      <c r="HN70" s="123" t="str">
        <f t="shared" si="375"/>
        <v/>
      </c>
      <c r="HO70" s="123" t="str">
        <f t="shared" si="375"/>
        <v/>
      </c>
      <c r="HP70" s="123" t="str">
        <f t="shared" si="375"/>
        <v/>
      </c>
      <c r="HQ70" s="123" t="str">
        <f t="shared" si="375"/>
        <v/>
      </c>
      <c r="HR70" s="61" t="str">
        <f t="shared" si="375"/>
        <v/>
      </c>
      <c r="HS70" s="123" t="str">
        <f t="shared" si="375"/>
        <v/>
      </c>
      <c r="HT70" s="123" t="str">
        <f t="shared" si="375"/>
        <v/>
      </c>
      <c r="HU70" s="123" t="str">
        <f t="shared" si="375"/>
        <v/>
      </c>
      <c r="HV70" s="123" t="str">
        <f t="shared" si="375"/>
        <v/>
      </c>
      <c r="HW70" s="123" t="str">
        <f t="shared" si="375"/>
        <v/>
      </c>
      <c r="HX70" s="123" t="str">
        <f t="shared" si="375"/>
        <v/>
      </c>
      <c r="HY70" s="61" t="str">
        <f t="shared" si="375"/>
        <v/>
      </c>
      <c r="HZ70" s="123" t="str">
        <f t="shared" si="375"/>
        <v/>
      </c>
      <c r="IA70" s="123" t="str">
        <f t="shared" si="375"/>
        <v/>
      </c>
      <c r="IB70" s="123" t="str">
        <f t="shared" si="375"/>
        <v/>
      </c>
      <c r="IC70" s="123" t="str">
        <f t="shared" si="375"/>
        <v/>
      </c>
      <c r="ID70" s="123" t="str">
        <f t="shared" si="375"/>
        <v/>
      </c>
      <c r="IE70" s="123" t="str">
        <f t="shared" si="375"/>
        <v/>
      </c>
      <c r="IF70" s="61" t="str">
        <f t="shared" si="375"/>
        <v/>
      </c>
      <c r="IG70" s="123" t="str">
        <f t="shared" si="375"/>
        <v/>
      </c>
      <c r="IH70" s="123" t="str">
        <f t="shared" si="375"/>
        <v/>
      </c>
      <c r="II70" s="123" t="str">
        <f t="shared" si="375"/>
        <v/>
      </c>
      <c r="IJ70" s="123" t="str">
        <f t="shared" ref="IJ70:JO70" si="376">IF(SUM(IJ44:IJ68) &gt; 0, SUM(IJ44:IJ68), "")</f>
        <v/>
      </c>
      <c r="IK70" s="123" t="str">
        <f t="shared" si="376"/>
        <v/>
      </c>
      <c r="IL70" s="123" t="str">
        <f t="shared" si="376"/>
        <v/>
      </c>
      <c r="IM70" s="61" t="str">
        <f t="shared" si="376"/>
        <v/>
      </c>
      <c r="IN70" s="123" t="str">
        <f t="shared" si="376"/>
        <v/>
      </c>
      <c r="IO70" s="123" t="str">
        <f t="shared" si="376"/>
        <v/>
      </c>
      <c r="IP70" s="123" t="str">
        <f t="shared" si="376"/>
        <v/>
      </c>
      <c r="IQ70" s="123" t="str">
        <f t="shared" si="376"/>
        <v/>
      </c>
      <c r="IR70" s="123" t="str">
        <f t="shared" si="376"/>
        <v/>
      </c>
      <c r="IS70" s="123" t="str">
        <f t="shared" si="376"/>
        <v/>
      </c>
      <c r="IT70" s="61" t="str">
        <f t="shared" si="376"/>
        <v/>
      </c>
      <c r="IU70" s="123" t="str">
        <f t="shared" si="376"/>
        <v/>
      </c>
      <c r="IV70" s="123" t="str">
        <f t="shared" si="376"/>
        <v/>
      </c>
      <c r="IW70" s="123" t="str">
        <f t="shared" si="376"/>
        <v/>
      </c>
      <c r="IX70" s="123" t="str">
        <f t="shared" si="376"/>
        <v/>
      </c>
      <c r="IY70" s="123" t="str">
        <f t="shared" si="376"/>
        <v/>
      </c>
      <c r="IZ70" s="123" t="str">
        <f t="shared" si="376"/>
        <v/>
      </c>
      <c r="JA70" s="61" t="str">
        <f t="shared" si="376"/>
        <v/>
      </c>
      <c r="JB70" s="123" t="str">
        <f t="shared" si="376"/>
        <v/>
      </c>
      <c r="JC70" s="123" t="str">
        <f t="shared" si="376"/>
        <v/>
      </c>
      <c r="JD70" s="123" t="str">
        <f t="shared" si="376"/>
        <v/>
      </c>
      <c r="JE70" s="123" t="str">
        <f t="shared" si="376"/>
        <v/>
      </c>
      <c r="JF70" s="123" t="str">
        <f t="shared" si="376"/>
        <v/>
      </c>
      <c r="JG70" s="123" t="str">
        <f t="shared" si="376"/>
        <v/>
      </c>
      <c r="JH70" s="61" t="str">
        <f t="shared" si="376"/>
        <v/>
      </c>
      <c r="JI70" s="123" t="str">
        <f t="shared" si="376"/>
        <v/>
      </c>
      <c r="JJ70" s="123" t="str">
        <f t="shared" si="376"/>
        <v/>
      </c>
      <c r="JK70" s="123" t="str">
        <f t="shared" si="376"/>
        <v/>
      </c>
      <c r="JL70" s="123" t="str">
        <f t="shared" si="376"/>
        <v/>
      </c>
      <c r="JM70" s="123" t="str">
        <f t="shared" si="376"/>
        <v/>
      </c>
      <c r="JN70" s="123" t="str">
        <f t="shared" si="376"/>
        <v/>
      </c>
      <c r="JO70" s="61" t="str">
        <f t="shared" si="376"/>
        <v/>
      </c>
      <c r="JP70" s="123" t="str">
        <f t="shared" ref="JP70:KU70" si="377">IF(SUM(JP44:JP68) &gt; 0, SUM(JP44:JP68), "")</f>
        <v/>
      </c>
      <c r="JQ70" s="123" t="str">
        <f t="shared" si="377"/>
        <v/>
      </c>
      <c r="JR70" s="123" t="str">
        <f t="shared" si="377"/>
        <v/>
      </c>
      <c r="JS70" s="123" t="str">
        <f t="shared" si="377"/>
        <v/>
      </c>
      <c r="JT70" s="123" t="str">
        <f t="shared" si="377"/>
        <v/>
      </c>
      <c r="JU70" s="123" t="str">
        <f t="shared" si="377"/>
        <v/>
      </c>
      <c r="JV70" s="61" t="str">
        <f t="shared" si="377"/>
        <v/>
      </c>
      <c r="JW70" s="123" t="str">
        <f t="shared" si="377"/>
        <v/>
      </c>
      <c r="JX70" s="123" t="str">
        <f t="shared" si="377"/>
        <v/>
      </c>
      <c r="JY70" s="123" t="str">
        <f t="shared" si="377"/>
        <v/>
      </c>
      <c r="JZ70" s="123" t="str">
        <f t="shared" si="377"/>
        <v/>
      </c>
      <c r="KA70" s="123" t="str">
        <f t="shared" si="377"/>
        <v/>
      </c>
      <c r="KB70" s="123" t="str">
        <f t="shared" si="377"/>
        <v/>
      </c>
      <c r="KC70" s="61" t="str">
        <f t="shared" si="377"/>
        <v/>
      </c>
      <c r="KD70" s="123" t="str">
        <f t="shared" si="377"/>
        <v/>
      </c>
      <c r="KE70" s="123" t="str">
        <f t="shared" si="377"/>
        <v/>
      </c>
      <c r="KF70" s="123" t="str">
        <f t="shared" si="377"/>
        <v/>
      </c>
      <c r="KG70" s="123" t="str">
        <f t="shared" si="377"/>
        <v/>
      </c>
      <c r="KH70" s="123" t="str">
        <f t="shared" si="377"/>
        <v/>
      </c>
      <c r="KI70" s="123" t="str">
        <f t="shared" si="377"/>
        <v/>
      </c>
      <c r="KJ70" s="61" t="str">
        <f t="shared" si="377"/>
        <v/>
      </c>
      <c r="KK70" s="123" t="str">
        <f t="shared" si="377"/>
        <v/>
      </c>
      <c r="KL70" s="123" t="str">
        <f t="shared" si="377"/>
        <v/>
      </c>
      <c r="KM70" s="123" t="str">
        <f t="shared" si="377"/>
        <v/>
      </c>
      <c r="KN70" s="123" t="str">
        <f t="shared" si="377"/>
        <v/>
      </c>
      <c r="KO70" s="123" t="str">
        <f t="shared" si="377"/>
        <v/>
      </c>
      <c r="KP70" s="123" t="str">
        <f t="shared" si="377"/>
        <v/>
      </c>
      <c r="KQ70" s="61" t="str">
        <f t="shared" si="377"/>
        <v/>
      </c>
      <c r="KR70" s="123" t="str">
        <f t="shared" si="377"/>
        <v/>
      </c>
      <c r="KS70" s="123" t="str">
        <f t="shared" si="377"/>
        <v/>
      </c>
      <c r="KT70" s="123" t="str">
        <f t="shared" si="377"/>
        <v/>
      </c>
      <c r="KU70" s="123" t="str">
        <f t="shared" si="377"/>
        <v/>
      </c>
      <c r="KV70" s="123" t="str">
        <f t="shared" ref="KV70:MA70" si="378">IF(SUM(KV44:KV68) &gt; 0, SUM(KV44:KV68), "")</f>
        <v/>
      </c>
      <c r="KW70" s="123" t="str">
        <f t="shared" si="378"/>
        <v/>
      </c>
      <c r="KX70" s="61" t="str">
        <f t="shared" si="378"/>
        <v/>
      </c>
      <c r="KY70" s="123" t="str">
        <f t="shared" si="378"/>
        <v/>
      </c>
      <c r="KZ70" s="123" t="str">
        <f t="shared" si="378"/>
        <v/>
      </c>
      <c r="LA70" s="123" t="str">
        <f t="shared" si="378"/>
        <v/>
      </c>
      <c r="LB70" s="123" t="str">
        <f t="shared" si="378"/>
        <v/>
      </c>
      <c r="LC70" s="123" t="str">
        <f t="shared" si="378"/>
        <v/>
      </c>
      <c r="LD70" s="123" t="str">
        <f t="shared" si="378"/>
        <v/>
      </c>
      <c r="LE70" s="61" t="str">
        <f t="shared" si="378"/>
        <v/>
      </c>
      <c r="LF70" s="123" t="str">
        <f t="shared" si="378"/>
        <v/>
      </c>
      <c r="LG70" s="123" t="str">
        <f t="shared" si="378"/>
        <v/>
      </c>
      <c r="LH70" s="123" t="str">
        <f t="shared" si="378"/>
        <v/>
      </c>
      <c r="LI70" s="123" t="str">
        <f t="shared" si="378"/>
        <v/>
      </c>
      <c r="LJ70" s="123" t="str">
        <f t="shared" si="378"/>
        <v/>
      </c>
      <c r="LK70" s="123" t="str">
        <f t="shared" si="378"/>
        <v/>
      </c>
      <c r="LL70" s="61" t="str">
        <f t="shared" si="378"/>
        <v/>
      </c>
      <c r="LM70" s="123" t="str">
        <f t="shared" si="378"/>
        <v/>
      </c>
      <c r="LN70" s="123" t="str">
        <f t="shared" si="378"/>
        <v/>
      </c>
      <c r="LO70" s="123" t="str">
        <f t="shared" si="378"/>
        <v/>
      </c>
      <c r="LP70" s="123" t="str">
        <f t="shared" si="378"/>
        <v/>
      </c>
      <c r="LQ70" s="123" t="str">
        <f t="shared" si="378"/>
        <v/>
      </c>
      <c r="LR70" s="123" t="str">
        <f t="shared" si="378"/>
        <v/>
      </c>
      <c r="LS70" s="61" t="str">
        <f t="shared" si="378"/>
        <v/>
      </c>
      <c r="LT70" s="123" t="str">
        <f t="shared" si="378"/>
        <v/>
      </c>
      <c r="LU70" s="123" t="str">
        <f t="shared" si="378"/>
        <v/>
      </c>
      <c r="LV70" s="123" t="str">
        <f t="shared" si="378"/>
        <v/>
      </c>
      <c r="LW70" s="123" t="str">
        <f t="shared" si="378"/>
        <v/>
      </c>
      <c r="LX70" s="123" t="str">
        <f t="shared" si="378"/>
        <v/>
      </c>
      <c r="LY70" s="123" t="str">
        <f t="shared" si="378"/>
        <v/>
      </c>
      <c r="LZ70" s="61" t="str">
        <f t="shared" si="378"/>
        <v/>
      </c>
      <c r="MA70" s="123" t="str">
        <f t="shared" si="378"/>
        <v/>
      </c>
      <c r="MB70" s="123" t="str">
        <f t="shared" ref="MB70:NB70" si="379">IF(SUM(MB44:MB68) &gt; 0, SUM(MB44:MB68), "")</f>
        <v/>
      </c>
      <c r="MC70" s="123" t="str">
        <f t="shared" si="379"/>
        <v/>
      </c>
      <c r="MD70" s="123" t="str">
        <f t="shared" si="379"/>
        <v/>
      </c>
      <c r="ME70" s="123" t="str">
        <f t="shared" si="379"/>
        <v/>
      </c>
      <c r="MF70" s="123" t="str">
        <f t="shared" si="379"/>
        <v/>
      </c>
      <c r="MG70" s="61" t="str">
        <f t="shared" si="379"/>
        <v/>
      </c>
      <c r="MH70" s="123" t="str">
        <f t="shared" si="379"/>
        <v/>
      </c>
      <c r="MI70" s="123" t="str">
        <f t="shared" si="379"/>
        <v/>
      </c>
      <c r="MJ70" s="123" t="str">
        <f t="shared" si="379"/>
        <v/>
      </c>
      <c r="MK70" s="123" t="str">
        <f t="shared" si="379"/>
        <v/>
      </c>
      <c r="ML70" s="123" t="str">
        <f t="shared" si="379"/>
        <v/>
      </c>
      <c r="MM70" s="123" t="str">
        <f t="shared" si="379"/>
        <v/>
      </c>
      <c r="MN70" s="61" t="str">
        <f t="shared" si="379"/>
        <v/>
      </c>
      <c r="MO70" s="123" t="str">
        <f t="shared" si="379"/>
        <v/>
      </c>
      <c r="MP70" s="123" t="str">
        <f t="shared" si="379"/>
        <v/>
      </c>
      <c r="MQ70" s="123" t="str">
        <f t="shared" si="379"/>
        <v/>
      </c>
      <c r="MR70" s="123" t="str">
        <f t="shared" si="379"/>
        <v/>
      </c>
      <c r="MS70" s="123" t="str">
        <f t="shared" si="379"/>
        <v/>
      </c>
      <c r="MT70" s="123" t="str">
        <f t="shared" si="379"/>
        <v/>
      </c>
      <c r="MU70" s="61" t="str">
        <f t="shared" si="379"/>
        <v/>
      </c>
      <c r="MV70" s="123" t="str">
        <f t="shared" si="379"/>
        <v/>
      </c>
      <c r="MW70" s="123" t="str">
        <f t="shared" si="379"/>
        <v/>
      </c>
      <c r="MX70" s="123" t="str">
        <f t="shared" si="379"/>
        <v/>
      </c>
      <c r="MY70" s="123" t="str">
        <f t="shared" si="379"/>
        <v/>
      </c>
      <c r="MZ70" s="123" t="str">
        <f t="shared" si="379"/>
        <v/>
      </c>
      <c r="NA70" s="123" t="str">
        <f t="shared" si="379"/>
        <v/>
      </c>
      <c r="NB70" s="61" t="str">
        <f t="shared" si="379"/>
        <v/>
      </c>
    </row>
    <row r="71" spans="1:366" ht="72.75" hidden="1" customHeight="1" x14ac:dyDescent="0.25">
      <c r="A71" s="117"/>
      <c r="B71" s="113"/>
      <c r="C71" s="113"/>
      <c r="D71" s="113"/>
      <c r="E71" s="118"/>
      <c r="F71" s="113"/>
      <c r="G71" s="113"/>
      <c r="H71" s="113"/>
      <c r="I71" s="113"/>
      <c r="J71" s="113"/>
      <c r="K71" s="113"/>
      <c r="L71" s="113"/>
      <c r="M71" s="113"/>
      <c r="N71" s="113"/>
      <c r="O71" s="113"/>
      <c r="P71" s="119" t="s">
        <v>408</v>
      </c>
      <c r="Q71" s="120" t="s">
        <v>408</v>
      </c>
      <c r="R71" s="121"/>
      <c r="S71" s="49">
        <f t="shared" ref="S71:AX71" si="380">S1</f>
        <v>43975</v>
      </c>
      <c r="T71" s="49">
        <f t="shared" si="380"/>
        <v>43976</v>
      </c>
      <c r="U71" s="49">
        <f t="shared" si="380"/>
        <v>43977</v>
      </c>
      <c r="V71" s="49">
        <f t="shared" si="380"/>
        <v>43978</v>
      </c>
      <c r="W71" s="49">
        <f t="shared" si="380"/>
        <v>43979</v>
      </c>
      <c r="X71" s="49">
        <f t="shared" si="380"/>
        <v>43980</v>
      </c>
      <c r="Y71" s="49">
        <f t="shared" si="380"/>
        <v>43981</v>
      </c>
      <c r="Z71" s="49">
        <f t="shared" si="380"/>
        <v>43982</v>
      </c>
      <c r="AA71" s="49">
        <f t="shared" si="380"/>
        <v>43983</v>
      </c>
      <c r="AB71" s="49">
        <f t="shared" si="380"/>
        <v>43984</v>
      </c>
      <c r="AC71" s="49">
        <f t="shared" si="380"/>
        <v>43985</v>
      </c>
      <c r="AD71" s="49">
        <f t="shared" si="380"/>
        <v>43986</v>
      </c>
      <c r="AE71" s="49">
        <f t="shared" si="380"/>
        <v>43987</v>
      </c>
      <c r="AF71" s="49">
        <f t="shared" si="380"/>
        <v>43988</v>
      </c>
      <c r="AG71" s="49">
        <f t="shared" si="380"/>
        <v>43989</v>
      </c>
      <c r="AH71" s="49">
        <f t="shared" si="380"/>
        <v>43990</v>
      </c>
      <c r="AI71" s="49">
        <f t="shared" si="380"/>
        <v>43991</v>
      </c>
      <c r="AJ71" s="49">
        <f t="shared" si="380"/>
        <v>43992</v>
      </c>
      <c r="AK71" s="49">
        <f t="shared" si="380"/>
        <v>43993</v>
      </c>
      <c r="AL71" s="49">
        <f t="shared" si="380"/>
        <v>43994</v>
      </c>
      <c r="AM71" s="49">
        <f t="shared" si="380"/>
        <v>43995</v>
      </c>
      <c r="AN71" s="49">
        <f t="shared" si="380"/>
        <v>43996</v>
      </c>
      <c r="AO71" s="49">
        <f t="shared" si="380"/>
        <v>43997</v>
      </c>
      <c r="AP71" s="49">
        <f t="shared" si="380"/>
        <v>43998</v>
      </c>
      <c r="AQ71" s="49">
        <f t="shared" si="380"/>
        <v>43999</v>
      </c>
      <c r="AR71" s="49">
        <f t="shared" si="380"/>
        <v>44000</v>
      </c>
      <c r="AS71" s="49">
        <f t="shared" si="380"/>
        <v>44001</v>
      </c>
      <c r="AT71" s="49">
        <f t="shared" si="380"/>
        <v>44002</v>
      </c>
      <c r="AU71" s="49">
        <f t="shared" si="380"/>
        <v>44003</v>
      </c>
      <c r="AV71" s="49">
        <f t="shared" si="380"/>
        <v>44004</v>
      </c>
      <c r="AW71" s="49">
        <f t="shared" si="380"/>
        <v>44005</v>
      </c>
      <c r="AX71" s="49">
        <f t="shared" si="380"/>
        <v>44006</v>
      </c>
      <c r="AY71" s="49">
        <f t="shared" ref="AY71:BW71" si="381">AY1</f>
        <v>44007</v>
      </c>
      <c r="AZ71" s="49">
        <f t="shared" si="381"/>
        <v>44008</v>
      </c>
      <c r="BA71" s="49">
        <f t="shared" si="381"/>
        <v>44009</v>
      </c>
      <c r="BB71" s="49">
        <f t="shared" si="381"/>
        <v>44010</v>
      </c>
      <c r="BC71" s="49">
        <f t="shared" si="381"/>
        <v>44011</v>
      </c>
      <c r="BD71" s="49">
        <f t="shared" si="381"/>
        <v>44012</v>
      </c>
      <c r="BE71" s="49">
        <f t="shared" si="381"/>
        <v>44013</v>
      </c>
      <c r="BF71" s="49">
        <f t="shared" si="381"/>
        <v>44014</v>
      </c>
      <c r="BG71" s="49">
        <f t="shared" si="381"/>
        <v>44015</v>
      </c>
      <c r="BH71" s="49">
        <f t="shared" si="381"/>
        <v>44016</v>
      </c>
      <c r="BI71" s="49">
        <f t="shared" si="381"/>
        <v>44017</v>
      </c>
      <c r="BJ71" s="49">
        <f t="shared" si="381"/>
        <v>44018</v>
      </c>
      <c r="BK71" s="49">
        <f t="shared" si="381"/>
        <v>44019</v>
      </c>
      <c r="BL71" s="49">
        <f t="shared" si="381"/>
        <v>44020</v>
      </c>
      <c r="BM71" s="49">
        <f t="shared" si="381"/>
        <v>44021</v>
      </c>
      <c r="BN71" s="49">
        <f t="shared" si="381"/>
        <v>44022</v>
      </c>
      <c r="BO71" s="49">
        <f t="shared" si="381"/>
        <v>44023</v>
      </c>
      <c r="BP71" s="49">
        <f t="shared" si="381"/>
        <v>44024</v>
      </c>
      <c r="BQ71" s="49">
        <f t="shared" si="381"/>
        <v>44025</v>
      </c>
      <c r="BR71" s="49">
        <f t="shared" si="381"/>
        <v>44026</v>
      </c>
      <c r="BS71" s="49">
        <f t="shared" si="381"/>
        <v>44027</v>
      </c>
      <c r="BT71" s="49">
        <f t="shared" si="381"/>
        <v>44028</v>
      </c>
      <c r="BU71" s="49">
        <f t="shared" si="381"/>
        <v>44029</v>
      </c>
      <c r="BV71" s="49">
        <f t="shared" si="381"/>
        <v>44030</v>
      </c>
      <c r="BW71" s="49">
        <f t="shared" si="381"/>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82">DS1</f>
        <v>44067</v>
      </c>
      <c r="DT71" s="49">
        <f t="shared" si="382"/>
        <v>44068</v>
      </c>
      <c r="DU71" s="49">
        <f t="shared" si="382"/>
        <v>44069</v>
      </c>
      <c r="DV71" s="49">
        <f t="shared" si="382"/>
        <v>44070</v>
      </c>
      <c r="DW71" s="49">
        <f t="shared" si="382"/>
        <v>44071</v>
      </c>
      <c r="DX71" s="49">
        <f t="shared" si="382"/>
        <v>44072</v>
      </c>
      <c r="DY71" s="49">
        <f t="shared" si="382"/>
        <v>44073</v>
      </c>
      <c r="DZ71" s="49"/>
      <c r="EA71" s="49"/>
      <c r="EB71" s="49">
        <f t="shared" ref="EB71:EH71" si="383">EB1</f>
        <v>44074</v>
      </c>
      <c r="EC71" s="49">
        <f t="shared" si="383"/>
        <v>44075</v>
      </c>
      <c r="ED71" s="49">
        <f t="shared" si="383"/>
        <v>44076</v>
      </c>
      <c r="EE71" s="49">
        <f t="shared" si="383"/>
        <v>44077</v>
      </c>
      <c r="EF71" s="49">
        <f t="shared" si="383"/>
        <v>44078</v>
      </c>
      <c r="EG71" s="49">
        <f t="shared" si="383"/>
        <v>44079</v>
      </c>
      <c r="EH71" s="49">
        <f t="shared" si="383"/>
        <v>44080</v>
      </c>
      <c r="EI71" s="49"/>
      <c r="EJ71" s="49"/>
      <c r="EK71" s="49">
        <f t="shared" ref="EK71:EQ71" si="384">EK1</f>
        <v>44081</v>
      </c>
      <c r="EL71" s="49">
        <f t="shared" si="384"/>
        <v>44082</v>
      </c>
      <c r="EM71" s="49">
        <f t="shared" si="384"/>
        <v>44083</v>
      </c>
      <c r="EN71" s="49">
        <f t="shared" si="384"/>
        <v>44084</v>
      </c>
      <c r="EO71" s="49">
        <f t="shared" si="384"/>
        <v>44085</v>
      </c>
      <c r="EP71" s="49">
        <f t="shared" si="384"/>
        <v>44086</v>
      </c>
      <c r="EQ71" s="49">
        <f t="shared" si="384"/>
        <v>44087</v>
      </c>
      <c r="ER71" s="49"/>
      <c r="ES71" s="49"/>
      <c r="ET71" s="49">
        <f t="shared" ref="ET71:EZ71" si="385">ET1</f>
        <v>44088</v>
      </c>
      <c r="EU71" s="49">
        <f t="shared" si="385"/>
        <v>44089</v>
      </c>
      <c r="EV71" s="49">
        <f t="shared" si="385"/>
        <v>44090</v>
      </c>
      <c r="EW71" s="49">
        <f t="shared" si="385"/>
        <v>44091</v>
      </c>
      <c r="EX71" s="49">
        <f t="shared" si="385"/>
        <v>44092</v>
      </c>
      <c r="EY71" s="49">
        <f t="shared" si="385"/>
        <v>44093</v>
      </c>
      <c r="EZ71" s="49">
        <f t="shared" si="385"/>
        <v>44094</v>
      </c>
      <c r="FA71" s="49"/>
      <c r="FB71" s="49"/>
      <c r="FC71" s="49">
        <f t="shared" ref="FC71:FI71" si="386">FC1</f>
        <v>44095</v>
      </c>
      <c r="FD71" s="49">
        <f t="shared" si="386"/>
        <v>44096</v>
      </c>
      <c r="FE71" s="49">
        <f t="shared" si="386"/>
        <v>44097</v>
      </c>
      <c r="FF71" s="49">
        <f t="shared" si="386"/>
        <v>44098</v>
      </c>
      <c r="FG71" s="49">
        <f t="shared" si="386"/>
        <v>44099</v>
      </c>
      <c r="FH71" s="49">
        <f t="shared" si="386"/>
        <v>44100</v>
      </c>
      <c r="FI71" s="49">
        <f t="shared" si="386"/>
        <v>44101</v>
      </c>
      <c r="FJ71" s="49"/>
      <c r="FK71" s="49"/>
      <c r="FL71" s="49">
        <f t="shared" ref="FL71:FR71" si="387">FL1</f>
        <v>44102</v>
      </c>
      <c r="FM71" s="49">
        <f t="shared" si="387"/>
        <v>44103</v>
      </c>
      <c r="FN71" s="49">
        <f t="shared" si="387"/>
        <v>44104</v>
      </c>
      <c r="FO71" s="49">
        <f t="shared" si="387"/>
        <v>44105</v>
      </c>
      <c r="FP71" s="49">
        <f t="shared" si="387"/>
        <v>44106</v>
      </c>
      <c r="FQ71" s="49">
        <f t="shared" si="387"/>
        <v>44107</v>
      </c>
      <c r="FR71" s="49">
        <f t="shared" si="387"/>
        <v>44108</v>
      </c>
      <c r="FS71" s="49"/>
      <c r="FT71" s="49"/>
      <c r="FU71" s="49">
        <f t="shared" ref="FU71:GA71" si="388">FU1</f>
        <v>44109</v>
      </c>
      <c r="FV71" s="49">
        <f t="shared" si="388"/>
        <v>44110</v>
      </c>
      <c r="FW71" s="49">
        <f t="shared" si="388"/>
        <v>44111</v>
      </c>
      <c r="FX71" s="49">
        <f t="shared" si="388"/>
        <v>44112</v>
      </c>
      <c r="FY71" s="49">
        <f t="shared" si="388"/>
        <v>44113</v>
      </c>
      <c r="FZ71" s="49">
        <f t="shared" si="388"/>
        <v>44114</v>
      </c>
      <c r="GA71" s="49">
        <f t="shared" si="388"/>
        <v>44115</v>
      </c>
      <c r="GB71" s="49"/>
      <c r="GC71" s="49"/>
      <c r="GD71" s="49">
        <f t="shared" ref="GD71:GJ71" si="389">GD1</f>
        <v>44116</v>
      </c>
      <c r="GE71" s="49">
        <f t="shared" si="389"/>
        <v>44117</v>
      </c>
      <c r="GF71" s="49">
        <f t="shared" si="389"/>
        <v>44118</v>
      </c>
      <c r="GG71" s="49">
        <f t="shared" si="389"/>
        <v>44119</v>
      </c>
      <c r="GH71" s="49">
        <f t="shared" si="389"/>
        <v>44120</v>
      </c>
      <c r="GI71" s="49">
        <f t="shared" si="389"/>
        <v>44121</v>
      </c>
      <c r="GJ71" s="49">
        <f t="shared" si="389"/>
        <v>44122</v>
      </c>
      <c r="GK71" s="49"/>
      <c r="GL71" s="49"/>
      <c r="GM71" s="49">
        <f t="shared" ref="GM71:GS71" si="390">GM1</f>
        <v>44123</v>
      </c>
      <c r="GN71" s="49">
        <f t="shared" si="390"/>
        <v>44124</v>
      </c>
      <c r="GO71" s="49">
        <f t="shared" si="390"/>
        <v>44125</v>
      </c>
      <c r="GP71" s="49">
        <f t="shared" si="390"/>
        <v>44126</v>
      </c>
      <c r="GQ71" s="49">
        <f t="shared" si="390"/>
        <v>44127</v>
      </c>
      <c r="GR71" s="49">
        <f t="shared" si="390"/>
        <v>44128</v>
      </c>
      <c r="GS71" s="49">
        <f t="shared" si="390"/>
        <v>44129</v>
      </c>
      <c r="GT71" s="49"/>
      <c r="GU71" s="49"/>
      <c r="GV71" s="49">
        <f t="shared" ref="GV71:HB71" si="391">GV1</f>
        <v>44130</v>
      </c>
      <c r="GW71" s="49">
        <f t="shared" si="391"/>
        <v>44131</v>
      </c>
      <c r="GX71" s="49">
        <f t="shared" si="391"/>
        <v>44132</v>
      </c>
      <c r="GY71" s="49">
        <f t="shared" si="391"/>
        <v>44133</v>
      </c>
      <c r="GZ71" s="49">
        <f t="shared" si="391"/>
        <v>44134</v>
      </c>
      <c r="HA71" s="49">
        <f t="shared" si="391"/>
        <v>44135</v>
      </c>
      <c r="HB71" s="49">
        <f t="shared" si="391"/>
        <v>44136</v>
      </c>
      <c r="HC71" s="49"/>
      <c r="HD71" s="49"/>
      <c r="HE71" s="49">
        <f t="shared" ref="HE71:IJ71" si="392">HE1</f>
        <v>44137</v>
      </c>
      <c r="HF71" s="49">
        <f t="shared" si="392"/>
        <v>44138</v>
      </c>
      <c r="HG71" s="49">
        <f t="shared" si="392"/>
        <v>44139</v>
      </c>
      <c r="HH71" s="49">
        <f t="shared" si="392"/>
        <v>44140</v>
      </c>
      <c r="HI71" s="49">
        <f t="shared" si="392"/>
        <v>44141</v>
      </c>
      <c r="HJ71" s="49">
        <f t="shared" si="392"/>
        <v>44142</v>
      </c>
      <c r="HK71" s="49">
        <f t="shared" si="392"/>
        <v>44143</v>
      </c>
      <c r="HL71" s="49">
        <f t="shared" si="392"/>
        <v>44144</v>
      </c>
      <c r="HM71" s="49">
        <f t="shared" si="392"/>
        <v>44145</v>
      </c>
      <c r="HN71" s="49">
        <f t="shared" si="392"/>
        <v>44146</v>
      </c>
      <c r="HO71" s="49">
        <f t="shared" si="392"/>
        <v>44147</v>
      </c>
      <c r="HP71" s="49">
        <f t="shared" si="392"/>
        <v>44148</v>
      </c>
      <c r="HQ71" s="49">
        <f t="shared" si="392"/>
        <v>44149</v>
      </c>
      <c r="HR71" s="49">
        <f t="shared" si="392"/>
        <v>44150</v>
      </c>
      <c r="HS71" s="49">
        <f t="shared" si="392"/>
        <v>44151</v>
      </c>
      <c r="HT71" s="49">
        <f t="shared" si="392"/>
        <v>44152</v>
      </c>
      <c r="HU71" s="49">
        <f t="shared" si="392"/>
        <v>44153</v>
      </c>
      <c r="HV71" s="49">
        <f t="shared" si="392"/>
        <v>44154</v>
      </c>
      <c r="HW71" s="49">
        <f t="shared" si="392"/>
        <v>44155</v>
      </c>
      <c r="HX71" s="49">
        <f t="shared" si="392"/>
        <v>44156</v>
      </c>
      <c r="HY71" s="49">
        <f t="shared" si="392"/>
        <v>44157</v>
      </c>
      <c r="HZ71" s="49">
        <f t="shared" si="392"/>
        <v>44158</v>
      </c>
      <c r="IA71" s="49">
        <f t="shared" si="392"/>
        <v>44159</v>
      </c>
      <c r="IB71" s="49">
        <f t="shared" si="392"/>
        <v>44160</v>
      </c>
      <c r="IC71" s="49">
        <f t="shared" si="392"/>
        <v>44161</v>
      </c>
      <c r="ID71" s="49">
        <f t="shared" si="392"/>
        <v>44162</v>
      </c>
      <c r="IE71" s="49">
        <f t="shared" si="392"/>
        <v>44163</v>
      </c>
      <c r="IF71" s="49">
        <f t="shared" si="392"/>
        <v>44164</v>
      </c>
      <c r="IG71" s="49">
        <f t="shared" si="392"/>
        <v>44165</v>
      </c>
      <c r="IH71" s="49">
        <f t="shared" si="392"/>
        <v>44166</v>
      </c>
      <c r="II71" s="49">
        <f t="shared" si="392"/>
        <v>44167</v>
      </c>
      <c r="IJ71" s="49">
        <f t="shared" si="392"/>
        <v>44168</v>
      </c>
      <c r="IK71" s="49">
        <f t="shared" ref="IK71:JP71" si="393">IK1</f>
        <v>44169</v>
      </c>
      <c r="IL71" s="49">
        <f t="shared" si="393"/>
        <v>44170</v>
      </c>
      <c r="IM71" s="49">
        <f t="shared" si="393"/>
        <v>44171</v>
      </c>
      <c r="IN71" s="49">
        <f t="shared" si="393"/>
        <v>44172</v>
      </c>
      <c r="IO71" s="49">
        <f t="shared" si="393"/>
        <v>44173</v>
      </c>
      <c r="IP71" s="49">
        <f t="shared" si="393"/>
        <v>44174</v>
      </c>
      <c r="IQ71" s="49">
        <f t="shared" si="393"/>
        <v>44175</v>
      </c>
      <c r="IR71" s="49">
        <f t="shared" si="393"/>
        <v>44176</v>
      </c>
      <c r="IS71" s="49">
        <f t="shared" si="393"/>
        <v>44177</v>
      </c>
      <c r="IT71" s="49">
        <f t="shared" si="393"/>
        <v>44178</v>
      </c>
      <c r="IU71" s="49">
        <f t="shared" si="393"/>
        <v>44179</v>
      </c>
      <c r="IV71" s="49">
        <f t="shared" si="393"/>
        <v>44180</v>
      </c>
      <c r="IW71" s="49">
        <f t="shared" si="393"/>
        <v>44181</v>
      </c>
      <c r="IX71" s="49">
        <f t="shared" si="393"/>
        <v>44182</v>
      </c>
      <c r="IY71" s="49">
        <f t="shared" si="393"/>
        <v>44183</v>
      </c>
      <c r="IZ71" s="49">
        <f t="shared" si="393"/>
        <v>44184</v>
      </c>
      <c r="JA71" s="49">
        <f t="shared" si="393"/>
        <v>44185</v>
      </c>
      <c r="JB71" s="49">
        <f t="shared" si="393"/>
        <v>44186</v>
      </c>
      <c r="JC71" s="49">
        <f t="shared" si="393"/>
        <v>44187</v>
      </c>
      <c r="JD71" s="49">
        <f t="shared" si="393"/>
        <v>44188</v>
      </c>
      <c r="JE71" s="49">
        <f t="shared" si="393"/>
        <v>44189</v>
      </c>
      <c r="JF71" s="49">
        <f t="shared" si="393"/>
        <v>44190</v>
      </c>
      <c r="JG71" s="49">
        <f t="shared" si="393"/>
        <v>44191</v>
      </c>
      <c r="JH71" s="49">
        <f t="shared" si="393"/>
        <v>44192</v>
      </c>
      <c r="JI71" s="49">
        <f t="shared" si="393"/>
        <v>44193</v>
      </c>
      <c r="JJ71" s="49">
        <f t="shared" si="393"/>
        <v>44194</v>
      </c>
      <c r="JK71" s="49">
        <f t="shared" si="393"/>
        <v>44195</v>
      </c>
      <c r="JL71" s="49">
        <f t="shared" si="393"/>
        <v>44196</v>
      </c>
      <c r="JM71" s="49">
        <f t="shared" si="393"/>
        <v>44197</v>
      </c>
      <c r="JN71" s="49">
        <f t="shared" si="393"/>
        <v>44198</v>
      </c>
      <c r="JO71" s="49">
        <f t="shared" si="393"/>
        <v>44199</v>
      </c>
      <c r="JP71" s="49">
        <f t="shared" si="393"/>
        <v>44200</v>
      </c>
      <c r="JQ71" s="49">
        <f t="shared" ref="JQ71:KV71" si="394">JQ1</f>
        <v>44201</v>
      </c>
      <c r="JR71" s="49">
        <f t="shared" si="394"/>
        <v>44202</v>
      </c>
      <c r="JS71" s="49">
        <f t="shared" si="394"/>
        <v>44203</v>
      </c>
      <c r="JT71" s="49">
        <f t="shared" si="394"/>
        <v>44204</v>
      </c>
      <c r="JU71" s="49">
        <f t="shared" si="394"/>
        <v>44205</v>
      </c>
      <c r="JV71" s="49">
        <f t="shared" si="394"/>
        <v>44206</v>
      </c>
      <c r="JW71" s="49">
        <f t="shared" si="394"/>
        <v>44207</v>
      </c>
      <c r="JX71" s="49">
        <f t="shared" si="394"/>
        <v>44208</v>
      </c>
      <c r="JY71" s="49">
        <f t="shared" si="394"/>
        <v>44209</v>
      </c>
      <c r="JZ71" s="49">
        <f t="shared" si="394"/>
        <v>44210</v>
      </c>
      <c r="KA71" s="49">
        <f t="shared" si="394"/>
        <v>44211</v>
      </c>
      <c r="KB71" s="49">
        <f t="shared" si="394"/>
        <v>44212</v>
      </c>
      <c r="KC71" s="49">
        <f t="shared" si="394"/>
        <v>44213</v>
      </c>
      <c r="KD71" s="49">
        <f t="shared" si="394"/>
        <v>44214</v>
      </c>
      <c r="KE71" s="49">
        <f t="shared" si="394"/>
        <v>44215</v>
      </c>
      <c r="KF71" s="49">
        <f t="shared" si="394"/>
        <v>44216</v>
      </c>
      <c r="KG71" s="49">
        <f t="shared" si="394"/>
        <v>44217</v>
      </c>
      <c r="KH71" s="49">
        <f t="shared" si="394"/>
        <v>44218</v>
      </c>
      <c r="KI71" s="49">
        <f t="shared" si="394"/>
        <v>44219</v>
      </c>
      <c r="KJ71" s="49">
        <f t="shared" si="394"/>
        <v>44220</v>
      </c>
      <c r="KK71" s="49">
        <f t="shared" si="394"/>
        <v>44221</v>
      </c>
      <c r="KL71" s="49">
        <f t="shared" si="394"/>
        <v>44222</v>
      </c>
      <c r="KM71" s="49">
        <f t="shared" si="394"/>
        <v>44223</v>
      </c>
      <c r="KN71" s="49">
        <f t="shared" si="394"/>
        <v>44224</v>
      </c>
      <c r="KO71" s="49">
        <f t="shared" si="394"/>
        <v>44225</v>
      </c>
      <c r="KP71" s="49">
        <f t="shared" si="394"/>
        <v>44226</v>
      </c>
      <c r="KQ71" s="49">
        <f t="shared" si="394"/>
        <v>44227</v>
      </c>
      <c r="KR71" s="49">
        <f t="shared" si="394"/>
        <v>44228</v>
      </c>
      <c r="KS71" s="49">
        <f t="shared" si="394"/>
        <v>44229</v>
      </c>
      <c r="KT71" s="49">
        <f t="shared" si="394"/>
        <v>44230</v>
      </c>
      <c r="KU71" s="49">
        <f t="shared" si="394"/>
        <v>44231</v>
      </c>
      <c r="KV71" s="49">
        <f t="shared" si="394"/>
        <v>44232</v>
      </c>
      <c r="KW71" s="49">
        <f t="shared" ref="KW71:MB71" si="395">KW1</f>
        <v>44233</v>
      </c>
      <c r="KX71" s="49">
        <f t="shared" si="395"/>
        <v>44234</v>
      </c>
      <c r="KY71" s="49">
        <f t="shared" si="395"/>
        <v>44235</v>
      </c>
      <c r="KZ71" s="49">
        <f t="shared" si="395"/>
        <v>44236</v>
      </c>
      <c r="LA71" s="49">
        <f t="shared" si="395"/>
        <v>44237</v>
      </c>
      <c r="LB71" s="49">
        <f t="shared" si="395"/>
        <v>44238</v>
      </c>
      <c r="LC71" s="49">
        <f t="shared" si="395"/>
        <v>44239</v>
      </c>
      <c r="LD71" s="49">
        <f t="shared" si="395"/>
        <v>44240</v>
      </c>
      <c r="LE71" s="49">
        <f t="shared" si="395"/>
        <v>44241</v>
      </c>
      <c r="LF71" s="49">
        <f t="shared" si="395"/>
        <v>44242</v>
      </c>
      <c r="LG71" s="49">
        <f t="shared" si="395"/>
        <v>44243</v>
      </c>
      <c r="LH71" s="49">
        <f t="shared" si="395"/>
        <v>44244</v>
      </c>
      <c r="LI71" s="49">
        <f t="shared" si="395"/>
        <v>44245</v>
      </c>
      <c r="LJ71" s="49">
        <f t="shared" si="395"/>
        <v>44246</v>
      </c>
      <c r="LK71" s="49">
        <f t="shared" si="395"/>
        <v>44247</v>
      </c>
      <c r="LL71" s="49">
        <f t="shared" si="395"/>
        <v>44248</v>
      </c>
      <c r="LM71" s="49">
        <f t="shared" si="395"/>
        <v>44249</v>
      </c>
      <c r="LN71" s="49">
        <f t="shared" si="395"/>
        <v>44250</v>
      </c>
      <c r="LO71" s="49">
        <f t="shared" si="395"/>
        <v>44251</v>
      </c>
      <c r="LP71" s="49">
        <f t="shared" si="395"/>
        <v>44252</v>
      </c>
      <c r="LQ71" s="49">
        <f t="shared" si="395"/>
        <v>44253</v>
      </c>
      <c r="LR71" s="49">
        <f t="shared" si="395"/>
        <v>44254</v>
      </c>
      <c r="LS71" s="49">
        <f t="shared" si="395"/>
        <v>44255</v>
      </c>
      <c r="LT71" s="49">
        <f t="shared" si="395"/>
        <v>44256</v>
      </c>
      <c r="LU71" s="49">
        <f t="shared" si="395"/>
        <v>44257</v>
      </c>
      <c r="LV71" s="49">
        <f t="shared" si="395"/>
        <v>44258</v>
      </c>
      <c r="LW71" s="49">
        <f t="shared" si="395"/>
        <v>44259</v>
      </c>
      <c r="LX71" s="49">
        <f t="shared" si="395"/>
        <v>44260</v>
      </c>
      <c r="LY71" s="49">
        <f t="shared" si="395"/>
        <v>44261</v>
      </c>
      <c r="LZ71" s="49">
        <f t="shared" si="395"/>
        <v>44262</v>
      </c>
      <c r="MA71" s="49">
        <f t="shared" si="395"/>
        <v>44263</v>
      </c>
      <c r="MB71" s="49">
        <f t="shared" si="395"/>
        <v>44264</v>
      </c>
      <c r="MC71" s="49">
        <f t="shared" ref="MC71:NB71" si="396">MC1</f>
        <v>44265</v>
      </c>
      <c r="MD71" s="49">
        <f t="shared" si="396"/>
        <v>44266</v>
      </c>
      <c r="ME71" s="49">
        <f t="shared" si="396"/>
        <v>44267</v>
      </c>
      <c r="MF71" s="49">
        <f t="shared" si="396"/>
        <v>44268</v>
      </c>
      <c r="MG71" s="49">
        <f t="shared" si="396"/>
        <v>44269</v>
      </c>
      <c r="MH71" s="49">
        <f t="shared" si="396"/>
        <v>44270</v>
      </c>
      <c r="MI71" s="49">
        <f t="shared" si="396"/>
        <v>44271</v>
      </c>
      <c r="MJ71" s="49">
        <f t="shared" si="396"/>
        <v>44272</v>
      </c>
      <c r="MK71" s="49">
        <f t="shared" si="396"/>
        <v>44273</v>
      </c>
      <c r="ML71" s="49">
        <f t="shared" si="396"/>
        <v>44274</v>
      </c>
      <c r="MM71" s="49">
        <f t="shared" si="396"/>
        <v>44275</v>
      </c>
      <c r="MN71" s="49">
        <f t="shared" si="396"/>
        <v>44276</v>
      </c>
      <c r="MO71" s="49">
        <f t="shared" si="396"/>
        <v>44277</v>
      </c>
      <c r="MP71" s="49">
        <f t="shared" si="396"/>
        <v>44278</v>
      </c>
      <c r="MQ71" s="49">
        <f t="shared" si="396"/>
        <v>44279</v>
      </c>
      <c r="MR71" s="49">
        <f t="shared" si="396"/>
        <v>44280</v>
      </c>
      <c r="MS71" s="49">
        <f t="shared" si="396"/>
        <v>44281</v>
      </c>
      <c r="MT71" s="49">
        <f t="shared" si="396"/>
        <v>44282</v>
      </c>
      <c r="MU71" s="49">
        <f t="shared" si="396"/>
        <v>44283</v>
      </c>
      <c r="MV71" s="49">
        <f t="shared" si="396"/>
        <v>44284</v>
      </c>
      <c r="MW71" s="49">
        <f t="shared" si="396"/>
        <v>44285</v>
      </c>
      <c r="MX71" s="49">
        <f t="shared" si="396"/>
        <v>44286</v>
      </c>
      <c r="MY71" s="49">
        <f t="shared" si="396"/>
        <v>44287</v>
      </c>
      <c r="MZ71" s="49">
        <f t="shared" si="396"/>
        <v>44288</v>
      </c>
      <c r="NA71" s="49">
        <f t="shared" si="396"/>
        <v>44289</v>
      </c>
      <c r="NB71" s="49">
        <f t="shared" si="396"/>
        <v>44290</v>
      </c>
    </row>
    <row r="72" spans="1:366" ht="15" customHeight="1" x14ac:dyDescent="0.25">
      <c r="A72" s="147" t="s">
        <v>144</v>
      </c>
      <c r="B72" s="147"/>
      <c r="C72" s="147"/>
      <c r="D72" s="147"/>
      <c r="E72" s="148"/>
      <c r="F72" s="30"/>
      <c r="G72" s="30"/>
      <c r="H72" s="30"/>
      <c r="I72" s="30"/>
      <c r="J72" s="30"/>
      <c r="K72" s="30"/>
      <c r="L72" s="30"/>
      <c r="M72" s="30"/>
      <c r="N72" s="30"/>
      <c r="O72" s="29"/>
      <c r="P72" s="151" t="s">
        <v>49</v>
      </c>
      <c r="Q72" s="151" t="s">
        <v>48</v>
      </c>
      <c r="R72" s="153"/>
      <c r="S72" s="57">
        <f t="shared" ref="S72:AX72" si="397">S41</f>
        <v>43975</v>
      </c>
      <c r="T72" s="58">
        <f t="shared" si="397"/>
        <v>43976</v>
      </c>
      <c r="U72" s="58">
        <f t="shared" si="397"/>
        <v>43977</v>
      </c>
      <c r="V72" s="58">
        <f t="shared" si="397"/>
        <v>43978</v>
      </c>
      <c r="W72" s="58">
        <f t="shared" si="397"/>
        <v>43979</v>
      </c>
      <c r="X72" s="58">
        <f t="shared" si="397"/>
        <v>43980</v>
      </c>
      <c r="Y72" s="58">
        <f t="shared" si="397"/>
        <v>43981</v>
      </c>
      <c r="Z72" s="57">
        <f t="shared" si="397"/>
        <v>43982</v>
      </c>
      <c r="AA72" s="58">
        <f t="shared" si="397"/>
        <v>43983</v>
      </c>
      <c r="AB72" s="58">
        <f t="shared" si="397"/>
        <v>43984</v>
      </c>
      <c r="AC72" s="58">
        <f t="shared" si="397"/>
        <v>43985</v>
      </c>
      <c r="AD72" s="58">
        <f t="shared" si="397"/>
        <v>43986</v>
      </c>
      <c r="AE72" s="58">
        <f t="shared" si="397"/>
        <v>43987</v>
      </c>
      <c r="AF72" s="58">
        <f t="shared" si="397"/>
        <v>43988</v>
      </c>
      <c r="AG72" s="57">
        <f t="shared" si="397"/>
        <v>43989</v>
      </c>
      <c r="AH72" s="58">
        <f t="shared" si="397"/>
        <v>43990</v>
      </c>
      <c r="AI72" s="58">
        <f t="shared" si="397"/>
        <v>43991</v>
      </c>
      <c r="AJ72" s="58">
        <f t="shared" si="397"/>
        <v>43992</v>
      </c>
      <c r="AK72" s="58">
        <f t="shared" si="397"/>
        <v>43993</v>
      </c>
      <c r="AL72" s="58">
        <f t="shared" si="397"/>
        <v>43994</v>
      </c>
      <c r="AM72" s="58">
        <f t="shared" si="397"/>
        <v>43995</v>
      </c>
      <c r="AN72" s="57">
        <f t="shared" si="397"/>
        <v>43996</v>
      </c>
      <c r="AO72" s="58">
        <f t="shared" si="397"/>
        <v>43997</v>
      </c>
      <c r="AP72" s="58">
        <f t="shared" si="397"/>
        <v>43998</v>
      </c>
      <c r="AQ72" s="58">
        <f t="shared" si="397"/>
        <v>43999</v>
      </c>
      <c r="AR72" s="58">
        <f t="shared" si="397"/>
        <v>44000</v>
      </c>
      <c r="AS72" s="58">
        <f t="shared" si="397"/>
        <v>44001</v>
      </c>
      <c r="AT72" s="58">
        <f t="shared" si="397"/>
        <v>44002</v>
      </c>
      <c r="AU72" s="57">
        <f t="shared" si="397"/>
        <v>44003</v>
      </c>
      <c r="AV72" s="58">
        <f t="shared" si="397"/>
        <v>44004</v>
      </c>
      <c r="AW72" s="58">
        <f t="shared" si="397"/>
        <v>44005</v>
      </c>
      <c r="AX72" s="58">
        <f t="shared" si="397"/>
        <v>44006</v>
      </c>
      <c r="AY72" s="58">
        <f t="shared" ref="AY72:BO72" si="398">AY41</f>
        <v>44007</v>
      </c>
      <c r="AZ72" s="58">
        <f t="shared" si="398"/>
        <v>44008</v>
      </c>
      <c r="BA72" s="58">
        <f t="shared" si="398"/>
        <v>44009</v>
      </c>
      <c r="BB72" s="57">
        <f t="shared" si="398"/>
        <v>44010</v>
      </c>
      <c r="BC72" s="58">
        <f t="shared" si="398"/>
        <v>44011</v>
      </c>
      <c r="BD72" s="58">
        <f t="shared" si="398"/>
        <v>44012</v>
      </c>
      <c r="BE72" s="58">
        <f t="shared" si="398"/>
        <v>44013</v>
      </c>
      <c r="BF72" s="58">
        <f t="shared" si="398"/>
        <v>44014</v>
      </c>
      <c r="BG72" s="58">
        <f t="shared" si="398"/>
        <v>44015</v>
      </c>
      <c r="BH72" s="58">
        <f t="shared" si="398"/>
        <v>44016</v>
      </c>
      <c r="BI72" s="57">
        <f t="shared" si="398"/>
        <v>44017</v>
      </c>
      <c r="BJ72" s="58">
        <f t="shared" si="398"/>
        <v>44018</v>
      </c>
      <c r="BK72" s="58">
        <f t="shared" si="398"/>
        <v>44019</v>
      </c>
      <c r="BL72" s="58">
        <f t="shared" si="398"/>
        <v>44020</v>
      </c>
      <c r="BM72" s="58">
        <f t="shared" si="398"/>
        <v>44021</v>
      </c>
      <c r="BN72" s="58">
        <f t="shared" si="398"/>
        <v>44022</v>
      </c>
      <c r="BO72" s="58">
        <f t="shared" si="398"/>
        <v>44023</v>
      </c>
      <c r="BP72" s="57">
        <v>12</v>
      </c>
      <c r="BQ72" s="58">
        <f t="shared" ref="BQ72:BV72" si="399">BQ41</f>
        <v>44025</v>
      </c>
      <c r="BR72" s="58">
        <f t="shared" si="399"/>
        <v>44026</v>
      </c>
      <c r="BS72" s="58">
        <f t="shared" si="399"/>
        <v>44027</v>
      </c>
      <c r="BT72" s="58">
        <f t="shared" si="399"/>
        <v>44028</v>
      </c>
      <c r="BU72" s="58">
        <f t="shared" si="399"/>
        <v>44029</v>
      </c>
      <c r="BV72" s="58">
        <f t="shared" si="399"/>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DY72" si="400">DS41</f>
        <v>44067</v>
      </c>
      <c r="DT72" s="58">
        <f t="shared" si="400"/>
        <v>44068</v>
      </c>
      <c r="DU72" s="58">
        <f t="shared" si="400"/>
        <v>44069</v>
      </c>
      <c r="DV72" s="58">
        <f t="shared" si="400"/>
        <v>44070</v>
      </c>
      <c r="DW72" s="58">
        <f t="shared" si="400"/>
        <v>44071</v>
      </c>
      <c r="DX72" s="58">
        <f t="shared" si="400"/>
        <v>44072</v>
      </c>
      <c r="DY72" s="58">
        <f t="shared" si="400"/>
        <v>44073</v>
      </c>
      <c r="DZ72" s="58"/>
      <c r="EA72" s="57"/>
      <c r="EB72" s="58">
        <f t="shared" ref="EB72:EH72" si="401">EB41</f>
        <v>44074</v>
      </c>
      <c r="EC72" s="58">
        <f t="shared" si="401"/>
        <v>44075</v>
      </c>
      <c r="ED72" s="58">
        <f t="shared" si="401"/>
        <v>44076</v>
      </c>
      <c r="EE72" s="58">
        <f t="shared" si="401"/>
        <v>44077</v>
      </c>
      <c r="EF72" s="58">
        <f t="shared" si="401"/>
        <v>44078</v>
      </c>
      <c r="EG72" s="58">
        <f t="shared" si="401"/>
        <v>44079</v>
      </c>
      <c r="EH72" s="58">
        <f t="shared" si="401"/>
        <v>44080</v>
      </c>
      <c r="EI72" s="58"/>
      <c r="EJ72" s="57"/>
      <c r="EK72" s="58">
        <f t="shared" ref="EK72:EQ72" si="402">EK41</f>
        <v>44081</v>
      </c>
      <c r="EL72" s="58">
        <f t="shared" si="402"/>
        <v>44082</v>
      </c>
      <c r="EM72" s="58">
        <f t="shared" si="402"/>
        <v>44083</v>
      </c>
      <c r="EN72" s="58">
        <f t="shared" si="402"/>
        <v>44084</v>
      </c>
      <c r="EO72" s="58">
        <f t="shared" si="402"/>
        <v>44085</v>
      </c>
      <c r="EP72" s="58">
        <f t="shared" si="402"/>
        <v>44086</v>
      </c>
      <c r="EQ72" s="58">
        <f t="shared" si="402"/>
        <v>44087</v>
      </c>
      <c r="ER72" s="58"/>
      <c r="ES72" s="57"/>
      <c r="ET72" s="58">
        <f t="shared" ref="ET72:EZ72" si="403">ET41</f>
        <v>44088</v>
      </c>
      <c r="EU72" s="58">
        <f t="shared" si="403"/>
        <v>44089</v>
      </c>
      <c r="EV72" s="58">
        <f t="shared" si="403"/>
        <v>44090</v>
      </c>
      <c r="EW72" s="58">
        <f t="shared" si="403"/>
        <v>44091</v>
      </c>
      <c r="EX72" s="58">
        <f t="shared" si="403"/>
        <v>44092</v>
      </c>
      <c r="EY72" s="58">
        <f t="shared" si="403"/>
        <v>44093</v>
      </c>
      <c r="EZ72" s="58">
        <f t="shared" si="403"/>
        <v>44094</v>
      </c>
      <c r="FA72" s="58"/>
      <c r="FB72" s="57"/>
      <c r="FC72" s="58">
        <f t="shared" ref="FC72:FI72" si="404">FC41</f>
        <v>44095</v>
      </c>
      <c r="FD72" s="58">
        <f t="shared" si="404"/>
        <v>44096</v>
      </c>
      <c r="FE72" s="58">
        <f t="shared" si="404"/>
        <v>44097</v>
      </c>
      <c r="FF72" s="58">
        <f t="shared" si="404"/>
        <v>44098</v>
      </c>
      <c r="FG72" s="58">
        <f t="shared" si="404"/>
        <v>44099</v>
      </c>
      <c r="FH72" s="58">
        <f t="shared" si="404"/>
        <v>44100</v>
      </c>
      <c r="FI72" s="58">
        <f t="shared" si="404"/>
        <v>44101</v>
      </c>
      <c r="FJ72" s="58"/>
      <c r="FK72" s="57"/>
      <c r="FL72" s="58">
        <f t="shared" ref="FL72:FQ72" si="405">FL41</f>
        <v>44102</v>
      </c>
      <c r="FM72" s="58">
        <f t="shared" si="405"/>
        <v>44103</v>
      </c>
      <c r="FN72" s="58">
        <f t="shared" si="405"/>
        <v>44104</v>
      </c>
      <c r="FO72" s="58">
        <f t="shared" si="405"/>
        <v>44105</v>
      </c>
      <c r="FP72" s="58">
        <f t="shared" si="405"/>
        <v>44106</v>
      </c>
      <c r="FQ72" s="58">
        <f t="shared" si="405"/>
        <v>44107</v>
      </c>
      <c r="FR72" s="58"/>
      <c r="FS72" s="58"/>
      <c r="FT72" s="57"/>
      <c r="FU72" s="58">
        <f t="shared" ref="FU72:GA72" si="406">FU41</f>
        <v>44109</v>
      </c>
      <c r="FV72" s="58">
        <f t="shared" si="406"/>
        <v>44110</v>
      </c>
      <c r="FW72" s="58">
        <f t="shared" si="406"/>
        <v>44111</v>
      </c>
      <c r="FX72" s="58">
        <f t="shared" si="406"/>
        <v>44112</v>
      </c>
      <c r="FY72" s="58">
        <f t="shared" si="406"/>
        <v>44113</v>
      </c>
      <c r="FZ72" s="58">
        <f t="shared" si="406"/>
        <v>44114</v>
      </c>
      <c r="GA72" s="58">
        <f t="shared" si="406"/>
        <v>44115</v>
      </c>
      <c r="GB72" s="58"/>
      <c r="GC72" s="57"/>
      <c r="GD72" s="58">
        <f t="shared" ref="GD72:GJ72" si="407">GD41</f>
        <v>44116</v>
      </c>
      <c r="GE72" s="58">
        <f t="shared" si="407"/>
        <v>44117</v>
      </c>
      <c r="GF72" s="58">
        <f t="shared" si="407"/>
        <v>44118</v>
      </c>
      <c r="GG72" s="58">
        <f t="shared" si="407"/>
        <v>44119</v>
      </c>
      <c r="GH72" s="58">
        <f t="shared" si="407"/>
        <v>44120</v>
      </c>
      <c r="GI72" s="58">
        <f t="shared" si="407"/>
        <v>44121</v>
      </c>
      <c r="GJ72" s="58">
        <f t="shared" si="407"/>
        <v>44122</v>
      </c>
      <c r="GK72" s="58"/>
      <c r="GL72" s="57"/>
      <c r="GM72" s="58">
        <f t="shared" ref="GM72:GS72" si="408">GM41</f>
        <v>44123</v>
      </c>
      <c r="GN72" s="58">
        <f t="shared" si="408"/>
        <v>44124</v>
      </c>
      <c r="GO72" s="58">
        <f t="shared" si="408"/>
        <v>44125</v>
      </c>
      <c r="GP72" s="58">
        <f t="shared" si="408"/>
        <v>44126</v>
      </c>
      <c r="GQ72" s="58">
        <f t="shared" si="408"/>
        <v>44127</v>
      </c>
      <c r="GR72" s="58">
        <f t="shared" si="408"/>
        <v>44128</v>
      </c>
      <c r="GS72" s="58">
        <f t="shared" si="408"/>
        <v>44129</v>
      </c>
      <c r="GT72" s="58"/>
      <c r="GU72" s="57"/>
      <c r="GV72" s="58">
        <f t="shared" ref="GV72:HB72" si="409">GV41</f>
        <v>44130</v>
      </c>
      <c r="GW72" s="58">
        <f t="shared" si="409"/>
        <v>44131</v>
      </c>
      <c r="GX72" s="58">
        <f t="shared" si="409"/>
        <v>44132</v>
      </c>
      <c r="GY72" s="58">
        <f t="shared" si="409"/>
        <v>44133</v>
      </c>
      <c r="GZ72" s="58">
        <f t="shared" si="409"/>
        <v>44134</v>
      </c>
      <c r="HA72" s="58">
        <f t="shared" si="409"/>
        <v>44135</v>
      </c>
      <c r="HB72" s="58">
        <f t="shared" si="409"/>
        <v>44136</v>
      </c>
      <c r="HC72" s="58"/>
      <c r="HD72" s="57"/>
      <c r="HE72" s="58">
        <f t="shared" ref="HE72:IJ72" si="410">HE41</f>
        <v>44137</v>
      </c>
      <c r="HF72" s="58">
        <f t="shared" si="410"/>
        <v>44138</v>
      </c>
      <c r="HG72" s="58">
        <f t="shared" si="410"/>
        <v>44139</v>
      </c>
      <c r="HH72" s="58">
        <f t="shared" si="410"/>
        <v>44140</v>
      </c>
      <c r="HI72" s="58">
        <f t="shared" si="410"/>
        <v>44141</v>
      </c>
      <c r="HJ72" s="58">
        <f t="shared" si="410"/>
        <v>44142</v>
      </c>
      <c r="HK72" s="57">
        <f t="shared" si="410"/>
        <v>44143</v>
      </c>
      <c r="HL72" s="58">
        <f t="shared" si="410"/>
        <v>44144</v>
      </c>
      <c r="HM72" s="58">
        <f t="shared" si="410"/>
        <v>44145</v>
      </c>
      <c r="HN72" s="58">
        <f t="shared" si="410"/>
        <v>44146</v>
      </c>
      <c r="HO72" s="58">
        <f t="shared" si="410"/>
        <v>44147</v>
      </c>
      <c r="HP72" s="58">
        <f t="shared" si="410"/>
        <v>44148</v>
      </c>
      <c r="HQ72" s="58">
        <f t="shared" si="410"/>
        <v>44149</v>
      </c>
      <c r="HR72" s="57">
        <f t="shared" si="410"/>
        <v>44150</v>
      </c>
      <c r="HS72" s="58">
        <f t="shared" si="410"/>
        <v>44151</v>
      </c>
      <c r="HT72" s="58">
        <f t="shared" si="410"/>
        <v>44152</v>
      </c>
      <c r="HU72" s="58">
        <f t="shared" si="410"/>
        <v>44153</v>
      </c>
      <c r="HV72" s="58">
        <f t="shared" si="410"/>
        <v>44154</v>
      </c>
      <c r="HW72" s="58">
        <f t="shared" si="410"/>
        <v>44155</v>
      </c>
      <c r="HX72" s="58">
        <f t="shared" si="410"/>
        <v>44156</v>
      </c>
      <c r="HY72" s="57">
        <f t="shared" si="410"/>
        <v>44157</v>
      </c>
      <c r="HZ72" s="58">
        <f t="shared" si="410"/>
        <v>44158</v>
      </c>
      <c r="IA72" s="58">
        <f t="shared" si="410"/>
        <v>44159</v>
      </c>
      <c r="IB72" s="58">
        <f t="shared" si="410"/>
        <v>44160</v>
      </c>
      <c r="IC72" s="58">
        <f t="shared" si="410"/>
        <v>44161</v>
      </c>
      <c r="ID72" s="58">
        <f t="shared" si="410"/>
        <v>44162</v>
      </c>
      <c r="IE72" s="58">
        <f t="shared" si="410"/>
        <v>44163</v>
      </c>
      <c r="IF72" s="57">
        <f t="shared" si="410"/>
        <v>44164</v>
      </c>
      <c r="IG72" s="58">
        <f t="shared" si="410"/>
        <v>44165</v>
      </c>
      <c r="IH72" s="58">
        <f t="shared" si="410"/>
        <v>44166</v>
      </c>
      <c r="II72" s="58">
        <f t="shared" si="410"/>
        <v>44167</v>
      </c>
      <c r="IJ72" s="58">
        <f t="shared" si="410"/>
        <v>44168</v>
      </c>
      <c r="IK72" s="58">
        <f t="shared" ref="IK72:JP72" si="411">IK41</f>
        <v>44169</v>
      </c>
      <c r="IL72" s="58">
        <f t="shared" si="411"/>
        <v>44170</v>
      </c>
      <c r="IM72" s="57">
        <f t="shared" si="411"/>
        <v>44171</v>
      </c>
      <c r="IN72" s="58">
        <f t="shared" si="411"/>
        <v>44172</v>
      </c>
      <c r="IO72" s="58">
        <f t="shared" si="411"/>
        <v>44173</v>
      </c>
      <c r="IP72" s="58">
        <f t="shared" si="411"/>
        <v>44174</v>
      </c>
      <c r="IQ72" s="58">
        <f t="shared" si="411"/>
        <v>44175</v>
      </c>
      <c r="IR72" s="58">
        <f t="shared" si="411"/>
        <v>44176</v>
      </c>
      <c r="IS72" s="58">
        <f t="shared" si="411"/>
        <v>44177</v>
      </c>
      <c r="IT72" s="57">
        <f t="shared" si="411"/>
        <v>44178</v>
      </c>
      <c r="IU72" s="58">
        <f t="shared" si="411"/>
        <v>44179</v>
      </c>
      <c r="IV72" s="58">
        <f t="shared" si="411"/>
        <v>44180</v>
      </c>
      <c r="IW72" s="58">
        <f t="shared" si="411"/>
        <v>44181</v>
      </c>
      <c r="IX72" s="58">
        <f t="shared" si="411"/>
        <v>44182</v>
      </c>
      <c r="IY72" s="58">
        <f t="shared" si="411"/>
        <v>44183</v>
      </c>
      <c r="IZ72" s="58">
        <f t="shared" si="411"/>
        <v>44184</v>
      </c>
      <c r="JA72" s="57">
        <f t="shared" si="411"/>
        <v>44185</v>
      </c>
      <c r="JB72" s="58">
        <f t="shared" si="411"/>
        <v>44186</v>
      </c>
      <c r="JC72" s="58">
        <f t="shared" si="411"/>
        <v>44187</v>
      </c>
      <c r="JD72" s="58">
        <f t="shared" si="411"/>
        <v>44188</v>
      </c>
      <c r="JE72" s="58">
        <f t="shared" si="411"/>
        <v>44189</v>
      </c>
      <c r="JF72" s="58">
        <f t="shared" si="411"/>
        <v>44190</v>
      </c>
      <c r="JG72" s="58">
        <f t="shared" si="411"/>
        <v>44191</v>
      </c>
      <c r="JH72" s="57">
        <f t="shared" si="411"/>
        <v>44192</v>
      </c>
      <c r="JI72" s="58">
        <f t="shared" si="411"/>
        <v>44193</v>
      </c>
      <c r="JJ72" s="58">
        <f t="shared" si="411"/>
        <v>44194</v>
      </c>
      <c r="JK72" s="58">
        <f t="shared" si="411"/>
        <v>44195</v>
      </c>
      <c r="JL72" s="58">
        <f t="shared" si="411"/>
        <v>44196</v>
      </c>
      <c r="JM72" s="58">
        <f t="shared" si="411"/>
        <v>44197</v>
      </c>
      <c r="JN72" s="58">
        <f t="shared" si="411"/>
        <v>44198</v>
      </c>
      <c r="JO72" s="57">
        <f t="shared" si="411"/>
        <v>44199</v>
      </c>
      <c r="JP72" s="58">
        <f t="shared" si="411"/>
        <v>44200</v>
      </c>
      <c r="JQ72" s="58">
        <f t="shared" ref="JQ72:KV72" si="412">JQ41</f>
        <v>44201</v>
      </c>
      <c r="JR72" s="58">
        <f t="shared" si="412"/>
        <v>44202</v>
      </c>
      <c r="JS72" s="58">
        <f t="shared" si="412"/>
        <v>44203</v>
      </c>
      <c r="JT72" s="58">
        <f t="shared" si="412"/>
        <v>44204</v>
      </c>
      <c r="JU72" s="58">
        <f t="shared" si="412"/>
        <v>44205</v>
      </c>
      <c r="JV72" s="57">
        <f t="shared" si="412"/>
        <v>44206</v>
      </c>
      <c r="JW72" s="58">
        <f t="shared" si="412"/>
        <v>44207</v>
      </c>
      <c r="JX72" s="58">
        <f t="shared" si="412"/>
        <v>44208</v>
      </c>
      <c r="JY72" s="58">
        <f t="shared" si="412"/>
        <v>44209</v>
      </c>
      <c r="JZ72" s="58">
        <f t="shared" si="412"/>
        <v>44210</v>
      </c>
      <c r="KA72" s="58">
        <f t="shared" si="412"/>
        <v>44211</v>
      </c>
      <c r="KB72" s="58">
        <f t="shared" si="412"/>
        <v>44212</v>
      </c>
      <c r="KC72" s="57">
        <f t="shared" si="412"/>
        <v>44213</v>
      </c>
      <c r="KD72" s="58">
        <f t="shared" si="412"/>
        <v>44214</v>
      </c>
      <c r="KE72" s="58">
        <f t="shared" si="412"/>
        <v>44215</v>
      </c>
      <c r="KF72" s="58">
        <f t="shared" si="412"/>
        <v>44216</v>
      </c>
      <c r="KG72" s="58">
        <f t="shared" si="412"/>
        <v>44217</v>
      </c>
      <c r="KH72" s="58">
        <f t="shared" si="412"/>
        <v>44218</v>
      </c>
      <c r="KI72" s="58">
        <f t="shared" si="412"/>
        <v>44219</v>
      </c>
      <c r="KJ72" s="57">
        <f t="shared" si="412"/>
        <v>44220</v>
      </c>
      <c r="KK72" s="58">
        <f t="shared" si="412"/>
        <v>44221</v>
      </c>
      <c r="KL72" s="58">
        <f t="shared" si="412"/>
        <v>44222</v>
      </c>
      <c r="KM72" s="58">
        <f t="shared" si="412"/>
        <v>44223</v>
      </c>
      <c r="KN72" s="58">
        <f t="shared" si="412"/>
        <v>44224</v>
      </c>
      <c r="KO72" s="58">
        <f t="shared" si="412"/>
        <v>44225</v>
      </c>
      <c r="KP72" s="58">
        <f t="shared" si="412"/>
        <v>44226</v>
      </c>
      <c r="KQ72" s="57">
        <f t="shared" si="412"/>
        <v>44227</v>
      </c>
      <c r="KR72" s="58">
        <f t="shared" si="412"/>
        <v>44228</v>
      </c>
      <c r="KS72" s="58">
        <f t="shared" si="412"/>
        <v>44229</v>
      </c>
      <c r="KT72" s="58">
        <f t="shared" si="412"/>
        <v>44230</v>
      </c>
      <c r="KU72" s="58">
        <f t="shared" si="412"/>
        <v>44231</v>
      </c>
      <c r="KV72" s="58">
        <f t="shared" si="412"/>
        <v>44232</v>
      </c>
      <c r="KW72" s="58">
        <f t="shared" ref="KW72:MB72" si="413">KW41</f>
        <v>44233</v>
      </c>
      <c r="KX72" s="57">
        <f t="shared" si="413"/>
        <v>44234</v>
      </c>
      <c r="KY72" s="58">
        <f t="shared" si="413"/>
        <v>44235</v>
      </c>
      <c r="KZ72" s="58">
        <f t="shared" si="413"/>
        <v>44236</v>
      </c>
      <c r="LA72" s="58">
        <f t="shared" si="413"/>
        <v>44237</v>
      </c>
      <c r="LB72" s="58">
        <f t="shared" si="413"/>
        <v>44238</v>
      </c>
      <c r="LC72" s="58">
        <f t="shared" si="413"/>
        <v>44239</v>
      </c>
      <c r="LD72" s="58">
        <f t="shared" si="413"/>
        <v>44240</v>
      </c>
      <c r="LE72" s="57">
        <f t="shared" si="413"/>
        <v>44241</v>
      </c>
      <c r="LF72" s="58">
        <f t="shared" si="413"/>
        <v>44242</v>
      </c>
      <c r="LG72" s="58">
        <f t="shared" si="413"/>
        <v>44243</v>
      </c>
      <c r="LH72" s="58">
        <f t="shared" si="413"/>
        <v>44244</v>
      </c>
      <c r="LI72" s="58">
        <f t="shared" si="413"/>
        <v>44245</v>
      </c>
      <c r="LJ72" s="58">
        <f t="shared" si="413"/>
        <v>44246</v>
      </c>
      <c r="LK72" s="58">
        <f t="shared" si="413"/>
        <v>44247</v>
      </c>
      <c r="LL72" s="57">
        <f t="shared" si="413"/>
        <v>44248</v>
      </c>
      <c r="LM72" s="58">
        <f t="shared" si="413"/>
        <v>44249</v>
      </c>
      <c r="LN72" s="58">
        <f t="shared" si="413"/>
        <v>44250</v>
      </c>
      <c r="LO72" s="58">
        <f t="shared" si="413"/>
        <v>44251</v>
      </c>
      <c r="LP72" s="58">
        <f t="shared" si="413"/>
        <v>44252</v>
      </c>
      <c r="LQ72" s="58">
        <f t="shared" si="413"/>
        <v>44253</v>
      </c>
      <c r="LR72" s="58">
        <f t="shared" si="413"/>
        <v>44254</v>
      </c>
      <c r="LS72" s="57">
        <f t="shared" si="413"/>
        <v>44255</v>
      </c>
      <c r="LT72" s="58">
        <f t="shared" si="413"/>
        <v>44256</v>
      </c>
      <c r="LU72" s="58">
        <f t="shared" si="413"/>
        <v>44257</v>
      </c>
      <c r="LV72" s="58">
        <f t="shared" si="413"/>
        <v>44258</v>
      </c>
      <c r="LW72" s="58">
        <f t="shared" si="413"/>
        <v>44259</v>
      </c>
      <c r="LX72" s="58">
        <f t="shared" si="413"/>
        <v>44260</v>
      </c>
      <c r="LY72" s="58">
        <f t="shared" si="413"/>
        <v>44261</v>
      </c>
      <c r="LZ72" s="57">
        <f t="shared" si="413"/>
        <v>44262</v>
      </c>
      <c r="MA72" s="58">
        <f t="shared" si="413"/>
        <v>44263</v>
      </c>
      <c r="MB72" s="58">
        <f t="shared" si="413"/>
        <v>44264</v>
      </c>
      <c r="MC72" s="58">
        <f t="shared" ref="MC72:NB72" si="414">MC41</f>
        <v>44265</v>
      </c>
      <c r="MD72" s="58">
        <f t="shared" si="414"/>
        <v>44266</v>
      </c>
      <c r="ME72" s="58">
        <f t="shared" si="414"/>
        <v>44267</v>
      </c>
      <c r="MF72" s="58">
        <f t="shared" si="414"/>
        <v>44268</v>
      </c>
      <c r="MG72" s="57">
        <f t="shared" si="414"/>
        <v>44269</v>
      </c>
      <c r="MH72" s="58">
        <f t="shared" si="414"/>
        <v>44270</v>
      </c>
      <c r="MI72" s="58">
        <f t="shared" si="414"/>
        <v>44271</v>
      </c>
      <c r="MJ72" s="58">
        <f t="shared" si="414"/>
        <v>44272</v>
      </c>
      <c r="MK72" s="58">
        <f t="shared" si="414"/>
        <v>44273</v>
      </c>
      <c r="ML72" s="58">
        <f t="shared" si="414"/>
        <v>44274</v>
      </c>
      <c r="MM72" s="58">
        <f t="shared" si="414"/>
        <v>44275</v>
      </c>
      <c r="MN72" s="57">
        <f t="shared" si="414"/>
        <v>44276</v>
      </c>
      <c r="MO72" s="58">
        <f t="shared" si="414"/>
        <v>44277</v>
      </c>
      <c r="MP72" s="58">
        <f t="shared" si="414"/>
        <v>44278</v>
      </c>
      <c r="MQ72" s="58">
        <f t="shared" si="414"/>
        <v>44279</v>
      </c>
      <c r="MR72" s="58">
        <f t="shared" si="414"/>
        <v>44280</v>
      </c>
      <c r="MS72" s="58">
        <f t="shared" si="414"/>
        <v>44281</v>
      </c>
      <c r="MT72" s="58">
        <f t="shared" si="414"/>
        <v>44282</v>
      </c>
      <c r="MU72" s="57">
        <f t="shared" si="414"/>
        <v>44283</v>
      </c>
      <c r="MV72" s="58">
        <f t="shared" si="414"/>
        <v>44284</v>
      </c>
      <c r="MW72" s="58">
        <f t="shared" si="414"/>
        <v>44285</v>
      </c>
      <c r="MX72" s="58">
        <f t="shared" si="414"/>
        <v>44286</v>
      </c>
      <c r="MY72" s="58">
        <f t="shared" si="414"/>
        <v>44287</v>
      </c>
      <c r="MZ72" s="58">
        <f t="shared" si="414"/>
        <v>44288</v>
      </c>
      <c r="NA72" s="58">
        <f t="shared" si="414"/>
        <v>44289</v>
      </c>
      <c r="NB72" s="57">
        <f t="shared" si="414"/>
        <v>44290</v>
      </c>
    </row>
    <row r="73" spans="1:366" ht="15" customHeight="1" x14ac:dyDescent="0.25">
      <c r="A73" s="149"/>
      <c r="B73" s="149"/>
      <c r="C73" s="149"/>
      <c r="D73" s="149"/>
      <c r="E73" s="150"/>
      <c r="F73" s="28"/>
      <c r="G73" s="28"/>
      <c r="H73" s="28"/>
      <c r="I73" s="28"/>
      <c r="J73" s="28"/>
      <c r="K73" s="28"/>
      <c r="L73" s="28"/>
      <c r="M73" s="28"/>
      <c r="N73" s="28"/>
      <c r="O73" s="27"/>
      <c r="P73" s="152"/>
      <c r="Q73" s="160"/>
      <c r="R73" s="154"/>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391</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t="s">
        <v>38</v>
      </c>
      <c r="GR73" s="25"/>
      <c r="GS73" s="25"/>
      <c r="GT73" s="25"/>
      <c r="GU73" s="24"/>
      <c r="GV73" s="25"/>
      <c r="GW73" s="25" t="s">
        <v>38</v>
      </c>
      <c r="GX73" s="25"/>
      <c r="GY73" s="25" t="s">
        <v>38</v>
      </c>
      <c r="GZ73" s="25" t="s">
        <v>38</v>
      </c>
      <c r="HA73" s="25"/>
      <c r="HB73" s="25"/>
      <c r="HC73" s="25"/>
      <c r="HD73" s="24"/>
      <c r="HE73" s="25"/>
      <c r="HF73" s="25" t="s">
        <v>38</v>
      </c>
      <c r="HG73" s="25"/>
      <c r="HH73" s="25" t="s">
        <v>38</v>
      </c>
      <c r="HI73" s="25" t="s">
        <v>38</v>
      </c>
      <c r="HJ73" s="25"/>
      <c r="HK73" s="24"/>
      <c r="HL73" s="25"/>
      <c r="HM73" s="25" t="s">
        <v>38</v>
      </c>
      <c r="HN73" s="25"/>
      <c r="HO73" s="25" t="s">
        <v>38</v>
      </c>
      <c r="HP73" s="25" t="s">
        <v>38</v>
      </c>
      <c r="HQ73" s="25"/>
      <c r="HR73" s="24"/>
      <c r="HS73" s="25"/>
      <c r="HT73" s="25" t="s">
        <v>38</v>
      </c>
      <c r="HU73" s="25"/>
      <c r="HV73" s="25" t="s">
        <v>38</v>
      </c>
      <c r="HW73" s="25" t="s">
        <v>38</v>
      </c>
      <c r="HX73" s="25"/>
      <c r="HY73" s="24"/>
      <c r="HZ73" s="25"/>
      <c r="IA73" s="25" t="s">
        <v>38</v>
      </c>
      <c r="IB73" s="25"/>
      <c r="IC73" s="25" t="s">
        <v>38</v>
      </c>
      <c r="ID73" s="25" t="s">
        <v>38</v>
      </c>
      <c r="IE73" s="25"/>
      <c r="IF73" s="24"/>
      <c r="IG73" s="25"/>
      <c r="IH73" s="25" t="s">
        <v>38</v>
      </c>
      <c r="II73" s="25" t="s">
        <v>38</v>
      </c>
      <c r="IJ73" s="25"/>
      <c r="IK73" s="25" t="s">
        <v>38</v>
      </c>
      <c r="IL73" s="25"/>
      <c r="IM73" s="24"/>
      <c r="IN73" s="25"/>
      <c r="IO73" s="25" t="s">
        <v>38</v>
      </c>
      <c r="IP73" s="25"/>
      <c r="IQ73" s="25" t="s">
        <v>38</v>
      </c>
      <c r="IR73" s="25" t="s">
        <v>38</v>
      </c>
      <c r="IS73" s="25"/>
      <c r="IT73" s="24"/>
      <c r="IU73" s="25"/>
      <c r="IV73" s="25" t="s">
        <v>38</v>
      </c>
      <c r="IW73" s="25"/>
      <c r="IX73" s="25" t="s">
        <v>38</v>
      </c>
      <c r="IY73" s="25" t="s">
        <v>38</v>
      </c>
      <c r="IZ73" s="25"/>
      <c r="JA73" s="24"/>
      <c r="JB73" s="25"/>
      <c r="JC73" s="25" t="s">
        <v>38</v>
      </c>
      <c r="JD73" s="25"/>
      <c r="JE73" s="25" t="s">
        <v>38</v>
      </c>
      <c r="JF73" s="25" t="s">
        <v>38</v>
      </c>
      <c r="JG73" s="25"/>
      <c r="JH73" s="24"/>
      <c r="JI73" s="25"/>
      <c r="JJ73" s="25" t="s">
        <v>38</v>
      </c>
      <c r="JK73" s="25"/>
      <c r="JL73" s="25" t="s">
        <v>38</v>
      </c>
      <c r="JM73" s="25"/>
      <c r="JN73" s="25"/>
      <c r="JO73" s="24"/>
      <c r="JP73" s="25"/>
      <c r="JQ73" s="25" t="s">
        <v>38</v>
      </c>
      <c r="JR73" s="25"/>
      <c r="JS73" s="25" t="s">
        <v>38</v>
      </c>
      <c r="JT73" s="25" t="s">
        <v>38</v>
      </c>
      <c r="JU73" s="25"/>
      <c r="JV73" s="24"/>
      <c r="JW73" s="25"/>
      <c r="JX73" s="25" t="s">
        <v>38</v>
      </c>
      <c r="JY73" s="25"/>
      <c r="JZ73" s="25" t="s">
        <v>38</v>
      </c>
      <c r="KA73" s="25" t="s">
        <v>38</v>
      </c>
      <c r="KB73" s="25"/>
      <c r="KC73" s="24"/>
      <c r="KD73" s="25"/>
      <c r="KE73" s="25" t="s">
        <v>38</v>
      </c>
      <c r="KF73" s="25"/>
      <c r="KG73" s="25" t="s">
        <v>38</v>
      </c>
      <c r="KH73" s="25"/>
      <c r="KI73" s="25"/>
      <c r="KJ73" s="24"/>
      <c r="KK73" s="25"/>
      <c r="KL73" s="25" t="s">
        <v>38</v>
      </c>
      <c r="KM73" s="25"/>
      <c r="KN73" s="25" t="s">
        <v>38</v>
      </c>
      <c r="KO73" s="25" t="s">
        <v>38</v>
      </c>
      <c r="KP73" s="25"/>
      <c r="KQ73" s="24"/>
      <c r="KR73" s="25"/>
      <c r="KS73" s="25" t="s">
        <v>38</v>
      </c>
      <c r="KT73" s="25"/>
      <c r="KU73" s="25" t="s">
        <v>38</v>
      </c>
      <c r="KV73" s="25"/>
      <c r="KW73" s="25"/>
      <c r="KX73" s="24"/>
      <c r="KY73" s="25"/>
      <c r="KZ73" s="25" t="s">
        <v>38</v>
      </c>
      <c r="LA73" s="25"/>
      <c r="LB73" s="25" t="s">
        <v>38</v>
      </c>
      <c r="LC73" s="25" t="s">
        <v>38</v>
      </c>
      <c r="LD73" s="25"/>
      <c r="LE73" s="24"/>
      <c r="LF73" s="25"/>
      <c r="LG73" s="25" t="s">
        <v>38</v>
      </c>
      <c r="LH73" s="25"/>
      <c r="LI73" s="25" t="s">
        <v>38</v>
      </c>
      <c r="LJ73" s="25" t="s">
        <v>38</v>
      </c>
      <c r="LK73" s="25"/>
      <c r="LL73" s="24"/>
      <c r="LM73" s="25"/>
      <c r="LN73" s="25" t="s">
        <v>38</v>
      </c>
      <c r="LO73" s="25"/>
      <c r="LP73" s="25" t="s">
        <v>38</v>
      </c>
      <c r="LQ73" s="25" t="s">
        <v>38</v>
      </c>
      <c r="LR73" s="25"/>
      <c r="LS73" s="24"/>
      <c r="LT73" s="25"/>
      <c r="LU73" s="25" t="s">
        <v>38</v>
      </c>
      <c r="LV73" s="25"/>
      <c r="LW73" s="25" t="s">
        <v>38</v>
      </c>
      <c r="LX73" s="25" t="s">
        <v>38</v>
      </c>
      <c r="LY73" s="25"/>
      <c r="LZ73" s="26"/>
      <c r="MA73" s="25"/>
      <c r="MB73" s="25" t="s">
        <v>38</v>
      </c>
      <c r="MC73" s="25"/>
      <c r="MD73" s="25" t="s">
        <v>38</v>
      </c>
      <c r="ME73" s="25" t="s">
        <v>38</v>
      </c>
      <c r="MF73" s="25"/>
      <c r="MG73" s="24"/>
      <c r="MH73" s="25"/>
      <c r="MI73" s="25"/>
      <c r="MJ73" s="25"/>
      <c r="MK73" s="25"/>
      <c r="ML73" s="25"/>
      <c r="MM73" s="25"/>
      <c r="MN73" s="24"/>
      <c r="MO73" s="25"/>
      <c r="MP73" s="25"/>
      <c r="MQ73" s="25"/>
      <c r="MR73" s="25"/>
      <c r="MS73" s="25"/>
      <c r="MT73" s="25"/>
      <c r="MU73" s="24"/>
      <c r="MV73" s="25"/>
      <c r="MW73" s="25"/>
      <c r="MX73" s="25"/>
      <c r="MY73" s="25"/>
      <c r="MZ73" s="25"/>
      <c r="NA73" s="25"/>
      <c r="NB73" s="24"/>
    </row>
    <row r="74" spans="1:366" x14ac:dyDescent="0.25">
      <c r="A74" s="23" t="s">
        <v>16</v>
      </c>
      <c r="B74" s="20"/>
      <c r="C74" s="20"/>
      <c r="D74" s="20"/>
      <c r="E74" s="20"/>
      <c r="F74" s="22" t="str">
        <f t="shared" ref="F74:F79" si="415">IF($E74 &gt;= F$44, 1, "")</f>
        <v/>
      </c>
      <c r="G74" s="20"/>
      <c r="H74" s="20"/>
      <c r="I74" s="20" t="str">
        <f t="shared" ref="I74:L75" si="416">IF($E74 &gt;= I$44, 1, "")</f>
        <v/>
      </c>
      <c r="J74" s="20" t="str">
        <f t="shared" si="416"/>
        <v/>
      </c>
      <c r="K74" s="20" t="str">
        <f t="shared" si="416"/>
        <v/>
      </c>
      <c r="L74" s="20" t="str">
        <f t="shared" si="416"/>
        <v/>
      </c>
      <c r="M74" s="20"/>
      <c r="N74" s="20"/>
      <c r="O74" s="21"/>
      <c r="P74" s="20" t="str">
        <f t="shared" ref="P74:P79" si="417">IF(SUM(S74:NB74) &gt; 0, SUM(S74:NB74),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0"/>
      <c r="GT74" s="20"/>
      <c r="GU74" s="21"/>
      <c r="GV74" s="20"/>
      <c r="GW74" s="20"/>
      <c r="GX74" s="20"/>
      <c r="GY74" s="20"/>
      <c r="GZ74" s="20"/>
      <c r="HA74" s="20"/>
      <c r="HB74" s="20"/>
      <c r="HC74" s="20"/>
      <c r="HD74" s="21"/>
      <c r="HE74" s="20"/>
      <c r="HF74" s="20"/>
      <c r="HG74" s="20"/>
      <c r="HH74" s="20"/>
      <c r="HI74" s="20"/>
      <c r="HJ74" s="20"/>
      <c r="HK74" s="21"/>
      <c r="HL74" s="20"/>
      <c r="HM74" s="20"/>
      <c r="HN74" s="20"/>
      <c r="HO74" s="20"/>
      <c r="HP74" s="20"/>
      <c r="HQ74" s="20"/>
      <c r="HR74" s="21"/>
      <c r="HS74" s="20"/>
      <c r="HT74" s="20"/>
      <c r="HU74" s="20"/>
      <c r="HV74" s="20"/>
      <c r="HW74" s="20"/>
      <c r="HX74" s="20"/>
      <c r="HY74" s="21"/>
      <c r="HZ74" s="20"/>
      <c r="IA74" s="20"/>
      <c r="IB74" s="20"/>
      <c r="IC74" s="20"/>
      <c r="ID74" s="20"/>
      <c r="IE74" s="20"/>
      <c r="IF74" s="21"/>
      <c r="IG74" s="20"/>
      <c r="IH74" s="20"/>
      <c r="II74" s="20"/>
      <c r="IJ74" s="20"/>
      <c r="IK74" s="20"/>
      <c r="IL74" s="20"/>
      <c r="IM74" s="21"/>
      <c r="IN74" s="20"/>
      <c r="IO74" s="20"/>
      <c r="IP74" s="20"/>
      <c r="IQ74" s="20"/>
      <c r="IR74" s="20"/>
      <c r="IS74" s="20"/>
      <c r="IT74" s="21"/>
      <c r="IU74" s="20"/>
      <c r="IV74" s="20"/>
      <c r="IW74" s="20"/>
      <c r="IX74" s="20"/>
      <c r="IY74" s="20"/>
      <c r="IZ74" s="20"/>
      <c r="JA74" s="21"/>
      <c r="JB74" s="20"/>
      <c r="JC74" s="20"/>
      <c r="JD74" s="20"/>
      <c r="JE74" s="20"/>
      <c r="JF74" s="20"/>
      <c r="JG74" s="20"/>
      <c r="JH74" s="21"/>
      <c r="JI74" s="20"/>
      <c r="JJ74" s="20"/>
      <c r="JK74" s="20"/>
      <c r="JL74" s="20"/>
      <c r="JM74" s="20"/>
      <c r="JN74" s="20"/>
      <c r="JO74" s="21"/>
      <c r="JP74" s="20"/>
      <c r="JQ74" s="20"/>
      <c r="JR74" s="20"/>
      <c r="JS74" s="20"/>
      <c r="JT74" s="20"/>
      <c r="JU74" s="20"/>
      <c r="JV74" s="21"/>
      <c r="JW74" s="20"/>
      <c r="JX74" s="20"/>
      <c r="JY74" s="20"/>
      <c r="JZ74" s="20"/>
      <c r="KA74" s="20"/>
      <c r="KB74" s="20"/>
      <c r="KC74" s="21"/>
      <c r="KD74" s="20"/>
      <c r="KE74" s="20"/>
      <c r="KF74" s="20"/>
      <c r="KG74" s="20"/>
      <c r="KH74" s="20"/>
      <c r="KI74" s="20"/>
      <c r="KJ74" s="21"/>
      <c r="KK74" s="20"/>
      <c r="KL74" s="20"/>
      <c r="KM74" s="20"/>
      <c r="KN74" s="20"/>
      <c r="KO74" s="20"/>
      <c r="KP74" s="20"/>
      <c r="KQ74" s="21"/>
      <c r="KR74" s="20"/>
      <c r="KS74" s="20"/>
      <c r="KT74" s="20"/>
      <c r="KU74" s="20"/>
      <c r="KV74" s="20"/>
      <c r="KW74" s="20"/>
      <c r="KX74" s="21"/>
      <c r="KY74" s="20"/>
      <c r="KZ74" s="20"/>
      <c r="LA74" s="20"/>
      <c r="LB74" s="20"/>
      <c r="LC74" s="20"/>
      <c r="LD74" s="20"/>
      <c r="LE74" s="21"/>
      <c r="LF74" s="20"/>
      <c r="LG74" s="20"/>
      <c r="LH74" s="20"/>
      <c r="LI74" s="20"/>
      <c r="LJ74" s="20"/>
      <c r="LK74" s="20"/>
      <c r="LL74" s="21"/>
      <c r="LM74" s="20"/>
      <c r="LN74" s="20"/>
      <c r="LO74" s="20"/>
      <c r="LP74" s="20"/>
      <c r="LQ74" s="20"/>
      <c r="LR74" s="20"/>
      <c r="LS74" s="21"/>
      <c r="LT74" s="20"/>
      <c r="LU74" s="20"/>
      <c r="LV74" s="20"/>
      <c r="LW74" s="20"/>
      <c r="LX74" s="20"/>
      <c r="LY74" s="20"/>
      <c r="LZ74" s="21"/>
      <c r="MA74" s="20"/>
      <c r="MB74" s="20"/>
      <c r="MC74" s="20"/>
      <c r="MD74" s="20"/>
      <c r="ME74" s="20"/>
      <c r="MF74" s="20"/>
      <c r="MG74" s="21"/>
      <c r="MH74" s="20"/>
      <c r="MI74" s="20"/>
      <c r="MJ74" s="20"/>
      <c r="MK74" s="20"/>
      <c r="ML74" s="20"/>
      <c r="MM74" s="20"/>
      <c r="MN74" s="21"/>
      <c r="MO74" s="20"/>
      <c r="MP74" s="20"/>
      <c r="MQ74" s="20"/>
      <c r="MR74" s="20"/>
      <c r="MS74" s="20"/>
      <c r="MT74" s="20"/>
      <c r="MU74" s="21"/>
      <c r="MV74" s="20"/>
      <c r="MW74" s="20"/>
      <c r="MX74" s="20"/>
      <c r="MY74" s="20"/>
      <c r="MZ74" s="20"/>
      <c r="NA74" s="20"/>
      <c r="NB74" s="21"/>
    </row>
    <row r="75" spans="1:366" ht="7.5" customHeight="1" x14ac:dyDescent="0.25">
      <c r="A75" s="8"/>
      <c r="B75" s="8"/>
      <c r="C75" s="8"/>
      <c r="D75" s="8"/>
      <c r="E75" s="8"/>
      <c r="F75" s="10" t="str">
        <f t="shared" si="415"/>
        <v/>
      </c>
      <c r="G75" s="19"/>
      <c r="H75" s="19"/>
      <c r="I75" s="19" t="str">
        <f t="shared" si="416"/>
        <v/>
      </c>
      <c r="J75" s="19" t="str">
        <f t="shared" si="416"/>
        <v/>
      </c>
      <c r="K75" s="19" t="str">
        <f t="shared" si="416"/>
        <v/>
      </c>
      <c r="L75" s="19" t="str">
        <f t="shared" si="416"/>
        <v/>
      </c>
      <c r="M75" s="8"/>
      <c r="N75" s="8"/>
      <c r="O75" s="9"/>
      <c r="P75" s="8" t="str">
        <f t="shared" si="417"/>
        <v/>
      </c>
      <c r="Q75" s="108" t="str">
        <f t="shared" ref="Q75:Q80" si="418">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U75" s="7"/>
      <c r="HD75" s="7"/>
      <c r="HK75" s="7"/>
      <c r="HR75" s="7"/>
      <c r="HY75" s="7"/>
      <c r="IF75" s="7"/>
      <c r="IM75" s="7"/>
      <c r="IT75" s="7"/>
      <c r="JA75" s="7"/>
      <c r="JH75" s="7"/>
      <c r="JO75" s="7"/>
      <c r="JV75" s="7"/>
      <c r="KC75" s="7"/>
      <c r="KJ75" s="7"/>
      <c r="KQ75" s="7"/>
      <c r="KX75" s="7"/>
      <c r="LE75" s="7"/>
      <c r="LL75" s="7"/>
      <c r="LS75" s="7"/>
      <c r="LZ75" s="7"/>
      <c r="MG75" s="7"/>
      <c r="MN75" s="7"/>
      <c r="MU75" s="7"/>
      <c r="NB75" s="7"/>
    </row>
    <row r="76" spans="1:366" hidden="1" x14ac:dyDescent="0.25">
      <c r="A76" s="8" t="s">
        <v>37</v>
      </c>
      <c r="B76" s="8"/>
      <c r="C76" s="8" t="s">
        <v>36</v>
      </c>
      <c r="D76" s="8" t="s">
        <v>35</v>
      </c>
      <c r="E76" s="18">
        <v>39448</v>
      </c>
      <c r="F76" s="10">
        <f t="shared" si="415"/>
        <v>1</v>
      </c>
      <c r="G76" s="19">
        <f t="shared" ref="G76:H79" si="419">IF($E76 &gt;= G$44, 1, "")</f>
        <v>1</v>
      </c>
      <c r="H76" s="19">
        <f t="shared" si="419"/>
        <v>1</v>
      </c>
      <c r="I76" s="8">
        <f t="shared" ref="I76:L79" si="420">IF($E76 &gt;= I$44, 1, "")</f>
        <v>1</v>
      </c>
      <c r="J76" s="8">
        <f t="shared" si="420"/>
        <v>1</v>
      </c>
      <c r="K76" s="8" t="str">
        <f t="shared" si="420"/>
        <v/>
      </c>
      <c r="L76" s="8" t="str">
        <f t="shared" si="420"/>
        <v/>
      </c>
      <c r="M76" s="8"/>
      <c r="N76" s="8"/>
      <c r="O76" s="9"/>
      <c r="P76" s="8">
        <f t="shared" si="417"/>
        <v>8</v>
      </c>
      <c r="Q76" s="108">
        <f t="shared" si="418"/>
        <v>19.512195121951219</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U76" s="7"/>
      <c r="HD76" s="7"/>
      <c r="HK76" s="7"/>
      <c r="HR76" s="7"/>
      <c r="HY76" s="7"/>
      <c r="IF76" s="7"/>
      <c r="IM76" s="7"/>
      <c r="IT76" s="7"/>
      <c r="JA76" s="7"/>
      <c r="JH76" s="7"/>
      <c r="JO76" s="7"/>
      <c r="JV76" s="7"/>
      <c r="KC76" s="7"/>
      <c r="KJ76" s="7"/>
      <c r="KQ76" s="7"/>
      <c r="KX76" s="7"/>
      <c r="LE76" s="7"/>
      <c r="LL76" s="7"/>
      <c r="LS76" s="7"/>
      <c r="LZ76" s="7"/>
      <c r="MG76" s="7"/>
      <c r="MN76" s="7"/>
      <c r="MU76" s="7"/>
      <c r="NB76" s="7"/>
    </row>
    <row r="77" spans="1:366" x14ac:dyDescent="0.25">
      <c r="A77" s="8" t="s">
        <v>34</v>
      </c>
      <c r="B77" s="8"/>
      <c r="C77" s="8" t="s">
        <v>33</v>
      </c>
      <c r="D77" s="8" t="s">
        <v>32</v>
      </c>
      <c r="E77" s="18">
        <v>39649</v>
      </c>
      <c r="F77" s="10">
        <f t="shared" si="415"/>
        <v>1</v>
      </c>
      <c r="G77" s="19">
        <f t="shared" si="419"/>
        <v>1</v>
      </c>
      <c r="H77" s="19">
        <f t="shared" si="419"/>
        <v>1</v>
      </c>
      <c r="I77" s="8">
        <f t="shared" si="420"/>
        <v>1</v>
      </c>
      <c r="J77" s="8">
        <f t="shared" si="420"/>
        <v>1</v>
      </c>
      <c r="K77" s="8" t="str">
        <f t="shared" si="420"/>
        <v/>
      </c>
      <c r="L77" s="8" t="str">
        <f t="shared" si="420"/>
        <v/>
      </c>
      <c r="M77" s="8"/>
      <c r="N77" s="8"/>
      <c r="O77" s="9"/>
      <c r="P77" s="8">
        <f t="shared" si="417"/>
        <v>1</v>
      </c>
      <c r="Q77" s="108">
        <f t="shared" si="418"/>
        <v>2.4390243902439024</v>
      </c>
      <c r="R77" s="84"/>
      <c r="S77" s="7"/>
      <c r="Z77" s="7"/>
      <c r="AG77" s="7"/>
      <c r="AN77" s="7"/>
      <c r="AU77" s="7"/>
      <c r="BB77" s="7"/>
      <c r="BI77" s="7"/>
      <c r="BP77" s="7"/>
      <c r="BY77" s="7"/>
      <c r="CH77" s="7"/>
      <c r="CQ77" s="7"/>
      <c r="CZ77" s="7"/>
      <c r="DI77" s="7"/>
      <c r="DR77" s="7"/>
      <c r="EA77" s="7"/>
      <c r="EE77">
        <v>1</v>
      </c>
      <c r="EJ77" s="7"/>
      <c r="ES77" s="7"/>
      <c r="FB77" s="7"/>
      <c r="FK77" s="7"/>
      <c r="FT77" s="7"/>
      <c r="GC77" s="7"/>
      <c r="GL77" s="7"/>
      <c r="GU77" s="7"/>
      <c r="HD77" s="7"/>
      <c r="HK77" s="7"/>
      <c r="HR77" s="7"/>
      <c r="HY77" s="7"/>
      <c r="IF77" s="7"/>
      <c r="IM77" s="7"/>
      <c r="IT77" s="7"/>
      <c r="JA77" s="7"/>
      <c r="JH77" s="7"/>
      <c r="JO77" s="7"/>
      <c r="JV77" s="7"/>
      <c r="KC77" s="7"/>
      <c r="KJ77" s="7"/>
      <c r="KQ77" s="7"/>
      <c r="KX77" s="7"/>
      <c r="LE77" s="7"/>
      <c r="LL77" s="7"/>
      <c r="LS77" s="7"/>
      <c r="LZ77" s="7"/>
      <c r="MG77" s="7"/>
      <c r="MN77" s="7"/>
      <c r="MU77" s="7"/>
      <c r="NB77" s="7"/>
    </row>
    <row r="78" spans="1:366" x14ac:dyDescent="0.25">
      <c r="A78" s="8" t="s">
        <v>31</v>
      </c>
      <c r="B78" s="8"/>
      <c r="C78" s="8" t="s">
        <v>30</v>
      </c>
      <c r="D78" s="8" t="s">
        <v>29</v>
      </c>
      <c r="E78" s="18">
        <v>39453</v>
      </c>
      <c r="F78" s="10">
        <f t="shared" si="415"/>
        <v>1</v>
      </c>
      <c r="G78" s="19">
        <f t="shared" si="419"/>
        <v>1</v>
      </c>
      <c r="H78" s="19">
        <f t="shared" si="419"/>
        <v>1</v>
      </c>
      <c r="I78" s="8">
        <f t="shared" si="420"/>
        <v>1</v>
      </c>
      <c r="J78" s="8">
        <f t="shared" si="420"/>
        <v>1</v>
      </c>
      <c r="K78" s="8" t="str">
        <f t="shared" si="420"/>
        <v/>
      </c>
      <c r="L78" s="8" t="str">
        <f t="shared" si="420"/>
        <v/>
      </c>
      <c r="M78" s="8"/>
      <c r="N78" s="8"/>
      <c r="O78" s="9"/>
      <c r="P78" s="8">
        <f t="shared" si="417"/>
        <v>33</v>
      </c>
      <c r="Q78" s="108">
        <f t="shared" si="418"/>
        <v>80.487804878048792</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G78">
        <v>1</v>
      </c>
      <c r="GH78">
        <v>1</v>
      </c>
      <c r="GL78" s="7"/>
      <c r="GN78">
        <v>1</v>
      </c>
      <c r="GP78">
        <v>1</v>
      </c>
      <c r="GQ78">
        <v>1</v>
      </c>
      <c r="GU78" s="7"/>
      <c r="HD78" s="7"/>
      <c r="HK78" s="7"/>
      <c r="HR78" s="7"/>
      <c r="HY78" s="7"/>
      <c r="IF78" s="7"/>
      <c r="IM78" s="7"/>
      <c r="IT78" s="7"/>
      <c r="JA78" s="7"/>
      <c r="JH78" s="7"/>
      <c r="JO78" s="7"/>
      <c r="JV78" s="7"/>
      <c r="KC78" s="7"/>
      <c r="KJ78" s="7"/>
      <c r="KQ78" s="7"/>
      <c r="KX78" s="7"/>
      <c r="LE78" s="7"/>
      <c r="LL78" s="7"/>
      <c r="LS78" s="7"/>
      <c r="LZ78" s="7"/>
      <c r="MG78" s="7"/>
      <c r="MN78" s="7"/>
      <c r="MU78" s="7"/>
      <c r="NB78" s="7"/>
    </row>
    <row r="79" spans="1:366" x14ac:dyDescent="0.25">
      <c r="A79" s="8" t="s">
        <v>28</v>
      </c>
      <c r="B79" s="8"/>
      <c r="C79" s="8" t="s">
        <v>27</v>
      </c>
      <c r="D79" s="8" t="s">
        <v>26</v>
      </c>
      <c r="E79" s="18">
        <v>39802</v>
      </c>
      <c r="F79" s="10">
        <f t="shared" si="415"/>
        <v>1</v>
      </c>
      <c r="G79" s="19">
        <f t="shared" si="419"/>
        <v>1</v>
      </c>
      <c r="H79" s="19">
        <f t="shared" si="419"/>
        <v>1</v>
      </c>
      <c r="I79" s="8">
        <f t="shared" si="420"/>
        <v>1</v>
      </c>
      <c r="J79" s="8">
        <f t="shared" si="420"/>
        <v>1</v>
      </c>
      <c r="K79" s="8" t="str">
        <f t="shared" si="420"/>
        <v/>
      </c>
      <c r="L79" s="8" t="str">
        <f t="shared" si="420"/>
        <v/>
      </c>
      <c r="M79" s="8"/>
      <c r="N79" s="8"/>
      <c r="O79" s="9"/>
      <c r="P79" s="8">
        <f t="shared" si="417"/>
        <v>12</v>
      </c>
      <c r="Q79" s="108">
        <f t="shared" si="418"/>
        <v>29.268292682926827</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P79">
        <v>1</v>
      </c>
      <c r="GU79" s="7"/>
      <c r="HD79" s="7"/>
      <c r="HK79" s="7"/>
      <c r="HR79" s="7"/>
      <c r="HY79" s="7"/>
      <c r="IF79" s="7"/>
      <c r="IM79" s="7"/>
      <c r="IT79" s="7"/>
      <c r="JA79" s="7"/>
      <c r="JH79" s="7"/>
      <c r="JO79" s="7"/>
      <c r="JV79" s="7"/>
      <c r="KC79" s="7"/>
      <c r="KJ79" s="7"/>
      <c r="KQ79" s="7"/>
      <c r="KX79" s="7"/>
      <c r="LE79" s="7"/>
      <c r="LL79" s="7"/>
      <c r="LS79" s="7"/>
      <c r="LZ79" s="7"/>
      <c r="MG79" s="7"/>
      <c r="MN79" s="7"/>
      <c r="MU79" s="7"/>
      <c r="NB79" s="7"/>
    </row>
    <row r="80" spans="1:366" ht="7.5" customHeight="1" x14ac:dyDescent="0.25">
      <c r="A80" s="8"/>
      <c r="B80" s="8"/>
      <c r="C80" s="8"/>
      <c r="D80" s="8"/>
      <c r="E80" s="8"/>
      <c r="F80" s="10"/>
      <c r="G80" s="19"/>
      <c r="H80" s="19"/>
      <c r="I80" s="8"/>
      <c r="J80" s="8"/>
      <c r="K80" s="8"/>
      <c r="L80" s="8"/>
      <c r="M80" s="8"/>
      <c r="N80" s="8"/>
      <c r="O80" s="9"/>
      <c r="P80" s="8" t="str">
        <f>IF(SUM(R80:NB80) &gt; 0, SUM(R80:NB80), "")</f>
        <v/>
      </c>
      <c r="Q80" s="108" t="str">
        <f t="shared" si="418"/>
        <v/>
      </c>
      <c r="R80" s="84"/>
      <c r="S80" s="7"/>
      <c r="Z80" s="7"/>
      <c r="AG80" s="7"/>
      <c r="AN80" s="7"/>
      <c r="AU80" s="7"/>
      <c r="BB80" s="7"/>
      <c r="BI80" s="7"/>
      <c r="BP80" s="7"/>
      <c r="BY80" s="7"/>
      <c r="CH80" s="7"/>
      <c r="CQ80" s="7"/>
      <c r="CZ80" s="7"/>
      <c r="DI80" s="7"/>
      <c r="DR80" s="7"/>
      <c r="EA80" s="7"/>
      <c r="EJ80" s="7"/>
      <c r="ES80" s="7"/>
      <c r="FB80" s="7"/>
      <c r="FK80" s="7"/>
      <c r="FT80" s="7"/>
      <c r="GC80" s="7"/>
      <c r="GL80" s="7"/>
      <c r="GU80" s="7"/>
      <c r="HD80" s="7"/>
      <c r="HK80" s="7"/>
      <c r="HR80" s="7"/>
      <c r="HY80" s="7"/>
      <c r="IF80" s="7"/>
      <c r="IM80" s="7"/>
      <c r="IT80" s="7"/>
      <c r="JA80" s="7"/>
      <c r="JH80" s="7"/>
      <c r="JO80" s="7"/>
      <c r="JV80" s="7"/>
      <c r="KC80" s="7"/>
      <c r="KJ80" s="7"/>
      <c r="KQ80" s="7"/>
      <c r="KX80" s="7"/>
      <c r="LE80" s="7"/>
      <c r="LL80" s="7"/>
      <c r="LS80" s="7"/>
      <c r="LZ80" s="7"/>
      <c r="MG80" s="7"/>
      <c r="MN80" s="7"/>
      <c r="MU80" s="7"/>
      <c r="NB80" s="7"/>
    </row>
    <row r="81" spans="1:366" ht="15" customHeight="1" thickBot="1" x14ac:dyDescent="0.3">
      <c r="A81" s="20" t="s">
        <v>18</v>
      </c>
      <c r="B81" s="20"/>
      <c r="C81" s="20"/>
      <c r="D81" s="20"/>
      <c r="E81" s="21"/>
      <c r="F81" s="20"/>
      <c r="G81" s="20"/>
      <c r="H81" s="20"/>
      <c r="I81" s="20"/>
      <c r="J81" s="20"/>
      <c r="K81" s="20"/>
      <c r="L81" s="20"/>
      <c r="M81" s="20"/>
      <c r="N81" s="20"/>
      <c r="O81" s="21"/>
      <c r="P81" s="60">
        <f>SUM(S81:NB81)</f>
        <v>41</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v>1</v>
      </c>
      <c r="GH81" s="20">
        <v>1</v>
      </c>
      <c r="GI81" s="20"/>
      <c r="GJ81" s="20"/>
      <c r="GK81" s="20"/>
      <c r="GL81" s="21"/>
      <c r="GM81" s="20"/>
      <c r="GN81" s="20">
        <v>1</v>
      </c>
      <c r="GO81" s="20"/>
      <c r="GP81" s="20">
        <v>1</v>
      </c>
      <c r="GQ81" s="20">
        <v>1</v>
      </c>
      <c r="GR81" s="20"/>
      <c r="GS81" s="20"/>
      <c r="GT81" s="20"/>
      <c r="GU81" s="21"/>
      <c r="GV81" s="20"/>
      <c r="GW81" s="20"/>
      <c r="GX81" s="20"/>
      <c r="GY81" s="20"/>
      <c r="GZ81" s="20"/>
      <c r="HA81" s="20"/>
      <c r="HB81" s="20"/>
      <c r="HC81" s="20"/>
      <c r="HD81" s="21"/>
      <c r="HE81" s="20"/>
      <c r="HF81" s="20"/>
      <c r="HG81" s="20"/>
      <c r="HH81" s="20"/>
      <c r="HI81" s="20"/>
      <c r="HJ81" s="20"/>
      <c r="HK81" s="21"/>
      <c r="HL81" s="20"/>
      <c r="HM81" s="20"/>
      <c r="HN81" s="20"/>
      <c r="HO81" s="20"/>
      <c r="HP81" s="20"/>
      <c r="HQ81" s="20"/>
      <c r="HR81" s="21"/>
      <c r="HS81" s="20"/>
      <c r="HT81" s="20"/>
      <c r="HU81" s="20"/>
      <c r="HV81" s="20"/>
      <c r="HW81" s="20"/>
      <c r="HX81" s="20"/>
      <c r="HY81" s="21"/>
      <c r="HZ81" s="20"/>
      <c r="IA81" s="20"/>
      <c r="IB81" s="20"/>
      <c r="IC81" s="20"/>
      <c r="ID81" s="20"/>
      <c r="IE81" s="20"/>
      <c r="IF81" s="21"/>
      <c r="IG81" s="20"/>
      <c r="IH81" s="20"/>
      <c r="II81" s="20"/>
      <c r="IJ81" s="20"/>
      <c r="IK81" s="20"/>
      <c r="IL81" s="20"/>
      <c r="IM81" s="21"/>
      <c r="IN81" s="20"/>
      <c r="IO81" s="20"/>
      <c r="IP81" s="20"/>
      <c r="IQ81" s="20"/>
      <c r="IR81" s="20"/>
      <c r="IS81" s="20"/>
      <c r="IT81" s="21"/>
      <c r="IU81" s="20"/>
      <c r="IV81" s="20"/>
      <c r="IW81" s="20"/>
      <c r="IX81" s="20"/>
      <c r="IY81" s="20"/>
      <c r="IZ81" s="20"/>
      <c r="JA81" s="21"/>
      <c r="JB81" s="20"/>
      <c r="JC81" s="20"/>
      <c r="JD81" s="20"/>
      <c r="JE81" s="20"/>
      <c r="JF81" s="20"/>
      <c r="JG81" s="20"/>
      <c r="JH81" s="21"/>
      <c r="JI81" s="20"/>
      <c r="JJ81" s="20"/>
      <c r="JK81" s="20"/>
      <c r="JL81" s="20"/>
      <c r="JM81" s="20"/>
      <c r="JN81" s="20"/>
      <c r="JO81" s="21"/>
      <c r="JP81" s="20"/>
      <c r="JQ81" s="20"/>
      <c r="JR81" s="20"/>
      <c r="JS81" s="20"/>
      <c r="JT81" s="20"/>
      <c r="JU81" s="20"/>
      <c r="JV81" s="21"/>
      <c r="JW81" s="20"/>
      <c r="JX81" s="20"/>
      <c r="JY81" s="20"/>
      <c r="JZ81" s="20"/>
      <c r="KA81" s="20"/>
      <c r="KB81" s="20"/>
      <c r="KC81" s="21"/>
      <c r="KD81" s="20"/>
      <c r="KE81" s="20"/>
      <c r="KF81" s="20"/>
      <c r="KG81" s="20"/>
      <c r="KH81" s="20"/>
      <c r="KI81" s="20"/>
      <c r="KJ81" s="21"/>
      <c r="KK81" s="20"/>
      <c r="KL81" s="20"/>
      <c r="KM81" s="20"/>
      <c r="KN81" s="20"/>
      <c r="KO81" s="20"/>
      <c r="KP81" s="20"/>
      <c r="KQ81" s="21"/>
      <c r="KR81" s="20"/>
      <c r="KS81" s="20"/>
      <c r="KT81" s="20"/>
      <c r="KU81" s="20"/>
      <c r="KV81" s="20"/>
      <c r="KW81" s="20"/>
      <c r="KX81" s="21"/>
      <c r="KY81" s="20"/>
      <c r="KZ81" s="20"/>
      <c r="LA81" s="20"/>
      <c r="LB81" s="20"/>
      <c r="LC81" s="20"/>
      <c r="LD81" s="20"/>
      <c r="LE81" s="21"/>
      <c r="LF81" s="20"/>
      <c r="LG81" s="20"/>
      <c r="LH81" s="20"/>
      <c r="LI81" s="20"/>
      <c r="LJ81" s="20"/>
      <c r="LK81" s="20"/>
      <c r="LL81" s="21"/>
      <c r="LM81" s="20"/>
      <c r="LN81" s="20"/>
      <c r="LO81" s="20"/>
      <c r="LP81" s="20"/>
      <c r="LQ81" s="20"/>
      <c r="LR81" s="20"/>
      <c r="LS81" s="21"/>
      <c r="LT81" s="20"/>
      <c r="LU81" s="20"/>
      <c r="LV81" s="20"/>
      <c r="LW81" s="20"/>
      <c r="LX81" s="20"/>
      <c r="LY81" s="20"/>
      <c r="LZ81" s="21"/>
      <c r="MA81" s="20"/>
      <c r="MB81" s="20"/>
      <c r="MC81" s="20"/>
      <c r="MD81" s="20"/>
      <c r="ME81" s="20"/>
      <c r="MF81" s="20"/>
      <c r="MG81" s="21"/>
      <c r="MH81" s="20"/>
      <c r="MI81" s="20"/>
      <c r="MJ81" s="20"/>
      <c r="MK81" s="20"/>
      <c r="ML81" s="20"/>
      <c r="MM81" s="20"/>
      <c r="MN81" s="21"/>
      <c r="MO81" s="20"/>
      <c r="MP81" s="20"/>
      <c r="MQ81" s="20"/>
      <c r="MR81" s="20"/>
      <c r="MS81" s="20"/>
      <c r="MT81" s="20"/>
      <c r="MU81" s="21"/>
      <c r="MV81" s="20"/>
      <c r="MW81" s="20"/>
      <c r="MX81" s="20"/>
      <c r="MY81" s="20"/>
      <c r="MZ81" s="20"/>
      <c r="NA81" s="20"/>
      <c r="NB81" s="21"/>
    </row>
    <row r="82" spans="1:366" ht="15.75" thickBot="1" x14ac:dyDescent="0.3">
      <c r="A82" s="64" t="s">
        <v>248</v>
      </c>
      <c r="B82" s="62"/>
      <c r="C82" s="62"/>
      <c r="D82" s="62"/>
      <c r="E82" s="63"/>
      <c r="F82" s="62"/>
      <c r="G82" s="62"/>
      <c r="H82" s="62"/>
      <c r="I82" s="62"/>
      <c r="J82" s="62"/>
      <c r="K82" s="62"/>
      <c r="L82" s="62"/>
      <c r="M82" s="62"/>
      <c r="N82" s="62"/>
      <c r="O82" s="63"/>
      <c r="P82" s="85">
        <f>VisibleSum(P76:P79)</f>
        <v>15</v>
      </c>
      <c r="Q82" s="62">
        <f>P82 / P81 * 100</f>
        <v>36.585365853658537</v>
      </c>
      <c r="R82" s="86"/>
      <c r="S82" s="63" t="str">
        <f>IF(SUM(S45:S68, S76:S79) &gt; 0, SUM(S45:S68, S76:S79), "")</f>
        <v/>
      </c>
      <c r="T82" s="62" t="str">
        <f t="shared" ref="T82:U82" si="421">IF(SUM(T75:T80) &gt; 0, SUM(T75:T80), "")</f>
        <v/>
      </c>
      <c r="U82" s="62" t="str">
        <f t="shared" si="421"/>
        <v/>
      </c>
      <c r="V82" s="62" t="str">
        <f t="shared" ref="V82" si="422">IF(SUM(V75:V80) &gt; 0, SUM(V75:V80), "")</f>
        <v/>
      </c>
      <c r="W82" s="62" t="str">
        <f t="shared" ref="W82" si="423">IF(SUM(W75:W80) &gt; 0, SUM(W75:W80), "")</f>
        <v/>
      </c>
      <c r="X82" s="62" t="str">
        <f t="shared" ref="X82" si="424">IF(SUM(X75:X80) &gt; 0, SUM(X75:X80), "")</f>
        <v/>
      </c>
      <c r="Y82" s="62" t="str">
        <f t="shared" ref="Y82" si="425">IF(SUM(Y75:Y80) &gt; 0, SUM(Y75:Y80), "")</f>
        <v/>
      </c>
      <c r="Z82" s="63" t="str">
        <f t="shared" ref="Z82:AB82" si="426">IF(SUM(Z75:Z80) &gt; 0, SUM(Z75:Z80), "")</f>
        <v/>
      </c>
      <c r="AA82" s="62" t="str">
        <f t="shared" si="426"/>
        <v/>
      </c>
      <c r="AB82" s="62" t="str">
        <f t="shared" si="426"/>
        <v/>
      </c>
      <c r="AC82" s="62" t="str">
        <f t="shared" ref="AC82" si="427">IF(SUM(AC75:AC80) &gt; 0, SUM(AC75:AC80), "")</f>
        <v/>
      </c>
      <c r="AD82" s="62" t="str">
        <f t="shared" ref="AD82" si="428">IF(SUM(AD75:AD80) &gt; 0, SUM(AD75:AD80), "")</f>
        <v/>
      </c>
      <c r="AE82" s="62" t="str">
        <f t="shared" ref="AE82" si="429">IF(SUM(AE75:AE80) &gt; 0, SUM(AE75:AE80), "")</f>
        <v/>
      </c>
      <c r="AF82" s="62" t="str">
        <f t="shared" ref="AF82" si="430">IF(SUM(AF75:AF80) &gt; 0, SUM(AF75:AF80), "")</f>
        <v/>
      </c>
      <c r="AG82" s="63" t="str">
        <f t="shared" ref="AG82" si="431">IF(SUM(AG75:AG80) &gt; 0, SUM(AG75:AG80), "")</f>
        <v/>
      </c>
      <c r="AH82" s="62" t="str">
        <f>IF(SUM(AH75:AH80) &gt; 0, SUM(AH75:AH80), "")</f>
        <v/>
      </c>
      <c r="AI82" s="62" t="str">
        <f>IF(SUM(AI75:AI80) &gt; 0, SUM(AI75:AI80), "")</f>
        <v/>
      </c>
      <c r="AJ82" s="62" t="str">
        <f t="shared" ref="AJ82:AN82" si="432">IF(SUM(AJ75:AJ80) &gt; 0, SUM(AJ75:AJ80), "")</f>
        <v/>
      </c>
      <c r="AK82" s="62">
        <f t="shared" si="432"/>
        <v>3</v>
      </c>
      <c r="AL82" s="62" t="str">
        <f t="shared" si="432"/>
        <v/>
      </c>
      <c r="AM82" s="62" t="str">
        <f t="shared" si="432"/>
        <v/>
      </c>
      <c r="AN82" s="63" t="str">
        <f t="shared" si="432"/>
        <v/>
      </c>
      <c r="AO82" s="62" t="str">
        <f>IF(SUM(AO75:AO80) &gt; 0, SUM(AO75:AO80), "")</f>
        <v/>
      </c>
      <c r="AP82" s="62">
        <f>IF(SUM(AP75:AP80) &gt; 0, SUM(AP75:AP80), "")</f>
        <v>2</v>
      </c>
      <c r="AQ82" s="62" t="str">
        <f t="shared" ref="AQ82" si="433">IF(SUM(AQ75:AQ80) &gt; 0, SUM(AQ75:AQ80), "")</f>
        <v/>
      </c>
      <c r="AR82" s="62">
        <f t="shared" ref="AR82" si="434">IF(SUM(AR75:AR80) &gt; 0, SUM(AR75:AR80), "")</f>
        <v>1</v>
      </c>
      <c r="AS82" s="62" t="str">
        <f t="shared" ref="AS82" si="435">IF(SUM(AS75:AS80) &gt; 0, SUM(AS75:AS80), "")</f>
        <v/>
      </c>
      <c r="AT82" s="62" t="str">
        <f t="shared" ref="AT82" si="436">IF(SUM(AT75:AT80) &gt; 0, SUM(AT75:AT80), "")</f>
        <v/>
      </c>
      <c r="AU82" s="63" t="str">
        <f t="shared" ref="AU82" si="437">IF(SUM(AU75:AU80) &gt; 0, SUM(AU75:AU80), "")</f>
        <v/>
      </c>
      <c r="AV82" s="62" t="str">
        <f>IF(SUM(AV75:AV80) &gt; 0, SUM(AV75:AV80), "")</f>
        <v/>
      </c>
      <c r="AW82" s="62">
        <f>IF(SUM(AW75:AW80) &gt; 0, SUM(AW75:AW80), "")</f>
        <v>2</v>
      </c>
      <c r="AX82" s="62" t="str">
        <f t="shared" ref="AX82" si="438">IF(SUM(AX75:AX80) &gt; 0, SUM(AX75:AX80), "")</f>
        <v/>
      </c>
      <c r="AY82" s="62">
        <f t="shared" ref="AY82" si="439">IF(SUM(AY75:AY80) &gt; 0, SUM(AY75:AY80), "")</f>
        <v>1</v>
      </c>
      <c r="AZ82" s="62" t="str">
        <f t="shared" ref="AZ82" si="440">IF(SUM(AZ75:AZ80) &gt; 0, SUM(AZ75:AZ80), "")</f>
        <v/>
      </c>
      <c r="BA82" s="62" t="str">
        <f t="shared" ref="BA82" si="441">IF(SUM(BA75:BA80) &gt; 0, SUM(BA75:BA80), "")</f>
        <v/>
      </c>
      <c r="BB82" s="63" t="str">
        <f t="shared" ref="BB82" si="442">IF(SUM(BB75:BB80) &gt; 0, SUM(BB75:BB80), "")</f>
        <v/>
      </c>
      <c r="BC82" s="62" t="str">
        <f>IF(SUM(BC75:BC80) &gt; 0, SUM(BC75:BC80), "")</f>
        <v/>
      </c>
      <c r="BD82" s="62">
        <f>IF(SUM(BD75:BD80) &gt; 0, SUM(BD75:BD80), "")</f>
        <v>3</v>
      </c>
      <c r="BE82" s="62" t="str">
        <f t="shared" ref="BE82:ED82" si="443">IF(SUM(BE75:BE80) &gt; 0, SUM(BE75:BE80), "")</f>
        <v/>
      </c>
      <c r="BF82" s="62">
        <f t="shared" si="443"/>
        <v>2</v>
      </c>
      <c r="BG82" s="62" t="str">
        <f t="shared" si="443"/>
        <v/>
      </c>
      <c r="BH82" s="62" t="str">
        <f t="shared" si="443"/>
        <v/>
      </c>
      <c r="BI82" s="63" t="str">
        <f t="shared" si="443"/>
        <v/>
      </c>
      <c r="BJ82" s="62" t="str">
        <f t="shared" si="443"/>
        <v/>
      </c>
      <c r="BK82" s="62">
        <f t="shared" si="443"/>
        <v>2</v>
      </c>
      <c r="BL82" s="62" t="str">
        <f t="shared" si="443"/>
        <v/>
      </c>
      <c r="BM82" s="62">
        <f t="shared" si="443"/>
        <v>3</v>
      </c>
      <c r="BN82" s="62">
        <f t="shared" si="443"/>
        <v>2</v>
      </c>
      <c r="BO82" s="62" t="str">
        <f t="shared" si="443"/>
        <v/>
      </c>
      <c r="BP82" s="63">
        <f t="shared" si="443"/>
        <v>1</v>
      </c>
      <c r="BQ82" s="62" t="str">
        <f t="shared" si="443"/>
        <v/>
      </c>
      <c r="BR82" s="62" t="str">
        <f t="shared" si="443"/>
        <v/>
      </c>
      <c r="BS82" s="62" t="str">
        <f t="shared" si="443"/>
        <v/>
      </c>
      <c r="BT82" s="62" t="str">
        <f t="shared" si="443"/>
        <v/>
      </c>
      <c r="BU82" s="62" t="str">
        <f t="shared" si="443"/>
        <v/>
      </c>
      <c r="BV82" s="62" t="str">
        <f t="shared" si="443"/>
        <v/>
      </c>
      <c r="BW82" s="62">
        <f t="shared" ref="BW82" si="444">IF(SUM(BW75:BW80) &gt; 0, SUM(BW75:BW80), "")</f>
        <v>2</v>
      </c>
      <c r="BX82" s="62"/>
      <c r="BY82" s="63" t="str">
        <f t="shared" si="443"/>
        <v/>
      </c>
      <c r="BZ82" s="62" t="str">
        <f t="shared" si="443"/>
        <v/>
      </c>
      <c r="CA82" s="62" t="str">
        <f t="shared" si="443"/>
        <v/>
      </c>
      <c r="CB82" s="62" t="str">
        <f t="shared" si="443"/>
        <v/>
      </c>
      <c r="CC82" s="62" t="str">
        <f t="shared" si="443"/>
        <v/>
      </c>
      <c r="CD82" s="62" t="str">
        <f t="shared" si="443"/>
        <v/>
      </c>
      <c r="CE82" s="62" t="str">
        <f t="shared" si="443"/>
        <v/>
      </c>
      <c r="CF82" s="62"/>
      <c r="CG82" s="62"/>
      <c r="CH82" s="63" t="str">
        <f t="shared" si="443"/>
        <v/>
      </c>
      <c r="CI82" s="62" t="str">
        <f t="shared" si="443"/>
        <v/>
      </c>
      <c r="CJ82" s="62" t="str">
        <f t="shared" si="443"/>
        <v/>
      </c>
      <c r="CK82" s="62" t="str">
        <f t="shared" si="443"/>
        <v/>
      </c>
      <c r="CL82" s="62" t="str">
        <f t="shared" si="443"/>
        <v/>
      </c>
      <c r="CM82" s="62" t="str">
        <f t="shared" si="443"/>
        <v/>
      </c>
      <c r="CN82" s="62" t="str">
        <f t="shared" si="443"/>
        <v/>
      </c>
      <c r="CO82" s="62" t="str">
        <f t="shared" ref="CO82" si="445">IF(SUM(CO75:CO80) &gt; 0, SUM(CO75:CO80), "")</f>
        <v/>
      </c>
      <c r="CP82" s="62"/>
      <c r="CQ82" s="63" t="str">
        <f t="shared" si="443"/>
        <v/>
      </c>
      <c r="CR82" s="62" t="str">
        <f t="shared" si="443"/>
        <v/>
      </c>
      <c r="CS82" s="62" t="str">
        <f t="shared" si="443"/>
        <v/>
      </c>
      <c r="CT82" s="62" t="str">
        <f t="shared" si="443"/>
        <v/>
      </c>
      <c r="CU82" s="62" t="str">
        <f t="shared" si="443"/>
        <v/>
      </c>
      <c r="CV82" s="62" t="str">
        <f t="shared" si="443"/>
        <v/>
      </c>
      <c r="CW82" s="62"/>
      <c r="CX82" s="62"/>
      <c r="CY82" s="62" t="str">
        <f t="shared" si="443"/>
        <v/>
      </c>
      <c r="CZ82" s="63" t="str">
        <f t="shared" si="443"/>
        <v/>
      </c>
      <c r="DA82" s="62" t="str">
        <f t="shared" si="443"/>
        <v/>
      </c>
      <c r="DB82" s="62" t="str">
        <f t="shared" si="443"/>
        <v/>
      </c>
      <c r="DC82" s="62" t="str">
        <f t="shared" si="443"/>
        <v/>
      </c>
      <c r="DD82" s="62" t="str">
        <f t="shared" si="443"/>
        <v/>
      </c>
      <c r="DE82" s="62" t="str">
        <f t="shared" si="443"/>
        <v/>
      </c>
      <c r="DF82" s="62" t="str">
        <f t="shared" si="443"/>
        <v/>
      </c>
      <c r="DG82" s="62"/>
      <c r="DH82" s="62"/>
      <c r="DI82" s="63" t="str">
        <f t="shared" si="443"/>
        <v/>
      </c>
      <c r="DJ82" s="62" t="str">
        <f t="shared" si="443"/>
        <v/>
      </c>
      <c r="DK82" s="62" t="str">
        <f t="shared" si="443"/>
        <v/>
      </c>
      <c r="DL82" s="62" t="str">
        <f t="shared" si="443"/>
        <v/>
      </c>
      <c r="DM82" s="62" t="str">
        <f t="shared" si="443"/>
        <v/>
      </c>
      <c r="DN82" s="62" t="str">
        <f t="shared" si="443"/>
        <v/>
      </c>
      <c r="DO82" s="62" t="str">
        <f t="shared" si="443"/>
        <v/>
      </c>
      <c r="DP82" s="62"/>
      <c r="DQ82" s="62"/>
      <c r="DR82" s="63" t="str">
        <f t="shared" si="443"/>
        <v/>
      </c>
      <c r="DS82" s="62" t="str">
        <f t="shared" si="443"/>
        <v/>
      </c>
      <c r="DT82" s="62">
        <f t="shared" si="443"/>
        <v>1</v>
      </c>
      <c r="DU82" s="62" t="str">
        <f t="shared" si="443"/>
        <v/>
      </c>
      <c r="DV82" s="62">
        <f t="shared" si="443"/>
        <v>2</v>
      </c>
      <c r="DW82" s="62">
        <f t="shared" si="443"/>
        <v>1</v>
      </c>
      <c r="DX82" s="62"/>
      <c r="DY82" s="62"/>
      <c r="DZ82" s="62" t="str">
        <f t="shared" si="443"/>
        <v/>
      </c>
      <c r="EA82" s="63" t="str">
        <f t="shared" si="443"/>
        <v/>
      </c>
      <c r="EB82" s="62" t="str">
        <f t="shared" si="443"/>
        <v/>
      </c>
      <c r="EC82" s="62">
        <f t="shared" si="443"/>
        <v>1</v>
      </c>
      <c r="ED82" s="62" t="str">
        <f t="shared" si="443"/>
        <v/>
      </c>
      <c r="EE82" s="62">
        <f t="shared" ref="EE82:HH82" si="446">IF(SUM(EE75:EE80) &gt; 0, SUM(EE75:EE80), "")</f>
        <v>1</v>
      </c>
      <c r="EF82" s="62">
        <v>0</v>
      </c>
      <c r="EG82" s="62"/>
      <c r="EH82" s="62"/>
      <c r="EI82" s="62" t="str">
        <f t="shared" si="446"/>
        <v/>
      </c>
      <c r="EJ82" s="63" t="str">
        <f t="shared" si="446"/>
        <v/>
      </c>
      <c r="EK82" s="62" t="str">
        <f t="shared" si="446"/>
        <v/>
      </c>
      <c r="EL82" s="62">
        <f t="shared" si="446"/>
        <v>1</v>
      </c>
      <c r="EM82" s="62" t="str">
        <f t="shared" si="446"/>
        <v/>
      </c>
      <c r="EN82" s="62">
        <f t="shared" si="446"/>
        <v>1</v>
      </c>
      <c r="EO82" s="62">
        <f t="shared" si="446"/>
        <v>2</v>
      </c>
      <c r="EP82" s="62" t="str">
        <f t="shared" si="446"/>
        <v/>
      </c>
      <c r="EQ82" s="62"/>
      <c r="ER82" s="62"/>
      <c r="ES82" s="63" t="str">
        <f t="shared" si="446"/>
        <v/>
      </c>
      <c r="ET82" s="62" t="str">
        <f t="shared" si="446"/>
        <v/>
      </c>
      <c r="EU82" s="62">
        <f t="shared" si="446"/>
        <v>1</v>
      </c>
      <c r="EV82" s="62" t="str">
        <f t="shared" si="446"/>
        <v/>
      </c>
      <c r="EW82" s="62">
        <f t="shared" si="446"/>
        <v>1</v>
      </c>
      <c r="EX82" s="62">
        <f t="shared" si="446"/>
        <v>1</v>
      </c>
      <c r="EY82" s="62" t="str">
        <f t="shared" si="446"/>
        <v/>
      </c>
      <c r="EZ82" s="62"/>
      <c r="FA82" s="62"/>
      <c r="FB82" s="63" t="str">
        <f t="shared" si="446"/>
        <v/>
      </c>
      <c r="FC82" s="62" t="str">
        <f t="shared" si="446"/>
        <v/>
      </c>
      <c r="FD82" s="62">
        <f t="shared" si="446"/>
        <v>1</v>
      </c>
      <c r="FE82" s="62" t="str">
        <f t="shared" si="446"/>
        <v/>
      </c>
      <c r="FF82" s="62">
        <f t="shared" si="446"/>
        <v>1</v>
      </c>
      <c r="FG82" s="62">
        <f t="shared" si="446"/>
        <v>1</v>
      </c>
      <c r="FH82" s="62" t="str">
        <f t="shared" si="446"/>
        <v/>
      </c>
      <c r="FI82" s="62"/>
      <c r="FJ82" s="62"/>
      <c r="FK82" s="63" t="str">
        <f t="shared" si="446"/>
        <v/>
      </c>
      <c r="FL82" s="62" t="str">
        <f t="shared" si="446"/>
        <v/>
      </c>
      <c r="FM82" s="62">
        <f t="shared" si="446"/>
        <v>1</v>
      </c>
      <c r="FN82" s="62" t="str">
        <f t="shared" si="446"/>
        <v/>
      </c>
      <c r="FO82" s="62">
        <f t="shared" si="446"/>
        <v>1</v>
      </c>
      <c r="FP82" s="62">
        <f t="shared" si="446"/>
        <v>1</v>
      </c>
      <c r="FQ82" s="62" t="str">
        <f t="shared" si="446"/>
        <v/>
      </c>
      <c r="FR82" s="62"/>
      <c r="FS82" s="62"/>
      <c r="FT82" s="63" t="str">
        <f t="shared" si="446"/>
        <v/>
      </c>
      <c r="FU82" s="62" t="str">
        <f t="shared" si="446"/>
        <v/>
      </c>
      <c r="FV82" s="62">
        <f t="shared" si="446"/>
        <v>1</v>
      </c>
      <c r="FW82" s="62" t="str">
        <f t="shared" si="446"/>
        <v/>
      </c>
      <c r="FX82" s="62">
        <f t="shared" si="446"/>
        <v>1</v>
      </c>
      <c r="FY82" s="62">
        <f t="shared" si="446"/>
        <v>2</v>
      </c>
      <c r="FZ82" s="62" t="str">
        <f t="shared" si="446"/>
        <v/>
      </c>
      <c r="GA82" s="62"/>
      <c r="GB82" s="62"/>
      <c r="GC82" s="63" t="str">
        <f t="shared" si="446"/>
        <v/>
      </c>
      <c r="GD82" s="62" t="str">
        <f t="shared" si="446"/>
        <v/>
      </c>
      <c r="GE82" s="62">
        <f t="shared" si="446"/>
        <v>1</v>
      </c>
      <c r="GF82" s="62" t="str">
        <f t="shared" si="446"/>
        <v/>
      </c>
      <c r="GG82" s="62">
        <f t="shared" si="446"/>
        <v>1</v>
      </c>
      <c r="GH82" s="62">
        <f t="shared" si="446"/>
        <v>1</v>
      </c>
      <c r="GI82" s="62" t="str">
        <f t="shared" si="446"/>
        <v/>
      </c>
      <c r="GJ82" s="62"/>
      <c r="GK82" s="62"/>
      <c r="GL82" s="63" t="str">
        <f t="shared" si="446"/>
        <v/>
      </c>
      <c r="GM82" s="62" t="str">
        <f t="shared" si="446"/>
        <v/>
      </c>
      <c r="GN82" s="62">
        <f t="shared" si="446"/>
        <v>1</v>
      </c>
      <c r="GO82" s="62" t="str">
        <f t="shared" si="446"/>
        <v/>
      </c>
      <c r="GP82" s="62">
        <f t="shared" si="446"/>
        <v>2</v>
      </c>
      <c r="GQ82" s="62">
        <f t="shared" si="446"/>
        <v>1</v>
      </c>
      <c r="GR82" s="62" t="str">
        <f t="shared" si="446"/>
        <v/>
      </c>
      <c r="GS82" s="62"/>
      <c r="GT82" s="62"/>
      <c r="GU82" s="63" t="str">
        <f t="shared" si="446"/>
        <v/>
      </c>
      <c r="GV82" s="62" t="str">
        <f t="shared" si="446"/>
        <v/>
      </c>
      <c r="GW82" s="62" t="str">
        <f t="shared" si="446"/>
        <v/>
      </c>
      <c r="GX82" s="62" t="str">
        <f t="shared" si="446"/>
        <v/>
      </c>
      <c r="GY82" s="62" t="str">
        <f t="shared" si="446"/>
        <v/>
      </c>
      <c r="GZ82" s="62" t="str">
        <f t="shared" si="446"/>
        <v/>
      </c>
      <c r="HA82" s="62" t="str">
        <f t="shared" si="446"/>
        <v/>
      </c>
      <c r="HB82" s="62"/>
      <c r="HC82" s="62"/>
      <c r="HD82" s="63" t="str">
        <f t="shared" si="446"/>
        <v/>
      </c>
      <c r="HE82" s="62" t="str">
        <f t="shared" si="446"/>
        <v/>
      </c>
      <c r="HF82" s="62" t="str">
        <f t="shared" si="446"/>
        <v/>
      </c>
      <c r="HG82" s="62" t="str">
        <f t="shared" si="446"/>
        <v/>
      </c>
      <c r="HH82" s="62" t="str">
        <f t="shared" si="446"/>
        <v/>
      </c>
      <c r="HI82" s="62" t="str">
        <f t="shared" ref="HI82:JT82" si="447">IF(SUM(HI75:HI80) &gt; 0, SUM(HI75:HI80), "")</f>
        <v/>
      </c>
      <c r="HJ82" s="62" t="str">
        <f t="shared" si="447"/>
        <v/>
      </c>
      <c r="HK82" s="63" t="str">
        <f t="shared" si="447"/>
        <v/>
      </c>
      <c r="HL82" s="62" t="str">
        <f t="shared" si="447"/>
        <v/>
      </c>
      <c r="HM82" s="62" t="str">
        <f t="shared" si="447"/>
        <v/>
      </c>
      <c r="HN82" s="62" t="str">
        <f t="shared" si="447"/>
        <v/>
      </c>
      <c r="HO82" s="62" t="str">
        <f t="shared" si="447"/>
        <v/>
      </c>
      <c r="HP82" s="62" t="str">
        <f t="shared" si="447"/>
        <v/>
      </c>
      <c r="HQ82" s="62" t="str">
        <f t="shared" si="447"/>
        <v/>
      </c>
      <c r="HR82" s="63" t="str">
        <f t="shared" si="447"/>
        <v/>
      </c>
      <c r="HS82" s="62" t="str">
        <f t="shared" si="447"/>
        <v/>
      </c>
      <c r="HT82" s="62" t="str">
        <f t="shared" si="447"/>
        <v/>
      </c>
      <c r="HU82" s="62" t="str">
        <f t="shared" si="447"/>
        <v/>
      </c>
      <c r="HV82" s="62" t="str">
        <f t="shared" si="447"/>
        <v/>
      </c>
      <c r="HW82" s="62" t="str">
        <f t="shared" si="447"/>
        <v/>
      </c>
      <c r="HX82" s="62" t="str">
        <f t="shared" si="447"/>
        <v/>
      </c>
      <c r="HY82" s="63" t="str">
        <f t="shared" si="447"/>
        <v/>
      </c>
      <c r="HZ82" s="62" t="str">
        <f t="shared" si="447"/>
        <v/>
      </c>
      <c r="IA82" s="62" t="str">
        <f t="shared" si="447"/>
        <v/>
      </c>
      <c r="IB82" s="62" t="str">
        <f t="shared" si="447"/>
        <v/>
      </c>
      <c r="IC82" s="62" t="str">
        <f t="shared" si="447"/>
        <v/>
      </c>
      <c r="ID82" s="62" t="str">
        <f t="shared" si="447"/>
        <v/>
      </c>
      <c r="IE82" s="62" t="str">
        <f t="shared" si="447"/>
        <v/>
      </c>
      <c r="IF82" s="63" t="str">
        <f t="shared" si="447"/>
        <v/>
      </c>
      <c r="IG82" s="62" t="str">
        <f t="shared" si="447"/>
        <v/>
      </c>
      <c r="IH82" s="62" t="str">
        <f t="shared" si="447"/>
        <v/>
      </c>
      <c r="II82" s="62" t="str">
        <f t="shared" si="447"/>
        <v/>
      </c>
      <c r="IJ82" s="62" t="str">
        <f t="shared" si="447"/>
        <v/>
      </c>
      <c r="IK82" s="62" t="str">
        <f t="shared" si="447"/>
        <v/>
      </c>
      <c r="IL82" s="62" t="str">
        <f t="shared" si="447"/>
        <v/>
      </c>
      <c r="IM82" s="63" t="str">
        <f t="shared" si="447"/>
        <v/>
      </c>
      <c r="IN82" s="62" t="str">
        <f t="shared" si="447"/>
        <v/>
      </c>
      <c r="IO82" s="62" t="str">
        <f t="shared" si="447"/>
        <v/>
      </c>
      <c r="IP82" s="62" t="str">
        <f t="shared" si="447"/>
        <v/>
      </c>
      <c r="IQ82" s="62" t="str">
        <f t="shared" si="447"/>
        <v/>
      </c>
      <c r="IR82" s="62" t="str">
        <f t="shared" si="447"/>
        <v/>
      </c>
      <c r="IS82" s="62" t="str">
        <f t="shared" si="447"/>
        <v/>
      </c>
      <c r="IT82" s="63" t="str">
        <f t="shared" si="447"/>
        <v/>
      </c>
      <c r="IU82" s="62" t="str">
        <f t="shared" si="447"/>
        <v/>
      </c>
      <c r="IV82" s="62" t="str">
        <f t="shared" si="447"/>
        <v/>
      </c>
      <c r="IW82" s="62" t="str">
        <f t="shared" si="447"/>
        <v/>
      </c>
      <c r="IX82" s="62" t="str">
        <f t="shared" si="447"/>
        <v/>
      </c>
      <c r="IY82" s="62" t="str">
        <f t="shared" si="447"/>
        <v/>
      </c>
      <c r="IZ82" s="62" t="str">
        <f t="shared" si="447"/>
        <v/>
      </c>
      <c r="JA82" s="63" t="str">
        <f t="shared" si="447"/>
        <v/>
      </c>
      <c r="JB82" s="62" t="str">
        <f t="shared" si="447"/>
        <v/>
      </c>
      <c r="JC82" s="62" t="str">
        <f t="shared" si="447"/>
        <v/>
      </c>
      <c r="JD82" s="62" t="str">
        <f t="shared" si="447"/>
        <v/>
      </c>
      <c r="JE82" s="62" t="str">
        <f t="shared" si="447"/>
        <v/>
      </c>
      <c r="JF82" s="62" t="str">
        <f t="shared" si="447"/>
        <v/>
      </c>
      <c r="JG82" s="62" t="str">
        <f t="shared" si="447"/>
        <v/>
      </c>
      <c r="JH82" s="63" t="str">
        <f t="shared" si="447"/>
        <v/>
      </c>
      <c r="JI82" s="62" t="str">
        <f t="shared" si="447"/>
        <v/>
      </c>
      <c r="JJ82" s="62" t="str">
        <f t="shared" si="447"/>
        <v/>
      </c>
      <c r="JK82" s="62" t="str">
        <f t="shared" si="447"/>
        <v/>
      </c>
      <c r="JL82" s="62" t="str">
        <f t="shared" si="447"/>
        <v/>
      </c>
      <c r="JM82" s="62" t="str">
        <f t="shared" si="447"/>
        <v/>
      </c>
      <c r="JN82" s="62" t="str">
        <f t="shared" si="447"/>
        <v/>
      </c>
      <c r="JO82" s="63" t="str">
        <f t="shared" si="447"/>
        <v/>
      </c>
      <c r="JP82" s="62" t="str">
        <f t="shared" si="447"/>
        <v/>
      </c>
      <c r="JQ82" s="62" t="str">
        <f t="shared" si="447"/>
        <v/>
      </c>
      <c r="JR82" s="62" t="str">
        <f t="shared" si="447"/>
        <v/>
      </c>
      <c r="JS82" s="62" t="str">
        <f t="shared" si="447"/>
        <v/>
      </c>
      <c r="JT82" s="62" t="str">
        <f t="shared" si="447"/>
        <v/>
      </c>
      <c r="JU82" s="62" t="str">
        <f t="shared" ref="JU82:MF82" si="448">IF(SUM(JU75:JU80) &gt; 0, SUM(JU75:JU80), "")</f>
        <v/>
      </c>
      <c r="JV82" s="63" t="str">
        <f t="shared" si="448"/>
        <v/>
      </c>
      <c r="JW82" s="62" t="str">
        <f t="shared" si="448"/>
        <v/>
      </c>
      <c r="JX82" s="62" t="str">
        <f t="shared" si="448"/>
        <v/>
      </c>
      <c r="JY82" s="62" t="str">
        <f t="shared" si="448"/>
        <v/>
      </c>
      <c r="JZ82" s="62" t="str">
        <f t="shared" si="448"/>
        <v/>
      </c>
      <c r="KA82" s="62" t="str">
        <f t="shared" si="448"/>
        <v/>
      </c>
      <c r="KB82" s="62" t="str">
        <f t="shared" si="448"/>
        <v/>
      </c>
      <c r="KC82" s="63" t="str">
        <f t="shared" si="448"/>
        <v/>
      </c>
      <c r="KD82" s="62" t="str">
        <f t="shared" si="448"/>
        <v/>
      </c>
      <c r="KE82" s="62" t="str">
        <f t="shared" si="448"/>
        <v/>
      </c>
      <c r="KF82" s="62" t="str">
        <f t="shared" si="448"/>
        <v/>
      </c>
      <c r="KG82" s="62" t="str">
        <f t="shared" si="448"/>
        <v/>
      </c>
      <c r="KH82" s="62" t="str">
        <f t="shared" si="448"/>
        <v/>
      </c>
      <c r="KI82" s="62" t="str">
        <f t="shared" si="448"/>
        <v/>
      </c>
      <c r="KJ82" s="63" t="str">
        <f t="shared" si="448"/>
        <v/>
      </c>
      <c r="KK82" s="62" t="str">
        <f t="shared" si="448"/>
        <v/>
      </c>
      <c r="KL82" s="62" t="str">
        <f t="shared" si="448"/>
        <v/>
      </c>
      <c r="KM82" s="62" t="str">
        <f t="shared" si="448"/>
        <v/>
      </c>
      <c r="KN82" s="62" t="str">
        <f t="shared" si="448"/>
        <v/>
      </c>
      <c r="KO82" s="62" t="str">
        <f t="shared" si="448"/>
        <v/>
      </c>
      <c r="KP82" s="62" t="str">
        <f t="shared" si="448"/>
        <v/>
      </c>
      <c r="KQ82" s="63" t="str">
        <f t="shared" si="448"/>
        <v/>
      </c>
      <c r="KR82" s="62" t="str">
        <f t="shared" si="448"/>
        <v/>
      </c>
      <c r="KS82" s="62" t="str">
        <f t="shared" si="448"/>
        <v/>
      </c>
      <c r="KT82" s="62" t="str">
        <f t="shared" si="448"/>
        <v/>
      </c>
      <c r="KU82" s="62" t="str">
        <f t="shared" si="448"/>
        <v/>
      </c>
      <c r="KV82" s="62" t="str">
        <f t="shared" si="448"/>
        <v/>
      </c>
      <c r="KW82" s="62" t="str">
        <f t="shared" si="448"/>
        <v/>
      </c>
      <c r="KX82" s="63" t="str">
        <f t="shared" si="448"/>
        <v/>
      </c>
      <c r="KY82" s="62" t="str">
        <f t="shared" si="448"/>
        <v/>
      </c>
      <c r="KZ82" s="62" t="str">
        <f t="shared" si="448"/>
        <v/>
      </c>
      <c r="LA82" s="62" t="str">
        <f t="shared" si="448"/>
        <v/>
      </c>
      <c r="LB82" s="62" t="str">
        <f t="shared" si="448"/>
        <v/>
      </c>
      <c r="LC82" s="62" t="str">
        <f t="shared" si="448"/>
        <v/>
      </c>
      <c r="LD82" s="62" t="str">
        <f t="shared" si="448"/>
        <v/>
      </c>
      <c r="LE82" s="63" t="str">
        <f t="shared" si="448"/>
        <v/>
      </c>
      <c r="LF82" s="62" t="str">
        <f t="shared" si="448"/>
        <v/>
      </c>
      <c r="LG82" s="62" t="str">
        <f t="shared" si="448"/>
        <v/>
      </c>
      <c r="LH82" s="62" t="str">
        <f t="shared" si="448"/>
        <v/>
      </c>
      <c r="LI82" s="62" t="str">
        <f t="shared" si="448"/>
        <v/>
      </c>
      <c r="LJ82" s="62" t="str">
        <f t="shared" si="448"/>
        <v/>
      </c>
      <c r="LK82" s="62" t="str">
        <f t="shared" si="448"/>
        <v/>
      </c>
      <c r="LL82" s="63" t="str">
        <f t="shared" si="448"/>
        <v/>
      </c>
      <c r="LM82" s="62" t="str">
        <f t="shared" si="448"/>
        <v/>
      </c>
      <c r="LN82" s="62" t="str">
        <f t="shared" si="448"/>
        <v/>
      </c>
      <c r="LO82" s="62" t="str">
        <f t="shared" si="448"/>
        <v/>
      </c>
      <c r="LP82" s="62" t="str">
        <f t="shared" si="448"/>
        <v/>
      </c>
      <c r="LQ82" s="62" t="str">
        <f t="shared" si="448"/>
        <v/>
      </c>
      <c r="LR82" s="62" t="str">
        <f t="shared" si="448"/>
        <v/>
      </c>
      <c r="LS82" s="63" t="str">
        <f t="shared" si="448"/>
        <v/>
      </c>
      <c r="LT82" s="62" t="str">
        <f t="shared" si="448"/>
        <v/>
      </c>
      <c r="LU82" s="62" t="str">
        <f t="shared" si="448"/>
        <v/>
      </c>
      <c r="LV82" s="62" t="str">
        <f t="shared" si="448"/>
        <v/>
      </c>
      <c r="LW82" s="62" t="str">
        <f t="shared" si="448"/>
        <v/>
      </c>
      <c r="LX82" s="62" t="str">
        <f t="shared" si="448"/>
        <v/>
      </c>
      <c r="LY82" s="62" t="str">
        <f t="shared" si="448"/>
        <v/>
      </c>
      <c r="LZ82" s="63" t="str">
        <f t="shared" si="448"/>
        <v/>
      </c>
      <c r="MA82" s="62" t="str">
        <f t="shared" si="448"/>
        <v/>
      </c>
      <c r="MB82" s="62" t="str">
        <f t="shared" si="448"/>
        <v/>
      </c>
      <c r="MC82" s="62" t="str">
        <f t="shared" si="448"/>
        <v/>
      </c>
      <c r="MD82" s="62" t="str">
        <f t="shared" si="448"/>
        <v/>
      </c>
      <c r="ME82" s="62" t="str">
        <f t="shared" si="448"/>
        <v/>
      </c>
      <c r="MF82" s="62" t="str">
        <f t="shared" si="448"/>
        <v/>
      </c>
      <c r="MG82" s="63" t="str">
        <f t="shared" ref="MG82:NB82" si="449">IF(SUM(MG75:MG80) &gt; 0, SUM(MG75:MG80), "")</f>
        <v/>
      </c>
      <c r="MH82" s="62" t="str">
        <f t="shared" si="449"/>
        <v/>
      </c>
      <c r="MI82" s="62" t="str">
        <f t="shared" si="449"/>
        <v/>
      </c>
      <c r="MJ82" s="62" t="str">
        <f t="shared" si="449"/>
        <v/>
      </c>
      <c r="MK82" s="62" t="str">
        <f t="shared" si="449"/>
        <v/>
      </c>
      <c r="ML82" s="62" t="str">
        <f t="shared" si="449"/>
        <v/>
      </c>
      <c r="MM82" s="62" t="str">
        <f t="shared" si="449"/>
        <v/>
      </c>
      <c r="MN82" s="63" t="str">
        <f t="shared" si="449"/>
        <v/>
      </c>
      <c r="MO82" s="62" t="str">
        <f t="shared" si="449"/>
        <v/>
      </c>
      <c r="MP82" s="62" t="str">
        <f t="shared" si="449"/>
        <v/>
      </c>
      <c r="MQ82" s="62" t="str">
        <f t="shared" si="449"/>
        <v/>
      </c>
      <c r="MR82" s="62" t="str">
        <f t="shared" si="449"/>
        <v/>
      </c>
      <c r="MS82" s="62" t="str">
        <f t="shared" si="449"/>
        <v/>
      </c>
      <c r="MT82" s="62" t="str">
        <f t="shared" si="449"/>
        <v/>
      </c>
      <c r="MU82" s="63" t="str">
        <f t="shared" si="449"/>
        <v/>
      </c>
      <c r="MV82" s="62" t="str">
        <f t="shared" si="449"/>
        <v/>
      </c>
      <c r="MW82" s="62" t="str">
        <f t="shared" si="449"/>
        <v/>
      </c>
      <c r="MX82" s="62" t="str">
        <f t="shared" si="449"/>
        <v/>
      </c>
      <c r="MY82" s="62" t="str">
        <f t="shared" si="449"/>
        <v/>
      </c>
      <c r="MZ82" s="62" t="str">
        <f t="shared" si="449"/>
        <v/>
      </c>
      <c r="NA82" s="62" t="str">
        <f t="shared" si="449"/>
        <v/>
      </c>
      <c r="NB82" s="87" t="str">
        <f t="shared" si="449"/>
        <v/>
      </c>
    </row>
    <row r="83" spans="1:366"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50">IF(SUM(T70, T82) &gt; 0, SUM(T70, T82), "")</f>
        <v/>
      </c>
      <c r="U83" s="62" t="str">
        <f t="shared" si="450"/>
        <v/>
      </c>
      <c r="V83" s="62" t="str">
        <f t="shared" si="450"/>
        <v/>
      </c>
      <c r="W83" s="62" t="str">
        <f t="shared" si="450"/>
        <v/>
      </c>
      <c r="X83" s="62" t="str">
        <f t="shared" si="450"/>
        <v/>
      </c>
      <c r="Y83" s="62" t="str">
        <f t="shared" si="450"/>
        <v/>
      </c>
      <c r="Z83" s="63" t="str">
        <f t="shared" si="450"/>
        <v/>
      </c>
      <c r="AA83" s="65" t="str">
        <f t="shared" ref="AA83" si="451">IF(SUM(AA70, AA82) &gt; 0, SUM(AA70, AA82), "")</f>
        <v/>
      </c>
      <c r="AB83" s="62" t="str">
        <f t="shared" ref="AB83" si="452">IF(SUM(AB70, AB82) &gt; 0, SUM(AB70, AB82), "")</f>
        <v/>
      </c>
      <c r="AC83" s="62" t="str">
        <f t="shared" ref="AC83" si="453">IF(SUM(AC70, AC82) &gt; 0, SUM(AC70, AC82), "")</f>
        <v/>
      </c>
      <c r="AD83" s="62" t="str">
        <f t="shared" ref="AD83" si="454">IF(SUM(AD70, AD82) &gt; 0, SUM(AD70, AD82), "")</f>
        <v/>
      </c>
      <c r="AE83" s="62" t="str">
        <f t="shared" ref="AE83" si="455">IF(SUM(AE70, AE82) &gt; 0, SUM(AE70, AE82), "")</f>
        <v/>
      </c>
      <c r="AF83" s="62" t="str">
        <f t="shared" ref="AF83" si="456">IF(SUM(AF70, AF82) &gt; 0, SUM(AF70, AF82), "")</f>
        <v/>
      </c>
      <c r="AG83" s="63" t="str">
        <f t="shared" ref="AG83" si="457">IF(SUM(AG70, AG82) &gt; 0, SUM(AG70, AG82), "")</f>
        <v/>
      </c>
      <c r="AH83" s="65" t="str">
        <f t="shared" ref="AH83" si="458">IF(SUM(AH70, AH82) &gt; 0, SUM(AH70, AH82), "")</f>
        <v/>
      </c>
      <c r="AI83" s="62">
        <f t="shared" ref="AI83" si="459">IF(SUM(AI70, AI82) &gt; 0, SUM(AI70, AI82), "")</f>
        <v>11</v>
      </c>
      <c r="AJ83" s="62" t="str">
        <f t="shared" ref="AJ83" si="460">IF(SUM(AJ70, AJ82) &gt; 0, SUM(AJ70, AJ82), "")</f>
        <v/>
      </c>
      <c r="AK83" s="62">
        <f t="shared" ref="AK83" si="461">IF(SUM(AK70, AK82) &gt; 0, SUM(AK70, AK82), "")</f>
        <v>10</v>
      </c>
      <c r="AL83" s="62" t="str">
        <f t="shared" ref="AL83" si="462">IF(SUM(AL70, AL82) &gt; 0, SUM(AL70, AL82), "")</f>
        <v/>
      </c>
      <c r="AM83" s="62" t="str">
        <f t="shared" ref="AM83" si="463">IF(SUM(AM70, AM82) &gt; 0, SUM(AM70, AM82), "")</f>
        <v/>
      </c>
      <c r="AN83" s="63" t="str">
        <f t="shared" ref="AN83" si="464">IF(SUM(AN70, AN82) &gt; 0, SUM(AN70, AN82), "")</f>
        <v/>
      </c>
      <c r="AO83" s="65" t="str">
        <f t="shared" ref="AO83" si="465">IF(SUM(AO70, AO82) &gt; 0, SUM(AO70, AO82), "")</f>
        <v/>
      </c>
      <c r="AP83" s="62">
        <f t="shared" ref="AP83" si="466">IF(SUM(AP70, AP82) &gt; 0, SUM(AP70, AP82), "")</f>
        <v>11</v>
      </c>
      <c r="AQ83" s="62" t="str">
        <f t="shared" ref="AQ83" si="467">IF(SUM(AQ70, AQ82) &gt; 0, SUM(AQ70, AQ82), "")</f>
        <v/>
      </c>
      <c r="AR83" s="62">
        <f t="shared" ref="AR83" si="468">IF(SUM(AR70, AR82) &gt; 0, SUM(AR70, AR82), "")</f>
        <v>10</v>
      </c>
      <c r="AS83" s="62" t="str">
        <f t="shared" ref="AS83" si="469">IF(SUM(AS70, AS82) &gt; 0, SUM(AS70, AS82), "")</f>
        <v/>
      </c>
      <c r="AT83" s="62" t="str">
        <f t="shared" ref="AT83" si="470">IF(SUM(AT70, AT82) &gt; 0, SUM(AT70, AT82), "")</f>
        <v/>
      </c>
      <c r="AU83" s="63" t="str">
        <f t="shared" ref="AU83" si="471">IF(SUM(AU70, AU82) &gt; 0, SUM(AU70, AU82), "")</f>
        <v/>
      </c>
      <c r="AV83" s="65" t="str">
        <f t="shared" ref="AV83" si="472">IF(SUM(AV70, AV82) &gt; 0, SUM(AV70, AV82), "")</f>
        <v/>
      </c>
      <c r="AW83" s="62">
        <f t="shared" ref="AW83" si="473">IF(SUM(AW70, AW82) &gt; 0, SUM(AW70, AW82), "")</f>
        <v>11</v>
      </c>
      <c r="AX83" s="62">
        <f t="shared" ref="AX83" si="474">IF(SUM(AX70, AX82) &gt; 0, SUM(AX70, AX82), "")</f>
        <v>6</v>
      </c>
      <c r="AY83" s="62">
        <f t="shared" ref="AY83" si="475">IF(SUM(AY70, AY82) &gt; 0, SUM(AY70, AY82), "")</f>
        <v>8</v>
      </c>
      <c r="AZ83" s="62" t="str">
        <f t="shared" ref="AZ83" si="476">IF(SUM(AZ70, AZ82) &gt; 0, SUM(AZ70, AZ82), "")</f>
        <v/>
      </c>
      <c r="BA83" s="62" t="str">
        <f t="shared" ref="BA83" si="477">IF(SUM(BA70, BA82) &gt; 0, SUM(BA70, BA82), "")</f>
        <v/>
      </c>
      <c r="BB83" s="63" t="str">
        <f t="shared" ref="BB83" si="478">IF(SUM(BB70, BB82) &gt; 0, SUM(BB70, BB82), "")</f>
        <v/>
      </c>
      <c r="BC83" s="65" t="str">
        <f t="shared" ref="BC83" si="479">IF(SUM(BC70, BC82) &gt; 0, SUM(BC70, BC82), "")</f>
        <v/>
      </c>
      <c r="BD83" s="62">
        <f t="shared" ref="BD83" si="480">IF(SUM(BD70, BD82) &gt; 0, SUM(BD70, BD82), "")</f>
        <v>11</v>
      </c>
      <c r="BE83" s="62" t="str">
        <f t="shared" ref="BE83" si="481">IF(SUM(BE70, BE82) &gt; 0, SUM(BE70, BE82), "")</f>
        <v/>
      </c>
      <c r="BF83" s="62">
        <f t="shared" ref="BF83" si="482">IF(SUM(BF70, BF82) &gt; 0, SUM(BF70, BF82), "")</f>
        <v>8</v>
      </c>
      <c r="BG83" s="62" t="str">
        <f t="shared" ref="BG83" si="483">IF(SUM(BG70, BG82) &gt; 0, SUM(BG70, BG82), "")</f>
        <v/>
      </c>
      <c r="BH83" s="62" t="str">
        <f t="shared" ref="BH83" si="484">IF(SUM(BH70, BH82) &gt; 0, SUM(BH70, BH82), "")</f>
        <v/>
      </c>
      <c r="BI83" s="63" t="str">
        <f t="shared" ref="BI83" si="485">IF(SUM(BI70, BI82) &gt; 0, SUM(BI70, BI82), "")</f>
        <v/>
      </c>
      <c r="BJ83" s="65" t="str">
        <f t="shared" ref="BJ83" si="486">IF(SUM(BJ70, BJ82) &gt; 0, SUM(BJ70, BJ82), "")</f>
        <v/>
      </c>
      <c r="BK83" s="62">
        <f t="shared" ref="BK83" si="487">IF(SUM(BK70, BK82) &gt; 0, SUM(BK70, BK82), "")</f>
        <v>9</v>
      </c>
      <c r="BL83" s="62" t="str">
        <f t="shared" ref="BL83" si="488">IF(SUM(BL70, BL82) &gt; 0, SUM(BL70, BL82), "")</f>
        <v/>
      </c>
      <c r="BM83" s="62">
        <f t="shared" ref="BM83" si="489">IF(SUM(BM70, BM82) &gt; 0, SUM(BM70, BM82), "")</f>
        <v>13</v>
      </c>
      <c r="BN83" s="62">
        <f t="shared" ref="BN83" si="490">IF(SUM(BN70, BN82) &gt; 0, SUM(BN70, BN82), "")</f>
        <v>12</v>
      </c>
      <c r="BO83" s="62" t="str">
        <f t="shared" ref="BO83:BP83" si="491">IF(SUM(BO70, BO82) &gt; 0, SUM(BO70, BO82), "")</f>
        <v/>
      </c>
      <c r="BP83" s="63">
        <f t="shared" si="491"/>
        <v>5</v>
      </c>
      <c r="BQ83" s="62" t="str">
        <f t="shared" ref="BQ83" si="492">IF(SUM(BQ70, BQ82) &gt; 0, SUM(BQ70, BQ82), "")</f>
        <v/>
      </c>
      <c r="BR83" s="62" t="str">
        <f t="shared" ref="BR83" si="493">IF(SUM(BR70, BR82) &gt; 0, SUM(BR70, BR82), "")</f>
        <v/>
      </c>
      <c r="BS83" s="62" t="str">
        <f t="shared" ref="BS83" si="494">IF(SUM(BS70, BS82) &gt; 0, SUM(BS70, BS82), "")</f>
        <v/>
      </c>
      <c r="BT83" s="62" t="str">
        <f t="shared" ref="BT83" si="495">IF(SUM(BT70, BT82) &gt; 0, SUM(BT70, BT82), "")</f>
        <v/>
      </c>
      <c r="BU83" s="62" t="str">
        <f t="shared" ref="BU83" si="496">IF(SUM(BU70, BU82) &gt; 0, SUM(BU70, BU82), "")</f>
        <v/>
      </c>
      <c r="BV83" s="62" t="str">
        <f t="shared" ref="BV83:BW83" si="497">IF(SUM(BV70, BV82) &gt; 0, SUM(BV70, BV82), "")</f>
        <v/>
      </c>
      <c r="BW83" s="62">
        <f t="shared" si="497"/>
        <v>2</v>
      </c>
      <c r="BX83" s="62"/>
      <c r="BY83" s="63" t="str">
        <f t="shared" ref="BY83" si="498">IF(SUM(BY70, BY82) &gt; 0, SUM(BY70, BY82), "")</f>
        <v/>
      </c>
      <c r="BZ83" s="65" t="str">
        <f t="shared" ref="BZ83" si="499">IF(SUM(BZ70, BZ82) &gt; 0, SUM(BZ70, BZ82), "")</f>
        <v/>
      </c>
      <c r="CA83" s="62" t="str">
        <f t="shared" ref="CA83" si="500">IF(SUM(CA70, CA82) &gt; 0, SUM(CA70, CA82), "")</f>
        <v/>
      </c>
      <c r="CB83" s="62" t="str">
        <f t="shared" ref="CB83" si="501">IF(SUM(CB70, CB82) &gt; 0, SUM(CB70, CB82), "")</f>
        <v/>
      </c>
      <c r="CC83" s="62" t="str">
        <f t="shared" ref="CC83" si="502">IF(SUM(CC70, CC82) &gt; 0, SUM(CC70, CC82), "")</f>
        <v/>
      </c>
      <c r="CD83" s="62" t="str">
        <f t="shared" ref="CD83" si="503">IF(SUM(CD70, CD82) &gt; 0, SUM(CD70, CD82), "")</f>
        <v/>
      </c>
      <c r="CE83" s="62" t="str">
        <f t="shared" ref="CE83" si="504">IF(SUM(CE70, CE82) &gt; 0, SUM(CE70, CE82), "")</f>
        <v/>
      </c>
      <c r="CF83" s="62"/>
      <c r="CG83" s="62"/>
      <c r="CH83" s="63" t="str">
        <f t="shared" ref="CH83" si="505">IF(SUM(CH70, CH82) &gt; 0, SUM(CH70, CH82), "")</f>
        <v/>
      </c>
      <c r="CI83" s="65" t="str">
        <f t="shared" ref="CI83" si="506">IF(SUM(CI70, CI82) &gt; 0, SUM(CI70, CI82), "")</f>
        <v/>
      </c>
      <c r="CJ83" s="62" t="str">
        <f t="shared" ref="CJ83" si="507">IF(SUM(CJ70, CJ82) &gt; 0, SUM(CJ70, CJ82), "")</f>
        <v/>
      </c>
      <c r="CK83" s="62" t="str">
        <f t="shared" ref="CK83" si="508">IF(SUM(CK70, CK82) &gt; 0, SUM(CK70, CK82), "")</f>
        <v/>
      </c>
      <c r="CL83" s="62" t="str">
        <f t="shared" ref="CL83" si="509">IF(SUM(CL70, CL82) &gt; 0, SUM(CL70, CL82), "")</f>
        <v/>
      </c>
      <c r="CM83" s="62" t="str">
        <f t="shared" ref="CM83" si="510">IF(SUM(CM70, CM82) &gt; 0, SUM(CM70, CM82), "")</f>
        <v/>
      </c>
      <c r="CN83" s="62" t="str">
        <f t="shared" ref="CN83:CO83" si="511">IF(SUM(CN70, CN82) &gt; 0, SUM(CN70, CN82), "")</f>
        <v/>
      </c>
      <c r="CO83" s="62" t="str">
        <f t="shared" si="511"/>
        <v/>
      </c>
      <c r="CP83" s="62"/>
      <c r="CQ83" s="63" t="str">
        <f t="shared" ref="CQ83" si="512">IF(SUM(CQ70, CQ82) &gt; 0, SUM(CQ70, CQ82), "")</f>
        <v/>
      </c>
      <c r="CR83" s="65" t="str">
        <f t="shared" ref="CR83" si="513">IF(SUM(CR70, CR82) &gt; 0, SUM(CR70, CR82), "")</f>
        <v/>
      </c>
      <c r="CS83" s="62" t="str">
        <f t="shared" ref="CS83" si="514">IF(SUM(CS70, CS82) &gt; 0, SUM(CS70, CS82), "")</f>
        <v/>
      </c>
      <c r="CT83" s="62" t="str">
        <f t="shared" ref="CT83" si="515">IF(SUM(CT70, CT82) &gt; 0, SUM(CT70, CT82), "")</f>
        <v/>
      </c>
      <c r="CU83" s="62" t="str">
        <f t="shared" ref="CU83" si="516">IF(SUM(CU70, CU82) &gt; 0, SUM(CU70, CU82), "")</f>
        <v/>
      </c>
      <c r="CV83" s="62" t="str">
        <f t="shared" ref="CV83" si="517">IF(SUM(CV70, CV82) &gt; 0, SUM(CV70, CV82), "")</f>
        <v/>
      </c>
      <c r="CW83" s="62"/>
      <c r="CX83" s="62"/>
      <c r="CY83" s="62" t="str">
        <f t="shared" ref="CY83" si="518">IF(SUM(CY70, CY82) &gt; 0, SUM(CY70, CY82), "")</f>
        <v/>
      </c>
      <c r="CZ83" s="63" t="str">
        <f t="shared" ref="CZ83" si="519">IF(SUM(CZ70, CZ82) &gt; 0, SUM(CZ70, CZ82), "")</f>
        <v/>
      </c>
      <c r="DA83" s="65" t="str">
        <f t="shared" ref="DA83" si="520">IF(SUM(DA70, DA82) &gt; 0, SUM(DA70, DA82), "")</f>
        <v/>
      </c>
      <c r="DB83" s="62" t="str">
        <f t="shared" ref="DB83" si="521">IF(SUM(DB70, DB82) &gt; 0, SUM(DB70, DB82), "")</f>
        <v/>
      </c>
      <c r="DC83" s="62" t="str">
        <f t="shared" ref="DC83" si="522">IF(SUM(DC70, DC82) &gt; 0, SUM(DC70, DC82), "")</f>
        <v/>
      </c>
      <c r="DD83" s="62" t="str">
        <f t="shared" ref="DD83" si="523">IF(SUM(DD70, DD82) &gt; 0, SUM(DD70, DD82), "")</f>
        <v/>
      </c>
      <c r="DE83" s="62" t="str">
        <f t="shared" ref="DE83" si="524">IF(SUM(DE70, DE82) &gt; 0, SUM(DE70, DE82), "")</f>
        <v/>
      </c>
      <c r="DF83" s="62" t="str">
        <f t="shared" ref="DF83" si="525">IF(SUM(DF70, DF82) &gt; 0, SUM(DF70, DF82), "")</f>
        <v/>
      </c>
      <c r="DG83" s="62"/>
      <c r="DH83" s="62"/>
      <c r="DI83" s="63" t="str">
        <f t="shared" ref="DI83" si="526">IF(SUM(DI70, DI82) &gt; 0, SUM(DI70, DI82), "")</f>
        <v/>
      </c>
      <c r="DJ83" s="65" t="str">
        <f t="shared" ref="DJ83" si="527">IF(SUM(DJ70, DJ82) &gt; 0, SUM(DJ70, DJ82), "")</f>
        <v/>
      </c>
      <c r="DK83" s="62" t="str">
        <f t="shared" ref="DK83" si="528">IF(SUM(DK70, DK82) &gt; 0, SUM(DK70, DK82), "")</f>
        <v/>
      </c>
      <c r="DL83" s="62" t="str">
        <f t="shared" ref="DL83" si="529">IF(SUM(DL70, DL82) &gt; 0, SUM(DL70, DL82), "")</f>
        <v/>
      </c>
      <c r="DM83" s="62" t="str">
        <f t="shared" ref="DM83" si="530">IF(SUM(DM70, DM82) &gt; 0, SUM(DM70, DM82), "")</f>
        <v/>
      </c>
      <c r="DN83" s="62" t="str">
        <f t="shared" ref="DN83" si="531">IF(SUM(DN70, DN82) &gt; 0, SUM(DN70, DN82), "")</f>
        <v/>
      </c>
      <c r="DO83" s="62" t="str">
        <f t="shared" ref="DO83" si="532">IF(SUM(DO70, DO82) &gt; 0, SUM(DO70, DO82), "")</f>
        <v/>
      </c>
      <c r="DP83" s="62"/>
      <c r="DQ83" s="62"/>
      <c r="DR83" s="63" t="str">
        <f t="shared" ref="DR83" si="533">IF(SUM(DR70, DR82) &gt; 0, SUM(DR70, DR82), "")</f>
        <v/>
      </c>
      <c r="DS83" s="65" t="str">
        <f t="shared" ref="DS83" si="534">IF(SUM(DS70, DS82) &gt; 0, SUM(DS70, DS82), "")</f>
        <v/>
      </c>
      <c r="DT83" s="62">
        <f t="shared" ref="DT83" si="535">IF(SUM(DT70, DT82) &gt; 0, SUM(DT70, DT82), "")</f>
        <v>8</v>
      </c>
      <c r="DU83" s="62" t="str">
        <f t="shared" ref="DU83" si="536">IF(SUM(DU70, DU82) &gt; 0, SUM(DU70, DU82), "")</f>
        <v/>
      </c>
      <c r="DV83" s="62">
        <f t="shared" ref="DV83" si="537">IF(SUM(DV70, DV82) &gt; 0, SUM(DV70, DV82), "")</f>
        <v>7</v>
      </c>
      <c r="DW83" s="62">
        <f t="shared" ref="DW83" si="538">IF(SUM(DW70, DW82) &gt; 0, SUM(DW70, DW82), "")</f>
        <v>6</v>
      </c>
      <c r="DX83" s="62"/>
      <c r="DY83" s="62"/>
      <c r="DZ83" s="62" t="str">
        <f t="shared" ref="DZ83" si="539">IF(SUM(DZ70, DZ82) &gt; 0, SUM(DZ70, DZ82), "")</f>
        <v/>
      </c>
      <c r="EA83" s="63" t="str">
        <f t="shared" ref="EA83" si="540">IF(SUM(EA70, EA82) &gt; 0, SUM(EA70, EA82), "")</f>
        <v/>
      </c>
      <c r="EB83" s="65" t="str">
        <f t="shared" ref="EB83" si="541">IF(SUM(EB70, EB82) &gt; 0, SUM(EB70, EB82), "")</f>
        <v/>
      </c>
      <c r="EC83" s="62">
        <f t="shared" ref="EC83" si="542">IF(SUM(EC70, EC82) &gt; 0, SUM(EC70, EC82), "")</f>
        <v>7</v>
      </c>
      <c r="ED83" s="62" t="str">
        <f t="shared" ref="ED83" si="543">IF(SUM(ED70, ED82) &gt; 0, SUM(ED70, ED82), "")</f>
        <v/>
      </c>
      <c r="EE83" s="62">
        <f t="shared" ref="EE83" si="544">IF(SUM(EE70, EE82) &gt; 0, SUM(EE70, EE82), "")</f>
        <v>6</v>
      </c>
      <c r="EF83" s="62">
        <f t="shared" ref="EF83" si="545">IF(SUM(EF70, EF82) &gt; 0, SUM(EF70, EF82), "")</f>
        <v>4</v>
      </c>
      <c r="EG83" s="62"/>
      <c r="EH83" s="62"/>
      <c r="EI83" s="62" t="str">
        <f t="shared" ref="EI83" si="546">IF(SUM(EI70, EI82) &gt; 0, SUM(EI70, EI82), "")</f>
        <v/>
      </c>
      <c r="EJ83" s="63" t="str">
        <f t="shared" ref="EJ83" si="547">IF(SUM(EJ70, EJ82) &gt; 0, SUM(EJ70, EJ82), "")</f>
        <v/>
      </c>
      <c r="EK83" s="65" t="str">
        <f t="shared" ref="EK83" si="548">IF(SUM(EK70, EK82) &gt; 0, SUM(EK70, EK82), "")</f>
        <v/>
      </c>
      <c r="EL83" s="62">
        <f t="shared" ref="EL83" si="549">IF(SUM(EL70, EL82) &gt; 0, SUM(EL70, EL82), "")</f>
        <v>7</v>
      </c>
      <c r="EM83" s="62" t="str">
        <f t="shared" ref="EM83" si="550">IF(SUM(EM70, EM82) &gt; 0, SUM(EM70, EM82), "")</f>
        <v/>
      </c>
      <c r="EN83" s="62">
        <f t="shared" ref="EN83" si="551">IF(SUM(EN70, EN82) &gt; 0, SUM(EN70, EN82), "")</f>
        <v>8</v>
      </c>
      <c r="EO83" s="62">
        <f t="shared" ref="EO83" si="552">IF(SUM(EO70, EO82) &gt; 0, SUM(EO70, EO82), "")</f>
        <v>7</v>
      </c>
      <c r="EP83" s="62" t="str">
        <f t="shared" ref="EP83" si="553">IF(SUM(EP70, EP82) &gt; 0, SUM(EP70, EP82), "")</f>
        <v/>
      </c>
      <c r="EQ83" s="62"/>
      <c r="ER83" s="62"/>
      <c r="ES83" s="63" t="str">
        <f t="shared" ref="ES83" si="554">IF(SUM(ES70, ES82) &gt; 0, SUM(ES70, ES82), "")</f>
        <v/>
      </c>
      <c r="ET83" s="65" t="str">
        <f t="shared" ref="ET83" si="555">IF(SUM(ET70, ET82) &gt; 0, SUM(ET70, ET82), "")</f>
        <v/>
      </c>
      <c r="EU83" s="62">
        <f t="shared" ref="EU83" si="556">IF(SUM(EU70, EU82) &gt; 0, SUM(EU70, EU82), "")</f>
        <v>10</v>
      </c>
      <c r="EV83" s="62" t="str">
        <f t="shared" ref="EV83" si="557">IF(SUM(EV70, EV82) &gt; 0, SUM(EV70, EV82), "")</f>
        <v/>
      </c>
      <c r="EW83" s="62">
        <f t="shared" ref="EW83" si="558">IF(SUM(EW70, EW82) &gt; 0, SUM(EW70, EW82), "")</f>
        <v>5</v>
      </c>
      <c r="EX83" s="62">
        <f t="shared" ref="EX83" si="559">IF(SUM(EX70, EX82) &gt; 0, SUM(EX70, EX82), "")</f>
        <v>6</v>
      </c>
      <c r="EY83" s="62" t="str">
        <f t="shared" ref="EY83" si="560">IF(SUM(EY70, EY82) &gt; 0, SUM(EY70, EY82), "")</f>
        <v/>
      </c>
      <c r="EZ83" s="62"/>
      <c r="FA83" s="62"/>
      <c r="FB83" s="63" t="str">
        <f t="shared" ref="FB83" si="561">IF(SUM(FB70, FB82) &gt; 0, SUM(FB70, FB82), "")</f>
        <v/>
      </c>
      <c r="FC83" s="65" t="str">
        <f t="shared" ref="FC83" si="562">IF(SUM(FC70, FC82) &gt; 0, SUM(FC70, FC82), "")</f>
        <v/>
      </c>
      <c r="FD83" s="62">
        <f t="shared" ref="FD83" si="563">IF(SUM(FD70, FD82) &gt; 0, SUM(FD70, FD82), "")</f>
        <v>9</v>
      </c>
      <c r="FE83" s="62" t="str">
        <f t="shared" ref="FE83" si="564">IF(SUM(FE70, FE82) &gt; 0, SUM(FE70, FE82), "")</f>
        <v/>
      </c>
      <c r="FF83" s="62">
        <f t="shared" ref="FF83" si="565">IF(SUM(FF70, FF82) &gt; 0, SUM(FF70, FF82), "")</f>
        <v>8</v>
      </c>
      <c r="FG83" s="62">
        <f t="shared" ref="FG83" si="566">IF(SUM(FG70, FG82) &gt; 0, SUM(FG70, FG82), "")</f>
        <v>6</v>
      </c>
      <c r="FH83" s="62" t="str">
        <f t="shared" ref="FH83" si="567">IF(SUM(FH70, FH82) &gt; 0, SUM(FH70, FH82), "")</f>
        <v/>
      </c>
      <c r="FI83" s="62"/>
      <c r="FJ83" s="62"/>
      <c r="FK83" s="63" t="str">
        <f t="shared" ref="FK83" si="568">IF(SUM(FK70, FK82) &gt; 0, SUM(FK70, FK82), "")</f>
        <v/>
      </c>
      <c r="FL83" s="65" t="str">
        <f t="shared" ref="FL83" si="569">IF(SUM(FL70, FL82) &gt; 0, SUM(FL70, FL82), "")</f>
        <v/>
      </c>
      <c r="FM83" s="62">
        <f t="shared" ref="FM83" si="570">IF(SUM(FM70, FM82) &gt; 0, SUM(FM70, FM82), "")</f>
        <v>6</v>
      </c>
      <c r="FN83" s="62" t="str">
        <f t="shared" ref="FN83" si="571">IF(SUM(FN70, FN82) &gt; 0, SUM(FN70, FN82), "")</f>
        <v/>
      </c>
      <c r="FO83" s="62">
        <f t="shared" ref="FO83" si="572">IF(SUM(FO70, FO82) &gt; 0, SUM(FO70, FO82), "")</f>
        <v>7</v>
      </c>
      <c r="FP83" s="62">
        <f t="shared" ref="FP83" si="573">IF(SUM(FP70, FP82) &gt; 0, SUM(FP70, FP82), "")</f>
        <v>8</v>
      </c>
      <c r="FQ83" s="62" t="str">
        <f t="shared" ref="FQ83" si="574">IF(SUM(FQ70, FQ82) &gt; 0, SUM(FQ70, FQ82), "")</f>
        <v/>
      </c>
      <c r="FR83" s="62"/>
      <c r="FS83" s="62"/>
      <c r="FT83" s="63" t="str">
        <f t="shared" ref="FT83" si="575">IF(SUM(FT70, FT82) &gt; 0, SUM(FT70, FT82), "")</f>
        <v/>
      </c>
      <c r="FU83" s="65" t="str">
        <f t="shared" ref="FU83" si="576">IF(SUM(FU70, FU82) &gt; 0, SUM(FU70, FU82), "")</f>
        <v/>
      </c>
      <c r="FV83" s="62">
        <f t="shared" ref="FV83" si="577">IF(SUM(FV70, FV82) &gt; 0, SUM(FV70, FV82), "")</f>
        <v>9</v>
      </c>
      <c r="FW83" s="62" t="str">
        <f t="shared" ref="FW83" si="578">IF(SUM(FW70, FW82) &gt; 0, SUM(FW70, FW82), "")</f>
        <v/>
      </c>
      <c r="FX83" s="62">
        <f t="shared" ref="FX83" si="579">IF(SUM(FX70, FX82) &gt; 0, SUM(FX70, FX82), "")</f>
        <v>8</v>
      </c>
      <c r="FY83" s="62">
        <f t="shared" ref="FY83" si="580">IF(SUM(FY70, FY82) &gt; 0, SUM(FY70, FY82), "")</f>
        <v>7</v>
      </c>
      <c r="FZ83" s="62" t="str">
        <f t="shared" ref="FZ83" si="581">IF(SUM(FZ70, FZ82) &gt; 0, SUM(FZ70, FZ82), "")</f>
        <v/>
      </c>
      <c r="GA83" s="62"/>
      <c r="GB83" s="62"/>
      <c r="GC83" s="63" t="str">
        <f t="shared" ref="GC83" si="582">IF(SUM(GC70, GC82) &gt; 0, SUM(GC70, GC82), "")</f>
        <v/>
      </c>
      <c r="GD83" s="65" t="str">
        <f t="shared" ref="GD83" si="583">IF(SUM(GD70, GD82) &gt; 0, SUM(GD70, GD82), "")</f>
        <v/>
      </c>
      <c r="GE83" s="62">
        <f t="shared" ref="GE83" si="584">IF(SUM(GE70, GE82) &gt; 0, SUM(GE70, GE82), "")</f>
        <v>5</v>
      </c>
      <c r="GF83" s="62" t="str">
        <f t="shared" ref="GF83" si="585">IF(SUM(GF70, GF82) &gt; 0, SUM(GF70, GF82), "")</f>
        <v/>
      </c>
      <c r="GG83" s="62">
        <f t="shared" ref="GG83" si="586">IF(SUM(GG70, GG82) &gt; 0, SUM(GG70, GG82), "")</f>
        <v>6</v>
      </c>
      <c r="GH83" s="62">
        <f t="shared" ref="GH83" si="587">IF(SUM(GH70, GH82) &gt; 0, SUM(GH70, GH82), "")</f>
        <v>8</v>
      </c>
      <c r="GI83" s="62" t="str">
        <f t="shared" ref="GI83" si="588">IF(SUM(GI70, GI82) &gt; 0, SUM(GI70, GI82), "")</f>
        <v/>
      </c>
      <c r="GJ83" s="62"/>
      <c r="GK83" s="62"/>
      <c r="GL83" s="63" t="str">
        <f t="shared" ref="GL83" si="589">IF(SUM(GL70, GL82) &gt; 0, SUM(GL70, GL82), "")</f>
        <v/>
      </c>
      <c r="GM83" s="65" t="str">
        <f t="shared" ref="GM83" si="590">IF(SUM(GM70, GM82) &gt; 0, SUM(GM70, GM82), "")</f>
        <v/>
      </c>
      <c r="GN83" s="62">
        <f t="shared" ref="GN83" si="591">IF(SUM(GN70, GN82) &gt; 0, SUM(GN70, GN82), "")</f>
        <v>6</v>
      </c>
      <c r="GO83" s="62" t="str">
        <f t="shared" ref="GO83" si="592">IF(SUM(GO70, GO82) &gt; 0, SUM(GO70, GO82), "")</f>
        <v/>
      </c>
      <c r="GP83" s="62">
        <f t="shared" ref="GP83" si="593">IF(SUM(GP70, GP82) &gt; 0, SUM(GP70, GP82), "")</f>
        <v>8</v>
      </c>
      <c r="GQ83" s="62">
        <f t="shared" ref="GQ83" si="594">IF(SUM(GQ70, GQ82) &gt; 0, SUM(GQ70, GQ82), "")</f>
        <v>7</v>
      </c>
      <c r="GR83" s="62" t="str">
        <f t="shared" ref="GR83" si="595">IF(SUM(GR70, GR82) &gt; 0, SUM(GR70, GR82), "")</f>
        <v/>
      </c>
      <c r="GS83" s="62"/>
      <c r="GT83" s="62"/>
      <c r="GU83" s="63" t="str">
        <f t="shared" ref="GU83" si="596">IF(SUM(GU70, GU82) &gt; 0, SUM(GU70, GU82), "")</f>
        <v/>
      </c>
      <c r="GV83" s="65" t="str">
        <f t="shared" ref="GV83" si="597">IF(SUM(GV70, GV82) &gt; 0, SUM(GV70, GV82), "")</f>
        <v/>
      </c>
      <c r="GW83" s="62" t="str">
        <f t="shared" ref="GW83" si="598">IF(SUM(GW70, GW82) &gt; 0, SUM(GW70, GW82), "")</f>
        <v/>
      </c>
      <c r="GX83" s="62" t="str">
        <f t="shared" ref="GX83" si="599">IF(SUM(GX70, GX82) &gt; 0, SUM(GX70, GX82), "")</f>
        <v/>
      </c>
      <c r="GY83" s="62" t="str">
        <f t="shared" ref="GY83" si="600">IF(SUM(GY70, GY82) &gt; 0, SUM(GY70, GY82), "")</f>
        <v/>
      </c>
      <c r="GZ83" s="62" t="str">
        <f t="shared" ref="GZ83" si="601">IF(SUM(GZ70, GZ82) &gt; 0, SUM(GZ70, GZ82), "")</f>
        <v/>
      </c>
      <c r="HA83" s="62" t="str">
        <f t="shared" ref="HA83" si="602">IF(SUM(HA70, HA82) &gt; 0, SUM(HA70, HA82), "")</f>
        <v/>
      </c>
      <c r="HB83" s="62"/>
      <c r="HC83" s="62"/>
      <c r="HD83" s="63" t="str">
        <f t="shared" ref="HD83" si="603">IF(SUM(HD70, HD82) &gt; 0, SUM(HD70, HD82), "")</f>
        <v/>
      </c>
      <c r="HE83" s="65" t="str">
        <f t="shared" ref="HE83" si="604">IF(SUM(HE70, HE82) &gt; 0, SUM(HE70, HE82), "")</f>
        <v/>
      </c>
      <c r="HF83" s="62" t="str">
        <f t="shared" ref="HF83" si="605">IF(SUM(HF70, HF82) &gt; 0, SUM(HF70, HF82), "")</f>
        <v/>
      </c>
      <c r="HG83" s="62" t="str">
        <f t="shared" ref="HG83" si="606">IF(SUM(HG70, HG82) &gt; 0, SUM(HG70, HG82), "")</f>
        <v/>
      </c>
      <c r="HH83" s="62" t="str">
        <f t="shared" ref="HH83" si="607">IF(SUM(HH70, HH82) &gt; 0, SUM(HH70, HH82), "")</f>
        <v/>
      </c>
      <c r="HI83" s="62" t="str">
        <f t="shared" ref="HI83" si="608">IF(SUM(HI70, HI82) &gt; 0, SUM(HI70, HI82), "")</f>
        <v/>
      </c>
      <c r="HJ83" s="62" t="str">
        <f t="shared" ref="HJ83" si="609">IF(SUM(HJ70, HJ82) &gt; 0, SUM(HJ70, HJ82), "")</f>
        <v/>
      </c>
      <c r="HK83" s="63" t="str">
        <f t="shared" ref="HK83" si="610">IF(SUM(HK70, HK82) &gt; 0, SUM(HK70, HK82), "")</f>
        <v/>
      </c>
      <c r="HL83" s="65" t="str">
        <f t="shared" ref="HL83" si="611">IF(SUM(HL70, HL82) &gt; 0, SUM(HL70, HL82), "")</f>
        <v/>
      </c>
      <c r="HM83" s="62" t="str">
        <f t="shared" ref="HM83" si="612">IF(SUM(HM70, HM82) &gt; 0, SUM(HM70, HM82), "")</f>
        <v/>
      </c>
      <c r="HN83" s="62" t="str">
        <f t="shared" ref="HN83" si="613">IF(SUM(HN70, HN82) &gt; 0, SUM(HN70, HN82), "")</f>
        <v/>
      </c>
      <c r="HO83" s="62" t="str">
        <f t="shared" ref="HO83" si="614">IF(SUM(HO70, HO82) &gt; 0, SUM(HO70, HO82), "")</f>
        <v/>
      </c>
      <c r="HP83" s="62" t="str">
        <f t="shared" ref="HP83" si="615">IF(SUM(HP70, HP82) &gt; 0, SUM(HP70, HP82), "")</f>
        <v/>
      </c>
      <c r="HQ83" s="62" t="str">
        <f t="shared" ref="HQ83" si="616">IF(SUM(HQ70, HQ82) &gt; 0, SUM(HQ70, HQ82), "")</f>
        <v/>
      </c>
      <c r="HR83" s="63" t="str">
        <f t="shared" ref="HR83" si="617">IF(SUM(HR70, HR82) &gt; 0, SUM(HR70, HR82), "")</f>
        <v/>
      </c>
      <c r="HS83" s="65" t="str">
        <f t="shared" ref="HS83" si="618">IF(SUM(HS70, HS82) &gt; 0, SUM(HS70, HS82), "")</f>
        <v/>
      </c>
      <c r="HT83" s="62" t="str">
        <f t="shared" ref="HT83" si="619">IF(SUM(HT70, HT82) &gt; 0, SUM(HT70, HT82), "")</f>
        <v/>
      </c>
      <c r="HU83" s="62" t="str">
        <f t="shared" ref="HU83" si="620">IF(SUM(HU70, HU82) &gt; 0, SUM(HU70, HU82), "")</f>
        <v/>
      </c>
      <c r="HV83" s="62" t="str">
        <f t="shared" ref="HV83" si="621">IF(SUM(HV70, HV82) &gt; 0, SUM(HV70, HV82), "")</f>
        <v/>
      </c>
      <c r="HW83" s="62" t="str">
        <f t="shared" ref="HW83" si="622">IF(SUM(HW70, HW82) &gt; 0, SUM(HW70, HW82), "")</f>
        <v/>
      </c>
      <c r="HX83" s="62" t="str">
        <f t="shared" ref="HX83" si="623">IF(SUM(HX70, HX82) &gt; 0, SUM(HX70, HX82), "")</f>
        <v/>
      </c>
      <c r="HY83" s="63" t="str">
        <f t="shared" ref="HY83" si="624">IF(SUM(HY70, HY82) &gt; 0, SUM(HY70, HY82), "")</f>
        <v/>
      </c>
      <c r="HZ83" s="65" t="str">
        <f t="shared" ref="HZ83" si="625">IF(SUM(HZ70, HZ82) &gt; 0, SUM(HZ70, HZ82), "")</f>
        <v/>
      </c>
      <c r="IA83" s="62" t="str">
        <f t="shared" ref="IA83" si="626">IF(SUM(IA70, IA82) &gt; 0, SUM(IA70, IA82), "")</f>
        <v/>
      </c>
      <c r="IB83" s="62" t="str">
        <f t="shared" ref="IB83" si="627">IF(SUM(IB70, IB82) &gt; 0, SUM(IB70, IB82), "")</f>
        <v/>
      </c>
      <c r="IC83" s="62" t="str">
        <f t="shared" ref="IC83" si="628">IF(SUM(IC70, IC82) &gt; 0, SUM(IC70, IC82), "")</f>
        <v/>
      </c>
      <c r="ID83" s="62" t="str">
        <f t="shared" ref="ID83" si="629">IF(SUM(ID70, ID82) &gt; 0, SUM(ID70, ID82), "")</f>
        <v/>
      </c>
      <c r="IE83" s="62" t="str">
        <f t="shared" ref="IE83" si="630">IF(SUM(IE70, IE82) &gt; 0, SUM(IE70, IE82), "")</f>
        <v/>
      </c>
      <c r="IF83" s="63" t="str">
        <f t="shared" ref="IF83" si="631">IF(SUM(IF70, IF82) &gt; 0, SUM(IF70, IF82), "")</f>
        <v/>
      </c>
      <c r="IG83" s="65" t="str">
        <f t="shared" ref="IG83" si="632">IF(SUM(IG70, IG82) &gt; 0, SUM(IG70, IG82), "")</f>
        <v/>
      </c>
      <c r="IH83" s="62" t="str">
        <f t="shared" ref="IH83" si="633">IF(SUM(IH70, IH82) &gt; 0, SUM(IH70, IH82), "")</f>
        <v/>
      </c>
      <c r="II83" s="62" t="str">
        <f t="shared" ref="II83" si="634">IF(SUM(II70, II82) &gt; 0, SUM(II70, II82), "")</f>
        <v/>
      </c>
      <c r="IJ83" s="62" t="str">
        <f t="shared" ref="IJ83" si="635">IF(SUM(IJ70, IJ82) &gt; 0, SUM(IJ70, IJ82), "")</f>
        <v/>
      </c>
      <c r="IK83" s="62" t="str">
        <f t="shared" ref="IK83" si="636">IF(SUM(IK70, IK82) &gt; 0, SUM(IK70, IK82), "")</f>
        <v/>
      </c>
      <c r="IL83" s="62" t="str">
        <f t="shared" ref="IL83" si="637">IF(SUM(IL70, IL82) &gt; 0, SUM(IL70, IL82), "")</f>
        <v/>
      </c>
      <c r="IM83" s="63" t="str">
        <f t="shared" ref="IM83" si="638">IF(SUM(IM70, IM82) &gt; 0, SUM(IM70, IM82), "")</f>
        <v/>
      </c>
      <c r="IN83" s="65" t="str">
        <f t="shared" ref="IN83" si="639">IF(SUM(IN70, IN82) &gt; 0, SUM(IN70, IN82), "")</f>
        <v/>
      </c>
      <c r="IO83" s="62" t="str">
        <f t="shared" ref="IO83" si="640">IF(SUM(IO70, IO82) &gt; 0, SUM(IO70, IO82), "")</f>
        <v/>
      </c>
      <c r="IP83" s="62" t="str">
        <f t="shared" ref="IP83" si="641">IF(SUM(IP70, IP82) &gt; 0, SUM(IP70, IP82), "")</f>
        <v/>
      </c>
      <c r="IQ83" s="62" t="str">
        <f t="shared" ref="IQ83" si="642">IF(SUM(IQ70, IQ82) &gt; 0, SUM(IQ70, IQ82), "")</f>
        <v/>
      </c>
      <c r="IR83" s="62" t="str">
        <f t="shared" ref="IR83" si="643">IF(SUM(IR70, IR82) &gt; 0, SUM(IR70, IR82), "")</f>
        <v/>
      </c>
      <c r="IS83" s="62" t="str">
        <f t="shared" ref="IS83" si="644">IF(SUM(IS70, IS82) &gt; 0, SUM(IS70, IS82), "")</f>
        <v/>
      </c>
      <c r="IT83" s="63" t="str">
        <f t="shared" ref="IT83" si="645">IF(SUM(IT70, IT82) &gt; 0, SUM(IT70, IT82), "")</f>
        <v/>
      </c>
      <c r="IU83" s="65" t="str">
        <f t="shared" ref="IU83" si="646">IF(SUM(IU70, IU82) &gt; 0, SUM(IU70, IU82), "")</f>
        <v/>
      </c>
      <c r="IV83" s="62" t="str">
        <f t="shared" ref="IV83" si="647">IF(SUM(IV70, IV82) &gt; 0, SUM(IV70, IV82), "")</f>
        <v/>
      </c>
      <c r="IW83" s="62" t="str">
        <f t="shared" ref="IW83" si="648">IF(SUM(IW70, IW82) &gt; 0, SUM(IW70, IW82), "")</f>
        <v/>
      </c>
      <c r="IX83" s="62" t="str">
        <f t="shared" ref="IX83" si="649">IF(SUM(IX70, IX82) &gt; 0, SUM(IX70, IX82), "")</f>
        <v/>
      </c>
      <c r="IY83" s="62" t="str">
        <f t="shared" ref="IY83" si="650">IF(SUM(IY70, IY82) &gt; 0, SUM(IY70, IY82), "")</f>
        <v/>
      </c>
      <c r="IZ83" s="62" t="str">
        <f t="shared" ref="IZ83" si="651">IF(SUM(IZ70, IZ82) &gt; 0, SUM(IZ70, IZ82), "")</f>
        <v/>
      </c>
      <c r="JA83" s="63" t="str">
        <f t="shared" ref="JA83" si="652">IF(SUM(JA70, JA82) &gt; 0, SUM(JA70, JA82), "")</f>
        <v/>
      </c>
      <c r="JB83" s="65" t="str">
        <f t="shared" ref="JB83" si="653">IF(SUM(JB70, JB82) &gt; 0, SUM(JB70, JB82), "")</f>
        <v/>
      </c>
      <c r="JC83" s="62" t="str">
        <f t="shared" ref="JC83" si="654">IF(SUM(JC70, JC82) &gt; 0, SUM(JC70, JC82), "")</f>
        <v/>
      </c>
      <c r="JD83" s="62" t="str">
        <f t="shared" ref="JD83" si="655">IF(SUM(JD70, JD82) &gt; 0, SUM(JD70, JD82), "")</f>
        <v/>
      </c>
      <c r="JE83" s="62" t="str">
        <f t="shared" ref="JE83" si="656">IF(SUM(JE70, JE82) &gt; 0, SUM(JE70, JE82), "")</f>
        <v/>
      </c>
      <c r="JF83" s="62" t="str">
        <f t="shared" ref="JF83" si="657">IF(SUM(JF70, JF82) &gt; 0, SUM(JF70, JF82), "")</f>
        <v/>
      </c>
      <c r="JG83" s="62" t="str">
        <f t="shared" ref="JG83" si="658">IF(SUM(JG70, JG82) &gt; 0, SUM(JG70, JG82), "")</f>
        <v/>
      </c>
      <c r="JH83" s="63" t="str">
        <f t="shared" ref="JH83" si="659">IF(SUM(JH70, JH82) &gt; 0, SUM(JH70, JH82), "")</f>
        <v/>
      </c>
      <c r="JI83" s="65" t="str">
        <f t="shared" ref="JI83" si="660">IF(SUM(JI70, JI82) &gt; 0, SUM(JI70, JI82), "")</f>
        <v/>
      </c>
      <c r="JJ83" s="62" t="str">
        <f t="shared" ref="JJ83" si="661">IF(SUM(JJ70, JJ82) &gt; 0, SUM(JJ70, JJ82), "")</f>
        <v/>
      </c>
      <c r="JK83" s="62" t="str">
        <f t="shared" ref="JK83" si="662">IF(SUM(JK70, JK82) &gt; 0, SUM(JK70, JK82), "")</f>
        <v/>
      </c>
      <c r="JL83" s="62" t="str">
        <f t="shared" ref="JL83" si="663">IF(SUM(JL70, JL82) &gt; 0, SUM(JL70, JL82), "")</f>
        <v/>
      </c>
      <c r="JM83" s="62" t="str">
        <f t="shared" ref="JM83" si="664">IF(SUM(JM70, JM82) &gt; 0, SUM(JM70, JM82), "")</f>
        <v/>
      </c>
      <c r="JN83" s="62" t="str">
        <f t="shared" ref="JN83" si="665">IF(SUM(JN70, JN82) &gt; 0, SUM(JN70, JN82), "")</f>
        <v/>
      </c>
      <c r="JO83" s="63" t="str">
        <f t="shared" ref="JO83" si="666">IF(SUM(JO70, JO82) &gt; 0, SUM(JO70, JO82), "")</f>
        <v/>
      </c>
      <c r="JP83" s="65" t="str">
        <f t="shared" ref="JP83" si="667">IF(SUM(JP70, JP82) &gt; 0, SUM(JP70, JP82), "")</f>
        <v/>
      </c>
      <c r="JQ83" s="62" t="str">
        <f t="shared" ref="JQ83" si="668">IF(SUM(JQ70, JQ82) &gt; 0, SUM(JQ70, JQ82), "")</f>
        <v/>
      </c>
      <c r="JR83" s="62" t="str">
        <f t="shared" ref="JR83" si="669">IF(SUM(JR70, JR82) &gt; 0, SUM(JR70, JR82), "")</f>
        <v/>
      </c>
      <c r="JS83" s="62" t="str">
        <f t="shared" ref="JS83" si="670">IF(SUM(JS70, JS82) &gt; 0, SUM(JS70, JS82), "")</f>
        <v/>
      </c>
      <c r="JT83" s="62" t="str">
        <f t="shared" ref="JT83" si="671">IF(SUM(JT70, JT82) &gt; 0, SUM(JT70, JT82), "")</f>
        <v/>
      </c>
      <c r="JU83" s="62" t="str">
        <f t="shared" ref="JU83" si="672">IF(SUM(JU70, JU82) &gt; 0, SUM(JU70, JU82), "")</f>
        <v/>
      </c>
      <c r="JV83" s="63" t="str">
        <f t="shared" ref="JV83" si="673">IF(SUM(JV70, JV82) &gt; 0, SUM(JV70, JV82), "")</f>
        <v/>
      </c>
      <c r="JW83" s="65" t="str">
        <f t="shared" ref="JW83" si="674">IF(SUM(JW70, JW82) &gt; 0, SUM(JW70, JW82), "")</f>
        <v/>
      </c>
      <c r="JX83" s="62" t="str">
        <f t="shared" ref="JX83" si="675">IF(SUM(JX70, JX82) &gt; 0, SUM(JX70, JX82), "")</f>
        <v/>
      </c>
      <c r="JY83" s="62" t="str">
        <f t="shared" ref="JY83" si="676">IF(SUM(JY70, JY82) &gt; 0, SUM(JY70, JY82), "")</f>
        <v/>
      </c>
      <c r="JZ83" s="62" t="str">
        <f t="shared" ref="JZ83" si="677">IF(SUM(JZ70, JZ82) &gt; 0, SUM(JZ70, JZ82), "")</f>
        <v/>
      </c>
      <c r="KA83" s="62" t="str">
        <f t="shared" ref="KA83" si="678">IF(SUM(KA70, KA82) &gt; 0, SUM(KA70, KA82), "")</f>
        <v/>
      </c>
      <c r="KB83" s="62" t="str">
        <f t="shared" ref="KB83" si="679">IF(SUM(KB70, KB82) &gt; 0, SUM(KB70, KB82), "")</f>
        <v/>
      </c>
      <c r="KC83" s="63" t="str">
        <f t="shared" ref="KC83" si="680">IF(SUM(KC70, KC82) &gt; 0, SUM(KC70, KC82), "")</f>
        <v/>
      </c>
      <c r="KD83" s="65" t="str">
        <f t="shared" ref="KD83" si="681">IF(SUM(KD70, KD82) &gt; 0, SUM(KD70, KD82), "")</f>
        <v/>
      </c>
      <c r="KE83" s="62" t="str">
        <f t="shared" ref="KE83" si="682">IF(SUM(KE70, KE82) &gt; 0, SUM(KE70, KE82), "")</f>
        <v/>
      </c>
      <c r="KF83" s="62" t="str">
        <f t="shared" ref="KF83" si="683">IF(SUM(KF70, KF82) &gt; 0, SUM(KF70, KF82), "")</f>
        <v/>
      </c>
      <c r="KG83" s="62" t="str">
        <f t="shared" ref="KG83" si="684">IF(SUM(KG70, KG82) &gt; 0, SUM(KG70, KG82), "")</f>
        <v/>
      </c>
      <c r="KH83" s="62" t="str">
        <f t="shared" ref="KH83" si="685">IF(SUM(KH70, KH82) &gt; 0, SUM(KH70, KH82), "")</f>
        <v/>
      </c>
      <c r="KI83" s="62" t="str">
        <f t="shared" ref="KI83" si="686">IF(SUM(KI70, KI82) &gt; 0, SUM(KI70, KI82), "")</f>
        <v/>
      </c>
      <c r="KJ83" s="63" t="str">
        <f t="shared" ref="KJ83" si="687">IF(SUM(KJ70, KJ82) &gt; 0, SUM(KJ70, KJ82), "")</f>
        <v/>
      </c>
      <c r="KK83" s="65" t="str">
        <f t="shared" ref="KK83" si="688">IF(SUM(KK70, KK82) &gt; 0, SUM(KK70, KK82), "")</f>
        <v/>
      </c>
      <c r="KL83" s="62" t="str">
        <f t="shared" ref="KL83" si="689">IF(SUM(KL70, KL82) &gt; 0, SUM(KL70, KL82), "")</f>
        <v/>
      </c>
      <c r="KM83" s="62" t="str">
        <f t="shared" ref="KM83" si="690">IF(SUM(KM70, KM82) &gt; 0, SUM(KM70, KM82), "")</f>
        <v/>
      </c>
      <c r="KN83" s="62" t="str">
        <f t="shared" ref="KN83" si="691">IF(SUM(KN70, KN82) &gt; 0, SUM(KN70, KN82), "")</f>
        <v/>
      </c>
      <c r="KO83" s="62" t="str">
        <f t="shared" ref="KO83" si="692">IF(SUM(KO70, KO82) &gt; 0, SUM(KO70, KO82), "")</f>
        <v/>
      </c>
      <c r="KP83" s="62" t="str">
        <f t="shared" ref="KP83" si="693">IF(SUM(KP70, KP82) &gt; 0, SUM(KP70, KP82), "")</f>
        <v/>
      </c>
      <c r="KQ83" s="63" t="str">
        <f t="shared" ref="KQ83" si="694">IF(SUM(KQ70, KQ82) &gt; 0, SUM(KQ70, KQ82), "")</f>
        <v/>
      </c>
      <c r="KR83" s="65" t="str">
        <f t="shared" ref="KR83" si="695">IF(SUM(KR70, KR82) &gt; 0, SUM(KR70, KR82), "")</f>
        <v/>
      </c>
      <c r="KS83" s="62" t="str">
        <f t="shared" ref="KS83" si="696">IF(SUM(KS70, KS82) &gt; 0, SUM(KS70, KS82), "")</f>
        <v/>
      </c>
      <c r="KT83" s="62" t="str">
        <f t="shared" ref="KT83" si="697">IF(SUM(KT70, KT82) &gt; 0, SUM(KT70, KT82), "")</f>
        <v/>
      </c>
      <c r="KU83" s="62" t="str">
        <f t="shared" ref="KU83" si="698">IF(SUM(KU70, KU82) &gt; 0, SUM(KU70, KU82), "")</f>
        <v/>
      </c>
      <c r="KV83" s="62" t="str">
        <f t="shared" ref="KV83" si="699">IF(SUM(KV70, KV82) &gt; 0, SUM(KV70, KV82), "")</f>
        <v/>
      </c>
      <c r="KW83" s="62" t="str">
        <f t="shared" ref="KW83" si="700">IF(SUM(KW70, KW82) &gt; 0, SUM(KW70, KW82), "")</f>
        <v/>
      </c>
      <c r="KX83" s="63" t="str">
        <f t="shared" ref="KX83" si="701">IF(SUM(KX70, KX82) &gt; 0, SUM(KX70, KX82), "")</f>
        <v/>
      </c>
      <c r="KY83" s="65" t="str">
        <f t="shared" ref="KY83" si="702">IF(SUM(KY70, KY82) &gt; 0, SUM(KY70, KY82), "")</f>
        <v/>
      </c>
      <c r="KZ83" s="62" t="str">
        <f t="shared" ref="KZ83" si="703">IF(SUM(KZ70, KZ82) &gt; 0, SUM(KZ70, KZ82), "")</f>
        <v/>
      </c>
      <c r="LA83" s="62" t="str">
        <f t="shared" ref="LA83" si="704">IF(SUM(LA70, LA82) &gt; 0, SUM(LA70, LA82), "")</f>
        <v/>
      </c>
      <c r="LB83" s="62" t="str">
        <f t="shared" ref="LB83" si="705">IF(SUM(LB70, LB82) &gt; 0, SUM(LB70, LB82), "")</f>
        <v/>
      </c>
      <c r="LC83" s="62" t="str">
        <f t="shared" ref="LC83" si="706">IF(SUM(LC70, LC82) &gt; 0, SUM(LC70, LC82), "")</f>
        <v/>
      </c>
      <c r="LD83" s="62" t="str">
        <f t="shared" ref="LD83" si="707">IF(SUM(LD70, LD82) &gt; 0, SUM(LD70, LD82), "")</f>
        <v/>
      </c>
      <c r="LE83" s="63" t="str">
        <f t="shared" ref="LE83" si="708">IF(SUM(LE70, LE82) &gt; 0, SUM(LE70, LE82), "")</f>
        <v/>
      </c>
      <c r="LF83" s="65" t="str">
        <f t="shared" ref="LF83" si="709">IF(SUM(LF70, LF82) &gt; 0, SUM(LF70, LF82), "")</f>
        <v/>
      </c>
      <c r="LG83" s="62" t="str">
        <f t="shared" ref="LG83" si="710">IF(SUM(LG70, LG82) &gt; 0, SUM(LG70, LG82), "")</f>
        <v/>
      </c>
      <c r="LH83" s="62" t="str">
        <f t="shared" ref="LH83" si="711">IF(SUM(LH70, LH82) &gt; 0, SUM(LH70, LH82), "")</f>
        <v/>
      </c>
      <c r="LI83" s="62" t="str">
        <f t="shared" ref="LI83" si="712">IF(SUM(LI70, LI82) &gt; 0, SUM(LI70, LI82), "")</f>
        <v/>
      </c>
      <c r="LJ83" s="62" t="str">
        <f t="shared" ref="LJ83" si="713">IF(SUM(LJ70, LJ82) &gt; 0, SUM(LJ70, LJ82), "")</f>
        <v/>
      </c>
      <c r="LK83" s="62" t="str">
        <f t="shared" ref="LK83" si="714">IF(SUM(LK70, LK82) &gt; 0, SUM(LK70, LK82), "")</f>
        <v/>
      </c>
      <c r="LL83" s="63" t="str">
        <f t="shared" ref="LL83" si="715">IF(SUM(LL70, LL82) &gt; 0, SUM(LL70, LL82), "")</f>
        <v/>
      </c>
      <c r="LM83" s="65" t="str">
        <f t="shared" ref="LM83" si="716">IF(SUM(LM70, LM82) &gt; 0, SUM(LM70, LM82), "")</f>
        <v/>
      </c>
      <c r="LN83" s="62" t="str">
        <f t="shared" ref="LN83" si="717">IF(SUM(LN70, LN82) &gt; 0, SUM(LN70, LN82), "")</f>
        <v/>
      </c>
      <c r="LO83" s="62" t="str">
        <f t="shared" ref="LO83" si="718">IF(SUM(LO70, LO82) &gt; 0, SUM(LO70, LO82), "")</f>
        <v/>
      </c>
      <c r="LP83" s="62" t="str">
        <f t="shared" ref="LP83" si="719">IF(SUM(LP70, LP82) &gt; 0, SUM(LP70, LP82), "")</f>
        <v/>
      </c>
      <c r="LQ83" s="62" t="str">
        <f t="shared" ref="LQ83" si="720">IF(SUM(LQ70, LQ82) &gt; 0, SUM(LQ70, LQ82), "")</f>
        <v/>
      </c>
      <c r="LR83" s="62" t="str">
        <f t="shared" ref="LR83" si="721">IF(SUM(LR70, LR82) &gt; 0, SUM(LR70, LR82), "")</f>
        <v/>
      </c>
      <c r="LS83" s="63" t="str">
        <f t="shared" ref="LS83" si="722">IF(SUM(LS70, LS82) &gt; 0, SUM(LS70, LS82), "")</f>
        <v/>
      </c>
      <c r="LT83" s="65" t="str">
        <f t="shared" ref="LT83" si="723">IF(SUM(LT70, LT82) &gt; 0, SUM(LT70, LT82), "")</f>
        <v/>
      </c>
      <c r="LU83" s="62" t="str">
        <f t="shared" ref="LU83" si="724">IF(SUM(LU70, LU82) &gt; 0, SUM(LU70, LU82), "")</f>
        <v/>
      </c>
      <c r="LV83" s="62" t="str">
        <f t="shared" ref="LV83" si="725">IF(SUM(LV70, LV82) &gt; 0, SUM(LV70, LV82), "")</f>
        <v/>
      </c>
      <c r="LW83" s="62" t="str">
        <f t="shared" ref="LW83" si="726">IF(SUM(LW70, LW82) &gt; 0, SUM(LW70, LW82), "")</f>
        <v/>
      </c>
      <c r="LX83" s="62" t="str">
        <f t="shared" ref="LX83" si="727">IF(SUM(LX70, LX82) &gt; 0, SUM(LX70, LX82), "")</f>
        <v/>
      </c>
      <c r="LY83" s="62" t="str">
        <f t="shared" ref="LY83" si="728">IF(SUM(LY70, LY82) &gt; 0, SUM(LY70, LY82), "")</f>
        <v/>
      </c>
      <c r="LZ83" s="63" t="str">
        <f t="shared" ref="LZ83" si="729">IF(SUM(LZ70, LZ82) &gt; 0, SUM(LZ70, LZ82), "")</f>
        <v/>
      </c>
      <c r="MA83" s="65" t="str">
        <f t="shared" ref="MA83" si="730">IF(SUM(MA70, MA82) &gt; 0, SUM(MA70, MA82), "")</f>
        <v/>
      </c>
      <c r="MB83" s="62" t="str">
        <f t="shared" ref="MB83" si="731">IF(SUM(MB70, MB82) &gt; 0, SUM(MB70, MB82), "")</f>
        <v/>
      </c>
      <c r="MC83" s="62" t="str">
        <f t="shared" ref="MC83" si="732">IF(SUM(MC70, MC82) &gt; 0, SUM(MC70, MC82), "")</f>
        <v/>
      </c>
      <c r="MD83" s="62" t="str">
        <f t="shared" ref="MD83" si="733">IF(SUM(MD70, MD82) &gt; 0, SUM(MD70, MD82), "")</f>
        <v/>
      </c>
      <c r="ME83" s="62" t="str">
        <f t="shared" ref="ME83" si="734">IF(SUM(ME70, ME82) &gt; 0, SUM(ME70, ME82), "")</f>
        <v/>
      </c>
      <c r="MF83" s="62" t="str">
        <f t="shared" ref="MF83" si="735">IF(SUM(MF70, MF82) &gt; 0, SUM(MF70, MF82), "")</f>
        <v/>
      </c>
      <c r="MG83" s="63" t="str">
        <f t="shared" ref="MG83" si="736">IF(SUM(MG70, MG82) &gt; 0, SUM(MG70, MG82), "")</f>
        <v/>
      </c>
      <c r="MH83" s="65" t="str">
        <f t="shared" ref="MH83" si="737">IF(SUM(MH70, MH82) &gt; 0, SUM(MH70, MH82), "")</f>
        <v/>
      </c>
      <c r="MI83" s="62" t="str">
        <f t="shared" ref="MI83" si="738">IF(SUM(MI70, MI82) &gt; 0, SUM(MI70, MI82), "")</f>
        <v/>
      </c>
      <c r="MJ83" s="62" t="str">
        <f t="shared" ref="MJ83" si="739">IF(SUM(MJ70, MJ82) &gt; 0, SUM(MJ70, MJ82), "")</f>
        <v/>
      </c>
      <c r="MK83" s="62" t="str">
        <f t="shared" ref="MK83" si="740">IF(SUM(MK70, MK82) &gt; 0, SUM(MK70, MK82), "")</f>
        <v/>
      </c>
      <c r="ML83" s="62" t="str">
        <f t="shared" ref="ML83" si="741">IF(SUM(ML70, ML82) &gt; 0, SUM(ML70, ML82), "")</f>
        <v/>
      </c>
      <c r="MM83" s="62" t="str">
        <f t="shared" ref="MM83" si="742">IF(SUM(MM70, MM82) &gt; 0, SUM(MM70, MM82), "")</f>
        <v/>
      </c>
      <c r="MN83" s="63" t="str">
        <f t="shared" ref="MN83" si="743">IF(SUM(MN70, MN82) &gt; 0, SUM(MN70, MN82), "")</f>
        <v/>
      </c>
      <c r="MO83" s="65" t="str">
        <f t="shared" ref="MO83" si="744">IF(SUM(MO70, MO82) &gt; 0, SUM(MO70, MO82), "")</f>
        <v/>
      </c>
      <c r="MP83" s="62" t="str">
        <f t="shared" ref="MP83" si="745">IF(SUM(MP70, MP82) &gt; 0, SUM(MP70, MP82), "")</f>
        <v/>
      </c>
      <c r="MQ83" s="62" t="str">
        <f t="shared" ref="MQ83" si="746">IF(SUM(MQ70, MQ82) &gt; 0, SUM(MQ70, MQ82), "")</f>
        <v/>
      </c>
      <c r="MR83" s="62" t="str">
        <f t="shared" ref="MR83" si="747">IF(SUM(MR70, MR82) &gt; 0, SUM(MR70, MR82), "")</f>
        <v/>
      </c>
      <c r="MS83" s="62" t="str">
        <f t="shared" ref="MS83" si="748">IF(SUM(MS70, MS82) &gt; 0, SUM(MS70, MS82), "")</f>
        <v/>
      </c>
      <c r="MT83" s="62" t="str">
        <f t="shared" ref="MT83" si="749">IF(SUM(MT70, MT82) &gt; 0, SUM(MT70, MT82), "")</f>
        <v/>
      </c>
      <c r="MU83" s="63" t="str">
        <f t="shared" ref="MU83" si="750">IF(SUM(MU70, MU82) &gt; 0, SUM(MU70, MU82), "")</f>
        <v/>
      </c>
      <c r="MV83" s="65" t="str">
        <f t="shared" ref="MV83" si="751">IF(SUM(MV70, MV82) &gt; 0, SUM(MV70, MV82), "")</f>
        <v/>
      </c>
      <c r="MW83" s="62" t="str">
        <f t="shared" ref="MW83" si="752">IF(SUM(MW70, MW82) &gt; 0, SUM(MW70, MW82), "")</f>
        <v/>
      </c>
      <c r="MX83" s="62" t="str">
        <f t="shared" ref="MX83" si="753">IF(SUM(MX70, MX82) &gt; 0, SUM(MX70, MX82), "")</f>
        <v/>
      </c>
      <c r="MY83" s="62" t="str">
        <f t="shared" ref="MY83" si="754">IF(SUM(MY70, MY82) &gt; 0, SUM(MY70, MY82), "")</f>
        <v/>
      </c>
      <c r="MZ83" s="62" t="str">
        <f t="shared" ref="MZ83" si="755">IF(SUM(MZ70, MZ82) &gt; 0, SUM(MZ70, MZ82), "")</f>
        <v/>
      </c>
      <c r="NA83" s="62" t="str">
        <f t="shared" ref="NA83" si="756">IF(SUM(NA70, NA82) &gt; 0, SUM(NA70, NA82), "")</f>
        <v/>
      </c>
      <c r="NB83" s="63" t="str">
        <f t="shared" ref="NB83" si="757">IF(SUM(NB70, NB82) &gt; 0, SUM(NB70, NB82), "")</f>
        <v/>
      </c>
    </row>
    <row r="84" spans="1:366"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U84" s="7"/>
      <c r="HD84" s="7"/>
      <c r="HK84" s="7"/>
      <c r="HR84" s="7"/>
      <c r="HY84" s="7"/>
      <c r="IF84" s="7"/>
      <c r="IM84" s="7"/>
      <c r="IT84" s="7"/>
      <c r="JA84" s="7"/>
      <c r="JH84" s="7"/>
      <c r="JO84" s="7"/>
      <c r="JV84" s="7"/>
      <c r="KC84" s="7"/>
      <c r="KJ84" s="7"/>
      <c r="KQ84" s="7"/>
      <c r="KX84" s="7"/>
      <c r="LE84" s="7"/>
      <c r="LL84" s="7"/>
      <c r="LS84" s="7"/>
      <c r="LZ84" s="7"/>
      <c r="MG84" s="7"/>
      <c r="MN84" s="7"/>
      <c r="MU84" s="7"/>
      <c r="NB84" s="7"/>
    </row>
    <row r="85" spans="1:366"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1"/>
      <c r="GT85" s="11"/>
      <c r="GU85" s="12"/>
      <c r="GV85" s="11"/>
      <c r="GW85" s="11"/>
      <c r="GX85" s="11"/>
      <c r="GY85" s="11"/>
      <c r="GZ85" s="11"/>
      <c r="HA85" s="11"/>
      <c r="HB85" s="11"/>
      <c r="HC85" s="11"/>
      <c r="HD85" s="12"/>
      <c r="HE85" s="11"/>
      <c r="HF85" s="11"/>
      <c r="HG85" s="11"/>
      <c r="HH85" s="11"/>
      <c r="HI85" s="11"/>
      <c r="HJ85" s="11"/>
      <c r="HK85" s="12"/>
      <c r="HL85" s="11"/>
      <c r="HM85" s="11"/>
      <c r="HN85" s="11"/>
      <c r="HO85" s="11"/>
      <c r="HP85" s="11"/>
      <c r="HQ85" s="11"/>
      <c r="HR85" s="12"/>
      <c r="HS85" s="11"/>
      <c r="HT85" s="11"/>
      <c r="HU85" s="11"/>
      <c r="HV85" s="11"/>
      <c r="HW85" s="11"/>
      <c r="HX85" s="11"/>
      <c r="HY85" s="12"/>
      <c r="HZ85" s="11"/>
      <c r="IA85" s="11"/>
      <c r="IB85" s="11"/>
      <c r="IC85" s="11"/>
      <c r="ID85" s="11"/>
      <c r="IE85" s="11"/>
      <c r="IF85" s="12"/>
      <c r="IG85" s="11"/>
      <c r="IH85" s="11"/>
      <c r="II85" s="11"/>
      <c r="IJ85" s="11"/>
      <c r="IK85" s="11"/>
      <c r="IL85" s="11"/>
      <c r="IM85" s="12"/>
      <c r="IN85" s="11"/>
      <c r="IO85" s="11"/>
      <c r="IP85" s="11"/>
      <c r="IQ85" s="11"/>
      <c r="IR85" s="11"/>
      <c r="IS85" s="11"/>
      <c r="IT85" s="12"/>
      <c r="IU85" s="11"/>
      <c r="IV85" s="11"/>
      <c r="IW85" s="11"/>
      <c r="IX85" s="11"/>
      <c r="IY85" s="11"/>
      <c r="IZ85" s="11"/>
      <c r="JA85" s="12"/>
      <c r="JB85" s="11"/>
      <c r="JC85" s="11"/>
      <c r="JD85" s="11"/>
      <c r="JE85" s="11"/>
      <c r="JF85" s="11"/>
      <c r="JG85" s="11"/>
      <c r="JH85" s="12"/>
      <c r="JI85" s="11"/>
      <c r="JJ85" s="11"/>
      <c r="JK85" s="11"/>
      <c r="JL85" s="11"/>
      <c r="JM85" s="11"/>
      <c r="JN85" s="11"/>
      <c r="JO85" s="12"/>
      <c r="JP85" s="11"/>
      <c r="JQ85" s="11"/>
      <c r="JR85" s="11"/>
      <c r="JS85" s="11"/>
      <c r="JT85" s="11"/>
      <c r="JU85" s="11"/>
      <c r="JV85" s="12"/>
      <c r="JW85" s="11"/>
      <c r="JX85" s="11"/>
      <c r="JY85" s="11"/>
      <c r="JZ85" s="11"/>
      <c r="KA85" s="11"/>
      <c r="KB85" s="11"/>
      <c r="KC85" s="12"/>
      <c r="KD85" s="11"/>
      <c r="KE85" s="11"/>
      <c r="KF85" s="11"/>
      <c r="KG85" s="11"/>
      <c r="KH85" s="11"/>
      <c r="KI85" s="11"/>
      <c r="KJ85" s="12"/>
      <c r="KK85" s="11"/>
      <c r="KL85" s="11"/>
      <c r="KM85" s="11"/>
      <c r="KN85" s="11"/>
      <c r="KO85" s="11"/>
      <c r="KP85" s="11"/>
      <c r="KQ85" s="12"/>
      <c r="KR85" s="11"/>
      <c r="KS85" s="11"/>
      <c r="KT85" s="11"/>
      <c r="KU85" s="11"/>
      <c r="KV85" s="11"/>
      <c r="KW85" s="11"/>
      <c r="KX85" s="12"/>
      <c r="KY85" s="11"/>
      <c r="KZ85" s="11"/>
      <c r="LA85" s="11"/>
      <c r="LB85" s="11"/>
      <c r="LC85" s="11"/>
      <c r="LD85" s="11"/>
      <c r="LE85" s="12"/>
      <c r="LF85" s="11"/>
      <c r="LG85" s="11"/>
      <c r="LH85" s="11"/>
      <c r="LI85" s="11"/>
      <c r="LJ85" s="11"/>
      <c r="LK85" s="11"/>
      <c r="LL85" s="12"/>
      <c r="LM85" s="11"/>
      <c r="LN85" s="11"/>
      <c r="LO85" s="11"/>
      <c r="LP85" s="11"/>
      <c r="LQ85" s="11"/>
      <c r="LR85" s="11"/>
      <c r="LS85" s="12"/>
      <c r="LT85" s="11"/>
      <c r="LU85" s="11"/>
      <c r="LV85" s="11"/>
      <c r="LW85" s="11"/>
      <c r="LX85" s="11"/>
      <c r="LY85" s="11"/>
      <c r="LZ85" s="12"/>
      <c r="MA85" s="11"/>
      <c r="MB85" s="11"/>
      <c r="MC85" s="11"/>
      <c r="MD85" s="11"/>
      <c r="ME85" s="11"/>
      <c r="MF85" s="11"/>
      <c r="MG85" s="12"/>
      <c r="MH85" s="11"/>
      <c r="MI85" s="11"/>
      <c r="MJ85" s="11"/>
      <c r="MK85" s="11"/>
      <c r="ML85" s="11"/>
      <c r="MM85" s="11"/>
      <c r="MN85" s="12"/>
      <c r="MO85" s="11"/>
      <c r="MP85" s="11"/>
      <c r="MQ85" s="11"/>
      <c r="MR85" s="11"/>
      <c r="MS85" s="11"/>
      <c r="MT85" s="11"/>
      <c r="MU85" s="12"/>
      <c r="MV85" s="11"/>
      <c r="MW85" s="11"/>
      <c r="MX85" s="11"/>
      <c r="MY85" s="11"/>
      <c r="MZ85" s="11"/>
      <c r="NA85" s="11"/>
      <c r="NB85" s="12"/>
    </row>
    <row r="86" spans="1:366" x14ac:dyDescent="0.25">
      <c r="A86" s="8" t="s">
        <v>23</v>
      </c>
      <c r="B86" s="8"/>
      <c r="C86" s="8"/>
      <c r="D86" s="8"/>
      <c r="E86" s="8"/>
      <c r="F86" s="10"/>
      <c r="G86" s="19"/>
      <c r="H86" s="19"/>
      <c r="I86" s="8"/>
      <c r="J86" s="8"/>
      <c r="K86" s="8"/>
      <c r="L86" s="8"/>
      <c r="M86" s="8"/>
      <c r="N86" s="8"/>
      <c r="O86" s="9"/>
      <c r="P86" s="8">
        <f t="shared" ref="P86:P91" si="758">IF(SUM(S86:NB86) &gt; 0, SUM(S86:NB86), "")</f>
        <v>85</v>
      </c>
      <c r="Q86" s="108">
        <f t="shared" ref="Q86:Q92" si="759">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D86">
        <v>1</v>
      </c>
      <c r="GE86">
        <v>1</v>
      </c>
      <c r="GG86">
        <v>1</v>
      </c>
      <c r="GH86">
        <v>1</v>
      </c>
      <c r="GI86">
        <v>1</v>
      </c>
      <c r="GL86" s="7"/>
      <c r="GM86">
        <v>1</v>
      </c>
      <c r="GN86">
        <v>1</v>
      </c>
      <c r="GP86">
        <v>1</v>
      </c>
      <c r="GQ86">
        <v>1</v>
      </c>
      <c r="GR86">
        <v>1</v>
      </c>
      <c r="GS86">
        <v>1</v>
      </c>
      <c r="GU86" s="7"/>
      <c r="HD86" s="7"/>
      <c r="HK86" s="7"/>
      <c r="HR86" s="7"/>
      <c r="HY86" s="7"/>
      <c r="IF86" s="7"/>
      <c r="IM86" s="7"/>
      <c r="IT86" s="7"/>
      <c r="JA86" s="7"/>
      <c r="JH86" s="7"/>
      <c r="JO86" s="7"/>
      <c r="JV86" s="7"/>
      <c r="KC86" s="7"/>
      <c r="KJ86" s="7"/>
      <c r="KQ86" s="7"/>
      <c r="KX86" s="7"/>
      <c r="LE86" s="7"/>
      <c r="LL86" s="7"/>
      <c r="LS86" s="7"/>
      <c r="LZ86" s="7"/>
      <c r="MG86" s="7"/>
      <c r="MN86" s="7"/>
      <c r="MU86" s="7"/>
      <c r="NB86" s="7"/>
    </row>
    <row r="87" spans="1:366" x14ac:dyDescent="0.25">
      <c r="A87" s="8" t="s">
        <v>22</v>
      </c>
      <c r="B87" s="8"/>
      <c r="C87" s="8"/>
      <c r="D87" s="8"/>
      <c r="E87" s="8"/>
      <c r="F87" s="10"/>
      <c r="G87" s="19"/>
      <c r="H87" s="19"/>
      <c r="I87" s="8"/>
      <c r="J87" s="8"/>
      <c r="K87" s="8"/>
      <c r="L87" s="8"/>
      <c r="M87" s="8"/>
      <c r="N87" s="8"/>
      <c r="O87" s="9"/>
      <c r="P87" s="8" t="str">
        <f t="shared" si="758"/>
        <v/>
      </c>
      <c r="Q87" s="108" t="str">
        <f t="shared" si="759"/>
        <v/>
      </c>
      <c r="R87" s="84"/>
      <c r="S87" s="7"/>
      <c r="Z87" s="7"/>
      <c r="AG87" s="7"/>
      <c r="AN87" s="7"/>
      <c r="AU87" s="7"/>
      <c r="BB87" s="7"/>
      <c r="BI87" s="7"/>
      <c r="BP87" s="7"/>
      <c r="BY87" s="7"/>
      <c r="CH87" s="7"/>
      <c r="CQ87" s="7"/>
      <c r="CZ87" s="7"/>
      <c r="DI87" s="7"/>
      <c r="DR87" s="7"/>
      <c r="EA87" s="7"/>
      <c r="EJ87" s="7"/>
      <c r="ES87" s="7"/>
      <c r="FB87" s="7"/>
      <c r="FK87" s="7"/>
      <c r="FT87" s="7"/>
      <c r="GC87" s="7"/>
      <c r="GL87" s="7"/>
      <c r="GU87" s="7"/>
      <c r="HD87" s="7"/>
      <c r="HK87" s="7"/>
      <c r="HR87" s="7"/>
      <c r="HY87" s="7"/>
      <c r="IF87" s="7"/>
      <c r="IM87" s="7"/>
      <c r="IT87" s="7"/>
      <c r="JA87" s="7"/>
      <c r="JH87" s="7"/>
      <c r="JO87" s="7"/>
      <c r="JV87" s="7"/>
      <c r="KC87" s="7"/>
      <c r="KJ87" s="7"/>
      <c r="KQ87" s="7"/>
      <c r="KX87" s="7"/>
      <c r="LE87" s="7"/>
      <c r="LL87" s="7"/>
      <c r="LS87" s="7"/>
      <c r="LZ87" s="7"/>
      <c r="MG87" s="7"/>
      <c r="MN87" s="7"/>
      <c r="MU87" s="7"/>
      <c r="NB87" s="7"/>
    </row>
    <row r="88" spans="1:366" x14ac:dyDescent="0.25">
      <c r="A88" s="8" t="s">
        <v>21</v>
      </c>
      <c r="B88" s="8"/>
      <c r="C88" s="8"/>
      <c r="D88" s="8"/>
      <c r="E88" s="8"/>
      <c r="F88" s="10"/>
      <c r="G88" s="19"/>
      <c r="H88" s="19"/>
      <c r="I88" s="8"/>
      <c r="J88" s="8"/>
      <c r="K88" s="8"/>
      <c r="L88" s="8"/>
      <c r="M88" s="8"/>
      <c r="N88" s="8"/>
      <c r="O88" s="9"/>
      <c r="P88" s="8" t="str">
        <f t="shared" si="758"/>
        <v/>
      </c>
      <c r="Q88" s="108" t="str">
        <f t="shared" si="759"/>
        <v/>
      </c>
      <c r="R88" s="84"/>
      <c r="S88" s="7"/>
      <c r="Z88" s="7"/>
      <c r="AG88" s="7"/>
      <c r="AN88" s="7"/>
      <c r="AU88" s="7"/>
      <c r="BB88" s="7"/>
      <c r="BI88" s="7"/>
      <c r="BP88" s="7"/>
      <c r="BY88" s="7"/>
      <c r="CH88" s="7"/>
      <c r="CQ88" s="7"/>
      <c r="CZ88" s="7"/>
      <c r="DI88" s="7"/>
      <c r="DR88" s="7"/>
      <c r="EA88" s="7"/>
      <c r="EJ88" s="7"/>
      <c r="ES88" s="7"/>
      <c r="FB88" s="7"/>
      <c r="FK88" s="7"/>
      <c r="FT88" s="7"/>
      <c r="GC88" s="7"/>
      <c r="GL88" s="7"/>
      <c r="GU88" s="7"/>
      <c r="HD88" s="7"/>
      <c r="HK88" s="7"/>
      <c r="HR88" s="7"/>
      <c r="HY88" s="7"/>
      <c r="IF88" s="7"/>
      <c r="IM88" s="7"/>
      <c r="IT88" s="7"/>
      <c r="JA88" s="7"/>
      <c r="JH88" s="7"/>
      <c r="JO88" s="7"/>
      <c r="JV88" s="7"/>
      <c r="KC88" s="7"/>
      <c r="KJ88" s="7"/>
      <c r="KQ88" s="7"/>
      <c r="KX88" s="7"/>
      <c r="LE88" s="7"/>
      <c r="LL88" s="7"/>
      <c r="LS88" s="7"/>
      <c r="LZ88" s="7"/>
      <c r="MG88" s="7"/>
      <c r="MN88" s="7"/>
      <c r="MU88" s="7"/>
      <c r="NB88" s="7"/>
    </row>
    <row r="89" spans="1:366" x14ac:dyDescent="0.25">
      <c r="A89" s="8" t="s">
        <v>20</v>
      </c>
      <c r="B89" s="8"/>
      <c r="C89" s="8"/>
      <c r="D89" s="8"/>
      <c r="E89" s="8"/>
      <c r="F89" s="10"/>
      <c r="G89" s="19"/>
      <c r="H89" s="19"/>
      <c r="I89" s="8"/>
      <c r="J89" s="8"/>
      <c r="K89" s="8"/>
      <c r="L89" s="8"/>
      <c r="M89" s="8"/>
      <c r="N89" s="8"/>
      <c r="O89" s="9"/>
      <c r="P89" s="8" t="str">
        <f t="shared" si="758"/>
        <v/>
      </c>
      <c r="Q89" s="108" t="str">
        <f t="shared" si="759"/>
        <v/>
      </c>
      <c r="R89" s="84"/>
      <c r="S89" s="7"/>
      <c r="Z89" s="7"/>
      <c r="AG89" s="7"/>
      <c r="AN89" s="7"/>
      <c r="AU89" s="7"/>
      <c r="BB89" s="7"/>
      <c r="BI89" s="7"/>
      <c r="BP89" s="7"/>
      <c r="BY89" s="7"/>
      <c r="CH89" s="7"/>
      <c r="CQ89" s="7"/>
      <c r="CZ89" s="7"/>
      <c r="DI89" s="7"/>
      <c r="DR89" s="7"/>
      <c r="EA89" s="7"/>
      <c r="EJ89" s="7"/>
      <c r="ES89" s="7"/>
      <c r="FB89" s="7"/>
      <c r="FK89" s="7"/>
      <c r="FT89" s="7"/>
      <c r="GC89" s="7"/>
      <c r="GL89" s="7"/>
      <c r="GU89" s="7"/>
      <c r="HD89" s="7"/>
      <c r="HK89" s="7"/>
      <c r="HR89" s="7"/>
      <c r="HY89" s="7"/>
      <c r="IF89" s="7"/>
      <c r="IM89" s="7"/>
      <c r="IT89" s="7"/>
      <c r="JA89" s="7"/>
      <c r="JH89" s="7"/>
      <c r="JO89" s="7"/>
      <c r="JV89" s="7"/>
      <c r="KC89" s="7"/>
      <c r="KJ89" s="7"/>
      <c r="KQ89" s="7"/>
      <c r="KX89" s="7"/>
      <c r="LE89" s="7"/>
      <c r="LL89" s="7"/>
      <c r="LS89" s="7"/>
      <c r="LZ89" s="7"/>
      <c r="MG89" s="7"/>
      <c r="MN89" s="7"/>
      <c r="MU89" s="7"/>
      <c r="NB89" s="7"/>
    </row>
    <row r="90" spans="1:366" x14ac:dyDescent="0.25">
      <c r="A90" s="8" t="s">
        <v>152</v>
      </c>
      <c r="B90" s="8"/>
      <c r="C90" s="8"/>
      <c r="D90" s="8"/>
      <c r="E90" s="8"/>
      <c r="F90" s="10"/>
      <c r="G90" s="19"/>
      <c r="H90" s="19"/>
      <c r="I90" s="8"/>
      <c r="J90" s="8"/>
      <c r="K90" s="8"/>
      <c r="L90" s="8"/>
      <c r="M90" s="8"/>
      <c r="N90" s="8"/>
      <c r="O90" s="9"/>
      <c r="P90" s="8">
        <f t="shared" si="758"/>
        <v>1</v>
      </c>
      <c r="Q90" s="108">
        <f t="shared" si="759"/>
        <v>1.1764705882352942</v>
      </c>
      <c r="R90" s="84"/>
      <c r="S90" s="7"/>
      <c r="Z90" s="7"/>
      <c r="AG90" s="7"/>
      <c r="AN90" s="7"/>
      <c r="AU90" s="7"/>
      <c r="BB90" s="7"/>
      <c r="BI90" s="7"/>
      <c r="BP90" s="7"/>
      <c r="BY90" s="7"/>
      <c r="CH90" s="7"/>
      <c r="CQ90" s="7"/>
      <c r="CZ90" s="7"/>
      <c r="DI90" s="7"/>
      <c r="DR90" s="7"/>
      <c r="EA90" s="7"/>
      <c r="EJ90" s="7"/>
      <c r="ES90" s="7"/>
      <c r="EU90">
        <v>1</v>
      </c>
      <c r="FB90" s="7"/>
      <c r="FK90" s="7"/>
      <c r="FT90" s="7"/>
      <c r="GC90" s="7"/>
      <c r="GL90" s="7"/>
      <c r="GU90" s="7"/>
      <c r="HD90" s="7"/>
      <c r="HK90" s="7"/>
      <c r="HR90" s="7"/>
      <c r="HY90" s="7"/>
      <c r="IF90" s="7"/>
      <c r="IM90" s="7"/>
      <c r="IT90" s="7"/>
      <c r="JA90" s="7"/>
      <c r="JH90" s="7"/>
      <c r="JO90" s="7"/>
      <c r="JV90" s="7"/>
      <c r="KC90" s="7"/>
      <c r="KJ90" s="7"/>
      <c r="KQ90" s="7"/>
      <c r="KX90" s="7"/>
      <c r="LE90" s="7"/>
      <c r="LL90" s="7"/>
      <c r="LS90" s="7"/>
      <c r="LZ90" s="7"/>
      <c r="MG90" s="7"/>
      <c r="MN90" s="7"/>
      <c r="MU90" s="7"/>
      <c r="NB90" s="7"/>
    </row>
    <row r="91" spans="1:366" x14ac:dyDescent="0.25">
      <c r="A91" s="8" t="s">
        <v>19</v>
      </c>
      <c r="B91" s="8"/>
      <c r="C91" s="8"/>
      <c r="D91" s="8"/>
      <c r="E91" s="8"/>
      <c r="F91" s="10"/>
      <c r="G91" s="19"/>
      <c r="H91" s="19"/>
      <c r="I91" s="8"/>
      <c r="J91" s="8"/>
      <c r="K91" s="8"/>
      <c r="L91" s="8"/>
      <c r="M91" s="8"/>
      <c r="N91" s="8"/>
      <c r="O91" s="9"/>
      <c r="P91" s="8">
        <f t="shared" si="758"/>
        <v>27</v>
      </c>
      <c r="Q91" s="108">
        <f t="shared" si="759"/>
        <v>31.764705882352938</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G91">
        <v>1</v>
      </c>
      <c r="GL91" s="7"/>
      <c r="GN91">
        <v>1</v>
      </c>
      <c r="GP91">
        <v>1</v>
      </c>
      <c r="GQ91">
        <v>1</v>
      </c>
      <c r="GR91">
        <v>1</v>
      </c>
      <c r="GS91">
        <v>1</v>
      </c>
      <c r="GU91" s="7"/>
      <c r="HD91" s="7"/>
      <c r="HK91" s="7"/>
      <c r="HR91" s="7"/>
      <c r="HY91" s="7"/>
      <c r="IF91" s="7"/>
      <c r="IM91" s="7"/>
      <c r="IT91" s="7"/>
      <c r="JA91" s="7"/>
      <c r="JH91" s="7"/>
      <c r="JO91" s="7"/>
      <c r="JV91" s="7"/>
      <c r="KC91" s="7"/>
      <c r="KJ91" s="7"/>
      <c r="KQ91" s="7"/>
      <c r="KX91" s="7"/>
      <c r="LE91" s="7"/>
      <c r="LL91" s="7"/>
      <c r="LS91" s="7"/>
      <c r="LZ91" s="7"/>
      <c r="MG91" s="7"/>
      <c r="MN91" s="7"/>
      <c r="MU91" s="7"/>
      <c r="NB91" s="7"/>
    </row>
    <row r="92" spans="1:366" ht="5.25" customHeight="1" x14ac:dyDescent="0.25">
      <c r="A92" s="8"/>
      <c r="B92" s="8"/>
      <c r="C92" s="8"/>
      <c r="D92" s="8"/>
      <c r="E92" s="8"/>
      <c r="F92" s="10"/>
      <c r="G92" s="19"/>
      <c r="H92" s="19"/>
      <c r="I92" s="8"/>
      <c r="J92" s="8"/>
      <c r="K92" s="8"/>
      <c r="L92" s="8"/>
      <c r="M92" s="8"/>
      <c r="N92" s="8"/>
      <c r="O92" s="9"/>
      <c r="P92" s="8" t="str">
        <f>IF(SUM(R92:NB92) &gt; 0, SUM(R92:NB92), "")</f>
        <v/>
      </c>
      <c r="Q92" s="108" t="str">
        <f t="shared" si="759"/>
        <v/>
      </c>
      <c r="R92" s="9"/>
      <c r="S92" s="7"/>
      <c r="Z92" s="7"/>
      <c r="AG92" s="7"/>
      <c r="AN92" s="7"/>
      <c r="AU92" s="7"/>
      <c r="BB92" s="7"/>
      <c r="BI92" s="7"/>
      <c r="BP92" s="7"/>
      <c r="BY92" s="7"/>
      <c r="CH92" s="7"/>
      <c r="CQ92" s="7"/>
      <c r="CZ92" s="7"/>
      <c r="DI92" s="7"/>
      <c r="DR92" s="7"/>
      <c r="EA92" s="7"/>
      <c r="EJ92" s="7"/>
      <c r="ES92" s="7"/>
      <c r="FB92" s="7"/>
      <c r="FK92" s="7"/>
      <c r="FT92" s="7"/>
      <c r="GC92" s="7"/>
      <c r="GL92" s="7"/>
      <c r="GU92" s="7"/>
      <c r="HD92" s="7"/>
      <c r="HK92" s="7"/>
      <c r="HR92" s="7"/>
      <c r="HY92" s="7"/>
      <c r="IF92" s="7"/>
      <c r="IM92" s="7"/>
      <c r="IT92" s="7"/>
      <c r="JA92" s="7"/>
      <c r="JH92" s="7"/>
      <c r="JO92" s="7"/>
      <c r="JV92" s="7"/>
      <c r="KC92" s="7"/>
      <c r="KJ92" s="7"/>
      <c r="KQ92" s="7"/>
      <c r="KX92" s="7"/>
      <c r="LE92" s="7"/>
      <c r="LL92" s="7"/>
      <c r="LS92" s="7"/>
      <c r="LZ92" s="7"/>
      <c r="MG92" s="7"/>
      <c r="MN92" s="7"/>
      <c r="MU92" s="7"/>
      <c r="NB92" s="7"/>
    </row>
    <row r="93" spans="1:366" x14ac:dyDescent="0.25">
      <c r="A93" s="6" t="s">
        <v>18</v>
      </c>
      <c r="B93" s="3"/>
      <c r="C93" s="3"/>
      <c r="D93" s="3"/>
      <c r="E93" s="3"/>
      <c r="F93" s="5"/>
      <c r="G93" s="3"/>
      <c r="H93" s="3"/>
      <c r="I93" s="3"/>
      <c r="J93" s="3"/>
      <c r="K93" s="3"/>
      <c r="L93" s="3"/>
      <c r="M93" s="3"/>
      <c r="N93" s="3"/>
      <c r="O93" s="4"/>
      <c r="P93" s="3">
        <f>SUM(S93:NB93)</f>
        <v>85</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v>1</v>
      </c>
      <c r="GE93" s="3">
        <v>1</v>
      </c>
      <c r="GF93" s="3"/>
      <c r="GG93" s="3">
        <v>1</v>
      </c>
      <c r="GH93" s="3">
        <v>1</v>
      </c>
      <c r="GI93" s="3">
        <v>1</v>
      </c>
      <c r="GJ93" s="3"/>
      <c r="GK93" s="3"/>
      <c r="GL93" s="4"/>
      <c r="GM93" s="3">
        <v>1</v>
      </c>
      <c r="GN93" s="3">
        <v>1</v>
      </c>
      <c r="GO93" s="3"/>
      <c r="GP93" s="3">
        <v>1</v>
      </c>
      <c r="GQ93" s="3">
        <v>1</v>
      </c>
      <c r="GR93" s="3">
        <v>1</v>
      </c>
      <c r="GS93" s="3">
        <v>1</v>
      </c>
      <c r="GT93" s="3"/>
      <c r="GU93" s="4"/>
      <c r="GV93" s="3"/>
      <c r="GW93" s="3"/>
      <c r="GX93" s="3"/>
      <c r="GY93" s="3"/>
      <c r="GZ93" s="3"/>
      <c r="HA93" s="3"/>
      <c r="HB93" s="3"/>
      <c r="HC93" s="3"/>
      <c r="HD93" s="4"/>
      <c r="HE93" s="3"/>
      <c r="HF93" s="3"/>
      <c r="HG93" s="3"/>
      <c r="HH93" s="3"/>
      <c r="HI93" s="3"/>
      <c r="HJ93" s="3"/>
      <c r="HK93" s="4"/>
      <c r="HL93" s="3"/>
      <c r="HM93" s="3"/>
      <c r="HN93" s="3"/>
      <c r="HO93" s="3"/>
      <c r="HP93" s="3"/>
      <c r="HQ93" s="3"/>
      <c r="HR93" s="4"/>
      <c r="HS93" s="3"/>
      <c r="HT93" s="3"/>
      <c r="HU93" s="3"/>
      <c r="HV93" s="3"/>
      <c r="HW93" s="3"/>
      <c r="HX93" s="3"/>
      <c r="HY93" s="4"/>
      <c r="HZ93" s="3"/>
      <c r="IA93" s="3"/>
      <c r="IB93" s="3"/>
      <c r="IC93" s="3"/>
      <c r="ID93" s="3"/>
      <c r="IE93" s="3"/>
      <c r="IF93" s="4"/>
      <c r="IG93" s="3"/>
      <c r="IH93" s="3"/>
      <c r="II93" s="3"/>
      <c r="IJ93" s="3"/>
      <c r="IK93" s="3"/>
      <c r="IL93" s="3"/>
      <c r="IM93" s="4"/>
      <c r="IN93" s="3"/>
      <c r="IO93" s="3"/>
      <c r="IP93" s="3"/>
      <c r="IQ93" s="3"/>
      <c r="IR93" s="3"/>
      <c r="IS93" s="3"/>
      <c r="IT93" s="4"/>
      <c r="IU93" s="3"/>
      <c r="IV93" s="3"/>
      <c r="IW93" s="3"/>
      <c r="IX93" s="3"/>
      <c r="IY93" s="3"/>
      <c r="IZ93" s="3"/>
      <c r="JA93" s="4"/>
      <c r="JB93" s="3"/>
      <c r="JC93" s="3"/>
      <c r="JD93" s="3"/>
      <c r="JE93" s="3"/>
      <c r="JF93" s="3"/>
      <c r="JG93" s="3"/>
      <c r="JH93" s="4"/>
      <c r="JI93" s="3"/>
      <c r="JJ93" s="3"/>
      <c r="JK93" s="3"/>
      <c r="JL93" s="3"/>
      <c r="JM93" s="3"/>
      <c r="JN93" s="3"/>
      <c r="JO93" s="4"/>
      <c r="JP93" s="3"/>
      <c r="JQ93" s="3"/>
      <c r="JR93" s="3"/>
      <c r="JS93" s="3"/>
      <c r="JT93" s="3"/>
      <c r="JU93" s="3"/>
      <c r="JV93" s="4"/>
      <c r="JW93" s="3"/>
      <c r="JX93" s="3"/>
      <c r="JY93" s="3"/>
      <c r="JZ93" s="3"/>
      <c r="KA93" s="3"/>
      <c r="KB93" s="3"/>
      <c r="KC93" s="4"/>
      <c r="KD93" s="3"/>
      <c r="KE93" s="3"/>
      <c r="KF93" s="3"/>
      <c r="KG93" s="3"/>
      <c r="KH93" s="3"/>
      <c r="KI93" s="3"/>
      <c r="KJ93" s="4"/>
      <c r="KK93" s="3"/>
      <c r="KL93" s="3"/>
      <c r="KM93" s="3"/>
      <c r="KN93" s="3"/>
      <c r="KO93" s="3"/>
      <c r="KP93" s="3"/>
      <c r="KQ93" s="4"/>
      <c r="KR93" s="3"/>
      <c r="KS93" s="3"/>
      <c r="KT93" s="3"/>
      <c r="KU93" s="3"/>
      <c r="KV93" s="3"/>
      <c r="KW93" s="3"/>
      <c r="KX93" s="4"/>
      <c r="KY93" s="3"/>
      <c r="KZ93" s="3"/>
      <c r="LA93" s="3"/>
      <c r="LB93" s="3"/>
      <c r="LC93" s="3"/>
      <c r="LD93" s="3"/>
      <c r="LE93" s="4"/>
      <c r="LF93" s="3"/>
      <c r="LG93" s="3"/>
      <c r="LH93" s="3"/>
      <c r="LI93" s="3"/>
      <c r="LJ93" s="3"/>
      <c r="LK93" s="3"/>
      <c r="LL93" s="4"/>
      <c r="LM93" s="3"/>
      <c r="LN93" s="3"/>
      <c r="LO93" s="3"/>
      <c r="LP93" s="3"/>
      <c r="LQ93" s="3"/>
      <c r="LR93" s="3"/>
      <c r="LS93" s="4"/>
      <c r="LT93" s="3"/>
      <c r="LU93" s="3"/>
      <c r="LV93" s="3"/>
      <c r="LW93" s="3"/>
      <c r="LX93" s="3"/>
      <c r="LY93" s="3"/>
      <c r="LZ93" s="4"/>
      <c r="MA93" s="3"/>
      <c r="MB93" s="3"/>
      <c r="MC93" s="3"/>
      <c r="MD93" s="3"/>
      <c r="ME93" s="3"/>
      <c r="MF93" s="3"/>
      <c r="MG93" s="4"/>
      <c r="MH93" s="3"/>
      <c r="MI93" s="3"/>
      <c r="MJ93" s="3"/>
      <c r="MK93" s="3"/>
      <c r="ML93" s="3"/>
      <c r="MM93" s="3"/>
      <c r="MN93" s="4"/>
      <c r="MO93" s="3"/>
      <c r="MP93" s="3"/>
      <c r="MQ93" s="3"/>
      <c r="MR93" s="3"/>
      <c r="MS93" s="3"/>
      <c r="MT93" s="3"/>
      <c r="MU93" s="4"/>
      <c r="MV93" s="3"/>
      <c r="MW93" s="3"/>
      <c r="MX93" s="3"/>
      <c r="MY93" s="3"/>
      <c r="MZ93" s="3"/>
      <c r="NA93" s="3"/>
      <c r="NB93" s="4"/>
    </row>
    <row r="95" spans="1:366" x14ac:dyDescent="0.25">
      <c r="B95" t="s">
        <v>199</v>
      </c>
      <c r="C95" t="s">
        <v>200</v>
      </c>
      <c r="D95" t="s">
        <v>201</v>
      </c>
      <c r="E95" t="s">
        <v>202</v>
      </c>
      <c r="F95" t="s">
        <v>207</v>
      </c>
      <c r="G95" t="s">
        <v>203</v>
      </c>
      <c r="H95" t="s">
        <v>204</v>
      </c>
      <c r="I95" t="s">
        <v>48</v>
      </c>
      <c r="J95" t="s">
        <v>406</v>
      </c>
      <c r="K95" t="s">
        <v>205</v>
      </c>
      <c r="L95" t="s">
        <v>206</v>
      </c>
    </row>
    <row r="96" spans="1:366" ht="15" customHeight="1" x14ac:dyDescent="0.25">
      <c r="A96" t="s">
        <v>17</v>
      </c>
      <c r="B96" t="s">
        <v>145</v>
      </c>
      <c r="C96">
        <v>7</v>
      </c>
      <c r="D96">
        <v>28</v>
      </c>
      <c r="E96">
        <v>38</v>
      </c>
      <c r="F96">
        <v>1</v>
      </c>
      <c r="G96" t="s">
        <v>15</v>
      </c>
      <c r="H96" t="s">
        <v>13</v>
      </c>
      <c r="I96" t="s">
        <v>187</v>
      </c>
      <c r="J96" t="s">
        <v>188</v>
      </c>
      <c r="K96" t="s">
        <v>407</v>
      </c>
      <c r="L96" s="51" t="str">
        <f>FindEnd(S37:NB37)</f>
        <v>GU</v>
      </c>
      <c r="N96" s="100"/>
      <c r="O96" s="101"/>
      <c r="P96" s="101"/>
      <c r="Q96" s="101"/>
      <c r="R96" s="102"/>
      <c r="S96" s="101"/>
      <c r="V96" s="34"/>
    </row>
    <row r="97" spans="1:12" x14ac:dyDescent="0.25">
      <c r="B97" t="s">
        <v>148</v>
      </c>
      <c r="C97">
        <v>46</v>
      </c>
      <c r="D97">
        <v>63</v>
      </c>
      <c r="E97">
        <v>70</v>
      </c>
      <c r="F97">
        <v>40</v>
      </c>
      <c r="G97" t="s">
        <v>15</v>
      </c>
      <c r="H97" t="s">
        <v>13</v>
      </c>
      <c r="I97" t="s">
        <v>187</v>
      </c>
      <c r="K97" t="s">
        <v>105</v>
      </c>
      <c r="L97" s="51" t="str">
        <f>FindEnd(S69:NB69)</f>
        <v>GU</v>
      </c>
    </row>
    <row r="98" spans="1:12" x14ac:dyDescent="0.25">
      <c r="B98" t="s">
        <v>16</v>
      </c>
      <c r="C98">
        <v>76</v>
      </c>
      <c r="D98">
        <v>79</v>
      </c>
      <c r="E98">
        <v>82</v>
      </c>
      <c r="F98">
        <v>71</v>
      </c>
      <c r="G98" t="s">
        <v>15</v>
      </c>
      <c r="H98" t="s">
        <v>13</v>
      </c>
      <c r="I98" t="s">
        <v>187</v>
      </c>
      <c r="K98" t="s">
        <v>105</v>
      </c>
      <c r="L98" s="51" t="str">
        <f>FindEnd(S81:NB81)</f>
        <v>GU</v>
      </c>
    </row>
    <row r="99" spans="1:12" x14ac:dyDescent="0.25">
      <c r="F99" s="105" t="s">
        <v>402</v>
      </c>
      <c r="K99" s="51"/>
    </row>
    <row r="100" spans="1:12" x14ac:dyDescent="0.25">
      <c r="K100" s="51"/>
    </row>
    <row r="101" spans="1:12" x14ac:dyDescent="0.25">
      <c r="K101" s="51"/>
    </row>
    <row r="102" spans="1:12" x14ac:dyDescent="0.25">
      <c r="K102" s="51"/>
    </row>
    <row r="103" spans="1:12" hidden="1" x14ac:dyDescent="0.25">
      <c r="A103" s="8" t="s">
        <v>112</v>
      </c>
      <c r="B103" s="8" t="s">
        <v>111</v>
      </c>
      <c r="C103" s="8" t="s">
        <v>110</v>
      </c>
      <c r="D103" s="8" t="s">
        <v>109</v>
      </c>
      <c r="E103" s="18">
        <v>40099</v>
      </c>
    </row>
    <row r="104" spans="1:12" hidden="1" x14ac:dyDescent="0.25">
      <c r="A104" s="8" t="s">
        <v>83</v>
      </c>
      <c r="B104" s="8"/>
      <c r="C104" s="8" t="s">
        <v>105</v>
      </c>
      <c r="D104" s="8" t="s">
        <v>104</v>
      </c>
      <c r="E104" s="18">
        <v>39365</v>
      </c>
    </row>
    <row r="105" spans="1:12" hidden="1" x14ac:dyDescent="0.25">
      <c r="A105" s="8" t="s">
        <v>103</v>
      </c>
      <c r="B105" s="8"/>
      <c r="C105" s="8" t="s">
        <v>102</v>
      </c>
      <c r="D105" s="8" t="s">
        <v>101</v>
      </c>
      <c r="E105" s="18">
        <v>39705</v>
      </c>
    </row>
    <row r="106" spans="1:12" hidden="1" x14ac:dyDescent="0.25">
      <c r="A106" s="8" t="s">
        <v>86</v>
      </c>
      <c r="B106" s="8"/>
      <c r="C106" s="8" t="s">
        <v>100</v>
      </c>
      <c r="D106" s="8" t="s">
        <v>97</v>
      </c>
      <c r="E106" s="18">
        <v>39386</v>
      </c>
    </row>
    <row r="107" spans="1:12" hidden="1" x14ac:dyDescent="0.25">
      <c r="A107" s="8" t="s">
        <v>99</v>
      </c>
      <c r="B107" s="8"/>
      <c r="C107" s="8" t="s">
        <v>98</v>
      </c>
      <c r="D107" s="8" t="s">
        <v>97</v>
      </c>
      <c r="E107" s="18">
        <v>39386</v>
      </c>
    </row>
    <row r="108" spans="1:12" hidden="1" x14ac:dyDescent="0.25">
      <c r="A108" s="8" t="s">
        <v>96</v>
      </c>
      <c r="B108" s="8" t="s">
        <v>95</v>
      </c>
      <c r="C108" s="8" t="s">
        <v>94</v>
      </c>
      <c r="D108" s="8" t="s">
        <v>93</v>
      </c>
      <c r="E108" s="18">
        <v>39590</v>
      </c>
    </row>
    <row r="109" spans="1:12" x14ac:dyDescent="0.25">
      <c r="A109" s="8" t="s">
        <v>72</v>
      </c>
      <c r="B109" s="8"/>
      <c r="C109" s="8" t="s">
        <v>71</v>
      </c>
      <c r="D109" s="8" t="s">
        <v>70</v>
      </c>
      <c r="E109" s="18">
        <v>40754</v>
      </c>
    </row>
    <row r="110" spans="1:12" x14ac:dyDescent="0.25">
      <c r="A110" s="8" t="s">
        <v>69</v>
      </c>
      <c r="B110" s="8"/>
      <c r="C110" s="8" t="s">
        <v>68</v>
      </c>
      <c r="D110" s="8" t="s">
        <v>67</v>
      </c>
      <c r="E110" s="18"/>
    </row>
    <row r="111" spans="1:12" hidden="1" x14ac:dyDescent="0.25">
      <c r="A111" s="8" t="s">
        <v>66</v>
      </c>
      <c r="B111" s="8" t="s">
        <v>65</v>
      </c>
      <c r="C111" s="8" t="s">
        <v>64</v>
      </c>
      <c r="D111" s="8" t="s">
        <v>63</v>
      </c>
      <c r="E111" s="18">
        <v>39713</v>
      </c>
    </row>
    <row r="112" spans="1:12" x14ac:dyDescent="0.25">
      <c r="A112" s="8" t="s">
        <v>61</v>
      </c>
      <c r="B112" s="8"/>
      <c r="C112" s="8" t="s">
        <v>60</v>
      </c>
      <c r="D112" s="8" t="s">
        <v>59</v>
      </c>
      <c r="E112" s="18"/>
    </row>
    <row r="113" spans="1:5" hidden="1" x14ac:dyDescent="0.25">
      <c r="A113" s="8" t="s">
        <v>58</v>
      </c>
      <c r="B113" s="8"/>
      <c r="C113" s="8" t="s">
        <v>57</v>
      </c>
      <c r="D113" s="8"/>
      <c r="E113" s="18"/>
    </row>
    <row r="114" spans="1:5" x14ac:dyDescent="0.25">
      <c r="A114" s="8" t="s">
        <v>56</v>
      </c>
      <c r="B114" s="8"/>
      <c r="C114" s="8" t="s">
        <v>14</v>
      </c>
      <c r="D114" s="8"/>
      <c r="E114" s="18"/>
    </row>
    <row r="115" spans="1:5" x14ac:dyDescent="0.25">
      <c r="A115" s="8" t="s">
        <v>55</v>
      </c>
      <c r="B115" s="8"/>
      <c r="C115" s="31" t="s">
        <v>54</v>
      </c>
      <c r="D115" s="8"/>
      <c r="E115" s="18"/>
    </row>
    <row r="116" spans="1:5" x14ac:dyDescent="0.25">
      <c r="A116" s="8" t="s">
        <v>53</v>
      </c>
      <c r="B116" s="8"/>
      <c r="C116" s="31" t="s">
        <v>52</v>
      </c>
      <c r="D116" s="8"/>
      <c r="E116" s="18"/>
    </row>
    <row r="117" spans="1:5" x14ac:dyDescent="0.25">
      <c r="A117" s="8" t="s">
        <v>51</v>
      </c>
      <c r="B117" s="8"/>
      <c r="C117" s="31" t="s">
        <v>50</v>
      </c>
      <c r="D117" s="8"/>
      <c r="E117" s="18"/>
    </row>
    <row r="118" spans="1:5" x14ac:dyDescent="0.25">
      <c r="A118" s="8" t="s">
        <v>62</v>
      </c>
      <c r="B118" s="8"/>
      <c r="C118" s="31" t="s">
        <v>292</v>
      </c>
      <c r="D118" s="8" t="s">
        <v>293</v>
      </c>
    </row>
    <row r="121" spans="1:5" x14ac:dyDescent="0.25">
      <c r="A121" s="143" t="s">
        <v>557</v>
      </c>
      <c r="B121" s="41"/>
      <c r="C121" s="41"/>
      <c r="D121" s="41"/>
      <c r="E121" s="41"/>
    </row>
    <row r="122" spans="1:5" x14ac:dyDescent="0.25">
      <c r="A122" t="s">
        <v>553</v>
      </c>
      <c r="D122" s="142" t="s">
        <v>555</v>
      </c>
    </row>
    <row r="123" spans="1:5" x14ac:dyDescent="0.25">
      <c r="A123" t="s">
        <v>556</v>
      </c>
      <c r="D123" s="142" t="s">
        <v>554</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2:D123 FS24:FS27 FS22 FT7:FT28 GC7:GC28 GK7:GK28 EI9:EJ10 BX9:BX10 CR8:CX8 BX8:CH8 EB8:EN8 CY8:DY8 CI8:CO8 CP8:CQ8 DZ8:EA8 GT7:GT28 GL7:GL28 GU7:GU28" numberStoredAsText="1"/>
    <ignoredError sqref="P31 Q28 HD38:NB38 GF38 GV38:HA38 Q30"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HD91:NB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A38:GC38 FT87:FZ89 FT86 FW86 FT93 FW93 FT80:FZ80 FT78:FU78 FW78 FT82:FZ85 FT81:FU81 FW81 FQ81 FT91:FU91 FW91 FZ81 FY91 FT79:FX79 FZ78:FZ79 GI73 GD71:GI72 GC74:GI77 GC70:GI70 GC92:GI92 GC79:GI80 GC78:GD78 GF78 GC82:GI85 GC81:GD81 GF81 GC87:GI89 GC86 GF86 GC91:GD91 GF91 GC93 GF93 GI78 GI81 GH91:GI91 GM71:GR72 GL74:GR77 GL70:GR70 GL92:GR92 HD74:NB89 HD70:NB70 GL73:GP73 GR73 GU73:GY73 HD73:HH73 HJ73:HO73 HQ73:HV73 HX73:IC73 IE73:IH73 IS73:IX73 IZ73:JE73 JG73:JS73 IL73:IQ73 JU73:JZ73 KB73:KN73 KP73:LB73 LD73:LI73 LK73:LP73 LR73:LW73 LY73:MD73 MF73:NB73 HA73 GV71:HA72 GU74:HA89 GU70:HA70 GU91:HA93 HE72:NB72 HE71:NB71 GL80:GR80 GL78:GM78 GO78 GL79:GM79 GO79 GL82:GR85 GL81:GM81 GO81 GL87:GR89 GL86 GO86 GL91:GM91 GO91 GL93 GO93 GR78 GQ79:GR79 GR81 GJ38:GL38 GS38" formulaRange="1"/>
    <ignoredError sqref="FL38:FQ38 FJ38 FA38:FG38 Q38:EW38 FU38:FZ38 GD38:GE38 GG38:GI38 GM38:GR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201"/>
  <sheetViews>
    <sheetView workbookViewId="0">
      <selection activeCell="B7" sqref="B7"/>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5">
        <v>44129</v>
      </c>
      <c r="B6" s="74" t="s">
        <v>607</v>
      </c>
      <c r="C6" s="74"/>
      <c r="D6" s="74" t="s">
        <v>608</v>
      </c>
    </row>
    <row r="7" spans="1:4" x14ac:dyDescent="0.25">
      <c r="A7" s="72"/>
      <c r="B7" s="73" t="s">
        <v>610</v>
      </c>
      <c r="C7" s="74"/>
      <c r="D7" s="169" t="s">
        <v>609</v>
      </c>
    </row>
    <row r="8" spans="1:4" x14ac:dyDescent="0.25">
      <c r="A8" s="75">
        <v>44128</v>
      </c>
      <c r="B8" s="74" t="s">
        <v>605</v>
      </c>
      <c r="C8" s="74"/>
      <c r="D8" s="73"/>
    </row>
    <row r="9" spans="1:4" ht="60" x14ac:dyDescent="0.25">
      <c r="A9" s="72"/>
      <c r="B9" s="76" t="s">
        <v>606</v>
      </c>
      <c r="C9" s="74"/>
      <c r="D9" s="73"/>
    </row>
    <row r="10" spans="1:4" x14ac:dyDescent="0.25">
      <c r="A10" s="75">
        <v>44127</v>
      </c>
      <c r="B10" s="74" t="s">
        <v>461</v>
      </c>
      <c r="C10" s="74"/>
      <c r="D10" s="74" t="s">
        <v>450</v>
      </c>
    </row>
    <row r="11" spans="1:4" x14ac:dyDescent="0.25">
      <c r="A11" s="72"/>
      <c r="B11" s="73"/>
      <c r="C11" s="74"/>
      <c r="D11" s="73" t="s">
        <v>604</v>
      </c>
    </row>
    <row r="12" spans="1:4" x14ac:dyDescent="0.25">
      <c r="A12" s="75">
        <v>44126</v>
      </c>
      <c r="B12" s="74" t="s">
        <v>593</v>
      </c>
      <c r="C12" s="74"/>
      <c r="D12" s="74" t="s">
        <v>449</v>
      </c>
    </row>
    <row r="13" spans="1:4" ht="60" x14ac:dyDescent="0.25">
      <c r="A13" s="72"/>
      <c r="B13" s="76" t="s">
        <v>602</v>
      </c>
      <c r="C13" s="74"/>
      <c r="D13" s="76" t="s">
        <v>601</v>
      </c>
    </row>
    <row r="14" spans="1:4" x14ac:dyDescent="0.25">
      <c r="A14" s="75">
        <v>44124</v>
      </c>
      <c r="B14" s="74" t="s">
        <v>593</v>
      </c>
      <c r="C14" s="74"/>
      <c r="D14" s="74" t="s">
        <v>596</v>
      </c>
    </row>
    <row r="15" spans="1:4" ht="105" x14ac:dyDescent="0.25">
      <c r="A15" s="72"/>
      <c r="B15" s="76" t="s">
        <v>600</v>
      </c>
      <c r="C15" s="74"/>
      <c r="D15" s="76" t="s">
        <v>595</v>
      </c>
    </row>
    <row r="16" spans="1:4" x14ac:dyDescent="0.25">
      <c r="A16" s="75">
        <v>44123</v>
      </c>
      <c r="B16" s="74" t="s">
        <v>461</v>
      </c>
      <c r="C16" s="74"/>
      <c r="D16" s="73"/>
    </row>
    <row r="17" spans="1:4" ht="60" x14ac:dyDescent="0.25">
      <c r="A17" s="72"/>
      <c r="B17" s="76" t="s">
        <v>594</v>
      </c>
      <c r="C17" s="74"/>
      <c r="D17" s="73"/>
    </row>
    <row r="18" spans="1:4" x14ac:dyDescent="0.25">
      <c r="A18" s="72"/>
      <c r="B18" s="73"/>
      <c r="C18" s="74"/>
      <c r="D18" s="73"/>
    </row>
    <row r="19" spans="1:4" x14ac:dyDescent="0.25">
      <c r="A19" s="75">
        <v>44121</v>
      </c>
      <c r="B19" s="74" t="s">
        <v>592</v>
      </c>
      <c r="C19" s="74"/>
      <c r="D19" s="73"/>
    </row>
    <row r="20" spans="1:4" ht="30" x14ac:dyDescent="0.25">
      <c r="A20" s="72"/>
      <c r="B20" s="76" t="s">
        <v>589</v>
      </c>
      <c r="C20" s="74"/>
      <c r="D20" s="73"/>
    </row>
    <row r="21" spans="1:4" x14ac:dyDescent="0.25">
      <c r="A21" s="75">
        <v>44120</v>
      </c>
      <c r="B21" s="74" t="s">
        <v>480</v>
      </c>
      <c r="C21" s="74"/>
      <c r="D21" s="74" t="s">
        <v>449</v>
      </c>
    </row>
    <row r="22" spans="1:4" ht="75" x14ac:dyDescent="0.25">
      <c r="A22" s="72"/>
      <c r="B22" s="76" t="s">
        <v>591</v>
      </c>
      <c r="C22" s="74"/>
      <c r="D22" s="76" t="s">
        <v>590</v>
      </c>
    </row>
    <row r="23" spans="1:4" x14ac:dyDescent="0.25">
      <c r="A23" s="75">
        <v>44119</v>
      </c>
      <c r="B23" s="74" t="s">
        <v>582</v>
      </c>
      <c r="C23" s="74"/>
      <c r="D23" s="74" t="s">
        <v>454</v>
      </c>
    </row>
    <row r="24" spans="1:4" ht="105" x14ac:dyDescent="0.25">
      <c r="A24" s="72"/>
      <c r="B24" s="76" t="s">
        <v>583</v>
      </c>
      <c r="C24" s="74"/>
      <c r="D24" s="73" t="s">
        <v>571</v>
      </c>
    </row>
    <row r="25" spans="1:4" x14ac:dyDescent="0.25">
      <c r="A25" s="75">
        <v>44117</v>
      </c>
      <c r="B25" s="74" t="s">
        <v>577</v>
      </c>
      <c r="C25" s="74"/>
      <c r="D25" s="74" t="s">
        <v>597</v>
      </c>
    </row>
    <row r="26" spans="1:4" ht="180" x14ac:dyDescent="0.25">
      <c r="A26" s="72"/>
      <c r="B26" s="76" t="s">
        <v>579</v>
      </c>
      <c r="C26" s="74"/>
      <c r="D26" s="76" t="s">
        <v>578</v>
      </c>
    </row>
    <row r="27" spans="1:4" x14ac:dyDescent="0.25">
      <c r="A27" s="75">
        <v>44116</v>
      </c>
      <c r="B27" s="74" t="s">
        <v>461</v>
      </c>
      <c r="C27" s="74"/>
      <c r="D27" s="73"/>
    </row>
    <row r="28" spans="1:4" ht="135" x14ac:dyDescent="0.25">
      <c r="A28" s="72"/>
      <c r="B28" s="76" t="s">
        <v>576</v>
      </c>
      <c r="C28" s="74"/>
      <c r="D28" s="73"/>
    </row>
    <row r="29" spans="1:4" x14ac:dyDescent="0.25">
      <c r="A29" s="72"/>
      <c r="B29" s="73"/>
      <c r="C29" s="74"/>
      <c r="D29" s="73"/>
    </row>
    <row r="30" spans="1:4" x14ac:dyDescent="0.25">
      <c r="A30" s="75">
        <v>44114</v>
      </c>
      <c r="B30" s="74" t="s">
        <v>574</v>
      </c>
      <c r="C30" s="74"/>
      <c r="D30" s="73"/>
    </row>
    <row r="31" spans="1:4" ht="45" x14ac:dyDescent="0.25">
      <c r="A31" s="72"/>
      <c r="B31" s="76" t="s">
        <v>575</v>
      </c>
      <c r="C31" s="74"/>
      <c r="D31" s="73"/>
    </row>
    <row r="32" spans="1:4" x14ac:dyDescent="0.25">
      <c r="A32" s="75">
        <v>44113</v>
      </c>
      <c r="B32" s="74" t="s">
        <v>527</v>
      </c>
      <c r="C32" s="74"/>
      <c r="D32" s="74" t="s">
        <v>450</v>
      </c>
    </row>
    <row r="33" spans="1:4" ht="90" x14ac:dyDescent="0.25">
      <c r="A33" s="72"/>
      <c r="B33" s="76" t="s">
        <v>573</v>
      </c>
      <c r="C33" s="74"/>
      <c r="D33" s="76" t="s">
        <v>572</v>
      </c>
    </row>
    <row r="34" spans="1:4" x14ac:dyDescent="0.25">
      <c r="A34" s="75">
        <v>44112</v>
      </c>
      <c r="B34" s="74" t="s">
        <v>569</v>
      </c>
      <c r="C34" s="74"/>
      <c r="D34" s="74" t="s">
        <v>449</v>
      </c>
    </row>
    <row r="35" spans="1:4" ht="60" x14ac:dyDescent="0.25">
      <c r="A35" s="72"/>
      <c r="B35" s="76" t="s">
        <v>570</v>
      </c>
      <c r="C35" s="74"/>
      <c r="D35" s="73" t="s">
        <v>571</v>
      </c>
    </row>
    <row r="36" spans="1:4" x14ac:dyDescent="0.25">
      <c r="A36" s="75">
        <v>44110</v>
      </c>
      <c r="B36" s="74" t="s">
        <v>480</v>
      </c>
      <c r="C36" s="74"/>
      <c r="D36" s="74" t="s">
        <v>598</v>
      </c>
    </row>
    <row r="37" spans="1:4" ht="60" x14ac:dyDescent="0.25">
      <c r="A37" s="72"/>
      <c r="B37" s="76" t="s">
        <v>568</v>
      </c>
      <c r="C37" s="74"/>
      <c r="D37" s="76" t="s">
        <v>567</v>
      </c>
    </row>
    <row r="38" spans="1:4" x14ac:dyDescent="0.25">
      <c r="A38" s="75">
        <v>44109</v>
      </c>
      <c r="B38" s="74" t="s">
        <v>461</v>
      </c>
      <c r="C38" s="74"/>
      <c r="D38" s="73"/>
    </row>
    <row r="39" spans="1:4" ht="75" x14ac:dyDescent="0.25">
      <c r="A39" s="72"/>
      <c r="B39" s="76" t="s">
        <v>566</v>
      </c>
      <c r="C39" s="74"/>
      <c r="D39" s="73"/>
    </row>
    <row r="40" spans="1:4" x14ac:dyDescent="0.25">
      <c r="A40" s="72"/>
      <c r="B40" s="73"/>
      <c r="C40" s="74"/>
      <c r="D40" s="73"/>
    </row>
    <row r="41" spans="1:4" x14ac:dyDescent="0.25">
      <c r="A41" s="75">
        <v>44107</v>
      </c>
      <c r="B41" s="74" t="s">
        <v>547</v>
      </c>
      <c r="C41" s="74"/>
      <c r="D41" s="73"/>
    </row>
    <row r="42" spans="1:4" ht="120" x14ac:dyDescent="0.25">
      <c r="A42" s="72"/>
      <c r="B42" s="76" t="s">
        <v>563</v>
      </c>
      <c r="C42" s="74"/>
      <c r="D42" s="73"/>
    </row>
    <row r="43" spans="1:4" x14ac:dyDescent="0.25">
      <c r="A43" s="75">
        <v>44106</v>
      </c>
      <c r="B43" s="74" t="s">
        <v>480</v>
      </c>
      <c r="C43" s="74"/>
      <c r="D43" s="74" t="s">
        <v>449</v>
      </c>
    </row>
    <row r="44" spans="1:4" ht="75" x14ac:dyDescent="0.25">
      <c r="A44" s="72"/>
      <c r="B44" s="76" t="s">
        <v>562</v>
      </c>
      <c r="C44" s="74"/>
      <c r="D44" s="76" t="s">
        <v>561</v>
      </c>
    </row>
    <row r="45" spans="1:4" x14ac:dyDescent="0.25">
      <c r="A45" s="75">
        <v>44105</v>
      </c>
      <c r="B45" s="74" t="s">
        <v>548</v>
      </c>
      <c r="C45" s="74"/>
      <c r="D45" s="74" t="s">
        <v>454</v>
      </c>
    </row>
    <row r="46" spans="1:4" ht="75" x14ac:dyDescent="0.25">
      <c r="A46" s="72"/>
      <c r="B46" s="76" t="s">
        <v>549</v>
      </c>
      <c r="C46" s="74"/>
      <c r="D46" s="76" t="s">
        <v>560</v>
      </c>
    </row>
    <row r="47" spans="1:4" x14ac:dyDescent="0.25">
      <c r="A47" s="75">
        <v>44103</v>
      </c>
      <c r="B47" s="74" t="s">
        <v>527</v>
      </c>
      <c r="C47" s="74"/>
      <c r="D47" s="74" t="s">
        <v>596</v>
      </c>
    </row>
    <row r="48" spans="1:4" ht="90" x14ac:dyDescent="0.25">
      <c r="A48" s="72"/>
      <c r="B48" s="76" t="s">
        <v>546</v>
      </c>
      <c r="C48" s="74"/>
      <c r="D48" s="76" t="s">
        <v>545</v>
      </c>
    </row>
    <row r="49" spans="1:4" x14ac:dyDescent="0.25">
      <c r="A49" s="75">
        <v>44102</v>
      </c>
      <c r="B49" s="74" t="s">
        <v>454</v>
      </c>
      <c r="C49" s="74"/>
      <c r="D49" s="73"/>
    </row>
    <row r="50" spans="1:4" ht="60" x14ac:dyDescent="0.25">
      <c r="A50" s="72"/>
      <c r="B50" s="76" t="s">
        <v>544</v>
      </c>
      <c r="C50" s="74"/>
      <c r="D50" s="73"/>
    </row>
    <row r="51" spans="1:4" x14ac:dyDescent="0.25">
      <c r="A51" s="72"/>
      <c r="B51" s="73"/>
      <c r="C51" s="74"/>
      <c r="D51" s="73"/>
    </row>
    <row r="52" spans="1:4" x14ac:dyDescent="0.25">
      <c r="A52" s="75">
        <v>44100</v>
      </c>
      <c r="B52" s="74" t="s">
        <v>540</v>
      </c>
      <c r="C52" s="74"/>
      <c r="D52" s="73"/>
    </row>
    <row r="53" spans="1:4" ht="75" x14ac:dyDescent="0.25">
      <c r="A53" s="72"/>
      <c r="B53" s="76" t="s">
        <v>541</v>
      </c>
      <c r="C53" s="74"/>
      <c r="D53" s="73"/>
    </row>
    <row r="54" spans="1:4" x14ac:dyDescent="0.25">
      <c r="A54" s="75">
        <v>44099</v>
      </c>
      <c r="B54" s="74" t="s">
        <v>527</v>
      </c>
      <c r="C54" s="74"/>
      <c r="D54" s="74" t="s">
        <v>454</v>
      </c>
    </row>
    <row r="55" spans="1:4" ht="60" x14ac:dyDescent="0.25">
      <c r="A55" s="72"/>
      <c r="B55" s="76" t="s">
        <v>538</v>
      </c>
      <c r="C55" s="74"/>
      <c r="D55" s="76" t="s">
        <v>539</v>
      </c>
    </row>
    <row r="56" spans="1:4" x14ac:dyDescent="0.25">
      <c r="A56" s="75">
        <v>44098</v>
      </c>
      <c r="B56" s="74" t="s">
        <v>535</v>
      </c>
      <c r="C56" s="74"/>
      <c r="D56" s="74" t="s">
        <v>449</v>
      </c>
    </row>
    <row r="57" spans="1:4" ht="105" x14ac:dyDescent="0.25">
      <c r="A57" s="72"/>
      <c r="B57" s="76" t="s">
        <v>537</v>
      </c>
      <c r="C57" s="74"/>
      <c r="D57" s="76" t="s">
        <v>536</v>
      </c>
    </row>
    <row r="58" spans="1:4" x14ac:dyDescent="0.25">
      <c r="A58" s="75">
        <v>44097</v>
      </c>
      <c r="B58" s="74" t="s">
        <v>534</v>
      </c>
      <c r="C58" s="74"/>
      <c r="D58" s="76"/>
    </row>
    <row r="59" spans="1:4" ht="60" x14ac:dyDescent="0.25">
      <c r="A59" s="72"/>
      <c r="B59" s="76" t="s">
        <v>599</v>
      </c>
      <c r="C59" s="74"/>
      <c r="D59" s="73"/>
    </row>
    <row r="60" spans="1:4" x14ac:dyDescent="0.25">
      <c r="A60" s="75">
        <v>44096</v>
      </c>
      <c r="B60" s="74" t="s">
        <v>530</v>
      </c>
      <c r="C60" s="74"/>
      <c r="D60" s="74" t="s">
        <v>532</v>
      </c>
    </row>
    <row r="61" spans="1:4" ht="105" x14ac:dyDescent="0.25">
      <c r="A61" s="72"/>
      <c r="B61" s="76" t="s">
        <v>531</v>
      </c>
      <c r="C61" s="74"/>
      <c r="D61" s="76" t="s">
        <v>533</v>
      </c>
    </row>
    <row r="62" spans="1:4" x14ac:dyDescent="0.25">
      <c r="A62" s="75">
        <v>44095</v>
      </c>
      <c r="B62" s="74" t="s">
        <v>527</v>
      </c>
      <c r="C62" s="74"/>
      <c r="D62" s="73"/>
    </row>
    <row r="63" spans="1:4" ht="90" x14ac:dyDescent="0.25">
      <c r="A63" s="72"/>
      <c r="B63" s="76" t="s">
        <v>528</v>
      </c>
      <c r="C63" s="74"/>
      <c r="D63" s="73"/>
    </row>
    <row r="64" spans="1:4" x14ac:dyDescent="0.25">
      <c r="A64" s="72"/>
      <c r="B64" s="73"/>
      <c r="C64" s="74"/>
      <c r="D64" s="73"/>
    </row>
    <row r="65" spans="1:4" x14ac:dyDescent="0.25">
      <c r="A65" s="75">
        <v>44092</v>
      </c>
      <c r="B65" s="73"/>
      <c r="C65" s="74"/>
      <c r="D65" s="74" t="s">
        <v>454</v>
      </c>
    </row>
    <row r="66" spans="1:4" ht="45" x14ac:dyDescent="0.25">
      <c r="A66" s="72"/>
      <c r="B66" s="73"/>
      <c r="C66" s="74"/>
      <c r="D66" s="76" t="s">
        <v>526</v>
      </c>
    </row>
    <row r="67" spans="1:4" x14ac:dyDescent="0.25">
      <c r="A67" s="75">
        <v>44091</v>
      </c>
      <c r="B67" s="74" t="s">
        <v>519</v>
      </c>
      <c r="C67" s="74"/>
      <c r="D67" s="74" t="s">
        <v>516</v>
      </c>
    </row>
    <row r="68" spans="1:4" ht="105" x14ac:dyDescent="0.25">
      <c r="A68" s="72"/>
      <c r="B68" s="76" t="s">
        <v>518</v>
      </c>
      <c r="C68" s="74"/>
      <c r="D68" s="76" t="s">
        <v>517</v>
      </c>
    </row>
    <row r="69" spans="1:4" x14ac:dyDescent="0.25">
      <c r="A69" s="75">
        <v>44090</v>
      </c>
      <c r="B69" s="74" t="s">
        <v>520</v>
      </c>
      <c r="C69" s="74"/>
      <c r="D69" s="73"/>
    </row>
    <row r="70" spans="1:4" ht="180" x14ac:dyDescent="0.25">
      <c r="A70" s="72"/>
      <c r="B70" s="76" t="s">
        <v>515</v>
      </c>
      <c r="C70" s="74"/>
      <c r="D70" s="73"/>
    </row>
    <row r="71" spans="1:4" x14ac:dyDescent="0.25">
      <c r="A71" s="75">
        <v>44089</v>
      </c>
      <c r="B71" s="74" t="s">
        <v>461</v>
      </c>
      <c r="C71" s="74"/>
      <c r="D71" s="74" t="s">
        <v>473</v>
      </c>
    </row>
    <row r="72" spans="1:4" ht="75" x14ac:dyDescent="0.25">
      <c r="A72" s="72"/>
      <c r="B72" s="76" t="s">
        <v>510</v>
      </c>
      <c r="C72" s="74"/>
      <c r="D72" s="76" t="s">
        <v>509</v>
      </c>
    </row>
    <row r="73" spans="1:4" x14ac:dyDescent="0.25">
      <c r="A73" s="75">
        <v>44088</v>
      </c>
      <c r="B73" s="74" t="s">
        <v>521</v>
      </c>
      <c r="C73" s="74"/>
      <c r="D73" s="73"/>
    </row>
    <row r="74" spans="1:4" ht="45" x14ac:dyDescent="0.25">
      <c r="A74" s="72"/>
      <c r="B74" s="76" t="s">
        <v>508</v>
      </c>
      <c r="C74" s="74"/>
      <c r="D74" s="73"/>
    </row>
    <row r="75" spans="1:4" x14ac:dyDescent="0.25">
      <c r="A75" s="72"/>
      <c r="B75" s="73"/>
      <c r="C75" s="74"/>
      <c r="D75" s="73"/>
    </row>
    <row r="76" spans="1:4" x14ac:dyDescent="0.25">
      <c r="A76" s="75">
        <v>44087</v>
      </c>
      <c r="B76" s="74" t="s">
        <v>506</v>
      </c>
      <c r="C76" s="74"/>
    </row>
    <row r="77" spans="1:4" ht="120" x14ac:dyDescent="0.25">
      <c r="A77" s="72"/>
      <c r="B77" s="76" t="s">
        <v>505</v>
      </c>
      <c r="C77" s="74"/>
      <c r="D77" s="73"/>
    </row>
    <row r="78" spans="1:4" x14ac:dyDescent="0.25">
      <c r="A78" s="75">
        <v>44085</v>
      </c>
      <c r="B78" s="74" t="s">
        <v>491</v>
      </c>
      <c r="C78" s="74"/>
      <c r="D78" s="74" t="s">
        <v>450</v>
      </c>
    </row>
    <row r="79" spans="1:4" ht="210" x14ac:dyDescent="0.25">
      <c r="A79" s="72"/>
      <c r="B79" s="76" t="s">
        <v>493</v>
      </c>
      <c r="C79" s="74"/>
      <c r="D79" s="76" t="s">
        <v>492</v>
      </c>
    </row>
    <row r="80" spans="1:4" x14ac:dyDescent="0.25">
      <c r="A80" s="75">
        <v>44084</v>
      </c>
      <c r="B80" s="74" t="s">
        <v>488</v>
      </c>
      <c r="C80" s="74"/>
      <c r="D80" s="74" t="s">
        <v>449</v>
      </c>
    </row>
    <row r="81" spans="1:4" ht="45" x14ac:dyDescent="0.25">
      <c r="A81" s="72"/>
      <c r="B81" s="76" t="s">
        <v>489</v>
      </c>
      <c r="C81" s="74"/>
      <c r="D81" s="76" t="s">
        <v>490</v>
      </c>
    </row>
    <row r="82" spans="1:4" x14ac:dyDescent="0.25">
      <c r="A82" s="75">
        <v>44082</v>
      </c>
      <c r="B82" s="74" t="s">
        <v>464</v>
      </c>
      <c r="C82" s="74"/>
      <c r="D82" s="74" t="s">
        <v>450</v>
      </c>
    </row>
    <row r="83" spans="1:4" ht="90" x14ac:dyDescent="0.25">
      <c r="A83" s="72"/>
      <c r="B83" s="76" t="s">
        <v>484</v>
      </c>
      <c r="C83" s="74"/>
      <c r="D83" s="76" t="s">
        <v>482</v>
      </c>
    </row>
    <row r="84" spans="1:4" x14ac:dyDescent="0.25">
      <c r="A84" s="75">
        <v>44081</v>
      </c>
      <c r="B84" s="74" t="s">
        <v>480</v>
      </c>
      <c r="C84" s="74"/>
      <c r="D84" s="73"/>
    </row>
    <row r="85" spans="1:4" ht="120" x14ac:dyDescent="0.25">
      <c r="A85" s="72"/>
      <c r="B85" s="76" t="s">
        <v>483</v>
      </c>
      <c r="C85" s="74"/>
      <c r="D85" s="73"/>
    </row>
    <row r="86" spans="1:4" x14ac:dyDescent="0.25">
      <c r="A86" s="72"/>
      <c r="B86" s="73"/>
      <c r="C86" s="74"/>
      <c r="D86" s="73"/>
    </row>
    <row r="87" spans="1:4" x14ac:dyDescent="0.25">
      <c r="A87" s="75">
        <v>44078</v>
      </c>
      <c r="B87" s="74" t="s">
        <v>473</v>
      </c>
      <c r="C87" s="74"/>
      <c r="D87" s="74" t="s">
        <v>474</v>
      </c>
    </row>
    <row r="88" spans="1:4" ht="75" x14ac:dyDescent="0.25">
      <c r="A88" s="72"/>
      <c r="B88" s="76" t="s">
        <v>476</v>
      </c>
      <c r="C88" s="74"/>
      <c r="D88" s="76" t="s">
        <v>475</v>
      </c>
    </row>
    <row r="89" spans="1:4" x14ac:dyDescent="0.25">
      <c r="A89" s="75">
        <v>44077</v>
      </c>
      <c r="B89" s="74" t="s">
        <v>464</v>
      </c>
      <c r="C89" s="74"/>
      <c r="D89" s="74" t="s">
        <v>454</v>
      </c>
    </row>
    <row r="90" spans="1:4" ht="75" x14ac:dyDescent="0.25">
      <c r="A90" s="72"/>
      <c r="B90" s="76" t="s">
        <v>479</v>
      </c>
      <c r="C90" s="74"/>
      <c r="D90" s="76" t="s">
        <v>465</v>
      </c>
    </row>
    <row r="91" spans="1:4" x14ac:dyDescent="0.25">
      <c r="A91" s="75">
        <v>44075</v>
      </c>
      <c r="B91" s="74" t="s">
        <v>461</v>
      </c>
      <c r="C91" s="74"/>
      <c r="D91" s="74" t="s">
        <v>450</v>
      </c>
    </row>
    <row r="92" spans="1:4" ht="60" x14ac:dyDescent="0.25">
      <c r="A92" s="72"/>
      <c r="B92" s="76" t="s">
        <v>463</v>
      </c>
      <c r="C92" s="74"/>
      <c r="D92" s="76" t="s">
        <v>462</v>
      </c>
    </row>
    <row r="93" spans="1:4" x14ac:dyDescent="0.25">
      <c r="A93" s="75">
        <v>44074</v>
      </c>
      <c r="B93" s="74" t="s">
        <v>453</v>
      </c>
      <c r="C93" s="74"/>
      <c r="D93" s="73"/>
    </row>
    <row r="94" spans="1:4" ht="74.25" customHeight="1" x14ac:dyDescent="0.25">
      <c r="A94" s="72"/>
      <c r="B94" s="76" t="s">
        <v>458</v>
      </c>
      <c r="C94" s="74"/>
      <c r="D94" s="73"/>
    </row>
    <row r="95" spans="1:4" x14ac:dyDescent="0.25">
      <c r="A95" s="72"/>
      <c r="B95" s="73"/>
      <c r="C95" s="74"/>
      <c r="D95" s="73"/>
    </row>
    <row r="96" spans="1:4" x14ac:dyDescent="0.25">
      <c r="A96" s="75">
        <v>44071</v>
      </c>
      <c r="B96" s="74" t="s">
        <v>453</v>
      </c>
      <c r="C96" s="74"/>
      <c r="D96" s="74" t="s">
        <v>454</v>
      </c>
    </row>
    <row r="97" spans="1:4" ht="105" x14ac:dyDescent="0.25">
      <c r="A97" s="72"/>
      <c r="B97" s="76" t="s">
        <v>456</v>
      </c>
      <c r="C97" s="74"/>
      <c r="D97" s="76" t="s">
        <v>455</v>
      </c>
    </row>
    <row r="98" spans="1:4" x14ac:dyDescent="0.25">
      <c r="A98" s="75">
        <v>44070</v>
      </c>
      <c r="B98" s="74" t="s">
        <v>449</v>
      </c>
      <c r="C98" s="74"/>
      <c r="D98" s="74" t="s">
        <v>450</v>
      </c>
    </row>
    <row r="99" spans="1:4" ht="90" x14ac:dyDescent="0.25">
      <c r="A99" s="72"/>
      <c r="B99" s="76" t="s">
        <v>451</v>
      </c>
      <c r="C99" s="74"/>
      <c r="D99" s="76" t="s">
        <v>452</v>
      </c>
    </row>
    <row r="100" spans="1:4" x14ac:dyDescent="0.25">
      <c r="A100" s="75">
        <v>44068</v>
      </c>
      <c r="B100" s="74" t="s">
        <v>445</v>
      </c>
      <c r="C100" s="74"/>
      <c r="D100" s="74" t="s">
        <v>446</v>
      </c>
    </row>
    <row r="101" spans="1:4" ht="75" x14ac:dyDescent="0.25">
      <c r="A101" s="72"/>
      <c r="B101" s="76" t="s">
        <v>447</v>
      </c>
      <c r="C101" s="74"/>
      <c r="D101" s="76" t="s">
        <v>448</v>
      </c>
    </row>
    <row r="102" spans="1:4" x14ac:dyDescent="0.25">
      <c r="A102" s="72"/>
      <c r="B102" s="73"/>
      <c r="C102" s="74"/>
      <c r="D102" s="73"/>
    </row>
    <row r="103" spans="1:4" x14ac:dyDescent="0.25">
      <c r="A103" s="75">
        <v>44066</v>
      </c>
      <c r="B103" s="74" t="s">
        <v>442</v>
      </c>
      <c r="C103" s="74"/>
      <c r="D103" s="73"/>
    </row>
    <row r="104" spans="1:4" ht="60" x14ac:dyDescent="0.25">
      <c r="A104" s="72"/>
      <c r="B104" s="76" t="s">
        <v>443</v>
      </c>
      <c r="C104" s="74"/>
      <c r="D104" s="73"/>
    </row>
    <row r="105" spans="1:4" x14ac:dyDescent="0.25">
      <c r="A105" s="75">
        <v>44064</v>
      </c>
      <c r="B105" s="74" t="s">
        <v>439</v>
      </c>
      <c r="C105" s="74"/>
      <c r="D105" s="73"/>
    </row>
    <row r="106" spans="1:4" ht="90" x14ac:dyDescent="0.25">
      <c r="A106" s="72"/>
      <c r="B106" s="76" t="s">
        <v>440</v>
      </c>
      <c r="C106" s="74"/>
      <c r="D106" s="73"/>
    </row>
    <row r="107" spans="1:4" x14ac:dyDescent="0.25">
      <c r="A107" s="75">
        <v>44063</v>
      </c>
      <c r="B107" s="74" t="s">
        <v>437</v>
      </c>
      <c r="C107" s="74"/>
      <c r="D107" s="73"/>
    </row>
    <row r="108" spans="1:4" ht="75" x14ac:dyDescent="0.25">
      <c r="A108" s="72"/>
      <c r="B108" s="76" t="s">
        <v>438</v>
      </c>
      <c r="C108" s="74"/>
      <c r="D108" s="73"/>
    </row>
    <row r="109" spans="1:4" x14ac:dyDescent="0.25">
      <c r="A109" s="75">
        <v>44061</v>
      </c>
      <c r="B109" s="74" t="s">
        <v>433</v>
      </c>
      <c r="C109" s="74"/>
      <c r="D109" s="73"/>
    </row>
    <row r="110" spans="1:4" ht="120" x14ac:dyDescent="0.25">
      <c r="A110" s="72"/>
      <c r="B110" s="76" t="s">
        <v>434</v>
      </c>
      <c r="C110" s="74"/>
      <c r="D110" s="73"/>
    </row>
    <row r="111" spans="1:4" x14ac:dyDescent="0.25">
      <c r="A111" s="72"/>
      <c r="B111" s="76"/>
      <c r="C111" s="74"/>
      <c r="D111" s="73"/>
    </row>
    <row r="112" spans="1:4" x14ac:dyDescent="0.25">
      <c r="A112" s="75">
        <v>44059</v>
      </c>
      <c r="B112" s="74" t="s">
        <v>372</v>
      </c>
      <c r="C112" s="74"/>
      <c r="D112" s="73"/>
    </row>
    <row r="113" spans="1:4" ht="45" x14ac:dyDescent="0.25">
      <c r="A113" s="72"/>
      <c r="B113" s="76" t="s">
        <v>420</v>
      </c>
      <c r="C113" s="74"/>
      <c r="D113" s="73"/>
    </row>
    <row r="114" spans="1:4" x14ac:dyDescent="0.25">
      <c r="A114" s="75">
        <v>44057</v>
      </c>
      <c r="B114" s="74" t="s">
        <v>423</v>
      </c>
      <c r="C114" s="74"/>
      <c r="D114" s="73"/>
    </row>
    <row r="115" spans="1:4" ht="60" x14ac:dyDescent="0.25">
      <c r="A115" s="72"/>
      <c r="B115" s="76" t="s">
        <v>418</v>
      </c>
      <c r="C115" s="74"/>
      <c r="D115" s="73"/>
    </row>
    <row r="116" spans="1:4" x14ac:dyDescent="0.25">
      <c r="A116" s="75">
        <v>44056</v>
      </c>
      <c r="B116" s="74" t="s">
        <v>416</v>
      </c>
      <c r="C116" s="74"/>
      <c r="D116" s="73"/>
    </row>
    <row r="117" spans="1:4" x14ac:dyDescent="0.25">
      <c r="A117" s="72"/>
      <c r="B117" s="73" t="s">
        <v>417</v>
      </c>
      <c r="C117" s="74"/>
      <c r="D117" s="73"/>
    </row>
    <row r="118" spans="1:4" x14ac:dyDescent="0.25">
      <c r="A118" s="75">
        <v>44054</v>
      </c>
      <c r="B118" s="74" t="s">
        <v>414</v>
      </c>
      <c r="C118" s="74"/>
      <c r="D118" s="73"/>
    </row>
    <row r="119" spans="1:4" ht="75" x14ac:dyDescent="0.25">
      <c r="A119" s="72"/>
      <c r="B119" s="76" t="s">
        <v>415</v>
      </c>
      <c r="C119" s="74"/>
      <c r="D119" s="73"/>
    </row>
    <row r="120" spans="1:4" x14ac:dyDescent="0.25">
      <c r="A120" s="72"/>
      <c r="B120" s="73"/>
      <c r="C120" s="74"/>
      <c r="D120" s="73"/>
    </row>
    <row r="121" spans="1:4" x14ac:dyDescent="0.25">
      <c r="A121" s="75">
        <v>44052</v>
      </c>
      <c r="B121" s="74" t="s">
        <v>346</v>
      </c>
      <c r="C121" s="74"/>
      <c r="D121" s="73"/>
    </row>
    <row r="122" spans="1:4" ht="90" x14ac:dyDescent="0.25">
      <c r="A122" s="72"/>
      <c r="B122" s="76" t="s">
        <v>409</v>
      </c>
      <c r="C122" s="74"/>
      <c r="D122" s="73"/>
    </row>
    <row r="123" spans="1:4" x14ac:dyDescent="0.25">
      <c r="A123" s="75">
        <v>44050</v>
      </c>
      <c r="B123" s="74" t="s">
        <v>396</v>
      </c>
      <c r="C123" s="74"/>
      <c r="D123" s="73"/>
    </row>
    <row r="124" spans="1:4" ht="90" x14ac:dyDescent="0.25">
      <c r="A124" s="72"/>
      <c r="B124" s="76" t="s">
        <v>399</v>
      </c>
      <c r="C124" s="74"/>
      <c r="D124" s="73"/>
    </row>
    <row r="125" spans="1:4" x14ac:dyDescent="0.25">
      <c r="A125" s="75">
        <v>44049</v>
      </c>
      <c r="B125" s="74" t="s">
        <v>401</v>
      </c>
      <c r="C125" s="74"/>
      <c r="D125" s="73"/>
    </row>
    <row r="126" spans="1:4" ht="75" x14ac:dyDescent="0.25">
      <c r="A126" s="72"/>
      <c r="B126" s="76" t="s">
        <v>400</v>
      </c>
      <c r="C126" s="74"/>
      <c r="D126" s="73"/>
    </row>
    <row r="127" spans="1:4" x14ac:dyDescent="0.25">
      <c r="A127" s="75">
        <v>44047</v>
      </c>
      <c r="B127" s="74" t="s">
        <v>396</v>
      </c>
      <c r="C127" s="74"/>
      <c r="D127" s="73"/>
    </row>
    <row r="128" spans="1:4" ht="90" x14ac:dyDescent="0.25">
      <c r="A128" s="72"/>
      <c r="B128" s="76" t="s">
        <v>397</v>
      </c>
      <c r="C128" s="74"/>
      <c r="D128" s="73"/>
    </row>
    <row r="129" spans="1:4" x14ac:dyDescent="0.25">
      <c r="A129" s="72"/>
      <c r="B129" s="73"/>
      <c r="C129" s="74"/>
      <c r="D129" s="73"/>
    </row>
    <row r="130" spans="1:4" x14ac:dyDescent="0.25">
      <c r="A130" s="75">
        <v>44045</v>
      </c>
      <c r="B130" s="74" t="s">
        <v>394</v>
      </c>
      <c r="C130" s="74"/>
      <c r="D130" s="73"/>
    </row>
    <row r="131" spans="1:4" ht="60" x14ac:dyDescent="0.25">
      <c r="A131" s="72"/>
      <c r="B131" s="76" t="s">
        <v>395</v>
      </c>
      <c r="C131" s="74"/>
      <c r="D131" s="73"/>
    </row>
    <row r="132" spans="1:4" x14ac:dyDescent="0.25">
      <c r="A132" s="75">
        <v>44042</v>
      </c>
      <c r="B132" s="74" t="s">
        <v>390</v>
      </c>
      <c r="C132" s="74"/>
      <c r="D132" s="73"/>
    </row>
    <row r="133" spans="1:4" ht="45" x14ac:dyDescent="0.25">
      <c r="A133" s="72"/>
      <c r="B133" s="76" t="s">
        <v>389</v>
      </c>
      <c r="C133" s="74"/>
      <c r="D133" s="73"/>
    </row>
    <row r="134" spans="1:4" x14ac:dyDescent="0.25">
      <c r="A134" s="72"/>
      <c r="B134" s="73"/>
      <c r="C134" s="74"/>
      <c r="D134" s="73"/>
    </row>
    <row r="135" spans="1:4" x14ac:dyDescent="0.25">
      <c r="A135" s="75">
        <v>44038</v>
      </c>
      <c r="B135" s="74" t="s">
        <v>385</v>
      </c>
      <c r="C135" s="74"/>
      <c r="D135" s="73"/>
    </row>
    <row r="136" spans="1:4" ht="60" x14ac:dyDescent="0.25">
      <c r="A136" s="72"/>
      <c r="B136" s="76" t="s">
        <v>386</v>
      </c>
      <c r="C136" s="74"/>
      <c r="D136" s="73"/>
    </row>
    <row r="137" spans="1:4" x14ac:dyDescent="0.25">
      <c r="A137" s="75">
        <v>44035</v>
      </c>
      <c r="B137" s="74" t="s">
        <v>374</v>
      </c>
      <c r="C137" s="74"/>
      <c r="D137" s="73"/>
    </row>
    <row r="138" spans="1:4" ht="45" x14ac:dyDescent="0.25">
      <c r="A138" s="72"/>
      <c r="B138" s="76" t="s">
        <v>373</v>
      </c>
      <c r="C138" s="74"/>
      <c r="D138" s="73"/>
    </row>
    <row r="139" spans="1:4" x14ac:dyDescent="0.25">
      <c r="A139" s="72"/>
      <c r="B139" s="73"/>
      <c r="C139" s="74"/>
      <c r="D139" s="73"/>
    </row>
    <row r="140" spans="1:4" x14ac:dyDescent="0.25">
      <c r="A140" s="75">
        <v>44031</v>
      </c>
      <c r="B140" s="74" t="s">
        <v>370</v>
      </c>
      <c r="C140" s="74"/>
      <c r="D140" s="74" t="s">
        <v>372</v>
      </c>
    </row>
    <row r="141" spans="1:4" ht="30" x14ac:dyDescent="0.25">
      <c r="A141" s="72"/>
      <c r="B141" s="76" t="s">
        <v>371</v>
      </c>
      <c r="C141" s="74"/>
      <c r="D141" s="73" t="s">
        <v>347</v>
      </c>
    </row>
    <row r="142" spans="1:4" x14ac:dyDescent="0.25">
      <c r="A142" s="75">
        <v>44028</v>
      </c>
      <c r="B142" s="74" t="s">
        <v>352</v>
      </c>
      <c r="C142" s="74"/>
      <c r="D142" s="73"/>
    </row>
    <row r="143" spans="1:4" x14ac:dyDescent="0.25">
      <c r="A143" s="72"/>
      <c r="B143" s="73" t="s">
        <v>353</v>
      </c>
      <c r="C143" s="74"/>
      <c r="D143" s="73"/>
    </row>
    <row r="144" spans="1:4" x14ac:dyDescent="0.25">
      <c r="A144" s="75">
        <v>44026</v>
      </c>
      <c r="B144" s="74" t="s">
        <v>350</v>
      </c>
      <c r="C144" s="74"/>
      <c r="D144" s="73"/>
    </row>
    <row r="145" spans="1:4" x14ac:dyDescent="0.25">
      <c r="A145" s="72"/>
      <c r="B145" s="73" t="s">
        <v>7</v>
      </c>
      <c r="C145" s="74"/>
      <c r="D145" s="73"/>
    </row>
    <row r="146" spans="1:4" x14ac:dyDescent="0.25">
      <c r="A146" s="72"/>
      <c r="B146" s="73"/>
      <c r="C146" s="74"/>
      <c r="D146" s="73"/>
    </row>
    <row r="147" spans="1:4" x14ac:dyDescent="0.25">
      <c r="A147" s="75">
        <v>44024</v>
      </c>
      <c r="B147" s="74" t="s">
        <v>346</v>
      </c>
      <c r="C147" s="74"/>
      <c r="D147" s="74" t="s">
        <v>349</v>
      </c>
    </row>
    <row r="148" spans="1:4" ht="30" x14ac:dyDescent="0.25">
      <c r="A148" s="72"/>
      <c r="B148" s="76" t="s">
        <v>354</v>
      </c>
      <c r="C148" s="74"/>
      <c r="D148" s="73" t="s">
        <v>347</v>
      </c>
    </row>
    <row r="149" spans="1:4" x14ac:dyDescent="0.25">
      <c r="A149" s="75">
        <v>44022</v>
      </c>
      <c r="B149" s="76"/>
      <c r="C149" s="74"/>
      <c r="D149" s="74" t="s">
        <v>350</v>
      </c>
    </row>
    <row r="150" spans="1:4" x14ac:dyDescent="0.25">
      <c r="A150" s="72"/>
      <c r="B150" s="76"/>
      <c r="C150" s="74"/>
      <c r="D150" s="73" t="s">
        <v>351</v>
      </c>
    </row>
    <row r="151" spans="1:4" x14ac:dyDescent="0.25">
      <c r="A151" s="75">
        <v>44021</v>
      </c>
      <c r="B151" s="74" t="s">
        <v>241</v>
      </c>
      <c r="C151" s="74"/>
      <c r="D151" s="74" t="s">
        <v>295</v>
      </c>
    </row>
    <row r="152" spans="1:4" x14ac:dyDescent="0.25">
      <c r="A152" s="72"/>
      <c r="B152" s="73" t="s">
        <v>345</v>
      </c>
      <c r="C152" s="74"/>
      <c r="D152" s="73" t="s">
        <v>344</v>
      </c>
    </row>
    <row r="153" spans="1:4" x14ac:dyDescent="0.25">
      <c r="A153" s="75">
        <v>44019</v>
      </c>
      <c r="B153" s="74" t="s">
        <v>241</v>
      </c>
      <c r="C153" s="74"/>
      <c r="D153" s="74" t="s">
        <v>295</v>
      </c>
    </row>
    <row r="154" spans="1:4" x14ac:dyDescent="0.25">
      <c r="A154" s="72"/>
      <c r="B154" s="73" t="s">
        <v>299</v>
      </c>
      <c r="C154" s="74"/>
      <c r="D154" s="73" t="s">
        <v>314</v>
      </c>
    </row>
    <row r="155" spans="1:4" x14ac:dyDescent="0.25">
      <c r="A155" s="72"/>
      <c r="B155" s="73"/>
      <c r="C155" s="74"/>
      <c r="D155" s="73"/>
    </row>
    <row r="156" spans="1:4" x14ac:dyDescent="0.25">
      <c r="A156" s="75">
        <v>44015</v>
      </c>
      <c r="B156" s="74" t="s">
        <v>245</v>
      </c>
      <c r="C156" s="74"/>
      <c r="D156" s="73"/>
    </row>
    <row r="157" spans="1:4" ht="75.75" customHeight="1" x14ac:dyDescent="0.25">
      <c r="A157" s="72"/>
      <c r="B157" s="76" t="s">
        <v>313</v>
      </c>
      <c r="C157" s="74"/>
      <c r="D157" s="73"/>
    </row>
    <row r="158" spans="1:4" x14ac:dyDescent="0.25">
      <c r="A158" s="75">
        <v>44014</v>
      </c>
      <c r="B158" s="74" t="s">
        <v>263</v>
      </c>
      <c r="C158" s="74"/>
      <c r="D158" s="74" t="s">
        <v>306</v>
      </c>
    </row>
    <row r="159" spans="1:4" ht="75" x14ac:dyDescent="0.25">
      <c r="A159" s="72"/>
      <c r="B159" s="76" t="s">
        <v>308</v>
      </c>
      <c r="C159" s="74"/>
      <c r="D159" s="76" t="s">
        <v>307</v>
      </c>
    </row>
    <row r="160" spans="1:4" x14ac:dyDescent="0.25">
      <c r="A160" s="75">
        <v>44012</v>
      </c>
      <c r="B160" s="74" t="s">
        <v>263</v>
      </c>
      <c r="C160" s="74"/>
      <c r="D160" s="74" t="s">
        <v>245</v>
      </c>
    </row>
    <row r="161" spans="1:4" ht="45" x14ac:dyDescent="0.25">
      <c r="A161" s="72"/>
      <c r="B161" s="76" t="s">
        <v>300</v>
      </c>
      <c r="C161" s="74"/>
      <c r="D161" s="73" t="s">
        <v>299</v>
      </c>
    </row>
    <row r="162" spans="1:4" x14ac:dyDescent="0.25">
      <c r="A162" s="72"/>
      <c r="B162" s="73"/>
      <c r="C162" s="74"/>
      <c r="D162" s="73"/>
    </row>
    <row r="163" spans="1:4" x14ac:dyDescent="0.25">
      <c r="A163" s="75">
        <v>44008</v>
      </c>
      <c r="B163" s="74" t="s">
        <v>215</v>
      </c>
      <c r="C163" s="74"/>
      <c r="D163" s="73"/>
    </row>
    <row r="164" spans="1:4" ht="105" x14ac:dyDescent="0.25">
      <c r="A164" s="72"/>
      <c r="B164" s="76" t="s">
        <v>296</v>
      </c>
      <c r="C164" s="74"/>
      <c r="D164" s="73"/>
    </row>
    <row r="165" spans="1:4" x14ac:dyDescent="0.25">
      <c r="A165" s="75">
        <v>44007</v>
      </c>
      <c r="B165" s="74" t="s">
        <v>294</v>
      </c>
      <c r="C165" s="74"/>
      <c r="D165" s="74" t="s">
        <v>295</v>
      </c>
    </row>
    <row r="166" spans="1:4" ht="60" x14ac:dyDescent="0.25">
      <c r="A166" s="72"/>
      <c r="B166" s="76" t="s">
        <v>291</v>
      </c>
      <c r="C166" s="74"/>
      <c r="D166" s="76" t="s">
        <v>265</v>
      </c>
    </row>
    <row r="167" spans="1:4" x14ac:dyDescent="0.25">
      <c r="A167" s="75">
        <v>44006</v>
      </c>
      <c r="B167" s="74" t="s">
        <v>289</v>
      </c>
      <c r="C167" s="74"/>
      <c r="D167" s="74" t="s">
        <v>290</v>
      </c>
    </row>
    <row r="168" spans="1:4" x14ac:dyDescent="0.25">
      <c r="A168" s="72"/>
      <c r="B168" s="73" t="s">
        <v>288</v>
      </c>
      <c r="C168" s="74"/>
      <c r="D168" s="73" t="s">
        <v>288</v>
      </c>
    </row>
    <row r="169" spans="1:4" x14ac:dyDescent="0.25">
      <c r="A169" s="75">
        <v>44005</v>
      </c>
      <c r="B169" s="74" t="s">
        <v>263</v>
      </c>
      <c r="C169" s="74"/>
      <c r="D169" s="74" t="s">
        <v>245</v>
      </c>
    </row>
    <row r="170" spans="1:4" ht="45" x14ac:dyDescent="0.25">
      <c r="A170" s="72"/>
      <c r="B170" s="73" t="s">
        <v>264</v>
      </c>
      <c r="C170" s="74"/>
      <c r="D170" s="76" t="s">
        <v>265</v>
      </c>
    </row>
    <row r="171" spans="1:4" x14ac:dyDescent="0.25">
      <c r="A171" s="72"/>
      <c r="B171" s="73"/>
      <c r="C171" s="74"/>
      <c r="D171" s="73"/>
    </row>
    <row r="172" spans="1:4" x14ac:dyDescent="0.25">
      <c r="A172" s="75">
        <v>44001</v>
      </c>
      <c r="B172" s="74" t="s">
        <v>245</v>
      </c>
      <c r="C172" s="74"/>
      <c r="D172" s="73"/>
    </row>
    <row r="173" spans="1:4" ht="135" x14ac:dyDescent="0.25">
      <c r="A173" s="72"/>
      <c r="B173" s="76" t="s">
        <v>261</v>
      </c>
      <c r="C173" s="74"/>
      <c r="D173" s="73"/>
    </row>
    <row r="174" spans="1:4" x14ac:dyDescent="0.25">
      <c r="A174" s="75">
        <v>44000</v>
      </c>
      <c r="B174" s="74" t="s">
        <v>241</v>
      </c>
      <c r="C174" s="74"/>
      <c r="D174" s="74" t="s">
        <v>258</v>
      </c>
    </row>
    <row r="175" spans="1:4" ht="105" x14ac:dyDescent="0.25">
      <c r="A175" s="72"/>
      <c r="B175" s="76" t="s">
        <v>260</v>
      </c>
      <c r="C175" s="74"/>
      <c r="D175" s="76" t="s">
        <v>259</v>
      </c>
    </row>
    <row r="176" spans="1:4" x14ac:dyDescent="0.25">
      <c r="A176" s="75">
        <v>43998</v>
      </c>
      <c r="B176" s="74" t="s">
        <v>212</v>
      </c>
      <c r="C176" s="74"/>
      <c r="D176" s="74" t="s">
        <v>255</v>
      </c>
    </row>
    <row r="177" spans="1:4" ht="120" x14ac:dyDescent="0.25">
      <c r="A177" s="72"/>
      <c r="B177" s="76" t="s">
        <v>256</v>
      </c>
      <c r="C177" s="74"/>
      <c r="D177" s="1" t="s">
        <v>257</v>
      </c>
    </row>
    <row r="178" spans="1:4" x14ac:dyDescent="0.25">
      <c r="A178" s="72"/>
      <c r="B178" s="73"/>
      <c r="C178" s="74"/>
      <c r="D178" s="73"/>
    </row>
    <row r="179" spans="1:4" x14ac:dyDescent="0.25">
      <c r="A179" s="75">
        <v>43994</v>
      </c>
      <c r="B179" s="74" t="s">
        <v>253</v>
      </c>
      <c r="C179" s="74"/>
      <c r="D179" s="73"/>
    </row>
    <row r="180" spans="1:4" ht="75" x14ac:dyDescent="0.25">
      <c r="A180" s="72"/>
      <c r="B180" s="76" t="s">
        <v>254</v>
      </c>
      <c r="C180" s="74"/>
      <c r="D180" s="73"/>
    </row>
    <row r="181" spans="1:4" x14ac:dyDescent="0.25">
      <c r="A181" s="75">
        <v>43993</v>
      </c>
      <c r="B181" s="74" t="s">
        <v>212</v>
      </c>
      <c r="C181" s="74"/>
      <c r="D181" s="74" t="s">
        <v>250</v>
      </c>
    </row>
    <row r="182" spans="1:4" ht="120" x14ac:dyDescent="0.25">
      <c r="A182" s="72"/>
      <c r="B182" s="69" t="s">
        <v>251</v>
      </c>
      <c r="C182" s="74"/>
      <c r="D182" s="76" t="s">
        <v>252</v>
      </c>
    </row>
    <row r="183" spans="1:4" x14ac:dyDescent="0.25">
      <c r="A183" s="75">
        <v>43991</v>
      </c>
      <c r="B183" s="74" t="s">
        <v>241</v>
      </c>
      <c r="C183" s="74"/>
      <c r="D183" s="74" t="s">
        <v>245</v>
      </c>
    </row>
    <row r="184" spans="1:4" ht="105" x14ac:dyDescent="0.25">
      <c r="A184" s="66"/>
      <c r="B184" s="67" t="s">
        <v>242</v>
      </c>
      <c r="C184" s="68"/>
      <c r="D184" s="69" t="s">
        <v>246</v>
      </c>
    </row>
    <row r="185" spans="1:4" x14ac:dyDescent="0.25">
      <c r="A185" s="66"/>
      <c r="B185" s="67"/>
      <c r="C185" s="68"/>
      <c r="D185" s="69"/>
    </row>
    <row r="186" spans="1:4" x14ac:dyDescent="0.25">
      <c r="A186" s="46">
        <v>43987</v>
      </c>
      <c r="B186" s="41" t="s">
        <v>212</v>
      </c>
    </row>
    <row r="187" spans="1:4" ht="195.75" customHeight="1" x14ac:dyDescent="0.25">
      <c r="B187" s="1" t="s">
        <v>214</v>
      </c>
    </row>
    <row r="188" spans="1:4" x14ac:dyDescent="0.25">
      <c r="A188" s="46">
        <v>43986</v>
      </c>
      <c r="B188" s="41" t="s">
        <v>215</v>
      </c>
    </row>
    <row r="189" spans="1:4" ht="165" customHeight="1" x14ac:dyDescent="0.25">
      <c r="B189" s="1" t="s">
        <v>213</v>
      </c>
    </row>
    <row r="190" spans="1:4" x14ac:dyDescent="0.25">
      <c r="A190" s="46">
        <v>43984</v>
      </c>
      <c r="B190" s="41" t="s">
        <v>222</v>
      </c>
    </row>
    <row r="191" spans="1:4" ht="120" x14ac:dyDescent="0.25">
      <c r="B191" s="1" t="s">
        <v>221</v>
      </c>
    </row>
    <row r="193" spans="1:2" x14ac:dyDescent="0.25">
      <c r="A193" s="46">
        <v>43980</v>
      </c>
      <c r="B193" s="41" t="s">
        <v>216</v>
      </c>
    </row>
    <row r="194" spans="1:2" ht="165" x14ac:dyDescent="0.25">
      <c r="B194" s="1" t="s">
        <v>220</v>
      </c>
    </row>
    <row r="195" spans="1:2" x14ac:dyDescent="0.25">
      <c r="A195" s="46">
        <v>43978</v>
      </c>
      <c r="B195" s="41" t="s">
        <v>219</v>
      </c>
    </row>
    <row r="196" spans="1:2" ht="120" x14ac:dyDescent="0.25">
      <c r="B196" s="1" t="s">
        <v>218</v>
      </c>
    </row>
    <row r="197" spans="1:2" x14ac:dyDescent="0.25">
      <c r="A197" s="46">
        <v>43977</v>
      </c>
      <c r="B197" s="41" t="s">
        <v>216</v>
      </c>
    </row>
    <row r="198" spans="1:2" ht="90" x14ac:dyDescent="0.25">
      <c r="B198" s="1" t="s">
        <v>217</v>
      </c>
    </row>
    <row r="200" spans="1:2" x14ac:dyDescent="0.25">
      <c r="A200" s="46">
        <v>43975</v>
      </c>
      <c r="B200" s="41" t="s">
        <v>197</v>
      </c>
    </row>
    <row r="201" spans="1:2" ht="60" x14ac:dyDescent="0.25">
      <c r="B201"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5"/>
  <sheetViews>
    <sheetView workbookViewId="0">
      <selection activeCell="A15" sqref="A15"/>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39" t="s">
        <v>494</v>
      </c>
      <c r="B1" s="139" t="s">
        <v>495</v>
      </c>
      <c r="C1" s="139" t="s">
        <v>496</v>
      </c>
    </row>
    <row r="2" spans="1:3" hidden="1" x14ac:dyDescent="0.25">
      <c r="A2" t="s">
        <v>497</v>
      </c>
      <c r="B2" t="s">
        <v>498</v>
      </c>
      <c r="C2" t="s">
        <v>501</v>
      </c>
    </row>
    <row r="3" spans="1:3" ht="285" x14ac:dyDescent="0.25">
      <c r="A3" s="76" t="s">
        <v>507</v>
      </c>
      <c r="B3" s="76" t="s">
        <v>499</v>
      </c>
      <c r="C3" s="76" t="s">
        <v>500</v>
      </c>
    </row>
    <row r="4" spans="1:3" x14ac:dyDescent="0.25">
      <c r="A4" s="1"/>
    </row>
    <row r="5" spans="1:3" x14ac:dyDescent="0.25">
      <c r="A5" s="1"/>
    </row>
  </sheetData>
  <pageMargins left="0.7" right="0.7" top="0.78740157499999996" bottom="0.78740157499999996"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A4" sqref="A4"/>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435</v>
      </c>
    </row>
    <row r="2" spans="1:5" hidden="1" x14ac:dyDescent="0.25">
      <c r="A2" s="52" t="s">
        <v>151</v>
      </c>
      <c r="B2" s="52" t="s">
        <v>153</v>
      </c>
      <c r="C2" s="1" t="s">
        <v>309</v>
      </c>
      <c r="E2" t="s">
        <v>310</v>
      </c>
    </row>
    <row r="3" spans="1:5" ht="60" x14ac:dyDescent="0.25">
      <c r="A3" s="52" t="s">
        <v>20</v>
      </c>
      <c r="B3" s="52" t="s">
        <v>149</v>
      </c>
      <c r="C3" s="1" t="s">
        <v>502</v>
      </c>
    </row>
    <row r="4" spans="1:5" ht="30" x14ac:dyDescent="0.25">
      <c r="A4" s="52" t="s">
        <v>177</v>
      </c>
      <c r="B4" s="52" t="s">
        <v>178</v>
      </c>
      <c r="C4" s="1" t="s">
        <v>315</v>
      </c>
    </row>
    <row r="5" spans="1:5" ht="30" x14ac:dyDescent="0.25">
      <c r="A5" s="52" t="s">
        <v>161</v>
      </c>
      <c r="B5" s="52" t="s">
        <v>175</v>
      </c>
      <c r="C5" s="1" t="s">
        <v>227</v>
      </c>
    </row>
    <row r="6" spans="1:5" x14ac:dyDescent="0.25">
      <c r="A6" s="52" t="s">
        <v>387</v>
      </c>
      <c r="B6" s="52" t="s">
        <v>238</v>
      </c>
      <c r="C6" s="1" t="s">
        <v>485</v>
      </c>
    </row>
    <row r="7" spans="1:5" ht="45" x14ac:dyDescent="0.25">
      <c r="A7" s="52" t="s">
        <v>422</v>
      </c>
      <c r="B7" s="52" t="s">
        <v>163</v>
      </c>
      <c r="C7" s="1" t="s">
        <v>303</v>
      </c>
    </row>
    <row r="8" spans="1:5" hidden="1" x14ac:dyDescent="0.25">
      <c r="A8" s="52" t="s">
        <v>177</v>
      </c>
      <c r="B8" s="52" t="s">
        <v>179</v>
      </c>
    </row>
    <row r="9" spans="1:5" hidden="1" x14ac:dyDescent="0.25">
      <c r="A9" s="52" t="s">
        <v>171</v>
      </c>
      <c r="B9" s="52" t="s">
        <v>173</v>
      </c>
      <c r="C9" s="1" t="s">
        <v>228</v>
      </c>
      <c r="E9" t="s">
        <v>311</v>
      </c>
    </row>
    <row r="10" spans="1:5" ht="30" x14ac:dyDescent="0.25">
      <c r="A10" s="52" t="s">
        <v>230</v>
      </c>
      <c r="B10" s="52" t="s">
        <v>232</v>
      </c>
      <c r="C10" s="1" t="s">
        <v>459</v>
      </c>
    </row>
    <row r="11" spans="1:5" ht="45" x14ac:dyDescent="0.25">
      <c r="A11" s="52" t="s">
        <v>504</v>
      </c>
      <c r="B11" s="52" t="s">
        <v>158</v>
      </c>
      <c r="C11" s="1" t="s">
        <v>436</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356</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421</v>
      </c>
      <c r="E18" t="s">
        <v>312</v>
      </c>
    </row>
    <row r="19" spans="1:5" ht="30" x14ac:dyDescent="0.25">
      <c r="A19" s="52" t="s">
        <v>503</v>
      </c>
      <c r="B19" s="52" t="s">
        <v>167</v>
      </c>
      <c r="C19" s="1" t="s">
        <v>301</v>
      </c>
      <c r="E19" t="s">
        <v>355</v>
      </c>
    </row>
    <row r="20" spans="1:5" ht="30" x14ac:dyDescent="0.25">
      <c r="A20" s="52" t="s">
        <v>22</v>
      </c>
      <c r="B20" s="52" t="s">
        <v>183</v>
      </c>
      <c r="C20" s="1" t="s">
        <v>357</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64" t="s">
        <v>340</v>
      </c>
      <c r="B1" s="164"/>
    </row>
    <row r="2" spans="1:2" x14ac:dyDescent="0.25">
      <c r="A2" t="s">
        <v>339</v>
      </c>
    </row>
    <row r="3" spans="1:2" x14ac:dyDescent="0.25">
      <c r="A3" t="s">
        <v>343</v>
      </c>
    </row>
    <row r="4" spans="1:2" x14ac:dyDescent="0.25">
      <c r="A4" t="s">
        <v>337</v>
      </c>
    </row>
    <row r="5" spans="1:2" x14ac:dyDescent="0.25">
      <c r="A5" t="s">
        <v>338</v>
      </c>
    </row>
    <row r="7" spans="1:2" s="78" customFormat="1" ht="21" x14ac:dyDescent="0.35">
      <c r="A7" s="164" t="s">
        <v>341</v>
      </c>
      <c r="B7" s="164"/>
    </row>
    <row r="8" spans="1:2" ht="15.75" x14ac:dyDescent="0.25">
      <c r="A8" s="162" t="s">
        <v>332</v>
      </c>
      <c r="B8" s="162"/>
    </row>
    <row r="9" spans="1:2" x14ac:dyDescent="0.25">
      <c r="A9" t="s">
        <v>333</v>
      </c>
    </row>
    <row r="11" spans="1:2" ht="15.75" x14ac:dyDescent="0.25">
      <c r="A11" s="163" t="s">
        <v>329</v>
      </c>
      <c r="B11" s="163"/>
    </row>
    <row r="12" spans="1:2" ht="30" x14ac:dyDescent="0.25">
      <c r="A12" s="73" t="s">
        <v>316</v>
      </c>
      <c r="B12" s="76" t="s">
        <v>330</v>
      </c>
    </row>
    <row r="13" spans="1:2" ht="30" x14ac:dyDescent="0.25">
      <c r="A13" s="73" t="s">
        <v>317</v>
      </c>
      <c r="B13" s="76" t="s">
        <v>318</v>
      </c>
    </row>
    <row r="14" spans="1:2" ht="30" x14ac:dyDescent="0.25">
      <c r="A14" s="76" t="s">
        <v>336</v>
      </c>
      <c r="B14" s="73" t="s">
        <v>319</v>
      </c>
    </row>
    <row r="15" spans="1:2" x14ac:dyDescent="0.25">
      <c r="A15" s="73" t="s">
        <v>320</v>
      </c>
      <c r="B15" s="73" t="s">
        <v>321</v>
      </c>
    </row>
    <row r="16" spans="1:2" x14ac:dyDescent="0.25">
      <c r="A16" s="73"/>
      <c r="B16" s="73"/>
    </row>
    <row r="17" spans="1:2" x14ac:dyDescent="0.25">
      <c r="A17" s="73" t="s">
        <v>322</v>
      </c>
      <c r="B17" s="73" t="s">
        <v>323</v>
      </c>
    </row>
    <row r="18" spans="1:2" ht="30" x14ac:dyDescent="0.25">
      <c r="A18" s="76" t="s">
        <v>324</v>
      </c>
      <c r="B18" s="76" t="s">
        <v>325</v>
      </c>
    </row>
    <row r="19" spans="1:2" ht="30" x14ac:dyDescent="0.25">
      <c r="A19" s="76" t="s">
        <v>326</v>
      </c>
      <c r="B19" s="73" t="s">
        <v>327</v>
      </c>
    </row>
    <row r="20" spans="1:2" x14ac:dyDescent="0.25">
      <c r="A20" s="73"/>
      <c r="B20" s="73"/>
    </row>
    <row r="21" spans="1:2" ht="45" x14ac:dyDescent="0.25">
      <c r="A21" s="73" t="s">
        <v>328</v>
      </c>
      <c r="B21" s="76" t="s">
        <v>331</v>
      </c>
    </row>
    <row r="23" spans="1:2" ht="36" customHeight="1" x14ac:dyDescent="0.25">
      <c r="A23" s="161" t="s">
        <v>342</v>
      </c>
      <c r="B23" s="161"/>
    </row>
    <row r="25" spans="1:2" ht="15.75" x14ac:dyDescent="0.25">
      <c r="A25" s="162" t="s">
        <v>334</v>
      </c>
      <c r="B25" s="162"/>
    </row>
    <row r="26" spans="1:2" x14ac:dyDescent="0.25">
      <c r="A26" t="s">
        <v>335</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165" t="s">
        <v>297</v>
      </c>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c r="AF5" s="168"/>
      <c r="AG5" s="168"/>
      <c r="AH5" s="168"/>
      <c r="AI5" s="168"/>
      <c r="AJ5" s="168"/>
      <c r="AK5" s="168"/>
      <c r="AL5" s="168"/>
      <c r="AM5" s="168"/>
      <c r="AN5" s="168"/>
      <c r="AO5" s="168"/>
      <c r="AP5" s="168"/>
      <c r="AQ5" s="168"/>
      <c r="AR5" s="168"/>
      <c r="AS5" s="168"/>
      <c r="AT5" s="168"/>
      <c r="AU5" s="168"/>
      <c r="AV5" s="168"/>
      <c r="AW5" s="168"/>
      <c r="AX5" s="168"/>
      <c r="AY5" s="168"/>
      <c r="AZ5" s="168"/>
      <c r="BA5" s="168"/>
      <c r="BB5" s="168"/>
      <c r="BC5" s="168"/>
      <c r="BD5" s="168"/>
      <c r="BE5" s="168"/>
      <c r="BF5" s="168"/>
      <c r="BG5" s="168"/>
      <c r="BH5" s="168"/>
      <c r="BI5" s="168"/>
      <c r="BJ5" s="168"/>
      <c r="BK5" s="168"/>
      <c r="BL5" s="168"/>
      <c r="BM5" s="168"/>
      <c r="BN5" s="168"/>
      <c r="BO5" s="168"/>
      <c r="BP5" s="168"/>
      <c r="BQ5" s="168"/>
      <c r="BR5" s="168"/>
    </row>
    <row r="6" spans="1:70" x14ac:dyDescent="0.25">
      <c r="C6" s="2" t="s">
        <v>3</v>
      </c>
    </row>
    <row r="7" spans="1:70" ht="45" customHeight="1" x14ac:dyDescent="0.25">
      <c r="C7" s="165" t="s">
        <v>281</v>
      </c>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c r="AF7" s="168"/>
      <c r="AG7" s="168"/>
      <c r="AH7" s="168"/>
      <c r="AI7" s="168"/>
      <c r="AJ7" s="168"/>
      <c r="AK7" s="168"/>
      <c r="AL7" s="168"/>
      <c r="AM7" s="168"/>
      <c r="AN7" s="168"/>
      <c r="AO7" s="168"/>
      <c r="AP7" s="168"/>
      <c r="AQ7" s="168"/>
      <c r="AR7" s="168"/>
      <c r="AS7" s="168"/>
      <c r="AT7" s="168"/>
      <c r="AU7" s="168"/>
      <c r="AV7" s="168"/>
      <c r="AW7" s="168"/>
      <c r="AX7" s="168"/>
      <c r="AY7" s="168"/>
      <c r="AZ7" s="168"/>
      <c r="BA7" s="168"/>
      <c r="BB7" s="168"/>
      <c r="BC7" s="168"/>
      <c r="BD7" s="168"/>
      <c r="BE7" s="168"/>
      <c r="BF7" s="168"/>
      <c r="BG7" s="168"/>
      <c r="BH7" s="168"/>
      <c r="BI7" s="168"/>
      <c r="BJ7" s="168"/>
      <c r="BK7" s="168"/>
      <c r="BL7" s="168"/>
      <c r="BM7" s="168"/>
      <c r="BN7" s="168"/>
      <c r="BO7" s="168"/>
      <c r="BP7" s="168"/>
      <c r="BQ7" s="168"/>
      <c r="BR7" s="168"/>
    </row>
    <row r="8" spans="1:70" x14ac:dyDescent="0.25">
      <c r="C8" s="2" t="s">
        <v>4</v>
      </c>
    </row>
    <row r="9" spans="1:70" ht="75" customHeight="1" x14ac:dyDescent="0.25">
      <c r="C9" s="165" t="s">
        <v>274</v>
      </c>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c r="AF9" s="168"/>
      <c r="AG9" s="168"/>
      <c r="AH9" s="168"/>
      <c r="AI9" s="168"/>
      <c r="AJ9" s="168"/>
      <c r="AK9" s="168"/>
      <c r="AL9" s="168"/>
      <c r="AM9" s="168"/>
      <c r="AN9" s="168"/>
      <c r="AO9" s="168"/>
      <c r="AP9" s="168"/>
      <c r="AQ9" s="168"/>
      <c r="AR9" s="168"/>
      <c r="AS9" s="168"/>
      <c r="AT9" s="168"/>
      <c r="AU9" s="168"/>
      <c r="AV9" s="168"/>
      <c r="AW9" s="168"/>
      <c r="AX9" s="168"/>
      <c r="AY9" s="168"/>
      <c r="AZ9" s="168"/>
      <c r="BA9" s="168"/>
      <c r="BB9" s="168"/>
      <c r="BC9" s="168"/>
      <c r="BD9" s="168"/>
      <c r="BE9" s="168"/>
      <c r="BF9" s="168"/>
      <c r="BG9" s="168"/>
      <c r="BH9" s="168"/>
      <c r="BI9" s="168"/>
      <c r="BJ9" s="168"/>
      <c r="BK9" s="168"/>
      <c r="BL9" s="168"/>
      <c r="BM9" s="168"/>
      <c r="BN9" s="168"/>
      <c r="BO9" s="168"/>
      <c r="BP9" s="168"/>
      <c r="BQ9" s="168"/>
      <c r="BR9" s="168"/>
    </row>
    <row r="10" spans="1:70" x14ac:dyDescent="0.25">
      <c r="C10" s="2" t="s">
        <v>5</v>
      </c>
    </row>
    <row r="11" spans="1:70" ht="75" customHeight="1" x14ac:dyDescent="0.25">
      <c r="C11" s="165" t="s">
        <v>298</v>
      </c>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c r="AF11" s="168"/>
      <c r="AG11" s="168"/>
      <c r="AH11" s="168"/>
      <c r="AI11" s="168"/>
      <c r="AJ11" s="168"/>
      <c r="AK11" s="168"/>
      <c r="AL11" s="168"/>
      <c r="AM11" s="168"/>
      <c r="AN11" s="168"/>
      <c r="AO11" s="168"/>
      <c r="AP11" s="168"/>
      <c r="AQ11" s="168"/>
      <c r="AR11" s="168"/>
      <c r="AS11" s="168"/>
      <c r="AT11" s="168"/>
      <c r="AU11" s="168"/>
      <c r="AV11" s="168"/>
      <c r="AW11" s="168"/>
      <c r="AX11" s="168"/>
      <c r="AY11" s="168"/>
      <c r="AZ11" s="168"/>
      <c r="BA11" s="168"/>
      <c r="BB11" s="168"/>
      <c r="BC11" s="168"/>
      <c r="BD11" s="168"/>
      <c r="BE11" s="168"/>
      <c r="BF11" s="168"/>
      <c r="BG11" s="168"/>
      <c r="BH11" s="168"/>
      <c r="BI11" s="168"/>
      <c r="BJ11" s="168"/>
      <c r="BK11" s="168"/>
      <c r="BL11" s="168"/>
      <c r="BM11" s="168"/>
      <c r="BN11" s="168"/>
      <c r="BO11" s="168"/>
      <c r="BP11" s="168"/>
      <c r="BQ11" s="168"/>
      <c r="BR11" s="168"/>
    </row>
    <row r="12" spans="1:70" x14ac:dyDescent="0.25">
      <c r="C12" s="2" t="s">
        <v>6</v>
      </c>
    </row>
    <row r="13" spans="1:70" ht="90.75" customHeight="1" x14ac:dyDescent="0.25">
      <c r="C13" s="165" t="s">
        <v>285</v>
      </c>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c r="AF13" s="168"/>
      <c r="AG13" s="168"/>
      <c r="AH13" s="168"/>
      <c r="AI13" s="168"/>
      <c r="AJ13" s="168"/>
      <c r="AK13" s="168"/>
      <c r="AL13" s="168"/>
      <c r="AM13" s="168"/>
      <c r="AN13" s="168"/>
      <c r="AO13" s="168"/>
      <c r="AP13" s="168"/>
      <c r="AQ13" s="168"/>
      <c r="AR13" s="168"/>
      <c r="AS13" s="168"/>
      <c r="AT13" s="168"/>
      <c r="AU13" s="168"/>
      <c r="AV13" s="168"/>
      <c r="AW13" s="168"/>
      <c r="AX13" s="168"/>
      <c r="AY13" s="168"/>
      <c r="AZ13" s="168"/>
      <c r="BA13" s="168"/>
      <c r="BB13" s="168"/>
      <c r="BC13" s="168"/>
      <c r="BD13" s="168"/>
      <c r="BE13" s="168"/>
      <c r="BF13" s="168"/>
      <c r="BG13" s="168"/>
      <c r="BH13" s="168"/>
      <c r="BI13" s="168"/>
      <c r="BJ13" s="168"/>
      <c r="BK13" s="168"/>
      <c r="BL13" s="168"/>
      <c r="BM13" s="168"/>
      <c r="BN13" s="168"/>
      <c r="BO13" s="168"/>
      <c r="BP13" s="168"/>
      <c r="BQ13" s="168"/>
      <c r="BR13" s="168"/>
    </row>
    <row r="14" spans="1:70" x14ac:dyDescent="0.25">
      <c r="D14" s="2" t="s">
        <v>284</v>
      </c>
    </row>
    <row r="15" spans="1:70" ht="62.25" customHeight="1" x14ac:dyDescent="0.25">
      <c r="D15" s="165" t="s">
        <v>287</v>
      </c>
      <c r="E15" s="165"/>
      <c r="F15" s="165"/>
      <c r="G15" s="165"/>
      <c r="H15" s="165"/>
      <c r="I15" s="165"/>
      <c r="J15" s="165"/>
      <c r="K15" s="165"/>
      <c r="L15" s="165"/>
      <c r="M15" s="165"/>
      <c r="N15" s="165"/>
      <c r="O15" s="165"/>
      <c r="P15" s="165"/>
      <c r="Q15" s="165"/>
      <c r="R15" s="165"/>
      <c r="S15" s="165"/>
      <c r="T15" s="165"/>
      <c r="U15" s="165"/>
      <c r="V15" s="165"/>
      <c r="W15" s="165"/>
      <c r="X15" s="165"/>
      <c r="Y15" s="165"/>
      <c r="Z15" s="165"/>
      <c r="AA15" s="165"/>
      <c r="AB15" s="165"/>
      <c r="AC15" s="165"/>
      <c r="AD15" s="165"/>
      <c r="AE15" s="165"/>
      <c r="AF15" s="165"/>
      <c r="AG15" s="165"/>
      <c r="AH15" s="165"/>
      <c r="AI15" s="165"/>
      <c r="AJ15" s="165"/>
      <c r="AK15" s="165"/>
      <c r="AL15" s="165"/>
      <c r="AM15" s="165"/>
      <c r="AN15" s="165"/>
      <c r="AO15" s="165"/>
      <c r="AP15" s="165"/>
      <c r="AQ15" s="165"/>
      <c r="AR15" s="165"/>
      <c r="AS15" s="165"/>
      <c r="AT15" s="165"/>
      <c r="AU15" s="165"/>
      <c r="AV15" s="165"/>
      <c r="AW15" s="165"/>
      <c r="AX15" s="165"/>
      <c r="AY15" s="165"/>
      <c r="AZ15" s="165"/>
      <c r="BA15" s="165"/>
      <c r="BB15" s="165"/>
      <c r="BC15" s="165"/>
      <c r="BD15" s="165"/>
      <c r="BE15" s="165"/>
      <c r="BF15" s="165"/>
      <c r="BG15" s="165"/>
      <c r="BH15" s="165"/>
      <c r="BI15" s="165"/>
      <c r="BJ15" s="165"/>
      <c r="BK15" s="165"/>
      <c r="BL15" s="165"/>
      <c r="BM15" s="165"/>
      <c r="BN15" s="165"/>
      <c r="BO15" s="165"/>
      <c r="BP15" s="165"/>
      <c r="BQ15" s="165"/>
      <c r="BR15" s="165"/>
    </row>
    <row r="16" spans="1:70" x14ac:dyDescent="0.25">
      <c r="D16" s="2" t="s">
        <v>195</v>
      </c>
    </row>
    <row r="17" spans="1:70" ht="47.25" customHeight="1" x14ac:dyDescent="0.25">
      <c r="D17" s="165" t="s">
        <v>267</v>
      </c>
      <c r="E17" s="165"/>
      <c r="F17" s="165"/>
      <c r="G17" s="165"/>
      <c r="H17" s="165"/>
      <c r="I17" s="165"/>
      <c r="J17" s="165"/>
      <c r="K17" s="165"/>
      <c r="L17" s="165"/>
      <c r="M17" s="165"/>
      <c r="N17" s="165"/>
      <c r="O17" s="165"/>
      <c r="P17" s="165"/>
      <c r="Q17" s="165"/>
      <c r="R17" s="165"/>
      <c r="S17" s="165"/>
      <c r="T17" s="165"/>
      <c r="U17" s="165"/>
      <c r="V17" s="165"/>
      <c r="W17" s="165"/>
      <c r="X17" s="165"/>
      <c r="Y17" s="165"/>
      <c r="Z17" s="165"/>
      <c r="AA17" s="165"/>
      <c r="AB17" s="165"/>
      <c r="AC17" s="165"/>
      <c r="AD17" s="165"/>
      <c r="AE17" s="165"/>
      <c r="AF17" s="165"/>
      <c r="AG17" s="165"/>
      <c r="AH17" s="165"/>
      <c r="AI17" s="165"/>
      <c r="AJ17" s="165"/>
      <c r="AK17" s="165"/>
      <c r="AL17" s="165"/>
      <c r="AM17" s="165"/>
      <c r="AN17" s="165"/>
      <c r="AO17" s="165"/>
      <c r="AP17" s="165"/>
      <c r="AQ17" s="165"/>
      <c r="AR17" s="165"/>
      <c r="AS17" s="165"/>
      <c r="AT17" s="165"/>
      <c r="AU17" s="165"/>
      <c r="AV17" s="165"/>
      <c r="AW17" s="165"/>
      <c r="AX17" s="165"/>
      <c r="AY17" s="165"/>
      <c r="AZ17" s="165"/>
      <c r="BA17" s="165"/>
      <c r="BB17" s="165"/>
      <c r="BC17" s="165"/>
      <c r="BD17" s="165"/>
      <c r="BE17" s="165"/>
      <c r="BF17" s="165"/>
      <c r="BG17" s="165"/>
      <c r="BH17" s="165"/>
      <c r="BI17" s="165"/>
      <c r="BJ17" s="165"/>
      <c r="BK17" s="165"/>
      <c r="BL17" s="165"/>
      <c r="BM17" s="165"/>
      <c r="BN17" s="165"/>
      <c r="BO17" s="165"/>
      <c r="BP17" s="165"/>
      <c r="BQ17" s="165"/>
      <c r="BR17" s="165"/>
    </row>
    <row r="18" spans="1:70" ht="15.75" customHeight="1" x14ac:dyDescent="0.25">
      <c r="D18" s="167" t="s">
        <v>266</v>
      </c>
      <c r="E18" s="167"/>
      <c r="F18" s="167"/>
      <c r="G18" s="167"/>
      <c r="H18" s="167"/>
      <c r="I18" s="167"/>
      <c r="J18" s="167"/>
      <c r="K18" s="167"/>
      <c r="L18" s="167"/>
      <c r="M18" s="167"/>
      <c r="N18" s="167"/>
      <c r="O18" s="167"/>
      <c r="P18" s="167"/>
      <c r="Q18" s="167"/>
      <c r="R18" s="167"/>
      <c r="S18" s="167"/>
      <c r="T18" s="167"/>
      <c r="U18" s="167"/>
      <c r="V18" s="167"/>
      <c r="W18" s="167"/>
      <c r="X18" s="167"/>
      <c r="Y18" s="167"/>
      <c r="Z18" s="167"/>
      <c r="AA18" s="167"/>
      <c r="AB18" s="167"/>
      <c r="AC18" s="167"/>
      <c r="AD18" s="167"/>
      <c r="AE18" s="167"/>
      <c r="AF18" s="167"/>
      <c r="AG18" s="167"/>
      <c r="AH18" s="167"/>
      <c r="AI18" s="167"/>
      <c r="AJ18" s="167"/>
      <c r="AK18" s="167"/>
      <c r="AL18" s="167"/>
      <c r="AM18" s="167"/>
      <c r="AN18" s="167"/>
      <c r="AO18" s="167"/>
      <c r="AP18" s="167"/>
      <c r="AQ18" s="167"/>
      <c r="AR18" s="167"/>
      <c r="AS18" s="167"/>
      <c r="AT18" s="167"/>
      <c r="AU18" s="167"/>
      <c r="AV18" s="167"/>
      <c r="AW18" s="167"/>
      <c r="AX18" s="167"/>
      <c r="AY18" s="167"/>
      <c r="AZ18" s="167"/>
      <c r="BA18" s="167"/>
      <c r="BB18" s="167"/>
      <c r="BC18" s="167"/>
      <c r="BD18" s="167"/>
      <c r="BE18" s="167"/>
      <c r="BF18" s="167"/>
      <c r="BG18" s="167"/>
      <c r="BH18" s="167"/>
      <c r="BI18" s="167"/>
      <c r="BJ18" s="167"/>
      <c r="BK18" s="167"/>
      <c r="BL18" s="167"/>
      <c r="BM18" s="167"/>
      <c r="BN18" s="167"/>
      <c r="BO18" s="167"/>
      <c r="BP18" s="167"/>
      <c r="BQ18" s="167"/>
      <c r="BR18" s="167"/>
    </row>
    <row r="19" spans="1:70" ht="45.75" customHeight="1" x14ac:dyDescent="0.25">
      <c r="D19" s="165" t="s">
        <v>275</v>
      </c>
      <c r="E19" s="165"/>
      <c r="F19" s="165"/>
      <c r="G19" s="165"/>
      <c r="H19" s="165"/>
      <c r="I19" s="165"/>
      <c r="J19" s="165"/>
      <c r="K19" s="165"/>
      <c r="L19" s="165"/>
      <c r="M19" s="165"/>
      <c r="N19" s="165"/>
      <c r="O19" s="165"/>
      <c r="P19" s="165"/>
      <c r="Q19" s="165"/>
      <c r="R19" s="165"/>
      <c r="S19" s="165"/>
      <c r="T19" s="165"/>
      <c r="U19" s="165"/>
      <c r="V19" s="165"/>
      <c r="W19" s="165"/>
      <c r="X19" s="165"/>
      <c r="Y19" s="165"/>
      <c r="Z19" s="165"/>
      <c r="AA19" s="165"/>
      <c r="AB19" s="165"/>
      <c r="AC19" s="165"/>
      <c r="AD19" s="165"/>
      <c r="AE19" s="165"/>
      <c r="AF19" s="165"/>
      <c r="AG19" s="165"/>
      <c r="AH19" s="165"/>
      <c r="AI19" s="165"/>
      <c r="AJ19" s="165"/>
      <c r="AK19" s="165"/>
      <c r="AL19" s="165"/>
      <c r="AM19" s="165"/>
      <c r="AN19" s="165"/>
      <c r="AO19" s="165"/>
      <c r="AP19" s="165"/>
      <c r="AQ19" s="165"/>
      <c r="AR19" s="165"/>
      <c r="AS19" s="165"/>
      <c r="AT19" s="165"/>
      <c r="AU19" s="165"/>
      <c r="AV19" s="165"/>
      <c r="AW19" s="165"/>
      <c r="AX19" s="165"/>
      <c r="AY19" s="165"/>
      <c r="AZ19" s="165"/>
      <c r="BA19" s="165"/>
      <c r="BB19" s="165"/>
      <c r="BC19" s="165"/>
      <c r="BD19" s="165"/>
      <c r="BE19" s="165"/>
      <c r="BF19" s="165"/>
      <c r="BG19" s="165"/>
      <c r="BH19" s="165"/>
      <c r="BI19" s="165"/>
      <c r="BJ19" s="165"/>
      <c r="BK19" s="165"/>
      <c r="BL19" s="165"/>
      <c r="BM19" s="165"/>
      <c r="BN19" s="165"/>
      <c r="BO19" s="165"/>
      <c r="BP19" s="165"/>
      <c r="BQ19" s="165"/>
      <c r="BR19" s="165"/>
    </row>
    <row r="20" spans="1:70" ht="15.75" customHeight="1" x14ac:dyDescent="0.25">
      <c r="D20" s="167" t="s">
        <v>283</v>
      </c>
      <c r="E20" s="167"/>
      <c r="F20" s="167"/>
      <c r="G20" s="167"/>
      <c r="H20" s="167"/>
      <c r="I20" s="167"/>
      <c r="J20" s="167"/>
      <c r="K20" s="167"/>
      <c r="L20" s="167"/>
      <c r="M20" s="167"/>
      <c r="N20" s="167"/>
      <c r="O20" s="167"/>
      <c r="P20" s="167"/>
      <c r="Q20" s="167"/>
      <c r="R20" s="167"/>
      <c r="S20" s="167"/>
      <c r="T20" s="167"/>
      <c r="U20" s="167"/>
      <c r="V20" s="167"/>
      <c r="W20" s="167"/>
      <c r="X20" s="167"/>
      <c r="Y20" s="167"/>
      <c r="Z20" s="167"/>
      <c r="AA20" s="167"/>
      <c r="AB20" s="167"/>
      <c r="AC20" s="167"/>
      <c r="AD20" s="167"/>
      <c r="AE20" s="167"/>
      <c r="AF20" s="167"/>
      <c r="AG20" s="167"/>
      <c r="AH20" s="167"/>
      <c r="AI20" s="167"/>
      <c r="AJ20" s="167"/>
      <c r="AK20" s="167"/>
      <c r="AL20" s="167"/>
      <c r="AM20" s="167"/>
      <c r="AN20" s="167"/>
      <c r="AO20" s="167"/>
      <c r="AP20" s="167"/>
      <c r="AQ20" s="167"/>
      <c r="AR20" s="167"/>
      <c r="AS20" s="167"/>
      <c r="AT20" s="167"/>
      <c r="AU20" s="167"/>
      <c r="AV20" s="167"/>
      <c r="AW20" s="167"/>
      <c r="AX20" s="167"/>
      <c r="AY20" s="167"/>
      <c r="AZ20" s="167"/>
      <c r="BA20" s="167"/>
      <c r="BB20" s="167"/>
      <c r="BC20" s="167"/>
      <c r="BD20" s="167"/>
      <c r="BE20" s="167"/>
      <c r="BF20" s="167"/>
      <c r="BG20" s="167"/>
      <c r="BH20" s="167"/>
      <c r="BI20" s="167"/>
      <c r="BJ20" s="167"/>
      <c r="BK20" s="167"/>
      <c r="BL20" s="167"/>
      <c r="BM20" s="167"/>
      <c r="BN20" s="167"/>
      <c r="BO20" s="167"/>
      <c r="BP20" s="167"/>
      <c r="BQ20" s="167"/>
      <c r="BR20" s="167"/>
    </row>
    <row r="21" spans="1:70" ht="44.25" customHeight="1" x14ac:dyDescent="0.25">
      <c r="D21" s="165" t="s">
        <v>276</v>
      </c>
      <c r="E21" s="165"/>
      <c r="F21" s="165"/>
      <c r="G21" s="165"/>
      <c r="H21" s="165"/>
      <c r="I21" s="165"/>
      <c r="J21" s="165"/>
      <c r="K21" s="165"/>
      <c r="L21" s="165"/>
      <c r="M21" s="165"/>
      <c r="N21" s="165"/>
      <c r="O21" s="165"/>
      <c r="P21" s="165"/>
      <c r="Q21" s="165"/>
      <c r="R21" s="165"/>
      <c r="S21" s="165"/>
      <c r="T21" s="165"/>
      <c r="U21" s="165"/>
      <c r="V21" s="165"/>
      <c r="W21" s="165"/>
      <c r="X21" s="165"/>
      <c r="Y21" s="165"/>
      <c r="Z21" s="165"/>
      <c r="AA21" s="165"/>
      <c r="AB21" s="165"/>
      <c r="AC21" s="165"/>
      <c r="AD21" s="165"/>
      <c r="AE21" s="165"/>
      <c r="AF21" s="165"/>
      <c r="AG21" s="165"/>
      <c r="AH21" s="165"/>
      <c r="AI21" s="165"/>
      <c r="AJ21" s="165"/>
      <c r="AK21" s="165"/>
      <c r="AL21" s="165"/>
      <c r="AM21" s="165"/>
      <c r="AN21" s="165"/>
      <c r="AO21" s="165"/>
      <c r="AP21" s="165"/>
      <c r="AQ21" s="165"/>
      <c r="AR21" s="165"/>
      <c r="AS21" s="165"/>
      <c r="AT21" s="165"/>
      <c r="AU21" s="165"/>
      <c r="AV21" s="165"/>
      <c r="AW21" s="165"/>
      <c r="AX21" s="165"/>
      <c r="AY21" s="165"/>
      <c r="AZ21" s="165"/>
      <c r="BA21" s="165"/>
      <c r="BB21" s="165"/>
      <c r="BC21" s="165"/>
      <c r="BD21" s="165"/>
      <c r="BE21" s="165"/>
      <c r="BF21" s="165"/>
      <c r="BG21" s="165"/>
      <c r="BH21" s="165"/>
      <c r="BI21" s="165"/>
      <c r="BJ21" s="165"/>
      <c r="BK21" s="165"/>
      <c r="BL21" s="165"/>
      <c r="BM21" s="165"/>
      <c r="BN21" s="165"/>
      <c r="BO21" s="165"/>
      <c r="BP21" s="165"/>
      <c r="BQ21" s="165"/>
      <c r="BR21" s="165"/>
    </row>
    <row r="22" spans="1:70" x14ac:dyDescent="0.25">
      <c r="B22" s="2" t="s">
        <v>191</v>
      </c>
      <c r="C22" s="2"/>
    </row>
    <row r="23" spans="1:70" ht="69.75" customHeight="1" x14ac:dyDescent="0.25">
      <c r="B23" s="165" t="s">
        <v>268</v>
      </c>
      <c r="C23" s="16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165"/>
      <c r="AB23" s="165"/>
      <c r="AC23" s="165"/>
      <c r="AD23" s="165"/>
      <c r="AE23" s="165"/>
      <c r="AF23" s="165"/>
      <c r="AG23" s="165"/>
      <c r="AH23" s="165"/>
      <c r="AI23" s="165"/>
      <c r="AJ23" s="165"/>
      <c r="AK23" s="165"/>
      <c r="AL23" s="165"/>
      <c r="AM23" s="165"/>
      <c r="AN23" s="165"/>
      <c r="AO23" s="165"/>
      <c r="AP23" s="165"/>
      <c r="AQ23" s="165"/>
      <c r="AR23" s="165"/>
      <c r="AS23" s="165"/>
      <c r="AT23" s="165"/>
      <c r="AU23" s="165"/>
      <c r="AV23" s="165"/>
      <c r="AW23" s="165"/>
      <c r="AX23" s="165"/>
      <c r="AY23" s="165"/>
      <c r="AZ23" s="165"/>
      <c r="BA23" s="165"/>
      <c r="BB23" s="165"/>
      <c r="BC23" s="165"/>
      <c r="BD23" s="165"/>
      <c r="BE23" s="165"/>
      <c r="BF23" s="165"/>
      <c r="BG23" s="165"/>
      <c r="BH23" s="165"/>
      <c r="BI23" s="165"/>
      <c r="BJ23" s="165"/>
      <c r="BK23" s="165"/>
      <c r="BL23" s="165"/>
      <c r="BM23" s="165"/>
      <c r="BN23" s="165"/>
      <c r="BO23" s="165"/>
      <c r="BP23" s="165"/>
      <c r="BQ23" s="165"/>
      <c r="BR23" s="165"/>
    </row>
    <row r="24" spans="1:70" x14ac:dyDescent="0.25">
      <c r="C24" s="2" t="s">
        <v>192</v>
      </c>
    </row>
    <row r="25" spans="1:70" ht="204.75" customHeight="1" x14ac:dyDescent="0.25">
      <c r="C25" s="166" t="s">
        <v>210</v>
      </c>
      <c r="D25" s="166"/>
      <c r="E25" s="166"/>
      <c r="F25" s="166"/>
      <c r="G25" s="166"/>
      <c r="H25" s="166"/>
      <c r="I25" s="166"/>
      <c r="J25" s="166"/>
      <c r="K25" s="166"/>
      <c r="L25" s="166"/>
      <c r="M25" s="166"/>
      <c r="N25" s="166"/>
      <c r="O25" s="166"/>
      <c r="P25" s="166"/>
      <c r="Q25" s="166"/>
      <c r="R25" s="166"/>
      <c r="S25" s="166"/>
      <c r="T25" s="166"/>
      <c r="U25" s="166"/>
      <c r="V25" s="166"/>
      <c r="W25" s="166"/>
      <c r="X25" s="166"/>
      <c r="Y25" s="166"/>
      <c r="Z25" s="166"/>
      <c r="AA25" s="166"/>
      <c r="AB25" s="166"/>
      <c r="AC25" s="166"/>
      <c r="AD25" s="166"/>
      <c r="AE25" s="166"/>
      <c r="AF25" s="166"/>
      <c r="AG25" s="166"/>
      <c r="AH25" s="166"/>
      <c r="AI25" s="166"/>
      <c r="AJ25" s="166"/>
      <c r="AK25" s="166"/>
      <c r="AL25" s="166"/>
      <c r="AM25" s="166"/>
      <c r="AN25" s="166"/>
      <c r="AO25" s="166"/>
      <c r="AP25" s="166"/>
      <c r="AQ25" s="166"/>
      <c r="AR25" s="166"/>
      <c r="AS25" s="166"/>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row>
    <row r="26" spans="1:70" x14ac:dyDescent="0.25">
      <c r="C26" s="2" t="s">
        <v>193</v>
      </c>
    </row>
    <row r="27" spans="1:70" ht="244.5" customHeight="1" x14ac:dyDescent="0.25">
      <c r="A27" s="1"/>
      <c r="C27" s="166" t="s">
        <v>194</v>
      </c>
      <c r="D27" s="166"/>
      <c r="E27" s="166"/>
      <c r="F27" s="166"/>
      <c r="G27" s="166"/>
      <c r="H27" s="166"/>
      <c r="I27" s="166"/>
      <c r="J27" s="166"/>
      <c r="K27" s="166"/>
      <c r="L27" s="166"/>
      <c r="M27" s="166"/>
      <c r="N27" s="166"/>
      <c r="O27" s="16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c r="AQ27" s="166"/>
      <c r="AR27" s="166"/>
      <c r="AS27" s="166"/>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row>
    <row r="28" spans="1:70" x14ac:dyDescent="0.25">
      <c r="B28" s="2" t="s">
        <v>269</v>
      </c>
      <c r="C28" s="43"/>
    </row>
    <row r="29" spans="1:70" ht="75" customHeight="1" x14ac:dyDescent="0.25">
      <c r="A29" s="1"/>
      <c r="B29" s="165" t="s">
        <v>280</v>
      </c>
      <c r="C29" s="165"/>
      <c r="D29" s="165"/>
      <c r="E29" s="165"/>
      <c r="F29" s="165"/>
      <c r="G29" s="165"/>
      <c r="H29" s="165"/>
      <c r="I29" s="165"/>
      <c r="J29" s="165"/>
      <c r="K29" s="165"/>
      <c r="L29" s="165"/>
      <c r="M29" s="165"/>
      <c r="N29" s="165"/>
      <c r="O29" s="165"/>
      <c r="P29" s="165"/>
      <c r="Q29" s="165"/>
      <c r="R29" s="165"/>
      <c r="S29" s="165"/>
      <c r="T29" s="165"/>
      <c r="U29" s="165"/>
      <c r="V29" s="165"/>
      <c r="W29" s="165"/>
      <c r="X29" s="165"/>
      <c r="Y29" s="165"/>
      <c r="Z29" s="165"/>
      <c r="AA29" s="165"/>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c r="BJ29" s="165"/>
      <c r="BK29" s="165"/>
      <c r="BL29" s="165"/>
      <c r="BM29" s="165"/>
      <c r="BN29" s="165"/>
      <c r="BO29" s="165"/>
      <c r="BP29" s="165"/>
      <c r="BQ29" s="165"/>
      <c r="BR29" s="165"/>
    </row>
    <row r="30" spans="1:70" x14ac:dyDescent="0.25">
      <c r="C30" s="2" t="s">
        <v>273</v>
      </c>
    </row>
    <row r="31" spans="1:70" ht="46.5" customHeight="1" x14ac:dyDescent="0.25">
      <c r="A31" s="1"/>
      <c r="C31" s="166" t="s">
        <v>279</v>
      </c>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row>
    <row r="32" spans="1:70" ht="15.75" customHeight="1" x14ac:dyDescent="0.25">
      <c r="C32" s="167" t="s">
        <v>270</v>
      </c>
      <c r="D32" s="167"/>
      <c r="E32" s="167"/>
      <c r="F32" s="167"/>
      <c r="G32" s="167"/>
      <c r="H32" s="167"/>
      <c r="I32" s="167"/>
      <c r="J32" s="167"/>
      <c r="K32" s="167"/>
      <c r="L32" s="167"/>
      <c r="M32" s="167"/>
      <c r="N32" s="167"/>
      <c r="O32" s="167"/>
      <c r="P32" s="167"/>
      <c r="Q32" s="167"/>
      <c r="R32" s="167"/>
      <c r="S32" s="167"/>
      <c r="T32" s="167"/>
      <c r="U32" s="167"/>
      <c r="V32" s="167"/>
      <c r="W32" s="167"/>
      <c r="X32" s="167"/>
      <c r="Y32" s="167"/>
      <c r="Z32" s="167"/>
      <c r="AA32" s="167"/>
      <c r="AB32" s="167"/>
      <c r="AC32" s="167"/>
      <c r="AD32" s="167"/>
      <c r="AE32" s="167"/>
      <c r="AF32" s="167"/>
      <c r="AG32" s="167"/>
      <c r="AH32" s="167"/>
      <c r="AI32" s="167"/>
      <c r="AJ32" s="167"/>
      <c r="AK32" s="167"/>
      <c r="AL32" s="167"/>
      <c r="AM32" s="167"/>
      <c r="AN32" s="167"/>
      <c r="AO32" s="167"/>
      <c r="AP32" s="167"/>
      <c r="AQ32" s="167"/>
      <c r="AR32" s="167"/>
      <c r="AS32" s="167"/>
      <c r="AT32" s="167"/>
      <c r="AU32" s="167"/>
      <c r="AV32" s="167"/>
      <c r="AW32" s="167"/>
      <c r="AX32" s="167"/>
      <c r="AY32" s="167"/>
      <c r="AZ32" s="167"/>
      <c r="BA32" s="167"/>
      <c r="BB32" s="167"/>
      <c r="BC32" s="167"/>
      <c r="BD32" s="167"/>
      <c r="BE32" s="167"/>
      <c r="BF32" s="167"/>
      <c r="BG32" s="167"/>
      <c r="BH32" s="167"/>
      <c r="BI32" s="167"/>
      <c r="BJ32" s="167"/>
      <c r="BK32" s="167"/>
      <c r="BL32" s="167"/>
      <c r="BM32" s="167"/>
      <c r="BN32" s="167"/>
      <c r="BO32" s="167"/>
      <c r="BP32" s="167"/>
      <c r="BQ32" s="167"/>
      <c r="BR32" s="167"/>
    </row>
    <row r="33" spans="1:70" ht="120" customHeight="1" x14ac:dyDescent="0.25">
      <c r="A33" s="43"/>
      <c r="C33" s="165" t="s">
        <v>272</v>
      </c>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165"/>
      <c r="AB33" s="165"/>
      <c r="AC33" s="165"/>
      <c r="AD33" s="165"/>
      <c r="AE33" s="165"/>
      <c r="AF33" s="165"/>
      <c r="AG33" s="165"/>
      <c r="AH33" s="165"/>
      <c r="AI33" s="165"/>
      <c r="AJ33" s="165"/>
      <c r="AK33" s="165"/>
      <c r="AL33" s="165"/>
      <c r="AM33" s="165"/>
      <c r="AN33" s="165"/>
      <c r="AO33" s="165"/>
      <c r="AP33" s="165"/>
      <c r="AQ33" s="165"/>
      <c r="AR33" s="165"/>
      <c r="AS33" s="165"/>
      <c r="AT33" s="165"/>
      <c r="AU33" s="165"/>
      <c r="AV33" s="165"/>
      <c r="AW33" s="165"/>
      <c r="AX33" s="165"/>
      <c r="AY33" s="165"/>
      <c r="AZ33" s="165"/>
      <c r="BA33" s="165"/>
      <c r="BB33" s="165"/>
      <c r="BC33" s="165"/>
      <c r="BD33" s="165"/>
      <c r="BE33" s="165"/>
      <c r="BF33" s="165"/>
      <c r="BG33" s="165"/>
      <c r="BH33" s="165"/>
      <c r="BI33" s="165"/>
      <c r="BJ33" s="165"/>
      <c r="BK33" s="165"/>
      <c r="BL33" s="165"/>
      <c r="BM33" s="165"/>
      <c r="BN33" s="165"/>
      <c r="BO33" s="165"/>
      <c r="BP33" s="165"/>
      <c r="BQ33" s="165"/>
      <c r="BR33" s="165"/>
    </row>
    <row r="34" spans="1:70" ht="15.75" customHeight="1" x14ac:dyDescent="0.25">
      <c r="C34" s="167" t="s">
        <v>271</v>
      </c>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167"/>
      <c r="AB34" s="167"/>
      <c r="AC34" s="167"/>
      <c r="AD34" s="167"/>
      <c r="AE34" s="167"/>
      <c r="AF34" s="167"/>
      <c r="AG34" s="167"/>
      <c r="AH34" s="167"/>
      <c r="AI34" s="167"/>
      <c r="AJ34" s="167"/>
      <c r="AK34" s="167"/>
      <c r="AL34" s="167"/>
      <c r="AM34" s="167"/>
      <c r="AN34" s="167"/>
      <c r="AO34" s="167"/>
      <c r="AP34" s="167"/>
      <c r="AQ34" s="167"/>
      <c r="AR34" s="167"/>
      <c r="AS34" s="167"/>
      <c r="AT34" s="167"/>
      <c r="AU34" s="167"/>
      <c r="AV34" s="167"/>
      <c r="AW34" s="167"/>
      <c r="AX34" s="167"/>
      <c r="AY34" s="167"/>
      <c r="AZ34" s="167"/>
      <c r="BA34" s="167"/>
      <c r="BB34" s="167"/>
      <c r="BC34" s="167"/>
      <c r="BD34" s="167"/>
      <c r="BE34" s="167"/>
      <c r="BF34" s="167"/>
      <c r="BG34" s="167"/>
      <c r="BH34" s="167"/>
      <c r="BI34" s="167"/>
      <c r="BJ34" s="167"/>
      <c r="BK34" s="167"/>
      <c r="BL34" s="167"/>
      <c r="BM34" s="167"/>
      <c r="BN34" s="167"/>
      <c r="BO34" s="167"/>
      <c r="BP34" s="167"/>
      <c r="BQ34" s="167"/>
      <c r="BR34" s="167"/>
    </row>
    <row r="35" spans="1:70" ht="47.25" customHeight="1" x14ac:dyDescent="0.25">
      <c r="C35" s="166" t="s">
        <v>278</v>
      </c>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166"/>
      <c r="AB35" s="166"/>
      <c r="AC35" s="166"/>
      <c r="AD35" s="166"/>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6"/>
      <c r="BG35" s="166"/>
      <c r="BH35" s="166"/>
      <c r="BI35" s="166"/>
      <c r="BJ35" s="166"/>
      <c r="BK35" s="166"/>
      <c r="BL35" s="166"/>
      <c r="BM35" s="166"/>
      <c r="BN35" s="166"/>
      <c r="BO35" s="166"/>
      <c r="BP35" s="166"/>
      <c r="BQ35" s="166"/>
      <c r="BR35" s="166"/>
    </row>
    <row r="36" spans="1:70" x14ac:dyDescent="0.25">
      <c r="B36" s="2" t="s">
        <v>2</v>
      </c>
    </row>
    <row r="37" spans="1:70" x14ac:dyDescent="0.25">
      <c r="B37" s="168" t="s">
        <v>12</v>
      </c>
      <c r="C37" s="168"/>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8"/>
      <c r="AC37" s="168"/>
      <c r="AD37" s="168"/>
      <c r="AE37" s="168"/>
      <c r="AF37" s="168"/>
      <c r="AG37" s="168"/>
      <c r="AH37" s="168"/>
      <c r="AI37" s="168"/>
      <c r="AJ37" s="168"/>
      <c r="AK37" s="168"/>
      <c r="AL37" s="168"/>
      <c r="AM37" s="168"/>
      <c r="AN37" s="168"/>
      <c r="AO37" s="168"/>
      <c r="AP37" s="168"/>
      <c r="AQ37" s="168"/>
      <c r="AR37" s="168"/>
      <c r="AS37" s="168"/>
      <c r="AT37" s="168"/>
      <c r="AU37" s="168"/>
      <c r="AV37" s="168"/>
      <c r="AW37" s="168"/>
      <c r="AX37" s="168"/>
      <c r="AY37" s="168"/>
      <c r="AZ37" s="168"/>
      <c r="BA37" s="168"/>
      <c r="BB37" s="168"/>
      <c r="BC37" s="168"/>
      <c r="BD37" s="168"/>
      <c r="BE37" s="168"/>
      <c r="BF37" s="168"/>
      <c r="BG37" s="168"/>
      <c r="BH37" s="168"/>
      <c r="BI37" s="168"/>
      <c r="BJ37" s="168"/>
      <c r="BK37" s="168"/>
      <c r="BL37" s="168"/>
      <c r="BM37" s="168"/>
      <c r="BN37" s="168"/>
      <c r="BO37" s="168"/>
      <c r="BP37" s="168"/>
      <c r="BQ37" s="168"/>
      <c r="BR37" s="168"/>
    </row>
    <row r="38" spans="1:70" x14ac:dyDescent="0.25">
      <c r="C38" s="2" t="s">
        <v>7</v>
      </c>
    </row>
    <row r="39" spans="1:70" ht="45.75" customHeight="1" x14ac:dyDescent="0.25">
      <c r="C39" s="165" t="s">
        <v>8</v>
      </c>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165"/>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c r="BJ39" s="165"/>
      <c r="BK39" s="165"/>
      <c r="BL39" s="165"/>
      <c r="BM39" s="165"/>
      <c r="BN39" s="165"/>
      <c r="BO39" s="165"/>
      <c r="BP39" s="165"/>
      <c r="BQ39" s="165"/>
      <c r="BR39" s="165"/>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7</vt:i4>
      </vt:variant>
      <vt:variant>
        <vt:lpstr>Benannte Bereiche</vt:lpstr>
      </vt:variant>
      <vt:variant>
        <vt:i4>1</vt:i4>
      </vt:variant>
    </vt:vector>
  </HeadingPairs>
  <TitlesOfParts>
    <vt:vector size="8" baseType="lpstr">
      <vt:lpstr>Anwesend</vt:lpstr>
      <vt:lpstr>Tagebuch</vt:lpstr>
      <vt:lpstr>Todos</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2020-10-25T21:48:59Z</dcterms:modified>
</cp:coreProperties>
</file>