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99A7DAB-0905-4BBF-AEB3-353866405815}"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5" i="3" l="1"/>
  <c r="L15" i="3"/>
  <c r="K15" i="3"/>
  <c r="J15" i="3"/>
  <c r="I15" i="3"/>
  <c r="H15" i="3"/>
  <c r="G15" i="3"/>
  <c r="F15" i="3"/>
  <c r="P45" i="3" l="1"/>
  <c r="L45" i="3"/>
  <c r="K45" i="3"/>
  <c r="J45" i="3"/>
  <c r="I45" i="3"/>
  <c r="H45" i="3"/>
  <c r="G45" i="3"/>
  <c r="F45" i="3"/>
  <c r="P33" i="3" l="1"/>
  <c r="DP35" i="3"/>
  <c r="EA35" i="3"/>
  <c r="P31" i="3" l="1"/>
  <c r="DG35" i="3" l="1"/>
  <c r="DR35" i="3"/>
  <c r="Q86" i="3" l="1"/>
  <c r="Q84" i="3"/>
  <c r="Q83" i="3"/>
  <c r="Q82" i="3"/>
  <c r="Q75" i="3"/>
  <c r="Q70" i="3"/>
  <c r="Q63" i="3"/>
  <c r="Q62" i="3"/>
  <c r="Q61" i="3"/>
  <c r="Q60" i="3"/>
  <c r="Q59" i="3"/>
  <c r="Q26" i="3"/>
  <c r="Q34" i="3"/>
  <c r="Q6" i="3"/>
  <c r="CX35" i="3"/>
  <c r="CQ35" i="3"/>
  <c r="CZ35" i="3"/>
  <c r="DI35" i="3"/>
  <c r="CH35" i="3"/>
  <c r="BY35" i="3"/>
  <c r="L92" i="3"/>
  <c r="L91" i="3"/>
  <c r="L90" i="3"/>
  <c r="P35" i="3"/>
  <c r="R35" i="3"/>
  <c r="P30" i="3" l="1"/>
  <c r="F30" i="3"/>
  <c r="G30" i="3"/>
  <c r="H30" i="3"/>
  <c r="I30" i="3"/>
  <c r="J30" i="3"/>
  <c r="K30" i="3"/>
  <c r="L30" i="3"/>
  <c r="P77" i="3"/>
  <c r="P65" i="3"/>
  <c r="CO77" i="3" l="1"/>
  <c r="CO65" i="3"/>
  <c r="CO35" i="3"/>
  <c r="CF3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F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DZ35" i="3"/>
  <c r="EB35" i="3"/>
  <c r="EC35" i="3"/>
  <c r="ED35" i="3"/>
  <c r="EE35" i="3"/>
  <c r="EF35" i="3"/>
  <c r="EJ35" i="3"/>
  <c r="EK35" i="3"/>
  <c r="EL35" i="3"/>
  <c r="EM35" i="3"/>
  <c r="EN35" i="3"/>
  <c r="EO35" i="3"/>
  <c r="EP35" i="3"/>
  <c r="ES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5" i="3" l="1"/>
  <c r="Q8" i="3"/>
  <c r="Q31" i="3"/>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21" i="3"/>
  <c r="R26" i="3"/>
  <c r="R14" i="3"/>
  <c r="R13" i="3"/>
  <c r="R31" i="3"/>
  <c r="R33" i="3"/>
  <c r="R28" i="3"/>
  <c r="R29" i="3"/>
  <c r="R11" i="3"/>
  <c r="R27" i="3"/>
  <c r="R24" i="3"/>
  <c r="R22" i="3"/>
  <c r="R20" i="3"/>
  <c r="R7" i="3"/>
  <c r="R23" i="3"/>
  <c r="R17" i="3"/>
  <c r="R10" i="3"/>
  <c r="R12" i="3"/>
  <c r="R15" i="3"/>
  <c r="R19" i="3"/>
  <c r="R8" i="3"/>
  <c r="R25" i="3"/>
  <c r="R18" i="3"/>
  <c r="R9" i="3"/>
  <c r="R16" i="3"/>
  <c r="R30" i="3"/>
  <c r="Q28" i="3" l="1"/>
  <c r="MN38" i="3"/>
  <c r="MN39" i="3" s="1"/>
  <c r="MN67" i="3" s="1"/>
  <c r="MN66" i="3"/>
  <c r="MN2" i="3"/>
</calcChain>
</file>

<file path=xl/sharedStrings.xml><?xml version="1.0" encoding="utf-8"?>
<sst xmlns="http://schemas.openxmlformats.org/spreadsheetml/2006/main" count="1246" uniqueCount="482">
  <si>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</si>
  <si>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</si>
  <si>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</si>
  <si>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</si>
  <si>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</si>
  <si>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</si>
  <si>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</si>
  <si>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</si>
  <si>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</si>
  <si>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</si>
  <si>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</si>
  <si>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</si>
  <si>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</si>
  <si>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</si>
  <si>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</si>
  <si>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</si>
  <si>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</si>
  <si>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</si>
  <si>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</si>
  <si>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</si>
  <si>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</si>
  <si>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</si>
  <si>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</si>
  <si>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</si>
  <si>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</si>
  <si>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</si>
  <si>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</si>
  <si>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</si>
  <si>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</si>
  <si>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</si>
  <si>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</si>
  <si>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</si>
  <si>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</si>
  <si>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</si>
  <si>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</si>
  <si>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</si>
  <si>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</si>
  <si>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</si>
  <si>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</si>
  <si>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</si>
  <si>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</si>
  <si>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</si>
  <si>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</si>
  <si>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</si>
  <si>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</si>
  <si>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</si>
  <si>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</si>
  <si>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</si>
  <si>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</si>
  <si>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</si>
  <si>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</si>
  <si>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</si>
  <si>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</si>
  <si>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</si>
  <si>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</si>
  <si>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</si>
  <si>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</si>
  <si>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</si>
  <si>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</si>
  <si>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</si>
  <si>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</si>
  <si>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</si>
  <si>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</si>
  <si>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</si>
  <si>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</si>
  <si>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</si>
  <si>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</si>
  <si>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</si>
  <si>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</si>
  <si>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</si>
  <si>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</si>
  <si>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</si>
  <si>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</si>
  <si>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</si>
  <si>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</si>
  <si>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</si>
  <si>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</si>
  <si>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</si>
  <si>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</si>
  <si>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</si>
  <si>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</si>
  <si>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</si>
  <si>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</si>
  <si>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</si>
  <si>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</si>
  <si>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</si>
  <si>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</si>
  <si>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</si>
  <si>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</si>
  <si>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</si>
  <si>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</si>
  <si>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</si>
  <si>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</si>
  <si>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</si>
  <si>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</si>
  <si>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</si>
  <si>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</si>
  <si>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</si>
  <si>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</si>
  <si>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</si>
  <si>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</si>
  <si>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</si>
  <si>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</si>
  <si>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</si>
  <si>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</si>
  <si>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</si>
  <si>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</si>
  <si>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</si>
  <si>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</si>
  <si>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</si>
  <si>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</si>
  <si>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</si>
  <si>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</si>
  <si>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</si>
  <si>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</si>
  <si>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</si>
  <si>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</si>
  <si>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</si>
  <si>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</si>
  <si>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</si>
  <si>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</si>
  <si>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</si>
  <si>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</si>
  <si>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</si>
  <si>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</si>
  <si>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</si>
  <si>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</si>
  <si>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</si>
  <si>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</si>
  <si>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</si>
  <si>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</si>
  <si>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</si>
  <si>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</si>
  <si>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</si>
  <si>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</si>
  <si>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</si>
  <si>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</si>
  <si>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</si>
  <si>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</si>
  <si>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</si>
  <si>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</si>
  <si>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</si>
  <si>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</si>
  <si>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</si>
  <si>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</si>
  <si>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</si>
  <si>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</si>
  <si>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</si>
  <si>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</si>
  <si>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</si>
  <si>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</si>
  <si>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</si>
  <si>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</si>
  <si>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</si>
  <si>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</si>
  <si>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</si>
  <si>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</si>
  <si>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</si>
  <si>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</si>
  <si>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</si>
  <si>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</si>
  <si>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</si>
  <si>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</si>
  <si>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</si>
  <si>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</si>
  <si>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</si>
  <si>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</si>
  <si>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</si>
  <si>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</si>
  <si>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</si>
  <si>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</si>
  <si>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</si>
  <si>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</si>
  <si>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</si>
  <si>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</si>
  <si>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</si>
  <si>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</si>
  <si>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</si>
  <si>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</si>
  <si>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</si>
  <si>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</si>
  <si>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</si>
  <si>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</si>
  <si>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</si>
  <si>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</si>
  <si>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</si>
  <si>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</si>
  <si>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</si>
  <si>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</si>
  <si>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</si>
  <si>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</si>
  <si>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</si>
  <si>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</si>
  <si>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</si>
  <si>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</si>
  <si>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</si>
  <si>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</si>
  <si>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</si>
  <si>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</si>
  <si>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</si>
  <si>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</si>
  <si>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</si>
  <si>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</si>
  <si>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</si>
  <si>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</si>
  <si>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</si>
  <si>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</si>
  <si>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</si>
  <si>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</si>
  <si>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</si>
  <si>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</si>
  <si>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</si>
  <si>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</si>
  <si>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</si>
  <si>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</si>
  <si>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</si>
  <si>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</si>
  <si>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</si>
  <si>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</si>
  <si>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</si>
  <si>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</si>
  <si>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</si>
  <si>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</si>
  <si>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</si>
  <si>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</si>
  <si>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</si>
  <si>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</si>
  <si>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</si>
  <si>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</si>
  <si>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</si>
  <si>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</si>
  <si>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</si>
  <si>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</si>
  <si>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</si>
  <si>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</si>
  <si>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</si>
  <si>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</si>
  <si>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</si>
  <si>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</si>
  <si>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</si>
  <si>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</si>
  <si>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</si>
  <si>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</si>
  <si>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</si>
  <si>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</si>
  <si>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</si>
  <si>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</si>
  <si>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</si>
  <si>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</si>
  <si>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</si>
  <si>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</si>
  <si>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</si>
  <si>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</si>
  <si>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</si>
  <si>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</si>
  <si>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</si>
  <si>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</si>
  <si>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</si>
  <si>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</si>
  <si>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</si>
  <si>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</si>
  <si>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</si>
  <si>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</si>
  <si>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</si>
  <si>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</si>
  <si>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</si>
  <si>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</si>
  <si>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</si>
  <si>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</si>
  <si>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</si>
  <si>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</si>
  <si>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</si>
  <si>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</si>
  <si>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</si>
  <si>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</si>
  <si>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</si>
  <si>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</si>
  <si>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</si>
  <si>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</si>
  <si>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</si>
  <si>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</si>
  <si>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</si>
  <si>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</si>
  <si>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</si>
  <si>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</si>
  <si>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</si>
  <si>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</si>
  <si>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</si>
  <si>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</si>
  <si>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</si>
  <si>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</si>
  <si>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</si>
  <si>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</si>
  <si>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</si>
  <si>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</si>
  <si>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</si>
  <si>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</si>
  <si>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</si>
  <si>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</si>
  <si>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</si>
  <si>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</si>
  <si>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</si>
  <si>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</si>
  <si>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</si>
  <si>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</si>
  <si>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</si>
  <si>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</si>
  <si>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</si>
  <si>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</si>
  <si>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</si>
  <si>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</si>
  <si>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</si>
  <si>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</si>
  <si>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</si>
  <si>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</si>
  <si>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</si>
  <si>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</si>
  <si>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</si>
  <si>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</si>
  <si>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</si>
  <si>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</si>
  <si>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</si>
  <si>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</si>
  <si>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</si>
  <si>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</si>
  <si>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</si>
  <si>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</si>
  <si>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</si>
  <si>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</si>
  <si>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</si>
  <si>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</si>
  <si>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</si>
  <si>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</si>
  <si>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</si>
  <si>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</si>
  <si>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</si>
  <si>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</si>
  <si>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</si>
  <si>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</si>
  <si>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</si>
  <si>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</si>
  <si>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</si>
  <si>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</si>
  <si>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</si>
  <si>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</si>
  <si>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</si>
  <si>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</si>
  <si>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</si>
  <si>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</si>
  <si>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</si>
  <si>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</si>
  <si>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</si>
  <si>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</si>
  <si>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</si>
  <si>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</si>
  <si>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</si>
  <si>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</si>
  <si>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</si>
  <si>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</si>
  <si>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</si>
  <si>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</si>
  <si>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</si>
  <si>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</si>
  <si>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</si>
  <si>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</si>
  <si>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</si>
  <si>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</si>
  <si>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</si>
  <si>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</si>
  <si>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</si>
  <si>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</si>
  <si>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</si>
  <si>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</si>
  <si>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</si>
  <si>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</si>
  <si>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</si>
  <si>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</si>
  <si>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</si>
  <si>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</si>
  <si>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</si>
  <si>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</si>
  <si>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</si>
  <si>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</si>
  <si>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</si>
  <si>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</si>
  <si>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</si>
  <si>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</si>
  <si>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</si>
  <si>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</si>
  <si>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</si>
  <si>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</si>
  <si>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</si>
  <si>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</si>
  <si>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</si>
  <si>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</si>
  <si>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</si>
  <si>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</si>
  <si>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</si>
  <si>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</si>
  <si>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</si>
  <si>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</si>
  <si>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</si>
  <si>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</si>
  <si>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</si>
  <si>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</si>
  <si>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</si>
  <si>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</si>
  <si>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</si>
  <si>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</si>
  <si>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</si>
  <si>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</si>
  <si>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</si>
  <si>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</si>
  <si>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</si>
  <si>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</si>
  <si>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</si>
  <si>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</si>
  <si>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</si>
  <si>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</si>
  <si>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</si>
  <si>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</si>
  <si>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</si>
  <si>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</si>
  <si>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</si>
  <si>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</si>
  <si>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</si>
  <si>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</si>
  <si>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</si>
  <si>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</si>
  <si>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</si>
  <si>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</si>
  <si>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</si>
  <si>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</si>
  <si>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</si>
  <si>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</si>
  <si>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</si>
  <si>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</si>
  <si>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</si>
  <si>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</si>
  <si>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</si>
  <si>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</si>
  <si>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</si>
  <si>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</si>
  <si>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</si>
  <si>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</si>
  <si>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</si>
  <si>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</si>
  <si>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</si>
  <si>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</si>
  <si>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</si>
  <si>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</si>
  <si>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</si>
  <si>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</si>
  <si>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</si>
  <si>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</si>
  <si>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</si>
  <si>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</si>
  <si>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</si>
  <si>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</si>
  <si>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</si>
  <si>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</si>
  <si>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</si>
  <si>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</si>
  <si>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</si>
  <si>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</si>
  <si>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</si>
  <si>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</si>
  <si>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</si>
  <si>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</si>
  <si>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</si>
  <si>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</si>
  <si>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</si>
  <si>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</si>
  <si>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</si>
  <si>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</si>
  <si>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</si>
  <si>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</si>
  <si>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</si>
  <si>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</si>
  <si>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Sp</t>
  </si>
  <si>
    <t>12</t>
  </si>
  <si>
    <t>Winners Score (4:4:4:5)
4x Service - Annahme - Fangen im Wechsel, 3x je 5 gelungene Annahmen
Einschlagen
Winners Score (6:6:5)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</si>
</sst>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0" fillId="0" borderId="0" xfId="0" quotePrefix="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zoomScaleNormal="100" workbookViewId="0">
      <pane xSplit="18" ySplit="3" topLeftCell="DT4" activePane="bottomRight" state="frozen"/>
      <selection pane="topRight" activeCell="F1" sqref="F1"/>
      <selection pane="bottomLeft" activeCell="A3" sqref="A3"/>
      <selection pane="bottomRight" activeCell="EQ27" sqref="EQ2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472</v>
      </c>
      <c r="EJ1" s="49" t="s">
        <v>473</v>
      </c>
      <c r="EK1" s="47">
        <f>EH1 + 1</f>
        <v>44081</v>
      </c>
      <c r="EL1" s="47">
        <f t="shared" si="1"/>
        <v>44082</v>
      </c>
      <c r="EM1" s="47">
        <f t="shared" si="1"/>
        <v>44083</v>
      </c>
      <c r="EN1" s="47">
        <f t="shared" si="1"/>
        <v>44084</v>
      </c>
      <c r="EO1" s="47">
        <f t="shared" si="1"/>
        <v>44085</v>
      </c>
      <c r="EP1" s="47">
        <f t="shared" si="1"/>
        <v>44086</v>
      </c>
      <c r="EQ1" s="47">
        <f t="shared" si="1"/>
        <v>44087</v>
      </c>
      <c r="ER1" s="47" t="s">
        <v>475</v>
      </c>
      <c r="ES1" s="49" t="s">
        <v>476</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47" t="s">
        <v>144</v>
      </c>
      <c r="B2" s="147"/>
      <c r="C2" s="147"/>
      <c r="D2" s="147"/>
      <c r="E2" s="147"/>
      <c r="F2" s="39"/>
      <c r="G2" s="39"/>
      <c r="H2" s="39"/>
      <c r="I2" s="39"/>
      <c r="J2" s="39"/>
      <c r="K2" s="39"/>
      <c r="L2" s="39"/>
      <c r="M2" s="39"/>
      <c r="N2" s="39"/>
      <c r="O2" s="27"/>
      <c r="P2" s="148" t="s">
        <v>49</v>
      </c>
      <c r="Q2" s="143" t="s">
        <v>48</v>
      </c>
      <c r="R2" s="145"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474</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477</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47"/>
      <c r="B3" s="147"/>
      <c r="C3" s="147"/>
      <c r="D3" s="147"/>
      <c r="E3" s="147"/>
      <c r="F3" s="39"/>
      <c r="G3" s="39"/>
      <c r="H3" s="39"/>
      <c r="I3" s="39"/>
      <c r="J3" s="39"/>
      <c r="K3" s="39"/>
      <c r="L3" s="39"/>
      <c r="M3" s="39"/>
      <c r="N3" s="39"/>
      <c r="O3" s="27"/>
      <c r="P3" s="149"/>
      <c r="Q3" s="144"/>
      <c r="R3" s="14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38</v>
      </c>
      <c r="EF3" s="38" t="s">
        <v>38</v>
      </c>
      <c r="EG3" s="38"/>
      <c r="EH3" s="38"/>
      <c r="EI3" s="38"/>
      <c r="EJ3" s="24"/>
      <c r="EK3" s="38" t="s">
        <v>38</v>
      </c>
      <c r="EL3" s="38" t="s">
        <v>38</v>
      </c>
      <c r="EM3" s="38"/>
      <c r="EN3" s="38" t="s">
        <v>479</v>
      </c>
      <c r="EO3" s="38" t="s">
        <v>38</v>
      </c>
      <c r="EP3" s="38"/>
      <c r="EQ3" s="38" t="s">
        <v>478</v>
      </c>
      <c r="ER3" s="38"/>
      <c r="ES3" s="24"/>
      <c r="ET3" s="38" t="s">
        <v>38</v>
      </c>
      <c r="EU3" s="38" t="s">
        <v>38</v>
      </c>
      <c r="EV3" s="38"/>
      <c r="EW3" s="38" t="s">
        <v>38</v>
      </c>
      <c r="EX3" s="38" t="s">
        <v>38</v>
      </c>
      <c r="EY3" s="38"/>
      <c r="EZ3" s="24"/>
      <c r="FA3" s="38" t="s">
        <v>38</v>
      </c>
      <c r="FB3" s="38" t="s">
        <v>38</v>
      </c>
      <c r="FC3" s="38"/>
      <c r="FD3" s="38" t="s">
        <v>38</v>
      </c>
      <c r="FE3" s="38" t="s">
        <v>38</v>
      </c>
      <c r="FF3" s="38" t="s">
        <v>46</v>
      </c>
      <c r="FG3" s="24"/>
      <c r="FH3" s="38"/>
      <c r="FI3" s="38" t="s">
        <v>38</v>
      </c>
      <c r="FJ3" s="38"/>
      <c r="FK3" s="38" t="s">
        <v>38</v>
      </c>
      <c r="FL3" s="38" t="s">
        <v>38</v>
      </c>
      <c r="FM3" s="38"/>
      <c r="FN3" s="24"/>
      <c r="FO3" s="38"/>
      <c r="FP3" s="38" t="s">
        <v>38</v>
      </c>
      <c r="FQ3" s="38"/>
      <c r="FR3" s="38" t="s">
        <v>38</v>
      </c>
      <c r="FS3" s="38" t="s">
        <v>38</v>
      </c>
      <c r="FT3" s="38"/>
      <c r="FU3" s="24"/>
      <c r="FV3" s="38"/>
      <c r="FW3" s="38" t="s">
        <v>38</v>
      </c>
      <c r="FX3" s="38"/>
      <c r="FY3" s="38" t="s">
        <v>38</v>
      </c>
      <c r="FZ3" s="38" t="s">
        <v>38</v>
      </c>
      <c r="GA3" s="38"/>
      <c r="GB3" s="24"/>
      <c r="GC3" s="38"/>
      <c r="GD3" s="38" t="s">
        <v>38</v>
      </c>
      <c r="GE3" s="38"/>
      <c r="GF3" s="38" t="s">
        <v>38</v>
      </c>
      <c r="GG3" s="38" t="s">
        <v>38</v>
      </c>
      <c r="GH3" s="38"/>
      <c r="GI3" s="24"/>
      <c r="GJ3" s="38"/>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39</v>
      </c>
      <c r="Q7" s="109">
        <f t="shared" ref="Q7:Q27" si="317">IF(SUM(S7:XFD7) &gt; 0, SUM(S7:XFD7) / $P$36 * 100, "")</f>
        <v>84.782608695652172</v>
      </c>
      <c r="R7" s="133" t="str">
        <f t="shared" ref="R7:R31" si="318">KStateSum(S7:MN7,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J7" s="7"/>
      <c r="EN7" s="138" t="s">
        <v>399</v>
      </c>
      <c r="ES7" s="7"/>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5"/>
        <v>13</v>
      </c>
      <c r="Q8" s="109">
        <f t="shared" si="317"/>
        <v>28.260869565217391</v>
      </c>
      <c r="R8" s="133" t="str">
        <f t="shared" si="318"/>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J8" s="7"/>
      <c r="EN8" s="138" t="s">
        <v>399</v>
      </c>
      <c r="ES8" s="7"/>
      <c r="EU8" t="s">
        <v>464</v>
      </c>
      <c r="EZ8" s="7"/>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5"/>
        <v>41</v>
      </c>
      <c r="Q9" s="109">
        <f t="shared" si="317"/>
        <v>89.130434782608688</v>
      </c>
      <c r="R9" s="133" t="str">
        <f t="shared" si="318"/>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J9" s="7"/>
      <c r="EN9" s="138" t="s">
        <v>399</v>
      </c>
      <c r="ES9" s="7"/>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5"/>
        <v>33</v>
      </c>
      <c r="Q10" s="109">
        <f t="shared" si="317"/>
        <v>71.739130434782609</v>
      </c>
      <c r="R10" s="133" t="str">
        <f t="shared" si="318"/>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J10" s="7"/>
      <c r="EN10" s="138" t="s">
        <v>399</v>
      </c>
      <c r="ES10" s="7"/>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5"/>
        <v>36</v>
      </c>
      <c r="Q11" s="109">
        <f t="shared" si="317"/>
        <v>78.260869565217391</v>
      </c>
      <c r="R11" s="133" t="str">
        <f t="shared" si="318"/>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C11">
        <v>1</v>
      </c>
      <c r="EE11">
        <v>1</v>
      </c>
      <c r="EJ11" s="7"/>
      <c r="EN11" t="s">
        <v>367</v>
      </c>
      <c r="ES11" s="7"/>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5"/>
        <v>36</v>
      </c>
      <c r="Q12" s="109">
        <f t="shared" si="317"/>
        <v>78.260869565217391</v>
      </c>
      <c r="R12" s="133" t="str">
        <f t="shared" si="318"/>
        <v>-11</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C12">
        <v>1</v>
      </c>
      <c r="EE12">
        <v>1</v>
      </c>
      <c r="EJ12" s="7"/>
      <c r="EN12" s="138" t="s">
        <v>399</v>
      </c>
      <c r="ES12" s="7"/>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5"/>
        <v>1</v>
      </c>
      <c r="Q13" s="109">
        <f t="shared" si="317"/>
        <v>2.1739130434782608</v>
      </c>
      <c r="R13" s="133" t="str">
        <f t="shared" si="318"/>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J13" s="7"/>
      <c r="ES13" s="7"/>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c r="P14" s="8">
        <f t="shared" si="315"/>
        <v>1</v>
      </c>
      <c r="Q14" s="109">
        <f t="shared" si="317"/>
        <v>2.1739130434782608</v>
      </c>
      <c r="R14" s="133" t="str">
        <f t="shared" si="318"/>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J14" s="7"/>
      <c r="ES14" s="7"/>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x14ac:dyDescent="0.25">
      <c r="A15" s="8" t="s">
        <v>461</v>
      </c>
      <c r="B15" s="8" t="s">
        <v>231</v>
      </c>
      <c r="C15" s="8" t="s">
        <v>233</v>
      </c>
      <c r="D15" s="8" t="s">
        <v>232</v>
      </c>
      <c r="E15" s="18">
        <v>38679</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c r="P15" s="8">
        <f t="shared" si="315"/>
        <v>9</v>
      </c>
      <c r="Q15" s="109">
        <f t="shared" si="317"/>
        <v>19.565217391304348</v>
      </c>
      <c r="R15" s="133" t="str">
        <f t="shared" si="318"/>
        <v>?</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C15">
        <v>1</v>
      </c>
      <c r="EE15">
        <v>1</v>
      </c>
      <c r="EJ15" s="7"/>
      <c r="EN15" t="s">
        <v>367</v>
      </c>
      <c r="ES15" s="7"/>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125</v>
      </c>
      <c r="B16" s="8" t="s">
        <v>124</v>
      </c>
      <c r="C16" s="8" t="s">
        <v>158</v>
      </c>
      <c r="D16" s="8" t="s">
        <v>123</v>
      </c>
      <c r="E16" s="18">
        <v>38491</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5"/>
        <v>34</v>
      </c>
      <c r="Q16" s="109">
        <f t="shared" si="317"/>
        <v>73.91304347826086</v>
      </c>
      <c r="R16" s="133" t="str">
        <f t="shared" si="318"/>
        <v>-14</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C16">
        <v>1</v>
      </c>
      <c r="EE16">
        <v>1</v>
      </c>
      <c r="EJ16" s="7"/>
      <c r="EN16" s="138" t="s">
        <v>399</v>
      </c>
      <c r="ES16" s="7"/>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80</v>
      </c>
      <c r="B17" s="8"/>
      <c r="C17" s="8" t="s">
        <v>160</v>
      </c>
      <c r="D17" s="8" t="s">
        <v>122</v>
      </c>
      <c r="E17" s="18">
        <v>38655</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5"/>
        <v>36</v>
      </c>
      <c r="Q17" s="109">
        <f t="shared" si="317"/>
        <v>78.260869565217391</v>
      </c>
      <c r="R17" s="133" t="str">
        <f t="shared" si="318"/>
        <v>-7</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C17">
        <v>1</v>
      </c>
      <c r="EE17">
        <v>1</v>
      </c>
      <c r="EJ17" s="7"/>
      <c r="EN17" s="138" t="s">
        <v>399</v>
      </c>
      <c r="ES17" s="7"/>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155</v>
      </c>
      <c r="B18" s="8"/>
      <c r="C18" s="8" t="s">
        <v>156</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5"/>
        <v>35</v>
      </c>
      <c r="Q18" s="109">
        <f t="shared" si="317"/>
        <v>76.08695652173914</v>
      </c>
      <c r="R18" s="133" t="str">
        <f t="shared" si="318"/>
        <v>-2</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E18">
        <v>1</v>
      </c>
      <c r="EJ18" s="7"/>
      <c r="EN18" s="138" t="s">
        <v>399</v>
      </c>
      <c r="ES18" s="7"/>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80</v>
      </c>
      <c r="B19" s="8"/>
      <c r="C19" s="8" t="s">
        <v>143</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5"/>
        <v>33</v>
      </c>
      <c r="Q19" s="109">
        <f t="shared" si="317"/>
        <v>71.739130434782609</v>
      </c>
      <c r="R19" s="133" t="str">
        <f t="shared" si="318"/>
        <v>-19</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E19">
        <v>1</v>
      </c>
      <c r="EJ19" s="7"/>
      <c r="EN19" s="138" t="s">
        <v>399</v>
      </c>
      <c r="ES19" s="7"/>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142</v>
      </c>
      <c r="B20" s="8" t="s">
        <v>141</v>
      </c>
      <c r="C20" s="8" t="s">
        <v>140</v>
      </c>
      <c r="D20" s="8" t="s">
        <v>139</v>
      </c>
      <c r="E20" s="18">
        <v>38954</v>
      </c>
      <c r="F20" s="10">
        <f t="shared" si="319"/>
        <v>1</v>
      </c>
      <c r="G20" s="19">
        <f t="shared" si="319"/>
        <v>1</v>
      </c>
      <c r="H20" s="19">
        <f t="shared" si="319"/>
        <v>1</v>
      </c>
      <c r="I20" s="19" t="str">
        <f t="shared" si="319"/>
        <v/>
      </c>
      <c r="J20" s="19" t="str">
        <f t="shared" si="319"/>
        <v/>
      </c>
      <c r="K20" s="19" t="str">
        <f t="shared" si="319"/>
        <v/>
      </c>
      <c r="L20" s="19" t="str">
        <f t="shared" si="319"/>
        <v/>
      </c>
      <c r="M20" s="8">
        <v>1</v>
      </c>
      <c r="N20" s="8">
        <v>1</v>
      </c>
      <c r="O20" s="9"/>
      <c r="P20" s="8">
        <f t="shared" si="315"/>
        <v>34</v>
      </c>
      <c r="Q20" s="109">
        <f t="shared" si="317"/>
        <v>73.91304347826086</v>
      </c>
      <c r="R20" s="133" t="str">
        <f t="shared" si="318"/>
        <v>-9</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E20">
        <v>1</v>
      </c>
      <c r="EJ20" s="7"/>
      <c r="EN20" t="s">
        <v>407</v>
      </c>
      <c r="ES20" s="7"/>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hidden="1" x14ac:dyDescent="0.25">
      <c r="A21" s="8" t="s">
        <v>162</v>
      </c>
      <c r="B21" s="8" t="s">
        <v>185</v>
      </c>
      <c r="C21" s="8" t="s">
        <v>187</v>
      </c>
      <c r="D21" s="8" t="s">
        <v>186</v>
      </c>
      <c r="E21" s="18"/>
      <c r="F21" s="10" t="str">
        <f t="shared" si="319"/>
        <v/>
      </c>
      <c r="G21" s="19" t="str">
        <f t="shared" si="319"/>
        <v/>
      </c>
      <c r="H21" s="19" t="str">
        <f t="shared" si="319"/>
        <v/>
      </c>
      <c r="I21" s="19" t="str">
        <f t="shared" si="319"/>
        <v/>
      </c>
      <c r="J21" s="19" t="str">
        <f t="shared" si="319"/>
        <v/>
      </c>
      <c r="K21" s="19" t="str">
        <f t="shared" si="319"/>
        <v/>
      </c>
      <c r="L21" s="19" t="str">
        <f t="shared" si="319"/>
        <v/>
      </c>
      <c r="M21" s="8"/>
      <c r="N21" s="8">
        <v>1</v>
      </c>
      <c r="O21" s="9"/>
      <c r="P21" s="8">
        <f t="shared" si="315"/>
        <v>1</v>
      </c>
      <c r="Q21" s="109">
        <f t="shared" si="317"/>
        <v>2.1739130434782608</v>
      </c>
      <c r="R21" s="133" t="str">
        <f t="shared" si="318"/>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J21" s="7"/>
      <c r="ES21" s="7"/>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x14ac:dyDescent="0.25">
      <c r="A22" s="8" t="s">
        <v>138</v>
      </c>
      <c r="B22" s="8" t="s">
        <v>137</v>
      </c>
      <c r="C22" s="8" t="s">
        <v>136</v>
      </c>
      <c r="D22" s="8" t="s">
        <v>135</v>
      </c>
      <c r="E22" s="18">
        <v>39155</v>
      </c>
      <c r="F22" s="10">
        <f t="shared" si="319"/>
        <v>1</v>
      </c>
      <c r="G22" s="19">
        <f t="shared" si="319"/>
        <v>1</v>
      </c>
      <c r="H22" s="19">
        <f t="shared" si="319"/>
        <v>1</v>
      </c>
      <c r="I22" s="19">
        <f t="shared" si="319"/>
        <v>1</v>
      </c>
      <c r="J22" s="19" t="str">
        <f t="shared" si="319"/>
        <v/>
      </c>
      <c r="K22" s="19" t="str">
        <f t="shared" si="319"/>
        <v/>
      </c>
      <c r="L22" s="19" t="str">
        <f t="shared" si="319"/>
        <v/>
      </c>
      <c r="M22" s="8">
        <v>1</v>
      </c>
      <c r="N22" s="8">
        <v>1</v>
      </c>
      <c r="O22" s="9"/>
      <c r="P22" s="8">
        <f t="shared" si="315"/>
        <v>29</v>
      </c>
      <c r="Q22" s="109">
        <f t="shared" si="317"/>
        <v>63.04347826086957</v>
      </c>
      <c r="R22" s="133" t="str">
        <f t="shared" si="318"/>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C22">
        <v>1</v>
      </c>
      <c r="EE22">
        <v>1</v>
      </c>
      <c r="EJ22" s="7"/>
      <c r="EN22" t="s">
        <v>407</v>
      </c>
      <c r="ES22" s="7"/>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134</v>
      </c>
      <c r="B23" s="8" t="s">
        <v>133</v>
      </c>
      <c r="C23" s="8" t="s">
        <v>170</v>
      </c>
      <c r="D23" s="8" t="s">
        <v>171</v>
      </c>
      <c r="E23" s="18">
        <v>37177</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5"/>
        <v>31</v>
      </c>
      <c r="Q23" s="109">
        <f t="shared" si="317"/>
        <v>67.391304347826093</v>
      </c>
      <c r="R23" s="133" t="str">
        <f t="shared" si="318"/>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C23">
        <v>1</v>
      </c>
      <c r="EE23">
        <v>1</v>
      </c>
      <c r="EJ23" s="7"/>
      <c r="EN23" s="138" t="s">
        <v>399</v>
      </c>
      <c r="ES23" s="7"/>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125</v>
      </c>
      <c r="B24" s="8" t="s">
        <v>167</v>
      </c>
      <c r="C24" s="8" t="s">
        <v>168</v>
      </c>
      <c r="D24" s="8" t="s">
        <v>169</v>
      </c>
      <c r="E24" s="18">
        <v>36870</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5"/>
        <v>37</v>
      </c>
      <c r="Q24" s="109">
        <f t="shared" si="317"/>
        <v>80.434782608695656</v>
      </c>
      <c r="R24" s="133" t="str">
        <f t="shared" si="318"/>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C24">
        <v>1</v>
      </c>
      <c r="EE24">
        <v>1</v>
      </c>
      <c r="EJ24" s="7"/>
      <c r="EN24" s="138" t="s">
        <v>399</v>
      </c>
      <c r="ES24" s="7"/>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182</v>
      </c>
      <c r="B25" s="8" t="s">
        <v>183</v>
      </c>
      <c r="C25" s="8" t="s">
        <v>184</v>
      </c>
      <c r="D25" s="8" t="s">
        <v>81</v>
      </c>
      <c r="E25" s="18">
        <v>38054</v>
      </c>
      <c r="F25" s="10">
        <f t="shared" si="319"/>
        <v>1</v>
      </c>
      <c r="G25" s="19">
        <f t="shared" si="319"/>
        <v>1</v>
      </c>
      <c r="H25" s="19" t="str">
        <f t="shared" si="319"/>
        <v/>
      </c>
      <c r="I25" s="19" t="str">
        <f t="shared" si="319"/>
        <v/>
      </c>
      <c r="J25" s="19" t="str">
        <f t="shared" si="319"/>
        <v/>
      </c>
      <c r="K25" s="19" t="str">
        <f t="shared" si="319"/>
        <v/>
      </c>
      <c r="L25" s="19" t="str">
        <f t="shared" si="319"/>
        <v/>
      </c>
      <c r="M25" s="8"/>
      <c r="N25" s="8">
        <v>1</v>
      </c>
      <c r="O25" s="9">
        <v>1</v>
      </c>
      <c r="P25" s="8">
        <f t="shared" si="315"/>
        <v>44</v>
      </c>
      <c r="Q25" s="109">
        <f t="shared" si="317"/>
        <v>95.652173913043484</v>
      </c>
      <c r="R25" s="133" t="str">
        <f t="shared" si="318"/>
        <v>-11</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C25">
        <v>1</v>
      </c>
      <c r="EE25">
        <v>1</v>
      </c>
      <c r="EJ25" s="7"/>
      <c r="EN25" s="138" t="s">
        <v>399</v>
      </c>
      <c r="ES25" s="7"/>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hidden="1" x14ac:dyDescent="0.25">
      <c r="A26" s="8" t="s">
        <v>129</v>
      </c>
      <c r="B26" s="8"/>
      <c r="C26" s="8" t="s">
        <v>165</v>
      </c>
      <c r="D26" s="8" t="s">
        <v>166</v>
      </c>
      <c r="E26" s="18">
        <v>36892</v>
      </c>
      <c r="F26" s="10" t="str">
        <f t="shared" si="319"/>
        <v/>
      </c>
      <c r="G26" s="19" t="str">
        <f t="shared" si="319"/>
        <v/>
      </c>
      <c r="H26" s="19" t="str">
        <f t="shared" si="319"/>
        <v/>
      </c>
      <c r="I26" s="19" t="str">
        <f t="shared" si="319"/>
        <v/>
      </c>
      <c r="J26" s="19" t="str">
        <f t="shared" si="319"/>
        <v/>
      </c>
      <c r="K26" s="19" t="str">
        <f t="shared" si="319"/>
        <v/>
      </c>
      <c r="L26" s="19" t="str">
        <f t="shared" si="319"/>
        <v/>
      </c>
      <c r="M26" s="8"/>
      <c r="N26" s="8"/>
      <c r="O26" s="9">
        <v>1</v>
      </c>
      <c r="P26" s="8" t="str">
        <f t="shared" si="315"/>
        <v/>
      </c>
      <c r="Q26" s="109" t="str">
        <f t="shared" si="317"/>
        <v/>
      </c>
      <c r="R26" s="133" t="str">
        <f t="shared" si="318"/>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J26" s="7"/>
      <c r="ES26" s="7"/>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x14ac:dyDescent="0.25">
      <c r="A27" s="88" t="s">
        <v>132</v>
      </c>
      <c r="B27" s="88"/>
      <c r="C27" s="88" t="s">
        <v>131</v>
      </c>
      <c r="D27" s="88" t="s">
        <v>130</v>
      </c>
      <c r="E27" s="89">
        <v>39280</v>
      </c>
      <c r="F27" s="90">
        <f t="shared" si="319"/>
        <v>1</v>
      </c>
      <c r="G27" s="88">
        <f t="shared" si="319"/>
        <v>1</v>
      </c>
      <c r="H27" s="88">
        <f t="shared" si="319"/>
        <v>1</v>
      </c>
      <c r="I27" s="88">
        <f t="shared" si="319"/>
        <v>1</v>
      </c>
      <c r="J27" s="88" t="str">
        <f t="shared" si="319"/>
        <v/>
      </c>
      <c r="K27" s="88" t="str">
        <f t="shared" si="319"/>
        <v/>
      </c>
      <c r="L27" s="88" t="str">
        <f t="shared" si="319"/>
        <v/>
      </c>
      <c r="M27" s="88">
        <v>1</v>
      </c>
      <c r="N27" s="88">
        <v>1</v>
      </c>
      <c r="O27" s="91"/>
      <c r="P27" s="88">
        <f t="shared" si="315"/>
        <v>23</v>
      </c>
      <c r="Q27" s="110">
        <f t="shared" si="317"/>
        <v>50</v>
      </c>
      <c r="R27" s="134" t="str">
        <f t="shared" si="318"/>
        <v>-36</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v>1</v>
      </c>
      <c r="ED27" s="93"/>
      <c r="EE27" s="93">
        <v>1</v>
      </c>
      <c r="EF27" s="93"/>
      <c r="EG27" s="93"/>
      <c r="EH27" s="93"/>
      <c r="EI27" s="93"/>
      <c r="EJ27" s="92"/>
      <c r="EK27" s="93"/>
      <c r="EL27" s="93"/>
      <c r="EM27" s="93"/>
      <c r="EN27" s="93" t="s">
        <v>407</v>
      </c>
      <c r="EO27" s="93"/>
      <c r="EP27" s="93"/>
      <c r="EQ27" s="93"/>
      <c r="ER27" s="93"/>
      <c r="ES27" s="92"/>
      <c r="ET27" s="93"/>
      <c r="EU27" s="93"/>
      <c r="EV27" s="93"/>
      <c r="EW27" s="93"/>
      <c r="EX27" s="93"/>
      <c r="EY27" s="93"/>
      <c r="EZ27" s="92"/>
      <c r="FA27" s="93"/>
      <c r="FB27" s="93"/>
      <c r="FC27" s="93"/>
      <c r="FD27" s="93"/>
      <c r="FE27" s="93"/>
      <c r="FF27" s="93"/>
      <c r="FG27" s="92"/>
      <c r="FH27" s="93"/>
      <c r="FI27" s="93"/>
      <c r="FJ27" s="93"/>
      <c r="FK27" s="93"/>
      <c r="FL27" s="93"/>
      <c r="FM27" s="93"/>
      <c r="FN27" s="92"/>
      <c r="FO27" s="93"/>
      <c r="FP27" s="93"/>
      <c r="FQ27" s="93"/>
      <c r="FR27" s="93"/>
      <c r="FS27" s="93"/>
      <c r="FT27" s="93"/>
      <c r="FU27" s="92"/>
      <c r="FV27" s="93"/>
      <c r="FW27" s="93"/>
      <c r="FX27" s="93"/>
      <c r="FY27" s="93"/>
      <c r="FZ27" s="93"/>
      <c r="GA27" s="93"/>
      <c r="GB27" s="92"/>
      <c r="GC27" s="93"/>
      <c r="GD27" s="93"/>
      <c r="GE27" s="93"/>
      <c r="GF27" s="93"/>
      <c r="GG27" s="93"/>
      <c r="GH27" s="93"/>
      <c r="GI27" s="92"/>
      <c r="GJ27" s="93"/>
      <c r="GK27" s="93"/>
      <c r="GL27" s="93"/>
      <c r="GM27" s="93"/>
      <c r="GN27" s="93"/>
      <c r="GO27" s="93"/>
      <c r="GP27" s="92"/>
      <c r="GQ27" s="93"/>
      <c r="GR27" s="93"/>
      <c r="GS27" s="93"/>
      <c r="GT27" s="93"/>
      <c r="GU27" s="93"/>
      <c r="GV27" s="93"/>
      <c r="GW27" s="92"/>
      <c r="GX27" s="93"/>
      <c r="GY27" s="93"/>
      <c r="GZ27" s="93"/>
      <c r="HA27" s="93"/>
      <c r="HB27" s="93"/>
      <c r="HC27" s="93"/>
      <c r="HD27" s="92"/>
      <c r="HE27" s="93"/>
      <c r="HF27" s="93"/>
      <c r="HG27" s="93"/>
      <c r="HH27" s="93"/>
      <c r="HI27" s="93"/>
      <c r="HJ27" s="93"/>
      <c r="HK27" s="92"/>
      <c r="HL27" s="93"/>
      <c r="HM27" s="93"/>
      <c r="HN27" s="93"/>
      <c r="HO27" s="93"/>
      <c r="HP27" s="93"/>
      <c r="HQ27" s="93"/>
      <c r="HR27" s="92"/>
      <c r="HS27" s="93"/>
      <c r="HT27" s="93"/>
      <c r="HU27" s="93"/>
      <c r="HV27" s="93"/>
      <c r="HW27" s="93"/>
      <c r="HX27" s="93"/>
      <c r="HY27" s="92"/>
      <c r="HZ27" s="93"/>
      <c r="IA27" s="93"/>
      <c r="IB27" s="93"/>
      <c r="IC27" s="93"/>
      <c r="ID27" s="93"/>
      <c r="IE27" s="93"/>
      <c r="IF27" s="92"/>
      <c r="IG27" s="93"/>
      <c r="IH27" s="93"/>
      <c r="II27" s="93"/>
      <c r="IJ27" s="93"/>
      <c r="IK27" s="93"/>
      <c r="IL27" s="93"/>
      <c r="IM27" s="92"/>
      <c r="IN27" s="93"/>
      <c r="IO27" s="93"/>
      <c r="IP27" s="93"/>
      <c r="IQ27" s="93"/>
      <c r="IR27" s="93"/>
      <c r="IS27" s="93"/>
      <c r="IT27" s="92"/>
      <c r="IU27" s="93"/>
      <c r="IV27" s="93"/>
      <c r="IW27" s="93"/>
      <c r="IX27" s="93"/>
      <c r="IY27" s="93"/>
      <c r="IZ27" s="93"/>
      <c r="JA27" s="92"/>
      <c r="JB27" s="93"/>
      <c r="JC27" s="93"/>
      <c r="JD27" s="93"/>
      <c r="JE27" s="93"/>
      <c r="JF27" s="93"/>
      <c r="JG27" s="93"/>
      <c r="JH27" s="92"/>
      <c r="JI27" s="93"/>
      <c r="JJ27" s="93"/>
      <c r="JK27" s="93"/>
      <c r="JL27" s="93"/>
      <c r="JM27" s="93"/>
      <c r="JN27" s="93"/>
      <c r="JO27" s="92"/>
      <c r="JP27" s="93"/>
      <c r="JQ27" s="93"/>
      <c r="JR27" s="93"/>
      <c r="JS27" s="93"/>
      <c r="JT27" s="93"/>
      <c r="JU27" s="93"/>
      <c r="JV27" s="92"/>
      <c r="JW27" s="93"/>
      <c r="JX27" s="93"/>
      <c r="JY27" s="93"/>
      <c r="JZ27" s="93"/>
      <c r="KA27" s="93"/>
      <c r="KB27" s="93"/>
      <c r="KC27" s="92"/>
      <c r="KD27" s="93"/>
      <c r="KE27" s="93"/>
      <c r="KF27" s="93"/>
      <c r="KG27" s="93"/>
      <c r="KH27" s="93"/>
      <c r="KI27" s="93"/>
      <c r="KJ27" s="92"/>
      <c r="KK27" s="93"/>
      <c r="KL27" s="93"/>
      <c r="KM27" s="93"/>
      <c r="KN27" s="93"/>
      <c r="KO27" s="93"/>
      <c r="KP27" s="93"/>
      <c r="KQ27" s="92"/>
      <c r="KR27" s="93"/>
      <c r="KS27" s="93"/>
      <c r="KT27" s="93"/>
      <c r="KU27" s="93"/>
      <c r="KV27" s="93"/>
      <c r="KW27" s="93"/>
      <c r="KX27" s="92"/>
      <c r="KY27" s="93"/>
      <c r="KZ27" s="93"/>
      <c r="LA27" s="93"/>
      <c r="LB27" s="93"/>
      <c r="LC27" s="93"/>
      <c r="LD27" s="93"/>
      <c r="LE27" s="92"/>
      <c r="LF27" s="93"/>
      <c r="LG27" s="93"/>
      <c r="LH27" s="93"/>
      <c r="LI27" s="93"/>
      <c r="LJ27" s="93"/>
      <c r="LK27" s="93"/>
      <c r="LL27" s="92"/>
      <c r="LM27" s="93"/>
      <c r="LN27" s="93"/>
      <c r="LO27" s="93"/>
      <c r="LP27" s="93"/>
      <c r="LQ27" s="93"/>
      <c r="LR27" s="93"/>
      <c r="LS27" s="92"/>
      <c r="LT27" s="93"/>
      <c r="LU27" s="93"/>
      <c r="LV27" s="93"/>
      <c r="LW27" s="93"/>
      <c r="LX27" s="93"/>
      <c r="LY27" s="93"/>
      <c r="LZ27" s="92"/>
      <c r="MA27" s="93"/>
      <c r="MB27" s="93"/>
      <c r="MC27" s="93"/>
      <c r="MD27" s="93"/>
      <c r="ME27" s="93"/>
      <c r="MF27" s="93"/>
      <c r="MG27" s="92"/>
      <c r="MH27" s="93"/>
      <c r="MI27" s="93"/>
      <c r="MJ27" s="93"/>
      <c r="MK27" s="93"/>
      <c r="ML27" s="93"/>
      <c r="MM27" s="93"/>
      <c r="MN27" s="92"/>
    </row>
    <row r="28" spans="1:352" hidden="1" x14ac:dyDescent="0.25">
      <c r="A28" s="19" t="s">
        <v>92</v>
      </c>
      <c r="B28" s="19"/>
      <c r="C28" s="19" t="s">
        <v>159</v>
      </c>
      <c r="D28" s="19" t="s">
        <v>121</v>
      </c>
      <c r="E28" s="56">
        <v>38544</v>
      </c>
      <c r="F28" s="10">
        <f t="shared" si="319"/>
        <v>1</v>
      </c>
      <c r="G28" s="19">
        <f t="shared" si="319"/>
        <v>1</v>
      </c>
      <c r="H28" s="19" t="str">
        <f t="shared" si="319"/>
        <v/>
      </c>
      <c r="I28" s="19" t="str">
        <f t="shared" si="319"/>
        <v/>
      </c>
      <c r="J28" s="19" t="str">
        <f t="shared" si="319"/>
        <v/>
      </c>
      <c r="K28" s="19" t="str">
        <f t="shared" si="319"/>
        <v/>
      </c>
      <c r="L28" s="19" t="str">
        <f t="shared" si="319"/>
        <v/>
      </c>
      <c r="M28" s="8"/>
      <c r="N28" s="8">
        <v>1</v>
      </c>
      <c r="O28" s="9"/>
      <c r="P28" s="8" t="str">
        <f t="shared" si="315"/>
        <v/>
      </c>
      <c r="Q28" s="84" t="str">
        <f>IF(SUM(R28:XFD28) &gt; 0, SUM(R28:XFD28) / $P$87 * 100, "")</f>
        <v/>
      </c>
      <c r="R28" s="133" t="str">
        <f t="shared" si="318"/>
        <v>?</v>
      </c>
      <c r="S28" s="7"/>
      <c r="Z28" s="7"/>
      <c r="AG28" s="7"/>
      <c r="AN28" s="7"/>
      <c r="AU28" s="7"/>
      <c r="BB28" s="7"/>
      <c r="BI28" s="7"/>
      <c r="BP28" s="7"/>
      <c r="BX28" s="96"/>
      <c r="BY28" s="79"/>
      <c r="CG28" s="96"/>
      <c r="CH28" s="80"/>
      <c r="CQ28" s="7"/>
      <c r="CZ28" s="7"/>
      <c r="DI28" s="7"/>
      <c r="DR28" s="7"/>
      <c r="DZ28" s="96"/>
      <c r="EA28" s="79"/>
      <c r="EJ28" s="7"/>
      <c r="ES28" s="7"/>
      <c r="EZ28" s="7"/>
      <c r="FG28" s="7"/>
      <c r="FN28" s="7"/>
      <c r="FU28" s="7"/>
      <c r="GB28" s="7"/>
      <c r="GI28" s="7"/>
      <c r="GP28" s="7"/>
      <c r="GW28" s="7"/>
      <c r="HD28" s="7"/>
      <c r="HK28" s="7"/>
      <c r="HR28" s="7"/>
      <c r="HY28" s="7"/>
      <c r="IF28" s="7"/>
      <c r="IM28" s="7"/>
      <c r="IT28" s="7"/>
      <c r="JA28" s="7"/>
      <c r="JH28" s="7"/>
      <c r="JO28" s="7"/>
      <c r="JV28" s="7"/>
      <c r="KC28" s="7"/>
      <c r="KJ28" s="7"/>
      <c r="KQ28" s="7"/>
      <c r="KX28" s="7"/>
      <c r="LE28" s="7"/>
      <c r="LL28" s="7"/>
      <c r="LS28" s="7"/>
      <c r="LZ28" s="7"/>
      <c r="MG28" s="7"/>
      <c r="MN28" s="7"/>
    </row>
    <row r="29" spans="1:352" hidden="1" x14ac:dyDescent="0.25">
      <c r="A29" s="8" t="s">
        <v>115</v>
      </c>
      <c r="B29" s="8"/>
      <c r="C29" s="8" t="s">
        <v>244</v>
      </c>
      <c r="D29" s="8" t="s">
        <v>245</v>
      </c>
      <c r="E29" s="18">
        <v>36526</v>
      </c>
      <c r="F29" s="10" t="str">
        <f t="shared" si="319"/>
        <v/>
      </c>
      <c r="G29" s="19" t="str">
        <f t="shared" ref="G29:L30" si="320">IF($E29 &gt;= G$5, 1, "")</f>
        <v/>
      </c>
      <c r="H29" s="19" t="str">
        <f t="shared" si="320"/>
        <v/>
      </c>
      <c r="I29" s="19" t="str">
        <f t="shared" si="320"/>
        <v/>
      </c>
      <c r="J29" s="19" t="str">
        <f t="shared" si="320"/>
        <v/>
      </c>
      <c r="K29" s="19" t="str">
        <f t="shared" si="320"/>
        <v/>
      </c>
      <c r="L29" s="19" t="str">
        <f t="shared" si="320"/>
        <v/>
      </c>
      <c r="M29" s="8"/>
      <c r="N29" s="8"/>
      <c r="O29" s="9"/>
      <c r="P29" s="8">
        <f t="shared" si="315"/>
        <v>14</v>
      </c>
      <c r="Q29" s="109">
        <f>IF(SUM(S29:XFD29) &gt; 0, SUM(S29:XFD29) / $P$36 * 100, "")</f>
        <v>30.434782608695656</v>
      </c>
      <c r="R29" s="133" t="str">
        <f t="shared" si="318"/>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J29" s="7"/>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x14ac:dyDescent="0.25">
      <c r="A30" s="8" t="s">
        <v>388</v>
      </c>
      <c r="B30" s="8"/>
      <c r="C30" s="8" t="s">
        <v>239</v>
      </c>
      <c r="D30" s="8" t="s">
        <v>164</v>
      </c>
      <c r="E30" s="18">
        <v>36526</v>
      </c>
      <c r="F30" s="10" t="str">
        <f t="shared" si="319"/>
        <v/>
      </c>
      <c r="G30" s="19" t="str">
        <f t="shared" si="320"/>
        <v/>
      </c>
      <c r="H30" s="19" t="str">
        <f t="shared" si="320"/>
        <v/>
      </c>
      <c r="I30" s="19" t="str">
        <f t="shared" si="320"/>
        <v/>
      </c>
      <c r="J30" s="19" t="str">
        <f t="shared" si="320"/>
        <v/>
      </c>
      <c r="K30" s="19" t="str">
        <f t="shared" si="320"/>
        <v/>
      </c>
      <c r="L30" s="19" t="str">
        <f t="shared" si="320"/>
        <v/>
      </c>
      <c r="M30" s="8"/>
      <c r="N30" s="8"/>
      <c r="O30" s="9"/>
      <c r="P30" s="8">
        <f t="shared" si="315"/>
        <v>6</v>
      </c>
      <c r="Q30" s="109">
        <f>IF(SUM(S30:XFD30) &gt; 0, SUM(S30:XFD30) / $P$36 * 100, "")</f>
        <v>13.043478260869565</v>
      </c>
      <c r="R30" s="133" t="str">
        <f t="shared" si="318"/>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C30">
        <v>1</v>
      </c>
      <c r="EJ30" s="7"/>
      <c r="EN30" s="138" t="s">
        <v>480</v>
      </c>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4.3478260869565215</v>
      </c>
      <c r="R31" s="133" t="str">
        <f t="shared" si="318"/>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13.309189678587597</v>
      </c>
      <c r="R32" s="84">
        <f>IF(SUM(S32:XFD32) &gt; 0, SUM(S32:XFD32) / $P$87 * 100, "")</f>
        <v>4.2553191489361701</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443</v>
      </c>
      <c r="B33" s="8"/>
      <c r="C33" s="8"/>
      <c r="D33" s="8" t="s">
        <v>444</v>
      </c>
      <c r="E33" s="18"/>
      <c r="F33" s="10"/>
      <c r="G33" s="19"/>
      <c r="H33" s="19"/>
      <c r="I33" s="19"/>
      <c r="J33" s="19"/>
      <c r="K33" s="19"/>
      <c r="L33" s="19"/>
      <c r="M33" s="8"/>
      <c r="N33" s="8"/>
      <c r="O33" s="9"/>
      <c r="P33" s="8">
        <f t="shared" si="315"/>
        <v>1</v>
      </c>
      <c r="Q33" s="109">
        <f>IF(SUM(S33:XFD33) &gt; 0, SUM(S33:XFD33) / $P$36 * 100, "")</f>
        <v>2.1739130434782608</v>
      </c>
      <c r="R33" s="133" t="str">
        <f>KStateSum(S33:MN33, 1)</f>
        <v>?</v>
      </c>
      <c r="S33" s="7"/>
      <c r="Z33" s="7"/>
      <c r="AG33" s="7"/>
      <c r="AN33" s="7"/>
      <c r="AU33" s="7"/>
      <c r="BB33" s="7"/>
      <c r="BI33" s="7"/>
      <c r="BP33" s="7"/>
      <c r="BX33" s="96"/>
      <c r="BY33" s="79"/>
      <c r="CG33" s="96"/>
      <c r="CH33" s="80"/>
      <c r="CQ33" s="7"/>
      <c r="CZ33" s="7"/>
      <c r="DI33" s="7"/>
      <c r="DP33">
        <v>1</v>
      </c>
      <c r="DR33" s="7"/>
      <c r="DZ33" s="96"/>
      <c r="EA33" s="79"/>
      <c r="EJ33" s="7"/>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21">SUM(F6:F34)</f>
        <v>14</v>
      </c>
      <c r="G35" s="16">
        <f t="shared" si="321"/>
        <v>9</v>
      </c>
      <c r="H35" s="16">
        <f t="shared" si="321"/>
        <v>3</v>
      </c>
      <c r="I35" s="16">
        <f t="shared" si="321"/>
        <v>2</v>
      </c>
      <c r="J35" s="16">
        <f t="shared" si="321"/>
        <v>0</v>
      </c>
      <c r="K35" s="16">
        <f t="shared" si="321"/>
        <v>0</v>
      </c>
      <c r="L35" s="16">
        <f t="shared" si="321"/>
        <v>0</v>
      </c>
      <c r="M35" s="16">
        <v>0</v>
      </c>
      <c r="N35" s="16">
        <f>SUM(N6:N34)</f>
        <v>16</v>
      </c>
      <c r="O35" s="17">
        <f>SUM(O6:O34)+ SUM(O43:O75)</f>
        <v>14</v>
      </c>
      <c r="P35" s="16">
        <f>VisibleSum(P6:P27)</f>
        <v>31.941176470588236</v>
      </c>
      <c r="Q35" s="16">
        <f>P35 / P36 * 100</f>
        <v>69.437340153452681</v>
      </c>
      <c r="R35" s="17">
        <f>VisibleSum(R6:R27)</f>
        <v>-13.533333333333333</v>
      </c>
      <c r="S35" s="15">
        <f t="shared" ref="S35:AX35" si="322">IF(SUM(S6:S34) &gt; 0, SUM(S6:S34), "")</f>
        <v>15</v>
      </c>
      <c r="T35" s="14" t="str">
        <f t="shared" si="322"/>
        <v/>
      </c>
      <c r="U35" s="14">
        <f t="shared" si="322"/>
        <v>12</v>
      </c>
      <c r="V35" s="14">
        <f t="shared" si="322"/>
        <v>13</v>
      </c>
      <c r="W35" s="14" t="str">
        <f t="shared" si="322"/>
        <v/>
      </c>
      <c r="X35" s="14">
        <f t="shared" si="322"/>
        <v>12</v>
      </c>
      <c r="Y35" s="14" t="str">
        <f t="shared" si="322"/>
        <v/>
      </c>
      <c r="Z35" s="15" t="str">
        <f t="shared" si="322"/>
        <v/>
      </c>
      <c r="AA35" s="14" t="str">
        <f t="shared" si="322"/>
        <v/>
      </c>
      <c r="AB35" s="14">
        <f t="shared" si="322"/>
        <v>15</v>
      </c>
      <c r="AC35" s="14" t="str">
        <f t="shared" si="322"/>
        <v/>
      </c>
      <c r="AD35" s="14">
        <f t="shared" si="322"/>
        <v>12</v>
      </c>
      <c r="AE35" s="14">
        <f t="shared" si="322"/>
        <v>15</v>
      </c>
      <c r="AF35" s="14" t="str">
        <f t="shared" si="322"/>
        <v/>
      </c>
      <c r="AG35" s="15" t="str">
        <f t="shared" si="322"/>
        <v/>
      </c>
      <c r="AH35" s="14" t="str">
        <f t="shared" si="322"/>
        <v/>
      </c>
      <c r="AI35" s="14">
        <f t="shared" si="322"/>
        <v>16</v>
      </c>
      <c r="AJ35" s="14" t="str">
        <f t="shared" si="322"/>
        <v/>
      </c>
      <c r="AK35" s="14">
        <f t="shared" si="322"/>
        <v>15</v>
      </c>
      <c r="AL35" s="14">
        <f t="shared" si="322"/>
        <v>10</v>
      </c>
      <c r="AM35" s="14" t="str">
        <f t="shared" si="322"/>
        <v/>
      </c>
      <c r="AN35" s="15" t="str">
        <f t="shared" si="322"/>
        <v/>
      </c>
      <c r="AO35" s="14" t="str">
        <f t="shared" si="322"/>
        <v/>
      </c>
      <c r="AP35" s="14">
        <f t="shared" si="322"/>
        <v>15</v>
      </c>
      <c r="AQ35" s="14" t="str">
        <f t="shared" si="322"/>
        <v/>
      </c>
      <c r="AR35" s="14">
        <f t="shared" si="322"/>
        <v>16</v>
      </c>
      <c r="AS35" s="14">
        <f t="shared" si="322"/>
        <v>11</v>
      </c>
      <c r="AT35" s="14" t="str">
        <f t="shared" si="322"/>
        <v/>
      </c>
      <c r="AU35" s="15" t="str">
        <f t="shared" si="322"/>
        <v/>
      </c>
      <c r="AV35" s="14" t="str">
        <f t="shared" si="322"/>
        <v/>
      </c>
      <c r="AW35" s="14">
        <f t="shared" si="322"/>
        <v>14</v>
      </c>
      <c r="AX35" s="14">
        <f t="shared" si="322"/>
        <v>2</v>
      </c>
      <c r="AY35" s="14">
        <f t="shared" ref="AY35:BW35" si="323">IF(SUM(AY6:AY34) &gt; 0, SUM(AY6:AY34), "")</f>
        <v>13</v>
      </c>
      <c r="AZ35" s="14">
        <f t="shared" si="323"/>
        <v>12</v>
      </c>
      <c r="BA35" s="14" t="str">
        <f t="shared" si="323"/>
        <v/>
      </c>
      <c r="BB35" s="15" t="str">
        <f t="shared" si="323"/>
        <v/>
      </c>
      <c r="BC35" s="14" t="str">
        <f t="shared" si="323"/>
        <v/>
      </c>
      <c r="BD35" s="14">
        <f t="shared" si="323"/>
        <v>14</v>
      </c>
      <c r="BE35" s="14" t="str">
        <f t="shared" si="323"/>
        <v/>
      </c>
      <c r="BF35" s="14">
        <f t="shared" si="323"/>
        <v>14</v>
      </c>
      <c r="BG35" s="14">
        <f t="shared" si="323"/>
        <v>11</v>
      </c>
      <c r="BH35" s="14" t="str">
        <f t="shared" si="323"/>
        <v/>
      </c>
      <c r="BI35" s="15" t="str">
        <f t="shared" si="323"/>
        <v/>
      </c>
      <c r="BJ35" s="14" t="str">
        <f t="shared" si="323"/>
        <v/>
      </c>
      <c r="BK35" s="14">
        <f t="shared" si="323"/>
        <v>16</v>
      </c>
      <c r="BL35" s="14" t="str">
        <f t="shared" si="323"/>
        <v/>
      </c>
      <c r="BM35" s="14">
        <f t="shared" si="323"/>
        <v>16</v>
      </c>
      <c r="BN35" s="14" t="str">
        <f t="shared" si="323"/>
        <v/>
      </c>
      <c r="BO35" s="14" t="str">
        <f t="shared" si="323"/>
        <v/>
      </c>
      <c r="BP35" s="15">
        <f t="shared" si="323"/>
        <v>8</v>
      </c>
      <c r="BQ35" s="14" t="str">
        <f t="shared" si="323"/>
        <v/>
      </c>
      <c r="BR35" s="14">
        <f t="shared" si="323"/>
        <v>17</v>
      </c>
      <c r="BS35" s="14" t="str">
        <f t="shared" si="323"/>
        <v/>
      </c>
      <c r="BT35" s="14">
        <f t="shared" si="323"/>
        <v>14</v>
      </c>
      <c r="BU35" s="14" t="str">
        <f t="shared" si="323"/>
        <v/>
      </c>
      <c r="BV35" s="14" t="str">
        <f t="shared" si="323"/>
        <v/>
      </c>
      <c r="BW35" s="14">
        <f t="shared" si="323"/>
        <v>3</v>
      </c>
      <c r="BX35" s="14"/>
      <c r="BY35" s="15">
        <f>VisibleSum(BY6:BY27)</f>
        <v>-2.7333333333333334</v>
      </c>
      <c r="BZ35" s="14" t="str">
        <f t="shared" ref="BZ35:CF35" si="324">IF(SUM(BZ6:BZ34) &gt; 0, SUM(BZ6:BZ34), "")</f>
        <v/>
      </c>
      <c r="CA35" s="14" t="str">
        <f t="shared" si="324"/>
        <v/>
      </c>
      <c r="CB35" s="14" t="str">
        <f t="shared" si="324"/>
        <v/>
      </c>
      <c r="CC35" s="14">
        <f t="shared" si="324"/>
        <v>9</v>
      </c>
      <c r="CD35" s="14" t="str">
        <f t="shared" si="324"/>
        <v/>
      </c>
      <c r="CE35" s="14" t="str">
        <f t="shared" si="324"/>
        <v/>
      </c>
      <c r="CF35" s="14">
        <f t="shared" si="324"/>
        <v>6</v>
      </c>
      <c r="CG35" s="14"/>
      <c r="CH35" s="15">
        <f>VisibleSum(CH6:CH27)</f>
        <v>-3.8666666666666667</v>
      </c>
      <c r="CI35" s="14" t="str">
        <f t="shared" ref="CI35:CO35" si="325">IF(SUM(CI6:CI34) &gt; 0, SUM(CI6:CI34), "")</f>
        <v/>
      </c>
      <c r="CJ35" s="14" t="str">
        <f t="shared" si="325"/>
        <v/>
      </c>
      <c r="CK35" s="14" t="str">
        <f t="shared" si="325"/>
        <v/>
      </c>
      <c r="CL35" s="14">
        <f t="shared" si="325"/>
        <v>10</v>
      </c>
      <c r="CM35" s="14" t="str">
        <f t="shared" si="325"/>
        <v/>
      </c>
      <c r="CN35" s="14" t="str">
        <f t="shared" si="325"/>
        <v/>
      </c>
      <c r="CO35" s="14">
        <f t="shared" si="325"/>
        <v>8</v>
      </c>
      <c r="CP35" s="14"/>
      <c r="CQ35" s="15">
        <f>VisibleSum(CQ6:CQ27)</f>
        <v>-4.0666666666666664</v>
      </c>
      <c r="CR35" s="14" t="str">
        <f t="shared" ref="CR35:EF35" si="326">IF(SUM(CR6:CR34) &gt; 0, SUM(CR6:CR34), "")</f>
        <v/>
      </c>
      <c r="CS35" s="14">
        <f t="shared" si="326"/>
        <v>13</v>
      </c>
      <c r="CT35" s="14" t="str">
        <f t="shared" si="326"/>
        <v/>
      </c>
      <c r="CU35" s="14">
        <f t="shared" si="326"/>
        <v>10</v>
      </c>
      <c r="CV35" s="14">
        <f t="shared" si="326"/>
        <v>13</v>
      </c>
      <c r="CW35" s="14"/>
      <c r="CX35" s="14">
        <f t="shared" ref="CX35" si="327">IF(SUM(CX6:CX34) &gt; 0, SUM(CX6:CX34), "")</f>
        <v>7</v>
      </c>
      <c r="CY35" s="14" t="str">
        <f t="shared" si="326"/>
        <v/>
      </c>
      <c r="CZ35" s="15">
        <f>VisibleSum(CZ6:CZ27)</f>
        <v>6.6666666666666666E-2</v>
      </c>
      <c r="DA35" s="14" t="str">
        <f t="shared" si="326"/>
        <v/>
      </c>
      <c r="DB35" s="14">
        <f t="shared" si="326"/>
        <v>11</v>
      </c>
      <c r="DC35" s="14" t="str">
        <f t="shared" si="326"/>
        <v/>
      </c>
      <c r="DD35" s="14" t="str">
        <f t="shared" si="326"/>
        <v/>
      </c>
      <c r="DE35" s="14">
        <f t="shared" si="326"/>
        <v>8</v>
      </c>
      <c r="DF35" s="14" t="str">
        <f t="shared" si="326"/>
        <v/>
      </c>
      <c r="DG35" s="14">
        <f t="shared" si="326"/>
        <v>4</v>
      </c>
      <c r="DH35" s="14"/>
      <c r="DI35" s="135">
        <f>IF(VisibleSum(DI6:DI27) = "", "??", VisibleSum(DI6:DI27))</f>
        <v>-1.1333333333333333</v>
      </c>
      <c r="DJ35" s="14" t="str">
        <f t="shared" si="326"/>
        <v/>
      </c>
      <c r="DK35" s="14">
        <f t="shared" si="326"/>
        <v>15</v>
      </c>
      <c r="DL35" s="14" t="str">
        <f t="shared" si="326"/>
        <v/>
      </c>
      <c r="DM35" s="14">
        <f t="shared" si="326"/>
        <v>12</v>
      </c>
      <c r="DN35" s="14">
        <f t="shared" si="326"/>
        <v>11</v>
      </c>
      <c r="DO35" s="14" t="str">
        <f t="shared" si="326"/>
        <v/>
      </c>
      <c r="DP35" s="14">
        <f t="shared" si="326"/>
        <v>7</v>
      </c>
      <c r="DQ35" s="14"/>
      <c r="DR35" s="135">
        <f>IF(VisibleSum(DR6:DR27) = "", "??", VisibleSum(DR6:DR27))</f>
        <v>-0.8666666666666667</v>
      </c>
      <c r="DS35" s="14" t="str">
        <f t="shared" si="326"/>
        <v/>
      </c>
      <c r="DT35" s="14">
        <f t="shared" si="326"/>
        <v>8</v>
      </c>
      <c r="DU35" s="14" t="str">
        <f t="shared" si="326"/>
        <v/>
      </c>
      <c r="DV35" s="14">
        <f t="shared" si="326"/>
        <v>8</v>
      </c>
      <c r="DW35" s="14">
        <f t="shared" si="326"/>
        <v>12</v>
      </c>
      <c r="DX35" s="14"/>
      <c r="DY35" s="14"/>
      <c r="DZ35" s="137">
        <f t="shared" si="326"/>
        <v>17</v>
      </c>
      <c r="EA35" s="135">
        <f>IF(VisibleSum(EA6:EA27) = "", "??", VisibleSum(EA6:EA27))</f>
        <v>-0.93333333333333335</v>
      </c>
      <c r="EB35" s="14">
        <f t="shared" si="326"/>
        <v>12</v>
      </c>
      <c r="EC35" s="14">
        <f t="shared" si="326"/>
        <v>14</v>
      </c>
      <c r="ED35" s="14" t="str">
        <f t="shared" si="326"/>
        <v/>
      </c>
      <c r="EE35" s="14">
        <f t="shared" si="326"/>
        <v>17</v>
      </c>
      <c r="EF35" s="14" t="str">
        <f t="shared" si="326"/>
        <v/>
      </c>
      <c r="EG35" s="14"/>
      <c r="EH35" s="14"/>
      <c r="EI35" s="14"/>
      <c r="EJ35" s="15" t="str">
        <f t="shared" ref="EJ35:FQ35" si="328">IF(SUM(EJ6:EJ34) &gt; 0, SUM(EJ6:EJ34), "")</f>
        <v/>
      </c>
      <c r="EK35" s="14" t="str">
        <f t="shared" si="328"/>
        <v/>
      </c>
      <c r="EL35" s="14" t="str">
        <f t="shared" si="328"/>
        <v/>
      </c>
      <c r="EM35" s="14" t="str">
        <f t="shared" si="328"/>
        <v/>
      </c>
      <c r="EN35" s="14" t="str">
        <f t="shared" si="328"/>
        <v/>
      </c>
      <c r="EO35" s="14" t="str">
        <f t="shared" si="328"/>
        <v/>
      </c>
      <c r="EP35" s="14" t="str">
        <f t="shared" si="328"/>
        <v/>
      </c>
      <c r="EQ35" s="14"/>
      <c r="ER35" s="14"/>
      <c r="ES35" s="15" t="str">
        <f t="shared" si="328"/>
        <v/>
      </c>
      <c r="ET35" s="14" t="str">
        <f t="shared" si="328"/>
        <v/>
      </c>
      <c r="EU35" s="14" t="str">
        <f t="shared" si="328"/>
        <v/>
      </c>
      <c r="EV35" s="14" t="str">
        <f t="shared" si="328"/>
        <v/>
      </c>
      <c r="EW35" s="14" t="str">
        <f t="shared" si="328"/>
        <v/>
      </c>
      <c r="EX35" s="14" t="str">
        <f t="shared" si="328"/>
        <v/>
      </c>
      <c r="EY35" s="14" t="str">
        <f t="shared" si="328"/>
        <v/>
      </c>
      <c r="EZ35" s="15" t="str">
        <f t="shared" si="328"/>
        <v/>
      </c>
      <c r="FA35" s="14" t="str">
        <f t="shared" si="328"/>
        <v/>
      </c>
      <c r="FB35" s="14" t="str">
        <f t="shared" si="328"/>
        <v/>
      </c>
      <c r="FC35" s="14" t="str">
        <f t="shared" si="328"/>
        <v/>
      </c>
      <c r="FD35" s="14" t="str">
        <f t="shared" si="328"/>
        <v/>
      </c>
      <c r="FE35" s="14" t="str">
        <f t="shared" si="328"/>
        <v/>
      </c>
      <c r="FF35" s="14" t="str">
        <f t="shared" si="328"/>
        <v/>
      </c>
      <c r="FG35" s="15" t="str">
        <f t="shared" si="328"/>
        <v/>
      </c>
      <c r="FH35" s="14" t="str">
        <f t="shared" si="328"/>
        <v/>
      </c>
      <c r="FI35" s="14" t="str">
        <f t="shared" si="328"/>
        <v/>
      </c>
      <c r="FJ35" s="14" t="str">
        <f t="shared" si="328"/>
        <v/>
      </c>
      <c r="FK35" s="14" t="str">
        <f t="shared" si="328"/>
        <v/>
      </c>
      <c r="FL35" s="14" t="str">
        <f t="shared" si="328"/>
        <v/>
      </c>
      <c r="FM35" s="14" t="str">
        <f t="shared" si="328"/>
        <v/>
      </c>
      <c r="FN35" s="15" t="str">
        <f t="shared" si="328"/>
        <v/>
      </c>
      <c r="FO35" s="14" t="str">
        <f t="shared" si="328"/>
        <v/>
      </c>
      <c r="FP35" s="14" t="str">
        <f t="shared" si="328"/>
        <v/>
      </c>
      <c r="FQ35" s="14" t="str">
        <f t="shared" si="328"/>
        <v/>
      </c>
      <c r="FR35" s="14" t="str">
        <f t="shared" ref="FR35:GU35" si="329">IF(SUM(FR6:FR34) &gt; 0, SUM(FR6:FR34), "")</f>
        <v/>
      </c>
      <c r="FS35" s="14" t="str">
        <f t="shared" si="329"/>
        <v/>
      </c>
      <c r="FT35" s="14" t="str">
        <f t="shared" si="329"/>
        <v/>
      </c>
      <c r="FU35" s="15" t="str">
        <f t="shared" si="329"/>
        <v/>
      </c>
      <c r="FV35" s="14" t="str">
        <f t="shared" si="329"/>
        <v/>
      </c>
      <c r="FW35" s="14" t="str">
        <f t="shared" si="329"/>
        <v/>
      </c>
      <c r="FX35" s="14" t="str">
        <f t="shared" si="329"/>
        <v/>
      </c>
      <c r="FY35" s="14" t="str">
        <f t="shared" si="329"/>
        <v/>
      </c>
      <c r="FZ35" s="14" t="str">
        <f t="shared" si="329"/>
        <v/>
      </c>
      <c r="GA35" s="14" t="str">
        <f t="shared" si="329"/>
        <v/>
      </c>
      <c r="GB35" s="15" t="str">
        <f t="shared" si="329"/>
        <v/>
      </c>
      <c r="GC35" s="14" t="str">
        <f t="shared" si="329"/>
        <v/>
      </c>
      <c r="GD35" s="14" t="str">
        <f t="shared" si="329"/>
        <v/>
      </c>
      <c r="GE35" s="14" t="str">
        <f t="shared" si="329"/>
        <v/>
      </c>
      <c r="GF35" s="14" t="str">
        <f t="shared" si="329"/>
        <v/>
      </c>
      <c r="GG35" s="14" t="str">
        <f t="shared" si="329"/>
        <v/>
      </c>
      <c r="GH35" s="14" t="str">
        <f t="shared" si="329"/>
        <v/>
      </c>
      <c r="GI35" s="15" t="str">
        <f t="shared" si="329"/>
        <v/>
      </c>
      <c r="GJ35" s="14" t="str">
        <f t="shared" si="329"/>
        <v/>
      </c>
      <c r="GK35" s="14" t="str">
        <f t="shared" si="329"/>
        <v/>
      </c>
      <c r="GL35" s="14" t="str">
        <f t="shared" si="329"/>
        <v/>
      </c>
      <c r="GM35" s="14" t="str">
        <f t="shared" si="329"/>
        <v/>
      </c>
      <c r="GN35" s="14" t="str">
        <f t="shared" si="329"/>
        <v/>
      </c>
      <c r="GO35" s="14" t="str">
        <f t="shared" si="329"/>
        <v/>
      </c>
      <c r="GP35" s="15" t="str">
        <f t="shared" si="329"/>
        <v/>
      </c>
      <c r="GQ35" s="14" t="str">
        <f t="shared" si="329"/>
        <v/>
      </c>
      <c r="GR35" s="14" t="str">
        <f t="shared" si="329"/>
        <v/>
      </c>
      <c r="GS35" s="14" t="str">
        <f t="shared" si="329"/>
        <v/>
      </c>
      <c r="GT35" s="14" t="str">
        <f t="shared" si="329"/>
        <v/>
      </c>
      <c r="GU35" s="14" t="str">
        <f t="shared" si="329"/>
        <v/>
      </c>
      <c r="GV35" s="14"/>
      <c r="GW35" s="15" t="str">
        <f t="shared" ref="GW35:IB35" si="330">IF(SUM(GW6:GW34) &gt; 0, SUM(GW6:GW34), "")</f>
        <v/>
      </c>
      <c r="GX35" s="14" t="str">
        <f t="shared" si="330"/>
        <v/>
      </c>
      <c r="GY35" s="14" t="str">
        <f t="shared" si="330"/>
        <v/>
      </c>
      <c r="GZ35" s="14" t="str">
        <f t="shared" si="330"/>
        <v/>
      </c>
      <c r="HA35" s="14" t="str">
        <f t="shared" si="330"/>
        <v/>
      </c>
      <c r="HB35" s="14" t="str">
        <f t="shared" si="330"/>
        <v/>
      </c>
      <c r="HC35" s="14" t="str">
        <f t="shared" si="330"/>
        <v/>
      </c>
      <c r="HD35" s="15" t="str">
        <f t="shared" si="330"/>
        <v/>
      </c>
      <c r="HE35" s="14" t="str">
        <f t="shared" si="330"/>
        <v/>
      </c>
      <c r="HF35" s="14" t="str">
        <f t="shared" si="330"/>
        <v/>
      </c>
      <c r="HG35" s="14" t="str">
        <f t="shared" si="330"/>
        <v/>
      </c>
      <c r="HH35" s="14" t="str">
        <f t="shared" si="330"/>
        <v/>
      </c>
      <c r="HI35" s="14" t="str">
        <f t="shared" si="330"/>
        <v/>
      </c>
      <c r="HJ35" s="14" t="str">
        <f t="shared" si="330"/>
        <v/>
      </c>
      <c r="HK35" s="15" t="str">
        <f t="shared" si="330"/>
        <v/>
      </c>
      <c r="HL35" s="14" t="str">
        <f t="shared" si="330"/>
        <v/>
      </c>
      <c r="HM35" s="14" t="str">
        <f t="shared" si="330"/>
        <v/>
      </c>
      <c r="HN35" s="14" t="str">
        <f t="shared" si="330"/>
        <v/>
      </c>
      <c r="HO35" s="14" t="str">
        <f t="shared" si="330"/>
        <v/>
      </c>
      <c r="HP35" s="14" t="str">
        <f t="shared" si="330"/>
        <v/>
      </c>
      <c r="HQ35" s="14" t="str">
        <f t="shared" si="330"/>
        <v/>
      </c>
      <c r="HR35" s="15" t="str">
        <f t="shared" si="330"/>
        <v/>
      </c>
      <c r="HS35" s="14" t="str">
        <f t="shared" si="330"/>
        <v/>
      </c>
      <c r="HT35" s="14" t="str">
        <f t="shared" si="330"/>
        <v/>
      </c>
      <c r="HU35" s="14" t="str">
        <f t="shared" si="330"/>
        <v/>
      </c>
      <c r="HV35" s="14" t="str">
        <f t="shared" si="330"/>
        <v/>
      </c>
      <c r="HW35" s="14" t="str">
        <f t="shared" si="330"/>
        <v/>
      </c>
      <c r="HX35" s="14" t="str">
        <f t="shared" si="330"/>
        <v/>
      </c>
      <c r="HY35" s="15" t="str">
        <f t="shared" si="330"/>
        <v/>
      </c>
      <c r="HZ35" s="14" t="str">
        <f t="shared" si="330"/>
        <v/>
      </c>
      <c r="IA35" s="14" t="str">
        <f t="shared" si="330"/>
        <v/>
      </c>
      <c r="IB35" s="14" t="str">
        <f t="shared" si="330"/>
        <v/>
      </c>
      <c r="IC35" s="14" t="str">
        <f t="shared" ref="IC35:JH35" si="331">IF(SUM(IC6:IC34) &gt; 0, SUM(IC6:IC34), "")</f>
        <v/>
      </c>
      <c r="ID35" s="14" t="str">
        <f t="shared" si="331"/>
        <v/>
      </c>
      <c r="IE35" s="14" t="str">
        <f t="shared" si="331"/>
        <v/>
      </c>
      <c r="IF35" s="15" t="str">
        <f t="shared" si="331"/>
        <v/>
      </c>
      <c r="IG35" s="14" t="str">
        <f t="shared" si="331"/>
        <v/>
      </c>
      <c r="IH35" s="14" t="str">
        <f t="shared" si="331"/>
        <v/>
      </c>
      <c r="II35" s="14" t="str">
        <f t="shared" si="331"/>
        <v/>
      </c>
      <c r="IJ35" s="14" t="str">
        <f t="shared" si="331"/>
        <v/>
      </c>
      <c r="IK35" s="14" t="str">
        <f t="shared" si="331"/>
        <v/>
      </c>
      <c r="IL35" s="14" t="str">
        <f t="shared" si="331"/>
        <v/>
      </c>
      <c r="IM35" s="15" t="str">
        <f t="shared" si="331"/>
        <v/>
      </c>
      <c r="IN35" s="14" t="str">
        <f t="shared" si="331"/>
        <v/>
      </c>
      <c r="IO35" s="14" t="str">
        <f t="shared" si="331"/>
        <v/>
      </c>
      <c r="IP35" s="14" t="str">
        <f t="shared" si="331"/>
        <v/>
      </c>
      <c r="IQ35" s="14" t="str">
        <f t="shared" si="331"/>
        <v/>
      </c>
      <c r="IR35" s="14" t="str">
        <f t="shared" si="331"/>
        <v/>
      </c>
      <c r="IS35" s="14" t="str">
        <f t="shared" si="331"/>
        <v/>
      </c>
      <c r="IT35" s="15" t="str">
        <f t="shared" si="331"/>
        <v/>
      </c>
      <c r="IU35" s="14" t="str">
        <f t="shared" si="331"/>
        <v/>
      </c>
      <c r="IV35" s="14" t="str">
        <f t="shared" si="331"/>
        <v/>
      </c>
      <c r="IW35" s="14" t="str">
        <f t="shared" si="331"/>
        <v/>
      </c>
      <c r="IX35" s="14" t="str">
        <f t="shared" si="331"/>
        <v/>
      </c>
      <c r="IY35" s="14" t="str">
        <f t="shared" si="331"/>
        <v/>
      </c>
      <c r="IZ35" s="14" t="str">
        <f t="shared" si="331"/>
        <v/>
      </c>
      <c r="JA35" s="15" t="str">
        <f t="shared" si="331"/>
        <v/>
      </c>
      <c r="JB35" s="14" t="str">
        <f t="shared" si="331"/>
        <v/>
      </c>
      <c r="JC35" s="14" t="str">
        <f t="shared" si="331"/>
        <v/>
      </c>
      <c r="JD35" s="14" t="str">
        <f t="shared" si="331"/>
        <v/>
      </c>
      <c r="JE35" s="14" t="str">
        <f t="shared" si="331"/>
        <v/>
      </c>
      <c r="JF35" s="14" t="str">
        <f t="shared" si="331"/>
        <v/>
      </c>
      <c r="JG35" s="14" t="str">
        <f t="shared" si="331"/>
        <v/>
      </c>
      <c r="JH35" s="15" t="str">
        <f t="shared" si="331"/>
        <v/>
      </c>
      <c r="JI35" s="14" t="str">
        <f t="shared" ref="JI35:KN35" si="332">IF(SUM(JI6:JI34) &gt; 0, SUM(JI6:JI34), "")</f>
        <v/>
      </c>
      <c r="JJ35" s="14" t="str">
        <f t="shared" si="332"/>
        <v/>
      </c>
      <c r="JK35" s="14" t="str">
        <f t="shared" si="332"/>
        <v/>
      </c>
      <c r="JL35" s="14" t="str">
        <f t="shared" si="332"/>
        <v/>
      </c>
      <c r="JM35" s="14" t="str">
        <f t="shared" si="332"/>
        <v/>
      </c>
      <c r="JN35" s="14" t="str">
        <f t="shared" si="332"/>
        <v/>
      </c>
      <c r="JO35" s="15" t="str">
        <f t="shared" si="332"/>
        <v/>
      </c>
      <c r="JP35" s="14" t="str">
        <f t="shared" si="332"/>
        <v/>
      </c>
      <c r="JQ35" s="14" t="str">
        <f t="shared" si="332"/>
        <v/>
      </c>
      <c r="JR35" s="14" t="str">
        <f t="shared" si="332"/>
        <v/>
      </c>
      <c r="JS35" s="14" t="str">
        <f t="shared" si="332"/>
        <v/>
      </c>
      <c r="JT35" s="14" t="str">
        <f t="shared" si="332"/>
        <v/>
      </c>
      <c r="JU35" s="14" t="str">
        <f t="shared" si="332"/>
        <v/>
      </c>
      <c r="JV35" s="15" t="str">
        <f t="shared" si="332"/>
        <v/>
      </c>
      <c r="JW35" s="14" t="str">
        <f t="shared" si="332"/>
        <v/>
      </c>
      <c r="JX35" s="14" t="str">
        <f t="shared" si="332"/>
        <v/>
      </c>
      <c r="JY35" s="14" t="str">
        <f t="shared" si="332"/>
        <v/>
      </c>
      <c r="JZ35" s="14" t="str">
        <f t="shared" si="332"/>
        <v/>
      </c>
      <c r="KA35" s="14" t="str">
        <f t="shared" si="332"/>
        <v/>
      </c>
      <c r="KB35" s="14" t="str">
        <f t="shared" si="332"/>
        <v/>
      </c>
      <c r="KC35" s="15" t="str">
        <f t="shared" si="332"/>
        <v/>
      </c>
      <c r="KD35" s="14" t="str">
        <f t="shared" si="332"/>
        <v/>
      </c>
      <c r="KE35" s="14" t="str">
        <f t="shared" si="332"/>
        <v/>
      </c>
      <c r="KF35" s="14" t="str">
        <f t="shared" si="332"/>
        <v/>
      </c>
      <c r="KG35" s="14" t="str">
        <f t="shared" si="332"/>
        <v/>
      </c>
      <c r="KH35" s="14" t="str">
        <f t="shared" si="332"/>
        <v/>
      </c>
      <c r="KI35" s="14" t="str">
        <f t="shared" si="332"/>
        <v/>
      </c>
      <c r="KJ35" s="15" t="str">
        <f t="shared" si="332"/>
        <v/>
      </c>
      <c r="KK35" s="14" t="str">
        <f t="shared" si="332"/>
        <v/>
      </c>
      <c r="KL35" s="14" t="str">
        <f t="shared" si="332"/>
        <v/>
      </c>
      <c r="KM35" s="14" t="str">
        <f t="shared" si="332"/>
        <v/>
      </c>
      <c r="KN35" s="14" t="str">
        <f t="shared" si="332"/>
        <v/>
      </c>
      <c r="KO35" s="14" t="str">
        <f t="shared" ref="KO35:LT35" si="333">IF(SUM(KO6:KO34) &gt; 0, SUM(KO6:KO34), "")</f>
        <v/>
      </c>
      <c r="KP35" s="14" t="str">
        <f t="shared" si="333"/>
        <v/>
      </c>
      <c r="KQ35" s="15" t="str">
        <f t="shared" si="333"/>
        <v/>
      </c>
      <c r="KR35" s="14" t="str">
        <f t="shared" si="333"/>
        <v/>
      </c>
      <c r="KS35" s="14" t="str">
        <f t="shared" si="333"/>
        <v/>
      </c>
      <c r="KT35" s="14" t="str">
        <f t="shared" si="333"/>
        <v/>
      </c>
      <c r="KU35" s="14" t="str">
        <f t="shared" si="333"/>
        <v/>
      </c>
      <c r="KV35" s="14" t="str">
        <f t="shared" si="333"/>
        <v/>
      </c>
      <c r="KW35" s="14" t="str">
        <f t="shared" si="333"/>
        <v/>
      </c>
      <c r="KX35" s="15" t="str">
        <f t="shared" si="333"/>
        <v/>
      </c>
      <c r="KY35" s="14" t="str">
        <f t="shared" si="333"/>
        <v/>
      </c>
      <c r="KZ35" s="14" t="str">
        <f t="shared" si="333"/>
        <v/>
      </c>
      <c r="LA35" s="14" t="str">
        <f t="shared" si="333"/>
        <v/>
      </c>
      <c r="LB35" s="14" t="str">
        <f t="shared" si="333"/>
        <v/>
      </c>
      <c r="LC35" s="14" t="str">
        <f t="shared" si="333"/>
        <v/>
      </c>
      <c r="LD35" s="14" t="str">
        <f t="shared" si="333"/>
        <v/>
      </c>
      <c r="LE35" s="15" t="str">
        <f t="shared" si="333"/>
        <v/>
      </c>
      <c r="LF35" s="14" t="str">
        <f t="shared" si="333"/>
        <v/>
      </c>
      <c r="LG35" s="14" t="str">
        <f t="shared" si="333"/>
        <v/>
      </c>
      <c r="LH35" s="14" t="str">
        <f t="shared" si="333"/>
        <v/>
      </c>
      <c r="LI35" s="14" t="str">
        <f t="shared" si="333"/>
        <v/>
      </c>
      <c r="LJ35" s="14" t="str">
        <f t="shared" si="333"/>
        <v/>
      </c>
      <c r="LK35" s="14" t="str">
        <f t="shared" si="333"/>
        <v/>
      </c>
      <c r="LL35" s="15" t="str">
        <f t="shared" si="333"/>
        <v/>
      </c>
      <c r="LM35" s="14" t="str">
        <f t="shared" si="333"/>
        <v/>
      </c>
      <c r="LN35" s="14" t="str">
        <f t="shared" si="333"/>
        <v/>
      </c>
      <c r="LO35" s="14" t="str">
        <f t="shared" si="333"/>
        <v/>
      </c>
      <c r="LP35" s="14" t="str">
        <f t="shared" si="333"/>
        <v/>
      </c>
      <c r="LQ35" s="14" t="str">
        <f t="shared" si="333"/>
        <v/>
      </c>
      <c r="LR35" s="14" t="str">
        <f t="shared" si="333"/>
        <v/>
      </c>
      <c r="LS35" s="15" t="str">
        <f t="shared" si="333"/>
        <v/>
      </c>
      <c r="LT35" s="14" t="str">
        <f t="shared" si="333"/>
        <v/>
      </c>
      <c r="LU35" s="14" t="str">
        <f t="shared" ref="LU35:MN35" si="334">IF(SUM(LU6:LU34) &gt; 0, SUM(LU6:LU34), "")</f>
        <v/>
      </c>
      <c r="LV35" s="14" t="str">
        <f t="shared" si="334"/>
        <v/>
      </c>
      <c r="LW35" s="14" t="str">
        <f t="shared" si="334"/>
        <v/>
      </c>
      <c r="LX35" s="14" t="str">
        <f t="shared" si="334"/>
        <v/>
      </c>
      <c r="LY35" s="14" t="str">
        <f t="shared" si="334"/>
        <v/>
      </c>
      <c r="LZ35" s="15" t="str">
        <f t="shared" si="334"/>
        <v/>
      </c>
      <c r="MA35" s="14" t="str">
        <f t="shared" si="334"/>
        <v/>
      </c>
      <c r="MB35" s="14" t="str">
        <f t="shared" si="334"/>
        <v/>
      </c>
      <c r="MC35" s="14" t="str">
        <f t="shared" si="334"/>
        <v/>
      </c>
      <c r="MD35" s="14" t="str">
        <f t="shared" si="334"/>
        <v/>
      </c>
      <c r="ME35" s="14" t="str">
        <f t="shared" si="334"/>
        <v/>
      </c>
      <c r="MF35" s="14" t="str">
        <f t="shared" si="334"/>
        <v/>
      </c>
      <c r="MG35" s="15" t="str">
        <f t="shared" si="334"/>
        <v/>
      </c>
      <c r="MH35" s="14" t="str">
        <f t="shared" si="334"/>
        <v/>
      </c>
      <c r="MI35" s="14" t="str">
        <f t="shared" si="334"/>
        <v/>
      </c>
      <c r="MJ35" s="14" t="str">
        <f t="shared" si="334"/>
        <v/>
      </c>
      <c r="MK35" s="14" t="str">
        <f t="shared" si="334"/>
        <v/>
      </c>
      <c r="ML35" s="14" t="str">
        <f t="shared" si="334"/>
        <v/>
      </c>
      <c r="MM35" s="14" t="str">
        <f t="shared" si="334"/>
        <v/>
      </c>
      <c r="MN35" s="116" t="str">
        <f t="shared" si="334"/>
        <v/>
      </c>
    </row>
    <row r="36" spans="1:352" x14ac:dyDescent="0.25">
      <c r="A36" s="112" t="s">
        <v>18</v>
      </c>
      <c r="B36" s="111"/>
      <c r="C36" s="111"/>
      <c r="D36" s="111"/>
      <c r="E36" s="111"/>
      <c r="F36" s="113"/>
      <c r="G36" s="111"/>
      <c r="H36" s="111"/>
      <c r="I36" s="111"/>
      <c r="J36" s="111"/>
      <c r="K36" s="111"/>
      <c r="L36" s="111"/>
      <c r="M36" s="111"/>
      <c r="N36" s="111"/>
      <c r="O36" s="114"/>
      <c r="P36" s="111">
        <f>SUM(S36:MN36)</f>
        <v>46</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c r="EG36" s="111"/>
      <c r="EH36" s="111"/>
      <c r="EI36" s="111"/>
      <c r="EJ36" s="114"/>
      <c r="EK36" s="111"/>
      <c r="EL36" s="111"/>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5">S1</f>
        <v>43975</v>
      </c>
      <c r="T38" s="49">
        <f t="shared" si="335"/>
        <v>43976</v>
      </c>
      <c r="U38" s="49">
        <f t="shared" si="335"/>
        <v>43977</v>
      </c>
      <c r="V38" s="49">
        <f t="shared" si="335"/>
        <v>43978</v>
      </c>
      <c r="W38" s="49">
        <f t="shared" si="335"/>
        <v>43979</v>
      </c>
      <c r="X38" s="49">
        <f t="shared" si="335"/>
        <v>43980</v>
      </c>
      <c r="Y38" s="49">
        <f t="shared" si="335"/>
        <v>43981</v>
      </c>
      <c r="Z38" s="49">
        <f t="shared" si="335"/>
        <v>43982</v>
      </c>
      <c r="AA38" s="49">
        <f t="shared" si="335"/>
        <v>43983</v>
      </c>
      <c r="AB38" s="49">
        <f t="shared" si="335"/>
        <v>43984</v>
      </c>
      <c r="AC38" s="49">
        <f t="shared" si="335"/>
        <v>43985</v>
      </c>
      <c r="AD38" s="49">
        <f t="shared" si="335"/>
        <v>43986</v>
      </c>
      <c r="AE38" s="49">
        <f t="shared" si="335"/>
        <v>43987</v>
      </c>
      <c r="AF38" s="49">
        <f t="shared" si="335"/>
        <v>43988</v>
      </c>
      <c r="AG38" s="49">
        <f t="shared" si="335"/>
        <v>43989</v>
      </c>
      <c r="AH38" s="49">
        <f t="shared" si="335"/>
        <v>43990</v>
      </c>
      <c r="AI38" s="49">
        <f t="shared" si="335"/>
        <v>43991</v>
      </c>
      <c r="AJ38" s="49">
        <f t="shared" si="335"/>
        <v>43992</v>
      </c>
      <c r="AK38" s="49">
        <f t="shared" si="335"/>
        <v>43993</v>
      </c>
      <c r="AL38" s="49">
        <f t="shared" si="335"/>
        <v>43994</v>
      </c>
      <c r="AM38" s="49">
        <f t="shared" si="335"/>
        <v>43995</v>
      </c>
      <c r="AN38" s="49">
        <f t="shared" si="335"/>
        <v>43996</v>
      </c>
      <c r="AO38" s="49">
        <f t="shared" si="335"/>
        <v>43997</v>
      </c>
      <c r="AP38" s="49">
        <f t="shared" si="335"/>
        <v>43998</v>
      </c>
      <c r="AQ38" s="49">
        <f t="shared" si="335"/>
        <v>43999</v>
      </c>
      <c r="AR38" s="49">
        <f t="shared" si="335"/>
        <v>44000</v>
      </c>
      <c r="AS38" s="49">
        <f t="shared" si="335"/>
        <v>44001</v>
      </c>
      <c r="AT38" s="49">
        <f t="shared" si="335"/>
        <v>44002</v>
      </c>
      <c r="AU38" s="49">
        <f t="shared" si="335"/>
        <v>44003</v>
      </c>
      <c r="AV38" s="49">
        <f t="shared" si="335"/>
        <v>44004</v>
      </c>
      <c r="AW38" s="49">
        <f t="shared" si="335"/>
        <v>44005</v>
      </c>
      <c r="AX38" s="49">
        <f t="shared" si="335"/>
        <v>44006</v>
      </c>
      <c r="AY38" s="49">
        <f t="shared" ref="AY38:BW38" si="336">AY1</f>
        <v>44007</v>
      </c>
      <c r="AZ38" s="49">
        <f t="shared" si="336"/>
        <v>44008</v>
      </c>
      <c r="BA38" s="49">
        <f t="shared" si="336"/>
        <v>44009</v>
      </c>
      <c r="BB38" s="49">
        <f t="shared" si="336"/>
        <v>44010</v>
      </c>
      <c r="BC38" s="49">
        <f t="shared" si="336"/>
        <v>44011</v>
      </c>
      <c r="BD38" s="49">
        <f t="shared" si="336"/>
        <v>44012</v>
      </c>
      <c r="BE38" s="49">
        <f t="shared" si="336"/>
        <v>44013</v>
      </c>
      <c r="BF38" s="49">
        <f t="shared" si="336"/>
        <v>44014</v>
      </c>
      <c r="BG38" s="49">
        <f t="shared" si="336"/>
        <v>44015</v>
      </c>
      <c r="BH38" s="49">
        <f t="shared" si="336"/>
        <v>44016</v>
      </c>
      <c r="BI38" s="49">
        <f t="shared" si="336"/>
        <v>44017</v>
      </c>
      <c r="BJ38" s="49">
        <f t="shared" si="336"/>
        <v>44018</v>
      </c>
      <c r="BK38" s="49">
        <f t="shared" si="336"/>
        <v>44019</v>
      </c>
      <c r="BL38" s="49">
        <f t="shared" si="336"/>
        <v>44020</v>
      </c>
      <c r="BM38" s="49">
        <f t="shared" si="336"/>
        <v>44021</v>
      </c>
      <c r="BN38" s="49">
        <f t="shared" si="336"/>
        <v>44022</v>
      </c>
      <c r="BO38" s="49">
        <f t="shared" si="336"/>
        <v>44023</v>
      </c>
      <c r="BP38" s="49">
        <f t="shared" si="336"/>
        <v>44024</v>
      </c>
      <c r="BQ38" s="49">
        <f t="shared" si="336"/>
        <v>44025</v>
      </c>
      <c r="BR38" s="49">
        <f t="shared" si="336"/>
        <v>44026</v>
      </c>
      <c r="BS38" s="49">
        <f t="shared" si="336"/>
        <v>44027</v>
      </c>
      <c r="BT38" s="49">
        <f t="shared" si="336"/>
        <v>44028</v>
      </c>
      <c r="BU38" s="49">
        <f t="shared" si="336"/>
        <v>44029</v>
      </c>
      <c r="BV38" s="49">
        <f t="shared" si="336"/>
        <v>44030</v>
      </c>
      <c r="BW38" s="49">
        <f t="shared" si="336"/>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O38" si="337">DS1</f>
        <v>44067</v>
      </c>
      <c r="DT38" s="49">
        <f t="shared" si="337"/>
        <v>44068</v>
      </c>
      <c r="DU38" s="49">
        <f t="shared" si="337"/>
        <v>44069</v>
      </c>
      <c r="DV38" s="49">
        <f t="shared" si="337"/>
        <v>44070</v>
      </c>
      <c r="DW38" s="49">
        <f t="shared" si="337"/>
        <v>44071</v>
      </c>
      <c r="DX38" s="49">
        <f t="shared" ref="DX38:DY38" si="338">DX1</f>
        <v>44072</v>
      </c>
      <c r="DY38" s="49">
        <f t="shared" si="338"/>
        <v>44073</v>
      </c>
      <c r="DZ38" s="49"/>
      <c r="EA38" s="49"/>
      <c r="EB38" s="49">
        <f t="shared" si="337"/>
        <v>44074</v>
      </c>
      <c r="EC38" s="49">
        <f t="shared" si="337"/>
        <v>44075</v>
      </c>
      <c r="ED38" s="49">
        <f t="shared" si="337"/>
        <v>44076</v>
      </c>
      <c r="EE38" s="49">
        <f t="shared" si="337"/>
        <v>44077</v>
      </c>
      <c r="EF38" s="49">
        <f t="shared" si="337"/>
        <v>44078</v>
      </c>
      <c r="EG38" s="49">
        <f t="shared" si="337"/>
        <v>44079</v>
      </c>
      <c r="EH38" s="49">
        <f t="shared" si="337"/>
        <v>44080</v>
      </c>
      <c r="EI38" s="49"/>
      <c r="EJ38" s="49"/>
      <c r="EK38" s="49">
        <f t="shared" si="337"/>
        <v>44081</v>
      </c>
      <c r="EL38" s="49">
        <f t="shared" si="337"/>
        <v>44082</v>
      </c>
      <c r="EM38" s="49">
        <f t="shared" si="337"/>
        <v>44083</v>
      </c>
      <c r="EN38" s="49">
        <f t="shared" si="337"/>
        <v>44084</v>
      </c>
      <c r="EO38" s="49">
        <f t="shared" si="337"/>
        <v>44085</v>
      </c>
      <c r="EP38" s="49">
        <f t="shared" si="337"/>
        <v>44086</v>
      </c>
      <c r="EQ38" s="49">
        <f t="shared" si="337"/>
        <v>44087</v>
      </c>
      <c r="ER38" s="49"/>
      <c r="ES38" s="49"/>
      <c r="ET38" s="49">
        <f t="shared" si="337"/>
        <v>44088</v>
      </c>
      <c r="EU38" s="49">
        <f t="shared" si="337"/>
        <v>44089</v>
      </c>
      <c r="EV38" s="49">
        <f t="shared" si="337"/>
        <v>44090</v>
      </c>
      <c r="EW38" s="49">
        <f t="shared" si="337"/>
        <v>44091</v>
      </c>
      <c r="EX38" s="49">
        <f t="shared" si="337"/>
        <v>44092</v>
      </c>
      <c r="EY38" s="49">
        <f t="shared" si="337"/>
        <v>44093</v>
      </c>
      <c r="EZ38" s="49">
        <f t="shared" si="337"/>
        <v>44094</v>
      </c>
      <c r="FA38" s="49">
        <f t="shared" si="337"/>
        <v>44095</v>
      </c>
      <c r="FB38" s="49">
        <f t="shared" si="337"/>
        <v>44096</v>
      </c>
      <c r="FC38" s="49">
        <f t="shared" si="337"/>
        <v>44097</v>
      </c>
      <c r="FD38" s="49">
        <f t="shared" si="337"/>
        <v>44098</v>
      </c>
      <c r="FE38" s="49">
        <f t="shared" si="337"/>
        <v>44099</v>
      </c>
      <c r="FF38" s="49">
        <f t="shared" si="337"/>
        <v>44100</v>
      </c>
      <c r="FG38" s="49">
        <f t="shared" si="337"/>
        <v>44101</v>
      </c>
      <c r="FH38" s="49">
        <f t="shared" si="337"/>
        <v>44102</v>
      </c>
      <c r="FI38" s="49">
        <f t="shared" si="337"/>
        <v>44103</v>
      </c>
      <c r="FJ38" s="49">
        <f t="shared" si="337"/>
        <v>44104</v>
      </c>
      <c r="FK38" s="49">
        <f t="shared" si="337"/>
        <v>44105</v>
      </c>
      <c r="FL38" s="49">
        <f t="shared" si="337"/>
        <v>44106</v>
      </c>
      <c r="FM38" s="49">
        <f t="shared" si="337"/>
        <v>44107</v>
      </c>
      <c r="FN38" s="49">
        <f t="shared" si="337"/>
        <v>44108</v>
      </c>
      <c r="FO38" s="49">
        <f t="shared" si="337"/>
        <v>44109</v>
      </c>
      <c r="FP38" s="49">
        <f t="shared" ref="FP38:IA38" si="339">FP1</f>
        <v>44110</v>
      </c>
      <c r="FQ38" s="49">
        <f t="shared" si="339"/>
        <v>44111</v>
      </c>
      <c r="FR38" s="49">
        <f t="shared" si="339"/>
        <v>44112</v>
      </c>
      <c r="FS38" s="49">
        <f t="shared" si="339"/>
        <v>44113</v>
      </c>
      <c r="FT38" s="49">
        <f t="shared" si="339"/>
        <v>44114</v>
      </c>
      <c r="FU38" s="49">
        <f t="shared" si="339"/>
        <v>44115</v>
      </c>
      <c r="FV38" s="49">
        <f t="shared" si="339"/>
        <v>44116</v>
      </c>
      <c r="FW38" s="49">
        <f t="shared" si="339"/>
        <v>44117</v>
      </c>
      <c r="FX38" s="49">
        <f t="shared" si="339"/>
        <v>44118</v>
      </c>
      <c r="FY38" s="49">
        <f t="shared" si="339"/>
        <v>44119</v>
      </c>
      <c r="FZ38" s="49">
        <f t="shared" si="339"/>
        <v>44120</v>
      </c>
      <c r="GA38" s="49">
        <f t="shared" si="339"/>
        <v>44121</v>
      </c>
      <c r="GB38" s="49">
        <f t="shared" si="339"/>
        <v>44122</v>
      </c>
      <c r="GC38" s="49">
        <f t="shared" si="339"/>
        <v>44123</v>
      </c>
      <c r="GD38" s="49">
        <f t="shared" si="339"/>
        <v>44124</v>
      </c>
      <c r="GE38" s="49">
        <f t="shared" si="339"/>
        <v>44125</v>
      </c>
      <c r="GF38" s="49">
        <f t="shared" si="339"/>
        <v>44126</v>
      </c>
      <c r="GG38" s="49">
        <f t="shared" si="339"/>
        <v>44127</v>
      </c>
      <c r="GH38" s="49">
        <f t="shared" si="339"/>
        <v>44128</v>
      </c>
      <c r="GI38" s="49">
        <f t="shared" si="339"/>
        <v>44129</v>
      </c>
      <c r="GJ38" s="49">
        <f t="shared" si="339"/>
        <v>44130</v>
      </c>
      <c r="GK38" s="49">
        <f t="shared" si="339"/>
        <v>44131</v>
      </c>
      <c r="GL38" s="49">
        <f t="shared" si="339"/>
        <v>44132</v>
      </c>
      <c r="GM38" s="49">
        <f t="shared" si="339"/>
        <v>44133</v>
      </c>
      <c r="GN38" s="49">
        <f t="shared" si="339"/>
        <v>44134</v>
      </c>
      <c r="GO38" s="49">
        <f t="shared" si="339"/>
        <v>44135</v>
      </c>
      <c r="GP38" s="49">
        <f t="shared" si="339"/>
        <v>44136</v>
      </c>
      <c r="GQ38" s="49">
        <f t="shared" si="339"/>
        <v>44137</v>
      </c>
      <c r="GR38" s="49">
        <f t="shared" si="339"/>
        <v>44138</v>
      </c>
      <c r="GS38" s="49">
        <f t="shared" si="339"/>
        <v>44139</v>
      </c>
      <c r="GT38" s="49">
        <f t="shared" si="339"/>
        <v>44140</v>
      </c>
      <c r="GU38" s="49">
        <f t="shared" si="339"/>
        <v>44141</v>
      </c>
      <c r="GV38" s="49">
        <f t="shared" si="339"/>
        <v>44142</v>
      </c>
      <c r="GW38" s="49">
        <f t="shared" si="339"/>
        <v>44143</v>
      </c>
      <c r="GX38" s="49">
        <f t="shared" si="339"/>
        <v>44144</v>
      </c>
      <c r="GY38" s="49">
        <f t="shared" si="339"/>
        <v>44145</v>
      </c>
      <c r="GZ38" s="49">
        <f t="shared" si="339"/>
        <v>44146</v>
      </c>
      <c r="HA38" s="49">
        <f t="shared" si="339"/>
        <v>44147</v>
      </c>
      <c r="HB38" s="49">
        <f t="shared" si="339"/>
        <v>44148</v>
      </c>
      <c r="HC38" s="49">
        <f t="shared" si="339"/>
        <v>44149</v>
      </c>
      <c r="HD38" s="49">
        <f t="shared" si="339"/>
        <v>44150</v>
      </c>
      <c r="HE38" s="49">
        <f t="shared" si="339"/>
        <v>44151</v>
      </c>
      <c r="HF38" s="49">
        <f t="shared" si="339"/>
        <v>44152</v>
      </c>
      <c r="HG38" s="49">
        <f t="shared" si="339"/>
        <v>44153</v>
      </c>
      <c r="HH38" s="49">
        <f t="shared" si="339"/>
        <v>44154</v>
      </c>
      <c r="HI38" s="49">
        <f t="shared" si="339"/>
        <v>44155</v>
      </c>
      <c r="HJ38" s="49">
        <f t="shared" si="339"/>
        <v>44156</v>
      </c>
      <c r="HK38" s="49">
        <f t="shared" si="339"/>
        <v>44157</v>
      </c>
      <c r="HL38" s="49">
        <f t="shared" si="339"/>
        <v>44158</v>
      </c>
      <c r="HM38" s="49">
        <f t="shared" si="339"/>
        <v>44159</v>
      </c>
      <c r="HN38" s="49">
        <f t="shared" si="339"/>
        <v>44160</v>
      </c>
      <c r="HO38" s="49">
        <f t="shared" si="339"/>
        <v>44161</v>
      </c>
      <c r="HP38" s="49">
        <f t="shared" si="339"/>
        <v>44162</v>
      </c>
      <c r="HQ38" s="49">
        <f t="shared" si="339"/>
        <v>44163</v>
      </c>
      <c r="HR38" s="49">
        <f t="shared" si="339"/>
        <v>44164</v>
      </c>
      <c r="HS38" s="49">
        <f t="shared" si="339"/>
        <v>44165</v>
      </c>
      <c r="HT38" s="49">
        <f t="shared" si="339"/>
        <v>44166</v>
      </c>
      <c r="HU38" s="49">
        <f t="shared" si="339"/>
        <v>44167</v>
      </c>
      <c r="HV38" s="49">
        <f t="shared" si="339"/>
        <v>44168</v>
      </c>
      <c r="HW38" s="49">
        <f t="shared" si="339"/>
        <v>44169</v>
      </c>
      <c r="HX38" s="49">
        <f t="shared" si="339"/>
        <v>44170</v>
      </c>
      <c r="HY38" s="49">
        <f t="shared" si="339"/>
        <v>44171</v>
      </c>
      <c r="HZ38" s="49">
        <f t="shared" si="339"/>
        <v>44172</v>
      </c>
      <c r="IA38" s="49">
        <f t="shared" si="339"/>
        <v>44173</v>
      </c>
      <c r="IB38" s="49">
        <f t="shared" ref="IB38:KM38" si="340">IB1</f>
        <v>44174</v>
      </c>
      <c r="IC38" s="49">
        <f t="shared" si="340"/>
        <v>44175</v>
      </c>
      <c r="ID38" s="49">
        <f t="shared" si="340"/>
        <v>44176</v>
      </c>
      <c r="IE38" s="49">
        <f t="shared" si="340"/>
        <v>44177</v>
      </c>
      <c r="IF38" s="49">
        <f t="shared" si="340"/>
        <v>44178</v>
      </c>
      <c r="IG38" s="49">
        <f t="shared" si="340"/>
        <v>44179</v>
      </c>
      <c r="IH38" s="49">
        <f t="shared" si="340"/>
        <v>44180</v>
      </c>
      <c r="II38" s="49">
        <f t="shared" si="340"/>
        <v>44181</v>
      </c>
      <c r="IJ38" s="49">
        <f t="shared" si="340"/>
        <v>44182</v>
      </c>
      <c r="IK38" s="49">
        <f t="shared" si="340"/>
        <v>44183</v>
      </c>
      <c r="IL38" s="49">
        <f t="shared" si="340"/>
        <v>44184</v>
      </c>
      <c r="IM38" s="49">
        <f t="shared" si="340"/>
        <v>44185</v>
      </c>
      <c r="IN38" s="49">
        <f t="shared" si="340"/>
        <v>44186</v>
      </c>
      <c r="IO38" s="49">
        <f t="shared" si="340"/>
        <v>44187</v>
      </c>
      <c r="IP38" s="49">
        <f t="shared" si="340"/>
        <v>44188</v>
      </c>
      <c r="IQ38" s="49">
        <f t="shared" si="340"/>
        <v>44189</v>
      </c>
      <c r="IR38" s="49">
        <f t="shared" si="340"/>
        <v>44190</v>
      </c>
      <c r="IS38" s="49">
        <f t="shared" si="340"/>
        <v>44191</v>
      </c>
      <c r="IT38" s="49">
        <f t="shared" si="340"/>
        <v>44192</v>
      </c>
      <c r="IU38" s="49">
        <f t="shared" si="340"/>
        <v>44193</v>
      </c>
      <c r="IV38" s="49">
        <f t="shared" si="340"/>
        <v>44194</v>
      </c>
      <c r="IW38" s="49">
        <f t="shared" si="340"/>
        <v>44195</v>
      </c>
      <c r="IX38" s="49">
        <f t="shared" si="340"/>
        <v>44196</v>
      </c>
      <c r="IY38" s="49">
        <f t="shared" si="340"/>
        <v>44197</v>
      </c>
      <c r="IZ38" s="49">
        <f t="shared" si="340"/>
        <v>44198</v>
      </c>
      <c r="JA38" s="49">
        <f t="shared" si="340"/>
        <v>44199</v>
      </c>
      <c r="JB38" s="49">
        <f t="shared" si="340"/>
        <v>44200</v>
      </c>
      <c r="JC38" s="49">
        <f t="shared" si="340"/>
        <v>44201</v>
      </c>
      <c r="JD38" s="49">
        <f t="shared" si="340"/>
        <v>44202</v>
      </c>
      <c r="JE38" s="49">
        <f t="shared" si="340"/>
        <v>44203</v>
      </c>
      <c r="JF38" s="49">
        <f t="shared" si="340"/>
        <v>44204</v>
      </c>
      <c r="JG38" s="49">
        <f t="shared" si="340"/>
        <v>44205</v>
      </c>
      <c r="JH38" s="49">
        <f t="shared" si="340"/>
        <v>44206</v>
      </c>
      <c r="JI38" s="49">
        <f t="shared" si="340"/>
        <v>44207</v>
      </c>
      <c r="JJ38" s="49">
        <f t="shared" si="340"/>
        <v>44208</v>
      </c>
      <c r="JK38" s="49">
        <f t="shared" si="340"/>
        <v>44209</v>
      </c>
      <c r="JL38" s="49">
        <f t="shared" si="340"/>
        <v>44210</v>
      </c>
      <c r="JM38" s="49">
        <f t="shared" si="340"/>
        <v>44211</v>
      </c>
      <c r="JN38" s="49">
        <f t="shared" si="340"/>
        <v>44212</v>
      </c>
      <c r="JO38" s="49">
        <f t="shared" si="340"/>
        <v>44213</v>
      </c>
      <c r="JP38" s="49">
        <f t="shared" si="340"/>
        <v>44214</v>
      </c>
      <c r="JQ38" s="49">
        <f t="shared" si="340"/>
        <v>44215</v>
      </c>
      <c r="JR38" s="49">
        <f t="shared" si="340"/>
        <v>44216</v>
      </c>
      <c r="JS38" s="49">
        <f t="shared" si="340"/>
        <v>44217</v>
      </c>
      <c r="JT38" s="49">
        <f t="shared" si="340"/>
        <v>44218</v>
      </c>
      <c r="JU38" s="49">
        <f t="shared" si="340"/>
        <v>44219</v>
      </c>
      <c r="JV38" s="49">
        <f t="shared" si="340"/>
        <v>44220</v>
      </c>
      <c r="JW38" s="49">
        <f t="shared" si="340"/>
        <v>44221</v>
      </c>
      <c r="JX38" s="49">
        <f t="shared" si="340"/>
        <v>44222</v>
      </c>
      <c r="JY38" s="49">
        <f t="shared" si="340"/>
        <v>44223</v>
      </c>
      <c r="JZ38" s="49">
        <f t="shared" si="340"/>
        <v>44224</v>
      </c>
      <c r="KA38" s="49">
        <f t="shared" si="340"/>
        <v>44225</v>
      </c>
      <c r="KB38" s="49">
        <f t="shared" si="340"/>
        <v>44226</v>
      </c>
      <c r="KC38" s="49">
        <f t="shared" si="340"/>
        <v>44227</v>
      </c>
      <c r="KD38" s="49">
        <f t="shared" si="340"/>
        <v>44228</v>
      </c>
      <c r="KE38" s="49">
        <f t="shared" si="340"/>
        <v>44229</v>
      </c>
      <c r="KF38" s="49">
        <f t="shared" si="340"/>
        <v>44230</v>
      </c>
      <c r="KG38" s="49">
        <f t="shared" si="340"/>
        <v>44231</v>
      </c>
      <c r="KH38" s="49">
        <f t="shared" si="340"/>
        <v>44232</v>
      </c>
      <c r="KI38" s="49">
        <f t="shared" si="340"/>
        <v>44233</v>
      </c>
      <c r="KJ38" s="49">
        <f t="shared" si="340"/>
        <v>44234</v>
      </c>
      <c r="KK38" s="49">
        <f t="shared" si="340"/>
        <v>44235</v>
      </c>
      <c r="KL38" s="49">
        <f t="shared" si="340"/>
        <v>44236</v>
      </c>
      <c r="KM38" s="49">
        <f t="shared" si="340"/>
        <v>44237</v>
      </c>
      <c r="KN38" s="49">
        <f t="shared" ref="KN38:MN38" si="341">KN1</f>
        <v>44238</v>
      </c>
      <c r="KO38" s="49">
        <f t="shared" si="341"/>
        <v>44239</v>
      </c>
      <c r="KP38" s="49">
        <f t="shared" si="341"/>
        <v>44240</v>
      </c>
      <c r="KQ38" s="49">
        <f t="shared" si="341"/>
        <v>44241</v>
      </c>
      <c r="KR38" s="49">
        <f t="shared" si="341"/>
        <v>44242</v>
      </c>
      <c r="KS38" s="49">
        <f t="shared" si="341"/>
        <v>44243</v>
      </c>
      <c r="KT38" s="49">
        <f t="shared" si="341"/>
        <v>44244</v>
      </c>
      <c r="KU38" s="49">
        <f t="shared" si="341"/>
        <v>44245</v>
      </c>
      <c r="KV38" s="49">
        <f t="shared" si="341"/>
        <v>44246</v>
      </c>
      <c r="KW38" s="49">
        <f t="shared" si="341"/>
        <v>44247</v>
      </c>
      <c r="KX38" s="49">
        <f t="shared" si="341"/>
        <v>44248</v>
      </c>
      <c r="KY38" s="49">
        <f t="shared" si="341"/>
        <v>44249</v>
      </c>
      <c r="KZ38" s="49">
        <f t="shared" si="341"/>
        <v>44250</v>
      </c>
      <c r="LA38" s="49">
        <f t="shared" si="341"/>
        <v>44251</v>
      </c>
      <c r="LB38" s="49">
        <f t="shared" si="341"/>
        <v>44252</v>
      </c>
      <c r="LC38" s="49">
        <f t="shared" si="341"/>
        <v>44253</v>
      </c>
      <c r="LD38" s="49">
        <f t="shared" si="341"/>
        <v>44254</v>
      </c>
      <c r="LE38" s="49">
        <f t="shared" si="341"/>
        <v>44255</v>
      </c>
      <c r="LF38" s="49">
        <f t="shared" si="341"/>
        <v>44256</v>
      </c>
      <c r="LG38" s="49">
        <f t="shared" si="341"/>
        <v>44257</v>
      </c>
      <c r="LH38" s="49">
        <f t="shared" si="341"/>
        <v>44258</v>
      </c>
      <c r="LI38" s="49">
        <f t="shared" si="341"/>
        <v>44259</v>
      </c>
      <c r="LJ38" s="49">
        <f t="shared" si="341"/>
        <v>44260</v>
      </c>
      <c r="LK38" s="49">
        <f t="shared" si="341"/>
        <v>44261</v>
      </c>
      <c r="LL38" s="49">
        <f t="shared" si="341"/>
        <v>44262</v>
      </c>
      <c r="LM38" s="49">
        <f t="shared" si="341"/>
        <v>44263</v>
      </c>
      <c r="LN38" s="49">
        <f t="shared" si="341"/>
        <v>44264</v>
      </c>
      <c r="LO38" s="49">
        <f t="shared" si="341"/>
        <v>44265</v>
      </c>
      <c r="LP38" s="49">
        <f t="shared" si="341"/>
        <v>44266</v>
      </c>
      <c r="LQ38" s="49">
        <f t="shared" si="341"/>
        <v>44267</v>
      </c>
      <c r="LR38" s="49">
        <f t="shared" si="341"/>
        <v>44268</v>
      </c>
      <c r="LS38" s="49">
        <f t="shared" si="341"/>
        <v>44269</v>
      </c>
      <c r="LT38" s="49">
        <f t="shared" si="341"/>
        <v>44270</v>
      </c>
      <c r="LU38" s="49">
        <f t="shared" si="341"/>
        <v>44271</v>
      </c>
      <c r="LV38" s="49">
        <f t="shared" si="341"/>
        <v>44272</v>
      </c>
      <c r="LW38" s="49">
        <f t="shared" si="341"/>
        <v>44273</v>
      </c>
      <c r="LX38" s="49">
        <f t="shared" si="341"/>
        <v>44274</v>
      </c>
      <c r="LY38" s="49">
        <f t="shared" si="341"/>
        <v>44275</v>
      </c>
      <c r="LZ38" s="49">
        <f t="shared" si="341"/>
        <v>44276</v>
      </c>
      <c r="MA38" s="49">
        <f t="shared" si="341"/>
        <v>44277</v>
      </c>
      <c r="MB38" s="49">
        <f t="shared" si="341"/>
        <v>44278</v>
      </c>
      <c r="MC38" s="49">
        <f t="shared" si="341"/>
        <v>44279</v>
      </c>
      <c r="MD38" s="49">
        <f t="shared" si="341"/>
        <v>44280</v>
      </c>
      <c r="ME38" s="49">
        <f t="shared" si="341"/>
        <v>44281</v>
      </c>
      <c r="MF38" s="49">
        <f t="shared" si="341"/>
        <v>44282</v>
      </c>
      <c r="MG38" s="49">
        <f t="shared" si="341"/>
        <v>44283</v>
      </c>
      <c r="MH38" s="49">
        <f t="shared" si="341"/>
        <v>44284</v>
      </c>
      <c r="MI38" s="49">
        <f t="shared" si="341"/>
        <v>44285</v>
      </c>
      <c r="MJ38" s="49">
        <f t="shared" si="341"/>
        <v>44286</v>
      </c>
      <c r="MK38" s="49">
        <f t="shared" si="341"/>
        <v>44287</v>
      </c>
      <c r="ML38" s="49">
        <f t="shared" si="341"/>
        <v>44288</v>
      </c>
      <c r="MM38" s="49">
        <f t="shared" si="341"/>
        <v>44289</v>
      </c>
      <c r="MN38" s="49">
        <f t="shared" si="341"/>
        <v>44290</v>
      </c>
    </row>
    <row r="39" spans="1:352" ht="15" customHeight="1" x14ac:dyDescent="0.25">
      <c r="A39" s="139" t="s">
        <v>144</v>
      </c>
      <c r="B39" s="139"/>
      <c r="C39" s="139"/>
      <c r="D39" s="139"/>
      <c r="E39" s="140"/>
      <c r="F39" s="36"/>
      <c r="G39" s="36"/>
      <c r="H39" s="36"/>
      <c r="I39" s="36"/>
      <c r="J39" s="36"/>
      <c r="K39" s="36"/>
      <c r="L39" s="36"/>
      <c r="M39" s="36"/>
      <c r="N39" s="36"/>
      <c r="O39" s="35"/>
      <c r="P39" s="150" t="s">
        <v>49</v>
      </c>
      <c r="Q39" s="150" t="s">
        <v>48</v>
      </c>
      <c r="R39" s="151"/>
      <c r="S39" s="54">
        <f>S38</f>
        <v>43975</v>
      </c>
      <c r="T39" s="55">
        <f t="shared" ref="T39:BV39" si="342">T38</f>
        <v>43976</v>
      </c>
      <c r="U39" s="54">
        <f t="shared" si="342"/>
        <v>43977</v>
      </c>
      <c r="V39" s="54">
        <f t="shared" si="342"/>
        <v>43978</v>
      </c>
      <c r="W39" s="54">
        <f t="shared" si="342"/>
        <v>43979</v>
      </c>
      <c r="X39" s="54">
        <f t="shared" si="342"/>
        <v>43980</v>
      </c>
      <c r="Y39" s="54">
        <f t="shared" si="342"/>
        <v>43981</v>
      </c>
      <c r="Z39" s="53">
        <f t="shared" si="342"/>
        <v>43982</v>
      </c>
      <c r="AA39" s="54">
        <f t="shared" si="342"/>
        <v>43983</v>
      </c>
      <c r="AB39" s="54">
        <f t="shared" si="342"/>
        <v>43984</v>
      </c>
      <c r="AC39" s="54">
        <f t="shared" si="342"/>
        <v>43985</v>
      </c>
      <c r="AD39" s="54">
        <f t="shared" si="342"/>
        <v>43986</v>
      </c>
      <c r="AE39" s="54">
        <f t="shared" si="342"/>
        <v>43987</v>
      </c>
      <c r="AF39" s="54">
        <f t="shared" si="342"/>
        <v>43988</v>
      </c>
      <c r="AG39" s="53">
        <f t="shared" si="342"/>
        <v>43989</v>
      </c>
      <c r="AH39" s="54">
        <f t="shared" si="342"/>
        <v>43990</v>
      </c>
      <c r="AI39" s="54">
        <f t="shared" si="342"/>
        <v>43991</v>
      </c>
      <c r="AJ39" s="54">
        <f t="shared" si="342"/>
        <v>43992</v>
      </c>
      <c r="AK39" s="54">
        <f t="shared" si="342"/>
        <v>43993</v>
      </c>
      <c r="AL39" s="54">
        <f t="shared" si="342"/>
        <v>43994</v>
      </c>
      <c r="AM39" s="54">
        <f t="shared" si="342"/>
        <v>43995</v>
      </c>
      <c r="AN39" s="53">
        <f t="shared" si="342"/>
        <v>43996</v>
      </c>
      <c r="AO39" s="54">
        <f t="shared" si="342"/>
        <v>43997</v>
      </c>
      <c r="AP39" s="54">
        <f t="shared" si="342"/>
        <v>43998</v>
      </c>
      <c r="AQ39" s="54">
        <f t="shared" si="342"/>
        <v>43999</v>
      </c>
      <c r="AR39" s="54">
        <f t="shared" si="342"/>
        <v>44000</v>
      </c>
      <c r="AS39" s="54">
        <f t="shared" si="342"/>
        <v>44001</v>
      </c>
      <c r="AT39" s="54">
        <f t="shared" si="342"/>
        <v>44002</v>
      </c>
      <c r="AU39" s="53">
        <f t="shared" si="342"/>
        <v>44003</v>
      </c>
      <c r="AV39" s="54">
        <f t="shared" si="342"/>
        <v>44004</v>
      </c>
      <c r="AW39" s="54">
        <f t="shared" si="342"/>
        <v>44005</v>
      </c>
      <c r="AX39" s="54">
        <f t="shared" si="342"/>
        <v>44006</v>
      </c>
      <c r="AY39" s="54">
        <f t="shared" si="342"/>
        <v>44007</v>
      </c>
      <c r="AZ39" s="54">
        <f t="shared" si="342"/>
        <v>44008</v>
      </c>
      <c r="BA39" s="54">
        <f t="shared" si="342"/>
        <v>44009</v>
      </c>
      <c r="BB39" s="53">
        <f t="shared" si="342"/>
        <v>44010</v>
      </c>
      <c r="BC39" s="54">
        <f t="shared" si="342"/>
        <v>44011</v>
      </c>
      <c r="BD39" s="54">
        <f t="shared" si="342"/>
        <v>44012</v>
      </c>
      <c r="BE39" s="54">
        <f t="shared" si="342"/>
        <v>44013</v>
      </c>
      <c r="BF39" s="54">
        <f t="shared" si="342"/>
        <v>44014</v>
      </c>
      <c r="BG39" s="54">
        <f t="shared" si="342"/>
        <v>44015</v>
      </c>
      <c r="BH39" s="54">
        <f t="shared" si="342"/>
        <v>44016</v>
      </c>
      <c r="BI39" s="53">
        <f t="shared" si="342"/>
        <v>44017</v>
      </c>
      <c r="BJ39" s="54">
        <f t="shared" si="342"/>
        <v>44018</v>
      </c>
      <c r="BK39" s="54">
        <f t="shared" si="342"/>
        <v>44019</v>
      </c>
      <c r="BL39" s="54">
        <f t="shared" si="342"/>
        <v>44020</v>
      </c>
      <c r="BM39" s="54">
        <f t="shared" si="342"/>
        <v>44021</v>
      </c>
      <c r="BN39" s="54">
        <f t="shared" si="342"/>
        <v>44022</v>
      </c>
      <c r="BO39" s="54">
        <f t="shared" si="342"/>
        <v>44023</v>
      </c>
      <c r="BP39" s="53">
        <v>12</v>
      </c>
      <c r="BQ39" s="54">
        <f t="shared" si="342"/>
        <v>44025</v>
      </c>
      <c r="BR39" s="54">
        <f t="shared" si="342"/>
        <v>44026</v>
      </c>
      <c r="BS39" s="54">
        <f t="shared" si="342"/>
        <v>44027</v>
      </c>
      <c r="BT39" s="54">
        <f t="shared" si="342"/>
        <v>44028</v>
      </c>
      <c r="BU39" s="54">
        <f t="shared" si="342"/>
        <v>44029</v>
      </c>
      <c r="BV39" s="54">
        <f t="shared" si="342"/>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3">DS38</f>
        <v>44067</v>
      </c>
      <c r="DT39" s="54">
        <f t="shared" si="343"/>
        <v>44068</v>
      </c>
      <c r="DU39" s="54">
        <f t="shared" si="343"/>
        <v>44069</v>
      </c>
      <c r="DV39" s="54">
        <f t="shared" si="343"/>
        <v>44070</v>
      </c>
      <c r="DW39" s="54">
        <f t="shared" si="343"/>
        <v>44071</v>
      </c>
      <c r="DX39" s="54">
        <f t="shared" ref="DX39:DY39" si="344">DX38</f>
        <v>44072</v>
      </c>
      <c r="DY39" s="54">
        <f t="shared" si="344"/>
        <v>44073</v>
      </c>
      <c r="DZ39" s="54"/>
      <c r="EA39" s="53"/>
      <c r="EB39" s="54">
        <f t="shared" si="343"/>
        <v>44074</v>
      </c>
      <c r="EC39" s="54">
        <f t="shared" si="343"/>
        <v>44075</v>
      </c>
      <c r="ED39" s="54">
        <f t="shared" si="343"/>
        <v>44076</v>
      </c>
      <c r="EE39" s="54">
        <f t="shared" si="343"/>
        <v>44077</v>
      </c>
      <c r="EF39" s="54">
        <f t="shared" si="343"/>
        <v>44078</v>
      </c>
      <c r="EG39" s="54">
        <f t="shared" si="343"/>
        <v>44079</v>
      </c>
      <c r="EH39" s="54">
        <f t="shared" si="343"/>
        <v>44080</v>
      </c>
      <c r="EI39" s="54"/>
      <c r="EJ39" s="53"/>
      <c r="EK39" s="54">
        <f t="shared" si="343"/>
        <v>44081</v>
      </c>
      <c r="EL39" s="54">
        <f t="shared" si="343"/>
        <v>44082</v>
      </c>
      <c r="EM39" s="54">
        <f t="shared" si="343"/>
        <v>44083</v>
      </c>
      <c r="EN39" s="54">
        <f t="shared" si="343"/>
        <v>44084</v>
      </c>
      <c r="EO39" s="54">
        <f t="shared" si="343"/>
        <v>44085</v>
      </c>
      <c r="EP39" s="54">
        <f t="shared" si="343"/>
        <v>44086</v>
      </c>
      <c r="EQ39" s="54">
        <f t="shared" si="343"/>
        <v>44087</v>
      </c>
      <c r="ER39" s="54"/>
      <c r="ES39" s="53"/>
      <c r="ET39" s="54">
        <f t="shared" si="343"/>
        <v>44088</v>
      </c>
      <c r="EU39" s="54">
        <f t="shared" si="343"/>
        <v>44089</v>
      </c>
      <c r="EV39" s="54">
        <f t="shared" si="343"/>
        <v>44090</v>
      </c>
      <c r="EW39" s="54">
        <f t="shared" si="343"/>
        <v>44091</v>
      </c>
      <c r="EX39" s="54">
        <f t="shared" si="343"/>
        <v>44092</v>
      </c>
      <c r="EY39" s="54">
        <f t="shared" si="343"/>
        <v>44093</v>
      </c>
      <c r="EZ39" s="53">
        <f t="shared" si="343"/>
        <v>44094</v>
      </c>
      <c r="FA39" s="54">
        <f t="shared" si="343"/>
        <v>44095</v>
      </c>
      <c r="FB39" s="54">
        <f t="shared" si="343"/>
        <v>44096</v>
      </c>
      <c r="FC39" s="54">
        <f t="shared" si="343"/>
        <v>44097</v>
      </c>
      <c r="FD39" s="54">
        <f t="shared" si="343"/>
        <v>44098</v>
      </c>
      <c r="FE39" s="54">
        <f t="shared" si="343"/>
        <v>44099</v>
      </c>
      <c r="FF39" s="54">
        <f t="shared" si="343"/>
        <v>44100</v>
      </c>
      <c r="FG39" s="53">
        <f t="shared" si="343"/>
        <v>44101</v>
      </c>
      <c r="FH39" s="54">
        <f t="shared" si="343"/>
        <v>44102</v>
      </c>
      <c r="FI39" s="54">
        <f t="shared" ref="FI39:HT39" si="345">FI38</f>
        <v>44103</v>
      </c>
      <c r="FJ39" s="54">
        <f t="shared" si="345"/>
        <v>44104</v>
      </c>
      <c r="FK39" s="54">
        <f t="shared" si="345"/>
        <v>44105</v>
      </c>
      <c r="FL39" s="54">
        <f t="shared" si="345"/>
        <v>44106</v>
      </c>
      <c r="FM39" s="54">
        <f t="shared" si="345"/>
        <v>44107</v>
      </c>
      <c r="FN39" s="53">
        <f t="shared" si="345"/>
        <v>44108</v>
      </c>
      <c r="FO39" s="54">
        <f t="shared" si="345"/>
        <v>44109</v>
      </c>
      <c r="FP39" s="54">
        <f t="shared" si="345"/>
        <v>44110</v>
      </c>
      <c r="FQ39" s="54">
        <f t="shared" si="345"/>
        <v>44111</v>
      </c>
      <c r="FR39" s="54">
        <f t="shared" si="345"/>
        <v>44112</v>
      </c>
      <c r="FS39" s="54">
        <f t="shared" si="345"/>
        <v>44113</v>
      </c>
      <c r="FT39" s="54">
        <f t="shared" si="345"/>
        <v>44114</v>
      </c>
      <c r="FU39" s="53">
        <f t="shared" si="345"/>
        <v>44115</v>
      </c>
      <c r="FV39" s="54">
        <f t="shared" si="345"/>
        <v>44116</v>
      </c>
      <c r="FW39" s="54">
        <f t="shared" si="345"/>
        <v>44117</v>
      </c>
      <c r="FX39" s="54">
        <f t="shared" si="345"/>
        <v>44118</v>
      </c>
      <c r="FY39" s="54">
        <f t="shared" si="345"/>
        <v>44119</v>
      </c>
      <c r="FZ39" s="54">
        <f t="shared" si="345"/>
        <v>44120</v>
      </c>
      <c r="GA39" s="54">
        <f t="shared" si="345"/>
        <v>44121</v>
      </c>
      <c r="GB39" s="53">
        <f t="shared" si="345"/>
        <v>44122</v>
      </c>
      <c r="GC39" s="54">
        <f t="shared" si="345"/>
        <v>44123</v>
      </c>
      <c r="GD39" s="54">
        <f t="shared" si="345"/>
        <v>44124</v>
      </c>
      <c r="GE39" s="54">
        <f t="shared" si="345"/>
        <v>44125</v>
      </c>
      <c r="GF39" s="54">
        <f t="shared" si="345"/>
        <v>44126</v>
      </c>
      <c r="GG39" s="54">
        <f t="shared" si="345"/>
        <v>44127</v>
      </c>
      <c r="GH39" s="54">
        <f t="shared" si="345"/>
        <v>44128</v>
      </c>
      <c r="GI39" s="53">
        <f t="shared" si="345"/>
        <v>44129</v>
      </c>
      <c r="GJ39" s="54">
        <f t="shared" si="345"/>
        <v>44130</v>
      </c>
      <c r="GK39" s="54">
        <f t="shared" si="345"/>
        <v>44131</v>
      </c>
      <c r="GL39" s="54">
        <f t="shared" si="345"/>
        <v>44132</v>
      </c>
      <c r="GM39" s="54">
        <f t="shared" si="345"/>
        <v>44133</v>
      </c>
      <c r="GN39" s="54">
        <f t="shared" si="345"/>
        <v>44134</v>
      </c>
      <c r="GO39" s="54">
        <f t="shared" si="345"/>
        <v>44135</v>
      </c>
      <c r="GP39" s="53">
        <f t="shared" si="345"/>
        <v>44136</v>
      </c>
      <c r="GQ39" s="54">
        <f t="shared" si="345"/>
        <v>44137</v>
      </c>
      <c r="GR39" s="54">
        <f t="shared" si="345"/>
        <v>44138</v>
      </c>
      <c r="GS39" s="54">
        <f t="shared" si="345"/>
        <v>44139</v>
      </c>
      <c r="GT39" s="54">
        <f t="shared" si="345"/>
        <v>44140</v>
      </c>
      <c r="GU39" s="54">
        <f t="shared" si="345"/>
        <v>44141</v>
      </c>
      <c r="GV39" s="54">
        <f t="shared" si="345"/>
        <v>44142</v>
      </c>
      <c r="GW39" s="53">
        <f t="shared" si="345"/>
        <v>44143</v>
      </c>
      <c r="GX39" s="54">
        <f t="shared" si="345"/>
        <v>44144</v>
      </c>
      <c r="GY39" s="54">
        <f t="shared" si="345"/>
        <v>44145</v>
      </c>
      <c r="GZ39" s="54">
        <f t="shared" si="345"/>
        <v>44146</v>
      </c>
      <c r="HA39" s="54">
        <f t="shared" si="345"/>
        <v>44147</v>
      </c>
      <c r="HB39" s="54">
        <f t="shared" si="345"/>
        <v>44148</v>
      </c>
      <c r="HC39" s="54">
        <f t="shared" si="345"/>
        <v>44149</v>
      </c>
      <c r="HD39" s="53">
        <f t="shared" si="345"/>
        <v>44150</v>
      </c>
      <c r="HE39" s="54">
        <f t="shared" si="345"/>
        <v>44151</v>
      </c>
      <c r="HF39" s="54">
        <f t="shared" si="345"/>
        <v>44152</v>
      </c>
      <c r="HG39" s="54">
        <f t="shared" si="345"/>
        <v>44153</v>
      </c>
      <c r="HH39" s="54">
        <f t="shared" si="345"/>
        <v>44154</v>
      </c>
      <c r="HI39" s="54">
        <f t="shared" si="345"/>
        <v>44155</v>
      </c>
      <c r="HJ39" s="54">
        <f t="shared" si="345"/>
        <v>44156</v>
      </c>
      <c r="HK39" s="53">
        <f t="shared" si="345"/>
        <v>44157</v>
      </c>
      <c r="HL39" s="54">
        <f t="shared" si="345"/>
        <v>44158</v>
      </c>
      <c r="HM39" s="54">
        <f t="shared" si="345"/>
        <v>44159</v>
      </c>
      <c r="HN39" s="54">
        <f t="shared" si="345"/>
        <v>44160</v>
      </c>
      <c r="HO39" s="54">
        <f t="shared" si="345"/>
        <v>44161</v>
      </c>
      <c r="HP39" s="54">
        <f t="shared" si="345"/>
        <v>44162</v>
      </c>
      <c r="HQ39" s="54">
        <f t="shared" si="345"/>
        <v>44163</v>
      </c>
      <c r="HR39" s="53">
        <f t="shared" si="345"/>
        <v>44164</v>
      </c>
      <c r="HS39" s="54">
        <f t="shared" si="345"/>
        <v>44165</v>
      </c>
      <c r="HT39" s="54">
        <f t="shared" si="345"/>
        <v>44166</v>
      </c>
      <c r="HU39" s="54">
        <f t="shared" ref="HU39:KF39" si="346">HU38</f>
        <v>44167</v>
      </c>
      <c r="HV39" s="54">
        <f t="shared" si="346"/>
        <v>44168</v>
      </c>
      <c r="HW39" s="54">
        <f t="shared" si="346"/>
        <v>44169</v>
      </c>
      <c r="HX39" s="54">
        <f t="shared" si="346"/>
        <v>44170</v>
      </c>
      <c r="HY39" s="53">
        <f t="shared" si="346"/>
        <v>44171</v>
      </c>
      <c r="HZ39" s="54">
        <f t="shared" si="346"/>
        <v>44172</v>
      </c>
      <c r="IA39" s="54">
        <f t="shared" si="346"/>
        <v>44173</v>
      </c>
      <c r="IB39" s="54">
        <f t="shared" si="346"/>
        <v>44174</v>
      </c>
      <c r="IC39" s="54">
        <f t="shared" si="346"/>
        <v>44175</v>
      </c>
      <c r="ID39" s="54">
        <f t="shared" si="346"/>
        <v>44176</v>
      </c>
      <c r="IE39" s="54">
        <f t="shared" si="346"/>
        <v>44177</v>
      </c>
      <c r="IF39" s="53">
        <f t="shared" si="346"/>
        <v>44178</v>
      </c>
      <c r="IG39" s="54">
        <f t="shared" si="346"/>
        <v>44179</v>
      </c>
      <c r="IH39" s="54">
        <f t="shared" si="346"/>
        <v>44180</v>
      </c>
      <c r="II39" s="54">
        <f t="shared" si="346"/>
        <v>44181</v>
      </c>
      <c r="IJ39" s="54">
        <f t="shared" si="346"/>
        <v>44182</v>
      </c>
      <c r="IK39" s="54">
        <f t="shared" si="346"/>
        <v>44183</v>
      </c>
      <c r="IL39" s="54">
        <f t="shared" si="346"/>
        <v>44184</v>
      </c>
      <c r="IM39" s="53">
        <f t="shared" si="346"/>
        <v>44185</v>
      </c>
      <c r="IN39" s="54">
        <f t="shared" si="346"/>
        <v>44186</v>
      </c>
      <c r="IO39" s="54">
        <f t="shared" si="346"/>
        <v>44187</v>
      </c>
      <c r="IP39" s="54">
        <f t="shared" si="346"/>
        <v>44188</v>
      </c>
      <c r="IQ39" s="54">
        <f t="shared" si="346"/>
        <v>44189</v>
      </c>
      <c r="IR39" s="54">
        <f t="shared" si="346"/>
        <v>44190</v>
      </c>
      <c r="IS39" s="54">
        <f t="shared" si="346"/>
        <v>44191</v>
      </c>
      <c r="IT39" s="53">
        <f t="shared" si="346"/>
        <v>44192</v>
      </c>
      <c r="IU39" s="54">
        <f t="shared" si="346"/>
        <v>44193</v>
      </c>
      <c r="IV39" s="54">
        <f t="shared" si="346"/>
        <v>44194</v>
      </c>
      <c r="IW39" s="54">
        <f t="shared" si="346"/>
        <v>44195</v>
      </c>
      <c r="IX39" s="54">
        <f t="shared" si="346"/>
        <v>44196</v>
      </c>
      <c r="IY39" s="54">
        <f t="shared" si="346"/>
        <v>44197</v>
      </c>
      <c r="IZ39" s="54">
        <f t="shared" si="346"/>
        <v>44198</v>
      </c>
      <c r="JA39" s="53">
        <f t="shared" si="346"/>
        <v>44199</v>
      </c>
      <c r="JB39" s="54">
        <f t="shared" si="346"/>
        <v>44200</v>
      </c>
      <c r="JC39" s="54">
        <f t="shared" si="346"/>
        <v>44201</v>
      </c>
      <c r="JD39" s="54">
        <f t="shared" si="346"/>
        <v>44202</v>
      </c>
      <c r="JE39" s="54">
        <f t="shared" si="346"/>
        <v>44203</v>
      </c>
      <c r="JF39" s="54">
        <f t="shared" si="346"/>
        <v>44204</v>
      </c>
      <c r="JG39" s="54">
        <f t="shared" si="346"/>
        <v>44205</v>
      </c>
      <c r="JH39" s="53">
        <f t="shared" si="346"/>
        <v>44206</v>
      </c>
      <c r="JI39" s="54">
        <f t="shared" si="346"/>
        <v>44207</v>
      </c>
      <c r="JJ39" s="54">
        <f t="shared" si="346"/>
        <v>44208</v>
      </c>
      <c r="JK39" s="54">
        <f t="shared" si="346"/>
        <v>44209</v>
      </c>
      <c r="JL39" s="54">
        <f t="shared" si="346"/>
        <v>44210</v>
      </c>
      <c r="JM39" s="54">
        <f t="shared" si="346"/>
        <v>44211</v>
      </c>
      <c r="JN39" s="54">
        <f t="shared" si="346"/>
        <v>44212</v>
      </c>
      <c r="JO39" s="53">
        <f t="shared" si="346"/>
        <v>44213</v>
      </c>
      <c r="JP39" s="54">
        <f t="shared" si="346"/>
        <v>44214</v>
      </c>
      <c r="JQ39" s="54">
        <f t="shared" si="346"/>
        <v>44215</v>
      </c>
      <c r="JR39" s="54">
        <f t="shared" si="346"/>
        <v>44216</v>
      </c>
      <c r="JS39" s="54">
        <f t="shared" si="346"/>
        <v>44217</v>
      </c>
      <c r="JT39" s="54">
        <f t="shared" si="346"/>
        <v>44218</v>
      </c>
      <c r="JU39" s="54">
        <f t="shared" si="346"/>
        <v>44219</v>
      </c>
      <c r="JV39" s="53">
        <f t="shared" si="346"/>
        <v>44220</v>
      </c>
      <c r="JW39" s="54">
        <f t="shared" si="346"/>
        <v>44221</v>
      </c>
      <c r="JX39" s="54">
        <f t="shared" si="346"/>
        <v>44222</v>
      </c>
      <c r="JY39" s="54">
        <f t="shared" si="346"/>
        <v>44223</v>
      </c>
      <c r="JZ39" s="54">
        <f t="shared" si="346"/>
        <v>44224</v>
      </c>
      <c r="KA39" s="54">
        <f t="shared" si="346"/>
        <v>44225</v>
      </c>
      <c r="KB39" s="54">
        <f t="shared" si="346"/>
        <v>44226</v>
      </c>
      <c r="KC39" s="53">
        <f t="shared" si="346"/>
        <v>44227</v>
      </c>
      <c r="KD39" s="54">
        <f t="shared" si="346"/>
        <v>44228</v>
      </c>
      <c r="KE39" s="54">
        <f t="shared" si="346"/>
        <v>44229</v>
      </c>
      <c r="KF39" s="54">
        <f t="shared" si="346"/>
        <v>44230</v>
      </c>
      <c r="KG39" s="54">
        <f t="shared" ref="KG39:MN39" si="347">KG38</f>
        <v>44231</v>
      </c>
      <c r="KH39" s="54">
        <f t="shared" si="347"/>
        <v>44232</v>
      </c>
      <c r="KI39" s="54">
        <f t="shared" si="347"/>
        <v>44233</v>
      </c>
      <c r="KJ39" s="53">
        <f t="shared" si="347"/>
        <v>44234</v>
      </c>
      <c r="KK39" s="54">
        <f t="shared" si="347"/>
        <v>44235</v>
      </c>
      <c r="KL39" s="54">
        <f t="shared" si="347"/>
        <v>44236</v>
      </c>
      <c r="KM39" s="54">
        <f t="shared" si="347"/>
        <v>44237</v>
      </c>
      <c r="KN39" s="54">
        <f t="shared" si="347"/>
        <v>44238</v>
      </c>
      <c r="KO39" s="54">
        <f t="shared" si="347"/>
        <v>44239</v>
      </c>
      <c r="KP39" s="54">
        <f t="shared" si="347"/>
        <v>44240</v>
      </c>
      <c r="KQ39" s="53">
        <f t="shared" si="347"/>
        <v>44241</v>
      </c>
      <c r="KR39" s="54">
        <f t="shared" si="347"/>
        <v>44242</v>
      </c>
      <c r="KS39" s="54">
        <f t="shared" si="347"/>
        <v>44243</v>
      </c>
      <c r="KT39" s="54">
        <f t="shared" si="347"/>
        <v>44244</v>
      </c>
      <c r="KU39" s="54">
        <f t="shared" si="347"/>
        <v>44245</v>
      </c>
      <c r="KV39" s="54">
        <f t="shared" si="347"/>
        <v>44246</v>
      </c>
      <c r="KW39" s="54">
        <f t="shared" si="347"/>
        <v>44247</v>
      </c>
      <c r="KX39" s="53">
        <f t="shared" si="347"/>
        <v>44248</v>
      </c>
      <c r="KY39" s="54">
        <f t="shared" si="347"/>
        <v>44249</v>
      </c>
      <c r="KZ39" s="54">
        <f t="shared" si="347"/>
        <v>44250</v>
      </c>
      <c r="LA39" s="54">
        <f t="shared" si="347"/>
        <v>44251</v>
      </c>
      <c r="LB39" s="54">
        <f t="shared" si="347"/>
        <v>44252</v>
      </c>
      <c r="LC39" s="54">
        <f t="shared" si="347"/>
        <v>44253</v>
      </c>
      <c r="LD39" s="54">
        <f t="shared" si="347"/>
        <v>44254</v>
      </c>
      <c r="LE39" s="53">
        <f t="shared" si="347"/>
        <v>44255</v>
      </c>
      <c r="LF39" s="54">
        <f t="shared" si="347"/>
        <v>44256</v>
      </c>
      <c r="LG39" s="54">
        <f t="shared" si="347"/>
        <v>44257</v>
      </c>
      <c r="LH39" s="54">
        <f t="shared" si="347"/>
        <v>44258</v>
      </c>
      <c r="LI39" s="54">
        <f t="shared" si="347"/>
        <v>44259</v>
      </c>
      <c r="LJ39" s="54">
        <f t="shared" si="347"/>
        <v>44260</v>
      </c>
      <c r="LK39" s="54">
        <f t="shared" si="347"/>
        <v>44261</v>
      </c>
      <c r="LL39" s="53">
        <f t="shared" si="347"/>
        <v>44262</v>
      </c>
      <c r="LM39" s="54">
        <f t="shared" si="347"/>
        <v>44263</v>
      </c>
      <c r="LN39" s="54">
        <f t="shared" si="347"/>
        <v>44264</v>
      </c>
      <c r="LO39" s="54">
        <f t="shared" si="347"/>
        <v>44265</v>
      </c>
      <c r="LP39" s="54">
        <f t="shared" si="347"/>
        <v>44266</v>
      </c>
      <c r="LQ39" s="54">
        <f t="shared" si="347"/>
        <v>44267</v>
      </c>
      <c r="LR39" s="54">
        <f t="shared" si="347"/>
        <v>44268</v>
      </c>
      <c r="LS39" s="53">
        <f t="shared" si="347"/>
        <v>44269</v>
      </c>
      <c r="LT39" s="54">
        <f t="shared" si="347"/>
        <v>44270</v>
      </c>
      <c r="LU39" s="54">
        <f t="shared" si="347"/>
        <v>44271</v>
      </c>
      <c r="LV39" s="54">
        <f t="shared" si="347"/>
        <v>44272</v>
      </c>
      <c r="LW39" s="54">
        <f t="shared" si="347"/>
        <v>44273</v>
      </c>
      <c r="LX39" s="54">
        <f t="shared" si="347"/>
        <v>44274</v>
      </c>
      <c r="LY39" s="54">
        <f t="shared" si="347"/>
        <v>44275</v>
      </c>
      <c r="LZ39" s="53">
        <f t="shared" si="347"/>
        <v>44276</v>
      </c>
      <c r="MA39" s="54">
        <f t="shared" si="347"/>
        <v>44277</v>
      </c>
      <c r="MB39" s="54">
        <f t="shared" si="347"/>
        <v>44278</v>
      </c>
      <c r="MC39" s="54">
        <f t="shared" si="347"/>
        <v>44279</v>
      </c>
      <c r="MD39" s="54">
        <f t="shared" si="347"/>
        <v>44280</v>
      </c>
      <c r="ME39" s="54">
        <f t="shared" si="347"/>
        <v>44281</v>
      </c>
      <c r="MF39" s="54">
        <f t="shared" si="347"/>
        <v>44282</v>
      </c>
      <c r="MG39" s="53">
        <f t="shared" si="347"/>
        <v>44283</v>
      </c>
      <c r="MH39" s="54">
        <f t="shared" si="347"/>
        <v>44284</v>
      </c>
      <c r="MI39" s="54">
        <f t="shared" si="347"/>
        <v>44285</v>
      </c>
      <c r="MJ39" s="54">
        <f t="shared" si="347"/>
        <v>44286</v>
      </c>
      <c r="MK39" s="54">
        <f t="shared" si="347"/>
        <v>44287</v>
      </c>
      <c r="ML39" s="54">
        <f t="shared" si="347"/>
        <v>44288</v>
      </c>
      <c r="MM39" s="54">
        <f t="shared" si="347"/>
        <v>44289</v>
      </c>
      <c r="MN39" s="53">
        <f t="shared" si="347"/>
        <v>44290</v>
      </c>
    </row>
    <row r="40" spans="1:352" ht="15" customHeight="1" x14ac:dyDescent="0.25">
      <c r="A40" s="141"/>
      <c r="B40" s="141"/>
      <c r="C40" s="141"/>
      <c r="D40" s="141"/>
      <c r="E40" s="142"/>
      <c r="F40" s="19"/>
      <c r="G40" s="19"/>
      <c r="H40" s="19"/>
      <c r="I40" s="19"/>
      <c r="J40" s="19"/>
      <c r="K40" s="19"/>
      <c r="L40" s="19"/>
      <c r="M40" s="19"/>
      <c r="N40" s="19"/>
      <c r="O40" s="9"/>
      <c r="P40" s="144"/>
      <c r="Q40" s="144"/>
      <c r="R40" s="146"/>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38</v>
      </c>
      <c r="EF40" s="25" t="s">
        <v>38</v>
      </c>
      <c r="EG40" s="25"/>
      <c r="EH40" s="25"/>
      <c r="EI40" s="25"/>
      <c r="EJ40" s="24"/>
      <c r="EK40" s="25"/>
      <c r="EL40" s="25" t="s">
        <v>38</v>
      </c>
      <c r="EM40" s="25"/>
      <c r="EN40" s="25" t="s">
        <v>38</v>
      </c>
      <c r="EO40" s="25" t="s">
        <v>38</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3" t="s">
        <v>147</v>
      </c>
      <c r="G41" s="40" t="s">
        <v>146</v>
      </c>
      <c r="H41" s="40" t="s">
        <v>119</v>
      </c>
      <c r="I41" s="11" t="s">
        <v>41</v>
      </c>
      <c r="J41" s="11" t="s">
        <v>118</v>
      </c>
      <c r="K41" s="11" t="s">
        <v>42</v>
      </c>
      <c r="L41" s="11" t="s">
        <v>117</v>
      </c>
      <c r="M41" s="11" t="s">
        <v>47</v>
      </c>
      <c r="N41" s="11" t="s">
        <v>100</v>
      </c>
      <c r="O41" s="12"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48">IF($E44 &gt;= F$42, 1, "")</f>
        <v>1</v>
      </c>
      <c r="G44" s="19">
        <f t="shared" si="348"/>
        <v>1</v>
      </c>
      <c r="H44" s="19">
        <f t="shared" si="348"/>
        <v>1</v>
      </c>
      <c r="I44" s="19">
        <f t="shared" si="348"/>
        <v>1</v>
      </c>
      <c r="J44" s="19">
        <f t="shared" si="348"/>
        <v>1</v>
      </c>
      <c r="K44" s="19">
        <f t="shared" si="348"/>
        <v>1</v>
      </c>
      <c r="L44" s="19" t="str">
        <f t="shared" si="348"/>
        <v/>
      </c>
      <c r="M44" s="8">
        <v>1</v>
      </c>
      <c r="N44" s="8"/>
      <c r="O44" s="9"/>
      <c r="P44" s="8">
        <f t="shared" ref="P44:P63" si="349">IF(SUM(S44:MN44) &gt; 0, SUM(S44:MN44), "")</f>
        <v>13</v>
      </c>
      <c r="Q44" s="109">
        <f t="shared" ref="Q44:Q63" si="350">IF(SUM(S44:XFD44) &gt; 0, SUM(S44:XFD44) / $P$64 * 100, "")</f>
        <v>68.421052631578945</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J44" s="7"/>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48"/>
        <v>1</v>
      </c>
      <c r="G45" s="19">
        <f t="shared" si="348"/>
        <v>1</v>
      </c>
      <c r="H45" s="19">
        <f t="shared" si="348"/>
        <v>1</v>
      </c>
      <c r="I45" s="19">
        <f t="shared" si="348"/>
        <v>1</v>
      </c>
      <c r="J45" s="19">
        <f t="shared" si="348"/>
        <v>1</v>
      </c>
      <c r="K45" s="19">
        <f t="shared" si="348"/>
        <v>1</v>
      </c>
      <c r="L45" s="19" t="str">
        <f t="shared" si="348"/>
        <v/>
      </c>
      <c r="M45" s="8">
        <v>1</v>
      </c>
      <c r="N45" s="8"/>
      <c r="O45" s="9"/>
      <c r="P45" s="8">
        <f t="shared" si="349"/>
        <v>2</v>
      </c>
      <c r="Q45" s="109">
        <f t="shared" si="350"/>
        <v>10.526315789473683</v>
      </c>
      <c r="R45" s="84"/>
      <c r="S45" s="7"/>
      <c r="Z45" s="7"/>
      <c r="AG45" s="7"/>
      <c r="AN45" s="7"/>
      <c r="AU45" s="7"/>
      <c r="BB45" s="7"/>
      <c r="BI45" s="7"/>
      <c r="BP45" s="7"/>
      <c r="BY45" s="7"/>
      <c r="CH45" s="7"/>
      <c r="CQ45" s="7"/>
      <c r="CZ45" s="7"/>
      <c r="DI45" s="7"/>
      <c r="DR45" s="7"/>
      <c r="DT45">
        <v>1</v>
      </c>
      <c r="DW45">
        <v>1</v>
      </c>
      <c r="EA45" s="7"/>
      <c r="EC45" t="s">
        <v>466</v>
      </c>
      <c r="EJ45" s="7"/>
      <c r="EL45" t="s">
        <v>465</v>
      </c>
      <c r="ES45" s="7"/>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48"/>
        <v>1</v>
      </c>
      <c r="G46" s="19">
        <f t="shared" si="348"/>
        <v>1</v>
      </c>
      <c r="H46" s="19">
        <f t="shared" si="348"/>
        <v>1</v>
      </c>
      <c r="I46" s="19">
        <f t="shared" si="348"/>
        <v>1</v>
      </c>
      <c r="J46" s="19">
        <f t="shared" si="348"/>
        <v>1</v>
      </c>
      <c r="K46" s="19" t="str">
        <f t="shared" si="348"/>
        <v/>
      </c>
      <c r="L46" s="19" t="str">
        <f t="shared" si="348"/>
        <v/>
      </c>
      <c r="M46" s="8">
        <v>1</v>
      </c>
      <c r="N46" s="8"/>
      <c r="O46" s="9"/>
      <c r="P46" s="8">
        <f t="shared" si="349"/>
        <v>18</v>
      </c>
      <c r="Q46" s="109">
        <f t="shared" si="350"/>
        <v>94.73684210526315</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J46" s="7"/>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48"/>
        <v>1</v>
      </c>
      <c r="G47" s="19">
        <f t="shared" si="348"/>
        <v>1</v>
      </c>
      <c r="H47" s="19">
        <f t="shared" si="348"/>
        <v>1</v>
      </c>
      <c r="I47" s="19">
        <f t="shared" si="348"/>
        <v>1</v>
      </c>
      <c r="J47" s="19" t="str">
        <f t="shared" si="348"/>
        <v/>
      </c>
      <c r="K47" s="19" t="str">
        <f t="shared" si="348"/>
        <v/>
      </c>
      <c r="L47" s="19" t="str">
        <f t="shared" si="348"/>
        <v/>
      </c>
      <c r="M47" s="8">
        <v>1</v>
      </c>
      <c r="N47" s="8"/>
      <c r="O47" s="9"/>
      <c r="P47" s="8">
        <f t="shared" si="349"/>
        <v>17</v>
      </c>
      <c r="Q47" s="109">
        <f t="shared" si="350"/>
        <v>89.473684210526315</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J47" s="7"/>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48"/>
        <v>1</v>
      </c>
      <c r="G48" s="19">
        <f t="shared" si="348"/>
        <v>1</v>
      </c>
      <c r="H48" s="19" t="str">
        <f t="shared" si="348"/>
        <v/>
      </c>
      <c r="I48" s="19" t="str">
        <f t="shared" si="348"/>
        <v/>
      </c>
      <c r="J48" s="19" t="str">
        <f t="shared" si="348"/>
        <v/>
      </c>
      <c r="K48" s="19" t="str">
        <f t="shared" si="348"/>
        <v/>
      </c>
      <c r="L48" s="19" t="str">
        <f t="shared" si="348"/>
        <v/>
      </c>
      <c r="M48" s="8">
        <v>1</v>
      </c>
      <c r="N48" s="8"/>
      <c r="O48" s="9"/>
      <c r="P48" s="8">
        <f t="shared" si="349"/>
        <v>5</v>
      </c>
      <c r="Q48" s="109">
        <f t="shared" si="350"/>
        <v>26.315789473684209</v>
      </c>
      <c r="R48" s="84"/>
      <c r="S48" s="7"/>
      <c r="Z48" s="7"/>
      <c r="AG48" s="7"/>
      <c r="AI48">
        <v>1</v>
      </c>
      <c r="AN48" s="7"/>
      <c r="AR48">
        <v>1</v>
      </c>
      <c r="AU48" s="7"/>
      <c r="BB48" s="7"/>
      <c r="BD48">
        <v>1</v>
      </c>
      <c r="BI48" s="7"/>
      <c r="BM48">
        <v>1</v>
      </c>
      <c r="BN48">
        <v>1</v>
      </c>
      <c r="BP48" s="7"/>
      <c r="BY48" s="7"/>
      <c r="CH48" s="7"/>
      <c r="CQ48" s="7"/>
      <c r="CZ48" s="7"/>
      <c r="DI48" s="7"/>
      <c r="DR48" s="7"/>
      <c r="DT48" t="s">
        <v>448</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48"/>
        <v>1</v>
      </c>
      <c r="G49" s="19">
        <f t="shared" si="348"/>
        <v>1</v>
      </c>
      <c r="H49" s="19" t="str">
        <f t="shared" si="348"/>
        <v/>
      </c>
      <c r="I49" s="19" t="str">
        <f t="shared" si="348"/>
        <v/>
      </c>
      <c r="J49" s="19" t="str">
        <f t="shared" si="348"/>
        <v/>
      </c>
      <c r="K49" s="19" t="str">
        <f t="shared" si="348"/>
        <v/>
      </c>
      <c r="L49" s="19" t="str">
        <f t="shared" si="348"/>
        <v/>
      </c>
      <c r="M49" s="8">
        <v>1</v>
      </c>
      <c r="N49" s="8"/>
      <c r="O49" s="9"/>
      <c r="P49" s="8">
        <f t="shared" si="349"/>
        <v>6</v>
      </c>
      <c r="Q49" s="109">
        <f t="shared" si="350"/>
        <v>31.578947368421051</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48"/>
        <v>1</v>
      </c>
      <c r="G50" s="19">
        <f t="shared" si="348"/>
        <v>1</v>
      </c>
      <c r="H50" s="19">
        <f t="shared" si="348"/>
        <v>1</v>
      </c>
      <c r="I50" s="8">
        <f t="shared" si="348"/>
        <v>1</v>
      </c>
      <c r="J50" s="8">
        <f t="shared" si="348"/>
        <v>1</v>
      </c>
      <c r="K50" s="8">
        <f t="shared" si="348"/>
        <v>1</v>
      </c>
      <c r="L50" s="8" t="str">
        <f t="shared" si="348"/>
        <v/>
      </c>
      <c r="M50" s="8">
        <v>1</v>
      </c>
      <c r="N50" s="8"/>
      <c r="O50" s="9"/>
      <c r="P50" s="8">
        <f t="shared" si="349"/>
        <v>3</v>
      </c>
      <c r="Q50" s="109">
        <f t="shared" si="350"/>
        <v>15.789473684210526</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48"/>
        <v>1</v>
      </c>
      <c r="G51" s="19">
        <f t="shared" si="348"/>
        <v>1</v>
      </c>
      <c r="H51" s="19">
        <f t="shared" si="348"/>
        <v>1</v>
      </c>
      <c r="I51" s="19">
        <f t="shared" si="348"/>
        <v>1</v>
      </c>
      <c r="J51" s="19">
        <f t="shared" si="348"/>
        <v>1</v>
      </c>
      <c r="K51" s="19" t="str">
        <f t="shared" si="348"/>
        <v/>
      </c>
      <c r="L51" s="19" t="str">
        <f t="shared" si="348"/>
        <v/>
      </c>
      <c r="M51" s="8">
        <v>1</v>
      </c>
      <c r="N51" s="8"/>
      <c r="O51" s="9"/>
      <c r="P51" s="8">
        <f t="shared" si="349"/>
        <v>15</v>
      </c>
      <c r="Q51" s="109">
        <f t="shared" si="350"/>
        <v>78.94736842105263</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J51" s="7"/>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48"/>
        <v>1</v>
      </c>
      <c r="G52" s="19">
        <f t="shared" si="348"/>
        <v>1</v>
      </c>
      <c r="H52" s="19">
        <f t="shared" si="348"/>
        <v>1</v>
      </c>
      <c r="I52" s="8">
        <f t="shared" si="348"/>
        <v>1</v>
      </c>
      <c r="J52" s="8">
        <f t="shared" si="348"/>
        <v>1</v>
      </c>
      <c r="K52" s="8" t="str">
        <f t="shared" si="348"/>
        <v/>
      </c>
      <c r="L52" s="8" t="str">
        <f t="shared" si="348"/>
        <v/>
      </c>
      <c r="M52" s="8">
        <v>1</v>
      </c>
      <c r="N52" s="8"/>
      <c r="O52" s="9"/>
      <c r="P52" s="8">
        <f t="shared" si="349"/>
        <v>3</v>
      </c>
      <c r="Q52" s="109">
        <f t="shared" si="350"/>
        <v>15.789473684210526</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48"/>
        <v>1</v>
      </c>
      <c r="G53" s="19">
        <f t="shared" si="348"/>
        <v>1</v>
      </c>
      <c r="H53" s="19">
        <f t="shared" si="348"/>
        <v>1</v>
      </c>
      <c r="I53" s="8" t="str">
        <f t="shared" si="348"/>
        <v/>
      </c>
      <c r="J53" s="8" t="str">
        <f t="shared" si="348"/>
        <v/>
      </c>
      <c r="K53" s="8" t="str">
        <f t="shared" si="348"/>
        <v/>
      </c>
      <c r="L53" s="8" t="str">
        <f t="shared" si="348"/>
        <v/>
      </c>
      <c r="M53" s="8">
        <v>1</v>
      </c>
      <c r="N53" s="8"/>
      <c r="O53" s="9"/>
      <c r="P53" s="8">
        <f t="shared" si="349"/>
        <v>12</v>
      </c>
      <c r="Q53" s="109">
        <f t="shared" si="350"/>
        <v>63.157894736842103</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48"/>
        <v>1</v>
      </c>
      <c r="G54" s="19">
        <f t="shared" si="348"/>
        <v>1</v>
      </c>
      <c r="H54" s="19">
        <f t="shared" si="348"/>
        <v>1</v>
      </c>
      <c r="I54" s="8">
        <f t="shared" si="348"/>
        <v>1</v>
      </c>
      <c r="J54" s="8">
        <f t="shared" si="348"/>
        <v>1</v>
      </c>
      <c r="K54" s="8" t="str">
        <f t="shared" si="348"/>
        <v/>
      </c>
      <c r="L54" s="8" t="str">
        <f t="shared" si="348"/>
        <v/>
      </c>
      <c r="M54" s="8">
        <v>1</v>
      </c>
      <c r="N54" s="8"/>
      <c r="O54" s="9"/>
      <c r="P54" s="8">
        <f t="shared" si="349"/>
        <v>5</v>
      </c>
      <c r="Q54" s="109">
        <f t="shared" si="350"/>
        <v>26.315789473684209</v>
      </c>
      <c r="R54" s="84"/>
      <c r="S54" s="7"/>
      <c r="Z54" s="7"/>
      <c r="AG54" s="7"/>
      <c r="AN54" s="7"/>
      <c r="AP54">
        <v>1</v>
      </c>
      <c r="AR54">
        <v>1</v>
      </c>
      <c r="AU54" s="7"/>
      <c r="AW54">
        <v>1</v>
      </c>
      <c r="BB54" s="7"/>
      <c r="BI54" s="7"/>
      <c r="BM54">
        <v>1</v>
      </c>
      <c r="BN54">
        <v>1</v>
      </c>
      <c r="BP54" s="7"/>
      <c r="BY54" s="7"/>
      <c r="CH54" s="7"/>
      <c r="CQ54" s="7"/>
      <c r="CZ54" s="7"/>
      <c r="DI54" s="7"/>
      <c r="DR54" s="7"/>
      <c r="EA54" s="7"/>
      <c r="EJ54" s="7"/>
      <c r="ES54" s="7"/>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48"/>
        <v>1</v>
      </c>
      <c r="G55" s="19">
        <f t="shared" si="348"/>
        <v>1</v>
      </c>
      <c r="H55" s="19">
        <f t="shared" si="348"/>
        <v>1</v>
      </c>
      <c r="I55" s="8">
        <f t="shared" si="348"/>
        <v>1</v>
      </c>
      <c r="J55" s="8">
        <f t="shared" si="348"/>
        <v>1</v>
      </c>
      <c r="K55" s="8" t="str">
        <f t="shared" si="348"/>
        <v/>
      </c>
      <c r="L55" s="8" t="str">
        <f t="shared" si="348"/>
        <v/>
      </c>
      <c r="M55" s="8">
        <v>1</v>
      </c>
      <c r="N55" s="8"/>
      <c r="O55" s="9"/>
      <c r="P55" s="8">
        <f t="shared" si="349"/>
        <v>15</v>
      </c>
      <c r="Q55" s="109">
        <f t="shared" si="350"/>
        <v>78.94736842105263</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48"/>
        <v>1</v>
      </c>
      <c r="G56" s="19">
        <f t="shared" si="348"/>
        <v>1</v>
      </c>
      <c r="H56" s="19">
        <f t="shared" si="348"/>
        <v>1</v>
      </c>
      <c r="I56" s="8">
        <f t="shared" si="348"/>
        <v>1</v>
      </c>
      <c r="J56" s="8">
        <f t="shared" si="348"/>
        <v>1</v>
      </c>
      <c r="K56" s="8">
        <f t="shared" si="348"/>
        <v>1</v>
      </c>
      <c r="L56" s="8" t="str">
        <f t="shared" si="348"/>
        <v/>
      </c>
      <c r="M56" s="8">
        <v>1</v>
      </c>
      <c r="N56" s="8"/>
      <c r="O56" s="9"/>
      <c r="P56" s="8">
        <f t="shared" si="349"/>
        <v>4</v>
      </c>
      <c r="Q56" s="109">
        <f t="shared" si="350"/>
        <v>21.052631578947366</v>
      </c>
      <c r="R56" s="84"/>
      <c r="S56" s="7"/>
      <c r="Z56" s="7"/>
      <c r="AG56" s="7"/>
      <c r="AI56">
        <v>1</v>
      </c>
      <c r="AK56">
        <v>1</v>
      </c>
      <c r="AN56" s="7"/>
      <c r="AP56">
        <v>1</v>
      </c>
      <c r="AU56" s="7"/>
      <c r="AW56">
        <v>1</v>
      </c>
      <c r="BB56" s="7"/>
      <c r="BI56" s="7"/>
      <c r="BP56" s="7"/>
      <c r="BY56" s="7"/>
      <c r="CH56" s="7"/>
      <c r="CQ56" s="7"/>
      <c r="CZ56" s="7"/>
      <c r="DI56" s="7"/>
      <c r="DR56" s="7"/>
      <c r="EA56" s="7"/>
      <c r="EJ56" s="7"/>
      <c r="ES56" s="7"/>
      <c r="EU56" t="s">
        <v>447</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51">IF($E57 &gt;= F$42, 1, "")</f>
        <v>1</v>
      </c>
      <c r="G57" s="19">
        <f t="shared" si="351"/>
        <v>1</v>
      </c>
      <c r="H57" s="19">
        <f t="shared" si="351"/>
        <v>1</v>
      </c>
      <c r="I57" s="8">
        <f t="shared" si="351"/>
        <v>1</v>
      </c>
      <c r="J57" s="8">
        <f t="shared" si="351"/>
        <v>1</v>
      </c>
      <c r="K57" s="8">
        <f t="shared" si="351"/>
        <v>1</v>
      </c>
      <c r="L57" s="8" t="str">
        <f t="shared" si="351"/>
        <v/>
      </c>
      <c r="M57" s="8">
        <v>1</v>
      </c>
      <c r="N57" s="8"/>
      <c r="O57" s="9"/>
      <c r="P57" s="8">
        <f t="shared" si="349"/>
        <v>7</v>
      </c>
      <c r="Q57" s="109">
        <f t="shared" si="350"/>
        <v>36.84210526315789</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L57" t="s">
        <v>447</v>
      </c>
      <c r="ES57" s="7"/>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51"/>
        <v>1</v>
      </c>
      <c r="G58" s="19">
        <f t="shared" si="351"/>
        <v>1</v>
      </c>
      <c r="H58" s="19">
        <f t="shared" si="351"/>
        <v>1</v>
      </c>
      <c r="I58" s="8">
        <f t="shared" si="351"/>
        <v>1</v>
      </c>
      <c r="J58" s="8">
        <f t="shared" si="351"/>
        <v>1</v>
      </c>
      <c r="K58" s="8">
        <f t="shared" si="351"/>
        <v>1</v>
      </c>
      <c r="L58" s="8" t="str">
        <f t="shared" si="351"/>
        <v/>
      </c>
      <c r="M58" s="8">
        <v>1</v>
      </c>
      <c r="N58" s="8"/>
      <c r="O58" s="9"/>
      <c r="P58" s="8">
        <f t="shared" si="349"/>
        <v>8</v>
      </c>
      <c r="Q58" s="109">
        <f t="shared" si="350"/>
        <v>42.105263157894733</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447</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51"/>
        <v/>
      </c>
      <c r="G59" s="19" t="str">
        <f t="shared" si="351"/>
        <v/>
      </c>
      <c r="H59" s="19" t="str">
        <f t="shared" si="351"/>
        <v/>
      </c>
      <c r="I59" s="8" t="str">
        <f t="shared" si="351"/>
        <v/>
      </c>
      <c r="J59" s="8" t="str">
        <f t="shared" si="351"/>
        <v/>
      </c>
      <c r="K59" s="8" t="str">
        <f t="shared" si="351"/>
        <v/>
      </c>
      <c r="L59" s="8" t="str">
        <f t="shared" si="351"/>
        <v/>
      </c>
      <c r="M59" s="8"/>
      <c r="N59" s="8"/>
      <c r="O59" s="9"/>
      <c r="P59" s="8" t="str">
        <f t="shared" si="349"/>
        <v/>
      </c>
      <c r="Q59" s="109" t="str">
        <f t="shared" si="350"/>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51"/>
        <v/>
      </c>
      <c r="G60" s="19" t="str">
        <f t="shared" si="351"/>
        <v/>
      </c>
      <c r="H60" s="19" t="str">
        <f t="shared" si="351"/>
        <v/>
      </c>
      <c r="I60" s="8" t="str">
        <f t="shared" si="351"/>
        <v/>
      </c>
      <c r="J60" s="8" t="str">
        <f t="shared" si="351"/>
        <v/>
      </c>
      <c r="K60" s="8" t="str">
        <f t="shared" si="351"/>
        <v/>
      </c>
      <c r="L60" s="8" t="str">
        <f t="shared" si="351"/>
        <v/>
      </c>
      <c r="M60" s="8"/>
      <c r="N60" s="8"/>
      <c r="O60" s="9"/>
      <c r="P60" s="8" t="str">
        <f t="shared" si="349"/>
        <v/>
      </c>
      <c r="Q60" s="109" t="str">
        <f t="shared" si="350"/>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51"/>
        <v/>
      </c>
      <c r="G61" s="19" t="str">
        <f t="shared" si="351"/>
        <v/>
      </c>
      <c r="H61" s="19" t="str">
        <f t="shared" si="351"/>
        <v/>
      </c>
      <c r="I61" s="8" t="str">
        <f t="shared" si="351"/>
        <v/>
      </c>
      <c r="J61" s="8" t="str">
        <f t="shared" si="351"/>
        <v/>
      </c>
      <c r="K61" s="8" t="str">
        <f t="shared" si="351"/>
        <v/>
      </c>
      <c r="L61" s="8" t="str">
        <f t="shared" si="351"/>
        <v/>
      </c>
      <c r="M61" s="8"/>
      <c r="N61" s="8"/>
      <c r="O61" s="9"/>
      <c r="P61" s="8" t="str">
        <f t="shared" si="349"/>
        <v/>
      </c>
      <c r="Q61" s="109" t="str">
        <f t="shared" si="350"/>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51"/>
        <v/>
      </c>
      <c r="G62" s="19" t="str">
        <f t="shared" si="351"/>
        <v/>
      </c>
      <c r="H62" s="19" t="str">
        <f t="shared" si="351"/>
        <v/>
      </c>
      <c r="I62" s="8" t="str">
        <f t="shared" si="351"/>
        <v/>
      </c>
      <c r="J62" s="8" t="str">
        <f t="shared" si="351"/>
        <v/>
      </c>
      <c r="K62" s="8" t="str">
        <f t="shared" si="351"/>
        <v/>
      </c>
      <c r="L62" s="8" t="str">
        <f t="shared" si="351"/>
        <v/>
      </c>
      <c r="M62" s="8"/>
      <c r="N62" s="8"/>
      <c r="O62" s="9"/>
      <c r="P62" s="8" t="str">
        <f t="shared" si="349"/>
        <v/>
      </c>
      <c r="Q62" s="109" t="str">
        <f t="shared" si="350"/>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51"/>
        <v/>
      </c>
      <c r="G63" s="19" t="str">
        <f t="shared" si="351"/>
        <v/>
      </c>
      <c r="H63" s="19" t="str">
        <f t="shared" si="351"/>
        <v/>
      </c>
      <c r="I63" s="19" t="str">
        <f t="shared" si="351"/>
        <v/>
      </c>
      <c r="J63" s="19" t="str">
        <f t="shared" si="351"/>
        <v/>
      </c>
      <c r="K63" s="19" t="str">
        <f t="shared" si="351"/>
        <v/>
      </c>
      <c r="L63" s="19" t="str">
        <f t="shared" si="351"/>
        <v/>
      </c>
      <c r="M63" s="8"/>
      <c r="N63" s="8"/>
      <c r="O63" s="9"/>
      <c r="P63" s="8" t="str">
        <f t="shared" si="349"/>
        <v/>
      </c>
      <c r="Q63" s="109" t="str">
        <f t="shared" si="350"/>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19</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c r="EG64" s="20"/>
      <c r="EH64" s="20"/>
      <c r="EI64" s="20"/>
      <c r="EJ64" s="21"/>
      <c r="EK64" s="20"/>
      <c r="EL64" s="20"/>
      <c r="EM64" s="20"/>
      <c r="EN64" s="20"/>
      <c r="EO64" s="20"/>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10.545454545454545</v>
      </c>
      <c r="Q65" s="117">
        <f>P65 / P64 * 100</f>
        <v>55.502392344497608</v>
      </c>
      <c r="R65" s="83"/>
      <c r="S65" s="61" t="str">
        <f t="shared" ref="S65:CH65" si="352">IF(SUM(S42:S63) &gt; 0, SUM(S42:S63), "")</f>
        <v/>
      </c>
      <c r="T65" s="128" t="str">
        <f t="shared" si="352"/>
        <v/>
      </c>
      <c r="U65" s="128" t="str">
        <f t="shared" si="352"/>
        <v/>
      </c>
      <c r="V65" s="128" t="str">
        <f t="shared" si="352"/>
        <v/>
      </c>
      <c r="W65" s="128" t="str">
        <f t="shared" si="352"/>
        <v/>
      </c>
      <c r="X65" s="128" t="str">
        <f t="shared" si="352"/>
        <v/>
      </c>
      <c r="Y65" s="128" t="str">
        <f t="shared" si="352"/>
        <v/>
      </c>
      <c r="Z65" s="61" t="str">
        <f t="shared" si="352"/>
        <v/>
      </c>
      <c r="AA65" s="128" t="str">
        <f t="shared" si="352"/>
        <v/>
      </c>
      <c r="AB65" s="128" t="str">
        <f t="shared" si="352"/>
        <v/>
      </c>
      <c r="AC65" s="128" t="str">
        <f t="shared" si="352"/>
        <v/>
      </c>
      <c r="AD65" s="128" t="str">
        <f t="shared" si="352"/>
        <v/>
      </c>
      <c r="AE65" s="128" t="str">
        <f t="shared" si="352"/>
        <v/>
      </c>
      <c r="AF65" s="128" t="str">
        <f t="shared" si="352"/>
        <v/>
      </c>
      <c r="AG65" s="61" t="str">
        <f t="shared" si="352"/>
        <v/>
      </c>
      <c r="AH65" s="128" t="str">
        <f t="shared" si="352"/>
        <v/>
      </c>
      <c r="AI65" s="128">
        <f t="shared" si="352"/>
        <v>11</v>
      </c>
      <c r="AJ65" s="128" t="str">
        <f t="shared" si="352"/>
        <v/>
      </c>
      <c r="AK65" s="128">
        <f t="shared" si="352"/>
        <v>7</v>
      </c>
      <c r="AL65" s="128" t="str">
        <f t="shared" si="352"/>
        <v/>
      </c>
      <c r="AM65" s="128" t="str">
        <f t="shared" si="352"/>
        <v/>
      </c>
      <c r="AN65" s="61" t="str">
        <f t="shared" si="352"/>
        <v/>
      </c>
      <c r="AO65" s="128" t="str">
        <f t="shared" si="352"/>
        <v/>
      </c>
      <c r="AP65" s="128">
        <f t="shared" si="352"/>
        <v>9</v>
      </c>
      <c r="AQ65" s="128" t="str">
        <f t="shared" si="352"/>
        <v/>
      </c>
      <c r="AR65" s="128">
        <f t="shared" si="352"/>
        <v>9</v>
      </c>
      <c r="AS65" s="128" t="str">
        <f t="shared" si="352"/>
        <v/>
      </c>
      <c r="AT65" s="128" t="str">
        <f t="shared" si="352"/>
        <v/>
      </c>
      <c r="AU65" s="61" t="str">
        <f t="shared" si="352"/>
        <v/>
      </c>
      <c r="AV65" s="128" t="str">
        <f t="shared" si="352"/>
        <v/>
      </c>
      <c r="AW65" s="128">
        <f t="shared" si="352"/>
        <v>9</v>
      </c>
      <c r="AX65" s="128">
        <f t="shared" si="352"/>
        <v>6</v>
      </c>
      <c r="AY65" s="128">
        <f t="shared" si="352"/>
        <v>7</v>
      </c>
      <c r="AZ65" s="128" t="str">
        <f t="shared" si="352"/>
        <v/>
      </c>
      <c r="BA65" s="128" t="str">
        <f t="shared" si="352"/>
        <v/>
      </c>
      <c r="BB65" s="61" t="str">
        <f t="shared" si="352"/>
        <v/>
      </c>
      <c r="BC65" s="128" t="str">
        <f t="shared" si="352"/>
        <v/>
      </c>
      <c r="BD65" s="128">
        <f t="shared" si="352"/>
        <v>8</v>
      </c>
      <c r="BE65" s="128" t="str">
        <f t="shared" si="352"/>
        <v/>
      </c>
      <c r="BF65" s="128">
        <f t="shared" si="352"/>
        <v>6</v>
      </c>
      <c r="BG65" s="128" t="str">
        <f t="shared" si="352"/>
        <v/>
      </c>
      <c r="BH65" s="128" t="str">
        <f t="shared" si="352"/>
        <v/>
      </c>
      <c r="BI65" s="61" t="str">
        <f t="shared" si="352"/>
        <v/>
      </c>
      <c r="BJ65" s="128" t="str">
        <f t="shared" si="352"/>
        <v/>
      </c>
      <c r="BK65" s="128">
        <f t="shared" si="352"/>
        <v>7</v>
      </c>
      <c r="BL65" s="128" t="str">
        <f t="shared" si="352"/>
        <v/>
      </c>
      <c r="BM65" s="128">
        <f t="shared" si="352"/>
        <v>10</v>
      </c>
      <c r="BN65" s="128">
        <f t="shared" si="352"/>
        <v>10</v>
      </c>
      <c r="BO65" s="128" t="str">
        <f t="shared" si="352"/>
        <v/>
      </c>
      <c r="BP65" s="61">
        <f t="shared" si="352"/>
        <v>4</v>
      </c>
      <c r="BQ65" s="128" t="str">
        <f t="shared" si="352"/>
        <v/>
      </c>
      <c r="BR65" s="128" t="str">
        <f t="shared" si="352"/>
        <v/>
      </c>
      <c r="BS65" s="128" t="str">
        <f t="shared" si="352"/>
        <v/>
      </c>
      <c r="BT65" s="128" t="str">
        <f t="shared" si="352"/>
        <v/>
      </c>
      <c r="BU65" s="128" t="str">
        <f t="shared" si="352"/>
        <v/>
      </c>
      <c r="BV65" s="128" t="str">
        <f t="shared" si="352"/>
        <v/>
      </c>
      <c r="BW65" s="128"/>
      <c r="BX65" s="128"/>
      <c r="BY65" s="61" t="str">
        <f t="shared" si="352"/>
        <v/>
      </c>
      <c r="BZ65" s="128" t="str">
        <f t="shared" si="352"/>
        <v/>
      </c>
      <c r="CA65" s="128" t="str">
        <f t="shared" si="352"/>
        <v/>
      </c>
      <c r="CB65" s="128" t="str">
        <f t="shared" si="352"/>
        <v/>
      </c>
      <c r="CC65" s="128" t="str">
        <f t="shared" si="352"/>
        <v/>
      </c>
      <c r="CD65" s="128" t="str">
        <f t="shared" si="352"/>
        <v/>
      </c>
      <c r="CE65" s="128" t="str">
        <f t="shared" si="352"/>
        <v/>
      </c>
      <c r="CF65" s="128"/>
      <c r="CG65" s="128"/>
      <c r="CH65" s="61" t="str">
        <f t="shared" si="352"/>
        <v/>
      </c>
      <c r="CI65" s="128" t="str">
        <f t="shared" ref="CI65:FH65" si="353">IF(SUM(CI42:CI63) &gt; 0, SUM(CI42:CI63), "")</f>
        <v/>
      </c>
      <c r="CJ65" s="128" t="str">
        <f t="shared" si="353"/>
        <v/>
      </c>
      <c r="CK65" s="128" t="str">
        <f t="shared" si="353"/>
        <v/>
      </c>
      <c r="CL65" s="128" t="str">
        <f t="shared" si="353"/>
        <v/>
      </c>
      <c r="CM65" s="128" t="str">
        <f t="shared" si="353"/>
        <v/>
      </c>
      <c r="CN65" s="128" t="str">
        <f t="shared" si="353"/>
        <v/>
      </c>
      <c r="CO65" s="128" t="str">
        <f t="shared" ref="CO65" si="354">IF(SUM(CO42:CO63) &gt; 0, SUM(CO42:CO63), "")</f>
        <v/>
      </c>
      <c r="CP65" s="128"/>
      <c r="CQ65" s="61" t="str">
        <f t="shared" si="353"/>
        <v/>
      </c>
      <c r="CR65" s="128" t="str">
        <f t="shared" si="353"/>
        <v/>
      </c>
      <c r="CS65" s="128" t="str">
        <f t="shared" si="353"/>
        <v/>
      </c>
      <c r="CT65" s="128" t="str">
        <f t="shared" si="353"/>
        <v/>
      </c>
      <c r="CU65" s="128" t="str">
        <f t="shared" si="353"/>
        <v/>
      </c>
      <c r="CV65" s="128" t="str">
        <f t="shared" si="353"/>
        <v/>
      </c>
      <c r="CW65" s="128"/>
      <c r="CX65" s="128"/>
      <c r="CY65" s="128" t="str">
        <f t="shared" si="353"/>
        <v/>
      </c>
      <c r="CZ65" s="61" t="str">
        <f t="shared" si="353"/>
        <v/>
      </c>
      <c r="DA65" s="128" t="str">
        <f t="shared" si="353"/>
        <v/>
      </c>
      <c r="DB65" s="128" t="str">
        <f t="shared" si="353"/>
        <v/>
      </c>
      <c r="DC65" s="128" t="str">
        <f t="shared" si="353"/>
        <v/>
      </c>
      <c r="DD65" s="128" t="str">
        <f t="shared" si="353"/>
        <v/>
      </c>
      <c r="DE65" s="128" t="str">
        <f t="shared" si="353"/>
        <v/>
      </c>
      <c r="DF65" s="128" t="str">
        <f t="shared" si="353"/>
        <v/>
      </c>
      <c r="DG65" s="128"/>
      <c r="DH65" s="128"/>
      <c r="DI65" s="61" t="str">
        <f t="shared" si="353"/>
        <v/>
      </c>
      <c r="DJ65" s="128" t="str">
        <f t="shared" si="353"/>
        <v/>
      </c>
      <c r="DK65" s="128" t="str">
        <f t="shared" si="353"/>
        <v/>
      </c>
      <c r="DL65" s="128" t="str">
        <f t="shared" si="353"/>
        <v/>
      </c>
      <c r="DM65" s="128" t="str">
        <f t="shared" si="353"/>
        <v/>
      </c>
      <c r="DN65" s="128" t="str">
        <f t="shared" si="353"/>
        <v/>
      </c>
      <c r="DO65" s="128" t="str">
        <f t="shared" si="353"/>
        <v/>
      </c>
      <c r="DP65" s="128"/>
      <c r="DQ65" s="128"/>
      <c r="DR65" s="61" t="str">
        <f t="shared" si="353"/>
        <v/>
      </c>
      <c r="DS65" s="128" t="str">
        <f t="shared" si="353"/>
        <v/>
      </c>
      <c r="DT65" s="128">
        <f t="shared" si="353"/>
        <v>7</v>
      </c>
      <c r="DU65" s="128" t="str">
        <f t="shared" si="353"/>
        <v/>
      </c>
      <c r="DV65" s="128">
        <f t="shared" si="353"/>
        <v>5</v>
      </c>
      <c r="DW65" s="128">
        <f t="shared" si="353"/>
        <v>5</v>
      </c>
      <c r="DX65" s="128"/>
      <c r="DY65" s="128"/>
      <c r="DZ65" s="128" t="str">
        <f t="shared" si="353"/>
        <v/>
      </c>
      <c r="EA65" s="61" t="str">
        <f t="shared" si="353"/>
        <v/>
      </c>
      <c r="EB65" s="128" t="str">
        <f t="shared" si="353"/>
        <v/>
      </c>
      <c r="EC65" s="128">
        <f t="shared" si="353"/>
        <v>6</v>
      </c>
      <c r="ED65" s="128" t="str">
        <f t="shared" si="353"/>
        <v/>
      </c>
      <c r="EE65" s="128">
        <f t="shared" si="353"/>
        <v>5</v>
      </c>
      <c r="EF65" s="128" t="str">
        <f t="shared" si="353"/>
        <v/>
      </c>
      <c r="EG65" s="128"/>
      <c r="EH65" s="128"/>
      <c r="EI65" s="128" t="str">
        <f t="shared" si="353"/>
        <v/>
      </c>
      <c r="EJ65" s="61" t="str">
        <f t="shared" si="353"/>
        <v/>
      </c>
      <c r="EK65" s="128" t="str">
        <f t="shared" si="353"/>
        <v/>
      </c>
      <c r="EL65" s="128" t="str">
        <f t="shared" si="353"/>
        <v/>
      </c>
      <c r="EM65" s="128" t="str">
        <f t="shared" si="353"/>
        <v/>
      </c>
      <c r="EN65" s="128" t="str">
        <f t="shared" si="353"/>
        <v/>
      </c>
      <c r="EO65" s="128" t="str">
        <f t="shared" si="353"/>
        <v/>
      </c>
      <c r="EP65" s="128" t="str">
        <f t="shared" si="353"/>
        <v/>
      </c>
      <c r="EQ65" s="128"/>
      <c r="ER65" s="128"/>
      <c r="ES65" s="61" t="str">
        <f t="shared" si="353"/>
        <v/>
      </c>
      <c r="ET65" s="128" t="str">
        <f t="shared" si="353"/>
        <v/>
      </c>
      <c r="EU65" s="128" t="str">
        <f t="shared" si="353"/>
        <v/>
      </c>
      <c r="EV65" s="128" t="str">
        <f t="shared" si="353"/>
        <v/>
      </c>
      <c r="EW65" s="128" t="str">
        <f t="shared" si="353"/>
        <v/>
      </c>
      <c r="EX65" s="128" t="str">
        <f t="shared" si="353"/>
        <v/>
      </c>
      <c r="EY65" s="128" t="str">
        <f t="shared" si="353"/>
        <v/>
      </c>
      <c r="EZ65" s="61" t="str">
        <f t="shared" si="353"/>
        <v/>
      </c>
      <c r="FA65" s="128" t="str">
        <f t="shared" si="353"/>
        <v/>
      </c>
      <c r="FB65" s="128" t="str">
        <f t="shared" si="353"/>
        <v/>
      </c>
      <c r="FC65" s="128" t="str">
        <f t="shared" si="353"/>
        <v/>
      </c>
      <c r="FD65" s="128" t="str">
        <f t="shared" si="353"/>
        <v/>
      </c>
      <c r="FE65" s="128" t="str">
        <f t="shared" si="353"/>
        <v/>
      </c>
      <c r="FF65" s="128" t="str">
        <f t="shared" si="353"/>
        <v/>
      </c>
      <c r="FG65" s="61" t="str">
        <f t="shared" si="353"/>
        <v/>
      </c>
      <c r="FH65" s="128" t="str">
        <f t="shared" si="353"/>
        <v/>
      </c>
      <c r="FI65" s="128" t="str">
        <f t="shared" ref="FI65:HT65" si="355">IF(SUM(FI42:FI63) &gt; 0, SUM(FI42:FI63), "")</f>
        <v/>
      </c>
      <c r="FJ65" s="128" t="str">
        <f t="shared" si="355"/>
        <v/>
      </c>
      <c r="FK65" s="128" t="str">
        <f t="shared" si="355"/>
        <v/>
      </c>
      <c r="FL65" s="128" t="str">
        <f t="shared" si="355"/>
        <v/>
      </c>
      <c r="FM65" s="128" t="str">
        <f t="shared" si="355"/>
        <v/>
      </c>
      <c r="FN65" s="61" t="str">
        <f t="shared" si="355"/>
        <v/>
      </c>
      <c r="FO65" s="128" t="str">
        <f t="shared" si="355"/>
        <v/>
      </c>
      <c r="FP65" s="128" t="str">
        <f t="shared" si="355"/>
        <v/>
      </c>
      <c r="FQ65" s="128" t="str">
        <f t="shared" si="355"/>
        <v/>
      </c>
      <c r="FR65" s="128" t="str">
        <f t="shared" si="355"/>
        <v/>
      </c>
      <c r="FS65" s="128" t="str">
        <f t="shared" si="355"/>
        <v/>
      </c>
      <c r="FT65" s="128" t="str">
        <f t="shared" si="355"/>
        <v/>
      </c>
      <c r="FU65" s="61" t="str">
        <f t="shared" si="355"/>
        <v/>
      </c>
      <c r="FV65" s="128" t="str">
        <f t="shared" si="355"/>
        <v/>
      </c>
      <c r="FW65" s="128" t="str">
        <f t="shared" si="355"/>
        <v/>
      </c>
      <c r="FX65" s="128" t="str">
        <f t="shared" si="355"/>
        <v/>
      </c>
      <c r="FY65" s="128" t="str">
        <f t="shared" si="355"/>
        <v/>
      </c>
      <c r="FZ65" s="128" t="str">
        <f t="shared" si="355"/>
        <v/>
      </c>
      <c r="GA65" s="128" t="str">
        <f t="shared" si="355"/>
        <v/>
      </c>
      <c r="GB65" s="61" t="str">
        <f t="shared" si="355"/>
        <v/>
      </c>
      <c r="GC65" s="128" t="str">
        <f t="shared" si="355"/>
        <v/>
      </c>
      <c r="GD65" s="128" t="str">
        <f t="shared" si="355"/>
        <v/>
      </c>
      <c r="GE65" s="128" t="str">
        <f t="shared" si="355"/>
        <v/>
      </c>
      <c r="GF65" s="128" t="str">
        <f t="shared" si="355"/>
        <v/>
      </c>
      <c r="GG65" s="128" t="str">
        <f t="shared" si="355"/>
        <v/>
      </c>
      <c r="GH65" s="128" t="str">
        <f t="shared" si="355"/>
        <v/>
      </c>
      <c r="GI65" s="61" t="str">
        <f t="shared" si="355"/>
        <v/>
      </c>
      <c r="GJ65" s="128" t="str">
        <f t="shared" si="355"/>
        <v/>
      </c>
      <c r="GK65" s="128" t="str">
        <f t="shared" si="355"/>
        <v/>
      </c>
      <c r="GL65" s="128" t="str">
        <f t="shared" si="355"/>
        <v/>
      </c>
      <c r="GM65" s="128" t="str">
        <f t="shared" si="355"/>
        <v/>
      </c>
      <c r="GN65" s="128" t="str">
        <f t="shared" si="355"/>
        <v/>
      </c>
      <c r="GO65" s="128" t="str">
        <f t="shared" si="355"/>
        <v/>
      </c>
      <c r="GP65" s="61" t="str">
        <f t="shared" si="355"/>
        <v/>
      </c>
      <c r="GQ65" s="128" t="str">
        <f t="shared" si="355"/>
        <v/>
      </c>
      <c r="GR65" s="128" t="str">
        <f t="shared" si="355"/>
        <v/>
      </c>
      <c r="GS65" s="128" t="str">
        <f t="shared" si="355"/>
        <v/>
      </c>
      <c r="GT65" s="128" t="str">
        <f t="shared" si="355"/>
        <v/>
      </c>
      <c r="GU65" s="128" t="str">
        <f t="shared" si="355"/>
        <v/>
      </c>
      <c r="GV65" s="128" t="str">
        <f t="shared" si="355"/>
        <v/>
      </c>
      <c r="GW65" s="61" t="str">
        <f t="shared" si="355"/>
        <v/>
      </c>
      <c r="GX65" s="128" t="str">
        <f t="shared" si="355"/>
        <v/>
      </c>
      <c r="GY65" s="128" t="str">
        <f t="shared" si="355"/>
        <v/>
      </c>
      <c r="GZ65" s="128" t="str">
        <f t="shared" si="355"/>
        <v/>
      </c>
      <c r="HA65" s="128" t="str">
        <f t="shared" si="355"/>
        <v/>
      </c>
      <c r="HB65" s="128" t="str">
        <f t="shared" si="355"/>
        <v/>
      </c>
      <c r="HC65" s="128" t="str">
        <f t="shared" si="355"/>
        <v/>
      </c>
      <c r="HD65" s="61" t="str">
        <f t="shared" si="355"/>
        <v/>
      </c>
      <c r="HE65" s="128" t="str">
        <f t="shared" si="355"/>
        <v/>
      </c>
      <c r="HF65" s="128" t="str">
        <f t="shared" si="355"/>
        <v/>
      </c>
      <c r="HG65" s="128" t="str">
        <f t="shared" si="355"/>
        <v/>
      </c>
      <c r="HH65" s="128" t="str">
        <f t="shared" si="355"/>
        <v/>
      </c>
      <c r="HI65" s="128" t="str">
        <f t="shared" si="355"/>
        <v/>
      </c>
      <c r="HJ65" s="128" t="str">
        <f t="shared" si="355"/>
        <v/>
      </c>
      <c r="HK65" s="61" t="str">
        <f t="shared" si="355"/>
        <v/>
      </c>
      <c r="HL65" s="128" t="str">
        <f t="shared" si="355"/>
        <v/>
      </c>
      <c r="HM65" s="128" t="str">
        <f t="shared" si="355"/>
        <v/>
      </c>
      <c r="HN65" s="128" t="str">
        <f t="shared" si="355"/>
        <v/>
      </c>
      <c r="HO65" s="128" t="str">
        <f t="shared" si="355"/>
        <v/>
      </c>
      <c r="HP65" s="128" t="str">
        <f t="shared" si="355"/>
        <v/>
      </c>
      <c r="HQ65" s="128" t="str">
        <f t="shared" si="355"/>
        <v/>
      </c>
      <c r="HR65" s="61" t="str">
        <f t="shared" si="355"/>
        <v/>
      </c>
      <c r="HS65" s="128" t="str">
        <f t="shared" si="355"/>
        <v/>
      </c>
      <c r="HT65" s="128" t="str">
        <f t="shared" si="355"/>
        <v/>
      </c>
      <c r="HU65" s="128" t="str">
        <f t="shared" ref="HU65:KF65" si="356">IF(SUM(HU42:HU63) &gt; 0, SUM(HU42:HU63), "")</f>
        <v/>
      </c>
      <c r="HV65" s="128" t="str">
        <f t="shared" si="356"/>
        <v/>
      </c>
      <c r="HW65" s="128" t="str">
        <f t="shared" si="356"/>
        <v/>
      </c>
      <c r="HX65" s="128" t="str">
        <f t="shared" si="356"/>
        <v/>
      </c>
      <c r="HY65" s="61" t="str">
        <f t="shared" si="356"/>
        <v/>
      </c>
      <c r="HZ65" s="128" t="str">
        <f t="shared" si="356"/>
        <v/>
      </c>
      <c r="IA65" s="128" t="str">
        <f t="shared" si="356"/>
        <v/>
      </c>
      <c r="IB65" s="128" t="str">
        <f t="shared" si="356"/>
        <v/>
      </c>
      <c r="IC65" s="128" t="str">
        <f t="shared" si="356"/>
        <v/>
      </c>
      <c r="ID65" s="128" t="str">
        <f t="shared" si="356"/>
        <v/>
      </c>
      <c r="IE65" s="128" t="str">
        <f t="shared" si="356"/>
        <v/>
      </c>
      <c r="IF65" s="61" t="str">
        <f t="shared" si="356"/>
        <v/>
      </c>
      <c r="IG65" s="128" t="str">
        <f t="shared" si="356"/>
        <v/>
      </c>
      <c r="IH65" s="128" t="str">
        <f t="shared" si="356"/>
        <v/>
      </c>
      <c r="II65" s="128" t="str">
        <f t="shared" si="356"/>
        <v/>
      </c>
      <c r="IJ65" s="128" t="str">
        <f t="shared" si="356"/>
        <v/>
      </c>
      <c r="IK65" s="128" t="str">
        <f t="shared" si="356"/>
        <v/>
      </c>
      <c r="IL65" s="128" t="str">
        <f t="shared" si="356"/>
        <v/>
      </c>
      <c r="IM65" s="61" t="str">
        <f t="shared" si="356"/>
        <v/>
      </c>
      <c r="IN65" s="128" t="str">
        <f t="shared" si="356"/>
        <v/>
      </c>
      <c r="IO65" s="128" t="str">
        <f t="shared" si="356"/>
        <v/>
      </c>
      <c r="IP65" s="128" t="str">
        <f t="shared" si="356"/>
        <v/>
      </c>
      <c r="IQ65" s="128" t="str">
        <f t="shared" si="356"/>
        <v/>
      </c>
      <c r="IR65" s="128" t="str">
        <f t="shared" si="356"/>
        <v/>
      </c>
      <c r="IS65" s="128" t="str">
        <f t="shared" si="356"/>
        <v/>
      </c>
      <c r="IT65" s="61" t="str">
        <f t="shared" si="356"/>
        <v/>
      </c>
      <c r="IU65" s="128" t="str">
        <f t="shared" si="356"/>
        <v/>
      </c>
      <c r="IV65" s="128" t="str">
        <f t="shared" si="356"/>
        <v/>
      </c>
      <c r="IW65" s="128" t="str">
        <f t="shared" si="356"/>
        <v/>
      </c>
      <c r="IX65" s="128" t="str">
        <f t="shared" si="356"/>
        <v/>
      </c>
      <c r="IY65" s="128" t="str">
        <f t="shared" si="356"/>
        <v/>
      </c>
      <c r="IZ65" s="128" t="str">
        <f t="shared" si="356"/>
        <v/>
      </c>
      <c r="JA65" s="61" t="str">
        <f t="shared" si="356"/>
        <v/>
      </c>
      <c r="JB65" s="128" t="str">
        <f t="shared" si="356"/>
        <v/>
      </c>
      <c r="JC65" s="128" t="str">
        <f t="shared" si="356"/>
        <v/>
      </c>
      <c r="JD65" s="128" t="str">
        <f t="shared" si="356"/>
        <v/>
      </c>
      <c r="JE65" s="128" t="str">
        <f t="shared" si="356"/>
        <v/>
      </c>
      <c r="JF65" s="128" t="str">
        <f t="shared" si="356"/>
        <v/>
      </c>
      <c r="JG65" s="128" t="str">
        <f t="shared" si="356"/>
        <v/>
      </c>
      <c r="JH65" s="61" t="str">
        <f t="shared" si="356"/>
        <v/>
      </c>
      <c r="JI65" s="128" t="str">
        <f t="shared" si="356"/>
        <v/>
      </c>
      <c r="JJ65" s="128" t="str">
        <f t="shared" si="356"/>
        <v/>
      </c>
      <c r="JK65" s="128" t="str">
        <f t="shared" si="356"/>
        <v/>
      </c>
      <c r="JL65" s="128" t="str">
        <f t="shared" si="356"/>
        <v/>
      </c>
      <c r="JM65" s="128" t="str">
        <f t="shared" si="356"/>
        <v/>
      </c>
      <c r="JN65" s="128" t="str">
        <f t="shared" si="356"/>
        <v/>
      </c>
      <c r="JO65" s="61" t="str">
        <f t="shared" si="356"/>
        <v/>
      </c>
      <c r="JP65" s="128" t="str">
        <f t="shared" si="356"/>
        <v/>
      </c>
      <c r="JQ65" s="128" t="str">
        <f t="shared" si="356"/>
        <v/>
      </c>
      <c r="JR65" s="128" t="str">
        <f t="shared" si="356"/>
        <v/>
      </c>
      <c r="JS65" s="128" t="str">
        <f t="shared" si="356"/>
        <v/>
      </c>
      <c r="JT65" s="128" t="str">
        <f t="shared" si="356"/>
        <v/>
      </c>
      <c r="JU65" s="128" t="str">
        <f t="shared" si="356"/>
        <v/>
      </c>
      <c r="JV65" s="61" t="str">
        <f t="shared" si="356"/>
        <v/>
      </c>
      <c r="JW65" s="128" t="str">
        <f t="shared" si="356"/>
        <v/>
      </c>
      <c r="JX65" s="128" t="str">
        <f t="shared" si="356"/>
        <v/>
      </c>
      <c r="JY65" s="128" t="str">
        <f t="shared" si="356"/>
        <v/>
      </c>
      <c r="JZ65" s="128" t="str">
        <f t="shared" si="356"/>
        <v/>
      </c>
      <c r="KA65" s="128" t="str">
        <f t="shared" si="356"/>
        <v/>
      </c>
      <c r="KB65" s="128" t="str">
        <f t="shared" si="356"/>
        <v/>
      </c>
      <c r="KC65" s="61" t="str">
        <f t="shared" si="356"/>
        <v/>
      </c>
      <c r="KD65" s="128" t="str">
        <f t="shared" si="356"/>
        <v/>
      </c>
      <c r="KE65" s="128" t="str">
        <f t="shared" si="356"/>
        <v/>
      </c>
      <c r="KF65" s="128" t="str">
        <f t="shared" si="356"/>
        <v/>
      </c>
      <c r="KG65" s="128" t="str">
        <f t="shared" ref="KG65:MN65" si="357">IF(SUM(KG42:KG63) &gt; 0, SUM(KG42:KG63), "")</f>
        <v/>
      </c>
      <c r="KH65" s="128" t="str">
        <f t="shared" si="357"/>
        <v/>
      </c>
      <c r="KI65" s="128" t="str">
        <f t="shared" si="357"/>
        <v/>
      </c>
      <c r="KJ65" s="61" t="str">
        <f t="shared" si="357"/>
        <v/>
      </c>
      <c r="KK65" s="128" t="str">
        <f t="shared" si="357"/>
        <v/>
      </c>
      <c r="KL65" s="128" t="str">
        <f t="shared" si="357"/>
        <v/>
      </c>
      <c r="KM65" s="128" t="str">
        <f t="shared" si="357"/>
        <v/>
      </c>
      <c r="KN65" s="128" t="str">
        <f t="shared" si="357"/>
        <v/>
      </c>
      <c r="KO65" s="128" t="str">
        <f t="shared" si="357"/>
        <v/>
      </c>
      <c r="KP65" s="128" t="str">
        <f t="shared" si="357"/>
        <v/>
      </c>
      <c r="KQ65" s="61" t="str">
        <f t="shared" si="357"/>
        <v/>
      </c>
      <c r="KR65" s="128" t="str">
        <f t="shared" si="357"/>
        <v/>
      </c>
      <c r="KS65" s="128" t="str">
        <f t="shared" si="357"/>
        <v/>
      </c>
      <c r="KT65" s="128" t="str">
        <f t="shared" si="357"/>
        <v/>
      </c>
      <c r="KU65" s="128" t="str">
        <f t="shared" si="357"/>
        <v/>
      </c>
      <c r="KV65" s="128" t="str">
        <f t="shared" si="357"/>
        <v/>
      </c>
      <c r="KW65" s="128" t="str">
        <f t="shared" si="357"/>
        <v/>
      </c>
      <c r="KX65" s="61" t="str">
        <f t="shared" si="357"/>
        <v/>
      </c>
      <c r="KY65" s="128" t="str">
        <f t="shared" si="357"/>
        <v/>
      </c>
      <c r="KZ65" s="128" t="str">
        <f t="shared" si="357"/>
        <v/>
      </c>
      <c r="LA65" s="128" t="str">
        <f t="shared" si="357"/>
        <v/>
      </c>
      <c r="LB65" s="128" t="str">
        <f t="shared" si="357"/>
        <v/>
      </c>
      <c r="LC65" s="128" t="str">
        <f t="shared" si="357"/>
        <v/>
      </c>
      <c r="LD65" s="128" t="str">
        <f t="shared" si="357"/>
        <v/>
      </c>
      <c r="LE65" s="61" t="str">
        <f t="shared" si="357"/>
        <v/>
      </c>
      <c r="LF65" s="128" t="str">
        <f t="shared" si="357"/>
        <v/>
      </c>
      <c r="LG65" s="128" t="str">
        <f t="shared" si="357"/>
        <v/>
      </c>
      <c r="LH65" s="128" t="str">
        <f t="shared" si="357"/>
        <v/>
      </c>
      <c r="LI65" s="128" t="str">
        <f t="shared" si="357"/>
        <v/>
      </c>
      <c r="LJ65" s="128" t="str">
        <f t="shared" si="357"/>
        <v/>
      </c>
      <c r="LK65" s="128" t="str">
        <f t="shared" si="357"/>
        <v/>
      </c>
      <c r="LL65" s="61" t="str">
        <f t="shared" si="357"/>
        <v/>
      </c>
      <c r="LM65" s="128" t="str">
        <f t="shared" si="357"/>
        <v/>
      </c>
      <c r="LN65" s="128" t="str">
        <f t="shared" si="357"/>
        <v/>
      </c>
      <c r="LO65" s="128" t="str">
        <f t="shared" si="357"/>
        <v/>
      </c>
      <c r="LP65" s="128" t="str">
        <f t="shared" si="357"/>
        <v/>
      </c>
      <c r="LQ65" s="128" t="str">
        <f t="shared" si="357"/>
        <v/>
      </c>
      <c r="LR65" s="128" t="str">
        <f t="shared" si="357"/>
        <v/>
      </c>
      <c r="LS65" s="61" t="str">
        <f t="shared" si="357"/>
        <v/>
      </c>
      <c r="LT65" s="128" t="str">
        <f t="shared" si="357"/>
        <v/>
      </c>
      <c r="LU65" s="128" t="str">
        <f t="shared" si="357"/>
        <v/>
      </c>
      <c r="LV65" s="128" t="str">
        <f t="shared" si="357"/>
        <v/>
      </c>
      <c r="LW65" s="128" t="str">
        <f t="shared" si="357"/>
        <v/>
      </c>
      <c r="LX65" s="128" t="str">
        <f t="shared" si="357"/>
        <v/>
      </c>
      <c r="LY65" s="128" t="str">
        <f t="shared" si="357"/>
        <v/>
      </c>
      <c r="LZ65" s="61" t="str">
        <f t="shared" si="357"/>
        <v/>
      </c>
      <c r="MA65" s="128" t="str">
        <f t="shared" si="357"/>
        <v/>
      </c>
      <c r="MB65" s="128" t="str">
        <f t="shared" si="357"/>
        <v/>
      </c>
      <c r="MC65" s="128" t="str">
        <f t="shared" si="357"/>
        <v/>
      </c>
      <c r="MD65" s="128" t="str">
        <f t="shared" si="357"/>
        <v/>
      </c>
      <c r="ME65" s="128" t="str">
        <f t="shared" si="357"/>
        <v/>
      </c>
      <c r="MF65" s="128" t="str">
        <f t="shared" si="357"/>
        <v/>
      </c>
      <c r="MG65" s="61" t="str">
        <f t="shared" si="357"/>
        <v/>
      </c>
      <c r="MH65" s="128" t="str">
        <f t="shared" si="357"/>
        <v/>
      </c>
      <c r="MI65" s="128" t="str">
        <f t="shared" si="357"/>
        <v/>
      </c>
      <c r="MJ65" s="128" t="str">
        <f t="shared" si="357"/>
        <v/>
      </c>
      <c r="MK65" s="128" t="str">
        <f t="shared" si="357"/>
        <v/>
      </c>
      <c r="ML65" s="128" t="str">
        <f t="shared" si="357"/>
        <v/>
      </c>
      <c r="MM65" s="128" t="str">
        <f t="shared" si="357"/>
        <v/>
      </c>
      <c r="MN65" s="61" t="str">
        <f t="shared" si="357"/>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58">S1</f>
        <v>43975</v>
      </c>
      <c r="T66" s="49">
        <f t="shared" si="358"/>
        <v>43976</v>
      </c>
      <c r="U66" s="49">
        <f t="shared" si="358"/>
        <v>43977</v>
      </c>
      <c r="V66" s="49">
        <f t="shared" si="358"/>
        <v>43978</v>
      </c>
      <c r="W66" s="49">
        <f t="shared" si="358"/>
        <v>43979</v>
      </c>
      <c r="X66" s="49">
        <f t="shared" si="358"/>
        <v>43980</v>
      </c>
      <c r="Y66" s="49">
        <f t="shared" si="358"/>
        <v>43981</v>
      </c>
      <c r="Z66" s="49">
        <f t="shared" si="358"/>
        <v>43982</v>
      </c>
      <c r="AA66" s="49">
        <f t="shared" si="358"/>
        <v>43983</v>
      </c>
      <c r="AB66" s="49">
        <f t="shared" si="358"/>
        <v>43984</v>
      </c>
      <c r="AC66" s="49">
        <f t="shared" si="358"/>
        <v>43985</v>
      </c>
      <c r="AD66" s="49">
        <f t="shared" si="358"/>
        <v>43986</v>
      </c>
      <c r="AE66" s="49">
        <f t="shared" si="358"/>
        <v>43987</v>
      </c>
      <c r="AF66" s="49">
        <f t="shared" si="358"/>
        <v>43988</v>
      </c>
      <c r="AG66" s="49">
        <f t="shared" si="358"/>
        <v>43989</v>
      </c>
      <c r="AH66" s="49">
        <f t="shared" si="358"/>
        <v>43990</v>
      </c>
      <c r="AI66" s="49">
        <f t="shared" si="358"/>
        <v>43991</v>
      </c>
      <c r="AJ66" s="49">
        <f t="shared" si="358"/>
        <v>43992</v>
      </c>
      <c r="AK66" s="49">
        <f t="shared" si="358"/>
        <v>43993</v>
      </c>
      <c r="AL66" s="49">
        <f t="shared" si="358"/>
        <v>43994</v>
      </c>
      <c r="AM66" s="49">
        <f t="shared" si="358"/>
        <v>43995</v>
      </c>
      <c r="AN66" s="49">
        <f t="shared" si="358"/>
        <v>43996</v>
      </c>
      <c r="AO66" s="49">
        <f t="shared" si="358"/>
        <v>43997</v>
      </c>
      <c r="AP66" s="49">
        <f t="shared" si="358"/>
        <v>43998</v>
      </c>
      <c r="AQ66" s="49">
        <f t="shared" si="358"/>
        <v>43999</v>
      </c>
      <c r="AR66" s="49">
        <f t="shared" si="358"/>
        <v>44000</v>
      </c>
      <c r="AS66" s="49">
        <f t="shared" si="358"/>
        <v>44001</v>
      </c>
      <c r="AT66" s="49">
        <f t="shared" si="358"/>
        <v>44002</v>
      </c>
      <c r="AU66" s="49">
        <f t="shared" si="358"/>
        <v>44003</v>
      </c>
      <c r="AV66" s="49">
        <f t="shared" si="358"/>
        <v>44004</v>
      </c>
      <c r="AW66" s="49">
        <f t="shared" si="358"/>
        <v>44005</v>
      </c>
      <c r="AX66" s="49">
        <f t="shared" si="358"/>
        <v>44006</v>
      </c>
      <c r="AY66" s="49">
        <f t="shared" ref="AY66:BW66" si="359">AY1</f>
        <v>44007</v>
      </c>
      <c r="AZ66" s="49">
        <f t="shared" si="359"/>
        <v>44008</v>
      </c>
      <c r="BA66" s="49">
        <f t="shared" si="359"/>
        <v>44009</v>
      </c>
      <c r="BB66" s="49">
        <f t="shared" si="359"/>
        <v>44010</v>
      </c>
      <c r="BC66" s="49">
        <f t="shared" si="359"/>
        <v>44011</v>
      </c>
      <c r="BD66" s="49">
        <f t="shared" si="359"/>
        <v>44012</v>
      </c>
      <c r="BE66" s="49">
        <f t="shared" si="359"/>
        <v>44013</v>
      </c>
      <c r="BF66" s="49">
        <f t="shared" si="359"/>
        <v>44014</v>
      </c>
      <c r="BG66" s="49">
        <f t="shared" si="359"/>
        <v>44015</v>
      </c>
      <c r="BH66" s="49">
        <f t="shared" si="359"/>
        <v>44016</v>
      </c>
      <c r="BI66" s="49">
        <f t="shared" si="359"/>
        <v>44017</v>
      </c>
      <c r="BJ66" s="49">
        <f t="shared" si="359"/>
        <v>44018</v>
      </c>
      <c r="BK66" s="49">
        <f t="shared" si="359"/>
        <v>44019</v>
      </c>
      <c r="BL66" s="49">
        <f t="shared" si="359"/>
        <v>44020</v>
      </c>
      <c r="BM66" s="49">
        <f t="shared" si="359"/>
        <v>44021</v>
      </c>
      <c r="BN66" s="49">
        <f t="shared" si="359"/>
        <v>44022</v>
      </c>
      <c r="BO66" s="49">
        <f t="shared" si="359"/>
        <v>44023</v>
      </c>
      <c r="BP66" s="49">
        <f t="shared" si="359"/>
        <v>44024</v>
      </c>
      <c r="BQ66" s="49">
        <f t="shared" si="359"/>
        <v>44025</v>
      </c>
      <c r="BR66" s="49">
        <f t="shared" si="359"/>
        <v>44026</v>
      </c>
      <c r="BS66" s="49">
        <f t="shared" si="359"/>
        <v>44027</v>
      </c>
      <c r="BT66" s="49">
        <f t="shared" si="359"/>
        <v>44028</v>
      </c>
      <c r="BU66" s="49">
        <f t="shared" si="359"/>
        <v>44029</v>
      </c>
      <c r="BV66" s="49">
        <f t="shared" si="359"/>
        <v>44030</v>
      </c>
      <c r="BW66" s="49">
        <f t="shared" si="359"/>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O66" si="360">DS1</f>
        <v>44067</v>
      </c>
      <c r="DT66" s="49">
        <f t="shared" si="360"/>
        <v>44068</v>
      </c>
      <c r="DU66" s="49">
        <f t="shared" si="360"/>
        <v>44069</v>
      </c>
      <c r="DV66" s="49">
        <f t="shared" si="360"/>
        <v>44070</v>
      </c>
      <c r="DW66" s="49">
        <f t="shared" si="360"/>
        <v>44071</v>
      </c>
      <c r="DX66" s="49">
        <f t="shared" si="360"/>
        <v>44072</v>
      </c>
      <c r="DY66" s="49">
        <f t="shared" si="360"/>
        <v>44073</v>
      </c>
      <c r="DZ66" s="49"/>
      <c r="EA66" s="49"/>
      <c r="EB66" s="49">
        <f t="shared" si="360"/>
        <v>44074</v>
      </c>
      <c r="EC66" s="49">
        <f t="shared" si="360"/>
        <v>44075</v>
      </c>
      <c r="ED66" s="49">
        <f t="shared" si="360"/>
        <v>44076</v>
      </c>
      <c r="EE66" s="49">
        <f t="shared" si="360"/>
        <v>44077</v>
      </c>
      <c r="EF66" s="49">
        <f t="shared" si="360"/>
        <v>44078</v>
      </c>
      <c r="EG66" s="49">
        <f t="shared" si="360"/>
        <v>44079</v>
      </c>
      <c r="EH66" s="49">
        <f t="shared" si="360"/>
        <v>44080</v>
      </c>
      <c r="EI66" s="49"/>
      <c r="EJ66" s="49"/>
      <c r="EK66" s="49">
        <f t="shared" si="360"/>
        <v>44081</v>
      </c>
      <c r="EL66" s="49">
        <f t="shared" si="360"/>
        <v>44082</v>
      </c>
      <c r="EM66" s="49">
        <f t="shared" si="360"/>
        <v>44083</v>
      </c>
      <c r="EN66" s="49">
        <f t="shared" si="360"/>
        <v>44084</v>
      </c>
      <c r="EO66" s="49">
        <f t="shared" si="360"/>
        <v>44085</v>
      </c>
      <c r="EP66" s="49">
        <f t="shared" si="360"/>
        <v>44086</v>
      </c>
      <c r="EQ66" s="49">
        <f t="shared" ref="EQ66" si="361">EQ1</f>
        <v>44087</v>
      </c>
      <c r="ER66" s="49"/>
      <c r="ES66" s="49"/>
      <c r="ET66" s="49">
        <f t="shared" si="360"/>
        <v>44088</v>
      </c>
      <c r="EU66" s="49">
        <f t="shared" si="360"/>
        <v>44089</v>
      </c>
      <c r="EV66" s="49">
        <f t="shared" si="360"/>
        <v>44090</v>
      </c>
      <c r="EW66" s="49">
        <f t="shared" si="360"/>
        <v>44091</v>
      </c>
      <c r="EX66" s="49">
        <f t="shared" si="360"/>
        <v>44092</v>
      </c>
      <c r="EY66" s="49">
        <f t="shared" si="360"/>
        <v>44093</v>
      </c>
      <c r="EZ66" s="49">
        <f t="shared" si="360"/>
        <v>44094</v>
      </c>
      <c r="FA66" s="49">
        <f t="shared" si="360"/>
        <v>44095</v>
      </c>
      <c r="FB66" s="49">
        <f t="shared" si="360"/>
        <v>44096</v>
      </c>
      <c r="FC66" s="49">
        <f t="shared" si="360"/>
        <v>44097</v>
      </c>
      <c r="FD66" s="49">
        <f t="shared" si="360"/>
        <v>44098</v>
      </c>
      <c r="FE66" s="49">
        <f t="shared" si="360"/>
        <v>44099</v>
      </c>
      <c r="FF66" s="49">
        <f t="shared" si="360"/>
        <v>44100</v>
      </c>
      <c r="FG66" s="49">
        <f t="shared" si="360"/>
        <v>44101</v>
      </c>
      <c r="FH66" s="49">
        <f t="shared" si="360"/>
        <v>44102</v>
      </c>
      <c r="FI66" s="49">
        <f t="shared" si="360"/>
        <v>44103</v>
      </c>
      <c r="FJ66" s="49">
        <f t="shared" si="360"/>
        <v>44104</v>
      </c>
      <c r="FK66" s="49">
        <f t="shared" si="360"/>
        <v>44105</v>
      </c>
      <c r="FL66" s="49">
        <f t="shared" si="360"/>
        <v>44106</v>
      </c>
      <c r="FM66" s="49">
        <f t="shared" si="360"/>
        <v>44107</v>
      </c>
      <c r="FN66" s="49">
        <f t="shared" si="360"/>
        <v>44108</v>
      </c>
      <c r="FO66" s="49">
        <f t="shared" si="360"/>
        <v>44109</v>
      </c>
      <c r="FP66" s="49">
        <f t="shared" ref="FP66:IA66" si="362">FP1</f>
        <v>44110</v>
      </c>
      <c r="FQ66" s="49">
        <f t="shared" si="362"/>
        <v>44111</v>
      </c>
      <c r="FR66" s="49">
        <f t="shared" si="362"/>
        <v>44112</v>
      </c>
      <c r="FS66" s="49">
        <f t="shared" si="362"/>
        <v>44113</v>
      </c>
      <c r="FT66" s="49">
        <f t="shared" si="362"/>
        <v>44114</v>
      </c>
      <c r="FU66" s="49">
        <f t="shared" si="362"/>
        <v>44115</v>
      </c>
      <c r="FV66" s="49">
        <f t="shared" si="362"/>
        <v>44116</v>
      </c>
      <c r="FW66" s="49">
        <f t="shared" si="362"/>
        <v>44117</v>
      </c>
      <c r="FX66" s="49">
        <f t="shared" si="362"/>
        <v>44118</v>
      </c>
      <c r="FY66" s="49">
        <f t="shared" si="362"/>
        <v>44119</v>
      </c>
      <c r="FZ66" s="49">
        <f t="shared" si="362"/>
        <v>44120</v>
      </c>
      <c r="GA66" s="49">
        <f t="shared" si="362"/>
        <v>44121</v>
      </c>
      <c r="GB66" s="49">
        <f t="shared" si="362"/>
        <v>44122</v>
      </c>
      <c r="GC66" s="49">
        <f t="shared" si="362"/>
        <v>44123</v>
      </c>
      <c r="GD66" s="49">
        <f t="shared" si="362"/>
        <v>44124</v>
      </c>
      <c r="GE66" s="49">
        <f t="shared" si="362"/>
        <v>44125</v>
      </c>
      <c r="GF66" s="49">
        <f t="shared" si="362"/>
        <v>44126</v>
      </c>
      <c r="GG66" s="49">
        <f t="shared" si="362"/>
        <v>44127</v>
      </c>
      <c r="GH66" s="49">
        <f t="shared" si="362"/>
        <v>44128</v>
      </c>
      <c r="GI66" s="49">
        <f t="shared" si="362"/>
        <v>44129</v>
      </c>
      <c r="GJ66" s="49">
        <f t="shared" si="362"/>
        <v>44130</v>
      </c>
      <c r="GK66" s="49">
        <f t="shared" si="362"/>
        <v>44131</v>
      </c>
      <c r="GL66" s="49">
        <f t="shared" si="362"/>
        <v>44132</v>
      </c>
      <c r="GM66" s="49">
        <f t="shared" si="362"/>
        <v>44133</v>
      </c>
      <c r="GN66" s="49">
        <f t="shared" si="362"/>
        <v>44134</v>
      </c>
      <c r="GO66" s="49">
        <f t="shared" si="362"/>
        <v>44135</v>
      </c>
      <c r="GP66" s="49">
        <f t="shared" si="362"/>
        <v>44136</v>
      </c>
      <c r="GQ66" s="49">
        <f t="shared" si="362"/>
        <v>44137</v>
      </c>
      <c r="GR66" s="49">
        <f t="shared" si="362"/>
        <v>44138</v>
      </c>
      <c r="GS66" s="49">
        <f t="shared" si="362"/>
        <v>44139</v>
      </c>
      <c r="GT66" s="49">
        <f t="shared" si="362"/>
        <v>44140</v>
      </c>
      <c r="GU66" s="49">
        <f t="shared" si="362"/>
        <v>44141</v>
      </c>
      <c r="GV66" s="49">
        <f t="shared" si="362"/>
        <v>44142</v>
      </c>
      <c r="GW66" s="49">
        <f t="shared" si="362"/>
        <v>44143</v>
      </c>
      <c r="GX66" s="49">
        <f t="shared" si="362"/>
        <v>44144</v>
      </c>
      <c r="GY66" s="49">
        <f t="shared" si="362"/>
        <v>44145</v>
      </c>
      <c r="GZ66" s="49">
        <f t="shared" si="362"/>
        <v>44146</v>
      </c>
      <c r="HA66" s="49">
        <f t="shared" si="362"/>
        <v>44147</v>
      </c>
      <c r="HB66" s="49">
        <f t="shared" si="362"/>
        <v>44148</v>
      </c>
      <c r="HC66" s="49">
        <f t="shared" si="362"/>
        <v>44149</v>
      </c>
      <c r="HD66" s="49">
        <f t="shared" si="362"/>
        <v>44150</v>
      </c>
      <c r="HE66" s="49">
        <f t="shared" si="362"/>
        <v>44151</v>
      </c>
      <c r="HF66" s="49">
        <f t="shared" si="362"/>
        <v>44152</v>
      </c>
      <c r="HG66" s="49">
        <f t="shared" si="362"/>
        <v>44153</v>
      </c>
      <c r="HH66" s="49">
        <f t="shared" si="362"/>
        <v>44154</v>
      </c>
      <c r="HI66" s="49">
        <f t="shared" si="362"/>
        <v>44155</v>
      </c>
      <c r="HJ66" s="49">
        <f t="shared" si="362"/>
        <v>44156</v>
      </c>
      <c r="HK66" s="49">
        <f t="shared" si="362"/>
        <v>44157</v>
      </c>
      <c r="HL66" s="49">
        <f t="shared" si="362"/>
        <v>44158</v>
      </c>
      <c r="HM66" s="49">
        <f t="shared" si="362"/>
        <v>44159</v>
      </c>
      <c r="HN66" s="49">
        <f t="shared" si="362"/>
        <v>44160</v>
      </c>
      <c r="HO66" s="49">
        <f t="shared" si="362"/>
        <v>44161</v>
      </c>
      <c r="HP66" s="49">
        <f t="shared" si="362"/>
        <v>44162</v>
      </c>
      <c r="HQ66" s="49">
        <f t="shared" si="362"/>
        <v>44163</v>
      </c>
      <c r="HR66" s="49">
        <f t="shared" si="362"/>
        <v>44164</v>
      </c>
      <c r="HS66" s="49">
        <f t="shared" si="362"/>
        <v>44165</v>
      </c>
      <c r="HT66" s="49">
        <f t="shared" si="362"/>
        <v>44166</v>
      </c>
      <c r="HU66" s="49">
        <f t="shared" si="362"/>
        <v>44167</v>
      </c>
      <c r="HV66" s="49">
        <f t="shared" si="362"/>
        <v>44168</v>
      </c>
      <c r="HW66" s="49">
        <f t="shared" si="362"/>
        <v>44169</v>
      </c>
      <c r="HX66" s="49">
        <f t="shared" si="362"/>
        <v>44170</v>
      </c>
      <c r="HY66" s="49">
        <f t="shared" si="362"/>
        <v>44171</v>
      </c>
      <c r="HZ66" s="49">
        <f t="shared" si="362"/>
        <v>44172</v>
      </c>
      <c r="IA66" s="49">
        <f t="shared" si="362"/>
        <v>44173</v>
      </c>
      <c r="IB66" s="49">
        <f t="shared" ref="IB66:KM66" si="363">IB1</f>
        <v>44174</v>
      </c>
      <c r="IC66" s="49">
        <f t="shared" si="363"/>
        <v>44175</v>
      </c>
      <c r="ID66" s="49">
        <f t="shared" si="363"/>
        <v>44176</v>
      </c>
      <c r="IE66" s="49">
        <f t="shared" si="363"/>
        <v>44177</v>
      </c>
      <c r="IF66" s="49">
        <f t="shared" si="363"/>
        <v>44178</v>
      </c>
      <c r="IG66" s="49">
        <f t="shared" si="363"/>
        <v>44179</v>
      </c>
      <c r="IH66" s="49">
        <f t="shared" si="363"/>
        <v>44180</v>
      </c>
      <c r="II66" s="49">
        <f t="shared" si="363"/>
        <v>44181</v>
      </c>
      <c r="IJ66" s="49">
        <f t="shared" si="363"/>
        <v>44182</v>
      </c>
      <c r="IK66" s="49">
        <f t="shared" si="363"/>
        <v>44183</v>
      </c>
      <c r="IL66" s="49">
        <f t="shared" si="363"/>
        <v>44184</v>
      </c>
      <c r="IM66" s="49">
        <f t="shared" si="363"/>
        <v>44185</v>
      </c>
      <c r="IN66" s="49">
        <f t="shared" si="363"/>
        <v>44186</v>
      </c>
      <c r="IO66" s="49">
        <f t="shared" si="363"/>
        <v>44187</v>
      </c>
      <c r="IP66" s="49">
        <f t="shared" si="363"/>
        <v>44188</v>
      </c>
      <c r="IQ66" s="49">
        <f t="shared" si="363"/>
        <v>44189</v>
      </c>
      <c r="IR66" s="49">
        <f t="shared" si="363"/>
        <v>44190</v>
      </c>
      <c r="IS66" s="49">
        <f t="shared" si="363"/>
        <v>44191</v>
      </c>
      <c r="IT66" s="49">
        <f t="shared" si="363"/>
        <v>44192</v>
      </c>
      <c r="IU66" s="49">
        <f t="shared" si="363"/>
        <v>44193</v>
      </c>
      <c r="IV66" s="49">
        <f t="shared" si="363"/>
        <v>44194</v>
      </c>
      <c r="IW66" s="49">
        <f t="shared" si="363"/>
        <v>44195</v>
      </c>
      <c r="IX66" s="49">
        <f t="shared" si="363"/>
        <v>44196</v>
      </c>
      <c r="IY66" s="49">
        <f t="shared" si="363"/>
        <v>44197</v>
      </c>
      <c r="IZ66" s="49">
        <f t="shared" si="363"/>
        <v>44198</v>
      </c>
      <c r="JA66" s="49">
        <f t="shared" si="363"/>
        <v>44199</v>
      </c>
      <c r="JB66" s="49">
        <f t="shared" si="363"/>
        <v>44200</v>
      </c>
      <c r="JC66" s="49">
        <f t="shared" si="363"/>
        <v>44201</v>
      </c>
      <c r="JD66" s="49">
        <f t="shared" si="363"/>
        <v>44202</v>
      </c>
      <c r="JE66" s="49">
        <f t="shared" si="363"/>
        <v>44203</v>
      </c>
      <c r="JF66" s="49">
        <f t="shared" si="363"/>
        <v>44204</v>
      </c>
      <c r="JG66" s="49">
        <f t="shared" si="363"/>
        <v>44205</v>
      </c>
      <c r="JH66" s="49">
        <f t="shared" si="363"/>
        <v>44206</v>
      </c>
      <c r="JI66" s="49">
        <f t="shared" si="363"/>
        <v>44207</v>
      </c>
      <c r="JJ66" s="49">
        <f t="shared" si="363"/>
        <v>44208</v>
      </c>
      <c r="JK66" s="49">
        <f t="shared" si="363"/>
        <v>44209</v>
      </c>
      <c r="JL66" s="49">
        <f t="shared" si="363"/>
        <v>44210</v>
      </c>
      <c r="JM66" s="49">
        <f t="shared" si="363"/>
        <v>44211</v>
      </c>
      <c r="JN66" s="49">
        <f t="shared" si="363"/>
        <v>44212</v>
      </c>
      <c r="JO66" s="49">
        <f t="shared" si="363"/>
        <v>44213</v>
      </c>
      <c r="JP66" s="49">
        <f t="shared" si="363"/>
        <v>44214</v>
      </c>
      <c r="JQ66" s="49">
        <f t="shared" si="363"/>
        <v>44215</v>
      </c>
      <c r="JR66" s="49">
        <f t="shared" si="363"/>
        <v>44216</v>
      </c>
      <c r="JS66" s="49">
        <f t="shared" si="363"/>
        <v>44217</v>
      </c>
      <c r="JT66" s="49">
        <f t="shared" si="363"/>
        <v>44218</v>
      </c>
      <c r="JU66" s="49">
        <f t="shared" si="363"/>
        <v>44219</v>
      </c>
      <c r="JV66" s="49">
        <f t="shared" si="363"/>
        <v>44220</v>
      </c>
      <c r="JW66" s="49">
        <f t="shared" si="363"/>
        <v>44221</v>
      </c>
      <c r="JX66" s="49">
        <f t="shared" si="363"/>
        <v>44222</v>
      </c>
      <c r="JY66" s="49">
        <f t="shared" si="363"/>
        <v>44223</v>
      </c>
      <c r="JZ66" s="49">
        <f t="shared" si="363"/>
        <v>44224</v>
      </c>
      <c r="KA66" s="49">
        <f t="shared" si="363"/>
        <v>44225</v>
      </c>
      <c r="KB66" s="49">
        <f t="shared" si="363"/>
        <v>44226</v>
      </c>
      <c r="KC66" s="49">
        <f t="shared" si="363"/>
        <v>44227</v>
      </c>
      <c r="KD66" s="49">
        <f t="shared" si="363"/>
        <v>44228</v>
      </c>
      <c r="KE66" s="49">
        <f t="shared" si="363"/>
        <v>44229</v>
      </c>
      <c r="KF66" s="49">
        <f t="shared" si="363"/>
        <v>44230</v>
      </c>
      <c r="KG66" s="49">
        <f t="shared" si="363"/>
        <v>44231</v>
      </c>
      <c r="KH66" s="49">
        <f t="shared" si="363"/>
        <v>44232</v>
      </c>
      <c r="KI66" s="49">
        <f t="shared" si="363"/>
        <v>44233</v>
      </c>
      <c r="KJ66" s="49">
        <f t="shared" si="363"/>
        <v>44234</v>
      </c>
      <c r="KK66" s="49">
        <f t="shared" si="363"/>
        <v>44235</v>
      </c>
      <c r="KL66" s="49">
        <f t="shared" si="363"/>
        <v>44236</v>
      </c>
      <c r="KM66" s="49">
        <f t="shared" si="363"/>
        <v>44237</v>
      </c>
      <c r="KN66" s="49">
        <f t="shared" ref="KN66:MN66" si="364">KN1</f>
        <v>44238</v>
      </c>
      <c r="KO66" s="49">
        <f t="shared" si="364"/>
        <v>44239</v>
      </c>
      <c r="KP66" s="49">
        <f t="shared" si="364"/>
        <v>44240</v>
      </c>
      <c r="KQ66" s="49">
        <f t="shared" si="364"/>
        <v>44241</v>
      </c>
      <c r="KR66" s="49">
        <f t="shared" si="364"/>
        <v>44242</v>
      </c>
      <c r="KS66" s="49">
        <f t="shared" si="364"/>
        <v>44243</v>
      </c>
      <c r="KT66" s="49">
        <f t="shared" si="364"/>
        <v>44244</v>
      </c>
      <c r="KU66" s="49">
        <f t="shared" si="364"/>
        <v>44245</v>
      </c>
      <c r="KV66" s="49">
        <f t="shared" si="364"/>
        <v>44246</v>
      </c>
      <c r="KW66" s="49">
        <f t="shared" si="364"/>
        <v>44247</v>
      </c>
      <c r="KX66" s="49">
        <f t="shared" si="364"/>
        <v>44248</v>
      </c>
      <c r="KY66" s="49">
        <f t="shared" si="364"/>
        <v>44249</v>
      </c>
      <c r="KZ66" s="49">
        <f t="shared" si="364"/>
        <v>44250</v>
      </c>
      <c r="LA66" s="49">
        <f t="shared" si="364"/>
        <v>44251</v>
      </c>
      <c r="LB66" s="49">
        <f t="shared" si="364"/>
        <v>44252</v>
      </c>
      <c r="LC66" s="49">
        <f t="shared" si="364"/>
        <v>44253</v>
      </c>
      <c r="LD66" s="49">
        <f t="shared" si="364"/>
        <v>44254</v>
      </c>
      <c r="LE66" s="49">
        <f t="shared" si="364"/>
        <v>44255</v>
      </c>
      <c r="LF66" s="49">
        <f t="shared" si="364"/>
        <v>44256</v>
      </c>
      <c r="LG66" s="49">
        <f t="shared" si="364"/>
        <v>44257</v>
      </c>
      <c r="LH66" s="49">
        <f t="shared" si="364"/>
        <v>44258</v>
      </c>
      <c r="LI66" s="49">
        <f t="shared" si="364"/>
        <v>44259</v>
      </c>
      <c r="LJ66" s="49">
        <f t="shared" si="364"/>
        <v>44260</v>
      </c>
      <c r="LK66" s="49">
        <f t="shared" si="364"/>
        <v>44261</v>
      </c>
      <c r="LL66" s="49">
        <f t="shared" si="364"/>
        <v>44262</v>
      </c>
      <c r="LM66" s="49">
        <f t="shared" si="364"/>
        <v>44263</v>
      </c>
      <c r="LN66" s="49">
        <f t="shared" si="364"/>
        <v>44264</v>
      </c>
      <c r="LO66" s="49">
        <f t="shared" si="364"/>
        <v>44265</v>
      </c>
      <c r="LP66" s="49">
        <f t="shared" si="364"/>
        <v>44266</v>
      </c>
      <c r="LQ66" s="49">
        <f t="shared" si="364"/>
        <v>44267</v>
      </c>
      <c r="LR66" s="49">
        <f t="shared" si="364"/>
        <v>44268</v>
      </c>
      <c r="LS66" s="49">
        <f t="shared" si="364"/>
        <v>44269</v>
      </c>
      <c r="LT66" s="49">
        <f t="shared" si="364"/>
        <v>44270</v>
      </c>
      <c r="LU66" s="49">
        <f t="shared" si="364"/>
        <v>44271</v>
      </c>
      <c r="LV66" s="49">
        <f t="shared" si="364"/>
        <v>44272</v>
      </c>
      <c r="LW66" s="49">
        <f t="shared" si="364"/>
        <v>44273</v>
      </c>
      <c r="LX66" s="49">
        <f t="shared" si="364"/>
        <v>44274</v>
      </c>
      <c r="LY66" s="49">
        <f t="shared" si="364"/>
        <v>44275</v>
      </c>
      <c r="LZ66" s="49">
        <f t="shared" si="364"/>
        <v>44276</v>
      </c>
      <c r="MA66" s="49">
        <f t="shared" si="364"/>
        <v>44277</v>
      </c>
      <c r="MB66" s="49">
        <f t="shared" si="364"/>
        <v>44278</v>
      </c>
      <c r="MC66" s="49">
        <f t="shared" si="364"/>
        <v>44279</v>
      </c>
      <c r="MD66" s="49">
        <f t="shared" si="364"/>
        <v>44280</v>
      </c>
      <c r="ME66" s="49">
        <f t="shared" si="364"/>
        <v>44281</v>
      </c>
      <c r="MF66" s="49">
        <f t="shared" si="364"/>
        <v>44282</v>
      </c>
      <c r="MG66" s="49">
        <f t="shared" si="364"/>
        <v>44283</v>
      </c>
      <c r="MH66" s="49">
        <f t="shared" si="364"/>
        <v>44284</v>
      </c>
      <c r="MI66" s="49">
        <f t="shared" si="364"/>
        <v>44285</v>
      </c>
      <c r="MJ66" s="49">
        <f t="shared" si="364"/>
        <v>44286</v>
      </c>
      <c r="MK66" s="49">
        <f t="shared" si="364"/>
        <v>44287</v>
      </c>
      <c r="ML66" s="49">
        <f t="shared" si="364"/>
        <v>44288</v>
      </c>
      <c r="MM66" s="49">
        <f t="shared" si="364"/>
        <v>44289</v>
      </c>
      <c r="MN66" s="49">
        <f t="shared" si="364"/>
        <v>44290</v>
      </c>
    </row>
    <row r="67" spans="1:352" ht="15" customHeight="1" x14ac:dyDescent="0.25">
      <c r="A67" s="139" t="s">
        <v>144</v>
      </c>
      <c r="B67" s="139"/>
      <c r="C67" s="139"/>
      <c r="D67" s="139"/>
      <c r="E67" s="140"/>
      <c r="F67" s="30"/>
      <c r="G67" s="30"/>
      <c r="H67" s="30"/>
      <c r="I67" s="30"/>
      <c r="J67" s="30"/>
      <c r="K67" s="30"/>
      <c r="L67" s="30"/>
      <c r="M67" s="30"/>
      <c r="N67" s="30"/>
      <c r="O67" s="29"/>
      <c r="P67" s="143" t="s">
        <v>49</v>
      </c>
      <c r="Q67" s="143" t="s">
        <v>48</v>
      </c>
      <c r="R67" s="145"/>
      <c r="S67" s="57">
        <f t="shared" ref="S67:BV67" si="365">S39</f>
        <v>43975</v>
      </c>
      <c r="T67" s="58">
        <f t="shared" si="365"/>
        <v>43976</v>
      </c>
      <c r="U67" s="58">
        <f t="shared" si="365"/>
        <v>43977</v>
      </c>
      <c r="V67" s="58">
        <f t="shared" si="365"/>
        <v>43978</v>
      </c>
      <c r="W67" s="58">
        <f t="shared" si="365"/>
        <v>43979</v>
      </c>
      <c r="X67" s="58">
        <f t="shared" si="365"/>
        <v>43980</v>
      </c>
      <c r="Y67" s="58">
        <f t="shared" si="365"/>
        <v>43981</v>
      </c>
      <c r="Z67" s="57">
        <f t="shared" si="365"/>
        <v>43982</v>
      </c>
      <c r="AA67" s="58">
        <f t="shared" si="365"/>
        <v>43983</v>
      </c>
      <c r="AB67" s="58">
        <f t="shared" si="365"/>
        <v>43984</v>
      </c>
      <c r="AC67" s="58">
        <f t="shared" si="365"/>
        <v>43985</v>
      </c>
      <c r="AD67" s="58">
        <f t="shared" si="365"/>
        <v>43986</v>
      </c>
      <c r="AE67" s="58">
        <f t="shared" si="365"/>
        <v>43987</v>
      </c>
      <c r="AF67" s="58">
        <f t="shared" si="365"/>
        <v>43988</v>
      </c>
      <c r="AG67" s="57">
        <f t="shared" si="365"/>
        <v>43989</v>
      </c>
      <c r="AH67" s="58">
        <f t="shared" si="365"/>
        <v>43990</v>
      </c>
      <c r="AI67" s="58">
        <f t="shared" si="365"/>
        <v>43991</v>
      </c>
      <c r="AJ67" s="58">
        <f t="shared" si="365"/>
        <v>43992</v>
      </c>
      <c r="AK67" s="58">
        <f t="shared" si="365"/>
        <v>43993</v>
      </c>
      <c r="AL67" s="58">
        <f t="shared" si="365"/>
        <v>43994</v>
      </c>
      <c r="AM67" s="58">
        <f t="shared" si="365"/>
        <v>43995</v>
      </c>
      <c r="AN67" s="57">
        <f t="shared" si="365"/>
        <v>43996</v>
      </c>
      <c r="AO67" s="58">
        <f t="shared" si="365"/>
        <v>43997</v>
      </c>
      <c r="AP67" s="58">
        <f t="shared" si="365"/>
        <v>43998</v>
      </c>
      <c r="AQ67" s="58">
        <f t="shared" si="365"/>
        <v>43999</v>
      </c>
      <c r="AR67" s="58">
        <f t="shared" si="365"/>
        <v>44000</v>
      </c>
      <c r="AS67" s="58">
        <f t="shared" si="365"/>
        <v>44001</v>
      </c>
      <c r="AT67" s="58">
        <f t="shared" si="365"/>
        <v>44002</v>
      </c>
      <c r="AU67" s="57">
        <f t="shared" si="365"/>
        <v>44003</v>
      </c>
      <c r="AV67" s="58">
        <f t="shared" si="365"/>
        <v>44004</v>
      </c>
      <c r="AW67" s="58">
        <f t="shared" si="365"/>
        <v>44005</v>
      </c>
      <c r="AX67" s="58">
        <f t="shared" si="365"/>
        <v>44006</v>
      </c>
      <c r="AY67" s="58">
        <f t="shared" si="365"/>
        <v>44007</v>
      </c>
      <c r="AZ67" s="58">
        <f t="shared" si="365"/>
        <v>44008</v>
      </c>
      <c r="BA67" s="58">
        <f t="shared" si="365"/>
        <v>44009</v>
      </c>
      <c r="BB67" s="57">
        <f t="shared" si="365"/>
        <v>44010</v>
      </c>
      <c r="BC67" s="58">
        <f t="shared" si="365"/>
        <v>44011</v>
      </c>
      <c r="BD67" s="58">
        <f t="shared" si="365"/>
        <v>44012</v>
      </c>
      <c r="BE67" s="58">
        <f t="shared" si="365"/>
        <v>44013</v>
      </c>
      <c r="BF67" s="58">
        <f t="shared" si="365"/>
        <v>44014</v>
      </c>
      <c r="BG67" s="58">
        <f t="shared" si="365"/>
        <v>44015</v>
      </c>
      <c r="BH67" s="58">
        <f t="shared" si="365"/>
        <v>44016</v>
      </c>
      <c r="BI67" s="57">
        <f t="shared" si="365"/>
        <v>44017</v>
      </c>
      <c r="BJ67" s="58">
        <f t="shared" si="365"/>
        <v>44018</v>
      </c>
      <c r="BK67" s="58">
        <f t="shared" si="365"/>
        <v>44019</v>
      </c>
      <c r="BL67" s="58">
        <f t="shared" si="365"/>
        <v>44020</v>
      </c>
      <c r="BM67" s="58">
        <f t="shared" si="365"/>
        <v>44021</v>
      </c>
      <c r="BN67" s="58">
        <f t="shared" si="365"/>
        <v>44022</v>
      </c>
      <c r="BO67" s="58">
        <f t="shared" si="365"/>
        <v>44023</v>
      </c>
      <c r="BP67" s="57">
        <v>12</v>
      </c>
      <c r="BQ67" s="58">
        <f t="shared" si="365"/>
        <v>44025</v>
      </c>
      <c r="BR67" s="58">
        <f t="shared" si="365"/>
        <v>44026</v>
      </c>
      <c r="BS67" s="58">
        <f t="shared" si="365"/>
        <v>44027</v>
      </c>
      <c r="BT67" s="58">
        <f t="shared" si="365"/>
        <v>44028</v>
      </c>
      <c r="BU67" s="58">
        <f t="shared" si="365"/>
        <v>44029</v>
      </c>
      <c r="BV67" s="58">
        <f t="shared" si="365"/>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66">DS39</f>
        <v>44067</v>
      </c>
      <c r="DT67" s="58">
        <f t="shared" si="366"/>
        <v>44068</v>
      </c>
      <c r="DU67" s="58">
        <f t="shared" si="366"/>
        <v>44069</v>
      </c>
      <c r="DV67" s="58">
        <f t="shared" si="366"/>
        <v>44070</v>
      </c>
      <c r="DW67" s="58">
        <f t="shared" si="366"/>
        <v>44071</v>
      </c>
      <c r="DX67" s="58">
        <f t="shared" si="366"/>
        <v>44072</v>
      </c>
      <c r="DY67" s="58">
        <f t="shared" si="366"/>
        <v>44073</v>
      </c>
      <c r="DZ67" s="58"/>
      <c r="EA67" s="57"/>
      <c r="EB67" s="58">
        <f t="shared" si="366"/>
        <v>44074</v>
      </c>
      <c r="EC67" s="58">
        <f t="shared" si="366"/>
        <v>44075</v>
      </c>
      <c r="ED67" s="58">
        <f t="shared" si="366"/>
        <v>44076</v>
      </c>
      <c r="EE67" s="58">
        <f t="shared" si="366"/>
        <v>44077</v>
      </c>
      <c r="EF67" s="58">
        <f t="shared" si="366"/>
        <v>44078</v>
      </c>
      <c r="EG67" s="58">
        <f t="shared" si="366"/>
        <v>44079</v>
      </c>
      <c r="EH67" s="58">
        <f t="shared" si="366"/>
        <v>44080</v>
      </c>
      <c r="EI67" s="58"/>
      <c r="EJ67" s="57"/>
      <c r="EK67" s="58">
        <f t="shared" si="366"/>
        <v>44081</v>
      </c>
      <c r="EL67" s="58">
        <f t="shared" si="366"/>
        <v>44082</v>
      </c>
      <c r="EM67" s="58">
        <f t="shared" si="366"/>
        <v>44083</v>
      </c>
      <c r="EN67" s="58">
        <f t="shared" si="366"/>
        <v>44084</v>
      </c>
      <c r="EO67" s="58">
        <f t="shared" si="366"/>
        <v>44085</v>
      </c>
      <c r="EP67" s="58">
        <f t="shared" si="366"/>
        <v>44086</v>
      </c>
      <c r="EQ67" s="58">
        <f t="shared" si="366"/>
        <v>44087</v>
      </c>
      <c r="ER67" s="58"/>
      <c r="ES67" s="57"/>
      <c r="ET67" s="58">
        <f t="shared" si="366"/>
        <v>44088</v>
      </c>
      <c r="EU67" s="58">
        <f t="shared" si="366"/>
        <v>44089</v>
      </c>
      <c r="EV67" s="58">
        <f t="shared" si="366"/>
        <v>44090</v>
      </c>
      <c r="EW67" s="58">
        <f t="shared" si="366"/>
        <v>44091</v>
      </c>
      <c r="EX67" s="58">
        <f t="shared" si="366"/>
        <v>44092</v>
      </c>
      <c r="EY67" s="58">
        <f t="shared" si="366"/>
        <v>44093</v>
      </c>
      <c r="EZ67" s="57">
        <f t="shared" si="366"/>
        <v>44094</v>
      </c>
      <c r="FA67" s="58">
        <f t="shared" si="366"/>
        <v>44095</v>
      </c>
      <c r="FB67" s="58">
        <f t="shared" si="366"/>
        <v>44096</v>
      </c>
      <c r="FC67" s="58">
        <f t="shared" si="366"/>
        <v>44097</v>
      </c>
      <c r="FD67" s="58">
        <f t="shared" si="366"/>
        <v>44098</v>
      </c>
      <c r="FE67" s="58">
        <f t="shared" si="366"/>
        <v>44099</v>
      </c>
      <c r="FF67" s="58">
        <f t="shared" si="366"/>
        <v>44100</v>
      </c>
      <c r="FG67" s="57">
        <f t="shared" si="366"/>
        <v>44101</v>
      </c>
      <c r="FH67" s="58">
        <f t="shared" si="366"/>
        <v>44102</v>
      </c>
      <c r="FI67" s="58">
        <f t="shared" ref="FI67:HT67" si="367">FI39</f>
        <v>44103</v>
      </c>
      <c r="FJ67" s="58">
        <f t="shared" si="367"/>
        <v>44104</v>
      </c>
      <c r="FK67" s="58">
        <f t="shared" si="367"/>
        <v>44105</v>
      </c>
      <c r="FL67" s="58">
        <f t="shared" si="367"/>
        <v>44106</v>
      </c>
      <c r="FM67" s="58">
        <f t="shared" si="367"/>
        <v>44107</v>
      </c>
      <c r="FN67" s="57">
        <f t="shared" si="367"/>
        <v>44108</v>
      </c>
      <c r="FO67" s="58">
        <f t="shared" si="367"/>
        <v>44109</v>
      </c>
      <c r="FP67" s="58">
        <f t="shared" si="367"/>
        <v>44110</v>
      </c>
      <c r="FQ67" s="58">
        <f t="shared" si="367"/>
        <v>44111</v>
      </c>
      <c r="FR67" s="58">
        <f t="shared" si="367"/>
        <v>44112</v>
      </c>
      <c r="FS67" s="58">
        <f t="shared" si="367"/>
        <v>44113</v>
      </c>
      <c r="FT67" s="58">
        <f t="shared" si="367"/>
        <v>44114</v>
      </c>
      <c r="FU67" s="57">
        <f t="shared" si="367"/>
        <v>44115</v>
      </c>
      <c r="FV67" s="58">
        <f t="shared" si="367"/>
        <v>44116</v>
      </c>
      <c r="FW67" s="58">
        <f t="shared" si="367"/>
        <v>44117</v>
      </c>
      <c r="FX67" s="58">
        <f t="shared" si="367"/>
        <v>44118</v>
      </c>
      <c r="FY67" s="58">
        <f t="shared" si="367"/>
        <v>44119</v>
      </c>
      <c r="FZ67" s="58">
        <f t="shared" si="367"/>
        <v>44120</v>
      </c>
      <c r="GA67" s="58">
        <f t="shared" si="367"/>
        <v>44121</v>
      </c>
      <c r="GB67" s="57">
        <f t="shared" si="367"/>
        <v>44122</v>
      </c>
      <c r="GC67" s="58">
        <f t="shared" si="367"/>
        <v>44123</v>
      </c>
      <c r="GD67" s="58">
        <f t="shared" si="367"/>
        <v>44124</v>
      </c>
      <c r="GE67" s="58">
        <f t="shared" si="367"/>
        <v>44125</v>
      </c>
      <c r="GF67" s="58">
        <f t="shared" si="367"/>
        <v>44126</v>
      </c>
      <c r="GG67" s="58">
        <f t="shared" si="367"/>
        <v>44127</v>
      </c>
      <c r="GH67" s="58">
        <f t="shared" si="367"/>
        <v>44128</v>
      </c>
      <c r="GI67" s="57">
        <f t="shared" si="367"/>
        <v>44129</v>
      </c>
      <c r="GJ67" s="58">
        <f t="shared" si="367"/>
        <v>44130</v>
      </c>
      <c r="GK67" s="58">
        <f t="shared" si="367"/>
        <v>44131</v>
      </c>
      <c r="GL67" s="58">
        <f t="shared" si="367"/>
        <v>44132</v>
      </c>
      <c r="GM67" s="58">
        <f t="shared" si="367"/>
        <v>44133</v>
      </c>
      <c r="GN67" s="58">
        <f t="shared" si="367"/>
        <v>44134</v>
      </c>
      <c r="GO67" s="58">
        <f t="shared" si="367"/>
        <v>44135</v>
      </c>
      <c r="GP67" s="57">
        <f t="shared" si="367"/>
        <v>44136</v>
      </c>
      <c r="GQ67" s="58">
        <f t="shared" si="367"/>
        <v>44137</v>
      </c>
      <c r="GR67" s="58">
        <f t="shared" si="367"/>
        <v>44138</v>
      </c>
      <c r="GS67" s="58">
        <f t="shared" si="367"/>
        <v>44139</v>
      </c>
      <c r="GT67" s="58">
        <f t="shared" si="367"/>
        <v>44140</v>
      </c>
      <c r="GU67" s="58">
        <f t="shared" si="367"/>
        <v>44141</v>
      </c>
      <c r="GV67" s="58">
        <f t="shared" si="367"/>
        <v>44142</v>
      </c>
      <c r="GW67" s="57">
        <f t="shared" si="367"/>
        <v>44143</v>
      </c>
      <c r="GX67" s="58">
        <f t="shared" si="367"/>
        <v>44144</v>
      </c>
      <c r="GY67" s="58">
        <f t="shared" si="367"/>
        <v>44145</v>
      </c>
      <c r="GZ67" s="58">
        <f t="shared" si="367"/>
        <v>44146</v>
      </c>
      <c r="HA67" s="58">
        <f t="shared" si="367"/>
        <v>44147</v>
      </c>
      <c r="HB67" s="58">
        <f t="shared" si="367"/>
        <v>44148</v>
      </c>
      <c r="HC67" s="58">
        <f t="shared" si="367"/>
        <v>44149</v>
      </c>
      <c r="HD67" s="57">
        <f t="shared" si="367"/>
        <v>44150</v>
      </c>
      <c r="HE67" s="58">
        <f t="shared" si="367"/>
        <v>44151</v>
      </c>
      <c r="HF67" s="58">
        <f t="shared" si="367"/>
        <v>44152</v>
      </c>
      <c r="HG67" s="58">
        <f t="shared" si="367"/>
        <v>44153</v>
      </c>
      <c r="HH67" s="58">
        <f t="shared" si="367"/>
        <v>44154</v>
      </c>
      <c r="HI67" s="58">
        <f t="shared" si="367"/>
        <v>44155</v>
      </c>
      <c r="HJ67" s="58">
        <f t="shared" si="367"/>
        <v>44156</v>
      </c>
      <c r="HK67" s="57">
        <f t="shared" si="367"/>
        <v>44157</v>
      </c>
      <c r="HL67" s="58">
        <f t="shared" si="367"/>
        <v>44158</v>
      </c>
      <c r="HM67" s="58">
        <f t="shared" si="367"/>
        <v>44159</v>
      </c>
      <c r="HN67" s="58">
        <f t="shared" si="367"/>
        <v>44160</v>
      </c>
      <c r="HO67" s="58">
        <f t="shared" si="367"/>
        <v>44161</v>
      </c>
      <c r="HP67" s="58">
        <f t="shared" si="367"/>
        <v>44162</v>
      </c>
      <c r="HQ67" s="58">
        <f t="shared" si="367"/>
        <v>44163</v>
      </c>
      <c r="HR67" s="57">
        <f t="shared" si="367"/>
        <v>44164</v>
      </c>
      <c r="HS67" s="58">
        <f t="shared" si="367"/>
        <v>44165</v>
      </c>
      <c r="HT67" s="58">
        <f t="shared" si="367"/>
        <v>44166</v>
      </c>
      <c r="HU67" s="58">
        <f t="shared" ref="HU67:KF67" si="368">HU39</f>
        <v>44167</v>
      </c>
      <c r="HV67" s="58">
        <f t="shared" si="368"/>
        <v>44168</v>
      </c>
      <c r="HW67" s="58">
        <f t="shared" si="368"/>
        <v>44169</v>
      </c>
      <c r="HX67" s="58">
        <f t="shared" si="368"/>
        <v>44170</v>
      </c>
      <c r="HY67" s="57">
        <f t="shared" si="368"/>
        <v>44171</v>
      </c>
      <c r="HZ67" s="58">
        <f t="shared" si="368"/>
        <v>44172</v>
      </c>
      <c r="IA67" s="58">
        <f t="shared" si="368"/>
        <v>44173</v>
      </c>
      <c r="IB67" s="58">
        <f t="shared" si="368"/>
        <v>44174</v>
      </c>
      <c r="IC67" s="58">
        <f t="shared" si="368"/>
        <v>44175</v>
      </c>
      <c r="ID67" s="58">
        <f t="shared" si="368"/>
        <v>44176</v>
      </c>
      <c r="IE67" s="58">
        <f t="shared" si="368"/>
        <v>44177</v>
      </c>
      <c r="IF67" s="57">
        <f t="shared" si="368"/>
        <v>44178</v>
      </c>
      <c r="IG67" s="58">
        <f t="shared" si="368"/>
        <v>44179</v>
      </c>
      <c r="IH67" s="58">
        <f t="shared" si="368"/>
        <v>44180</v>
      </c>
      <c r="II67" s="58">
        <f t="shared" si="368"/>
        <v>44181</v>
      </c>
      <c r="IJ67" s="58">
        <f t="shared" si="368"/>
        <v>44182</v>
      </c>
      <c r="IK67" s="58">
        <f t="shared" si="368"/>
        <v>44183</v>
      </c>
      <c r="IL67" s="58">
        <f t="shared" si="368"/>
        <v>44184</v>
      </c>
      <c r="IM67" s="57">
        <f t="shared" si="368"/>
        <v>44185</v>
      </c>
      <c r="IN67" s="58">
        <f t="shared" si="368"/>
        <v>44186</v>
      </c>
      <c r="IO67" s="58">
        <f t="shared" si="368"/>
        <v>44187</v>
      </c>
      <c r="IP67" s="58">
        <f t="shared" si="368"/>
        <v>44188</v>
      </c>
      <c r="IQ67" s="58">
        <f t="shared" si="368"/>
        <v>44189</v>
      </c>
      <c r="IR67" s="58">
        <f t="shared" si="368"/>
        <v>44190</v>
      </c>
      <c r="IS67" s="58">
        <f t="shared" si="368"/>
        <v>44191</v>
      </c>
      <c r="IT67" s="57">
        <f t="shared" si="368"/>
        <v>44192</v>
      </c>
      <c r="IU67" s="58">
        <f t="shared" si="368"/>
        <v>44193</v>
      </c>
      <c r="IV67" s="58">
        <f t="shared" si="368"/>
        <v>44194</v>
      </c>
      <c r="IW67" s="58">
        <f t="shared" si="368"/>
        <v>44195</v>
      </c>
      <c r="IX67" s="58">
        <f t="shared" si="368"/>
        <v>44196</v>
      </c>
      <c r="IY67" s="58">
        <f t="shared" si="368"/>
        <v>44197</v>
      </c>
      <c r="IZ67" s="58">
        <f t="shared" si="368"/>
        <v>44198</v>
      </c>
      <c r="JA67" s="57">
        <f t="shared" si="368"/>
        <v>44199</v>
      </c>
      <c r="JB67" s="58">
        <f t="shared" si="368"/>
        <v>44200</v>
      </c>
      <c r="JC67" s="58">
        <f t="shared" si="368"/>
        <v>44201</v>
      </c>
      <c r="JD67" s="58">
        <f t="shared" si="368"/>
        <v>44202</v>
      </c>
      <c r="JE67" s="58">
        <f t="shared" si="368"/>
        <v>44203</v>
      </c>
      <c r="JF67" s="58">
        <f t="shared" si="368"/>
        <v>44204</v>
      </c>
      <c r="JG67" s="58">
        <f t="shared" si="368"/>
        <v>44205</v>
      </c>
      <c r="JH67" s="57">
        <f t="shared" si="368"/>
        <v>44206</v>
      </c>
      <c r="JI67" s="58">
        <f t="shared" si="368"/>
        <v>44207</v>
      </c>
      <c r="JJ67" s="58">
        <f t="shared" si="368"/>
        <v>44208</v>
      </c>
      <c r="JK67" s="58">
        <f t="shared" si="368"/>
        <v>44209</v>
      </c>
      <c r="JL67" s="58">
        <f t="shared" si="368"/>
        <v>44210</v>
      </c>
      <c r="JM67" s="58">
        <f t="shared" si="368"/>
        <v>44211</v>
      </c>
      <c r="JN67" s="58">
        <f t="shared" si="368"/>
        <v>44212</v>
      </c>
      <c r="JO67" s="57">
        <f t="shared" si="368"/>
        <v>44213</v>
      </c>
      <c r="JP67" s="58">
        <f t="shared" si="368"/>
        <v>44214</v>
      </c>
      <c r="JQ67" s="58">
        <f t="shared" si="368"/>
        <v>44215</v>
      </c>
      <c r="JR67" s="58">
        <f t="shared" si="368"/>
        <v>44216</v>
      </c>
      <c r="JS67" s="58">
        <f t="shared" si="368"/>
        <v>44217</v>
      </c>
      <c r="JT67" s="58">
        <f t="shared" si="368"/>
        <v>44218</v>
      </c>
      <c r="JU67" s="58">
        <f t="shared" si="368"/>
        <v>44219</v>
      </c>
      <c r="JV67" s="57">
        <f t="shared" si="368"/>
        <v>44220</v>
      </c>
      <c r="JW67" s="58">
        <f t="shared" si="368"/>
        <v>44221</v>
      </c>
      <c r="JX67" s="58">
        <f t="shared" si="368"/>
        <v>44222</v>
      </c>
      <c r="JY67" s="58">
        <f t="shared" si="368"/>
        <v>44223</v>
      </c>
      <c r="JZ67" s="58">
        <f t="shared" si="368"/>
        <v>44224</v>
      </c>
      <c r="KA67" s="58">
        <f t="shared" si="368"/>
        <v>44225</v>
      </c>
      <c r="KB67" s="58">
        <f t="shared" si="368"/>
        <v>44226</v>
      </c>
      <c r="KC67" s="57">
        <f t="shared" si="368"/>
        <v>44227</v>
      </c>
      <c r="KD67" s="58">
        <f t="shared" si="368"/>
        <v>44228</v>
      </c>
      <c r="KE67" s="58">
        <f t="shared" si="368"/>
        <v>44229</v>
      </c>
      <c r="KF67" s="58">
        <f t="shared" si="368"/>
        <v>44230</v>
      </c>
      <c r="KG67" s="58">
        <f t="shared" ref="KG67:MN67" si="369">KG39</f>
        <v>44231</v>
      </c>
      <c r="KH67" s="58">
        <f t="shared" si="369"/>
        <v>44232</v>
      </c>
      <c r="KI67" s="58">
        <f t="shared" si="369"/>
        <v>44233</v>
      </c>
      <c r="KJ67" s="57">
        <f t="shared" si="369"/>
        <v>44234</v>
      </c>
      <c r="KK67" s="58">
        <f t="shared" si="369"/>
        <v>44235</v>
      </c>
      <c r="KL67" s="58">
        <f t="shared" si="369"/>
        <v>44236</v>
      </c>
      <c r="KM67" s="58">
        <f t="shared" si="369"/>
        <v>44237</v>
      </c>
      <c r="KN67" s="58">
        <f t="shared" si="369"/>
        <v>44238</v>
      </c>
      <c r="KO67" s="58">
        <f t="shared" si="369"/>
        <v>44239</v>
      </c>
      <c r="KP67" s="58">
        <f t="shared" si="369"/>
        <v>44240</v>
      </c>
      <c r="KQ67" s="57">
        <f t="shared" si="369"/>
        <v>44241</v>
      </c>
      <c r="KR67" s="58">
        <f t="shared" si="369"/>
        <v>44242</v>
      </c>
      <c r="KS67" s="58">
        <f t="shared" si="369"/>
        <v>44243</v>
      </c>
      <c r="KT67" s="58">
        <f t="shared" si="369"/>
        <v>44244</v>
      </c>
      <c r="KU67" s="58">
        <f t="shared" si="369"/>
        <v>44245</v>
      </c>
      <c r="KV67" s="58">
        <f t="shared" si="369"/>
        <v>44246</v>
      </c>
      <c r="KW67" s="58">
        <f t="shared" si="369"/>
        <v>44247</v>
      </c>
      <c r="KX67" s="57">
        <f t="shared" si="369"/>
        <v>44248</v>
      </c>
      <c r="KY67" s="58">
        <f t="shared" si="369"/>
        <v>44249</v>
      </c>
      <c r="KZ67" s="58">
        <f t="shared" si="369"/>
        <v>44250</v>
      </c>
      <c r="LA67" s="58">
        <f t="shared" si="369"/>
        <v>44251</v>
      </c>
      <c r="LB67" s="58">
        <f t="shared" si="369"/>
        <v>44252</v>
      </c>
      <c r="LC67" s="58">
        <f t="shared" si="369"/>
        <v>44253</v>
      </c>
      <c r="LD67" s="58">
        <f t="shared" si="369"/>
        <v>44254</v>
      </c>
      <c r="LE67" s="57">
        <f t="shared" si="369"/>
        <v>44255</v>
      </c>
      <c r="LF67" s="58">
        <f t="shared" si="369"/>
        <v>44256</v>
      </c>
      <c r="LG67" s="58">
        <f t="shared" si="369"/>
        <v>44257</v>
      </c>
      <c r="LH67" s="58">
        <f t="shared" si="369"/>
        <v>44258</v>
      </c>
      <c r="LI67" s="58">
        <f t="shared" si="369"/>
        <v>44259</v>
      </c>
      <c r="LJ67" s="58">
        <f t="shared" si="369"/>
        <v>44260</v>
      </c>
      <c r="LK67" s="58">
        <f t="shared" si="369"/>
        <v>44261</v>
      </c>
      <c r="LL67" s="57">
        <f t="shared" si="369"/>
        <v>44262</v>
      </c>
      <c r="LM67" s="58">
        <f t="shared" si="369"/>
        <v>44263</v>
      </c>
      <c r="LN67" s="58">
        <f t="shared" si="369"/>
        <v>44264</v>
      </c>
      <c r="LO67" s="58">
        <f t="shared" si="369"/>
        <v>44265</v>
      </c>
      <c r="LP67" s="58">
        <f t="shared" si="369"/>
        <v>44266</v>
      </c>
      <c r="LQ67" s="58">
        <f t="shared" si="369"/>
        <v>44267</v>
      </c>
      <c r="LR67" s="58">
        <f t="shared" si="369"/>
        <v>44268</v>
      </c>
      <c r="LS67" s="57">
        <f t="shared" si="369"/>
        <v>44269</v>
      </c>
      <c r="LT67" s="58">
        <f t="shared" si="369"/>
        <v>44270</v>
      </c>
      <c r="LU67" s="58">
        <f t="shared" si="369"/>
        <v>44271</v>
      </c>
      <c r="LV67" s="58">
        <f t="shared" si="369"/>
        <v>44272</v>
      </c>
      <c r="LW67" s="58">
        <f t="shared" si="369"/>
        <v>44273</v>
      </c>
      <c r="LX67" s="58">
        <f t="shared" si="369"/>
        <v>44274</v>
      </c>
      <c r="LY67" s="58">
        <f t="shared" si="369"/>
        <v>44275</v>
      </c>
      <c r="LZ67" s="57">
        <f t="shared" si="369"/>
        <v>44276</v>
      </c>
      <c r="MA67" s="58">
        <f t="shared" si="369"/>
        <v>44277</v>
      </c>
      <c r="MB67" s="58">
        <f t="shared" si="369"/>
        <v>44278</v>
      </c>
      <c r="MC67" s="58">
        <f t="shared" si="369"/>
        <v>44279</v>
      </c>
      <c r="MD67" s="58">
        <f t="shared" si="369"/>
        <v>44280</v>
      </c>
      <c r="ME67" s="58">
        <f t="shared" si="369"/>
        <v>44281</v>
      </c>
      <c r="MF67" s="58">
        <f t="shared" si="369"/>
        <v>44282</v>
      </c>
      <c r="MG67" s="57">
        <f t="shared" si="369"/>
        <v>44283</v>
      </c>
      <c r="MH67" s="58">
        <f t="shared" si="369"/>
        <v>44284</v>
      </c>
      <c r="MI67" s="58">
        <f t="shared" si="369"/>
        <v>44285</v>
      </c>
      <c r="MJ67" s="58">
        <f t="shared" si="369"/>
        <v>44286</v>
      </c>
      <c r="MK67" s="58">
        <f t="shared" si="369"/>
        <v>44287</v>
      </c>
      <c r="ML67" s="58">
        <f t="shared" si="369"/>
        <v>44288</v>
      </c>
      <c r="MM67" s="58">
        <f t="shared" si="369"/>
        <v>44289</v>
      </c>
      <c r="MN67" s="57">
        <f t="shared" si="369"/>
        <v>44290</v>
      </c>
    </row>
    <row r="68" spans="1:352" ht="15" customHeight="1" x14ac:dyDescent="0.25">
      <c r="A68" s="141"/>
      <c r="B68" s="141"/>
      <c r="C68" s="141"/>
      <c r="D68" s="141"/>
      <c r="E68" s="142"/>
      <c r="F68" s="28"/>
      <c r="G68" s="28"/>
      <c r="H68" s="28"/>
      <c r="I68" s="28"/>
      <c r="J68" s="28"/>
      <c r="K68" s="28"/>
      <c r="L68" s="28"/>
      <c r="M68" s="28"/>
      <c r="N68" s="28"/>
      <c r="O68" s="27"/>
      <c r="P68" s="144"/>
      <c r="Q68" s="152"/>
      <c r="R68" s="146"/>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c r="EM68" s="25"/>
      <c r="EN68" s="25"/>
      <c r="EO68" s="25"/>
      <c r="EP68" s="25"/>
      <c r="EQ68" s="25"/>
      <c r="ER68" s="25"/>
      <c r="ES68" s="24"/>
      <c r="ET68" s="25"/>
      <c r="EU68" s="25" t="s">
        <v>38</v>
      </c>
      <c r="EV68" s="25"/>
      <c r="EW68" s="25" t="s">
        <v>38</v>
      </c>
      <c r="EX68" s="25"/>
      <c r="EY68" s="25"/>
      <c r="EZ68" s="24"/>
      <c r="FA68" s="25"/>
      <c r="FB68" s="25" t="s">
        <v>38</v>
      </c>
      <c r="FC68" s="25"/>
      <c r="FD68" s="25" t="s">
        <v>38</v>
      </c>
      <c r="FE68" s="25"/>
      <c r="FF68" s="25"/>
      <c r="FG68" s="24"/>
      <c r="FH68" s="25"/>
      <c r="FI68" s="25"/>
      <c r="FJ68" s="25"/>
      <c r="FK68" s="25"/>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70">IF($E69 &gt;= F$42, 1, "")</f>
        <v/>
      </c>
      <c r="G69" s="20"/>
      <c r="H69" s="20"/>
      <c r="I69" s="20" t="str">
        <f t="shared" ref="I69:L70" si="371">IF($E69 &gt;= I$42, 1, "")</f>
        <v/>
      </c>
      <c r="J69" s="20" t="str">
        <f t="shared" si="371"/>
        <v/>
      </c>
      <c r="K69" s="20" t="str">
        <f t="shared" si="371"/>
        <v/>
      </c>
      <c r="L69" s="20" t="str">
        <f t="shared" si="371"/>
        <v/>
      </c>
      <c r="M69" s="20"/>
      <c r="N69" s="20"/>
      <c r="O69" s="21"/>
      <c r="P69" s="20" t="str">
        <f t="shared" ref="P69:P74" si="372">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70"/>
        <v/>
      </c>
      <c r="G70" s="19"/>
      <c r="H70" s="19"/>
      <c r="I70" s="19" t="str">
        <f t="shared" si="371"/>
        <v/>
      </c>
      <c r="J70" s="19" t="str">
        <f t="shared" si="371"/>
        <v/>
      </c>
      <c r="K70" s="19" t="str">
        <f t="shared" si="371"/>
        <v/>
      </c>
      <c r="L70" s="19" t="str">
        <f t="shared" si="371"/>
        <v/>
      </c>
      <c r="M70" s="8"/>
      <c r="N70" s="8"/>
      <c r="O70" s="9"/>
      <c r="P70" s="8" t="str">
        <f t="shared" si="372"/>
        <v/>
      </c>
      <c r="Q70" s="109" t="str">
        <f t="shared" ref="Q70:Q75" si="373">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70"/>
        <v>1</v>
      </c>
      <c r="G71" s="19">
        <f t="shared" ref="G71:H74" si="374">IF($E71 &gt;= G$42, 1, "")</f>
        <v>1</v>
      </c>
      <c r="H71" s="19">
        <f t="shared" si="374"/>
        <v>1</v>
      </c>
      <c r="I71" s="8">
        <f t="shared" ref="I71:L74" si="375">IF($E71 &gt;= I$42, 1, "")</f>
        <v>1</v>
      </c>
      <c r="J71" s="8">
        <f t="shared" si="375"/>
        <v>1</v>
      </c>
      <c r="K71" s="8" t="str">
        <f t="shared" si="375"/>
        <v/>
      </c>
      <c r="L71" s="8" t="str">
        <f t="shared" si="375"/>
        <v/>
      </c>
      <c r="M71" s="8"/>
      <c r="N71" s="8"/>
      <c r="O71" s="9"/>
      <c r="P71" s="8">
        <f t="shared" si="372"/>
        <v>8</v>
      </c>
      <c r="Q71" s="109">
        <f t="shared" si="373"/>
        <v>42.105263157894733</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70"/>
        <v>1</v>
      </c>
      <c r="G72" s="19">
        <f t="shared" si="374"/>
        <v>1</v>
      </c>
      <c r="H72" s="19">
        <f t="shared" si="374"/>
        <v>1</v>
      </c>
      <c r="I72" s="8">
        <f t="shared" si="375"/>
        <v>1</v>
      </c>
      <c r="J72" s="8">
        <f t="shared" si="375"/>
        <v>1</v>
      </c>
      <c r="K72" s="8" t="str">
        <f t="shared" si="375"/>
        <v/>
      </c>
      <c r="L72" s="8" t="str">
        <f t="shared" si="375"/>
        <v/>
      </c>
      <c r="M72" s="8"/>
      <c r="N72" s="8"/>
      <c r="O72" s="9"/>
      <c r="P72" s="8">
        <f t="shared" si="372"/>
        <v>1</v>
      </c>
      <c r="Q72" s="109">
        <f t="shared" si="373"/>
        <v>5.2631578947368416</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70"/>
        <v>1</v>
      </c>
      <c r="G73" s="19">
        <f t="shared" si="374"/>
        <v>1</v>
      </c>
      <c r="H73" s="19">
        <f t="shared" si="374"/>
        <v>1</v>
      </c>
      <c r="I73" s="8">
        <f t="shared" si="375"/>
        <v>1</v>
      </c>
      <c r="J73" s="8">
        <f t="shared" si="375"/>
        <v>1</v>
      </c>
      <c r="K73" s="8" t="str">
        <f t="shared" si="375"/>
        <v/>
      </c>
      <c r="L73" s="8" t="str">
        <f t="shared" si="375"/>
        <v/>
      </c>
      <c r="M73" s="8"/>
      <c r="N73" s="8"/>
      <c r="O73" s="9"/>
      <c r="P73" s="8">
        <f t="shared" si="372"/>
        <v>12</v>
      </c>
      <c r="Q73" s="109">
        <f t="shared" si="373"/>
        <v>63.157894736842103</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70"/>
        <v>1</v>
      </c>
      <c r="G74" s="19">
        <f t="shared" si="374"/>
        <v>1</v>
      </c>
      <c r="H74" s="19">
        <f t="shared" si="374"/>
        <v>1</v>
      </c>
      <c r="I74" s="8">
        <f t="shared" si="375"/>
        <v>1</v>
      </c>
      <c r="J74" s="8">
        <f t="shared" si="375"/>
        <v>1</v>
      </c>
      <c r="K74" s="8" t="str">
        <f t="shared" si="375"/>
        <v/>
      </c>
      <c r="L74" s="8" t="str">
        <f t="shared" si="375"/>
        <v/>
      </c>
      <c r="M74" s="8"/>
      <c r="N74" s="8"/>
      <c r="O74" s="9"/>
      <c r="P74" s="8">
        <f t="shared" si="372"/>
        <v>9</v>
      </c>
      <c r="Q74" s="109">
        <f t="shared" si="373"/>
        <v>47.368421052631575</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73"/>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19</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c r="EG76" s="20"/>
      <c r="EH76" s="20"/>
      <c r="EI76" s="20"/>
      <c r="EJ76" s="21"/>
      <c r="EK76" s="20"/>
      <c r="EL76" s="20"/>
      <c r="EM76" s="20"/>
      <c r="EN76" s="20"/>
      <c r="EO76" s="20"/>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VisibleSum(P70:P75)</f>
        <v>7.5</v>
      </c>
      <c r="Q77" s="62">
        <f>P77 / P76 * 100</f>
        <v>39.473684210526315</v>
      </c>
      <c r="R77" s="86"/>
      <c r="S77" s="63" t="str">
        <f>IF(SUM(S43:S63, S71:S74) &gt; 0, SUM(S43:S63, S71:S74), "")</f>
        <v/>
      </c>
      <c r="T77" s="62" t="str">
        <f t="shared" ref="T77:U77" si="376">IF(SUM(T70:T75) &gt; 0, SUM(T70:T75), "")</f>
        <v/>
      </c>
      <c r="U77" s="62" t="str">
        <f t="shared" si="376"/>
        <v/>
      </c>
      <c r="V77" s="62" t="str">
        <f t="shared" ref="V77" si="377">IF(SUM(V70:V75) &gt; 0, SUM(V70:V75), "")</f>
        <v/>
      </c>
      <c r="W77" s="62" t="str">
        <f t="shared" ref="W77" si="378">IF(SUM(W70:W75) &gt; 0, SUM(W70:W75), "")</f>
        <v/>
      </c>
      <c r="X77" s="62" t="str">
        <f t="shared" ref="X77" si="379">IF(SUM(X70:X75) &gt; 0, SUM(X70:X75), "")</f>
        <v/>
      </c>
      <c r="Y77" s="62" t="str">
        <f t="shared" ref="Y77" si="380">IF(SUM(Y70:Y75) &gt; 0, SUM(Y70:Y75), "")</f>
        <v/>
      </c>
      <c r="Z77" s="63" t="str">
        <f t="shared" ref="Z77:AB77" si="381">IF(SUM(Z70:Z75) &gt; 0, SUM(Z70:Z75), "")</f>
        <v/>
      </c>
      <c r="AA77" s="62" t="str">
        <f t="shared" si="381"/>
        <v/>
      </c>
      <c r="AB77" s="62" t="str">
        <f t="shared" si="381"/>
        <v/>
      </c>
      <c r="AC77" s="62" t="str">
        <f t="shared" ref="AC77" si="382">IF(SUM(AC70:AC75) &gt; 0, SUM(AC70:AC75), "")</f>
        <v/>
      </c>
      <c r="AD77" s="62" t="str">
        <f t="shared" ref="AD77" si="383">IF(SUM(AD70:AD75) &gt; 0, SUM(AD70:AD75), "")</f>
        <v/>
      </c>
      <c r="AE77" s="62" t="str">
        <f t="shared" ref="AE77" si="384">IF(SUM(AE70:AE75) &gt; 0, SUM(AE70:AE75), "")</f>
        <v/>
      </c>
      <c r="AF77" s="62" t="str">
        <f t="shared" ref="AF77" si="385">IF(SUM(AF70:AF75) &gt; 0, SUM(AF70:AF75), "")</f>
        <v/>
      </c>
      <c r="AG77" s="63" t="str">
        <f t="shared" ref="AG77" si="386">IF(SUM(AG70:AG75) &gt; 0, SUM(AG70:AG75), "")</f>
        <v/>
      </c>
      <c r="AH77" s="62" t="str">
        <f>IF(SUM(AH70:AH75) &gt; 0, SUM(AH70:AH75), "")</f>
        <v/>
      </c>
      <c r="AI77" s="62" t="str">
        <f>IF(SUM(AI70:AI75) &gt; 0, SUM(AI70:AI75), "")</f>
        <v/>
      </c>
      <c r="AJ77" s="62" t="str">
        <f t="shared" ref="AJ77:AN77" si="387">IF(SUM(AJ70:AJ75) &gt; 0, SUM(AJ70:AJ75), "")</f>
        <v/>
      </c>
      <c r="AK77" s="62">
        <f t="shared" si="387"/>
        <v>3</v>
      </c>
      <c r="AL77" s="62" t="str">
        <f t="shared" si="387"/>
        <v/>
      </c>
      <c r="AM77" s="62" t="str">
        <f t="shared" si="387"/>
        <v/>
      </c>
      <c r="AN77" s="63" t="str">
        <f t="shared" si="387"/>
        <v/>
      </c>
      <c r="AO77" s="62" t="str">
        <f>IF(SUM(AO70:AO75) &gt; 0, SUM(AO70:AO75), "")</f>
        <v/>
      </c>
      <c r="AP77" s="62">
        <f>IF(SUM(AP70:AP75) &gt; 0, SUM(AP70:AP75), "")</f>
        <v>2</v>
      </c>
      <c r="AQ77" s="62" t="str">
        <f t="shared" ref="AQ77" si="388">IF(SUM(AQ70:AQ75) &gt; 0, SUM(AQ70:AQ75), "")</f>
        <v/>
      </c>
      <c r="AR77" s="62">
        <f t="shared" ref="AR77" si="389">IF(SUM(AR70:AR75) &gt; 0, SUM(AR70:AR75), "")</f>
        <v>1</v>
      </c>
      <c r="AS77" s="62" t="str">
        <f t="shared" ref="AS77" si="390">IF(SUM(AS70:AS75) &gt; 0, SUM(AS70:AS75), "")</f>
        <v/>
      </c>
      <c r="AT77" s="62" t="str">
        <f t="shared" ref="AT77" si="391">IF(SUM(AT70:AT75) &gt; 0, SUM(AT70:AT75), "")</f>
        <v/>
      </c>
      <c r="AU77" s="63" t="str">
        <f t="shared" ref="AU77" si="392">IF(SUM(AU70:AU75) &gt; 0, SUM(AU70:AU75), "")</f>
        <v/>
      </c>
      <c r="AV77" s="62" t="str">
        <f>IF(SUM(AV70:AV75) &gt; 0, SUM(AV70:AV75), "")</f>
        <v/>
      </c>
      <c r="AW77" s="62">
        <f>IF(SUM(AW70:AW75) &gt; 0, SUM(AW70:AW75), "")</f>
        <v>2</v>
      </c>
      <c r="AX77" s="62" t="str">
        <f t="shared" ref="AX77" si="393">IF(SUM(AX70:AX75) &gt; 0, SUM(AX70:AX75), "")</f>
        <v/>
      </c>
      <c r="AY77" s="62">
        <f t="shared" ref="AY77" si="394">IF(SUM(AY70:AY75) &gt; 0, SUM(AY70:AY75), "")</f>
        <v>1</v>
      </c>
      <c r="AZ77" s="62" t="str">
        <f t="shared" ref="AZ77" si="395">IF(SUM(AZ70:AZ75) &gt; 0, SUM(AZ70:AZ75), "")</f>
        <v/>
      </c>
      <c r="BA77" s="62" t="str">
        <f t="shared" ref="BA77" si="396">IF(SUM(BA70:BA75) &gt; 0, SUM(BA70:BA75), "")</f>
        <v/>
      </c>
      <c r="BB77" s="63" t="str">
        <f t="shared" ref="BB77" si="397">IF(SUM(BB70:BB75) &gt; 0, SUM(BB70:BB75), "")</f>
        <v/>
      </c>
      <c r="BC77" s="62" t="str">
        <f>IF(SUM(BC70:BC75) &gt; 0, SUM(BC70:BC75), "")</f>
        <v/>
      </c>
      <c r="BD77" s="62">
        <f>IF(SUM(BD70:BD75) &gt; 0, SUM(BD70:BD75), "")</f>
        <v>3</v>
      </c>
      <c r="BE77" s="62" t="str">
        <f t="shared" ref="BE77:ED77" si="398">IF(SUM(BE70:BE75) &gt; 0, SUM(BE70:BE75), "")</f>
        <v/>
      </c>
      <c r="BF77" s="62">
        <f t="shared" si="398"/>
        <v>2</v>
      </c>
      <c r="BG77" s="62" t="str">
        <f t="shared" si="398"/>
        <v/>
      </c>
      <c r="BH77" s="62" t="str">
        <f t="shared" si="398"/>
        <v/>
      </c>
      <c r="BI77" s="63" t="str">
        <f t="shared" si="398"/>
        <v/>
      </c>
      <c r="BJ77" s="62" t="str">
        <f t="shared" si="398"/>
        <v/>
      </c>
      <c r="BK77" s="62">
        <f t="shared" si="398"/>
        <v>2</v>
      </c>
      <c r="BL77" s="62" t="str">
        <f t="shared" si="398"/>
        <v/>
      </c>
      <c r="BM77" s="62">
        <f t="shared" si="398"/>
        <v>3</v>
      </c>
      <c r="BN77" s="62">
        <f t="shared" si="398"/>
        <v>2</v>
      </c>
      <c r="BO77" s="62" t="str">
        <f t="shared" si="398"/>
        <v/>
      </c>
      <c r="BP77" s="63">
        <f t="shared" si="398"/>
        <v>1</v>
      </c>
      <c r="BQ77" s="62" t="str">
        <f t="shared" si="398"/>
        <v/>
      </c>
      <c r="BR77" s="62" t="str">
        <f t="shared" si="398"/>
        <v/>
      </c>
      <c r="BS77" s="62" t="str">
        <f t="shared" si="398"/>
        <v/>
      </c>
      <c r="BT77" s="62" t="str">
        <f t="shared" si="398"/>
        <v/>
      </c>
      <c r="BU77" s="62" t="str">
        <f t="shared" si="398"/>
        <v/>
      </c>
      <c r="BV77" s="62" t="str">
        <f t="shared" si="398"/>
        <v/>
      </c>
      <c r="BW77" s="62">
        <f t="shared" ref="BW77" si="399">IF(SUM(BW70:BW75) &gt; 0, SUM(BW70:BW75), "")</f>
        <v>2</v>
      </c>
      <c r="BX77" s="62"/>
      <c r="BY77" s="63" t="str">
        <f t="shared" si="398"/>
        <v/>
      </c>
      <c r="BZ77" s="62" t="str">
        <f t="shared" si="398"/>
        <v/>
      </c>
      <c r="CA77" s="62" t="str">
        <f t="shared" si="398"/>
        <v/>
      </c>
      <c r="CB77" s="62" t="str">
        <f t="shared" si="398"/>
        <v/>
      </c>
      <c r="CC77" s="62" t="str">
        <f t="shared" si="398"/>
        <v/>
      </c>
      <c r="CD77" s="62" t="str">
        <f t="shared" si="398"/>
        <v/>
      </c>
      <c r="CE77" s="62" t="str">
        <f t="shared" si="398"/>
        <v/>
      </c>
      <c r="CF77" s="62"/>
      <c r="CG77" s="62"/>
      <c r="CH77" s="63" t="str">
        <f t="shared" si="398"/>
        <v/>
      </c>
      <c r="CI77" s="62" t="str">
        <f t="shared" si="398"/>
        <v/>
      </c>
      <c r="CJ77" s="62" t="str">
        <f t="shared" si="398"/>
        <v/>
      </c>
      <c r="CK77" s="62" t="str">
        <f t="shared" si="398"/>
        <v/>
      </c>
      <c r="CL77" s="62" t="str">
        <f t="shared" si="398"/>
        <v/>
      </c>
      <c r="CM77" s="62" t="str">
        <f t="shared" si="398"/>
        <v/>
      </c>
      <c r="CN77" s="62" t="str">
        <f t="shared" si="398"/>
        <v/>
      </c>
      <c r="CO77" s="62" t="str">
        <f t="shared" ref="CO77" si="400">IF(SUM(CO70:CO75) &gt; 0, SUM(CO70:CO75), "")</f>
        <v/>
      </c>
      <c r="CP77" s="62"/>
      <c r="CQ77" s="63" t="str">
        <f t="shared" si="398"/>
        <v/>
      </c>
      <c r="CR77" s="62" t="str">
        <f t="shared" si="398"/>
        <v/>
      </c>
      <c r="CS77" s="62" t="str">
        <f t="shared" si="398"/>
        <v/>
      </c>
      <c r="CT77" s="62" t="str">
        <f t="shared" si="398"/>
        <v/>
      </c>
      <c r="CU77" s="62" t="str">
        <f t="shared" si="398"/>
        <v/>
      </c>
      <c r="CV77" s="62" t="str">
        <f t="shared" si="398"/>
        <v/>
      </c>
      <c r="CW77" s="62"/>
      <c r="CX77" s="62"/>
      <c r="CY77" s="62" t="str">
        <f t="shared" si="398"/>
        <v/>
      </c>
      <c r="CZ77" s="63" t="str">
        <f t="shared" si="398"/>
        <v/>
      </c>
      <c r="DA77" s="62" t="str">
        <f t="shared" si="398"/>
        <v/>
      </c>
      <c r="DB77" s="62" t="str">
        <f t="shared" si="398"/>
        <v/>
      </c>
      <c r="DC77" s="62" t="str">
        <f t="shared" si="398"/>
        <v/>
      </c>
      <c r="DD77" s="62" t="str">
        <f t="shared" si="398"/>
        <v/>
      </c>
      <c r="DE77" s="62" t="str">
        <f t="shared" si="398"/>
        <v/>
      </c>
      <c r="DF77" s="62" t="str">
        <f t="shared" si="398"/>
        <v/>
      </c>
      <c r="DG77" s="62"/>
      <c r="DH77" s="62"/>
      <c r="DI77" s="63" t="str">
        <f t="shared" si="398"/>
        <v/>
      </c>
      <c r="DJ77" s="62" t="str">
        <f t="shared" si="398"/>
        <v/>
      </c>
      <c r="DK77" s="62" t="str">
        <f t="shared" si="398"/>
        <v/>
      </c>
      <c r="DL77" s="62" t="str">
        <f t="shared" si="398"/>
        <v/>
      </c>
      <c r="DM77" s="62" t="str">
        <f t="shared" si="398"/>
        <v/>
      </c>
      <c r="DN77" s="62" t="str">
        <f t="shared" si="398"/>
        <v/>
      </c>
      <c r="DO77" s="62" t="str">
        <f t="shared" si="398"/>
        <v/>
      </c>
      <c r="DP77" s="62"/>
      <c r="DQ77" s="62"/>
      <c r="DR77" s="63" t="str">
        <f t="shared" si="398"/>
        <v/>
      </c>
      <c r="DS77" s="62" t="str">
        <f t="shared" si="398"/>
        <v/>
      </c>
      <c r="DT77" s="62">
        <f t="shared" si="398"/>
        <v>1</v>
      </c>
      <c r="DU77" s="62" t="str">
        <f t="shared" si="398"/>
        <v/>
      </c>
      <c r="DV77" s="62">
        <f t="shared" si="398"/>
        <v>2</v>
      </c>
      <c r="DW77" s="62">
        <f t="shared" si="398"/>
        <v>1</v>
      </c>
      <c r="DX77" s="62"/>
      <c r="DY77" s="62"/>
      <c r="DZ77" s="62" t="str">
        <f t="shared" si="398"/>
        <v/>
      </c>
      <c r="EA77" s="63" t="str">
        <f t="shared" si="398"/>
        <v/>
      </c>
      <c r="EB77" s="62" t="str">
        <f t="shared" si="398"/>
        <v/>
      </c>
      <c r="EC77" s="62">
        <f t="shared" si="398"/>
        <v>1</v>
      </c>
      <c r="ED77" s="62" t="str">
        <f t="shared" si="398"/>
        <v/>
      </c>
      <c r="EE77" s="62">
        <f t="shared" ref="EE77:GT77" si="401">IF(SUM(EE70:EE75) &gt; 0, SUM(EE70:EE75), "")</f>
        <v>1</v>
      </c>
      <c r="EF77" s="62" t="str">
        <f t="shared" si="401"/>
        <v/>
      </c>
      <c r="EG77" s="62"/>
      <c r="EH77" s="62"/>
      <c r="EI77" s="62" t="str">
        <f t="shared" si="401"/>
        <v/>
      </c>
      <c r="EJ77" s="63" t="str">
        <f t="shared" si="401"/>
        <v/>
      </c>
      <c r="EK77" s="62" t="str">
        <f t="shared" si="401"/>
        <v/>
      </c>
      <c r="EL77" s="62" t="str">
        <f t="shared" si="401"/>
        <v/>
      </c>
      <c r="EM77" s="62" t="str">
        <f t="shared" si="401"/>
        <v/>
      </c>
      <c r="EN77" s="62" t="str">
        <f t="shared" si="401"/>
        <v/>
      </c>
      <c r="EO77" s="62" t="str">
        <f t="shared" si="401"/>
        <v/>
      </c>
      <c r="EP77" s="62" t="str">
        <f t="shared" si="401"/>
        <v/>
      </c>
      <c r="EQ77" s="62"/>
      <c r="ER77" s="62"/>
      <c r="ES77" s="63" t="str">
        <f t="shared" si="401"/>
        <v/>
      </c>
      <c r="ET77" s="62" t="str">
        <f t="shared" si="401"/>
        <v/>
      </c>
      <c r="EU77" s="62" t="str">
        <f t="shared" si="401"/>
        <v/>
      </c>
      <c r="EV77" s="62" t="str">
        <f t="shared" si="401"/>
        <v/>
      </c>
      <c r="EW77" s="62" t="str">
        <f t="shared" si="401"/>
        <v/>
      </c>
      <c r="EX77" s="62" t="str">
        <f t="shared" si="401"/>
        <v/>
      </c>
      <c r="EY77" s="62" t="str">
        <f t="shared" si="401"/>
        <v/>
      </c>
      <c r="EZ77" s="63" t="str">
        <f t="shared" si="401"/>
        <v/>
      </c>
      <c r="FA77" s="62" t="str">
        <f t="shared" si="401"/>
        <v/>
      </c>
      <c r="FB77" s="62" t="str">
        <f t="shared" si="401"/>
        <v/>
      </c>
      <c r="FC77" s="62" t="str">
        <f t="shared" si="401"/>
        <v/>
      </c>
      <c r="FD77" s="62" t="str">
        <f t="shared" si="401"/>
        <v/>
      </c>
      <c r="FE77" s="62" t="str">
        <f t="shared" si="401"/>
        <v/>
      </c>
      <c r="FF77" s="62" t="str">
        <f t="shared" si="401"/>
        <v/>
      </c>
      <c r="FG77" s="63" t="str">
        <f t="shared" si="401"/>
        <v/>
      </c>
      <c r="FH77" s="62" t="str">
        <f t="shared" si="401"/>
        <v/>
      </c>
      <c r="FI77" s="62" t="str">
        <f t="shared" si="401"/>
        <v/>
      </c>
      <c r="FJ77" s="62" t="str">
        <f t="shared" si="401"/>
        <v/>
      </c>
      <c r="FK77" s="62" t="str">
        <f t="shared" si="401"/>
        <v/>
      </c>
      <c r="FL77" s="62" t="str">
        <f t="shared" si="401"/>
        <v/>
      </c>
      <c r="FM77" s="62" t="str">
        <f t="shared" si="401"/>
        <v/>
      </c>
      <c r="FN77" s="63" t="str">
        <f t="shared" si="401"/>
        <v/>
      </c>
      <c r="FO77" s="62" t="str">
        <f t="shared" si="401"/>
        <v/>
      </c>
      <c r="FP77" s="62" t="str">
        <f t="shared" si="401"/>
        <v/>
      </c>
      <c r="FQ77" s="62" t="str">
        <f t="shared" si="401"/>
        <v/>
      </c>
      <c r="FR77" s="62" t="str">
        <f t="shared" si="401"/>
        <v/>
      </c>
      <c r="FS77" s="62" t="str">
        <f t="shared" si="401"/>
        <v/>
      </c>
      <c r="FT77" s="62" t="str">
        <f t="shared" si="401"/>
        <v/>
      </c>
      <c r="FU77" s="63" t="str">
        <f t="shared" si="401"/>
        <v/>
      </c>
      <c r="FV77" s="62" t="str">
        <f t="shared" si="401"/>
        <v/>
      </c>
      <c r="FW77" s="62" t="str">
        <f t="shared" si="401"/>
        <v/>
      </c>
      <c r="FX77" s="62" t="str">
        <f t="shared" si="401"/>
        <v/>
      </c>
      <c r="FY77" s="62" t="str">
        <f t="shared" si="401"/>
        <v/>
      </c>
      <c r="FZ77" s="62" t="str">
        <f t="shared" si="401"/>
        <v/>
      </c>
      <c r="GA77" s="62" t="str">
        <f t="shared" si="401"/>
        <v/>
      </c>
      <c r="GB77" s="63" t="str">
        <f t="shared" si="401"/>
        <v/>
      </c>
      <c r="GC77" s="62" t="str">
        <f t="shared" si="401"/>
        <v/>
      </c>
      <c r="GD77" s="62" t="str">
        <f t="shared" si="401"/>
        <v/>
      </c>
      <c r="GE77" s="62" t="str">
        <f t="shared" si="401"/>
        <v/>
      </c>
      <c r="GF77" s="62" t="str">
        <f t="shared" si="401"/>
        <v/>
      </c>
      <c r="GG77" s="62" t="str">
        <f t="shared" si="401"/>
        <v/>
      </c>
      <c r="GH77" s="62" t="str">
        <f t="shared" si="401"/>
        <v/>
      </c>
      <c r="GI77" s="63" t="str">
        <f t="shared" si="401"/>
        <v/>
      </c>
      <c r="GJ77" s="62" t="str">
        <f t="shared" si="401"/>
        <v/>
      </c>
      <c r="GK77" s="62" t="str">
        <f t="shared" si="401"/>
        <v/>
      </c>
      <c r="GL77" s="62" t="str">
        <f t="shared" si="401"/>
        <v/>
      </c>
      <c r="GM77" s="62" t="str">
        <f t="shared" si="401"/>
        <v/>
      </c>
      <c r="GN77" s="62" t="str">
        <f t="shared" si="401"/>
        <v/>
      </c>
      <c r="GO77" s="62" t="str">
        <f t="shared" si="401"/>
        <v/>
      </c>
      <c r="GP77" s="63" t="str">
        <f t="shared" si="401"/>
        <v/>
      </c>
      <c r="GQ77" s="62" t="str">
        <f t="shared" si="401"/>
        <v/>
      </c>
      <c r="GR77" s="62" t="str">
        <f t="shared" si="401"/>
        <v/>
      </c>
      <c r="GS77" s="62" t="str">
        <f t="shared" si="401"/>
        <v/>
      </c>
      <c r="GT77" s="62" t="str">
        <f t="shared" si="401"/>
        <v/>
      </c>
      <c r="GU77" s="62" t="str">
        <f t="shared" ref="GU77:JF77" si="402">IF(SUM(GU70:GU75) &gt; 0, SUM(GU70:GU75), "")</f>
        <v/>
      </c>
      <c r="GV77" s="62" t="str">
        <f t="shared" si="402"/>
        <v/>
      </c>
      <c r="GW77" s="63" t="str">
        <f t="shared" si="402"/>
        <v/>
      </c>
      <c r="GX77" s="62" t="str">
        <f t="shared" si="402"/>
        <v/>
      </c>
      <c r="GY77" s="62" t="str">
        <f t="shared" si="402"/>
        <v/>
      </c>
      <c r="GZ77" s="62" t="str">
        <f t="shared" si="402"/>
        <v/>
      </c>
      <c r="HA77" s="62" t="str">
        <f t="shared" si="402"/>
        <v/>
      </c>
      <c r="HB77" s="62" t="str">
        <f t="shared" si="402"/>
        <v/>
      </c>
      <c r="HC77" s="62" t="str">
        <f t="shared" si="402"/>
        <v/>
      </c>
      <c r="HD77" s="63" t="str">
        <f t="shared" si="402"/>
        <v/>
      </c>
      <c r="HE77" s="62" t="str">
        <f t="shared" si="402"/>
        <v/>
      </c>
      <c r="HF77" s="62" t="str">
        <f t="shared" si="402"/>
        <v/>
      </c>
      <c r="HG77" s="62" t="str">
        <f t="shared" si="402"/>
        <v/>
      </c>
      <c r="HH77" s="62" t="str">
        <f t="shared" si="402"/>
        <v/>
      </c>
      <c r="HI77" s="62" t="str">
        <f t="shared" si="402"/>
        <v/>
      </c>
      <c r="HJ77" s="62" t="str">
        <f t="shared" si="402"/>
        <v/>
      </c>
      <c r="HK77" s="63" t="str">
        <f t="shared" si="402"/>
        <v/>
      </c>
      <c r="HL77" s="62" t="str">
        <f t="shared" si="402"/>
        <v/>
      </c>
      <c r="HM77" s="62" t="str">
        <f t="shared" si="402"/>
        <v/>
      </c>
      <c r="HN77" s="62" t="str">
        <f t="shared" si="402"/>
        <v/>
      </c>
      <c r="HO77" s="62" t="str">
        <f t="shared" si="402"/>
        <v/>
      </c>
      <c r="HP77" s="62" t="str">
        <f t="shared" si="402"/>
        <v/>
      </c>
      <c r="HQ77" s="62" t="str">
        <f t="shared" si="402"/>
        <v/>
      </c>
      <c r="HR77" s="63" t="str">
        <f t="shared" si="402"/>
        <v/>
      </c>
      <c r="HS77" s="62" t="str">
        <f t="shared" si="402"/>
        <v/>
      </c>
      <c r="HT77" s="62" t="str">
        <f t="shared" si="402"/>
        <v/>
      </c>
      <c r="HU77" s="62" t="str">
        <f t="shared" si="402"/>
        <v/>
      </c>
      <c r="HV77" s="62" t="str">
        <f t="shared" si="402"/>
        <v/>
      </c>
      <c r="HW77" s="62" t="str">
        <f t="shared" si="402"/>
        <v/>
      </c>
      <c r="HX77" s="62" t="str">
        <f t="shared" si="402"/>
        <v/>
      </c>
      <c r="HY77" s="63" t="str">
        <f t="shared" si="402"/>
        <v/>
      </c>
      <c r="HZ77" s="62" t="str">
        <f t="shared" si="402"/>
        <v/>
      </c>
      <c r="IA77" s="62" t="str">
        <f t="shared" si="402"/>
        <v/>
      </c>
      <c r="IB77" s="62" t="str">
        <f t="shared" si="402"/>
        <v/>
      </c>
      <c r="IC77" s="62" t="str">
        <f t="shared" si="402"/>
        <v/>
      </c>
      <c r="ID77" s="62" t="str">
        <f t="shared" si="402"/>
        <v/>
      </c>
      <c r="IE77" s="62" t="str">
        <f t="shared" si="402"/>
        <v/>
      </c>
      <c r="IF77" s="63" t="str">
        <f t="shared" si="402"/>
        <v/>
      </c>
      <c r="IG77" s="62" t="str">
        <f t="shared" si="402"/>
        <v/>
      </c>
      <c r="IH77" s="62" t="str">
        <f t="shared" si="402"/>
        <v/>
      </c>
      <c r="II77" s="62" t="str">
        <f t="shared" si="402"/>
        <v/>
      </c>
      <c r="IJ77" s="62" t="str">
        <f t="shared" si="402"/>
        <v/>
      </c>
      <c r="IK77" s="62" t="str">
        <f t="shared" si="402"/>
        <v/>
      </c>
      <c r="IL77" s="62" t="str">
        <f t="shared" si="402"/>
        <v/>
      </c>
      <c r="IM77" s="63" t="str">
        <f t="shared" si="402"/>
        <v/>
      </c>
      <c r="IN77" s="62" t="str">
        <f t="shared" si="402"/>
        <v/>
      </c>
      <c r="IO77" s="62" t="str">
        <f t="shared" si="402"/>
        <v/>
      </c>
      <c r="IP77" s="62" t="str">
        <f t="shared" si="402"/>
        <v/>
      </c>
      <c r="IQ77" s="62" t="str">
        <f t="shared" si="402"/>
        <v/>
      </c>
      <c r="IR77" s="62" t="str">
        <f t="shared" si="402"/>
        <v/>
      </c>
      <c r="IS77" s="62" t="str">
        <f t="shared" si="402"/>
        <v/>
      </c>
      <c r="IT77" s="63" t="str">
        <f t="shared" si="402"/>
        <v/>
      </c>
      <c r="IU77" s="62" t="str">
        <f t="shared" si="402"/>
        <v/>
      </c>
      <c r="IV77" s="62" t="str">
        <f t="shared" si="402"/>
        <v/>
      </c>
      <c r="IW77" s="62" t="str">
        <f t="shared" si="402"/>
        <v/>
      </c>
      <c r="IX77" s="62" t="str">
        <f t="shared" si="402"/>
        <v/>
      </c>
      <c r="IY77" s="62" t="str">
        <f t="shared" si="402"/>
        <v/>
      </c>
      <c r="IZ77" s="62" t="str">
        <f t="shared" si="402"/>
        <v/>
      </c>
      <c r="JA77" s="63" t="str">
        <f t="shared" si="402"/>
        <v/>
      </c>
      <c r="JB77" s="62" t="str">
        <f t="shared" si="402"/>
        <v/>
      </c>
      <c r="JC77" s="62" t="str">
        <f t="shared" si="402"/>
        <v/>
      </c>
      <c r="JD77" s="62" t="str">
        <f t="shared" si="402"/>
        <v/>
      </c>
      <c r="JE77" s="62" t="str">
        <f t="shared" si="402"/>
        <v/>
      </c>
      <c r="JF77" s="62" t="str">
        <f t="shared" si="402"/>
        <v/>
      </c>
      <c r="JG77" s="62" t="str">
        <f t="shared" ref="JG77:LR77" si="403">IF(SUM(JG70:JG75) &gt; 0, SUM(JG70:JG75), "")</f>
        <v/>
      </c>
      <c r="JH77" s="63" t="str">
        <f t="shared" si="403"/>
        <v/>
      </c>
      <c r="JI77" s="62" t="str">
        <f t="shared" si="403"/>
        <v/>
      </c>
      <c r="JJ77" s="62" t="str">
        <f t="shared" si="403"/>
        <v/>
      </c>
      <c r="JK77" s="62" t="str">
        <f t="shared" si="403"/>
        <v/>
      </c>
      <c r="JL77" s="62" t="str">
        <f t="shared" si="403"/>
        <v/>
      </c>
      <c r="JM77" s="62" t="str">
        <f t="shared" si="403"/>
        <v/>
      </c>
      <c r="JN77" s="62" t="str">
        <f t="shared" si="403"/>
        <v/>
      </c>
      <c r="JO77" s="63" t="str">
        <f t="shared" si="403"/>
        <v/>
      </c>
      <c r="JP77" s="62" t="str">
        <f t="shared" si="403"/>
        <v/>
      </c>
      <c r="JQ77" s="62" t="str">
        <f t="shared" si="403"/>
        <v/>
      </c>
      <c r="JR77" s="62" t="str">
        <f t="shared" si="403"/>
        <v/>
      </c>
      <c r="JS77" s="62" t="str">
        <f t="shared" si="403"/>
        <v/>
      </c>
      <c r="JT77" s="62" t="str">
        <f t="shared" si="403"/>
        <v/>
      </c>
      <c r="JU77" s="62" t="str">
        <f t="shared" si="403"/>
        <v/>
      </c>
      <c r="JV77" s="63" t="str">
        <f t="shared" si="403"/>
        <v/>
      </c>
      <c r="JW77" s="62" t="str">
        <f t="shared" si="403"/>
        <v/>
      </c>
      <c r="JX77" s="62" t="str">
        <f t="shared" si="403"/>
        <v/>
      </c>
      <c r="JY77" s="62" t="str">
        <f t="shared" si="403"/>
        <v/>
      </c>
      <c r="JZ77" s="62" t="str">
        <f t="shared" si="403"/>
        <v/>
      </c>
      <c r="KA77" s="62" t="str">
        <f t="shared" si="403"/>
        <v/>
      </c>
      <c r="KB77" s="62" t="str">
        <f t="shared" si="403"/>
        <v/>
      </c>
      <c r="KC77" s="63" t="str">
        <f t="shared" si="403"/>
        <v/>
      </c>
      <c r="KD77" s="62" t="str">
        <f t="shared" si="403"/>
        <v/>
      </c>
      <c r="KE77" s="62" t="str">
        <f t="shared" si="403"/>
        <v/>
      </c>
      <c r="KF77" s="62" t="str">
        <f t="shared" si="403"/>
        <v/>
      </c>
      <c r="KG77" s="62" t="str">
        <f t="shared" si="403"/>
        <v/>
      </c>
      <c r="KH77" s="62" t="str">
        <f t="shared" si="403"/>
        <v/>
      </c>
      <c r="KI77" s="62" t="str">
        <f t="shared" si="403"/>
        <v/>
      </c>
      <c r="KJ77" s="63" t="str">
        <f t="shared" si="403"/>
        <v/>
      </c>
      <c r="KK77" s="62" t="str">
        <f t="shared" si="403"/>
        <v/>
      </c>
      <c r="KL77" s="62" t="str">
        <f t="shared" si="403"/>
        <v/>
      </c>
      <c r="KM77" s="62" t="str">
        <f t="shared" si="403"/>
        <v/>
      </c>
      <c r="KN77" s="62" t="str">
        <f t="shared" si="403"/>
        <v/>
      </c>
      <c r="KO77" s="62" t="str">
        <f t="shared" si="403"/>
        <v/>
      </c>
      <c r="KP77" s="62" t="str">
        <f t="shared" si="403"/>
        <v/>
      </c>
      <c r="KQ77" s="63" t="str">
        <f t="shared" si="403"/>
        <v/>
      </c>
      <c r="KR77" s="62" t="str">
        <f t="shared" si="403"/>
        <v/>
      </c>
      <c r="KS77" s="62" t="str">
        <f t="shared" si="403"/>
        <v/>
      </c>
      <c r="KT77" s="62" t="str">
        <f t="shared" si="403"/>
        <v/>
      </c>
      <c r="KU77" s="62" t="str">
        <f t="shared" si="403"/>
        <v/>
      </c>
      <c r="KV77" s="62" t="str">
        <f t="shared" si="403"/>
        <v/>
      </c>
      <c r="KW77" s="62" t="str">
        <f t="shared" si="403"/>
        <v/>
      </c>
      <c r="KX77" s="63" t="str">
        <f t="shared" si="403"/>
        <v/>
      </c>
      <c r="KY77" s="62" t="str">
        <f t="shared" si="403"/>
        <v/>
      </c>
      <c r="KZ77" s="62" t="str">
        <f t="shared" si="403"/>
        <v/>
      </c>
      <c r="LA77" s="62" t="str">
        <f t="shared" si="403"/>
        <v/>
      </c>
      <c r="LB77" s="62" t="str">
        <f t="shared" si="403"/>
        <v/>
      </c>
      <c r="LC77" s="62" t="str">
        <f t="shared" si="403"/>
        <v/>
      </c>
      <c r="LD77" s="62" t="str">
        <f t="shared" si="403"/>
        <v/>
      </c>
      <c r="LE77" s="63" t="str">
        <f t="shared" si="403"/>
        <v/>
      </c>
      <c r="LF77" s="62" t="str">
        <f t="shared" si="403"/>
        <v/>
      </c>
      <c r="LG77" s="62" t="str">
        <f t="shared" si="403"/>
        <v/>
      </c>
      <c r="LH77" s="62" t="str">
        <f t="shared" si="403"/>
        <v/>
      </c>
      <c r="LI77" s="62" t="str">
        <f t="shared" si="403"/>
        <v/>
      </c>
      <c r="LJ77" s="62" t="str">
        <f t="shared" si="403"/>
        <v/>
      </c>
      <c r="LK77" s="62" t="str">
        <f t="shared" si="403"/>
        <v/>
      </c>
      <c r="LL77" s="63" t="str">
        <f t="shared" si="403"/>
        <v/>
      </c>
      <c r="LM77" s="62" t="str">
        <f t="shared" si="403"/>
        <v/>
      </c>
      <c r="LN77" s="62" t="str">
        <f t="shared" si="403"/>
        <v/>
      </c>
      <c r="LO77" s="62" t="str">
        <f t="shared" si="403"/>
        <v/>
      </c>
      <c r="LP77" s="62" t="str">
        <f t="shared" si="403"/>
        <v/>
      </c>
      <c r="LQ77" s="62" t="str">
        <f t="shared" si="403"/>
        <v/>
      </c>
      <c r="LR77" s="62" t="str">
        <f t="shared" si="403"/>
        <v/>
      </c>
      <c r="LS77" s="63" t="str">
        <f t="shared" ref="LS77:MN77" si="404">IF(SUM(LS70:LS75) &gt; 0, SUM(LS70:LS75), "")</f>
        <v/>
      </c>
      <c r="LT77" s="62" t="str">
        <f t="shared" si="404"/>
        <v/>
      </c>
      <c r="LU77" s="62" t="str">
        <f t="shared" si="404"/>
        <v/>
      </c>
      <c r="LV77" s="62" t="str">
        <f t="shared" si="404"/>
        <v/>
      </c>
      <c r="LW77" s="62" t="str">
        <f t="shared" si="404"/>
        <v/>
      </c>
      <c r="LX77" s="62" t="str">
        <f t="shared" si="404"/>
        <v/>
      </c>
      <c r="LY77" s="62" t="str">
        <f t="shared" si="404"/>
        <v/>
      </c>
      <c r="LZ77" s="63" t="str">
        <f t="shared" si="404"/>
        <v/>
      </c>
      <c r="MA77" s="62" t="str">
        <f t="shared" si="404"/>
        <v/>
      </c>
      <c r="MB77" s="62" t="str">
        <f t="shared" si="404"/>
        <v/>
      </c>
      <c r="MC77" s="62" t="str">
        <f t="shared" si="404"/>
        <v/>
      </c>
      <c r="MD77" s="62" t="str">
        <f t="shared" si="404"/>
        <v/>
      </c>
      <c r="ME77" s="62" t="str">
        <f t="shared" si="404"/>
        <v/>
      </c>
      <c r="MF77" s="62" t="str">
        <f t="shared" si="404"/>
        <v/>
      </c>
      <c r="MG77" s="63" t="str">
        <f t="shared" si="404"/>
        <v/>
      </c>
      <c r="MH77" s="62" t="str">
        <f t="shared" si="404"/>
        <v/>
      </c>
      <c r="MI77" s="62" t="str">
        <f t="shared" si="404"/>
        <v/>
      </c>
      <c r="MJ77" s="62" t="str">
        <f t="shared" si="404"/>
        <v/>
      </c>
      <c r="MK77" s="62" t="str">
        <f t="shared" si="404"/>
        <v/>
      </c>
      <c r="ML77" s="62" t="str">
        <f t="shared" si="404"/>
        <v/>
      </c>
      <c r="MM77" s="62" t="str">
        <f t="shared" si="404"/>
        <v/>
      </c>
      <c r="MN77" s="87" t="str">
        <f t="shared" si="404"/>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05">IF(SUM(T65, T77) &gt; 0, SUM(T65, T77), "")</f>
        <v/>
      </c>
      <c r="U78" s="62" t="str">
        <f t="shared" si="405"/>
        <v/>
      </c>
      <c r="V78" s="62" t="str">
        <f t="shared" si="405"/>
        <v/>
      </c>
      <c r="W78" s="62" t="str">
        <f t="shared" si="405"/>
        <v/>
      </c>
      <c r="X78" s="62" t="str">
        <f t="shared" si="405"/>
        <v/>
      </c>
      <c r="Y78" s="62" t="str">
        <f t="shared" si="405"/>
        <v/>
      </c>
      <c r="Z78" s="63" t="str">
        <f t="shared" si="405"/>
        <v/>
      </c>
      <c r="AA78" s="65" t="str">
        <f t="shared" ref="AA78" si="406">IF(SUM(AA65, AA77) &gt; 0, SUM(AA65, AA77), "")</f>
        <v/>
      </c>
      <c r="AB78" s="62" t="str">
        <f t="shared" ref="AB78" si="407">IF(SUM(AB65, AB77) &gt; 0, SUM(AB65, AB77), "")</f>
        <v/>
      </c>
      <c r="AC78" s="62" t="str">
        <f t="shared" ref="AC78" si="408">IF(SUM(AC65, AC77) &gt; 0, SUM(AC65, AC77), "")</f>
        <v/>
      </c>
      <c r="AD78" s="62" t="str">
        <f t="shared" ref="AD78" si="409">IF(SUM(AD65, AD77) &gt; 0, SUM(AD65, AD77), "")</f>
        <v/>
      </c>
      <c r="AE78" s="62" t="str">
        <f t="shared" ref="AE78" si="410">IF(SUM(AE65, AE77) &gt; 0, SUM(AE65, AE77), "")</f>
        <v/>
      </c>
      <c r="AF78" s="62" t="str">
        <f t="shared" ref="AF78" si="411">IF(SUM(AF65, AF77) &gt; 0, SUM(AF65, AF77), "")</f>
        <v/>
      </c>
      <c r="AG78" s="63" t="str">
        <f t="shared" ref="AG78" si="412">IF(SUM(AG65, AG77) &gt; 0, SUM(AG65, AG77), "")</f>
        <v/>
      </c>
      <c r="AH78" s="65" t="str">
        <f t="shared" ref="AH78" si="413">IF(SUM(AH65, AH77) &gt; 0, SUM(AH65, AH77), "")</f>
        <v/>
      </c>
      <c r="AI78" s="62">
        <f t="shared" ref="AI78" si="414">IF(SUM(AI65, AI77) &gt; 0, SUM(AI65, AI77), "")</f>
        <v>11</v>
      </c>
      <c r="AJ78" s="62" t="str">
        <f t="shared" ref="AJ78" si="415">IF(SUM(AJ65, AJ77) &gt; 0, SUM(AJ65, AJ77), "")</f>
        <v/>
      </c>
      <c r="AK78" s="62">
        <f t="shared" ref="AK78" si="416">IF(SUM(AK65, AK77) &gt; 0, SUM(AK65, AK77), "")</f>
        <v>10</v>
      </c>
      <c r="AL78" s="62" t="str">
        <f t="shared" ref="AL78" si="417">IF(SUM(AL65, AL77) &gt; 0, SUM(AL65, AL77), "")</f>
        <v/>
      </c>
      <c r="AM78" s="62" t="str">
        <f t="shared" ref="AM78" si="418">IF(SUM(AM65, AM77) &gt; 0, SUM(AM65, AM77), "")</f>
        <v/>
      </c>
      <c r="AN78" s="63" t="str">
        <f t="shared" ref="AN78" si="419">IF(SUM(AN65, AN77) &gt; 0, SUM(AN65, AN77), "")</f>
        <v/>
      </c>
      <c r="AO78" s="65" t="str">
        <f t="shared" ref="AO78" si="420">IF(SUM(AO65, AO77) &gt; 0, SUM(AO65, AO77), "")</f>
        <v/>
      </c>
      <c r="AP78" s="62">
        <f t="shared" ref="AP78" si="421">IF(SUM(AP65, AP77) &gt; 0, SUM(AP65, AP77), "")</f>
        <v>11</v>
      </c>
      <c r="AQ78" s="62" t="str">
        <f t="shared" ref="AQ78" si="422">IF(SUM(AQ65, AQ77) &gt; 0, SUM(AQ65, AQ77), "")</f>
        <v/>
      </c>
      <c r="AR78" s="62">
        <f t="shared" ref="AR78" si="423">IF(SUM(AR65, AR77) &gt; 0, SUM(AR65, AR77), "")</f>
        <v>10</v>
      </c>
      <c r="AS78" s="62" t="str">
        <f t="shared" ref="AS78" si="424">IF(SUM(AS65, AS77) &gt; 0, SUM(AS65, AS77), "")</f>
        <v/>
      </c>
      <c r="AT78" s="62" t="str">
        <f t="shared" ref="AT78" si="425">IF(SUM(AT65, AT77) &gt; 0, SUM(AT65, AT77), "")</f>
        <v/>
      </c>
      <c r="AU78" s="63" t="str">
        <f t="shared" ref="AU78" si="426">IF(SUM(AU65, AU77) &gt; 0, SUM(AU65, AU77), "")</f>
        <v/>
      </c>
      <c r="AV78" s="65" t="str">
        <f t="shared" ref="AV78" si="427">IF(SUM(AV65, AV77) &gt; 0, SUM(AV65, AV77), "")</f>
        <v/>
      </c>
      <c r="AW78" s="62">
        <f t="shared" ref="AW78" si="428">IF(SUM(AW65, AW77) &gt; 0, SUM(AW65, AW77), "")</f>
        <v>11</v>
      </c>
      <c r="AX78" s="62">
        <f t="shared" ref="AX78" si="429">IF(SUM(AX65, AX77) &gt; 0, SUM(AX65, AX77), "")</f>
        <v>6</v>
      </c>
      <c r="AY78" s="62">
        <f t="shared" ref="AY78" si="430">IF(SUM(AY65, AY77) &gt; 0, SUM(AY65, AY77), "")</f>
        <v>8</v>
      </c>
      <c r="AZ78" s="62" t="str">
        <f t="shared" ref="AZ78" si="431">IF(SUM(AZ65, AZ77) &gt; 0, SUM(AZ65, AZ77), "")</f>
        <v/>
      </c>
      <c r="BA78" s="62" t="str">
        <f t="shared" ref="BA78" si="432">IF(SUM(BA65, BA77) &gt; 0, SUM(BA65, BA77), "")</f>
        <v/>
      </c>
      <c r="BB78" s="63" t="str">
        <f t="shared" ref="BB78" si="433">IF(SUM(BB65, BB77) &gt; 0, SUM(BB65, BB77), "")</f>
        <v/>
      </c>
      <c r="BC78" s="65" t="str">
        <f t="shared" ref="BC78" si="434">IF(SUM(BC65, BC77) &gt; 0, SUM(BC65, BC77), "")</f>
        <v/>
      </c>
      <c r="BD78" s="62">
        <f t="shared" ref="BD78" si="435">IF(SUM(BD65, BD77) &gt; 0, SUM(BD65, BD77), "")</f>
        <v>11</v>
      </c>
      <c r="BE78" s="62" t="str">
        <f t="shared" ref="BE78" si="436">IF(SUM(BE65, BE77) &gt; 0, SUM(BE65, BE77), "")</f>
        <v/>
      </c>
      <c r="BF78" s="62">
        <f t="shared" ref="BF78" si="437">IF(SUM(BF65, BF77) &gt; 0, SUM(BF65, BF77), "")</f>
        <v>8</v>
      </c>
      <c r="BG78" s="62" t="str">
        <f t="shared" ref="BG78" si="438">IF(SUM(BG65, BG77) &gt; 0, SUM(BG65, BG77), "")</f>
        <v/>
      </c>
      <c r="BH78" s="62" t="str">
        <f t="shared" ref="BH78" si="439">IF(SUM(BH65, BH77) &gt; 0, SUM(BH65, BH77), "")</f>
        <v/>
      </c>
      <c r="BI78" s="63" t="str">
        <f t="shared" ref="BI78" si="440">IF(SUM(BI65, BI77) &gt; 0, SUM(BI65, BI77), "")</f>
        <v/>
      </c>
      <c r="BJ78" s="65" t="str">
        <f t="shared" ref="BJ78" si="441">IF(SUM(BJ65, BJ77) &gt; 0, SUM(BJ65, BJ77), "")</f>
        <v/>
      </c>
      <c r="BK78" s="62">
        <f t="shared" ref="BK78" si="442">IF(SUM(BK65, BK77) &gt; 0, SUM(BK65, BK77), "")</f>
        <v>9</v>
      </c>
      <c r="BL78" s="62" t="str">
        <f t="shared" ref="BL78" si="443">IF(SUM(BL65, BL77) &gt; 0, SUM(BL65, BL77), "")</f>
        <v/>
      </c>
      <c r="BM78" s="62">
        <f t="shared" ref="BM78" si="444">IF(SUM(BM65, BM77) &gt; 0, SUM(BM65, BM77), "")</f>
        <v>13</v>
      </c>
      <c r="BN78" s="62">
        <f t="shared" ref="BN78" si="445">IF(SUM(BN65, BN77) &gt; 0, SUM(BN65, BN77), "")</f>
        <v>12</v>
      </c>
      <c r="BO78" s="62" t="str">
        <f t="shared" ref="BO78:BP78" si="446">IF(SUM(BO65, BO77) &gt; 0, SUM(BO65, BO77), "")</f>
        <v/>
      </c>
      <c r="BP78" s="63">
        <f t="shared" si="446"/>
        <v>5</v>
      </c>
      <c r="BQ78" s="62" t="str">
        <f t="shared" ref="BQ78" si="447">IF(SUM(BQ65, BQ77) &gt; 0, SUM(BQ65, BQ77), "")</f>
        <v/>
      </c>
      <c r="BR78" s="62" t="str">
        <f t="shared" ref="BR78" si="448">IF(SUM(BR65, BR77) &gt; 0, SUM(BR65, BR77), "")</f>
        <v/>
      </c>
      <c r="BS78" s="62" t="str">
        <f t="shared" ref="BS78" si="449">IF(SUM(BS65, BS77) &gt; 0, SUM(BS65, BS77), "")</f>
        <v/>
      </c>
      <c r="BT78" s="62" t="str">
        <f t="shared" ref="BT78" si="450">IF(SUM(BT65, BT77) &gt; 0, SUM(BT65, BT77), "")</f>
        <v/>
      </c>
      <c r="BU78" s="62" t="str">
        <f t="shared" ref="BU78" si="451">IF(SUM(BU65, BU77) &gt; 0, SUM(BU65, BU77), "")</f>
        <v/>
      </c>
      <c r="BV78" s="62" t="str">
        <f t="shared" ref="BV78:BW78" si="452">IF(SUM(BV65, BV77) &gt; 0, SUM(BV65, BV77), "")</f>
        <v/>
      </c>
      <c r="BW78" s="62">
        <f t="shared" si="452"/>
        <v>2</v>
      </c>
      <c r="BX78" s="62"/>
      <c r="BY78" s="63" t="str">
        <f t="shared" ref="BY78" si="453">IF(SUM(BY65, BY77) &gt; 0, SUM(BY65, BY77), "")</f>
        <v/>
      </c>
      <c r="BZ78" s="65" t="str">
        <f t="shared" ref="BZ78" si="454">IF(SUM(BZ65, BZ77) &gt; 0, SUM(BZ65, BZ77), "")</f>
        <v/>
      </c>
      <c r="CA78" s="62" t="str">
        <f t="shared" ref="CA78" si="455">IF(SUM(CA65, CA77) &gt; 0, SUM(CA65, CA77), "")</f>
        <v/>
      </c>
      <c r="CB78" s="62" t="str">
        <f t="shared" ref="CB78" si="456">IF(SUM(CB65, CB77) &gt; 0, SUM(CB65, CB77), "")</f>
        <v/>
      </c>
      <c r="CC78" s="62" t="str">
        <f t="shared" ref="CC78" si="457">IF(SUM(CC65, CC77) &gt; 0, SUM(CC65, CC77), "")</f>
        <v/>
      </c>
      <c r="CD78" s="62" t="str">
        <f t="shared" ref="CD78" si="458">IF(SUM(CD65, CD77) &gt; 0, SUM(CD65, CD77), "")</f>
        <v/>
      </c>
      <c r="CE78" s="62" t="str">
        <f t="shared" ref="CE78" si="459">IF(SUM(CE65, CE77) &gt; 0, SUM(CE65, CE77), "")</f>
        <v/>
      </c>
      <c r="CF78" s="62"/>
      <c r="CG78" s="62"/>
      <c r="CH78" s="63" t="str">
        <f t="shared" ref="CH78" si="460">IF(SUM(CH65, CH77) &gt; 0, SUM(CH65, CH77), "")</f>
        <v/>
      </c>
      <c r="CI78" s="65" t="str">
        <f t="shared" ref="CI78" si="461">IF(SUM(CI65, CI77) &gt; 0, SUM(CI65, CI77), "")</f>
        <v/>
      </c>
      <c r="CJ78" s="62" t="str">
        <f t="shared" ref="CJ78" si="462">IF(SUM(CJ65, CJ77) &gt; 0, SUM(CJ65, CJ77), "")</f>
        <v/>
      </c>
      <c r="CK78" s="62" t="str">
        <f t="shared" ref="CK78" si="463">IF(SUM(CK65, CK77) &gt; 0, SUM(CK65, CK77), "")</f>
        <v/>
      </c>
      <c r="CL78" s="62" t="str">
        <f t="shared" ref="CL78" si="464">IF(SUM(CL65, CL77) &gt; 0, SUM(CL65, CL77), "")</f>
        <v/>
      </c>
      <c r="CM78" s="62" t="str">
        <f t="shared" ref="CM78" si="465">IF(SUM(CM65, CM77) &gt; 0, SUM(CM65, CM77), "")</f>
        <v/>
      </c>
      <c r="CN78" s="62" t="str">
        <f t="shared" ref="CN78:CO78" si="466">IF(SUM(CN65, CN77) &gt; 0, SUM(CN65, CN77), "")</f>
        <v/>
      </c>
      <c r="CO78" s="62" t="str">
        <f t="shared" si="466"/>
        <v/>
      </c>
      <c r="CP78" s="62"/>
      <c r="CQ78" s="63" t="str">
        <f t="shared" ref="CQ78" si="467">IF(SUM(CQ65, CQ77) &gt; 0, SUM(CQ65, CQ77), "")</f>
        <v/>
      </c>
      <c r="CR78" s="65" t="str">
        <f t="shared" ref="CR78" si="468">IF(SUM(CR65, CR77) &gt; 0, SUM(CR65, CR77), "")</f>
        <v/>
      </c>
      <c r="CS78" s="62" t="str">
        <f t="shared" ref="CS78" si="469">IF(SUM(CS65, CS77) &gt; 0, SUM(CS65, CS77), "")</f>
        <v/>
      </c>
      <c r="CT78" s="62" t="str">
        <f t="shared" ref="CT78" si="470">IF(SUM(CT65, CT77) &gt; 0, SUM(CT65, CT77), "")</f>
        <v/>
      </c>
      <c r="CU78" s="62" t="str">
        <f t="shared" ref="CU78" si="471">IF(SUM(CU65, CU77) &gt; 0, SUM(CU65, CU77), "")</f>
        <v/>
      </c>
      <c r="CV78" s="62" t="str">
        <f t="shared" ref="CV78" si="472">IF(SUM(CV65, CV77) &gt; 0, SUM(CV65, CV77), "")</f>
        <v/>
      </c>
      <c r="CW78" s="62"/>
      <c r="CX78" s="62"/>
      <c r="CY78" s="62" t="str">
        <f t="shared" ref="CY78" si="473">IF(SUM(CY65, CY77) &gt; 0, SUM(CY65, CY77), "")</f>
        <v/>
      </c>
      <c r="CZ78" s="63" t="str">
        <f t="shared" ref="CZ78" si="474">IF(SUM(CZ65, CZ77) &gt; 0, SUM(CZ65, CZ77), "")</f>
        <v/>
      </c>
      <c r="DA78" s="65" t="str">
        <f t="shared" ref="DA78" si="475">IF(SUM(DA65, DA77) &gt; 0, SUM(DA65, DA77), "")</f>
        <v/>
      </c>
      <c r="DB78" s="62" t="str">
        <f t="shared" ref="DB78" si="476">IF(SUM(DB65, DB77) &gt; 0, SUM(DB65, DB77), "")</f>
        <v/>
      </c>
      <c r="DC78" s="62" t="str">
        <f t="shared" ref="DC78" si="477">IF(SUM(DC65, DC77) &gt; 0, SUM(DC65, DC77), "")</f>
        <v/>
      </c>
      <c r="DD78" s="62" t="str">
        <f t="shared" ref="DD78" si="478">IF(SUM(DD65, DD77) &gt; 0, SUM(DD65, DD77), "")</f>
        <v/>
      </c>
      <c r="DE78" s="62" t="str">
        <f t="shared" ref="DE78" si="479">IF(SUM(DE65, DE77) &gt; 0, SUM(DE65, DE77), "")</f>
        <v/>
      </c>
      <c r="DF78" s="62" t="str">
        <f t="shared" ref="DF78" si="480">IF(SUM(DF65, DF77) &gt; 0, SUM(DF65, DF77), "")</f>
        <v/>
      </c>
      <c r="DG78" s="62"/>
      <c r="DH78" s="62"/>
      <c r="DI78" s="63" t="str">
        <f t="shared" ref="DI78" si="481">IF(SUM(DI65, DI77) &gt; 0, SUM(DI65, DI77), "")</f>
        <v/>
      </c>
      <c r="DJ78" s="65" t="str">
        <f t="shared" ref="DJ78" si="482">IF(SUM(DJ65, DJ77) &gt; 0, SUM(DJ65, DJ77), "")</f>
        <v/>
      </c>
      <c r="DK78" s="62" t="str">
        <f t="shared" ref="DK78" si="483">IF(SUM(DK65, DK77) &gt; 0, SUM(DK65, DK77), "")</f>
        <v/>
      </c>
      <c r="DL78" s="62" t="str">
        <f t="shared" ref="DL78" si="484">IF(SUM(DL65, DL77) &gt; 0, SUM(DL65, DL77), "")</f>
        <v/>
      </c>
      <c r="DM78" s="62" t="str">
        <f t="shared" ref="DM78" si="485">IF(SUM(DM65, DM77) &gt; 0, SUM(DM65, DM77), "")</f>
        <v/>
      </c>
      <c r="DN78" s="62" t="str">
        <f t="shared" ref="DN78" si="486">IF(SUM(DN65, DN77) &gt; 0, SUM(DN65, DN77), "")</f>
        <v/>
      </c>
      <c r="DO78" s="62" t="str">
        <f t="shared" ref="DO78" si="487">IF(SUM(DO65, DO77) &gt; 0, SUM(DO65, DO77), "")</f>
        <v/>
      </c>
      <c r="DP78" s="62"/>
      <c r="DQ78" s="62"/>
      <c r="DR78" s="63" t="str">
        <f t="shared" ref="DR78" si="488">IF(SUM(DR65, DR77) &gt; 0, SUM(DR65, DR77), "")</f>
        <v/>
      </c>
      <c r="DS78" s="65" t="str">
        <f t="shared" ref="DS78" si="489">IF(SUM(DS65, DS77) &gt; 0, SUM(DS65, DS77), "")</f>
        <v/>
      </c>
      <c r="DT78" s="62">
        <f t="shared" ref="DT78" si="490">IF(SUM(DT65, DT77) &gt; 0, SUM(DT65, DT77), "")</f>
        <v>8</v>
      </c>
      <c r="DU78" s="62" t="str">
        <f t="shared" ref="DU78" si="491">IF(SUM(DU65, DU77) &gt; 0, SUM(DU65, DU77), "")</f>
        <v/>
      </c>
      <c r="DV78" s="62">
        <f t="shared" ref="DV78" si="492">IF(SUM(DV65, DV77) &gt; 0, SUM(DV65, DV77), "")</f>
        <v>7</v>
      </c>
      <c r="DW78" s="62">
        <f t="shared" ref="DW78" si="493">IF(SUM(DW65, DW77) &gt; 0, SUM(DW65, DW77), "")</f>
        <v>6</v>
      </c>
      <c r="DX78" s="62"/>
      <c r="DY78" s="62"/>
      <c r="DZ78" s="62" t="str">
        <f t="shared" ref="DZ78" si="494">IF(SUM(DZ65, DZ77) &gt; 0, SUM(DZ65, DZ77), "")</f>
        <v/>
      </c>
      <c r="EA78" s="63" t="str">
        <f t="shared" ref="EA78" si="495">IF(SUM(EA65, EA77) &gt; 0, SUM(EA65, EA77), "")</f>
        <v/>
      </c>
      <c r="EB78" s="65" t="str">
        <f t="shared" ref="EB78" si="496">IF(SUM(EB65, EB77) &gt; 0, SUM(EB65, EB77), "")</f>
        <v/>
      </c>
      <c r="EC78" s="62">
        <f t="shared" ref="EC78" si="497">IF(SUM(EC65, EC77) &gt; 0, SUM(EC65, EC77), "")</f>
        <v>7</v>
      </c>
      <c r="ED78" s="62" t="str">
        <f t="shared" ref="ED78" si="498">IF(SUM(ED65, ED77) &gt; 0, SUM(ED65, ED77), "")</f>
        <v/>
      </c>
      <c r="EE78" s="62">
        <f t="shared" ref="EE78" si="499">IF(SUM(EE65, EE77) &gt; 0, SUM(EE65, EE77), "")</f>
        <v>6</v>
      </c>
      <c r="EF78" s="62" t="str">
        <f t="shared" ref="EF78" si="500">IF(SUM(EF65, EF77) &gt; 0, SUM(EF65, EF77), "")</f>
        <v/>
      </c>
      <c r="EG78" s="62"/>
      <c r="EH78" s="62"/>
      <c r="EI78" s="62" t="str">
        <f t="shared" ref="EI78" si="501">IF(SUM(EI65, EI77) &gt; 0, SUM(EI65, EI77), "")</f>
        <v/>
      </c>
      <c r="EJ78" s="63" t="str">
        <f t="shared" ref="EJ78" si="502">IF(SUM(EJ65, EJ77) &gt; 0, SUM(EJ65, EJ77), "")</f>
        <v/>
      </c>
      <c r="EK78" s="65" t="str">
        <f t="shared" ref="EK78" si="503">IF(SUM(EK65, EK77) &gt; 0, SUM(EK65, EK77), "")</f>
        <v/>
      </c>
      <c r="EL78" s="62" t="str">
        <f t="shared" ref="EL78" si="504">IF(SUM(EL65, EL77) &gt; 0, SUM(EL65, EL77), "")</f>
        <v/>
      </c>
      <c r="EM78" s="62" t="str">
        <f t="shared" ref="EM78" si="505">IF(SUM(EM65, EM77) &gt; 0, SUM(EM65, EM77), "")</f>
        <v/>
      </c>
      <c r="EN78" s="62" t="str">
        <f t="shared" ref="EN78" si="506">IF(SUM(EN65, EN77) &gt; 0, SUM(EN65, EN77), "")</f>
        <v/>
      </c>
      <c r="EO78" s="62" t="str">
        <f t="shared" ref="EO78" si="507">IF(SUM(EO65, EO77) &gt; 0, SUM(EO65, EO77), "")</f>
        <v/>
      </c>
      <c r="EP78" s="62" t="str">
        <f t="shared" ref="EP78" si="508">IF(SUM(EP65, EP77) &gt; 0, SUM(EP65, EP77), "")</f>
        <v/>
      </c>
      <c r="EQ78" s="62"/>
      <c r="ER78" s="62"/>
      <c r="ES78" s="63" t="str">
        <f t="shared" ref="ES78" si="509">IF(SUM(ES65, ES77) &gt; 0, SUM(ES65, ES77), "")</f>
        <v/>
      </c>
      <c r="ET78" s="65" t="str">
        <f t="shared" ref="ET78" si="510">IF(SUM(ET65, ET77) &gt; 0, SUM(ET65, ET77), "")</f>
        <v/>
      </c>
      <c r="EU78" s="62" t="str">
        <f t="shared" ref="EU78" si="511">IF(SUM(EU65, EU77) &gt; 0, SUM(EU65, EU77), "")</f>
        <v/>
      </c>
      <c r="EV78" s="62" t="str">
        <f t="shared" ref="EV78" si="512">IF(SUM(EV65, EV77) &gt; 0, SUM(EV65, EV77), "")</f>
        <v/>
      </c>
      <c r="EW78" s="62" t="str">
        <f t="shared" ref="EW78" si="513">IF(SUM(EW65, EW77) &gt; 0, SUM(EW65, EW77), "")</f>
        <v/>
      </c>
      <c r="EX78" s="62" t="str">
        <f t="shared" ref="EX78" si="514">IF(SUM(EX65, EX77) &gt; 0, SUM(EX65, EX77), "")</f>
        <v/>
      </c>
      <c r="EY78" s="62" t="str">
        <f t="shared" ref="EY78" si="515">IF(SUM(EY65, EY77) &gt; 0, SUM(EY65, EY77), "")</f>
        <v/>
      </c>
      <c r="EZ78" s="63" t="str">
        <f t="shared" ref="EZ78" si="516">IF(SUM(EZ65, EZ77) &gt; 0, SUM(EZ65, EZ77), "")</f>
        <v/>
      </c>
      <c r="FA78" s="65" t="str">
        <f t="shared" ref="FA78" si="517">IF(SUM(FA65, FA77) &gt; 0, SUM(FA65, FA77), "")</f>
        <v/>
      </c>
      <c r="FB78" s="62" t="str">
        <f t="shared" ref="FB78" si="518">IF(SUM(FB65, FB77) &gt; 0, SUM(FB65, FB77), "")</f>
        <v/>
      </c>
      <c r="FC78" s="62" t="str">
        <f t="shared" ref="FC78" si="519">IF(SUM(FC65, FC77) &gt; 0, SUM(FC65, FC77), "")</f>
        <v/>
      </c>
      <c r="FD78" s="62" t="str">
        <f t="shared" ref="FD78" si="520">IF(SUM(FD65, FD77) &gt; 0, SUM(FD65, FD77), "")</f>
        <v/>
      </c>
      <c r="FE78" s="62" t="str">
        <f t="shared" ref="FE78" si="521">IF(SUM(FE65, FE77) &gt; 0, SUM(FE65, FE77), "")</f>
        <v/>
      </c>
      <c r="FF78" s="62" t="str">
        <f t="shared" ref="FF78" si="522">IF(SUM(FF65, FF77) &gt; 0, SUM(FF65, FF77), "")</f>
        <v/>
      </c>
      <c r="FG78" s="63" t="str">
        <f t="shared" ref="FG78" si="523">IF(SUM(FG65, FG77) &gt; 0, SUM(FG65, FG77), "")</f>
        <v/>
      </c>
      <c r="FH78" s="65" t="str">
        <f t="shared" ref="FH78" si="524">IF(SUM(FH65, FH77) &gt; 0, SUM(FH65, FH77), "")</f>
        <v/>
      </c>
      <c r="FI78" s="62" t="str">
        <f t="shared" ref="FI78" si="525">IF(SUM(FI65, FI77) &gt; 0, SUM(FI65, FI77), "")</f>
        <v/>
      </c>
      <c r="FJ78" s="62" t="str">
        <f t="shared" ref="FJ78" si="526">IF(SUM(FJ65, FJ77) &gt; 0, SUM(FJ65, FJ77), "")</f>
        <v/>
      </c>
      <c r="FK78" s="62" t="str">
        <f t="shared" ref="FK78" si="527">IF(SUM(FK65, FK77) &gt; 0, SUM(FK65, FK77), "")</f>
        <v/>
      </c>
      <c r="FL78" s="62" t="str">
        <f t="shared" ref="FL78" si="528">IF(SUM(FL65, FL77) &gt; 0, SUM(FL65, FL77), "")</f>
        <v/>
      </c>
      <c r="FM78" s="62" t="str">
        <f t="shared" ref="FM78" si="529">IF(SUM(FM65, FM77) &gt; 0, SUM(FM65, FM77), "")</f>
        <v/>
      </c>
      <c r="FN78" s="63" t="str">
        <f t="shared" ref="FN78" si="530">IF(SUM(FN65, FN77) &gt; 0, SUM(FN65, FN77), "")</f>
        <v/>
      </c>
      <c r="FO78" s="65" t="str">
        <f t="shared" ref="FO78" si="531">IF(SUM(FO65, FO77) &gt; 0, SUM(FO65, FO77), "")</f>
        <v/>
      </c>
      <c r="FP78" s="62" t="str">
        <f t="shared" ref="FP78" si="532">IF(SUM(FP65, FP77) &gt; 0, SUM(FP65, FP77), "")</f>
        <v/>
      </c>
      <c r="FQ78" s="62" t="str">
        <f t="shared" ref="FQ78" si="533">IF(SUM(FQ65, FQ77) &gt; 0, SUM(FQ65, FQ77), "")</f>
        <v/>
      </c>
      <c r="FR78" s="62" t="str">
        <f t="shared" ref="FR78" si="534">IF(SUM(FR65, FR77) &gt; 0, SUM(FR65, FR77), "")</f>
        <v/>
      </c>
      <c r="FS78" s="62" t="str">
        <f t="shared" ref="FS78" si="535">IF(SUM(FS65, FS77) &gt; 0, SUM(FS65, FS77), "")</f>
        <v/>
      </c>
      <c r="FT78" s="62" t="str">
        <f t="shared" ref="FT78" si="536">IF(SUM(FT65, FT77) &gt; 0, SUM(FT65, FT77), "")</f>
        <v/>
      </c>
      <c r="FU78" s="63" t="str">
        <f t="shared" ref="FU78" si="537">IF(SUM(FU65, FU77) &gt; 0, SUM(FU65, FU77), "")</f>
        <v/>
      </c>
      <c r="FV78" s="65" t="str">
        <f t="shared" ref="FV78" si="538">IF(SUM(FV65, FV77) &gt; 0, SUM(FV65, FV77), "")</f>
        <v/>
      </c>
      <c r="FW78" s="62" t="str">
        <f t="shared" ref="FW78" si="539">IF(SUM(FW65, FW77) &gt; 0, SUM(FW65, FW77), "")</f>
        <v/>
      </c>
      <c r="FX78" s="62" t="str">
        <f t="shared" ref="FX78" si="540">IF(SUM(FX65, FX77) &gt; 0, SUM(FX65, FX77), "")</f>
        <v/>
      </c>
      <c r="FY78" s="62" t="str">
        <f t="shared" ref="FY78" si="541">IF(SUM(FY65, FY77) &gt; 0, SUM(FY65, FY77), "")</f>
        <v/>
      </c>
      <c r="FZ78" s="62" t="str">
        <f t="shared" ref="FZ78" si="542">IF(SUM(FZ65, FZ77) &gt; 0, SUM(FZ65, FZ77), "")</f>
        <v/>
      </c>
      <c r="GA78" s="62" t="str">
        <f t="shared" ref="GA78" si="543">IF(SUM(GA65, GA77) &gt; 0, SUM(GA65, GA77), "")</f>
        <v/>
      </c>
      <c r="GB78" s="63" t="str">
        <f t="shared" ref="GB78" si="544">IF(SUM(GB65, GB77) &gt; 0, SUM(GB65, GB77), "")</f>
        <v/>
      </c>
      <c r="GC78" s="65" t="str">
        <f t="shared" ref="GC78" si="545">IF(SUM(GC65, GC77) &gt; 0, SUM(GC65, GC77), "")</f>
        <v/>
      </c>
      <c r="GD78" s="62" t="str">
        <f t="shared" ref="GD78" si="546">IF(SUM(GD65, GD77) &gt; 0, SUM(GD65, GD77), "")</f>
        <v/>
      </c>
      <c r="GE78" s="62" t="str">
        <f t="shared" ref="GE78" si="547">IF(SUM(GE65, GE77) &gt; 0, SUM(GE65, GE77), "")</f>
        <v/>
      </c>
      <c r="GF78" s="62" t="str">
        <f t="shared" ref="GF78" si="548">IF(SUM(GF65, GF77) &gt; 0, SUM(GF65, GF77), "")</f>
        <v/>
      </c>
      <c r="GG78" s="62" t="str">
        <f t="shared" ref="GG78" si="549">IF(SUM(GG65, GG77) &gt; 0, SUM(GG65, GG77), "")</f>
        <v/>
      </c>
      <c r="GH78" s="62" t="str">
        <f t="shared" ref="GH78" si="550">IF(SUM(GH65, GH77) &gt; 0, SUM(GH65, GH77), "")</f>
        <v/>
      </c>
      <c r="GI78" s="63" t="str">
        <f t="shared" ref="GI78" si="551">IF(SUM(GI65, GI77) &gt; 0, SUM(GI65, GI77), "")</f>
        <v/>
      </c>
      <c r="GJ78" s="65" t="str">
        <f t="shared" ref="GJ78" si="552">IF(SUM(GJ65, GJ77) &gt; 0, SUM(GJ65, GJ77), "")</f>
        <v/>
      </c>
      <c r="GK78" s="62" t="str">
        <f t="shared" ref="GK78" si="553">IF(SUM(GK65, GK77) &gt; 0, SUM(GK65, GK77), "")</f>
        <v/>
      </c>
      <c r="GL78" s="62" t="str">
        <f t="shared" ref="GL78" si="554">IF(SUM(GL65, GL77) &gt; 0, SUM(GL65, GL77), "")</f>
        <v/>
      </c>
      <c r="GM78" s="62" t="str">
        <f t="shared" ref="GM78" si="555">IF(SUM(GM65, GM77) &gt; 0, SUM(GM65, GM77), "")</f>
        <v/>
      </c>
      <c r="GN78" s="62" t="str">
        <f t="shared" ref="GN78" si="556">IF(SUM(GN65, GN77) &gt; 0, SUM(GN65, GN77), "")</f>
        <v/>
      </c>
      <c r="GO78" s="62" t="str">
        <f t="shared" ref="GO78" si="557">IF(SUM(GO65, GO77) &gt; 0, SUM(GO65, GO77), "")</f>
        <v/>
      </c>
      <c r="GP78" s="63" t="str">
        <f t="shared" ref="GP78" si="558">IF(SUM(GP65, GP77) &gt; 0, SUM(GP65, GP77), "")</f>
        <v/>
      </c>
      <c r="GQ78" s="65" t="str">
        <f t="shared" ref="GQ78" si="559">IF(SUM(GQ65, GQ77) &gt; 0, SUM(GQ65, GQ77), "")</f>
        <v/>
      </c>
      <c r="GR78" s="62" t="str">
        <f t="shared" ref="GR78" si="560">IF(SUM(GR65, GR77) &gt; 0, SUM(GR65, GR77), "")</f>
        <v/>
      </c>
      <c r="GS78" s="62" t="str">
        <f t="shared" ref="GS78" si="561">IF(SUM(GS65, GS77) &gt; 0, SUM(GS65, GS77), "")</f>
        <v/>
      </c>
      <c r="GT78" s="62" t="str">
        <f t="shared" ref="GT78" si="562">IF(SUM(GT65, GT77) &gt; 0, SUM(GT65, GT77), "")</f>
        <v/>
      </c>
      <c r="GU78" s="62" t="str">
        <f t="shared" ref="GU78" si="563">IF(SUM(GU65, GU77) &gt; 0, SUM(GU65, GU77), "")</f>
        <v/>
      </c>
      <c r="GV78" s="62" t="str">
        <f t="shared" ref="GV78" si="564">IF(SUM(GV65, GV77) &gt; 0, SUM(GV65, GV77), "")</f>
        <v/>
      </c>
      <c r="GW78" s="63" t="str">
        <f t="shared" ref="GW78" si="565">IF(SUM(GW65, GW77) &gt; 0, SUM(GW65, GW77), "")</f>
        <v/>
      </c>
      <c r="GX78" s="65" t="str">
        <f t="shared" ref="GX78" si="566">IF(SUM(GX65, GX77) &gt; 0, SUM(GX65, GX77), "")</f>
        <v/>
      </c>
      <c r="GY78" s="62" t="str">
        <f t="shared" ref="GY78" si="567">IF(SUM(GY65, GY77) &gt; 0, SUM(GY65, GY77), "")</f>
        <v/>
      </c>
      <c r="GZ78" s="62" t="str">
        <f t="shared" ref="GZ78" si="568">IF(SUM(GZ65, GZ77) &gt; 0, SUM(GZ65, GZ77), "")</f>
        <v/>
      </c>
      <c r="HA78" s="62" t="str">
        <f t="shared" ref="HA78" si="569">IF(SUM(HA65, HA77) &gt; 0, SUM(HA65, HA77), "")</f>
        <v/>
      </c>
      <c r="HB78" s="62" t="str">
        <f t="shared" ref="HB78" si="570">IF(SUM(HB65, HB77) &gt; 0, SUM(HB65, HB77), "")</f>
        <v/>
      </c>
      <c r="HC78" s="62" t="str">
        <f t="shared" ref="HC78" si="571">IF(SUM(HC65, HC77) &gt; 0, SUM(HC65, HC77), "")</f>
        <v/>
      </c>
      <c r="HD78" s="63" t="str">
        <f t="shared" ref="HD78" si="572">IF(SUM(HD65, HD77) &gt; 0, SUM(HD65, HD77), "")</f>
        <v/>
      </c>
      <c r="HE78" s="65" t="str">
        <f t="shared" ref="HE78" si="573">IF(SUM(HE65, HE77) &gt; 0, SUM(HE65, HE77), "")</f>
        <v/>
      </c>
      <c r="HF78" s="62" t="str">
        <f t="shared" ref="HF78" si="574">IF(SUM(HF65, HF77) &gt; 0, SUM(HF65, HF77), "")</f>
        <v/>
      </c>
      <c r="HG78" s="62" t="str">
        <f t="shared" ref="HG78" si="575">IF(SUM(HG65, HG77) &gt; 0, SUM(HG65, HG77), "")</f>
        <v/>
      </c>
      <c r="HH78" s="62" t="str">
        <f t="shared" ref="HH78" si="576">IF(SUM(HH65, HH77) &gt; 0, SUM(HH65, HH77), "")</f>
        <v/>
      </c>
      <c r="HI78" s="62" t="str">
        <f t="shared" ref="HI78" si="577">IF(SUM(HI65, HI77) &gt; 0, SUM(HI65, HI77), "")</f>
        <v/>
      </c>
      <c r="HJ78" s="62" t="str">
        <f t="shared" ref="HJ78" si="578">IF(SUM(HJ65, HJ77) &gt; 0, SUM(HJ65, HJ77), "")</f>
        <v/>
      </c>
      <c r="HK78" s="63" t="str">
        <f t="shared" ref="HK78" si="579">IF(SUM(HK65, HK77) &gt; 0, SUM(HK65, HK77), "")</f>
        <v/>
      </c>
      <c r="HL78" s="65" t="str">
        <f t="shared" ref="HL78" si="580">IF(SUM(HL65, HL77) &gt; 0, SUM(HL65, HL77), "")</f>
        <v/>
      </c>
      <c r="HM78" s="62" t="str">
        <f t="shared" ref="HM78" si="581">IF(SUM(HM65, HM77) &gt; 0, SUM(HM65, HM77), "")</f>
        <v/>
      </c>
      <c r="HN78" s="62" t="str">
        <f t="shared" ref="HN78" si="582">IF(SUM(HN65, HN77) &gt; 0, SUM(HN65, HN77), "")</f>
        <v/>
      </c>
      <c r="HO78" s="62" t="str">
        <f t="shared" ref="HO78" si="583">IF(SUM(HO65, HO77) &gt; 0, SUM(HO65, HO77), "")</f>
        <v/>
      </c>
      <c r="HP78" s="62" t="str">
        <f t="shared" ref="HP78" si="584">IF(SUM(HP65, HP77) &gt; 0, SUM(HP65, HP77), "")</f>
        <v/>
      </c>
      <c r="HQ78" s="62" t="str">
        <f t="shared" ref="HQ78" si="585">IF(SUM(HQ65, HQ77) &gt; 0, SUM(HQ65, HQ77), "")</f>
        <v/>
      </c>
      <c r="HR78" s="63" t="str">
        <f t="shared" ref="HR78" si="586">IF(SUM(HR65, HR77) &gt; 0, SUM(HR65, HR77), "")</f>
        <v/>
      </c>
      <c r="HS78" s="65" t="str">
        <f t="shared" ref="HS78" si="587">IF(SUM(HS65, HS77) &gt; 0, SUM(HS65, HS77), "")</f>
        <v/>
      </c>
      <c r="HT78" s="62" t="str">
        <f t="shared" ref="HT78" si="588">IF(SUM(HT65, HT77) &gt; 0, SUM(HT65, HT77), "")</f>
        <v/>
      </c>
      <c r="HU78" s="62" t="str">
        <f t="shared" ref="HU78" si="589">IF(SUM(HU65, HU77) &gt; 0, SUM(HU65, HU77), "")</f>
        <v/>
      </c>
      <c r="HV78" s="62" t="str">
        <f t="shared" ref="HV78" si="590">IF(SUM(HV65, HV77) &gt; 0, SUM(HV65, HV77), "")</f>
        <v/>
      </c>
      <c r="HW78" s="62" t="str">
        <f t="shared" ref="HW78" si="591">IF(SUM(HW65, HW77) &gt; 0, SUM(HW65, HW77), "")</f>
        <v/>
      </c>
      <c r="HX78" s="62" t="str">
        <f t="shared" ref="HX78" si="592">IF(SUM(HX65, HX77) &gt; 0, SUM(HX65, HX77), "")</f>
        <v/>
      </c>
      <c r="HY78" s="63" t="str">
        <f t="shared" ref="HY78" si="593">IF(SUM(HY65, HY77) &gt; 0, SUM(HY65, HY77), "")</f>
        <v/>
      </c>
      <c r="HZ78" s="65" t="str">
        <f t="shared" ref="HZ78" si="594">IF(SUM(HZ65, HZ77) &gt; 0, SUM(HZ65, HZ77), "")</f>
        <v/>
      </c>
      <c r="IA78" s="62" t="str">
        <f t="shared" ref="IA78" si="595">IF(SUM(IA65, IA77) &gt; 0, SUM(IA65, IA77), "")</f>
        <v/>
      </c>
      <c r="IB78" s="62" t="str">
        <f t="shared" ref="IB78" si="596">IF(SUM(IB65, IB77) &gt; 0, SUM(IB65, IB77), "")</f>
        <v/>
      </c>
      <c r="IC78" s="62" t="str">
        <f t="shared" ref="IC78" si="597">IF(SUM(IC65, IC77) &gt; 0, SUM(IC65, IC77), "")</f>
        <v/>
      </c>
      <c r="ID78" s="62" t="str">
        <f t="shared" ref="ID78" si="598">IF(SUM(ID65, ID77) &gt; 0, SUM(ID65, ID77), "")</f>
        <v/>
      </c>
      <c r="IE78" s="62" t="str">
        <f t="shared" ref="IE78" si="599">IF(SUM(IE65, IE77) &gt; 0, SUM(IE65, IE77), "")</f>
        <v/>
      </c>
      <c r="IF78" s="63" t="str">
        <f t="shared" ref="IF78" si="600">IF(SUM(IF65, IF77) &gt; 0, SUM(IF65, IF77), "")</f>
        <v/>
      </c>
      <c r="IG78" s="65" t="str">
        <f t="shared" ref="IG78" si="601">IF(SUM(IG65, IG77) &gt; 0, SUM(IG65, IG77), "")</f>
        <v/>
      </c>
      <c r="IH78" s="62" t="str">
        <f t="shared" ref="IH78" si="602">IF(SUM(IH65, IH77) &gt; 0, SUM(IH65, IH77), "")</f>
        <v/>
      </c>
      <c r="II78" s="62" t="str">
        <f t="shared" ref="II78" si="603">IF(SUM(II65, II77) &gt; 0, SUM(II65, II77), "")</f>
        <v/>
      </c>
      <c r="IJ78" s="62" t="str">
        <f t="shared" ref="IJ78" si="604">IF(SUM(IJ65, IJ77) &gt; 0, SUM(IJ65, IJ77), "")</f>
        <v/>
      </c>
      <c r="IK78" s="62" t="str">
        <f t="shared" ref="IK78" si="605">IF(SUM(IK65, IK77) &gt; 0, SUM(IK65, IK77), "")</f>
        <v/>
      </c>
      <c r="IL78" s="62" t="str">
        <f t="shared" ref="IL78" si="606">IF(SUM(IL65, IL77) &gt; 0, SUM(IL65, IL77), "")</f>
        <v/>
      </c>
      <c r="IM78" s="63" t="str">
        <f t="shared" ref="IM78" si="607">IF(SUM(IM65, IM77) &gt; 0, SUM(IM65, IM77), "")</f>
        <v/>
      </c>
      <c r="IN78" s="65" t="str">
        <f t="shared" ref="IN78" si="608">IF(SUM(IN65, IN77) &gt; 0, SUM(IN65, IN77), "")</f>
        <v/>
      </c>
      <c r="IO78" s="62" t="str">
        <f t="shared" ref="IO78" si="609">IF(SUM(IO65, IO77) &gt; 0, SUM(IO65, IO77), "")</f>
        <v/>
      </c>
      <c r="IP78" s="62" t="str">
        <f t="shared" ref="IP78" si="610">IF(SUM(IP65, IP77) &gt; 0, SUM(IP65, IP77), "")</f>
        <v/>
      </c>
      <c r="IQ78" s="62" t="str">
        <f t="shared" ref="IQ78" si="611">IF(SUM(IQ65, IQ77) &gt; 0, SUM(IQ65, IQ77), "")</f>
        <v/>
      </c>
      <c r="IR78" s="62" t="str">
        <f t="shared" ref="IR78" si="612">IF(SUM(IR65, IR77) &gt; 0, SUM(IR65, IR77), "")</f>
        <v/>
      </c>
      <c r="IS78" s="62" t="str">
        <f t="shared" ref="IS78" si="613">IF(SUM(IS65, IS77) &gt; 0, SUM(IS65, IS77), "")</f>
        <v/>
      </c>
      <c r="IT78" s="63" t="str">
        <f t="shared" ref="IT78" si="614">IF(SUM(IT65, IT77) &gt; 0, SUM(IT65, IT77), "")</f>
        <v/>
      </c>
      <c r="IU78" s="65" t="str">
        <f t="shared" ref="IU78" si="615">IF(SUM(IU65, IU77) &gt; 0, SUM(IU65, IU77), "")</f>
        <v/>
      </c>
      <c r="IV78" s="62" t="str">
        <f t="shared" ref="IV78" si="616">IF(SUM(IV65, IV77) &gt; 0, SUM(IV65, IV77), "")</f>
        <v/>
      </c>
      <c r="IW78" s="62" t="str">
        <f t="shared" ref="IW78" si="617">IF(SUM(IW65, IW77) &gt; 0, SUM(IW65, IW77), "")</f>
        <v/>
      </c>
      <c r="IX78" s="62" t="str">
        <f t="shared" ref="IX78" si="618">IF(SUM(IX65, IX77) &gt; 0, SUM(IX65, IX77), "")</f>
        <v/>
      </c>
      <c r="IY78" s="62" t="str">
        <f t="shared" ref="IY78" si="619">IF(SUM(IY65, IY77) &gt; 0, SUM(IY65, IY77), "")</f>
        <v/>
      </c>
      <c r="IZ78" s="62" t="str">
        <f t="shared" ref="IZ78" si="620">IF(SUM(IZ65, IZ77) &gt; 0, SUM(IZ65, IZ77), "")</f>
        <v/>
      </c>
      <c r="JA78" s="63" t="str">
        <f t="shared" ref="JA78" si="621">IF(SUM(JA65, JA77) &gt; 0, SUM(JA65, JA77), "")</f>
        <v/>
      </c>
      <c r="JB78" s="65" t="str">
        <f t="shared" ref="JB78" si="622">IF(SUM(JB65, JB77) &gt; 0, SUM(JB65, JB77), "")</f>
        <v/>
      </c>
      <c r="JC78" s="62" t="str">
        <f t="shared" ref="JC78" si="623">IF(SUM(JC65, JC77) &gt; 0, SUM(JC65, JC77), "")</f>
        <v/>
      </c>
      <c r="JD78" s="62" t="str">
        <f t="shared" ref="JD78" si="624">IF(SUM(JD65, JD77) &gt; 0, SUM(JD65, JD77), "")</f>
        <v/>
      </c>
      <c r="JE78" s="62" t="str">
        <f t="shared" ref="JE78" si="625">IF(SUM(JE65, JE77) &gt; 0, SUM(JE65, JE77), "")</f>
        <v/>
      </c>
      <c r="JF78" s="62" t="str">
        <f t="shared" ref="JF78" si="626">IF(SUM(JF65, JF77) &gt; 0, SUM(JF65, JF77), "")</f>
        <v/>
      </c>
      <c r="JG78" s="62" t="str">
        <f t="shared" ref="JG78" si="627">IF(SUM(JG65, JG77) &gt; 0, SUM(JG65, JG77), "")</f>
        <v/>
      </c>
      <c r="JH78" s="63" t="str">
        <f t="shared" ref="JH78" si="628">IF(SUM(JH65, JH77) &gt; 0, SUM(JH65, JH77), "")</f>
        <v/>
      </c>
      <c r="JI78" s="65" t="str">
        <f t="shared" ref="JI78" si="629">IF(SUM(JI65, JI77) &gt; 0, SUM(JI65, JI77), "")</f>
        <v/>
      </c>
      <c r="JJ78" s="62" t="str">
        <f t="shared" ref="JJ78" si="630">IF(SUM(JJ65, JJ77) &gt; 0, SUM(JJ65, JJ77), "")</f>
        <v/>
      </c>
      <c r="JK78" s="62" t="str">
        <f t="shared" ref="JK78" si="631">IF(SUM(JK65, JK77) &gt; 0, SUM(JK65, JK77), "")</f>
        <v/>
      </c>
      <c r="JL78" s="62" t="str">
        <f t="shared" ref="JL78" si="632">IF(SUM(JL65, JL77) &gt; 0, SUM(JL65, JL77), "")</f>
        <v/>
      </c>
      <c r="JM78" s="62" t="str">
        <f t="shared" ref="JM78" si="633">IF(SUM(JM65, JM77) &gt; 0, SUM(JM65, JM77), "")</f>
        <v/>
      </c>
      <c r="JN78" s="62" t="str">
        <f t="shared" ref="JN78" si="634">IF(SUM(JN65, JN77) &gt; 0, SUM(JN65, JN77), "")</f>
        <v/>
      </c>
      <c r="JO78" s="63" t="str">
        <f t="shared" ref="JO78" si="635">IF(SUM(JO65, JO77) &gt; 0, SUM(JO65, JO77), "")</f>
        <v/>
      </c>
      <c r="JP78" s="65" t="str">
        <f t="shared" ref="JP78" si="636">IF(SUM(JP65, JP77) &gt; 0, SUM(JP65, JP77), "")</f>
        <v/>
      </c>
      <c r="JQ78" s="62" t="str">
        <f t="shared" ref="JQ78" si="637">IF(SUM(JQ65, JQ77) &gt; 0, SUM(JQ65, JQ77), "")</f>
        <v/>
      </c>
      <c r="JR78" s="62" t="str">
        <f t="shared" ref="JR78" si="638">IF(SUM(JR65, JR77) &gt; 0, SUM(JR65, JR77), "")</f>
        <v/>
      </c>
      <c r="JS78" s="62" t="str">
        <f t="shared" ref="JS78" si="639">IF(SUM(JS65, JS77) &gt; 0, SUM(JS65, JS77), "")</f>
        <v/>
      </c>
      <c r="JT78" s="62" t="str">
        <f t="shared" ref="JT78" si="640">IF(SUM(JT65, JT77) &gt; 0, SUM(JT65, JT77), "")</f>
        <v/>
      </c>
      <c r="JU78" s="62" t="str">
        <f t="shared" ref="JU78" si="641">IF(SUM(JU65, JU77) &gt; 0, SUM(JU65, JU77), "")</f>
        <v/>
      </c>
      <c r="JV78" s="63" t="str">
        <f t="shared" ref="JV78" si="642">IF(SUM(JV65, JV77) &gt; 0, SUM(JV65, JV77), "")</f>
        <v/>
      </c>
      <c r="JW78" s="65" t="str">
        <f t="shared" ref="JW78" si="643">IF(SUM(JW65, JW77) &gt; 0, SUM(JW65, JW77), "")</f>
        <v/>
      </c>
      <c r="JX78" s="62" t="str">
        <f t="shared" ref="JX78" si="644">IF(SUM(JX65, JX77) &gt; 0, SUM(JX65, JX77), "")</f>
        <v/>
      </c>
      <c r="JY78" s="62" t="str">
        <f t="shared" ref="JY78" si="645">IF(SUM(JY65, JY77) &gt; 0, SUM(JY65, JY77), "")</f>
        <v/>
      </c>
      <c r="JZ78" s="62" t="str">
        <f t="shared" ref="JZ78" si="646">IF(SUM(JZ65, JZ77) &gt; 0, SUM(JZ65, JZ77), "")</f>
        <v/>
      </c>
      <c r="KA78" s="62" t="str">
        <f t="shared" ref="KA78" si="647">IF(SUM(KA65, KA77) &gt; 0, SUM(KA65, KA77), "")</f>
        <v/>
      </c>
      <c r="KB78" s="62" t="str">
        <f t="shared" ref="KB78" si="648">IF(SUM(KB65, KB77) &gt; 0, SUM(KB65, KB77), "")</f>
        <v/>
      </c>
      <c r="KC78" s="63" t="str">
        <f t="shared" ref="KC78" si="649">IF(SUM(KC65, KC77) &gt; 0, SUM(KC65, KC77), "")</f>
        <v/>
      </c>
      <c r="KD78" s="65" t="str">
        <f t="shared" ref="KD78" si="650">IF(SUM(KD65, KD77) &gt; 0, SUM(KD65, KD77), "")</f>
        <v/>
      </c>
      <c r="KE78" s="62" t="str">
        <f t="shared" ref="KE78" si="651">IF(SUM(KE65, KE77) &gt; 0, SUM(KE65, KE77), "")</f>
        <v/>
      </c>
      <c r="KF78" s="62" t="str">
        <f t="shared" ref="KF78" si="652">IF(SUM(KF65, KF77) &gt; 0, SUM(KF65, KF77), "")</f>
        <v/>
      </c>
      <c r="KG78" s="62" t="str">
        <f t="shared" ref="KG78" si="653">IF(SUM(KG65, KG77) &gt; 0, SUM(KG65, KG77), "")</f>
        <v/>
      </c>
      <c r="KH78" s="62" t="str">
        <f t="shared" ref="KH78" si="654">IF(SUM(KH65, KH77) &gt; 0, SUM(KH65, KH77), "")</f>
        <v/>
      </c>
      <c r="KI78" s="62" t="str">
        <f t="shared" ref="KI78" si="655">IF(SUM(KI65, KI77) &gt; 0, SUM(KI65, KI77), "")</f>
        <v/>
      </c>
      <c r="KJ78" s="63" t="str">
        <f t="shared" ref="KJ78" si="656">IF(SUM(KJ65, KJ77) &gt; 0, SUM(KJ65, KJ77), "")</f>
        <v/>
      </c>
      <c r="KK78" s="65" t="str">
        <f t="shared" ref="KK78" si="657">IF(SUM(KK65, KK77) &gt; 0, SUM(KK65, KK77), "")</f>
        <v/>
      </c>
      <c r="KL78" s="62" t="str">
        <f t="shared" ref="KL78" si="658">IF(SUM(KL65, KL77) &gt; 0, SUM(KL65, KL77), "")</f>
        <v/>
      </c>
      <c r="KM78" s="62" t="str">
        <f t="shared" ref="KM78" si="659">IF(SUM(KM65, KM77) &gt; 0, SUM(KM65, KM77), "")</f>
        <v/>
      </c>
      <c r="KN78" s="62" t="str">
        <f t="shared" ref="KN78" si="660">IF(SUM(KN65, KN77) &gt; 0, SUM(KN65, KN77), "")</f>
        <v/>
      </c>
      <c r="KO78" s="62" t="str">
        <f t="shared" ref="KO78" si="661">IF(SUM(KO65, KO77) &gt; 0, SUM(KO65, KO77), "")</f>
        <v/>
      </c>
      <c r="KP78" s="62" t="str">
        <f t="shared" ref="KP78" si="662">IF(SUM(KP65, KP77) &gt; 0, SUM(KP65, KP77), "")</f>
        <v/>
      </c>
      <c r="KQ78" s="63" t="str">
        <f t="shared" ref="KQ78" si="663">IF(SUM(KQ65, KQ77) &gt; 0, SUM(KQ65, KQ77), "")</f>
        <v/>
      </c>
      <c r="KR78" s="65" t="str">
        <f t="shared" ref="KR78" si="664">IF(SUM(KR65, KR77) &gt; 0, SUM(KR65, KR77), "")</f>
        <v/>
      </c>
      <c r="KS78" s="62" t="str">
        <f t="shared" ref="KS78" si="665">IF(SUM(KS65, KS77) &gt; 0, SUM(KS65, KS77), "")</f>
        <v/>
      </c>
      <c r="KT78" s="62" t="str">
        <f t="shared" ref="KT78" si="666">IF(SUM(KT65, KT77) &gt; 0, SUM(KT65, KT77), "")</f>
        <v/>
      </c>
      <c r="KU78" s="62" t="str">
        <f t="shared" ref="KU78" si="667">IF(SUM(KU65, KU77) &gt; 0, SUM(KU65, KU77), "")</f>
        <v/>
      </c>
      <c r="KV78" s="62" t="str">
        <f t="shared" ref="KV78" si="668">IF(SUM(KV65, KV77) &gt; 0, SUM(KV65, KV77), "")</f>
        <v/>
      </c>
      <c r="KW78" s="62" t="str">
        <f t="shared" ref="KW78" si="669">IF(SUM(KW65, KW77) &gt; 0, SUM(KW65, KW77), "")</f>
        <v/>
      </c>
      <c r="KX78" s="63" t="str">
        <f t="shared" ref="KX78" si="670">IF(SUM(KX65, KX77) &gt; 0, SUM(KX65, KX77), "")</f>
        <v/>
      </c>
      <c r="KY78" s="65" t="str">
        <f t="shared" ref="KY78" si="671">IF(SUM(KY65, KY77) &gt; 0, SUM(KY65, KY77), "")</f>
        <v/>
      </c>
      <c r="KZ78" s="62" t="str">
        <f t="shared" ref="KZ78" si="672">IF(SUM(KZ65, KZ77) &gt; 0, SUM(KZ65, KZ77), "")</f>
        <v/>
      </c>
      <c r="LA78" s="62" t="str">
        <f t="shared" ref="LA78" si="673">IF(SUM(LA65, LA77) &gt; 0, SUM(LA65, LA77), "")</f>
        <v/>
      </c>
      <c r="LB78" s="62" t="str">
        <f t="shared" ref="LB78" si="674">IF(SUM(LB65, LB77) &gt; 0, SUM(LB65, LB77), "")</f>
        <v/>
      </c>
      <c r="LC78" s="62" t="str">
        <f t="shared" ref="LC78" si="675">IF(SUM(LC65, LC77) &gt; 0, SUM(LC65, LC77), "")</f>
        <v/>
      </c>
      <c r="LD78" s="62" t="str">
        <f t="shared" ref="LD78" si="676">IF(SUM(LD65, LD77) &gt; 0, SUM(LD65, LD77), "")</f>
        <v/>
      </c>
      <c r="LE78" s="63" t="str">
        <f t="shared" ref="LE78" si="677">IF(SUM(LE65, LE77) &gt; 0, SUM(LE65, LE77), "")</f>
        <v/>
      </c>
      <c r="LF78" s="65" t="str">
        <f t="shared" ref="LF78" si="678">IF(SUM(LF65, LF77) &gt; 0, SUM(LF65, LF77), "")</f>
        <v/>
      </c>
      <c r="LG78" s="62" t="str">
        <f t="shared" ref="LG78" si="679">IF(SUM(LG65, LG77) &gt; 0, SUM(LG65, LG77), "")</f>
        <v/>
      </c>
      <c r="LH78" s="62" t="str">
        <f t="shared" ref="LH78" si="680">IF(SUM(LH65, LH77) &gt; 0, SUM(LH65, LH77), "")</f>
        <v/>
      </c>
      <c r="LI78" s="62" t="str">
        <f t="shared" ref="LI78" si="681">IF(SUM(LI65, LI77) &gt; 0, SUM(LI65, LI77), "")</f>
        <v/>
      </c>
      <c r="LJ78" s="62" t="str">
        <f t="shared" ref="LJ78" si="682">IF(SUM(LJ65, LJ77) &gt; 0, SUM(LJ65, LJ77), "")</f>
        <v/>
      </c>
      <c r="LK78" s="62" t="str">
        <f t="shared" ref="LK78" si="683">IF(SUM(LK65, LK77) &gt; 0, SUM(LK65, LK77), "")</f>
        <v/>
      </c>
      <c r="LL78" s="63" t="str">
        <f t="shared" ref="LL78" si="684">IF(SUM(LL65, LL77) &gt; 0, SUM(LL65, LL77), "")</f>
        <v/>
      </c>
      <c r="LM78" s="65" t="str">
        <f t="shared" ref="LM78" si="685">IF(SUM(LM65, LM77) &gt; 0, SUM(LM65, LM77), "")</f>
        <v/>
      </c>
      <c r="LN78" s="62" t="str">
        <f t="shared" ref="LN78" si="686">IF(SUM(LN65, LN77) &gt; 0, SUM(LN65, LN77), "")</f>
        <v/>
      </c>
      <c r="LO78" s="62" t="str">
        <f t="shared" ref="LO78" si="687">IF(SUM(LO65, LO77) &gt; 0, SUM(LO65, LO77), "")</f>
        <v/>
      </c>
      <c r="LP78" s="62" t="str">
        <f t="shared" ref="LP78" si="688">IF(SUM(LP65, LP77) &gt; 0, SUM(LP65, LP77), "")</f>
        <v/>
      </c>
      <c r="LQ78" s="62" t="str">
        <f t="shared" ref="LQ78" si="689">IF(SUM(LQ65, LQ77) &gt; 0, SUM(LQ65, LQ77), "")</f>
        <v/>
      </c>
      <c r="LR78" s="62" t="str">
        <f t="shared" ref="LR78" si="690">IF(SUM(LR65, LR77) &gt; 0, SUM(LR65, LR77), "")</f>
        <v/>
      </c>
      <c r="LS78" s="63" t="str">
        <f t="shared" ref="LS78" si="691">IF(SUM(LS65, LS77) &gt; 0, SUM(LS65, LS77), "")</f>
        <v/>
      </c>
      <c r="LT78" s="65" t="str">
        <f t="shared" ref="LT78" si="692">IF(SUM(LT65, LT77) &gt; 0, SUM(LT65, LT77), "")</f>
        <v/>
      </c>
      <c r="LU78" s="62" t="str">
        <f t="shared" ref="LU78" si="693">IF(SUM(LU65, LU77) &gt; 0, SUM(LU65, LU77), "")</f>
        <v/>
      </c>
      <c r="LV78" s="62" t="str">
        <f t="shared" ref="LV78" si="694">IF(SUM(LV65, LV77) &gt; 0, SUM(LV65, LV77), "")</f>
        <v/>
      </c>
      <c r="LW78" s="62" t="str">
        <f t="shared" ref="LW78" si="695">IF(SUM(LW65, LW77) &gt; 0, SUM(LW65, LW77), "")</f>
        <v/>
      </c>
      <c r="LX78" s="62" t="str">
        <f t="shared" ref="LX78" si="696">IF(SUM(LX65, LX77) &gt; 0, SUM(LX65, LX77), "")</f>
        <v/>
      </c>
      <c r="LY78" s="62" t="str">
        <f t="shared" ref="LY78" si="697">IF(SUM(LY65, LY77) &gt; 0, SUM(LY65, LY77), "")</f>
        <v/>
      </c>
      <c r="LZ78" s="63" t="str">
        <f t="shared" ref="LZ78" si="698">IF(SUM(LZ65, LZ77) &gt; 0, SUM(LZ65, LZ77), "")</f>
        <v/>
      </c>
      <c r="MA78" s="65" t="str">
        <f t="shared" ref="MA78" si="699">IF(SUM(MA65, MA77) &gt; 0, SUM(MA65, MA77), "")</f>
        <v/>
      </c>
      <c r="MB78" s="62" t="str">
        <f t="shared" ref="MB78" si="700">IF(SUM(MB65, MB77) &gt; 0, SUM(MB65, MB77), "")</f>
        <v/>
      </c>
      <c r="MC78" s="62" t="str">
        <f t="shared" ref="MC78" si="701">IF(SUM(MC65, MC77) &gt; 0, SUM(MC65, MC77), "")</f>
        <v/>
      </c>
      <c r="MD78" s="62" t="str">
        <f t="shared" ref="MD78" si="702">IF(SUM(MD65, MD77) &gt; 0, SUM(MD65, MD77), "")</f>
        <v/>
      </c>
      <c r="ME78" s="62" t="str">
        <f t="shared" ref="ME78" si="703">IF(SUM(ME65, ME77) &gt; 0, SUM(ME65, ME77), "")</f>
        <v/>
      </c>
      <c r="MF78" s="62" t="str">
        <f t="shared" ref="MF78" si="704">IF(SUM(MF65, MF77) &gt; 0, SUM(MF65, MF77), "")</f>
        <v/>
      </c>
      <c r="MG78" s="63" t="str">
        <f t="shared" ref="MG78" si="705">IF(SUM(MG65, MG77) &gt; 0, SUM(MG65, MG77), "")</f>
        <v/>
      </c>
      <c r="MH78" s="65" t="str">
        <f t="shared" ref="MH78" si="706">IF(SUM(MH65, MH77) &gt; 0, SUM(MH65, MH77), "")</f>
        <v/>
      </c>
      <c r="MI78" s="62" t="str">
        <f t="shared" ref="MI78" si="707">IF(SUM(MI65, MI77) &gt; 0, SUM(MI65, MI77), "")</f>
        <v/>
      </c>
      <c r="MJ78" s="62" t="str">
        <f t="shared" ref="MJ78" si="708">IF(SUM(MJ65, MJ77) &gt; 0, SUM(MJ65, MJ77), "")</f>
        <v/>
      </c>
      <c r="MK78" s="62" t="str">
        <f t="shared" ref="MK78" si="709">IF(SUM(MK65, MK77) &gt; 0, SUM(MK65, MK77), "")</f>
        <v/>
      </c>
      <c r="ML78" s="62" t="str">
        <f t="shared" ref="ML78" si="710">IF(SUM(ML65, ML77) &gt; 0, SUM(ML65, ML77), "")</f>
        <v/>
      </c>
      <c r="MM78" s="62" t="str">
        <f t="shared" ref="MM78" si="711">IF(SUM(MM65, MM77) &gt; 0, SUM(MM65, MM77), "")</f>
        <v/>
      </c>
      <c r="MN78" s="63" t="str">
        <f t="shared" ref="MN78" si="712">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47</v>
      </c>
      <c r="Q81" s="109">
        <f t="shared" ref="Q81:Q86" si="713">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J81" s="7"/>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713"/>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713"/>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713"/>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8</v>
      </c>
      <c r="Q85" s="109">
        <f t="shared" si="713"/>
        <v>17.021276595744681</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713"/>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47</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c r="EG87" s="3"/>
      <c r="EH87" s="3"/>
      <c r="EI87" s="3"/>
      <c r="EJ87" s="4"/>
      <c r="EK87" s="3"/>
      <c r="EL87" s="3"/>
      <c r="EM87" s="3"/>
      <c r="EN87" s="3"/>
      <c r="EO87" s="3"/>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27</v>
      </c>
      <c r="E90">
        <v>35</v>
      </c>
      <c r="F90">
        <v>1</v>
      </c>
      <c r="G90" t="s">
        <v>15</v>
      </c>
      <c r="H90" t="s">
        <v>13</v>
      </c>
      <c r="I90" t="s">
        <v>188</v>
      </c>
      <c r="J90" t="s">
        <v>189</v>
      </c>
      <c r="K90" t="s">
        <v>408</v>
      </c>
      <c r="L90" s="51" t="str">
        <f>FindEnd(S36:MN36)</f>
        <v>EJ</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EJ</v>
      </c>
    </row>
    <row r="92" spans="1:352" x14ac:dyDescent="0.25">
      <c r="B92" t="s">
        <v>16</v>
      </c>
      <c r="C92">
        <v>71</v>
      </c>
      <c r="D92">
        <v>74</v>
      </c>
      <c r="E92">
        <v>77</v>
      </c>
      <c r="F92">
        <v>66</v>
      </c>
      <c r="G92" t="s">
        <v>15</v>
      </c>
      <c r="H92" t="s">
        <v>13</v>
      </c>
      <c r="I92" t="s">
        <v>188</v>
      </c>
      <c r="K92" t="s">
        <v>105</v>
      </c>
      <c r="L92" s="51" t="str">
        <f>FindEnd(S76:MN76)</f>
        <v>EJ</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16:EA16 DZ9:EA14 DZ8 CP10:CZ14 BX12:BY14 CP8 CR8:CX8 CG9:CH14 CG8 DZ18:EA24 EA17 DZ26:EA27 EA25 DZ7:EA7 EN7:EN25 EN30" numberStoredAsText="1"/>
    <ignoredError sqref="P30:P31 Q7 CZ35 Q35 EA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7 EF85 EF81 EF76 EF72 DZ86:EF86 DZ82:EF84 DZ77:EF80 ED73:EF73 DZ74:EF75 EB66:EF67 DZ69:EF71 DZ65:EF65 EI65:EP65 EI68:EP87 EK66:EP66 EK67:EP67 ES68:MN87 ET66:MN66 ET67:MN6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tabSelected="1" workbookViewId="0">
      <selection activeCell="B4" sqref="B4"/>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44077</v>
      </c>
      <c r="B3" s="74" t="s">
        <v>470</v>
      </c>
      <c r="C3" s="74"/>
      <c r="D3" s="74" t="s">
        <v>458</v>
      </c>
    </row>
    <row r="4" spans="1:4" ht="75" x14ac:dyDescent="0.25">
      <c r="A4" s="72"/>
      <c r="B4" s="76" t="s">
        <v>481</v>
      </c>
      <c r="C4" s="74"/>
      <c r="D4" s="76" t="s">
        <v>471</v>
      </c>
    </row>
    <row r="5" spans="1:4" x14ac:dyDescent="0.25">
      <c r="A5" s="75">
        <v>44075</v>
      </c>
      <c r="B5" s="74" t="s">
        <v>467</v>
      </c>
      <c r="C5" s="74"/>
      <c r="D5" s="74" t="s">
        <v>454</v>
      </c>
    </row>
    <row r="6" spans="1:4" ht="60" x14ac:dyDescent="0.25">
      <c r="A6" s="72"/>
      <c r="B6" s="76" t="s">
        <v>469</v>
      </c>
      <c r="C6" s="74"/>
      <c r="D6" s="76" t="s">
        <v>468</v>
      </c>
    </row>
    <row r="7" spans="1:4" x14ac:dyDescent="0.25">
      <c r="A7" s="75">
        <v>44074</v>
      </c>
      <c r="B7" s="74" t="s">
        <v>457</v>
      </c>
      <c r="C7" s="74"/>
      <c r="D7" s="73"/>
    </row>
    <row r="8" spans="1:4" ht="74.25" customHeight="1" x14ac:dyDescent="0.25">
      <c r="A8" s="72"/>
      <c r="B8" s="76" t="s">
        <v>462</v>
      </c>
      <c r="C8" s="74"/>
      <c r="D8" s="73"/>
    </row>
    <row r="9" spans="1:4" x14ac:dyDescent="0.25">
      <c r="A9" s="72"/>
      <c r="B9" s="73"/>
      <c r="C9" s="74"/>
      <c r="D9" s="73"/>
    </row>
    <row r="10" spans="1:4" x14ac:dyDescent="0.25">
      <c r="A10" s="75">
        <v>44071</v>
      </c>
      <c r="B10" s="74" t="s">
        <v>457</v>
      </c>
      <c r="C10" s="74"/>
      <c r="D10" s="74" t="s">
        <v>458</v>
      </c>
    </row>
    <row r="11" spans="1:4" ht="105" x14ac:dyDescent="0.25">
      <c r="A11" s="72"/>
      <c r="B11" s="76" t="s">
        <v>460</v>
      </c>
      <c r="C11" s="74"/>
      <c r="D11" s="76" t="s">
        <v>459</v>
      </c>
    </row>
    <row r="12" spans="1:4" x14ac:dyDescent="0.25">
      <c r="A12" s="75">
        <v>44070</v>
      </c>
      <c r="B12" s="74" t="s">
        <v>453</v>
      </c>
      <c r="C12" s="74"/>
      <c r="D12" s="74" t="s">
        <v>454</v>
      </c>
    </row>
    <row r="13" spans="1:4" ht="90" x14ac:dyDescent="0.25">
      <c r="A13" s="72"/>
      <c r="B13" s="76" t="s">
        <v>455</v>
      </c>
      <c r="C13" s="74"/>
      <c r="D13" s="76" t="s">
        <v>456</v>
      </c>
    </row>
    <row r="14" spans="1:4" x14ac:dyDescent="0.25">
      <c r="A14" s="75">
        <v>44068</v>
      </c>
      <c r="B14" s="74" t="s">
        <v>449</v>
      </c>
      <c r="C14" s="74"/>
      <c r="D14" s="74" t="s">
        <v>450</v>
      </c>
    </row>
    <row r="15" spans="1:4" ht="75" x14ac:dyDescent="0.25">
      <c r="A15" s="72"/>
      <c r="B15" s="76" t="s">
        <v>451</v>
      </c>
      <c r="C15" s="74"/>
      <c r="D15" s="76" t="s">
        <v>452</v>
      </c>
    </row>
    <row r="16" spans="1:4" x14ac:dyDescent="0.25">
      <c r="A16" s="72"/>
      <c r="B16" s="73"/>
      <c r="C16" s="74"/>
      <c r="D16" s="73"/>
    </row>
    <row r="17" spans="1:4" x14ac:dyDescent="0.25">
      <c r="A17" s="75">
        <v>44066</v>
      </c>
      <c r="B17" s="74" t="s">
        <v>445</v>
      </c>
      <c r="C17" s="74"/>
      <c r="D17" s="73"/>
    </row>
    <row r="18" spans="1:4" ht="60" x14ac:dyDescent="0.25">
      <c r="A18" s="72"/>
      <c r="B18" s="76" t="s">
        <v>446</v>
      </c>
      <c r="C18" s="74"/>
      <c r="D18" s="73"/>
    </row>
    <row r="19" spans="1:4" x14ac:dyDescent="0.25">
      <c r="A19" s="75">
        <v>44064</v>
      </c>
      <c r="B19" s="74" t="s">
        <v>441</v>
      </c>
      <c r="C19" s="74"/>
      <c r="D19" s="73"/>
    </row>
    <row r="20" spans="1:4" ht="90" x14ac:dyDescent="0.25">
      <c r="A20" s="72"/>
      <c r="B20" s="76" t="s">
        <v>442</v>
      </c>
      <c r="C20" s="74"/>
      <c r="D20" s="73"/>
    </row>
    <row r="21" spans="1:4" x14ac:dyDescent="0.25">
      <c r="A21" s="75">
        <v>44063</v>
      </c>
      <c r="B21" s="74" t="s">
        <v>439</v>
      </c>
      <c r="C21" s="74"/>
      <c r="D21" s="73"/>
    </row>
    <row r="22" spans="1:4" ht="75" x14ac:dyDescent="0.25">
      <c r="A22" s="72"/>
      <c r="B22" s="76" t="s">
        <v>440</v>
      </c>
      <c r="C22" s="74"/>
      <c r="D22" s="73"/>
    </row>
    <row r="23" spans="1:4" x14ac:dyDescent="0.25">
      <c r="A23" s="75">
        <v>44061</v>
      </c>
      <c r="B23" s="74" t="s">
        <v>434</v>
      </c>
      <c r="C23" s="74"/>
      <c r="D23" s="73"/>
    </row>
    <row r="24" spans="1:4" ht="120" x14ac:dyDescent="0.25">
      <c r="A24" s="72"/>
      <c r="B24" s="76" t="s">
        <v>435</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421</v>
      </c>
      <c r="C27" s="74"/>
      <c r="D27" s="73"/>
    </row>
    <row r="28" spans="1:4" x14ac:dyDescent="0.25">
      <c r="A28" s="75">
        <v>44057</v>
      </c>
      <c r="B28" s="74" t="s">
        <v>424</v>
      </c>
      <c r="C28" s="74"/>
      <c r="D28" s="73"/>
    </row>
    <row r="29" spans="1:4" ht="60" x14ac:dyDescent="0.25">
      <c r="A29" s="72"/>
      <c r="B29" s="76" t="s">
        <v>419</v>
      </c>
      <c r="C29" s="74"/>
      <c r="D29" s="73"/>
    </row>
    <row r="30" spans="1:4" x14ac:dyDescent="0.25">
      <c r="A30" s="75">
        <v>44056</v>
      </c>
      <c r="B30" s="74" t="s">
        <v>417</v>
      </c>
      <c r="C30" s="74"/>
      <c r="D30" s="73"/>
    </row>
    <row r="31" spans="1:4" x14ac:dyDescent="0.25">
      <c r="A31" s="72"/>
      <c r="B31" s="73" t="s">
        <v>418</v>
      </c>
      <c r="C31" s="74"/>
      <c r="D31" s="73"/>
    </row>
    <row r="32" spans="1:4" x14ac:dyDescent="0.25">
      <c r="A32" s="75">
        <v>44054</v>
      </c>
      <c r="B32" s="74" t="s">
        <v>415</v>
      </c>
      <c r="C32" s="74"/>
      <c r="D32" s="73"/>
    </row>
    <row r="33" spans="1:4" ht="75" x14ac:dyDescent="0.25">
      <c r="A33" s="72"/>
      <c r="B33" s="76" t="s">
        <v>416</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410</v>
      </c>
      <c r="C36" s="74"/>
      <c r="D36" s="73"/>
    </row>
    <row r="37" spans="1:4" x14ac:dyDescent="0.25">
      <c r="A37" s="75">
        <v>44050</v>
      </c>
      <c r="B37" s="74" t="s">
        <v>397</v>
      </c>
      <c r="C37" s="74"/>
      <c r="D37" s="73"/>
    </row>
    <row r="38" spans="1:4" ht="90" x14ac:dyDescent="0.25">
      <c r="A38" s="72"/>
      <c r="B38" s="76" t="s">
        <v>400</v>
      </c>
      <c r="C38" s="74"/>
      <c r="D38" s="73"/>
    </row>
    <row r="39" spans="1:4" x14ac:dyDescent="0.25">
      <c r="A39" s="75">
        <v>44049</v>
      </c>
      <c r="B39" s="74" t="s">
        <v>402</v>
      </c>
      <c r="C39" s="74"/>
      <c r="D39" s="73"/>
    </row>
    <row r="40" spans="1:4" ht="75" x14ac:dyDescent="0.25">
      <c r="A40" s="72"/>
      <c r="B40" s="76" t="s">
        <v>401</v>
      </c>
      <c r="C40" s="74"/>
      <c r="D40" s="73"/>
    </row>
    <row r="41" spans="1:4" x14ac:dyDescent="0.25">
      <c r="A41" s="75">
        <v>44047</v>
      </c>
      <c r="B41" s="74" t="s">
        <v>397</v>
      </c>
      <c r="C41" s="74"/>
      <c r="D41" s="73"/>
    </row>
    <row r="42" spans="1:4" ht="90" x14ac:dyDescent="0.25">
      <c r="A42" s="72"/>
      <c r="B42" s="76" t="s">
        <v>398</v>
      </c>
      <c r="C42" s="74"/>
      <c r="D42" s="73"/>
    </row>
    <row r="43" spans="1:4" x14ac:dyDescent="0.25">
      <c r="A43" s="72"/>
      <c r="B43" s="73"/>
      <c r="C43" s="74"/>
      <c r="D43" s="73"/>
    </row>
    <row r="44" spans="1:4" x14ac:dyDescent="0.25">
      <c r="A44" s="75">
        <v>44045</v>
      </c>
      <c r="B44" s="74" t="s">
        <v>395</v>
      </c>
      <c r="C44" s="74"/>
      <c r="D44" s="73"/>
    </row>
    <row r="45" spans="1:4" ht="60" x14ac:dyDescent="0.25">
      <c r="A45" s="72"/>
      <c r="B45" s="76" t="s">
        <v>396</v>
      </c>
      <c r="C45" s="74"/>
      <c r="D45" s="73"/>
    </row>
    <row r="46" spans="1:4" x14ac:dyDescent="0.25">
      <c r="A46" s="75">
        <v>44042</v>
      </c>
      <c r="B46" s="74" t="s">
        <v>391</v>
      </c>
      <c r="C46" s="74"/>
      <c r="D46" s="73"/>
    </row>
    <row r="47" spans="1:4" ht="45" x14ac:dyDescent="0.25">
      <c r="A47" s="72"/>
      <c r="B47" s="76" t="s">
        <v>390</v>
      </c>
      <c r="C47" s="74"/>
      <c r="D47" s="73"/>
    </row>
    <row r="48" spans="1:4" x14ac:dyDescent="0.25">
      <c r="A48" s="72"/>
      <c r="B48" s="73"/>
      <c r="C48" s="74"/>
      <c r="D48" s="73"/>
    </row>
    <row r="49" spans="1:4" x14ac:dyDescent="0.25">
      <c r="A49" s="75">
        <v>44038</v>
      </c>
      <c r="B49" s="74" t="s">
        <v>386</v>
      </c>
      <c r="C49" s="74"/>
      <c r="D49" s="73"/>
    </row>
    <row r="50" spans="1:4" ht="60" x14ac:dyDescent="0.25">
      <c r="A50" s="72"/>
      <c r="B50" s="76" t="s">
        <v>387</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1"/>
  <sheetViews>
    <sheetView workbookViewId="0">
      <selection activeCell="D9" sqref="D9"/>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ht="45" x14ac:dyDescent="0.25">
      <c r="A6" s="52" t="s">
        <v>423</v>
      </c>
      <c r="B6" s="52" t="s">
        <v>163</v>
      </c>
      <c r="C6" s="1" t="s">
        <v>304</v>
      </c>
    </row>
    <row r="7" spans="1:5" hidden="1" x14ac:dyDescent="0.25">
      <c r="A7" s="52" t="s">
        <v>178</v>
      </c>
      <c r="B7" s="52" t="s">
        <v>180</v>
      </c>
    </row>
    <row r="8" spans="1:5" hidden="1" x14ac:dyDescent="0.25">
      <c r="A8" s="52" t="s">
        <v>172</v>
      </c>
      <c r="B8" s="52" t="s">
        <v>174</v>
      </c>
      <c r="C8" s="1" t="s">
        <v>229</v>
      </c>
      <c r="E8" t="s">
        <v>312</v>
      </c>
    </row>
    <row r="9" spans="1:5" ht="30" x14ac:dyDescent="0.25">
      <c r="A9" s="52" t="s">
        <v>231</v>
      </c>
      <c r="B9" s="52" t="s">
        <v>233</v>
      </c>
      <c r="C9" s="1" t="s">
        <v>463</v>
      </c>
    </row>
    <row r="10" spans="1:5" ht="45" x14ac:dyDescent="0.25">
      <c r="A10" s="52" t="s">
        <v>124</v>
      </c>
      <c r="B10" s="52" t="s">
        <v>158</v>
      </c>
      <c r="C10" s="1" t="s">
        <v>438</v>
      </c>
    </row>
    <row r="11" spans="1:5" ht="45" x14ac:dyDescent="0.25">
      <c r="A11" s="52" t="s">
        <v>226</v>
      </c>
      <c r="B11" s="52" t="s">
        <v>160</v>
      </c>
      <c r="C11" s="1" t="s">
        <v>305</v>
      </c>
    </row>
    <row r="12" spans="1:5" ht="30" x14ac:dyDescent="0.25">
      <c r="A12" s="52" t="s">
        <v>155</v>
      </c>
      <c r="B12" s="52" t="s">
        <v>156</v>
      </c>
      <c r="C12" s="1" t="s">
        <v>303</v>
      </c>
    </row>
    <row r="13" spans="1:5" ht="30" x14ac:dyDescent="0.25">
      <c r="A13" s="52" t="s">
        <v>227</v>
      </c>
      <c r="B13" s="52" t="s">
        <v>143</v>
      </c>
      <c r="C13" s="1" t="s">
        <v>357</v>
      </c>
    </row>
    <row r="14" spans="1:5" ht="30" x14ac:dyDescent="0.25">
      <c r="A14" s="52" t="s">
        <v>141</v>
      </c>
      <c r="B14" s="52" t="s">
        <v>140</v>
      </c>
      <c r="C14" s="1" t="s">
        <v>306</v>
      </c>
    </row>
    <row r="15" spans="1:5" hidden="1" x14ac:dyDescent="0.25">
      <c r="A15" s="52" t="s">
        <v>162</v>
      </c>
      <c r="B15" s="52" t="s">
        <v>187</v>
      </c>
    </row>
    <row r="16" spans="1:5" ht="30" x14ac:dyDescent="0.25">
      <c r="A16" s="52" t="s">
        <v>137</v>
      </c>
      <c r="B16" s="52" t="s">
        <v>136</v>
      </c>
      <c r="C16" s="1" t="s">
        <v>224</v>
      </c>
    </row>
    <row r="17" spans="1:5" ht="45" x14ac:dyDescent="0.25">
      <c r="A17" s="52" t="s">
        <v>133</v>
      </c>
      <c r="B17" s="52" t="s">
        <v>170</v>
      </c>
      <c r="C17" s="1" t="s">
        <v>422</v>
      </c>
      <c r="E17" t="s">
        <v>313</v>
      </c>
    </row>
    <row r="18" spans="1:5" ht="30" x14ac:dyDescent="0.25">
      <c r="A18" s="52" t="s">
        <v>167</v>
      </c>
      <c r="B18" s="52" t="s">
        <v>168</v>
      </c>
      <c r="C18" s="1" t="s">
        <v>302</v>
      </c>
      <c r="E18" t="s">
        <v>356</v>
      </c>
    </row>
    <row r="19" spans="1:5" ht="30" x14ac:dyDescent="0.25">
      <c r="A19" s="52" t="s">
        <v>22</v>
      </c>
      <c r="B19" s="52" t="s">
        <v>184</v>
      </c>
      <c r="C19" s="1" t="s">
        <v>358</v>
      </c>
    </row>
    <row r="20" spans="1:5" hidden="1" x14ac:dyDescent="0.25">
      <c r="A20" s="52" t="s">
        <v>129</v>
      </c>
      <c r="B20" s="52" t="s">
        <v>165</v>
      </c>
    </row>
    <row r="21" spans="1:5" x14ac:dyDescent="0.25">
      <c r="A21" s="52" t="s">
        <v>132</v>
      </c>
      <c r="B21" s="52" t="s">
        <v>131</v>
      </c>
      <c r="C21"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6" t="s">
        <v>341</v>
      </c>
      <c r="B1" s="156"/>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6" t="s">
        <v>342</v>
      </c>
      <c r="B7" s="156"/>
    </row>
    <row r="8" spans="1:2" ht="15.75" x14ac:dyDescent="0.25">
      <c r="A8" s="154" t="s">
        <v>333</v>
      </c>
      <c r="B8" s="154"/>
    </row>
    <row r="9" spans="1:2" x14ac:dyDescent="0.25">
      <c r="A9" t="s">
        <v>334</v>
      </c>
    </row>
    <row r="11" spans="1:2" ht="15.75" x14ac:dyDescent="0.25">
      <c r="A11" s="155" t="s">
        <v>330</v>
      </c>
      <c r="B11" s="155"/>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3" t="s">
        <v>343</v>
      </c>
      <c r="B23" s="153"/>
    </row>
    <row r="25" spans="1:2" ht="15.75" x14ac:dyDescent="0.25">
      <c r="A25" s="154" t="s">
        <v>335</v>
      </c>
      <c r="B25" s="154"/>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7" t="s">
        <v>298</v>
      </c>
      <c r="C5" s="160"/>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160"/>
      <c r="AD5" s="160"/>
      <c r="AE5" s="160"/>
      <c r="AF5" s="160"/>
      <c r="AG5" s="160"/>
      <c r="AH5" s="160"/>
      <c r="AI5" s="160"/>
      <c r="AJ5" s="160"/>
      <c r="AK5" s="160"/>
      <c r="AL5" s="160"/>
      <c r="AM5" s="160"/>
      <c r="AN5" s="160"/>
      <c r="AO5" s="160"/>
      <c r="AP5" s="160"/>
      <c r="AQ5" s="160"/>
      <c r="AR5" s="160"/>
      <c r="AS5" s="160"/>
      <c r="AT5" s="160"/>
      <c r="AU5" s="160"/>
      <c r="AV5" s="160"/>
      <c r="AW5" s="160"/>
      <c r="AX5" s="160"/>
      <c r="AY5" s="160"/>
      <c r="AZ5" s="160"/>
      <c r="BA5" s="160"/>
      <c r="BB5" s="160"/>
      <c r="BC5" s="160"/>
      <c r="BD5" s="160"/>
      <c r="BE5" s="160"/>
      <c r="BF5" s="160"/>
      <c r="BG5" s="160"/>
      <c r="BH5" s="160"/>
      <c r="BI5" s="160"/>
      <c r="BJ5" s="160"/>
      <c r="BK5" s="160"/>
      <c r="BL5" s="160"/>
      <c r="BM5" s="160"/>
      <c r="BN5" s="160"/>
      <c r="BO5" s="160"/>
      <c r="BP5" s="160"/>
      <c r="BQ5" s="160"/>
      <c r="BR5" s="160"/>
    </row>
    <row r="6" spans="1:70" x14ac:dyDescent="0.25">
      <c r="C6" s="2" t="s">
        <v>3</v>
      </c>
    </row>
    <row r="7" spans="1:70" ht="45" customHeight="1" x14ac:dyDescent="0.25">
      <c r="C7" s="157" t="s">
        <v>282</v>
      </c>
      <c r="D7" s="160"/>
      <c r="E7" s="160"/>
      <c r="F7" s="160"/>
      <c r="G7" s="160"/>
      <c r="H7" s="160"/>
      <c r="I7" s="160"/>
      <c r="J7" s="160"/>
      <c r="K7" s="160"/>
      <c r="L7" s="160"/>
      <c r="M7" s="160"/>
      <c r="N7" s="160"/>
      <c r="O7" s="160"/>
      <c r="P7" s="160"/>
      <c r="Q7" s="160"/>
      <c r="R7" s="160"/>
      <c r="S7" s="160"/>
      <c r="T7" s="160"/>
      <c r="U7" s="160"/>
      <c r="V7" s="160"/>
      <c r="W7" s="160"/>
      <c r="X7" s="160"/>
      <c r="Y7" s="160"/>
      <c r="Z7" s="160"/>
      <c r="AA7" s="160"/>
      <c r="AB7" s="160"/>
      <c r="AC7" s="160"/>
      <c r="AD7" s="160"/>
      <c r="AE7" s="160"/>
      <c r="AF7" s="160"/>
      <c r="AG7" s="160"/>
      <c r="AH7" s="160"/>
      <c r="AI7" s="160"/>
      <c r="AJ7" s="160"/>
      <c r="AK7" s="160"/>
      <c r="AL7" s="160"/>
      <c r="AM7" s="160"/>
      <c r="AN7" s="160"/>
      <c r="AO7" s="160"/>
      <c r="AP7" s="160"/>
      <c r="AQ7" s="160"/>
      <c r="AR7" s="160"/>
      <c r="AS7" s="160"/>
      <c r="AT7" s="160"/>
      <c r="AU7" s="160"/>
      <c r="AV7" s="160"/>
      <c r="AW7" s="160"/>
      <c r="AX7" s="160"/>
      <c r="AY7" s="160"/>
      <c r="AZ7" s="160"/>
      <c r="BA7" s="160"/>
      <c r="BB7" s="160"/>
      <c r="BC7" s="160"/>
      <c r="BD7" s="160"/>
      <c r="BE7" s="160"/>
      <c r="BF7" s="160"/>
      <c r="BG7" s="160"/>
      <c r="BH7" s="160"/>
      <c r="BI7" s="160"/>
      <c r="BJ7" s="160"/>
      <c r="BK7" s="160"/>
      <c r="BL7" s="160"/>
      <c r="BM7" s="160"/>
      <c r="BN7" s="160"/>
      <c r="BO7" s="160"/>
      <c r="BP7" s="160"/>
      <c r="BQ7" s="160"/>
      <c r="BR7" s="160"/>
    </row>
    <row r="8" spans="1:70" x14ac:dyDescent="0.25">
      <c r="C8" s="2" t="s">
        <v>4</v>
      </c>
    </row>
    <row r="9" spans="1:70" ht="75" customHeight="1" x14ac:dyDescent="0.25">
      <c r="C9" s="157" t="s">
        <v>275</v>
      </c>
      <c r="D9" s="160"/>
      <c r="E9" s="160"/>
      <c r="F9" s="160"/>
      <c r="G9" s="160"/>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c r="AG9" s="160"/>
      <c r="AH9" s="160"/>
      <c r="AI9" s="160"/>
      <c r="AJ9" s="160"/>
      <c r="AK9" s="160"/>
      <c r="AL9" s="160"/>
      <c r="AM9" s="160"/>
      <c r="AN9" s="160"/>
      <c r="AO9" s="160"/>
      <c r="AP9" s="160"/>
      <c r="AQ9" s="160"/>
      <c r="AR9" s="160"/>
      <c r="AS9" s="160"/>
      <c r="AT9" s="160"/>
      <c r="AU9" s="160"/>
      <c r="AV9" s="160"/>
      <c r="AW9" s="160"/>
      <c r="AX9" s="160"/>
      <c r="AY9" s="160"/>
      <c r="AZ9" s="160"/>
      <c r="BA9" s="160"/>
      <c r="BB9" s="160"/>
      <c r="BC9" s="160"/>
      <c r="BD9" s="160"/>
      <c r="BE9" s="160"/>
      <c r="BF9" s="160"/>
      <c r="BG9" s="160"/>
      <c r="BH9" s="160"/>
      <c r="BI9" s="160"/>
      <c r="BJ9" s="160"/>
      <c r="BK9" s="160"/>
      <c r="BL9" s="160"/>
      <c r="BM9" s="160"/>
      <c r="BN9" s="160"/>
      <c r="BO9" s="160"/>
      <c r="BP9" s="160"/>
      <c r="BQ9" s="160"/>
      <c r="BR9" s="160"/>
    </row>
    <row r="10" spans="1:70" x14ac:dyDescent="0.25">
      <c r="C10" s="2" t="s">
        <v>5</v>
      </c>
    </row>
    <row r="11" spans="1:70" ht="75" customHeight="1" x14ac:dyDescent="0.25">
      <c r="C11" s="157" t="s">
        <v>299</v>
      </c>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row>
    <row r="12" spans="1:70" x14ac:dyDescent="0.25">
      <c r="C12" s="2" t="s">
        <v>6</v>
      </c>
    </row>
    <row r="13" spans="1:70" ht="90.75" customHeight="1" x14ac:dyDescent="0.25">
      <c r="C13" s="157" t="s">
        <v>286</v>
      </c>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160"/>
      <c r="AQ13" s="160"/>
      <c r="AR13" s="160"/>
      <c r="AS13" s="160"/>
      <c r="AT13" s="160"/>
      <c r="AU13" s="160"/>
      <c r="AV13" s="160"/>
      <c r="AW13" s="160"/>
      <c r="AX13" s="160"/>
      <c r="AY13" s="160"/>
      <c r="AZ13" s="160"/>
      <c r="BA13" s="160"/>
      <c r="BB13" s="160"/>
      <c r="BC13" s="160"/>
      <c r="BD13" s="160"/>
      <c r="BE13" s="160"/>
      <c r="BF13" s="160"/>
      <c r="BG13" s="160"/>
      <c r="BH13" s="160"/>
      <c r="BI13" s="160"/>
      <c r="BJ13" s="160"/>
      <c r="BK13" s="160"/>
      <c r="BL13" s="160"/>
      <c r="BM13" s="160"/>
      <c r="BN13" s="160"/>
      <c r="BO13" s="160"/>
      <c r="BP13" s="160"/>
      <c r="BQ13" s="160"/>
      <c r="BR13" s="160"/>
    </row>
    <row r="14" spans="1:70" x14ac:dyDescent="0.25">
      <c r="D14" s="2" t="s">
        <v>285</v>
      </c>
    </row>
    <row r="15" spans="1:70" ht="62.25" customHeight="1" x14ac:dyDescent="0.25">
      <c r="D15" s="157" t="s">
        <v>288</v>
      </c>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c r="BN15" s="157"/>
      <c r="BO15" s="157"/>
      <c r="BP15" s="157"/>
      <c r="BQ15" s="157"/>
      <c r="BR15" s="157"/>
    </row>
    <row r="16" spans="1:70" x14ac:dyDescent="0.25">
      <c r="D16" s="2" t="s">
        <v>196</v>
      </c>
    </row>
    <row r="17" spans="1:70" ht="47.25" customHeight="1" x14ac:dyDescent="0.25">
      <c r="D17" s="157" t="s">
        <v>268</v>
      </c>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c r="BJ17" s="157"/>
      <c r="BK17" s="157"/>
      <c r="BL17" s="157"/>
      <c r="BM17" s="157"/>
      <c r="BN17" s="157"/>
      <c r="BO17" s="157"/>
      <c r="BP17" s="157"/>
      <c r="BQ17" s="157"/>
      <c r="BR17" s="157"/>
    </row>
    <row r="18" spans="1:70" ht="15.75" customHeight="1" x14ac:dyDescent="0.25">
      <c r="D18" s="159" t="s">
        <v>267</v>
      </c>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row>
    <row r="19" spans="1:70" ht="45.75" customHeight="1" x14ac:dyDescent="0.25">
      <c r="D19" s="157" t="s">
        <v>276</v>
      </c>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row>
    <row r="20" spans="1:70" ht="15.75" customHeight="1" x14ac:dyDescent="0.25">
      <c r="D20" s="159" t="s">
        <v>284</v>
      </c>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row>
    <row r="21" spans="1:70" ht="44.25" customHeight="1" x14ac:dyDescent="0.25">
      <c r="D21" s="157" t="s">
        <v>277</v>
      </c>
      <c r="E21" s="157"/>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row>
    <row r="22" spans="1:70" x14ac:dyDescent="0.25">
      <c r="B22" s="2" t="s">
        <v>192</v>
      </c>
      <c r="C22" s="2"/>
    </row>
    <row r="23" spans="1:70" ht="69.75" customHeight="1" x14ac:dyDescent="0.25">
      <c r="B23" s="157" t="s">
        <v>269</v>
      </c>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row>
    <row r="24" spans="1:70" x14ac:dyDescent="0.25">
      <c r="C24" s="2" t="s">
        <v>193</v>
      </c>
    </row>
    <row r="25" spans="1:70" ht="204.75" customHeight="1" x14ac:dyDescent="0.25">
      <c r="C25" s="158" t="s">
        <v>211</v>
      </c>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row>
    <row r="26" spans="1:70" x14ac:dyDescent="0.25">
      <c r="C26" s="2" t="s">
        <v>194</v>
      </c>
    </row>
    <row r="27" spans="1:70" ht="244.5" customHeight="1" x14ac:dyDescent="0.25">
      <c r="A27" s="1"/>
      <c r="C27" s="158" t="s">
        <v>195</v>
      </c>
      <c r="D27" s="158"/>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row>
    <row r="28" spans="1:70" x14ac:dyDescent="0.25">
      <c r="B28" s="2" t="s">
        <v>270</v>
      </c>
      <c r="C28" s="43"/>
    </row>
    <row r="29" spans="1:70" ht="75" customHeight="1" x14ac:dyDescent="0.25">
      <c r="A29" s="1"/>
      <c r="B29" s="157" t="s">
        <v>281</v>
      </c>
      <c r="C29" s="157"/>
      <c r="D29" s="157"/>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c r="BN29" s="157"/>
      <c r="BO29" s="157"/>
      <c r="BP29" s="157"/>
      <c r="BQ29" s="157"/>
      <c r="BR29" s="157"/>
    </row>
    <row r="30" spans="1:70" x14ac:dyDescent="0.25">
      <c r="C30" s="2" t="s">
        <v>274</v>
      </c>
    </row>
    <row r="31" spans="1:70" ht="46.5" customHeight="1" x14ac:dyDescent="0.25">
      <c r="A31" s="1"/>
      <c r="C31" s="158" t="s">
        <v>280</v>
      </c>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row>
    <row r="32" spans="1:70" ht="15.75" customHeight="1" x14ac:dyDescent="0.25">
      <c r="C32" s="159" t="s">
        <v>271</v>
      </c>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row>
    <row r="33" spans="1:70" ht="120" customHeight="1" x14ac:dyDescent="0.25">
      <c r="A33" s="43"/>
      <c r="C33" s="157" t="s">
        <v>273</v>
      </c>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157"/>
      <c r="BP33" s="157"/>
      <c r="BQ33" s="157"/>
      <c r="BR33" s="157"/>
    </row>
    <row r="34" spans="1:70" ht="15.75" customHeight="1" x14ac:dyDescent="0.25">
      <c r="C34" s="159" t="s">
        <v>272</v>
      </c>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row>
    <row r="35" spans="1:70" ht="47.25" customHeight="1" x14ac:dyDescent="0.25">
      <c r="C35" s="158" t="s">
        <v>279</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row>
    <row r="36" spans="1:70" x14ac:dyDescent="0.25">
      <c r="B36" s="2" t="s">
        <v>2</v>
      </c>
    </row>
    <row r="37" spans="1:70" x14ac:dyDescent="0.25">
      <c r="B37" s="160" t="s">
        <v>12</v>
      </c>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c r="BH37" s="160"/>
      <c r="BI37" s="160"/>
      <c r="BJ37" s="160"/>
      <c r="BK37" s="160"/>
      <c r="BL37" s="160"/>
      <c r="BM37" s="160"/>
      <c r="BN37" s="160"/>
      <c r="BO37" s="160"/>
      <c r="BP37" s="160"/>
      <c r="BQ37" s="160"/>
      <c r="BR37" s="160"/>
    </row>
    <row r="38" spans="1:70" x14ac:dyDescent="0.25">
      <c r="C38" s="2" t="s">
        <v>7</v>
      </c>
    </row>
    <row r="39" spans="1:70" ht="45.75" customHeight="1" x14ac:dyDescent="0.25">
      <c r="C39" s="157" t="s">
        <v>8</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c r="BD39" s="157"/>
      <c r="BE39" s="157"/>
      <c r="BF39" s="157"/>
      <c r="BG39" s="157"/>
      <c r="BH39" s="157"/>
      <c r="BI39" s="157"/>
      <c r="BJ39" s="157"/>
      <c r="BK39" s="157"/>
      <c r="BL39" s="157"/>
      <c r="BM39" s="157"/>
      <c r="BN39" s="157"/>
      <c r="BO39" s="157"/>
      <c r="BP39" s="157"/>
      <c r="BQ39" s="157"/>
      <c r="BR39" s="157"/>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2020-09-04T07:35:29Z</dcterms:modified>
</cp:coreProperties>
</file>