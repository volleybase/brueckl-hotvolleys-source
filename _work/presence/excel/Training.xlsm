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94A1B01-0434-4FF9-90EA-50759F5C70F8}"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Anwesend!$B$95:$L$97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6" i="3" l="1"/>
  <c r="P66" i="3"/>
  <c r="FT38" i="3"/>
  <c r="FK38" i="3" l="1"/>
  <c r="P61" i="3" l="1"/>
  <c r="FI38" i="3"/>
  <c r="FH38" i="3"/>
  <c r="EZ38" i="3"/>
  <c r="EY38" i="3"/>
  <c r="EX38" i="3"/>
  <c r="F61" i="3"/>
  <c r="G61" i="3"/>
  <c r="H61" i="3"/>
  <c r="I61" i="3"/>
  <c r="J61" i="3"/>
  <c r="K61" i="3"/>
  <c r="L61" i="3"/>
  <c r="P37" i="3" l="1"/>
  <c r="Q12" i="3" s="1"/>
  <c r="L95" i="3"/>
  <c r="Q28" i="3" l="1"/>
  <c r="Q30" i="3"/>
  <c r="Q13" i="3"/>
  <c r="Q8" i="3"/>
  <c r="Q9" i="3"/>
  <c r="Q16" i="3"/>
  <c r="Q20" i="3"/>
  <c r="Q21" i="3"/>
  <c r="Q24" i="3"/>
  <c r="Q14" i="3"/>
  <c r="Q22" i="3"/>
  <c r="Q7" i="3"/>
  <c r="Q15" i="3"/>
  <c r="Q23" i="3"/>
  <c r="Q17" i="3"/>
  <c r="Q25" i="3"/>
  <c r="Q10" i="3"/>
  <c r="Q18" i="3"/>
  <c r="Q26" i="3"/>
  <c r="Q11" i="3"/>
  <c r="Q19" i="3"/>
  <c r="M38" i="3"/>
  <c r="Q29" i="3" l="1"/>
  <c r="P62" i="3" l="1"/>
  <c r="P89" i="3"/>
  <c r="FB38" i="3"/>
  <c r="EQ38" i="3" l="1"/>
  <c r="L11" i="3" l="1"/>
  <c r="K11" i="3"/>
  <c r="J11" i="3"/>
  <c r="I11" i="3"/>
  <c r="H11" i="3"/>
  <c r="G11" i="3"/>
  <c r="F11" i="3"/>
  <c r="P11" i="3"/>
  <c r="P81" i="3"/>
  <c r="EI38" i="3" l="1"/>
  <c r="EJ38" i="3"/>
  <c r="ES38" i="3"/>
  <c r="P16" i="3" l="1"/>
  <c r="L16" i="3"/>
  <c r="K16" i="3"/>
  <c r="J16" i="3"/>
  <c r="I16" i="3"/>
  <c r="H16" i="3"/>
  <c r="G16" i="3"/>
  <c r="F16" i="3"/>
  <c r="P47" i="3" l="1"/>
  <c r="L47" i="3"/>
  <c r="K47" i="3"/>
  <c r="J47" i="3"/>
  <c r="I47" i="3"/>
  <c r="H47" i="3"/>
  <c r="G47" i="3"/>
  <c r="F47" i="3"/>
  <c r="P33" i="3" l="1"/>
  <c r="DP38" i="3"/>
  <c r="EA38" i="3"/>
  <c r="P31" i="3" l="1"/>
  <c r="DG38" i="3" l="1"/>
  <c r="DR38" i="3"/>
  <c r="Q91" i="3" l="1"/>
  <c r="Q88" i="3"/>
  <c r="Q87" i="3"/>
  <c r="Q86" i="3"/>
  <c r="Q79" i="3"/>
  <c r="Q74" i="3"/>
  <c r="Q67" i="3"/>
  <c r="Q65" i="3"/>
  <c r="Q64" i="3"/>
  <c r="Q63" i="3"/>
  <c r="Q27" i="3"/>
  <c r="Q36" i="3"/>
  <c r="Q6" i="3"/>
  <c r="CX38" i="3"/>
  <c r="CH38" i="3"/>
  <c r="BY38" i="3"/>
  <c r="DI38" i="3"/>
  <c r="CZ38" i="3"/>
  <c r="CQ38" i="3"/>
  <c r="L97" i="3"/>
  <c r="L96" i="3"/>
  <c r="P38" i="3"/>
  <c r="R38" i="3"/>
  <c r="Q38" i="3" l="1"/>
  <c r="CO81" i="3"/>
  <c r="CO69" i="3"/>
  <c r="CO38" i="3"/>
  <c r="CF38" i="3"/>
  <c r="P69" i="3"/>
  <c r="CO82" i="3" l="1"/>
  <c r="BW81" i="3"/>
  <c r="BW82" i="3" s="1"/>
  <c r="BP81" i="3"/>
  <c r="BP69" i="3"/>
  <c r="BW38" i="3"/>
  <c r="BP38" i="3"/>
  <c r="BP82" i="3" l="1"/>
  <c r="P32" i="3"/>
  <c r="MT81" i="3" l="1"/>
  <c r="MS81" i="3"/>
  <c r="MR81" i="3"/>
  <c r="MQ81" i="3"/>
  <c r="MP81" i="3"/>
  <c r="MO81" i="3"/>
  <c r="MN81" i="3"/>
  <c r="MM81" i="3"/>
  <c r="ML81" i="3"/>
  <c r="MK81" i="3"/>
  <c r="MJ81" i="3"/>
  <c r="MI81" i="3"/>
  <c r="MH81" i="3"/>
  <c r="MG81" i="3"/>
  <c r="MF81" i="3"/>
  <c r="ME81" i="3"/>
  <c r="MD81" i="3"/>
  <c r="MC81" i="3"/>
  <c r="MB81" i="3"/>
  <c r="MA81" i="3"/>
  <c r="LZ81" i="3"/>
  <c r="LY81" i="3"/>
  <c r="LX81" i="3"/>
  <c r="LW81" i="3"/>
  <c r="LV81" i="3"/>
  <c r="LU81" i="3"/>
  <c r="LT81" i="3"/>
  <c r="LS81" i="3"/>
  <c r="LR81" i="3"/>
  <c r="LQ81" i="3"/>
  <c r="LP81" i="3"/>
  <c r="LO81" i="3"/>
  <c r="LN81" i="3"/>
  <c r="LM81" i="3"/>
  <c r="LL81" i="3"/>
  <c r="LK81" i="3"/>
  <c r="LJ81" i="3"/>
  <c r="LI81" i="3"/>
  <c r="LH81" i="3"/>
  <c r="LG81" i="3"/>
  <c r="LF81" i="3"/>
  <c r="LE81" i="3"/>
  <c r="LD81" i="3"/>
  <c r="LC81" i="3"/>
  <c r="LB81" i="3"/>
  <c r="LA81" i="3"/>
  <c r="KZ81" i="3"/>
  <c r="KY81" i="3"/>
  <c r="KX81" i="3"/>
  <c r="KW81" i="3"/>
  <c r="KV81" i="3"/>
  <c r="KU81" i="3"/>
  <c r="KT81" i="3"/>
  <c r="KS81" i="3"/>
  <c r="KR81" i="3"/>
  <c r="KQ81" i="3"/>
  <c r="KP81" i="3"/>
  <c r="KO81" i="3"/>
  <c r="KN81" i="3"/>
  <c r="KM81" i="3"/>
  <c r="KL81" i="3"/>
  <c r="KK81" i="3"/>
  <c r="KJ81" i="3"/>
  <c r="KI81" i="3"/>
  <c r="KH81" i="3"/>
  <c r="KG81" i="3"/>
  <c r="KF81" i="3"/>
  <c r="KE81" i="3"/>
  <c r="KD81" i="3"/>
  <c r="KC81" i="3"/>
  <c r="KB81" i="3"/>
  <c r="KA81" i="3"/>
  <c r="JZ81" i="3"/>
  <c r="JY81" i="3"/>
  <c r="JX81" i="3"/>
  <c r="JW81" i="3"/>
  <c r="JV81" i="3"/>
  <c r="JU81" i="3"/>
  <c r="JT81" i="3"/>
  <c r="JS81" i="3"/>
  <c r="JR81" i="3"/>
  <c r="JQ81" i="3"/>
  <c r="JP81" i="3"/>
  <c r="JO81" i="3"/>
  <c r="JN81" i="3"/>
  <c r="JM81" i="3"/>
  <c r="JL81" i="3"/>
  <c r="JK81" i="3"/>
  <c r="JJ81" i="3"/>
  <c r="JI81" i="3"/>
  <c r="JH81" i="3"/>
  <c r="JG81" i="3"/>
  <c r="JF81" i="3"/>
  <c r="JE81" i="3"/>
  <c r="JD81" i="3"/>
  <c r="JC81" i="3"/>
  <c r="JB81" i="3"/>
  <c r="JA81" i="3"/>
  <c r="IZ81" i="3"/>
  <c r="IY81" i="3"/>
  <c r="IX81" i="3"/>
  <c r="IW81" i="3"/>
  <c r="IV81" i="3"/>
  <c r="IU81" i="3"/>
  <c r="IT81" i="3"/>
  <c r="IS81" i="3"/>
  <c r="IR81" i="3"/>
  <c r="IQ81" i="3"/>
  <c r="IP81" i="3"/>
  <c r="IO81" i="3"/>
  <c r="IN81" i="3"/>
  <c r="IM81" i="3"/>
  <c r="IL81" i="3"/>
  <c r="IK81" i="3"/>
  <c r="IJ81" i="3"/>
  <c r="II81" i="3"/>
  <c r="IH81" i="3"/>
  <c r="IG81" i="3"/>
  <c r="IF81" i="3"/>
  <c r="IE81" i="3"/>
  <c r="ID81" i="3"/>
  <c r="IC81" i="3"/>
  <c r="IB81" i="3"/>
  <c r="IA81" i="3"/>
  <c r="HZ81" i="3"/>
  <c r="HY81" i="3"/>
  <c r="HX81" i="3"/>
  <c r="HW81" i="3"/>
  <c r="HV81" i="3"/>
  <c r="HU81" i="3"/>
  <c r="HT81" i="3"/>
  <c r="HS81" i="3"/>
  <c r="HR81" i="3"/>
  <c r="HQ81" i="3"/>
  <c r="HP81" i="3"/>
  <c r="HO81" i="3"/>
  <c r="HN81" i="3"/>
  <c r="HM81" i="3"/>
  <c r="HL81" i="3"/>
  <c r="HK81" i="3"/>
  <c r="HJ81" i="3"/>
  <c r="HI81" i="3"/>
  <c r="HH81" i="3"/>
  <c r="HG81" i="3"/>
  <c r="HF81" i="3"/>
  <c r="HE81" i="3"/>
  <c r="HD81" i="3"/>
  <c r="HC81" i="3"/>
  <c r="HB81" i="3"/>
  <c r="HA81" i="3"/>
  <c r="GZ81" i="3"/>
  <c r="GY81" i="3"/>
  <c r="GX81" i="3"/>
  <c r="GW81" i="3"/>
  <c r="GV81" i="3"/>
  <c r="GU81" i="3"/>
  <c r="GT81" i="3"/>
  <c r="GS81" i="3"/>
  <c r="GR81" i="3"/>
  <c r="GQ81" i="3"/>
  <c r="GP81" i="3"/>
  <c r="GO81" i="3"/>
  <c r="GN81" i="3"/>
  <c r="GM81" i="3"/>
  <c r="GL81" i="3"/>
  <c r="GK81" i="3"/>
  <c r="GJ81" i="3"/>
  <c r="GI81" i="3"/>
  <c r="GH81" i="3"/>
  <c r="GG81" i="3"/>
  <c r="GF81" i="3"/>
  <c r="GE81" i="3"/>
  <c r="GD81" i="3"/>
  <c r="GC81" i="3"/>
  <c r="GB81" i="3"/>
  <c r="GA81" i="3"/>
  <c r="FZ81" i="3"/>
  <c r="FY81" i="3"/>
  <c r="FX81" i="3"/>
  <c r="FW81" i="3"/>
  <c r="FV81" i="3"/>
  <c r="FU81" i="3"/>
  <c r="FT81" i="3"/>
  <c r="FQ81" i="3"/>
  <c r="FP81" i="3"/>
  <c r="FO81" i="3"/>
  <c r="FN81" i="3"/>
  <c r="FM81" i="3"/>
  <c r="FL81" i="3"/>
  <c r="FK81" i="3"/>
  <c r="FH81" i="3"/>
  <c r="FG81" i="3"/>
  <c r="FF81" i="3"/>
  <c r="FE81" i="3"/>
  <c r="FD81" i="3"/>
  <c r="FC81" i="3"/>
  <c r="FB81" i="3"/>
  <c r="EY81" i="3"/>
  <c r="EX81" i="3"/>
  <c r="EW81" i="3"/>
  <c r="EV81" i="3"/>
  <c r="EU81" i="3"/>
  <c r="ET81" i="3"/>
  <c r="ES81" i="3"/>
  <c r="EP81" i="3"/>
  <c r="EO81" i="3"/>
  <c r="EN81" i="3"/>
  <c r="EM81" i="3"/>
  <c r="EL81" i="3"/>
  <c r="EK81" i="3"/>
  <c r="EJ81" i="3"/>
  <c r="EI81" i="3"/>
  <c r="EE81" i="3"/>
  <c r="ED81" i="3"/>
  <c r="EC81" i="3"/>
  <c r="EB81" i="3"/>
  <c r="EA81" i="3"/>
  <c r="DZ81" i="3"/>
  <c r="DW81" i="3"/>
  <c r="DV81" i="3"/>
  <c r="DU81" i="3"/>
  <c r="DT81" i="3"/>
  <c r="DS81" i="3"/>
  <c r="DR81" i="3"/>
  <c r="DO81" i="3"/>
  <c r="DN81" i="3"/>
  <c r="DM81" i="3"/>
  <c r="DL81" i="3"/>
  <c r="DK81" i="3"/>
  <c r="DJ81" i="3"/>
  <c r="DI81" i="3"/>
  <c r="DF81" i="3"/>
  <c r="DE81" i="3"/>
  <c r="DD81" i="3"/>
  <c r="DC81" i="3"/>
  <c r="DB81" i="3"/>
  <c r="DA81" i="3"/>
  <c r="CZ81" i="3"/>
  <c r="CY81" i="3"/>
  <c r="CV81" i="3"/>
  <c r="CU81" i="3"/>
  <c r="CT81" i="3"/>
  <c r="CS81" i="3"/>
  <c r="CR81" i="3"/>
  <c r="CQ81" i="3"/>
  <c r="CN81" i="3"/>
  <c r="CM81" i="3"/>
  <c r="CL81" i="3"/>
  <c r="CK81" i="3"/>
  <c r="CJ81" i="3"/>
  <c r="CI81" i="3"/>
  <c r="CH81" i="3"/>
  <c r="CE81" i="3"/>
  <c r="CD81" i="3"/>
  <c r="CC81" i="3"/>
  <c r="CB81" i="3"/>
  <c r="CA81" i="3"/>
  <c r="BZ81" i="3"/>
  <c r="BY81" i="3"/>
  <c r="BV81" i="3"/>
  <c r="BU81" i="3"/>
  <c r="BT81" i="3"/>
  <c r="BS81" i="3"/>
  <c r="BR81" i="3"/>
  <c r="BQ81" i="3"/>
  <c r="BO81" i="3"/>
  <c r="BN81" i="3"/>
  <c r="BM81" i="3"/>
  <c r="BL81" i="3"/>
  <c r="BK81" i="3"/>
  <c r="BJ81" i="3"/>
  <c r="BI81" i="3"/>
  <c r="BH81" i="3"/>
  <c r="BG81" i="3"/>
  <c r="BF81" i="3"/>
  <c r="BE81" i="3"/>
  <c r="BD81" i="3"/>
  <c r="BC81" i="3"/>
  <c r="P52" i="3" l="1"/>
  <c r="L52" i="3"/>
  <c r="K52" i="3"/>
  <c r="J52" i="3"/>
  <c r="I52" i="3"/>
  <c r="H52" i="3"/>
  <c r="G52" i="3"/>
  <c r="F52" i="3"/>
  <c r="P60" i="3" l="1"/>
  <c r="L60" i="3"/>
  <c r="K60" i="3"/>
  <c r="J60" i="3"/>
  <c r="I60" i="3"/>
  <c r="H60" i="3"/>
  <c r="G60" i="3"/>
  <c r="F60" i="3"/>
  <c r="P56" i="3"/>
  <c r="L56" i="3"/>
  <c r="K56" i="3"/>
  <c r="J56" i="3"/>
  <c r="I56" i="3"/>
  <c r="H56" i="3"/>
  <c r="G56" i="3"/>
  <c r="F56" i="3"/>
  <c r="H78" i="3" l="1"/>
  <c r="G78" i="3"/>
  <c r="H77" i="3"/>
  <c r="G77" i="3"/>
  <c r="H76" i="3"/>
  <c r="G76" i="3"/>
  <c r="H75" i="3"/>
  <c r="G75" i="3"/>
  <c r="L75" i="3"/>
  <c r="K75" i="3"/>
  <c r="J75" i="3"/>
  <c r="I75" i="3"/>
  <c r="F75" i="3"/>
  <c r="P12" i="3"/>
  <c r="L12" i="3"/>
  <c r="K12" i="3"/>
  <c r="J12" i="3"/>
  <c r="I12" i="3"/>
  <c r="H12" i="3"/>
  <c r="G12" i="3"/>
  <c r="F12" i="3"/>
  <c r="P50" i="3"/>
  <c r="L50" i="3"/>
  <c r="K50" i="3"/>
  <c r="J50" i="3"/>
  <c r="I50" i="3"/>
  <c r="H50" i="3"/>
  <c r="G50" i="3"/>
  <c r="F50" i="3"/>
  <c r="S70" i="3" l="1"/>
  <c r="P80" i="3"/>
  <c r="Q76" i="3" s="1"/>
  <c r="BB81" i="3"/>
  <c r="BA81" i="3"/>
  <c r="AZ81" i="3"/>
  <c r="AY81" i="3"/>
  <c r="AX81" i="3"/>
  <c r="AW81" i="3"/>
  <c r="AV81" i="3"/>
  <c r="AU81" i="3"/>
  <c r="AT81" i="3"/>
  <c r="AS81" i="3"/>
  <c r="AR81" i="3"/>
  <c r="AQ81" i="3"/>
  <c r="AP81" i="3"/>
  <c r="AO81" i="3"/>
  <c r="AG81" i="3"/>
  <c r="AF81" i="3"/>
  <c r="AE81" i="3"/>
  <c r="AD81" i="3"/>
  <c r="AC81" i="3"/>
  <c r="AB81" i="3"/>
  <c r="AA81" i="3"/>
  <c r="Z81" i="3"/>
  <c r="Y81" i="3"/>
  <c r="X81" i="3"/>
  <c r="W81" i="3"/>
  <c r="V81" i="3"/>
  <c r="U81" i="3"/>
  <c r="T81" i="3"/>
  <c r="AN81" i="3"/>
  <c r="AM81" i="3"/>
  <c r="AL81" i="3"/>
  <c r="AK81" i="3"/>
  <c r="AJ81" i="3"/>
  <c r="AH81" i="3"/>
  <c r="AI81" i="3"/>
  <c r="L65" i="3"/>
  <c r="K65" i="3"/>
  <c r="J65" i="3"/>
  <c r="I65" i="3"/>
  <c r="H65" i="3"/>
  <c r="G65" i="3"/>
  <c r="F65" i="3"/>
  <c r="L64" i="3"/>
  <c r="K64" i="3"/>
  <c r="J64" i="3"/>
  <c r="I64" i="3"/>
  <c r="H64" i="3"/>
  <c r="G64" i="3"/>
  <c r="F64" i="3"/>
  <c r="L63" i="3"/>
  <c r="K63" i="3"/>
  <c r="J63" i="3"/>
  <c r="I63" i="3"/>
  <c r="H63" i="3"/>
  <c r="G63" i="3"/>
  <c r="F63" i="3"/>
  <c r="L62" i="3"/>
  <c r="K62" i="3"/>
  <c r="J62" i="3"/>
  <c r="I62" i="3"/>
  <c r="H62" i="3"/>
  <c r="G62" i="3"/>
  <c r="F62" i="3"/>
  <c r="MT69" i="3"/>
  <c r="MS69" i="3"/>
  <c r="MR69" i="3"/>
  <c r="MQ69" i="3"/>
  <c r="MP69" i="3"/>
  <c r="MO69" i="3"/>
  <c r="MN69" i="3"/>
  <c r="MM69" i="3"/>
  <c r="ML69" i="3"/>
  <c r="MK69" i="3"/>
  <c r="MJ69" i="3"/>
  <c r="MI69" i="3"/>
  <c r="MH69" i="3"/>
  <c r="MG69" i="3"/>
  <c r="MF69" i="3"/>
  <c r="ME69" i="3"/>
  <c r="MD69" i="3"/>
  <c r="MC69" i="3"/>
  <c r="MB69" i="3"/>
  <c r="MA69" i="3"/>
  <c r="LZ69" i="3"/>
  <c r="LY69" i="3"/>
  <c r="LX69" i="3"/>
  <c r="LW69" i="3"/>
  <c r="LV69" i="3"/>
  <c r="LU69" i="3"/>
  <c r="LT69" i="3"/>
  <c r="LS69" i="3"/>
  <c r="LR69" i="3"/>
  <c r="LQ69" i="3"/>
  <c r="LP69" i="3"/>
  <c r="LO69" i="3"/>
  <c r="LN69" i="3"/>
  <c r="LM69" i="3"/>
  <c r="LL69" i="3"/>
  <c r="LK69" i="3"/>
  <c r="LJ69" i="3"/>
  <c r="LI69" i="3"/>
  <c r="LH69" i="3"/>
  <c r="LG69" i="3"/>
  <c r="LF69" i="3"/>
  <c r="LE69" i="3"/>
  <c r="LD69" i="3"/>
  <c r="LC69" i="3"/>
  <c r="LB69" i="3"/>
  <c r="LA69" i="3"/>
  <c r="KZ69" i="3"/>
  <c r="KY69" i="3"/>
  <c r="KX69" i="3"/>
  <c r="KW69" i="3"/>
  <c r="KV69" i="3"/>
  <c r="KU69" i="3"/>
  <c r="KT69" i="3"/>
  <c r="KS69" i="3"/>
  <c r="KR69" i="3"/>
  <c r="KQ69" i="3"/>
  <c r="KP69" i="3"/>
  <c r="KO69" i="3"/>
  <c r="KN69" i="3"/>
  <c r="KM69" i="3"/>
  <c r="KL69" i="3"/>
  <c r="KK69" i="3"/>
  <c r="KJ69" i="3"/>
  <c r="KI69" i="3"/>
  <c r="KH69" i="3"/>
  <c r="KG69" i="3"/>
  <c r="KF69" i="3"/>
  <c r="KE69" i="3"/>
  <c r="KD69" i="3"/>
  <c r="KC69" i="3"/>
  <c r="KB69" i="3"/>
  <c r="KA69" i="3"/>
  <c r="JZ69" i="3"/>
  <c r="JY69" i="3"/>
  <c r="JX69" i="3"/>
  <c r="JW69" i="3"/>
  <c r="JV69" i="3"/>
  <c r="JU69" i="3"/>
  <c r="JT69" i="3"/>
  <c r="JS69" i="3"/>
  <c r="JR69" i="3"/>
  <c r="JQ69" i="3"/>
  <c r="JP69" i="3"/>
  <c r="JO69" i="3"/>
  <c r="JN69" i="3"/>
  <c r="JM69" i="3"/>
  <c r="JL69" i="3"/>
  <c r="JK69" i="3"/>
  <c r="JJ69" i="3"/>
  <c r="JI69" i="3"/>
  <c r="JH69" i="3"/>
  <c r="JG69" i="3"/>
  <c r="JF69" i="3"/>
  <c r="JE69" i="3"/>
  <c r="JD69" i="3"/>
  <c r="JC69" i="3"/>
  <c r="JB69" i="3"/>
  <c r="JA69" i="3"/>
  <c r="IZ69" i="3"/>
  <c r="IY69" i="3"/>
  <c r="IX69" i="3"/>
  <c r="IW69" i="3"/>
  <c r="IV69" i="3"/>
  <c r="IU69" i="3"/>
  <c r="IT69" i="3"/>
  <c r="IS69" i="3"/>
  <c r="IR69" i="3"/>
  <c r="IQ69" i="3"/>
  <c r="IP69" i="3"/>
  <c r="IO69" i="3"/>
  <c r="IN69" i="3"/>
  <c r="IM69" i="3"/>
  <c r="IL69" i="3"/>
  <c r="IK69" i="3"/>
  <c r="IJ69" i="3"/>
  <c r="II69" i="3"/>
  <c r="IH69" i="3"/>
  <c r="IG69" i="3"/>
  <c r="IF69" i="3"/>
  <c r="IE69" i="3"/>
  <c r="ID69" i="3"/>
  <c r="IC69" i="3"/>
  <c r="IB69" i="3"/>
  <c r="IA69" i="3"/>
  <c r="HZ69" i="3"/>
  <c r="HY69" i="3"/>
  <c r="HX69" i="3"/>
  <c r="HW69" i="3"/>
  <c r="HV69" i="3"/>
  <c r="HU69" i="3"/>
  <c r="HT69" i="3"/>
  <c r="HS69" i="3"/>
  <c r="HR69" i="3"/>
  <c r="HQ69" i="3"/>
  <c r="HP69" i="3"/>
  <c r="HO69" i="3"/>
  <c r="HN69" i="3"/>
  <c r="HM69" i="3"/>
  <c r="HL69" i="3"/>
  <c r="HK69" i="3"/>
  <c r="HJ69" i="3"/>
  <c r="HI69" i="3"/>
  <c r="HH69" i="3"/>
  <c r="HG69" i="3"/>
  <c r="HF69" i="3"/>
  <c r="HE69" i="3"/>
  <c r="HD69" i="3"/>
  <c r="HC69" i="3"/>
  <c r="HB69" i="3"/>
  <c r="HA69" i="3"/>
  <c r="GZ69" i="3"/>
  <c r="GY69" i="3"/>
  <c r="GX69" i="3"/>
  <c r="GW69" i="3"/>
  <c r="GV69" i="3"/>
  <c r="GU69" i="3"/>
  <c r="GT69" i="3"/>
  <c r="GS69" i="3"/>
  <c r="GR69" i="3"/>
  <c r="GQ69" i="3"/>
  <c r="GP69" i="3"/>
  <c r="GO69" i="3"/>
  <c r="GN69" i="3"/>
  <c r="GM69" i="3"/>
  <c r="GL69" i="3"/>
  <c r="GK69" i="3"/>
  <c r="GJ69" i="3"/>
  <c r="GI69" i="3"/>
  <c r="GH69" i="3"/>
  <c r="GG69" i="3"/>
  <c r="GF69" i="3"/>
  <c r="GE69" i="3"/>
  <c r="GD69" i="3"/>
  <c r="GC69" i="3"/>
  <c r="GB69" i="3"/>
  <c r="GA69" i="3"/>
  <c r="FZ69" i="3"/>
  <c r="FY69" i="3"/>
  <c r="FX69" i="3"/>
  <c r="FW69" i="3"/>
  <c r="FV69" i="3"/>
  <c r="FU69" i="3"/>
  <c r="FT69" i="3"/>
  <c r="FQ69" i="3"/>
  <c r="FP69" i="3"/>
  <c r="FO69" i="3"/>
  <c r="FN69" i="3"/>
  <c r="FM69" i="3"/>
  <c r="FL69" i="3"/>
  <c r="FK69" i="3"/>
  <c r="FH69" i="3"/>
  <c r="FG69" i="3"/>
  <c r="FF69" i="3"/>
  <c r="FE69" i="3"/>
  <c r="FD69" i="3"/>
  <c r="FC69" i="3"/>
  <c r="FB69" i="3"/>
  <c r="EY69" i="3"/>
  <c r="EX69" i="3"/>
  <c r="EW69" i="3"/>
  <c r="EV69" i="3"/>
  <c r="EU69" i="3"/>
  <c r="ET69" i="3"/>
  <c r="ES69" i="3"/>
  <c r="EP69" i="3"/>
  <c r="EO69" i="3"/>
  <c r="EN69" i="3"/>
  <c r="EM69" i="3"/>
  <c r="EL69" i="3"/>
  <c r="EK69" i="3"/>
  <c r="EJ69" i="3"/>
  <c r="EI69" i="3"/>
  <c r="EF69" i="3"/>
  <c r="EE69" i="3"/>
  <c r="ED69" i="3"/>
  <c r="EC69" i="3"/>
  <c r="EB69" i="3"/>
  <c r="EA69" i="3"/>
  <c r="DZ69" i="3"/>
  <c r="DW69" i="3"/>
  <c r="DV69" i="3"/>
  <c r="DU69" i="3"/>
  <c r="DT69" i="3"/>
  <c r="DS69" i="3"/>
  <c r="DR69" i="3"/>
  <c r="DO69" i="3"/>
  <c r="DN69" i="3"/>
  <c r="DM69" i="3"/>
  <c r="DL69" i="3"/>
  <c r="DK69" i="3"/>
  <c r="DJ69" i="3"/>
  <c r="DI69" i="3"/>
  <c r="DF69" i="3"/>
  <c r="DE69" i="3"/>
  <c r="DD69" i="3"/>
  <c r="DC69" i="3"/>
  <c r="DB69" i="3"/>
  <c r="DA69" i="3"/>
  <c r="CZ69" i="3"/>
  <c r="CY69" i="3"/>
  <c r="CV69" i="3"/>
  <c r="CU69" i="3"/>
  <c r="CT69" i="3"/>
  <c r="CS69" i="3"/>
  <c r="CR69" i="3"/>
  <c r="CQ69" i="3"/>
  <c r="CN69" i="3"/>
  <c r="CM69" i="3"/>
  <c r="CL69" i="3"/>
  <c r="CK69" i="3"/>
  <c r="CJ69" i="3"/>
  <c r="CI69" i="3"/>
  <c r="CH69" i="3"/>
  <c r="CE69" i="3"/>
  <c r="CD69" i="3"/>
  <c r="CC69" i="3"/>
  <c r="CB69" i="3"/>
  <c r="CA69" i="3"/>
  <c r="BZ69" i="3"/>
  <c r="BY69" i="3"/>
  <c r="BV69" i="3"/>
  <c r="BU69" i="3"/>
  <c r="BT69" i="3"/>
  <c r="BS69" i="3"/>
  <c r="BR69" i="3"/>
  <c r="BQ69" i="3"/>
  <c r="BO69" i="3"/>
  <c r="BN69" i="3"/>
  <c r="BM69" i="3"/>
  <c r="BL69" i="3"/>
  <c r="BK69" i="3"/>
  <c r="BJ69" i="3"/>
  <c r="BI69" i="3"/>
  <c r="BH69" i="3"/>
  <c r="BG69" i="3"/>
  <c r="BF69" i="3"/>
  <c r="BE69" i="3"/>
  <c r="BD69" i="3"/>
  <c r="BC69" i="3"/>
  <c r="BB69" i="3"/>
  <c r="BA69" i="3"/>
  <c r="AZ69" i="3"/>
  <c r="AY69" i="3"/>
  <c r="AY82" i="3" s="1"/>
  <c r="AX69" i="3"/>
  <c r="AW69" i="3"/>
  <c r="AV69" i="3"/>
  <c r="AV82" i="3" s="1"/>
  <c r="AU69" i="3"/>
  <c r="AT69" i="3"/>
  <c r="AS69" i="3"/>
  <c r="AR69" i="3"/>
  <c r="AQ69" i="3"/>
  <c r="AQ82" i="3" s="1"/>
  <c r="AP69" i="3"/>
  <c r="AO69" i="3"/>
  <c r="S69" i="3"/>
  <c r="AG69" i="3"/>
  <c r="AF69" i="3"/>
  <c r="AE69" i="3"/>
  <c r="AD69" i="3"/>
  <c r="AC69" i="3"/>
  <c r="AB69" i="3"/>
  <c r="AB82" i="3" s="1"/>
  <c r="AA69" i="3"/>
  <c r="Z69" i="3"/>
  <c r="Y69" i="3"/>
  <c r="X69" i="3"/>
  <c r="W69" i="3"/>
  <c r="V69" i="3"/>
  <c r="U69" i="3"/>
  <c r="T69" i="3"/>
  <c r="T82" i="3" s="1"/>
  <c r="AN69" i="3"/>
  <c r="AM69" i="3"/>
  <c r="AL69" i="3"/>
  <c r="AK69" i="3"/>
  <c r="AJ69" i="3"/>
  <c r="AH69" i="3"/>
  <c r="AI69" i="3"/>
  <c r="R65" i="3"/>
  <c r="R64" i="3"/>
  <c r="P68" i="3"/>
  <c r="Q61" i="3" s="1"/>
  <c r="P49" i="3"/>
  <c r="L49" i="3"/>
  <c r="K49" i="3"/>
  <c r="J49" i="3"/>
  <c r="I49" i="3"/>
  <c r="H49" i="3"/>
  <c r="G49" i="3"/>
  <c r="F49" i="3"/>
  <c r="H67" i="3"/>
  <c r="G67" i="3"/>
  <c r="H59" i="3"/>
  <c r="G59" i="3"/>
  <c r="H58" i="3"/>
  <c r="G58" i="3"/>
  <c r="H57" i="3"/>
  <c r="G57" i="3"/>
  <c r="H55" i="3"/>
  <c r="G55" i="3"/>
  <c r="H54" i="3"/>
  <c r="G54" i="3"/>
  <c r="H53" i="3"/>
  <c r="G53" i="3"/>
  <c r="H51" i="3"/>
  <c r="G51" i="3"/>
  <c r="H48" i="3"/>
  <c r="G48" i="3"/>
  <c r="H46" i="3"/>
  <c r="G46" i="3"/>
  <c r="L59" i="3"/>
  <c r="K59" i="3"/>
  <c r="J59" i="3"/>
  <c r="I59" i="3"/>
  <c r="F59" i="3"/>
  <c r="L58" i="3"/>
  <c r="K58" i="3"/>
  <c r="J58" i="3"/>
  <c r="I58" i="3"/>
  <c r="F58" i="3"/>
  <c r="L57" i="3"/>
  <c r="K57" i="3"/>
  <c r="J57" i="3"/>
  <c r="I57" i="3"/>
  <c r="F57" i="3"/>
  <c r="L51" i="3"/>
  <c r="K51" i="3"/>
  <c r="J51" i="3"/>
  <c r="I51" i="3"/>
  <c r="F51" i="3"/>
  <c r="S40" i="3"/>
  <c r="S41" i="3" s="1"/>
  <c r="S71" i="3" s="1"/>
  <c r="Q47" i="3" l="1"/>
  <c r="Q62" i="3"/>
  <c r="AN82" i="3"/>
  <c r="AA82" i="3"/>
  <c r="AG82" i="3"/>
  <c r="AM82" i="3"/>
  <c r="Z82" i="3"/>
  <c r="Q78" i="3"/>
  <c r="Q77" i="3"/>
  <c r="Q75" i="3"/>
  <c r="Q81" i="3"/>
  <c r="Q58" i="3"/>
  <c r="Q50" i="3"/>
  <c r="Q48" i="3"/>
  <c r="Q59" i="3"/>
  <c r="Q57" i="3"/>
  <c r="Q49" i="3"/>
  <c r="Q60" i="3"/>
  <c r="Q56" i="3"/>
  <c r="Q46" i="3"/>
  <c r="Q55" i="3"/>
  <c r="Q52" i="3"/>
  <c r="Q54" i="3"/>
  <c r="Q51" i="3"/>
  <c r="Q53" i="3"/>
  <c r="Q69" i="3"/>
  <c r="AE82" i="3"/>
  <c r="AT82" i="3"/>
  <c r="BB82" i="3"/>
  <c r="W82" i="3"/>
  <c r="AJ82" i="3"/>
  <c r="AH82" i="3"/>
  <c r="V82" i="3"/>
  <c r="AD82" i="3"/>
  <c r="AC82" i="3"/>
  <c r="X82" i="3"/>
  <c r="AF82" i="3"/>
  <c r="AO82" i="3"/>
  <c r="AZ82" i="3"/>
  <c r="AR82" i="3"/>
  <c r="AS82" i="3"/>
  <c r="BA82" i="3"/>
  <c r="AU82" i="3"/>
  <c r="AP82" i="3"/>
  <c r="AX82" i="3"/>
  <c r="U82" i="3"/>
  <c r="AW82" i="3"/>
  <c r="EY82" i="3"/>
  <c r="AL82" i="3"/>
  <c r="Y82" i="3"/>
  <c r="AI82" i="3"/>
  <c r="AK82" i="3"/>
  <c r="R63" i="3"/>
  <c r="S2" i="3"/>
  <c r="GU38" i="3"/>
  <c r="GU82" i="3"/>
  <c r="T1" i="3"/>
  <c r="T2" i="3" l="1"/>
  <c r="T70" i="3"/>
  <c r="U1" i="3"/>
  <c r="T40" i="3"/>
  <c r="T41" i="3" s="1"/>
  <c r="T71" i="3" s="1"/>
  <c r="P6" i="3"/>
  <c r="P8" i="3"/>
  <c r="U40" i="3" l="1"/>
  <c r="U41" i="3" s="1"/>
  <c r="U71" i="3" s="1"/>
  <c r="U70"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V38" i="3"/>
  <c r="GW38" i="3"/>
  <c r="GX38" i="3"/>
  <c r="GY38" i="3"/>
  <c r="GZ38" i="3"/>
  <c r="HA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8" i="3"/>
  <c r="P59" i="3"/>
  <c r="P63" i="3"/>
  <c r="P64" i="3"/>
  <c r="P65" i="3"/>
  <c r="F67" i="3"/>
  <c r="I67" i="3"/>
  <c r="J67" i="3"/>
  <c r="K67" i="3"/>
  <c r="L67" i="3"/>
  <c r="P67" i="3"/>
  <c r="F73" i="3"/>
  <c r="I73" i="3"/>
  <c r="J73" i="3"/>
  <c r="K73" i="3"/>
  <c r="L73" i="3"/>
  <c r="P73" i="3"/>
  <c r="F74" i="3"/>
  <c r="I74" i="3"/>
  <c r="J74" i="3"/>
  <c r="K74" i="3"/>
  <c r="L74" i="3"/>
  <c r="P74" i="3"/>
  <c r="P75" i="3"/>
  <c r="F76" i="3"/>
  <c r="I76" i="3"/>
  <c r="J76" i="3"/>
  <c r="K76" i="3"/>
  <c r="L76" i="3"/>
  <c r="P76" i="3"/>
  <c r="F77" i="3"/>
  <c r="I77" i="3"/>
  <c r="J77" i="3"/>
  <c r="K77" i="3"/>
  <c r="L77" i="3"/>
  <c r="P77" i="3"/>
  <c r="F78" i="3"/>
  <c r="I78" i="3"/>
  <c r="J78" i="3"/>
  <c r="K78" i="3"/>
  <c r="L78" i="3"/>
  <c r="P78" i="3"/>
  <c r="P79" i="3"/>
  <c r="S81" i="3"/>
  <c r="S82" i="3" s="1"/>
  <c r="BC82" i="3"/>
  <c r="BD82" i="3"/>
  <c r="BE82" i="3"/>
  <c r="BF82" i="3"/>
  <c r="BG82" i="3"/>
  <c r="BH82" i="3"/>
  <c r="BI82" i="3"/>
  <c r="BJ82" i="3"/>
  <c r="BK82" i="3"/>
  <c r="BL82" i="3"/>
  <c r="BM82" i="3"/>
  <c r="BN82" i="3"/>
  <c r="BO82" i="3"/>
  <c r="BQ82" i="3"/>
  <c r="BR82" i="3"/>
  <c r="BS82" i="3"/>
  <c r="BT82" i="3"/>
  <c r="BU82" i="3"/>
  <c r="BV82" i="3"/>
  <c r="BY82" i="3"/>
  <c r="BZ82" i="3"/>
  <c r="CA82" i="3"/>
  <c r="CB82" i="3"/>
  <c r="CC82" i="3"/>
  <c r="CD82" i="3"/>
  <c r="CE82" i="3"/>
  <c r="CH82" i="3"/>
  <c r="CI82" i="3"/>
  <c r="CJ82" i="3"/>
  <c r="CK82" i="3"/>
  <c r="CL82" i="3"/>
  <c r="CM82" i="3"/>
  <c r="CN82" i="3"/>
  <c r="CQ82" i="3"/>
  <c r="CR82" i="3"/>
  <c r="CS82" i="3"/>
  <c r="CT82" i="3"/>
  <c r="CU82" i="3"/>
  <c r="CV82" i="3"/>
  <c r="CY82" i="3"/>
  <c r="CZ82" i="3"/>
  <c r="DA82" i="3"/>
  <c r="DB82" i="3"/>
  <c r="DC82" i="3"/>
  <c r="DD82" i="3"/>
  <c r="DE82" i="3"/>
  <c r="DF82" i="3"/>
  <c r="DI82" i="3"/>
  <c r="DJ82" i="3"/>
  <c r="DK82" i="3"/>
  <c r="DL82" i="3"/>
  <c r="DM82" i="3"/>
  <c r="DN82" i="3"/>
  <c r="DO82" i="3"/>
  <c r="DR82" i="3"/>
  <c r="DS82" i="3"/>
  <c r="DT82" i="3"/>
  <c r="DU82" i="3"/>
  <c r="DV82" i="3"/>
  <c r="DW82" i="3"/>
  <c r="DZ82" i="3"/>
  <c r="EA82" i="3"/>
  <c r="EB82" i="3"/>
  <c r="EC82" i="3"/>
  <c r="ED82" i="3"/>
  <c r="EE82" i="3"/>
  <c r="EF82" i="3"/>
  <c r="EI82" i="3"/>
  <c r="EJ82" i="3"/>
  <c r="EK82" i="3"/>
  <c r="EL82" i="3"/>
  <c r="EM82" i="3"/>
  <c r="EN82" i="3"/>
  <c r="EO82" i="3"/>
  <c r="EP82" i="3"/>
  <c r="ES82" i="3"/>
  <c r="ET82" i="3"/>
  <c r="EU82" i="3"/>
  <c r="EV82" i="3"/>
  <c r="EW82" i="3"/>
  <c r="EX82" i="3"/>
  <c r="FB82" i="3"/>
  <c r="FC82" i="3"/>
  <c r="FD82" i="3"/>
  <c r="FE82" i="3"/>
  <c r="FF82" i="3"/>
  <c r="FG82" i="3"/>
  <c r="FH82" i="3"/>
  <c r="FK82" i="3"/>
  <c r="FL82" i="3"/>
  <c r="FM82" i="3"/>
  <c r="FN82" i="3"/>
  <c r="FO82" i="3"/>
  <c r="FP82" i="3"/>
  <c r="FQ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M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JO82" i="3"/>
  <c r="JP82" i="3"/>
  <c r="JQ82" i="3"/>
  <c r="JR82" i="3"/>
  <c r="JS82" i="3"/>
  <c r="JT82" i="3"/>
  <c r="JU82" i="3"/>
  <c r="JV82" i="3"/>
  <c r="JW82" i="3"/>
  <c r="JX82" i="3"/>
  <c r="JY82" i="3"/>
  <c r="JZ82" i="3"/>
  <c r="KA82" i="3"/>
  <c r="KB82" i="3"/>
  <c r="KC82" i="3"/>
  <c r="KD82" i="3"/>
  <c r="KE82" i="3"/>
  <c r="KF82" i="3"/>
  <c r="KG82" i="3"/>
  <c r="KH82" i="3"/>
  <c r="KI82" i="3"/>
  <c r="KJ82" i="3"/>
  <c r="KK82" i="3"/>
  <c r="KL82" i="3"/>
  <c r="KM82" i="3"/>
  <c r="KN82" i="3"/>
  <c r="KO82" i="3"/>
  <c r="KP82" i="3"/>
  <c r="KQ82" i="3"/>
  <c r="KR82" i="3"/>
  <c r="KS82" i="3"/>
  <c r="KT82" i="3"/>
  <c r="KU82" i="3"/>
  <c r="KV82" i="3"/>
  <c r="KW82" i="3"/>
  <c r="KX82" i="3"/>
  <c r="KY82" i="3"/>
  <c r="KZ82" i="3"/>
  <c r="LA82" i="3"/>
  <c r="LB82" i="3"/>
  <c r="LC82" i="3"/>
  <c r="LD82" i="3"/>
  <c r="LE82" i="3"/>
  <c r="LF82" i="3"/>
  <c r="LG82" i="3"/>
  <c r="LH82" i="3"/>
  <c r="LI82" i="3"/>
  <c r="LJ82" i="3"/>
  <c r="LK82" i="3"/>
  <c r="LL82" i="3"/>
  <c r="LM82" i="3"/>
  <c r="LN82" i="3"/>
  <c r="LO82" i="3"/>
  <c r="LP82" i="3"/>
  <c r="LQ82" i="3"/>
  <c r="LR82" i="3"/>
  <c r="LS82" i="3"/>
  <c r="LT82" i="3"/>
  <c r="LU82" i="3"/>
  <c r="LV82" i="3"/>
  <c r="LW82" i="3"/>
  <c r="LX82" i="3"/>
  <c r="LY82" i="3"/>
  <c r="LZ82" i="3"/>
  <c r="MA82" i="3"/>
  <c r="MB82" i="3"/>
  <c r="MC82" i="3"/>
  <c r="MD82" i="3"/>
  <c r="ME82" i="3"/>
  <c r="MF82" i="3"/>
  <c r="MG82" i="3"/>
  <c r="MH82" i="3"/>
  <c r="MI82" i="3"/>
  <c r="MJ82" i="3"/>
  <c r="MK82" i="3"/>
  <c r="ML82" i="3"/>
  <c r="MM82" i="3"/>
  <c r="MN82" i="3"/>
  <c r="MO82" i="3"/>
  <c r="MP82" i="3"/>
  <c r="MQ82" i="3"/>
  <c r="MR82" i="3"/>
  <c r="MS82" i="3"/>
  <c r="MT82" i="3"/>
  <c r="P85" i="3"/>
  <c r="P86" i="3"/>
  <c r="P87" i="3"/>
  <c r="P88" i="3"/>
  <c r="P90" i="3"/>
  <c r="P91" i="3"/>
  <c r="P92" i="3"/>
  <c r="Q89" i="3" s="1"/>
  <c r="Q32" i="3" l="1"/>
  <c r="Q31" i="3"/>
  <c r="Q33" i="3"/>
  <c r="Q90" i="3"/>
  <c r="Q85" i="3"/>
  <c r="V40" i="3"/>
  <c r="V41" i="3" s="1"/>
  <c r="V71" i="3" s="1"/>
  <c r="V70" i="3"/>
  <c r="V2" i="3"/>
  <c r="W1" i="3"/>
  <c r="H38" i="3"/>
  <c r="G38" i="3"/>
  <c r="K38" i="3"/>
  <c r="L38" i="3"/>
  <c r="I38" i="3"/>
  <c r="F38" i="3"/>
  <c r="J38" i="3"/>
  <c r="W40" i="3" l="1"/>
  <c r="W41" i="3" s="1"/>
  <c r="W71" i="3" s="1"/>
  <c r="W70" i="3"/>
  <c r="W2" i="3"/>
  <c r="X1" i="3"/>
  <c r="X40" i="3" l="1"/>
  <c r="X41" i="3" s="1"/>
  <c r="X71" i="3" s="1"/>
  <c r="X70" i="3"/>
  <c r="X2" i="3"/>
  <c r="Y1" i="3"/>
  <c r="Y2" i="3" s="1"/>
  <c r="Y40" i="3" l="1"/>
  <c r="Y41" i="3" s="1"/>
  <c r="Y71" i="3" s="1"/>
  <c r="Y70" i="3"/>
  <c r="Z1" i="3"/>
  <c r="Z40" i="3" l="1"/>
  <c r="Z41" i="3" s="1"/>
  <c r="Z71" i="3" s="1"/>
  <c r="Z70" i="3"/>
  <c r="Z2" i="3"/>
  <c r="AA1" i="3"/>
  <c r="AA40" i="3" l="1"/>
  <c r="AA41" i="3" s="1"/>
  <c r="AA71" i="3" s="1"/>
  <c r="AA70" i="3"/>
  <c r="AA2" i="3"/>
  <c r="AB1" i="3"/>
  <c r="AB40" i="3" l="1"/>
  <c r="AB41" i="3" s="1"/>
  <c r="AB71" i="3" s="1"/>
  <c r="AB70" i="3"/>
  <c r="AB2" i="3"/>
  <c r="AC1" i="3"/>
  <c r="AC40" i="3" l="1"/>
  <c r="AC41" i="3" s="1"/>
  <c r="AC71" i="3" s="1"/>
  <c r="AC70" i="3"/>
  <c r="AD1" i="3"/>
  <c r="AC2" i="3"/>
  <c r="AD40" i="3" l="1"/>
  <c r="AD41" i="3" s="1"/>
  <c r="AD71" i="3" s="1"/>
  <c r="AD70" i="3"/>
  <c r="AD2" i="3"/>
  <c r="AE1" i="3"/>
  <c r="AE40" i="3" l="1"/>
  <c r="AE41" i="3" s="1"/>
  <c r="AE71" i="3" s="1"/>
  <c r="AE70" i="3"/>
  <c r="AE2" i="3"/>
  <c r="AF1" i="3"/>
  <c r="AF40" i="3" l="1"/>
  <c r="AF41" i="3" s="1"/>
  <c r="AF71" i="3" s="1"/>
  <c r="AF70" i="3"/>
  <c r="AF2" i="3"/>
  <c r="AG1" i="3"/>
  <c r="AG40" i="3" l="1"/>
  <c r="AG41" i="3" s="1"/>
  <c r="AG71" i="3" s="1"/>
  <c r="AG70" i="3"/>
  <c r="AG2" i="3"/>
  <c r="AH1" i="3"/>
  <c r="AH40" i="3" l="1"/>
  <c r="AH41" i="3" s="1"/>
  <c r="AH71" i="3" s="1"/>
  <c r="AH70" i="3"/>
  <c r="AH2" i="3"/>
  <c r="AI1" i="3"/>
  <c r="AI40" i="3" l="1"/>
  <c r="AI41" i="3" s="1"/>
  <c r="AI71" i="3" s="1"/>
  <c r="AI70" i="3"/>
  <c r="AI2" i="3"/>
  <c r="AJ1" i="3"/>
  <c r="AJ40" i="3" l="1"/>
  <c r="AJ41" i="3" s="1"/>
  <c r="AJ71" i="3" s="1"/>
  <c r="AJ70" i="3"/>
  <c r="AJ2" i="3"/>
  <c r="AK1" i="3"/>
  <c r="AK40" i="3" l="1"/>
  <c r="AK41" i="3" s="1"/>
  <c r="AK71" i="3" s="1"/>
  <c r="AK70" i="3"/>
  <c r="AK2" i="3"/>
  <c r="AL1" i="3"/>
  <c r="AL40" i="3" l="1"/>
  <c r="AL41" i="3" s="1"/>
  <c r="AL71" i="3" s="1"/>
  <c r="AL70" i="3"/>
  <c r="AL2" i="3"/>
  <c r="AM1" i="3"/>
  <c r="AM40" i="3" l="1"/>
  <c r="AM41" i="3" s="1"/>
  <c r="AM71" i="3" s="1"/>
  <c r="AM70" i="3"/>
  <c r="AM2" i="3"/>
  <c r="AN1" i="3"/>
  <c r="AN40" i="3" l="1"/>
  <c r="AN41" i="3" s="1"/>
  <c r="AN71" i="3" s="1"/>
  <c r="AN70" i="3"/>
  <c r="AN2" i="3"/>
  <c r="AO1" i="3"/>
  <c r="AO40" i="3" l="1"/>
  <c r="AO41" i="3" s="1"/>
  <c r="AO71" i="3" s="1"/>
  <c r="AO70" i="3"/>
  <c r="AO2" i="3"/>
  <c r="AP1" i="3"/>
  <c r="AQ1" i="3" s="1"/>
  <c r="AP2" i="3" l="1"/>
  <c r="AQ40" i="3"/>
  <c r="AQ41" i="3" s="1"/>
  <c r="AQ71" i="3" s="1"/>
  <c r="AQ70" i="3"/>
  <c r="AP40" i="3"/>
  <c r="AP41" i="3" s="1"/>
  <c r="AP71" i="3" s="1"/>
  <c r="AP70" i="3"/>
  <c r="AR1" i="3"/>
  <c r="AQ2" i="3"/>
  <c r="AR40" i="3" l="1"/>
  <c r="AR41" i="3" s="1"/>
  <c r="AR71" i="3" s="1"/>
  <c r="AR70" i="3"/>
  <c r="AS1" i="3"/>
  <c r="AR2" i="3"/>
  <c r="AS40" i="3" l="1"/>
  <c r="AS41" i="3" s="1"/>
  <c r="AS71" i="3" s="1"/>
  <c r="AS70" i="3"/>
  <c r="AT1" i="3"/>
  <c r="AS2" i="3"/>
  <c r="AT40" i="3" l="1"/>
  <c r="AT41" i="3" s="1"/>
  <c r="AT71" i="3" s="1"/>
  <c r="AT70" i="3"/>
  <c r="AU1" i="3"/>
  <c r="AT2" i="3"/>
  <c r="AU40" i="3" l="1"/>
  <c r="AU41" i="3" s="1"/>
  <c r="AU71" i="3" s="1"/>
  <c r="AU70" i="3"/>
  <c r="AV1" i="3"/>
  <c r="AU2" i="3"/>
  <c r="AV40" i="3" l="1"/>
  <c r="AV41" i="3" s="1"/>
  <c r="AV71" i="3" s="1"/>
  <c r="AV70" i="3"/>
  <c r="AW1" i="3"/>
  <c r="AV2" i="3"/>
  <c r="AW40" i="3" l="1"/>
  <c r="AW41" i="3" s="1"/>
  <c r="AW71" i="3" s="1"/>
  <c r="AW70" i="3"/>
  <c r="AX1" i="3"/>
  <c r="AW2" i="3"/>
  <c r="AX40" i="3" l="1"/>
  <c r="AX41" i="3" s="1"/>
  <c r="AX71" i="3" s="1"/>
  <c r="AX70" i="3"/>
  <c r="AY1" i="3"/>
  <c r="AX2" i="3"/>
  <c r="AY40" i="3" l="1"/>
  <c r="AY41" i="3" s="1"/>
  <c r="AY71" i="3" s="1"/>
  <c r="AY70" i="3"/>
  <c r="AZ1" i="3"/>
  <c r="AY2" i="3"/>
  <c r="AZ40" i="3" l="1"/>
  <c r="AZ41" i="3" s="1"/>
  <c r="AZ71" i="3" s="1"/>
  <c r="AZ70" i="3"/>
  <c r="BA1" i="3"/>
  <c r="AZ2" i="3"/>
  <c r="BA40" i="3" l="1"/>
  <c r="BA41" i="3" s="1"/>
  <c r="BA71" i="3" s="1"/>
  <c r="BA70" i="3"/>
  <c r="BB1" i="3"/>
  <c r="BA2" i="3"/>
  <c r="BB40" i="3" l="1"/>
  <c r="BB41" i="3" s="1"/>
  <c r="BB71" i="3" s="1"/>
  <c r="BB70" i="3"/>
  <c r="BC1" i="3"/>
  <c r="BB2" i="3"/>
  <c r="BC40" i="3" l="1"/>
  <c r="BC41" i="3" s="1"/>
  <c r="BC71" i="3" s="1"/>
  <c r="BC70" i="3"/>
  <c r="BD1" i="3"/>
  <c r="BC2" i="3"/>
  <c r="BD40" i="3" l="1"/>
  <c r="BD41" i="3" s="1"/>
  <c r="BD71" i="3" s="1"/>
  <c r="BD70" i="3"/>
  <c r="BE1" i="3"/>
  <c r="BD2" i="3"/>
  <c r="BE40" i="3" l="1"/>
  <c r="BE41" i="3" s="1"/>
  <c r="BE71" i="3" s="1"/>
  <c r="BE70" i="3"/>
  <c r="BF1" i="3"/>
  <c r="BE2" i="3"/>
  <c r="BF40" i="3" l="1"/>
  <c r="BF41" i="3" s="1"/>
  <c r="BF71" i="3" s="1"/>
  <c r="BF70" i="3"/>
  <c r="BG1" i="3"/>
  <c r="BF2" i="3"/>
  <c r="BG40" i="3" l="1"/>
  <c r="BG41" i="3" s="1"/>
  <c r="BG71" i="3" s="1"/>
  <c r="BG70" i="3"/>
  <c r="BH1" i="3"/>
  <c r="BG2" i="3"/>
  <c r="BH40" i="3" l="1"/>
  <c r="BH41" i="3" s="1"/>
  <c r="BH71" i="3" s="1"/>
  <c r="BH70" i="3"/>
  <c r="BI1" i="3"/>
  <c r="BH2" i="3"/>
  <c r="BI40" i="3" l="1"/>
  <c r="BI41" i="3" s="1"/>
  <c r="BI71" i="3" s="1"/>
  <c r="BI70" i="3"/>
  <c r="BJ1" i="3"/>
  <c r="BI2" i="3"/>
  <c r="BJ40" i="3" l="1"/>
  <c r="BJ41" i="3" s="1"/>
  <c r="BJ71" i="3" s="1"/>
  <c r="BJ70" i="3"/>
  <c r="BK1" i="3"/>
  <c r="BJ2" i="3"/>
  <c r="BK40" i="3" l="1"/>
  <c r="BK41" i="3" s="1"/>
  <c r="BK71" i="3" s="1"/>
  <c r="BK70" i="3"/>
  <c r="BL1" i="3"/>
  <c r="BK2" i="3"/>
  <c r="BL40" i="3" l="1"/>
  <c r="BL41" i="3" s="1"/>
  <c r="BL71" i="3" s="1"/>
  <c r="BL70" i="3"/>
  <c r="BM1" i="3"/>
  <c r="BL2" i="3"/>
  <c r="BM40" i="3" l="1"/>
  <c r="BM41" i="3" s="1"/>
  <c r="BM71" i="3" s="1"/>
  <c r="BM70" i="3"/>
  <c r="BN1" i="3"/>
  <c r="BM2" i="3"/>
  <c r="BN40" i="3" l="1"/>
  <c r="BN41" i="3" s="1"/>
  <c r="BN71" i="3" s="1"/>
  <c r="BN70" i="3"/>
  <c r="BO1" i="3"/>
  <c r="BP1" i="3" s="1"/>
  <c r="BP70" i="3" s="1"/>
  <c r="BN2" i="3"/>
  <c r="BQ1" i="3" l="1"/>
  <c r="BP40" i="3"/>
  <c r="BO40" i="3"/>
  <c r="BO41" i="3" s="1"/>
  <c r="BO71" i="3" s="1"/>
  <c r="BO70" i="3"/>
  <c r="BO2" i="3"/>
  <c r="BQ40" i="3" l="1"/>
  <c r="BQ41" i="3" s="1"/>
  <c r="BQ71" i="3" s="1"/>
  <c r="BQ70" i="3"/>
  <c r="BR1" i="3"/>
  <c r="BQ2" i="3"/>
  <c r="BR40" i="3" l="1"/>
  <c r="BR41" i="3" s="1"/>
  <c r="BR71" i="3" s="1"/>
  <c r="BR70" i="3"/>
  <c r="BS1" i="3"/>
  <c r="BR2" i="3"/>
  <c r="BS40" i="3" l="1"/>
  <c r="BS41" i="3" s="1"/>
  <c r="BS71" i="3" s="1"/>
  <c r="BS70" i="3"/>
  <c r="BT1" i="3"/>
  <c r="BS2" i="3"/>
  <c r="BT40" i="3" l="1"/>
  <c r="BT41" i="3" s="1"/>
  <c r="BT71" i="3" s="1"/>
  <c r="BT70" i="3"/>
  <c r="BU1" i="3"/>
  <c r="BT2" i="3"/>
  <c r="BU40" i="3" l="1"/>
  <c r="BU41" i="3" s="1"/>
  <c r="BU71" i="3" s="1"/>
  <c r="BU70" i="3"/>
  <c r="BV1" i="3"/>
  <c r="BW1" i="3" s="1"/>
  <c r="BU2" i="3"/>
  <c r="BW40" i="3" l="1"/>
  <c r="BW70" i="3"/>
  <c r="BZ1" i="3"/>
  <c r="BW2" i="3"/>
  <c r="BV40" i="3"/>
  <c r="BV41" i="3" s="1"/>
  <c r="BV71" i="3" s="1"/>
  <c r="BV70"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1" i="3" s="1"/>
  <c r="DS70" i="3"/>
  <c r="DT1" i="3"/>
  <c r="DS2" i="3"/>
  <c r="DT40" i="3" l="1"/>
  <c r="DT41" i="3" s="1"/>
  <c r="DT71" i="3" s="1"/>
  <c r="DT70" i="3"/>
  <c r="DU1" i="3"/>
  <c r="DT2" i="3"/>
  <c r="DU40" i="3" l="1"/>
  <c r="DU41" i="3" s="1"/>
  <c r="DU71" i="3" s="1"/>
  <c r="DU70" i="3"/>
  <c r="DV1" i="3"/>
  <c r="DU2" i="3"/>
  <c r="DV40" i="3" l="1"/>
  <c r="DV41" i="3" s="1"/>
  <c r="DV71" i="3" s="1"/>
  <c r="DV70" i="3"/>
  <c r="DW1" i="3"/>
  <c r="DX1" i="3" s="1"/>
  <c r="DV2" i="3"/>
  <c r="DX2" i="3" l="1"/>
  <c r="DX40" i="3"/>
  <c r="DX41" i="3" s="1"/>
  <c r="DX71" i="3" s="1"/>
  <c r="DX70" i="3"/>
  <c r="DY1" i="3"/>
  <c r="DW40" i="3"/>
  <c r="DW41" i="3" s="1"/>
  <c r="DW71" i="3" s="1"/>
  <c r="DW70" i="3"/>
  <c r="DW2" i="3"/>
  <c r="DY70" i="3" l="1"/>
  <c r="DY40" i="3"/>
  <c r="DY41" i="3" s="1"/>
  <c r="DY71" i="3" s="1"/>
  <c r="EB1" i="3"/>
  <c r="EB40" i="3" s="1"/>
  <c r="EB41" i="3" s="1"/>
  <c r="EB71" i="3" s="1"/>
  <c r="DY2" i="3"/>
  <c r="EB2" i="3" l="1"/>
  <c r="EC1" i="3"/>
  <c r="EB70" i="3"/>
  <c r="EC40" i="3"/>
  <c r="EC41" i="3" s="1"/>
  <c r="EC71" i="3" s="1"/>
  <c r="EC70" i="3"/>
  <c r="ED1" i="3"/>
  <c r="EC2" i="3"/>
  <c r="ED40" i="3" l="1"/>
  <c r="ED41" i="3" s="1"/>
  <c r="ED71" i="3" s="1"/>
  <c r="ED70" i="3"/>
  <c r="EE1" i="3"/>
  <c r="ED2" i="3"/>
  <c r="EE40" i="3" l="1"/>
  <c r="EE41" i="3" s="1"/>
  <c r="EE71" i="3" s="1"/>
  <c r="EE70" i="3"/>
  <c r="EF1" i="3"/>
  <c r="EG1" i="3" s="1"/>
  <c r="EG70" i="3" s="1"/>
  <c r="EE2" i="3"/>
  <c r="EG40" i="3" l="1"/>
  <c r="EG41" i="3" s="1"/>
  <c r="EG71" i="3" s="1"/>
  <c r="EH1" i="3"/>
  <c r="EH70" i="3" s="1"/>
  <c r="EG2" i="3"/>
  <c r="EF40" i="3"/>
  <c r="EF41" i="3" s="1"/>
  <c r="EF71" i="3" s="1"/>
  <c r="EF70" i="3"/>
  <c r="EF2" i="3"/>
  <c r="EH40" i="3" l="1"/>
  <c r="EH41" i="3" s="1"/>
  <c r="EH71" i="3" s="1"/>
  <c r="EK1" i="3"/>
  <c r="EH2" i="3"/>
  <c r="EK40" i="3" l="1"/>
  <c r="EK41" i="3" s="1"/>
  <c r="EK71" i="3" s="1"/>
  <c r="EK70" i="3"/>
  <c r="EL1" i="3"/>
  <c r="EK2" i="3"/>
  <c r="EL40" i="3" l="1"/>
  <c r="EL41" i="3" s="1"/>
  <c r="EL71" i="3" s="1"/>
  <c r="EL70" i="3"/>
  <c r="EM1" i="3"/>
  <c r="EL2" i="3"/>
  <c r="EM40" i="3" l="1"/>
  <c r="EM41" i="3" s="1"/>
  <c r="EM71" i="3" s="1"/>
  <c r="EM70" i="3"/>
  <c r="EN1" i="3"/>
  <c r="EM2" i="3"/>
  <c r="EN40" i="3" l="1"/>
  <c r="EN41" i="3" s="1"/>
  <c r="EN71" i="3" s="1"/>
  <c r="EN70" i="3"/>
  <c r="EO1" i="3"/>
  <c r="EN2" i="3"/>
  <c r="EO40" i="3" l="1"/>
  <c r="EO41" i="3" s="1"/>
  <c r="EO71" i="3" s="1"/>
  <c r="EO70" i="3"/>
  <c r="EP1" i="3"/>
  <c r="EQ1" i="3" s="1"/>
  <c r="EO2" i="3"/>
  <c r="ET1" i="3" l="1"/>
  <c r="EQ40" i="3"/>
  <c r="EQ41" i="3" s="1"/>
  <c r="EQ71" i="3" s="1"/>
  <c r="EQ70" i="3"/>
  <c r="EQ2" i="3"/>
  <c r="EP40" i="3"/>
  <c r="EP41" i="3" s="1"/>
  <c r="EP71" i="3" s="1"/>
  <c r="EP70" i="3"/>
  <c r="EP2" i="3"/>
  <c r="ET40" i="3" l="1"/>
  <c r="ET41" i="3" s="1"/>
  <c r="ET71" i="3" s="1"/>
  <c r="ET70" i="3"/>
  <c r="EU1" i="3"/>
  <c r="ET2" i="3"/>
  <c r="EU40" i="3" l="1"/>
  <c r="EU41" i="3" s="1"/>
  <c r="EU71" i="3" s="1"/>
  <c r="EU70" i="3"/>
  <c r="EV1" i="3"/>
  <c r="EU2" i="3"/>
  <c r="EV40" i="3" l="1"/>
  <c r="EV41" i="3" s="1"/>
  <c r="EV71" i="3" s="1"/>
  <c r="EV70" i="3"/>
  <c r="EW1" i="3"/>
  <c r="EW70" i="3" s="1"/>
  <c r="EV2" i="3"/>
  <c r="EW40" i="3" l="1"/>
  <c r="EW41" i="3" s="1"/>
  <c r="EW71" i="3" s="1"/>
  <c r="EX1" i="3"/>
  <c r="EX70" i="3" s="1"/>
  <c r="EW2" i="3"/>
  <c r="EX40" i="3" l="1"/>
  <c r="EX41" i="3" s="1"/>
  <c r="EX71" i="3" s="1"/>
  <c r="EY1" i="3"/>
  <c r="EX2" i="3"/>
  <c r="EY70" i="3" l="1"/>
  <c r="EZ1" i="3"/>
  <c r="EY2" i="3"/>
  <c r="EY40" i="3"/>
  <c r="EY41" i="3" s="1"/>
  <c r="EY71" i="3" s="1"/>
  <c r="EZ2" i="3" l="1"/>
  <c r="EZ70" i="3"/>
  <c r="EZ40" i="3"/>
  <c r="EZ41" i="3" s="1"/>
  <c r="EZ71" i="3" s="1"/>
  <c r="FC1" i="3"/>
  <c r="FC70" i="3" s="1"/>
  <c r="FC2" i="3" l="1"/>
  <c r="FD1" i="3"/>
  <c r="FD40" i="3" s="1"/>
  <c r="FD41" i="3" s="1"/>
  <c r="FD71" i="3" s="1"/>
  <c r="FC40" i="3"/>
  <c r="FC41" i="3" s="1"/>
  <c r="FC71" i="3" s="1"/>
  <c r="FD2" i="3" l="1"/>
  <c r="FE1" i="3"/>
  <c r="FE40" i="3" s="1"/>
  <c r="FE41" i="3" s="1"/>
  <c r="FE71" i="3" s="1"/>
  <c r="FD70" i="3"/>
  <c r="FE70" i="3"/>
  <c r="FF1" i="3"/>
  <c r="FE2" i="3"/>
  <c r="FF40" i="3" l="1"/>
  <c r="FF41" i="3" s="1"/>
  <c r="FF71" i="3" s="1"/>
  <c r="FF70" i="3"/>
  <c r="FG1" i="3"/>
  <c r="FF2" i="3"/>
  <c r="FG40" i="3" l="1"/>
  <c r="FG41" i="3" s="1"/>
  <c r="FG71" i="3" s="1"/>
  <c r="FG70" i="3"/>
  <c r="FH1" i="3"/>
  <c r="FI1" i="3" s="1"/>
  <c r="FG2" i="3"/>
  <c r="FI2" i="3" l="1"/>
  <c r="FI40" i="3"/>
  <c r="FI41" i="3" s="1"/>
  <c r="FI71" i="3" s="1"/>
  <c r="FL1" i="3"/>
  <c r="FI70" i="3"/>
  <c r="FH40" i="3"/>
  <c r="FH41" i="3" s="1"/>
  <c r="FH71" i="3" s="1"/>
  <c r="FH70" i="3"/>
  <c r="FH2" i="3"/>
  <c r="FL40" i="3" l="1"/>
  <c r="FL41" i="3" s="1"/>
  <c r="FL71" i="3" s="1"/>
  <c r="FL70" i="3"/>
  <c r="FM1" i="3"/>
  <c r="FL2" i="3"/>
  <c r="FM40" i="3" l="1"/>
  <c r="FM41" i="3" s="1"/>
  <c r="FM71" i="3" s="1"/>
  <c r="FM70" i="3"/>
  <c r="FN1" i="3"/>
  <c r="FM2" i="3"/>
  <c r="FN40" i="3" l="1"/>
  <c r="FN41" i="3" s="1"/>
  <c r="FN71" i="3" s="1"/>
  <c r="FN70" i="3"/>
  <c r="FO1" i="3"/>
  <c r="FN2" i="3"/>
  <c r="FO40" i="3" l="1"/>
  <c r="FO41" i="3" s="1"/>
  <c r="FO71" i="3" s="1"/>
  <c r="FO70" i="3"/>
  <c r="FP1" i="3"/>
  <c r="FO2" i="3"/>
  <c r="FP40" i="3" l="1"/>
  <c r="FP41" i="3" s="1"/>
  <c r="FP71" i="3" s="1"/>
  <c r="FP70" i="3"/>
  <c r="FQ1" i="3"/>
  <c r="FR1" i="3" s="1"/>
  <c r="FP2" i="3"/>
  <c r="FR40" i="3" l="1"/>
  <c r="FR41" i="3" s="1"/>
  <c r="FR70" i="3"/>
  <c r="FU1" i="3"/>
  <c r="FR2" i="3"/>
  <c r="FQ40" i="3"/>
  <c r="FQ41" i="3" s="1"/>
  <c r="FQ71" i="3" s="1"/>
  <c r="FQ70" i="3"/>
  <c r="FQ2" i="3"/>
  <c r="FU40" i="3" l="1"/>
  <c r="FU41" i="3" s="1"/>
  <c r="FU71" i="3" s="1"/>
  <c r="FU70" i="3"/>
  <c r="FV1" i="3"/>
  <c r="FU2" i="3"/>
  <c r="FV40" i="3" l="1"/>
  <c r="FV41" i="3" s="1"/>
  <c r="FV71" i="3" s="1"/>
  <c r="FV70" i="3"/>
  <c r="FW1" i="3"/>
  <c r="FV2" i="3"/>
  <c r="FW40" i="3" l="1"/>
  <c r="FW41" i="3" s="1"/>
  <c r="FW71" i="3" s="1"/>
  <c r="FW70" i="3"/>
  <c r="FX1" i="3"/>
  <c r="FW2" i="3"/>
  <c r="FX40" i="3" l="1"/>
  <c r="FX41" i="3" s="1"/>
  <c r="FX71" i="3" s="1"/>
  <c r="FX70" i="3"/>
  <c r="FY1" i="3"/>
  <c r="FX2" i="3"/>
  <c r="FY40" i="3" l="1"/>
  <c r="FY41" i="3" s="1"/>
  <c r="FY71" i="3" s="1"/>
  <c r="FY70" i="3"/>
  <c r="FZ1" i="3"/>
  <c r="FY2" i="3"/>
  <c r="FZ40" i="3" l="1"/>
  <c r="FZ41" i="3" s="1"/>
  <c r="FZ71" i="3" s="1"/>
  <c r="FZ70" i="3"/>
  <c r="GA1" i="3"/>
  <c r="FZ2" i="3"/>
  <c r="GA40" i="3" l="1"/>
  <c r="GA41" i="3" s="1"/>
  <c r="GA71" i="3" s="1"/>
  <c r="GA70" i="3"/>
  <c r="GB1" i="3"/>
  <c r="GA2" i="3"/>
  <c r="GB40" i="3" l="1"/>
  <c r="GB41" i="3" s="1"/>
  <c r="GB71" i="3" s="1"/>
  <c r="GB70" i="3"/>
  <c r="GC1" i="3"/>
  <c r="GB2" i="3"/>
  <c r="GC40" i="3" l="1"/>
  <c r="GC41" i="3" s="1"/>
  <c r="GC71" i="3" s="1"/>
  <c r="GC70" i="3"/>
  <c r="GD1" i="3"/>
  <c r="GC2" i="3"/>
  <c r="GD40" i="3" l="1"/>
  <c r="GD41" i="3" s="1"/>
  <c r="GD71" i="3" s="1"/>
  <c r="GD70" i="3"/>
  <c r="GE1" i="3"/>
  <c r="GD2" i="3"/>
  <c r="GE40" i="3" l="1"/>
  <c r="GE41" i="3" s="1"/>
  <c r="GE71" i="3" s="1"/>
  <c r="GE70" i="3"/>
  <c r="GF1" i="3"/>
  <c r="GE2" i="3"/>
  <c r="GF40" i="3" l="1"/>
  <c r="GF41" i="3" s="1"/>
  <c r="GF71" i="3" s="1"/>
  <c r="GF70" i="3"/>
  <c r="GG1" i="3"/>
  <c r="GF2" i="3"/>
  <c r="GG40" i="3" l="1"/>
  <c r="GG41" i="3" s="1"/>
  <c r="GG71" i="3" s="1"/>
  <c r="GG70" i="3"/>
  <c r="GH1" i="3"/>
  <c r="GG2" i="3"/>
  <c r="GH40" i="3" l="1"/>
  <c r="GH41" i="3" s="1"/>
  <c r="GH71" i="3" s="1"/>
  <c r="GH70" i="3"/>
  <c r="GI1" i="3"/>
  <c r="GH2" i="3"/>
  <c r="GI40" i="3" l="1"/>
  <c r="GI41" i="3" s="1"/>
  <c r="GI71" i="3" s="1"/>
  <c r="GI70" i="3"/>
  <c r="GJ1" i="3"/>
  <c r="GI2" i="3"/>
  <c r="GJ40" i="3" l="1"/>
  <c r="GJ41" i="3" s="1"/>
  <c r="GJ71" i="3" s="1"/>
  <c r="GJ70" i="3"/>
  <c r="GK1" i="3"/>
  <c r="GJ2" i="3"/>
  <c r="GK40" i="3" l="1"/>
  <c r="GK41" i="3" s="1"/>
  <c r="GK71" i="3" s="1"/>
  <c r="GK70" i="3"/>
  <c r="GL1" i="3"/>
  <c r="GK2" i="3"/>
  <c r="GL40" i="3" l="1"/>
  <c r="GL41" i="3" s="1"/>
  <c r="GL71" i="3" s="1"/>
  <c r="GL70" i="3"/>
  <c r="GM1" i="3"/>
  <c r="GL2" i="3"/>
  <c r="GM40" i="3" l="1"/>
  <c r="GM41" i="3" s="1"/>
  <c r="GM71" i="3" s="1"/>
  <c r="GM70" i="3"/>
  <c r="GN1" i="3"/>
  <c r="GM2" i="3"/>
  <c r="GN40" i="3" l="1"/>
  <c r="GN41" i="3" s="1"/>
  <c r="GN71" i="3" s="1"/>
  <c r="GN70" i="3"/>
  <c r="GO1" i="3"/>
  <c r="GN2" i="3"/>
  <c r="GO40" i="3" l="1"/>
  <c r="GO41" i="3" s="1"/>
  <c r="GO71" i="3" s="1"/>
  <c r="GO70" i="3"/>
  <c r="GP1" i="3"/>
  <c r="GO2" i="3"/>
  <c r="GP40" i="3" l="1"/>
  <c r="GP41" i="3" s="1"/>
  <c r="GP71" i="3" s="1"/>
  <c r="GP70" i="3"/>
  <c r="GQ1" i="3"/>
  <c r="GP2" i="3"/>
  <c r="GQ40" i="3" l="1"/>
  <c r="GQ41" i="3" s="1"/>
  <c r="GQ71" i="3" s="1"/>
  <c r="GQ70" i="3"/>
  <c r="GR1" i="3"/>
  <c r="GQ2" i="3"/>
  <c r="GR40" i="3" l="1"/>
  <c r="GR41" i="3" s="1"/>
  <c r="GR71" i="3" s="1"/>
  <c r="GR70" i="3"/>
  <c r="GS1" i="3"/>
  <c r="GR2" i="3"/>
  <c r="GS40" i="3" l="1"/>
  <c r="GS41" i="3" s="1"/>
  <c r="GS71" i="3" s="1"/>
  <c r="GS70" i="3"/>
  <c r="GT1" i="3"/>
  <c r="GS2" i="3"/>
  <c r="GT40" i="3" l="1"/>
  <c r="GT41" i="3" s="1"/>
  <c r="GT71" i="3" s="1"/>
  <c r="GT70" i="3"/>
  <c r="GU1" i="3"/>
  <c r="GT2" i="3"/>
  <c r="GU40" i="3" l="1"/>
  <c r="GU41" i="3" s="1"/>
  <c r="GU71" i="3" s="1"/>
  <c r="GU70" i="3"/>
  <c r="GV1" i="3"/>
  <c r="GU2" i="3"/>
  <c r="GV40" i="3" l="1"/>
  <c r="GV41" i="3" s="1"/>
  <c r="GV71" i="3" s="1"/>
  <c r="GV70" i="3"/>
  <c r="GW1" i="3"/>
  <c r="GV2" i="3"/>
  <c r="GW40" i="3" l="1"/>
  <c r="GW41" i="3" s="1"/>
  <c r="GW71" i="3" s="1"/>
  <c r="GW70" i="3"/>
  <c r="GX1" i="3"/>
  <c r="GW2" i="3"/>
  <c r="GX40" i="3" l="1"/>
  <c r="GX41" i="3" s="1"/>
  <c r="GX71" i="3" s="1"/>
  <c r="GX70" i="3"/>
  <c r="GY1" i="3"/>
  <c r="GX2" i="3"/>
  <c r="GY40" i="3" l="1"/>
  <c r="GY41" i="3" s="1"/>
  <c r="GY71" i="3" s="1"/>
  <c r="GY70" i="3"/>
  <c r="GZ1" i="3"/>
  <c r="GY2" i="3"/>
  <c r="GZ40" i="3" l="1"/>
  <c r="GZ41" i="3" s="1"/>
  <c r="GZ71" i="3" s="1"/>
  <c r="GZ70" i="3"/>
  <c r="HA1" i="3"/>
  <c r="GZ2" i="3"/>
  <c r="HA40" i="3" l="1"/>
  <c r="HA41" i="3" s="1"/>
  <c r="HA71" i="3" s="1"/>
  <c r="HA70" i="3"/>
  <c r="HB1" i="3"/>
  <c r="HA2" i="3"/>
  <c r="HB40" i="3" l="1"/>
  <c r="HB41" i="3" s="1"/>
  <c r="HB71" i="3" s="1"/>
  <c r="HB70" i="3"/>
  <c r="HC1" i="3"/>
  <c r="HB2" i="3"/>
  <c r="HC40" i="3" l="1"/>
  <c r="HC41" i="3" s="1"/>
  <c r="HC71" i="3" s="1"/>
  <c r="HC70" i="3"/>
  <c r="HD1" i="3"/>
  <c r="HC2" i="3"/>
  <c r="HD40" i="3" l="1"/>
  <c r="HD41" i="3" s="1"/>
  <c r="HD71" i="3" s="1"/>
  <c r="HD70" i="3"/>
  <c r="HE1" i="3"/>
  <c r="HD2" i="3"/>
  <c r="HE40" i="3" l="1"/>
  <c r="HE41" i="3" s="1"/>
  <c r="HE71" i="3" s="1"/>
  <c r="HE70" i="3"/>
  <c r="HF1" i="3"/>
  <c r="HE2" i="3"/>
  <c r="HF40" i="3" l="1"/>
  <c r="HF41" i="3" s="1"/>
  <c r="HF71" i="3" s="1"/>
  <c r="HF70" i="3"/>
  <c r="HG1" i="3"/>
  <c r="HF2" i="3"/>
  <c r="HG40" i="3" l="1"/>
  <c r="HG41" i="3" s="1"/>
  <c r="HG71" i="3" s="1"/>
  <c r="HG70" i="3"/>
  <c r="HH1" i="3"/>
  <c r="HG2" i="3"/>
  <c r="HH40" i="3" l="1"/>
  <c r="HH41" i="3" s="1"/>
  <c r="HH71" i="3" s="1"/>
  <c r="HH70" i="3"/>
  <c r="HI1" i="3"/>
  <c r="HH2" i="3"/>
  <c r="HI40" i="3" l="1"/>
  <c r="HI41" i="3" s="1"/>
  <c r="HI71" i="3" s="1"/>
  <c r="HI70" i="3"/>
  <c r="HJ1" i="3"/>
  <c r="HI2" i="3"/>
  <c r="HJ40" i="3" l="1"/>
  <c r="HJ41" i="3" s="1"/>
  <c r="HJ71" i="3" s="1"/>
  <c r="HJ70" i="3"/>
  <c r="HK1" i="3"/>
  <c r="HJ2" i="3"/>
  <c r="HK40" i="3" l="1"/>
  <c r="HK41" i="3" s="1"/>
  <c r="HK71" i="3" s="1"/>
  <c r="HK70" i="3"/>
  <c r="HL1" i="3"/>
  <c r="HK2" i="3"/>
  <c r="HL40" i="3" l="1"/>
  <c r="HL41" i="3" s="1"/>
  <c r="HL71" i="3" s="1"/>
  <c r="HL70" i="3"/>
  <c r="HM1" i="3"/>
  <c r="HL2" i="3"/>
  <c r="HM40" i="3" l="1"/>
  <c r="HM41" i="3" s="1"/>
  <c r="HM71" i="3" s="1"/>
  <c r="HM70" i="3"/>
  <c r="HN1" i="3"/>
  <c r="HM2" i="3"/>
  <c r="HN40" i="3" l="1"/>
  <c r="HN41" i="3" s="1"/>
  <c r="HN71" i="3" s="1"/>
  <c r="HN70" i="3"/>
  <c r="HO1" i="3"/>
  <c r="HN2" i="3"/>
  <c r="HO40" i="3" l="1"/>
  <c r="HO41" i="3" s="1"/>
  <c r="HO71" i="3" s="1"/>
  <c r="HO70" i="3"/>
  <c r="HP1" i="3"/>
  <c r="HO2" i="3"/>
  <c r="HP40" i="3" l="1"/>
  <c r="HP41" i="3" s="1"/>
  <c r="HP71" i="3" s="1"/>
  <c r="HP70" i="3"/>
  <c r="HQ1" i="3"/>
  <c r="HP2" i="3"/>
  <c r="HQ40" i="3" l="1"/>
  <c r="HQ41" i="3" s="1"/>
  <c r="HQ71" i="3" s="1"/>
  <c r="HQ70" i="3"/>
  <c r="HR1" i="3"/>
  <c r="HQ2" i="3"/>
  <c r="HR40" i="3" l="1"/>
  <c r="HR41" i="3" s="1"/>
  <c r="HR71" i="3" s="1"/>
  <c r="HR70" i="3"/>
  <c r="HS1" i="3"/>
  <c r="HR2" i="3"/>
  <c r="HS40" i="3" l="1"/>
  <c r="HS41" i="3" s="1"/>
  <c r="HS71" i="3" s="1"/>
  <c r="HS70" i="3"/>
  <c r="HT1" i="3"/>
  <c r="HS2" i="3"/>
  <c r="HT40" i="3" l="1"/>
  <c r="HT41" i="3" s="1"/>
  <c r="HT71" i="3" s="1"/>
  <c r="HT70" i="3"/>
  <c r="HU1" i="3"/>
  <c r="HT2" i="3"/>
  <c r="HU40" i="3" l="1"/>
  <c r="HU41" i="3" s="1"/>
  <c r="HU71" i="3" s="1"/>
  <c r="HU70" i="3"/>
  <c r="HV1" i="3"/>
  <c r="HU2" i="3"/>
  <c r="HV40" i="3" l="1"/>
  <c r="HV41" i="3" s="1"/>
  <c r="HV71" i="3" s="1"/>
  <c r="HV70" i="3"/>
  <c r="HW1" i="3"/>
  <c r="HV2" i="3"/>
  <c r="HW40" i="3" l="1"/>
  <c r="HW41" i="3" s="1"/>
  <c r="HW71" i="3" s="1"/>
  <c r="HW70" i="3"/>
  <c r="HX1" i="3"/>
  <c r="HW2" i="3"/>
  <c r="HX40" i="3" l="1"/>
  <c r="HX41" i="3" s="1"/>
  <c r="HX71" i="3" s="1"/>
  <c r="HX70" i="3"/>
  <c r="HY1" i="3"/>
  <c r="HX2" i="3"/>
  <c r="HY40" i="3" l="1"/>
  <c r="HY41" i="3" s="1"/>
  <c r="HY71" i="3" s="1"/>
  <c r="HY70" i="3"/>
  <c r="HZ1" i="3"/>
  <c r="HY2" i="3"/>
  <c r="HZ40" i="3" l="1"/>
  <c r="HZ41" i="3" s="1"/>
  <c r="HZ71" i="3" s="1"/>
  <c r="HZ70" i="3"/>
  <c r="IA1" i="3"/>
  <c r="HZ2" i="3"/>
  <c r="IA40" i="3" l="1"/>
  <c r="IA41" i="3" s="1"/>
  <c r="IA71" i="3" s="1"/>
  <c r="IA70" i="3"/>
  <c r="IB1" i="3"/>
  <c r="IA2" i="3"/>
  <c r="IB40" i="3" l="1"/>
  <c r="IB41" i="3" s="1"/>
  <c r="IB71" i="3" s="1"/>
  <c r="IB70" i="3"/>
  <c r="IC1" i="3"/>
  <c r="IB2" i="3"/>
  <c r="IC40" i="3" l="1"/>
  <c r="IC41" i="3" s="1"/>
  <c r="IC71" i="3" s="1"/>
  <c r="IC70" i="3"/>
  <c r="ID1" i="3"/>
  <c r="IC2" i="3"/>
  <c r="ID40" i="3" l="1"/>
  <c r="ID41" i="3" s="1"/>
  <c r="ID71" i="3" s="1"/>
  <c r="ID70" i="3"/>
  <c r="IE1" i="3"/>
  <c r="ID2" i="3"/>
  <c r="IE40" i="3" l="1"/>
  <c r="IE41" i="3" s="1"/>
  <c r="IE71" i="3" s="1"/>
  <c r="IE70" i="3"/>
  <c r="IF1" i="3"/>
  <c r="IE2" i="3"/>
  <c r="IF40" i="3" l="1"/>
  <c r="IF41" i="3" s="1"/>
  <c r="IF71" i="3" s="1"/>
  <c r="IF70" i="3"/>
  <c r="IG1" i="3"/>
  <c r="IF2" i="3"/>
  <c r="IG40" i="3" l="1"/>
  <c r="IG41" i="3" s="1"/>
  <c r="IG71" i="3" s="1"/>
  <c r="IG70" i="3"/>
  <c r="IH1" i="3"/>
  <c r="IG2" i="3"/>
  <c r="IH40" i="3" l="1"/>
  <c r="IH41" i="3" s="1"/>
  <c r="IH71" i="3" s="1"/>
  <c r="IH70" i="3"/>
  <c r="II1" i="3"/>
  <c r="IH2" i="3"/>
  <c r="II40" i="3" l="1"/>
  <c r="II41" i="3" s="1"/>
  <c r="II71" i="3" s="1"/>
  <c r="II70" i="3"/>
  <c r="IJ1" i="3"/>
  <c r="II2" i="3"/>
  <c r="IJ40" i="3" l="1"/>
  <c r="IJ41" i="3" s="1"/>
  <c r="IJ71" i="3" s="1"/>
  <c r="IJ70" i="3"/>
  <c r="IK1" i="3"/>
  <c r="IJ2" i="3"/>
  <c r="IK40" i="3" l="1"/>
  <c r="IK41" i="3" s="1"/>
  <c r="IK71" i="3" s="1"/>
  <c r="IK70" i="3"/>
  <c r="IL1" i="3"/>
  <c r="IK2" i="3"/>
  <c r="IL40" i="3" l="1"/>
  <c r="IL41" i="3" s="1"/>
  <c r="IL71" i="3" s="1"/>
  <c r="IL70" i="3"/>
  <c r="IM1" i="3"/>
  <c r="IL2" i="3"/>
  <c r="IM40" i="3" l="1"/>
  <c r="IM41" i="3" s="1"/>
  <c r="IM71" i="3" s="1"/>
  <c r="IM70" i="3"/>
  <c r="IN1" i="3"/>
  <c r="IM2" i="3"/>
  <c r="IN40" i="3" l="1"/>
  <c r="IN41" i="3" s="1"/>
  <c r="IN71" i="3" s="1"/>
  <c r="IN70" i="3"/>
  <c r="IO1" i="3"/>
  <c r="IN2" i="3"/>
  <c r="IO40" i="3" l="1"/>
  <c r="IO41" i="3" s="1"/>
  <c r="IO71" i="3" s="1"/>
  <c r="IO70" i="3"/>
  <c r="IP1" i="3"/>
  <c r="IO2" i="3"/>
  <c r="IP40" i="3" l="1"/>
  <c r="IP41" i="3" s="1"/>
  <c r="IP71" i="3" s="1"/>
  <c r="IP70" i="3"/>
  <c r="IQ1" i="3"/>
  <c r="IP2" i="3"/>
  <c r="IQ40" i="3" l="1"/>
  <c r="IQ41" i="3" s="1"/>
  <c r="IQ71" i="3" s="1"/>
  <c r="IQ70" i="3"/>
  <c r="IR1" i="3"/>
  <c r="IQ2" i="3"/>
  <c r="IR40" i="3" l="1"/>
  <c r="IR41" i="3" s="1"/>
  <c r="IR71" i="3" s="1"/>
  <c r="IR70" i="3"/>
  <c r="IS1" i="3"/>
  <c r="IR2" i="3"/>
  <c r="IS40" i="3" l="1"/>
  <c r="IS41" i="3" s="1"/>
  <c r="IS71" i="3" s="1"/>
  <c r="IS70" i="3"/>
  <c r="IT1" i="3"/>
  <c r="IS2" i="3"/>
  <c r="IT40" i="3" l="1"/>
  <c r="IT41" i="3" s="1"/>
  <c r="IT71" i="3" s="1"/>
  <c r="IT70" i="3"/>
  <c r="IU1" i="3"/>
  <c r="IT2" i="3"/>
  <c r="IU40" i="3" l="1"/>
  <c r="IU41" i="3" s="1"/>
  <c r="IU71" i="3" s="1"/>
  <c r="IU70" i="3"/>
  <c r="IV1" i="3"/>
  <c r="IU2" i="3"/>
  <c r="IV40" i="3" l="1"/>
  <c r="IV41" i="3" s="1"/>
  <c r="IV71" i="3" s="1"/>
  <c r="IV70" i="3"/>
  <c r="IW1" i="3"/>
  <c r="IV2" i="3"/>
  <c r="IW40" i="3" l="1"/>
  <c r="IW41" i="3" s="1"/>
  <c r="IW71" i="3" s="1"/>
  <c r="IW70" i="3"/>
  <c r="IX1" i="3"/>
  <c r="IW2" i="3"/>
  <c r="IX40" i="3" l="1"/>
  <c r="IX41" i="3" s="1"/>
  <c r="IX71" i="3" s="1"/>
  <c r="IX70" i="3"/>
  <c r="IY1" i="3"/>
  <c r="IX2" i="3"/>
  <c r="IY40" i="3" l="1"/>
  <c r="IY41" i="3" s="1"/>
  <c r="IY71" i="3" s="1"/>
  <c r="IY70" i="3"/>
  <c r="IZ1" i="3"/>
  <c r="IY2" i="3"/>
  <c r="IZ40" i="3" l="1"/>
  <c r="IZ41" i="3" s="1"/>
  <c r="IZ71" i="3" s="1"/>
  <c r="IZ70" i="3"/>
  <c r="JA1" i="3"/>
  <c r="IZ2" i="3"/>
  <c r="JA40" i="3" l="1"/>
  <c r="JA41" i="3" s="1"/>
  <c r="JA71" i="3" s="1"/>
  <c r="JA70" i="3"/>
  <c r="JB1" i="3"/>
  <c r="JA2" i="3"/>
  <c r="JB40" i="3" l="1"/>
  <c r="JB41" i="3" s="1"/>
  <c r="JB71" i="3" s="1"/>
  <c r="JB70" i="3"/>
  <c r="JC1" i="3"/>
  <c r="JB2" i="3"/>
  <c r="JC40" i="3" l="1"/>
  <c r="JC41" i="3" s="1"/>
  <c r="JC71" i="3" s="1"/>
  <c r="JC70" i="3"/>
  <c r="JD1" i="3"/>
  <c r="JC2" i="3"/>
  <c r="JD40" i="3" l="1"/>
  <c r="JD41" i="3" s="1"/>
  <c r="JD71" i="3" s="1"/>
  <c r="JD70" i="3"/>
  <c r="JE1" i="3"/>
  <c r="JD2" i="3"/>
  <c r="JE40" i="3" l="1"/>
  <c r="JE41" i="3" s="1"/>
  <c r="JE71" i="3" s="1"/>
  <c r="JE70" i="3"/>
  <c r="JF1" i="3"/>
  <c r="JE2" i="3"/>
  <c r="JF40" i="3" l="1"/>
  <c r="JF41" i="3" s="1"/>
  <c r="JF71" i="3" s="1"/>
  <c r="JF70" i="3"/>
  <c r="JG1" i="3"/>
  <c r="JF2" i="3"/>
  <c r="JG40" i="3" l="1"/>
  <c r="JG41" i="3" s="1"/>
  <c r="JG71" i="3" s="1"/>
  <c r="JG70" i="3"/>
  <c r="JH1" i="3"/>
  <c r="JG2" i="3"/>
  <c r="JH40" i="3" l="1"/>
  <c r="JH41" i="3" s="1"/>
  <c r="JH71" i="3" s="1"/>
  <c r="JH70" i="3"/>
  <c r="JI1" i="3"/>
  <c r="JH2" i="3"/>
  <c r="JI40" i="3" l="1"/>
  <c r="JI41" i="3" s="1"/>
  <c r="JI71" i="3" s="1"/>
  <c r="JI70" i="3"/>
  <c r="JJ1" i="3"/>
  <c r="JI2" i="3"/>
  <c r="JJ40" i="3" l="1"/>
  <c r="JJ41" i="3" s="1"/>
  <c r="JJ71" i="3" s="1"/>
  <c r="JJ70" i="3"/>
  <c r="JK1" i="3"/>
  <c r="JJ2" i="3"/>
  <c r="JK40" i="3" l="1"/>
  <c r="JK41" i="3" s="1"/>
  <c r="JK71" i="3" s="1"/>
  <c r="JK70" i="3"/>
  <c r="JL1" i="3"/>
  <c r="JK2" i="3"/>
  <c r="JL40" i="3" l="1"/>
  <c r="JL41" i="3" s="1"/>
  <c r="JL71" i="3" s="1"/>
  <c r="JL70" i="3"/>
  <c r="JM1" i="3"/>
  <c r="JL2" i="3"/>
  <c r="JM40" i="3" l="1"/>
  <c r="JM41" i="3" s="1"/>
  <c r="JM71" i="3" s="1"/>
  <c r="JM70" i="3"/>
  <c r="JN1" i="3"/>
  <c r="JM2" i="3"/>
  <c r="JN40" i="3" l="1"/>
  <c r="JN41" i="3" s="1"/>
  <c r="JN71" i="3" s="1"/>
  <c r="JN70" i="3"/>
  <c r="JO1" i="3"/>
  <c r="JN2" i="3"/>
  <c r="JO40" i="3" l="1"/>
  <c r="JO41" i="3" s="1"/>
  <c r="JO71" i="3" s="1"/>
  <c r="JO70" i="3"/>
  <c r="JP1" i="3"/>
  <c r="JO2" i="3"/>
  <c r="JP40" i="3" l="1"/>
  <c r="JP41" i="3" s="1"/>
  <c r="JP71" i="3" s="1"/>
  <c r="JP70" i="3"/>
  <c r="JQ1" i="3"/>
  <c r="JP2" i="3"/>
  <c r="JQ40" i="3" l="1"/>
  <c r="JQ41" i="3" s="1"/>
  <c r="JQ71" i="3" s="1"/>
  <c r="JQ70" i="3"/>
  <c r="JR1" i="3"/>
  <c r="JQ2" i="3"/>
  <c r="JR40" i="3" l="1"/>
  <c r="JR41" i="3" s="1"/>
  <c r="JR71" i="3" s="1"/>
  <c r="JR70" i="3"/>
  <c r="JS1" i="3"/>
  <c r="JR2" i="3"/>
  <c r="JS40" i="3" l="1"/>
  <c r="JS41" i="3" s="1"/>
  <c r="JS71" i="3" s="1"/>
  <c r="JS70" i="3"/>
  <c r="JT1" i="3"/>
  <c r="JS2" i="3"/>
  <c r="JT40" i="3" l="1"/>
  <c r="JT41" i="3" s="1"/>
  <c r="JT71" i="3" s="1"/>
  <c r="JT70" i="3"/>
  <c r="JU1" i="3"/>
  <c r="JT2" i="3"/>
  <c r="JU40" i="3" l="1"/>
  <c r="JU41" i="3" s="1"/>
  <c r="JU71" i="3" s="1"/>
  <c r="JU70" i="3"/>
  <c r="JV1" i="3"/>
  <c r="JU2" i="3"/>
  <c r="JV40" i="3" l="1"/>
  <c r="JV41" i="3" s="1"/>
  <c r="JV71" i="3" s="1"/>
  <c r="JV70" i="3"/>
  <c r="JW1" i="3"/>
  <c r="JV2" i="3"/>
  <c r="JW40" i="3" l="1"/>
  <c r="JW41" i="3" s="1"/>
  <c r="JW71" i="3" s="1"/>
  <c r="JW70" i="3"/>
  <c r="JX1" i="3"/>
  <c r="JW2" i="3"/>
  <c r="JX40" i="3" l="1"/>
  <c r="JX41" i="3" s="1"/>
  <c r="JX71" i="3" s="1"/>
  <c r="JX70" i="3"/>
  <c r="JY1" i="3"/>
  <c r="JX2" i="3"/>
  <c r="JY40" i="3" l="1"/>
  <c r="JY41" i="3" s="1"/>
  <c r="JY71" i="3" s="1"/>
  <c r="JY70" i="3"/>
  <c r="JZ1" i="3"/>
  <c r="JY2" i="3"/>
  <c r="JZ40" i="3" l="1"/>
  <c r="JZ41" i="3" s="1"/>
  <c r="JZ71" i="3" s="1"/>
  <c r="JZ70" i="3"/>
  <c r="KA1" i="3"/>
  <c r="JZ2" i="3"/>
  <c r="KA40" i="3" l="1"/>
  <c r="KA41" i="3" s="1"/>
  <c r="KA71" i="3" s="1"/>
  <c r="KA70" i="3"/>
  <c r="KB1" i="3"/>
  <c r="KA2" i="3"/>
  <c r="KB40" i="3" l="1"/>
  <c r="KB41" i="3" s="1"/>
  <c r="KB71" i="3" s="1"/>
  <c r="KB70" i="3"/>
  <c r="KC1" i="3"/>
  <c r="KB2" i="3"/>
  <c r="KC40" i="3" l="1"/>
  <c r="KC41" i="3" s="1"/>
  <c r="KC71" i="3" s="1"/>
  <c r="KC70" i="3"/>
  <c r="KD1" i="3"/>
  <c r="KC2" i="3"/>
  <c r="KD40" i="3" l="1"/>
  <c r="KD41" i="3" s="1"/>
  <c r="KD71" i="3" s="1"/>
  <c r="KD70" i="3"/>
  <c r="KE1" i="3"/>
  <c r="KD2" i="3"/>
  <c r="KE40" i="3" l="1"/>
  <c r="KE41" i="3" s="1"/>
  <c r="KE71" i="3" s="1"/>
  <c r="KE70" i="3"/>
  <c r="KF1" i="3"/>
  <c r="KE2" i="3"/>
  <c r="KF40" i="3" l="1"/>
  <c r="KF41" i="3" s="1"/>
  <c r="KF71" i="3" s="1"/>
  <c r="KF70" i="3"/>
  <c r="KG1" i="3"/>
  <c r="KF2" i="3"/>
  <c r="KG40" i="3" l="1"/>
  <c r="KG41" i="3" s="1"/>
  <c r="KG71" i="3" s="1"/>
  <c r="KG70" i="3"/>
  <c r="KH1" i="3"/>
  <c r="KG2" i="3"/>
  <c r="KH40" i="3" l="1"/>
  <c r="KH41" i="3" s="1"/>
  <c r="KH71" i="3" s="1"/>
  <c r="KH70" i="3"/>
  <c r="KI1" i="3"/>
  <c r="KH2" i="3"/>
  <c r="KI40" i="3" l="1"/>
  <c r="KI41" i="3" s="1"/>
  <c r="KI71" i="3" s="1"/>
  <c r="KI70" i="3"/>
  <c r="KJ1" i="3"/>
  <c r="KI2" i="3"/>
  <c r="KJ40" i="3" l="1"/>
  <c r="KJ41" i="3" s="1"/>
  <c r="KJ71" i="3" s="1"/>
  <c r="KJ70" i="3"/>
  <c r="KK1" i="3"/>
  <c r="KJ2" i="3"/>
  <c r="KK40" i="3" l="1"/>
  <c r="KK41" i="3" s="1"/>
  <c r="KK71" i="3" s="1"/>
  <c r="KK70" i="3"/>
  <c r="KL1" i="3"/>
  <c r="KK2" i="3"/>
  <c r="KL40" i="3" l="1"/>
  <c r="KL41" i="3" s="1"/>
  <c r="KL71" i="3" s="1"/>
  <c r="KL70" i="3"/>
  <c r="KM1" i="3"/>
  <c r="KL2" i="3"/>
  <c r="KM40" i="3" l="1"/>
  <c r="KM41" i="3" s="1"/>
  <c r="KM71" i="3" s="1"/>
  <c r="KM70" i="3"/>
  <c r="KN1" i="3"/>
  <c r="KM2" i="3"/>
  <c r="KN40" i="3" l="1"/>
  <c r="KN41" i="3" s="1"/>
  <c r="KN71" i="3" s="1"/>
  <c r="KN70" i="3"/>
  <c r="KO1" i="3"/>
  <c r="KN2" i="3"/>
  <c r="KO40" i="3" l="1"/>
  <c r="KO41" i="3" s="1"/>
  <c r="KO71" i="3" s="1"/>
  <c r="KO70" i="3"/>
  <c r="KP1" i="3"/>
  <c r="KO2" i="3"/>
  <c r="KP40" i="3" l="1"/>
  <c r="KP41" i="3" s="1"/>
  <c r="KP71" i="3" s="1"/>
  <c r="KP70" i="3"/>
  <c r="KQ1" i="3"/>
  <c r="KP2" i="3"/>
  <c r="KQ40" i="3" l="1"/>
  <c r="KQ41" i="3" s="1"/>
  <c r="KQ71" i="3" s="1"/>
  <c r="KQ70" i="3"/>
  <c r="KR1" i="3"/>
  <c r="KQ2" i="3"/>
  <c r="KR40" i="3" l="1"/>
  <c r="KR41" i="3" s="1"/>
  <c r="KR71" i="3" s="1"/>
  <c r="KR70" i="3"/>
  <c r="KS1" i="3"/>
  <c r="KR2" i="3"/>
  <c r="KS40" i="3" l="1"/>
  <c r="KS41" i="3" s="1"/>
  <c r="KS71" i="3" s="1"/>
  <c r="KS70" i="3"/>
  <c r="KT1" i="3"/>
  <c r="KS2" i="3"/>
  <c r="KT40" i="3" l="1"/>
  <c r="KT41" i="3" s="1"/>
  <c r="KT71" i="3" s="1"/>
  <c r="KT70" i="3"/>
  <c r="KU1" i="3"/>
  <c r="KT2" i="3"/>
  <c r="KU40" i="3" l="1"/>
  <c r="KU41" i="3" s="1"/>
  <c r="KU71" i="3" s="1"/>
  <c r="KU70" i="3"/>
  <c r="KV1" i="3"/>
  <c r="KU2" i="3"/>
  <c r="KV40" i="3" l="1"/>
  <c r="KV41" i="3" s="1"/>
  <c r="KV71" i="3" s="1"/>
  <c r="KV70" i="3"/>
  <c r="KW1" i="3"/>
  <c r="KV2" i="3"/>
  <c r="KW40" i="3" l="1"/>
  <c r="KW41" i="3" s="1"/>
  <c r="KW71" i="3" s="1"/>
  <c r="KW70" i="3"/>
  <c r="KX1" i="3"/>
  <c r="KW2" i="3"/>
  <c r="KX40" i="3" l="1"/>
  <c r="KX41" i="3" s="1"/>
  <c r="KX71" i="3" s="1"/>
  <c r="KX70" i="3"/>
  <c r="KY1" i="3"/>
  <c r="KX2" i="3"/>
  <c r="KY40" i="3" l="1"/>
  <c r="KY41" i="3" s="1"/>
  <c r="KY71" i="3" s="1"/>
  <c r="KY70" i="3"/>
  <c r="KZ1" i="3"/>
  <c r="KY2" i="3"/>
  <c r="KZ40" i="3" l="1"/>
  <c r="KZ41" i="3" s="1"/>
  <c r="KZ71" i="3" s="1"/>
  <c r="KZ70" i="3"/>
  <c r="LA1" i="3"/>
  <c r="KZ2" i="3"/>
  <c r="LA40" i="3" l="1"/>
  <c r="LA41" i="3" s="1"/>
  <c r="LA71" i="3" s="1"/>
  <c r="LA70" i="3"/>
  <c r="LB1" i="3"/>
  <c r="LA2" i="3"/>
  <c r="LB40" i="3" l="1"/>
  <c r="LB41" i="3" s="1"/>
  <c r="LB71" i="3" s="1"/>
  <c r="LB70" i="3"/>
  <c r="LC1" i="3"/>
  <c r="LB2" i="3"/>
  <c r="LC40" i="3" l="1"/>
  <c r="LC41" i="3" s="1"/>
  <c r="LC71" i="3" s="1"/>
  <c r="LC70" i="3"/>
  <c r="LD1" i="3"/>
  <c r="LC2" i="3"/>
  <c r="LD40" i="3" l="1"/>
  <c r="LD41" i="3" s="1"/>
  <c r="LD71" i="3" s="1"/>
  <c r="LD70" i="3"/>
  <c r="LE1" i="3"/>
  <c r="LD2" i="3"/>
  <c r="LE40" i="3" l="1"/>
  <c r="LE41" i="3" s="1"/>
  <c r="LE71" i="3" s="1"/>
  <c r="LE70" i="3"/>
  <c r="LF1" i="3"/>
  <c r="LE2" i="3"/>
  <c r="LF40" i="3" l="1"/>
  <c r="LF41" i="3" s="1"/>
  <c r="LF71" i="3" s="1"/>
  <c r="LF70" i="3"/>
  <c r="LG1" i="3"/>
  <c r="LF2" i="3"/>
  <c r="LG40" i="3" l="1"/>
  <c r="LG41" i="3" s="1"/>
  <c r="LG71" i="3" s="1"/>
  <c r="LG70" i="3"/>
  <c r="LH1" i="3"/>
  <c r="LG2" i="3"/>
  <c r="LH40" i="3" l="1"/>
  <c r="LH41" i="3" s="1"/>
  <c r="LH71" i="3" s="1"/>
  <c r="LH70" i="3"/>
  <c r="LI1" i="3"/>
  <c r="LH2" i="3"/>
  <c r="LI40" i="3" l="1"/>
  <c r="LI41" i="3" s="1"/>
  <c r="LI71" i="3" s="1"/>
  <c r="LI70" i="3"/>
  <c r="LJ1" i="3"/>
  <c r="LI2" i="3"/>
  <c r="LJ40" i="3" l="1"/>
  <c r="LJ41" i="3" s="1"/>
  <c r="LJ71" i="3" s="1"/>
  <c r="LJ70" i="3"/>
  <c r="LK1" i="3"/>
  <c r="LJ2" i="3"/>
  <c r="LK40" i="3" l="1"/>
  <c r="LK41" i="3" s="1"/>
  <c r="LK71" i="3" s="1"/>
  <c r="LK70" i="3"/>
  <c r="LL1" i="3"/>
  <c r="LK2" i="3"/>
  <c r="LL40" i="3" l="1"/>
  <c r="LL41" i="3" s="1"/>
  <c r="LL71" i="3" s="1"/>
  <c r="LL70" i="3"/>
  <c r="LM1" i="3"/>
  <c r="LL2" i="3"/>
  <c r="LM40" i="3" l="1"/>
  <c r="LM41" i="3" s="1"/>
  <c r="LM71" i="3" s="1"/>
  <c r="LM70" i="3"/>
  <c r="LN1" i="3"/>
  <c r="LM2" i="3"/>
  <c r="LN40" i="3" l="1"/>
  <c r="LN41" i="3" s="1"/>
  <c r="LN71" i="3" s="1"/>
  <c r="LN70" i="3"/>
  <c r="LO1" i="3"/>
  <c r="LN2" i="3"/>
  <c r="LO40" i="3" l="1"/>
  <c r="LO41" i="3" s="1"/>
  <c r="LO71" i="3" s="1"/>
  <c r="LO70" i="3"/>
  <c r="LP1" i="3"/>
  <c r="LO2" i="3"/>
  <c r="LP40" i="3" l="1"/>
  <c r="LP41" i="3" s="1"/>
  <c r="LP71" i="3" s="1"/>
  <c r="LP70" i="3"/>
  <c r="LQ1" i="3"/>
  <c r="LP2" i="3"/>
  <c r="LQ40" i="3" l="1"/>
  <c r="LQ41" i="3" s="1"/>
  <c r="LQ71" i="3" s="1"/>
  <c r="LQ70" i="3"/>
  <c r="LR1" i="3"/>
  <c r="LQ2" i="3"/>
  <c r="LR40" i="3" l="1"/>
  <c r="LR41" i="3" s="1"/>
  <c r="LR71" i="3" s="1"/>
  <c r="LR70" i="3"/>
  <c r="LS1" i="3"/>
  <c r="LR2" i="3"/>
  <c r="LS40" i="3" l="1"/>
  <c r="LS41" i="3" s="1"/>
  <c r="LS71" i="3" s="1"/>
  <c r="LS70" i="3"/>
  <c r="LT1" i="3"/>
  <c r="LS2" i="3"/>
  <c r="LT40" i="3" l="1"/>
  <c r="LT41" i="3" s="1"/>
  <c r="LT71" i="3" s="1"/>
  <c r="LT70" i="3"/>
  <c r="LU1" i="3"/>
  <c r="LT2" i="3"/>
  <c r="LU40" i="3" l="1"/>
  <c r="LU41" i="3" s="1"/>
  <c r="LU71" i="3" s="1"/>
  <c r="LU70" i="3"/>
  <c r="LV1" i="3"/>
  <c r="LU2" i="3"/>
  <c r="LV40" i="3" l="1"/>
  <c r="LV41" i="3" s="1"/>
  <c r="LV71" i="3" s="1"/>
  <c r="LV70" i="3"/>
  <c r="LW1" i="3"/>
  <c r="LV2" i="3"/>
  <c r="LW40" i="3" l="1"/>
  <c r="LW41" i="3" s="1"/>
  <c r="LW71" i="3" s="1"/>
  <c r="LW70" i="3"/>
  <c r="LX1" i="3"/>
  <c r="LW2" i="3"/>
  <c r="LX40" i="3" l="1"/>
  <c r="LX41" i="3" s="1"/>
  <c r="LX71" i="3" s="1"/>
  <c r="LX70" i="3"/>
  <c r="LY1" i="3"/>
  <c r="LX2" i="3"/>
  <c r="LY40" i="3" l="1"/>
  <c r="LY41" i="3" s="1"/>
  <c r="LY71" i="3" s="1"/>
  <c r="LY70" i="3"/>
  <c r="LZ1" i="3"/>
  <c r="LY2" i="3"/>
  <c r="LZ40" i="3" l="1"/>
  <c r="LZ41" i="3" s="1"/>
  <c r="LZ71" i="3" s="1"/>
  <c r="LZ70" i="3"/>
  <c r="MA1" i="3"/>
  <c r="LZ2" i="3"/>
  <c r="MA40" i="3" l="1"/>
  <c r="MA41" i="3" s="1"/>
  <c r="MA71" i="3" s="1"/>
  <c r="MA70" i="3"/>
  <c r="MB1" i="3"/>
  <c r="MA2" i="3"/>
  <c r="MB40" i="3" l="1"/>
  <c r="MB41" i="3" s="1"/>
  <c r="MB71" i="3" s="1"/>
  <c r="MB70" i="3"/>
  <c r="MC1" i="3"/>
  <c r="MB2" i="3"/>
  <c r="MC40" i="3" l="1"/>
  <c r="MC41" i="3" s="1"/>
  <c r="MC71" i="3" s="1"/>
  <c r="MC70" i="3"/>
  <c r="MD1" i="3"/>
  <c r="MC2" i="3"/>
  <c r="MD40" i="3" l="1"/>
  <c r="MD41" i="3" s="1"/>
  <c r="MD71" i="3" s="1"/>
  <c r="MD70" i="3"/>
  <c r="ME1" i="3"/>
  <c r="MD2" i="3"/>
  <c r="ME40" i="3" l="1"/>
  <c r="ME41" i="3" s="1"/>
  <c r="ME71" i="3" s="1"/>
  <c r="ME70" i="3"/>
  <c r="MF1" i="3"/>
  <c r="ME2" i="3"/>
  <c r="MF40" i="3" l="1"/>
  <c r="MF41" i="3" s="1"/>
  <c r="MF71" i="3" s="1"/>
  <c r="MF70" i="3"/>
  <c r="MG1" i="3"/>
  <c r="MF2" i="3"/>
  <c r="MG40" i="3" l="1"/>
  <c r="MG41" i="3" s="1"/>
  <c r="MG71" i="3" s="1"/>
  <c r="MG70" i="3"/>
  <c r="MH1" i="3"/>
  <c r="MG2" i="3"/>
  <c r="MH40" i="3" l="1"/>
  <c r="MH41" i="3" s="1"/>
  <c r="MH71" i="3" s="1"/>
  <c r="MH70" i="3"/>
  <c r="MI1" i="3"/>
  <c r="MH2" i="3"/>
  <c r="MI40" i="3" l="1"/>
  <c r="MI41" i="3" s="1"/>
  <c r="MI71" i="3" s="1"/>
  <c r="MI70" i="3"/>
  <c r="MJ1" i="3"/>
  <c r="MI2" i="3"/>
  <c r="MJ40" i="3" l="1"/>
  <c r="MJ41" i="3" s="1"/>
  <c r="MJ71" i="3" s="1"/>
  <c r="MJ70" i="3"/>
  <c r="MK1" i="3"/>
  <c r="MJ2" i="3"/>
  <c r="MK40" i="3" l="1"/>
  <c r="MK41" i="3" s="1"/>
  <c r="MK71" i="3" s="1"/>
  <c r="MK70" i="3"/>
  <c r="ML1" i="3"/>
  <c r="MK2" i="3"/>
  <c r="ML40" i="3" l="1"/>
  <c r="ML41" i="3" s="1"/>
  <c r="ML71" i="3" s="1"/>
  <c r="ML70" i="3"/>
  <c r="MM1" i="3"/>
  <c r="ML2" i="3"/>
  <c r="MM40" i="3" l="1"/>
  <c r="MM41" i="3" s="1"/>
  <c r="MM71" i="3" s="1"/>
  <c r="MM70" i="3"/>
  <c r="MN1" i="3"/>
  <c r="MM2" i="3"/>
  <c r="MN40" i="3" l="1"/>
  <c r="MN41" i="3" s="1"/>
  <c r="MN71" i="3" s="1"/>
  <c r="MN70" i="3"/>
  <c r="MO1" i="3"/>
  <c r="MN2" i="3"/>
  <c r="MO40" i="3" l="1"/>
  <c r="MO41" i="3" s="1"/>
  <c r="MO71" i="3" s="1"/>
  <c r="MO70" i="3"/>
  <c r="MP1" i="3"/>
  <c r="MO2" i="3"/>
  <c r="MP40" i="3" l="1"/>
  <c r="MP41" i="3" s="1"/>
  <c r="MP71" i="3" s="1"/>
  <c r="MP70" i="3"/>
  <c r="MQ1" i="3"/>
  <c r="MP2" i="3"/>
  <c r="MQ40" i="3" l="1"/>
  <c r="MQ41" i="3" s="1"/>
  <c r="MQ71" i="3" s="1"/>
  <c r="MQ70" i="3"/>
  <c r="MR1" i="3"/>
  <c r="MQ2" i="3"/>
  <c r="MR40" i="3" l="1"/>
  <c r="MR41" i="3" s="1"/>
  <c r="MR71" i="3" s="1"/>
  <c r="MR70" i="3"/>
  <c r="MS1" i="3"/>
  <c r="MR2" i="3"/>
  <c r="MS40" i="3" l="1"/>
  <c r="MS41" i="3" s="1"/>
  <c r="MS71" i="3" s="1"/>
  <c r="MS70" i="3"/>
  <c r="MT1" i="3"/>
  <c r="MS2" i="3"/>
  <c r="R23" i="3"/>
  <c r="R30" i="3"/>
  <c r="R27" i="3"/>
  <c r="R15" i="3"/>
  <c r="R33" i="3"/>
  <c r="R22" i="3"/>
  <c r="R32" i="3"/>
  <c r="R14" i="3"/>
  <c r="R28" i="3"/>
  <c r="R16" i="3"/>
  <c r="R24" i="3"/>
  <c r="R20" i="3"/>
  <c r="R17" i="3"/>
  <c r="R12" i="3"/>
  <c r="MT40" i="3" l="1"/>
  <c r="MT41" i="3" s="1"/>
  <c r="MT71" i="3" s="1"/>
  <c r="MT70" i="3"/>
  <c r="MT2" i="3"/>
  <c r="R29" i="3"/>
  <c r="R21" i="3"/>
  <c r="R31" i="3"/>
  <c r="R26" i="3"/>
  <c r="R25" i="3"/>
  <c r="R19" i="3"/>
  <c r="R18" i="3"/>
  <c r="R13" i="3"/>
  <c r="R11" i="3"/>
  <c r="R10" i="3"/>
  <c r="R9" i="3"/>
  <c r="R8" i="3"/>
  <c r="R7" i="3"/>
</calcChain>
</file>

<file path=xl/sharedStrings.xml><?xml version="1.0" encoding="utf-8"?>
<sst xmlns="http://schemas.openxmlformats.org/spreadsheetml/2006/main" count="1591" uniqueCount="567">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</sst>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94</xdr:row>
          <xdr:rowOff>28575</xdr:rowOff>
        </xdr:from>
        <xdr:to>
          <xdr:col>0</xdr:col>
          <xdr:colOff>676275</xdr:colOff>
          <xdr:row>96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98</xdr:row>
          <xdr:rowOff>28575</xdr:rowOff>
        </xdr:from>
        <xdr:to>
          <xdr:col>9</xdr:col>
          <xdr:colOff>47625</xdr:colOff>
          <xdr:row>99</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T122"/>
  <sheetViews>
    <sheetView tabSelected="1" zoomScaleNormal="100" workbookViewId="0">
      <pane xSplit="18" ySplit="3" topLeftCell="EK4" activePane="bottomRight" state="frozen"/>
      <selection pane="topRight" activeCell="F1" sqref="F1"/>
      <selection pane="bottomLeft" activeCell="A3" sqref="A3"/>
      <selection pane="bottomRight" activeCell="FS38" sqref="FS3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8" width="3.140625" customWidth="1"/>
  </cols>
  <sheetData>
    <row r="1" spans="1:358"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524</v>
      </c>
      <c r="FK1" s="49" t="s">
        <v>525</v>
      </c>
      <c r="FL1" s="47">
        <f>FI1 + 1</f>
        <v>44102</v>
      </c>
      <c r="FM1" s="47">
        <f t="shared" ref="FM1:HZ1" si="5">FL1 + 1</f>
        <v>44103</v>
      </c>
      <c r="FN1" s="47">
        <f t="shared" si="5"/>
        <v>44104</v>
      </c>
      <c r="FO1" s="47">
        <f t="shared" si="5"/>
        <v>44105</v>
      </c>
      <c r="FP1" s="47">
        <f t="shared" si="5"/>
        <v>44106</v>
      </c>
      <c r="FQ1" s="47">
        <f t="shared" si="5"/>
        <v>44107</v>
      </c>
      <c r="FR1" s="47">
        <f t="shared" si="5"/>
        <v>44108</v>
      </c>
      <c r="FS1" s="47" t="s">
        <v>544</v>
      </c>
      <c r="FT1" s="49" t="s">
        <v>545</v>
      </c>
      <c r="FU1" s="47">
        <f>FR1 + 1</f>
        <v>44109</v>
      </c>
      <c r="FV1" s="47">
        <f t="shared" si="5"/>
        <v>44110</v>
      </c>
      <c r="FW1" s="47">
        <f t="shared" si="5"/>
        <v>44111</v>
      </c>
      <c r="FX1" s="47">
        <f t="shared" si="5"/>
        <v>44112</v>
      </c>
      <c r="FY1" s="47">
        <f t="shared" si="5"/>
        <v>44113</v>
      </c>
      <c r="FZ1" s="47">
        <f t="shared" si="5"/>
        <v>44114</v>
      </c>
      <c r="GA1" s="49">
        <f t="shared" si="5"/>
        <v>44115</v>
      </c>
      <c r="GB1" s="47">
        <f t="shared" si="5"/>
        <v>44116</v>
      </c>
      <c r="GC1" s="47">
        <f t="shared" si="5"/>
        <v>44117</v>
      </c>
      <c r="GD1" s="47">
        <f t="shared" si="5"/>
        <v>44118</v>
      </c>
      <c r="GE1" s="47">
        <f t="shared" si="5"/>
        <v>44119</v>
      </c>
      <c r="GF1" s="47">
        <f t="shared" si="5"/>
        <v>44120</v>
      </c>
      <c r="GG1" s="47">
        <f t="shared" si="5"/>
        <v>44121</v>
      </c>
      <c r="GH1" s="49">
        <f t="shared" si="5"/>
        <v>44122</v>
      </c>
      <c r="GI1" s="47">
        <f t="shared" si="5"/>
        <v>44123</v>
      </c>
      <c r="GJ1" s="47">
        <f t="shared" si="5"/>
        <v>44124</v>
      </c>
      <c r="GK1" s="47">
        <f t="shared" si="5"/>
        <v>44125</v>
      </c>
      <c r="GL1" s="47">
        <f t="shared" si="5"/>
        <v>44126</v>
      </c>
      <c r="GM1" s="47">
        <f t="shared" si="5"/>
        <v>44127</v>
      </c>
      <c r="GN1" s="47">
        <f t="shared" si="5"/>
        <v>44128</v>
      </c>
      <c r="GO1" s="49">
        <f t="shared" si="5"/>
        <v>44129</v>
      </c>
      <c r="GP1" s="47">
        <f t="shared" si="5"/>
        <v>44130</v>
      </c>
      <c r="GQ1" s="47">
        <f t="shared" si="5"/>
        <v>44131</v>
      </c>
      <c r="GR1" s="47">
        <f t="shared" si="5"/>
        <v>44132</v>
      </c>
      <c r="GS1" s="47">
        <f t="shared" si="5"/>
        <v>44133</v>
      </c>
      <c r="GT1" s="47">
        <f t="shared" si="5"/>
        <v>44134</v>
      </c>
      <c r="GU1" s="47">
        <f t="shared" si="5"/>
        <v>44135</v>
      </c>
      <c r="GV1" s="49">
        <f t="shared" si="5"/>
        <v>44136</v>
      </c>
      <c r="GW1" s="47">
        <f t="shared" si="5"/>
        <v>44137</v>
      </c>
      <c r="GX1" s="47">
        <f t="shared" si="5"/>
        <v>44138</v>
      </c>
      <c r="GY1" s="47">
        <f t="shared" si="5"/>
        <v>44139</v>
      </c>
      <c r="GZ1" s="47">
        <f t="shared" si="5"/>
        <v>44140</v>
      </c>
      <c r="HA1" s="47">
        <f t="shared" si="5"/>
        <v>44141</v>
      </c>
      <c r="HB1" s="47">
        <f t="shared" si="5"/>
        <v>44142</v>
      </c>
      <c r="HC1" s="49">
        <f t="shared" si="5"/>
        <v>44143</v>
      </c>
      <c r="HD1" s="47">
        <f t="shared" si="5"/>
        <v>44144</v>
      </c>
      <c r="HE1" s="47">
        <f t="shared" si="5"/>
        <v>44145</v>
      </c>
      <c r="HF1" s="47">
        <f t="shared" si="5"/>
        <v>44146</v>
      </c>
      <c r="HG1" s="47">
        <f t="shared" si="5"/>
        <v>44147</v>
      </c>
      <c r="HH1" s="47">
        <f t="shared" si="5"/>
        <v>44148</v>
      </c>
      <c r="HI1" s="47">
        <f t="shared" si="5"/>
        <v>44149</v>
      </c>
      <c r="HJ1" s="49">
        <f t="shared" si="5"/>
        <v>44150</v>
      </c>
      <c r="HK1" s="47">
        <f t="shared" si="5"/>
        <v>44151</v>
      </c>
      <c r="HL1" s="47">
        <f t="shared" si="5"/>
        <v>44152</v>
      </c>
      <c r="HM1" s="47">
        <f t="shared" si="5"/>
        <v>44153</v>
      </c>
      <c r="HN1" s="47">
        <f t="shared" si="5"/>
        <v>44154</v>
      </c>
      <c r="HO1" s="47">
        <f t="shared" si="5"/>
        <v>44155</v>
      </c>
      <c r="HP1" s="47">
        <f t="shared" si="5"/>
        <v>44156</v>
      </c>
      <c r="HQ1" s="49">
        <f t="shared" si="5"/>
        <v>44157</v>
      </c>
      <c r="HR1" s="47">
        <f t="shared" si="5"/>
        <v>44158</v>
      </c>
      <c r="HS1" s="47">
        <f t="shared" si="5"/>
        <v>44159</v>
      </c>
      <c r="HT1" s="47">
        <f t="shared" si="5"/>
        <v>44160</v>
      </c>
      <c r="HU1" s="47">
        <f t="shared" si="5"/>
        <v>44161</v>
      </c>
      <c r="HV1" s="47">
        <f t="shared" si="5"/>
        <v>44162</v>
      </c>
      <c r="HW1" s="47">
        <f t="shared" si="5"/>
        <v>44163</v>
      </c>
      <c r="HX1" s="49">
        <f t="shared" si="5"/>
        <v>44164</v>
      </c>
      <c r="HY1" s="47">
        <f t="shared" si="5"/>
        <v>44165</v>
      </c>
      <c r="HZ1" s="47">
        <f t="shared" si="5"/>
        <v>44166</v>
      </c>
      <c r="IA1" s="47">
        <f t="shared" ref="IA1:KL1" si="6">HZ1 + 1</f>
        <v>44167</v>
      </c>
      <c r="IB1" s="47">
        <f t="shared" si="6"/>
        <v>44168</v>
      </c>
      <c r="IC1" s="47">
        <f t="shared" si="6"/>
        <v>44169</v>
      </c>
      <c r="ID1" s="47">
        <f t="shared" si="6"/>
        <v>44170</v>
      </c>
      <c r="IE1" s="49">
        <f t="shared" si="6"/>
        <v>44171</v>
      </c>
      <c r="IF1" s="47">
        <f t="shared" si="6"/>
        <v>44172</v>
      </c>
      <c r="IG1" s="47">
        <f t="shared" si="6"/>
        <v>44173</v>
      </c>
      <c r="IH1" s="47">
        <f t="shared" si="6"/>
        <v>44174</v>
      </c>
      <c r="II1" s="47">
        <f t="shared" si="6"/>
        <v>44175</v>
      </c>
      <c r="IJ1" s="47">
        <f t="shared" si="6"/>
        <v>44176</v>
      </c>
      <c r="IK1" s="47">
        <f t="shared" si="6"/>
        <v>44177</v>
      </c>
      <c r="IL1" s="49">
        <f t="shared" si="6"/>
        <v>44178</v>
      </c>
      <c r="IM1" s="47">
        <f t="shared" si="6"/>
        <v>44179</v>
      </c>
      <c r="IN1" s="47">
        <f t="shared" si="6"/>
        <v>44180</v>
      </c>
      <c r="IO1" s="47">
        <f t="shared" si="6"/>
        <v>44181</v>
      </c>
      <c r="IP1" s="47">
        <f t="shared" si="6"/>
        <v>44182</v>
      </c>
      <c r="IQ1" s="47">
        <f t="shared" si="6"/>
        <v>44183</v>
      </c>
      <c r="IR1" s="47">
        <f t="shared" si="6"/>
        <v>44184</v>
      </c>
      <c r="IS1" s="49">
        <f t="shared" si="6"/>
        <v>44185</v>
      </c>
      <c r="IT1" s="47">
        <f t="shared" si="6"/>
        <v>44186</v>
      </c>
      <c r="IU1" s="47">
        <f t="shared" si="6"/>
        <v>44187</v>
      </c>
      <c r="IV1" s="47">
        <f t="shared" si="6"/>
        <v>44188</v>
      </c>
      <c r="IW1" s="47">
        <f t="shared" si="6"/>
        <v>44189</v>
      </c>
      <c r="IX1" s="47">
        <f t="shared" si="6"/>
        <v>44190</v>
      </c>
      <c r="IY1" s="47">
        <f t="shared" si="6"/>
        <v>44191</v>
      </c>
      <c r="IZ1" s="49">
        <f t="shared" si="6"/>
        <v>44192</v>
      </c>
      <c r="JA1" s="47">
        <f t="shared" si="6"/>
        <v>44193</v>
      </c>
      <c r="JB1" s="47">
        <f t="shared" si="6"/>
        <v>44194</v>
      </c>
      <c r="JC1" s="47">
        <f t="shared" si="6"/>
        <v>44195</v>
      </c>
      <c r="JD1" s="47">
        <f t="shared" si="6"/>
        <v>44196</v>
      </c>
      <c r="JE1" s="47">
        <f t="shared" si="6"/>
        <v>44197</v>
      </c>
      <c r="JF1" s="47">
        <f t="shared" si="6"/>
        <v>44198</v>
      </c>
      <c r="JG1" s="49">
        <f t="shared" si="6"/>
        <v>44199</v>
      </c>
      <c r="JH1" s="47">
        <f t="shared" si="6"/>
        <v>44200</v>
      </c>
      <c r="JI1" s="47">
        <f t="shared" si="6"/>
        <v>44201</v>
      </c>
      <c r="JJ1" s="47">
        <f t="shared" si="6"/>
        <v>44202</v>
      </c>
      <c r="JK1" s="47">
        <f t="shared" si="6"/>
        <v>44203</v>
      </c>
      <c r="JL1" s="47">
        <f t="shared" si="6"/>
        <v>44204</v>
      </c>
      <c r="JM1" s="47">
        <f t="shared" si="6"/>
        <v>44205</v>
      </c>
      <c r="JN1" s="49">
        <f t="shared" si="6"/>
        <v>44206</v>
      </c>
      <c r="JO1" s="47">
        <f t="shared" si="6"/>
        <v>44207</v>
      </c>
      <c r="JP1" s="47">
        <f t="shared" si="6"/>
        <v>44208</v>
      </c>
      <c r="JQ1" s="47">
        <f t="shared" si="6"/>
        <v>44209</v>
      </c>
      <c r="JR1" s="47">
        <f t="shared" si="6"/>
        <v>44210</v>
      </c>
      <c r="JS1" s="47">
        <f t="shared" si="6"/>
        <v>44211</v>
      </c>
      <c r="JT1" s="47">
        <f t="shared" si="6"/>
        <v>44212</v>
      </c>
      <c r="JU1" s="49">
        <f t="shared" si="6"/>
        <v>44213</v>
      </c>
      <c r="JV1" s="47">
        <f t="shared" si="6"/>
        <v>44214</v>
      </c>
      <c r="JW1" s="47">
        <f t="shared" si="6"/>
        <v>44215</v>
      </c>
      <c r="JX1" s="47">
        <f t="shared" si="6"/>
        <v>44216</v>
      </c>
      <c r="JY1" s="47">
        <f t="shared" si="6"/>
        <v>44217</v>
      </c>
      <c r="JZ1" s="47">
        <f t="shared" si="6"/>
        <v>44218</v>
      </c>
      <c r="KA1" s="47">
        <f t="shared" si="6"/>
        <v>44219</v>
      </c>
      <c r="KB1" s="49">
        <f t="shared" si="6"/>
        <v>44220</v>
      </c>
      <c r="KC1" s="47">
        <f t="shared" si="6"/>
        <v>44221</v>
      </c>
      <c r="KD1" s="47">
        <f t="shared" si="6"/>
        <v>44222</v>
      </c>
      <c r="KE1" s="47">
        <f t="shared" si="6"/>
        <v>44223</v>
      </c>
      <c r="KF1" s="47">
        <f t="shared" si="6"/>
        <v>44224</v>
      </c>
      <c r="KG1" s="47">
        <f t="shared" si="6"/>
        <v>44225</v>
      </c>
      <c r="KH1" s="47">
        <f t="shared" si="6"/>
        <v>44226</v>
      </c>
      <c r="KI1" s="49">
        <f t="shared" si="6"/>
        <v>44227</v>
      </c>
      <c r="KJ1" s="47">
        <f t="shared" si="6"/>
        <v>44228</v>
      </c>
      <c r="KK1" s="47">
        <f t="shared" si="6"/>
        <v>44229</v>
      </c>
      <c r="KL1" s="47">
        <f t="shared" si="6"/>
        <v>44230</v>
      </c>
      <c r="KM1" s="47">
        <f t="shared" ref="KM1:MT1" si="7">KL1 + 1</f>
        <v>44231</v>
      </c>
      <c r="KN1" s="47">
        <f t="shared" si="7"/>
        <v>44232</v>
      </c>
      <c r="KO1" s="47">
        <f t="shared" si="7"/>
        <v>44233</v>
      </c>
      <c r="KP1" s="49">
        <f t="shared" si="7"/>
        <v>44234</v>
      </c>
      <c r="KQ1" s="47">
        <f t="shared" si="7"/>
        <v>44235</v>
      </c>
      <c r="KR1" s="47">
        <f t="shared" si="7"/>
        <v>44236</v>
      </c>
      <c r="KS1" s="47">
        <f t="shared" si="7"/>
        <v>44237</v>
      </c>
      <c r="KT1" s="47">
        <f t="shared" si="7"/>
        <v>44238</v>
      </c>
      <c r="KU1" s="47">
        <f t="shared" si="7"/>
        <v>44239</v>
      </c>
      <c r="KV1" s="47">
        <f t="shared" si="7"/>
        <v>44240</v>
      </c>
      <c r="KW1" s="49">
        <f t="shared" si="7"/>
        <v>44241</v>
      </c>
      <c r="KX1" s="47">
        <f t="shared" si="7"/>
        <v>44242</v>
      </c>
      <c r="KY1" s="47">
        <f t="shared" si="7"/>
        <v>44243</v>
      </c>
      <c r="KZ1" s="47">
        <f t="shared" si="7"/>
        <v>44244</v>
      </c>
      <c r="LA1" s="47">
        <f t="shared" si="7"/>
        <v>44245</v>
      </c>
      <c r="LB1" s="47">
        <f t="shared" si="7"/>
        <v>44246</v>
      </c>
      <c r="LC1" s="47">
        <f t="shared" si="7"/>
        <v>44247</v>
      </c>
      <c r="LD1" s="49">
        <f t="shared" si="7"/>
        <v>44248</v>
      </c>
      <c r="LE1" s="47">
        <f t="shared" si="7"/>
        <v>44249</v>
      </c>
      <c r="LF1" s="47">
        <f t="shared" si="7"/>
        <v>44250</v>
      </c>
      <c r="LG1" s="47">
        <f t="shared" si="7"/>
        <v>44251</v>
      </c>
      <c r="LH1" s="47">
        <f t="shared" si="7"/>
        <v>44252</v>
      </c>
      <c r="LI1" s="47">
        <f t="shared" si="7"/>
        <v>44253</v>
      </c>
      <c r="LJ1" s="47">
        <f t="shared" si="7"/>
        <v>44254</v>
      </c>
      <c r="LK1" s="49">
        <f t="shared" si="7"/>
        <v>44255</v>
      </c>
      <c r="LL1" s="47">
        <f t="shared" si="7"/>
        <v>44256</v>
      </c>
      <c r="LM1" s="47">
        <f t="shared" si="7"/>
        <v>44257</v>
      </c>
      <c r="LN1" s="47">
        <f t="shared" si="7"/>
        <v>44258</v>
      </c>
      <c r="LO1" s="47">
        <f t="shared" si="7"/>
        <v>44259</v>
      </c>
      <c r="LP1" s="47">
        <f t="shared" si="7"/>
        <v>44260</v>
      </c>
      <c r="LQ1" s="47">
        <f t="shared" si="7"/>
        <v>44261</v>
      </c>
      <c r="LR1" s="49">
        <f t="shared" si="7"/>
        <v>44262</v>
      </c>
      <c r="LS1" s="47">
        <f t="shared" si="7"/>
        <v>44263</v>
      </c>
      <c r="LT1" s="47">
        <f t="shared" si="7"/>
        <v>44264</v>
      </c>
      <c r="LU1" s="47">
        <f t="shared" si="7"/>
        <v>44265</v>
      </c>
      <c r="LV1" s="47">
        <f t="shared" si="7"/>
        <v>44266</v>
      </c>
      <c r="LW1" s="47">
        <f t="shared" si="7"/>
        <v>44267</v>
      </c>
      <c r="LX1" s="47">
        <f t="shared" si="7"/>
        <v>44268</v>
      </c>
      <c r="LY1" s="49">
        <f t="shared" si="7"/>
        <v>44269</v>
      </c>
      <c r="LZ1" s="47">
        <f t="shared" si="7"/>
        <v>44270</v>
      </c>
      <c r="MA1" s="47">
        <f t="shared" si="7"/>
        <v>44271</v>
      </c>
      <c r="MB1" s="47">
        <f t="shared" si="7"/>
        <v>44272</v>
      </c>
      <c r="MC1" s="47">
        <f t="shared" si="7"/>
        <v>44273</v>
      </c>
      <c r="MD1" s="47">
        <f t="shared" si="7"/>
        <v>44274</v>
      </c>
      <c r="ME1" s="47">
        <f t="shared" si="7"/>
        <v>44275</v>
      </c>
      <c r="MF1" s="49">
        <f t="shared" si="7"/>
        <v>44276</v>
      </c>
      <c r="MG1" s="47">
        <f t="shared" si="7"/>
        <v>44277</v>
      </c>
      <c r="MH1" s="47">
        <f t="shared" si="7"/>
        <v>44278</v>
      </c>
      <c r="MI1" s="47">
        <f t="shared" si="7"/>
        <v>44279</v>
      </c>
      <c r="MJ1" s="47">
        <f t="shared" si="7"/>
        <v>44280</v>
      </c>
      <c r="MK1" s="47">
        <f t="shared" si="7"/>
        <v>44281</v>
      </c>
      <c r="ML1" s="47">
        <f t="shared" si="7"/>
        <v>44282</v>
      </c>
      <c r="MM1" s="49">
        <f t="shared" si="7"/>
        <v>44283</v>
      </c>
      <c r="MN1" s="47">
        <f t="shared" si="7"/>
        <v>44284</v>
      </c>
      <c r="MO1" s="47">
        <f t="shared" si="7"/>
        <v>44285</v>
      </c>
      <c r="MP1" s="47">
        <f t="shared" si="7"/>
        <v>44286</v>
      </c>
      <c r="MQ1" s="47">
        <f t="shared" si="7"/>
        <v>44287</v>
      </c>
      <c r="MR1" s="47">
        <f t="shared" si="7"/>
        <v>44288</v>
      </c>
      <c r="MS1" s="47">
        <f t="shared" si="7"/>
        <v>44289</v>
      </c>
      <c r="MT1" s="49">
        <f t="shared" si="7"/>
        <v>44290</v>
      </c>
    </row>
    <row r="2" spans="1:358"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 si="135">FZ1</f>
        <v>44114</v>
      </c>
      <c r="GA2" s="50">
        <f t="shared" ref="GA2" si="136">GA1</f>
        <v>44115</v>
      </c>
      <c r="GB2" s="48">
        <f t="shared" ref="GB2" si="137">GB1</f>
        <v>44116</v>
      </c>
      <c r="GC2" s="48">
        <f t="shared" ref="GC2" si="138">GC1</f>
        <v>44117</v>
      </c>
      <c r="GD2" s="48">
        <f t="shared" ref="GD2" si="139">GD1</f>
        <v>44118</v>
      </c>
      <c r="GE2" s="48">
        <f t="shared" ref="GE2" si="140">GE1</f>
        <v>44119</v>
      </c>
      <c r="GF2" s="48">
        <f t="shared" ref="GF2" si="141">GF1</f>
        <v>44120</v>
      </c>
      <c r="GG2" s="48">
        <f t="shared" ref="GG2" si="142">GG1</f>
        <v>44121</v>
      </c>
      <c r="GH2" s="50">
        <f t="shared" ref="GH2" si="143">GH1</f>
        <v>44122</v>
      </c>
      <c r="GI2" s="48">
        <f t="shared" ref="GI2" si="144">GI1</f>
        <v>44123</v>
      </c>
      <c r="GJ2" s="48">
        <f t="shared" ref="GJ2" si="145">GJ1</f>
        <v>44124</v>
      </c>
      <c r="GK2" s="48">
        <f t="shared" ref="GK2" si="146">GK1</f>
        <v>44125</v>
      </c>
      <c r="GL2" s="48">
        <f t="shared" ref="GL2" si="147">GL1</f>
        <v>44126</v>
      </c>
      <c r="GM2" s="48">
        <f t="shared" ref="GM2" si="148">GM1</f>
        <v>44127</v>
      </c>
      <c r="GN2" s="48">
        <f t="shared" ref="GN2" si="149">GN1</f>
        <v>44128</v>
      </c>
      <c r="GO2" s="50">
        <f t="shared" ref="GO2" si="150">GO1</f>
        <v>44129</v>
      </c>
      <c r="GP2" s="48">
        <f t="shared" ref="GP2" si="151">GP1</f>
        <v>44130</v>
      </c>
      <c r="GQ2" s="48">
        <f t="shared" ref="GQ2" si="152">GQ1</f>
        <v>44131</v>
      </c>
      <c r="GR2" s="48">
        <f t="shared" ref="GR2" si="153">GR1</f>
        <v>44132</v>
      </c>
      <c r="GS2" s="48">
        <f t="shared" ref="GS2" si="154">GS1</f>
        <v>44133</v>
      </c>
      <c r="GT2" s="48">
        <f t="shared" ref="GT2" si="155">GT1</f>
        <v>44134</v>
      </c>
      <c r="GU2" s="48">
        <f t="shared" ref="GU2" si="156">GU1</f>
        <v>44135</v>
      </c>
      <c r="GV2" s="50">
        <f t="shared" ref="GV2" si="157">GV1</f>
        <v>44136</v>
      </c>
      <c r="GW2" s="48">
        <f t="shared" ref="GW2" si="158">GW1</f>
        <v>44137</v>
      </c>
      <c r="GX2" s="48">
        <f t="shared" ref="GX2" si="159">GX1</f>
        <v>44138</v>
      </c>
      <c r="GY2" s="48">
        <f t="shared" ref="GY2" si="160">GY1</f>
        <v>44139</v>
      </c>
      <c r="GZ2" s="48">
        <f t="shared" ref="GZ2" si="161">GZ1</f>
        <v>44140</v>
      </c>
      <c r="HA2" s="48">
        <f t="shared" ref="HA2" si="162">HA1</f>
        <v>44141</v>
      </c>
      <c r="HB2" s="48">
        <f t="shared" ref="HB2" si="163">HB1</f>
        <v>44142</v>
      </c>
      <c r="HC2" s="50">
        <f t="shared" ref="HC2" si="164">HC1</f>
        <v>44143</v>
      </c>
      <c r="HD2" s="48">
        <f t="shared" ref="HD2" si="165">HD1</f>
        <v>44144</v>
      </c>
      <c r="HE2" s="48">
        <f t="shared" ref="HE2" si="166">HE1</f>
        <v>44145</v>
      </c>
      <c r="HF2" s="48">
        <f t="shared" ref="HF2" si="167">HF1</f>
        <v>44146</v>
      </c>
      <c r="HG2" s="48">
        <f t="shared" ref="HG2" si="168">HG1</f>
        <v>44147</v>
      </c>
      <c r="HH2" s="48">
        <f t="shared" ref="HH2" si="169">HH1</f>
        <v>44148</v>
      </c>
      <c r="HI2" s="48">
        <f t="shared" ref="HI2" si="170">HI1</f>
        <v>44149</v>
      </c>
      <c r="HJ2" s="50">
        <f t="shared" ref="HJ2" si="171">HJ1</f>
        <v>44150</v>
      </c>
      <c r="HK2" s="48">
        <f t="shared" ref="HK2" si="172">HK1</f>
        <v>44151</v>
      </c>
      <c r="HL2" s="48">
        <f t="shared" ref="HL2" si="173">HL1</f>
        <v>44152</v>
      </c>
      <c r="HM2" s="48">
        <f t="shared" ref="HM2" si="174">HM1</f>
        <v>44153</v>
      </c>
      <c r="HN2" s="48">
        <f t="shared" ref="HN2" si="175">HN1</f>
        <v>44154</v>
      </c>
      <c r="HO2" s="48">
        <f t="shared" ref="HO2" si="176">HO1</f>
        <v>44155</v>
      </c>
      <c r="HP2" s="48">
        <f t="shared" ref="HP2" si="177">HP1</f>
        <v>44156</v>
      </c>
      <c r="HQ2" s="50">
        <f t="shared" ref="HQ2" si="178">HQ1</f>
        <v>44157</v>
      </c>
      <c r="HR2" s="48">
        <f t="shared" ref="HR2" si="179">HR1</f>
        <v>44158</v>
      </c>
      <c r="HS2" s="48">
        <f t="shared" ref="HS2" si="180">HS1</f>
        <v>44159</v>
      </c>
      <c r="HT2" s="48">
        <f t="shared" ref="HT2" si="181">HT1</f>
        <v>44160</v>
      </c>
      <c r="HU2" s="48">
        <f t="shared" ref="HU2" si="182">HU1</f>
        <v>44161</v>
      </c>
      <c r="HV2" s="48">
        <f t="shared" ref="HV2" si="183">HV1</f>
        <v>44162</v>
      </c>
      <c r="HW2" s="48">
        <f t="shared" ref="HW2" si="184">HW1</f>
        <v>44163</v>
      </c>
      <c r="HX2" s="50">
        <f t="shared" ref="HX2" si="185">HX1</f>
        <v>44164</v>
      </c>
      <c r="HY2" s="48">
        <f t="shared" ref="HY2" si="186">HY1</f>
        <v>44165</v>
      </c>
      <c r="HZ2" s="48">
        <f t="shared" ref="HZ2" si="187">HZ1</f>
        <v>44166</v>
      </c>
      <c r="IA2" s="48">
        <f t="shared" ref="IA2" si="188">IA1</f>
        <v>44167</v>
      </c>
      <c r="IB2" s="48">
        <f t="shared" ref="IB2" si="189">IB1</f>
        <v>44168</v>
      </c>
      <c r="IC2" s="48">
        <f t="shared" ref="IC2" si="190">IC1</f>
        <v>44169</v>
      </c>
      <c r="ID2" s="48">
        <f t="shared" ref="ID2" si="191">ID1</f>
        <v>44170</v>
      </c>
      <c r="IE2" s="50">
        <f t="shared" ref="IE2" si="192">IE1</f>
        <v>44171</v>
      </c>
      <c r="IF2" s="48">
        <f t="shared" ref="IF2" si="193">IF1</f>
        <v>44172</v>
      </c>
      <c r="IG2" s="48">
        <f t="shared" ref="IG2" si="194">IG1</f>
        <v>44173</v>
      </c>
      <c r="IH2" s="48">
        <f t="shared" ref="IH2" si="195">IH1</f>
        <v>44174</v>
      </c>
      <c r="II2" s="48">
        <f t="shared" ref="II2" si="196">II1</f>
        <v>44175</v>
      </c>
      <c r="IJ2" s="48">
        <f t="shared" ref="IJ2" si="197">IJ1</f>
        <v>44176</v>
      </c>
      <c r="IK2" s="48">
        <f t="shared" ref="IK2" si="198">IK1</f>
        <v>44177</v>
      </c>
      <c r="IL2" s="50">
        <f t="shared" ref="IL2" si="199">IL1</f>
        <v>44178</v>
      </c>
      <c r="IM2" s="48">
        <f t="shared" ref="IM2" si="200">IM1</f>
        <v>44179</v>
      </c>
      <c r="IN2" s="48">
        <f t="shared" ref="IN2" si="201">IN1</f>
        <v>44180</v>
      </c>
      <c r="IO2" s="48">
        <f t="shared" ref="IO2" si="202">IO1</f>
        <v>44181</v>
      </c>
      <c r="IP2" s="48">
        <f t="shared" ref="IP2" si="203">IP1</f>
        <v>44182</v>
      </c>
      <c r="IQ2" s="48">
        <f t="shared" ref="IQ2" si="204">IQ1</f>
        <v>44183</v>
      </c>
      <c r="IR2" s="48">
        <f t="shared" ref="IR2" si="205">IR1</f>
        <v>44184</v>
      </c>
      <c r="IS2" s="50">
        <f t="shared" ref="IS2" si="206">IS1</f>
        <v>44185</v>
      </c>
      <c r="IT2" s="48">
        <f t="shared" ref="IT2" si="207">IT1</f>
        <v>44186</v>
      </c>
      <c r="IU2" s="48">
        <f t="shared" ref="IU2" si="208">IU1</f>
        <v>44187</v>
      </c>
      <c r="IV2" s="48">
        <f t="shared" ref="IV2" si="209">IV1</f>
        <v>44188</v>
      </c>
      <c r="IW2" s="48">
        <f t="shared" ref="IW2" si="210">IW1</f>
        <v>44189</v>
      </c>
      <c r="IX2" s="48">
        <f t="shared" ref="IX2" si="211">IX1</f>
        <v>44190</v>
      </c>
      <c r="IY2" s="48">
        <f t="shared" ref="IY2" si="212">IY1</f>
        <v>44191</v>
      </c>
      <c r="IZ2" s="50">
        <f t="shared" ref="IZ2" si="213">IZ1</f>
        <v>44192</v>
      </c>
      <c r="JA2" s="48">
        <f t="shared" ref="JA2" si="214">JA1</f>
        <v>44193</v>
      </c>
      <c r="JB2" s="48">
        <f t="shared" ref="JB2" si="215">JB1</f>
        <v>44194</v>
      </c>
      <c r="JC2" s="48">
        <f t="shared" ref="JC2" si="216">JC1</f>
        <v>44195</v>
      </c>
      <c r="JD2" s="48">
        <f t="shared" ref="JD2" si="217">JD1</f>
        <v>44196</v>
      </c>
      <c r="JE2" s="48">
        <f t="shared" ref="JE2" si="218">JE1</f>
        <v>44197</v>
      </c>
      <c r="JF2" s="48">
        <f t="shared" ref="JF2" si="219">JF1</f>
        <v>44198</v>
      </c>
      <c r="JG2" s="50">
        <f t="shared" ref="JG2" si="220">JG1</f>
        <v>44199</v>
      </c>
      <c r="JH2" s="48">
        <f t="shared" ref="JH2" si="221">JH1</f>
        <v>44200</v>
      </c>
      <c r="JI2" s="48">
        <f t="shared" ref="JI2" si="222">JI1</f>
        <v>44201</v>
      </c>
      <c r="JJ2" s="48">
        <f t="shared" ref="JJ2" si="223">JJ1</f>
        <v>44202</v>
      </c>
      <c r="JK2" s="48">
        <f t="shared" ref="JK2" si="224">JK1</f>
        <v>44203</v>
      </c>
      <c r="JL2" s="48">
        <f t="shared" ref="JL2" si="225">JL1</f>
        <v>44204</v>
      </c>
      <c r="JM2" s="48">
        <f t="shared" ref="JM2" si="226">JM1</f>
        <v>44205</v>
      </c>
      <c r="JN2" s="50">
        <f t="shared" ref="JN2" si="227">JN1</f>
        <v>44206</v>
      </c>
      <c r="JO2" s="48">
        <f t="shared" ref="JO2" si="228">JO1</f>
        <v>44207</v>
      </c>
      <c r="JP2" s="48">
        <f t="shared" ref="JP2" si="229">JP1</f>
        <v>44208</v>
      </c>
      <c r="JQ2" s="48">
        <f t="shared" ref="JQ2" si="230">JQ1</f>
        <v>44209</v>
      </c>
      <c r="JR2" s="48">
        <f t="shared" ref="JR2" si="231">JR1</f>
        <v>44210</v>
      </c>
      <c r="JS2" s="48">
        <f t="shared" ref="JS2" si="232">JS1</f>
        <v>44211</v>
      </c>
      <c r="JT2" s="48">
        <f t="shared" ref="JT2" si="233">JT1</f>
        <v>44212</v>
      </c>
      <c r="JU2" s="50">
        <f t="shared" ref="JU2" si="234">JU1</f>
        <v>44213</v>
      </c>
      <c r="JV2" s="48">
        <f t="shared" ref="JV2" si="235">JV1</f>
        <v>44214</v>
      </c>
      <c r="JW2" s="48">
        <f t="shared" ref="JW2" si="236">JW1</f>
        <v>44215</v>
      </c>
      <c r="JX2" s="48">
        <f t="shared" ref="JX2" si="237">JX1</f>
        <v>44216</v>
      </c>
      <c r="JY2" s="48">
        <f t="shared" ref="JY2" si="238">JY1</f>
        <v>44217</v>
      </c>
      <c r="JZ2" s="48">
        <f t="shared" ref="JZ2" si="239">JZ1</f>
        <v>44218</v>
      </c>
      <c r="KA2" s="48">
        <f t="shared" ref="KA2" si="240">KA1</f>
        <v>44219</v>
      </c>
      <c r="KB2" s="50">
        <f t="shared" ref="KB2" si="241">KB1</f>
        <v>44220</v>
      </c>
      <c r="KC2" s="48">
        <f t="shared" ref="KC2" si="242">KC1</f>
        <v>44221</v>
      </c>
      <c r="KD2" s="48">
        <f t="shared" ref="KD2" si="243">KD1</f>
        <v>44222</v>
      </c>
      <c r="KE2" s="48">
        <f t="shared" ref="KE2" si="244">KE1</f>
        <v>44223</v>
      </c>
      <c r="KF2" s="48">
        <f t="shared" ref="KF2" si="245">KF1</f>
        <v>44224</v>
      </c>
      <c r="KG2" s="48">
        <f t="shared" ref="KG2" si="246">KG1</f>
        <v>44225</v>
      </c>
      <c r="KH2" s="48">
        <f t="shared" ref="KH2" si="247">KH1</f>
        <v>44226</v>
      </c>
      <c r="KI2" s="50">
        <f t="shared" ref="KI2" si="248">KI1</f>
        <v>44227</v>
      </c>
      <c r="KJ2" s="48">
        <f t="shared" ref="KJ2" si="249">KJ1</f>
        <v>44228</v>
      </c>
      <c r="KK2" s="48">
        <f t="shared" ref="KK2" si="250">KK1</f>
        <v>44229</v>
      </c>
      <c r="KL2" s="48">
        <f t="shared" ref="KL2" si="251">KL1</f>
        <v>44230</v>
      </c>
      <c r="KM2" s="48">
        <f t="shared" ref="KM2" si="252">KM1</f>
        <v>44231</v>
      </c>
      <c r="KN2" s="48">
        <f t="shared" ref="KN2" si="253">KN1</f>
        <v>44232</v>
      </c>
      <c r="KO2" s="48">
        <f t="shared" ref="KO2" si="254">KO1</f>
        <v>44233</v>
      </c>
      <c r="KP2" s="50">
        <f t="shared" ref="KP2" si="255">KP1</f>
        <v>44234</v>
      </c>
      <c r="KQ2" s="48">
        <f t="shared" ref="KQ2" si="256">KQ1</f>
        <v>44235</v>
      </c>
      <c r="KR2" s="48">
        <f t="shared" ref="KR2" si="257">KR1</f>
        <v>44236</v>
      </c>
      <c r="KS2" s="48">
        <f t="shared" ref="KS2" si="258">KS1</f>
        <v>44237</v>
      </c>
      <c r="KT2" s="48">
        <f t="shared" ref="KT2" si="259">KT1</f>
        <v>44238</v>
      </c>
      <c r="KU2" s="48">
        <f t="shared" ref="KU2" si="260">KU1</f>
        <v>44239</v>
      </c>
      <c r="KV2" s="48">
        <f t="shared" ref="KV2" si="261">KV1</f>
        <v>44240</v>
      </c>
      <c r="KW2" s="50">
        <f t="shared" ref="KW2" si="262">KW1</f>
        <v>44241</v>
      </c>
      <c r="KX2" s="48">
        <f t="shared" ref="KX2" si="263">KX1</f>
        <v>44242</v>
      </c>
      <c r="KY2" s="48">
        <f t="shared" ref="KY2" si="264">KY1</f>
        <v>44243</v>
      </c>
      <c r="KZ2" s="48">
        <f t="shared" ref="KZ2" si="265">KZ1</f>
        <v>44244</v>
      </c>
      <c r="LA2" s="48">
        <f t="shared" ref="LA2" si="266">LA1</f>
        <v>44245</v>
      </c>
      <c r="LB2" s="48">
        <f t="shared" ref="LB2" si="267">LB1</f>
        <v>44246</v>
      </c>
      <c r="LC2" s="48">
        <f t="shared" ref="LC2" si="268">LC1</f>
        <v>44247</v>
      </c>
      <c r="LD2" s="50">
        <f t="shared" ref="LD2" si="269">LD1</f>
        <v>44248</v>
      </c>
      <c r="LE2" s="48">
        <f t="shared" ref="LE2" si="270">LE1</f>
        <v>44249</v>
      </c>
      <c r="LF2" s="48">
        <f t="shared" ref="LF2" si="271">LF1</f>
        <v>44250</v>
      </c>
      <c r="LG2" s="48">
        <f t="shared" ref="LG2" si="272">LG1</f>
        <v>44251</v>
      </c>
      <c r="LH2" s="48">
        <f t="shared" ref="LH2" si="273">LH1</f>
        <v>44252</v>
      </c>
      <c r="LI2" s="48">
        <f t="shared" ref="LI2" si="274">LI1</f>
        <v>44253</v>
      </c>
      <c r="LJ2" s="48">
        <f t="shared" ref="LJ2" si="275">LJ1</f>
        <v>44254</v>
      </c>
      <c r="LK2" s="50">
        <f t="shared" ref="LK2" si="276">LK1</f>
        <v>44255</v>
      </c>
      <c r="LL2" s="48">
        <f t="shared" ref="LL2" si="277">LL1</f>
        <v>44256</v>
      </c>
      <c r="LM2" s="48">
        <f t="shared" ref="LM2" si="278">LM1</f>
        <v>44257</v>
      </c>
      <c r="LN2" s="48">
        <f t="shared" ref="LN2" si="279">LN1</f>
        <v>44258</v>
      </c>
      <c r="LO2" s="48">
        <f t="shared" ref="LO2" si="280">LO1</f>
        <v>44259</v>
      </c>
      <c r="LP2" s="48">
        <f t="shared" ref="LP2" si="281">LP1</f>
        <v>44260</v>
      </c>
      <c r="LQ2" s="48">
        <f t="shared" ref="LQ2" si="282">LQ1</f>
        <v>44261</v>
      </c>
      <c r="LR2" s="50">
        <f t="shared" ref="LR2" si="283">LR1</f>
        <v>44262</v>
      </c>
      <c r="LS2" s="48">
        <f t="shared" ref="LS2" si="284">LS1</f>
        <v>44263</v>
      </c>
      <c r="LT2" s="48">
        <f t="shared" ref="LT2" si="285">LT1</f>
        <v>44264</v>
      </c>
      <c r="LU2" s="48">
        <f t="shared" ref="LU2" si="286">LU1</f>
        <v>44265</v>
      </c>
      <c r="LV2" s="48">
        <f t="shared" ref="LV2" si="287">LV1</f>
        <v>44266</v>
      </c>
      <c r="LW2" s="48">
        <f t="shared" ref="LW2" si="288">LW1</f>
        <v>44267</v>
      </c>
      <c r="LX2" s="48">
        <f t="shared" ref="LX2" si="289">LX1</f>
        <v>44268</v>
      </c>
      <c r="LY2" s="50">
        <f t="shared" ref="LY2" si="290">LY1</f>
        <v>44269</v>
      </c>
      <c r="LZ2" s="48">
        <f t="shared" ref="LZ2" si="291">LZ1</f>
        <v>44270</v>
      </c>
      <c r="MA2" s="48">
        <f t="shared" ref="MA2" si="292">MA1</f>
        <v>44271</v>
      </c>
      <c r="MB2" s="48">
        <f t="shared" ref="MB2" si="293">MB1</f>
        <v>44272</v>
      </c>
      <c r="MC2" s="48">
        <f t="shared" ref="MC2" si="294">MC1</f>
        <v>44273</v>
      </c>
      <c r="MD2" s="48">
        <f t="shared" ref="MD2" si="295">MD1</f>
        <v>44274</v>
      </c>
      <c r="ME2" s="48">
        <f t="shared" ref="ME2" si="296">ME1</f>
        <v>44275</v>
      </c>
      <c r="MF2" s="50">
        <f t="shared" ref="MF2" si="297">MF1</f>
        <v>44276</v>
      </c>
      <c r="MG2" s="48">
        <f t="shared" ref="MG2" si="298">MG1</f>
        <v>44277</v>
      </c>
      <c r="MH2" s="48">
        <f t="shared" ref="MH2" si="299">MH1</f>
        <v>44278</v>
      </c>
      <c r="MI2" s="48">
        <f t="shared" ref="MI2" si="300">MI1</f>
        <v>44279</v>
      </c>
      <c r="MJ2" s="48">
        <f t="shared" ref="MJ2" si="301">MJ1</f>
        <v>44280</v>
      </c>
      <c r="MK2" s="48">
        <f t="shared" ref="MK2" si="302">MK1</f>
        <v>44281</v>
      </c>
      <c r="ML2" s="48">
        <f t="shared" ref="ML2" si="303">ML1</f>
        <v>44282</v>
      </c>
      <c r="MM2" s="50">
        <f t="shared" ref="MM2" si="304">MM1</f>
        <v>44283</v>
      </c>
      <c r="MN2" s="48">
        <f t="shared" ref="MN2" si="305">MN1</f>
        <v>44284</v>
      </c>
      <c r="MO2" s="48">
        <f t="shared" ref="MO2" si="306">MO1</f>
        <v>44285</v>
      </c>
      <c r="MP2" s="48">
        <f t="shared" ref="MP2" si="307">MP1</f>
        <v>44286</v>
      </c>
      <c r="MQ2" s="48">
        <f t="shared" ref="MQ2" si="308">MQ1</f>
        <v>44287</v>
      </c>
      <c r="MR2" s="48">
        <f t="shared" ref="MR2" si="309">MR1</f>
        <v>44288</v>
      </c>
      <c r="MS2" s="48">
        <f t="shared" ref="MS2" si="310">MS1</f>
        <v>44289</v>
      </c>
      <c r="MT2" s="50">
        <f t="shared" ref="MT2" si="311">MT1</f>
        <v>44290</v>
      </c>
    </row>
    <row r="3" spans="1:358"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c r="GA3" s="24"/>
      <c r="GB3" s="38" t="s">
        <v>38</v>
      </c>
      <c r="GC3" s="38" t="s">
        <v>38</v>
      </c>
      <c r="GD3" s="38"/>
      <c r="GE3" s="38" t="s">
        <v>38</v>
      </c>
      <c r="GF3" s="38" t="s">
        <v>38</v>
      </c>
      <c r="GG3" s="38"/>
      <c r="GH3" s="24"/>
      <c r="GI3" s="38" t="s">
        <v>38</v>
      </c>
      <c r="GJ3" s="38" t="s">
        <v>38</v>
      </c>
      <c r="GK3" s="38"/>
      <c r="GL3" s="38" t="s">
        <v>38</v>
      </c>
      <c r="GM3" s="38" t="s">
        <v>38</v>
      </c>
      <c r="GN3" s="38"/>
      <c r="GO3" s="24"/>
      <c r="GP3" s="38" t="s">
        <v>38</v>
      </c>
      <c r="GQ3" s="38" t="s">
        <v>38</v>
      </c>
      <c r="GR3" s="38"/>
      <c r="GS3" s="38" t="s">
        <v>38</v>
      </c>
      <c r="GT3" s="38" t="s">
        <v>38</v>
      </c>
      <c r="GU3" s="38"/>
      <c r="GV3" s="24"/>
      <c r="GW3" s="38"/>
      <c r="GX3" s="38" t="s">
        <v>38</v>
      </c>
      <c r="GY3" s="38"/>
      <c r="GZ3" s="38" t="s">
        <v>38</v>
      </c>
      <c r="HA3" s="38" t="s">
        <v>38</v>
      </c>
      <c r="HB3" s="38"/>
      <c r="HC3" s="24"/>
      <c r="HD3" s="38"/>
      <c r="HE3" s="38" t="s">
        <v>38</v>
      </c>
      <c r="HF3" s="38"/>
      <c r="HG3" s="38" t="s">
        <v>38</v>
      </c>
      <c r="HH3" s="38" t="s">
        <v>38</v>
      </c>
      <c r="HI3" s="38"/>
      <c r="HJ3" s="24"/>
      <c r="HK3" s="38"/>
      <c r="HL3" s="38" t="s">
        <v>38</v>
      </c>
      <c r="HM3" s="38"/>
      <c r="HN3" s="38" t="s">
        <v>38</v>
      </c>
      <c r="HO3" s="38" t="s">
        <v>38</v>
      </c>
      <c r="HP3" s="38"/>
      <c r="HQ3" s="24"/>
      <c r="HR3" s="38"/>
      <c r="HS3" s="38" t="s">
        <v>38</v>
      </c>
      <c r="HT3" s="38"/>
      <c r="HU3" s="38" t="s">
        <v>38</v>
      </c>
      <c r="HV3" s="38" t="s">
        <v>38</v>
      </c>
      <c r="HW3" s="38"/>
      <c r="HX3" s="24"/>
      <c r="HY3" s="38"/>
      <c r="HZ3" s="38" t="s">
        <v>38</v>
      </c>
      <c r="IA3" s="38" t="s">
        <v>38</v>
      </c>
      <c r="IB3" s="38"/>
      <c r="IC3" s="38" t="s">
        <v>38</v>
      </c>
      <c r="ID3" s="38">
        <v>14</v>
      </c>
      <c r="IE3" s="24"/>
      <c r="IF3" s="38"/>
      <c r="IG3" s="38" t="s">
        <v>38</v>
      </c>
      <c r="IH3" s="38"/>
      <c r="II3" s="38" t="s">
        <v>38</v>
      </c>
      <c r="IJ3" s="38" t="s">
        <v>38</v>
      </c>
      <c r="IK3" s="38"/>
      <c r="IL3" s="24"/>
      <c r="IM3" s="38"/>
      <c r="IN3" s="38" t="s">
        <v>38</v>
      </c>
      <c r="IO3" s="38"/>
      <c r="IP3" s="38" t="s">
        <v>38</v>
      </c>
      <c r="IQ3" s="38" t="s">
        <v>38</v>
      </c>
      <c r="IR3" s="38">
        <v>10</v>
      </c>
      <c r="IS3" s="24"/>
      <c r="IT3" s="38"/>
      <c r="IU3" s="38" t="s">
        <v>38</v>
      </c>
      <c r="IV3" s="38"/>
      <c r="IW3" s="38" t="s">
        <v>38</v>
      </c>
      <c r="IX3" s="38" t="s">
        <v>38</v>
      </c>
      <c r="IY3" s="38">
        <v>11</v>
      </c>
      <c r="IZ3" s="24" t="s">
        <v>47</v>
      </c>
      <c r="JA3" s="38"/>
      <c r="JB3" s="38" t="s">
        <v>38</v>
      </c>
      <c r="JC3" s="38" t="s">
        <v>40</v>
      </c>
      <c r="JD3" s="38" t="s">
        <v>38</v>
      </c>
      <c r="JE3" s="38" t="s">
        <v>38</v>
      </c>
      <c r="JF3" s="38">
        <v>11</v>
      </c>
      <c r="JG3" s="24">
        <v>13</v>
      </c>
      <c r="JH3" s="38"/>
      <c r="JI3" s="38" t="s">
        <v>38</v>
      </c>
      <c r="JJ3" s="38"/>
      <c r="JK3" s="38" t="s">
        <v>38</v>
      </c>
      <c r="JL3" s="38" t="s">
        <v>38</v>
      </c>
      <c r="JM3" s="38" t="s">
        <v>40</v>
      </c>
      <c r="JN3" s="24">
        <v>12</v>
      </c>
      <c r="JO3" s="38"/>
      <c r="JP3" s="38" t="s">
        <v>38</v>
      </c>
      <c r="JQ3" s="38"/>
      <c r="JR3" s="38" t="s">
        <v>38</v>
      </c>
      <c r="JS3" s="38"/>
      <c r="JT3" s="38" t="s">
        <v>45</v>
      </c>
      <c r="JU3" s="24" t="s">
        <v>45</v>
      </c>
      <c r="JV3" s="38"/>
      <c r="JW3" s="38"/>
      <c r="JX3" s="38"/>
      <c r="JY3" s="38" t="s">
        <v>38</v>
      </c>
      <c r="JZ3" s="38" t="s">
        <v>44</v>
      </c>
      <c r="KA3" s="38" t="s">
        <v>44</v>
      </c>
      <c r="KB3" s="24"/>
      <c r="KC3" s="38" t="s">
        <v>38</v>
      </c>
      <c r="KD3" s="38" t="s">
        <v>38</v>
      </c>
      <c r="KE3" s="38"/>
      <c r="KF3" s="38" t="s">
        <v>38</v>
      </c>
      <c r="KG3" s="38" t="s">
        <v>38</v>
      </c>
      <c r="KH3" s="38"/>
      <c r="KI3" s="24" t="s">
        <v>43</v>
      </c>
      <c r="KJ3" s="38"/>
      <c r="KK3" s="38" t="s">
        <v>38</v>
      </c>
      <c r="KL3" s="38" t="s">
        <v>43</v>
      </c>
      <c r="KM3" s="38" t="s">
        <v>38</v>
      </c>
      <c r="KN3" s="38" t="s">
        <v>38</v>
      </c>
      <c r="KO3" s="38" t="s">
        <v>43</v>
      </c>
      <c r="KP3" s="24" t="s">
        <v>41</v>
      </c>
      <c r="KQ3" s="38" t="s">
        <v>40</v>
      </c>
      <c r="KR3" s="38" t="s">
        <v>38</v>
      </c>
      <c r="KS3" s="38"/>
      <c r="KT3" s="38" t="s">
        <v>38</v>
      </c>
      <c r="KU3" s="38" t="s">
        <v>38</v>
      </c>
      <c r="KV3" s="38">
        <v>12</v>
      </c>
      <c r="KW3" s="24">
        <v>12</v>
      </c>
      <c r="KX3" s="38"/>
      <c r="KY3" s="38" t="s">
        <v>38</v>
      </c>
      <c r="KZ3" s="38"/>
      <c r="LA3" s="38" t="s">
        <v>38</v>
      </c>
      <c r="LB3" s="38" t="s">
        <v>38</v>
      </c>
      <c r="LC3" s="38" t="s">
        <v>38</v>
      </c>
      <c r="LD3" s="24">
        <v>11</v>
      </c>
      <c r="LE3" s="38"/>
      <c r="LF3" s="38" t="s">
        <v>38</v>
      </c>
      <c r="LG3" s="38"/>
      <c r="LH3" s="38" t="s">
        <v>38</v>
      </c>
      <c r="LI3" s="38" t="s">
        <v>38</v>
      </c>
      <c r="LJ3" s="38">
        <v>13</v>
      </c>
      <c r="LK3" s="24">
        <v>13</v>
      </c>
      <c r="LL3" s="38"/>
      <c r="LM3" s="38" t="s">
        <v>38</v>
      </c>
      <c r="LN3" s="38"/>
      <c r="LO3" s="38">
        <v>10</v>
      </c>
      <c r="LP3" s="38"/>
      <c r="LQ3" s="38"/>
      <c r="LR3" s="26" t="s">
        <v>39</v>
      </c>
      <c r="LS3" s="38"/>
      <c r="LT3" s="38" t="s">
        <v>38</v>
      </c>
      <c r="LU3" s="38"/>
      <c r="LV3" s="38" t="s">
        <v>38</v>
      </c>
      <c r="LW3" s="38" t="s">
        <v>38</v>
      </c>
      <c r="LX3" s="38"/>
      <c r="LY3" s="24"/>
      <c r="LZ3" s="38"/>
      <c r="MA3" s="38"/>
      <c r="MB3" s="38"/>
      <c r="MC3" s="38"/>
      <c r="MD3" s="38"/>
      <c r="ME3" s="38"/>
      <c r="MF3" s="24"/>
      <c r="MG3" s="38"/>
      <c r="MH3" s="38"/>
      <c r="MI3" s="38"/>
      <c r="MJ3" s="38"/>
      <c r="MK3" s="38"/>
      <c r="ML3" s="38"/>
      <c r="MM3" s="24"/>
      <c r="MN3" s="38"/>
      <c r="MO3" s="38"/>
      <c r="MP3" s="38"/>
      <c r="MQ3" s="38"/>
      <c r="MR3" s="38"/>
      <c r="MS3" s="38"/>
      <c r="MT3" s="24"/>
    </row>
    <row r="4" spans="1:358"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2"/>
      <c r="GB4" s="11"/>
      <c r="GC4" s="11"/>
      <c r="GD4" s="11"/>
      <c r="GE4" s="11"/>
      <c r="GF4" s="11"/>
      <c r="GG4" s="11"/>
      <c r="GH4" s="12"/>
      <c r="GI4" s="11"/>
      <c r="GJ4" s="11"/>
      <c r="GK4" s="11"/>
      <c r="GL4" s="11"/>
      <c r="GM4" s="11"/>
      <c r="GN4" s="11"/>
      <c r="GO4" s="12"/>
      <c r="GP4" s="11"/>
      <c r="GQ4" s="11"/>
      <c r="GR4" s="11"/>
      <c r="GS4" s="11"/>
      <c r="GT4" s="11"/>
      <c r="GU4" s="11"/>
      <c r="GV4" s="12"/>
      <c r="GW4" s="11"/>
      <c r="GX4" s="11"/>
      <c r="GY4" s="11"/>
      <c r="GZ4" s="11"/>
      <c r="HA4" s="11"/>
      <c r="HB4" s="11"/>
      <c r="HC4" s="12"/>
      <c r="HD4" s="11"/>
      <c r="HE4" s="11"/>
      <c r="HF4" s="11"/>
      <c r="HG4" s="11"/>
      <c r="HH4" s="11"/>
      <c r="HI4" s="11"/>
      <c r="HJ4" s="12"/>
      <c r="HK4" s="11"/>
      <c r="HL4" s="11"/>
      <c r="HM4" s="11"/>
      <c r="HN4" s="11"/>
      <c r="HO4" s="11"/>
      <c r="HP4" s="11"/>
      <c r="HQ4" s="12"/>
      <c r="HR4" s="11"/>
      <c r="HS4" s="11"/>
      <c r="HT4" s="11"/>
      <c r="HU4" s="11"/>
      <c r="HV4" s="11"/>
      <c r="HW4" s="11"/>
      <c r="HX4" s="12"/>
      <c r="HY4" s="11"/>
      <c r="HZ4" s="11"/>
      <c r="IA4" s="11"/>
      <c r="IB4" s="11"/>
      <c r="IC4" s="11"/>
      <c r="ID4" s="11"/>
      <c r="IE4" s="12"/>
      <c r="IF4" s="11"/>
      <c r="IG4" s="11"/>
      <c r="IH4" s="11"/>
      <c r="II4" s="11"/>
      <c r="IJ4" s="11"/>
      <c r="IK4" s="11"/>
      <c r="IL4" s="12"/>
      <c r="IM4" s="11"/>
      <c r="IN4" s="11"/>
      <c r="IO4" s="11"/>
      <c r="IP4" s="11"/>
      <c r="IQ4" s="11"/>
      <c r="IR4" s="11"/>
      <c r="IS4" s="12"/>
      <c r="IT4" s="11"/>
      <c r="IU4" s="11"/>
      <c r="IV4" s="11"/>
      <c r="IW4" s="11"/>
      <c r="IX4" s="11"/>
      <c r="IY4" s="11"/>
      <c r="IZ4" s="12"/>
      <c r="JA4" s="11"/>
      <c r="JB4" s="11"/>
      <c r="JC4" s="11"/>
      <c r="JD4" s="11"/>
      <c r="JE4" s="11"/>
      <c r="JF4" s="11"/>
      <c r="JG4" s="12"/>
      <c r="JH4" s="11"/>
      <c r="JI4" s="11"/>
      <c r="JJ4" s="11"/>
      <c r="JK4" s="11"/>
      <c r="JL4" s="11"/>
      <c r="JM4" s="11"/>
      <c r="JN4" s="12"/>
      <c r="JO4" s="11"/>
      <c r="JP4" s="11"/>
      <c r="JQ4" s="11"/>
      <c r="JR4" s="11"/>
      <c r="JS4" s="11"/>
      <c r="JT4" s="11"/>
      <c r="JU4" s="12"/>
      <c r="JV4" s="11"/>
      <c r="JW4" s="11"/>
      <c r="JX4" s="11"/>
      <c r="JY4" s="11"/>
      <c r="JZ4" s="11"/>
      <c r="KA4" s="11"/>
      <c r="KB4" s="12"/>
      <c r="KC4" s="11"/>
      <c r="KD4" s="11"/>
      <c r="KE4" s="11"/>
      <c r="KF4" s="11"/>
      <c r="KG4" s="11"/>
      <c r="KH4" s="11"/>
      <c r="KI4" s="12"/>
      <c r="KJ4" s="11"/>
      <c r="KK4" s="11"/>
      <c r="KL4" s="11"/>
      <c r="KM4" s="11"/>
      <c r="KN4" s="11"/>
      <c r="KO4" s="11"/>
      <c r="KP4" s="12"/>
      <c r="KQ4" s="11"/>
      <c r="KR4" s="11"/>
      <c r="KS4" s="11"/>
      <c r="KT4" s="11"/>
      <c r="KU4" s="11"/>
      <c r="KV4" s="11"/>
      <c r="KW4" s="12"/>
      <c r="KX4" s="11"/>
      <c r="KY4" s="11"/>
      <c r="KZ4" s="11"/>
      <c r="LA4" s="11"/>
      <c r="LB4" s="11"/>
      <c r="LC4" s="11"/>
      <c r="LD4" s="12"/>
      <c r="LE4" s="11"/>
      <c r="LF4" s="11"/>
      <c r="LG4" s="11"/>
      <c r="LH4" s="11"/>
      <c r="LI4" s="11"/>
      <c r="LJ4" s="11"/>
      <c r="LK4" s="12"/>
      <c r="LL4" s="11"/>
      <c r="LM4" s="11"/>
      <c r="LN4" s="11"/>
      <c r="LO4" s="11"/>
      <c r="LP4" s="11"/>
      <c r="LQ4" s="11"/>
      <c r="LR4" s="12"/>
      <c r="LS4" s="11"/>
      <c r="LT4" s="11"/>
      <c r="LU4" s="11"/>
      <c r="LV4" s="11"/>
      <c r="LW4" s="11"/>
      <c r="LX4" s="11"/>
      <c r="LY4" s="12"/>
      <c r="LZ4" s="11"/>
      <c r="MA4" s="11"/>
      <c r="MB4" s="11"/>
      <c r="MC4" s="11"/>
      <c r="MD4" s="11"/>
      <c r="ME4" s="11"/>
      <c r="MF4" s="12"/>
      <c r="MG4" s="11"/>
      <c r="MH4" s="11"/>
      <c r="MI4" s="11"/>
      <c r="MJ4" s="11"/>
      <c r="MK4" s="11"/>
      <c r="ML4" s="11"/>
      <c r="MM4" s="12"/>
      <c r="MN4" s="11"/>
      <c r="MO4" s="11"/>
      <c r="MP4" s="11"/>
      <c r="MQ4" s="11"/>
      <c r="MR4" s="11"/>
      <c r="MS4" s="11"/>
      <c r="MT4" s="12"/>
    </row>
    <row r="5" spans="1:35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2"/>
      <c r="GB5" s="11"/>
      <c r="GC5" s="11"/>
      <c r="GD5" s="11"/>
      <c r="GE5" s="11"/>
      <c r="GF5" s="11"/>
      <c r="GG5" s="11"/>
      <c r="GH5" s="12"/>
      <c r="GI5" s="11"/>
      <c r="GJ5" s="11"/>
      <c r="GK5" s="11"/>
      <c r="GL5" s="11"/>
      <c r="GM5" s="11"/>
      <c r="GN5" s="11"/>
      <c r="GO5" s="12"/>
      <c r="GP5" s="11"/>
      <c r="GQ5" s="11"/>
      <c r="GR5" s="11"/>
      <c r="GS5" s="11"/>
      <c r="GT5" s="11"/>
      <c r="GU5" s="11"/>
      <c r="GV5" s="12"/>
      <c r="GW5" s="11"/>
      <c r="GX5" s="11"/>
      <c r="GY5" s="11"/>
      <c r="GZ5" s="11"/>
      <c r="HA5" s="11"/>
      <c r="HB5" s="11"/>
      <c r="HC5" s="12"/>
      <c r="HD5" s="11"/>
      <c r="HE5" s="11"/>
      <c r="HF5" s="11"/>
      <c r="HG5" s="11"/>
      <c r="HH5" s="11"/>
      <c r="HI5" s="11"/>
      <c r="HJ5" s="12"/>
      <c r="HK5" s="11"/>
      <c r="HL5" s="11"/>
      <c r="HM5" s="11"/>
      <c r="HN5" s="11"/>
      <c r="HO5" s="11"/>
      <c r="HP5" s="11"/>
      <c r="HQ5" s="12"/>
      <c r="HR5" s="11"/>
      <c r="HS5" s="11"/>
      <c r="HT5" s="11"/>
      <c r="HU5" s="11"/>
      <c r="HV5" s="11"/>
      <c r="HW5" s="11"/>
      <c r="HX5" s="12"/>
      <c r="HY5" s="11"/>
      <c r="HZ5" s="11"/>
      <c r="IA5" s="11"/>
      <c r="IB5" s="11"/>
      <c r="IC5" s="11"/>
      <c r="ID5" s="11"/>
      <c r="IE5" s="12"/>
      <c r="IF5" s="11"/>
      <c r="IG5" s="11"/>
      <c r="IH5" s="11"/>
      <c r="II5" s="11"/>
      <c r="IJ5" s="11"/>
      <c r="IK5" s="11"/>
      <c r="IL5" s="12"/>
      <c r="IM5" s="11"/>
      <c r="IN5" s="11"/>
      <c r="IO5" s="11"/>
      <c r="IP5" s="11"/>
      <c r="IQ5" s="11"/>
      <c r="IR5" s="11"/>
      <c r="IS5" s="12"/>
      <c r="IT5" s="11"/>
      <c r="IU5" s="11"/>
      <c r="IV5" s="11"/>
      <c r="IW5" s="11"/>
      <c r="IX5" s="11"/>
      <c r="IY5" s="11"/>
      <c r="IZ5" s="12"/>
      <c r="JA5" s="11"/>
      <c r="JB5" s="11"/>
      <c r="JC5" s="11"/>
      <c r="JD5" s="11"/>
      <c r="JE5" s="11"/>
      <c r="JF5" s="11"/>
      <c r="JG5" s="12"/>
      <c r="JH5" s="11"/>
      <c r="JI5" s="11"/>
      <c r="JJ5" s="11"/>
      <c r="JK5" s="11"/>
      <c r="JL5" s="11"/>
      <c r="JM5" s="11"/>
      <c r="JN5" s="12"/>
      <c r="JO5" s="11"/>
      <c r="JP5" s="11"/>
      <c r="JQ5" s="11"/>
      <c r="JR5" s="11"/>
      <c r="JS5" s="11"/>
      <c r="JT5" s="11"/>
      <c r="JU5" s="12"/>
      <c r="JV5" s="11"/>
      <c r="JW5" s="11"/>
      <c r="JX5" s="11"/>
      <c r="JY5" s="11"/>
      <c r="JZ5" s="11"/>
      <c r="KA5" s="11"/>
      <c r="KB5" s="12"/>
      <c r="KC5" s="11"/>
      <c r="KD5" s="11"/>
      <c r="KE5" s="11"/>
      <c r="KF5" s="11"/>
      <c r="KG5" s="11"/>
      <c r="KH5" s="11"/>
      <c r="KI5" s="12"/>
      <c r="KJ5" s="11"/>
      <c r="KK5" s="11"/>
      <c r="KL5" s="11"/>
      <c r="KM5" s="11"/>
      <c r="KN5" s="11"/>
      <c r="KO5" s="11"/>
      <c r="KP5" s="12"/>
      <c r="KQ5" s="11"/>
      <c r="KR5" s="11"/>
      <c r="KS5" s="11"/>
      <c r="KT5" s="11"/>
      <c r="KU5" s="11"/>
      <c r="KV5" s="11"/>
      <c r="KW5" s="12"/>
      <c r="KX5" s="11"/>
      <c r="KY5" s="11"/>
      <c r="KZ5" s="11"/>
      <c r="LA5" s="11"/>
      <c r="LB5" s="11"/>
      <c r="LC5" s="11"/>
      <c r="LD5" s="12"/>
      <c r="LE5" s="11"/>
      <c r="LF5" s="11"/>
      <c r="LG5" s="11"/>
      <c r="LH5" s="11"/>
      <c r="LI5" s="11"/>
      <c r="LJ5" s="11"/>
      <c r="LK5" s="12"/>
      <c r="LL5" s="11"/>
      <c r="LM5" s="11"/>
      <c r="LN5" s="11"/>
      <c r="LO5" s="11"/>
      <c r="LP5" s="11"/>
      <c r="LQ5" s="11"/>
      <c r="LR5" s="12"/>
      <c r="LS5" s="11"/>
      <c r="LT5" s="11"/>
      <c r="LU5" s="11"/>
      <c r="LV5" s="11"/>
      <c r="LW5" s="11"/>
      <c r="LX5" s="11"/>
      <c r="LY5" s="12"/>
      <c r="LZ5" s="11"/>
      <c r="MA5" s="11"/>
      <c r="MB5" s="11"/>
      <c r="MC5" s="11"/>
      <c r="MD5" s="11"/>
      <c r="ME5" s="11"/>
      <c r="MF5" s="12"/>
      <c r="MG5" s="11"/>
      <c r="MH5" s="11"/>
      <c r="MI5" s="11"/>
      <c r="MJ5" s="11"/>
      <c r="MK5" s="11"/>
      <c r="ML5" s="11"/>
      <c r="MM5" s="12"/>
      <c r="MN5" s="11"/>
      <c r="MO5" s="11"/>
      <c r="MP5" s="11"/>
      <c r="MQ5" s="11"/>
      <c r="MR5" s="11"/>
      <c r="MS5" s="11"/>
      <c r="MT5" s="12"/>
    </row>
    <row r="6" spans="1:358" ht="7.5" customHeight="1" x14ac:dyDescent="0.25">
      <c r="A6" s="8"/>
      <c r="B6" s="8"/>
      <c r="C6" s="8"/>
      <c r="D6" s="8"/>
      <c r="E6" s="8"/>
      <c r="F6" s="10"/>
      <c r="G6" s="19"/>
      <c r="H6" s="19"/>
      <c r="I6" s="8"/>
      <c r="J6" s="8"/>
      <c r="K6" s="8"/>
      <c r="L6" s="8"/>
      <c r="M6" s="8"/>
      <c r="N6" s="8"/>
      <c r="O6" s="9"/>
      <c r="P6" s="8" t="str">
        <f t="shared" ref="P6:P33" si="312">IF(SUM(S6:MT6) &gt; 0, SUM(S6:MT6), "")</f>
        <v/>
      </c>
      <c r="Q6" s="109" t="str">
        <f>IF(SUM(R6:XFD6) &gt; 0, SUM(R6:XFD6) /#REF! * 100, "")</f>
        <v/>
      </c>
      <c r="R6" s="84"/>
      <c r="S6" s="7"/>
      <c r="Z6" s="7"/>
      <c r="AG6" s="7"/>
      <c r="AN6" s="7"/>
      <c r="AU6" s="7"/>
      <c r="BB6" s="7"/>
      <c r="BI6" s="7"/>
      <c r="BP6" s="7"/>
      <c r="BY6" s="79"/>
      <c r="CH6" s="7"/>
      <c r="CQ6" s="7"/>
      <c r="CZ6" s="7"/>
      <c r="DI6" s="7"/>
      <c r="DR6" s="7"/>
      <c r="EA6" s="79"/>
      <c r="EJ6" s="7"/>
      <c r="ES6" s="7"/>
      <c r="FB6" s="7"/>
      <c r="FK6" s="7"/>
      <c r="FT6" s="7"/>
      <c r="GA6" s="7"/>
      <c r="GH6" s="7"/>
      <c r="GO6" s="7"/>
      <c r="GV6" s="7"/>
      <c r="HC6" s="7"/>
      <c r="HJ6" s="7"/>
      <c r="HQ6" s="7"/>
      <c r="HX6" s="7"/>
      <c r="IE6" s="7"/>
      <c r="IL6" s="7"/>
      <c r="IS6" s="7"/>
      <c r="IZ6" s="7"/>
      <c r="JG6" s="7"/>
      <c r="JN6" s="7"/>
      <c r="JU6" s="7"/>
      <c r="KB6" s="7"/>
      <c r="KI6" s="7"/>
      <c r="KP6" s="7"/>
      <c r="KW6" s="7"/>
      <c r="LD6" s="7"/>
      <c r="LK6" s="7"/>
      <c r="LR6" s="7"/>
      <c r="LY6" s="7"/>
      <c r="MF6" s="7"/>
      <c r="MM6" s="7"/>
      <c r="MT6" s="7"/>
    </row>
    <row r="7" spans="1:358" ht="15" customHeight="1" x14ac:dyDescent="0.25">
      <c r="A7" s="8" t="s">
        <v>128</v>
      </c>
      <c r="B7" s="8" t="s">
        <v>127</v>
      </c>
      <c r="C7" s="8" t="s">
        <v>157</v>
      </c>
      <c r="D7" s="8" t="s">
        <v>126</v>
      </c>
      <c r="E7" s="18">
        <v>38532</v>
      </c>
      <c r="F7" s="10">
        <f>IF($E7 &gt;= F$5, 1, "")</f>
        <v>1</v>
      </c>
      <c r="G7" s="19">
        <f>IF($E7 &gt;= G$5, 1, "")</f>
        <v>1</v>
      </c>
      <c r="H7" s="19" t="str">
        <f t="shared" ref="H7:L7" si="313">IF($E7 &gt;= H$5, 1, "")</f>
        <v/>
      </c>
      <c r="I7" s="19" t="str">
        <f t="shared" si="313"/>
        <v/>
      </c>
      <c r="J7" s="19" t="str">
        <f t="shared" si="313"/>
        <v/>
      </c>
      <c r="K7" s="19" t="str">
        <f t="shared" si="313"/>
        <v/>
      </c>
      <c r="L7" s="19" t="str">
        <f t="shared" si="313"/>
        <v/>
      </c>
      <c r="M7" s="8"/>
      <c r="N7" s="8">
        <v>1</v>
      </c>
      <c r="O7" s="9">
        <v>1</v>
      </c>
      <c r="P7" s="8">
        <f t="shared" si="312"/>
        <v>59</v>
      </c>
      <c r="Q7" s="109">
        <f t="shared" ref="Q7:Q26" si="314">IF(SUM(S7:XFD7) &gt; 0, SUM(S7:XFD7) /P$37 * 100, "")</f>
        <v>89.393939393939391</v>
      </c>
      <c r="R7" s="129" t="str">
        <f t="shared" ref="R7:R33" si="315">KStateSum(S7:MT7, 1)</f>
        <v>7</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GA7" s="7"/>
      <c r="GH7" s="7"/>
      <c r="GO7" s="7"/>
      <c r="GV7" s="7"/>
      <c r="HC7" s="7"/>
      <c r="HJ7" s="7"/>
      <c r="HQ7" s="7"/>
      <c r="HX7" s="7"/>
      <c r="IE7" s="7"/>
      <c r="IL7" s="7"/>
      <c r="IS7" s="7"/>
      <c r="IZ7" s="7"/>
      <c r="JG7" s="7"/>
      <c r="JN7" s="7"/>
      <c r="JU7" s="7"/>
      <c r="KB7" s="7"/>
      <c r="KI7" s="7"/>
      <c r="KP7" s="7"/>
      <c r="KW7" s="7"/>
      <c r="LD7" s="7"/>
      <c r="LK7" s="7"/>
      <c r="LR7" s="7"/>
      <c r="LY7" s="7"/>
      <c r="MF7" s="7"/>
      <c r="MM7" s="7"/>
      <c r="MT7" s="7"/>
    </row>
    <row r="8" spans="1:358" ht="15" customHeight="1" x14ac:dyDescent="0.25">
      <c r="A8" s="8" t="s">
        <v>151</v>
      </c>
      <c r="B8" s="8" t="s">
        <v>152</v>
      </c>
      <c r="C8" s="8" t="s">
        <v>153</v>
      </c>
      <c r="D8" s="8" t="s">
        <v>154</v>
      </c>
      <c r="E8" s="18">
        <v>36859</v>
      </c>
      <c r="F8" s="10" t="str">
        <f t="shared" ref="F8:L30" si="316">IF($E8 &gt;= F$5, 1, "")</f>
        <v/>
      </c>
      <c r="G8" s="19" t="str">
        <f t="shared" si="316"/>
        <v/>
      </c>
      <c r="H8" s="19" t="str">
        <f t="shared" si="316"/>
        <v/>
      </c>
      <c r="I8" s="19" t="str">
        <f t="shared" si="316"/>
        <v/>
      </c>
      <c r="J8" s="19" t="str">
        <f t="shared" si="316"/>
        <v/>
      </c>
      <c r="K8" s="19" t="str">
        <f t="shared" si="316"/>
        <v/>
      </c>
      <c r="L8" s="19" t="str">
        <f t="shared" si="316"/>
        <v/>
      </c>
      <c r="M8" s="8"/>
      <c r="N8" s="8"/>
      <c r="O8" s="9"/>
      <c r="P8" s="8">
        <f t="shared" si="312"/>
        <v>29</v>
      </c>
      <c r="Q8" s="109">
        <f t="shared" si="314"/>
        <v>43.939393939393938</v>
      </c>
      <c r="R8" s="129" t="str">
        <f t="shared" si="315"/>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GA8" s="7"/>
      <c r="GH8" s="7"/>
      <c r="GO8" s="7"/>
      <c r="GV8" s="7"/>
      <c r="HC8" s="7"/>
      <c r="HJ8" s="7"/>
      <c r="HQ8" s="7"/>
      <c r="HX8" s="7"/>
      <c r="IE8" s="7"/>
      <c r="IL8" s="7"/>
      <c r="IS8" s="7"/>
      <c r="IZ8" s="7"/>
      <c r="JG8" s="7"/>
      <c r="JN8" s="7"/>
      <c r="JU8" s="7"/>
      <c r="KB8" s="7"/>
      <c r="KI8" s="7"/>
      <c r="KP8" s="7"/>
      <c r="KW8" s="7"/>
      <c r="LD8" s="7"/>
      <c r="LK8" s="7"/>
      <c r="LR8" s="7"/>
      <c r="LY8" s="7"/>
      <c r="MF8" s="7"/>
      <c r="MM8" s="7"/>
      <c r="MT8" s="7"/>
    </row>
    <row r="9" spans="1:358" ht="15" customHeight="1" x14ac:dyDescent="0.25">
      <c r="A9" s="8" t="s">
        <v>20</v>
      </c>
      <c r="B9" s="8"/>
      <c r="C9" s="8" t="s">
        <v>149</v>
      </c>
      <c r="D9" s="8" t="s">
        <v>150</v>
      </c>
      <c r="E9" s="18">
        <v>37414</v>
      </c>
      <c r="F9" s="10">
        <f t="shared" si="316"/>
        <v>1</v>
      </c>
      <c r="G9" s="19" t="str">
        <f t="shared" si="316"/>
        <v/>
      </c>
      <c r="H9" s="19" t="str">
        <f t="shared" si="316"/>
        <v/>
      </c>
      <c r="I9" s="19" t="str">
        <f t="shared" si="316"/>
        <v/>
      </c>
      <c r="J9" s="19" t="str">
        <f t="shared" si="316"/>
        <v/>
      </c>
      <c r="K9" s="19" t="str">
        <f t="shared" si="316"/>
        <v/>
      </c>
      <c r="L9" s="19" t="str">
        <f t="shared" si="316"/>
        <v/>
      </c>
      <c r="M9" s="8"/>
      <c r="N9" s="8">
        <v>1</v>
      </c>
      <c r="O9" s="9">
        <v>1</v>
      </c>
      <c r="P9" s="8">
        <f t="shared" si="312"/>
        <v>57</v>
      </c>
      <c r="Q9" s="109">
        <f t="shared" si="314"/>
        <v>86.36363636363636</v>
      </c>
      <c r="R9" s="129" t="str">
        <f t="shared" si="315"/>
        <v>-16</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GA9" s="7"/>
      <c r="GH9" s="7"/>
      <c r="GO9" s="7"/>
      <c r="GV9" s="7"/>
      <c r="HC9" s="7"/>
      <c r="HJ9" s="7"/>
      <c r="HQ9" s="7"/>
      <c r="HX9" s="7"/>
      <c r="IE9" s="7"/>
      <c r="IL9" s="7"/>
      <c r="IS9" s="7"/>
      <c r="IZ9" s="7"/>
      <c r="JG9" s="7"/>
      <c r="JN9" s="7"/>
      <c r="JU9" s="7"/>
      <c r="KB9" s="7"/>
      <c r="KI9" s="7"/>
      <c r="KP9" s="7"/>
      <c r="KW9" s="7"/>
      <c r="LD9" s="7"/>
      <c r="LK9" s="7"/>
      <c r="LR9" s="7"/>
      <c r="LY9" s="7"/>
      <c r="MF9" s="7"/>
      <c r="MM9" s="7"/>
      <c r="MT9" s="7"/>
    </row>
    <row r="10" spans="1:358" ht="15" customHeight="1" x14ac:dyDescent="0.25">
      <c r="A10" s="8" t="s">
        <v>247</v>
      </c>
      <c r="B10" s="8" t="s">
        <v>177</v>
      </c>
      <c r="C10" s="8" t="s">
        <v>178</v>
      </c>
      <c r="D10" s="8" t="s">
        <v>113</v>
      </c>
      <c r="E10" s="18">
        <v>37608</v>
      </c>
      <c r="F10" s="10">
        <f t="shared" si="316"/>
        <v>1</v>
      </c>
      <c r="G10" s="19" t="str">
        <f t="shared" si="316"/>
        <v/>
      </c>
      <c r="H10" s="19" t="str">
        <f t="shared" si="316"/>
        <v/>
      </c>
      <c r="I10" s="19" t="str">
        <f t="shared" si="316"/>
        <v/>
      </c>
      <c r="J10" s="19" t="str">
        <f t="shared" si="316"/>
        <v/>
      </c>
      <c r="K10" s="19" t="str">
        <f t="shared" si="316"/>
        <v/>
      </c>
      <c r="L10" s="19" t="str">
        <f t="shared" si="316"/>
        <v/>
      </c>
      <c r="M10" s="8"/>
      <c r="N10" s="8">
        <v>1</v>
      </c>
      <c r="O10" s="9">
        <v>1</v>
      </c>
      <c r="P10" s="8">
        <f t="shared" si="312"/>
        <v>48</v>
      </c>
      <c r="Q10" s="109">
        <f t="shared" si="314"/>
        <v>72.727272727272734</v>
      </c>
      <c r="R10" s="129" t="str">
        <f t="shared" si="315"/>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GA10" s="7"/>
      <c r="GH10" s="7"/>
      <c r="GO10" s="7"/>
      <c r="GV10" s="7"/>
      <c r="HC10" s="7"/>
      <c r="HJ10" s="7"/>
      <c r="HQ10" s="7"/>
      <c r="HX10" s="7"/>
      <c r="IE10" s="7"/>
      <c r="IL10" s="7"/>
      <c r="IS10" s="7"/>
      <c r="IZ10" s="7"/>
      <c r="JG10" s="7"/>
      <c r="JN10" s="7"/>
      <c r="JU10" s="7"/>
      <c r="KB10" s="7"/>
      <c r="KI10" s="7"/>
      <c r="KP10" s="7"/>
      <c r="KW10" s="7"/>
      <c r="LD10" s="7"/>
      <c r="LK10" s="7"/>
      <c r="LR10" s="7"/>
      <c r="LY10" s="7"/>
      <c r="MF10" s="7"/>
      <c r="MM10" s="7"/>
      <c r="MT10" s="7"/>
    </row>
    <row r="11" spans="1:358" ht="15" customHeight="1" x14ac:dyDescent="0.25">
      <c r="A11" s="8" t="s">
        <v>387</v>
      </c>
      <c r="B11" s="8"/>
      <c r="C11" s="8" t="s">
        <v>238</v>
      </c>
      <c r="D11" s="8" t="s">
        <v>164</v>
      </c>
      <c r="E11" s="18">
        <v>36672</v>
      </c>
      <c r="F11" s="10" t="str">
        <f t="shared" si="316"/>
        <v/>
      </c>
      <c r="G11" s="19" t="str">
        <f t="shared" si="316"/>
        <v/>
      </c>
      <c r="H11" s="19" t="str">
        <f t="shared" si="316"/>
        <v/>
      </c>
      <c r="I11" s="19" t="str">
        <f t="shared" si="316"/>
        <v/>
      </c>
      <c r="J11" s="19" t="str">
        <f t="shared" si="316"/>
        <v/>
      </c>
      <c r="K11" s="19" t="str">
        <f t="shared" si="316"/>
        <v/>
      </c>
      <c r="L11" s="19" t="str">
        <f t="shared" si="316"/>
        <v/>
      </c>
      <c r="M11" s="8"/>
      <c r="N11" s="8"/>
      <c r="O11" s="9"/>
      <c r="P11" s="8">
        <f t="shared" si="312"/>
        <v>19</v>
      </c>
      <c r="Q11" s="109">
        <f t="shared" si="314"/>
        <v>28.787878787878789</v>
      </c>
      <c r="R11" s="129" t="str">
        <f t="shared" si="315"/>
        <v>-41</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GA11" s="7"/>
      <c r="GH11" s="7"/>
      <c r="GO11" s="7"/>
      <c r="GV11" s="7"/>
      <c r="HC11" s="7"/>
      <c r="HJ11" s="7"/>
      <c r="HQ11" s="7"/>
      <c r="HX11" s="7"/>
      <c r="IE11" s="7"/>
      <c r="IL11" s="7"/>
      <c r="IS11" s="7"/>
      <c r="IZ11" s="7"/>
      <c r="JG11" s="7"/>
      <c r="JN11" s="7"/>
      <c r="JU11" s="7"/>
      <c r="KB11" s="7"/>
      <c r="KI11" s="7"/>
      <c r="KP11" s="7"/>
      <c r="KW11" s="7"/>
      <c r="LD11" s="7"/>
      <c r="LK11" s="7"/>
      <c r="LR11" s="7"/>
      <c r="LY11" s="7"/>
      <c r="MF11" s="7"/>
      <c r="MM11" s="7"/>
      <c r="MT11" s="7"/>
    </row>
    <row r="12" spans="1:358" x14ac:dyDescent="0.25">
      <c r="A12" s="8" t="s">
        <v>162</v>
      </c>
      <c r="B12" s="8"/>
      <c r="C12" s="8" t="s">
        <v>163</v>
      </c>
      <c r="D12" s="8" t="s">
        <v>164</v>
      </c>
      <c r="E12" s="18">
        <v>37133</v>
      </c>
      <c r="F12" s="10" t="str">
        <f t="shared" si="316"/>
        <v/>
      </c>
      <c r="G12" s="19" t="str">
        <f t="shared" si="316"/>
        <v/>
      </c>
      <c r="H12" s="19" t="str">
        <f t="shared" si="316"/>
        <v/>
      </c>
      <c r="I12" s="19" t="str">
        <f t="shared" si="316"/>
        <v/>
      </c>
      <c r="J12" s="19" t="str">
        <f t="shared" si="316"/>
        <v/>
      </c>
      <c r="K12" s="19" t="str">
        <f t="shared" si="316"/>
        <v/>
      </c>
      <c r="L12" s="19" t="str">
        <f t="shared" si="316"/>
        <v/>
      </c>
      <c r="M12" s="8"/>
      <c r="N12" s="8"/>
      <c r="O12" s="9">
        <v>1</v>
      </c>
      <c r="P12" s="8">
        <f t="shared" si="312"/>
        <v>52</v>
      </c>
      <c r="Q12" s="109">
        <f t="shared" si="314"/>
        <v>78.787878787878782</v>
      </c>
      <c r="R12" s="129" t="str">
        <f t="shared" si="315"/>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GA12" s="7"/>
      <c r="GH12" s="7"/>
      <c r="GO12" s="7"/>
      <c r="GV12" s="7"/>
      <c r="HC12" s="7"/>
      <c r="HJ12" s="7"/>
      <c r="HQ12" s="7"/>
      <c r="HX12" s="7"/>
      <c r="IE12" s="7"/>
      <c r="IL12" s="7"/>
      <c r="IS12" s="7"/>
      <c r="IZ12" s="7"/>
      <c r="JG12" s="7"/>
      <c r="JN12" s="7"/>
      <c r="JU12" s="7"/>
      <c r="KB12" s="7"/>
      <c r="KI12" s="7"/>
      <c r="KP12" s="7"/>
      <c r="KW12" s="7"/>
      <c r="LD12" s="7"/>
      <c r="LK12" s="7"/>
      <c r="LR12" s="7"/>
      <c r="LY12" s="7"/>
      <c r="MF12" s="7"/>
      <c r="MM12" s="7"/>
      <c r="MT12" s="7"/>
    </row>
    <row r="13" spans="1:358" x14ac:dyDescent="0.25">
      <c r="A13" s="8" t="s">
        <v>120</v>
      </c>
      <c r="B13" s="8" t="s">
        <v>161</v>
      </c>
      <c r="C13" s="8" t="s">
        <v>175</v>
      </c>
      <c r="D13" s="8" t="s">
        <v>176</v>
      </c>
      <c r="E13" s="18">
        <v>37808</v>
      </c>
      <c r="F13" s="10">
        <f t="shared" si="316"/>
        <v>1</v>
      </c>
      <c r="G13" s="19" t="str">
        <f t="shared" si="316"/>
        <v/>
      </c>
      <c r="H13" s="19" t="str">
        <f t="shared" si="316"/>
        <v/>
      </c>
      <c r="I13" s="19" t="str">
        <f t="shared" si="316"/>
        <v/>
      </c>
      <c r="J13" s="19" t="str">
        <f t="shared" si="316"/>
        <v/>
      </c>
      <c r="K13" s="19" t="str">
        <f t="shared" si="316"/>
        <v/>
      </c>
      <c r="L13" s="19" t="str">
        <f t="shared" si="316"/>
        <v/>
      </c>
      <c r="M13" s="8"/>
      <c r="N13" s="8">
        <v>1</v>
      </c>
      <c r="O13" s="9">
        <v>1</v>
      </c>
      <c r="P13" s="8">
        <f t="shared" si="312"/>
        <v>53</v>
      </c>
      <c r="Q13" s="109">
        <f t="shared" si="314"/>
        <v>80.303030303030297</v>
      </c>
      <c r="R13" s="129" t="str">
        <f t="shared" si="315"/>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GA13" s="7"/>
      <c r="GH13" s="7"/>
      <c r="GO13" s="7"/>
      <c r="GV13" s="7"/>
      <c r="HC13" s="7"/>
      <c r="HJ13" s="7"/>
      <c r="HQ13" s="7"/>
      <c r="HX13" s="7"/>
      <c r="IE13" s="7"/>
      <c r="IL13" s="7"/>
      <c r="IS13" s="7"/>
      <c r="IZ13" s="7"/>
      <c r="JG13" s="7"/>
      <c r="JN13" s="7"/>
      <c r="JU13" s="7"/>
      <c r="KB13" s="7"/>
      <c r="KI13" s="7"/>
      <c r="KP13" s="7"/>
      <c r="KW13" s="7"/>
      <c r="LD13" s="7"/>
      <c r="LK13" s="7"/>
      <c r="LR13" s="7"/>
      <c r="LY13" s="7"/>
      <c r="MF13" s="7"/>
      <c r="MM13" s="7"/>
      <c r="MT13" s="7"/>
    </row>
    <row r="14" spans="1:358" hidden="1" x14ac:dyDescent="0.25">
      <c r="A14" s="8" t="s">
        <v>177</v>
      </c>
      <c r="B14" s="8"/>
      <c r="C14" s="8" t="s">
        <v>179</v>
      </c>
      <c r="D14" s="8" t="s">
        <v>180</v>
      </c>
      <c r="E14" s="18"/>
      <c r="F14" s="10" t="str">
        <f t="shared" si="316"/>
        <v/>
      </c>
      <c r="G14" s="19" t="str">
        <f t="shared" si="316"/>
        <v/>
      </c>
      <c r="H14" s="19" t="str">
        <f t="shared" si="316"/>
        <v/>
      </c>
      <c r="I14" s="19" t="str">
        <f t="shared" si="316"/>
        <v/>
      </c>
      <c r="J14" s="19" t="str">
        <f t="shared" si="316"/>
        <v/>
      </c>
      <c r="K14" s="19" t="str">
        <f t="shared" si="316"/>
        <v/>
      </c>
      <c r="L14" s="19" t="str">
        <f t="shared" si="316"/>
        <v/>
      </c>
      <c r="M14" s="8"/>
      <c r="N14" s="8">
        <v>1</v>
      </c>
      <c r="O14" s="9"/>
      <c r="P14" s="8">
        <f t="shared" si="312"/>
        <v>1</v>
      </c>
      <c r="Q14" s="109">
        <f t="shared" si="314"/>
        <v>1.5151515151515151</v>
      </c>
      <c r="R14" s="129" t="str">
        <f t="shared" si="315"/>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A14" s="7"/>
      <c r="GH14" s="7"/>
      <c r="GO14" s="7"/>
      <c r="GV14" s="7"/>
      <c r="HC14" s="7"/>
      <c r="HJ14" s="7"/>
      <c r="HQ14" s="7"/>
      <c r="HX14" s="7"/>
      <c r="IE14" s="7"/>
      <c r="IL14" s="7"/>
      <c r="IS14" s="7"/>
      <c r="IZ14" s="7"/>
      <c r="JG14" s="7"/>
      <c r="JN14" s="7"/>
      <c r="JU14" s="7"/>
      <c r="KB14" s="7"/>
      <c r="KI14" s="7"/>
      <c r="KP14" s="7"/>
      <c r="KW14" s="7"/>
      <c r="LD14" s="7"/>
      <c r="LK14" s="7"/>
      <c r="LR14" s="7"/>
      <c r="LY14" s="7"/>
      <c r="MF14" s="7"/>
      <c r="MM14" s="7"/>
      <c r="MT14" s="7"/>
    </row>
    <row r="15" spans="1:358" hidden="1" x14ac:dyDescent="0.25">
      <c r="A15" s="8" t="s">
        <v>171</v>
      </c>
      <c r="B15" s="8" t="s">
        <v>172</v>
      </c>
      <c r="C15" s="8" t="s">
        <v>173</v>
      </c>
      <c r="D15" s="8" t="s">
        <v>174</v>
      </c>
      <c r="E15" s="18">
        <v>36556</v>
      </c>
      <c r="F15" s="10" t="str">
        <f t="shared" si="316"/>
        <v/>
      </c>
      <c r="G15" s="19" t="str">
        <f t="shared" si="316"/>
        <v/>
      </c>
      <c r="H15" s="19" t="str">
        <f t="shared" si="316"/>
        <v/>
      </c>
      <c r="I15" s="19" t="str">
        <f t="shared" si="316"/>
        <v/>
      </c>
      <c r="J15" s="19" t="str">
        <f t="shared" si="316"/>
        <v/>
      </c>
      <c r="K15" s="19" t="str">
        <f t="shared" si="316"/>
        <v/>
      </c>
      <c r="L15" s="19" t="str">
        <f t="shared" si="316"/>
        <v/>
      </c>
      <c r="M15" s="8"/>
      <c r="N15" s="8"/>
      <c r="O15" s="9"/>
      <c r="P15" s="8">
        <f t="shared" si="312"/>
        <v>1</v>
      </c>
      <c r="Q15" s="109">
        <f t="shared" si="314"/>
        <v>1.5151515151515151</v>
      </c>
      <c r="R15" s="129" t="str">
        <f t="shared" si="315"/>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A15" s="7"/>
      <c r="GH15" s="7"/>
      <c r="GO15" s="7"/>
      <c r="GV15" s="7"/>
      <c r="HC15" s="7"/>
      <c r="HJ15" s="7"/>
      <c r="HQ15" s="7"/>
      <c r="HX15" s="7"/>
      <c r="IE15" s="7"/>
      <c r="IL15" s="7"/>
      <c r="IS15" s="7"/>
      <c r="IZ15" s="7"/>
      <c r="JG15" s="7"/>
      <c r="JN15" s="7"/>
      <c r="JU15" s="7"/>
      <c r="KB15" s="7"/>
      <c r="KI15" s="7"/>
      <c r="KP15" s="7"/>
      <c r="KW15" s="7"/>
      <c r="LD15" s="7"/>
      <c r="LK15" s="7"/>
      <c r="LR15" s="7"/>
      <c r="LY15" s="7"/>
      <c r="MF15" s="7"/>
      <c r="MM15" s="7"/>
      <c r="MT15" s="7"/>
    </row>
    <row r="16" spans="1:358" x14ac:dyDescent="0.25">
      <c r="A16" s="8" t="s">
        <v>457</v>
      </c>
      <c r="B16" s="8" t="s">
        <v>230</v>
      </c>
      <c r="C16" s="8" t="s">
        <v>232</v>
      </c>
      <c r="D16" s="8" t="s">
        <v>231</v>
      </c>
      <c r="E16" s="18">
        <v>38679</v>
      </c>
      <c r="F16" s="10">
        <f t="shared" si="316"/>
        <v>1</v>
      </c>
      <c r="G16" s="19">
        <f t="shared" si="316"/>
        <v>1</v>
      </c>
      <c r="H16" s="19" t="str">
        <f t="shared" si="316"/>
        <v/>
      </c>
      <c r="I16" s="19" t="str">
        <f t="shared" si="316"/>
        <v/>
      </c>
      <c r="J16" s="19" t="str">
        <f t="shared" si="316"/>
        <v/>
      </c>
      <c r="K16" s="19" t="str">
        <f t="shared" si="316"/>
        <v/>
      </c>
      <c r="L16" s="19" t="str">
        <f t="shared" si="316"/>
        <v/>
      </c>
      <c r="M16" s="8">
        <v>1</v>
      </c>
      <c r="N16" s="8">
        <v>1</v>
      </c>
      <c r="O16" s="9"/>
      <c r="P16" s="8">
        <f t="shared" si="312"/>
        <v>19</v>
      </c>
      <c r="Q16" s="109">
        <f t="shared" si="314"/>
        <v>28.787878787878789</v>
      </c>
      <c r="R16" s="129" t="str">
        <f t="shared" si="315"/>
        <v>-46</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D16">
        <v>1</v>
      </c>
      <c r="FG16">
        <v>1</v>
      </c>
      <c r="FJ16" s="99" t="s">
        <v>364</v>
      </c>
      <c r="FK16" s="80" t="s">
        <v>362</v>
      </c>
      <c r="FL16">
        <v>1</v>
      </c>
      <c r="FM16">
        <v>1</v>
      </c>
      <c r="FP16">
        <v>1</v>
      </c>
      <c r="FS16" s="99" t="s">
        <v>364</v>
      </c>
      <c r="FT16" s="80" t="s">
        <v>363</v>
      </c>
      <c r="GA16" s="7"/>
      <c r="GH16" s="7"/>
      <c r="GO16" s="7"/>
      <c r="GV16" s="7"/>
      <c r="HC16" s="7"/>
      <c r="HJ16" s="7"/>
      <c r="HQ16" s="7"/>
      <c r="HX16" s="7"/>
      <c r="IE16" s="7"/>
      <c r="IL16" s="7"/>
      <c r="IS16" s="7"/>
      <c r="IZ16" s="7"/>
      <c r="JG16" s="7"/>
      <c r="JN16" s="7"/>
      <c r="JU16" s="7"/>
      <c r="KB16" s="7"/>
      <c r="KI16" s="7"/>
      <c r="KP16" s="7"/>
      <c r="KW16" s="7"/>
      <c r="LD16" s="7"/>
      <c r="LK16" s="7"/>
      <c r="LR16" s="7"/>
      <c r="LY16" s="7"/>
      <c r="MF16" s="7"/>
      <c r="MM16" s="7"/>
      <c r="MT16" s="7"/>
    </row>
    <row r="17" spans="1:358" x14ac:dyDescent="0.25">
      <c r="A17" s="8" t="s">
        <v>125</v>
      </c>
      <c r="B17" s="8" t="s">
        <v>124</v>
      </c>
      <c r="C17" s="8" t="s">
        <v>158</v>
      </c>
      <c r="D17" s="8" t="s">
        <v>123</v>
      </c>
      <c r="E17" s="18">
        <v>38491</v>
      </c>
      <c r="F17" s="10">
        <f t="shared" si="316"/>
        <v>1</v>
      </c>
      <c r="G17" s="19">
        <f t="shared" si="316"/>
        <v>1</v>
      </c>
      <c r="H17" s="19" t="str">
        <f t="shared" si="316"/>
        <v/>
      </c>
      <c r="I17" s="19" t="str">
        <f t="shared" si="316"/>
        <v/>
      </c>
      <c r="J17" s="19" t="str">
        <f t="shared" si="316"/>
        <v/>
      </c>
      <c r="K17" s="19" t="str">
        <f t="shared" si="316"/>
        <v/>
      </c>
      <c r="L17" s="19" t="str">
        <f t="shared" si="316"/>
        <v/>
      </c>
      <c r="M17" s="8"/>
      <c r="N17" s="8">
        <v>1</v>
      </c>
      <c r="O17" s="9">
        <v>1</v>
      </c>
      <c r="P17" s="8">
        <f t="shared" si="312"/>
        <v>52</v>
      </c>
      <c r="Q17" s="109">
        <f t="shared" si="314"/>
        <v>78.787878787878782</v>
      </c>
      <c r="R17" s="129" t="str">
        <f t="shared" si="315"/>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GA17" s="7"/>
      <c r="GH17" s="7"/>
      <c r="GO17" s="7"/>
      <c r="GV17" s="7"/>
      <c r="HC17" s="7"/>
      <c r="HJ17" s="7"/>
      <c r="HQ17" s="7"/>
      <c r="HX17" s="7"/>
      <c r="IE17" s="7"/>
      <c r="IL17" s="7"/>
      <c r="IS17" s="7"/>
      <c r="IZ17" s="7"/>
      <c r="JG17" s="7"/>
      <c r="JN17" s="7"/>
      <c r="JU17" s="7"/>
      <c r="KB17" s="7"/>
      <c r="KI17" s="7"/>
      <c r="KP17" s="7"/>
      <c r="KW17" s="7"/>
      <c r="LD17" s="7"/>
      <c r="LK17" s="7"/>
      <c r="LR17" s="7"/>
      <c r="LY17" s="7"/>
      <c r="MF17" s="7"/>
      <c r="MM17" s="7"/>
      <c r="MT17" s="7"/>
    </row>
    <row r="18" spans="1:358" x14ac:dyDescent="0.25">
      <c r="A18" s="8" t="s">
        <v>80</v>
      </c>
      <c r="B18" s="8"/>
      <c r="C18" s="8" t="s">
        <v>160</v>
      </c>
      <c r="D18" s="8" t="s">
        <v>122</v>
      </c>
      <c r="E18" s="18">
        <v>38655</v>
      </c>
      <c r="F18" s="10">
        <f t="shared" si="316"/>
        <v>1</v>
      </c>
      <c r="G18" s="19">
        <f t="shared" si="316"/>
        <v>1</v>
      </c>
      <c r="H18" s="19" t="str">
        <f t="shared" si="316"/>
        <v/>
      </c>
      <c r="I18" s="19" t="str">
        <f t="shared" si="316"/>
        <v/>
      </c>
      <c r="J18" s="19" t="str">
        <f t="shared" si="316"/>
        <v/>
      </c>
      <c r="K18" s="19" t="str">
        <f t="shared" si="316"/>
        <v/>
      </c>
      <c r="L18" s="19" t="str">
        <f t="shared" si="316"/>
        <v/>
      </c>
      <c r="M18" s="8"/>
      <c r="N18" s="8">
        <v>1</v>
      </c>
      <c r="O18" s="9">
        <v>1</v>
      </c>
      <c r="P18" s="8">
        <f t="shared" si="312"/>
        <v>49</v>
      </c>
      <c r="Q18" s="109">
        <f t="shared" si="314"/>
        <v>74.242424242424249</v>
      </c>
      <c r="R18" s="129" t="str">
        <f t="shared" si="315"/>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GA18" s="7"/>
      <c r="GH18" s="7"/>
      <c r="GO18" s="7"/>
      <c r="GV18" s="7"/>
      <c r="HC18" s="7"/>
      <c r="HJ18" s="7"/>
      <c r="HQ18" s="7"/>
      <c r="HX18" s="7"/>
      <c r="IE18" s="7"/>
      <c r="IL18" s="7"/>
      <c r="IS18" s="7"/>
      <c r="IZ18" s="7"/>
      <c r="JG18" s="7"/>
      <c r="JN18" s="7"/>
      <c r="JU18" s="7"/>
      <c r="KB18" s="7"/>
      <c r="KI18" s="7"/>
      <c r="KP18" s="7"/>
      <c r="KW18" s="7"/>
      <c r="LD18" s="7"/>
      <c r="LK18" s="7"/>
      <c r="LR18" s="7"/>
      <c r="LY18" s="7"/>
      <c r="MF18" s="7"/>
      <c r="MM18" s="7"/>
      <c r="MT18" s="7"/>
    </row>
    <row r="19" spans="1:358" x14ac:dyDescent="0.25">
      <c r="A19" s="8" t="s">
        <v>155</v>
      </c>
      <c r="B19" s="8"/>
      <c r="C19" s="8" t="s">
        <v>156</v>
      </c>
      <c r="D19" s="8" t="s">
        <v>139</v>
      </c>
      <c r="E19" s="18">
        <v>37863</v>
      </c>
      <c r="F19" s="10">
        <f t="shared" si="316"/>
        <v>1</v>
      </c>
      <c r="G19" s="19" t="str">
        <f t="shared" si="316"/>
        <v/>
      </c>
      <c r="H19" s="19" t="str">
        <f t="shared" si="316"/>
        <v/>
      </c>
      <c r="I19" s="19" t="str">
        <f t="shared" si="316"/>
        <v/>
      </c>
      <c r="J19" s="19" t="str">
        <f t="shared" si="316"/>
        <v/>
      </c>
      <c r="K19" s="19" t="str">
        <f t="shared" si="316"/>
        <v/>
      </c>
      <c r="L19" s="19" t="str">
        <f t="shared" si="316"/>
        <v/>
      </c>
      <c r="M19" s="8"/>
      <c r="N19" s="8">
        <v>1</v>
      </c>
      <c r="O19" s="9">
        <v>1</v>
      </c>
      <c r="P19" s="8">
        <f t="shared" si="312"/>
        <v>52</v>
      </c>
      <c r="Q19" s="109">
        <f t="shared" si="314"/>
        <v>78.787878787878782</v>
      </c>
      <c r="R19" s="129" t="str">
        <f t="shared" si="315"/>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GA19" s="7"/>
      <c r="GH19" s="7"/>
      <c r="GO19" s="7"/>
      <c r="GV19" s="7"/>
      <c r="HC19" s="7"/>
      <c r="HJ19" s="7"/>
      <c r="HQ19" s="7"/>
      <c r="HX19" s="7"/>
      <c r="IE19" s="7"/>
      <c r="IL19" s="7"/>
      <c r="IS19" s="7"/>
      <c r="IZ19" s="7"/>
      <c r="JG19" s="7"/>
      <c r="JN19" s="7"/>
      <c r="JU19" s="7"/>
      <c r="KB19" s="7"/>
      <c r="KI19" s="7"/>
      <c r="KP19" s="7"/>
      <c r="KW19" s="7"/>
      <c r="LD19" s="7"/>
      <c r="LK19" s="7"/>
      <c r="LR19" s="7"/>
      <c r="LY19" s="7"/>
      <c r="MF19" s="7"/>
      <c r="MM19" s="7"/>
      <c r="MT19" s="7"/>
    </row>
    <row r="20" spans="1:358" x14ac:dyDescent="0.25">
      <c r="A20" s="8" t="s">
        <v>80</v>
      </c>
      <c r="B20" s="8"/>
      <c r="C20" s="8" t="s">
        <v>143</v>
      </c>
      <c r="D20" s="8" t="s">
        <v>139</v>
      </c>
      <c r="E20" s="18">
        <v>37863</v>
      </c>
      <c r="F20" s="10">
        <f t="shared" si="316"/>
        <v>1</v>
      </c>
      <c r="G20" s="19" t="str">
        <f t="shared" si="316"/>
        <v/>
      </c>
      <c r="H20" s="19" t="str">
        <f t="shared" si="316"/>
        <v/>
      </c>
      <c r="I20" s="19" t="str">
        <f t="shared" si="316"/>
        <v/>
      </c>
      <c r="J20" s="19" t="str">
        <f t="shared" si="316"/>
        <v/>
      </c>
      <c r="K20" s="19" t="str">
        <f t="shared" si="316"/>
        <v/>
      </c>
      <c r="L20" s="19" t="str">
        <f t="shared" si="316"/>
        <v/>
      </c>
      <c r="M20" s="8"/>
      <c r="N20" s="8">
        <v>1</v>
      </c>
      <c r="O20" s="9">
        <v>1</v>
      </c>
      <c r="P20" s="8">
        <f t="shared" si="312"/>
        <v>47</v>
      </c>
      <c r="Q20" s="109">
        <f t="shared" si="314"/>
        <v>71.212121212121218</v>
      </c>
      <c r="R20" s="129" t="str">
        <f t="shared" si="315"/>
        <v>-24</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GA20" s="7"/>
      <c r="GH20" s="7"/>
      <c r="GO20" s="7"/>
      <c r="GV20" s="7"/>
      <c r="HC20" s="7"/>
      <c r="HJ20" s="7"/>
      <c r="HQ20" s="7"/>
      <c r="HX20" s="7"/>
      <c r="IE20" s="7"/>
      <c r="IL20" s="7"/>
      <c r="IS20" s="7"/>
      <c r="IZ20" s="7"/>
      <c r="JG20" s="7"/>
      <c r="JN20" s="7"/>
      <c r="JU20" s="7"/>
      <c r="KB20" s="7"/>
      <c r="KI20" s="7"/>
      <c r="KP20" s="7"/>
      <c r="KW20" s="7"/>
      <c r="LD20" s="7"/>
      <c r="LK20" s="7"/>
      <c r="LR20" s="7"/>
      <c r="LY20" s="7"/>
      <c r="MF20" s="7"/>
      <c r="MM20" s="7"/>
      <c r="MT20" s="7"/>
    </row>
    <row r="21" spans="1:358" x14ac:dyDescent="0.25">
      <c r="A21" s="8" t="s">
        <v>142</v>
      </c>
      <c r="B21" s="8" t="s">
        <v>141</v>
      </c>
      <c r="C21" s="8" t="s">
        <v>140</v>
      </c>
      <c r="D21" s="8" t="s">
        <v>139</v>
      </c>
      <c r="E21" s="18">
        <v>38954</v>
      </c>
      <c r="F21" s="10">
        <f t="shared" si="316"/>
        <v>1</v>
      </c>
      <c r="G21" s="19">
        <f t="shared" si="316"/>
        <v>1</v>
      </c>
      <c r="H21" s="19">
        <f t="shared" si="316"/>
        <v>1</v>
      </c>
      <c r="I21" s="19" t="str">
        <f t="shared" si="316"/>
        <v/>
      </c>
      <c r="J21" s="19" t="str">
        <f t="shared" si="316"/>
        <v/>
      </c>
      <c r="K21" s="19" t="str">
        <f t="shared" si="316"/>
        <v/>
      </c>
      <c r="L21" s="19" t="str">
        <f t="shared" si="316"/>
        <v/>
      </c>
      <c r="M21" s="8">
        <v>1</v>
      </c>
      <c r="N21" s="8">
        <v>1</v>
      </c>
      <c r="O21" s="9"/>
      <c r="P21" s="8">
        <f t="shared" si="312"/>
        <v>47</v>
      </c>
      <c r="Q21" s="109">
        <f t="shared" si="314"/>
        <v>71.212121212121218</v>
      </c>
      <c r="R21" s="129" t="str">
        <f t="shared" si="315"/>
        <v>-14</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A21" s="7"/>
      <c r="GH21" s="7"/>
      <c r="GO21" s="7"/>
      <c r="GV21" s="7"/>
      <c r="HC21" s="7"/>
      <c r="HJ21" s="7"/>
      <c r="HQ21" s="7"/>
      <c r="HX21" s="7"/>
      <c r="IE21" s="7"/>
      <c r="IL21" s="7"/>
      <c r="IS21" s="7"/>
      <c r="IZ21" s="7"/>
      <c r="JG21" s="7"/>
      <c r="JN21" s="7"/>
      <c r="JU21" s="7"/>
      <c r="KB21" s="7"/>
      <c r="KI21" s="7"/>
      <c r="KP21" s="7"/>
      <c r="KW21" s="7"/>
      <c r="LD21" s="7"/>
      <c r="LK21" s="7"/>
      <c r="LR21" s="7"/>
      <c r="LY21" s="7"/>
      <c r="MF21" s="7"/>
      <c r="MM21" s="7"/>
      <c r="MT21" s="7"/>
    </row>
    <row r="22" spans="1:358" hidden="1" x14ac:dyDescent="0.25">
      <c r="A22" s="8" t="s">
        <v>162</v>
      </c>
      <c r="B22" s="8" t="s">
        <v>184</v>
      </c>
      <c r="C22" s="8" t="s">
        <v>186</v>
      </c>
      <c r="D22" s="8" t="s">
        <v>185</v>
      </c>
      <c r="E22" s="18"/>
      <c r="F22" s="10" t="str">
        <f t="shared" si="316"/>
        <v/>
      </c>
      <c r="G22" s="19" t="str">
        <f t="shared" si="316"/>
        <v/>
      </c>
      <c r="H22" s="19" t="str">
        <f t="shared" si="316"/>
        <v/>
      </c>
      <c r="I22" s="19" t="str">
        <f t="shared" si="316"/>
        <v/>
      </c>
      <c r="J22" s="19" t="str">
        <f t="shared" si="316"/>
        <v/>
      </c>
      <c r="K22" s="19" t="str">
        <f t="shared" si="316"/>
        <v/>
      </c>
      <c r="L22" s="19" t="str">
        <f t="shared" si="316"/>
        <v/>
      </c>
      <c r="M22" s="8"/>
      <c r="N22" s="8">
        <v>1</v>
      </c>
      <c r="O22" s="9"/>
      <c r="P22" s="8">
        <f t="shared" si="312"/>
        <v>1</v>
      </c>
      <c r="Q22" s="109">
        <f t="shared" si="314"/>
        <v>1.5151515151515151</v>
      </c>
      <c r="R22" s="129" t="str">
        <f t="shared" si="315"/>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A22" s="7"/>
      <c r="GH22" s="7"/>
      <c r="GO22" s="7"/>
      <c r="GV22" s="7"/>
      <c r="HC22" s="7"/>
      <c r="HJ22" s="7"/>
      <c r="HQ22" s="7"/>
      <c r="HX22" s="7"/>
      <c r="IE22" s="7"/>
      <c r="IL22" s="7"/>
      <c r="IS22" s="7"/>
      <c r="IZ22" s="7"/>
      <c r="JG22" s="7"/>
      <c r="JN22" s="7"/>
      <c r="JU22" s="7"/>
      <c r="KB22" s="7"/>
      <c r="KI22" s="7"/>
      <c r="KP22" s="7"/>
      <c r="KW22" s="7"/>
      <c r="LD22" s="7"/>
      <c r="LK22" s="7"/>
      <c r="LR22" s="7"/>
      <c r="LY22" s="7"/>
      <c r="MF22" s="7"/>
      <c r="MM22" s="7"/>
      <c r="MT22" s="7"/>
    </row>
    <row r="23" spans="1:358" x14ac:dyDescent="0.25">
      <c r="A23" s="8" t="s">
        <v>138</v>
      </c>
      <c r="B23" s="8" t="s">
        <v>137</v>
      </c>
      <c r="C23" s="8" t="s">
        <v>136</v>
      </c>
      <c r="D23" s="8" t="s">
        <v>135</v>
      </c>
      <c r="E23" s="18">
        <v>39155</v>
      </c>
      <c r="F23" s="10">
        <f t="shared" si="316"/>
        <v>1</v>
      </c>
      <c r="G23" s="19">
        <f t="shared" si="316"/>
        <v>1</v>
      </c>
      <c r="H23" s="19">
        <f t="shared" si="316"/>
        <v>1</v>
      </c>
      <c r="I23" s="19">
        <f t="shared" si="316"/>
        <v>1</v>
      </c>
      <c r="J23" s="19" t="str">
        <f t="shared" si="316"/>
        <v/>
      </c>
      <c r="K23" s="19" t="str">
        <f t="shared" si="316"/>
        <v/>
      </c>
      <c r="L23" s="19" t="str">
        <f t="shared" si="316"/>
        <v/>
      </c>
      <c r="M23" s="8">
        <v>1</v>
      </c>
      <c r="N23" s="8">
        <v>1</v>
      </c>
      <c r="O23" s="9"/>
      <c r="P23" s="8">
        <f t="shared" si="312"/>
        <v>46</v>
      </c>
      <c r="Q23" s="109">
        <f t="shared" si="314"/>
        <v>69.696969696969703</v>
      </c>
      <c r="R23" s="129" t="str">
        <f t="shared" si="315"/>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GA23" s="7"/>
      <c r="GH23" s="7"/>
      <c r="GO23" s="7"/>
      <c r="GV23" s="7"/>
      <c r="HC23" s="7"/>
      <c r="HJ23" s="7"/>
      <c r="HQ23" s="7"/>
      <c r="HX23" s="7"/>
      <c r="IE23" s="7"/>
      <c r="IL23" s="7"/>
      <c r="IS23" s="7"/>
      <c r="IZ23" s="7"/>
      <c r="JG23" s="7"/>
      <c r="JN23" s="7"/>
      <c r="JU23" s="7"/>
      <c r="KB23" s="7"/>
      <c r="KI23" s="7"/>
      <c r="KP23" s="7"/>
      <c r="KW23" s="7"/>
      <c r="LD23" s="7"/>
      <c r="LK23" s="7"/>
      <c r="LR23" s="7"/>
      <c r="LY23" s="7"/>
      <c r="MF23" s="7"/>
      <c r="MM23" s="7"/>
      <c r="MT23" s="7"/>
    </row>
    <row r="24" spans="1:358" x14ac:dyDescent="0.25">
      <c r="A24" s="8" t="s">
        <v>134</v>
      </c>
      <c r="B24" s="8" t="s">
        <v>133</v>
      </c>
      <c r="C24" s="8" t="s">
        <v>169</v>
      </c>
      <c r="D24" s="8" t="s">
        <v>170</v>
      </c>
      <c r="E24" s="18">
        <v>37177</v>
      </c>
      <c r="F24" s="10" t="str">
        <f t="shared" si="316"/>
        <v/>
      </c>
      <c r="G24" s="19" t="str">
        <f t="shared" si="316"/>
        <v/>
      </c>
      <c r="H24" s="19" t="str">
        <f t="shared" si="316"/>
        <v/>
      </c>
      <c r="I24" s="19" t="str">
        <f t="shared" si="316"/>
        <v/>
      </c>
      <c r="J24" s="19" t="str">
        <f t="shared" si="316"/>
        <v/>
      </c>
      <c r="K24" s="19" t="str">
        <f t="shared" si="316"/>
        <v/>
      </c>
      <c r="L24" s="19" t="str">
        <f t="shared" si="316"/>
        <v/>
      </c>
      <c r="M24" s="8"/>
      <c r="N24" s="8"/>
      <c r="O24" s="9">
        <v>1</v>
      </c>
      <c r="P24" s="8">
        <f t="shared" si="312"/>
        <v>48</v>
      </c>
      <c r="Q24" s="109">
        <f t="shared" si="314"/>
        <v>72.727272727272734</v>
      </c>
      <c r="R24" s="129" t="str">
        <f t="shared" si="315"/>
        <v>-7</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GA24" s="7"/>
      <c r="GH24" s="7"/>
      <c r="GO24" s="7"/>
      <c r="GV24" s="7"/>
      <c r="HC24" s="7"/>
      <c r="HJ24" s="7"/>
      <c r="HQ24" s="7"/>
      <c r="HX24" s="7"/>
      <c r="IE24" s="7"/>
      <c r="IL24" s="7"/>
      <c r="IS24" s="7"/>
      <c r="IZ24" s="7"/>
      <c r="JG24" s="7"/>
      <c r="JN24" s="7"/>
      <c r="JU24" s="7"/>
      <c r="KB24" s="7"/>
      <c r="KI24" s="7"/>
      <c r="KP24" s="7"/>
      <c r="KW24" s="7"/>
      <c r="LD24" s="7"/>
      <c r="LK24" s="7"/>
      <c r="LR24" s="7"/>
      <c r="LY24" s="7"/>
      <c r="MF24" s="7"/>
      <c r="MM24" s="7"/>
      <c r="MT24" s="7"/>
    </row>
    <row r="25" spans="1:358" x14ac:dyDescent="0.25">
      <c r="A25" s="8" t="s">
        <v>125</v>
      </c>
      <c r="B25" s="8" t="s">
        <v>124</v>
      </c>
      <c r="C25" s="8" t="s">
        <v>167</v>
      </c>
      <c r="D25" s="8" t="s">
        <v>168</v>
      </c>
      <c r="E25" s="18">
        <v>36870</v>
      </c>
      <c r="F25" s="10" t="str">
        <f t="shared" si="316"/>
        <v/>
      </c>
      <c r="G25" s="19" t="str">
        <f t="shared" si="316"/>
        <v/>
      </c>
      <c r="H25" s="19" t="str">
        <f t="shared" si="316"/>
        <v/>
      </c>
      <c r="I25" s="19" t="str">
        <f t="shared" si="316"/>
        <v/>
      </c>
      <c r="J25" s="19" t="str">
        <f t="shared" si="316"/>
        <v/>
      </c>
      <c r="K25" s="19" t="str">
        <f t="shared" si="316"/>
        <v/>
      </c>
      <c r="L25" s="19" t="str">
        <f t="shared" si="316"/>
        <v/>
      </c>
      <c r="M25" s="8"/>
      <c r="N25" s="8"/>
      <c r="O25" s="9">
        <v>1</v>
      </c>
      <c r="P25" s="8">
        <f t="shared" si="312"/>
        <v>55</v>
      </c>
      <c r="Q25" s="109">
        <f t="shared" si="314"/>
        <v>83.333333333333343</v>
      </c>
      <c r="R25" s="129" t="str">
        <f t="shared" si="315"/>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GA25" s="7"/>
      <c r="GH25" s="7"/>
      <c r="GO25" s="7"/>
      <c r="GV25" s="7"/>
      <c r="HC25" s="7"/>
      <c r="HJ25" s="7"/>
      <c r="HQ25" s="7"/>
      <c r="HX25" s="7"/>
      <c r="IE25" s="7"/>
      <c r="IL25" s="7"/>
      <c r="IS25" s="7"/>
      <c r="IZ25" s="7"/>
      <c r="JG25" s="7"/>
      <c r="JN25" s="7"/>
      <c r="JU25" s="7"/>
      <c r="KB25" s="7"/>
      <c r="KI25" s="7"/>
      <c r="KP25" s="7"/>
      <c r="KW25" s="7"/>
      <c r="LD25" s="7"/>
      <c r="LK25" s="7"/>
      <c r="LR25" s="7"/>
      <c r="LY25" s="7"/>
      <c r="MF25" s="7"/>
      <c r="MM25" s="7"/>
      <c r="MT25" s="7"/>
    </row>
    <row r="26" spans="1:358" x14ac:dyDescent="0.25">
      <c r="A26" s="8" t="s">
        <v>181</v>
      </c>
      <c r="B26" s="8" t="s">
        <v>182</v>
      </c>
      <c r="C26" s="8" t="s">
        <v>183</v>
      </c>
      <c r="D26" s="8" t="s">
        <v>81</v>
      </c>
      <c r="E26" s="18">
        <v>38054</v>
      </c>
      <c r="F26" s="10">
        <f t="shared" si="316"/>
        <v>1</v>
      </c>
      <c r="G26" s="19">
        <f t="shared" si="316"/>
        <v>1</v>
      </c>
      <c r="H26" s="19" t="str">
        <f t="shared" si="316"/>
        <v/>
      </c>
      <c r="I26" s="19" t="str">
        <f t="shared" si="316"/>
        <v/>
      </c>
      <c r="J26" s="19" t="str">
        <f t="shared" si="316"/>
        <v/>
      </c>
      <c r="K26" s="19" t="str">
        <f t="shared" si="316"/>
        <v/>
      </c>
      <c r="L26" s="19" t="str">
        <f t="shared" si="316"/>
        <v/>
      </c>
      <c r="M26" s="8"/>
      <c r="N26" s="8">
        <v>1</v>
      </c>
      <c r="O26" s="9">
        <v>1</v>
      </c>
      <c r="P26" s="8">
        <f t="shared" si="312"/>
        <v>60</v>
      </c>
      <c r="Q26" s="109">
        <f t="shared" si="314"/>
        <v>90.909090909090907</v>
      </c>
      <c r="R26" s="129" t="str">
        <f t="shared" si="315"/>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GA26" s="7"/>
      <c r="GH26" s="7"/>
      <c r="GO26" s="7"/>
      <c r="GV26" s="7"/>
      <c r="HC26" s="7"/>
      <c r="HJ26" s="7"/>
      <c r="HQ26" s="7"/>
      <c r="HX26" s="7"/>
      <c r="IE26" s="7"/>
      <c r="IL26" s="7"/>
      <c r="IS26" s="7"/>
      <c r="IZ26" s="7"/>
      <c r="JG26" s="7"/>
      <c r="JN26" s="7"/>
      <c r="JU26" s="7"/>
      <c r="KB26" s="7"/>
      <c r="KI26" s="7"/>
      <c r="KP26" s="7"/>
      <c r="KW26" s="7"/>
      <c r="LD26" s="7"/>
      <c r="LK26" s="7"/>
      <c r="LR26" s="7"/>
      <c r="LY26" s="7"/>
      <c r="MF26" s="7"/>
      <c r="MM26" s="7"/>
      <c r="MT26" s="7"/>
    </row>
    <row r="27" spans="1:358" hidden="1" x14ac:dyDescent="0.25">
      <c r="A27" s="8" t="s">
        <v>129</v>
      </c>
      <c r="B27" s="8"/>
      <c r="C27" s="8" t="s">
        <v>165</v>
      </c>
      <c r="D27" s="8" t="s">
        <v>166</v>
      </c>
      <c r="E27" s="18">
        <v>36892</v>
      </c>
      <c r="F27" s="10" t="str">
        <f t="shared" si="316"/>
        <v/>
      </c>
      <c r="G27" s="19" t="str">
        <f t="shared" si="316"/>
        <v/>
      </c>
      <c r="H27" s="19" t="str">
        <f t="shared" si="316"/>
        <v/>
      </c>
      <c r="I27" s="19" t="str">
        <f t="shared" si="316"/>
        <v/>
      </c>
      <c r="J27" s="19" t="str">
        <f t="shared" si="316"/>
        <v/>
      </c>
      <c r="K27" s="19" t="str">
        <f t="shared" si="316"/>
        <v/>
      </c>
      <c r="L27" s="19" t="str">
        <f t="shared" si="316"/>
        <v/>
      </c>
      <c r="M27" s="8"/>
      <c r="N27" s="8"/>
      <c r="O27" s="9"/>
      <c r="P27" s="8" t="str">
        <f t="shared" si="312"/>
        <v/>
      </c>
      <c r="Q27" s="109" t="str">
        <f>IF(SUM(S27:XFD27) &gt; 0, SUM(S27:XFD27) /#REF! * 100, "")</f>
        <v/>
      </c>
      <c r="R27" s="129" t="str">
        <f t="shared" si="315"/>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A27" s="7"/>
      <c r="GH27" s="7"/>
      <c r="GO27" s="7"/>
      <c r="GV27" s="7"/>
      <c r="HC27" s="7"/>
      <c r="HJ27" s="7"/>
      <c r="HQ27" s="7"/>
      <c r="HX27" s="7"/>
      <c r="IE27" s="7"/>
      <c r="IL27" s="7"/>
      <c r="IS27" s="7"/>
      <c r="IZ27" s="7"/>
      <c r="JG27" s="7"/>
      <c r="JN27" s="7"/>
      <c r="JU27" s="7"/>
      <c r="KB27" s="7"/>
      <c r="KI27" s="7"/>
      <c r="KP27" s="7"/>
      <c r="KW27" s="7"/>
      <c r="LD27" s="7"/>
      <c r="LK27" s="7"/>
      <c r="LR27" s="7"/>
      <c r="LY27" s="7"/>
      <c r="MF27" s="7"/>
      <c r="MM27" s="7"/>
      <c r="MT27" s="7"/>
    </row>
    <row r="28" spans="1:358" x14ac:dyDescent="0.25">
      <c r="A28" s="88" t="s">
        <v>132</v>
      </c>
      <c r="B28" s="88"/>
      <c r="C28" s="88" t="s">
        <v>131</v>
      </c>
      <c r="D28" s="88" t="s">
        <v>130</v>
      </c>
      <c r="E28" s="89">
        <v>39280</v>
      </c>
      <c r="F28" s="90">
        <f t="shared" si="316"/>
        <v>1</v>
      </c>
      <c r="G28" s="88">
        <f t="shared" si="316"/>
        <v>1</v>
      </c>
      <c r="H28" s="88">
        <f t="shared" si="316"/>
        <v>1</v>
      </c>
      <c r="I28" s="88">
        <f t="shared" si="316"/>
        <v>1</v>
      </c>
      <c r="J28" s="88" t="str">
        <f t="shared" si="316"/>
        <v/>
      </c>
      <c r="K28" s="88" t="str">
        <f t="shared" si="316"/>
        <v/>
      </c>
      <c r="L28" s="88" t="str">
        <f t="shared" si="316"/>
        <v/>
      </c>
      <c r="M28" s="88">
        <v>1</v>
      </c>
      <c r="N28" s="88">
        <v>1</v>
      </c>
      <c r="O28" s="91"/>
      <c r="P28" s="88">
        <f t="shared" si="312"/>
        <v>30</v>
      </c>
      <c r="Q28" s="110">
        <f>IF(SUM(S28:XFD28) &gt; 0, SUM(S28:XFD28) /P$37 * 100, "")</f>
        <v>45.454545454545453</v>
      </c>
      <c r="R28" s="130" t="str">
        <f t="shared" si="315"/>
        <v>-47</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2"/>
      <c r="GB28" s="93"/>
      <c r="GC28" s="93"/>
      <c r="GD28" s="93"/>
      <c r="GE28" s="93"/>
      <c r="GF28" s="93"/>
      <c r="GG28" s="93"/>
      <c r="GH28" s="92"/>
      <c r="GI28" s="93"/>
      <c r="GJ28" s="93"/>
      <c r="GK28" s="93"/>
      <c r="GL28" s="93"/>
      <c r="GM28" s="93"/>
      <c r="GN28" s="93"/>
      <c r="GO28" s="92"/>
      <c r="GP28" s="93"/>
      <c r="GQ28" s="93"/>
      <c r="GR28" s="93"/>
      <c r="GS28" s="93"/>
      <c r="GT28" s="93"/>
      <c r="GU28" s="93"/>
      <c r="GV28" s="92"/>
      <c r="GW28" s="93"/>
      <c r="GX28" s="93"/>
      <c r="GY28" s="93"/>
      <c r="GZ28" s="93"/>
      <c r="HA28" s="93"/>
      <c r="HB28" s="93"/>
      <c r="HC28" s="92"/>
      <c r="HD28" s="93"/>
      <c r="HE28" s="93"/>
      <c r="HF28" s="93"/>
      <c r="HG28" s="93"/>
      <c r="HH28" s="93"/>
      <c r="HI28" s="93"/>
      <c r="HJ28" s="92"/>
      <c r="HK28" s="93"/>
      <c r="HL28" s="93"/>
      <c r="HM28" s="93"/>
      <c r="HN28" s="93"/>
      <c r="HO28" s="93"/>
      <c r="HP28" s="93"/>
      <c r="HQ28" s="92"/>
      <c r="HR28" s="93"/>
      <c r="HS28" s="93"/>
      <c r="HT28" s="93"/>
      <c r="HU28" s="93"/>
      <c r="HV28" s="93"/>
      <c r="HW28" s="93"/>
      <c r="HX28" s="92"/>
      <c r="HY28" s="93"/>
      <c r="HZ28" s="93"/>
      <c r="IA28" s="93"/>
      <c r="IB28" s="93"/>
      <c r="IC28" s="93"/>
      <c r="ID28" s="93"/>
      <c r="IE28" s="92"/>
      <c r="IF28" s="93"/>
      <c r="IG28" s="93"/>
      <c r="IH28" s="93"/>
      <c r="II28" s="93"/>
      <c r="IJ28" s="93"/>
      <c r="IK28" s="93"/>
      <c r="IL28" s="92"/>
      <c r="IM28" s="93"/>
      <c r="IN28" s="93"/>
      <c r="IO28" s="93"/>
      <c r="IP28" s="93"/>
      <c r="IQ28" s="93"/>
      <c r="IR28" s="93"/>
      <c r="IS28" s="92"/>
      <c r="IT28" s="93"/>
      <c r="IU28" s="93"/>
      <c r="IV28" s="93"/>
      <c r="IW28" s="93"/>
      <c r="IX28" s="93"/>
      <c r="IY28" s="93"/>
      <c r="IZ28" s="92"/>
      <c r="JA28" s="93"/>
      <c r="JB28" s="93"/>
      <c r="JC28" s="93"/>
      <c r="JD28" s="93"/>
      <c r="JE28" s="93"/>
      <c r="JF28" s="93"/>
      <c r="JG28" s="92"/>
      <c r="JH28" s="93"/>
      <c r="JI28" s="93"/>
      <c r="JJ28" s="93"/>
      <c r="JK28" s="93"/>
      <c r="JL28" s="93"/>
      <c r="JM28" s="93"/>
      <c r="JN28" s="92"/>
      <c r="JO28" s="93"/>
      <c r="JP28" s="93"/>
      <c r="JQ28" s="93"/>
      <c r="JR28" s="93"/>
      <c r="JS28" s="93"/>
      <c r="JT28" s="93"/>
      <c r="JU28" s="92"/>
      <c r="JV28" s="93"/>
      <c r="JW28" s="93"/>
      <c r="JX28" s="93"/>
      <c r="JY28" s="93"/>
      <c r="JZ28" s="93"/>
      <c r="KA28" s="93"/>
      <c r="KB28" s="92"/>
      <c r="KC28" s="93"/>
      <c r="KD28" s="93"/>
      <c r="KE28" s="93"/>
      <c r="KF28" s="93"/>
      <c r="KG28" s="93"/>
      <c r="KH28" s="93"/>
      <c r="KI28" s="92"/>
      <c r="KJ28" s="93"/>
      <c r="KK28" s="93"/>
      <c r="KL28" s="93"/>
      <c r="KM28" s="93"/>
      <c r="KN28" s="93"/>
      <c r="KO28" s="93"/>
      <c r="KP28" s="92"/>
      <c r="KQ28" s="93"/>
      <c r="KR28" s="93"/>
      <c r="KS28" s="93"/>
      <c r="KT28" s="93"/>
      <c r="KU28" s="93"/>
      <c r="KV28" s="93"/>
      <c r="KW28" s="92"/>
      <c r="KX28" s="93"/>
      <c r="KY28" s="93"/>
      <c r="KZ28" s="93"/>
      <c r="LA28" s="93"/>
      <c r="LB28" s="93"/>
      <c r="LC28" s="93"/>
      <c r="LD28" s="92"/>
      <c r="LE28" s="93"/>
      <c r="LF28" s="93"/>
      <c r="LG28" s="93"/>
      <c r="LH28" s="93"/>
      <c r="LI28" s="93"/>
      <c r="LJ28" s="93"/>
      <c r="LK28" s="92"/>
      <c r="LL28" s="93"/>
      <c r="LM28" s="93"/>
      <c r="LN28" s="93"/>
      <c r="LO28" s="93"/>
      <c r="LP28" s="93"/>
      <c r="LQ28" s="93"/>
      <c r="LR28" s="92"/>
      <c r="LS28" s="93"/>
      <c r="LT28" s="93"/>
      <c r="LU28" s="93"/>
      <c r="LV28" s="93"/>
      <c r="LW28" s="93"/>
      <c r="LX28" s="93"/>
      <c r="LY28" s="92"/>
      <c r="LZ28" s="93"/>
      <c r="MA28" s="93"/>
      <c r="MB28" s="93"/>
      <c r="MC28" s="93"/>
      <c r="MD28" s="93"/>
      <c r="ME28" s="93"/>
      <c r="MF28" s="92"/>
      <c r="MG28" s="93"/>
      <c r="MH28" s="93"/>
      <c r="MI28" s="93"/>
      <c r="MJ28" s="93"/>
      <c r="MK28" s="93"/>
      <c r="ML28" s="93"/>
      <c r="MM28" s="92"/>
      <c r="MN28" s="93"/>
      <c r="MO28" s="93"/>
      <c r="MP28" s="93"/>
      <c r="MQ28" s="93"/>
      <c r="MR28" s="93"/>
      <c r="MS28" s="93"/>
      <c r="MT28" s="92"/>
    </row>
    <row r="29" spans="1:358" hidden="1" x14ac:dyDescent="0.25">
      <c r="A29" s="19" t="s">
        <v>92</v>
      </c>
      <c r="B29" s="19"/>
      <c r="C29" s="19" t="s">
        <v>159</v>
      </c>
      <c r="D29" s="19" t="s">
        <v>121</v>
      </c>
      <c r="E29" s="56">
        <v>38544</v>
      </c>
      <c r="F29" s="10">
        <f t="shared" si="316"/>
        <v>1</v>
      </c>
      <c r="G29" s="19">
        <f t="shared" si="316"/>
        <v>1</v>
      </c>
      <c r="H29" s="19" t="str">
        <f t="shared" si="316"/>
        <v/>
      </c>
      <c r="I29" s="19" t="str">
        <f t="shared" si="316"/>
        <v/>
      </c>
      <c r="J29" s="19" t="str">
        <f t="shared" si="316"/>
        <v/>
      </c>
      <c r="K29" s="19" t="str">
        <f t="shared" si="316"/>
        <v/>
      </c>
      <c r="L29" s="19" t="str">
        <f t="shared" si="316"/>
        <v/>
      </c>
      <c r="M29" s="8"/>
      <c r="N29" s="8">
        <v>1</v>
      </c>
      <c r="O29" s="9"/>
      <c r="P29" s="8" t="str">
        <f t="shared" si="312"/>
        <v/>
      </c>
      <c r="Q29" s="109" t="str">
        <f>IF(SUM(S29:XFD29) &gt; 0, SUM(S29:XFD29) /#REF! * 100, "")</f>
        <v/>
      </c>
      <c r="R29" s="129" t="str">
        <f t="shared" si="315"/>
        <v>?</v>
      </c>
      <c r="S29" s="7"/>
      <c r="Z29" s="7"/>
      <c r="AG29" s="7"/>
      <c r="AN29" s="7"/>
      <c r="AU29" s="7"/>
      <c r="BB29" s="7"/>
      <c r="BI29" s="7"/>
      <c r="BP29" s="7"/>
      <c r="BX29" s="96"/>
      <c r="BY29" s="79"/>
      <c r="CG29" s="96"/>
      <c r="CH29" s="80"/>
      <c r="CQ29" s="7"/>
      <c r="CZ29" s="7"/>
      <c r="DI29" s="7"/>
      <c r="DR29" s="7"/>
      <c r="DZ29" s="96"/>
      <c r="EA29" s="79"/>
      <c r="EJ29" s="7"/>
      <c r="EN29" s="96"/>
      <c r="ES29" s="7"/>
      <c r="FB29" s="7"/>
      <c r="FK29" s="7"/>
      <c r="FT29" s="7"/>
      <c r="GA29" s="7"/>
      <c r="GH29" s="7"/>
      <c r="GO29" s="7"/>
      <c r="GV29" s="7"/>
      <c r="HC29" s="7"/>
      <c r="HJ29" s="7"/>
      <c r="HQ29" s="7"/>
      <c r="HX29" s="7"/>
      <c r="IE29" s="7"/>
      <c r="IL29" s="7"/>
      <c r="IS29" s="7"/>
      <c r="IZ29" s="7"/>
      <c r="JG29" s="7"/>
      <c r="JN29" s="7"/>
      <c r="JU29" s="7"/>
      <c r="KB29" s="7"/>
      <c r="KI29" s="7"/>
      <c r="KP29" s="7"/>
      <c r="KW29" s="7"/>
      <c r="LD29" s="7"/>
      <c r="LK29" s="7"/>
      <c r="LR29" s="7"/>
      <c r="LY29" s="7"/>
      <c r="MF29" s="7"/>
      <c r="MM29" s="7"/>
      <c r="MT29" s="7"/>
    </row>
    <row r="30" spans="1:358" x14ac:dyDescent="0.25">
      <c r="A30" s="8" t="s">
        <v>115</v>
      </c>
      <c r="B30" s="8"/>
      <c r="C30" s="8" t="s">
        <v>243</v>
      </c>
      <c r="D30" s="8" t="s">
        <v>244</v>
      </c>
      <c r="E30" s="18">
        <v>36526</v>
      </c>
      <c r="F30" s="10" t="str">
        <f t="shared" si="316"/>
        <v/>
      </c>
      <c r="G30" s="19" t="str">
        <f t="shared" ref="G30:L30" si="317">IF($E30 &gt;= G$5, 1, "")</f>
        <v/>
      </c>
      <c r="H30" s="19" t="str">
        <f t="shared" si="317"/>
        <v/>
      </c>
      <c r="I30" s="19" t="str">
        <f t="shared" si="317"/>
        <v/>
      </c>
      <c r="J30" s="19" t="str">
        <f t="shared" si="317"/>
        <v/>
      </c>
      <c r="K30" s="19" t="str">
        <f t="shared" si="317"/>
        <v/>
      </c>
      <c r="L30" s="19" t="str">
        <f t="shared" si="317"/>
        <v/>
      </c>
      <c r="M30" s="8"/>
      <c r="N30" s="8"/>
      <c r="O30" s="9"/>
      <c r="P30" s="8">
        <f t="shared" si="312"/>
        <v>15</v>
      </c>
      <c r="Q30" s="109">
        <f>IF(SUM(S30:XFD30) &gt; 0, SUM(S30:XFD30) /P$37 * 100, "")</f>
        <v>22.727272727272727</v>
      </c>
      <c r="R30" s="143" t="str">
        <f t="shared" si="315"/>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A30" s="7"/>
      <c r="GH30" s="7"/>
      <c r="GO30" s="7"/>
      <c r="GV30" s="7"/>
      <c r="HC30" s="7"/>
      <c r="HJ30" s="7"/>
      <c r="HQ30" s="7"/>
      <c r="HX30" s="7"/>
      <c r="IE30" s="7"/>
      <c r="IL30" s="7"/>
      <c r="IS30" s="7"/>
      <c r="IZ30" s="7"/>
      <c r="JG30" s="7"/>
      <c r="JN30" s="7"/>
      <c r="JU30" s="7"/>
      <c r="KB30" s="7"/>
      <c r="KI30" s="7"/>
      <c r="KP30" s="7"/>
      <c r="KW30" s="7"/>
      <c r="LD30" s="7"/>
      <c r="LK30" s="7"/>
      <c r="LR30" s="7"/>
      <c r="LY30" s="7"/>
      <c r="MF30" s="7"/>
      <c r="MM30" s="7"/>
      <c r="MT30" s="7"/>
    </row>
    <row r="31" spans="1:358" hidden="1" x14ac:dyDescent="0.25">
      <c r="A31" s="8" t="s">
        <v>430</v>
      </c>
      <c r="B31" s="8"/>
      <c r="C31" s="8" t="s">
        <v>431</v>
      </c>
      <c r="D31" s="8" t="s">
        <v>432</v>
      </c>
      <c r="E31" s="18"/>
      <c r="F31" s="10"/>
      <c r="G31" s="19"/>
      <c r="H31" s="19"/>
      <c r="I31" s="19"/>
      <c r="J31" s="19"/>
      <c r="K31" s="19"/>
      <c r="L31" s="19"/>
      <c r="M31" s="8"/>
      <c r="N31" s="8"/>
      <c r="O31" s="9"/>
      <c r="P31" s="8">
        <f t="shared" si="312"/>
        <v>2</v>
      </c>
      <c r="Q31" s="109" t="e">
        <f>IF(SUM(S31:XFD31) &gt; 0, SUM(S31:XFD31) /#REF! * 100, "")</f>
        <v>#REF!</v>
      </c>
      <c r="R31" s="129" t="str">
        <f t="shared" si="315"/>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A31" s="7"/>
      <c r="GH31" s="7"/>
      <c r="GO31" s="7"/>
      <c r="GV31" s="7"/>
      <c r="HC31" s="7"/>
      <c r="HJ31" s="7"/>
      <c r="HQ31" s="7"/>
      <c r="HX31" s="7"/>
      <c r="IE31" s="7"/>
      <c r="IL31" s="7"/>
      <c r="IS31" s="7"/>
      <c r="IZ31" s="7"/>
      <c r="JG31" s="7"/>
      <c r="JN31" s="7"/>
      <c r="JU31" s="7"/>
      <c r="KB31" s="7"/>
      <c r="KI31" s="7"/>
      <c r="KP31" s="7"/>
      <c r="KW31" s="7"/>
      <c r="LD31" s="7"/>
      <c r="LK31" s="7"/>
      <c r="LR31" s="7"/>
      <c r="LY31" s="7"/>
      <c r="MF31" s="7"/>
      <c r="MM31" s="7"/>
      <c r="MT31" s="7"/>
    </row>
    <row r="32" spans="1:358" hidden="1" x14ac:dyDescent="0.25">
      <c r="A32" s="8" t="s">
        <v>348</v>
      </c>
      <c r="B32" s="8"/>
      <c r="C32" s="8"/>
      <c r="D32" s="8" t="s">
        <v>523</v>
      </c>
      <c r="E32" s="18"/>
      <c r="F32" s="10"/>
      <c r="G32" s="19"/>
      <c r="H32" s="19"/>
      <c r="I32" s="19"/>
      <c r="J32" s="19"/>
      <c r="K32" s="19"/>
      <c r="L32" s="19"/>
      <c r="M32" s="8"/>
      <c r="N32" s="8"/>
      <c r="O32" s="9"/>
      <c r="P32" s="8">
        <f t="shared" si="312"/>
        <v>2</v>
      </c>
      <c r="Q32" s="109" t="e">
        <f>IF(SUM(S32:XFD32) &gt; 0, SUM(S32:XFD32) /#REF! * 100, "")</f>
        <v>#REF!</v>
      </c>
      <c r="R32" s="129" t="str">
        <f t="shared" si="315"/>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A32" s="7"/>
      <c r="GH32" s="7"/>
      <c r="GO32" s="7"/>
      <c r="GV32" s="7"/>
      <c r="HC32" s="7"/>
      <c r="HJ32" s="7"/>
      <c r="HQ32" s="7"/>
      <c r="HX32" s="7"/>
      <c r="IE32" s="7"/>
      <c r="IL32" s="7"/>
      <c r="IS32" s="7"/>
      <c r="IZ32" s="7"/>
      <c r="JG32" s="7"/>
      <c r="JN32" s="7"/>
      <c r="JU32" s="7"/>
      <c r="KB32" s="7"/>
      <c r="KI32" s="7"/>
      <c r="KP32" s="7"/>
      <c r="KW32" s="7"/>
      <c r="LD32" s="7"/>
      <c r="LK32" s="7"/>
      <c r="LR32" s="7"/>
      <c r="LY32" s="7"/>
      <c r="MF32" s="7"/>
      <c r="MM32" s="7"/>
      <c r="MT32" s="7"/>
    </row>
    <row r="33" spans="1:358" hidden="1" x14ac:dyDescent="0.25">
      <c r="A33" s="8" t="s">
        <v>488</v>
      </c>
      <c r="B33" s="8"/>
      <c r="C33" s="8"/>
      <c r="D33" s="8" t="s">
        <v>441</v>
      </c>
      <c r="E33" s="18"/>
      <c r="F33" s="10"/>
      <c r="G33" s="19"/>
      <c r="H33" s="19"/>
      <c r="I33" s="19"/>
      <c r="J33" s="19"/>
      <c r="K33" s="19"/>
      <c r="L33" s="19"/>
      <c r="M33" s="8"/>
      <c r="N33" s="8"/>
      <c r="O33" s="9"/>
      <c r="P33" s="8">
        <f t="shared" si="312"/>
        <v>2</v>
      </c>
      <c r="Q33" s="109" t="e">
        <f>IF(SUM(S33:XFD33) &gt; 0, SUM(S33:XFD33) /#REF! * 100, "")</f>
        <v>#REF!</v>
      </c>
      <c r="R33" s="129" t="str">
        <f t="shared" si="315"/>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A33" s="7"/>
      <c r="GH33" s="7"/>
      <c r="GO33" s="7"/>
      <c r="GV33" s="7"/>
      <c r="HC33" s="7"/>
      <c r="HJ33" s="7"/>
      <c r="HQ33" s="7"/>
      <c r="HX33" s="7"/>
      <c r="IE33" s="7"/>
      <c r="IL33" s="7"/>
      <c r="IS33" s="7"/>
      <c r="IZ33" s="7"/>
      <c r="JG33" s="7"/>
      <c r="JN33" s="7"/>
      <c r="JU33" s="7"/>
      <c r="KB33" s="7"/>
      <c r="KI33" s="7"/>
      <c r="KP33" s="7"/>
      <c r="KW33" s="7"/>
      <c r="LD33" s="7"/>
      <c r="LK33" s="7"/>
      <c r="LR33" s="7"/>
      <c r="LY33" s="7"/>
      <c r="MF33" s="7"/>
      <c r="MM33" s="7"/>
      <c r="MT33" s="7"/>
    </row>
    <row r="34" spans="1:358" x14ac:dyDescent="0.25">
      <c r="A34" s="8" t="s">
        <v>515</v>
      </c>
      <c r="B34" s="8"/>
      <c r="C34" s="8"/>
      <c r="D34" s="8" t="s">
        <v>555</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GA34" s="7"/>
      <c r="GH34" s="7"/>
      <c r="GO34" s="7"/>
      <c r="GV34" s="7"/>
      <c r="HC34" s="7"/>
      <c r="HJ34" s="7"/>
      <c r="HQ34" s="7"/>
      <c r="HX34" s="7"/>
      <c r="IE34" s="7"/>
      <c r="IL34" s="7"/>
      <c r="IS34" s="7"/>
      <c r="IZ34" s="7"/>
      <c r="JG34" s="7"/>
      <c r="JN34" s="7"/>
      <c r="JU34" s="7"/>
      <c r="KB34" s="7"/>
      <c r="KI34" s="7"/>
      <c r="KP34" s="7"/>
      <c r="KW34" s="7"/>
      <c r="LD34" s="7"/>
      <c r="LK34" s="7"/>
      <c r="LR34" s="7"/>
      <c r="LY34" s="7"/>
      <c r="MF34" s="7"/>
      <c r="MM34" s="7"/>
      <c r="MT34" s="7"/>
    </row>
    <row r="35" spans="1:358" x14ac:dyDescent="0.25">
      <c r="A35" s="8" t="s">
        <v>553</v>
      </c>
      <c r="B35" s="8"/>
      <c r="C35" s="8"/>
      <c r="D35" s="8" t="s">
        <v>554</v>
      </c>
      <c r="E35" s="18"/>
      <c r="F35" s="10"/>
      <c r="G35" s="19"/>
      <c r="H35" s="19"/>
      <c r="I35" s="19"/>
      <c r="J35" s="19"/>
      <c r="K35" s="19"/>
      <c r="L35" s="19"/>
      <c r="M35" s="8"/>
      <c r="N35" s="8"/>
      <c r="O35" s="9"/>
      <c r="P35" s="8"/>
      <c r="Q35" s="109"/>
      <c r="R35" s="129"/>
      <c r="S35" s="7"/>
      <c r="Z35" s="7"/>
      <c r="AG35" s="7"/>
      <c r="AN35" s="7"/>
      <c r="AU35" s="7"/>
      <c r="BB35" s="7"/>
      <c r="BI35" s="7"/>
      <c r="BP35" s="7"/>
      <c r="BX35" s="96"/>
      <c r="BY35" s="79"/>
      <c r="CG35" s="96"/>
      <c r="CH35" s="80"/>
      <c r="CQ35" s="7"/>
      <c r="CZ35" s="7"/>
      <c r="DI35" s="7"/>
      <c r="DR35" s="7"/>
      <c r="DZ35" s="96"/>
      <c r="EA35" s="79"/>
      <c r="EJ35" s="7"/>
      <c r="ES35" s="7"/>
      <c r="FB35" s="7"/>
      <c r="FK35" s="7"/>
      <c r="FO35">
        <v>1</v>
      </c>
      <c r="FT35" s="7"/>
      <c r="GA35" s="7"/>
      <c r="GH35" s="7"/>
      <c r="GO35" s="7"/>
      <c r="GV35" s="7"/>
      <c r="HC35" s="7"/>
      <c r="HJ35" s="7"/>
      <c r="HQ35" s="7"/>
      <c r="HX35" s="7"/>
      <c r="IE35" s="7"/>
      <c r="IL35" s="7"/>
      <c r="IS35" s="7"/>
      <c r="IZ35" s="7"/>
      <c r="JG35" s="7"/>
      <c r="JN35" s="7"/>
      <c r="JU35" s="7"/>
      <c r="KB35" s="7"/>
      <c r="KI35" s="7"/>
      <c r="KP35" s="7"/>
      <c r="KW35" s="7"/>
      <c r="LD35" s="7"/>
      <c r="LK35" s="7"/>
      <c r="LR35" s="7"/>
      <c r="LY35" s="7"/>
      <c r="MF35" s="7"/>
      <c r="MM35" s="7"/>
      <c r="MT35" s="7"/>
    </row>
    <row r="36" spans="1:358" ht="7.5" customHeight="1" x14ac:dyDescent="0.25">
      <c r="A36" s="8"/>
      <c r="B36" s="8"/>
      <c r="C36" s="8"/>
      <c r="D36" s="8"/>
      <c r="E36" s="8"/>
      <c r="F36" s="10"/>
      <c r="G36" s="19"/>
      <c r="H36" s="19"/>
      <c r="I36" s="8"/>
      <c r="J36" s="8"/>
      <c r="K36" s="8"/>
      <c r="L36" s="8"/>
      <c r="M36" s="8"/>
      <c r="N36" s="8"/>
      <c r="O36" s="9"/>
      <c r="P36" s="8" t="str">
        <f>IF(SUM(R36:MT36) &gt; 0, SUM(R36:MT36),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A36" s="7"/>
      <c r="GH36" s="7"/>
      <c r="GO36" s="7"/>
      <c r="GV36" s="7"/>
      <c r="HC36" s="7"/>
      <c r="HJ36" s="7"/>
      <c r="HQ36" s="7"/>
      <c r="HX36" s="7"/>
      <c r="IE36" s="7"/>
      <c r="IL36" s="7"/>
      <c r="IS36" s="7"/>
      <c r="IZ36" s="7"/>
      <c r="JG36" s="7"/>
      <c r="JN36" s="7"/>
      <c r="JU36" s="7"/>
      <c r="KB36" s="7"/>
      <c r="KI36" s="7"/>
      <c r="KP36" s="7"/>
      <c r="KW36" s="7"/>
      <c r="LD36" s="7"/>
      <c r="LK36" s="7"/>
      <c r="LR36" s="7"/>
      <c r="LY36" s="7"/>
      <c r="MF36" s="7"/>
      <c r="MM36" s="7"/>
      <c r="MT36" s="7"/>
    </row>
    <row r="37" spans="1:358" s="142" customFormat="1" ht="15.75" thickBot="1" x14ac:dyDescent="0.3">
      <c r="A37" s="6" t="s">
        <v>18</v>
      </c>
      <c r="B37" s="3"/>
      <c r="C37" s="3"/>
      <c r="D37" s="3"/>
      <c r="E37" s="3"/>
      <c r="F37" s="5"/>
      <c r="G37" s="3"/>
      <c r="H37" s="3"/>
      <c r="I37" s="3"/>
      <c r="J37" s="3"/>
      <c r="K37" s="3"/>
      <c r="L37" s="3"/>
      <c r="M37" s="3"/>
      <c r="N37" s="3"/>
      <c r="O37" s="4"/>
      <c r="P37" s="3">
        <f>SUM(S37:MT37)</f>
        <v>66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c r="FV37" s="3"/>
      <c r="FW37" s="3"/>
      <c r="FX37" s="3"/>
      <c r="FY37" s="3"/>
      <c r="FZ37" s="3"/>
      <c r="GA37" s="4"/>
      <c r="GB37" s="3"/>
      <c r="GC37" s="3"/>
      <c r="GD37" s="3"/>
      <c r="GE37" s="3"/>
      <c r="GF37" s="3"/>
      <c r="GG37" s="3"/>
      <c r="GH37" s="4"/>
      <c r="GI37" s="3"/>
      <c r="GJ37" s="3"/>
      <c r="GK37" s="3"/>
      <c r="GL37" s="3"/>
      <c r="GM37" s="3"/>
      <c r="GN37" s="3"/>
      <c r="GO37" s="4"/>
      <c r="GP37" s="3"/>
      <c r="GQ37" s="3"/>
      <c r="GR37" s="3"/>
      <c r="GS37" s="3"/>
      <c r="GT37" s="3"/>
      <c r="GU37" s="3"/>
      <c r="GV37" s="4"/>
      <c r="GW37" s="3"/>
      <c r="GX37" s="3"/>
      <c r="GY37" s="3"/>
      <c r="GZ37" s="3"/>
      <c r="HA37" s="3"/>
      <c r="HB37" s="3"/>
      <c r="HC37" s="4"/>
      <c r="HD37" s="3"/>
      <c r="HE37" s="3"/>
      <c r="HF37" s="3"/>
      <c r="HG37" s="3"/>
      <c r="HH37" s="3"/>
      <c r="HI37" s="3"/>
      <c r="HJ37" s="4"/>
      <c r="HK37" s="3"/>
      <c r="HL37" s="3"/>
      <c r="HM37" s="3"/>
      <c r="HN37" s="3"/>
      <c r="HO37" s="3"/>
      <c r="HP37" s="3"/>
      <c r="HQ37" s="4"/>
      <c r="HR37" s="3"/>
      <c r="HS37" s="3"/>
      <c r="HT37" s="3"/>
      <c r="HU37" s="3"/>
      <c r="HV37" s="3"/>
      <c r="HW37" s="3"/>
      <c r="HX37" s="4"/>
      <c r="HY37" s="3"/>
      <c r="HZ37" s="3"/>
      <c r="IA37" s="3"/>
      <c r="IB37" s="3"/>
      <c r="IC37" s="3"/>
      <c r="ID37" s="3"/>
      <c r="IE37" s="4"/>
      <c r="IF37" s="3"/>
      <c r="IG37" s="3"/>
      <c r="IH37" s="3"/>
      <c r="II37" s="3"/>
      <c r="IJ37" s="3"/>
      <c r="IK37" s="3"/>
      <c r="IL37" s="4"/>
      <c r="IM37" s="3"/>
      <c r="IN37" s="3"/>
      <c r="IO37" s="3"/>
      <c r="IP37" s="3"/>
      <c r="IQ37" s="3"/>
      <c r="IR37" s="3"/>
      <c r="IS37" s="4"/>
      <c r="IT37" s="3"/>
      <c r="IU37" s="3"/>
      <c r="IV37" s="3"/>
      <c r="IW37" s="3"/>
      <c r="IX37" s="3"/>
      <c r="IY37" s="3"/>
      <c r="IZ37" s="4"/>
      <c r="JA37" s="3"/>
      <c r="JB37" s="3"/>
      <c r="JC37" s="3"/>
      <c r="JD37" s="3"/>
      <c r="JE37" s="3"/>
      <c r="JF37" s="3"/>
      <c r="JG37" s="4"/>
      <c r="JH37" s="3"/>
      <c r="JI37" s="3"/>
      <c r="JJ37" s="3"/>
      <c r="JK37" s="3"/>
      <c r="JL37" s="3"/>
      <c r="JM37" s="3"/>
      <c r="JN37" s="4"/>
      <c r="JO37" s="3"/>
      <c r="JP37" s="3"/>
      <c r="JQ37" s="3"/>
      <c r="JR37" s="3"/>
      <c r="JS37" s="3"/>
      <c r="JT37" s="3"/>
      <c r="JU37" s="4"/>
      <c r="JV37" s="3"/>
      <c r="JW37" s="3"/>
      <c r="JX37" s="3"/>
      <c r="JY37" s="3"/>
      <c r="JZ37" s="3"/>
      <c r="KA37" s="3"/>
      <c r="KB37" s="4"/>
      <c r="KC37" s="3"/>
      <c r="KD37" s="3"/>
      <c r="KE37" s="3"/>
      <c r="KF37" s="3"/>
      <c r="KG37" s="3"/>
      <c r="KH37" s="3"/>
      <c r="KI37" s="4"/>
      <c r="KJ37" s="3"/>
      <c r="KK37" s="3"/>
      <c r="KL37" s="3"/>
      <c r="KM37" s="3"/>
      <c r="KN37" s="3"/>
      <c r="KO37" s="3"/>
      <c r="KP37" s="4"/>
      <c r="KQ37" s="3"/>
      <c r="KR37" s="3"/>
      <c r="KS37" s="3"/>
      <c r="KT37" s="3"/>
      <c r="KU37" s="3"/>
      <c r="KV37" s="3"/>
      <c r="KW37" s="4"/>
      <c r="KX37" s="3"/>
      <c r="KY37" s="3"/>
      <c r="KZ37" s="3"/>
      <c r="LA37" s="3"/>
      <c r="LB37" s="3"/>
      <c r="LC37" s="3"/>
      <c r="LD37" s="4"/>
      <c r="LE37" s="3"/>
      <c r="LF37" s="3"/>
      <c r="LG37" s="3"/>
      <c r="LH37" s="3"/>
      <c r="LI37" s="3"/>
      <c r="LJ37" s="3"/>
      <c r="LK37" s="4"/>
      <c r="LL37" s="3"/>
      <c r="LM37" s="3"/>
      <c r="LN37" s="3"/>
      <c r="LO37" s="3"/>
      <c r="LP37" s="3"/>
      <c r="LQ37" s="3"/>
      <c r="LR37" s="4"/>
      <c r="LS37" s="3"/>
      <c r="LT37" s="3"/>
      <c r="LU37" s="3"/>
      <c r="LV37" s="3"/>
      <c r="LW37" s="3"/>
      <c r="LX37" s="3"/>
      <c r="LY37" s="4"/>
      <c r="LZ37" s="3"/>
      <c r="MA37" s="3"/>
      <c r="MB37" s="3"/>
      <c r="MC37" s="3"/>
      <c r="MD37" s="3"/>
      <c r="ME37" s="3"/>
      <c r="MF37" s="4"/>
      <c r="MG37" s="3"/>
      <c r="MH37" s="3"/>
      <c r="MI37" s="3"/>
      <c r="MJ37" s="3"/>
      <c r="MK37" s="3"/>
      <c r="ML37" s="3"/>
      <c r="MM37" s="4"/>
      <c r="MN37" s="3"/>
      <c r="MO37" s="3"/>
      <c r="MP37" s="3"/>
      <c r="MQ37" s="3"/>
      <c r="MR37" s="3"/>
      <c r="MS37" s="3"/>
      <c r="MT37" s="4"/>
    </row>
    <row r="38" spans="1:358" ht="15.75" thickBot="1" x14ac:dyDescent="0.3">
      <c r="A38" s="111" t="s">
        <v>25</v>
      </c>
      <c r="B38" s="16"/>
      <c r="C38" s="16"/>
      <c r="D38" s="16"/>
      <c r="E38" s="17"/>
      <c r="F38" s="16">
        <f t="shared" ref="F38:N38" si="318">SUM(F6:F36)</f>
        <v>14</v>
      </c>
      <c r="G38" s="16">
        <f t="shared" si="318"/>
        <v>9</v>
      </c>
      <c r="H38" s="16">
        <f t="shared" si="318"/>
        <v>3</v>
      </c>
      <c r="I38" s="16">
        <f t="shared" si="318"/>
        <v>2</v>
      </c>
      <c r="J38" s="16">
        <f t="shared" si="318"/>
        <v>0</v>
      </c>
      <c r="K38" s="16">
        <f t="shared" si="318"/>
        <v>0</v>
      </c>
      <c r="L38" s="16">
        <f t="shared" si="318"/>
        <v>0</v>
      </c>
      <c r="M38" s="16">
        <f t="shared" si="318"/>
        <v>4</v>
      </c>
      <c r="N38" s="16">
        <f t="shared" si="318"/>
        <v>16</v>
      </c>
      <c r="O38" s="17">
        <f>SUM(O6:O36)+ SUM(O45:O79)</f>
        <v>12</v>
      </c>
      <c r="P38" s="16">
        <f>VisibleSum(P6:P28)</f>
        <v>45.666666666666664</v>
      </c>
      <c r="Q38" s="16">
        <f>P38 / P37 * 100</f>
        <v>69.191919191919197</v>
      </c>
      <c r="R38" s="17">
        <f>VisibleSum(R6:R28)</f>
        <v>-17.611111111111111</v>
      </c>
      <c r="S38" s="15">
        <f t="shared" ref="S38:AX38" si="319">IF(SUM(S6:S36) &gt; 0, SUM(S6:S36), "")</f>
        <v>15</v>
      </c>
      <c r="T38" s="14" t="str">
        <f t="shared" si="319"/>
        <v/>
      </c>
      <c r="U38" s="14">
        <f t="shared" si="319"/>
        <v>12</v>
      </c>
      <c r="V38" s="14">
        <f t="shared" si="319"/>
        <v>13</v>
      </c>
      <c r="W38" s="14" t="str">
        <f t="shared" si="319"/>
        <v/>
      </c>
      <c r="X38" s="14">
        <f t="shared" si="319"/>
        <v>12</v>
      </c>
      <c r="Y38" s="14" t="str">
        <f t="shared" si="319"/>
        <v/>
      </c>
      <c r="Z38" s="15" t="str">
        <f t="shared" si="319"/>
        <v/>
      </c>
      <c r="AA38" s="14" t="str">
        <f t="shared" si="319"/>
        <v/>
      </c>
      <c r="AB38" s="14">
        <f t="shared" si="319"/>
        <v>15</v>
      </c>
      <c r="AC38" s="14" t="str">
        <f t="shared" si="319"/>
        <v/>
      </c>
      <c r="AD38" s="14">
        <f t="shared" si="319"/>
        <v>12</v>
      </c>
      <c r="AE38" s="14">
        <f t="shared" si="319"/>
        <v>15</v>
      </c>
      <c r="AF38" s="14" t="str">
        <f t="shared" si="319"/>
        <v/>
      </c>
      <c r="AG38" s="15" t="str">
        <f t="shared" si="319"/>
        <v/>
      </c>
      <c r="AH38" s="14" t="str">
        <f t="shared" si="319"/>
        <v/>
      </c>
      <c r="AI38" s="14">
        <f t="shared" si="319"/>
        <v>16</v>
      </c>
      <c r="AJ38" s="14" t="str">
        <f t="shared" si="319"/>
        <v/>
      </c>
      <c r="AK38" s="14">
        <f t="shared" si="319"/>
        <v>15</v>
      </c>
      <c r="AL38" s="14">
        <f t="shared" si="319"/>
        <v>10</v>
      </c>
      <c r="AM38" s="14" t="str">
        <f t="shared" si="319"/>
        <v/>
      </c>
      <c r="AN38" s="15" t="str">
        <f t="shared" si="319"/>
        <v/>
      </c>
      <c r="AO38" s="14" t="str">
        <f t="shared" si="319"/>
        <v/>
      </c>
      <c r="AP38" s="14">
        <f t="shared" si="319"/>
        <v>15</v>
      </c>
      <c r="AQ38" s="14" t="str">
        <f t="shared" si="319"/>
        <v/>
      </c>
      <c r="AR38" s="14">
        <f t="shared" si="319"/>
        <v>16</v>
      </c>
      <c r="AS38" s="14">
        <f t="shared" si="319"/>
        <v>11</v>
      </c>
      <c r="AT38" s="14" t="str">
        <f t="shared" si="319"/>
        <v/>
      </c>
      <c r="AU38" s="15" t="str">
        <f t="shared" si="319"/>
        <v/>
      </c>
      <c r="AV38" s="14" t="str">
        <f t="shared" si="319"/>
        <v/>
      </c>
      <c r="AW38" s="14">
        <f t="shared" si="319"/>
        <v>14</v>
      </c>
      <c r="AX38" s="14">
        <f t="shared" si="319"/>
        <v>2</v>
      </c>
      <c r="AY38" s="14">
        <f t="shared" ref="AY38:BW38" si="320">IF(SUM(AY6:AY36) &gt; 0, SUM(AY6:AY36), "")</f>
        <v>13</v>
      </c>
      <c r="AZ38" s="14">
        <f t="shared" si="320"/>
        <v>12</v>
      </c>
      <c r="BA38" s="14" t="str">
        <f t="shared" si="320"/>
        <v/>
      </c>
      <c r="BB38" s="15" t="str">
        <f t="shared" si="320"/>
        <v/>
      </c>
      <c r="BC38" s="14" t="str">
        <f t="shared" si="320"/>
        <v/>
      </c>
      <c r="BD38" s="14">
        <f t="shared" si="320"/>
        <v>14</v>
      </c>
      <c r="BE38" s="14" t="str">
        <f t="shared" si="320"/>
        <v/>
      </c>
      <c r="BF38" s="14">
        <f t="shared" si="320"/>
        <v>14</v>
      </c>
      <c r="BG38" s="14">
        <f t="shared" si="320"/>
        <v>11</v>
      </c>
      <c r="BH38" s="14" t="str">
        <f t="shared" si="320"/>
        <v/>
      </c>
      <c r="BI38" s="15" t="str">
        <f t="shared" si="320"/>
        <v/>
      </c>
      <c r="BJ38" s="14" t="str">
        <f t="shared" si="320"/>
        <v/>
      </c>
      <c r="BK38" s="14">
        <f t="shared" si="320"/>
        <v>16</v>
      </c>
      <c r="BL38" s="14" t="str">
        <f t="shared" si="320"/>
        <v/>
      </c>
      <c r="BM38" s="14">
        <f t="shared" si="320"/>
        <v>16</v>
      </c>
      <c r="BN38" s="14" t="str">
        <f t="shared" si="320"/>
        <v/>
      </c>
      <c r="BO38" s="14" t="str">
        <f t="shared" si="320"/>
        <v/>
      </c>
      <c r="BP38" s="15">
        <f t="shared" si="320"/>
        <v>8</v>
      </c>
      <c r="BQ38" s="14" t="str">
        <f t="shared" si="320"/>
        <v/>
      </c>
      <c r="BR38" s="14">
        <f t="shared" si="320"/>
        <v>17</v>
      </c>
      <c r="BS38" s="14" t="str">
        <f t="shared" si="320"/>
        <v/>
      </c>
      <c r="BT38" s="14">
        <f t="shared" si="320"/>
        <v>14</v>
      </c>
      <c r="BU38" s="14" t="str">
        <f t="shared" si="320"/>
        <v/>
      </c>
      <c r="BV38" s="14" t="str">
        <f t="shared" si="320"/>
        <v/>
      </c>
      <c r="BW38" s="14">
        <f t="shared" si="320"/>
        <v>3</v>
      </c>
      <c r="BX38" s="14"/>
      <c r="BY38" s="15">
        <f>VisibleSum(BY6:BY28)</f>
        <v>-3.3529411764705883</v>
      </c>
      <c r="BZ38" s="14" t="str">
        <f t="shared" ref="BZ38:CF38" si="321">IF(SUM(BZ6:BZ36) &gt; 0, SUM(BZ6:BZ36), "")</f>
        <v/>
      </c>
      <c r="CA38" s="14" t="str">
        <f t="shared" si="321"/>
        <v/>
      </c>
      <c r="CB38" s="14" t="str">
        <f t="shared" si="321"/>
        <v/>
      </c>
      <c r="CC38" s="14">
        <f t="shared" si="321"/>
        <v>9</v>
      </c>
      <c r="CD38" s="14" t="str">
        <f t="shared" si="321"/>
        <v/>
      </c>
      <c r="CE38" s="14" t="str">
        <f t="shared" si="321"/>
        <v/>
      </c>
      <c r="CF38" s="14">
        <f t="shared" si="321"/>
        <v>6</v>
      </c>
      <c r="CG38" s="14"/>
      <c r="CH38" s="15">
        <f>VisibleSum(CH6:CH28)</f>
        <v>-4.3529411764705879</v>
      </c>
      <c r="CI38" s="14" t="str">
        <f t="shared" ref="CI38:CO38" si="322">IF(SUM(CI6:CI36) &gt; 0, SUM(CI6:CI36), "")</f>
        <v/>
      </c>
      <c r="CJ38" s="14" t="str">
        <f t="shared" si="322"/>
        <v/>
      </c>
      <c r="CK38" s="14" t="str">
        <f t="shared" si="322"/>
        <v/>
      </c>
      <c r="CL38" s="14">
        <f t="shared" si="322"/>
        <v>10</v>
      </c>
      <c r="CM38" s="14" t="str">
        <f t="shared" si="322"/>
        <v/>
      </c>
      <c r="CN38" s="14" t="str">
        <f t="shared" si="322"/>
        <v/>
      </c>
      <c r="CO38" s="14">
        <f t="shared" si="322"/>
        <v>8</v>
      </c>
      <c r="CP38" s="14"/>
      <c r="CQ38" s="15">
        <f>VisibleSum(CQ6:CQ28)</f>
        <v>-4.4705882352941178</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-0.29411764705882354</v>
      </c>
      <c r="DA38" s="14" t="str">
        <f t="shared" ref="DA38:DG38" si="323">IF(SUM(DA6:DA36) &gt; 0, SUM(DA6:DA36), "")</f>
        <v/>
      </c>
      <c r="DB38" s="14">
        <f t="shared" si="323"/>
        <v>11</v>
      </c>
      <c r="DC38" s="14" t="str">
        <f t="shared" si="323"/>
        <v/>
      </c>
      <c r="DD38" s="14" t="str">
        <f t="shared" si="323"/>
        <v/>
      </c>
      <c r="DE38" s="14">
        <f t="shared" si="323"/>
        <v>8</v>
      </c>
      <c r="DF38" s="14" t="str">
        <f t="shared" si="323"/>
        <v/>
      </c>
      <c r="DG38" s="14">
        <f t="shared" si="323"/>
        <v>4</v>
      </c>
      <c r="DH38" s="14"/>
      <c r="DI38" s="131">
        <f>IF(VisibleSum(DI6:DI28) = "", "??", VisibleSum(DI6:DI28))</f>
        <v>-1.4705882352941178</v>
      </c>
      <c r="DJ38" s="14" t="str">
        <f t="shared" ref="DJ38:DP38" si="324">IF(SUM(DJ6:DJ36) &gt; 0, SUM(DJ6:DJ36), "")</f>
        <v/>
      </c>
      <c r="DK38" s="14">
        <f t="shared" si="324"/>
        <v>15</v>
      </c>
      <c r="DL38" s="14" t="str">
        <f t="shared" si="324"/>
        <v/>
      </c>
      <c r="DM38" s="14">
        <f t="shared" si="324"/>
        <v>12</v>
      </c>
      <c r="DN38" s="14">
        <f t="shared" si="324"/>
        <v>11</v>
      </c>
      <c r="DO38" s="14" t="str">
        <f t="shared" si="324"/>
        <v/>
      </c>
      <c r="DP38" s="14">
        <f t="shared" si="324"/>
        <v>7</v>
      </c>
      <c r="DQ38" s="14"/>
      <c r="DR38" s="131">
        <f>IF(VisibleSum(DR6:DR28) = "", "??", VisibleSum(DR6:DR28))</f>
        <v>-1.1764705882352942</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3"/>
      <c r="EA38" s="131">
        <f>IF(VisibleSum(EA6:EA28) = "", "??", VisibleSum(EA6:EA28))</f>
        <v>-1.1764705882352942</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3" t="str">
        <f>IF(SUM(EI6:EI36) &gt; 0, SUM(EI6:EI36), "")</f>
        <v/>
      </c>
      <c r="EJ38" s="131">
        <f>IF(VisibleSum(EJ6:EJ28) = "", "??", VisibleSum(EJ6:EJ28))</f>
        <v>-1.0588235294117647</v>
      </c>
      <c r="EK38" s="14">
        <f t="shared" ref="EK38:EQ38" si="325">IF(SUM(EK6:EK36) &gt; 0, SUM(EK6:EK36), "")</f>
        <v>15</v>
      </c>
      <c r="EL38" s="14">
        <f t="shared" si="325"/>
        <v>17</v>
      </c>
      <c r="EM38" s="14" t="str">
        <f t="shared" si="325"/>
        <v/>
      </c>
      <c r="EN38" s="14">
        <f t="shared" si="325"/>
        <v>14</v>
      </c>
      <c r="EO38" s="14">
        <f t="shared" si="325"/>
        <v>16</v>
      </c>
      <c r="EP38" s="14" t="str">
        <f t="shared" si="325"/>
        <v/>
      </c>
      <c r="EQ38" s="14">
        <f t="shared" si="325"/>
        <v>15</v>
      </c>
      <c r="ER38" s="14"/>
      <c r="ES38" s="131">
        <f>IF(VisibleSum(ES6:ES28) = "", "??", VisibleSum(ES6:ES28))</f>
        <v>0.88888888888888884</v>
      </c>
      <c r="ET38" s="14">
        <f t="shared" ref="ET38:EZ38" si="326">IF(SUM(ET6:ET36) &gt; 0, SUM(ET6:ET36), "")</f>
        <v>13</v>
      </c>
      <c r="EU38" s="14">
        <f t="shared" si="326"/>
        <v>14</v>
      </c>
      <c r="EV38" s="14">
        <f t="shared" si="326"/>
        <v>13</v>
      </c>
      <c r="EW38" s="14">
        <f t="shared" si="326"/>
        <v>16</v>
      </c>
      <c r="EX38" s="14" t="str">
        <f t="shared" si="326"/>
        <v/>
      </c>
      <c r="EY38" s="14" t="str">
        <f t="shared" si="326"/>
        <v/>
      </c>
      <c r="EZ38" s="14" t="str">
        <f t="shared" si="326"/>
        <v/>
      </c>
      <c r="FA38" s="14"/>
      <c r="FB38" s="131">
        <f>IF(VisibleSum(FB6:FB28) = "", "??", VisibleSum(FB6:FB28))</f>
        <v>-1</v>
      </c>
      <c r="FC38" s="14">
        <f t="shared" ref="FC38:FI38" si="327">IF(SUM(FC6:FC36) &gt; 0, SUM(FC6:FC36), "")</f>
        <v>11</v>
      </c>
      <c r="FD38" s="14">
        <f t="shared" si="327"/>
        <v>3</v>
      </c>
      <c r="FE38" s="14">
        <f t="shared" si="327"/>
        <v>14</v>
      </c>
      <c r="FF38" s="14">
        <f t="shared" si="327"/>
        <v>15</v>
      </c>
      <c r="FG38" s="14">
        <f t="shared" si="327"/>
        <v>11</v>
      </c>
      <c r="FH38" s="14">
        <f t="shared" si="327"/>
        <v>14</v>
      </c>
      <c r="FI38" s="14" t="str">
        <f t="shared" si="327"/>
        <v/>
      </c>
      <c r="FJ38" s="14"/>
      <c r="FK38" s="131">
        <f>IF(VisibleSum(FK6:FK28) = "", "??", VisibleSum(FK6:FK28))</f>
        <v>-0.22222222222222221</v>
      </c>
      <c r="FL38" s="14">
        <f t="shared" ref="FL38:HA38" si="328">IF(SUM(FL6:FL36) &gt; 0, SUM(FL6:FL36), "")</f>
        <v>6</v>
      </c>
      <c r="FM38" s="14">
        <f t="shared" si="328"/>
        <v>11</v>
      </c>
      <c r="FN38" s="14" t="str">
        <f t="shared" si="328"/>
        <v/>
      </c>
      <c r="FO38" s="14">
        <f t="shared" si="328"/>
        <v>12</v>
      </c>
      <c r="FP38" s="14">
        <f t="shared" si="328"/>
        <v>15</v>
      </c>
      <c r="FQ38" s="14">
        <f t="shared" si="328"/>
        <v>14</v>
      </c>
      <c r="FR38" s="14"/>
      <c r="FS38" s="14"/>
      <c r="FT38" s="131">
        <f>IF(VisibleSum(FT6:FT28) = "", "??", VisibleSum(FT6:FT28))</f>
        <v>-0.88888888888888884</v>
      </c>
      <c r="FU38" s="14" t="str">
        <f t="shared" si="328"/>
        <v/>
      </c>
      <c r="FV38" s="14" t="str">
        <f t="shared" si="328"/>
        <v/>
      </c>
      <c r="FW38" s="14" t="str">
        <f t="shared" si="328"/>
        <v/>
      </c>
      <c r="FX38" s="14" t="str">
        <f t="shared" si="328"/>
        <v/>
      </c>
      <c r="FY38" s="14" t="str">
        <f t="shared" si="328"/>
        <v/>
      </c>
      <c r="FZ38" s="14" t="str">
        <f t="shared" si="328"/>
        <v/>
      </c>
      <c r="GA38" s="15" t="str">
        <f t="shared" si="328"/>
        <v/>
      </c>
      <c r="GB38" s="14" t="str">
        <f t="shared" si="328"/>
        <v/>
      </c>
      <c r="GC38" s="14" t="str">
        <f t="shared" si="328"/>
        <v/>
      </c>
      <c r="GD38" s="14" t="str">
        <f t="shared" si="328"/>
        <v/>
      </c>
      <c r="GE38" s="14" t="str">
        <f t="shared" si="328"/>
        <v/>
      </c>
      <c r="GF38" s="14" t="str">
        <f t="shared" si="328"/>
        <v/>
      </c>
      <c r="GG38" s="14" t="str">
        <f t="shared" si="328"/>
        <v/>
      </c>
      <c r="GH38" s="15" t="str">
        <f t="shared" si="328"/>
        <v/>
      </c>
      <c r="GI38" s="14" t="str">
        <f t="shared" si="328"/>
        <v/>
      </c>
      <c r="GJ38" s="14" t="str">
        <f t="shared" si="328"/>
        <v/>
      </c>
      <c r="GK38" s="14" t="str">
        <f t="shared" si="328"/>
        <v/>
      </c>
      <c r="GL38" s="14" t="str">
        <f t="shared" si="328"/>
        <v/>
      </c>
      <c r="GM38" s="14" t="str">
        <f t="shared" si="328"/>
        <v/>
      </c>
      <c r="GN38" s="14" t="str">
        <f t="shared" si="328"/>
        <v/>
      </c>
      <c r="GO38" s="15" t="str">
        <f t="shared" si="328"/>
        <v/>
      </c>
      <c r="GP38" s="14" t="str">
        <f t="shared" si="328"/>
        <v/>
      </c>
      <c r="GQ38" s="14" t="str">
        <f t="shared" si="328"/>
        <v/>
      </c>
      <c r="GR38" s="14" t="str">
        <f t="shared" si="328"/>
        <v/>
      </c>
      <c r="GS38" s="14" t="str">
        <f t="shared" si="328"/>
        <v/>
      </c>
      <c r="GT38" s="14" t="str">
        <f t="shared" si="328"/>
        <v/>
      </c>
      <c r="GU38" s="14" t="str">
        <f t="shared" si="328"/>
        <v/>
      </c>
      <c r="GV38" s="15" t="str">
        <f t="shared" si="328"/>
        <v/>
      </c>
      <c r="GW38" s="14" t="str">
        <f t="shared" si="328"/>
        <v/>
      </c>
      <c r="GX38" s="14" t="str">
        <f t="shared" si="328"/>
        <v/>
      </c>
      <c r="GY38" s="14" t="str">
        <f t="shared" si="328"/>
        <v/>
      </c>
      <c r="GZ38" s="14" t="str">
        <f t="shared" si="328"/>
        <v/>
      </c>
      <c r="HA38" s="14" t="str">
        <f t="shared" si="328"/>
        <v/>
      </c>
      <c r="HB38" s="14"/>
      <c r="HC38" s="15" t="str">
        <f t="shared" ref="HC38:IH38" si="329">IF(SUM(HC6:HC36) &gt; 0, SUM(HC6:HC36), "")</f>
        <v/>
      </c>
      <c r="HD38" s="14" t="str">
        <f t="shared" si="329"/>
        <v/>
      </c>
      <c r="HE38" s="14" t="str">
        <f t="shared" si="329"/>
        <v/>
      </c>
      <c r="HF38" s="14" t="str">
        <f t="shared" si="329"/>
        <v/>
      </c>
      <c r="HG38" s="14" t="str">
        <f t="shared" si="329"/>
        <v/>
      </c>
      <c r="HH38" s="14" t="str">
        <f t="shared" si="329"/>
        <v/>
      </c>
      <c r="HI38" s="14" t="str">
        <f t="shared" si="329"/>
        <v/>
      </c>
      <c r="HJ38" s="15" t="str">
        <f t="shared" si="329"/>
        <v/>
      </c>
      <c r="HK38" s="14" t="str">
        <f t="shared" si="329"/>
        <v/>
      </c>
      <c r="HL38" s="14" t="str">
        <f t="shared" si="329"/>
        <v/>
      </c>
      <c r="HM38" s="14" t="str">
        <f t="shared" si="329"/>
        <v/>
      </c>
      <c r="HN38" s="14" t="str">
        <f t="shared" si="329"/>
        <v/>
      </c>
      <c r="HO38" s="14" t="str">
        <f t="shared" si="329"/>
        <v/>
      </c>
      <c r="HP38" s="14" t="str">
        <f t="shared" si="329"/>
        <v/>
      </c>
      <c r="HQ38" s="15" t="str">
        <f t="shared" si="329"/>
        <v/>
      </c>
      <c r="HR38" s="14" t="str">
        <f t="shared" si="329"/>
        <v/>
      </c>
      <c r="HS38" s="14" t="str">
        <f t="shared" si="329"/>
        <v/>
      </c>
      <c r="HT38" s="14" t="str">
        <f t="shared" si="329"/>
        <v/>
      </c>
      <c r="HU38" s="14" t="str">
        <f t="shared" si="329"/>
        <v/>
      </c>
      <c r="HV38" s="14" t="str">
        <f t="shared" si="329"/>
        <v/>
      </c>
      <c r="HW38" s="14" t="str">
        <f t="shared" si="329"/>
        <v/>
      </c>
      <c r="HX38" s="15" t="str">
        <f t="shared" si="329"/>
        <v/>
      </c>
      <c r="HY38" s="14" t="str">
        <f t="shared" si="329"/>
        <v/>
      </c>
      <c r="HZ38" s="14" t="str">
        <f t="shared" si="329"/>
        <v/>
      </c>
      <c r="IA38" s="14" t="str">
        <f t="shared" si="329"/>
        <v/>
      </c>
      <c r="IB38" s="14" t="str">
        <f t="shared" si="329"/>
        <v/>
      </c>
      <c r="IC38" s="14" t="str">
        <f t="shared" si="329"/>
        <v/>
      </c>
      <c r="ID38" s="14" t="str">
        <f t="shared" si="329"/>
        <v/>
      </c>
      <c r="IE38" s="15" t="str">
        <f t="shared" si="329"/>
        <v/>
      </c>
      <c r="IF38" s="14" t="str">
        <f t="shared" si="329"/>
        <v/>
      </c>
      <c r="IG38" s="14" t="str">
        <f t="shared" si="329"/>
        <v/>
      </c>
      <c r="IH38" s="14" t="str">
        <f t="shared" si="329"/>
        <v/>
      </c>
      <c r="II38" s="14" t="str">
        <f t="shared" ref="II38:JN38" si="330">IF(SUM(II6:II36) &gt; 0, SUM(II6:II36), "")</f>
        <v/>
      </c>
      <c r="IJ38" s="14" t="str">
        <f t="shared" si="330"/>
        <v/>
      </c>
      <c r="IK38" s="14" t="str">
        <f t="shared" si="330"/>
        <v/>
      </c>
      <c r="IL38" s="15" t="str">
        <f t="shared" si="330"/>
        <v/>
      </c>
      <c r="IM38" s="14" t="str">
        <f t="shared" si="330"/>
        <v/>
      </c>
      <c r="IN38" s="14" t="str">
        <f t="shared" si="330"/>
        <v/>
      </c>
      <c r="IO38" s="14" t="str">
        <f t="shared" si="330"/>
        <v/>
      </c>
      <c r="IP38" s="14" t="str">
        <f t="shared" si="330"/>
        <v/>
      </c>
      <c r="IQ38" s="14" t="str">
        <f t="shared" si="330"/>
        <v/>
      </c>
      <c r="IR38" s="14" t="str">
        <f t="shared" si="330"/>
        <v/>
      </c>
      <c r="IS38" s="15" t="str">
        <f t="shared" si="330"/>
        <v/>
      </c>
      <c r="IT38" s="14" t="str">
        <f t="shared" si="330"/>
        <v/>
      </c>
      <c r="IU38" s="14" t="str">
        <f t="shared" si="330"/>
        <v/>
      </c>
      <c r="IV38" s="14" t="str">
        <f t="shared" si="330"/>
        <v/>
      </c>
      <c r="IW38" s="14" t="str">
        <f t="shared" si="330"/>
        <v/>
      </c>
      <c r="IX38" s="14" t="str">
        <f t="shared" si="330"/>
        <v/>
      </c>
      <c r="IY38" s="14" t="str">
        <f t="shared" si="330"/>
        <v/>
      </c>
      <c r="IZ38" s="15" t="str">
        <f t="shared" si="330"/>
        <v/>
      </c>
      <c r="JA38" s="14" t="str">
        <f t="shared" si="330"/>
        <v/>
      </c>
      <c r="JB38" s="14" t="str">
        <f t="shared" si="330"/>
        <v/>
      </c>
      <c r="JC38" s="14" t="str">
        <f t="shared" si="330"/>
        <v/>
      </c>
      <c r="JD38" s="14" t="str">
        <f t="shared" si="330"/>
        <v/>
      </c>
      <c r="JE38" s="14" t="str">
        <f t="shared" si="330"/>
        <v/>
      </c>
      <c r="JF38" s="14" t="str">
        <f t="shared" si="330"/>
        <v/>
      </c>
      <c r="JG38" s="15" t="str">
        <f t="shared" si="330"/>
        <v/>
      </c>
      <c r="JH38" s="14" t="str">
        <f t="shared" si="330"/>
        <v/>
      </c>
      <c r="JI38" s="14" t="str">
        <f t="shared" si="330"/>
        <v/>
      </c>
      <c r="JJ38" s="14" t="str">
        <f t="shared" si="330"/>
        <v/>
      </c>
      <c r="JK38" s="14" t="str">
        <f t="shared" si="330"/>
        <v/>
      </c>
      <c r="JL38" s="14" t="str">
        <f t="shared" si="330"/>
        <v/>
      </c>
      <c r="JM38" s="14" t="str">
        <f t="shared" si="330"/>
        <v/>
      </c>
      <c r="JN38" s="15" t="str">
        <f t="shared" si="330"/>
        <v/>
      </c>
      <c r="JO38" s="14" t="str">
        <f t="shared" ref="JO38:KT38" si="331">IF(SUM(JO6:JO36) &gt; 0, SUM(JO6:JO36), "")</f>
        <v/>
      </c>
      <c r="JP38" s="14" t="str">
        <f t="shared" si="331"/>
        <v/>
      </c>
      <c r="JQ38" s="14" t="str">
        <f t="shared" si="331"/>
        <v/>
      </c>
      <c r="JR38" s="14" t="str">
        <f t="shared" si="331"/>
        <v/>
      </c>
      <c r="JS38" s="14" t="str">
        <f t="shared" si="331"/>
        <v/>
      </c>
      <c r="JT38" s="14" t="str">
        <f t="shared" si="331"/>
        <v/>
      </c>
      <c r="JU38" s="15" t="str">
        <f t="shared" si="331"/>
        <v/>
      </c>
      <c r="JV38" s="14" t="str">
        <f t="shared" si="331"/>
        <v/>
      </c>
      <c r="JW38" s="14" t="str">
        <f t="shared" si="331"/>
        <v/>
      </c>
      <c r="JX38" s="14" t="str">
        <f t="shared" si="331"/>
        <v/>
      </c>
      <c r="JY38" s="14" t="str">
        <f t="shared" si="331"/>
        <v/>
      </c>
      <c r="JZ38" s="14" t="str">
        <f t="shared" si="331"/>
        <v/>
      </c>
      <c r="KA38" s="14" t="str">
        <f t="shared" si="331"/>
        <v/>
      </c>
      <c r="KB38" s="15" t="str">
        <f t="shared" si="331"/>
        <v/>
      </c>
      <c r="KC38" s="14" t="str">
        <f t="shared" si="331"/>
        <v/>
      </c>
      <c r="KD38" s="14" t="str">
        <f t="shared" si="331"/>
        <v/>
      </c>
      <c r="KE38" s="14" t="str">
        <f t="shared" si="331"/>
        <v/>
      </c>
      <c r="KF38" s="14" t="str">
        <f t="shared" si="331"/>
        <v/>
      </c>
      <c r="KG38" s="14" t="str">
        <f t="shared" si="331"/>
        <v/>
      </c>
      <c r="KH38" s="14" t="str">
        <f t="shared" si="331"/>
        <v/>
      </c>
      <c r="KI38" s="15" t="str">
        <f t="shared" si="331"/>
        <v/>
      </c>
      <c r="KJ38" s="14" t="str">
        <f t="shared" si="331"/>
        <v/>
      </c>
      <c r="KK38" s="14" t="str">
        <f t="shared" si="331"/>
        <v/>
      </c>
      <c r="KL38" s="14" t="str">
        <f t="shared" si="331"/>
        <v/>
      </c>
      <c r="KM38" s="14" t="str">
        <f t="shared" si="331"/>
        <v/>
      </c>
      <c r="KN38" s="14" t="str">
        <f t="shared" si="331"/>
        <v/>
      </c>
      <c r="KO38" s="14" t="str">
        <f t="shared" si="331"/>
        <v/>
      </c>
      <c r="KP38" s="15" t="str">
        <f t="shared" si="331"/>
        <v/>
      </c>
      <c r="KQ38" s="14" t="str">
        <f t="shared" si="331"/>
        <v/>
      </c>
      <c r="KR38" s="14" t="str">
        <f t="shared" si="331"/>
        <v/>
      </c>
      <c r="KS38" s="14" t="str">
        <f t="shared" si="331"/>
        <v/>
      </c>
      <c r="KT38" s="14" t="str">
        <f t="shared" si="331"/>
        <v/>
      </c>
      <c r="KU38" s="14" t="str">
        <f t="shared" ref="KU38:LZ38" si="332">IF(SUM(KU6:KU36) &gt; 0, SUM(KU6:KU36), "")</f>
        <v/>
      </c>
      <c r="KV38" s="14" t="str">
        <f t="shared" si="332"/>
        <v/>
      </c>
      <c r="KW38" s="15" t="str">
        <f t="shared" si="332"/>
        <v/>
      </c>
      <c r="KX38" s="14" t="str">
        <f t="shared" si="332"/>
        <v/>
      </c>
      <c r="KY38" s="14" t="str">
        <f t="shared" si="332"/>
        <v/>
      </c>
      <c r="KZ38" s="14" t="str">
        <f t="shared" si="332"/>
        <v/>
      </c>
      <c r="LA38" s="14" t="str">
        <f t="shared" si="332"/>
        <v/>
      </c>
      <c r="LB38" s="14" t="str">
        <f t="shared" si="332"/>
        <v/>
      </c>
      <c r="LC38" s="14" t="str">
        <f t="shared" si="332"/>
        <v/>
      </c>
      <c r="LD38" s="15" t="str">
        <f t="shared" si="332"/>
        <v/>
      </c>
      <c r="LE38" s="14" t="str">
        <f t="shared" si="332"/>
        <v/>
      </c>
      <c r="LF38" s="14" t="str">
        <f t="shared" si="332"/>
        <v/>
      </c>
      <c r="LG38" s="14" t="str">
        <f t="shared" si="332"/>
        <v/>
      </c>
      <c r="LH38" s="14" t="str">
        <f t="shared" si="332"/>
        <v/>
      </c>
      <c r="LI38" s="14" t="str">
        <f t="shared" si="332"/>
        <v/>
      </c>
      <c r="LJ38" s="14" t="str">
        <f t="shared" si="332"/>
        <v/>
      </c>
      <c r="LK38" s="15" t="str">
        <f t="shared" si="332"/>
        <v/>
      </c>
      <c r="LL38" s="14" t="str">
        <f t="shared" si="332"/>
        <v/>
      </c>
      <c r="LM38" s="14" t="str">
        <f t="shared" si="332"/>
        <v/>
      </c>
      <c r="LN38" s="14" t="str">
        <f t="shared" si="332"/>
        <v/>
      </c>
      <c r="LO38" s="14" t="str">
        <f t="shared" si="332"/>
        <v/>
      </c>
      <c r="LP38" s="14" t="str">
        <f t="shared" si="332"/>
        <v/>
      </c>
      <c r="LQ38" s="14" t="str">
        <f t="shared" si="332"/>
        <v/>
      </c>
      <c r="LR38" s="15" t="str">
        <f t="shared" si="332"/>
        <v/>
      </c>
      <c r="LS38" s="14" t="str">
        <f t="shared" si="332"/>
        <v/>
      </c>
      <c r="LT38" s="14" t="str">
        <f t="shared" si="332"/>
        <v/>
      </c>
      <c r="LU38" s="14" t="str">
        <f t="shared" si="332"/>
        <v/>
      </c>
      <c r="LV38" s="14" t="str">
        <f t="shared" si="332"/>
        <v/>
      </c>
      <c r="LW38" s="14" t="str">
        <f t="shared" si="332"/>
        <v/>
      </c>
      <c r="LX38" s="14" t="str">
        <f t="shared" si="332"/>
        <v/>
      </c>
      <c r="LY38" s="15" t="str">
        <f t="shared" si="332"/>
        <v/>
      </c>
      <c r="LZ38" s="14" t="str">
        <f t="shared" si="332"/>
        <v/>
      </c>
      <c r="MA38" s="14" t="str">
        <f t="shared" ref="MA38:MT38" si="333">IF(SUM(MA6:MA36) &gt; 0, SUM(MA6:MA36), "")</f>
        <v/>
      </c>
      <c r="MB38" s="14" t="str">
        <f t="shared" si="333"/>
        <v/>
      </c>
      <c r="MC38" s="14" t="str">
        <f t="shared" si="333"/>
        <v/>
      </c>
      <c r="MD38" s="14" t="str">
        <f t="shared" si="333"/>
        <v/>
      </c>
      <c r="ME38" s="14" t="str">
        <f t="shared" si="333"/>
        <v/>
      </c>
      <c r="MF38" s="15" t="str">
        <f t="shared" si="333"/>
        <v/>
      </c>
      <c r="MG38" s="14" t="str">
        <f t="shared" si="333"/>
        <v/>
      </c>
      <c r="MH38" s="14" t="str">
        <f t="shared" si="333"/>
        <v/>
      </c>
      <c r="MI38" s="14" t="str">
        <f t="shared" si="333"/>
        <v/>
      </c>
      <c r="MJ38" s="14" t="str">
        <f t="shared" si="333"/>
        <v/>
      </c>
      <c r="MK38" s="14" t="str">
        <f t="shared" si="333"/>
        <v/>
      </c>
      <c r="ML38" s="14" t="str">
        <f t="shared" si="333"/>
        <v/>
      </c>
      <c r="MM38" s="15" t="str">
        <f t="shared" si="333"/>
        <v/>
      </c>
      <c r="MN38" s="14" t="str">
        <f t="shared" si="333"/>
        <v/>
      </c>
      <c r="MO38" s="14" t="str">
        <f t="shared" si="333"/>
        <v/>
      </c>
      <c r="MP38" s="14" t="str">
        <f t="shared" si="333"/>
        <v/>
      </c>
      <c r="MQ38" s="14" t="str">
        <f t="shared" si="333"/>
        <v/>
      </c>
      <c r="MR38" s="14" t="str">
        <f t="shared" si="333"/>
        <v/>
      </c>
      <c r="MS38" s="14" t="str">
        <f t="shared" si="333"/>
        <v/>
      </c>
      <c r="MT38" s="112" t="str">
        <f t="shared" si="333"/>
        <v/>
      </c>
    </row>
    <row r="39" spans="1:358" ht="7.5" customHeight="1" x14ac:dyDescent="0.25">
      <c r="A39" s="125"/>
      <c r="B39" s="126"/>
      <c r="C39" s="126"/>
      <c r="D39" s="126"/>
      <c r="E39" s="127"/>
      <c r="F39" s="126"/>
      <c r="G39" s="126"/>
      <c r="H39" s="126"/>
      <c r="I39" s="126"/>
      <c r="J39" s="126"/>
      <c r="K39" s="126"/>
      <c r="L39" s="126"/>
      <c r="M39" s="126"/>
      <c r="N39" s="126"/>
      <c r="O39" s="127"/>
      <c r="P39" s="126"/>
      <c r="Q39" s="126"/>
      <c r="R39" s="127"/>
      <c r="S39" s="37"/>
      <c r="T39" s="128"/>
      <c r="U39" s="128"/>
      <c r="V39" s="128"/>
      <c r="W39" s="128"/>
      <c r="X39" s="128"/>
      <c r="Y39" s="128"/>
      <c r="Z39" s="37"/>
      <c r="AA39" s="128"/>
      <c r="AB39" s="128"/>
      <c r="AC39" s="128"/>
      <c r="AD39" s="128"/>
      <c r="AE39" s="128"/>
      <c r="AF39" s="128"/>
      <c r="AG39" s="37"/>
      <c r="AH39" s="128"/>
      <c r="AI39" s="128"/>
      <c r="AJ39" s="128"/>
      <c r="AK39" s="128"/>
      <c r="AL39" s="128"/>
      <c r="AM39" s="128"/>
      <c r="AN39" s="37"/>
      <c r="AO39" s="128"/>
      <c r="AP39" s="128"/>
      <c r="AQ39" s="128"/>
      <c r="AR39" s="128"/>
      <c r="AS39" s="128"/>
      <c r="AT39" s="128"/>
      <c r="AU39" s="37"/>
      <c r="AV39" s="128"/>
      <c r="AW39" s="128"/>
      <c r="AX39" s="128"/>
      <c r="AY39" s="128"/>
      <c r="AZ39" s="128"/>
      <c r="BA39" s="128"/>
      <c r="BB39" s="37"/>
      <c r="BC39" s="128"/>
      <c r="BD39" s="128"/>
      <c r="BE39" s="128"/>
      <c r="BF39" s="128"/>
      <c r="BG39" s="128"/>
      <c r="BH39" s="128"/>
      <c r="BI39" s="37"/>
      <c r="BJ39" s="128"/>
      <c r="BK39" s="128"/>
      <c r="BL39" s="128"/>
      <c r="BM39" s="128"/>
      <c r="BN39" s="128"/>
      <c r="BO39" s="128"/>
      <c r="BP39" s="37"/>
      <c r="BQ39" s="128"/>
      <c r="BR39" s="128"/>
      <c r="BS39" s="128"/>
      <c r="BT39" s="128"/>
      <c r="BU39" s="128"/>
      <c r="BV39" s="128"/>
      <c r="BW39" s="128"/>
      <c r="BX39" s="128"/>
      <c r="BY39" s="37"/>
      <c r="BZ39" s="128"/>
      <c r="CA39" s="128"/>
      <c r="CB39" s="128"/>
      <c r="CC39" s="128"/>
      <c r="CD39" s="128"/>
      <c r="CE39" s="128"/>
      <c r="CF39" s="128"/>
      <c r="CG39" s="128"/>
      <c r="CH39" s="37"/>
      <c r="CI39" s="128"/>
      <c r="CJ39" s="128"/>
      <c r="CK39" s="128"/>
      <c r="CL39" s="128"/>
      <c r="CM39" s="128"/>
      <c r="CN39" s="128"/>
      <c r="CO39" s="128"/>
      <c r="CP39" s="128"/>
      <c r="CQ39" s="37"/>
      <c r="CR39" s="128"/>
      <c r="CS39" s="128"/>
      <c r="CT39" s="128"/>
      <c r="CU39" s="128"/>
      <c r="CV39" s="128"/>
      <c r="CW39" s="128"/>
      <c r="CX39" s="128"/>
      <c r="CY39" s="128"/>
      <c r="CZ39" s="37"/>
      <c r="DA39" s="128"/>
      <c r="DB39" s="128"/>
      <c r="DC39" s="128"/>
      <c r="DD39" s="128"/>
      <c r="DE39" s="128"/>
      <c r="DF39" s="128"/>
      <c r="DG39" s="128"/>
      <c r="DH39" s="128"/>
      <c r="DI39" s="37"/>
      <c r="DJ39" s="128"/>
      <c r="DK39" s="128"/>
      <c r="DL39" s="128"/>
      <c r="DM39" s="128"/>
      <c r="DN39" s="128"/>
      <c r="DO39" s="128"/>
      <c r="DP39" s="128"/>
      <c r="DQ39" s="128"/>
      <c r="DR39" s="37"/>
      <c r="DS39" s="128"/>
      <c r="DT39" s="128"/>
      <c r="DU39" s="128"/>
      <c r="DV39" s="128"/>
      <c r="DW39" s="128"/>
      <c r="DX39" s="128"/>
      <c r="DY39" s="128"/>
      <c r="DZ39" s="128"/>
      <c r="EA39" s="37"/>
      <c r="EB39" s="128"/>
      <c r="EC39" s="128"/>
      <c r="ED39" s="128"/>
      <c r="EE39" s="128"/>
      <c r="EF39" s="128"/>
      <c r="EG39" s="128"/>
      <c r="EH39" s="128"/>
      <c r="EI39" s="128"/>
      <c r="EJ39" s="37"/>
      <c r="EK39" s="128"/>
      <c r="EL39" s="128"/>
      <c r="EM39" s="128"/>
      <c r="EN39" s="128"/>
      <c r="EO39" s="128"/>
      <c r="EP39" s="128"/>
      <c r="EQ39" s="128"/>
      <c r="ER39" s="128"/>
      <c r="ES39" s="37"/>
      <c r="ET39" s="128"/>
      <c r="EU39" s="128"/>
      <c r="EV39" s="128"/>
      <c r="EW39" s="128"/>
      <c r="EX39" s="128"/>
      <c r="EY39" s="128"/>
      <c r="EZ39" s="128"/>
      <c r="FA39" s="128"/>
      <c r="FB39" s="37"/>
      <c r="FC39" s="128"/>
      <c r="FD39" s="128"/>
      <c r="FE39" s="128"/>
      <c r="FF39" s="128"/>
      <c r="FG39" s="128"/>
      <c r="FH39" s="128"/>
      <c r="FI39" s="128"/>
      <c r="FJ39" s="128"/>
      <c r="FK39" s="37"/>
      <c r="FL39" s="128"/>
      <c r="FM39" s="128"/>
      <c r="FN39" s="128"/>
      <c r="FO39" s="128"/>
      <c r="FP39" s="128"/>
      <c r="FQ39" s="128"/>
      <c r="FR39" s="128"/>
      <c r="FS39" s="128"/>
      <c r="FT39" s="37"/>
      <c r="FU39" s="128"/>
      <c r="FV39" s="128"/>
      <c r="FW39" s="128"/>
      <c r="FX39" s="128"/>
      <c r="FY39" s="128"/>
      <c r="FZ39" s="128"/>
      <c r="GA39" s="37"/>
      <c r="GB39" s="128"/>
      <c r="GC39" s="128"/>
      <c r="GD39" s="128"/>
      <c r="GE39" s="128"/>
      <c r="GF39" s="128"/>
      <c r="GG39" s="128"/>
      <c r="GH39" s="37"/>
      <c r="GI39" s="128"/>
      <c r="GJ39" s="128"/>
      <c r="GK39" s="128"/>
      <c r="GL39" s="128"/>
      <c r="GM39" s="128"/>
      <c r="GN39" s="128"/>
      <c r="GO39" s="37"/>
      <c r="GP39" s="128"/>
      <c r="GQ39" s="128"/>
      <c r="GR39" s="128"/>
      <c r="GS39" s="128"/>
      <c r="GT39" s="128"/>
      <c r="GU39" s="128"/>
      <c r="GV39" s="37"/>
      <c r="GW39" s="128"/>
      <c r="GX39" s="128"/>
      <c r="GY39" s="128"/>
      <c r="GZ39" s="128"/>
      <c r="HA39" s="128"/>
      <c r="HB39" s="128"/>
      <c r="HC39" s="37"/>
      <c r="HD39" s="128"/>
      <c r="HE39" s="128"/>
      <c r="HF39" s="128"/>
      <c r="HG39" s="128"/>
      <c r="HH39" s="128"/>
      <c r="HI39" s="128"/>
      <c r="HJ39" s="37"/>
      <c r="HK39" s="128"/>
      <c r="HL39" s="128"/>
      <c r="HM39" s="128"/>
      <c r="HN39" s="128"/>
      <c r="HO39" s="128"/>
      <c r="HP39" s="128"/>
      <c r="HQ39" s="37"/>
      <c r="HR39" s="128"/>
      <c r="HS39" s="128"/>
      <c r="HT39" s="128"/>
      <c r="HU39" s="128"/>
      <c r="HV39" s="128"/>
      <c r="HW39" s="128"/>
      <c r="HX39" s="37"/>
      <c r="HY39" s="128"/>
      <c r="HZ39" s="128"/>
      <c r="IA39" s="128"/>
      <c r="IB39" s="128"/>
      <c r="IC39" s="128"/>
      <c r="ID39" s="128"/>
      <c r="IE39" s="37"/>
      <c r="IF39" s="128"/>
      <c r="IG39" s="128"/>
      <c r="IH39" s="128"/>
      <c r="II39" s="128"/>
      <c r="IJ39" s="128"/>
      <c r="IK39" s="128"/>
      <c r="IL39" s="37"/>
      <c r="IM39" s="128"/>
      <c r="IN39" s="128"/>
      <c r="IO39" s="128"/>
      <c r="IP39" s="128"/>
      <c r="IQ39" s="128"/>
      <c r="IR39" s="128"/>
      <c r="IS39" s="37"/>
      <c r="IT39" s="128"/>
      <c r="IU39" s="128"/>
      <c r="IV39" s="128"/>
      <c r="IW39" s="128"/>
      <c r="IX39" s="128"/>
      <c r="IY39" s="128"/>
      <c r="IZ39" s="37"/>
      <c r="JA39" s="128"/>
      <c r="JB39" s="128"/>
      <c r="JC39" s="128"/>
      <c r="JD39" s="128"/>
      <c r="JE39" s="128"/>
      <c r="JF39" s="128"/>
      <c r="JG39" s="37"/>
      <c r="JH39" s="128"/>
      <c r="JI39" s="128"/>
      <c r="JJ39" s="128"/>
      <c r="JK39" s="128"/>
      <c r="JL39" s="128"/>
      <c r="JM39" s="128"/>
      <c r="JN39" s="37"/>
      <c r="JO39" s="128"/>
      <c r="JP39" s="128"/>
      <c r="JQ39" s="128"/>
      <c r="JR39" s="128"/>
      <c r="JS39" s="128"/>
      <c r="JT39" s="128"/>
      <c r="JU39" s="37"/>
      <c r="JV39" s="128"/>
      <c r="JW39" s="128"/>
      <c r="JX39" s="128"/>
      <c r="JY39" s="128"/>
      <c r="JZ39" s="128"/>
      <c r="KA39" s="128"/>
      <c r="KB39" s="37"/>
      <c r="KC39" s="128"/>
      <c r="KD39" s="128"/>
      <c r="KE39" s="128"/>
      <c r="KF39" s="128"/>
      <c r="KG39" s="128"/>
      <c r="KH39" s="128"/>
      <c r="KI39" s="37"/>
      <c r="KJ39" s="128"/>
      <c r="KK39" s="128"/>
      <c r="KL39" s="128"/>
      <c r="KM39" s="128"/>
      <c r="KN39" s="128"/>
      <c r="KO39" s="128"/>
      <c r="KP39" s="37"/>
      <c r="KQ39" s="128"/>
      <c r="KR39" s="128"/>
      <c r="KS39" s="128"/>
      <c r="KT39" s="128"/>
      <c r="KU39" s="128"/>
      <c r="KV39" s="128"/>
      <c r="KW39" s="37"/>
      <c r="KX39" s="128"/>
      <c r="KY39" s="128"/>
      <c r="KZ39" s="128"/>
      <c r="LA39" s="128"/>
      <c r="LB39" s="128"/>
      <c r="LC39" s="128"/>
      <c r="LD39" s="37"/>
      <c r="LE39" s="128"/>
      <c r="LF39" s="128"/>
      <c r="LG39" s="128"/>
      <c r="LH39" s="128"/>
      <c r="LI39" s="128"/>
      <c r="LJ39" s="128"/>
      <c r="LK39" s="37"/>
      <c r="LL39" s="128"/>
      <c r="LM39" s="128"/>
      <c r="LN39" s="128"/>
      <c r="LO39" s="128"/>
      <c r="LP39" s="128"/>
      <c r="LQ39" s="128"/>
      <c r="LR39" s="37"/>
      <c r="LS39" s="128"/>
      <c r="LT39" s="128"/>
      <c r="LU39" s="128"/>
      <c r="LV39" s="128"/>
      <c r="LW39" s="128"/>
      <c r="LX39" s="128"/>
      <c r="LY39" s="37"/>
      <c r="LZ39" s="128"/>
      <c r="MA39" s="128"/>
      <c r="MB39" s="128"/>
      <c r="MC39" s="128"/>
      <c r="MD39" s="128"/>
      <c r="ME39" s="128"/>
      <c r="MF39" s="37"/>
      <c r="MG39" s="128"/>
      <c r="MH39" s="128"/>
      <c r="MI39" s="128"/>
      <c r="MJ39" s="128"/>
      <c r="MK39" s="128"/>
      <c r="ML39" s="128"/>
      <c r="MM39" s="37"/>
      <c r="MN39" s="128"/>
      <c r="MO39" s="128"/>
      <c r="MP39" s="128"/>
      <c r="MQ39" s="128"/>
      <c r="MR39" s="128"/>
      <c r="MS39" s="128"/>
      <c r="MT39" s="37"/>
    </row>
    <row r="40" spans="1:358" ht="66" hidden="1" customHeight="1" x14ac:dyDescent="0.25">
      <c r="A40" s="19"/>
      <c r="B40" s="19"/>
      <c r="C40" s="19"/>
      <c r="D40" s="19"/>
      <c r="E40" s="9"/>
      <c r="F40" s="19"/>
      <c r="G40" s="19"/>
      <c r="H40" s="19"/>
      <c r="I40" s="19"/>
      <c r="J40" s="19"/>
      <c r="K40" s="19"/>
      <c r="L40" s="19"/>
      <c r="M40" s="19"/>
      <c r="N40" s="19"/>
      <c r="O40" s="9"/>
      <c r="P40" s="120" t="s">
        <v>408</v>
      </c>
      <c r="Q40" s="121" t="s">
        <v>408</v>
      </c>
      <c r="R40" s="122"/>
      <c r="S40" s="49">
        <f t="shared" ref="S40:AX40" si="334">S1</f>
        <v>43975</v>
      </c>
      <c r="T40" s="49">
        <f t="shared" si="334"/>
        <v>43976</v>
      </c>
      <c r="U40" s="49">
        <f t="shared" si="334"/>
        <v>43977</v>
      </c>
      <c r="V40" s="49">
        <f t="shared" si="334"/>
        <v>43978</v>
      </c>
      <c r="W40" s="49">
        <f t="shared" si="334"/>
        <v>43979</v>
      </c>
      <c r="X40" s="49">
        <f t="shared" si="334"/>
        <v>43980</v>
      </c>
      <c r="Y40" s="49">
        <f t="shared" si="334"/>
        <v>43981</v>
      </c>
      <c r="Z40" s="49">
        <f t="shared" si="334"/>
        <v>43982</v>
      </c>
      <c r="AA40" s="49">
        <f t="shared" si="334"/>
        <v>43983</v>
      </c>
      <c r="AB40" s="49">
        <f t="shared" si="334"/>
        <v>43984</v>
      </c>
      <c r="AC40" s="49">
        <f t="shared" si="334"/>
        <v>43985</v>
      </c>
      <c r="AD40" s="49">
        <f t="shared" si="334"/>
        <v>43986</v>
      </c>
      <c r="AE40" s="49">
        <f t="shared" si="334"/>
        <v>43987</v>
      </c>
      <c r="AF40" s="49">
        <f t="shared" si="334"/>
        <v>43988</v>
      </c>
      <c r="AG40" s="49">
        <f t="shared" si="334"/>
        <v>43989</v>
      </c>
      <c r="AH40" s="49">
        <f t="shared" si="334"/>
        <v>43990</v>
      </c>
      <c r="AI40" s="49">
        <f t="shared" si="334"/>
        <v>43991</v>
      </c>
      <c r="AJ40" s="49">
        <f t="shared" si="334"/>
        <v>43992</v>
      </c>
      <c r="AK40" s="49">
        <f t="shared" si="334"/>
        <v>43993</v>
      </c>
      <c r="AL40" s="49">
        <f t="shared" si="334"/>
        <v>43994</v>
      </c>
      <c r="AM40" s="49">
        <f t="shared" si="334"/>
        <v>43995</v>
      </c>
      <c r="AN40" s="49">
        <f t="shared" si="334"/>
        <v>43996</v>
      </c>
      <c r="AO40" s="49">
        <f t="shared" si="334"/>
        <v>43997</v>
      </c>
      <c r="AP40" s="49">
        <f t="shared" si="334"/>
        <v>43998</v>
      </c>
      <c r="AQ40" s="49">
        <f t="shared" si="334"/>
        <v>43999</v>
      </c>
      <c r="AR40" s="49">
        <f t="shared" si="334"/>
        <v>44000</v>
      </c>
      <c r="AS40" s="49">
        <f t="shared" si="334"/>
        <v>44001</v>
      </c>
      <c r="AT40" s="49">
        <f t="shared" si="334"/>
        <v>44002</v>
      </c>
      <c r="AU40" s="49">
        <f t="shared" si="334"/>
        <v>44003</v>
      </c>
      <c r="AV40" s="49">
        <f t="shared" si="334"/>
        <v>44004</v>
      </c>
      <c r="AW40" s="49">
        <f t="shared" si="334"/>
        <v>44005</v>
      </c>
      <c r="AX40" s="49">
        <f t="shared" si="334"/>
        <v>44006</v>
      </c>
      <c r="AY40" s="49">
        <f t="shared" ref="AY40:BW40" si="335">AY1</f>
        <v>44007</v>
      </c>
      <c r="AZ40" s="49">
        <f t="shared" si="335"/>
        <v>44008</v>
      </c>
      <c r="BA40" s="49">
        <f t="shared" si="335"/>
        <v>44009</v>
      </c>
      <c r="BB40" s="49">
        <f t="shared" si="335"/>
        <v>44010</v>
      </c>
      <c r="BC40" s="49">
        <f t="shared" si="335"/>
        <v>44011</v>
      </c>
      <c r="BD40" s="49">
        <f t="shared" si="335"/>
        <v>44012</v>
      </c>
      <c r="BE40" s="49">
        <f t="shared" si="335"/>
        <v>44013</v>
      </c>
      <c r="BF40" s="49">
        <f t="shared" si="335"/>
        <v>44014</v>
      </c>
      <c r="BG40" s="49">
        <f t="shared" si="335"/>
        <v>44015</v>
      </c>
      <c r="BH40" s="49">
        <f t="shared" si="335"/>
        <v>44016</v>
      </c>
      <c r="BI40" s="49">
        <f t="shared" si="335"/>
        <v>44017</v>
      </c>
      <c r="BJ40" s="49">
        <f t="shared" si="335"/>
        <v>44018</v>
      </c>
      <c r="BK40" s="49">
        <f t="shared" si="335"/>
        <v>44019</v>
      </c>
      <c r="BL40" s="49">
        <f t="shared" si="335"/>
        <v>44020</v>
      </c>
      <c r="BM40" s="49">
        <f t="shared" si="335"/>
        <v>44021</v>
      </c>
      <c r="BN40" s="49">
        <f t="shared" si="335"/>
        <v>44022</v>
      </c>
      <c r="BO40" s="49">
        <f t="shared" si="335"/>
        <v>44023</v>
      </c>
      <c r="BP40" s="49">
        <f t="shared" si="335"/>
        <v>44024</v>
      </c>
      <c r="BQ40" s="49">
        <f t="shared" si="335"/>
        <v>44025</v>
      </c>
      <c r="BR40" s="49">
        <f t="shared" si="335"/>
        <v>44026</v>
      </c>
      <c r="BS40" s="49">
        <f t="shared" si="335"/>
        <v>44027</v>
      </c>
      <c r="BT40" s="49">
        <f t="shared" si="335"/>
        <v>44028</v>
      </c>
      <c r="BU40" s="49">
        <f t="shared" si="335"/>
        <v>44029</v>
      </c>
      <c r="BV40" s="49">
        <f t="shared" si="335"/>
        <v>44030</v>
      </c>
      <c r="BW40" s="49">
        <f t="shared" si="335"/>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6">DS1</f>
        <v>44067</v>
      </c>
      <c r="DT40" s="49">
        <f t="shared" si="336"/>
        <v>44068</v>
      </c>
      <c r="DU40" s="49">
        <f t="shared" si="336"/>
        <v>44069</v>
      </c>
      <c r="DV40" s="49">
        <f t="shared" si="336"/>
        <v>44070</v>
      </c>
      <c r="DW40" s="49">
        <f t="shared" si="336"/>
        <v>44071</v>
      </c>
      <c r="DX40" s="49">
        <f t="shared" si="336"/>
        <v>44072</v>
      </c>
      <c r="DY40" s="49">
        <f t="shared" si="336"/>
        <v>44073</v>
      </c>
      <c r="DZ40" s="49"/>
      <c r="EA40" s="49"/>
      <c r="EB40" s="49">
        <f t="shared" ref="EB40:EH40" si="337">EB1</f>
        <v>44074</v>
      </c>
      <c r="EC40" s="49">
        <f t="shared" si="337"/>
        <v>44075</v>
      </c>
      <c r="ED40" s="49">
        <f t="shared" si="337"/>
        <v>44076</v>
      </c>
      <c r="EE40" s="49">
        <f t="shared" si="337"/>
        <v>44077</v>
      </c>
      <c r="EF40" s="49">
        <f t="shared" si="337"/>
        <v>44078</v>
      </c>
      <c r="EG40" s="49">
        <f t="shared" si="337"/>
        <v>44079</v>
      </c>
      <c r="EH40" s="49">
        <f t="shared" si="337"/>
        <v>44080</v>
      </c>
      <c r="EI40" s="49"/>
      <c r="EJ40" s="49"/>
      <c r="EK40" s="49">
        <f t="shared" ref="EK40:EQ40" si="338">EK1</f>
        <v>44081</v>
      </c>
      <c r="EL40" s="49">
        <f t="shared" si="338"/>
        <v>44082</v>
      </c>
      <c r="EM40" s="49">
        <f t="shared" si="338"/>
        <v>44083</v>
      </c>
      <c r="EN40" s="49">
        <f t="shared" si="338"/>
        <v>44084</v>
      </c>
      <c r="EO40" s="49">
        <f t="shared" si="338"/>
        <v>44085</v>
      </c>
      <c r="EP40" s="49">
        <f t="shared" si="338"/>
        <v>44086</v>
      </c>
      <c r="EQ40" s="49">
        <f t="shared" si="338"/>
        <v>44087</v>
      </c>
      <c r="ER40" s="49"/>
      <c r="ES40" s="49"/>
      <c r="ET40" s="49">
        <f t="shared" ref="ET40:EZ40" si="339">ET1</f>
        <v>44088</v>
      </c>
      <c r="EU40" s="49">
        <f t="shared" si="339"/>
        <v>44089</v>
      </c>
      <c r="EV40" s="49">
        <f t="shared" si="339"/>
        <v>44090</v>
      </c>
      <c r="EW40" s="49">
        <f t="shared" si="339"/>
        <v>44091</v>
      </c>
      <c r="EX40" s="49">
        <f t="shared" si="339"/>
        <v>44092</v>
      </c>
      <c r="EY40" s="49">
        <f t="shared" si="339"/>
        <v>44093</v>
      </c>
      <c r="EZ40" s="49">
        <f t="shared" si="339"/>
        <v>44094</v>
      </c>
      <c r="FA40" s="49"/>
      <c r="FB40" s="49"/>
      <c r="FC40" s="49">
        <f t="shared" ref="FC40:FI40" si="340">FC1</f>
        <v>44095</v>
      </c>
      <c r="FD40" s="49">
        <f t="shared" si="340"/>
        <v>44096</v>
      </c>
      <c r="FE40" s="49">
        <f t="shared" si="340"/>
        <v>44097</v>
      </c>
      <c r="FF40" s="49">
        <f t="shared" si="340"/>
        <v>44098</v>
      </c>
      <c r="FG40" s="49">
        <f t="shared" si="340"/>
        <v>44099</v>
      </c>
      <c r="FH40" s="49">
        <f t="shared" si="340"/>
        <v>44100</v>
      </c>
      <c r="FI40" s="49">
        <f t="shared" si="340"/>
        <v>44101</v>
      </c>
      <c r="FJ40" s="49"/>
      <c r="FK40" s="49"/>
      <c r="FL40" s="49">
        <f t="shared" ref="FL40:GS40" si="341">FL1</f>
        <v>44102</v>
      </c>
      <c r="FM40" s="49">
        <f t="shared" si="341"/>
        <v>44103</v>
      </c>
      <c r="FN40" s="49">
        <f t="shared" si="341"/>
        <v>44104</v>
      </c>
      <c r="FO40" s="49">
        <f t="shared" si="341"/>
        <v>44105</v>
      </c>
      <c r="FP40" s="49">
        <f t="shared" si="341"/>
        <v>44106</v>
      </c>
      <c r="FQ40" s="49">
        <f t="shared" si="341"/>
        <v>44107</v>
      </c>
      <c r="FR40" s="49">
        <f t="shared" si="341"/>
        <v>44108</v>
      </c>
      <c r="FS40" s="49"/>
      <c r="FT40" s="49"/>
      <c r="FU40" s="49">
        <f t="shared" si="341"/>
        <v>44109</v>
      </c>
      <c r="FV40" s="49">
        <f t="shared" si="341"/>
        <v>44110</v>
      </c>
      <c r="FW40" s="49">
        <f t="shared" si="341"/>
        <v>44111</v>
      </c>
      <c r="FX40" s="49">
        <f t="shared" si="341"/>
        <v>44112</v>
      </c>
      <c r="FY40" s="49">
        <f t="shared" si="341"/>
        <v>44113</v>
      </c>
      <c r="FZ40" s="49">
        <f t="shared" si="341"/>
        <v>44114</v>
      </c>
      <c r="GA40" s="49">
        <f t="shared" si="341"/>
        <v>44115</v>
      </c>
      <c r="GB40" s="49">
        <f t="shared" si="341"/>
        <v>44116</v>
      </c>
      <c r="GC40" s="49">
        <f t="shared" si="341"/>
        <v>44117</v>
      </c>
      <c r="GD40" s="49">
        <f t="shared" si="341"/>
        <v>44118</v>
      </c>
      <c r="GE40" s="49">
        <f t="shared" si="341"/>
        <v>44119</v>
      </c>
      <c r="GF40" s="49">
        <f t="shared" si="341"/>
        <v>44120</v>
      </c>
      <c r="GG40" s="49">
        <f t="shared" si="341"/>
        <v>44121</v>
      </c>
      <c r="GH40" s="49">
        <f t="shared" si="341"/>
        <v>44122</v>
      </c>
      <c r="GI40" s="49">
        <f t="shared" si="341"/>
        <v>44123</v>
      </c>
      <c r="GJ40" s="49">
        <f t="shared" si="341"/>
        <v>44124</v>
      </c>
      <c r="GK40" s="49">
        <f t="shared" si="341"/>
        <v>44125</v>
      </c>
      <c r="GL40" s="49">
        <f t="shared" si="341"/>
        <v>44126</v>
      </c>
      <c r="GM40" s="49">
        <f t="shared" si="341"/>
        <v>44127</v>
      </c>
      <c r="GN40" s="49">
        <f t="shared" si="341"/>
        <v>44128</v>
      </c>
      <c r="GO40" s="49">
        <f t="shared" si="341"/>
        <v>44129</v>
      </c>
      <c r="GP40" s="49">
        <f t="shared" si="341"/>
        <v>44130</v>
      </c>
      <c r="GQ40" s="49">
        <f t="shared" si="341"/>
        <v>44131</v>
      </c>
      <c r="GR40" s="49">
        <f t="shared" si="341"/>
        <v>44132</v>
      </c>
      <c r="GS40" s="49">
        <f t="shared" si="341"/>
        <v>44133</v>
      </c>
      <c r="GT40" s="49">
        <f t="shared" ref="GT40:HY40" si="342">GT1</f>
        <v>44134</v>
      </c>
      <c r="GU40" s="49">
        <f t="shared" si="342"/>
        <v>44135</v>
      </c>
      <c r="GV40" s="49">
        <f t="shared" si="342"/>
        <v>44136</v>
      </c>
      <c r="GW40" s="49">
        <f t="shared" si="342"/>
        <v>44137</v>
      </c>
      <c r="GX40" s="49">
        <f t="shared" si="342"/>
        <v>44138</v>
      </c>
      <c r="GY40" s="49">
        <f t="shared" si="342"/>
        <v>44139</v>
      </c>
      <c r="GZ40" s="49">
        <f t="shared" si="342"/>
        <v>44140</v>
      </c>
      <c r="HA40" s="49">
        <f t="shared" si="342"/>
        <v>44141</v>
      </c>
      <c r="HB40" s="49">
        <f t="shared" si="342"/>
        <v>44142</v>
      </c>
      <c r="HC40" s="49">
        <f t="shared" si="342"/>
        <v>44143</v>
      </c>
      <c r="HD40" s="49">
        <f t="shared" si="342"/>
        <v>44144</v>
      </c>
      <c r="HE40" s="49">
        <f t="shared" si="342"/>
        <v>44145</v>
      </c>
      <c r="HF40" s="49">
        <f t="shared" si="342"/>
        <v>44146</v>
      </c>
      <c r="HG40" s="49">
        <f t="shared" si="342"/>
        <v>44147</v>
      </c>
      <c r="HH40" s="49">
        <f t="shared" si="342"/>
        <v>44148</v>
      </c>
      <c r="HI40" s="49">
        <f t="shared" si="342"/>
        <v>44149</v>
      </c>
      <c r="HJ40" s="49">
        <f t="shared" si="342"/>
        <v>44150</v>
      </c>
      <c r="HK40" s="49">
        <f t="shared" si="342"/>
        <v>44151</v>
      </c>
      <c r="HL40" s="49">
        <f t="shared" si="342"/>
        <v>44152</v>
      </c>
      <c r="HM40" s="49">
        <f t="shared" si="342"/>
        <v>44153</v>
      </c>
      <c r="HN40" s="49">
        <f t="shared" si="342"/>
        <v>44154</v>
      </c>
      <c r="HO40" s="49">
        <f t="shared" si="342"/>
        <v>44155</v>
      </c>
      <c r="HP40" s="49">
        <f t="shared" si="342"/>
        <v>44156</v>
      </c>
      <c r="HQ40" s="49">
        <f t="shared" si="342"/>
        <v>44157</v>
      </c>
      <c r="HR40" s="49">
        <f t="shared" si="342"/>
        <v>44158</v>
      </c>
      <c r="HS40" s="49">
        <f t="shared" si="342"/>
        <v>44159</v>
      </c>
      <c r="HT40" s="49">
        <f t="shared" si="342"/>
        <v>44160</v>
      </c>
      <c r="HU40" s="49">
        <f t="shared" si="342"/>
        <v>44161</v>
      </c>
      <c r="HV40" s="49">
        <f t="shared" si="342"/>
        <v>44162</v>
      </c>
      <c r="HW40" s="49">
        <f t="shared" si="342"/>
        <v>44163</v>
      </c>
      <c r="HX40" s="49">
        <f t="shared" si="342"/>
        <v>44164</v>
      </c>
      <c r="HY40" s="49">
        <f t="shared" si="342"/>
        <v>44165</v>
      </c>
      <c r="HZ40" s="49">
        <f t="shared" ref="HZ40:JE40" si="343">HZ1</f>
        <v>44166</v>
      </c>
      <c r="IA40" s="49">
        <f t="shared" si="343"/>
        <v>44167</v>
      </c>
      <c r="IB40" s="49">
        <f t="shared" si="343"/>
        <v>44168</v>
      </c>
      <c r="IC40" s="49">
        <f t="shared" si="343"/>
        <v>44169</v>
      </c>
      <c r="ID40" s="49">
        <f t="shared" si="343"/>
        <v>44170</v>
      </c>
      <c r="IE40" s="49">
        <f t="shared" si="343"/>
        <v>44171</v>
      </c>
      <c r="IF40" s="49">
        <f t="shared" si="343"/>
        <v>44172</v>
      </c>
      <c r="IG40" s="49">
        <f t="shared" si="343"/>
        <v>44173</v>
      </c>
      <c r="IH40" s="49">
        <f t="shared" si="343"/>
        <v>44174</v>
      </c>
      <c r="II40" s="49">
        <f t="shared" si="343"/>
        <v>44175</v>
      </c>
      <c r="IJ40" s="49">
        <f t="shared" si="343"/>
        <v>44176</v>
      </c>
      <c r="IK40" s="49">
        <f t="shared" si="343"/>
        <v>44177</v>
      </c>
      <c r="IL40" s="49">
        <f t="shared" si="343"/>
        <v>44178</v>
      </c>
      <c r="IM40" s="49">
        <f t="shared" si="343"/>
        <v>44179</v>
      </c>
      <c r="IN40" s="49">
        <f t="shared" si="343"/>
        <v>44180</v>
      </c>
      <c r="IO40" s="49">
        <f t="shared" si="343"/>
        <v>44181</v>
      </c>
      <c r="IP40" s="49">
        <f t="shared" si="343"/>
        <v>44182</v>
      </c>
      <c r="IQ40" s="49">
        <f t="shared" si="343"/>
        <v>44183</v>
      </c>
      <c r="IR40" s="49">
        <f t="shared" si="343"/>
        <v>44184</v>
      </c>
      <c r="IS40" s="49">
        <f t="shared" si="343"/>
        <v>44185</v>
      </c>
      <c r="IT40" s="49">
        <f t="shared" si="343"/>
        <v>44186</v>
      </c>
      <c r="IU40" s="49">
        <f t="shared" si="343"/>
        <v>44187</v>
      </c>
      <c r="IV40" s="49">
        <f t="shared" si="343"/>
        <v>44188</v>
      </c>
      <c r="IW40" s="49">
        <f t="shared" si="343"/>
        <v>44189</v>
      </c>
      <c r="IX40" s="49">
        <f t="shared" si="343"/>
        <v>44190</v>
      </c>
      <c r="IY40" s="49">
        <f t="shared" si="343"/>
        <v>44191</v>
      </c>
      <c r="IZ40" s="49">
        <f t="shared" si="343"/>
        <v>44192</v>
      </c>
      <c r="JA40" s="49">
        <f t="shared" si="343"/>
        <v>44193</v>
      </c>
      <c r="JB40" s="49">
        <f t="shared" si="343"/>
        <v>44194</v>
      </c>
      <c r="JC40" s="49">
        <f t="shared" si="343"/>
        <v>44195</v>
      </c>
      <c r="JD40" s="49">
        <f t="shared" si="343"/>
        <v>44196</v>
      </c>
      <c r="JE40" s="49">
        <f t="shared" si="343"/>
        <v>44197</v>
      </c>
      <c r="JF40" s="49">
        <f t="shared" ref="JF40:KK40" si="344">JF1</f>
        <v>44198</v>
      </c>
      <c r="JG40" s="49">
        <f t="shared" si="344"/>
        <v>44199</v>
      </c>
      <c r="JH40" s="49">
        <f t="shared" si="344"/>
        <v>44200</v>
      </c>
      <c r="JI40" s="49">
        <f t="shared" si="344"/>
        <v>44201</v>
      </c>
      <c r="JJ40" s="49">
        <f t="shared" si="344"/>
        <v>44202</v>
      </c>
      <c r="JK40" s="49">
        <f t="shared" si="344"/>
        <v>44203</v>
      </c>
      <c r="JL40" s="49">
        <f t="shared" si="344"/>
        <v>44204</v>
      </c>
      <c r="JM40" s="49">
        <f t="shared" si="344"/>
        <v>44205</v>
      </c>
      <c r="JN40" s="49">
        <f t="shared" si="344"/>
        <v>44206</v>
      </c>
      <c r="JO40" s="49">
        <f t="shared" si="344"/>
        <v>44207</v>
      </c>
      <c r="JP40" s="49">
        <f t="shared" si="344"/>
        <v>44208</v>
      </c>
      <c r="JQ40" s="49">
        <f t="shared" si="344"/>
        <v>44209</v>
      </c>
      <c r="JR40" s="49">
        <f t="shared" si="344"/>
        <v>44210</v>
      </c>
      <c r="JS40" s="49">
        <f t="shared" si="344"/>
        <v>44211</v>
      </c>
      <c r="JT40" s="49">
        <f t="shared" si="344"/>
        <v>44212</v>
      </c>
      <c r="JU40" s="49">
        <f t="shared" si="344"/>
        <v>44213</v>
      </c>
      <c r="JV40" s="49">
        <f t="shared" si="344"/>
        <v>44214</v>
      </c>
      <c r="JW40" s="49">
        <f t="shared" si="344"/>
        <v>44215</v>
      </c>
      <c r="JX40" s="49">
        <f t="shared" si="344"/>
        <v>44216</v>
      </c>
      <c r="JY40" s="49">
        <f t="shared" si="344"/>
        <v>44217</v>
      </c>
      <c r="JZ40" s="49">
        <f t="shared" si="344"/>
        <v>44218</v>
      </c>
      <c r="KA40" s="49">
        <f t="shared" si="344"/>
        <v>44219</v>
      </c>
      <c r="KB40" s="49">
        <f t="shared" si="344"/>
        <v>44220</v>
      </c>
      <c r="KC40" s="49">
        <f t="shared" si="344"/>
        <v>44221</v>
      </c>
      <c r="KD40" s="49">
        <f t="shared" si="344"/>
        <v>44222</v>
      </c>
      <c r="KE40" s="49">
        <f t="shared" si="344"/>
        <v>44223</v>
      </c>
      <c r="KF40" s="49">
        <f t="shared" si="344"/>
        <v>44224</v>
      </c>
      <c r="KG40" s="49">
        <f t="shared" si="344"/>
        <v>44225</v>
      </c>
      <c r="KH40" s="49">
        <f t="shared" si="344"/>
        <v>44226</v>
      </c>
      <c r="KI40" s="49">
        <f t="shared" si="344"/>
        <v>44227</v>
      </c>
      <c r="KJ40" s="49">
        <f t="shared" si="344"/>
        <v>44228</v>
      </c>
      <c r="KK40" s="49">
        <f t="shared" si="344"/>
        <v>44229</v>
      </c>
      <c r="KL40" s="49">
        <f t="shared" ref="KL40:LQ40" si="345">KL1</f>
        <v>44230</v>
      </c>
      <c r="KM40" s="49">
        <f t="shared" si="345"/>
        <v>44231</v>
      </c>
      <c r="KN40" s="49">
        <f t="shared" si="345"/>
        <v>44232</v>
      </c>
      <c r="KO40" s="49">
        <f t="shared" si="345"/>
        <v>44233</v>
      </c>
      <c r="KP40" s="49">
        <f t="shared" si="345"/>
        <v>44234</v>
      </c>
      <c r="KQ40" s="49">
        <f t="shared" si="345"/>
        <v>44235</v>
      </c>
      <c r="KR40" s="49">
        <f t="shared" si="345"/>
        <v>44236</v>
      </c>
      <c r="KS40" s="49">
        <f t="shared" si="345"/>
        <v>44237</v>
      </c>
      <c r="KT40" s="49">
        <f t="shared" si="345"/>
        <v>44238</v>
      </c>
      <c r="KU40" s="49">
        <f t="shared" si="345"/>
        <v>44239</v>
      </c>
      <c r="KV40" s="49">
        <f t="shared" si="345"/>
        <v>44240</v>
      </c>
      <c r="KW40" s="49">
        <f t="shared" si="345"/>
        <v>44241</v>
      </c>
      <c r="KX40" s="49">
        <f t="shared" si="345"/>
        <v>44242</v>
      </c>
      <c r="KY40" s="49">
        <f t="shared" si="345"/>
        <v>44243</v>
      </c>
      <c r="KZ40" s="49">
        <f t="shared" si="345"/>
        <v>44244</v>
      </c>
      <c r="LA40" s="49">
        <f t="shared" si="345"/>
        <v>44245</v>
      </c>
      <c r="LB40" s="49">
        <f t="shared" si="345"/>
        <v>44246</v>
      </c>
      <c r="LC40" s="49">
        <f t="shared" si="345"/>
        <v>44247</v>
      </c>
      <c r="LD40" s="49">
        <f t="shared" si="345"/>
        <v>44248</v>
      </c>
      <c r="LE40" s="49">
        <f t="shared" si="345"/>
        <v>44249</v>
      </c>
      <c r="LF40" s="49">
        <f t="shared" si="345"/>
        <v>44250</v>
      </c>
      <c r="LG40" s="49">
        <f t="shared" si="345"/>
        <v>44251</v>
      </c>
      <c r="LH40" s="49">
        <f t="shared" si="345"/>
        <v>44252</v>
      </c>
      <c r="LI40" s="49">
        <f t="shared" si="345"/>
        <v>44253</v>
      </c>
      <c r="LJ40" s="49">
        <f t="shared" si="345"/>
        <v>44254</v>
      </c>
      <c r="LK40" s="49">
        <f t="shared" si="345"/>
        <v>44255</v>
      </c>
      <c r="LL40" s="49">
        <f t="shared" si="345"/>
        <v>44256</v>
      </c>
      <c r="LM40" s="49">
        <f t="shared" si="345"/>
        <v>44257</v>
      </c>
      <c r="LN40" s="49">
        <f t="shared" si="345"/>
        <v>44258</v>
      </c>
      <c r="LO40" s="49">
        <f t="shared" si="345"/>
        <v>44259</v>
      </c>
      <c r="LP40" s="49">
        <f t="shared" si="345"/>
        <v>44260</v>
      </c>
      <c r="LQ40" s="49">
        <f t="shared" si="345"/>
        <v>44261</v>
      </c>
      <c r="LR40" s="49">
        <f t="shared" ref="LR40:MT40" si="346">LR1</f>
        <v>44262</v>
      </c>
      <c r="LS40" s="49">
        <f t="shared" si="346"/>
        <v>44263</v>
      </c>
      <c r="LT40" s="49">
        <f t="shared" si="346"/>
        <v>44264</v>
      </c>
      <c r="LU40" s="49">
        <f t="shared" si="346"/>
        <v>44265</v>
      </c>
      <c r="LV40" s="49">
        <f t="shared" si="346"/>
        <v>44266</v>
      </c>
      <c r="LW40" s="49">
        <f t="shared" si="346"/>
        <v>44267</v>
      </c>
      <c r="LX40" s="49">
        <f t="shared" si="346"/>
        <v>44268</v>
      </c>
      <c r="LY40" s="49">
        <f t="shared" si="346"/>
        <v>44269</v>
      </c>
      <c r="LZ40" s="49">
        <f t="shared" si="346"/>
        <v>44270</v>
      </c>
      <c r="MA40" s="49">
        <f t="shared" si="346"/>
        <v>44271</v>
      </c>
      <c r="MB40" s="49">
        <f t="shared" si="346"/>
        <v>44272</v>
      </c>
      <c r="MC40" s="49">
        <f t="shared" si="346"/>
        <v>44273</v>
      </c>
      <c r="MD40" s="49">
        <f t="shared" si="346"/>
        <v>44274</v>
      </c>
      <c r="ME40" s="49">
        <f t="shared" si="346"/>
        <v>44275</v>
      </c>
      <c r="MF40" s="49">
        <f t="shared" si="346"/>
        <v>44276</v>
      </c>
      <c r="MG40" s="49">
        <f t="shared" si="346"/>
        <v>44277</v>
      </c>
      <c r="MH40" s="49">
        <f t="shared" si="346"/>
        <v>44278</v>
      </c>
      <c r="MI40" s="49">
        <f t="shared" si="346"/>
        <v>44279</v>
      </c>
      <c r="MJ40" s="49">
        <f t="shared" si="346"/>
        <v>44280</v>
      </c>
      <c r="MK40" s="49">
        <f t="shared" si="346"/>
        <v>44281</v>
      </c>
      <c r="ML40" s="49">
        <f t="shared" si="346"/>
        <v>44282</v>
      </c>
      <c r="MM40" s="49">
        <f t="shared" si="346"/>
        <v>44283</v>
      </c>
      <c r="MN40" s="49">
        <f t="shared" si="346"/>
        <v>44284</v>
      </c>
      <c r="MO40" s="49">
        <f t="shared" si="346"/>
        <v>44285</v>
      </c>
      <c r="MP40" s="49">
        <f t="shared" si="346"/>
        <v>44286</v>
      </c>
      <c r="MQ40" s="49">
        <f t="shared" si="346"/>
        <v>44287</v>
      </c>
      <c r="MR40" s="49">
        <f t="shared" si="346"/>
        <v>44288</v>
      </c>
      <c r="MS40" s="49">
        <f t="shared" si="346"/>
        <v>44289</v>
      </c>
      <c r="MT40" s="49">
        <f t="shared" si="346"/>
        <v>44290</v>
      </c>
    </row>
    <row r="41" spans="1:358"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7">T40</f>
        <v>43976</v>
      </c>
      <c r="U41" s="54">
        <f t="shared" si="347"/>
        <v>43977</v>
      </c>
      <c r="V41" s="54">
        <f t="shared" si="347"/>
        <v>43978</v>
      </c>
      <c r="W41" s="54">
        <f t="shared" si="347"/>
        <v>43979</v>
      </c>
      <c r="X41" s="54">
        <f t="shared" si="347"/>
        <v>43980</v>
      </c>
      <c r="Y41" s="54">
        <f t="shared" si="347"/>
        <v>43981</v>
      </c>
      <c r="Z41" s="53">
        <f t="shared" si="347"/>
        <v>43982</v>
      </c>
      <c r="AA41" s="54">
        <f t="shared" si="347"/>
        <v>43983</v>
      </c>
      <c r="AB41" s="54">
        <f t="shared" si="347"/>
        <v>43984</v>
      </c>
      <c r="AC41" s="54">
        <f t="shared" si="347"/>
        <v>43985</v>
      </c>
      <c r="AD41" s="54">
        <f t="shared" si="347"/>
        <v>43986</v>
      </c>
      <c r="AE41" s="54">
        <f t="shared" si="347"/>
        <v>43987</v>
      </c>
      <c r="AF41" s="54">
        <f t="shared" si="347"/>
        <v>43988</v>
      </c>
      <c r="AG41" s="53">
        <f t="shared" si="347"/>
        <v>43989</v>
      </c>
      <c r="AH41" s="54">
        <f t="shared" si="347"/>
        <v>43990</v>
      </c>
      <c r="AI41" s="54">
        <f t="shared" si="347"/>
        <v>43991</v>
      </c>
      <c r="AJ41" s="54">
        <f t="shared" si="347"/>
        <v>43992</v>
      </c>
      <c r="AK41" s="54">
        <f t="shared" si="347"/>
        <v>43993</v>
      </c>
      <c r="AL41" s="54">
        <f t="shared" si="347"/>
        <v>43994</v>
      </c>
      <c r="AM41" s="54">
        <f t="shared" si="347"/>
        <v>43995</v>
      </c>
      <c r="AN41" s="53">
        <f t="shared" si="347"/>
        <v>43996</v>
      </c>
      <c r="AO41" s="54">
        <f t="shared" si="347"/>
        <v>43997</v>
      </c>
      <c r="AP41" s="54">
        <f t="shared" si="347"/>
        <v>43998</v>
      </c>
      <c r="AQ41" s="54">
        <f t="shared" si="347"/>
        <v>43999</v>
      </c>
      <c r="AR41" s="54">
        <f t="shared" si="347"/>
        <v>44000</v>
      </c>
      <c r="AS41" s="54">
        <f t="shared" si="347"/>
        <v>44001</v>
      </c>
      <c r="AT41" s="54">
        <f t="shared" si="347"/>
        <v>44002</v>
      </c>
      <c r="AU41" s="53">
        <f t="shared" si="347"/>
        <v>44003</v>
      </c>
      <c r="AV41" s="54">
        <f t="shared" si="347"/>
        <v>44004</v>
      </c>
      <c r="AW41" s="54">
        <f t="shared" si="347"/>
        <v>44005</v>
      </c>
      <c r="AX41" s="54">
        <f t="shared" si="347"/>
        <v>44006</v>
      </c>
      <c r="AY41" s="54">
        <f t="shared" si="347"/>
        <v>44007</v>
      </c>
      <c r="AZ41" s="54">
        <f t="shared" si="347"/>
        <v>44008</v>
      </c>
      <c r="BA41" s="54">
        <f t="shared" si="347"/>
        <v>44009</v>
      </c>
      <c r="BB41" s="53">
        <f t="shared" si="347"/>
        <v>44010</v>
      </c>
      <c r="BC41" s="54">
        <f t="shared" si="347"/>
        <v>44011</v>
      </c>
      <c r="BD41" s="54">
        <f t="shared" si="347"/>
        <v>44012</v>
      </c>
      <c r="BE41" s="54">
        <f t="shared" si="347"/>
        <v>44013</v>
      </c>
      <c r="BF41" s="54">
        <f t="shared" si="347"/>
        <v>44014</v>
      </c>
      <c r="BG41" s="54">
        <f t="shared" si="347"/>
        <v>44015</v>
      </c>
      <c r="BH41" s="54">
        <f t="shared" si="347"/>
        <v>44016</v>
      </c>
      <c r="BI41" s="53">
        <f t="shared" si="347"/>
        <v>44017</v>
      </c>
      <c r="BJ41" s="54">
        <f t="shared" si="347"/>
        <v>44018</v>
      </c>
      <c r="BK41" s="54">
        <f t="shared" si="347"/>
        <v>44019</v>
      </c>
      <c r="BL41" s="54">
        <f t="shared" si="347"/>
        <v>44020</v>
      </c>
      <c r="BM41" s="54">
        <f t="shared" si="347"/>
        <v>44021</v>
      </c>
      <c r="BN41" s="54">
        <f t="shared" si="347"/>
        <v>44022</v>
      </c>
      <c r="BO41" s="54">
        <f t="shared" si="347"/>
        <v>44023</v>
      </c>
      <c r="BP41" s="53">
        <v>12</v>
      </c>
      <c r="BQ41" s="54">
        <f t="shared" si="347"/>
        <v>44025</v>
      </c>
      <c r="BR41" s="54">
        <f t="shared" si="347"/>
        <v>44026</v>
      </c>
      <c r="BS41" s="54">
        <f t="shared" si="347"/>
        <v>44027</v>
      </c>
      <c r="BT41" s="54">
        <f t="shared" si="347"/>
        <v>44028</v>
      </c>
      <c r="BU41" s="54">
        <f t="shared" si="347"/>
        <v>44029</v>
      </c>
      <c r="BV41" s="54">
        <f t="shared" si="347"/>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8">DS40</f>
        <v>44067</v>
      </c>
      <c r="DT41" s="54">
        <f t="shared" si="348"/>
        <v>44068</v>
      </c>
      <c r="DU41" s="54">
        <f t="shared" si="348"/>
        <v>44069</v>
      </c>
      <c r="DV41" s="54">
        <f t="shared" si="348"/>
        <v>44070</v>
      </c>
      <c r="DW41" s="54">
        <f t="shared" si="348"/>
        <v>44071</v>
      </c>
      <c r="DX41" s="54">
        <f t="shared" ref="DX41:DY41" si="349">DX40</f>
        <v>44072</v>
      </c>
      <c r="DY41" s="54">
        <f t="shared" si="349"/>
        <v>44073</v>
      </c>
      <c r="DZ41" s="54"/>
      <c r="EA41" s="53"/>
      <c r="EB41" s="54">
        <f t="shared" si="348"/>
        <v>44074</v>
      </c>
      <c r="EC41" s="54">
        <f t="shared" si="348"/>
        <v>44075</v>
      </c>
      <c r="ED41" s="54">
        <f t="shared" si="348"/>
        <v>44076</v>
      </c>
      <c r="EE41" s="54">
        <f t="shared" si="348"/>
        <v>44077</v>
      </c>
      <c r="EF41" s="54">
        <f t="shared" si="348"/>
        <v>44078</v>
      </c>
      <c r="EG41" s="54">
        <f t="shared" si="348"/>
        <v>44079</v>
      </c>
      <c r="EH41" s="54">
        <f t="shared" si="348"/>
        <v>44080</v>
      </c>
      <c r="EI41" s="54"/>
      <c r="EJ41" s="53"/>
      <c r="EK41" s="54">
        <f t="shared" si="348"/>
        <v>44081</v>
      </c>
      <c r="EL41" s="54">
        <f t="shared" si="348"/>
        <v>44082</v>
      </c>
      <c r="EM41" s="54">
        <f t="shared" si="348"/>
        <v>44083</v>
      </c>
      <c r="EN41" s="54">
        <f t="shared" si="348"/>
        <v>44084</v>
      </c>
      <c r="EO41" s="54">
        <f t="shared" si="348"/>
        <v>44085</v>
      </c>
      <c r="EP41" s="54">
        <f t="shared" si="348"/>
        <v>44086</v>
      </c>
      <c r="EQ41" s="54">
        <f t="shared" si="348"/>
        <v>44087</v>
      </c>
      <c r="ER41" s="54"/>
      <c r="ES41" s="53"/>
      <c r="ET41" s="54">
        <f t="shared" si="348"/>
        <v>44088</v>
      </c>
      <c r="EU41" s="54">
        <f t="shared" si="348"/>
        <v>44089</v>
      </c>
      <c r="EV41" s="54">
        <f t="shared" si="348"/>
        <v>44090</v>
      </c>
      <c r="EW41" s="54">
        <f t="shared" si="348"/>
        <v>44091</v>
      </c>
      <c r="EX41" s="54">
        <f t="shared" si="348"/>
        <v>44092</v>
      </c>
      <c r="EY41" s="54">
        <f t="shared" si="348"/>
        <v>44093</v>
      </c>
      <c r="EZ41" s="54">
        <f t="shared" si="348"/>
        <v>44094</v>
      </c>
      <c r="FA41" s="54"/>
      <c r="FB41" s="53"/>
      <c r="FC41" s="54">
        <f t="shared" si="348"/>
        <v>44095</v>
      </c>
      <c r="FD41" s="54">
        <f t="shared" si="348"/>
        <v>44096</v>
      </c>
      <c r="FE41" s="54">
        <f t="shared" si="348"/>
        <v>44097</v>
      </c>
      <c r="FF41" s="54">
        <f t="shared" si="348"/>
        <v>44098</v>
      </c>
      <c r="FG41" s="54">
        <f t="shared" si="348"/>
        <v>44099</v>
      </c>
      <c r="FH41" s="54">
        <f t="shared" si="348"/>
        <v>44100</v>
      </c>
      <c r="FI41" s="54">
        <f t="shared" si="348"/>
        <v>44101</v>
      </c>
      <c r="FJ41" s="54"/>
      <c r="FK41" s="53"/>
      <c r="FL41" s="54">
        <f t="shared" si="348"/>
        <v>44102</v>
      </c>
      <c r="FM41" s="54">
        <f t="shared" ref="FM41:HZ41" si="350">FM40</f>
        <v>44103</v>
      </c>
      <c r="FN41" s="54">
        <f t="shared" si="350"/>
        <v>44104</v>
      </c>
      <c r="FO41" s="54">
        <f t="shared" si="350"/>
        <v>44105</v>
      </c>
      <c r="FP41" s="54">
        <f t="shared" si="350"/>
        <v>44106</v>
      </c>
      <c r="FQ41" s="54">
        <f t="shared" si="350"/>
        <v>44107</v>
      </c>
      <c r="FR41" s="54">
        <f t="shared" si="350"/>
        <v>44108</v>
      </c>
      <c r="FS41" s="54"/>
      <c r="FT41" s="53"/>
      <c r="FU41" s="54">
        <f t="shared" si="350"/>
        <v>44109</v>
      </c>
      <c r="FV41" s="54">
        <f t="shared" si="350"/>
        <v>44110</v>
      </c>
      <c r="FW41" s="54">
        <f t="shared" si="350"/>
        <v>44111</v>
      </c>
      <c r="FX41" s="54">
        <f t="shared" si="350"/>
        <v>44112</v>
      </c>
      <c r="FY41" s="54">
        <f t="shared" si="350"/>
        <v>44113</v>
      </c>
      <c r="FZ41" s="54">
        <f t="shared" si="350"/>
        <v>44114</v>
      </c>
      <c r="GA41" s="53">
        <f t="shared" si="350"/>
        <v>44115</v>
      </c>
      <c r="GB41" s="54">
        <f t="shared" si="350"/>
        <v>44116</v>
      </c>
      <c r="GC41" s="54">
        <f t="shared" si="350"/>
        <v>44117</v>
      </c>
      <c r="GD41" s="54">
        <f t="shared" si="350"/>
        <v>44118</v>
      </c>
      <c r="GE41" s="54">
        <f t="shared" si="350"/>
        <v>44119</v>
      </c>
      <c r="GF41" s="54">
        <f t="shared" si="350"/>
        <v>44120</v>
      </c>
      <c r="GG41" s="54">
        <f t="shared" si="350"/>
        <v>44121</v>
      </c>
      <c r="GH41" s="53">
        <f t="shared" si="350"/>
        <v>44122</v>
      </c>
      <c r="GI41" s="54">
        <f t="shared" si="350"/>
        <v>44123</v>
      </c>
      <c r="GJ41" s="54">
        <f t="shared" si="350"/>
        <v>44124</v>
      </c>
      <c r="GK41" s="54">
        <f t="shared" si="350"/>
        <v>44125</v>
      </c>
      <c r="GL41" s="54">
        <f t="shared" si="350"/>
        <v>44126</v>
      </c>
      <c r="GM41" s="54">
        <f t="shared" si="350"/>
        <v>44127</v>
      </c>
      <c r="GN41" s="54">
        <f t="shared" si="350"/>
        <v>44128</v>
      </c>
      <c r="GO41" s="53">
        <f t="shared" si="350"/>
        <v>44129</v>
      </c>
      <c r="GP41" s="54">
        <f t="shared" si="350"/>
        <v>44130</v>
      </c>
      <c r="GQ41" s="54">
        <f t="shared" si="350"/>
        <v>44131</v>
      </c>
      <c r="GR41" s="54">
        <f t="shared" si="350"/>
        <v>44132</v>
      </c>
      <c r="GS41" s="54">
        <f t="shared" si="350"/>
        <v>44133</v>
      </c>
      <c r="GT41" s="54">
        <f t="shared" si="350"/>
        <v>44134</v>
      </c>
      <c r="GU41" s="54">
        <f t="shared" si="350"/>
        <v>44135</v>
      </c>
      <c r="GV41" s="53">
        <f t="shared" si="350"/>
        <v>44136</v>
      </c>
      <c r="GW41" s="54">
        <f t="shared" si="350"/>
        <v>44137</v>
      </c>
      <c r="GX41" s="54">
        <f t="shared" si="350"/>
        <v>44138</v>
      </c>
      <c r="GY41" s="54">
        <f t="shared" si="350"/>
        <v>44139</v>
      </c>
      <c r="GZ41" s="54">
        <f t="shared" si="350"/>
        <v>44140</v>
      </c>
      <c r="HA41" s="54">
        <f t="shared" si="350"/>
        <v>44141</v>
      </c>
      <c r="HB41" s="54">
        <f t="shared" si="350"/>
        <v>44142</v>
      </c>
      <c r="HC41" s="53">
        <f t="shared" si="350"/>
        <v>44143</v>
      </c>
      <c r="HD41" s="54">
        <f t="shared" si="350"/>
        <v>44144</v>
      </c>
      <c r="HE41" s="54">
        <f t="shared" si="350"/>
        <v>44145</v>
      </c>
      <c r="HF41" s="54">
        <f t="shared" si="350"/>
        <v>44146</v>
      </c>
      <c r="HG41" s="54">
        <f t="shared" si="350"/>
        <v>44147</v>
      </c>
      <c r="HH41" s="54">
        <f t="shared" si="350"/>
        <v>44148</v>
      </c>
      <c r="HI41" s="54">
        <f t="shared" si="350"/>
        <v>44149</v>
      </c>
      <c r="HJ41" s="53">
        <f t="shared" si="350"/>
        <v>44150</v>
      </c>
      <c r="HK41" s="54">
        <f t="shared" si="350"/>
        <v>44151</v>
      </c>
      <c r="HL41" s="54">
        <f t="shared" si="350"/>
        <v>44152</v>
      </c>
      <c r="HM41" s="54">
        <f t="shared" si="350"/>
        <v>44153</v>
      </c>
      <c r="HN41" s="54">
        <f t="shared" si="350"/>
        <v>44154</v>
      </c>
      <c r="HO41" s="54">
        <f t="shared" si="350"/>
        <v>44155</v>
      </c>
      <c r="HP41" s="54">
        <f t="shared" si="350"/>
        <v>44156</v>
      </c>
      <c r="HQ41" s="53">
        <f t="shared" si="350"/>
        <v>44157</v>
      </c>
      <c r="HR41" s="54">
        <f t="shared" si="350"/>
        <v>44158</v>
      </c>
      <c r="HS41" s="54">
        <f t="shared" si="350"/>
        <v>44159</v>
      </c>
      <c r="HT41" s="54">
        <f t="shared" si="350"/>
        <v>44160</v>
      </c>
      <c r="HU41" s="54">
        <f t="shared" si="350"/>
        <v>44161</v>
      </c>
      <c r="HV41" s="54">
        <f t="shared" si="350"/>
        <v>44162</v>
      </c>
      <c r="HW41" s="54">
        <f t="shared" si="350"/>
        <v>44163</v>
      </c>
      <c r="HX41" s="53">
        <f t="shared" si="350"/>
        <v>44164</v>
      </c>
      <c r="HY41" s="54">
        <f t="shared" si="350"/>
        <v>44165</v>
      </c>
      <c r="HZ41" s="54">
        <f t="shared" si="350"/>
        <v>44166</v>
      </c>
      <c r="IA41" s="54">
        <f t="shared" ref="IA41:KL41" si="351">IA40</f>
        <v>44167</v>
      </c>
      <c r="IB41" s="54">
        <f t="shared" si="351"/>
        <v>44168</v>
      </c>
      <c r="IC41" s="54">
        <f t="shared" si="351"/>
        <v>44169</v>
      </c>
      <c r="ID41" s="54">
        <f t="shared" si="351"/>
        <v>44170</v>
      </c>
      <c r="IE41" s="53">
        <f t="shared" si="351"/>
        <v>44171</v>
      </c>
      <c r="IF41" s="54">
        <f t="shared" si="351"/>
        <v>44172</v>
      </c>
      <c r="IG41" s="54">
        <f t="shared" si="351"/>
        <v>44173</v>
      </c>
      <c r="IH41" s="54">
        <f t="shared" si="351"/>
        <v>44174</v>
      </c>
      <c r="II41" s="54">
        <f t="shared" si="351"/>
        <v>44175</v>
      </c>
      <c r="IJ41" s="54">
        <f t="shared" si="351"/>
        <v>44176</v>
      </c>
      <c r="IK41" s="54">
        <f t="shared" si="351"/>
        <v>44177</v>
      </c>
      <c r="IL41" s="53">
        <f t="shared" si="351"/>
        <v>44178</v>
      </c>
      <c r="IM41" s="54">
        <f t="shared" si="351"/>
        <v>44179</v>
      </c>
      <c r="IN41" s="54">
        <f t="shared" si="351"/>
        <v>44180</v>
      </c>
      <c r="IO41" s="54">
        <f t="shared" si="351"/>
        <v>44181</v>
      </c>
      <c r="IP41" s="54">
        <f t="shared" si="351"/>
        <v>44182</v>
      </c>
      <c r="IQ41" s="54">
        <f t="shared" si="351"/>
        <v>44183</v>
      </c>
      <c r="IR41" s="54">
        <f t="shared" si="351"/>
        <v>44184</v>
      </c>
      <c r="IS41" s="53">
        <f t="shared" si="351"/>
        <v>44185</v>
      </c>
      <c r="IT41" s="54">
        <f t="shared" si="351"/>
        <v>44186</v>
      </c>
      <c r="IU41" s="54">
        <f t="shared" si="351"/>
        <v>44187</v>
      </c>
      <c r="IV41" s="54">
        <f t="shared" si="351"/>
        <v>44188</v>
      </c>
      <c r="IW41" s="54">
        <f t="shared" si="351"/>
        <v>44189</v>
      </c>
      <c r="IX41" s="54">
        <f t="shared" si="351"/>
        <v>44190</v>
      </c>
      <c r="IY41" s="54">
        <f t="shared" si="351"/>
        <v>44191</v>
      </c>
      <c r="IZ41" s="53">
        <f t="shared" si="351"/>
        <v>44192</v>
      </c>
      <c r="JA41" s="54">
        <f t="shared" si="351"/>
        <v>44193</v>
      </c>
      <c r="JB41" s="54">
        <f t="shared" si="351"/>
        <v>44194</v>
      </c>
      <c r="JC41" s="54">
        <f t="shared" si="351"/>
        <v>44195</v>
      </c>
      <c r="JD41" s="54">
        <f t="shared" si="351"/>
        <v>44196</v>
      </c>
      <c r="JE41" s="54">
        <f t="shared" si="351"/>
        <v>44197</v>
      </c>
      <c r="JF41" s="54">
        <f t="shared" si="351"/>
        <v>44198</v>
      </c>
      <c r="JG41" s="53">
        <f t="shared" si="351"/>
        <v>44199</v>
      </c>
      <c r="JH41" s="54">
        <f t="shared" si="351"/>
        <v>44200</v>
      </c>
      <c r="JI41" s="54">
        <f t="shared" si="351"/>
        <v>44201</v>
      </c>
      <c r="JJ41" s="54">
        <f t="shared" si="351"/>
        <v>44202</v>
      </c>
      <c r="JK41" s="54">
        <f t="shared" si="351"/>
        <v>44203</v>
      </c>
      <c r="JL41" s="54">
        <f t="shared" si="351"/>
        <v>44204</v>
      </c>
      <c r="JM41" s="54">
        <f t="shared" si="351"/>
        <v>44205</v>
      </c>
      <c r="JN41" s="53">
        <f t="shared" si="351"/>
        <v>44206</v>
      </c>
      <c r="JO41" s="54">
        <f t="shared" si="351"/>
        <v>44207</v>
      </c>
      <c r="JP41" s="54">
        <f t="shared" si="351"/>
        <v>44208</v>
      </c>
      <c r="JQ41" s="54">
        <f t="shared" si="351"/>
        <v>44209</v>
      </c>
      <c r="JR41" s="54">
        <f t="shared" si="351"/>
        <v>44210</v>
      </c>
      <c r="JS41" s="54">
        <f t="shared" si="351"/>
        <v>44211</v>
      </c>
      <c r="JT41" s="54">
        <f t="shared" si="351"/>
        <v>44212</v>
      </c>
      <c r="JU41" s="53">
        <f t="shared" si="351"/>
        <v>44213</v>
      </c>
      <c r="JV41" s="54">
        <f t="shared" si="351"/>
        <v>44214</v>
      </c>
      <c r="JW41" s="54">
        <f t="shared" si="351"/>
        <v>44215</v>
      </c>
      <c r="JX41" s="54">
        <f t="shared" si="351"/>
        <v>44216</v>
      </c>
      <c r="JY41" s="54">
        <f t="shared" si="351"/>
        <v>44217</v>
      </c>
      <c r="JZ41" s="54">
        <f t="shared" si="351"/>
        <v>44218</v>
      </c>
      <c r="KA41" s="54">
        <f t="shared" si="351"/>
        <v>44219</v>
      </c>
      <c r="KB41" s="53">
        <f t="shared" si="351"/>
        <v>44220</v>
      </c>
      <c r="KC41" s="54">
        <f t="shared" si="351"/>
        <v>44221</v>
      </c>
      <c r="KD41" s="54">
        <f t="shared" si="351"/>
        <v>44222</v>
      </c>
      <c r="KE41" s="54">
        <f t="shared" si="351"/>
        <v>44223</v>
      </c>
      <c r="KF41" s="54">
        <f t="shared" si="351"/>
        <v>44224</v>
      </c>
      <c r="KG41" s="54">
        <f t="shared" si="351"/>
        <v>44225</v>
      </c>
      <c r="KH41" s="54">
        <f t="shared" si="351"/>
        <v>44226</v>
      </c>
      <c r="KI41" s="53">
        <f t="shared" si="351"/>
        <v>44227</v>
      </c>
      <c r="KJ41" s="54">
        <f t="shared" si="351"/>
        <v>44228</v>
      </c>
      <c r="KK41" s="54">
        <f t="shared" si="351"/>
        <v>44229</v>
      </c>
      <c r="KL41" s="54">
        <f t="shared" si="351"/>
        <v>44230</v>
      </c>
      <c r="KM41" s="54">
        <f t="shared" ref="KM41:MT41" si="352">KM40</f>
        <v>44231</v>
      </c>
      <c r="KN41" s="54">
        <f t="shared" si="352"/>
        <v>44232</v>
      </c>
      <c r="KO41" s="54">
        <f t="shared" si="352"/>
        <v>44233</v>
      </c>
      <c r="KP41" s="53">
        <f t="shared" si="352"/>
        <v>44234</v>
      </c>
      <c r="KQ41" s="54">
        <f t="shared" si="352"/>
        <v>44235</v>
      </c>
      <c r="KR41" s="54">
        <f t="shared" si="352"/>
        <v>44236</v>
      </c>
      <c r="KS41" s="54">
        <f t="shared" si="352"/>
        <v>44237</v>
      </c>
      <c r="KT41" s="54">
        <f t="shared" si="352"/>
        <v>44238</v>
      </c>
      <c r="KU41" s="54">
        <f t="shared" si="352"/>
        <v>44239</v>
      </c>
      <c r="KV41" s="54">
        <f t="shared" si="352"/>
        <v>44240</v>
      </c>
      <c r="KW41" s="53">
        <f t="shared" si="352"/>
        <v>44241</v>
      </c>
      <c r="KX41" s="54">
        <f t="shared" si="352"/>
        <v>44242</v>
      </c>
      <c r="KY41" s="54">
        <f t="shared" si="352"/>
        <v>44243</v>
      </c>
      <c r="KZ41" s="54">
        <f t="shared" si="352"/>
        <v>44244</v>
      </c>
      <c r="LA41" s="54">
        <f t="shared" si="352"/>
        <v>44245</v>
      </c>
      <c r="LB41" s="54">
        <f t="shared" si="352"/>
        <v>44246</v>
      </c>
      <c r="LC41" s="54">
        <f t="shared" si="352"/>
        <v>44247</v>
      </c>
      <c r="LD41" s="53">
        <f t="shared" si="352"/>
        <v>44248</v>
      </c>
      <c r="LE41" s="54">
        <f t="shared" si="352"/>
        <v>44249</v>
      </c>
      <c r="LF41" s="54">
        <f t="shared" si="352"/>
        <v>44250</v>
      </c>
      <c r="LG41" s="54">
        <f t="shared" si="352"/>
        <v>44251</v>
      </c>
      <c r="LH41" s="54">
        <f t="shared" si="352"/>
        <v>44252</v>
      </c>
      <c r="LI41" s="54">
        <f t="shared" si="352"/>
        <v>44253</v>
      </c>
      <c r="LJ41" s="54">
        <f t="shared" si="352"/>
        <v>44254</v>
      </c>
      <c r="LK41" s="53">
        <f t="shared" si="352"/>
        <v>44255</v>
      </c>
      <c r="LL41" s="54">
        <f t="shared" si="352"/>
        <v>44256</v>
      </c>
      <c r="LM41" s="54">
        <f t="shared" si="352"/>
        <v>44257</v>
      </c>
      <c r="LN41" s="54">
        <f t="shared" si="352"/>
        <v>44258</v>
      </c>
      <c r="LO41" s="54">
        <f t="shared" si="352"/>
        <v>44259</v>
      </c>
      <c r="LP41" s="54">
        <f t="shared" si="352"/>
        <v>44260</v>
      </c>
      <c r="LQ41" s="54">
        <f t="shared" si="352"/>
        <v>44261</v>
      </c>
      <c r="LR41" s="53">
        <f t="shared" si="352"/>
        <v>44262</v>
      </c>
      <c r="LS41" s="54">
        <f t="shared" si="352"/>
        <v>44263</v>
      </c>
      <c r="LT41" s="54">
        <f t="shared" si="352"/>
        <v>44264</v>
      </c>
      <c r="LU41" s="54">
        <f t="shared" si="352"/>
        <v>44265</v>
      </c>
      <c r="LV41" s="54">
        <f t="shared" si="352"/>
        <v>44266</v>
      </c>
      <c r="LW41" s="54">
        <f t="shared" si="352"/>
        <v>44267</v>
      </c>
      <c r="LX41" s="54">
        <f t="shared" si="352"/>
        <v>44268</v>
      </c>
      <c r="LY41" s="53">
        <f t="shared" si="352"/>
        <v>44269</v>
      </c>
      <c r="LZ41" s="54">
        <f t="shared" si="352"/>
        <v>44270</v>
      </c>
      <c r="MA41" s="54">
        <f t="shared" si="352"/>
        <v>44271</v>
      </c>
      <c r="MB41" s="54">
        <f t="shared" si="352"/>
        <v>44272</v>
      </c>
      <c r="MC41" s="54">
        <f t="shared" si="352"/>
        <v>44273</v>
      </c>
      <c r="MD41" s="54">
        <f t="shared" si="352"/>
        <v>44274</v>
      </c>
      <c r="ME41" s="54">
        <f t="shared" si="352"/>
        <v>44275</v>
      </c>
      <c r="MF41" s="53">
        <f t="shared" si="352"/>
        <v>44276</v>
      </c>
      <c r="MG41" s="54">
        <f t="shared" si="352"/>
        <v>44277</v>
      </c>
      <c r="MH41" s="54">
        <f t="shared" si="352"/>
        <v>44278</v>
      </c>
      <c r="MI41" s="54">
        <f t="shared" si="352"/>
        <v>44279</v>
      </c>
      <c r="MJ41" s="54">
        <f t="shared" si="352"/>
        <v>44280</v>
      </c>
      <c r="MK41" s="54">
        <f t="shared" si="352"/>
        <v>44281</v>
      </c>
      <c r="ML41" s="54">
        <f t="shared" si="352"/>
        <v>44282</v>
      </c>
      <c r="MM41" s="53">
        <f t="shared" si="352"/>
        <v>44283</v>
      </c>
      <c r="MN41" s="54">
        <f t="shared" si="352"/>
        <v>44284</v>
      </c>
      <c r="MO41" s="54">
        <f t="shared" si="352"/>
        <v>44285</v>
      </c>
      <c r="MP41" s="54">
        <f t="shared" si="352"/>
        <v>44286</v>
      </c>
      <c r="MQ41" s="54">
        <f t="shared" si="352"/>
        <v>44287</v>
      </c>
      <c r="MR41" s="54">
        <f t="shared" si="352"/>
        <v>44288</v>
      </c>
      <c r="MS41" s="54">
        <f t="shared" si="352"/>
        <v>44289</v>
      </c>
      <c r="MT41" s="53">
        <f t="shared" si="352"/>
        <v>44290</v>
      </c>
    </row>
    <row r="42" spans="1:358"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478</v>
      </c>
      <c r="EF42" s="25" t="s">
        <v>38</v>
      </c>
      <c r="EG42" s="25"/>
      <c r="EH42" s="25"/>
      <c r="EI42" s="25"/>
      <c r="EJ42" s="24"/>
      <c r="EK42" s="25"/>
      <c r="EL42" s="25" t="s">
        <v>38</v>
      </c>
      <c r="EM42" s="25"/>
      <c r="EN42" s="25" t="s">
        <v>38</v>
      </c>
      <c r="EO42" s="25" t="s">
        <v>478</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4"/>
      <c r="GB42" s="25"/>
      <c r="GC42" s="25" t="s">
        <v>38</v>
      </c>
      <c r="GD42" s="25"/>
      <c r="GE42" s="25" t="s">
        <v>38</v>
      </c>
      <c r="GF42" s="25" t="s">
        <v>38</v>
      </c>
      <c r="GG42" s="25"/>
      <c r="GH42" s="24"/>
      <c r="GI42" s="25"/>
      <c r="GJ42" s="25" t="s">
        <v>38</v>
      </c>
      <c r="GK42" s="25"/>
      <c r="GL42" s="25" t="s">
        <v>38</v>
      </c>
      <c r="GM42" s="25" t="s">
        <v>38</v>
      </c>
      <c r="GN42" s="25"/>
      <c r="GO42" s="24"/>
      <c r="GP42" s="25"/>
      <c r="GQ42" s="25" t="s">
        <v>38</v>
      </c>
      <c r="GR42" s="25"/>
      <c r="GS42" s="25" t="s">
        <v>38</v>
      </c>
      <c r="GT42" s="25" t="s">
        <v>38</v>
      </c>
      <c r="GU42" s="25"/>
      <c r="GV42" s="24"/>
      <c r="GW42" s="25"/>
      <c r="GX42" s="25" t="s">
        <v>38</v>
      </c>
      <c r="GY42" s="25"/>
      <c r="GZ42" s="25" t="s">
        <v>38</v>
      </c>
      <c r="HA42" s="25" t="s">
        <v>38</v>
      </c>
      <c r="HB42" s="25"/>
      <c r="HC42" s="24"/>
      <c r="HD42" s="25"/>
      <c r="HE42" s="25" t="s">
        <v>38</v>
      </c>
      <c r="HF42" s="25"/>
      <c r="HG42" s="25" t="s">
        <v>38</v>
      </c>
      <c r="HH42" s="25" t="s">
        <v>38</v>
      </c>
      <c r="HI42" s="25"/>
      <c r="HJ42" s="24"/>
      <c r="HK42" s="25"/>
      <c r="HL42" s="25" t="s">
        <v>38</v>
      </c>
      <c r="HM42" s="25"/>
      <c r="HN42" s="25" t="s">
        <v>38</v>
      </c>
      <c r="HO42" s="25" t="s">
        <v>38</v>
      </c>
      <c r="HP42" s="25"/>
      <c r="HQ42" s="24"/>
      <c r="HR42" s="25"/>
      <c r="HS42" s="25" t="s">
        <v>38</v>
      </c>
      <c r="HT42" s="25"/>
      <c r="HU42" s="25" t="s">
        <v>38</v>
      </c>
      <c r="HV42" s="25" t="s">
        <v>38</v>
      </c>
      <c r="HW42" s="25"/>
      <c r="HX42" s="24"/>
      <c r="HY42" s="25"/>
      <c r="HZ42" s="25" t="s">
        <v>38</v>
      </c>
      <c r="IA42" s="25" t="s">
        <v>38</v>
      </c>
      <c r="IB42" s="25"/>
      <c r="IC42" s="25" t="s">
        <v>38</v>
      </c>
      <c r="ID42" s="25"/>
      <c r="IE42" s="24"/>
      <c r="IF42" s="25"/>
      <c r="IG42" s="25" t="s">
        <v>38</v>
      </c>
      <c r="IH42" s="25"/>
      <c r="II42" s="25" t="s">
        <v>38</v>
      </c>
      <c r="IJ42" s="25" t="s">
        <v>38</v>
      </c>
      <c r="IK42" s="25"/>
      <c r="IL42" s="24"/>
      <c r="IM42" s="25"/>
      <c r="IN42" s="25" t="s">
        <v>38</v>
      </c>
      <c r="IO42" s="25"/>
      <c r="IP42" s="25" t="s">
        <v>38</v>
      </c>
      <c r="IQ42" s="25" t="s">
        <v>38</v>
      </c>
      <c r="IR42" s="25"/>
      <c r="IS42" s="24"/>
      <c r="IT42" s="25"/>
      <c r="IU42" s="25" t="s">
        <v>38</v>
      </c>
      <c r="IV42" s="25"/>
      <c r="IW42" s="25" t="s">
        <v>38</v>
      </c>
      <c r="IX42" s="25" t="s">
        <v>38</v>
      </c>
      <c r="IY42" s="25"/>
      <c r="IZ42" s="24"/>
      <c r="JA42" s="25"/>
      <c r="JB42" s="25" t="s">
        <v>38</v>
      </c>
      <c r="JC42" s="25"/>
      <c r="JD42" s="25" t="s">
        <v>38</v>
      </c>
      <c r="JE42" s="25" t="s">
        <v>38</v>
      </c>
      <c r="JF42" s="25"/>
      <c r="JG42" s="24"/>
      <c r="JH42" s="25"/>
      <c r="JI42" s="25" t="s">
        <v>38</v>
      </c>
      <c r="JJ42" s="25"/>
      <c r="JK42" s="25" t="s">
        <v>38</v>
      </c>
      <c r="JL42" s="25" t="s">
        <v>38</v>
      </c>
      <c r="JM42" s="25"/>
      <c r="JN42" s="24"/>
      <c r="JO42" s="25"/>
      <c r="JP42" s="25" t="s">
        <v>38</v>
      </c>
      <c r="JQ42" s="25"/>
      <c r="JR42" s="25" t="s">
        <v>38</v>
      </c>
      <c r="JS42" s="25" t="s">
        <v>38</v>
      </c>
      <c r="JT42" s="25"/>
      <c r="JU42" s="24"/>
      <c r="JV42" s="25"/>
      <c r="JW42" s="25" t="s">
        <v>38</v>
      </c>
      <c r="JX42" s="25"/>
      <c r="JY42" s="25" t="s">
        <v>38</v>
      </c>
      <c r="JZ42" s="25" t="s">
        <v>38</v>
      </c>
      <c r="KA42" s="25"/>
      <c r="KB42" s="24"/>
      <c r="KC42" s="25"/>
      <c r="KD42" s="25" t="s">
        <v>38</v>
      </c>
      <c r="KE42" s="25"/>
      <c r="KF42" s="25" t="s">
        <v>38</v>
      </c>
      <c r="KG42" s="25" t="s">
        <v>38</v>
      </c>
      <c r="KH42" s="25"/>
      <c r="KI42" s="24"/>
      <c r="KJ42" s="25"/>
      <c r="KK42" s="25" t="s">
        <v>38</v>
      </c>
      <c r="KL42" s="25"/>
      <c r="KM42" s="25" t="s">
        <v>38</v>
      </c>
      <c r="KN42" s="25" t="s">
        <v>38</v>
      </c>
      <c r="KO42" s="25"/>
      <c r="KP42" s="24"/>
      <c r="KQ42" s="25"/>
      <c r="KR42" s="25" t="s">
        <v>38</v>
      </c>
      <c r="KS42" s="25"/>
      <c r="KT42" s="25" t="s">
        <v>38</v>
      </c>
      <c r="KU42" s="25" t="s">
        <v>38</v>
      </c>
      <c r="KV42" s="25"/>
      <c r="KW42" s="24"/>
      <c r="KX42" s="25"/>
      <c r="KY42" s="25" t="s">
        <v>38</v>
      </c>
      <c r="KZ42" s="25"/>
      <c r="LA42" s="25" t="s">
        <v>38</v>
      </c>
      <c r="LB42" s="25" t="s">
        <v>38</v>
      </c>
      <c r="LC42" s="25"/>
      <c r="LD42" s="24"/>
      <c r="LE42" s="25"/>
      <c r="LF42" s="25" t="s">
        <v>38</v>
      </c>
      <c r="LG42" s="25"/>
      <c r="LH42" s="25" t="s">
        <v>38</v>
      </c>
      <c r="LI42" s="25" t="s">
        <v>38</v>
      </c>
      <c r="LJ42" s="25"/>
      <c r="LK42" s="24"/>
      <c r="LL42" s="25"/>
      <c r="LM42" s="25" t="s">
        <v>38</v>
      </c>
      <c r="LN42" s="25"/>
      <c r="LO42" s="25" t="s">
        <v>38</v>
      </c>
      <c r="LP42" s="25"/>
      <c r="LQ42" s="25"/>
      <c r="LR42" s="26"/>
      <c r="LS42" s="25"/>
      <c r="LT42" s="25" t="s">
        <v>38</v>
      </c>
      <c r="LU42" s="25"/>
      <c r="LV42" s="25" t="s">
        <v>38</v>
      </c>
      <c r="LW42" s="25"/>
      <c r="LX42" s="25"/>
      <c r="LY42" s="24"/>
      <c r="LZ42" s="25"/>
      <c r="MA42" s="25"/>
      <c r="MB42" s="25"/>
      <c r="MC42" s="25"/>
      <c r="MD42" s="25"/>
      <c r="ME42" s="25"/>
      <c r="MF42" s="24"/>
      <c r="MG42" s="25"/>
      <c r="MH42" s="25"/>
      <c r="MI42" s="25"/>
      <c r="MJ42" s="25"/>
      <c r="MK42" s="25"/>
      <c r="ML42" s="25"/>
      <c r="MM42" s="24"/>
      <c r="MN42" s="25"/>
      <c r="MO42" s="25"/>
      <c r="MP42" s="25"/>
      <c r="MQ42" s="25"/>
      <c r="MR42" s="25"/>
      <c r="MS42" s="25"/>
      <c r="MT42" s="24"/>
    </row>
    <row r="43" spans="1:358" x14ac:dyDescent="0.25">
      <c r="A43" s="11" t="s">
        <v>148</v>
      </c>
      <c r="B43" s="11"/>
      <c r="C43" s="11"/>
      <c r="D43" s="11"/>
      <c r="E43" s="11"/>
      <c r="F43" s="134" t="s">
        <v>147</v>
      </c>
      <c r="G43" s="135" t="s">
        <v>146</v>
      </c>
      <c r="H43" s="135" t="s">
        <v>119</v>
      </c>
      <c r="I43" s="136" t="s">
        <v>41</v>
      </c>
      <c r="J43" s="136" t="s">
        <v>118</v>
      </c>
      <c r="K43" s="136" t="s">
        <v>42</v>
      </c>
      <c r="L43" s="136" t="s">
        <v>117</v>
      </c>
      <c r="M43" s="136" t="s">
        <v>47</v>
      </c>
      <c r="N43" s="136" t="s">
        <v>100</v>
      </c>
      <c r="O43" s="137"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2"/>
      <c r="GB43" s="11"/>
      <c r="GC43" s="11"/>
      <c r="GD43" s="11"/>
      <c r="GE43" s="11"/>
      <c r="GF43" s="11"/>
      <c r="GG43" s="11"/>
      <c r="GH43" s="12"/>
      <c r="GI43" s="11"/>
      <c r="GJ43" s="11"/>
      <c r="GK43" s="11"/>
      <c r="GL43" s="11"/>
      <c r="GM43" s="11"/>
      <c r="GN43" s="11"/>
      <c r="GO43" s="12"/>
      <c r="GP43" s="11"/>
      <c r="GQ43" s="11"/>
      <c r="GR43" s="11"/>
      <c r="GS43" s="11"/>
      <c r="GT43" s="11"/>
      <c r="GU43" s="11"/>
      <c r="GV43" s="12"/>
      <c r="GW43" s="11"/>
      <c r="GX43" s="11"/>
      <c r="GY43" s="11"/>
      <c r="GZ43" s="11"/>
      <c r="HA43" s="11"/>
      <c r="HB43" s="11"/>
      <c r="HC43" s="12"/>
      <c r="HD43" s="11"/>
      <c r="HE43" s="11"/>
      <c r="HF43" s="11"/>
      <c r="HG43" s="11"/>
      <c r="HH43" s="11"/>
      <c r="HI43" s="11"/>
      <c r="HJ43" s="12"/>
      <c r="HK43" s="11"/>
      <c r="HL43" s="11"/>
      <c r="HM43" s="11"/>
      <c r="HN43" s="11"/>
      <c r="HO43" s="11"/>
      <c r="HP43" s="11"/>
      <c r="HQ43" s="12"/>
      <c r="HR43" s="11"/>
      <c r="HS43" s="11"/>
      <c r="HT43" s="11"/>
      <c r="HU43" s="11"/>
      <c r="HV43" s="11"/>
      <c r="HW43" s="11"/>
      <c r="HX43" s="12"/>
      <c r="HY43" s="11"/>
      <c r="HZ43" s="11"/>
      <c r="IA43" s="11"/>
      <c r="IB43" s="11"/>
      <c r="IC43" s="11"/>
      <c r="ID43" s="11"/>
      <c r="IE43" s="12"/>
      <c r="IF43" s="11"/>
      <c r="IG43" s="11"/>
      <c r="IH43" s="11"/>
      <c r="II43" s="11"/>
      <c r="IJ43" s="11"/>
      <c r="IK43" s="11"/>
      <c r="IL43" s="12"/>
      <c r="IM43" s="11"/>
      <c r="IN43" s="11"/>
      <c r="IO43" s="11"/>
      <c r="IP43" s="11"/>
      <c r="IQ43" s="11"/>
      <c r="IR43" s="11"/>
      <c r="IS43" s="12"/>
      <c r="IT43" s="11"/>
      <c r="IU43" s="11"/>
      <c r="IV43" s="11"/>
      <c r="IW43" s="11"/>
      <c r="IX43" s="11"/>
      <c r="IY43" s="11"/>
      <c r="IZ43" s="12"/>
      <c r="JA43" s="11"/>
      <c r="JB43" s="11"/>
      <c r="JC43" s="11"/>
      <c r="JD43" s="11"/>
      <c r="JE43" s="11"/>
      <c r="JF43" s="11"/>
      <c r="JG43" s="12"/>
      <c r="JH43" s="11"/>
      <c r="JI43" s="11"/>
      <c r="JJ43" s="11"/>
      <c r="JK43" s="11"/>
      <c r="JL43" s="11"/>
      <c r="JM43" s="11"/>
      <c r="JN43" s="12"/>
      <c r="JO43" s="11"/>
      <c r="JP43" s="11"/>
      <c r="JQ43" s="11"/>
      <c r="JR43" s="11"/>
      <c r="JS43" s="11"/>
      <c r="JT43" s="11"/>
      <c r="JU43" s="12"/>
      <c r="JV43" s="11"/>
      <c r="JW43" s="11"/>
      <c r="JX43" s="11"/>
      <c r="JY43" s="11"/>
      <c r="JZ43" s="11"/>
      <c r="KA43" s="11"/>
      <c r="KB43" s="12"/>
      <c r="KC43" s="11"/>
      <c r="KD43" s="11"/>
      <c r="KE43" s="11"/>
      <c r="KF43" s="11"/>
      <c r="KG43" s="11"/>
      <c r="KH43" s="11"/>
      <c r="KI43" s="12"/>
      <c r="KJ43" s="11"/>
      <c r="KK43" s="11"/>
      <c r="KL43" s="11"/>
      <c r="KM43" s="11"/>
      <c r="KN43" s="11"/>
      <c r="KO43" s="11"/>
      <c r="KP43" s="12"/>
      <c r="KQ43" s="11"/>
      <c r="KR43" s="11"/>
      <c r="KS43" s="11"/>
      <c r="KT43" s="11"/>
      <c r="KU43" s="11"/>
      <c r="KV43" s="11"/>
      <c r="KW43" s="12"/>
      <c r="KX43" s="11"/>
      <c r="KY43" s="11"/>
      <c r="KZ43" s="11"/>
      <c r="LA43" s="11"/>
      <c r="LB43" s="11"/>
      <c r="LC43" s="11"/>
      <c r="LD43" s="12"/>
      <c r="LE43" s="11"/>
      <c r="LF43" s="11"/>
      <c r="LG43" s="11"/>
      <c r="LH43" s="11"/>
      <c r="LI43" s="11"/>
      <c r="LJ43" s="11"/>
      <c r="LK43" s="12"/>
      <c r="LL43" s="11"/>
      <c r="LM43" s="11"/>
      <c r="LN43" s="11"/>
      <c r="LO43" s="11"/>
      <c r="LP43" s="11"/>
      <c r="LQ43" s="11"/>
      <c r="LR43" s="12"/>
      <c r="LS43" s="11"/>
      <c r="LT43" s="11"/>
      <c r="LU43" s="11"/>
      <c r="LV43" s="11"/>
      <c r="LW43" s="11"/>
      <c r="LX43" s="11"/>
      <c r="LY43" s="12"/>
      <c r="LZ43" s="11"/>
      <c r="MA43" s="11"/>
      <c r="MB43" s="11"/>
      <c r="MC43" s="11"/>
      <c r="MD43" s="11"/>
      <c r="ME43" s="11"/>
      <c r="MF43" s="12"/>
      <c r="MG43" s="11"/>
      <c r="MH43" s="11"/>
      <c r="MI43" s="11"/>
      <c r="MJ43" s="11"/>
      <c r="MK43" s="11"/>
      <c r="ML43" s="11"/>
      <c r="MM43" s="12"/>
      <c r="MN43" s="11"/>
      <c r="MO43" s="11"/>
      <c r="MP43" s="11"/>
      <c r="MQ43" s="11"/>
      <c r="MR43" s="11"/>
      <c r="MS43" s="11"/>
      <c r="MT43" s="12"/>
    </row>
    <row r="44" spans="1:358"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2"/>
      <c r="GB44" s="11"/>
      <c r="GC44" s="11"/>
      <c r="GD44" s="11"/>
      <c r="GE44" s="11"/>
      <c r="GF44" s="11"/>
      <c r="GG44" s="11"/>
      <c r="GH44" s="12"/>
      <c r="GI44" s="11"/>
      <c r="GJ44" s="11"/>
      <c r="GK44" s="11"/>
      <c r="GL44" s="11"/>
      <c r="GM44" s="11"/>
      <c r="GN44" s="11"/>
      <c r="GO44" s="12"/>
      <c r="GP44" s="11"/>
      <c r="GQ44" s="11"/>
      <c r="GR44" s="11"/>
      <c r="GS44" s="11"/>
      <c r="GT44" s="11"/>
      <c r="GU44" s="11"/>
      <c r="GV44" s="12"/>
      <c r="GW44" s="11"/>
      <c r="GX44" s="11"/>
      <c r="GY44" s="11"/>
      <c r="GZ44" s="11"/>
      <c r="HA44" s="11"/>
      <c r="HB44" s="11"/>
      <c r="HC44" s="12"/>
      <c r="HD44" s="11"/>
      <c r="HE44" s="11"/>
      <c r="HF44" s="11"/>
      <c r="HG44" s="11"/>
      <c r="HH44" s="11"/>
      <c r="HI44" s="11"/>
      <c r="HJ44" s="12"/>
      <c r="HK44" s="11"/>
      <c r="HL44" s="11"/>
      <c r="HM44" s="11"/>
      <c r="HN44" s="11"/>
      <c r="HO44" s="11"/>
      <c r="HP44" s="11"/>
      <c r="HQ44" s="12"/>
      <c r="HR44" s="11"/>
      <c r="HS44" s="11"/>
      <c r="HT44" s="11"/>
      <c r="HU44" s="11"/>
      <c r="HV44" s="11"/>
      <c r="HW44" s="11"/>
      <c r="HX44" s="12"/>
      <c r="HY44" s="11"/>
      <c r="HZ44" s="11"/>
      <c r="IA44" s="11"/>
      <c r="IB44" s="11"/>
      <c r="IC44" s="11"/>
      <c r="ID44" s="11"/>
      <c r="IE44" s="12"/>
      <c r="IF44" s="11"/>
      <c r="IG44" s="11"/>
      <c r="IH44" s="11"/>
      <c r="II44" s="11"/>
      <c r="IJ44" s="11"/>
      <c r="IK44" s="11"/>
      <c r="IL44" s="12"/>
      <c r="IM44" s="11"/>
      <c r="IN44" s="11"/>
      <c r="IO44" s="11"/>
      <c r="IP44" s="11"/>
      <c r="IQ44" s="11"/>
      <c r="IR44" s="11"/>
      <c r="IS44" s="12"/>
      <c r="IT44" s="11"/>
      <c r="IU44" s="11"/>
      <c r="IV44" s="11"/>
      <c r="IW44" s="11"/>
      <c r="IX44" s="11"/>
      <c r="IY44" s="11"/>
      <c r="IZ44" s="12"/>
      <c r="JA44" s="11"/>
      <c r="JB44" s="11"/>
      <c r="JC44" s="11"/>
      <c r="JD44" s="11"/>
      <c r="JE44" s="11"/>
      <c r="JF44" s="11"/>
      <c r="JG44" s="12"/>
      <c r="JH44" s="11"/>
      <c r="JI44" s="11"/>
      <c r="JJ44" s="11"/>
      <c r="JK44" s="11"/>
      <c r="JL44" s="11"/>
      <c r="JM44" s="11"/>
      <c r="JN44" s="12"/>
      <c r="JO44" s="11"/>
      <c r="JP44" s="11"/>
      <c r="JQ44" s="11"/>
      <c r="JR44" s="11"/>
      <c r="JS44" s="11"/>
      <c r="JT44" s="11"/>
      <c r="JU44" s="12"/>
      <c r="JV44" s="11"/>
      <c r="JW44" s="11"/>
      <c r="JX44" s="11"/>
      <c r="JY44" s="11"/>
      <c r="JZ44" s="11"/>
      <c r="KA44" s="11"/>
      <c r="KB44" s="12"/>
      <c r="KC44" s="11"/>
      <c r="KD44" s="11"/>
      <c r="KE44" s="11"/>
      <c r="KF44" s="11"/>
      <c r="KG44" s="11"/>
      <c r="KH44" s="11"/>
      <c r="KI44" s="12"/>
      <c r="KJ44" s="11"/>
      <c r="KK44" s="11"/>
      <c r="KL44" s="11"/>
      <c r="KM44" s="11"/>
      <c r="KN44" s="11"/>
      <c r="KO44" s="11"/>
      <c r="KP44" s="12"/>
      <c r="KQ44" s="11"/>
      <c r="KR44" s="11"/>
      <c r="KS44" s="11"/>
      <c r="KT44" s="11"/>
      <c r="KU44" s="11"/>
      <c r="KV44" s="11"/>
      <c r="KW44" s="12"/>
      <c r="KX44" s="11"/>
      <c r="KY44" s="11"/>
      <c r="KZ44" s="11"/>
      <c r="LA44" s="11"/>
      <c r="LB44" s="11"/>
      <c r="LC44" s="11"/>
      <c r="LD44" s="12"/>
      <c r="LE44" s="11"/>
      <c r="LF44" s="11"/>
      <c r="LG44" s="11"/>
      <c r="LH44" s="11"/>
      <c r="LI44" s="11"/>
      <c r="LJ44" s="11"/>
      <c r="LK44" s="12"/>
      <c r="LL44" s="11"/>
      <c r="LM44" s="11"/>
      <c r="LN44" s="11"/>
      <c r="LO44" s="11"/>
      <c r="LP44" s="11"/>
      <c r="LQ44" s="11"/>
      <c r="LR44" s="12"/>
      <c r="LS44" s="11"/>
      <c r="LT44" s="11"/>
      <c r="LU44" s="11"/>
      <c r="LV44" s="11"/>
      <c r="LW44" s="11"/>
      <c r="LX44" s="11"/>
      <c r="LY44" s="12"/>
      <c r="LZ44" s="11"/>
      <c r="MA44" s="11"/>
      <c r="MB44" s="11"/>
      <c r="MC44" s="11"/>
      <c r="MD44" s="11"/>
      <c r="ME44" s="11"/>
      <c r="MF44" s="12"/>
      <c r="MG44" s="11"/>
      <c r="MH44" s="11"/>
      <c r="MI44" s="11"/>
      <c r="MJ44" s="11"/>
      <c r="MK44" s="11"/>
      <c r="ML44" s="11"/>
      <c r="MM44" s="12"/>
      <c r="MN44" s="11"/>
      <c r="MO44" s="11"/>
      <c r="MP44" s="11"/>
      <c r="MQ44" s="11"/>
      <c r="MR44" s="11"/>
      <c r="MS44" s="11"/>
      <c r="MT44" s="12"/>
    </row>
    <row r="45" spans="1:358" ht="7.5" customHeight="1" x14ac:dyDescent="0.25">
      <c r="A45" s="8"/>
      <c r="B45" s="8"/>
      <c r="C45" s="8"/>
      <c r="D45" s="8"/>
      <c r="E45" s="8"/>
      <c r="F45" s="10"/>
      <c r="G45" s="19"/>
      <c r="H45" s="19"/>
      <c r="I45" s="8"/>
      <c r="J45" s="8"/>
      <c r="K45" s="8"/>
      <c r="L45" s="8"/>
      <c r="M45" s="8"/>
      <c r="N45" s="8"/>
      <c r="O45" s="9"/>
      <c r="P45" s="8" t="str">
        <f>IF(SUM(R45:MT45) &gt; 0, SUM(R45:MT45), "")</f>
        <v/>
      </c>
      <c r="Q45" s="8"/>
      <c r="R45" s="84"/>
      <c r="S45" s="7"/>
      <c r="Z45" s="7"/>
      <c r="AG45" s="7"/>
      <c r="AN45" s="7"/>
      <c r="AU45" s="7"/>
      <c r="BB45" s="7"/>
      <c r="BI45" s="7"/>
      <c r="BP45" s="7"/>
      <c r="BY45" s="7"/>
      <c r="CH45" s="7"/>
      <c r="CQ45" s="7"/>
      <c r="CZ45" s="7"/>
      <c r="DI45" s="7"/>
      <c r="DR45" s="7"/>
      <c r="EA45" s="7"/>
      <c r="EJ45" s="7"/>
      <c r="ES45" s="7"/>
      <c r="FB45" s="7"/>
      <c r="FK45" s="7"/>
      <c r="FT45" s="7"/>
      <c r="GA45" s="7"/>
      <c r="GH45" s="7"/>
      <c r="GO45" s="7"/>
      <c r="GV45" s="7"/>
      <c r="HC45" s="7"/>
      <c r="HJ45" s="7"/>
      <c r="HQ45" s="7"/>
      <c r="HX45" s="7"/>
      <c r="IE45" s="7"/>
      <c r="IL45" s="7"/>
      <c r="IS45" s="7"/>
      <c r="IZ45" s="7"/>
      <c r="JG45" s="7"/>
      <c r="JN45" s="7"/>
      <c r="JU45" s="7"/>
      <c r="KB45" s="7"/>
      <c r="KI45" s="7"/>
      <c r="KP45" s="7"/>
      <c r="KW45" s="7"/>
      <c r="LD45" s="7"/>
      <c r="LK45" s="7"/>
      <c r="LR45" s="7"/>
      <c r="LY45" s="7"/>
      <c r="MF45" s="7"/>
      <c r="MM45" s="7"/>
      <c r="MT45" s="7"/>
    </row>
    <row r="46" spans="1:358" ht="15" customHeight="1" x14ac:dyDescent="0.25">
      <c r="A46" s="8" t="s">
        <v>116</v>
      </c>
      <c r="B46" s="8" t="s">
        <v>115</v>
      </c>
      <c r="C46" s="8" t="s">
        <v>114</v>
      </c>
      <c r="D46" s="8" t="s">
        <v>113</v>
      </c>
      <c r="E46" s="56">
        <v>40073</v>
      </c>
      <c r="F46" s="19">
        <f t="shared" ref="F46:L58"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7" si="354">IF(SUM(S46:MT46) &gt; 0, SUM(S46:MT46), "")</f>
        <v>22</v>
      </c>
      <c r="Q46" s="109">
        <f t="shared" ref="Q46:Q67" si="355">IF(SUM(S46:XFD46) &gt; 0, SUM(S46:XFD46) / $P$68 * 100, "")</f>
        <v>68.75</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GA46" s="7"/>
      <c r="GH46" s="7"/>
      <c r="GO46" s="7"/>
      <c r="GV46" s="7"/>
      <c r="HC46" s="7"/>
      <c r="HJ46" s="7"/>
      <c r="HQ46" s="7"/>
      <c r="HX46" s="7"/>
      <c r="IE46" s="7"/>
      <c r="IL46" s="7"/>
      <c r="IS46" s="7"/>
      <c r="IZ46" s="7"/>
      <c r="JG46" s="7"/>
      <c r="JN46" s="7"/>
      <c r="JU46" s="7"/>
      <c r="KB46" s="7"/>
      <c r="KI46" s="7"/>
      <c r="KP46" s="7"/>
      <c r="KW46" s="7"/>
      <c r="LD46" s="7"/>
      <c r="LK46" s="7"/>
      <c r="LR46" s="7"/>
      <c r="LY46" s="7"/>
      <c r="MF46" s="7"/>
      <c r="MM46" s="7"/>
      <c r="MT46" s="7"/>
    </row>
    <row r="47" spans="1:358"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9</v>
      </c>
      <c r="Q47" s="109">
        <f t="shared" si="355"/>
        <v>28.125</v>
      </c>
      <c r="R47" s="84"/>
      <c r="S47" s="7"/>
      <c r="Z47" s="7"/>
      <c r="AG47" s="7"/>
      <c r="AN47" s="7"/>
      <c r="AU47" s="7"/>
      <c r="BB47" s="7"/>
      <c r="BI47" s="7"/>
      <c r="BP47" s="7"/>
      <c r="BY47" s="7"/>
      <c r="CH47" s="7"/>
      <c r="CQ47" s="7"/>
      <c r="CZ47" s="7"/>
      <c r="DI47" s="7"/>
      <c r="DR47" s="7"/>
      <c r="DT47">
        <v>1</v>
      </c>
      <c r="DW47">
        <v>1</v>
      </c>
      <c r="EA47" s="7"/>
      <c r="EC47" t="s">
        <v>461</v>
      </c>
      <c r="EJ47" s="7"/>
      <c r="EL47">
        <v>1</v>
      </c>
      <c r="EN47">
        <v>1</v>
      </c>
      <c r="EO47">
        <v>1</v>
      </c>
      <c r="ES47" s="7"/>
      <c r="EU47">
        <v>1</v>
      </c>
      <c r="EX47">
        <v>1</v>
      </c>
      <c r="FB47" s="7"/>
      <c r="FG47">
        <v>1</v>
      </c>
      <c r="FK47" s="7"/>
      <c r="FP47">
        <v>1</v>
      </c>
      <c r="FT47" s="7"/>
      <c r="FV47" t="s">
        <v>460</v>
      </c>
      <c r="GA47" s="7"/>
      <c r="GH47" s="7"/>
      <c r="GO47" s="7"/>
      <c r="GV47" s="7"/>
      <c r="HC47" s="7"/>
      <c r="HJ47" s="7"/>
      <c r="HQ47" s="7"/>
      <c r="HX47" s="7"/>
      <c r="IE47" s="7"/>
      <c r="IL47" s="7"/>
      <c r="IS47" s="7"/>
      <c r="IZ47" s="7"/>
      <c r="JG47" s="7"/>
      <c r="JN47" s="7"/>
      <c r="JU47" s="7"/>
      <c r="KB47" s="7"/>
      <c r="KI47" s="7"/>
      <c r="KP47" s="7"/>
      <c r="KW47" s="7"/>
      <c r="LD47" s="7"/>
      <c r="LK47" s="7"/>
      <c r="LR47" s="7"/>
      <c r="LY47" s="7"/>
      <c r="MF47" s="7"/>
      <c r="MM47" s="7"/>
      <c r="MT47" s="7"/>
    </row>
    <row r="48" spans="1:358"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30</v>
      </c>
      <c r="Q48" s="109">
        <f t="shared" si="355"/>
        <v>93.75</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GA48" s="7"/>
      <c r="GH48" s="7"/>
      <c r="GO48" s="7"/>
      <c r="GV48" s="7"/>
      <c r="HC48" s="7"/>
      <c r="HJ48" s="7"/>
      <c r="HQ48" s="7"/>
      <c r="HX48" s="7"/>
      <c r="IE48" s="7"/>
      <c r="IL48" s="7"/>
      <c r="IS48" s="7"/>
      <c r="IZ48" s="7"/>
      <c r="JG48" s="7"/>
      <c r="JN48" s="7"/>
      <c r="JU48" s="7"/>
      <c r="KB48" s="7"/>
      <c r="KI48" s="7"/>
      <c r="KP48" s="7"/>
      <c r="KW48" s="7"/>
      <c r="LD48" s="7"/>
      <c r="LK48" s="7"/>
      <c r="LR48" s="7"/>
      <c r="LY48" s="7"/>
      <c r="MF48" s="7"/>
      <c r="MM48" s="7"/>
      <c r="MT48" s="7"/>
    </row>
    <row r="49" spans="1:358"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23</v>
      </c>
      <c r="Q49" s="109">
        <f t="shared" si="355"/>
        <v>71.875</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GA49" s="7"/>
      <c r="GH49" s="7"/>
      <c r="GO49" s="7"/>
      <c r="GV49" s="7"/>
      <c r="HC49" s="7"/>
      <c r="HJ49" s="7"/>
      <c r="HQ49" s="7"/>
      <c r="HX49" s="7"/>
      <c r="IE49" s="7"/>
      <c r="IL49" s="7"/>
      <c r="IS49" s="7"/>
      <c r="IZ49" s="7"/>
      <c r="JG49" s="7"/>
      <c r="JN49" s="7"/>
      <c r="JU49" s="7"/>
      <c r="KB49" s="7"/>
      <c r="KI49" s="7"/>
      <c r="KP49" s="7"/>
      <c r="KW49" s="7"/>
      <c r="LD49" s="7"/>
      <c r="LK49" s="7"/>
      <c r="LR49" s="7"/>
      <c r="LY49" s="7"/>
      <c r="MF49" s="7"/>
      <c r="MM49" s="7"/>
      <c r="MT49" s="7"/>
    </row>
    <row r="50" spans="1:358"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9">
        <f t="shared" si="355"/>
        <v>15.625</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A50" s="7"/>
      <c r="GH50" s="7"/>
      <c r="GO50" s="7"/>
      <c r="GV50" s="7"/>
      <c r="HC50" s="7"/>
      <c r="HJ50" s="7"/>
      <c r="HQ50" s="7"/>
      <c r="HX50" s="7"/>
      <c r="IE50" s="7"/>
      <c r="IL50" s="7"/>
      <c r="IS50" s="7"/>
      <c r="IZ50" s="7"/>
      <c r="JG50" s="7"/>
      <c r="JN50" s="7"/>
      <c r="JU50" s="7"/>
      <c r="KB50" s="7"/>
      <c r="KI50" s="7"/>
      <c r="KP50" s="7"/>
      <c r="KW50" s="7"/>
      <c r="LD50" s="7"/>
      <c r="LK50" s="7"/>
      <c r="LR50" s="7"/>
      <c r="LY50" s="7"/>
      <c r="MF50" s="7"/>
      <c r="MM50" s="7"/>
      <c r="MT50" s="7"/>
    </row>
    <row r="51" spans="1:358"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9">
        <f t="shared" si="355"/>
        <v>18.75</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A51" s="7"/>
      <c r="GH51" s="7"/>
      <c r="GO51" s="7"/>
      <c r="GV51" s="7"/>
      <c r="HC51" s="7"/>
      <c r="HJ51" s="7"/>
      <c r="HQ51" s="7"/>
      <c r="HX51" s="7"/>
      <c r="IE51" s="7"/>
      <c r="IL51" s="7"/>
      <c r="IS51" s="7"/>
      <c r="IZ51" s="7"/>
      <c r="JG51" s="7"/>
      <c r="JN51" s="7"/>
      <c r="JU51" s="7"/>
      <c r="KB51" s="7"/>
      <c r="KI51" s="7"/>
      <c r="KP51" s="7"/>
      <c r="KW51" s="7"/>
      <c r="LD51" s="7"/>
      <c r="LK51" s="7"/>
      <c r="LR51" s="7"/>
      <c r="LY51" s="7"/>
      <c r="MF51" s="7"/>
      <c r="MM51" s="7"/>
      <c r="MT51" s="7"/>
    </row>
    <row r="52" spans="1:358"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9">
        <f t="shared" si="355"/>
        <v>9.375</v>
      </c>
      <c r="R52" s="84"/>
      <c r="S52" s="7"/>
      <c r="Z52" s="7"/>
      <c r="AG52" s="7"/>
      <c r="AN52" s="7"/>
      <c r="AP52">
        <v>1</v>
      </c>
      <c r="AU52" s="7"/>
      <c r="AY52">
        <v>1</v>
      </c>
      <c r="BB52" s="7"/>
      <c r="BF52">
        <v>1</v>
      </c>
      <c r="BI52" s="7"/>
      <c r="BP52" s="7"/>
      <c r="BY52" s="7"/>
      <c r="CH52" s="7"/>
      <c r="CQ52" s="7"/>
      <c r="CZ52" s="7"/>
      <c r="DI52" s="7"/>
      <c r="DR52" s="7"/>
      <c r="EA52" s="7"/>
      <c r="EJ52" s="7"/>
      <c r="ES52" s="7"/>
      <c r="FB52" s="7"/>
      <c r="FK52" s="7"/>
      <c r="FT52" s="7"/>
      <c r="GA52" s="7"/>
      <c r="GH52" s="7"/>
      <c r="GO52" s="7"/>
      <c r="GV52" s="7"/>
      <c r="HC52" s="7"/>
      <c r="HJ52" s="7"/>
      <c r="HQ52" s="7"/>
      <c r="HX52" s="7"/>
      <c r="IE52" s="7"/>
      <c r="IL52" s="7"/>
      <c r="IS52" s="7"/>
      <c r="IZ52" s="7"/>
      <c r="JG52" s="7"/>
      <c r="JN52" s="7"/>
      <c r="JU52" s="7"/>
      <c r="KB52" s="7"/>
      <c r="KI52" s="7"/>
      <c r="KP52" s="7"/>
      <c r="KW52" s="7"/>
      <c r="LD52" s="7"/>
      <c r="LK52" s="7"/>
      <c r="LR52" s="7"/>
      <c r="LY52" s="7"/>
      <c r="MF52" s="7"/>
      <c r="MM52" s="7"/>
      <c r="MT52" s="7"/>
    </row>
    <row r="53" spans="1:358"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26</v>
      </c>
      <c r="Q53" s="109">
        <f t="shared" si="355"/>
        <v>81.25</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GA53" s="7"/>
      <c r="GH53" s="7"/>
      <c r="GO53" s="7"/>
      <c r="GV53" s="7"/>
      <c r="HC53" s="7"/>
      <c r="HJ53" s="7"/>
      <c r="HQ53" s="7"/>
      <c r="HX53" s="7"/>
      <c r="IE53" s="7"/>
      <c r="IL53" s="7"/>
      <c r="IS53" s="7"/>
      <c r="IZ53" s="7"/>
      <c r="JG53" s="7"/>
      <c r="JN53" s="7"/>
      <c r="JU53" s="7"/>
      <c r="KB53" s="7"/>
      <c r="KI53" s="7"/>
      <c r="KP53" s="7"/>
      <c r="KW53" s="7"/>
      <c r="LD53" s="7"/>
      <c r="LK53" s="7"/>
      <c r="LR53" s="7"/>
      <c r="LY53" s="7"/>
      <c r="MF53" s="7"/>
      <c r="MM53" s="7"/>
      <c r="MT53" s="7"/>
    </row>
    <row r="54" spans="1:358"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9">
        <f t="shared" si="355"/>
        <v>9.375</v>
      </c>
      <c r="R54" s="84"/>
      <c r="S54" s="7"/>
      <c r="Z54" s="7"/>
      <c r="AG54" s="7"/>
      <c r="AI54">
        <v>1</v>
      </c>
      <c r="AK54">
        <v>1</v>
      </c>
      <c r="AN54" s="7"/>
      <c r="AU54" s="7"/>
      <c r="AW54">
        <v>1</v>
      </c>
      <c r="BB54" s="7"/>
      <c r="BI54" s="7"/>
      <c r="BP54" s="7"/>
      <c r="BY54" s="7"/>
      <c r="CH54" s="7"/>
      <c r="CQ54" s="7"/>
      <c r="CZ54" s="7"/>
      <c r="DI54" s="7"/>
      <c r="DR54" s="7"/>
      <c r="EA54" s="7"/>
      <c r="EJ54" s="7"/>
      <c r="ES54" s="7"/>
      <c r="FB54" s="7"/>
      <c r="FK54" s="7"/>
      <c r="FT54" s="7"/>
      <c r="GA54" s="7"/>
      <c r="GH54" s="7"/>
      <c r="GO54" s="7"/>
      <c r="GV54" s="7"/>
      <c r="HC54" s="7"/>
      <c r="HJ54" s="7"/>
      <c r="HQ54" s="7"/>
      <c r="HX54" s="7"/>
      <c r="IE54" s="7"/>
      <c r="IL54" s="7"/>
      <c r="IS54" s="7"/>
      <c r="IZ54" s="7"/>
      <c r="JG54" s="7"/>
      <c r="JN54" s="7"/>
      <c r="JU54" s="7"/>
      <c r="KB54" s="7"/>
      <c r="KI54" s="7"/>
      <c r="KP54" s="7"/>
      <c r="KW54" s="7"/>
      <c r="LD54" s="7"/>
      <c r="LK54" s="7"/>
      <c r="LR54" s="7"/>
      <c r="LY54" s="7"/>
      <c r="MF54" s="7"/>
      <c r="MM54" s="7"/>
      <c r="MT54" s="7"/>
    </row>
    <row r="55" spans="1:358"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22</v>
      </c>
      <c r="Q55" s="109">
        <f t="shared" si="355"/>
        <v>68.75</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A55" s="7"/>
      <c r="GH55" s="7"/>
      <c r="GO55" s="7"/>
      <c r="GV55" s="7"/>
      <c r="HC55" s="7"/>
      <c r="HJ55" s="7"/>
      <c r="HQ55" s="7"/>
      <c r="HX55" s="7"/>
      <c r="IE55" s="7"/>
      <c r="IL55" s="7"/>
      <c r="IS55" s="7"/>
      <c r="IZ55" s="7"/>
      <c r="JG55" s="7"/>
      <c r="JN55" s="7"/>
      <c r="JU55" s="7"/>
      <c r="KB55" s="7"/>
      <c r="KI55" s="7"/>
      <c r="KP55" s="7"/>
      <c r="KW55" s="7"/>
      <c r="LD55" s="7"/>
      <c r="LK55" s="7"/>
      <c r="LR55" s="7"/>
      <c r="LY55" s="7"/>
      <c r="MF55" s="7"/>
      <c r="MM55" s="7"/>
      <c r="MT55" s="7"/>
    </row>
    <row r="56" spans="1:358"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9">
        <f t="shared" si="355"/>
        <v>15.625</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479</v>
      </c>
      <c r="FK56" s="7"/>
      <c r="FT56" s="7"/>
      <c r="GA56" s="7"/>
      <c r="GH56" s="7"/>
      <c r="GO56" s="7"/>
      <c r="GV56" s="7"/>
      <c r="HC56" s="7"/>
      <c r="HJ56" s="7"/>
      <c r="HQ56" s="7"/>
      <c r="HX56" s="7"/>
      <c r="IE56" s="7"/>
      <c r="IL56" s="7"/>
      <c r="IS56" s="7"/>
      <c r="IZ56" s="7"/>
      <c r="JG56" s="7"/>
      <c r="JN56" s="7"/>
      <c r="JU56" s="7"/>
      <c r="KB56" s="7"/>
      <c r="KI56" s="7"/>
      <c r="KP56" s="7"/>
      <c r="KW56" s="7"/>
      <c r="LD56" s="7"/>
      <c r="LK56" s="7"/>
      <c r="LR56" s="7"/>
      <c r="LY56" s="7"/>
      <c r="MF56" s="7"/>
      <c r="MM56" s="7"/>
      <c r="MT56" s="7"/>
    </row>
    <row r="57" spans="1:358"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27</v>
      </c>
      <c r="Q57" s="109">
        <f t="shared" si="355"/>
        <v>84.375</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GA57" s="7"/>
      <c r="GH57" s="7"/>
      <c r="GO57" s="7"/>
      <c r="GV57" s="7"/>
      <c r="HC57" s="7"/>
      <c r="HJ57" s="7"/>
      <c r="HQ57" s="7"/>
      <c r="HX57" s="7"/>
      <c r="IE57" s="7"/>
      <c r="IL57" s="7"/>
      <c r="IS57" s="7"/>
      <c r="IZ57" s="7"/>
      <c r="JG57" s="7"/>
      <c r="JN57" s="7"/>
      <c r="JU57" s="7"/>
      <c r="KB57" s="7"/>
      <c r="KI57" s="7"/>
      <c r="KP57" s="7"/>
      <c r="KW57" s="7"/>
      <c r="LD57" s="7"/>
      <c r="LK57" s="7"/>
      <c r="LR57" s="7"/>
      <c r="LY57" s="7"/>
      <c r="MF57" s="7"/>
      <c r="MM57" s="7"/>
      <c r="MT57" s="7"/>
    </row>
    <row r="58" spans="1:358" x14ac:dyDescent="0.25">
      <c r="A58" s="8" t="s">
        <v>80</v>
      </c>
      <c r="B58" s="8"/>
      <c r="C58" s="8" t="s">
        <v>79</v>
      </c>
      <c r="D58" s="8" t="s">
        <v>78</v>
      </c>
      <c r="E58" s="18">
        <v>39927</v>
      </c>
      <c r="F58" s="10">
        <f t="shared" si="353"/>
        <v>1</v>
      </c>
      <c r="G58" s="19">
        <f t="shared" si="353"/>
        <v>1</v>
      </c>
      <c r="H58" s="19">
        <f t="shared" si="353"/>
        <v>1</v>
      </c>
      <c r="I58" s="8">
        <f t="shared" si="353"/>
        <v>1</v>
      </c>
      <c r="J58" s="8">
        <f t="shared" si="353"/>
        <v>1</v>
      </c>
      <c r="K58" s="8">
        <f t="shared" si="353"/>
        <v>1</v>
      </c>
      <c r="L58" s="8" t="str">
        <f t="shared" si="353"/>
        <v/>
      </c>
      <c r="M58" s="8">
        <v>1</v>
      </c>
      <c r="N58" s="8"/>
      <c r="O58" s="9"/>
      <c r="P58" s="8">
        <f t="shared" si="354"/>
        <v>6</v>
      </c>
      <c r="Q58" s="109">
        <f t="shared" si="355"/>
        <v>18.75</v>
      </c>
      <c r="R58" s="84"/>
      <c r="S58" s="7"/>
      <c r="Z58" s="7"/>
      <c r="AG58" s="7"/>
      <c r="AI58">
        <v>1</v>
      </c>
      <c r="AK58">
        <v>1</v>
      </c>
      <c r="AN58" s="7"/>
      <c r="AP58">
        <v>1</v>
      </c>
      <c r="AU58" s="7"/>
      <c r="AW58">
        <v>1</v>
      </c>
      <c r="BB58" s="7"/>
      <c r="BI58" s="7"/>
      <c r="BP58" s="7"/>
      <c r="BY58" s="7"/>
      <c r="CH58" s="7"/>
      <c r="CQ58" s="7"/>
      <c r="CZ58" s="7"/>
      <c r="DI58" s="7"/>
      <c r="DR58" s="7"/>
      <c r="EA58" s="7"/>
      <c r="EJ58" s="7"/>
      <c r="ES58" s="7"/>
      <c r="EW58">
        <v>1</v>
      </c>
      <c r="FB58" s="7"/>
      <c r="FD58">
        <v>1</v>
      </c>
      <c r="FK58" s="7"/>
      <c r="FT58" s="7"/>
      <c r="GA58" s="7"/>
      <c r="GH58" s="7"/>
      <c r="GO58" s="7"/>
      <c r="GV58" s="7"/>
      <c r="HC58" s="7"/>
      <c r="HJ58" s="7"/>
      <c r="HQ58" s="7"/>
      <c r="HX58" s="7"/>
      <c r="IE58" s="7"/>
      <c r="IL58" s="7"/>
      <c r="IS58" s="7"/>
      <c r="IZ58" s="7"/>
      <c r="JG58" s="7"/>
      <c r="JN58" s="7"/>
      <c r="JU58" s="7"/>
      <c r="KB58" s="7"/>
      <c r="KI58" s="7"/>
      <c r="KP58" s="7"/>
      <c r="KW58" s="7"/>
      <c r="LD58" s="7"/>
      <c r="LK58" s="7"/>
      <c r="LR58" s="7"/>
      <c r="LY58" s="7"/>
      <c r="MF58" s="7"/>
      <c r="MM58" s="7"/>
      <c r="MT58" s="7"/>
    </row>
    <row r="59" spans="1:358" x14ac:dyDescent="0.25">
      <c r="A59" s="8" t="s">
        <v>77</v>
      </c>
      <c r="B59" s="8" t="s">
        <v>76</v>
      </c>
      <c r="C59" s="8" t="s">
        <v>75</v>
      </c>
      <c r="D59" s="8" t="s">
        <v>74</v>
      </c>
      <c r="E59" s="18">
        <v>40051</v>
      </c>
      <c r="F59" s="10">
        <f t="shared" ref="F59:L67" si="356">IF($E59 &gt;= F$44, 1, "")</f>
        <v>1</v>
      </c>
      <c r="G59" s="19">
        <f t="shared" si="356"/>
        <v>1</v>
      </c>
      <c r="H59" s="19">
        <f t="shared" si="356"/>
        <v>1</v>
      </c>
      <c r="I59" s="8">
        <f t="shared" si="356"/>
        <v>1</v>
      </c>
      <c r="J59" s="8">
        <f t="shared" si="356"/>
        <v>1</v>
      </c>
      <c r="K59" s="8">
        <f t="shared" si="356"/>
        <v>1</v>
      </c>
      <c r="L59" s="8" t="str">
        <f t="shared" si="356"/>
        <v/>
      </c>
      <c r="M59" s="8">
        <v>1</v>
      </c>
      <c r="N59" s="8"/>
      <c r="O59" s="9"/>
      <c r="P59" s="8">
        <f t="shared" si="354"/>
        <v>10</v>
      </c>
      <c r="Q59" s="109">
        <f t="shared" si="355"/>
        <v>31.25</v>
      </c>
      <c r="R59" s="84"/>
      <c r="S59" s="7"/>
      <c r="Z59" s="7"/>
      <c r="AG59" s="7"/>
      <c r="AI59">
        <v>1</v>
      </c>
      <c r="AN59" s="7"/>
      <c r="AP59">
        <v>1</v>
      </c>
      <c r="AU59" s="7"/>
      <c r="AW59">
        <v>1</v>
      </c>
      <c r="AX59">
        <v>1</v>
      </c>
      <c r="BB59" s="7"/>
      <c r="BD59">
        <v>1</v>
      </c>
      <c r="BI59" s="7"/>
      <c r="BK59">
        <v>1</v>
      </c>
      <c r="BN59">
        <v>1</v>
      </c>
      <c r="BP59" s="7"/>
      <c r="BY59" s="7"/>
      <c r="CH59" s="7"/>
      <c r="CQ59" s="7"/>
      <c r="CZ59" s="7"/>
      <c r="DI59" s="7"/>
      <c r="DR59" s="7"/>
      <c r="EA59" s="7"/>
      <c r="EJ59" s="7"/>
      <c r="ES59" s="7"/>
      <c r="EU59">
        <v>1</v>
      </c>
      <c r="EX59">
        <v>1</v>
      </c>
      <c r="FB59" s="7"/>
      <c r="FK59" s="7"/>
      <c r="FM59">
        <v>1</v>
      </c>
      <c r="FT59" s="7"/>
      <c r="GA59" s="7"/>
      <c r="GH59" s="7"/>
      <c r="GO59" s="7"/>
      <c r="GV59" s="7"/>
      <c r="HC59" s="7"/>
      <c r="HJ59" s="7"/>
      <c r="HQ59" s="7"/>
      <c r="HX59" s="7"/>
      <c r="IE59" s="7"/>
      <c r="IL59" s="7"/>
      <c r="IS59" s="7"/>
      <c r="IZ59" s="7"/>
      <c r="JG59" s="7"/>
      <c r="JN59" s="7"/>
      <c r="JU59" s="7"/>
      <c r="KB59" s="7"/>
      <c r="KI59" s="7"/>
      <c r="KP59" s="7"/>
      <c r="KW59" s="7"/>
      <c r="LD59" s="7"/>
      <c r="LK59" s="7"/>
      <c r="LR59" s="7"/>
      <c r="LY59" s="7"/>
      <c r="MF59" s="7"/>
      <c r="MM59" s="7"/>
      <c r="MT59" s="7"/>
    </row>
    <row r="60" spans="1:358" x14ac:dyDescent="0.25">
      <c r="A60" s="8" t="s">
        <v>73</v>
      </c>
      <c r="B60" s="8"/>
      <c r="C60" s="8" t="s">
        <v>27</v>
      </c>
      <c r="D60" s="8" t="s">
        <v>70</v>
      </c>
      <c r="E60" s="18">
        <v>40004</v>
      </c>
      <c r="F60" s="10">
        <f t="shared" si="356"/>
        <v>1</v>
      </c>
      <c r="G60" s="19">
        <f t="shared" si="356"/>
        <v>1</v>
      </c>
      <c r="H60" s="19">
        <f t="shared" si="356"/>
        <v>1</v>
      </c>
      <c r="I60" s="8">
        <f t="shared" si="356"/>
        <v>1</v>
      </c>
      <c r="J60" s="8">
        <f t="shared" si="356"/>
        <v>1</v>
      </c>
      <c r="K60" s="8">
        <f t="shared" si="356"/>
        <v>1</v>
      </c>
      <c r="L60" s="8" t="str">
        <f t="shared" si="356"/>
        <v/>
      </c>
      <c r="M60" s="8">
        <v>1</v>
      </c>
      <c r="N60" s="8"/>
      <c r="O60" s="9"/>
      <c r="P60" s="8">
        <f t="shared" si="354"/>
        <v>9</v>
      </c>
      <c r="Q60" s="109">
        <f t="shared" si="355"/>
        <v>28.125</v>
      </c>
      <c r="R60" s="84"/>
      <c r="S60" s="7"/>
      <c r="Z60" s="7"/>
      <c r="AG60" s="7"/>
      <c r="AI60">
        <v>1</v>
      </c>
      <c r="AN60" s="7"/>
      <c r="AP60">
        <v>1</v>
      </c>
      <c r="AR60">
        <v>1</v>
      </c>
      <c r="AU60" s="7"/>
      <c r="AW60">
        <v>1</v>
      </c>
      <c r="AY60">
        <v>1</v>
      </c>
      <c r="BB60" s="7"/>
      <c r="BD60">
        <v>1</v>
      </c>
      <c r="BI60" s="7"/>
      <c r="BK60">
        <v>1</v>
      </c>
      <c r="BM60">
        <v>1</v>
      </c>
      <c r="BP60" s="7"/>
      <c r="BY60" s="7"/>
      <c r="CH60" s="7"/>
      <c r="CQ60" s="7"/>
      <c r="CZ60" s="7"/>
      <c r="DI60" s="7"/>
      <c r="DR60" s="7"/>
      <c r="EA60" s="7"/>
      <c r="EJ60" s="7"/>
      <c r="ES60" s="7"/>
      <c r="FB60" s="7"/>
      <c r="FF60">
        <v>1</v>
      </c>
      <c r="FK60" s="7"/>
      <c r="FT60" s="7"/>
      <c r="GA60" s="7"/>
      <c r="GH60" s="7"/>
      <c r="GO60" s="7"/>
      <c r="GV60" s="7"/>
      <c r="HC60" s="7"/>
      <c r="HJ60" s="7"/>
      <c r="HQ60" s="7"/>
      <c r="HX60" s="7"/>
      <c r="IE60" s="7"/>
      <c r="IL60" s="7"/>
      <c r="IS60" s="7"/>
      <c r="IZ60" s="7"/>
      <c r="JG60" s="7"/>
      <c r="JN60" s="7"/>
      <c r="JU60" s="7"/>
      <c r="KB60" s="7"/>
      <c r="KI60" s="7"/>
      <c r="KP60" s="7"/>
      <c r="KW60" s="7"/>
      <c r="LD60" s="7"/>
      <c r="LK60" s="7"/>
      <c r="LR60" s="7"/>
      <c r="LY60" s="7"/>
      <c r="MF60" s="7"/>
      <c r="MM60" s="7"/>
      <c r="MT60" s="7"/>
    </row>
    <row r="61" spans="1:358" x14ac:dyDescent="0.25">
      <c r="A61" s="8" t="s">
        <v>72</v>
      </c>
      <c r="B61" s="8"/>
      <c r="C61" s="8" t="s">
        <v>71</v>
      </c>
      <c r="D61" s="8" t="s">
        <v>70</v>
      </c>
      <c r="E61" s="18">
        <v>40179</v>
      </c>
      <c r="F61" s="10">
        <f t="shared" si="356"/>
        <v>1</v>
      </c>
      <c r="G61" s="19">
        <f t="shared" si="356"/>
        <v>1</v>
      </c>
      <c r="H61" s="19">
        <f t="shared" si="356"/>
        <v>1</v>
      </c>
      <c r="I61" s="8">
        <f t="shared" si="356"/>
        <v>1</v>
      </c>
      <c r="J61" s="8">
        <f t="shared" si="356"/>
        <v>1</v>
      </c>
      <c r="K61" s="8">
        <f t="shared" si="356"/>
        <v>1</v>
      </c>
      <c r="L61" s="8">
        <f t="shared" si="356"/>
        <v>1</v>
      </c>
      <c r="M61" s="8"/>
      <c r="N61" s="8"/>
      <c r="O61" s="9"/>
      <c r="P61" s="8">
        <f t="shared" si="354"/>
        <v>3</v>
      </c>
      <c r="Q61" s="109">
        <f t="shared" si="355"/>
        <v>9.375</v>
      </c>
      <c r="R61" s="84"/>
      <c r="S61" s="7"/>
      <c r="Z61" s="7"/>
      <c r="AG61" s="7"/>
      <c r="AN61" s="7"/>
      <c r="AU61" s="7"/>
      <c r="BB61" s="7"/>
      <c r="BI61" s="7"/>
      <c r="BP61" s="7"/>
      <c r="BY61" s="7"/>
      <c r="CH61" s="7"/>
      <c r="CQ61" s="7"/>
      <c r="CZ61" s="7"/>
      <c r="DI61" s="7"/>
      <c r="DR61" s="7"/>
      <c r="EA61" s="7"/>
      <c r="EJ61" s="7"/>
      <c r="ES61" s="7"/>
      <c r="FB61" s="7"/>
      <c r="FD61">
        <v>1</v>
      </c>
      <c r="FF61">
        <v>1</v>
      </c>
      <c r="FK61" s="7"/>
      <c r="FO61">
        <v>1</v>
      </c>
      <c r="FT61" s="7"/>
      <c r="GA61" s="7"/>
      <c r="GH61" s="7"/>
      <c r="GO61" s="7"/>
      <c r="GV61" s="7"/>
      <c r="HC61" s="7"/>
      <c r="HJ61" s="7"/>
      <c r="HQ61" s="7"/>
      <c r="HX61" s="7"/>
      <c r="IE61" s="7"/>
      <c r="IL61" s="7"/>
      <c r="IS61" s="7"/>
      <c r="IZ61" s="7"/>
      <c r="JG61" s="7"/>
      <c r="JN61" s="7"/>
      <c r="JU61" s="7"/>
      <c r="KB61" s="7"/>
      <c r="KI61" s="7"/>
      <c r="KP61" s="7"/>
      <c r="KW61" s="7"/>
      <c r="LD61" s="7"/>
      <c r="LK61" s="7"/>
      <c r="LR61" s="7"/>
      <c r="LY61" s="7"/>
      <c r="MF61" s="7"/>
      <c r="MM61" s="7"/>
      <c r="MT61" s="7"/>
    </row>
    <row r="62" spans="1:358" x14ac:dyDescent="0.25">
      <c r="A62" s="8" t="s">
        <v>58</v>
      </c>
      <c r="B62" s="8"/>
      <c r="C62" s="8" t="s">
        <v>530</v>
      </c>
      <c r="D62" s="8" t="s">
        <v>526</v>
      </c>
      <c r="E62" s="18">
        <v>39448</v>
      </c>
      <c r="F62" s="10">
        <f t="shared" si="356"/>
        <v>1</v>
      </c>
      <c r="G62" s="19">
        <f t="shared" si="356"/>
        <v>1</v>
      </c>
      <c r="H62" s="19">
        <f t="shared" si="356"/>
        <v>1</v>
      </c>
      <c r="I62" s="8">
        <f t="shared" si="356"/>
        <v>1</v>
      </c>
      <c r="J62" s="8">
        <f t="shared" si="356"/>
        <v>1</v>
      </c>
      <c r="K62" s="8" t="str">
        <f t="shared" si="356"/>
        <v/>
      </c>
      <c r="L62" s="8" t="str">
        <f t="shared" si="356"/>
        <v/>
      </c>
      <c r="M62" s="8">
        <v>1</v>
      </c>
      <c r="N62" s="8"/>
      <c r="O62" s="9"/>
      <c r="P62" s="8">
        <f t="shared" si="354"/>
        <v>1</v>
      </c>
      <c r="Q62" s="109">
        <f t="shared" si="355"/>
        <v>3.125</v>
      </c>
      <c r="R62" s="84"/>
      <c r="S62" s="7"/>
      <c r="Z62" s="7"/>
      <c r="AG62" s="7"/>
      <c r="AN62" s="7"/>
      <c r="AU62" s="7"/>
      <c r="BB62" s="7"/>
      <c r="BI62" s="7"/>
      <c r="BP62" s="7"/>
      <c r="BY62" s="7"/>
      <c r="CH62" s="7"/>
      <c r="CQ62" s="7"/>
      <c r="CZ62" s="7"/>
      <c r="DI62" s="7"/>
      <c r="DR62" s="7"/>
      <c r="EA62" s="7"/>
      <c r="EJ62" s="7"/>
      <c r="ES62" s="7"/>
      <c r="EU62">
        <v>1</v>
      </c>
      <c r="FB62" s="7"/>
      <c r="FK62" s="7"/>
      <c r="FT62" s="7"/>
      <c r="GA62" s="7"/>
      <c r="GH62" s="7"/>
      <c r="GO62" s="7"/>
      <c r="GV62" s="7"/>
      <c r="HC62" s="7"/>
      <c r="HJ62" s="7"/>
      <c r="HQ62" s="7"/>
      <c r="HX62" s="7"/>
      <c r="IE62" s="7"/>
      <c r="IL62" s="7"/>
      <c r="IS62" s="7"/>
      <c r="IZ62" s="7"/>
      <c r="JG62" s="7"/>
      <c r="JN62" s="7"/>
      <c r="JU62" s="7"/>
      <c r="KB62" s="7"/>
      <c r="KI62" s="7"/>
      <c r="KP62" s="7"/>
      <c r="KW62" s="7"/>
      <c r="LD62" s="7"/>
      <c r="LK62" s="7"/>
      <c r="LR62" s="7"/>
      <c r="LY62" s="7"/>
      <c r="MF62" s="7"/>
      <c r="MM62" s="7"/>
      <c r="MT62" s="7"/>
    </row>
    <row r="63" spans="1:358" hidden="1" x14ac:dyDescent="0.25">
      <c r="A63" s="8"/>
      <c r="B63" s="8"/>
      <c r="C63" s="8"/>
      <c r="D63" s="8"/>
      <c r="E63" s="18"/>
      <c r="F63" s="10" t="str">
        <f t="shared" si="356"/>
        <v/>
      </c>
      <c r="G63" s="19" t="str">
        <f t="shared" si="356"/>
        <v/>
      </c>
      <c r="H63" s="19" t="str">
        <f t="shared" si="356"/>
        <v/>
      </c>
      <c r="I63" s="8" t="str">
        <f t="shared" si="356"/>
        <v/>
      </c>
      <c r="J63" s="8" t="str">
        <f t="shared" si="356"/>
        <v/>
      </c>
      <c r="K63" s="8" t="str">
        <f t="shared" si="356"/>
        <v/>
      </c>
      <c r="L63" s="8" t="str">
        <f t="shared" si="356"/>
        <v/>
      </c>
      <c r="M63" s="8"/>
      <c r="N63" s="8"/>
      <c r="O63" s="9"/>
      <c r="P63" s="8" t="str">
        <f t="shared" si="354"/>
        <v/>
      </c>
      <c r="Q63" s="109" t="str">
        <f t="shared" si="355"/>
        <v/>
      </c>
      <c r="R63" s="84" t="str">
        <f>IF(SUM(S63:XFD63) &gt; 0, SUM(S63:XFD63) / $P$68 * 100, "")</f>
        <v/>
      </c>
      <c r="S63" s="7"/>
      <c r="Z63" s="7"/>
      <c r="AG63" s="7"/>
      <c r="AN63" s="7"/>
      <c r="AU63" s="7"/>
      <c r="BB63" s="7"/>
      <c r="BI63" s="7"/>
      <c r="BP63" s="7"/>
      <c r="BY63" s="7"/>
      <c r="CH63" s="7"/>
      <c r="CQ63" s="7"/>
      <c r="CZ63" s="7"/>
      <c r="DI63" s="7"/>
      <c r="DR63" s="7"/>
      <c r="EA63" s="7"/>
      <c r="EJ63" s="7"/>
      <c r="ES63" s="7"/>
      <c r="FB63" s="7"/>
      <c r="FK63" s="7"/>
      <c r="FT63" s="7"/>
      <c r="GA63" s="7"/>
      <c r="GH63" s="7"/>
      <c r="GO63" s="7"/>
      <c r="GV63" s="7"/>
      <c r="HC63" s="7"/>
      <c r="HJ63" s="7"/>
      <c r="HQ63" s="7"/>
      <c r="HX63" s="7"/>
      <c r="IE63" s="7"/>
      <c r="IL63" s="7"/>
      <c r="IS63" s="7"/>
      <c r="IZ63" s="7"/>
      <c r="JG63" s="7"/>
      <c r="JN63" s="7"/>
      <c r="JU63" s="7"/>
      <c r="KB63" s="7"/>
      <c r="KI63" s="7"/>
      <c r="KP63" s="7"/>
      <c r="KW63" s="7"/>
      <c r="LD63" s="7"/>
      <c r="LK63" s="7"/>
      <c r="LR63" s="7"/>
      <c r="LY63" s="7"/>
      <c r="MF63" s="7"/>
      <c r="MM63" s="7"/>
      <c r="MT63" s="7"/>
    </row>
    <row r="64" spans="1:358" hidden="1" x14ac:dyDescent="0.25">
      <c r="A64" s="8"/>
      <c r="B64" s="8"/>
      <c r="C64" s="8"/>
      <c r="D64" s="8"/>
      <c r="E64" s="18"/>
      <c r="F64" s="10" t="str">
        <f t="shared" si="356"/>
        <v/>
      </c>
      <c r="G64" s="19" t="str">
        <f t="shared" si="356"/>
        <v/>
      </c>
      <c r="H64" s="19" t="str">
        <f t="shared" si="356"/>
        <v/>
      </c>
      <c r="I64" s="8" t="str">
        <f t="shared" si="356"/>
        <v/>
      </c>
      <c r="J64" s="8" t="str">
        <f t="shared" si="356"/>
        <v/>
      </c>
      <c r="K64" s="8" t="str">
        <f t="shared" si="356"/>
        <v/>
      </c>
      <c r="L64" s="8" t="str">
        <f t="shared" si="356"/>
        <v/>
      </c>
      <c r="M64" s="8"/>
      <c r="N64" s="8"/>
      <c r="O64" s="9"/>
      <c r="P64" s="8" t="str">
        <f t="shared" si="354"/>
        <v/>
      </c>
      <c r="Q64" s="109" t="str">
        <f t="shared" si="355"/>
        <v/>
      </c>
      <c r="R64" s="84" t="str">
        <f>IF(SUM(S64:XFD64) &gt; 0, SUM(S64:XFD64) / $P$68 * 100, "")</f>
        <v/>
      </c>
      <c r="S64" s="7"/>
      <c r="Z64" s="7"/>
      <c r="AG64" s="7"/>
      <c r="AN64" s="7"/>
      <c r="AU64" s="7"/>
      <c r="BB64" s="7"/>
      <c r="BI64" s="7"/>
      <c r="BP64" s="7"/>
      <c r="BY64" s="7"/>
      <c r="CH64" s="7"/>
      <c r="CQ64" s="7"/>
      <c r="CZ64" s="7"/>
      <c r="DI64" s="7"/>
      <c r="DR64" s="7"/>
      <c r="EA64" s="7"/>
      <c r="EJ64" s="7"/>
      <c r="ES64" s="7"/>
      <c r="FB64" s="7"/>
      <c r="FK64" s="7"/>
      <c r="FT64" s="7"/>
      <c r="GA64" s="7"/>
      <c r="GH64" s="7"/>
      <c r="GO64" s="7"/>
      <c r="GV64" s="7"/>
      <c r="HC64" s="7"/>
      <c r="HJ64" s="7"/>
      <c r="HQ64" s="7"/>
      <c r="HX64" s="7"/>
      <c r="IE64" s="7"/>
      <c r="IL64" s="7"/>
      <c r="IS64" s="7"/>
      <c r="IZ64" s="7"/>
      <c r="JG64" s="7"/>
      <c r="JN64" s="7"/>
      <c r="JU64" s="7"/>
      <c r="KB64" s="7"/>
      <c r="KI64" s="7"/>
      <c r="KP64" s="7"/>
      <c r="KW64" s="7"/>
      <c r="LD64" s="7"/>
      <c r="LK64" s="7"/>
      <c r="LR64" s="7"/>
      <c r="LY64" s="7"/>
      <c r="MF64" s="7"/>
      <c r="MM64" s="7"/>
      <c r="MT64" s="7"/>
    </row>
    <row r="65" spans="1:358" hidden="1" x14ac:dyDescent="0.25">
      <c r="A65" s="8"/>
      <c r="B65" s="8"/>
      <c r="C65" s="8"/>
      <c r="D65" s="8"/>
      <c r="E65" s="18"/>
      <c r="F65" s="10" t="str">
        <f t="shared" si="356"/>
        <v/>
      </c>
      <c r="G65" s="19" t="str">
        <f t="shared" si="356"/>
        <v/>
      </c>
      <c r="H65" s="19" t="str">
        <f t="shared" si="356"/>
        <v/>
      </c>
      <c r="I65" s="8" t="str">
        <f t="shared" si="356"/>
        <v/>
      </c>
      <c r="J65" s="8" t="str">
        <f t="shared" si="356"/>
        <v/>
      </c>
      <c r="K65" s="8" t="str">
        <f t="shared" si="356"/>
        <v/>
      </c>
      <c r="L65" s="8" t="str">
        <f t="shared" si="356"/>
        <v/>
      </c>
      <c r="M65" s="8"/>
      <c r="N65" s="8"/>
      <c r="O65" s="9"/>
      <c r="P65" s="8" t="str">
        <f t="shared" si="354"/>
        <v/>
      </c>
      <c r="Q65" s="109" t="str">
        <f t="shared" si="355"/>
        <v/>
      </c>
      <c r="R65" s="84" t="str">
        <f>IF(SUM(S65:XFD65) &gt; 0, SUM(S65:XFD65) / $P$68 * 100, "")</f>
        <v/>
      </c>
      <c r="S65" s="7"/>
      <c r="Z65" s="7"/>
      <c r="AG65" s="7"/>
      <c r="AN65" s="7"/>
      <c r="AU65" s="7"/>
      <c r="BB65" s="7"/>
      <c r="BI65" s="7"/>
      <c r="BP65" s="7"/>
      <c r="BY65" s="7"/>
      <c r="CH65" s="7"/>
      <c r="CQ65" s="7"/>
      <c r="CZ65" s="7"/>
      <c r="DI65" s="7"/>
      <c r="DR65" s="7"/>
      <c r="EA65" s="7"/>
      <c r="EJ65" s="7"/>
      <c r="ES65" s="7"/>
      <c r="FB65" s="7"/>
      <c r="FK65" s="7"/>
      <c r="FT65" s="7"/>
      <c r="GA65" s="7"/>
      <c r="GH65" s="7"/>
      <c r="GO65" s="7"/>
      <c r="GV65" s="7"/>
      <c r="HC65" s="7"/>
      <c r="HJ65" s="7"/>
      <c r="HQ65" s="7"/>
      <c r="HX65" s="7"/>
      <c r="IE65" s="7"/>
      <c r="IL65" s="7"/>
      <c r="IS65" s="7"/>
      <c r="IZ65" s="7"/>
      <c r="JG65" s="7"/>
      <c r="JN65" s="7"/>
      <c r="JU65" s="7"/>
      <c r="KB65" s="7"/>
      <c r="KI65" s="7"/>
      <c r="KP65" s="7"/>
      <c r="KW65" s="7"/>
      <c r="LD65" s="7"/>
      <c r="LK65" s="7"/>
      <c r="LR65" s="7"/>
      <c r="LY65" s="7"/>
      <c r="MF65" s="7"/>
      <c r="MM65" s="7"/>
      <c r="MT65" s="7"/>
    </row>
    <row r="66" spans="1:358" x14ac:dyDescent="0.25">
      <c r="A66" s="8" t="s">
        <v>80</v>
      </c>
      <c r="B66" s="8"/>
      <c r="C66" s="8"/>
      <c r="D66" s="8" t="s">
        <v>561</v>
      </c>
      <c r="E66" s="146" t="s">
        <v>562</v>
      </c>
      <c r="F66" s="10"/>
      <c r="G66" s="19"/>
      <c r="H66" s="19"/>
      <c r="I66" s="8"/>
      <c r="J66" s="8"/>
      <c r="K66" s="8"/>
      <c r="L66" s="8"/>
      <c r="M66" s="8"/>
      <c r="N66" s="8"/>
      <c r="O66" s="9"/>
      <c r="P66" s="8">
        <f t="shared" ref="P66" si="357">IF(SUM(S66:MT66) &gt; 0, SUM(S66:MT66), "")</f>
        <v>1</v>
      </c>
      <c r="Q66" s="109">
        <f t="shared" si="355"/>
        <v>3.125</v>
      </c>
      <c r="R66" s="84"/>
      <c r="S66" s="7"/>
      <c r="Z66" s="7"/>
      <c r="AG66" s="7"/>
      <c r="AN66" s="7"/>
      <c r="AU66" s="7"/>
      <c r="BB66" s="7"/>
      <c r="BI66" s="7"/>
      <c r="BP66" s="7"/>
      <c r="BY66" s="7"/>
      <c r="CH66" s="7"/>
      <c r="CQ66" s="7"/>
      <c r="CZ66" s="7"/>
      <c r="DI66" s="7"/>
      <c r="DR66" s="7"/>
      <c r="EA66" s="7"/>
      <c r="EJ66" s="7"/>
      <c r="ES66" s="7"/>
      <c r="FB66" s="7"/>
      <c r="FK66" s="7"/>
      <c r="FP66">
        <v>1</v>
      </c>
      <c r="FT66" s="7"/>
      <c r="GA66" s="7"/>
      <c r="GH66" s="7"/>
      <c r="GO66" s="7"/>
      <c r="GV66" s="7"/>
      <c r="HC66" s="7"/>
      <c r="HJ66" s="7"/>
      <c r="HQ66" s="7"/>
      <c r="HX66" s="7"/>
      <c r="IE66" s="7"/>
      <c r="IL66" s="7"/>
      <c r="IS66" s="7"/>
      <c r="IZ66" s="7"/>
      <c r="JG66" s="7"/>
      <c r="JN66" s="7"/>
      <c r="JU66" s="7"/>
      <c r="KB66" s="7"/>
      <c r="KI66" s="7"/>
      <c r="KP66" s="7"/>
      <c r="KW66" s="7"/>
      <c r="LD66" s="7"/>
      <c r="LK66" s="7"/>
      <c r="LR66" s="7"/>
      <c r="LY66" s="7"/>
      <c r="MF66" s="7"/>
      <c r="MM66" s="7"/>
      <c r="MT66" s="7"/>
    </row>
    <row r="67" spans="1:358" ht="7.5" customHeight="1" x14ac:dyDescent="0.25">
      <c r="A67" s="8"/>
      <c r="B67" s="8"/>
      <c r="C67" s="8"/>
      <c r="D67" s="8"/>
      <c r="E67" s="18"/>
      <c r="F67" s="10" t="str">
        <f t="shared" si="356"/>
        <v/>
      </c>
      <c r="G67" s="19" t="str">
        <f t="shared" si="356"/>
        <v/>
      </c>
      <c r="H67" s="19" t="str">
        <f t="shared" si="356"/>
        <v/>
      </c>
      <c r="I67" s="19" t="str">
        <f t="shared" si="356"/>
        <v/>
      </c>
      <c r="J67" s="19" t="str">
        <f t="shared" si="356"/>
        <v/>
      </c>
      <c r="K67" s="19" t="str">
        <f t="shared" si="356"/>
        <v/>
      </c>
      <c r="L67" s="19" t="str">
        <f t="shared" si="356"/>
        <v/>
      </c>
      <c r="M67" s="8"/>
      <c r="N67" s="8"/>
      <c r="O67" s="9"/>
      <c r="P67" s="8" t="str">
        <f t="shared" si="354"/>
        <v/>
      </c>
      <c r="Q67" s="109" t="str">
        <f t="shared" si="355"/>
        <v/>
      </c>
      <c r="R67" s="84"/>
      <c r="S67" s="7"/>
      <c r="Z67" s="7"/>
      <c r="AG67" s="7"/>
      <c r="AN67" s="7"/>
      <c r="AU67" s="7"/>
      <c r="BB67" s="7"/>
      <c r="BI67" s="7"/>
      <c r="BP67" s="7"/>
      <c r="BY67" s="7"/>
      <c r="CH67" s="7"/>
      <c r="CQ67" s="7"/>
      <c r="CZ67" s="7"/>
      <c r="DI67" s="7"/>
      <c r="DR67" s="7"/>
      <c r="EA67" s="7"/>
      <c r="EJ67" s="7"/>
      <c r="ES67" s="7"/>
      <c r="FB67" s="7"/>
      <c r="FK67" s="7"/>
      <c r="FT67" s="7"/>
      <c r="GA67" s="7"/>
      <c r="GH67" s="7"/>
      <c r="GO67" s="7"/>
      <c r="GV67" s="7"/>
      <c r="HC67" s="7"/>
      <c r="HJ67" s="7"/>
      <c r="HQ67" s="7"/>
      <c r="HX67" s="7"/>
      <c r="IE67" s="7"/>
      <c r="IL67" s="7"/>
      <c r="IS67" s="7"/>
      <c r="IZ67" s="7"/>
      <c r="JG67" s="7"/>
      <c r="JN67" s="7"/>
      <c r="JU67" s="7"/>
      <c r="KB67" s="7"/>
      <c r="KI67" s="7"/>
      <c r="KP67" s="7"/>
      <c r="KW67" s="7"/>
      <c r="LD67" s="7"/>
      <c r="LK67" s="7"/>
      <c r="LR67" s="7"/>
      <c r="LY67" s="7"/>
      <c r="MF67" s="7"/>
      <c r="MM67" s="7"/>
      <c r="MT67" s="7"/>
    </row>
    <row r="68" spans="1:358" ht="15" customHeight="1" x14ac:dyDescent="0.25">
      <c r="A68" s="23" t="s">
        <v>18</v>
      </c>
      <c r="B68" s="20"/>
      <c r="C68" s="20"/>
      <c r="D68" s="20"/>
      <c r="E68" s="59"/>
      <c r="F68" s="20"/>
      <c r="G68" s="20"/>
      <c r="H68" s="20"/>
      <c r="I68" s="20"/>
      <c r="J68" s="20"/>
      <c r="K68" s="20"/>
      <c r="L68" s="20"/>
      <c r="M68" s="20"/>
      <c r="N68" s="20"/>
      <c r="O68" s="21"/>
      <c r="P68" s="3">
        <f>SUM(S68:MT68)</f>
        <v>32</v>
      </c>
      <c r="Q68" s="60"/>
      <c r="R68" s="82"/>
      <c r="S68" s="21"/>
      <c r="T68" s="20"/>
      <c r="U68" s="20"/>
      <c r="V68" s="20"/>
      <c r="W68" s="20"/>
      <c r="X68" s="20"/>
      <c r="Y68" s="20"/>
      <c r="Z68" s="21"/>
      <c r="AA68" s="20"/>
      <c r="AB68" s="20"/>
      <c r="AC68" s="20"/>
      <c r="AD68" s="20"/>
      <c r="AE68" s="20"/>
      <c r="AF68" s="20"/>
      <c r="AG68" s="21"/>
      <c r="AH68" s="20"/>
      <c r="AI68" s="20">
        <v>1</v>
      </c>
      <c r="AJ68" s="20"/>
      <c r="AK68" s="20">
        <v>1</v>
      </c>
      <c r="AL68" s="20"/>
      <c r="AM68" s="20"/>
      <c r="AN68" s="21"/>
      <c r="AO68" s="20"/>
      <c r="AP68" s="20">
        <v>1</v>
      </c>
      <c r="AQ68" s="20"/>
      <c r="AR68" s="20">
        <v>1</v>
      </c>
      <c r="AS68" s="20"/>
      <c r="AT68" s="20"/>
      <c r="AU68" s="21"/>
      <c r="AV68" s="20"/>
      <c r="AW68" s="20">
        <v>1</v>
      </c>
      <c r="AX68" s="20">
        <v>1</v>
      </c>
      <c r="AY68" s="20">
        <v>1</v>
      </c>
      <c r="AZ68" s="20"/>
      <c r="BA68" s="20"/>
      <c r="BB68" s="21"/>
      <c r="BC68" s="20"/>
      <c r="BD68" s="20">
        <v>1</v>
      </c>
      <c r="BE68" s="20"/>
      <c r="BF68" s="20">
        <v>1</v>
      </c>
      <c r="BG68" s="20"/>
      <c r="BH68" s="20"/>
      <c r="BI68" s="21"/>
      <c r="BJ68" s="20"/>
      <c r="BK68" s="20">
        <v>1</v>
      </c>
      <c r="BL68" s="20"/>
      <c r="BM68" s="20">
        <v>1</v>
      </c>
      <c r="BN68" s="20">
        <v>1</v>
      </c>
      <c r="BO68" s="20"/>
      <c r="BP68" s="21">
        <v>1</v>
      </c>
      <c r="BQ68" s="20"/>
      <c r="BR68" s="20"/>
      <c r="BS68" s="20"/>
      <c r="BT68" s="20"/>
      <c r="BU68" s="20"/>
      <c r="BV68" s="20"/>
      <c r="BW68" s="20">
        <v>1</v>
      </c>
      <c r="BX68" s="20"/>
      <c r="BY68" s="21"/>
      <c r="BZ68" s="20"/>
      <c r="CA68" s="20"/>
      <c r="CB68" s="20"/>
      <c r="CC68" s="20"/>
      <c r="CD68" s="20"/>
      <c r="CE68" s="20"/>
      <c r="CF68" s="20"/>
      <c r="CG68" s="20"/>
      <c r="CH68" s="21"/>
      <c r="CI68" s="20"/>
      <c r="CJ68" s="20"/>
      <c r="CK68" s="20"/>
      <c r="CL68" s="20"/>
      <c r="CM68" s="20"/>
      <c r="CN68" s="20"/>
      <c r="CO68" s="20"/>
      <c r="CP68" s="20"/>
      <c r="CQ68" s="21"/>
      <c r="CR68" s="20"/>
      <c r="CS68" s="20"/>
      <c r="CT68" s="20"/>
      <c r="CU68" s="20"/>
      <c r="CV68" s="20"/>
      <c r="CW68" s="20"/>
      <c r="CX68" s="20"/>
      <c r="CY68" s="20"/>
      <c r="CZ68" s="21"/>
      <c r="DA68" s="20"/>
      <c r="DB68" s="20"/>
      <c r="DC68" s="20"/>
      <c r="DD68" s="20"/>
      <c r="DE68" s="20"/>
      <c r="DF68" s="20"/>
      <c r="DG68" s="20"/>
      <c r="DH68" s="20"/>
      <c r="DI68" s="21"/>
      <c r="DJ68" s="20"/>
      <c r="DK68" s="20"/>
      <c r="DL68" s="20"/>
      <c r="DM68" s="20"/>
      <c r="DN68" s="20"/>
      <c r="DO68" s="20"/>
      <c r="DP68" s="20"/>
      <c r="DQ68" s="20"/>
      <c r="DR68" s="21"/>
      <c r="DS68" s="20"/>
      <c r="DT68" s="20">
        <v>1</v>
      </c>
      <c r="DU68" s="20"/>
      <c r="DV68" s="20">
        <v>1</v>
      </c>
      <c r="DW68" s="20">
        <v>1</v>
      </c>
      <c r="DX68" s="20"/>
      <c r="DY68" s="20"/>
      <c r="DZ68" s="20"/>
      <c r="EA68" s="21"/>
      <c r="EB68" s="20"/>
      <c r="EC68" s="20">
        <v>1</v>
      </c>
      <c r="ED68" s="20"/>
      <c r="EE68" s="20">
        <v>1</v>
      </c>
      <c r="EF68" s="20">
        <v>1</v>
      </c>
      <c r="EG68" s="20"/>
      <c r="EH68" s="20"/>
      <c r="EI68" s="20"/>
      <c r="EJ68" s="21"/>
      <c r="EK68" s="20"/>
      <c r="EL68" s="20">
        <v>1</v>
      </c>
      <c r="EM68" s="20"/>
      <c r="EN68" s="20">
        <v>1</v>
      </c>
      <c r="EO68" s="20">
        <v>1</v>
      </c>
      <c r="EP68" s="20"/>
      <c r="EQ68" s="20"/>
      <c r="ER68" s="20"/>
      <c r="ES68" s="21"/>
      <c r="ET68" s="20"/>
      <c r="EU68" s="20">
        <v>1</v>
      </c>
      <c r="EV68" s="20"/>
      <c r="EW68" s="20">
        <v>1</v>
      </c>
      <c r="EX68" s="20">
        <v>1</v>
      </c>
      <c r="EY68" s="20"/>
      <c r="EZ68" s="20"/>
      <c r="FA68" s="20"/>
      <c r="FB68" s="21"/>
      <c r="FC68" s="20"/>
      <c r="FD68" s="20">
        <v>1</v>
      </c>
      <c r="FE68" s="20"/>
      <c r="FF68" s="20">
        <v>1</v>
      </c>
      <c r="FG68" s="20">
        <v>1</v>
      </c>
      <c r="FH68" s="20"/>
      <c r="FI68" s="20"/>
      <c r="FJ68" s="20"/>
      <c r="FK68" s="21"/>
      <c r="FL68" s="20"/>
      <c r="FM68" s="20">
        <v>1</v>
      </c>
      <c r="FN68" s="20"/>
      <c r="FO68" s="20">
        <v>1</v>
      </c>
      <c r="FP68" s="20">
        <v>1</v>
      </c>
      <c r="FQ68" s="20"/>
      <c r="FR68" s="20"/>
      <c r="FS68" s="20"/>
      <c r="FT68" s="21"/>
      <c r="FU68" s="20"/>
      <c r="FV68" s="20"/>
      <c r="FW68" s="20"/>
      <c r="FX68" s="20"/>
      <c r="FY68" s="20"/>
      <c r="FZ68" s="20"/>
      <c r="GA68" s="21"/>
      <c r="GB68" s="20"/>
      <c r="GC68" s="20"/>
      <c r="GD68" s="20"/>
      <c r="GE68" s="20"/>
      <c r="GF68" s="20"/>
      <c r="GG68" s="20"/>
      <c r="GH68" s="21"/>
      <c r="GI68" s="20"/>
      <c r="GJ68" s="20"/>
      <c r="GK68" s="20"/>
      <c r="GL68" s="20"/>
      <c r="GM68" s="20"/>
      <c r="GN68" s="20"/>
      <c r="GO68" s="21"/>
      <c r="GP68" s="20"/>
      <c r="GQ68" s="20"/>
      <c r="GR68" s="20"/>
      <c r="GS68" s="20"/>
      <c r="GT68" s="20"/>
      <c r="GU68" s="20"/>
      <c r="GV68" s="21"/>
      <c r="GW68" s="20"/>
      <c r="GX68" s="20"/>
      <c r="GY68" s="20"/>
      <c r="GZ68" s="20"/>
      <c r="HA68" s="20"/>
      <c r="HB68" s="20"/>
      <c r="HC68" s="21"/>
      <c r="HD68" s="20"/>
      <c r="HE68" s="20"/>
      <c r="HF68" s="20"/>
      <c r="HG68" s="20"/>
      <c r="HH68" s="20"/>
      <c r="HI68" s="20"/>
      <c r="HJ68" s="21"/>
      <c r="HK68" s="20"/>
      <c r="HL68" s="20"/>
      <c r="HM68" s="20"/>
      <c r="HN68" s="20"/>
      <c r="HO68" s="20"/>
      <c r="HP68" s="20"/>
      <c r="HQ68" s="21"/>
      <c r="HR68" s="20"/>
      <c r="HS68" s="20"/>
      <c r="HT68" s="20"/>
      <c r="HU68" s="20"/>
      <c r="HV68" s="20"/>
      <c r="HW68" s="20"/>
      <c r="HX68" s="21"/>
      <c r="HY68" s="20"/>
      <c r="HZ68" s="20"/>
      <c r="IA68" s="20"/>
      <c r="IB68" s="20"/>
      <c r="IC68" s="20"/>
      <c r="ID68" s="20"/>
      <c r="IE68" s="21"/>
      <c r="IF68" s="20"/>
      <c r="IG68" s="20"/>
      <c r="IH68" s="20"/>
      <c r="II68" s="20"/>
      <c r="IJ68" s="20"/>
      <c r="IK68" s="20"/>
      <c r="IL68" s="21"/>
      <c r="IM68" s="20"/>
      <c r="IN68" s="20"/>
      <c r="IO68" s="20"/>
      <c r="IP68" s="20"/>
      <c r="IQ68" s="20"/>
      <c r="IR68" s="20"/>
      <c r="IS68" s="21"/>
      <c r="IT68" s="20"/>
      <c r="IU68" s="20"/>
      <c r="IV68" s="20"/>
      <c r="IW68" s="20"/>
      <c r="IX68" s="20"/>
      <c r="IY68" s="20"/>
      <c r="IZ68" s="21"/>
      <c r="JA68" s="20"/>
      <c r="JB68" s="20"/>
      <c r="JC68" s="20"/>
      <c r="JD68" s="20"/>
      <c r="JE68" s="20"/>
      <c r="JF68" s="20"/>
      <c r="JG68" s="21"/>
      <c r="JH68" s="20"/>
      <c r="JI68" s="20"/>
      <c r="JJ68" s="20"/>
      <c r="JK68" s="20"/>
      <c r="JL68" s="20"/>
      <c r="JM68" s="20"/>
      <c r="JN68" s="21"/>
      <c r="JO68" s="20"/>
      <c r="JP68" s="20"/>
      <c r="JQ68" s="20"/>
      <c r="JR68" s="20"/>
      <c r="JS68" s="20"/>
      <c r="JT68" s="20"/>
      <c r="JU68" s="21"/>
      <c r="JV68" s="20"/>
      <c r="JW68" s="20"/>
      <c r="JX68" s="20"/>
      <c r="JY68" s="20"/>
      <c r="JZ68" s="20"/>
      <c r="KA68" s="20"/>
      <c r="KB68" s="21"/>
      <c r="KC68" s="20"/>
      <c r="KD68" s="20"/>
      <c r="KE68" s="20"/>
      <c r="KF68" s="20"/>
      <c r="KG68" s="20"/>
      <c r="KH68" s="20"/>
      <c r="KI68" s="21"/>
      <c r="KJ68" s="20"/>
      <c r="KK68" s="20"/>
      <c r="KL68" s="20"/>
      <c r="KM68" s="20"/>
      <c r="KN68" s="20"/>
      <c r="KO68" s="20"/>
      <c r="KP68" s="21"/>
      <c r="KQ68" s="20"/>
      <c r="KR68" s="20"/>
      <c r="KS68" s="20"/>
      <c r="KT68" s="20"/>
      <c r="KU68" s="20"/>
      <c r="KV68" s="20"/>
      <c r="KW68" s="21"/>
      <c r="KX68" s="20"/>
      <c r="KY68" s="20"/>
      <c r="KZ68" s="20"/>
      <c r="LA68" s="20"/>
      <c r="LB68" s="20"/>
      <c r="LC68" s="20"/>
      <c r="LD68" s="21"/>
      <c r="LE68" s="20"/>
      <c r="LF68" s="20"/>
      <c r="LG68" s="20"/>
      <c r="LH68" s="20"/>
      <c r="LI68" s="20"/>
      <c r="LJ68" s="20"/>
      <c r="LK68" s="21"/>
      <c r="LL68" s="20"/>
      <c r="LM68" s="20"/>
      <c r="LN68" s="20"/>
      <c r="LO68" s="20"/>
      <c r="LP68" s="20"/>
      <c r="LQ68" s="20"/>
      <c r="LR68" s="21"/>
      <c r="LS68" s="20"/>
      <c r="LT68" s="20"/>
      <c r="LU68" s="20"/>
      <c r="LV68" s="20"/>
      <c r="LW68" s="20"/>
      <c r="LX68" s="20"/>
      <c r="LY68" s="21"/>
      <c r="LZ68" s="20"/>
      <c r="MA68" s="20"/>
      <c r="MB68" s="20"/>
      <c r="MC68" s="20"/>
      <c r="MD68" s="20"/>
      <c r="ME68" s="20"/>
      <c r="MF68" s="21"/>
      <c r="MG68" s="20"/>
      <c r="MH68" s="20"/>
      <c r="MI68" s="20"/>
      <c r="MJ68" s="20"/>
      <c r="MK68" s="20"/>
      <c r="ML68" s="20"/>
      <c r="MM68" s="21"/>
      <c r="MN68" s="20"/>
      <c r="MO68" s="20"/>
      <c r="MP68" s="20"/>
      <c r="MQ68" s="20"/>
      <c r="MR68" s="20"/>
      <c r="MS68" s="20"/>
      <c r="MT68" s="21"/>
    </row>
    <row r="69" spans="1:358" ht="15" customHeight="1" x14ac:dyDescent="0.25">
      <c r="A69" s="123" t="s">
        <v>240</v>
      </c>
      <c r="B69" s="124"/>
      <c r="C69" s="124"/>
      <c r="D69" s="124"/>
      <c r="E69" s="59"/>
      <c r="F69" s="124"/>
      <c r="G69" s="124"/>
      <c r="H69" s="124"/>
      <c r="I69" s="124"/>
      <c r="J69" s="124"/>
      <c r="K69" s="124"/>
      <c r="L69" s="124"/>
      <c r="M69" s="124"/>
      <c r="N69" s="124"/>
      <c r="O69" s="61"/>
      <c r="P69" s="81">
        <f>VisibleSum(P45:P67)</f>
        <v>14.538461538461538</v>
      </c>
      <c r="Q69" s="113">
        <f>P69 / P68 * 100</f>
        <v>45.432692307692307</v>
      </c>
      <c r="R69" s="83"/>
      <c r="S69" s="61" t="str">
        <f t="shared" ref="S69:CH69" si="358">IF(SUM(S44:S67) &gt; 0, SUM(S44:S67), "")</f>
        <v/>
      </c>
      <c r="T69" s="124" t="str">
        <f t="shared" si="358"/>
        <v/>
      </c>
      <c r="U69" s="124" t="str">
        <f t="shared" si="358"/>
        <v/>
      </c>
      <c r="V69" s="124" t="str">
        <f t="shared" si="358"/>
        <v/>
      </c>
      <c r="W69" s="124" t="str">
        <f t="shared" si="358"/>
        <v/>
      </c>
      <c r="X69" s="124" t="str">
        <f t="shared" si="358"/>
        <v/>
      </c>
      <c r="Y69" s="124" t="str">
        <f t="shared" si="358"/>
        <v/>
      </c>
      <c r="Z69" s="61" t="str">
        <f t="shared" si="358"/>
        <v/>
      </c>
      <c r="AA69" s="124" t="str">
        <f t="shared" si="358"/>
        <v/>
      </c>
      <c r="AB69" s="124" t="str">
        <f t="shared" si="358"/>
        <v/>
      </c>
      <c r="AC69" s="124" t="str">
        <f t="shared" si="358"/>
        <v/>
      </c>
      <c r="AD69" s="124" t="str">
        <f t="shared" si="358"/>
        <v/>
      </c>
      <c r="AE69" s="124" t="str">
        <f t="shared" si="358"/>
        <v/>
      </c>
      <c r="AF69" s="124" t="str">
        <f t="shared" si="358"/>
        <v/>
      </c>
      <c r="AG69" s="61" t="str">
        <f t="shared" si="358"/>
        <v/>
      </c>
      <c r="AH69" s="124" t="str">
        <f t="shared" si="358"/>
        <v/>
      </c>
      <c r="AI69" s="124">
        <f t="shared" si="358"/>
        <v>11</v>
      </c>
      <c r="AJ69" s="124" t="str">
        <f t="shared" si="358"/>
        <v/>
      </c>
      <c r="AK69" s="124">
        <f t="shared" si="358"/>
        <v>7</v>
      </c>
      <c r="AL69" s="124" t="str">
        <f t="shared" si="358"/>
        <v/>
      </c>
      <c r="AM69" s="124" t="str">
        <f t="shared" si="358"/>
        <v/>
      </c>
      <c r="AN69" s="61" t="str">
        <f t="shared" si="358"/>
        <v/>
      </c>
      <c r="AO69" s="124" t="str">
        <f t="shared" si="358"/>
        <v/>
      </c>
      <c r="AP69" s="124">
        <f t="shared" si="358"/>
        <v>9</v>
      </c>
      <c r="AQ69" s="124" t="str">
        <f t="shared" si="358"/>
        <v/>
      </c>
      <c r="AR69" s="124">
        <f t="shared" si="358"/>
        <v>9</v>
      </c>
      <c r="AS69" s="124" t="str">
        <f t="shared" si="358"/>
        <v/>
      </c>
      <c r="AT69" s="124" t="str">
        <f t="shared" si="358"/>
        <v/>
      </c>
      <c r="AU69" s="61" t="str">
        <f t="shared" si="358"/>
        <v/>
      </c>
      <c r="AV69" s="124" t="str">
        <f t="shared" si="358"/>
        <v/>
      </c>
      <c r="AW69" s="124">
        <f t="shared" si="358"/>
        <v>9</v>
      </c>
      <c r="AX69" s="124">
        <f t="shared" si="358"/>
        <v>6</v>
      </c>
      <c r="AY69" s="124">
        <f t="shared" si="358"/>
        <v>7</v>
      </c>
      <c r="AZ69" s="124" t="str">
        <f t="shared" si="358"/>
        <v/>
      </c>
      <c r="BA69" s="124" t="str">
        <f t="shared" si="358"/>
        <v/>
      </c>
      <c r="BB69" s="61" t="str">
        <f t="shared" si="358"/>
        <v/>
      </c>
      <c r="BC69" s="124" t="str">
        <f t="shared" si="358"/>
        <v/>
      </c>
      <c r="BD69" s="124">
        <f t="shared" si="358"/>
        <v>8</v>
      </c>
      <c r="BE69" s="124" t="str">
        <f t="shared" si="358"/>
        <v/>
      </c>
      <c r="BF69" s="124">
        <f t="shared" si="358"/>
        <v>6</v>
      </c>
      <c r="BG69" s="124" t="str">
        <f t="shared" si="358"/>
        <v/>
      </c>
      <c r="BH69" s="124" t="str">
        <f t="shared" si="358"/>
        <v/>
      </c>
      <c r="BI69" s="61" t="str">
        <f t="shared" si="358"/>
        <v/>
      </c>
      <c r="BJ69" s="124" t="str">
        <f t="shared" si="358"/>
        <v/>
      </c>
      <c r="BK69" s="124">
        <f t="shared" si="358"/>
        <v>7</v>
      </c>
      <c r="BL69" s="124" t="str">
        <f t="shared" si="358"/>
        <v/>
      </c>
      <c r="BM69" s="124">
        <f t="shared" si="358"/>
        <v>10</v>
      </c>
      <c r="BN69" s="124">
        <f t="shared" si="358"/>
        <v>10</v>
      </c>
      <c r="BO69" s="124" t="str">
        <f t="shared" si="358"/>
        <v/>
      </c>
      <c r="BP69" s="61">
        <f t="shared" si="358"/>
        <v>4</v>
      </c>
      <c r="BQ69" s="124" t="str">
        <f t="shared" si="358"/>
        <v/>
      </c>
      <c r="BR69" s="124" t="str">
        <f t="shared" si="358"/>
        <v/>
      </c>
      <c r="BS69" s="124" t="str">
        <f t="shared" si="358"/>
        <v/>
      </c>
      <c r="BT69" s="124" t="str">
        <f t="shared" si="358"/>
        <v/>
      </c>
      <c r="BU69" s="124" t="str">
        <f t="shared" si="358"/>
        <v/>
      </c>
      <c r="BV69" s="124" t="str">
        <f t="shared" si="358"/>
        <v/>
      </c>
      <c r="BW69" s="124"/>
      <c r="BX69" s="124"/>
      <c r="BY69" s="61" t="str">
        <f t="shared" si="358"/>
        <v/>
      </c>
      <c r="BZ69" s="124" t="str">
        <f t="shared" si="358"/>
        <v/>
      </c>
      <c r="CA69" s="124" t="str">
        <f t="shared" si="358"/>
        <v/>
      </c>
      <c r="CB69" s="124" t="str">
        <f t="shared" si="358"/>
        <v/>
      </c>
      <c r="CC69" s="124" t="str">
        <f t="shared" si="358"/>
        <v/>
      </c>
      <c r="CD69" s="124" t="str">
        <f t="shared" si="358"/>
        <v/>
      </c>
      <c r="CE69" s="124" t="str">
        <f t="shared" si="358"/>
        <v/>
      </c>
      <c r="CF69" s="124"/>
      <c r="CG69" s="124"/>
      <c r="CH69" s="61" t="str">
        <f t="shared" si="358"/>
        <v/>
      </c>
      <c r="CI69" s="124" t="str">
        <f t="shared" ref="CI69:FL69" si="359">IF(SUM(CI44:CI67) &gt; 0, SUM(CI44:CI67), "")</f>
        <v/>
      </c>
      <c r="CJ69" s="124" t="str">
        <f t="shared" si="359"/>
        <v/>
      </c>
      <c r="CK69" s="124" t="str">
        <f t="shared" si="359"/>
        <v/>
      </c>
      <c r="CL69" s="124" t="str">
        <f t="shared" si="359"/>
        <v/>
      </c>
      <c r="CM69" s="124" t="str">
        <f t="shared" si="359"/>
        <v/>
      </c>
      <c r="CN69" s="124" t="str">
        <f t="shared" si="359"/>
        <v/>
      </c>
      <c r="CO69" s="124" t="str">
        <f t="shared" ref="CO69" si="360">IF(SUM(CO44:CO67) &gt; 0, SUM(CO44:CO67), "")</f>
        <v/>
      </c>
      <c r="CP69" s="124"/>
      <c r="CQ69" s="61" t="str">
        <f t="shared" si="359"/>
        <v/>
      </c>
      <c r="CR69" s="124" t="str">
        <f t="shared" si="359"/>
        <v/>
      </c>
      <c r="CS69" s="124" t="str">
        <f t="shared" si="359"/>
        <v/>
      </c>
      <c r="CT69" s="124" t="str">
        <f t="shared" si="359"/>
        <v/>
      </c>
      <c r="CU69" s="124" t="str">
        <f t="shared" si="359"/>
        <v/>
      </c>
      <c r="CV69" s="124" t="str">
        <f t="shared" si="359"/>
        <v/>
      </c>
      <c r="CW69" s="124"/>
      <c r="CX69" s="124"/>
      <c r="CY69" s="124" t="str">
        <f t="shared" si="359"/>
        <v/>
      </c>
      <c r="CZ69" s="61" t="str">
        <f t="shared" si="359"/>
        <v/>
      </c>
      <c r="DA69" s="124" t="str">
        <f t="shared" si="359"/>
        <v/>
      </c>
      <c r="DB69" s="124" t="str">
        <f t="shared" si="359"/>
        <v/>
      </c>
      <c r="DC69" s="124" t="str">
        <f t="shared" si="359"/>
        <v/>
      </c>
      <c r="DD69" s="124" t="str">
        <f t="shared" si="359"/>
        <v/>
      </c>
      <c r="DE69" s="124" t="str">
        <f t="shared" si="359"/>
        <v/>
      </c>
      <c r="DF69" s="124" t="str">
        <f t="shared" si="359"/>
        <v/>
      </c>
      <c r="DG69" s="124"/>
      <c r="DH69" s="124"/>
      <c r="DI69" s="61" t="str">
        <f t="shared" si="359"/>
        <v/>
      </c>
      <c r="DJ69" s="124" t="str">
        <f t="shared" si="359"/>
        <v/>
      </c>
      <c r="DK69" s="124" t="str">
        <f t="shared" si="359"/>
        <v/>
      </c>
      <c r="DL69" s="124" t="str">
        <f t="shared" si="359"/>
        <v/>
      </c>
      <c r="DM69" s="124" t="str">
        <f t="shared" si="359"/>
        <v/>
      </c>
      <c r="DN69" s="124" t="str">
        <f t="shared" si="359"/>
        <v/>
      </c>
      <c r="DO69" s="124" t="str">
        <f t="shared" si="359"/>
        <v/>
      </c>
      <c r="DP69" s="124"/>
      <c r="DQ69" s="124"/>
      <c r="DR69" s="61" t="str">
        <f t="shared" si="359"/>
        <v/>
      </c>
      <c r="DS69" s="124" t="str">
        <f t="shared" si="359"/>
        <v/>
      </c>
      <c r="DT69" s="124">
        <f t="shared" si="359"/>
        <v>7</v>
      </c>
      <c r="DU69" s="124" t="str">
        <f t="shared" si="359"/>
        <v/>
      </c>
      <c r="DV69" s="124">
        <f t="shared" si="359"/>
        <v>5</v>
      </c>
      <c r="DW69" s="124">
        <f t="shared" si="359"/>
        <v>5</v>
      </c>
      <c r="DX69" s="124"/>
      <c r="DY69" s="124"/>
      <c r="DZ69" s="124" t="str">
        <f t="shared" si="359"/>
        <v/>
      </c>
      <c r="EA69" s="61" t="str">
        <f t="shared" si="359"/>
        <v/>
      </c>
      <c r="EB69" s="124" t="str">
        <f t="shared" si="359"/>
        <v/>
      </c>
      <c r="EC69" s="124">
        <f t="shared" si="359"/>
        <v>6</v>
      </c>
      <c r="ED69" s="124" t="str">
        <f t="shared" si="359"/>
        <v/>
      </c>
      <c r="EE69" s="124">
        <f t="shared" si="359"/>
        <v>5</v>
      </c>
      <c r="EF69" s="124">
        <f t="shared" si="359"/>
        <v>4</v>
      </c>
      <c r="EG69" s="124"/>
      <c r="EH69" s="124"/>
      <c r="EI69" s="124" t="str">
        <f t="shared" si="359"/>
        <v/>
      </c>
      <c r="EJ69" s="61" t="str">
        <f t="shared" si="359"/>
        <v/>
      </c>
      <c r="EK69" s="124" t="str">
        <f t="shared" si="359"/>
        <v/>
      </c>
      <c r="EL69" s="124">
        <f t="shared" si="359"/>
        <v>6</v>
      </c>
      <c r="EM69" s="124" t="str">
        <f t="shared" si="359"/>
        <v/>
      </c>
      <c r="EN69" s="124">
        <f t="shared" si="359"/>
        <v>7</v>
      </c>
      <c r="EO69" s="124">
        <f t="shared" si="359"/>
        <v>5</v>
      </c>
      <c r="EP69" s="124" t="str">
        <f t="shared" si="359"/>
        <v/>
      </c>
      <c r="EQ69" s="124"/>
      <c r="ER69" s="124"/>
      <c r="ES69" s="61" t="str">
        <f t="shared" si="359"/>
        <v/>
      </c>
      <c r="ET69" s="124" t="str">
        <f t="shared" si="359"/>
        <v/>
      </c>
      <c r="EU69" s="124">
        <f t="shared" si="359"/>
        <v>9</v>
      </c>
      <c r="EV69" s="124" t="str">
        <f t="shared" si="359"/>
        <v/>
      </c>
      <c r="EW69" s="124">
        <f t="shared" si="359"/>
        <v>4</v>
      </c>
      <c r="EX69" s="124">
        <f t="shared" si="359"/>
        <v>5</v>
      </c>
      <c r="EY69" s="124" t="str">
        <f t="shared" si="359"/>
        <v/>
      </c>
      <c r="EZ69" s="124"/>
      <c r="FA69" s="124"/>
      <c r="FB69" s="61" t="str">
        <f t="shared" si="359"/>
        <v/>
      </c>
      <c r="FC69" s="124" t="str">
        <f t="shared" si="359"/>
        <v/>
      </c>
      <c r="FD69" s="124">
        <f t="shared" si="359"/>
        <v>8</v>
      </c>
      <c r="FE69" s="124" t="str">
        <f t="shared" si="359"/>
        <v/>
      </c>
      <c r="FF69" s="124">
        <f t="shared" si="359"/>
        <v>7</v>
      </c>
      <c r="FG69" s="124">
        <f t="shared" si="359"/>
        <v>5</v>
      </c>
      <c r="FH69" s="124" t="str">
        <f t="shared" si="359"/>
        <v/>
      </c>
      <c r="FI69" s="124"/>
      <c r="FJ69" s="124"/>
      <c r="FK69" s="61" t="str">
        <f t="shared" si="359"/>
        <v/>
      </c>
      <c r="FL69" s="124" t="str">
        <f t="shared" si="359"/>
        <v/>
      </c>
      <c r="FM69" s="124">
        <f t="shared" ref="FM69:HZ69" si="361">IF(SUM(FM44:FM67) &gt; 0, SUM(FM44:FM67), "")</f>
        <v>5</v>
      </c>
      <c r="FN69" s="124" t="str">
        <f t="shared" si="361"/>
        <v/>
      </c>
      <c r="FO69" s="124">
        <f t="shared" si="361"/>
        <v>6</v>
      </c>
      <c r="FP69" s="124">
        <f t="shared" si="361"/>
        <v>7</v>
      </c>
      <c r="FQ69" s="124" t="str">
        <f t="shared" si="361"/>
        <v/>
      </c>
      <c r="FR69" s="124"/>
      <c r="FS69" s="124"/>
      <c r="FT69" s="61" t="str">
        <f t="shared" si="361"/>
        <v/>
      </c>
      <c r="FU69" s="124" t="str">
        <f t="shared" si="361"/>
        <v/>
      </c>
      <c r="FV69" s="124" t="str">
        <f t="shared" si="361"/>
        <v/>
      </c>
      <c r="FW69" s="124" t="str">
        <f t="shared" si="361"/>
        <v/>
      </c>
      <c r="FX69" s="124" t="str">
        <f t="shared" si="361"/>
        <v/>
      </c>
      <c r="FY69" s="124" t="str">
        <f t="shared" si="361"/>
        <v/>
      </c>
      <c r="FZ69" s="124" t="str">
        <f t="shared" si="361"/>
        <v/>
      </c>
      <c r="GA69" s="61" t="str">
        <f t="shared" si="361"/>
        <v/>
      </c>
      <c r="GB69" s="124" t="str">
        <f t="shared" si="361"/>
        <v/>
      </c>
      <c r="GC69" s="124" t="str">
        <f t="shared" si="361"/>
        <v/>
      </c>
      <c r="GD69" s="124" t="str">
        <f t="shared" si="361"/>
        <v/>
      </c>
      <c r="GE69" s="124" t="str">
        <f t="shared" si="361"/>
        <v/>
      </c>
      <c r="GF69" s="124" t="str">
        <f t="shared" si="361"/>
        <v/>
      </c>
      <c r="GG69" s="124" t="str">
        <f t="shared" si="361"/>
        <v/>
      </c>
      <c r="GH69" s="61" t="str">
        <f t="shared" si="361"/>
        <v/>
      </c>
      <c r="GI69" s="124" t="str">
        <f t="shared" si="361"/>
        <v/>
      </c>
      <c r="GJ69" s="124" t="str">
        <f t="shared" si="361"/>
        <v/>
      </c>
      <c r="GK69" s="124" t="str">
        <f t="shared" si="361"/>
        <v/>
      </c>
      <c r="GL69" s="124" t="str">
        <f t="shared" si="361"/>
        <v/>
      </c>
      <c r="GM69" s="124" t="str">
        <f t="shared" si="361"/>
        <v/>
      </c>
      <c r="GN69" s="124" t="str">
        <f t="shared" si="361"/>
        <v/>
      </c>
      <c r="GO69" s="61" t="str">
        <f t="shared" si="361"/>
        <v/>
      </c>
      <c r="GP69" s="124" t="str">
        <f t="shared" si="361"/>
        <v/>
      </c>
      <c r="GQ69" s="124" t="str">
        <f t="shared" si="361"/>
        <v/>
      </c>
      <c r="GR69" s="124" t="str">
        <f t="shared" si="361"/>
        <v/>
      </c>
      <c r="GS69" s="124" t="str">
        <f t="shared" si="361"/>
        <v/>
      </c>
      <c r="GT69" s="124" t="str">
        <f t="shared" si="361"/>
        <v/>
      </c>
      <c r="GU69" s="124" t="str">
        <f t="shared" si="361"/>
        <v/>
      </c>
      <c r="GV69" s="61" t="str">
        <f t="shared" si="361"/>
        <v/>
      </c>
      <c r="GW69" s="124" t="str">
        <f t="shared" si="361"/>
        <v/>
      </c>
      <c r="GX69" s="124" t="str">
        <f t="shared" si="361"/>
        <v/>
      </c>
      <c r="GY69" s="124" t="str">
        <f t="shared" si="361"/>
        <v/>
      </c>
      <c r="GZ69" s="124" t="str">
        <f t="shared" si="361"/>
        <v/>
      </c>
      <c r="HA69" s="124" t="str">
        <f t="shared" si="361"/>
        <v/>
      </c>
      <c r="HB69" s="124" t="str">
        <f t="shared" si="361"/>
        <v/>
      </c>
      <c r="HC69" s="61" t="str">
        <f t="shared" si="361"/>
        <v/>
      </c>
      <c r="HD69" s="124" t="str">
        <f t="shared" si="361"/>
        <v/>
      </c>
      <c r="HE69" s="124" t="str">
        <f t="shared" si="361"/>
        <v/>
      </c>
      <c r="HF69" s="124" t="str">
        <f t="shared" si="361"/>
        <v/>
      </c>
      <c r="HG69" s="124" t="str">
        <f t="shared" si="361"/>
        <v/>
      </c>
      <c r="HH69" s="124" t="str">
        <f t="shared" si="361"/>
        <v/>
      </c>
      <c r="HI69" s="124" t="str">
        <f t="shared" si="361"/>
        <v/>
      </c>
      <c r="HJ69" s="61" t="str">
        <f t="shared" si="361"/>
        <v/>
      </c>
      <c r="HK69" s="124" t="str">
        <f t="shared" si="361"/>
        <v/>
      </c>
      <c r="HL69" s="124" t="str">
        <f t="shared" si="361"/>
        <v/>
      </c>
      <c r="HM69" s="124" t="str">
        <f t="shared" si="361"/>
        <v/>
      </c>
      <c r="HN69" s="124" t="str">
        <f t="shared" si="361"/>
        <v/>
      </c>
      <c r="HO69" s="124" t="str">
        <f t="shared" si="361"/>
        <v/>
      </c>
      <c r="HP69" s="124" t="str">
        <f t="shared" si="361"/>
        <v/>
      </c>
      <c r="HQ69" s="61" t="str">
        <f t="shared" si="361"/>
        <v/>
      </c>
      <c r="HR69" s="124" t="str">
        <f t="shared" si="361"/>
        <v/>
      </c>
      <c r="HS69" s="124" t="str">
        <f t="shared" si="361"/>
        <v/>
      </c>
      <c r="HT69" s="124" t="str">
        <f t="shared" si="361"/>
        <v/>
      </c>
      <c r="HU69" s="124" t="str">
        <f t="shared" si="361"/>
        <v/>
      </c>
      <c r="HV69" s="124" t="str">
        <f t="shared" si="361"/>
        <v/>
      </c>
      <c r="HW69" s="124" t="str">
        <f t="shared" si="361"/>
        <v/>
      </c>
      <c r="HX69" s="61" t="str">
        <f t="shared" si="361"/>
        <v/>
      </c>
      <c r="HY69" s="124" t="str">
        <f t="shared" si="361"/>
        <v/>
      </c>
      <c r="HZ69" s="124" t="str">
        <f t="shared" si="361"/>
        <v/>
      </c>
      <c r="IA69" s="124" t="str">
        <f t="shared" ref="IA69:KL69" si="362">IF(SUM(IA44:IA67) &gt; 0, SUM(IA44:IA67), "")</f>
        <v/>
      </c>
      <c r="IB69" s="124" t="str">
        <f t="shared" si="362"/>
        <v/>
      </c>
      <c r="IC69" s="124" t="str">
        <f t="shared" si="362"/>
        <v/>
      </c>
      <c r="ID69" s="124" t="str">
        <f t="shared" si="362"/>
        <v/>
      </c>
      <c r="IE69" s="61" t="str">
        <f t="shared" si="362"/>
        <v/>
      </c>
      <c r="IF69" s="124" t="str">
        <f t="shared" si="362"/>
        <v/>
      </c>
      <c r="IG69" s="124" t="str">
        <f t="shared" si="362"/>
        <v/>
      </c>
      <c r="IH69" s="124" t="str">
        <f t="shared" si="362"/>
        <v/>
      </c>
      <c r="II69" s="124" t="str">
        <f t="shared" si="362"/>
        <v/>
      </c>
      <c r="IJ69" s="124" t="str">
        <f t="shared" si="362"/>
        <v/>
      </c>
      <c r="IK69" s="124" t="str">
        <f t="shared" si="362"/>
        <v/>
      </c>
      <c r="IL69" s="61" t="str">
        <f t="shared" si="362"/>
        <v/>
      </c>
      <c r="IM69" s="124" t="str">
        <f t="shared" si="362"/>
        <v/>
      </c>
      <c r="IN69" s="124" t="str">
        <f t="shared" si="362"/>
        <v/>
      </c>
      <c r="IO69" s="124" t="str">
        <f t="shared" si="362"/>
        <v/>
      </c>
      <c r="IP69" s="124" t="str">
        <f t="shared" si="362"/>
        <v/>
      </c>
      <c r="IQ69" s="124" t="str">
        <f t="shared" si="362"/>
        <v/>
      </c>
      <c r="IR69" s="124" t="str">
        <f t="shared" si="362"/>
        <v/>
      </c>
      <c r="IS69" s="61" t="str">
        <f t="shared" si="362"/>
        <v/>
      </c>
      <c r="IT69" s="124" t="str">
        <f t="shared" si="362"/>
        <v/>
      </c>
      <c r="IU69" s="124" t="str">
        <f t="shared" si="362"/>
        <v/>
      </c>
      <c r="IV69" s="124" t="str">
        <f t="shared" si="362"/>
        <v/>
      </c>
      <c r="IW69" s="124" t="str">
        <f t="shared" si="362"/>
        <v/>
      </c>
      <c r="IX69" s="124" t="str">
        <f t="shared" si="362"/>
        <v/>
      </c>
      <c r="IY69" s="124" t="str">
        <f t="shared" si="362"/>
        <v/>
      </c>
      <c r="IZ69" s="61" t="str">
        <f t="shared" si="362"/>
        <v/>
      </c>
      <c r="JA69" s="124" t="str">
        <f t="shared" si="362"/>
        <v/>
      </c>
      <c r="JB69" s="124" t="str">
        <f t="shared" si="362"/>
        <v/>
      </c>
      <c r="JC69" s="124" t="str">
        <f t="shared" si="362"/>
        <v/>
      </c>
      <c r="JD69" s="124" t="str">
        <f t="shared" si="362"/>
        <v/>
      </c>
      <c r="JE69" s="124" t="str">
        <f t="shared" si="362"/>
        <v/>
      </c>
      <c r="JF69" s="124" t="str">
        <f t="shared" si="362"/>
        <v/>
      </c>
      <c r="JG69" s="61" t="str">
        <f t="shared" si="362"/>
        <v/>
      </c>
      <c r="JH69" s="124" t="str">
        <f t="shared" si="362"/>
        <v/>
      </c>
      <c r="JI69" s="124" t="str">
        <f t="shared" si="362"/>
        <v/>
      </c>
      <c r="JJ69" s="124" t="str">
        <f t="shared" si="362"/>
        <v/>
      </c>
      <c r="JK69" s="124" t="str">
        <f t="shared" si="362"/>
        <v/>
      </c>
      <c r="JL69" s="124" t="str">
        <f t="shared" si="362"/>
        <v/>
      </c>
      <c r="JM69" s="124" t="str">
        <f t="shared" si="362"/>
        <v/>
      </c>
      <c r="JN69" s="61" t="str">
        <f t="shared" si="362"/>
        <v/>
      </c>
      <c r="JO69" s="124" t="str">
        <f t="shared" si="362"/>
        <v/>
      </c>
      <c r="JP69" s="124" t="str">
        <f t="shared" si="362"/>
        <v/>
      </c>
      <c r="JQ69" s="124" t="str">
        <f t="shared" si="362"/>
        <v/>
      </c>
      <c r="JR69" s="124" t="str">
        <f t="shared" si="362"/>
        <v/>
      </c>
      <c r="JS69" s="124" t="str">
        <f t="shared" si="362"/>
        <v/>
      </c>
      <c r="JT69" s="124" t="str">
        <f t="shared" si="362"/>
        <v/>
      </c>
      <c r="JU69" s="61" t="str">
        <f t="shared" si="362"/>
        <v/>
      </c>
      <c r="JV69" s="124" t="str">
        <f t="shared" si="362"/>
        <v/>
      </c>
      <c r="JW69" s="124" t="str">
        <f t="shared" si="362"/>
        <v/>
      </c>
      <c r="JX69" s="124" t="str">
        <f t="shared" si="362"/>
        <v/>
      </c>
      <c r="JY69" s="124" t="str">
        <f t="shared" si="362"/>
        <v/>
      </c>
      <c r="JZ69" s="124" t="str">
        <f t="shared" si="362"/>
        <v/>
      </c>
      <c r="KA69" s="124" t="str">
        <f t="shared" si="362"/>
        <v/>
      </c>
      <c r="KB69" s="61" t="str">
        <f t="shared" si="362"/>
        <v/>
      </c>
      <c r="KC69" s="124" t="str">
        <f t="shared" si="362"/>
        <v/>
      </c>
      <c r="KD69" s="124" t="str">
        <f t="shared" si="362"/>
        <v/>
      </c>
      <c r="KE69" s="124" t="str">
        <f t="shared" si="362"/>
        <v/>
      </c>
      <c r="KF69" s="124" t="str">
        <f t="shared" si="362"/>
        <v/>
      </c>
      <c r="KG69" s="124" t="str">
        <f t="shared" si="362"/>
        <v/>
      </c>
      <c r="KH69" s="124" t="str">
        <f t="shared" si="362"/>
        <v/>
      </c>
      <c r="KI69" s="61" t="str">
        <f t="shared" si="362"/>
        <v/>
      </c>
      <c r="KJ69" s="124" t="str">
        <f t="shared" si="362"/>
        <v/>
      </c>
      <c r="KK69" s="124" t="str">
        <f t="shared" si="362"/>
        <v/>
      </c>
      <c r="KL69" s="124" t="str">
        <f t="shared" si="362"/>
        <v/>
      </c>
      <c r="KM69" s="124" t="str">
        <f t="shared" ref="KM69:MT69" si="363">IF(SUM(KM44:KM67) &gt; 0, SUM(KM44:KM67), "")</f>
        <v/>
      </c>
      <c r="KN69" s="124" t="str">
        <f t="shared" si="363"/>
        <v/>
      </c>
      <c r="KO69" s="124" t="str">
        <f t="shared" si="363"/>
        <v/>
      </c>
      <c r="KP69" s="61" t="str">
        <f t="shared" si="363"/>
        <v/>
      </c>
      <c r="KQ69" s="124" t="str">
        <f t="shared" si="363"/>
        <v/>
      </c>
      <c r="KR69" s="124" t="str">
        <f t="shared" si="363"/>
        <v/>
      </c>
      <c r="KS69" s="124" t="str">
        <f t="shared" si="363"/>
        <v/>
      </c>
      <c r="KT69" s="124" t="str">
        <f t="shared" si="363"/>
        <v/>
      </c>
      <c r="KU69" s="124" t="str">
        <f t="shared" si="363"/>
        <v/>
      </c>
      <c r="KV69" s="124" t="str">
        <f t="shared" si="363"/>
        <v/>
      </c>
      <c r="KW69" s="61" t="str">
        <f t="shared" si="363"/>
        <v/>
      </c>
      <c r="KX69" s="124" t="str">
        <f t="shared" si="363"/>
        <v/>
      </c>
      <c r="KY69" s="124" t="str">
        <f t="shared" si="363"/>
        <v/>
      </c>
      <c r="KZ69" s="124" t="str">
        <f t="shared" si="363"/>
        <v/>
      </c>
      <c r="LA69" s="124" t="str">
        <f t="shared" si="363"/>
        <v/>
      </c>
      <c r="LB69" s="124" t="str">
        <f t="shared" si="363"/>
        <v/>
      </c>
      <c r="LC69" s="124" t="str">
        <f t="shared" si="363"/>
        <v/>
      </c>
      <c r="LD69" s="61" t="str">
        <f t="shared" si="363"/>
        <v/>
      </c>
      <c r="LE69" s="124" t="str">
        <f t="shared" si="363"/>
        <v/>
      </c>
      <c r="LF69" s="124" t="str">
        <f t="shared" si="363"/>
        <v/>
      </c>
      <c r="LG69" s="124" t="str">
        <f t="shared" si="363"/>
        <v/>
      </c>
      <c r="LH69" s="124" t="str">
        <f t="shared" si="363"/>
        <v/>
      </c>
      <c r="LI69" s="124" t="str">
        <f t="shared" si="363"/>
        <v/>
      </c>
      <c r="LJ69" s="124" t="str">
        <f t="shared" si="363"/>
        <v/>
      </c>
      <c r="LK69" s="61" t="str">
        <f t="shared" si="363"/>
        <v/>
      </c>
      <c r="LL69" s="124" t="str">
        <f t="shared" si="363"/>
        <v/>
      </c>
      <c r="LM69" s="124" t="str">
        <f t="shared" si="363"/>
        <v/>
      </c>
      <c r="LN69" s="124" t="str">
        <f t="shared" si="363"/>
        <v/>
      </c>
      <c r="LO69" s="124" t="str">
        <f t="shared" si="363"/>
        <v/>
      </c>
      <c r="LP69" s="124" t="str">
        <f t="shared" si="363"/>
        <v/>
      </c>
      <c r="LQ69" s="124" t="str">
        <f t="shared" si="363"/>
        <v/>
      </c>
      <c r="LR69" s="61" t="str">
        <f t="shared" si="363"/>
        <v/>
      </c>
      <c r="LS69" s="124" t="str">
        <f t="shared" si="363"/>
        <v/>
      </c>
      <c r="LT69" s="124" t="str">
        <f t="shared" si="363"/>
        <v/>
      </c>
      <c r="LU69" s="124" t="str">
        <f t="shared" si="363"/>
        <v/>
      </c>
      <c r="LV69" s="124" t="str">
        <f t="shared" si="363"/>
        <v/>
      </c>
      <c r="LW69" s="124" t="str">
        <f t="shared" si="363"/>
        <v/>
      </c>
      <c r="LX69" s="124" t="str">
        <f t="shared" si="363"/>
        <v/>
      </c>
      <c r="LY69" s="61" t="str">
        <f t="shared" si="363"/>
        <v/>
      </c>
      <c r="LZ69" s="124" t="str">
        <f t="shared" si="363"/>
        <v/>
      </c>
      <c r="MA69" s="124" t="str">
        <f t="shared" si="363"/>
        <v/>
      </c>
      <c r="MB69" s="124" t="str">
        <f t="shared" si="363"/>
        <v/>
      </c>
      <c r="MC69" s="124" t="str">
        <f t="shared" si="363"/>
        <v/>
      </c>
      <c r="MD69" s="124" t="str">
        <f t="shared" si="363"/>
        <v/>
      </c>
      <c r="ME69" s="124" t="str">
        <f t="shared" si="363"/>
        <v/>
      </c>
      <c r="MF69" s="61" t="str">
        <f t="shared" si="363"/>
        <v/>
      </c>
      <c r="MG69" s="124" t="str">
        <f t="shared" si="363"/>
        <v/>
      </c>
      <c r="MH69" s="124" t="str">
        <f t="shared" si="363"/>
        <v/>
      </c>
      <c r="MI69" s="124" t="str">
        <f t="shared" si="363"/>
        <v/>
      </c>
      <c r="MJ69" s="124" t="str">
        <f t="shared" si="363"/>
        <v/>
      </c>
      <c r="MK69" s="124" t="str">
        <f t="shared" si="363"/>
        <v/>
      </c>
      <c r="ML69" s="124" t="str">
        <f t="shared" si="363"/>
        <v/>
      </c>
      <c r="MM69" s="61" t="str">
        <f t="shared" si="363"/>
        <v/>
      </c>
      <c r="MN69" s="124" t="str">
        <f t="shared" si="363"/>
        <v/>
      </c>
      <c r="MO69" s="124" t="str">
        <f t="shared" si="363"/>
        <v/>
      </c>
      <c r="MP69" s="124" t="str">
        <f t="shared" si="363"/>
        <v/>
      </c>
      <c r="MQ69" s="124" t="str">
        <f t="shared" si="363"/>
        <v/>
      </c>
      <c r="MR69" s="124" t="str">
        <f t="shared" si="363"/>
        <v/>
      </c>
      <c r="MS69" s="124" t="str">
        <f t="shared" si="363"/>
        <v/>
      </c>
      <c r="MT69" s="61" t="str">
        <f t="shared" si="363"/>
        <v/>
      </c>
    </row>
    <row r="70" spans="1:358" ht="72.75" hidden="1" customHeight="1" x14ac:dyDescent="0.25">
      <c r="A70" s="118"/>
      <c r="B70" s="114"/>
      <c r="C70" s="114"/>
      <c r="D70" s="114"/>
      <c r="E70" s="119"/>
      <c r="F70" s="114"/>
      <c r="G70" s="114"/>
      <c r="H70" s="114"/>
      <c r="I70" s="114"/>
      <c r="J70" s="114"/>
      <c r="K70" s="114"/>
      <c r="L70" s="114"/>
      <c r="M70" s="114"/>
      <c r="N70" s="114"/>
      <c r="O70" s="114"/>
      <c r="P70" s="120" t="s">
        <v>408</v>
      </c>
      <c r="Q70" s="121" t="s">
        <v>408</v>
      </c>
      <c r="R70" s="122"/>
      <c r="S70" s="49">
        <f t="shared" ref="S70:AX70" si="364">S1</f>
        <v>43975</v>
      </c>
      <c r="T70" s="49">
        <f t="shared" si="364"/>
        <v>43976</v>
      </c>
      <c r="U70" s="49">
        <f t="shared" si="364"/>
        <v>43977</v>
      </c>
      <c r="V70" s="49">
        <f t="shared" si="364"/>
        <v>43978</v>
      </c>
      <c r="W70" s="49">
        <f t="shared" si="364"/>
        <v>43979</v>
      </c>
      <c r="X70" s="49">
        <f t="shared" si="364"/>
        <v>43980</v>
      </c>
      <c r="Y70" s="49">
        <f t="shared" si="364"/>
        <v>43981</v>
      </c>
      <c r="Z70" s="49">
        <f t="shared" si="364"/>
        <v>43982</v>
      </c>
      <c r="AA70" s="49">
        <f t="shared" si="364"/>
        <v>43983</v>
      </c>
      <c r="AB70" s="49">
        <f t="shared" si="364"/>
        <v>43984</v>
      </c>
      <c r="AC70" s="49">
        <f t="shared" si="364"/>
        <v>43985</v>
      </c>
      <c r="AD70" s="49">
        <f t="shared" si="364"/>
        <v>43986</v>
      </c>
      <c r="AE70" s="49">
        <f t="shared" si="364"/>
        <v>43987</v>
      </c>
      <c r="AF70" s="49">
        <f t="shared" si="364"/>
        <v>43988</v>
      </c>
      <c r="AG70" s="49">
        <f t="shared" si="364"/>
        <v>43989</v>
      </c>
      <c r="AH70" s="49">
        <f t="shared" si="364"/>
        <v>43990</v>
      </c>
      <c r="AI70" s="49">
        <f t="shared" si="364"/>
        <v>43991</v>
      </c>
      <c r="AJ70" s="49">
        <f t="shared" si="364"/>
        <v>43992</v>
      </c>
      <c r="AK70" s="49">
        <f t="shared" si="364"/>
        <v>43993</v>
      </c>
      <c r="AL70" s="49">
        <f t="shared" si="364"/>
        <v>43994</v>
      </c>
      <c r="AM70" s="49">
        <f t="shared" si="364"/>
        <v>43995</v>
      </c>
      <c r="AN70" s="49">
        <f t="shared" si="364"/>
        <v>43996</v>
      </c>
      <c r="AO70" s="49">
        <f t="shared" si="364"/>
        <v>43997</v>
      </c>
      <c r="AP70" s="49">
        <f t="shared" si="364"/>
        <v>43998</v>
      </c>
      <c r="AQ70" s="49">
        <f t="shared" si="364"/>
        <v>43999</v>
      </c>
      <c r="AR70" s="49">
        <f t="shared" si="364"/>
        <v>44000</v>
      </c>
      <c r="AS70" s="49">
        <f t="shared" si="364"/>
        <v>44001</v>
      </c>
      <c r="AT70" s="49">
        <f t="shared" si="364"/>
        <v>44002</v>
      </c>
      <c r="AU70" s="49">
        <f t="shared" si="364"/>
        <v>44003</v>
      </c>
      <c r="AV70" s="49">
        <f t="shared" si="364"/>
        <v>44004</v>
      </c>
      <c r="AW70" s="49">
        <f t="shared" si="364"/>
        <v>44005</v>
      </c>
      <c r="AX70" s="49">
        <f t="shared" si="364"/>
        <v>44006</v>
      </c>
      <c r="AY70" s="49">
        <f t="shared" ref="AY70:BW70" si="365">AY1</f>
        <v>44007</v>
      </c>
      <c r="AZ70" s="49">
        <f t="shared" si="365"/>
        <v>44008</v>
      </c>
      <c r="BA70" s="49">
        <f t="shared" si="365"/>
        <v>44009</v>
      </c>
      <c r="BB70" s="49">
        <f t="shared" si="365"/>
        <v>44010</v>
      </c>
      <c r="BC70" s="49">
        <f t="shared" si="365"/>
        <v>44011</v>
      </c>
      <c r="BD70" s="49">
        <f t="shared" si="365"/>
        <v>44012</v>
      </c>
      <c r="BE70" s="49">
        <f t="shared" si="365"/>
        <v>44013</v>
      </c>
      <c r="BF70" s="49">
        <f t="shared" si="365"/>
        <v>44014</v>
      </c>
      <c r="BG70" s="49">
        <f t="shared" si="365"/>
        <v>44015</v>
      </c>
      <c r="BH70" s="49">
        <f t="shared" si="365"/>
        <v>44016</v>
      </c>
      <c r="BI70" s="49">
        <f t="shared" si="365"/>
        <v>44017</v>
      </c>
      <c r="BJ70" s="49">
        <f t="shared" si="365"/>
        <v>44018</v>
      </c>
      <c r="BK70" s="49">
        <f t="shared" si="365"/>
        <v>44019</v>
      </c>
      <c r="BL70" s="49">
        <f t="shared" si="365"/>
        <v>44020</v>
      </c>
      <c r="BM70" s="49">
        <f t="shared" si="365"/>
        <v>44021</v>
      </c>
      <c r="BN70" s="49">
        <f t="shared" si="365"/>
        <v>44022</v>
      </c>
      <c r="BO70" s="49">
        <f t="shared" si="365"/>
        <v>44023</v>
      </c>
      <c r="BP70" s="49">
        <f t="shared" si="365"/>
        <v>44024</v>
      </c>
      <c r="BQ70" s="49">
        <f t="shared" si="365"/>
        <v>44025</v>
      </c>
      <c r="BR70" s="49">
        <f t="shared" si="365"/>
        <v>44026</v>
      </c>
      <c r="BS70" s="49">
        <f t="shared" si="365"/>
        <v>44027</v>
      </c>
      <c r="BT70" s="49">
        <f t="shared" si="365"/>
        <v>44028</v>
      </c>
      <c r="BU70" s="49">
        <f t="shared" si="365"/>
        <v>44029</v>
      </c>
      <c r="BV70" s="49">
        <f t="shared" si="365"/>
        <v>44030</v>
      </c>
      <c r="BW70" s="49">
        <f t="shared" si="365"/>
        <v>44031</v>
      </c>
      <c r="BX70" s="49"/>
      <c r="BY70" s="49"/>
      <c r="BZ70" s="49"/>
      <c r="CA70" s="49"/>
      <c r="CB70" s="49"/>
      <c r="CC70" s="49"/>
      <c r="CD70" s="49"/>
      <c r="CE70" s="49"/>
      <c r="CF70" s="49"/>
      <c r="CG70" s="49"/>
      <c r="CH70" s="49"/>
      <c r="CI70" s="49"/>
      <c r="CJ70" s="49"/>
      <c r="CK70" s="49"/>
      <c r="CL70" s="49"/>
      <c r="CM70" s="49"/>
      <c r="CN70" s="49"/>
      <c r="CO70" s="49"/>
      <c r="CP70" s="49"/>
      <c r="CQ70" s="49"/>
      <c r="CR70" s="49"/>
      <c r="CS70" s="49"/>
      <c r="CT70" s="49"/>
      <c r="CU70" s="49"/>
      <c r="CV70" s="49"/>
      <c r="CW70" s="49"/>
      <c r="CX70" s="49"/>
      <c r="CY70" s="49"/>
      <c r="CZ70" s="49"/>
      <c r="DA70" s="49"/>
      <c r="DB70" s="49"/>
      <c r="DC70" s="49"/>
      <c r="DD70" s="49"/>
      <c r="DE70" s="49"/>
      <c r="DF70" s="49"/>
      <c r="DG70" s="49"/>
      <c r="DH70" s="49"/>
      <c r="DI70" s="49"/>
      <c r="DJ70" s="49"/>
      <c r="DK70" s="49"/>
      <c r="DL70" s="49"/>
      <c r="DM70" s="49"/>
      <c r="DN70" s="49"/>
      <c r="DO70" s="49"/>
      <c r="DP70" s="49"/>
      <c r="DQ70" s="49"/>
      <c r="DR70" s="49"/>
      <c r="DS70" s="49">
        <f t="shared" ref="DS70:DY70" si="366">DS1</f>
        <v>44067</v>
      </c>
      <c r="DT70" s="49">
        <f t="shared" si="366"/>
        <v>44068</v>
      </c>
      <c r="DU70" s="49">
        <f t="shared" si="366"/>
        <v>44069</v>
      </c>
      <c r="DV70" s="49">
        <f t="shared" si="366"/>
        <v>44070</v>
      </c>
      <c r="DW70" s="49">
        <f t="shared" si="366"/>
        <v>44071</v>
      </c>
      <c r="DX70" s="49">
        <f t="shared" si="366"/>
        <v>44072</v>
      </c>
      <c r="DY70" s="49">
        <f t="shared" si="366"/>
        <v>44073</v>
      </c>
      <c r="DZ70" s="49"/>
      <c r="EA70" s="49"/>
      <c r="EB70" s="49">
        <f t="shared" ref="EB70:EH70" si="367">EB1</f>
        <v>44074</v>
      </c>
      <c r="EC70" s="49">
        <f t="shared" si="367"/>
        <v>44075</v>
      </c>
      <c r="ED70" s="49">
        <f t="shared" si="367"/>
        <v>44076</v>
      </c>
      <c r="EE70" s="49">
        <f t="shared" si="367"/>
        <v>44077</v>
      </c>
      <c r="EF70" s="49">
        <f t="shared" si="367"/>
        <v>44078</v>
      </c>
      <c r="EG70" s="49">
        <f t="shared" si="367"/>
        <v>44079</v>
      </c>
      <c r="EH70" s="49">
        <f t="shared" si="367"/>
        <v>44080</v>
      </c>
      <c r="EI70" s="49"/>
      <c r="EJ70" s="49"/>
      <c r="EK70" s="49">
        <f t="shared" ref="EK70:EQ70" si="368">EK1</f>
        <v>44081</v>
      </c>
      <c r="EL70" s="49">
        <f t="shared" si="368"/>
        <v>44082</v>
      </c>
      <c r="EM70" s="49">
        <f t="shared" si="368"/>
        <v>44083</v>
      </c>
      <c r="EN70" s="49">
        <f t="shared" si="368"/>
        <v>44084</v>
      </c>
      <c r="EO70" s="49">
        <f t="shared" si="368"/>
        <v>44085</v>
      </c>
      <c r="EP70" s="49">
        <f t="shared" si="368"/>
        <v>44086</v>
      </c>
      <c r="EQ70" s="49">
        <f t="shared" si="368"/>
        <v>44087</v>
      </c>
      <c r="ER70" s="49"/>
      <c r="ES70" s="49"/>
      <c r="ET70" s="49">
        <f t="shared" ref="ET70:EZ70" si="369">ET1</f>
        <v>44088</v>
      </c>
      <c r="EU70" s="49">
        <f t="shared" si="369"/>
        <v>44089</v>
      </c>
      <c r="EV70" s="49">
        <f t="shared" si="369"/>
        <v>44090</v>
      </c>
      <c r="EW70" s="49">
        <f t="shared" si="369"/>
        <v>44091</v>
      </c>
      <c r="EX70" s="49">
        <f t="shared" si="369"/>
        <v>44092</v>
      </c>
      <c r="EY70" s="49">
        <f t="shared" si="369"/>
        <v>44093</v>
      </c>
      <c r="EZ70" s="49">
        <f t="shared" si="369"/>
        <v>44094</v>
      </c>
      <c r="FA70" s="49"/>
      <c r="FB70" s="49"/>
      <c r="FC70" s="49">
        <f t="shared" ref="FC70:FI70" si="370">FC1</f>
        <v>44095</v>
      </c>
      <c r="FD70" s="49">
        <f t="shared" si="370"/>
        <v>44096</v>
      </c>
      <c r="FE70" s="49">
        <f t="shared" si="370"/>
        <v>44097</v>
      </c>
      <c r="FF70" s="49">
        <f t="shared" si="370"/>
        <v>44098</v>
      </c>
      <c r="FG70" s="49">
        <f t="shared" si="370"/>
        <v>44099</v>
      </c>
      <c r="FH70" s="49">
        <f t="shared" si="370"/>
        <v>44100</v>
      </c>
      <c r="FI70" s="49">
        <f t="shared" si="370"/>
        <v>44101</v>
      </c>
      <c r="FJ70" s="49"/>
      <c r="FK70" s="49"/>
      <c r="FL70" s="49">
        <f t="shared" ref="FL70:GS70" si="371">FL1</f>
        <v>44102</v>
      </c>
      <c r="FM70" s="49">
        <f t="shared" si="371"/>
        <v>44103</v>
      </c>
      <c r="FN70" s="49">
        <f t="shared" si="371"/>
        <v>44104</v>
      </c>
      <c r="FO70" s="49">
        <f t="shared" si="371"/>
        <v>44105</v>
      </c>
      <c r="FP70" s="49">
        <f t="shared" si="371"/>
        <v>44106</v>
      </c>
      <c r="FQ70" s="49">
        <f t="shared" si="371"/>
        <v>44107</v>
      </c>
      <c r="FR70" s="49">
        <f t="shared" si="371"/>
        <v>44108</v>
      </c>
      <c r="FS70" s="49"/>
      <c r="FT70" s="49"/>
      <c r="FU70" s="49">
        <f t="shared" si="371"/>
        <v>44109</v>
      </c>
      <c r="FV70" s="49">
        <f t="shared" si="371"/>
        <v>44110</v>
      </c>
      <c r="FW70" s="49">
        <f t="shared" si="371"/>
        <v>44111</v>
      </c>
      <c r="FX70" s="49">
        <f t="shared" si="371"/>
        <v>44112</v>
      </c>
      <c r="FY70" s="49">
        <f t="shared" si="371"/>
        <v>44113</v>
      </c>
      <c r="FZ70" s="49">
        <f t="shared" si="371"/>
        <v>44114</v>
      </c>
      <c r="GA70" s="49">
        <f t="shared" si="371"/>
        <v>44115</v>
      </c>
      <c r="GB70" s="49">
        <f t="shared" si="371"/>
        <v>44116</v>
      </c>
      <c r="GC70" s="49">
        <f t="shared" si="371"/>
        <v>44117</v>
      </c>
      <c r="GD70" s="49">
        <f t="shared" si="371"/>
        <v>44118</v>
      </c>
      <c r="GE70" s="49">
        <f t="shared" si="371"/>
        <v>44119</v>
      </c>
      <c r="GF70" s="49">
        <f t="shared" si="371"/>
        <v>44120</v>
      </c>
      <c r="GG70" s="49">
        <f t="shared" si="371"/>
        <v>44121</v>
      </c>
      <c r="GH70" s="49">
        <f t="shared" si="371"/>
        <v>44122</v>
      </c>
      <c r="GI70" s="49">
        <f t="shared" si="371"/>
        <v>44123</v>
      </c>
      <c r="GJ70" s="49">
        <f t="shared" si="371"/>
        <v>44124</v>
      </c>
      <c r="GK70" s="49">
        <f t="shared" si="371"/>
        <v>44125</v>
      </c>
      <c r="GL70" s="49">
        <f t="shared" si="371"/>
        <v>44126</v>
      </c>
      <c r="GM70" s="49">
        <f t="shared" si="371"/>
        <v>44127</v>
      </c>
      <c r="GN70" s="49">
        <f t="shared" si="371"/>
        <v>44128</v>
      </c>
      <c r="GO70" s="49">
        <f t="shared" si="371"/>
        <v>44129</v>
      </c>
      <c r="GP70" s="49">
        <f t="shared" si="371"/>
        <v>44130</v>
      </c>
      <c r="GQ70" s="49">
        <f t="shared" si="371"/>
        <v>44131</v>
      </c>
      <c r="GR70" s="49">
        <f t="shared" si="371"/>
        <v>44132</v>
      </c>
      <c r="GS70" s="49">
        <f t="shared" si="371"/>
        <v>44133</v>
      </c>
      <c r="GT70" s="49">
        <f t="shared" ref="GT70:HY70" si="372">GT1</f>
        <v>44134</v>
      </c>
      <c r="GU70" s="49">
        <f t="shared" si="372"/>
        <v>44135</v>
      </c>
      <c r="GV70" s="49">
        <f t="shared" si="372"/>
        <v>44136</v>
      </c>
      <c r="GW70" s="49">
        <f t="shared" si="372"/>
        <v>44137</v>
      </c>
      <c r="GX70" s="49">
        <f t="shared" si="372"/>
        <v>44138</v>
      </c>
      <c r="GY70" s="49">
        <f t="shared" si="372"/>
        <v>44139</v>
      </c>
      <c r="GZ70" s="49">
        <f t="shared" si="372"/>
        <v>44140</v>
      </c>
      <c r="HA70" s="49">
        <f t="shared" si="372"/>
        <v>44141</v>
      </c>
      <c r="HB70" s="49">
        <f t="shared" si="372"/>
        <v>44142</v>
      </c>
      <c r="HC70" s="49">
        <f t="shared" si="372"/>
        <v>44143</v>
      </c>
      <c r="HD70" s="49">
        <f t="shared" si="372"/>
        <v>44144</v>
      </c>
      <c r="HE70" s="49">
        <f t="shared" si="372"/>
        <v>44145</v>
      </c>
      <c r="HF70" s="49">
        <f t="shared" si="372"/>
        <v>44146</v>
      </c>
      <c r="HG70" s="49">
        <f t="shared" si="372"/>
        <v>44147</v>
      </c>
      <c r="HH70" s="49">
        <f t="shared" si="372"/>
        <v>44148</v>
      </c>
      <c r="HI70" s="49">
        <f t="shared" si="372"/>
        <v>44149</v>
      </c>
      <c r="HJ70" s="49">
        <f t="shared" si="372"/>
        <v>44150</v>
      </c>
      <c r="HK70" s="49">
        <f t="shared" si="372"/>
        <v>44151</v>
      </c>
      <c r="HL70" s="49">
        <f t="shared" si="372"/>
        <v>44152</v>
      </c>
      <c r="HM70" s="49">
        <f t="shared" si="372"/>
        <v>44153</v>
      </c>
      <c r="HN70" s="49">
        <f t="shared" si="372"/>
        <v>44154</v>
      </c>
      <c r="HO70" s="49">
        <f t="shared" si="372"/>
        <v>44155</v>
      </c>
      <c r="HP70" s="49">
        <f t="shared" si="372"/>
        <v>44156</v>
      </c>
      <c r="HQ70" s="49">
        <f t="shared" si="372"/>
        <v>44157</v>
      </c>
      <c r="HR70" s="49">
        <f t="shared" si="372"/>
        <v>44158</v>
      </c>
      <c r="HS70" s="49">
        <f t="shared" si="372"/>
        <v>44159</v>
      </c>
      <c r="HT70" s="49">
        <f t="shared" si="372"/>
        <v>44160</v>
      </c>
      <c r="HU70" s="49">
        <f t="shared" si="372"/>
        <v>44161</v>
      </c>
      <c r="HV70" s="49">
        <f t="shared" si="372"/>
        <v>44162</v>
      </c>
      <c r="HW70" s="49">
        <f t="shared" si="372"/>
        <v>44163</v>
      </c>
      <c r="HX70" s="49">
        <f t="shared" si="372"/>
        <v>44164</v>
      </c>
      <c r="HY70" s="49">
        <f t="shared" si="372"/>
        <v>44165</v>
      </c>
      <c r="HZ70" s="49">
        <f t="shared" ref="HZ70:JE70" si="373">HZ1</f>
        <v>44166</v>
      </c>
      <c r="IA70" s="49">
        <f t="shared" si="373"/>
        <v>44167</v>
      </c>
      <c r="IB70" s="49">
        <f t="shared" si="373"/>
        <v>44168</v>
      </c>
      <c r="IC70" s="49">
        <f t="shared" si="373"/>
        <v>44169</v>
      </c>
      <c r="ID70" s="49">
        <f t="shared" si="373"/>
        <v>44170</v>
      </c>
      <c r="IE70" s="49">
        <f t="shared" si="373"/>
        <v>44171</v>
      </c>
      <c r="IF70" s="49">
        <f t="shared" si="373"/>
        <v>44172</v>
      </c>
      <c r="IG70" s="49">
        <f t="shared" si="373"/>
        <v>44173</v>
      </c>
      <c r="IH70" s="49">
        <f t="shared" si="373"/>
        <v>44174</v>
      </c>
      <c r="II70" s="49">
        <f t="shared" si="373"/>
        <v>44175</v>
      </c>
      <c r="IJ70" s="49">
        <f t="shared" si="373"/>
        <v>44176</v>
      </c>
      <c r="IK70" s="49">
        <f t="shared" si="373"/>
        <v>44177</v>
      </c>
      <c r="IL70" s="49">
        <f t="shared" si="373"/>
        <v>44178</v>
      </c>
      <c r="IM70" s="49">
        <f t="shared" si="373"/>
        <v>44179</v>
      </c>
      <c r="IN70" s="49">
        <f t="shared" si="373"/>
        <v>44180</v>
      </c>
      <c r="IO70" s="49">
        <f t="shared" si="373"/>
        <v>44181</v>
      </c>
      <c r="IP70" s="49">
        <f t="shared" si="373"/>
        <v>44182</v>
      </c>
      <c r="IQ70" s="49">
        <f t="shared" si="373"/>
        <v>44183</v>
      </c>
      <c r="IR70" s="49">
        <f t="shared" si="373"/>
        <v>44184</v>
      </c>
      <c r="IS70" s="49">
        <f t="shared" si="373"/>
        <v>44185</v>
      </c>
      <c r="IT70" s="49">
        <f t="shared" si="373"/>
        <v>44186</v>
      </c>
      <c r="IU70" s="49">
        <f t="shared" si="373"/>
        <v>44187</v>
      </c>
      <c r="IV70" s="49">
        <f t="shared" si="373"/>
        <v>44188</v>
      </c>
      <c r="IW70" s="49">
        <f t="shared" si="373"/>
        <v>44189</v>
      </c>
      <c r="IX70" s="49">
        <f t="shared" si="373"/>
        <v>44190</v>
      </c>
      <c r="IY70" s="49">
        <f t="shared" si="373"/>
        <v>44191</v>
      </c>
      <c r="IZ70" s="49">
        <f t="shared" si="373"/>
        <v>44192</v>
      </c>
      <c r="JA70" s="49">
        <f t="shared" si="373"/>
        <v>44193</v>
      </c>
      <c r="JB70" s="49">
        <f t="shared" si="373"/>
        <v>44194</v>
      </c>
      <c r="JC70" s="49">
        <f t="shared" si="373"/>
        <v>44195</v>
      </c>
      <c r="JD70" s="49">
        <f t="shared" si="373"/>
        <v>44196</v>
      </c>
      <c r="JE70" s="49">
        <f t="shared" si="373"/>
        <v>44197</v>
      </c>
      <c r="JF70" s="49">
        <f t="shared" ref="JF70:KK70" si="374">JF1</f>
        <v>44198</v>
      </c>
      <c r="JG70" s="49">
        <f t="shared" si="374"/>
        <v>44199</v>
      </c>
      <c r="JH70" s="49">
        <f t="shared" si="374"/>
        <v>44200</v>
      </c>
      <c r="JI70" s="49">
        <f t="shared" si="374"/>
        <v>44201</v>
      </c>
      <c r="JJ70" s="49">
        <f t="shared" si="374"/>
        <v>44202</v>
      </c>
      <c r="JK70" s="49">
        <f t="shared" si="374"/>
        <v>44203</v>
      </c>
      <c r="JL70" s="49">
        <f t="shared" si="374"/>
        <v>44204</v>
      </c>
      <c r="JM70" s="49">
        <f t="shared" si="374"/>
        <v>44205</v>
      </c>
      <c r="JN70" s="49">
        <f t="shared" si="374"/>
        <v>44206</v>
      </c>
      <c r="JO70" s="49">
        <f t="shared" si="374"/>
        <v>44207</v>
      </c>
      <c r="JP70" s="49">
        <f t="shared" si="374"/>
        <v>44208</v>
      </c>
      <c r="JQ70" s="49">
        <f t="shared" si="374"/>
        <v>44209</v>
      </c>
      <c r="JR70" s="49">
        <f t="shared" si="374"/>
        <v>44210</v>
      </c>
      <c r="JS70" s="49">
        <f t="shared" si="374"/>
        <v>44211</v>
      </c>
      <c r="JT70" s="49">
        <f t="shared" si="374"/>
        <v>44212</v>
      </c>
      <c r="JU70" s="49">
        <f t="shared" si="374"/>
        <v>44213</v>
      </c>
      <c r="JV70" s="49">
        <f t="shared" si="374"/>
        <v>44214</v>
      </c>
      <c r="JW70" s="49">
        <f t="shared" si="374"/>
        <v>44215</v>
      </c>
      <c r="JX70" s="49">
        <f t="shared" si="374"/>
        <v>44216</v>
      </c>
      <c r="JY70" s="49">
        <f t="shared" si="374"/>
        <v>44217</v>
      </c>
      <c r="JZ70" s="49">
        <f t="shared" si="374"/>
        <v>44218</v>
      </c>
      <c r="KA70" s="49">
        <f t="shared" si="374"/>
        <v>44219</v>
      </c>
      <c r="KB70" s="49">
        <f t="shared" si="374"/>
        <v>44220</v>
      </c>
      <c r="KC70" s="49">
        <f t="shared" si="374"/>
        <v>44221</v>
      </c>
      <c r="KD70" s="49">
        <f t="shared" si="374"/>
        <v>44222</v>
      </c>
      <c r="KE70" s="49">
        <f t="shared" si="374"/>
        <v>44223</v>
      </c>
      <c r="KF70" s="49">
        <f t="shared" si="374"/>
        <v>44224</v>
      </c>
      <c r="KG70" s="49">
        <f t="shared" si="374"/>
        <v>44225</v>
      </c>
      <c r="KH70" s="49">
        <f t="shared" si="374"/>
        <v>44226</v>
      </c>
      <c r="KI70" s="49">
        <f t="shared" si="374"/>
        <v>44227</v>
      </c>
      <c r="KJ70" s="49">
        <f t="shared" si="374"/>
        <v>44228</v>
      </c>
      <c r="KK70" s="49">
        <f t="shared" si="374"/>
        <v>44229</v>
      </c>
      <c r="KL70" s="49">
        <f t="shared" ref="KL70:LQ70" si="375">KL1</f>
        <v>44230</v>
      </c>
      <c r="KM70" s="49">
        <f t="shared" si="375"/>
        <v>44231</v>
      </c>
      <c r="KN70" s="49">
        <f t="shared" si="375"/>
        <v>44232</v>
      </c>
      <c r="KO70" s="49">
        <f t="shared" si="375"/>
        <v>44233</v>
      </c>
      <c r="KP70" s="49">
        <f t="shared" si="375"/>
        <v>44234</v>
      </c>
      <c r="KQ70" s="49">
        <f t="shared" si="375"/>
        <v>44235</v>
      </c>
      <c r="KR70" s="49">
        <f t="shared" si="375"/>
        <v>44236</v>
      </c>
      <c r="KS70" s="49">
        <f t="shared" si="375"/>
        <v>44237</v>
      </c>
      <c r="KT70" s="49">
        <f t="shared" si="375"/>
        <v>44238</v>
      </c>
      <c r="KU70" s="49">
        <f t="shared" si="375"/>
        <v>44239</v>
      </c>
      <c r="KV70" s="49">
        <f t="shared" si="375"/>
        <v>44240</v>
      </c>
      <c r="KW70" s="49">
        <f t="shared" si="375"/>
        <v>44241</v>
      </c>
      <c r="KX70" s="49">
        <f t="shared" si="375"/>
        <v>44242</v>
      </c>
      <c r="KY70" s="49">
        <f t="shared" si="375"/>
        <v>44243</v>
      </c>
      <c r="KZ70" s="49">
        <f t="shared" si="375"/>
        <v>44244</v>
      </c>
      <c r="LA70" s="49">
        <f t="shared" si="375"/>
        <v>44245</v>
      </c>
      <c r="LB70" s="49">
        <f t="shared" si="375"/>
        <v>44246</v>
      </c>
      <c r="LC70" s="49">
        <f t="shared" si="375"/>
        <v>44247</v>
      </c>
      <c r="LD70" s="49">
        <f t="shared" si="375"/>
        <v>44248</v>
      </c>
      <c r="LE70" s="49">
        <f t="shared" si="375"/>
        <v>44249</v>
      </c>
      <c r="LF70" s="49">
        <f t="shared" si="375"/>
        <v>44250</v>
      </c>
      <c r="LG70" s="49">
        <f t="shared" si="375"/>
        <v>44251</v>
      </c>
      <c r="LH70" s="49">
        <f t="shared" si="375"/>
        <v>44252</v>
      </c>
      <c r="LI70" s="49">
        <f t="shared" si="375"/>
        <v>44253</v>
      </c>
      <c r="LJ70" s="49">
        <f t="shared" si="375"/>
        <v>44254</v>
      </c>
      <c r="LK70" s="49">
        <f t="shared" si="375"/>
        <v>44255</v>
      </c>
      <c r="LL70" s="49">
        <f t="shared" si="375"/>
        <v>44256</v>
      </c>
      <c r="LM70" s="49">
        <f t="shared" si="375"/>
        <v>44257</v>
      </c>
      <c r="LN70" s="49">
        <f t="shared" si="375"/>
        <v>44258</v>
      </c>
      <c r="LO70" s="49">
        <f t="shared" si="375"/>
        <v>44259</v>
      </c>
      <c r="LP70" s="49">
        <f t="shared" si="375"/>
        <v>44260</v>
      </c>
      <c r="LQ70" s="49">
        <f t="shared" si="375"/>
        <v>44261</v>
      </c>
      <c r="LR70" s="49">
        <f t="shared" ref="LR70:MT70" si="376">LR1</f>
        <v>44262</v>
      </c>
      <c r="LS70" s="49">
        <f t="shared" si="376"/>
        <v>44263</v>
      </c>
      <c r="LT70" s="49">
        <f t="shared" si="376"/>
        <v>44264</v>
      </c>
      <c r="LU70" s="49">
        <f t="shared" si="376"/>
        <v>44265</v>
      </c>
      <c r="LV70" s="49">
        <f t="shared" si="376"/>
        <v>44266</v>
      </c>
      <c r="LW70" s="49">
        <f t="shared" si="376"/>
        <v>44267</v>
      </c>
      <c r="LX70" s="49">
        <f t="shared" si="376"/>
        <v>44268</v>
      </c>
      <c r="LY70" s="49">
        <f t="shared" si="376"/>
        <v>44269</v>
      </c>
      <c r="LZ70" s="49">
        <f t="shared" si="376"/>
        <v>44270</v>
      </c>
      <c r="MA70" s="49">
        <f t="shared" si="376"/>
        <v>44271</v>
      </c>
      <c r="MB70" s="49">
        <f t="shared" si="376"/>
        <v>44272</v>
      </c>
      <c r="MC70" s="49">
        <f t="shared" si="376"/>
        <v>44273</v>
      </c>
      <c r="MD70" s="49">
        <f t="shared" si="376"/>
        <v>44274</v>
      </c>
      <c r="ME70" s="49">
        <f t="shared" si="376"/>
        <v>44275</v>
      </c>
      <c r="MF70" s="49">
        <f t="shared" si="376"/>
        <v>44276</v>
      </c>
      <c r="MG70" s="49">
        <f t="shared" si="376"/>
        <v>44277</v>
      </c>
      <c r="MH70" s="49">
        <f t="shared" si="376"/>
        <v>44278</v>
      </c>
      <c r="MI70" s="49">
        <f t="shared" si="376"/>
        <v>44279</v>
      </c>
      <c r="MJ70" s="49">
        <f t="shared" si="376"/>
        <v>44280</v>
      </c>
      <c r="MK70" s="49">
        <f t="shared" si="376"/>
        <v>44281</v>
      </c>
      <c r="ML70" s="49">
        <f t="shared" si="376"/>
        <v>44282</v>
      </c>
      <c r="MM70" s="49">
        <f t="shared" si="376"/>
        <v>44283</v>
      </c>
      <c r="MN70" s="49">
        <f t="shared" si="376"/>
        <v>44284</v>
      </c>
      <c r="MO70" s="49">
        <f t="shared" si="376"/>
        <v>44285</v>
      </c>
      <c r="MP70" s="49">
        <f t="shared" si="376"/>
        <v>44286</v>
      </c>
      <c r="MQ70" s="49">
        <f t="shared" si="376"/>
        <v>44287</v>
      </c>
      <c r="MR70" s="49">
        <f t="shared" si="376"/>
        <v>44288</v>
      </c>
      <c r="MS70" s="49">
        <f t="shared" si="376"/>
        <v>44289</v>
      </c>
      <c r="MT70" s="49">
        <f t="shared" si="376"/>
        <v>44290</v>
      </c>
    </row>
    <row r="71" spans="1:358" ht="15" customHeight="1" x14ac:dyDescent="0.25">
      <c r="A71" s="147" t="s">
        <v>144</v>
      </c>
      <c r="B71" s="147"/>
      <c r="C71" s="147"/>
      <c r="D71" s="147"/>
      <c r="E71" s="148"/>
      <c r="F71" s="30"/>
      <c r="G71" s="30"/>
      <c r="H71" s="30"/>
      <c r="I71" s="30"/>
      <c r="J71" s="30"/>
      <c r="K71" s="30"/>
      <c r="L71" s="30"/>
      <c r="M71" s="30"/>
      <c r="N71" s="30"/>
      <c r="O71" s="29"/>
      <c r="P71" s="151" t="s">
        <v>49</v>
      </c>
      <c r="Q71" s="151" t="s">
        <v>48</v>
      </c>
      <c r="R71" s="153"/>
      <c r="S71" s="57">
        <f t="shared" ref="S71:BV71" si="377">S41</f>
        <v>43975</v>
      </c>
      <c r="T71" s="58">
        <f t="shared" si="377"/>
        <v>43976</v>
      </c>
      <c r="U71" s="58">
        <f t="shared" si="377"/>
        <v>43977</v>
      </c>
      <c r="V71" s="58">
        <f t="shared" si="377"/>
        <v>43978</v>
      </c>
      <c r="W71" s="58">
        <f t="shared" si="377"/>
        <v>43979</v>
      </c>
      <c r="X71" s="58">
        <f t="shared" si="377"/>
        <v>43980</v>
      </c>
      <c r="Y71" s="58">
        <f t="shared" si="377"/>
        <v>43981</v>
      </c>
      <c r="Z71" s="57">
        <f t="shared" si="377"/>
        <v>43982</v>
      </c>
      <c r="AA71" s="58">
        <f t="shared" si="377"/>
        <v>43983</v>
      </c>
      <c r="AB71" s="58">
        <f t="shared" si="377"/>
        <v>43984</v>
      </c>
      <c r="AC71" s="58">
        <f t="shared" si="377"/>
        <v>43985</v>
      </c>
      <c r="AD71" s="58">
        <f t="shared" si="377"/>
        <v>43986</v>
      </c>
      <c r="AE71" s="58">
        <f t="shared" si="377"/>
        <v>43987</v>
      </c>
      <c r="AF71" s="58">
        <f t="shared" si="377"/>
        <v>43988</v>
      </c>
      <c r="AG71" s="57">
        <f t="shared" si="377"/>
        <v>43989</v>
      </c>
      <c r="AH71" s="58">
        <f t="shared" si="377"/>
        <v>43990</v>
      </c>
      <c r="AI71" s="58">
        <f t="shared" si="377"/>
        <v>43991</v>
      </c>
      <c r="AJ71" s="58">
        <f t="shared" si="377"/>
        <v>43992</v>
      </c>
      <c r="AK71" s="58">
        <f t="shared" si="377"/>
        <v>43993</v>
      </c>
      <c r="AL71" s="58">
        <f t="shared" si="377"/>
        <v>43994</v>
      </c>
      <c r="AM71" s="58">
        <f t="shared" si="377"/>
        <v>43995</v>
      </c>
      <c r="AN71" s="57">
        <f t="shared" si="377"/>
        <v>43996</v>
      </c>
      <c r="AO71" s="58">
        <f t="shared" si="377"/>
        <v>43997</v>
      </c>
      <c r="AP71" s="58">
        <f t="shared" si="377"/>
        <v>43998</v>
      </c>
      <c r="AQ71" s="58">
        <f t="shared" si="377"/>
        <v>43999</v>
      </c>
      <c r="AR71" s="58">
        <f t="shared" si="377"/>
        <v>44000</v>
      </c>
      <c r="AS71" s="58">
        <f t="shared" si="377"/>
        <v>44001</v>
      </c>
      <c r="AT71" s="58">
        <f t="shared" si="377"/>
        <v>44002</v>
      </c>
      <c r="AU71" s="57">
        <f t="shared" si="377"/>
        <v>44003</v>
      </c>
      <c r="AV71" s="58">
        <f t="shared" si="377"/>
        <v>44004</v>
      </c>
      <c r="AW71" s="58">
        <f t="shared" si="377"/>
        <v>44005</v>
      </c>
      <c r="AX71" s="58">
        <f t="shared" si="377"/>
        <v>44006</v>
      </c>
      <c r="AY71" s="58">
        <f t="shared" si="377"/>
        <v>44007</v>
      </c>
      <c r="AZ71" s="58">
        <f t="shared" si="377"/>
        <v>44008</v>
      </c>
      <c r="BA71" s="58">
        <f t="shared" si="377"/>
        <v>44009</v>
      </c>
      <c r="BB71" s="57">
        <f t="shared" si="377"/>
        <v>44010</v>
      </c>
      <c r="BC71" s="58">
        <f t="shared" si="377"/>
        <v>44011</v>
      </c>
      <c r="BD71" s="58">
        <f t="shared" si="377"/>
        <v>44012</v>
      </c>
      <c r="BE71" s="58">
        <f t="shared" si="377"/>
        <v>44013</v>
      </c>
      <c r="BF71" s="58">
        <f t="shared" si="377"/>
        <v>44014</v>
      </c>
      <c r="BG71" s="58">
        <f t="shared" si="377"/>
        <v>44015</v>
      </c>
      <c r="BH71" s="58">
        <f t="shared" si="377"/>
        <v>44016</v>
      </c>
      <c r="BI71" s="57">
        <f t="shared" si="377"/>
        <v>44017</v>
      </c>
      <c r="BJ71" s="58">
        <f t="shared" si="377"/>
        <v>44018</v>
      </c>
      <c r="BK71" s="58">
        <f t="shared" si="377"/>
        <v>44019</v>
      </c>
      <c r="BL71" s="58">
        <f t="shared" si="377"/>
        <v>44020</v>
      </c>
      <c r="BM71" s="58">
        <f t="shared" si="377"/>
        <v>44021</v>
      </c>
      <c r="BN71" s="58">
        <f t="shared" si="377"/>
        <v>44022</v>
      </c>
      <c r="BO71" s="58">
        <f t="shared" si="377"/>
        <v>44023</v>
      </c>
      <c r="BP71" s="57">
        <v>12</v>
      </c>
      <c r="BQ71" s="58">
        <f t="shared" si="377"/>
        <v>44025</v>
      </c>
      <c r="BR71" s="58">
        <f t="shared" si="377"/>
        <v>44026</v>
      </c>
      <c r="BS71" s="58">
        <f t="shared" si="377"/>
        <v>44027</v>
      </c>
      <c r="BT71" s="58">
        <f t="shared" si="377"/>
        <v>44028</v>
      </c>
      <c r="BU71" s="58">
        <f t="shared" si="377"/>
        <v>44029</v>
      </c>
      <c r="BV71" s="58">
        <f t="shared" si="377"/>
        <v>44030</v>
      </c>
      <c r="BW71" s="58">
        <v>19</v>
      </c>
      <c r="BX71" s="58"/>
      <c r="BY71" s="57"/>
      <c r="BZ71" s="58"/>
      <c r="CA71" s="58"/>
      <c r="CB71" s="58"/>
      <c r="CC71" s="58"/>
      <c r="CD71" s="58"/>
      <c r="CE71" s="58"/>
      <c r="CF71" s="58"/>
      <c r="CG71" s="58"/>
      <c r="CH71" s="57"/>
      <c r="CI71" s="58"/>
      <c r="CJ71" s="58"/>
      <c r="CK71" s="58"/>
      <c r="CL71" s="58"/>
      <c r="CM71" s="58"/>
      <c r="CN71" s="58"/>
      <c r="CO71" s="58"/>
      <c r="CP71" s="58"/>
      <c r="CQ71" s="57"/>
      <c r="CR71" s="58"/>
      <c r="CS71" s="58"/>
      <c r="CT71" s="58"/>
      <c r="CU71" s="58"/>
      <c r="CV71" s="58"/>
      <c r="CW71" s="58"/>
      <c r="CX71" s="58"/>
      <c r="CY71" s="58"/>
      <c r="CZ71" s="57"/>
      <c r="DA71" s="58"/>
      <c r="DB71" s="58"/>
      <c r="DC71" s="58"/>
      <c r="DD71" s="58"/>
      <c r="DE71" s="58"/>
      <c r="DF71" s="58"/>
      <c r="DG71" s="58"/>
      <c r="DH71" s="58"/>
      <c r="DI71" s="57"/>
      <c r="DJ71" s="58"/>
      <c r="DK71" s="58"/>
      <c r="DL71" s="58"/>
      <c r="DM71" s="58"/>
      <c r="DN71" s="58"/>
      <c r="DO71" s="58"/>
      <c r="DP71" s="58"/>
      <c r="DQ71" s="58"/>
      <c r="DR71" s="57"/>
      <c r="DS71" s="58">
        <f t="shared" ref="DS71:FL71" si="378">DS41</f>
        <v>44067</v>
      </c>
      <c r="DT71" s="58">
        <f t="shared" si="378"/>
        <v>44068</v>
      </c>
      <c r="DU71" s="58">
        <f t="shared" si="378"/>
        <v>44069</v>
      </c>
      <c r="DV71" s="58">
        <f t="shared" si="378"/>
        <v>44070</v>
      </c>
      <c r="DW71" s="58">
        <f t="shared" si="378"/>
        <v>44071</v>
      </c>
      <c r="DX71" s="58">
        <f t="shared" si="378"/>
        <v>44072</v>
      </c>
      <c r="DY71" s="58">
        <f t="shared" si="378"/>
        <v>44073</v>
      </c>
      <c r="DZ71" s="58"/>
      <c r="EA71" s="57"/>
      <c r="EB71" s="58">
        <f t="shared" si="378"/>
        <v>44074</v>
      </c>
      <c r="EC71" s="58">
        <f t="shared" si="378"/>
        <v>44075</v>
      </c>
      <c r="ED71" s="58">
        <f t="shared" si="378"/>
        <v>44076</v>
      </c>
      <c r="EE71" s="58">
        <f t="shared" si="378"/>
        <v>44077</v>
      </c>
      <c r="EF71" s="58">
        <f t="shared" si="378"/>
        <v>44078</v>
      </c>
      <c r="EG71" s="58">
        <f t="shared" si="378"/>
        <v>44079</v>
      </c>
      <c r="EH71" s="58">
        <f t="shared" si="378"/>
        <v>44080</v>
      </c>
      <c r="EI71" s="58"/>
      <c r="EJ71" s="57"/>
      <c r="EK71" s="58">
        <f t="shared" si="378"/>
        <v>44081</v>
      </c>
      <c r="EL71" s="58">
        <f t="shared" si="378"/>
        <v>44082</v>
      </c>
      <c r="EM71" s="58">
        <f t="shared" si="378"/>
        <v>44083</v>
      </c>
      <c r="EN71" s="58">
        <f t="shared" si="378"/>
        <v>44084</v>
      </c>
      <c r="EO71" s="58">
        <f t="shared" si="378"/>
        <v>44085</v>
      </c>
      <c r="EP71" s="58">
        <f t="shared" si="378"/>
        <v>44086</v>
      </c>
      <c r="EQ71" s="58">
        <f t="shared" si="378"/>
        <v>44087</v>
      </c>
      <c r="ER71" s="58"/>
      <c r="ES71" s="57"/>
      <c r="ET71" s="58">
        <f t="shared" si="378"/>
        <v>44088</v>
      </c>
      <c r="EU71" s="58">
        <f t="shared" si="378"/>
        <v>44089</v>
      </c>
      <c r="EV71" s="58">
        <f t="shared" si="378"/>
        <v>44090</v>
      </c>
      <c r="EW71" s="58">
        <f t="shared" si="378"/>
        <v>44091</v>
      </c>
      <c r="EX71" s="58">
        <f t="shared" si="378"/>
        <v>44092</v>
      </c>
      <c r="EY71" s="58">
        <f t="shared" si="378"/>
        <v>44093</v>
      </c>
      <c r="EZ71" s="58">
        <f t="shared" si="378"/>
        <v>44094</v>
      </c>
      <c r="FA71" s="58"/>
      <c r="FB71" s="57"/>
      <c r="FC71" s="58">
        <f t="shared" si="378"/>
        <v>44095</v>
      </c>
      <c r="FD71" s="58">
        <f t="shared" si="378"/>
        <v>44096</v>
      </c>
      <c r="FE71" s="58">
        <f t="shared" si="378"/>
        <v>44097</v>
      </c>
      <c r="FF71" s="58">
        <f t="shared" si="378"/>
        <v>44098</v>
      </c>
      <c r="FG71" s="58">
        <f t="shared" si="378"/>
        <v>44099</v>
      </c>
      <c r="FH71" s="58">
        <f t="shared" si="378"/>
        <v>44100</v>
      </c>
      <c r="FI71" s="58">
        <f t="shared" ref="FI71" si="379">FI41</f>
        <v>44101</v>
      </c>
      <c r="FJ71" s="58"/>
      <c r="FK71" s="57"/>
      <c r="FL71" s="58">
        <f t="shared" si="378"/>
        <v>44102</v>
      </c>
      <c r="FM71" s="58">
        <f t="shared" ref="FM71:HZ71" si="380">FM41</f>
        <v>44103</v>
      </c>
      <c r="FN71" s="58">
        <f t="shared" si="380"/>
        <v>44104</v>
      </c>
      <c r="FO71" s="58">
        <f t="shared" si="380"/>
        <v>44105</v>
      </c>
      <c r="FP71" s="58">
        <f t="shared" si="380"/>
        <v>44106</v>
      </c>
      <c r="FQ71" s="58">
        <f t="shared" si="380"/>
        <v>44107</v>
      </c>
      <c r="FR71" s="58"/>
      <c r="FS71" s="58"/>
      <c r="FT71" s="57"/>
      <c r="FU71" s="58">
        <f t="shared" si="380"/>
        <v>44109</v>
      </c>
      <c r="FV71" s="58">
        <f t="shared" si="380"/>
        <v>44110</v>
      </c>
      <c r="FW71" s="58">
        <f t="shared" si="380"/>
        <v>44111</v>
      </c>
      <c r="FX71" s="58">
        <f t="shared" si="380"/>
        <v>44112</v>
      </c>
      <c r="FY71" s="58">
        <f t="shared" si="380"/>
        <v>44113</v>
      </c>
      <c r="FZ71" s="58">
        <f t="shared" si="380"/>
        <v>44114</v>
      </c>
      <c r="GA71" s="57">
        <f t="shared" si="380"/>
        <v>44115</v>
      </c>
      <c r="GB71" s="58">
        <f t="shared" si="380"/>
        <v>44116</v>
      </c>
      <c r="GC71" s="58">
        <f t="shared" si="380"/>
        <v>44117</v>
      </c>
      <c r="GD71" s="58">
        <f t="shared" si="380"/>
        <v>44118</v>
      </c>
      <c r="GE71" s="58">
        <f t="shared" si="380"/>
        <v>44119</v>
      </c>
      <c r="GF71" s="58">
        <f t="shared" si="380"/>
        <v>44120</v>
      </c>
      <c r="GG71" s="58">
        <f t="shared" si="380"/>
        <v>44121</v>
      </c>
      <c r="GH71" s="57">
        <f t="shared" si="380"/>
        <v>44122</v>
      </c>
      <c r="GI71" s="58">
        <f t="shared" si="380"/>
        <v>44123</v>
      </c>
      <c r="GJ71" s="58">
        <f t="shared" si="380"/>
        <v>44124</v>
      </c>
      <c r="GK71" s="58">
        <f t="shared" si="380"/>
        <v>44125</v>
      </c>
      <c r="GL71" s="58">
        <f t="shared" si="380"/>
        <v>44126</v>
      </c>
      <c r="GM71" s="58">
        <f t="shared" si="380"/>
        <v>44127</v>
      </c>
      <c r="GN71" s="58">
        <f t="shared" si="380"/>
        <v>44128</v>
      </c>
      <c r="GO71" s="57">
        <f t="shared" si="380"/>
        <v>44129</v>
      </c>
      <c r="GP71" s="58">
        <f t="shared" si="380"/>
        <v>44130</v>
      </c>
      <c r="GQ71" s="58">
        <f t="shared" si="380"/>
        <v>44131</v>
      </c>
      <c r="GR71" s="58">
        <f t="shared" si="380"/>
        <v>44132</v>
      </c>
      <c r="GS71" s="58">
        <f t="shared" si="380"/>
        <v>44133</v>
      </c>
      <c r="GT71" s="58">
        <f t="shared" si="380"/>
        <v>44134</v>
      </c>
      <c r="GU71" s="58">
        <f t="shared" si="380"/>
        <v>44135</v>
      </c>
      <c r="GV71" s="57">
        <f t="shared" si="380"/>
        <v>44136</v>
      </c>
      <c r="GW71" s="58">
        <f t="shared" si="380"/>
        <v>44137</v>
      </c>
      <c r="GX71" s="58">
        <f t="shared" si="380"/>
        <v>44138</v>
      </c>
      <c r="GY71" s="58">
        <f t="shared" si="380"/>
        <v>44139</v>
      </c>
      <c r="GZ71" s="58">
        <f t="shared" si="380"/>
        <v>44140</v>
      </c>
      <c r="HA71" s="58">
        <f t="shared" si="380"/>
        <v>44141</v>
      </c>
      <c r="HB71" s="58">
        <f t="shared" si="380"/>
        <v>44142</v>
      </c>
      <c r="HC71" s="57">
        <f t="shared" si="380"/>
        <v>44143</v>
      </c>
      <c r="HD71" s="58">
        <f t="shared" si="380"/>
        <v>44144</v>
      </c>
      <c r="HE71" s="58">
        <f t="shared" si="380"/>
        <v>44145</v>
      </c>
      <c r="HF71" s="58">
        <f t="shared" si="380"/>
        <v>44146</v>
      </c>
      <c r="HG71" s="58">
        <f t="shared" si="380"/>
        <v>44147</v>
      </c>
      <c r="HH71" s="58">
        <f t="shared" si="380"/>
        <v>44148</v>
      </c>
      <c r="HI71" s="58">
        <f t="shared" si="380"/>
        <v>44149</v>
      </c>
      <c r="HJ71" s="57">
        <f t="shared" si="380"/>
        <v>44150</v>
      </c>
      <c r="HK71" s="58">
        <f t="shared" si="380"/>
        <v>44151</v>
      </c>
      <c r="HL71" s="58">
        <f t="shared" si="380"/>
        <v>44152</v>
      </c>
      <c r="HM71" s="58">
        <f t="shared" si="380"/>
        <v>44153</v>
      </c>
      <c r="HN71" s="58">
        <f t="shared" si="380"/>
        <v>44154</v>
      </c>
      <c r="HO71" s="58">
        <f t="shared" si="380"/>
        <v>44155</v>
      </c>
      <c r="HP71" s="58">
        <f t="shared" si="380"/>
        <v>44156</v>
      </c>
      <c r="HQ71" s="57">
        <f t="shared" si="380"/>
        <v>44157</v>
      </c>
      <c r="HR71" s="58">
        <f t="shared" si="380"/>
        <v>44158</v>
      </c>
      <c r="HS71" s="58">
        <f t="shared" si="380"/>
        <v>44159</v>
      </c>
      <c r="HT71" s="58">
        <f t="shared" si="380"/>
        <v>44160</v>
      </c>
      <c r="HU71" s="58">
        <f t="shared" si="380"/>
        <v>44161</v>
      </c>
      <c r="HV71" s="58">
        <f t="shared" si="380"/>
        <v>44162</v>
      </c>
      <c r="HW71" s="58">
        <f t="shared" si="380"/>
        <v>44163</v>
      </c>
      <c r="HX71" s="57">
        <f t="shared" si="380"/>
        <v>44164</v>
      </c>
      <c r="HY71" s="58">
        <f t="shared" si="380"/>
        <v>44165</v>
      </c>
      <c r="HZ71" s="58">
        <f t="shared" si="380"/>
        <v>44166</v>
      </c>
      <c r="IA71" s="58">
        <f t="shared" ref="IA71:KL71" si="381">IA41</f>
        <v>44167</v>
      </c>
      <c r="IB71" s="58">
        <f t="shared" si="381"/>
        <v>44168</v>
      </c>
      <c r="IC71" s="58">
        <f t="shared" si="381"/>
        <v>44169</v>
      </c>
      <c r="ID71" s="58">
        <f t="shared" si="381"/>
        <v>44170</v>
      </c>
      <c r="IE71" s="57">
        <f t="shared" si="381"/>
        <v>44171</v>
      </c>
      <c r="IF71" s="58">
        <f t="shared" si="381"/>
        <v>44172</v>
      </c>
      <c r="IG71" s="58">
        <f t="shared" si="381"/>
        <v>44173</v>
      </c>
      <c r="IH71" s="58">
        <f t="shared" si="381"/>
        <v>44174</v>
      </c>
      <c r="II71" s="58">
        <f t="shared" si="381"/>
        <v>44175</v>
      </c>
      <c r="IJ71" s="58">
        <f t="shared" si="381"/>
        <v>44176</v>
      </c>
      <c r="IK71" s="58">
        <f t="shared" si="381"/>
        <v>44177</v>
      </c>
      <c r="IL71" s="57">
        <f t="shared" si="381"/>
        <v>44178</v>
      </c>
      <c r="IM71" s="58">
        <f t="shared" si="381"/>
        <v>44179</v>
      </c>
      <c r="IN71" s="58">
        <f t="shared" si="381"/>
        <v>44180</v>
      </c>
      <c r="IO71" s="58">
        <f t="shared" si="381"/>
        <v>44181</v>
      </c>
      <c r="IP71" s="58">
        <f t="shared" si="381"/>
        <v>44182</v>
      </c>
      <c r="IQ71" s="58">
        <f t="shared" si="381"/>
        <v>44183</v>
      </c>
      <c r="IR71" s="58">
        <f t="shared" si="381"/>
        <v>44184</v>
      </c>
      <c r="IS71" s="57">
        <f t="shared" si="381"/>
        <v>44185</v>
      </c>
      <c r="IT71" s="58">
        <f t="shared" si="381"/>
        <v>44186</v>
      </c>
      <c r="IU71" s="58">
        <f t="shared" si="381"/>
        <v>44187</v>
      </c>
      <c r="IV71" s="58">
        <f t="shared" si="381"/>
        <v>44188</v>
      </c>
      <c r="IW71" s="58">
        <f t="shared" si="381"/>
        <v>44189</v>
      </c>
      <c r="IX71" s="58">
        <f t="shared" si="381"/>
        <v>44190</v>
      </c>
      <c r="IY71" s="58">
        <f t="shared" si="381"/>
        <v>44191</v>
      </c>
      <c r="IZ71" s="57">
        <f t="shared" si="381"/>
        <v>44192</v>
      </c>
      <c r="JA71" s="58">
        <f t="shared" si="381"/>
        <v>44193</v>
      </c>
      <c r="JB71" s="58">
        <f t="shared" si="381"/>
        <v>44194</v>
      </c>
      <c r="JC71" s="58">
        <f t="shared" si="381"/>
        <v>44195</v>
      </c>
      <c r="JD71" s="58">
        <f t="shared" si="381"/>
        <v>44196</v>
      </c>
      <c r="JE71" s="58">
        <f t="shared" si="381"/>
        <v>44197</v>
      </c>
      <c r="JF71" s="58">
        <f t="shared" si="381"/>
        <v>44198</v>
      </c>
      <c r="JG71" s="57">
        <f t="shared" si="381"/>
        <v>44199</v>
      </c>
      <c r="JH71" s="58">
        <f t="shared" si="381"/>
        <v>44200</v>
      </c>
      <c r="JI71" s="58">
        <f t="shared" si="381"/>
        <v>44201</v>
      </c>
      <c r="JJ71" s="58">
        <f t="shared" si="381"/>
        <v>44202</v>
      </c>
      <c r="JK71" s="58">
        <f t="shared" si="381"/>
        <v>44203</v>
      </c>
      <c r="JL71" s="58">
        <f t="shared" si="381"/>
        <v>44204</v>
      </c>
      <c r="JM71" s="58">
        <f t="shared" si="381"/>
        <v>44205</v>
      </c>
      <c r="JN71" s="57">
        <f t="shared" si="381"/>
        <v>44206</v>
      </c>
      <c r="JO71" s="58">
        <f t="shared" si="381"/>
        <v>44207</v>
      </c>
      <c r="JP71" s="58">
        <f t="shared" si="381"/>
        <v>44208</v>
      </c>
      <c r="JQ71" s="58">
        <f t="shared" si="381"/>
        <v>44209</v>
      </c>
      <c r="JR71" s="58">
        <f t="shared" si="381"/>
        <v>44210</v>
      </c>
      <c r="JS71" s="58">
        <f t="shared" si="381"/>
        <v>44211</v>
      </c>
      <c r="JT71" s="58">
        <f t="shared" si="381"/>
        <v>44212</v>
      </c>
      <c r="JU71" s="57">
        <f t="shared" si="381"/>
        <v>44213</v>
      </c>
      <c r="JV71" s="58">
        <f t="shared" si="381"/>
        <v>44214</v>
      </c>
      <c r="JW71" s="58">
        <f t="shared" si="381"/>
        <v>44215</v>
      </c>
      <c r="JX71" s="58">
        <f t="shared" si="381"/>
        <v>44216</v>
      </c>
      <c r="JY71" s="58">
        <f t="shared" si="381"/>
        <v>44217</v>
      </c>
      <c r="JZ71" s="58">
        <f t="shared" si="381"/>
        <v>44218</v>
      </c>
      <c r="KA71" s="58">
        <f t="shared" si="381"/>
        <v>44219</v>
      </c>
      <c r="KB71" s="57">
        <f t="shared" si="381"/>
        <v>44220</v>
      </c>
      <c r="KC71" s="58">
        <f t="shared" si="381"/>
        <v>44221</v>
      </c>
      <c r="KD71" s="58">
        <f t="shared" si="381"/>
        <v>44222</v>
      </c>
      <c r="KE71" s="58">
        <f t="shared" si="381"/>
        <v>44223</v>
      </c>
      <c r="KF71" s="58">
        <f t="shared" si="381"/>
        <v>44224</v>
      </c>
      <c r="KG71" s="58">
        <f t="shared" si="381"/>
        <v>44225</v>
      </c>
      <c r="KH71" s="58">
        <f t="shared" si="381"/>
        <v>44226</v>
      </c>
      <c r="KI71" s="57">
        <f t="shared" si="381"/>
        <v>44227</v>
      </c>
      <c r="KJ71" s="58">
        <f t="shared" si="381"/>
        <v>44228</v>
      </c>
      <c r="KK71" s="58">
        <f t="shared" si="381"/>
        <v>44229</v>
      </c>
      <c r="KL71" s="58">
        <f t="shared" si="381"/>
        <v>44230</v>
      </c>
      <c r="KM71" s="58">
        <f t="shared" ref="KM71:MT71" si="382">KM41</f>
        <v>44231</v>
      </c>
      <c r="KN71" s="58">
        <f t="shared" si="382"/>
        <v>44232</v>
      </c>
      <c r="KO71" s="58">
        <f t="shared" si="382"/>
        <v>44233</v>
      </c>
      <c r="KP71" s="57">
        <f t="shared" si="382"/>
        <v>44234</v>
      </c>
      <c r="KQ71" s="58">
        <f t="shared" si="382"/>
        <v>44235</v>
      </c>
      <c r="KR71" s="58">
        <f t="shared" si="382"/>
        <v>44236</v>
      </c>
      <c r="KS71" s="58">
        <f t="shared" si="382"/>
        <v>44237</v>
      </c>
      <c r="KT71" s="58">
        <f t="shared" si="382"/>
        <v>44238</v>
      </c>
      <c r="KU71" s="58">
        <f t="shared" si="382"/>
        <v>44239</v>
      </c>
      <c r="KV71" s="58">
        <f t="shared" si="382"/>
        <v>44240</v>
      </c>
      <c r="KW71" s="57">
        <f t="shared" si="382"/>
        <v>44241</v>
      </c>
      <c r="KX71" s="58">
        <f t="shared" si="382"/>
        <v>44242</v>
      </c>
      <c r="KY71" s="58">
        <f t="shared" si="382"/>
        <v>44243</v>
      </c>
      <c r="KZ71" s="58">
        <f t="shared" si="382"/>
        <v>44244</v>
      </c>
      <c r="LA71" s="58">
        <f t="shared" si="382"/>
        <v>44245</v>
      </c>
      <c r="LB71" s="58">
        <f t="shared" si="382"/>
        <v>44246</v>
      </c>
      <c r="LC71" s="58">
        <f t="shared" si="382"/>
        <v>44247</v>
      </c>
      <c r="LD71" s="57">
        <f t="shared" si="382"/>
        <v>44248</v>
      </c>
      <c r="LE71" s="58">
        <f t="shared" si="382"/>
        <v>44249</v>
      </c>
      <c r="LF71" s="58">
        <f t="shared" si="382"/>
        <v>44250</v>
      </c>
      <c r="LG71" s="58">
        <f t="shared" si="382"/>
        <v>44251</v>
      </c>
      <c r="LH71" s="58">
        <f t="shared" si="382"/>
        <v>44252</v>
      </c>
      <c r="LI71" s="58">
        <f t="shared" si="382"/>
        <v>44253</v>
      </c>
      <c r="LJ71" s="58">
        <f t="shared" si="382"/>
        <v>44254</v>
      </c>
      <c r="LK71" s="57">
        <f t="shared" si="382"/>
        <v>44255</v>
      </c>
      <c r="LL71" s="58">
        <f t="shared" si="382"/>
        <v>44256</v>
      </c>
      <c r="LM71" s="58">
        <f t="shared" si="382"/>
        <v>44257</v>
      </c>
      <c r="LN71" s="58">
        <f t="shared" si="382"/>
        <v>44258</v>
      </c>
      <c r="LO71" s="58">
        <f t="shared" si="382"/>
        <v>44259</v>
      </c>
      <c r="LP71" s="58">
        <f t="shared" si="382"/>
        <v>44260</v>
      </c>
      <c r="LQ71" s="58">
        <f t="shared" si="382"/>
        <v>44261</v>
      </c>
      <c r="LR71" s="57">
        <f t="shared" si="382"/>
        <v>44262</v>
      </c>
      <c r="LS71" s="58">
        <f t="shared" si="382"/>
        <v>44263</v>
      </c>
      <c r="LT71" s="58">
        <f t="shared" si="382"/>
        <v>44264</v>
      </c>
      <c r="LU71" s="58">
        <f t="shared" si="382"/>
        <v>44265</v>
      </c>
      <c r="LV71" s="58">
        <f t="shared" si="382"/>
        <v>44266</v>
      </c>
      <c r="LW71" s="58">
        <f t="shared" si="382"/>
        <v>44267</v>
      </c>
      <c r="LX71" s="58">
        <f t="shared" si="382"/>
        <v>44268</v>
      </c>
      <c r="LY71" s="57">
        <f t="shared" si="382"/>
        <v>44269</v>
      </c>
      <c r="LZ71" s="58">
        <f t="shared" si="382"/>
        <v>44270</v>
      </c>
      <c r="MA71" s="58">
        <f t="shared" si="382"/>
        <v>44271</v>
      </c>
      <c r="MB71" s="58">
        <f t="shared" si="382"/>
        <v>44272</v>
      </c>
      <c r="MC71" s="58">
        <f t="shared" si="382"/>
        <v>44273</v>
      </c>
      <c r="MD71" s="58">
        <f t="shared" si="382"/>
        <v>44274</v>
      </c>
      <c r="ME71" s="58">
        <f t="shared" si="382"/>
        <v>44275</v>
      </c>
      <c r="MF71" s="57">
        <f t="shared" si="382"/>
        <v>44276</v>
      </c>
      <c r="MG71" s="58">
        <f t="shared" si="382"/>
        <v>44277</v>
      </c>
      <c r="MH71" s="58">
        <f t="shared" si="382"/>
        <v>44278</v>
      </c>
      <c r="MI71" s="58">
        <f t="shared" si="382"/>
        <v>44279</v>
      </c>
      <c r="MJ71" s="58">
        <f t="shared" si="382"/>
        <v>44280</v>
      </c>
      <c r="MK71" s="58">
        <f t="shared" si="382"/>
        <v>44281</v>
      </c>
      <c r="ML71" s="58">
        <f t="shared" si="382"/>
        <v>44282</v>
      </c>
      <c r="MM71" s="57">
        <f t="shared" si="382"/>
        <v>44283</v>
      </c>
      <c r="MN71" s="58">
        <f t="shared" si="382"/>
        <v>44284</v>
      </c>
      <c r="MO71" s="58">
        <f t="shared" si="382"/>
        <v>44285</v>
      </c>
      <c r="MP71" s="58">
        <f t="shared" si="382"/>
        <v>44286</v>
      </c>
      <c r="MQ71" s="58">
        <f t="shared" si="382"/>
        <v>44287</v>
      </c>
      <c r="MR71" s="58">
        <f t="shared" si="382"/>
        <v>44288</v>
      </c>
      <c r="MS71" s="58">
        <f t="shared" si="382"/>
        <v>44289</v>
      </c>
      <c r="MT71" s="57">
        <f t="shared" si="382"/>
        <v>44290</v>
      </c>
    </row>
    <row r="72" spans="1:358" ht="15" customHeight="1" x14ac:dyDescent="0.25">
      <c r="A72" s="149"/>
      <c r="B72" s="149"/>
      <c r="C72" s="149"/>
      <c r="D72" s="149"/>
      <c r="E72" s="150"/>
      <c r="F72" s="28"/>
      <c r="G72" s="28"/>
      <c r="H72" s="28"/>
      <c r="I72" s="28"/>
      <c r="J72" s="28"/>
      <c r="K72" s="28"/>
      <c r="L72" s="28"/>
      <c r="M72" s="28"/>
      <c r="N72" s="28"/>
      <c r="O72" s="27"/>
      <c r="P72" s="152"/>
      <c r="Q72" s="160"/>
      <c r="R72" s="154"/>
      <c r="S72" s="24"/>
      <c r="T72" s="25"/>
      <c r="U72" s="25"/>
      <c r="V72" s="25"/>
      <c r="W72" s="25"/>
      <c r="X72" s="25"/>
      <c r="Y72" s="25"/>
      <c r="Z72" s="24"/>
      <c r="AA72" s="25"/>
      <c r="AB72" s="25"/>
      <c r="AC72" s="25"/>
      <c r="AD72" s="25"/>
      <c r="AE72" s="25"/>
      <c r="AF72" s="25"/>
      <c r="AG72" s="24"/>
      <c r="AH72" s="25"/>
      <c r="AI72" s="25" t="s">
        <v>38</v>
      </c>
      <c r="AJ72" s="25"/>
      <c r="AK72" s="25" t="s">
        <v>38</v>
      </c>
      <c r="AL72" s="25"/>
      <c r="AM72" s="25"/>
      <c r="AN72" s="24"/>
      <c r="AO72" s="25"/>
      <c r="AP72" s="25" t="s">
        <v>38</v>
      </c>
      <c r="AQ72" s="25"/>
      <c r="AR72" s="25" t="s">
        <v>38</v>
      </c>
      <c r="AS72" s="25"/>
      <c r="AT72" s="25"/>
      <c r="AU72" s="24"/>
      <c r="AV72" s="25"/>
      <c r="AW72" s="25" t="s">
        <v>38</v>
      </c>
      <c r="AX72" s="25" t="s">
        <v>262</v>
      </c>
      <c r="AY72" s="25" t="s">
        <v>38</v>
      </c>
      <c r="AZ72" s="25"/>
      <c r="BA72" s="25"/>
      <c r="BB72" s="24"/>
      <c r="BC72" s="25"/>
      <c r="BD72" s="25" t="s">
        <v>38</v>
      </c>
      <c r="BE72" s="25"/>
      <c r="BF72" s="25" t="s">
        <v>38</v>
      </c>
      <c r="BG72" s="25"/>
      <c r="BH72" s="25"/>
      <c r="BI72" s="24"/>
      <c r="BJ72" s="25"/>
      <c r="BK72" s="25" t="s">
        <v>38</v>
      </c>
      <c r="BL72" s="25"/>
      <c r="BM72" s="25" t="s">
        <v>38</v>
      </c>
      <c r="BN72" s="25"/>
      <c r="BO72" s="25"/>
      <c r="BP72" s="24" t="s">
        <v>148</v>
      </c>
      <c r="BQ72" s="25"/>
      <c r="BR72" s="25"/>
      <c r="BS72" s="25"/>
      <c r="BT72" s="25"/>
      <c r="BU72" s="25"/>
      <c r="BV72" s="25"/>
      <c r="BW72" s="25" t="s">
        <v>148</v>
      </c>
      <c r="BX72" s="25"/>
      <c r="BY72" s="24"/>
      <c r="BZ72" s="25"/>
      <c r="CA72" s="25"/>
      <c r="CB72" s="25"/>
      <c r="CC72" s="25"/>
      <c r="CD72" s="25"/>
      <c r="CE72" s="25"/>
      <c r="CF72" s="25"/>
      <c r="CG72" s="25"/>
      <c r="CH72" s="24"/>
      <c r="CI72" s="25"/>
      <c r="CJ72" s="25"/>
      <c r="CK72" s="25"/>
      <c r="CL72" s="25"/>
      <c r="CM72" s="25"/>
      <c r="CN72" s="25"/>
      <c r="CO72" s="25"/>
      <c r="CP72" s="25"/>
      <c r="CQ72" s="24"/>
      <c r="CR72" s="25"/>
      <c r="CS72" s="25"/>
      <c r="CT72" s="25"/>
      <c r="CU72" s="25"/>
      <c r="CV72" s="25"/>
      <c r="CW72" s="25"/>
      <c r="CX72" s="25"/>
      <c r="CY72" s="25"/>
      <c r="CZ72" s="24"/>
      <c r="DA72" s="25"/>
      <c r="DB72" s="25"/>
      <c r="DC72" s="25"/>
      <c r="DD72" s="25"/>
      <c r="DE72" s="25"/>
      <c r="DF72" s="25"/>
      <c r="DG72" s="25"/>
      <c r="DH72" s="25"/>
      <c r="DI72" s="24"/>
      <c r="DJ72" s="25"/>
      <c r="DK72" s="25"/>
      <c r="DL72" s="25"/>
      <c r="DM72" s="25"/>
      <c r="DN72" s="25"/>
      <c r="DO72" s="25"/>
      <c r="DP72" s="25"/>
      <c r="DQ72" s="25"/>
      <c r="DR72" s="24"/>
      <c r="DS72" s="25"/>
      <c r="DT72" s="25" t="s">
        <v>391</v>
      </c>
      <c r="DU72" s="25"/>
      <c r="DV72" s="25" t="s">
        <v>38</v>
      </c>
      <c r="DW72" s="25" t="s">
        <v>38</v>
      </c>
      <c r="DX72" s="25"/>
      <c r="DY72" s="25"/>
      <c r="DZ72" s="25"/>
      <c r="EA72" s="24"/>
      <c r="EB72" s="25"/>
      <c r="EC72" s="25" t="s">
        <v>38</v>
      </c>
      <c r="ED72" s="25"/>
      <c r="EE72" s="25" t="s">
        <v>38</v>
      </c>
      <c r="EF72" s="25" t="s">
        <v>38</v>
      </c>
      <c r="EG72" s="25"/>
      <c r="EH72" s="25"/>
      <c r="EI72" s="25"/>
      <c r="EJ72" s="24"/>
      <c r="EK72" s="25"/>
      <c r="EL72" s="25" t="s">
        <v>38</v>
      </c>
      <c r="EM72" s="25"/>
      <c r="EN72" s="25" t="s">
        <v>38</v>
      </c>
      <c r="EO72" s="25" t="s">
        <v>38</v>
      </c>
      <c r="EP72" s="25"/>
      <c r="EQ72" s="25"/>
      <c r="ER72" s="25"/>
      <c r="ES72" s="24"/>
      <c r="ET72" s="25"/>
      <c r="EU72" s="25" t="s">
        <v>38</v>
      </c>
      <c r="EV72" s="25"/>
      <c r="EW72" s="25" t="s">
        <v>38</v>
      </c>
      <c r="EX72" s="25" t="s">
        <v>38</v>
      </c>
      <c r="EY72" s="25"/>
      <c r="EZ72" s="25"/>
      <c r="FA72" s="25"/>
      <c r="FB72" s="24"/>
      <c r="FC72" s="25"/>
      <c r="FD72" s="25" t="s">
        <v>38</v>
      </c>
      <c r="FE72" s="25"/>
      <c r="FF72" s="25" t="s">
        <v>38</v>
      </c>
      <c r="FG72" s="25" t="s">
        <v>38</v>
      </c>
      <c r="FH72" s="25"/>
      <c r="FI72" s="25"/>
      <c r="FJ72" s="25"/>
      <c r="FK72" s="24"/>
      <c r="FL72" s="25"/>
      <c r="FM72" s="25" t="s">
        <v>38</v>
      </c>
      <c r="FN72" s="25"/>
      <c r="FO72" s="25" t="s">
        <v>38</v>
      </c>
      <c r="FP72" s="25" t="s">
        <v>38</v>
      </c>
      <c r="FQ72" s="25"/>
      <c r="FR72" s="25"/>
      <c r="FS72" s="25"/>
      <c r="FT72" s="24"/>
      <c r="FU72" s="25"/>
      <c r="FV72" s="25" t="s">
        <v>38</v>
      </c>
      <c r="FW72" s="25"/>
      <c r="FX72" s="25" t="s">
        <v>38</v>
      </c>
      <c r="FY72" s="25"/>
      <c r="FZ72" s="25"/>
      <c r="GA72" s="24"/>
      <c r="GB72" s="25"/>
      <c r="GC72" s="25" t="s">
        <v>38</v>
      </c>
      <c r="GD72" s="25"/>
      <c r="GE72" s="25" t="s">
        <v>38</v>
      </c>
      <c r="GF72" s="25"/>
      <c r="GG72" s="25"/>
      <c r="GH72" s="24"/>
      <c r="GI72" s="25"/>
      <c r="GJ72" s="25" t="s">
        <v>38</v>
      </c>
      <c r="GK72" s="25"/>
      <c r="GL72" s="25" t="s">
        <v>38</v>
      </c>
      <c r="GM72" s="25"/>
      <c r="GN72" s="25"/>
      <c r="GO72" s="24"/>
      <c r="GP72" s="25"/>
      <c r="GQ72" s="25" t="s">
        <v>38</v>
      </c>
      <c r="GR72" s="25"/>
      <c r="GS72" s="25" t="s">
        <v>38</v>
      </c>
      <c r="GT72" s="25"/>
      <c r="GU72" s="25"/>
      <c r="GV72" s="24"/>
      <c r="GW72" s="25"/>
      <c r="GX72" s="25" t="s">
        <v>38</v>
      </c>
      <c r="GY72" s="25"/>
      <c r="GZ72" s="25" t="s">
        <v>38</v>
      </c>
      <c r="HA72" s="25"/>
      <c r="HB72" s="25"/>
      <c r="HC72" s="24"/>
      <c r="HD72" s="25"/>
      <c r="HE72" s="25" t="s">
        <v>38</v>
      </c>
      <c r="HF72" s="25"/>
      <c r="HG72" s="25" t="s">
        <v>38</v>
      </c>
      <c r="HH72" s="25"/>
      <c r="HI72" s="25"/>
      <c r="HJ72" s="24"/>
      <c r="HK72" s="25"/>
      <c r="HL72" s="25" t="s">
        <v>38</v>
      </c>
      <c r="HM72" s="25"/>
      <c r="HN72" s="25" t="s">
        <v>38</v>
      </c>
      <c r="HO72" s="25"/>
      <c r="HP72" s="25"/>
      <c r="HQ72" s="24"/>
      <c r="HR72" s="25"/>
      <c r="HS72" s="25" t="s">
        <v>38</v>
      </c>
      <c r="HT72" s="25"/>
      <c r="HU72" s="25" t="s">
        <v>38</v>
      </c>
      <c r="HV72" s="25"/>
      <c r="HW72" s="25"/>
      <c r="HX72" s="24"/>
      <c r="HY72" s="25"/>
      <c r="HZ72" s="25" t="s">
        <v>38</v>
      </c>
      <c r="IA72" s="25"/>
      <c r="IB72" s="25" t="s">
        <v>38</v>
      </c>
      <c r="IC72" s="25"/>
      <c r="ID72" s="25"/>
      <c r="IE72" s="24"/>
      <c r="IF72" s="25"/>
      <c r="IG72" s="25" t="s">
        <v>38</v>
      </c>
      <c r="IH72" s="25"/>
      <c r="II72" s="25" t="s">
        <v>38</v>
      </c>
      <c r="IJ72" s="25"/>
      <c r="IK72" s="25"/>
      <c r="IL72" s="24"/>
      <c r="IM72" s="25"/>
      <c r="IN72" s="25" t="s">
        <v>38</v>
      </c>
      <c r="IO72" s="25"/>
      <c r="IP72" s="25" t="s">
        <v>38</v>
      </c>
      <c r="IQ72" s="25"/>
      <c r="IR72" s="25"/>
      <c r="IS72" s="24"/>
      <c r="IT72" s="25"/>
      <c r="IU72" s="25" t="s">
        <v>38</v>
      </c>
      <c r="IV72" s="25"/>
      <c r="IW72" s="25" t="s">
        <v>38</v>
      </c>
      <c r="IX72" s="25"/>
      <c r="IY72" s="25"/>
      <c r="IZ72" s="24"/>
      <c r="JA72" s="25"/>
      <c r="JB72" s="25" t="s">
        <v>38</v>
      </c>
      <c r="JC72" s="25"/>
      <c r="JD72" s="25" t="s">
        <v>38</v>
      </c>
      <c r="JE72" s="25"/>
      <c r="JF72" s="25"/>
      <c r="JG72" s="24"/>
      <c r="JH72" s="25"/>
      <c r="JI72" s="25" t="s">
        <v>38</v>
      </c>
      <c r="JJ72" s="25"/>
      <c r="JK72" s="25" t="s">
        <v>38</v>
      </c>
      <c r="JL72" s="25"/>
      <c r="JM72" s="25"/>
      <c r="JN72" s="24"/>
      <c r="JO72" s="25"/>
      <c r="JP72" s="25" t="s">
        <v>38</v>
      </c>
      <c r="JQ72" s="25"/>
      <c r="JR72" s="25" t="s">
        <v>38</v>
      </c>
      <c r="JS72" s="25"/>
      <c r="JT72" s="25"/>
      <c r="JU72" s="24"/>
      <c r="JV72" s="25"/>
      <c r="JW72" s="25" t="s">
        <v>38</v>
      </c>
      <c r="JX72" s="25"/>
      <c r="JY72" s="25" t="s">
        <v>38</v>
      </c>
      <c r="JZ72" s="25"/>
      <c r="KA72" s="25"/>
      <c r="KB72" s="24"/>
      <c r="KC72" s="25"/>
      <c r="KD72" s="25" t="s">
        <v>38</v>
      </c>
      <c r="KE72" s="25"/>
      <c r="KF72" s="25" t="s">
        <v>38</v>
      </c>
      <c r="KG72" s="25"/>
      <c r="KH72" s="25"/>
      <c r="KI72" s="24"/>
      <c r="KJ72" s="25"/>
      <c r="KK72" s="25" t="s">
        <v>38</v>
      </c>
      <c r="KL72" s="25"/>
      <c r="KM72" s="25" t="s">
        <v>38</v>
      </c>
      <c r="KN72" s="25"/>
      <c r="KO72" s="25"/>
      <c r="KP72" s="24"/>
      <c r="KQ72" s="25"/>
      <c r="KR72" s="25" t="s">
        <v>38</v>
      </c>
      <c r="KS72" s="25"/>
      <c r="KT72" s="25" t="s">
        <v>38</v>
      </c>
      <c r="KU72" s="25"/>
      <c r="KV72" s="25"/>
      <c r="KW72" s="24"/>
      <c r="KX72" s="25"/>
      <c r="KY72" s="25" t="s">
        <v>38</v>
      </c>
      <c r="KZ72" s="25"/>
      <c r="LA72" s="25" t="s">
        <v>38</v>
      </c>
      <c r="LB72" s="25"/>
      <c r="LC72" s="25"/>
      <c r="LD72" s="24"/>
      <c r="LE72" s="25"/>
      <c r="LF72" s="25" t="s">
        <v>38</v>
      </c>
      <c r="LG72" s="25"/>
      <c r="LH72" s="25" t="s">
        <v>38</v>
      </c>
      <c r="LI72" s="25"/>
      <c r="LJ72" s="25"/>
      <c r="LK72" s="24"/>
      <c r="LL72" s="25"/>
      <c r="LM72" s="25" t="s">
        <v>38</v>
      </c>
      <c r="LN72" s="25"/>
      <c r="LO72" s="25" t="s">
        <v>38</v>
      </c>
      <c r="LP72" s="25"/>
      <c r="LQ72" s="25"/>
      <c r="LR72" s="26"/>
      <c r="LS72" s="25"/>
      <c r="LT72" s="25" t="s">
        <v>38</v>
      </c>
      <c r="LU72" s="25"/>
      <c r="LV72" s="25" t="s">
        <v>38</v>
      </c>
      <c r="LW72" s="25"/>
      <c r="LX72" s="25"/>
      <c r="LY72" s="24"/>
      <c r="LZ72" s="25"/>
      <c r="MA72" s="25"/>
      <c r="MB72" s="25"/>
      <c r="MC72" s="25"/>
      <c r="MD72" s="25"/>
      <c r="ME72" s="25"/>
      <c r="MF72" s="24"/>
      <c r="MG72" s="25"/>
      <c r="MH72" s="25"/>
      <c r="MI72" s="25"/>
      <c r="MJ72" s="25"/>
      <c r="MK72" s="25"/>
      <c r="ML72" s="25"/>
      <c r="MM72" s="24"/>
      <c r="MN72" s="25"/>
      <c r="MO72" s="25"/>
      <c r="MP72" s="25"/>
      <c r="MQ72" s="25"/>
      <c r="MR72" s="25"/>
      <c r="MS72" s="25"/>
      <c r="MT72" s="24"/>
    </row>
    <row r="73" spans="1:358" x14ac:dyDescent="0.25">
      <c r="A73" s="23" t="s">
        <v>16</v>
      </c>
      <c r="B73" s="20"/>
      <c r="C73" s="20"/>
      <c r="D73" s="20"/>
      <c r="E73" s="20"/>
      <c r="F73" s="22" t="str">
        <f t="shared" ref="F73:F78" si="383">IF($E73 &gt;= F$44, 1, "")</f>
        <v/>
      </c>
      <c r="G73" s="20"/>
      <c r="H73" s="20"/>
      <c r="I73" s="20" t="str">
        <f t="shared" ref="I73:L74" si="384">IF($E73 &gt;= I$44, 1, "")</f>
        <v/>
      </c>
      <c r="J73" s="20" t="str">
        <f t="shared" si="384"/>
        <v/>
      </c>
      <c r="K73" s="20" t="str">
        <f t="shared" si="384"/>
        <v/>
      </c>
      <c r="L73" s="20" t="str">
        <f t="shared" si="384"/>
        <v/>
      </c>
      <c r="M73" s="20"/>
      <c r="N73" s="20"/>
      <c r="O73" s="21"/>
      <c r="P73" s="20" t="str">
        <f t="shared" ref="P73:P78" si="385">IF(SUM(S73:MT73) &gt; 0, SUM(S73:MT73), "")</f>
        <v/>
      </c>
      <c r="Q73" s="114"/>
      <c r="R73" s="82"/>
      <c r="S73" s="21"/>
      <c r="T73" s="20"/>
      <c r="U73" s="20"/>
      <c r="V73" s="20"/>
      <c r="W73" s="20"/>
      <c r="X73" s="20"/>
      <c r="Y73" s="20"/>
      <c r="Z73" s="21"/>
      <c r="AA73" s="20"/>
      <c r="AB73" s="20"/>
      <c r="AC73" s="20"/>
      <c r="AD73" s="20"/>
      <c r="AE73" s="20"/>
      <c r="AF73" s="20"/>
      <c r="AG73" s="21"/>
      <c r="AH73" s="20"/>
      <c r="AI73" s="20"/>
      <c r="AJ73" s="20"/>
      <c r="AK73" s="20"/>
      <c r="AL73" s="20"/>
      <c r="AM73" s="20"/>
      <c r="AN73" s="21"/>
      <c r="AO73" s="20"/>
      <c r="AP73" s="20"/>
      <c r="AQ73" s="20"/>
      <c r="AR73" s="20"/>
      <c r="AS73" s="20"/>
      <c r="AT73" s="20"/>
      <c r="AU73" s="21"/>
      <c r="AV73" s="20"/>
      <c r="AW73" s="20"/>
      <c r="AX73" s="20"/>
      <c r="AY73" s="20"/>
      <c r="AZ73" s="20"/>
      <c r="BA73" s="20"/>
      <c r="BB73" s="21"/>
      <c r="BC73" s="20"/>
      <c r="BD73" s="20"/>
      <c r="BE73" s="20"/>
      <c r="BF73" s="20"/>
      <c r="BG73" s="20"/>
      <c r="BH73" s="20"/>
      <c r="BI73" s="21"/>
      <c r="BJ73" s="20"/>
      <c r="BK73" s="20"/>
      <c r="BL73" s="20"/>
      <c r="BM73" s="20"/>
      <c r="BN73" s="20"/>
      <c r="BO73" s="20"/>
      <c r="BP73" s="21"/>
      <c r="BQ73" s="20"/>
      <c r="BR73" s="20"/>
      <c r="BS73" s="20"/>
      <c r="BT73" s="20"/>
      <c r="BU73" s="20"/>
      <c r="BV73" s="20"/>
      <c r="BW73" s="20"/>
      <c r="BX73" s="20"/>
      <c r="BY73" s="21"/>
      <c r="BZ73" s="20"/>
      <c r="CA73" s="20"/>
      <c r="CB73" s="20"/>
      <c r="CC73" s="20"/>
      <c r="CD73" s="20"/>
      <c r="CE73" s="20"/>
      <c r="CF73" s="20"/>
      <c r="CG73" s="20"/>
      <c r="CH73" s="21"/>
      <c r="CI73" s="20"/>
      <c r="CJ73" s="20"/>
      <c r="CK73" s="20"/>
      <c r="CL73" s="20"/>
      <c r="CM73" s="20"/>
      <c r="CN73" s="20"/>
      <c r="CO73" s="20"/>
      <c r="CP73" s="20"/>
      <c r="CQ73" s="21"/>
      <c r="CR73" s="20"/>
      <c r="CS73" s="20"/>
      <c r="CT73" s="20"/>
      <c r="CU73" s="20"/>
      <c r="CV73" s="20"/>
      <c r="CW73" s="20"/>
      <c r="CX73" s="20"/>
      <c r="CY73" s="20"/>
      <c r="CZ73" s="21"/>
      <c r="DA73" s="20"/>
      <c r="DB73" s="20"/>
      <c r="DC73" s="20"/>
      <c r="DD73" s="20"/>
      <c r="DE73" s="20"/>
      <c r="DF73" s="20"/>
      <c r="DG73" s="20"/>
      <c r="DH73" s="20"/>
      <c r="DI73" s="21"/>
      <c r="DJ73" s="20"/>
      <c r="DK73" s="20"/>
      <c r="DL73" s="20"/>
      <c r="DM73" s="20"/>
      <c r="DN73" s="20"/>
      <c r="DO73" s="20"/>
      <c r="DP73" s="20"/>
      <c r="DQ73" s="20"/>
      <c r="DR73" s="21"/>
      <c r="DS73" s="20"/>
      <c r="DT73" s="20"/>
      <c r="DU73" s="20"/>
      <c r="DV73" s="20"/>
      <c r="DW73" s="20"/>
      <c r="DX73" s="20"/>
      <c r="DY73" s="20"/>
      <c r="DZ73" s="20"/>
      <c r="EA73" s="21"/>
      <c r="EB73" s="20"/>
      <c r="EC73" s="20"/>
      <c r="ED73" s="20"/>
      <c r="EE73" s="20"/>
      <c r="EF73" s="20"/>
      <c r="EG73" s="20"/>
      <c r="EH73" s="20"/>
      <c r="EI73" s="20"/>
      <c r="EJ73" s="21"/>
      <c r="EK73" s="20"/>
      <c r="EL73" s="20"/>
      <c r="EM73" s="20"/>
      <c r="EN73" s="20"/>
      <c r="EO73" s="20"/>
      <c r="EP73" s="20"/>
      <c r="EQ73" s="20"/>
      <c r="ER73" s="20"/>
      <c r="ES73" s="21"/>
      <c r="ET73" s="20"/>
      <c r="EU73" s="20"/>
      <c r="EV73" s="20"/>
      <c r="EW73" s="20"/>
      <c r="EX73" s="20"/>
      <c r="EY73" s="20"/>
      <c r="EZ73" s="20"/>
      <c r="FA73" s="20"/>
      <c r="FB73" s="21"/>
      <c r="FC73" s="20"/>
      <c r="FD73" s="20"/>
      <c r="FE73" s="20"/>
      <c r="FF73" s="20"/>
      <c r="FG73" s="20"/>
      <c r="FH73" s="20"/>
      <c r="FI73" s="20"/>
      <c r="FJ73" s="20"/>
      <c r="FK73" s="21"/>
      <c r="FL73" s="20"/>
      <c r="FM73" s="20"/>
      <c r="FN73" s="20"/>
      <c r="FO73" s="20"/>
      <c r="FP73" s="20"/>
      <c r="FQ73" s="20"/>
      <c r="FR73" s="20"/>
      <c r="FS73" s="20"/>
      <c r="FT73" s="21"/>
      <c r="FU73" s="20"/>
      <c r="FV73" s="20"/>
      <c r="FW73" s="20"/>
      <c r="FX73" s="20"/>
      <c r="FY73" s="20"/>
      <c r="FZ73" s="20"/>
      <c r="GA73" s="21"/>
      <c r="GB73" s="20"/>
      <c r="GC73" s="20"/>
      <c r="GD73" s="20"/>
      <c r="GE73" s="20"/>
      <c r="GF73" s="20"/>
      <c r="GG73" s="20"/>
      <c r="GH73" s="21"/>
      <c r="GI73" s="20"/>
      <c r="GJ73" s="20"/>
      <c r="GK73" s="20"/>
      <c r="GL73" s="20"/>
      <c r="GM73" s="20"/>
      <c r="GN73" s="20"/>
      <c r="GO73" s="21"/>
      <c r="GP73" s="20"/>
      <c r="GQ73" s="20"/>
      <c r="GR73" s="20"/>
      <c r="GS73" s="20"/>
      <c r="GT73" s="20"/>
      <c r="GU73" s="20"/>
      <c r="GV73" s="21"/>
      <c r="GW73" s="20"/>
      <c r="GX73" s="20"/>
      <c r="GY73" s="20"/>
      <c r="GZ73" s="20"/>
      <c r="HA73" s="20"/>
      <c r="HB73" s="20"/>
      <c r="HC73" s="21"/>
      <c r="HD73" s="20"/>
      <c r="HE73" s="20"/>
      <c r="HF73" s="20"/>
      <c r="HG73" s="20"/>
      <c r="HH73" s="20"/>
      <c r="HI73" s="20"/>
      <c r="HJ73" s="21"/>
      <c r="HK73" s="20"/>
      <c r="HL73" s="20"/>
      <c r="HM73" s="20"/>
      <c r="HN73" s="20"/>
      <c r="HO73" s="20"/>
      <c r="HP73" s="20"/>
      <c r="HQ73" s="21"/>
      <c r="HR73" s="20"/>
      <c r="HS73" s="20"/>
      <c r="HT73" s="20"/>
      <c r="HU73" s="20"/>
      <c r="HV73" s="20"/>
      <c r="HW73" s="20"/>
      <c r="HX73" s="21"/>
      <c r="HY73" s="20"/>
      <c r="HZ73" s="20"/>
      <c r="IA73" s="20"/>
      <c r="IB73" s="20"/>
      <c r="IC73" s="20"/>
      <c r="ID73" s="20"/>
      <c r="IE73" s="21"/>
      <c r="IF73" s="20"/>
      <c r="IG73" s="20"/>
      <c r="IH73" s="20"/>
      <c r="II73" s="20"/>
      <c r="IJ73" s="20"/>
      <c r="IK73" s="20"/>
      <c r="IL73" s="21"/>
      <c r="IM73" s="20"/>
      <c r="IN73" s="20"/>
      <c r="IO73" s="20"/>
      <c r="IP73" s="20"/>
      <c r="IQ73" s="20"/>
      <c r="IR73" s="20"/>
      <c r="IS73" s="21"/>
      <c r="IT73" s="20"/>
      <c r="IU73" s="20"/>
      <c r="IV73" s="20"/>
      <c r="IW73" s="20"/>
      <c r="IX73" s="20"/>
      <c r="IY73" s="20"/>
      <c r="IZ73" s="21"/>
      <c r="JA73" s="20"/>
      <c r="JB73" s="20"/>
      <c r="JC73" s="20"/>
      <c r="JD73" s="20"/>
      <c r="JE73" s="20"/>
      <c r="JF73" s="20"/>
      <c r="JG73" s="21"/>
      <c r="JH73" s="20"/>
      <c r="JI73" s="20"/>
      <c r="JJ73" s="20"/>
      <c r="JK73" s="20"/>
      <c r="JL73" s="20"/>
      <c r="JM73" s="20"/>
      <c r="JN73" s="21"/>
      <c r="JO73" s="20"/>
      <c r="JP73" s="20"/>
      <c r="JQ73" s="20"/>
      <c r="JR73" s="20"/>
      <c r="JS73" s="20"/>
      <c r="JT73" s="20"/>
      <c r="JU73" s="21"/>
      <c r="JV73" s="20"/>
      <c r="JW73" s="20"/>
      <c r="JX73" s="20"/>
      <c r="JY73" s="20"/>
      <c r="JZ73" s="20"/>
      <c r="KA73" s="20"/>
      <c r="KB73" s="21"/>
      <c r="KC73" s="20"/>
      <c r="KD73" s="20"/>
      <c r="KE73" s="20"/>
      <c r="KF73" s="20"/>
      <c r="KG73" s="20"/>
      <c r="KH73" s="20"/>
      <c r="KI73" s="21"/>
      <c r="KJ73" s="20"/>
      <c r="KK73" s="20"/>
      <c r="KL73" s="20"/>
      <c r="KM73" s="20"/>
      <c r="KN73" s="20"/>
      <c r="KO73" s="20"/>
      <c r="KP73" s="21"/>
      <c r="KQ73" s="20"/>
      <c r="KR73" s="20"/>
      <c r="KS73" s="20"/>
      <c r="KT73" s="20"/>
      <c r="KU73" s="20"/>
      <c r="KV73" s="20"/>
      <c r="KW73" s="21"/>
      <c r="KX73" s="20"/>
      <c r="KY73" s="20"/>
      <c r="KZ73" s="20"/>
      <c r="LA73" s="20"/>
      <c r="LB73" s="20"/>
      <c r="LC73" s="20"/>
      <c r="LD73" s="21"/>
      <c r="LE73" s="20"/>
      <c r="LF73" s="20"/>
      <c r="LG73" s="20"/>
      <c r="LH73" s="20"/>
      <c r="LI73" s="20"/>
      <c r="LJ73" s="20"/>
      <c r="LK73" s="21"/>
      <c r="LL73" s="20"/>
      <c r="LM73" s="20"/>
      <c r="LN73" s="20"/>
      <c r="LO73" s="20"/>
      <c r="LP73" s="20"/>
      <c r="LQ73" s="20"/>
      <c r="LR73" s="21"/>
      <c r="LS73" s="20"/>
      <c r="LT73" s="20"/>
      <c r="LU73" s="20"/>
      <c r="LV73" s="20"/>
      <c r="LW73" s="20"/>
      <c r="LX73" s="20"/>
      <c r="LY73" s="21"/>
      <c r="LZ73" s="20"/>
      <c r="MA73" s="20"/>
      <c r="MB73" s="20"/>
      <c r="MC73" s="20"/>
      <c r="MD73" s="20"/>
      <c r="ME73" s="20"/>
      <c r="MF73" s="21"/>
      <c r="MG73" s="20"/>
      <c r="MH73" s="20"/>
      <c r="MI73" s="20"/>
      <c r="MJ73" s="20"/>
      <c r="MK73" s="20"/>
      <c r="ML73" s="20"/>
      <c r="MM73" s="21"/>
      <c r="MN73" s="20"/>
      <c r="MO73" s="20"/>
      <c r="MP73" s="20"/>
      <c r="MQ73" s="20"/>
      <c r="MR73" s="20"/>
      <c r="MS73" s="20"/>
      <c r="MT73" s="21"/>
    </row>
    <row r="74" spans="1:358" ht="7.5" customHeight="1" x14ac:dyDescent="0.25">
      <c r="A74" s="8"/>
      <c r="B74" s="8"/>
      <c r="C74" s="8"/>
      <c r="D74" s="8"/>
      <c r="E74" s="8"/>
      <c r="F74" s="10" t="str">
        <f t="shared" si="383"/>
        <v/>
      </c>
      <c r="G74" s="19"/>
      <c r="H74" s="19"/>
      <c r="I74" s="19" t="str">
        <f t="shared" si="384"/>
        <v/>
      </c>
      <c r="J74" s="19" t="str">
        <f t="shared" si="384"/>
        <v/>
      </c>
      <c r="K74" s="19" t="str">
        <f t="shared" si="384"/>
        <v/>
      </c>
      <c r="L74" s="19" t="str">
        <f t="shared" si="384"/>
        <v/>
      </c>
      <c r="M74" s="8"/>
      <c r="N74" s="8"/>
      <c r="O74" s="9"/>
      <c r="P74" s="8" t="str">
        <f t="shared" si="385"/>
        <v/>
      </c>
      <c r="Q74" s="109" t="str">
        <f t="shared" ref="Q74:Q79" si="386">IF(SUM(S74:XFD74) &gt; 0, SUM(S74:XFD74) / $P$80 * 100, "")</f>
        <v/>
      </c>
      <c r="R74" s="84"/>
      <c r="S74" s="7"/>
      <c r="Z74" s="7"/>
      <c r="AG74" s="7"/>
      <c r="AN74" s="7"/>
      <c r="AU74" s="7"/>
      <c r="BB74" s="7"/>
      <c r="BI74" s="7"/>
      <c r="BP74" s="7"/>
      <c r="BY74" s="7"/>
      <c r="CH74" s="7"/>
      <c r="CQ74" s="7"/>
      <c r="CZ74" s="7"/>
      <c r="DI74" s="7"/>
      <c r="DR74" s="7"/>
      <c r="EA74" s="7"/>
      <c r="EJ74" s="7"/>
      <c r="ES74" s="7"/>
      <c r="FB74" s="7"/>
      <c r="FK74" s="7"/>
      <c r="FT74" s="7"/>
      <c r="GA74" s="7"/>
      <c r="GH74" s="7"/>
      <c r="GO74" s="7"/>
      <c r="GV74" s="7"/>
      <c r="HC74" s="7"/>
      <c r="HJ74" s="7"/>
      <c r="HQ74" s="7"/>
      <c r="HX74" s="7"/>
      <c r="IE74" s="7"/>
      <c r="IL74" s="7"/>
      <c r="IS74" s="7"/>
      <c r="IZ74" s="7"/>
      <c r="JG74" s="7"/>
      <c r="JN74" s="7"/>
      <c r="JU74" s="7"/>
      <c r="KB74" s="7"/>
      <c r="KI74" s="7"/>
      <c r="KP74" s="7"/>
      <c r="KW74" s="7"/>
      <c r="LD74" s="7"/>
      <c r="LK74" s="7"/>
      <c r="LR74" s="7"/>
      <c r="LY74" s="7"/>
      <c r="MF74" s="7"/>
      <c r="MM74" s="7"/>
      <c r="MT74" s="7"/>
    </row>
    <row r="75" spans="1:358" hidden="1" x14ac:dyDescent="0.25">
      <c r="A75" s="8" t="s">
        <v>37</v>
      </c>
      <c r="B75" s="8"/>
      <c r="C75" s="8" t="s">
        <v>36</v>
      </c>
      <c r="D75" s="8" t="s">
        <v>35</v>
      </c>
      <c r="E75" s="18">
        <v>39448</v>
      </c>
      <c r="F75" s="10">
        <f t="shared" si="383"/>
        <v>1</v>
      </c>
      <c r="G75" s="19">
        <f t="shared" ref="G75:H78" si="387">IF($E75 &gt;= G$44, 1, "")</f>
        <v>1</v>
      </c>
      <c r="H75" s="19">
        <f t="shared" si="387"/>
        <v>1</v>
      </c>
      <c r="I75" s="8">
        <f t="shared" ref="I75:L78" si="388">IF($E75 &gt;= I$44, 1, "")</f>
        <v>1</v>
      </c>
      <c r="J75" s="8">
        <f t="shared" si="388"/>
        <v>1</v>
      </c>
      <c r="K75" s="8" t="str">
        <f t="shared" si="388"/>
        <v/>
      </c>
      <c r="L75" s="8" t="str">
        <f t="shared" si="388"/>
        <v/>
      </c>
      <c r="M75" s="8"/>
      <c r="N75" s="8"/>
      <c r="O75" s="9"/>
      <c r="P75" s="8">
        <f t="shared" si="385"/>
        <v>8</v>
      </c>
      <c r="Q75" s="109">
        <f t="shared" si="386"/>
        <v>26.666666666666668</v>
      </c>
      <c r="R75" s="84"/>
      <c r="S75" s="7"/>
      <c r="Z75" s="7"/>
      <c r="AG75" s="7"/>
      <c r="AK75">
        <v>1</v>
      </c>
      <c r="AN75" s="7"/>
      <c r="AP75">
        <v>1</v>
      </c>
      <c r="AU75" s="7"/>
      <c r="AW75">
        <v>1</v>
      </c>
      <c r="BB75" s="7"/>
      <c r="BD75">
        <v>1</v>
      </c>
      <c r="BI75" s="7"/>
      <c r="BK75">
        <v>1</v>
      </c>
      <c r="BM75">
        <v>1</v>
      </c>
      <c r="BN75">
        <v>1</v>
      </c>
      <c r="BP75" s="7"/>
      <c r="BW75">
        <v>1</v>
      </c>
      <c r="BY75" s="7"/>
      <c r="CH75" s="7"/>
      <c r="CQ75" s="7"/>
      <c r="CZ75" s="7"/>
      <c r="DI75" s="7"/>
      <c r="DR75" s="7"/>
      <c r="EA75" s="7"/>
      <c r="EJ75" s="7"/>
      <c r="ES75" s="7"/>
      <c r="FB75" s="7"/>
      <c r="FK75" s="7"/>
      <c r="FT75" s="7"/>
      <c r="GA75" s="7"/>
      <c r="GH75" s="7"/>
      <c r="GO75" s="7"/>
      <c r="GV75" s="7"/>
      <c r="HC75" s="7"/>
      <c r="HJ75" s="7"/>
      <c r="HQ75" s="7"/>
      <c r="HX75" s="7"/>
      <c r="IE75" s="7"/>
      <c r="IL75" s="7"/>
      <c r="IS75" s="7"/>
      <c r="IZ75" s="7"/>
      <c r="JG75" s="7"/>
      <c r="JN75" s="7"/>
      <c r="JU75" s="7"/>
      <c r="KB75" s="7"/>
      <c r="KI75" s="7"/>
      <c r="KP75" s="7"/>
      <c r="KW75" s="7"/>
      <c r="LD75" s="7"/>
      <c r="LK75" s="7"/>
      <c r="LR75" s="7"/>
      <c r="LY75" s="7"/>
      <c r="MF75" s="7"/>
      <c r="MM75" s="7"/>
      <c r="MT75" s="7"/>
    </row>
    <row r="76" spans="1:358" x14ac:dyDescent="0.25">
      <c r="A76" s="8" t="s">
        <v>34</v>
      </c>
      <c r="B76" s="8"/>
      <c r="C76" s="8" t="s">
        <v>33</v>
      </c>
      <c r="D76" s="8" t="s">
        <v>32</v>
      </c>
      <c r="E76" s="18">
        <v>39649</v>
      </c>
      <c r="F76" s="10">
        <f t="shared" si="383"/>
        <v>1</v>
      </c>
      <c r="G76" s="19">
        <f t="shared" si="387"/>
        <v>1</v>
      </c>
      <c r="H76" s="19">
        <f t="shared" si="387"/>
        <v>1</v>
      </c>
      <c r="I76" s="8">
        <f t="shared" si="388"/>
        <v>1</v>
      </c>
      <c r="J76" s="8">
        <f t="shared" si="388"/>
        <v>1</v>
      </c>
      <c r="K76" s="8" t="str">
        <f t="shared" si="388"/>
        <v/>
      </c>
      <c r="L76" s="8" t="str">
        <f t="shared" si="388"/>
        <v/>
      </c>
      <c r="M76" s="8"/>
      <c r="N76" s="8"/>
      <c r="O76" s="9"/>
      <c r="P76" s="8">
        <f t="shared" si="385"/>
        <v>1</v>
      </c>
      <c r="Q76" s="109">
        <f t="shared" si="386"/>
        <v>3.3333333333333335</v>
      </c>
      <c r="R76" s="84"/>
      <c r="S76" s="7"/>
      <c r="Z76" s="7"/>
      <c r="AG76" s="7"/>
      <c r="AN76" s="7"/>
      <c r="AU76" s="7"/>
      <c r="BB76" s="7"/>
      <c r="BI76" s="7"/>
      <c r="BP76" s="7"/>
      <c r="BY76" s="7"/>
      <c r="CH76" s="7"/>
      <c r="CQ76" s="7"/>
      <c r="CZ76" s="7"/>
      <c r="DI76" s="7"/>
      <c r="DR76" s="7"/>
      <c r="EA76" s="7"/>
      <c r="EE76">
        <v>1</v>
      </c>
      <c r="EJ76" s="7"/>
      <c r="ES76" s="7"/>
      <c r="FB76" s="7"/>
      <c r="FK76" s="7"/>
      <c r="FT76" s="7"/>
      <c r="GA76" s="7"/>
      <c r="GH76" s="7"/>
      <c r="GO76" s="7"/>
      <c r="GV76" s="7"/>
      <c r="HC76" s="7"/>
      <c r="HJ76" s="7"/>
      <c r="HQ76" s="7"/>
      <c r="HX76" s="7"/>
      <c r="IE76" s="7"/>
      <c r="IL76" s="7"/>
      <c r="IS76" s="7"/>
      <c r="IZ76" s="7"/>
      <c r="JG76" s="7"/>
      <c r="JN76" s="7"/>
      <c r="JU76" s="7"/>
      <c r="KB76" s="7"/>
      <c r="KI76" s="7"/>
      <c r="KP76" s="7"/>
      <c r="KW76" s="7"/>
      <c r="LD76" s="7"/>
      <c r="LK76" s="7"/>
      <c r="LR76" s="7"/>
      <c r="LY76" s="7"/>
      <c r="MF76" s="7"/>
      <c r="MM76" s="7"/>
      <c r="MT76" s="7"/>
    </row>
    <row r="77" spans="1:358" x14ac:dyDescent="0.25">
      <c r="A77" s="8" t="s">
        <v>31</v>
      </c>
      <c r="B77" s="8"/>
      <c r="C77" s="8" t="s">
        <v>30</v>
      </c>
      <c r="D77" s="8" t="s">
        <v>29</v>
      </c>
      <c r="E77" s="18">
        <v>39453</v>
      </c>
      <c r="F77" s="10">
        <f t="shared" si="383"/>
        <v>1</v>
      </c>
      <c r="G77" s="19">
        <f t="shared" si="387"/>
        <v>1</v>
      </c>
      <c r="H77" s="19">
        <f t="shared" si="387"/>
        <v>1</v>
      </c>
      <c r="I77" s="8">
        <f t="shared" si="388"/>
        <v>1</v>
      </c>
      <c r="J77" s="8">
        <f t="shared" si="388"/>
        <v>1</v>
      </c>
      <c r="K77" s="8" t="str">
        <f t="shared" si="388"/>
        <v/>
      </c>
      <c r="L77" s="8" t="str">
        <f t="shared" si="388"/>
        <v/>
      </c>
      <c r="M77" s="8"/>
      <c r="N77" s="8"/>
      <c r="O77" s="9"/>
      <c r="P77" s="8">
        <f t="shared" si="385"/>
        <v>24</v>
      </c>
      <c r="Q77" s="109">
        <f t="shared" si="386"/>
        <v>80</v>
      </c>
      <c r="R77" s="84"/>
      <c r="S77" s="7"/>
      <c r="Z77" s="7"/>
      <c r="AG77" s="7"/>
      <c r="AK77">
        <v>1</v>
      </c>
      <c r="AN77" s="7"/>
      <c r="AR77">
        <v>1</v>
      </c>
      <c r="AU77" s="7"/>
      <c r="BB77" s="7"/>
      <c r="BD77">
        <v>1</v>
      </c>
      <c r="BF77">
        <v>1</v>
      </c>
      <c r="BI77" s="7"/>
      <c r="BK77">
        <v>1</v>
      </c>
      <c r="BM77">
        <v>1</v>
      </c>
      <c r="BN77">
        <v>1</v>
      </c>
      <c r="BP77" s="7">
        <v>1</v>
      </c>
      <c r="BW77">
        <v>1</v>
      </c>
      <c r="BY77" s="7"/>
      <c r="CH77" s="7"/>
      <c r="CQ77" s="7"/>
      <c r="CZ77" s="7"/>
      <c r="DI77" s="7"/>
      <c r="DR77" s="7"/>
      <c r="DT77">
        <v>1</v>
      </c>
      <c r="DV77">
        <v>1</v>
      </c>
      <c r="EA77" s="7"/>
      <c r="EC77">
        <v>1</v>
      </c>
      <c r="EJ77" s="7"/>
      <c r="EL77">
        <v>1</v>
      </c>
      <c r="EN77">
        <v>1</v>
      </c>
      <c r="EO77">
        <v>1</v>
      </c>
      <c r="ES77" s="7"/>
      <c r="EU77">
        <v>1</v>
      </c>
      <c r="EW77">
        <v>1</v>
      </c>
      <c r="EX77">
        <v>1</v>
      </c>
      <c r="FB77" s="7"/>
      <c r="FD77">
        <v>1</v>
      </c>
      <c r="FF77">
        <v>1</v>
      </c>
      <c r="FG77">
        <v>1</v>
      </c>
      <c r="FK77" s="7"/>
      <c r="FM77">
        <v>1</v>
      </c>
      <c r="FO77">
        <v>1</v>
      </c>
      <c r="FP77">
        <v>1</v>
      </c>
      <c r="FT77" s="7"/>
      <c r="GA77" s="7"/>
      <c r="GH77" s="7"/>
      <c r="GO77" s="7"/>
      <c r="GV77" s="7"/>
      <c r="HC77" s="7"/>
      <c r="HJ77" s="7"/>
      <c r="HQ77" s="7"/>
      <c r="HX77" s="7"/>
      <c r="IE77" s="7"/>
      <c r="IL77" s="7"/>
      <c r="IS77" s="7"/>
      <c r="IZ77" s="7"/>
      <c r="JG77" s="7"/>
      <c r="JN77" s="7"/>
      <c r="JU77" s="7"/>
      <c r="KB77" s="7"/>
      <c r="KI77" s="7"/>
      <c r="KP77" s="7"/>
      <c r="KW77" s="7"/>
      <c r="LD77" s="7"/>
      <c r="LK77" s="7"/>
      <c r="LR77" s="7"/>
      <c r="LY77" s="7"/>
      <c r="MF77" s="7"/>
      <c r="MM77" s="7"/>
      <c r="MT77" s="7"/>
    </row>
    <row r="78" spans="1:358" x14ac:dyDescent="0.25">
      <c r="A78" s="8" t="s">
        <v>28</v>
      </c>
      <c r="B78" s="8"/>
      <c r="C78" s="8" t="s">
        <v>27</v>
      </c>
      <c r="D78" s="8" t="s">
        <v>26</v>
      </c>
      <c r="E78" s="18">
        <v>39802</v>
      </c>
      <c r="F78" s="10">
        <f t="shared" si="383"/>
        <v>1</v>
      </c>
      <c r="G78" s="19">
        <f t="shared" si="387"/>
        <v>1</v>
      </c>
      <c r="H78" s="19">
        <f t="shared" si="387"/>
        <v>1</v>
      </c>
      <c r="I78" s="8">
        <f t="shared" si="388"/>
        <v>1</v>
      </c>
      <c r="J78" s="8">
        <f t="shared" si="388"/>
        <v>1</v>
      </c>
      <c r="K78" s="8" t="str">
        <f t="shared" si="388"/>
        <v/>
      </c>
      <c r="L78" s="8" t="str">
        <f t="shared" si="388"/>
        <v/>
      </c>
      <c r="M78" s="8"/>
      <c r="N78" s="8"/>
      <c r="O78" s="9"/>
      <c r="P78" s="8">
        <f t="shared" si="385"/>
        <v>10</v>
      </c>
      <c r="Q78" s="109">
        <f t="shared" si="386"/>
        <v>33.333333333333329</v>
      </c>
      <c r="R78" s="84"/>
      <c r="S78" s="7"/>
      <c r="Z78" s="7"/>
      <c r="AG78" s="7"/>
      <c r="AK78">
        <v>1</v>
      </c>
      <c r="AN78" s="7"/>
      <c r="AP78">
        <v>1</v>
      </c>
      <c r="AU78" s="7"/>
      <c r="AW78">
        <v>1</v>
      </c>
      <c r="AY78">
        <v>1</v>
      </c>
      <c r="BB78" s="7"/>
      <c r="BD78">
        <v>1</v>
      </c>
      <c r="BF78">
        <v>1</v>
      </c>
      <c r="BI78" s="7"/>
      <c r="BM78">
        <v>1</v>
      </c>
      <c r="BP78" s="7"/>
      <c r="BY78" s="7"/>
      <c r="CH78" s="7"/>
      <c r="CQ78" s="7"/>
      <c r="CZ78" s="7"/>
      <c r="DI78" s="7"/>
      <c r="DR78" s="7"/>
      <c r="DV78">
        <v>1</v>
      </c>
      <c r="DW78">
        <v>1</v>
      </c>
      <c r="EA78" s="7"/>
      <c r="EJ78" s="7"/>
      <c r="EO78">
        <v>1</v>
      </c>
      <c r="ES78" s="7"/>
      <c r="FB78" s="7"/>
      <c r="FK78" s="7"/>
      <c r="FT78" s="7"/>
      <c r="GA78" s="7"/>
      <c r="GH78" s="7"/>
      <c r="GO78" s="7"/>
      <c r="GV78" s="7"/>
      <c r="HC78" s="7"/>
      <c r="HJ78" s="7"/>
      <c r="HQ78" s="7"/>
      <c r="HX78" s="7"/>
      <c r="IE78" s="7"/>
      <c r="IL78" s="7"/>
      <c r="IS78" s="7"/>
      <c r="IZ78" s="7"/>
      <c r="JG78" s="7"/>
      <c r="JN78" s="7"/>
      <c r="JU78" s="7"/>
      <c r="KB78" s="7"/>
      <c r="KI78" s="7"/>
      <c r="KP78" s="7"/>
      <c r="KW78" s="7"/>
      <c r="LD78" s="7"/>
      <c r="LK78" s="7"/>
      <c r="LR78" s="7"/>
      <c r="LY78" s="7"/>
      <c r="MF78" s="7"/>
      <c r="MM78" s="7"/>
      <c r="MT78" s="7"/>
    </row>
    <row r="79" spans="1:358" ht="7.5" customHeight="1" x14ac:dyDescent="0.25">
      <c r="A79" s="8"/>
      <c r="B79" s="8"/>
      <c r="C79" s="8"/>
      <c r="D79" s="8"/>
      <c r="E79" s="8"/>
      <c r="F79" s="10"/>
      <c r="G79" s="19"/>
      <c r="H79" s="19"/>
      <c r="I79" s="8"/>
      <c r="J79" s="8"/>
      <c r="K79" s="8"/>
      <c r="L79" s="8"/>
      <c r="M79" s="8"/>
      <c r="N79" s="8"/>
      <c r="O79" s="9"/>
      <c r="P79" s="8" t="str">
        <f>IF(SUM(R79:MT79) &gt; 0, SUM(R79:MT79), "")</f>
        <v/>
      </c>
      <c r="Q79" s="109" t="str">
        <f t="shared" si="386"/>
        <v/>
      </c>
      <c r="R79" s="84"/>
      <c r="S79" s="7"/>
      <c r="Z79" s="7"/>
      <c r="AG79" s="7"/>
      <c r="AN79" s="7"/>
      <c r="AU79" s="7"/>
      <c r="BB79" s="7"/>
      <c r="BI79" s="7"/>
      <c r="BP79" s="7"/>
      <c r="BY79" s="7"/>
      <c r="CH79" s="7"/>
      <c r="CQ79" s="7"/>
      <c r="CZ79" s="7"/>
      <c r="DI79" s="7"/>
      <c r="DR79" s="7"/>
      <c r="EA79" s="7"/>
      <c r="EJ79" s="7"/>
      <c r="ES79" s="7"/>
      <c r="FB79" s="7"/>
      <c r="FK79" s="7"/>
      <c r="FT79" s="7"/>
      <c r="GA79" s="7"/>
      <c r="GH79" s="7"/>
      <c r="GO79" s="7"/>
      <c r="GV79" s="7"/>
      <c r="HC79" s="7"/>
      <c r="HJ79" s="7"/>
      <c r="HQ79" s="7"/>
      <c r="HX79" s="7"/>
      <c r="IE79" s="7"/>
      <c r="IL79" s="7"/>
      <c r="IS79" s="7"/>
      <c r="IZ79" s="7"/>
      <c r="JG79" s="7"/>
      <c r="JN79" s="7"/>
      <c r="JU79" s="7"/>
      <c r="KB79" s="7"/>
      <c r="KI79" s="7"/>
      <c r="KP79" s="7"/>
      <c r="KW79" s="7"/>
      <c r="LD79" s="7"/>
      <c r="LK79" s="7"/>
      <c r="LR79" s="7"/>
      <c r="LY79" s="7"/>
      <c r="MF79" s="7"/>
      <c r="MM79" s="7"/>
      <c r="MT79" s="7"/>
    </row>
    <row r="80" spans="1:358" ht="15" customHeight="1" thickBot="1" x14ac:dyDescent="0.3">
      <c r="A80" s="20" t="s">
        <v>18</v>
      </c>
      <c r="B80" s="20"/>
      <c r="C80" s="20"/>
      <c r="D80" s="20"/>
      <c r="E80" s="21"/>
      <c r="F80" s="20"/>
      <c r="G80" s="20"/>
      <c r="H80" s="20"/>
      <c r="I80" s="20"/>
      <c r="J80" s="20"/>
      <c r="K80" s="20"/>
      <c r="L80" s="20"/>
      <c r="M80" s="20"/>
      <c r="N80" s="20"/>
      <c r="O80" s="21"/>
      <c r="P80" s="60">
        <f>SUM(S80:MT80)</f>
        <v>30</v>
      </c>
      <c r="Q80" s="60"/>
      <c r="R80" s="21"/>
      <c r="S80" s="21"/>
      <c r="T80" s="20"/>
      <c r="U80" s="20"/>
      <c r="V80" s="20"/>
      <c r="W80" s="20"/>
      <c r="X80" s="20"/>
      <c r="Y80" s="20"/>
      <c r="Z80" s="21"/>
      <c r="AA80" s="20"/>
      <c r="AB80" s="20"/>
      <c r="AC80" s="20"/>
      <c r="AD80" s="20"/>
      <c r="AE80" s="20"/>
      <c r="AF80" s="20"/>
      <c r="AG80" s="21"/>
      <c r="AH80" s="20"/>
      <c r="AI80" s="20">
        <v>1</v>
      </c>
      <c r="AJ80" s="20"/>
      <c r="AK80" s="20">
        <v>1</v>
      </c>
      <c r="AL80" s="20"/>
      <c r="AM80" s="20"/>
      <c r="AN80" s="21"/>
      <c r="AO80" s="20"/>
      <c r="AP80" s="20">
        <v>1</v>
      </c>
      <c r="AQ80" s="20"/>
      <c r="AR80" s="20">
        <v>1</v>
      </c>
      <c r="AS80" s="20"/>
      <c r="AT80" s="20"/>
      <c r="AU80" s="21"/>
      <c r="AV80" s="20"/>
      <c r="AW80" s="20">
        <v>1</v>
      </c>
      <c r="AX80" s="20">
        <v>1</v>
      </c>
      <c r="AY80" s="20">
        <v>1</v>
      </c>
      <c r="AZ80" s="20"/>
      <c r="BA80" s="20"/>
      <c r="BB80" s="21"/>
      <c r="BC80" s="20"/>
      <c r="BD80" s="20">
        <v>1</v>
      </c>
      <c r="BE80" s="20"/>
      <c r="BF80" s="20">
        <v>1</v>
      </c>
      <c r="BG80" s="20"/>
      <c r="BH80" s="20"/>
      <c r="BI80" s="21"/>
      <c r="BJ80" s="20"/>
      <c r="BK80" s="20">
        <v>1</v>
      </c>
      <c r="BL80" s="20"/>
      <c r="BM80" s="20">
        <v>1</v>
      </c>
      <c r="BN80" s="20">
        <v>1</v>
      </c>
      <c r="BO80" s="20"/>
      <c r="BP80" s="21">
        <v>1</v>
      </c>
      <c r="BQ80" s="20"/>
      <c r="BR80" s="20"/>
      <c r="BS80" s="20"/>
      <c r="BT80" s="20"/>
      <c r="BU80" s="20"/>
      <c r="BV80" s="20"/>
      <c r="BW80" s="20">
        <v>1</v>
      </c>
      <c r="BX80" s="20"/>
      <c r="BY80" s="21"/>
      <c r="BZ80" s="20"/>
      <c r="CA80" s="20"/>
      <c r="CB80" s="20"/>
      <c r="CC80" s="20"/>
      <c r="CD80" s="20"/>
      <c r="CE80" s="20"/>
      <c r="CF80" s="20"/>
      <c r="CG80" s="20"/>
      <c r="CH80" s="21"/>
      <c r="CI80" s="20"/>
      <c r="CJ80" s="20"/>
      <c r="CK80" s="20"/>
      <c r="CL80" s="20"/>
      <c r="CM80" s="20"/>
      <c r="CN80" s="20"/>
      <c r="CO80" s="20"/>
      <c r="CP80" s="20"/>
      <c r="CQ80" s="21"/>
      <c r="CR80" s="20"/>
      <c r="CS80" s="20"/>
      <c r="CT80" s="20"/>
      <c r="CU80" s="20"/>
      <c r="CV80" s="20"/>
      <c r="CW80" s="20"/>
      <c r="CX80" s="20"/>
      <c r="CY80" s="20"/>
      <c r="CZ80" s="21"/>
      <c r="DA80" s="20"/>
      <c r="DB80" s="20"/>
      <c r="DC80" s="20"/>
      <c r="DD80" s="20"/>
      <c r="DE80" s="20"/>
      <c r="DF80" s="20"/>
      <c r="DG80" s="20"/>
      <c r="DH80" s="20"/>
      <c r="DI80" s="21"/>
      <c r="DJ80" s="20"/>
      <c r="DK80" s="20"/>
      <c r="DL80" s="20"/>
      <c r="DM80" s="20"/>
      <c r="DN80" s="20"/>
      <c r="DO80" s="20"/>
      <c r="DP80" s="20"/>
      <c r="DQ80" s="20"/>
      <c r="DR80" s="21"/>
      <c r="DS80" s="20"/>
      <c r="DT80" s="20">
        <v>1</v>
      </c>
      <c r="DU80" s="20"/>
      <c r="DV80" s="20">
        <v>1</v>
      </c>
      <c r="DW80" s="20">
        <v>1</v>
      </c>
      <c r="DX80" s="20"/>
      <c r="DY80" s="20"/>
      <c r="DZ80" s="20"/>
      <c r="EA80" s="21"/>
      <c r="EB80" s="20"/>
      <c r="EC80" s="20">
        <v>1</v>
      </c>
      <c r="ED80" s="20"/>
      <c r="EE80" s="20">
        <v>1</v>
      </c>
      <c r="EF80" s="20">
        <v>1</v>
      </c>
      <c r="EG80" s="20"/>
      <c r="EH80" s="20"/>
      <c r="EI80" s="20"/>
      <c r="EJ80" s="21"/>
      <c r="EK80" s="20"/>
      <c r="EL80" s="20">
        <v>1</v>
      </c>
      <c r="EM80" s="20"/>
      <c r="EN80" s="20">
        <v>1</v>
      </c>
      <c r="EO80" s="20">
        <v>1</v>
      </c>
      <c r="EP80" s="20"/>
      <c r="EQ80" s="20"/>
      <c r="ER80" s="20"/>
      <c r="ES80" s="21"/>
      <c r="ET80" s="20"/>
      <c r="EU80" s="20">
        <v>1</v>
      </c>
      <c r="EV80" s="20"/>
      <c r="EW80" s="20">
        <v>1</v>
      </c>
      <c r="EX80" s="20">
        <v>1</v>
      </c>
      <c r="EY80" s="20"/>
      <c r="EZ80" s="20"/>
      <c r="FA80" s="20"/>
      <c r="FB80" s="21"/>
      <c r="FC80" s="20"/>
      <c r="FD80" s="20">
        <v>1</v>
      </c>
      <c r="FE80" s="20"/>
      <c r="FF80" s="20">
        <v>1</v>
      </c>
      <c r="FG80" s="20">
        <v>1</v>
      </c>
      <c r="FH80" s="20"/>
      <c r="FI80" s="20"/>
      <c r="FJ80" s="20"/>
      <c r="FK80" s="21"/>
      <c r="FL80" s="20"/>
      <c r="FM80" s="20">
        <v>1</v>
      </c>
      <c r="FN80" s="20"/>
      <c r="FO80" s="20"/>
      <c r="FP80" s="20"/>
      <c r="FQ80" s="20"/>
      <c r="FR80" s="20"/>
      <c r="FS80" s="20"/>
      <c r="FT80" s="21"/>
      <c r="FU80" s="20"/>
      <c r="FV80" s="20"/>
      <c r="FW80" s="20"/>
      <c r="FX80" s="20"/>
      <c r="FY80" s="20"/>
      <c r="FZ80" s="20"/>
      <c r="GA80" s="21"/>
      <c r="GB80" s="20"/>
      <c r="GC80" s="20"/>
      <c r="GD80" s="20"/>
      <c r="GE80" s="20"/>
      <c r="GF80" s="20"/>
      <c r="GG80" s="20"/>
      <c r="GH80" s="21"/>
      <c r="GI80" s="20"/>
      <c r="GJ80" s="20"/>
      <c r="GK80" s="20"/>
      <c r="GL80" s="20"/>
      <c r="GM80" s="20"/>
      <c r="GN80" s="20"/>
      <c r="GO80" s="21"/>
      <c r="GP80" s="20"/>
      <c r="GQ80" s="20"/>
      <c r="GR80" s="20"/>
      <c r="GS80" s="20"/>
      <c r="GT80" s="20"/>
      <c r="GU80" s="20"/>
      <c r="GV80" s="21"/>
      <c r="GW80" s="20"/>
      <c r="GX80" s="20"/>
      <c r="GY80" s="20"/>
      <c r="GZ80" s="20"/>
      <c r="HA80" s="20"/>
      <c r="HB80" s="20"/>
      <c r="HC80" s="21"/>
      <c r="HD80" s="20"/>
      <c r="HE80" s="20"/>
      <c r="HF80" s="20"/>
      <c r="HG80" s="20"/>
      <c r="HH80" s="20"/>
      <c r="HI80" s="20"/>
      <c r="HJ80" s="21"/>
      <c r="HK80" s="20"/>
      <c r="HL80" s="20"/>
      <c r="HM80" s="20"/>
      <c r="HN80" s="20"/>
      <c r="HO80" s="20"/>
      <c r="HP80" s="20"/>
      <c r="HQ80" s="21"/>
      <c r="HR80" s="20"/>
      <c r="HS80" s="20"/>
      <c r="HT80" s="20"/>
      <c r="HU80" s="20"/>
      <c r="HV80" s="20"/>
      <c r="HW80" s="20"/>
      <c r="HX80" s="21"/>
      <c r="HY80" s="20"/>
      <c r="HZ80" s="20"/>
      <c r="IA80" s="20"/>
      <c r="IB80" s="20"/>
      <c r="IC80" s="20"/>
      <c r="ID80" s="20"/>
      <c r="IE80" s="21"/>
      <c r="IF80" s="20"/>
      <c r="IG80" s="20"/>
      <c r="IH80" s="20"/>
      <c r="II80" s="20"/>
      <c r="IJ80" s="20"/>
      <c r="IK80" s="20"/>
      <c r="IL80" s="21"/>
      <c r="IM80" s="20"/>
      <c r="IN80" s="20"/>
      <c r="IO80" s="20"/>
      <c r="IP80" s="20"/>
      <c r="IQ80" s="20"/>
      <c r="IR80" s="20"/>
      <c r="IS80" s="21"/>
      <c r="IT80" s="20"/>
      <c r="IU80" s="20"/>
      <c r="IV80" s="20"/>
      <c r="IW80" s="20"/>
      <c r="IX80" s="20"/>
      <c r="IY80" s="20"/>
      <c r="IZ80" s="21"/>
      <c r="JA80" s="20"/>
      <c r="JB80" s="20"/>
      <c r="JC80" s="20"/>
      <c r="JD80" s="20"/>
      <c r="JE80" s="20"/>
      <c r="JF80" s="20"/>
      <c r="JG80" s="21"/>
      <c r="JH80" s="20"/>
      <c r="JI80" s="20"/>
      <c r="JJ80" s="20"/>
      <c r="JK80" s="20"/>
      <c r="JL80" s="20"/>
      <c r="JM80" s="20"/>
      <c r="JN80" s="21"/>
      <c r="JO80" s="20"/>
      <c r="JP80" s="20"/>
      <c r="JQ80" s="20"/>
      <c r="JR80" s="20"/>
      <c r="JS80" s="20"/>
      <c r="JT80" s="20"/>
      <c r="JU80" s="21"/>
      <c r="JV80" s="20"/>
      <c r="JW80" s="20"/>
      <c r="JX80" s="20"/>
      <c r="JY80" s="20"/>
      <c r="JZ80" s="20"/>
      <c r="KA80" s="20"/>
      <c r="KB80" s="21"/>
      <c r="KC80" s="20"/>
      <c r="KD80" s="20"/>
      <c r="KE80" s="20"/>
      <c r="KF80" s="20"/>
      <c r="KG80" s="20"/>
      <c r="KH80" s="20"/>
      <c r="KI80" s="21"/>
      <c r="KJ80" s="20"/>
      <c r="KK80" s="20"/>
      <c r="KL80" s="20"/>
      <c r="KM80" s="20"/>
      <c r="KN80" s="20"/>
      <c r="KO80" s="20"/>
      <c r="KP80" s="21"/>
      <c r="KQ80" s="20"/>
      <c r="KR80" s="20"/>
      <c r="KS80" s="20"/>
      <c r="KT80" s="20"/>
      <c r="KU80" s="20"/>
      <c r="KV80" s="20"/>
      <c r="KW80" s="21"/>
      <c r="KX80" s="20"/>
      <c r="KY80" s="20"/>
      <c r="KZ80" s="20"/>
      <c r="LA80" s="20"/>
      <c r="LB80" s="20"/>
      <c r="LC80" s="20"/>
      <c r="LD80" s="21"/>
      <c r="LE80" s="20"/>
      <c r="LF80" s="20"/>
      <c r="LG80" s="20"/>
      <c r="LH80" s="20"/>
      <c r="LI80" s="20"/>
      <c r="LJ80" s="20"/>
      <c r="LK80" s="21"/>
      <c r="LL80" s="20"/>
      <c r="LM80" s="20"/>
      <c r="LN80" s="20"/>
      <c r="LO80" s="20"/>
      <c r="LP80" s="20"/>
      <c r="LQ80" s="20"/>
      <c r="LR80" s="21"/>
      <c r="LS80" s="20"/>
      <c r="LT80" s="20"/>
      <c r="LU80" s="20"/>
      <c r="LV80" s="20"/>
      <c r="LW80" s="20"/>
      <c r="LX80" s="20"/>
      <c r="LY80" s="21"/>
      <c r="LZ80" s="20"/>
      <c r="MA80" s="20"/>
      <c r="MB80" s="20"/>
      <c r="MC80" s="20"/>
      <c r="MD80" s="20"/>
      <c r="ME80" s="20"/>
      <c r="MF80" s="21"/>
      <c r="MG80" s="20"/>
      <c r="MH80" s="20"/>
      <c r="MI80" s="20"/>
      <c r="MJ80" s="20"/>
      <c r="MK80" s="20"/>
      <c r="ML80" s="20"/>
      <c r="MM80" s="21"/>
      <c r="MN80" s="20"/>
      <c r="MO80" s="20"/>
      <c r="MP80" s="20"/>
      <c r="MQ80" s="20"/>
      <c r="MR80" s="20"/>
      <c r="MS80" s="20"/>
      <c r="MT80" s="21"/>
    </row>
    <row r="81" spans="1:358" ht="15.75" thickBot="1" x14ac:dyDescent="0.3">
      <c r="A81" s="64" t="s">
        <v>248</v>
      </c>
      <c r="B81" s="62"/>
      <c r="C81" s="62"/>
      <c r="D81" s="62"/>
      <c r="E81" s="63"/>
      <c r="F81" s="62"/>
      <c r="G81" s="62"/>
      <c r="H81" s="62"/>
      <c r="I81" s="62"/>
      <c r="J81" s="62"/>
      <c r="K81" s="62"/>
      <c r="L81" s="62"/>
      <c r="M81" s="62"/>
      <c r="N81" s="62"/>
      <c r="O81" s="63"/>
      <c r="P81" s="85">
        <f>VisibleSum(P75:P78)</f>
        <v>11.333333333333334</v>
      </c>
      <c r="Q81" s="62">
        <f>P81 / P80 * 100</f>
        <v>37.777777777777786</v>
      </c>
      <c r="R81" s="86"/>
      <c r="S81" s="63" t="str">
        <f>IF(SUM(S45:S67, S75:S78) &gt; 0, SUM(S45:S67, S75:S78), "")</f>
        <v/>
      </c>
      <c r="T81" s="62" t="str">
        <f t="shared" ref="T81:U81" si="389">IF(SUM(T74:T79) &gt; 0, SUM(T74:T79), "")</f>
        <v/>
      </c>
      <c r="U81" s="62" t="str">
        <f t="shared" si="389"/>
        <v/>
      </c>
      <c r="V81" s="62" t="str">
        <f t="shared" ref="V81" si="390">IF(SUM(V74:V79) &gt; 0, SUM(V74:V79), "")</f>
        <v/>
      </c>
      <c r="W81" s="62" t="str">
        <f t="shared" ref="W81" si="391">IF(SUM(W74:W79) &gt; 0, SUM(W74:W79), "")</f>
        <v/>
      </c>
      <c r="X81" s="62" t="str">
        <f t="shared" ref="X81" si="392">IF(SUM(X74:X79) &gt; 0, SUM(X74:X79), "")</f>
        <v/>
      </c>
      <c r="Y81" s="62" t="str">
        <f t="shared" ref="Y81" si="393">IF(SUM(Y74:Y79) &gt; 0, SUM(Y74:Y79), "")</f>
        <v/>
      </c>
      <c r="Z81" s="63" t="str">
        <f t="shared" ref="Z81:AB81" si="394">IF(SUM(Z74:Z79) &gt; 0, SUM(Z74:Z79), "")</f>
        <v/>
      </c>
      <c r="AA81" s="62" t="str">
        <f t="shared" si="394"/>
        <v/>
      </c>
      <c r="AB81" s="62" t="str">
        <f t="shared" si="394"/>
        <v/>
      </c>
      <c r="AC81" s="62" t="str">
        <f t="shared" ref="AC81" si="395">IF(SUM(AC74:AC79) &gt; 0, SUM(AC74:AC79), "")</f>
        <v/>
      </c>
      <c r="AD81" s="62" t="str">
        <f t="shared" ref="AD81" si="396">IF(SUM(AD74:AD79) &gt; 0, SUM(AD74:AD79), "")</f>
        <v/>
      </c>
      <c r="AE81" s="62" t="str">
        <f t="shared" ref="AE81" si="397">IF(SUM(AE74:AE79) &gt; 0, SUM(AE74:AE79), "")</f>
        <v/>
      </c>
      <c r="AF81" s="62" t="str">
        <f t="shared" ref="AF81" si="398">IF(SUM(AF74:AF79) &gt; 0, SUM(AF74:AF79), "")</f>
        <v/>
      </c>
      <c r="AG81" s="63" t="str">
        <f t="shared" ref="AG81" si="399">IF(SUM(AG74:AG79) &gt; 0, SUM(AG74:AG79), "")</f>
        <v/>
      </c>
      <c r="AH81" s="62" t="str">
        <f>IF(SUM(AH74:AH79) &gt; 0, SUM(AH74:AH79), "")</f>
        <v/>
      </c>
      <c r="AI81" s="62" t="str">
        <f>IF(SUM(AI74:AI79) &gt; 0, SUM(AI74:AI79), "")</f>
        <v/>
      </c>
      <c r="AJ81" s="62" t="str">
        <f t="shared" ref="AJ81:AN81" si="400">IF(SUM(AJ74:AJ79) &gt; 0, SUM(AJ74:AJ79), "")</f>
        <v/>
      </c>
      <c r="AK81" s="62">
        <f t="shared" si="400"/>
        <v>3</v>
      </c>
      <c r="AL81" s="62" t="str">
        <f t="shared" si="400"/>
        <v/>
      </c>
      <c r="AM81" s="62" t="str">
        <f t="shared" si="400"/>
        <v/>
      </c>
      <c r="AN81" s="63" t="str">
        <f t="shared" si="400"/>
        <v/>
      </c>
      <c r="AO81" s="62" t="str">
        <f>IF(SUM(AO74:AO79) &gt; 0, SUM(AO74:AO79), "")</f>
        <v/>
      </c>
      <c r="AP81" s="62">
        <f>IF(SUM(AP74:AP79) &gt; 0, SUM(AP74:AP79), "")</f>
        <v>2</v>
      </c>
      <c r="AQ81" s="62" t="str">
        <f t="shared" ref="AQ81" si="401">IF(SUM(AQ74:AQ79) &gt; 0, SUM(AQ74:AQ79), "")</f>
        <v/>
      </c>
      <c r="AR81" s="62">
        <f t="shared" ref="AR81" si="402">IF(SUM(AR74:AR79) &gt; 0, SUM(AR74:AR79), "")</f>
        <v>1</v>
      </c>
      <c r="AS81" s="62" t="str">
        <f t="shared" ref="AS81" si="403">IF(SUM(AS74:AS79) &gt; 0, SUM(AS74:AS79), "")</f>
        <v/>
      </c>
      <c r="AT81" s="62" t="str">
        <f t="shared" ref="AT81" si="404">IF(SUM(AT74:AT79) &gt; 0, SUM(AT74:AT79), "")</f>
        <v/>
      </c>
      <c r="AU81" s="63" t="str">
        <f t="shared" ref="AU81" si="405">IF(SUM(AU74:AU79) &gt; 0, SUM(AU74:AU79), "")</f>
        <v/>
      </c>
      <c r="AV81" s="62" t="str">
        <f>IF(SUM(AV74:AV79) &gt; 0, SUM(AV74:AV79), "")</f>
        <v/>
      </c>
      <c r="AW81" s="62">
        <f>IF(SUM(AW74:AW79) &gt; 0, SUM(AW74:AW79), "")</f>
        <v>2</v>
      </c>
      <c r="AX81" s="62" t="str">
        <f t="shared" ref="AX81" si="406">IF(SUM(AX74:AX79) &gt; 0, SUM(AX74:AX79), "")</f>
        <v/>
      </c>
      <c r="AY81" s="62">
        <f t="shared" ref="AY81" si="407">IF(SUM(AY74:AY79) &gt; 0, SUM(AY74:AY79), "")</f>
        <v>1</v>
      </c>
      <c r="AZ81" s="62" t="str">
        <f t="shared" ref="AZ81" si="408">IF(SUM(AZ74:AZ79) &gt; 0, SUM(AZ74:AZ79), "")</f>
        <v/>
      </c>
      <c r="BA81" s="62" t="str">
        <f t="shared" ref="BA81" si="409">IF(SUM(BA74:BA79) &gt; 0, SUM(BA74:BA79), "")</f>
        <v/>
      </c>
      <c r="BB81" s="63" t="str">
        <f t="shared" ref="BB81" si="410">IF(SUM(BB74:BB79) &gt; 0, SUM(BB74:BB79), "")</f>
        <v/>
      </c>
      <c r="BC81" s="62" t="str">
        <f>IF(SUM(BC74:BC79) &gt; 0, SUM(BC74:BC79), "")</f>
        <v/>
      </c>
      <c r="BD81" s="62">
        <f>IF(SUM(BD74:BD79) &gt; 0, SUM(BD74:BD79), "")</f>
        <v>3</v>
      </c>
      <c r="BE81" s="62" t="str">
        <f t="shared" ref="BE81:ED81" si="411">IF(SUM(BE74:BE79) &gt; 0, SUM(BE74:BE79), "")</f>
        <v/>
      </c>
      <c r="BF81" s="62">
        <f t="shared" si="411"/>
        <v>2</v>
      </c>
      <c r="BG81" s="62" t="str">
        <f t="shared" si="411"/>
        <v/>
      </c>
      <c r="BH81" s="62" t="str">
        <f t="shared" si="411"/>
        <v/>
      </c>
      <c r="BI81" s="63" t="str">
        <f t="shared" si="411"/>
        <v/>
      </c>
      <c r="BJ81" s="62" t="str">
        <f t="shared" si="411"/>
        <v/>
      </c>
      <c r="BK81" s="62">
        <f t="shared" si="411"/>
        <v>2</v>
      </c>
      <c r="BL81" s="62" t="str">
        <f t="shared" si="411"/>
        <v/>
      </c>
      <c r="BM81" s="62">
        <f t="shared" si="411"/>
        <v>3</v>
      </c>
      <c r="BN81" s="62">
        <f t="shared" si="411"/>
        <v>2</v>
      </c>
      <c r="BO81" s="62" t="str">
        <f t="shared" si="411"/>
        <v/>
      </c>
      <c r="BP81" s="63">
        <f t="shared" si="411"/>
        <v>1</v>
      </c>
      <c r="BQ81" s="62" t="str">
        <f t="shared" si="411"/>
        <v/>
      </c>
      <c r="BR81" s="62" t="str">
        <f t="shared" si="411"/>
        <v/>
      </c>
      <c r="BS81" s="62" t="str">
        <f t="shared" si="411"/>
        <v/>
      </c>
      <c r="BT81" s="62" t="str">
        <f t="shared" si="411"/>
        <v/>
      </c>
      <c r="BU81" s="62" t="str">
        <f t="shared" si="411"/>
        <v/>
      </c>
      <c r="BV81" s="62" t="str">
        <f t="shared" si="411"/>
        <v/>
      </c>
      <c r="BW81" s="62">
        <f t="shared" ref="BW81" si="412">IF(SUM(BW74:BW79) &gt; 0, SUM(BW74:BW79), "")</f>
        <v>2</v>
      </c>
      <c r="BX81" s="62"/>
      <c r="BY81" s="63" t="str">
        <f t="shared" si="411"/>
        <v/>
      </c>
      <c r="BZ81" s="62" t="str">
        <f t="shared" si="411"/>
        <v/>
      </c>
      <c r="CA81" s="62" t="str">
        <f t="shared" si="411"/>
        <v/>
      </c>
      <c r="CB81" s="62" t="str">
        <f t="shared" si="411"/>
        <v/>
      </c>
      <c r="CC81" s="62" t="str">
        <f t="shared" si="411"/>
        <v/>
      </c>
      <c r="CD81" s="62" t="str">
        <f t="shared" si="411"/>
        <v/>
      </c>
      <c r="CE81" s="62" t="str">
        <f t="shared" si="411"/>
        <v/>
      </c>
      <c r="CF81" s="62"/>
      <c r="CG81" s="62"/>
      <c r="CH81" s="63" t="str">
        <f t="shared" si="411"/>
        <v/>
      </c>
      <c r="CI81" s="62" t="str">
        <f t="shared" si="411"/>
        <v/>
      </c>
      <c r="CJ81" s="62" t="str">
        <f t="shared" si="411"/>
        <v/>
      </c>
      <c r="CK81" s="62" t="str">
        <f t="shared" si="411"/>
        <v/>
      </c>
      <c r="CL81" s="62" t="str">
        <f t="shared" si="411"/>
        <v/>
      </c>
      <c r="CM81" s="62" t="str">
        <f t="shared" si="411"/>
        <v/>
      </c>
      <c r="CN81" s="62" t="str">
        <f t="shared" si="411"/>
        <v/>
      </c>
      <c r="CO81" s="62" t="str">
        <f t="shared" ref="CO81" si="413">IF(SUM(CO74:CO79) &gt; 0, SUM(CO74:CO79), "")</f>
        <v/>
      </c>
      <c r="CP81" s="62"/>
      <c r="CQ81" s="63" t="str">
        <f t="shared" si="411"/>
        <v/>
      </c>
      <c r="CR81" s="62" t="str">
        <f t="shared" si="411"/>
        <v/>
      </c>
      <c r="CS81" s="62" t="str">
        <f t="shared" si="411"/>
        <v/>
      </c>
      <c r="CT81" s="62" t="str">
        <f t="shared" si="411"/>
        <v/>
      </c>
      <c r="CU81" s="62" t="str">
        <f t="shared" si="411"/>
        <v/>
      </c>
      <c r="CV81" s="62" t="str">
        <f t="shared" si="411"/>
        <v/>
      </c>
      <c r="CW81" s="62"/>
      <c r="CX81" s="62"/>
      <c r="CY81" s="62" t="str">
        <f t="shared" si="411"/>
        <v/>
      </c>
      <c r="CZ81" s="63" t="str">
        <f t="shared" si="411"/>
        <v/>
      </c>
      <c r="DA81" s="62" t="str">
        <f t="shared" si="411"/>
        <v/>
      </c>
      <c r="DB81" s="62" t="str">
        <f t="shared" si="411"/>
        <v/>
      </c>
      <c r="DC81" s="62" t="str">
        <f t="shared" si="411"/>
        <v/>
      </c>
      <c r="DD81" s="62" t="str">
        <f t="shared" si="411"/>
        <v/>
      </c>
      <c r="DE81" s="62" t="str">
        <f t="shared" si="411"/>
        <v/>
      </c>
      <c r="DF81" s="62" t="str">
        <f t="shared" si="411"/>
        <v/>
      </c>
      <c r="DG81" s="62"/>
      <c r="DH81" s="62"/>
      <c r="DI81" s="63" t="str">
        <f t="shared" si="411"/>
        <v/>
      </c>
      <c r="DJ81" s="62" t="str">
        <f t="shared" si="411"/>
        <v/>
      </c>
      <c r="DK81" s="62" t="str">
        <f t="shared" si="411"/>
        <v/>
      </c>
      <c r="DL81" s="62" t="str">
        <f t="shared" si="411"/>
        <v/>
      </c>
      <c r="DM81" s="62" t="str">
        <f t="shared" si="411"/>
        <v/>
      </c>
      <c r="DN81" s="62" t="str">
        <f t="shared" si="411"/>
        <v/>
      </c>
      <c r="DO81" s="62" t="str">
        <f t="shared" si="411"/>
        <v/>
      </c>
      <c r="DP81" s="62"/>
      <c r="DQ81" s="62"/>
      <c r="DR81" s="63" t="str">
        <f t="shared" si="411"/>
        <v/>
      </c>
      <c r="DS81" s="62" t="str">
        <f t="shared" si="411"/>
        <v/>
      </c>
      <c r="DT81" s="62">
        <f t="shared" si="411"/>
        <v>1</v>
      </c>
      <c r="DU81" s="62" t="str">
        <f t="shared" si="411"/>
        <v/>
      </c>
      <c r="DV81" s="62">
        <f t="shared" si="411"/>
        <v>2</v>
      </c>
      <c r="DW81" s="62">
        <f t="shared" si="411"/>
        <v>1</v>
      </c>
      <c r="DX81" s="62"/>
      <c r="DY81" s="62"/>
      <c r="DZ81" s="62" t="str">
        <f t="shared" si="411"/>
        <v/>
      </c>
      <c r="EA81" s="63" t="str">
        <f t="shared" si="411"/>
        <v/>
      </c>
      <c r="EB81" s="62" t="str">
        <f t="shared" si="411"/>
        <v/>
      </c>
      <c r="EC81" s="62">
        <f t="shared" si="411"/>
        <v>1</v>
      </c>
      <c r="ED81" s="62" t="str">
        <f t="shared" si="411"/>
        <v/>
      </c>
      <c r="EE81" s="62">
        <f t="shared" ref="EE81:GZ81" si="414">IF(SUM(EE74:EE79) &gt; 0, SUM(EE74:EE79), "")</f>
        <v>1</v>
      </c>
      <c r="EF81" s="62">
        <v>0</v>
      </c>
      <c r="EG81" s="62"/>
      <c r="EH81" s="62"/>
      <c r="EI81" s="62" t="str">
        <f t="shared" si="414"/>
        <v/>
      </c>
      <c r="EJ81" s="63" t="str">
        <f t="shared" si="414"/>
        <v/>
      </c>
      <c r="EK81" s="62" t="str">
        <f t="shared" si="414"/>
        <v/>
      </c>
      <c r="EL81" s="62">
        <f t="shared" si="414"/>
        <v>1</v>
      </c>
      <c r="EM81" s="62" t="str">
        <f t="shared" si="414"/>
        <v/>
      </c>
      <c r="EN81" s="62">
        <f t="shared" si="414"/>
        <v>1</v>
      </c>
      <c r="EO81" s="62">
        <f t="shared" si="414"/>
        <v>2</v>
      </c>
      <c r="EP81" s="62" t="str">
        <f t="shared" si="414"/>
        <v/>
      </c>
      <c r="EQ81" s="62"/>
      <c r="ER81" s="62"/>
      <c r="ES81" s="63" t="str">
        <f t="shared" si="414"/>
        <v/>
      </c>
      <c r="ET81" s="62" t="str">
        <f t="shared" si="414"/>
        <v/>
      </c>
      <c r="EU81" s="62">
        <f t="shared" si="414"/>
        <v>1</v>
      </c>
      <c r="EV81" s="62" t="str">
        <f t="shared" si="414"/>
        <v/>
      </c>
      <c r="EW81" s="62">
        <f t="shared" si="414"/>
        <v>1</v>
      </c>
      <c r="EX81" s="62">
        <f t="shared" si="414"/>
        <v>1</v>
      </c>
      <c r="EY81" s="62" t="str">
        <f t="shared" si="414"/>
        <v/>
      </c>
      <c r="EZ81" s="62"/>
      <c r="FA81" s="62"/>
      <c r="FB81" s="63" t="str">
        <f t="shared" si="414"/>
        <v/>
      </c>
      <c r="FC81" s="62" t="str">
        <f t="shared" si="414"/>
        <v/>
      </c>
      <c r="FD81" s="62">
        <f t="shared" si="414"/>
        <v>1</v>
      </c>
      <c r="FE81" s="62" t="str">
        <f t="shared" si="414"/>
        <v/>
      </c>
      <c r="FF81" s="62">
        <f t="shared" si="414"/>
        <v>1</v>
      </c>
      <c r="FG81" s="62">
        <f t="shared" si="414"/>
        <v>1</v>
      </c>
      <c r="FH81" s="62" t="str">
        <f t="shared" si="414"/>
        <v/>
      </c>
      <c r="FI81" s="62"/>
      <c r="FJ81" s="62"/>
      <c r="FK81" s="63" t="str">
        <f t="shared" si="414"/>
        <v/>
      </c>
      <c r="FL81" s="62" t="str">
        <f t="shared" si="414"/>
        <v/>
      </c>
      <c r="FM81" s="62">
        <f t="shared" si="414"/>
        <v>1</v>
      </c>
      <c r="FN81" s="62" t="str">
        <f t="shared" si="414"/>
        <v/>
      </c>
      <c r="FO81" s="62">
        <f t="shared" si="414"/>
        <v>1</v>
      </c>
      <c r="FP81" s="62">
        <f t="shared" si="414"/>
        <v>1</v>
      </c>
      <c r="FQ81" s="62" t="str">
        <f t="shared" si="414"/>
        <v/>
      </c>
      <c r="FR81" s="62"/>
      <c r="FS81" s="62"/>
      <c r="FT81" s="63" t="str">
        <f t="shared" si="414"/>
        <v/>
      </c>
      <c r="FU81" s="62" t="str">
        <f t="shared" si="414"/>
        <v/>
      </c>
      <c r="FV81" s="62" t="str">
        <f t="shared" si="414"/>
        <v/>
      </c>
      <c r="FW81" s="62" t="str">
        <f t="shared" si="414"/>
        <v/>
      </c>
      <c r="FX81" s="62" t="str">
        <f t="shared" si="414"/>
        <v/>
      </c>
      <c r="FY81" s="62" t="str">
        <f t="shared" si="414"/>
        <v/>
      </c>
      <c r="FZ81" s="62" t="str">
        <f t="shared" si="414"/>
        <v/>
      </c>
      <c r="GA81" s="63" t="str">
        <f t="shared" si="414"/>
        <v/>
      </c>
      <c r="GB81" s="62" t="str">
        <f t="shared" si="414"/>
        <v/>
      </c>
      <c r="GC81" s="62" t="str">
        <f t="shared" si="414"/>
        <v/>
      </c>
      <c r="GD81" s="62" t="str">
        <f t="shared" si="414"/>
        <v/>
      </c>
      <c r="GE81" s="62" t="str">
        <f t="shared" si="414"/>
        <v/>
      </c>
      <c r="GF81" s="62" t="str">
        <f t="shared" si="414"/>
        <v/>
      </c>
      <c r="GG81" s="62" t="str">
        <f t="shared" si="414"/>
        <v/>
      </c>
      <c r="GH81" s="63" t="str">
        <f t="shared" si="414"/>
        <v/>
      </c>
      <c r="GI81" s="62" t="str">
        <f t="shared" si="414"/>
        <v/>
      </c>
      <c r="GJ81" s="62" t="str">
        <f t="shared" si="414"/>
        <v/>
      </c>
      <c r="GK81" s="62" t="str">
        <f t="shared" si="414"/>
        <v/>
      </c>
      <c r="GL81" s="62" t="str">
        <f t="shared" si="414"/>
        <v/>
      </c>
      <c r="GM81" s="62" t="str">
        <f t="shared" si="414"/>
        <v/>
      </c>
      <c r="GN81" s="62" t="str">
        <f t="shared" si="414"/>
        <v/>
      </c>
      <c r="GO81" s="63" t="str">
        <f t="shared" si="414"/>
        <v/>
      </c>
      <c r="GP81" s="62" t="str">
        <f t="shared" si="414"/>
        <v/>
      </c>
      <c r="GQ81" s="62" t="str">
        <f t="shared" si="414"/>
        <v/>
      </c>
      <c r="GR81" s="62" t="str">
        <f t="shared" si="414"/>
        <v/>
      </c>
      <c r="GS81" s="62" t="str">
        <f t="shared" si="414"/>
        <v/>
      </c>
      <c r="GT81" s="62" t="str">
        <f t="shared" si="414"/>
        <v/>
      </c>
      <c r="GU81" s="62" t="str">
        <f t="shared" si="414"/>
        <v/>
      </c>
      <c r="GV81" s="63" t="str">
        <f t="shared" si="414"/>
        <v/>
      </c>
      <c r="GW81" s="62" t="str">
        <f t="shared" si="414"/>
        <v/>
      </c>
      <c r="GX81" s="62" t="str">
        <f t="shared" si="414"/>
        <v/>
      </c>
      <c r="GY81" s="62" t="str">
        <f t="shared" si="414"/>
        <v/>
      </c>
      <c r="GZ81" s="62" t="str">
        <f t="shared" si="414"/>
        <v/>
      </c>
      <c r="HA81" s="62" t="str">
        <f t="shared" ref="HA81:JL81" si="415">IF(SUM(HA74:HA79) &gt; 0, SUM(HA74:HA79), "")</f>
        <v/>
      </c>
      <c r="HB81" s="62" t="str">
        <f t="shared" si="415"/>
        <v/>
      </c>
      <c r="HC81" s="63" t="str">
        <f t="shared" si="415"/>
        <v/>
      </c>
      <c r="HD81" s="62" t="str">
        <f t="shared" si="415"/>
        <v/>
      </c>
      <c r="HE81" s="62" t="str">
        <f t="shared" si="415"/>
        <v/>
      </c>
      <c r="HF81" s="62" t="str">
        <f t="shared" si="415"/>
        <v/>
      </c>
      <c r="HG81" s="62" t="str">
        <f t="shared" si="415"/>
        <v/>
      </c>
      <c r="HH81" s="62" t="str">
        <f t="shared" si="415"/>
        <v/>
      </c>
      <c r="HI81" s="62" t="str">
        <f t="shared" si="415"/>
        <v/>
      </c>
      <c r="HJ81" s="63" t="str">
        <f t="shared" si="415"/>
        <v/>
      </c>
      <c r="HK81" s="62" t="str">
        <f t="shared" si="415"/>
        <v/>
      </c>
      <c r="HL81" s="62" t="str">
        <f t="shared" si="415"/>
        <v/>
      </c>
      <c r="HM81" s="62" t="str">
        <f t="shared" si="415"/>
        <v/>
      </c>
      <c r="HN81" s="62" t="str">
        <f t="shared" si="415"/>
        <v/>
      </c>
      <c r="HO81" s="62" t="str">
        <f t="shared" si="415"/>
        <v/>
      </c>
      <c r="HP81" s="62" t="str">
        <f t="shared" si="415"/>
        <v/>
      </c>
      <c r="HQ81" s="63" t="str">
        <f t="shared" si="415"/>
        <v/>
      </c>
      <c r="HR81" s="62" t="str">
        <f t="shared" si="415"/>
        <v/>
      </c>
      <c r="HS81" s="62" t="str">
        <f t="shared" si="415"/>
        <v/>
      </c>
      <c r="HT81" s="62" t="str">
        <f t="shared" si="415"/>
        <v/>
      </c>
      <c r="HU81" s="62" t="str">
        <f t="shared" si="415"/>
        <v/>
      </c>
      <c r="HV81" s="62" t="str">
        <f t="shared" si="415"/>
        <v/>
      </c>
      <c r="HW81" s="62" t="str">
        <f t="shared" si="415"/>
        <v/>
      </c>
      <c r="HX81" s="63" t="str">
        <f t="shared" si="415"/>
        <v/>
      </c>
      <c r="HY81" s="62" t="str">
        <f t="shared" si="415"/>
        <v/>
      </c>
      <c r="HZ81" s="62" t="str">
        <f t="shared" si="415"/>
        <v/>
      </c>
      <c r="IA81" s="62" t="str">
        <f t="shared" si="415"/>
        <v/>
      </c>
      <c r="IB81" s="62" t="str">
        <f t="shared" si="415"/>
        <v/>
      </c>
      <c r="IC81" s="62" t="str">
        <f t="shared" si="415"/>
        <v/>
      </c>
      <c r="ID81" s="62" t="str">
        <f t="shared" si="415"/>
        <v/>
      </c>
      <c r="IE81" s="63" t="str">
        <f t="shared" si="415"/>
        <v/>
      </c>
      <c r="IF81" s="62" t="str">
        <f t="shared" si="415"/>
        <v/>
      </c>
      <c r="IG81" s="62" t="str">
        <f t="shared" si="415"/>
        <v/>
      </c>
      <c r="IH81" s="62" t="str">
        <f t="shared" si="415"/>
        <v/>
      </c>
      <c r="II81" s="62" t="str">
        <f t="shared" si="415"/>
        <v/>
      </c>
      <c r="IJ81" s="62" t="str">
        <f t="shared" si="415"/>
        <v/>
      </c>
      <c r="IK81" s="62" t="str">
        <f t="shared" si="415"/>
        <v/>
      </c>
      <c r="IL81" s="63" t="str">
        <f t="shared" si="415"/>
        <v/>
      </c>
      <c r="IM81" s="62" t="str">
        <f t="shared" si="415"/>
        <v/>
      </c>
      <c r="IN81" s="62" t="str">
        <f t="shared" si="415"/>
        <v/>
      </c>
      <c r="IO81" s="62" t="str">
        <f t="shared" si="415"/>
        <v/>
      </c>
      <c r="IP81" s="62" t="str">
        <f t="shared" si="415"/>
        <v/>
      </c>
      <c r="IQ81" s="62" t="str">
        <f t="shared" si="415"/>
        <v/>
      </c>
      <c r="IR81" s="62" t="str">
        <f t="shared" si="415"/>
        <v/>
      </c>
      <c r="IS81" s="63" t="str">
        <f t="shared" si="415"/>
        <v/>
      </c>
      <c r="IT81" s="62" t="str">
        <f t="shared" si="415"/>
        <v/>
      </c>
      <c r="IU81" s="62" t="str">
        <f t="shared" si="415"/>
        <v/>
      </c>
      <c r="IV81" s="62" t="str">
        <f t="shared" si="415"/>
        <v/>
      </c>
      <c r="IW81" s="62" t="str">
        <f t="shared" si="415"/>
        <v/>
      </c>
      <c r="IX81" s="62" t="str">
        <f t="shared" si="415"/>
        <v/>
      </c>
      <c r="IY81" s="62" t="str">
        <f t="shared" si="415"/>
        <v/>
      </c>
      <c r="IZ81" s="63" t="str">
        <f t="shared" si="415"/>
        <v/>
      </c>
      <c r="JA81" s="62" t="str">
        <f t="shared" si="415"/>
        <v/>
      </c>
      <c r="JB81" s="62" t="str">
        <f t="shared" si="415"/>
        <v/>
      </c>
      <c r="JC81" s="62" t="str">
        <f t="shared" si="415"/>
        <v/>
      </c>
      <c r="JD81" s="62" t="str">
        <f t="shared" si="415"/>
        <v/>
      </c>
      <c r="JE81" s="62" t="str">
        <f t="shared" si="415"/>
        <v/>
      </c>
      <c r="JF81" s="62" t="str">
        <f t="shared" si="415"/>
        <v/>
      </c>
      <c r="JG81" s="63" t="str">
        <f t="shared" si="415"/>
        <v/>
      </c>
      <c r="JH81" s="62" t="str">
        <f t="shared" si="415"/>
        <v/>
      </c>
      <c r="JI81" s="62" t="str">
        <f t="shared" si="415"/>
        <v/>
      </c>
      <c r="JJ81" s="62" t="str">
        <f t="shared" si="415"/>
        <v/>
      </c>
      <c r="JK81" s="62" t="str">
        <f t="shared" si="415"/>
        <v/>
      </c>
      <c r="JL81" s="62" t="str">
        <f t="shared" si="415"/>
        <v/>
      </c>
      <c r="JM81" s="62" t="str">
        <f t="shared" ref="JM81:LX81" si="416">IF(SUM(JM74:JM79) &gt; 0, SUM(JM74:JM79), "")</f>
        <v/>
      </c>
      <c r="JN81" s="63" t="str">
        <f t="shared" si="416"/>
        <v/>
      </c>
      <c r="JO81" s="62" t="str">
        <f t="shared" si="416"/>
        <v/>
      </c>
      <c r="JP81" s="62" t="str">
        <f t="shared" si="416"/>
        <v/>
      </c>
      <c r="JQ81" s="62" t="str">
        <f t="shared" si="416"/>
        <v/>
      </c>
      <c r="JR81" s="62" t="str">
        <f t="shared" si="416"/>
        <v/>
      </c>
      <c r="JS81" s="62" t="str">
        <f t="shared" si="416"/>
        <v/>
      </c>
      <c r="JT81" s="62" t="str">
        <f t="shared" si="416"/>
        <v/>
      </c>
      <c r="JU81" s="63" t="str">
        <f t="shared" si="416"/>
        <v/>
      </c>
      <c r="JV81" s="62" t="str">
        <f t="shared" si="416"/>
        <v/>
      </c>
      <c r="JW81" s="62" t="str">
        <f t="shared" si="416"/>
        <v/>
      </c>
      <c r="JX81" s="62" t="str">
        <f t="shared" si="416"/>
        <v/>
      </c>
      <c r="JY81" s="62" t="str">
        <f t="shared" si="416"/>
        <v/>
      </c>
      <c r="JZ81" s="62" t="str">
        <f t="shared" si="416"/>
        <v/>
      </c>
      <c r="KA81" s="62" t="str">
        <f t="shared" si="416"/>
        <v/>
      </c>
      <c r="KB81" s="63" t="str">
        <f t="shared" si="416"/>
        <v/>
      </c>
      <c r="KC81" s="62" t="str">
        <f t="shared" si="416"/>
        <v/>
      </c>
      <c r="KD81" s="62" t="str">
        <f t="shared" si="416"/>
        <v/>
      </c>
      <c r="KE81" s="62" t="str">
        <f t="shared" si="416"/>
        <v/>
      </c>
      <c r="KF81" s="62" t="str">
        <f t="shared" si="416"/>
        <v/>
      </c>
      <c r="KG81" s="62" t="str">
        <f t="shared" si="416"/>
        <v/>
      </c>
      <c r="KH81" s="62" t="str">
        <f t="shared" si="416"/>
        <v/>
      </c>
      <c r="KI81" s="63" t="str">
        <f t="shared" si="416"/>
        <v/>
      </c>
      <c r="KJ81" s="62" t="str">
        <f t="shared" si="416"/>
        <v/>
      </c>
      <c r="KK81" s="62" t="str">
        <f t="shared" si="416"/>
        <v/>
      </c>
      <c r="KL81" s="62" t="str">
        <f t="shared" si="416"/>
        <v/>
      </c>
      <c r="KM81" s="62" t="str">
        <f t="shared" si="416"/>
        <v/>
      </c>
      <c r="KN81" s="62" t="str">
        <f t="shared" si="416"/>
        <v/>
      </c>
      <c r="KO81" s="62" t="str">
        <f t="shared" si="416"/>
        <v/>
      </c>
      <c r="KP81" s="63" t="str">
        <f t="shared" si="416"/>
        <v/>
      </c>
      <c r="KQ81" s="62" t="str">
        <f t="shared" si="416"/>
        <v/>
      </c>
      <c r="KR81" s="62" t="str">
        <f t="shared" si="416"/>
        <v/>
      </c>
      <c r="KS81" s="62" t="str">
        <f t="shared" si="416"/>
        <v/>
      </c>
      <c r="KT81" s="62" t="str">
        <f t="shared" si="416"/>
        <v/>
      </c>
      <c r="KU81" s="62" t="str">
        <f t="shared" si="416"/>
        <v/>
      </c>
      <c r="KV81" s="62" t="str">
        <f t="shared" si="416"/>
        <v/>
      </c>
      <c r="KW81" s="63" t="str">
        <f t="shared" si="416"/>
        <v/>
      </c>
      <c r="KX81" s="62" t="str">
        <f t="shared" si="416"/>
        <v/>
      </c>
      <c r="KY81" s="62" t="str">
        <f t="shared" si="416"/>
        <v/>
      </c>
      <c r="KZ81" s="62" t="str">
        <f t="shared" si="416"/>
        <v/>
      </c>
      <c r="LA81" s="62" t="str">
        <f t="shared" si="416"/>
        <v/>
      </c>
      <c r="LB81" s="62" t="str">
        <f t="shared" si="416"/>
        <v/>
      </c>
      <c r="LC81" s="62" t="str">
        <f t="shared" si="416"/>
        <v/>
      </c>
      <c r="LD81" s="63" t="str">
        <f t="shared" si="416"/>
        <v/>
      </c>
      <c r="LE81" s="62" t="str">
        <f t="shared" si="416"/>
        <v/>
      </c>
      <c r="LF81" s="62" t="str">
        <f t="shared" si="416"/>
        <v/>
      </c>
      <c r="LG81" s="62" t="str">
        <f t="shared" si="416"/>
        <v/>
      </c>
      <c r="LH81" s="62" t="str">
        <f t="shared" si="416"/>
        <v/>
      </c>
      <c r="LI81" s="62" t="str">
        <f t="shared" si="416"/>
        <v/>
      </c>
      <c r="LJ81" s="62" t="str">
        <f t="shared" si="416"/>
        <v/>
      </c>
      <c r="LK81" s="63" t="str">
        <f t="shared" si="416"/>
        <v/>
      </c>
      <c r="LL81" s="62" t="str">
        <f t="shared" si="416"/>
        <v/>
      </c>
      <c r="LM81" s="62" t="str">
        <f t="shared" si="416"/>
        <v/>
      </c>
      <c r="LN81" s="62" t="str">
        <f t="shared" si="416"/>
        <v/>
      </c>
      <c r="LO81" s="62" t="str">
        <f t="shared" si="416"/>
        <v/>
      </c>
      <c r="LP81" s="62" t="str">
        <f t="shared" si="416"/>
        <v/>
      </c>
      <c r="LQ81" s="62" t="str">
        <f t="shared" si="416"/>
        <v/>
      </c>
      <c r="LR81" s="63" t="str">
        <f t="shared" si="416"/>
        <v/>
      </c>
      <c r="LS81" s="62" t="str">
        <f t="shared" si="416"/>
        <v/>
      </c>
      <c r="LT81" s="62" t="str">
        <f t="shared" si="416"/>
        <v/>
      </c>
      <c r="LU81" s="62" t="str">
        <f t="shared" si="416"/>
        <v/>
      </c>
      <c r="LV81" s="62" t="str">
        <f t="shared" si="416"/>
        <v/>
      </c>
      <c r="LW81" s="62" t="str">
        <f t="shared" si="416"/>
        <v/>
      </c>
      <c r="LX81" s="62" t="str">
        <f t="shared" si="416"/>
        <v/>
      </c>
      <c r="LY81" s="63" t="str">
        <f t="shared" ref="LY81:MT81" si="417">IF(SUM(LY74:LY79) &gt; 0, SUM(LY74:LY79), "")</f>
        <v/>
      </c>
      <c r="LZ81" s="62" t="str">
        <f t="shared" si="417"/>
        <v/>
      </c>
      <c r="MA81" s="62" t="str">
        <f t="shared" si="417"/>
        <v/>
      </c>
      <c r="MB81" s="62" t="str">
        <f t="shared" si="417"/>
        <v/>
      </c>
      <c r="MC81" s="62" t="str">
        <f t="shared" si="417"/>
        <v/>
      </c>
      <c r="MD81" s="62" t="str">
        <f t="shared" si="417"/>
        <v/>
      </c>
      <c r="ME81" s="62" t="str">
        <f t="shared" si="417"/>
        <v/>
      </c>
      <c r="MF81" s="63" t="str">
        <f t="shared" si="417"/>
        <v/>
      </c>
      <c r="MG81" s="62" t="str">
        <f t="shared" si="417"/>
        <v/>
      </c>
      <c r="MH81" s="62" t="str">
        <f t="shared" si="417"/>
        <v/>
      </c>
      <c r="MI81" s="62" t="str">
        <f t="shared" si="417"/>
        <v/>
      </c>
      <c r="MJ81" s="62" t="str">
        <f t="shared" si="417"/>
        <v/>
      </c>
      <c r="MK81" s="62" t="str">
        <f t="shared" si="417"/>
        <v/>
      </c>
      <c r="ML81" s="62" t="str">
        <f t="shared" si="417"/>
        <v/>
      </c>
      <c r="MM81" s="63" t="str">
        <f t="shared" si="417"/>
        <v/>
      </c>
      <c r="MN81" s="62" t="str">
        <f t="shared" si="417"/>
        <v/>
      </c>
      <c r="MO81" s="62" t="str">
        <f t="shared" si="417"/>
        <v/>
      </c>
      <c r="MP81" s="62" t="str">
        <f t="shared" si="417"/>
        <v/>
      </c>
      <c r="MQ81" s="62" t="str">
        <f t="shared" si="417"/>
        <v/>
      </c>
      <c r="MR81" s="62" t="str">
        <f t="shared" si="417"/>
        <v/>
      </c>
      <c r="MS81" s="62" t="str">
        <f t="shared" si="417"/>
        <v/>
      </c>
      <c r="MT81" s="87" t="str">
        <f t="shared" si="417"/>
        <v/>
      </c>
    </row>
    <row r="82" spans="1:358" ht="15.75" thickBot="1" x14ac:dyDescent="0.3">
      <c r="A82" s="64" t="s">
        <v>249</v>
      </c>
      <c r="B82" s="62"/>
      <c r="C82" s="62"/>
      <c r="D82" s="62"/>
      <c r="E82" s="63"/>
      <c r="F82" s="62"/>
      <c r="G82" s="62"/>
      <c r="H82" s="62"/>
      <c r="I82" s="62"/>
      <c r="J82" s="62"/>
      <c r="K82" s="62"/>
      <c r="L82" s="62"/>
      <c r="M82" s="62"/>
      <c r="N82" s="62"/>
      <c r="O82" s="63"/>
      <c r="P82" s="62"/>
      <c r="Q82" s="62"/>
      <c r="R82" s="63"/>
      <c r="S82" s="62" t="str">
        <f>IF(SUM(S69, S81) &gt; 0, SUM(S69, S81), "")</f>
        <v/>
      </c>
      <c r="T82" s="65" t="str">
        <f t="shared" ref="T82:Z82" si="418">IF(SUM(T69, T81) &gt; 0, SUM(T69, T81), "")</f>
        <v/>
      </c>
      <c r="U82" s="62" t="str">
        <f t="shared" si="418"/>
        <v/>
      </c>
      <c r="V82" s="62" t="str">
        <f t="shared" si="418"/>
        <v/>
      </c>
      <c r="W82" s="62" t="str">
        <f t="shared" si="418"/>
        <v/>
      </c>
      <c r="X82" s="62" t="str">
        <f t="shared" si="418"/>
        <v/>
      </c>
      <c r="Y82" s="62" t="str">
        <f t="shared" si="418"/>
        <v/>
      </c>
      <c r="Z82" s="63" t="str">
        <f t="shared" si="418"/>
        <v/>
      </c>
      <c r="AA82" s="65" t="str">
        <f t="shared" ref="AA82" si="419">IF(SUM(AA69, AA81) &gt; 0, SUM(AA69, AA81), "")</f>
        <v/>
      </c>
      <c r="AB82" s="62" t="str">
        <f t="shared" ref="AB82" si="420">IF(SUM(AB69, AB81) &gt; 0, SUM(AB69, AB81), "")</f>
        <v/>
      </c>
      <c r="AC82" s="62" t="str">
        <f t="shared" ref="AC82" si="421">IF(SUM(AC69, AC81) &gt; 0, SUM(AC69, AC81), "")</f>
        <v/>
      </c>
      <c r="AD82" s="62" t="str">
        <f t="shared" ref="AD82" si="422">IF(SUM(AD69, AD81) &gt; 0, SUM(AD69, AD81), "")</f>
        <v/>
      </c>
      <c r="AE82" s="62" t="str">
        <f t="shared" ref="AE82" si="423">IF(SUM(AE69, AE81) &gt; 0, SUM(AE69, AE81), "")</f>
        <v/>
      </c>
      <c r="AF82" s="62" t="str">
        <f t="shared" ref="AF82" si="424">IF(SUM(AF69, AF81) &gt; 0, SUM(AF69, AF81), "")</f>
        <v/>
      </c>
      <c r="AG82" s="63" t="str">
        <f t="shared" ref="AG82" si="425">IF(SUM(AG69, AG81) &gt; 0, SUM(AG69, AG81), "")</f>
        <v/>
      </c>
      <c r="AH82" s="65" t="str">
        <f t="shared" ref="AH82" si="426">IF(SUM(AH69, AH81) &gt; 0, SUM(AH69, AH81), "")</f>
        <v/>
      </c>
      <c r="AI82" s="62">
        <f t="shared" ref="AI82" si="427">IF(SUM(AI69, AI81) &gt; 0, SUM(AI69, AI81), "")</f>
        <v>11</v>
      </c>
      <c r="AJ82" s="62" t="str">
        <f t="shared" ref="AJ82" si="428">IF(SUM(AJ69, AJ81) &gt; 0, SUM(AJ69, AJ81), "")</f>
        <v/>
      </c>
      <c r="AK82" s="62">
        <f t="shared" ref="AK82" si="429">IF(SUM(AK69, AK81) &gt; 0, SUM(AK69, AK81), "")</f>
        <v>10</v>
      </c>
      <c r="AL82" s="62" t="str">
        <f t="shared" ref="AL82" si="430">IF(SUM(AL69, AL81) &gt; 0, SUM(AL69, AL81), "")</f>
        <v/>
      </c>
      <c r="AM82" s="62" t="str">
        <f t="shared" ref="AM82" si="431">IF(SUM(AM69, AM81) &gt; 0, SUM(AM69, AM81), "")</f>
        <v/>
      </c>
      <c r="AN82" s="63" t="str">
        <f t="shared" ref="AN82" si="432">IF(SUM(AN69, AN81) &gt; 0, SUM(AN69, AN81), "")</f>
        <v/>
      </c>
      <c r="AO82" s="65" t="str">
        <f t="shared" ref="AO82" si="433">IF(SUM(AO69, AO81) &gt; 0, SUM(AO69, AO81), "")</f>
        <v/>
      </c>
      <c r="AP82" s="62">
        <f t="shared" ref="AP82" si="434">IF(SUM(AP69, AP81) &gt; 0, SUM(AP69, AP81), "")</f>
        <v>11</v>
      </c>
      <c r="AQ82" s="62" t="str">
        <f t="shared" ref="AQ82" si="435">IF(SUM(AQ69, AQ81) &gt; 0, SUM(AQ69, AQ81), "")</f>
        <v/>
      </c>
      <c r="AR82" s="62">
        <f t="shared" ref="AR82" si="436">IF(SUM(AR69, AR81) &gt; 0, SUM(AR69, AR81), "")</f>
        <v>10</v>
      </c>
      <c r="AS82" s="62" t="str">
        <f t="shared" ref="AS82" si="437">IF(SUM(AS69, AS81) &gt; 0, SUM(AS69, AS81), "")</f>
        <v/>
      </c>
      <c r="AT82" s="62" t="str">
        <f t="shared" ref="AT82" si="438">IF(SUM(AT69, AT81) &gt; 0, SUM(AT69, AT81), "")</f>
        <v/>
      </c>
      <c r="AU82" s="63" t="str">
        <f t="shared" ref="AU82" si="439">IF(SUM(AU69, AU81) &gt; 0, SUM(AU69, AU81), "")</f>
        <v/>
      </c>
      <c r="AV82" s="65" t="str">
        <f t="shared" ref="AV82" si="440">IF(SUM(AV69, AV81) &gt; 0, SUM(AV69, AV81), "")</f>
        <v/>
      </c>
      <c r="AW82" s="62">
        <f t="shared" ref="AW82" si="441">IF(SUM(AW69, AW81) &gt; 0, SUM(AW69, AW81), "")</f>
        <v>11</v>
      </c>
      <c r="AX82" s="62">
        <f t="shared" ref="AX82" si="442">IF(SUM(AX69, AX81) &gt; 0, SUM(AX69, AX81), "")</f>
        <v>6</v>
      </c>
      <c r="AY82" s="62">
        <f t="shared" ref="AY82" si="443">IF(SUM(AY69, AY81) &gt; 0, SUM(AY69, AY81), "")</f>
        <v>8</v>
      </c>
      <c r="AZ82" s="62" t="str">
        <f t="shared" ref="AZ82" si="444">IF(SUM(AZ69, AZ81) &gt; 0, SUM(AZ69, AZ81), "")</f>
        <v/>
      </c>
      <c r="BA82" s="62" t="str">
        <f t="shared" ref="BA82" si="445">IF(SUM(BA69, BA81) &gt; 0, SUM(BA69, BA81), "")</f>
        <v/>
      </c>
      <c r="BB82" s="63" t="str">
        <f t="shared" ref="BB82" si="446">IF(SUM(BB69, BB81) &gt; 0, SUM(BB69, BB81), "")</f>
        <v/>
      </c>
      <c r="BC82" s="65" t="str">
        <f t="shared" ref="BC82" si="447">IF(SUM(BC69, BC81) &gt; 0, SUM(BC69, BC81), "")</f>
        <v/>
      </c>
      <c r="BD82" s="62">
        <f t="shared" ref="BD82" si="448">IF(SUM(BD69, BD81) &gt; 0, SUM(BD69, BD81), "")</f>
        <v>11</v>
      </c>
      <c r="BE82" s="62" t="str">
        <f t="shared" ref="BE82" si="449">IF(SUM(BE69, BE81) &gt; 0, SUM(BE69, BE81), "")</f>
        <v/>
      </c>
      <c r="BF82" s="62">
        <f t="shared" ref="BF82" si="450">IF(SUM(BF69, BF81) &gt; 0, SUM(BF69, BF81), "")</f>
        <v>8</v>
      </c>
      <c r="BG82" s="62" t="str">
        <f t="shared" ref="BG82" si="451">IF(SUM(BG69, BG81) &gt; 0, SUM(BG69, BG81), "")</f>
        <v/>
      </c>
      <c r="BH82" s="62" t="str">
        <f t="shared" ref="BH82" si="452">IF(SUM(BH69, BH81) &gt; 0, SUM(BH69, BH81), "")</f>
        <v/>
      </c>
      <c r="BI82" s="63" t="str">
        <f t="shared" ref="BI82" si="453">IF(SUM(BI69, BI81) &gt; 0, SUM(BI69, BI81), "")</f>
        <v/>
      </c>
      <c r="BJ82" s="65" t="str">
        <f t="shared" ref="BJ82" si="454">IF(SUM(BJ69, BJ81) &gt; 0, SUM(BJ69, BJ81), "")</f>
        <v/>
      </c>
      <c r="BK82" s="62">
        <f t="shared" ref="BK82" si="455">IF(SUM(BK69, BK81) &gt; 0, SUM(BK69, BK81), "")</f>
        <v>9</v>
      </c>
      <c r="BL82" s="62" t="str">
        <f t="shared" ref="BL82" si="456">IF(SUM(BL69, BL81) &gt; 0, SUM(BL69, BL81), "")</f>
        <v/>
      </c>
      <c r="BM82" s="62">
        <f t="shared" ref="BM82" si="457">IF(SUM(BM69, BM81) &gt; 0, SUM(BM69, BM81), "")</f>
        <v>13</v>
      </c>
      <c r="BN82" s="62">
        <f t="shared" ref="BN82" si="458">IF(SUM(BN69, BN81) &gt; 0, SUM(BN69, BN81), "")</f>
        <v>12</v>
      </c>
      <c r="BO82" s="62" t="str">
        <f t="shared" ref="BO82:BP82" si="459">IF(SUM(BO69, BO81) &gt; 0, SUM(BO69, BO81), "")</f>
        <v/>
      </c>
      <c r="BP82" s="63">
        <f t="shared" si="459"/>
        <v>5</v>
      </c>
      <c r="BQ82" s="62" t="str">
        <f t="shared" ref="BQ82" si="460">IF(SUM(BQ69, BQ81) &gt; 0, SUM(BQ69, BQ81), "")</f>
        <v/>
      </c>
      <c r="BR82" s="62" t="str">
        <f t="shared" ref="BR82" si="461">IF(SUM(BR69, BR81) &gt; 0, SUM(BR69, BR81), "")</f>
        <v/>
      </c>
      <c r="BS82" s="62" t="str">
        <f t="shared" ref="BS82" si="462">IF(SUM(BS69, BS81) &gt; 0, SUM(BS69, BS81), "")</f>
        <v/>
      </c>
      <c r="BT82" s="62" t="str">
        <f t="shared" ref="BT82" si="463">IF(SUM(BT69, BT81) &gt; 0, SUM(BT69, BT81), "")</f>
        <v/>
      </c>
      <c r="BU82" s="62" t="str">
        <f t="shared" ref="BU82" si="464">IF(SUM(BU69, BU81) &gt; 0, SUM(BU69, BU81), "")</f>
        <v/>
      </c>
      <c r="BV82" s="62" t="str">
        <f t="shared" ref="BV82:BW82" si="465">IF(SUM(BV69, BV81) &gt; 0, SUM(BV69, BV81), "")</f>
        <v/>
      </c>
      <c r="BW82" s="62">
        <f t="shared" si="465"/>
        <v>2</v>
      </c>
      <c r="BX82" s="62"/>
      <c r="BY82" s="63" t="str">
        <f t="shared" ref="BY82" si="466">IF(SUM(BY69, BY81) &gt; 0, SUM(BY69, BY81), "")</f>
        <v/>
      </c>
      <c r="BZ82" s="65" t="str">
        <f t="shared" ref="BZ82" si="467">IF(SUM(BZ69, BZ81) &gt; 0, SUM(BZ69, BZ81), "")</f>
        <v/>
      </c>
      <c r="CA82" s="62" t="str">
        <f t="shared" ref="CA82" si="468">IF(SUM(CA69, CA81) &gt; 0, SUM(CA69, CA81), "")</f>
        <v/>
      </c>
      <c r="CB82" s="62" t="str">
        <f t="shared" ref="CB82" si="469">IF(SUM(CB69, CB81) &gt; 0, SUM(CB69, CB81), "")</f>
        <v/>
      </c>
      <c r="CC82" s="62" t="str">
        <f t="shared" ref="CC82" si="470">IF(SUM(CC69, CC81) &gt; 0, SUM(CC69, CC81), "")</f>
        <v/>
      </c>
      <c r="CD82" s="62" t="str">
        <f t="shared" ref="CD82" si="471">IF(SUM(CD69, CD81) &gt; 0, SUM(CD69, CD81), "")</f>
        <v/>
      </c>
      <c r="CE82" s="62" t="str">
        <f t="shared" ref="CE82" si="472">IF(SUM(CE69, CE81) &gt; 0, SUM(CE69, CE81), "")</f>
        <v/>
      </c>
      <c r="CF82" s="62"/>
      <c r="CG82" s="62"/>
      <c r="CH82" s="63" t="str">
        <f t="shared" ref="CH82" si="473">IF(SUM(CH69, CH81) &gt; 0, SUM(CH69, CH81), "")</f>
        <v/>
      </c>
      <c r="CI82" s="65" t="str">
        <f t="shared" ref="CI82" si="474">IF(SUM(CI69, CI81) &gt; 0, SUM(CI69, CI81), "")</f>
        <v/>
      </c>
      <c r="CJ82" s="62" t="str">
        <f t="shared" ref="CJ82" si="475">IF(SUM(CJ69, CJ81) &gt; 0, SUM(CJ69, CJ81), "")</f>
        <v/>
      </c>
      <c r="CK82" s="62" t="str">
        <f t="shared" ref="CK82" si="476">IF(SUM(CK69, CK81) &gt; 0, SUM(CK69, CK81), "")</f>
        <v/>
      </c>
      <c r="CL82" s="62" t="str">
        <f t="shared" ref="CL82" si="477">IF(SUM(CL69, CL81) &gt; 0, SUM(CL69, CL81), "")</f>
        <v/>
      </c>
      <c r="CM82" s="62" t="str">
        <f t="shared" ref="CM82" si="478">IF(SUM(CM69, CM81) &gt; 0, SUM(CM69, CM81), "")</f>
        <v/>
      </c>
      <c r="CN82" s="62" t="str">
        <f t="shared" ref="CN82:CO82" si="479">IF(SUM(CN69, CN81) &gt; 0, SUM(CN69, CN81), "")</f>
        <v/>
      </c>
      <c r="CO82" s="62" t="str">
        <f t="shared" si="479"/>
        <v/>
      </c>
      <c r="CP82" s="62"/>
      <c r="CQ82" s="63" t="str">
        <f t="shared" ref="CQ82" si="480">IF(SUM(CQ69, CQ81) &gt; 0, SUM(CQ69, CQ81), "")</f>
        <v/>
      </c>
      <c r="CR82" s="65" t="str">
        <f t="shared" ref="CR82" si="481">IF(SUM(CR69, CR81) &gt; 0, SUM(CR69, CR81), "")</f>
        <v/>
      </c>
      <c r="CS82" s="62" t="str">
        <f t="shared" ref="CS82" si="482">IF(SUM(CS69, CS81) &gt; 0, SUM(CS69, CS81), "")</f>
        <v/>
      </c>
      <c r="CT82" s="62" t="str">
        <f t="shared" ref="CT82" si="483">IF(SUM(CT69, CT81) &gt; 0, SUM(CT69, CT81), "")</f>
        <v/>
      </c>
      <c r="CU82" s="62" t="str">
        <f t="shared" ref="CU82" si="484">IF(SUM(CU69, CU81) &gt; 0, SUM(CU69, CU81), "")</f>
        <v/>
      </c>
      <c r="CV82" s="62" t="str">
        <f t="shared" ref="CV82" si="485">IF(SUM(CV69, CV81) &gt; 0, SUM(CV69, CV81), "")</f>
        <v/>
      </c>
      <c r="CW82" s="62"/>
      <c r="CX82" s="62"/>
      <c r="CY82" s="62" t="str">
        <f t="shared" ref="CY82" si="486">IF(SUM(CY69, CY81) &gt; 0, SUM(CY69, CY81), "")</f>
        <v/>
      </c>
      <c r="CZ82" s="63" t="str">
        <f t="shared" ref="CZ82" si="487">IF(SUM(CZ69, CZ81) &gt; 0, SUM(CZ69, CZ81), "")</f>
        <v/>
      </c>
      <c r="DA82" s="65" t="str">
        <f t="shared" ref="DA82" si="488">IF(SUM(DA69, DA81) &gt; 0, SUM(DA69, DA81), "")</f>
        <v/>
      </c>
      <c r="DB82" s="62" t="str">
        <f t="shared" ref="DB82" si="489">IF(SUM(DB69, DB81) &gt; 0, SUM(DB69, DB81), "")</f>
        <v/>
      </c>
      <c r="DC82" s="62" t="str">
        <f t="shared" ref="DC82" si="490">IF(SUM(DC69, DC81) &gt; 0, SUM(DC69, DC81), "")</f>
        <v/>
      </c>
      <c r="DD82" s="62" t="str">
        <f t="shared" ref="DD82" si="491">IF(SUM(DD69, DD81) &gt; 0, SUM(DD69, DD81), "")</f>
        <v/>
      </c>
      <c r="DE82" s="62" t="str">
        <f t="shared" ref="DE82" si="492">IF(SUM(DE69, DE81) &gt; 0, SUM(DE69, DE81), "")</f>
        <v/>
      </c>
      <c r="DF82" s="62" t="str">
        <f t="shared" ref="DF82" si="493">IF(SUM(DF69, DF81) &gt; 0, SUM(DF69, DF81), "")</f>
        <v/>
      </c>
      <c r="DG82" s="62"/>
      <c r="DH82" s="62"/>
      <c r="DI82" s="63" t="str">
        <f t="shared" ref="DI82" si="494">IF(SUM(DI69, DI81) &gt; 0, SUM(DI69, DI81), "")</f>
        <v/>
      </c>
      <c r="DJ82" s="65" t="str">
        <f t="shared" ref="DJ82" si="495">IF(SUM(DJ69, DJ81) &gt; 0, SUM(DJ69, DJ81), "")</f>
        <v/>
      </c>
      <c r="DK82" s="62" t="str">
        <f t="shared" ref="DK82" si="496">IF(SUM(DK69, DK81) &gt; 0, SUM(DK69, DK81), "")</f>
        <v/>
      </c>
      <c r="DL82" s="62" t="str">
        <f t="shared" ref="DL82" si="497">IF(SUM(DL69, DL81) &gt; 0, SUM(DL69, DL81), "")</f>
        <v/>
      </c>
      <c r="DM82" s="62" t="str">
        <f t="shared" ref="DM82" si="498">IF(SUM(DM69, DM81) &gt; 0, SUM(DM69, DM81), "")</f>
        <v/>
      </c>
      <c r="DN82" s="62" t="str">
        <f t="shared" ref="DN82" si="499">IF(SUM(DN69, DN81) &gt; 0, SUM(DN69, DN81), "")</f>
        <v/>
      </c>
      <c r="DO82" s="62" t="str">
        <f t="shared" ref="DO82" si="500">IF(SUM(DO69, DO81) &gt; 0, SUM(DO69, DO81), "")</f>
        <v/>
      </c>
      <c r="DP82" s="62"/>
      <c r="DQ82" s="62"/>
      <c r="DR82" s="63" t="str">
        <f t="shared" ref="DR82" si="501">IF(SUM(DR69, DR81) &gt; 0, SUM(DR69, DR81), "")</f>
        <v/>
      </c>
      <c r="DS82" s="65" t="str">
        <f t="shared" ref="DS82" si="502">IF(SUM(DS69, DS81) &gt; 0, SUM(DS69, DS81), "")</f>
        <v/>
      </c>
      <c r="DT82" s="62">
        <f t="shared" ref="DT82" si="503">IF(SUM(DT69, DT81) &gt; 0, SUM(DT69, DT81), "")</f>
        <v>8</v>
      </c>
      <c r="DU82" s="62" t="str">
        <f t="shared" ref="DU82" si="504">IF(SUM(DU69, DU81) &gt; 0, SUM(DU69, DU81), "")</f>
        <v/>
      </c>
      <c r="DV82" s="62">
        <f t="shared" ref="DV82" si="505">IF(SUM(DV69, DV81) &gt; 0, SUM(DV69, DV81), "")</f>
        <v>7</v>
      </c>
      <c r="DW82" s="62">
        <f t="shared" ref="DW82" si="506">IF(SUM(DW69, DW81) &gt; 0, SUM(DW69, DW81), "")</f>
        <v>6</v>
      </c>
      <c r="DX82" s="62"/>
      <c r="DY82" s="62"/>
      <c r="DZ82" s="62" t="str">
        <f t="shared" ref="DZ82" si="507">IF(SUM(DZ69, DZ81) &gt; 0, SUM(DZ69, DZ81), "")</f>
        <v/>
      </c>
      <c r="EA82" s="63" t="str">
        <f t="shared" ref="EA82" si="508">IF(SUM(EA69, EA81) &gt; 0, SUM(EA69, EA81), "")</f>
        <v/>
      </c>
      <c r="EB82" s="65" t="str">
        <f t="shared" ref="EB82" si="509">IF(SUM(EB69, EB81) &gt; 0, SUM(EB69, EB81), "")</f>
        <v/>
      </c>
      <c r="EC82" s="62">
        <f t="shared" ref="EC82" si="510">IF(SUM(EC69, EC81) &gt; 0, SUM(EC69, EC81), "")</f>
        <v>7</v>
      </c>
      <c r="ED82" s="62" t="str">
        <f t="shared" ref="ED82" si="511">IF(SUM(ED69, ED81) &gt; 0, SUM(ED69, ED81), "")</f>
        <v/>
      </c>
      <c r="EE82" s="62">
        <f t="shared" ref="EE82" si="512">IF(SUM(EE69, EE81) &gt; 0, SUM(EE69, EE81), "")</f>
        <v>6</v>
      </c>
      <c r="EF82" s="62">
        <f t="shared" ref="EF82" si="513">IF(SUM(EF69, EF81) &gt; 0, SUM(EF69, EF81), "")</f>
        <v>4</v>
      </c>
      <c r="EG82" s="62"/>
      <c r="EH82" s="62"/>
      <c r="EI82" s="62" t="str">
        <f t="shared" ref="EI82" si="514">IF(SUM(EI69, EI81) &gt; 0, SUM(EI69, EI81), "")</f>
        <v/>
      </c>
      <c r="EJ82" s="63" t="str">
        <f t="shared" ref="EJ82" si="515">IF(SUM(EJ69, EJ81) &gt; 0, SUM(EJ69, EJ81), "")</f>
        <v/>
      </c>
      <c r="EK82" s="65" t="str">
        <f t="shared" ref="EK82" si="516">IF(SUM(EK69, EK81) &gt; 0, SUM(EK69, EK81), "")</f>
        <v/>
      </c>
      <c r="EL82" s="62">
        <f t="shared" ref="EL82" si="517">IF(SUM(EL69, EL81) &gt; 0, SUM(EL69, EL81), "")</f>
        <v>7</v>
      </c>
      <c r="EM82" s="62" t="str">
        <f t="shared" ref="EM82" si="518">IF(SUM(EM69, EM81) &gt; 0, SUM(EM69, EM81), "")</f>
        <v/>
      </c>
      <c r="EN82" s="62">
        <f t="shared" ref="EN82" si="519">IF(SUM(EN69, EN81) &gt; 0, SUM(EN69, EN81), "")</f>
        <v>8</v>
      </c>
      <c r="EO82" s="62">
        <f t="shared" ref="EO82" si="520">IF(SUM(EO69, EO81) &gt; 0, SUM(EO69, EO81), "")</f>
        <v>7</v>
      </c>
      <c r="EP82" s="62" t="str">
        <f t="shared" ref="EP82" si="521">IF(SUM(EP69, EP81) &gt; 0, SUM(EP69, EP81), "")</f>
        <v/>
      </c>
      <c r="EQ82" s="62"/>
      <c r="ER82" s="62"/>
      <c r="ES82" s="63" t="str">
        <f t="shared" ref="ES82" si="522">IF(SUM(ES69, ES81) &gt; 0, SUM(ES69, ES81), "")</f>
        <v/>
      </c>
      <c r="ET82" s="65" t="str">
        <f t="shared" ref="ET82" si="523">IF(SUM(ET69, ET81) &gt; 0, SUM(ET69, ET81), "")</f>
        <v/>
      </c>
      <c r="EU82" s="62">
        <f t="shared" ref="EU82" si="524">IF(SUM(EU69, EU81) &gt; 0, SUM(EU69, EU81), "")</f>
        <v>10</v>
      </c>
      <c r="EV82" s="62" t="str">
        <f t="shared" ref="EV82" si="525">IF(SUM(EV69, EV81) &gt; 0, SUM(EV69, EV81), "")</f>
        <v/>
      </c>
      <c r="EW82" s="62">
        <f t="shared" ref="EW82" si="526">IF(SUM(EW69, EW81) &gt; 0, SUM(EW69, EW81), "")</f>
        <v>5</v>
      </c>
      <c r="EX82" s="62">
        <f t="shared" ref="EX82" si="527">IF(SUM(EX69, EX81) &gt; 0, SUM(EX69, EX81), "")</f>
        <v>6</v>
      </c>
      <c r="EY82" s="62" t="str">
        <f t="shared" ref="EY82" si="528">IF(SUM(EY69, EY81) &gt; 0, SUM(EY69, EY81), "")</f>
        <v/>
      </c>
      <c r="EZ82" s="62"/>
      <c r="FA82" s="62"/>
      <c r="FB82" s="63" t="str">
        <f t="shared" ref="FB82" si="529">IF(SUM(FB69, FB81) &gt; 0, SUM(FB69, FB81), "")</f>
        <v/>
      </c>
      <c r="FC82" s="65" t="str">
        <f t="shared" ref="FC82" si="530">IF(SUM(FC69, FC81) &gt; 0, SUM(FC69, FC81), "")</f>
        <v/>
      </c>
      <c r="FD82" s="62">
        <f t="shared" ref="FD82" si="531">IF(SUM(FD69, FD81) &gt; 0, SUM(FD69, FD81), "")</f>
        <v>9</v>
      </c>
      <c r="FE82" s="62" t="str">
        <f t="shared" ref="FE82" si="532">IF(SUM(FE69, FE81) &gt; 0, SUM(FE69, FE81), "")</f>
        <v/>
      </c>
      <c r="FF82" s="62">
        <f t="shared" ref="FF82" si="533">IF(SUM(FF69, FF81) &gt; 0, SUM(FF69, FF81), "")</f>
        <v>8</v>
      </c>
      <c r="FG82" s="62">
        <f t="shared" ref="FG82" si="534">IF(SUM(FG69, FG81) &gt; 0, SUM(FG69, FG81), "")</f>
        <v>6</v>
      </c>
      <c r="FH82" s="62" t="str">
        <f t="shared" ref="FH82" si="535">IF(SUM(FH69, FH81) &gt; 0, SUM(FH69, FH81), "")</f>
        <v/>
      </c>
      <c r="FI82" s="62"/>
      <c r="FJ82" s="62"/>
      <c r="FK82" s="63" t="str">
        <f t="shared" ref="FK82" si="536">IF(SUM(FK69, FK81) &gt; 0, SUM(FK69, FK81), "")</f>
        <v/>
      </c>
      <c r="FL82" s="65" t="str">
        <f t="shared" ref="FL82" si="537">IF(SUM(FL69, FL81) &gt; 0, SUM(FL69, FL81), "")</f>
        <v/>
      </c>
      <c r="FM82" s="62">
        <f t="shared" ref="FM82" si="538">IF(SUM(FM69, FM81) &gt; 0, SUM(FM69, FM81), "")</f>
        <v>6</v>
      </c>
      <c r="FN82" s="62" t="str">
        <f t="shared" ref="FN82" si="539">IF(SUM(FN69, FN81) &gt; 0, SUM(FN69, FN81), "")</f>
        <v/>
      </c>
      <c r="FO82" s="62">
        <f t="shared" ref="FO82" si="540">IF(SUM(FO69, FO81) &gt; 0, SUM(FO69, FO81), "")</f>
        <v>7</v>
      </c>
      <c r="FP82" s="62">
        <f t="shared" ref="FP82" si="541">IF(SUM(FP69, FP81) &gt; 0, SUM(FP69, FP81), "")</f>
        <v>8</v>
      </c>
      <c r="FQ82" s="62" t="str">
        <f t="shared" ref="FQ82" si="542">IF(SUM(FQ69, FQ81) &gt; 0, SUM(FQ69, FQ81), "")</f>
        <v/>
      </c>
      <c r="FR82" s="62"/>
      <c r="FS82" s="62"/>
      <c r="FT82" s="63" t="str">
        <f t="shared" ref="FT82" si="543">IF(SUM(FT69, FT81) &gt; 0, SUM(FT69, FT81), "")</f>
        <v/>
      </c>
      <c r="FU82" s="65" t="str">
        <f t="shared" ref="FU82" si="544">IF(SUM(FU69, FU81) &gt; 0, SUM(FU69, FU81), "")</f>
        <v/>
      </c>
      <c r="FV82" s="62" t="str">
        <f t="shared" ref="FV82" si="545">IF(SUM(FV69, FV81) &gt; 0, SUM(FV69, FV81), "")</f>
        <v/>
      </c>
      <c r="FW82" s="62" t="str">
        <f t="shared" ref="FW82" si="546">IF(SUM(FW69, FW81) &gt; 0, SUM(FW69, FW81), "")</f>
        <v/>
      </c>
      <c r="FX82" s="62" t="str">
        <f t="shared" ref="FX82" si="547">IF(SUM(FX69, FX81) &gt; 0, SUM(FX69, FX81), "")</f>
        <v/>
      </c>
      <c r="FY82" s="62" t="str">
        <f t="shared" ref="FY82" si="548">IF(SUM(FY69, FY81) &gt; 0, SUM(FY69, FY81), "")</f>
        <v/>
      </c>
      <c r="FZ82" s="62" t="str">
        <f t="shared" ref="FZ82" si="549">IF(SUM(FZ69, FZ81) &gt; 0, SUM(FZ69, FZ81), "")</f>
        <v/>
      </c>
      <c r="GA82" s="63" t="str">
        <f t="shared" ref="GA82" si="550">IF(SUM(GA69, GA81) &gt; 0, SUM(GA69, GA81), "")</f>
        <v/>
      </c>
      <c r="GB82" s="65" t="str">
        <f t="shared" ref="GB82" si="551">IF(SUM(GB69, GB81) &gt; 0, SUM(GB69, GB81), "")</f>
        <v/>
      </c>
      <c r="GC82" s="62" t="str">
        <f t="shared" ref="GC82" si="552">IF(SUM(GC69, GC81) &gt; 0, SUM(GC69, GC81), "")</f>
        <v/>
      </c>
      <c r="GD82" s="62" t="str">
        <f t="shared" ref="GD82" si="553">IF(SUM(GD69, GD81) &gt; 0, SUM(GD69, GD81), "")</f>
        <v/>
      </c>
      <c r="GE82" s="62" t="str">
        <f t="shared" ref="GE82" si="554">IF(SUM(GE69, GE81) &gt; 0, SUM(GE69, GE81), "")</f>
        <v/>
      </c>
      <c r="GF82" s="62" t="str">
        <f t="shared" ref="GF82" si="555">IF(SUM(GF69, GF81) &gt; 0, SUM(GF69, GF81), "")</f>
        <v/>
      </c>
      <c r="GG82" s="62" t="str">
        <f t="shared" ref="GG82" si="556">IF(SUM(GG69, GG81) &gt; 0, SUM(GG69, GG81), "")</f>
        <v/>
      </c>
      <c r="GH82" s="63" t="str">
        <f t="shared" ref="GH82" si="557">IF(SUM(GH69, GH81) &gt; 0, SUM(GH69, GH81), "")</f>
        <v/>
      </c>
      <c r="GI82" s="65" t="str">
        <f t="shared" ref="GI82" si="558">IF(SUM(GI69, GI81) &gt; 0, SUM(GI69, GI81), "")</f>
        <v/>
      </c>
      <c r="GJ82" s="62" t="str">
        <f t="shared" ref="GJ82" si="559">IF(SUM(GJ69, GJ81) &gt; 0, SUM(GJ69, GJ81), "")</f>
        <v/>
      </c>
      <c r="GK82" s="62" t="str">
        <f t="shared" ref="GK82" si="560">IF(SUM(GK69, GK81) &gt; 0, SUM(GK69, GK81), "")</f>
        <v/>
      </c>
      <c r="GL82" s="62" t="str">
        <f t="shared" ref="GL82" si="561">IF(SUM(GL69, GL81) &gt; 0, SUM(GL69, GL81), "")</f>
        <v/>
      </c>
      <c r="GM82" s="62" t="str">
        <f t="shared" ref="GM82" si="562">IF(SUM(GM69, GM81) &gt; 0, SUM(GM69, GM81), "")</f>
        <v/>
      </c>
      <c r="GN82" s="62" t="str">
        <f t="shared" ref="GN82" si="563">IF(SUM(GN69, GN81) &gt; 0, SUM(GN69, GN81), "")</f>
        <v/>
      </c>
      <c r="GO82" s="63" t="str">
        <f t="shared" ref="GO82" si="564">IF(SUM(GO69, GO81) &gt; 0, SUM(GO69, GO81), "")</f>
        <v/>
      </c>
      <c r="GP82" s="65" t="str">
        <f t="shared" ref="GP82" si="565">IF(SUM(GP69, GP81) &gt; 0, SUM(GP69, GP81), "")</f>
        <v/>
      </c>
      <c r="GQ82" s="62" t="str">
        <f t="shared" ref="GQ82" si="566">IF(SUM(GQ69, GQ81) &gt; 0, SUM(GQ69, GQ81), "")</f>
        <v/>
      </c>
      <c r="GR82" s="62" t="str">
        <f t="shared" ref="GR82" si="567">IF(SUM(GR69, GR81) &gt; 0, SUM(GR69, GR81), "")</f>
        <v/>
      </c>
      <c r="GS82" s="62" t="str">
        <f t="shared" ref="GS82" si="568">IF(SUM(GS69, GS81) &gt; 0, SUM(GS69, GS81), "")</f>
        <v/>
      </c>
      <c r="GT82" s="62" t="str">
        <f t="shared" ref="GT82" si="569">IF(SUM(GT69, GT81) &gt; 0, SUM(GT69, GT81), "")</f>
        <v/>
      </c>
      <c r="GU82" s="62" t="str">
        <f t="shared" ref="GU82" si="570">IF(SUM(GU69, GU81) &gt; 0, SUM(GU69, GU81), "")</f>
        <v/>
      </c>
      <c r="GV82" s="63" t="str">
        <f t="shared" ref="GV82" si="571">IF(SUM(GV69, GV81) &gt; 0, SUM(GV69, GV81), "")</f>
        <v/>
      </c>
      <c r="GW82" s="65" t="str">
        <f t="shared" ref="GW82" si="572">IF(SUM(GW69, GW81) &gt; 0, SUM(GW69, GW81), "")</f>
        <v/>
      </c>
      <c r="GX82" s="62" t="str">
        <f t="shared" ref="GX82" si="573">IF(SUM(GX69, GX81) &gt; 0, SUM(GX69, GX81), "")</f>
        <v/>
      </c>
      <c r="GY82" s="62" t="str">
        <f t="shared" ref="GY82" si="574">IF(SUM(GY69, GY81) &gt; 0, SUM(GY69, GY81), "")</f>
        <v/>
      </c>
      <c r="GZ82" s="62" t="str">
        <f t="shared" ref="GZ82" si="575">IF(SUM(GZ69, GZ81) &gt; 0, SUM(GZ69, GZ81), "")</f>
        <v/>
      </c>
      <c r="HA82" s="62" t="str">
        <f t="shared" ref="HA82" si="576">IF(SUM(HA69, HA81) &gt; 0, SUM(HA69, HA81), "")</f>
        <v/>
      </c>
      <c r="HB82" s="62" t="str">
        <f t="shared" ref="HB82" si="577">IF(SUM(HB69, HB81) &gt; 0, SUM(HB69, HB81), "")</f>
        <v/>
      </c>
      <c r="HC82" s="63" t="str">
        <f t="shared" ref="HC82" si="578">IF(SUM(HC69, HC81) &gt; 0, SUM(HC69, HC81), "")</f>
        <v/>
      </c>
      <c r="HD82" s="65" t="str">
        <f t="shared" ref="HD82" si="579">IF(SUM(HD69, HD81) &gt; 0, SUM(HD69, HD81), "")</f>
        <v/>
      </c>
      <c r="HE82" s="62" t="str">
        <f t="shared" ref="HE82" si="580">IF(SUM(HE69, HE81) &gt; 0, SUM(HE69, HE81), "")</f>
        <v/>
      </c>
      <c r="HF82" s="62" t="str">
        <f t="shared" ref="HF82" si="581">IF(SUM(HF69, HF81) &gt; 0, SUM(HF69, HF81), "")</f>
        <v/>
      </c>
      <c r="HG82" s="62" t="str">
        <f t="shared" ref="HG82" si="582">IF(SUM(HG69, HG81) &gt; 0, SUM(HG69, HG81), "")</f>
        <v/>
      </c>
      <c r="HH82" s="62" t="str">
        <f t="shared" ref="HH82" si="583">IF(SUM(HH69, HH81) &gt; 0, SUM(HH69, HH81), "")</f>
        <v/>
      </c>
      <c r="HI82" s="62" t="str">
        <f t="shared" ref="HI82" si="584">IF(SUM(HI69, HI81) &gt; 0, SUM(HI69, HI81), "")</f>
        <v/>
      </c>
      <c r="HJ82" s="63" t="str">
        <f t="shared" ref="HJ82" si="585">IF(SUM(HJ69, HJ81) &gt; 0, SUM(HJ69, HJ81), "")</f>
        <v/>
      </c>
      <c r="HK82" s="65" t="str">
        <f t="shared" ref="HK82" si="586">IF(SUM(HK69, HK81) &gt; 0, SUM(HK69, HK81), "")</f>
        <v/>
      </c>
      <c r="HL82" s="62" t="str">
        <f t="shared" ref="HL82" si="587">IF(SUM(HL69, HL81) &gt; 0, SUM(HL69, HL81), "")</f>
        <v/>
      </c>
      <c r="HM82" s="62" t="str">
        <f t="shared" ref="HM82" si="588">IF(SUM(HM69, HM81) &gt; 0, SUM(HM69, HM81), "")</f>
        <v/>
      </c>
      <c r="HN82" s="62" t="str">
        <f t="shared" ref="HN82" si="589">IF(SUM(HN69, HN81) &gt; 0, SUM(HN69, HN81), "")</f>
        <v/>
      </c>
      <c r="HO82" s="62" t="str">
        <f t="shared" ref="HO82" si="590">IF(SUM(HO69, HO81) &gt; 0, SUM(HO69, HO81), "")</f>
        <v/>
      </c>
      <c r="HP82" s="62" t="str">
        <f t="shared" ref="HP82" si="591">IF(SUM(HP69, HP81) &gt; 0, SUM(HP69, HP81), "")</f>
        <v/>
      </c>
      <c r="HQ82" s="63" t="str">
        <f t="shared" ref="HQ82" si="592">IF(SUM(HQ69, HQ81) &gt; 0, SUM(HQ69, HQ81), "")</f>
        <v/>
      </c>
      <c r="HR82" s="65" t="str">
        <f t="shared" ref="HR82" si="593">IF(SUM(HR69, HR81) &gt; 0, SUM(HR69, HR81), "")</f>
        <v/>
      </c>
      <c r="HS82" s="62" t="str">
        <f t="shared" ref="HS82" si="594">IF(SUM(HS69, HS81) &gt; 0, SUM(HS69, HS81), "")</f>
        <v/>
      </c>
      <c r="HT82" s="62" t="str">
        <f t="shared" ref="HT82" si="595">IF(SUM(HT69, HT81) &gt; 0, SUM(HT69, HT81), "")</f>
        <v/>
      </c>
      <c r="HU82" s="62" t="str">
        <f t="shared" ref="HU82" si="596">IF(SUM(HU69, HU81) &gt; 0, SUM(HU69, HU81), "")</f>
        <v/>
      </c>
      <c r="HV82" s="62" t="str">
        <f t="shared" ref="HV82" si="597">IF(SUM(HV69, HV81) &gt; 0, SUM(HV69, HV81), "")</f>
        <v/>
      </c>
      <c r="HW82" s="62" t="str">
        <f t="shared" ref="HW82" si="598">IF(SUM(HW69, HW81) &gt; 0, SUM(HW69, HW81), "")</f>
        <v/>
      </c>
      <c r="HX82" s="63" t="str">
        <f t="shared" ref="HX82" si="599">IF(SUM(HX69, HX81) &gt; 0, SUM(HX69, HX81), "")</f>
        <v/>
      </c>
      <c r="HY82" s="65" t="str">
        <f t="shared" ref="HY82" si="600">IF(SUM(HY69, HY81) &gt; 0, SUM(HY69, HY81), "")</f>
        <v/>
      </c>
      <c r="HZ82" s="62" t="str">
        <f t="shared" ref="HZ82" si="601">IF(SUM(HZ69, HZ81) &gt; 0, SUM(HZ69, HZ81), "")</f>
        <v/>
      </c>
      <c r="IA82" s="62" t="str">
        <f t="shared" ref="IA82" si="602">IF(SUM(IA69, IA81) &gt; 0, SUM(IA69, IA81), "")</f>
        <v/>
      </c>
      <c r="IB82" s="62" t="str">
        <f t="shared" ref="IB82" si="603">IF(SUM(IB69, IB81) &gt; 0, SUM(IB69, IB81), "")</f>
        <v/>
      </c>
      <c r="IC82" s="62" t="str">
        <f t="shared" ref="IC82" si="604">IF(SUM(IC69, IC81) &gt; 0, SUM(IC69, IC81), "")</f>
        <v/>
      </c>
      <c r="ID82" s="62" t="str">
        <f t="shared" ref="ID82" si="605">IF(SUM(ID69, ID81) &gt; 0, SUM(ID69, ID81), "")</f>
        <v/>
      </c>
      <c r="IE82" s="63" t="str">
        <f t="shared" ref="IE82" si="606">IF(SUM(IE69, IE81) &gt; 0, SUM(IE69, IE81), "")</f>
        <v/>
      </c>
      <c r="IF82" s="65" t="str">
        <f t="shared" ref="IF82" si="607">IF(SUM(IF69, IF81) &gt; 0, SUM(IF69, IF81), "")</f>
        <v/>
      </c>
      <c r="IG82" s="62" t="str">
        <f t="shared" ref="IG82" si="608">IF(SUM(IG69, IG81) &gt; 0, SUM(IG69, IG81), "")</f>
        <v/>
      </c>
      <c r="IH82" s="62" t="str">
        <f t="shared" ref="IH82" si="609">IF(SUM(IH69, IH81) &gt; 0, SUM(IH69, IH81), "")</f>
        <v/>
      </c>
      <c r="II82" s="62" t="str">
        <f t="shared" ref="II82" si="610">IF(SUM(II69, II81) &gt; 0, SUM(II69, II81), "")</f>
        <v/>
      </c>
      <c r="IJ82" s="62" t="str">
        <f t="shared" ref="IJ82" si="611">IF(SUM(IJ69, IJ81) &gt; 0, SUM(IJ69, IJ81), "")</f>
        <v/>
      </c>
      <c r="IK82" s="62" t="str">
        <f t="shared" ref="IK82" si="612">IF(SUM(IK69, IK81) &gt; 0, SUM(IK69, IK81), "")</f>
        <v/>
      </c>
      <c r="IL82" s="63" t="str">
        <f t="shared" ref="IL82" si="613">IF(SUM(IL69, IL81) &gt; 0, SUM(IL69, IL81), "")</f>
        <v/>
      </c>
      <c r="IM82" s="65" t="str">
        <f t="shared" ref="IM82" si="614">IF(SUM(IM69, IM81) &gt; 0, SUM(IM69, IM81), "")</f>
        <v/>
      </c>
      <c r="IN82" s="62" t="str">
        <f t="shared" ref="IN82" si="615">IF(SUM(IN69, IN81) &gt; 0, SUM(IN69, IN81), "")</f>
        <v/>
      </c>
      <c r="IO82" s="62" t="str">
        <f t="shared" ref="IO82" si="616">IF(SUM(IO69, IO81) &gt; 0, SUM(IO69, IO81), "")</f>
        <v/>
      </c>
      <c r="IP82" s="62" t="str">
        <f t="shared" ref="IP82" si="617">IF(SUM(IP69, IP81) &gt; 0, SUM(IP69, IP81), "")</f>
        <v/>
      </c>
      <c r="IQ82" s="62" t="str">
        <f t="shared" ref="IQ82" si="618">IF(SUM(IQ69, IQ81) &gt; 0, SUM(IQ69, IQ81), "")</f>
        <v/>
      </c>
      <c r="IR82" s="62" t="str">
        <f t="shared" ref="IR82" si="619">IF(SUM(IR69, IR81) &gt; 0, SUM(IR69, IR81), "")</f>
        <v/>
      </c>
      <c r="IS82" s="63" t="str">
        <f t="shared" ref="IS82" si="620">IF(SUM(IS69, IS81) &gt; 0, SUM(IS69, IS81), "")</f>
        <v/>
      </c>
      <c r="IT82" s="65" t="str">
        <f t="shared" ref="IT82" si="621">IF(SUM(IT69, IT81) &gt; 0, SUM(IT69, IT81), "")</f>
        <v/>
      </c>
      <c r="IU82" s="62" t="str">
        <f t="shared" ref="IU82" si="622">IF(SUM(IU69, IU81) &gt; 0, SUM(IU69, IU81), "")</f>
        <v/>
      </c>
      <c r="IV82" s="62" t="str">
        <f t="shared" ref="IV82" si="623">IF(SUM(IV69, IV81) &gt; 0, SUM(IV69, IV81), "")</f>
        <v/>
      </c>
      <c r="IW82" s="62" t="str">
        <f t="shared" ref="IW82" si="624">IF(SUM(IW69, IW81) &gt; 0, SUM(IW69, IW81), "")</f>
        <v/>
      </c>
      <c r="IX82" s="62" t="str">
        <f t="shared" ref="IX82" si="625">IF(SUM(IX69, IX81) &gt; 0, SUM(IX69, IX81), "")</f>
        <v/>
      </c>
      <c r="IY82" s="62" t="str">
        <f t="shared" ref="IY82" si="626">IF(SUM(IY69, IY81) &gt; 0, SUM(IY69, IY81), "")</f>
        <v/>
      </c>
      <c r="IZ82" s="63" t="str">
        <f t="shared" ref="IZ82" si="627">IF(SUM(IZ69, IZ81) &gt; 0, SUM(IZ69, IZ81), "")</f>
        <v/>
      </c>
      <c r="JA82" s="65" t="str">
        <f t="shared" ref="JA82" si="628">IF(SUM(JA69, JA81) &gt; 0, SUM(JA69, JA81), "")</f>
        <v/>
      </c>
      <c r="JB82" s="62" t="str">
        <f t="shared" ref="JB82" si="629">IF(SUM(JB69, JB81) &gt; 0, SUM(JB69, JB81), "")</f>
        <v/>
      </c>
      <c r="JC82" s="62" t="str">
        <f t="shared" ref="JC82" si="630">IF(SUM(JC69, JC81) &gt; 0, SUM(JC69, JC81), "")</f>
        <v/>
      </c>
      <c r="JD82" s="62" t="str">
        <f t="shared" ref="JD82" si="631">IF(SUM(JD69, JD81) &gt; 0, SUM(JD69, JD81), "")</f>
        <v/>
      </c>
      <c r="JE82" s="62" t="str">
        <f t="shared" ref="JE82" si="632">IF(SUM(JE69, JE81) &gt; 0, SUM(JE69, JE81), "")</f>
        <v/>
      </c>
      <c r="JF82" s="62" t="str">
        <f t="shared" ref="JF82" si="633">IF(SUM(JF69, JF81) &gt; 0, SUM(JF69, JF81), "")</f>
        <v/>
      </c>
      <c r="JG82" s="63" t="str">
        <f t="shared" ref="JG82" si="634">IF(SUM(JG69, JG81) &gt; 0, SUM(JG69, JG81), "")</f>
        <v/>
      </c>
      <c r="JH82" s="65" t="str">
        <f t="shared" ref="JH82" si="635">IF(SUM(JH69, JH81) &gt; 0, SUM(JH69, JH81), "")</f>
        <v/>
      </c>
      <c r="JI82" s="62" t="str">
        <f t="shared" ref="JI82" si="636">IF(SUM(JI69, JI81) &gt; 0, SUM(JI69, JI81), "")</f>
        <v/>
      </c>
      <c r="JJ82" s="62" t="str">
        <f t="shared" ref="JJ82" si="637">IF(SUM(JJ69, JJ81) &gt; 0, SUM(JJ69, JJ81), "")</f>
        <v/>
      </c>
      <c r="JK82" s="62" t="str">
        <f t="shared" ref="JK82" si="638">IF(SUM(JK69, JK81) &gt; 0, SUM(JK69, JK81), "")</f>
        <v/>
      </c>
      <c r="JL82" s="62" t="str">
        <f t="shared" ref="JL82" si="639">IF(SUM(JL69, JL81) &gt; 0, SUM(JL69, JL81), "")</f>
        <v/>
      </c>
      <c r="JM82" s="62" t="str">
        <f t="shared" ref="JM82" si="640">IF(SUM(JM69, JM81) &gt; 0, SUM(JM69, JM81), "")</f>
        <v/>
      </c>
      <c r="JN82" s="63" t="str">
        <f t="shared" ref="JN82" si="641">IF(SUM(JN69, JN81) &gt; 0, SUM(JN69, JN81), "")</f>
        <v/>
      </c>
      <c r="JO82" s="65" t="str">
        <f t="shared" ref="JO82" si="642">IF(SUM(JO69, JO81) &gt; 0, SUM(JO69, JO81), "")</f>
        <v/>
      </c>
      <c r="JP82" s="62" t="str">
        <f t="shared" ref="JP82" si="643">IF(SUM(JP69, JP81) &gt; 0, SUM(JP69, JP81), "")</f>
        <v/>
      </c>
      <c r="JQ82" s="62" t="str">
        <f t="shared" ref="JQ82" si="644">IF(SUM(JQ69, JQ81) &gt; 0, SUM(JQ69, JQ81), "")</f>
        <v/>
      </c>
      <c r="JR82" s="62" t="str">
        <f t="shared" ref="JR82" si="645">IF(SUM(JR69, JR81) &gt; 0, SUM(JR69, JR81), "")</f>
        <v/>
      </c>
      <c r="JS82" s="62" t="str">
        <f t="shared" ref="JS82" si="646">IF(SUM(JS69, JS81) &gt; 0, SUM(JS69, JS81), "")</f>
        <v/>
      </c>
      <c r="JT82" s="62" t="str">
        <f t="shared" ref="JT82" si="647">IF(SUM(JT69, JT81) &gt; 0, SUM(JT69, JT81), "")</f>
        <v/>
      </c>
      <c r="JU82" s="63" t="str">
        <f t="shared" ref="JU82" si="648">IF(SUM(JU69, JU81) &gt; 0, SUM(JU69, JU81), "")</f>
        <v/>
      </c>
      <c r="JV82" s="65" t="str">
        <f t="shared" ref="JV82" si="649">IF(SUM(JV69, JV81) &gt; 0, SUM(JV69, JV81), "")</f>
        <v/>
      </c>
      <c r="JW82" s="62" t="str">
        <f t="shared" ref="JW82" si="650">IF(SUM(JW69, JW81) &gt; 0, SUM(JW69, JW81), "")</f>
        <v/>
      </c>
      <c r="JX82" s="62" t="str">
        <f t="shared" ref="JX82" si="651">IF(SUM(JX69, JX81) &gt; 0, SUM(JX69, JX81), "")</f>
        <v/>
      </c>
      <c r="JY82" s="62" t="str">
        <f t="shared" ref="JY82" si="652">IF(SUM(JY69, JY81) &gt; 0, SUM(JY69, JY81), "")</f>
        <v/>
      </c>
      <c r="JZ82" s="62" t="str">
        <f t="shared" ref="JZ82" si="653">IF(SUM(JZ69, JZ81) &gt; 0, SUM(JZ69, JZ81), "")</f>
        <v/>
      </c>
      <c r="KA82" s="62" t="str">
        <f t="shared" ref="KA82" si="654">IF(SUM(KA69, KA81) &gt; 0, SUM(KA69, KA81), "")</f>
        <v/>
      </c>
      <c r="KB82" s="63" t="str">
        <f t="shared" ref="KB82" si="655">IF(SUM(KB69, KB81) &gt; 0, SUM(KB69, KB81), "")</f>
        <v/>
      </c>
      <c r="KC82" s="65" t="str">
        <f t="shared" ref="KC82" si="656">IF(SUM(KC69, KC81) &gt; 0, SUM(KC69, KC81), "")</f>
        <v/>
      </c>
      <c r="KD82" s="62" t="str">
        <f t="shared" ref="KD82" si="657">IF(SUM(KD69, KD81) &gt; 0, SUM(KD69, KD81), "")</f>
        <v/>
      </c>
      <c r="KE82" s="62" t="str">
        <f t="shared" ref="KE82" si="658">IF(SUM(KE69, KE81) &gt; 0, SUM(KE69, KE81), "")</f>
        <v/>
      </c>
      <c r="KF82" s="62" t="str">
        <f t="shared" ref="KF82" si="659">IF(SUM(KF69, KF81) &gt; 0, SUM(KF69, KF81), "")</f>
        <v/>
      </c>
      <c r="KG82" s="62" t="str">
        <f t="shared" ref="KG82" si="660">IF(SUM(KG69, KG81) &gt; 0, SUM(KG69, KG81), "")</f>
        <v/>
      </c>
      <c r="KH82" s="62" t="str">
        <f t="shared" ref="KH82" si="661">IF(SUM(KH69, KH81) &gt; 0, SUM(KH69, KH81), "")</f>
        <v/>
      </c>
      <c r="KI82" s="63" t="str">
        <f t="shared" ref="KI82" si="662">IF(SUM(KI69, KI81) &gt; 0, SUM(KI69, KI81), "")</f>
        <v/>
      </c>
      <c r="KJ82" s="65" t="str">
        <f t="shared" ref="KJ82" si="663">IF(SUM(KJ69, KJ81) &gt; 0, SUM(KJ69, KJ81), "")</f>
        <v/>
      </c>
      <c r="KK82" s="62" t="str">
        <f t="shared" ref="KK82" si="664">IF(SUM(KK69, KK81) &gt; 0, SUM(KK69, KK81), "")</f>
        <v/>
      </c>
      <c r="KL82" s="62" t="str">
        <f t="shared" ref="KL82" si="665">IF(SUM(KL69, KL81) &gt; 0, SUM(KL69, KL81), "")</f>
        <v/>
      </c>
      <c r="KM82" s="62" t="str">
        <f t="shared" ref="KM82" si="666">IF(SUM(KM69, KM81) &gt; 0, SUM(KM69, KM81), "")</f>
        <v/>
      </c>
      <c r="KN82" s="62" t="str">
        <f t="shared" ref="KN82" si="667">IF(SUM(KN69, KN81) &gt; 0, SUM(KN69, KN81), "")</f>
        <v/>
      </c>
      <c r="KO82" s="62" t="str">
        <f t="shared" ref="KO82" si="668">IF(SUM(KO69, KO81) &gt; 0, SUM(KO69, KO81), "")</f>
        <v/>
      </c>
      <c r="KP82" s="63" t="str">
        <f t="shared" ref="KP82" si="669">IF(SUM(KP69, KP81) &gt; 0, SUM(KP69, KP81), "")</f>
        <v/>
      </c>
      <c r="KQ82" s="65" t="str">
        <f t="shared" ref="KQ82" si="670">IF(SUM(KQ69, KQ81) &gt; 0, SUM(KQ69, KQ81), "")</f>
        <v/>
      </c>
      <c r="KR82" s="62" t="str">
        <f t="shared" ref="KR82" si="671">IF(SUM(KR69, KR81) &gt; 0, SUM(KR69, KR81), "")</f>
        <v/>
      </c>
      <c r="KS82" s="62" t="str">
        <f t="shared" ref="KS82" si="672">IF(SUM(KS69, KS81) &gt; 0, SUM(KS69, KS81), "")</f>
        <v/>
      </c>
      <c r="KT82" s="62" t="str">
        <f t="shared" ref="KT82" si="673">IF(SUM(KT69, KT81) &gt; 0, SUM(KT69, KT81), "")</f>
        <v/>
      </c>
      <c r="KU82" s="62" t="str">
        <f t="shared" ref="KU82" si="674">IF(SUM(KU69, KU81) &gt; 0, SUM(KU69, KU81), "")</f>
        <v/>
      </c>
      <c r="KV82" s="62" t="str">
        <f t="shared" ref="KV82" si="675">IF(SUM(KV69, KV81) &gt; 0, SUM(KV69, KV81), "")</f>
        <v/>
      </c>
      <c r="KW82" s="63" t="str">
        <f t="shared" ref="KW82" si="676">IF(SUM(KW69, KW81) &gt; 0, SUM(KW69, KW81), "")</f>
        <v/>
      </c>
      <c r="KX82" s="65" t="str">
        <f t="shared" ref="KX82" si="677">IF(SUM(KX69, KX81) &gt; 0, SUM(KX69, KX81), "")</f>
        <v/>
      </c>
      <c r="KY82" s="62" t="str">
        <f t="shared" ref="KY82" si="678">IF(SUM(KY69, KY81) &gt; 0, SUM(KY69, KY81), "")</f>
        <v/>
      </c>
      <c r="KZ82" s="62" t="str">
        <f t="shared" ref="KZ82" si="679">IF(SUM(KZ69, KZ81) &gt; 0, SUM(KZ69, KZ81), "")</f>
        <v/>
      </c>
      <c r="LA82" s="62" t="str">
        <f t="shared" ref="LA82" si="680">IF(SUM(LA69, LA81) &gt; 0, SUM(LA69, LA81), "")</f>
        <v/>
      </c>
      <c r="LB82" s="62" t="str">
        <f t="shared" ref="LB82" si="681">IF(SUM(LB69, LB81) &gt; 0, SUM(LB69, LB81), "")</f>
        <v/>
      </c>
      <c r="LC82" s="62" t="str">
        <f t="shared" ref="LC82" si="682">IF(SUM(LC69, LC81) &gt; 0, SUM(LC69, LC81), "")</f>
        <v/>
      </c>
      <c r="LD82" s="63" t="str">
        <f t="shared" ref="LD82" si="683">IF(SUM(LD69, LD81) &gt; 0, SUM(LD69, LD81), "")</f>
        <v/>
      </c>
      <c r="LE82" s="65" t="str">
        <f t="shared" ref="LE82" si="684">IF(SUM(LE69, LE81) &gt; 0, SUM(LE69, LE81), "")</f>
        <v/>
      </c>
      <c r="LF82" s="62" t="str">
        <f t="shared" ref="LF82" si="685">IF(SUM(LF69, LF81) &gt; 0, SUM(LF69, LF81), "")</f>
        <v/>
      </c>
      <c r="LG82" s="62" t="str">
        <f t="shared" ref="LG82" si="686">IF(SUM(LG69, LG81) &gt; 0, SUM(LG69, LG81), "")</f>
        <v/>
      </c>
      <c r="LH82" s="62" t="str">
        <f t="shared" ref="LH82" si="687">IF(SUM(LH69, LH81) &gt; 0, SUM(LH69, LH81), "")</f>
        <v/>
      </c>
      <c r="LI82" s="62" t="str">
        <f t="shared" ref="LI82" si="688">IF(SUM(LI69, LI81) &gt; 0, SUM(LI69, LI81), "")</f>
        <v/>
      </c>
      <c r="LJ82" s="62" t="str">
        <f t="shared" ref="LJ82" si="689">IF(SUM(LJ69, LJ81) &gt; 0, SUM(LJ69, LJ81), "")</f>
        <v/>
      </c>
      <c r="LK82" s="63" t="str">
        <f t="shared" ref="LK82" si="690">IF(SUM(LK69, LK81) &gt; 0, SUM(LK69, LK81), "")</f>
        <v/>
      </c>
      <c r="LL82" s="65" t="str">
        <f t="shared" ref="LL82" si="691">IF(SUM(LL69, LL81) &gt; 0, SUM(LL69, LL81), "")</f>
        <v/>
      </c>
      <c r="LM82" s="62" t="str">
        <f t="shared" ref="LM82" si="692">IF(SUM(LM69, LM81) &gt; 0, SUM(LM69, LM81), "")</f>
        <v/>
      </c>
      <c r="LN82" s="62" t="str">
        <f t="shared" ref="LN82" si="693">IF(SUM(LN69, LN81) &gt; 0, SUM(LN69, LN81), "")</f>
        <v/>
      </c>
      <c r="LO82" s="62" t="str">
        <f t="shared" ref="LO82" si="694">IF(SUM(LO69, LO81) &gt; 0, SUM(LO69, LO81), "")</f>
        <v/>
      </c>
      <c r="LP82" s="62" t="str">
        <f t="shared" ref="LP82" si="695">IF(SUM(LP69, LP81) &gt; 0, SUM(LP69, LP81), "")</f>
        <v/>
      </c>
      <c r="LQ82" s="62" t="str">
        <f t="shared" ref="LQ82" si="696">IF(SUM(LQ69, LQ81) &gt; 0, SUM(LQ69, LQ81), "")</f>
        <v/>
      </c>
      <c r="LR82" s="63" t="str">
        <f t="shared" ref="LR82" si="697">IF(SUM(LR69, LR81) &gt; 0, SUM(LR69, LR81), "")</f>
        <v/>
      </c>
      <c r="LS82" s="65" t="str">
        <f t="shared" ref="LS82" si="698">IF(SUM(LS69, LS81) &gt; 0, SUM(LS69, LS81), "")</f>
        <v/>
      </c>
      <c r="LT82" s="62" t="str">
        <f t="shared" ref="LT82" si="699">IF(SUM(LT69, LT81) &gt; 0, SUM(LT69, LT81), "")</f>
        <v/>
      </c>
      <c r="LU82" s="62" t="str">
        <f t="shared" ref="LU82" si="700">IF(SUM(LU69, LU81) &gt; 0, SUM(LU69, LU81), "")</f>
        <v/>
      </c>
      <c r="LV82" s="62" t="str">
        <f t="shared" ref="LV82" si="701">IF(SUM(LV69, LV81) &gt; 0, SUM(LV69, LV81), "")</f>
        <v/>
      </c>
      <c r="LW82" s="62" t="str">
        <f t="shared" ref="LW82" si="702">IF(SUM(LW69, LW81) &gt; 0, SUM(LW69, LW81), "")</f>
        <v/>
      </c>
      <c r="LX82" s="62" t="str">
        <f t="shared" ref="LX82" si="703">IF(SUM(LX69, LX81) &gt; 0, SUM(LX69, LX81), "")</f>
        <v/>
      </c>
      <c r="LY82" s="63" t="str">
        <f t="shared" ref="LY82" si="704">IF(SUM(LY69, LY81) &gt; 0, SUM(LY69, LY81), "")</f>
        <v/>
      </c>
      <c r="LZ82" s="65" t="str">
        <f t="shared" ref="LZ82" si="705">IF(SUM(LZ69, LZ81) &gt; 0, SUM(LZ69, LZ81), "")</f>
        <v/>
      </c>
      <c r="MA82" s="62" t="str">
        <f t="shared" ref="MA82" si="706">IF(SUM(MA69, MA81) &gt; 0, SUM(MA69, MA81), "")</f>
        <v/>
      </c>
      <c r="MB82" s="62" t="str">
        <f t="shared" ref="MB82" si="707">IF(SUM(MB69, MB81) &gt; 0, SUM(MB69, MB81), "")</f>
        <v/>
      </c>
      <c r="MC82" s="62" t="str">
        <f t="shared" ref="MC82" si="708">IF(SUM(MC69, MC81) &gt; 0, SUM(MC69, MC81), "")</f>
        <v/>
      </c>
      <c r="MD82" s="62" t="str">
        <f t="shared" ref="MD82" si="709">IF(SUM(MD69, MD81) &gt; 0, SUM(MD69, MD81), "")</f>
        <v/>
      </c>
      <c r="ME82" s="62" t="str">
        <f t="shared" ref="ME82" si="710">IF(SUM(ME69, ME81) &gt; 0, SUM(ME69, ME81), "")</f>
        <v/>
      </c>
      <c r="MF82" s="63" t="str">
        <f t="shared" ref="MF82" si="711">IF(SUM(MF69, MF81) &gt; 0, SUM(MF69, MF81), "")</f>
        <v/>
      </c>
      <c r="MG82" s="65" t="str">
        <f t="shared" ref="MG82" si="712">IF(SUM(MG69, MG81) &gt; 0, SUM(MG69, MG81), "")</f>
        <v/>
      </c>
      <c r="MH82" s="62" t="str">
        <f t="shared" ref="MH82" si="713">IF(SUM(MH69, MH81) &gt; 0, SUM(MH69, MH81), "")</f>
        <v/>
      </c>
      <c r="MI82" s="62" t="str">
        <f t="shared" ref="MI82" si="714">IF(SUM(MI69, MI81) &gt; 0, SUM(MI69, MI81), "")</f>
        <v/>
      </c>
      <c r="MJ82" s="62" t="str">
        <f t="shared" ref="MJ82" si="715">IF(SUM(MJ69, MJ81) &gt; 0, SUM(MJ69, MJ81), "")</f>
        <v/>
      </c>
      <c r="MK82" s="62" t="str">
        <f t="shared" ref="MK82" si="716">IF(SUM(MK69, MK81) &gt; 0, SUM(MK69, MK81), "")</f>
        <v/>
      </c>
      <c r="ML82" s="62" t="str">
        <f t="shared" ref="ML82" si="717">IF(SUM(ML69, ML81) &gt; 0, SUM(ML69, ML81), "")</f>
        <v/>
      </c>
      <c r="MM82" s="63" t="str">
        <f t="shared" ref="MM82" si="718">IF(SUM(MM69, MM81) &gt; 0, SUM(MM69, MM81), "")</f>
        <v/>
      </c>
      <c r="MN82" s="65" t="str">
        <f t="shared" ref="MN82" si="719">IF(SUM(MN69, MN81) &gt; 0, SUM(MN69, MN81), "")</f>
        <v/>
      </c>
      <c r="MO82" s="62" t="str">
        <f t="shared" ref="MO82" si="720">IF(SUM(MO69, MO81) &gt; 0, SUM(MO69, MO81), "")</f>
        <v/>
      </c>
      <c r="MP82" s="62" t="str">
        <f t="shared" ref="MP82" si="721">IF(SUM(MP69, MP81) &gt; 0, SUM(MP69, MP81), "")</f>
        <v/>
      </c>
      <c r="MQ82" s="62" t="str">
        <f t="shared" ref="MQ82" si="722">IF(SUM(MQ69, MQ81) &gt; 0, SUM(MQ69, MQ81), "")</f>
        <v/>
      </c>
      <c r="MR82" s="62" t="str">
        <f t="shared" ref="MR82" si="723">IF(SUM(MR69, MR81) &gt; 0, SUM(MR69, MR81), "")</f>
        <v/>
      </c>
      <c r="MS82" s="62" t="str">
        <f t="shared" ref="MS82" si="724">IF(SUM(MS69, MS81) &gt; 0, SUM(MS69, MS81), "")</f>
        <v/>
      </c>
      <c r="MT82" s="63" t="str">
        <f t="shared" ref="MT82" si="725">IF(SUM(MT69, MT81) &gt; 0, SUM(MT69, MT81), "")</f>
        <v/>
      </c>
    </row>
    <row r="83" spans="1:358" ht="7.5" customHeight="1" x14ac:dyDescent="0.25">
      <c r="A83" s="8"/>
      <c r="B83" s="8"/>
      <c r="C83" s="8"/>
      <c r="D83" s="8"/>
      <c r="E83" s="8"/>
      <c r="F83" s="10"/>
      <c r="G83" s="19"/>
      <c r="H83" s="19"/>
      <c r="I83" s="8"/>
      <c r="J83" s="8"/>
      <c r="K83" s="8"/>
      <c r="L83" s="8"/>
      <c r="M83" s="8"/>
      <c r="N83" s="8"/>
      <c r="O83" s="9"/>
      <c r="P83" s="8"/>
      <c r="Q83" s="8"/>
      <c r="R83" s="9"/>
      <c r="S83" s="7"/>
      <c r="Z83" s="7"/>
      <c r="AG83" s="7"/>
      <c r="AN83" s="7"/>
      <c r="AU83" s="7"/>
      <c r="BB83" s="7"/>
      <c r="BI83" s="7"/>
      <c r="BP83" s="7"/>
      <c r="BY83" s="7"/>
      <c r="CH83" s="7"/>
      <c r="CQ83" s="7"/>
      <c r="CZ83" s="7"/>
      <c r="DI83" s="7"/>
      <c r="DR83" s="7"/>
      <c r="EA83" s="7"/>
      <c r="EJ83" s="7"/>
      <c r="ES83" s="7"/>
      <c r="FB83" s="7"/>
      <c r="FK83" s="7"/>
      <c r="FT83" s="7"/>
      <c r="GA83" s="7"/>
      <c r="GH83" s="7"/>
      <c r="GO83" s="7"/>
      <c r="GV83" s="7"/>
      <c r="HC83" s="7"/>
      <c r="HJ83" s="7"/>
      <c r="HQ83" s="7"/>
      <c r="HX83" s="7"/>
      <c r="IE83" s="7"/>
      <c r="IL83" s="7"/>
      <c r="IS83" s="7"/>
      <c r="IZ83" s="7"/>
      <c r="JG83" s="7"/>
      <c r="JN83" s="7"/>
      <c r="JU83" s="7"/>
      <c r="KB83" s="7"/>
      <c r="KI83" s="7"/>
      <c r="KP83" s="7"/>
      <c r="KW83" s="7"/>
      <c r="LD83" s="7"/>
      <c r="LK83" s="7"/>
      <c r="LR83" s="7"/>
      <c r="LY83" s="7"/>
      <c r="MF83" s="7"/>
      <c r="MM83" s="7"/>
      <c r="MT83" s="7"/>
    </row>
    <row r="84" spans="1:358" x14ac:dyDescent="0.25">
      <c r="A84" s="11" t="s">
        <v>24</v>
      </c>
      <c r="B84" s="11"/>
      <c r="C84" s="11"/>
      <c r="D84" s="11"/>
      <c r="E84" s="11"/>
      <c r="F84" s="13"/>
      <c r="G84" s="40"/>
      <c r="H84" s="40"/>
      <c r="I84" s="11"/>
      <c r="J84" s="11"/>
      <c r="K84" s="11"/>
      <c r="L84" s="11"/>
      <c r="M84" s="11"/>
      <c r="N84" s="11"/>
      <c r="O84" s="12"/>
      <c r="P84" s="11"/>
      <c r="Q84" s="11"/>
      <c r="R84" s="12"/>
      <c r="S84" s="12"/>
      <c r="T84" s="11"/>
      <c r="U84" s="11"/>
      <c r="V84" s="11"/>
      <c r="W84" s="11"/>
      <c r="X84" s="11"/>
      <c r="Y84" s="11"/>
      <c r="Z84" s="12"/>
      <c r="AA84" s="11"/>
      <c r="AB84" s="11"/>
      <c r="AC84" s="11"/>
      <c r="AD84" s="11"/>
      <c r="AE84" s="11"/>
      <c r="AF84" s="11"/>
      <c r="AG84" s="12"/>
      <c r="AH84" s="11"/>
      <c r="AI84" s="11"/>
      <c r="AJ84" s="11"/>
      <c r="AK84" s="11"/>
      <c r="AL84" s="11"/>
      <c r="AM84" s="11"/>
      <c r="AN84" s="12"/>
      <c r="AO84" s="11"/>
      <c r="AP84" s="11"/>
      <c r="AQ84" s="11"/>
      <c r="AR84" s="11"/>
      <c r="AS84" s="11"/>
      <c r="AT84" s="11"/>
      <c r="AU84" s="12"/>
      <c r="AV84" s="11"/>
      <c r="AW84" s="11"/>
      <c r="AX84" s="11"/>
      <c r="AY84" s="11"/>
      <c r="AZ84" s="11"/>
      <c r="BA84" s="11"/>
      <c r="BB84" s="12"/>
      <c r="BC84" s="11"/>
      <c r="BD84" s="11"/>
      <c r="BE84" s="11"/>
      <c r="BF84" s="11"/>
      <c r="BG84" s="11"/>
      <c r="BH84" s="11"/>
      <c r="BI84" s="12"/>
      <c r="BJ84" s="11"/>
      <c r="BK84" s="11"/>
      <c r="BL84" s="11"/>
      <c r="BM84" s="11"/>
      <c r="BN84" s="11"/>
      <c r="BO84" s="11"/>
      <c r="BP84" s="12"/>
      <c r="BQ84" s="11"/>
      <c r="BR84" s="11"/>
      <c r="BS84" s="11"/>
      <c r="BT84" s="11"/>
      <c r="BU84" s="11"/>
      <c r="BV84" s="11"/>
      <c r="BW84" s="11"/>
      <c r="BX84" s="11"/>
      <c r="BY84" s="12"/>
      <c r="BZ84" s="11"/>
      <c r="CA84" s="11"/>
      <c r="CB84" s="11"/>
      <c r="CC84" s="11"/>
      <c r="CD84" s="11"/>
      <c r="CE84" s="11"/>
      <c r="CF84" s="11"/>
      <c r="CG84" s="11"/>
      <c r="CH84" s="12"/>
      <c r="CI84" s="11"/>
      <c r="CJ84" s="11"/>
      <c r="CK84" s="11"/>
      <c r="CL84" s="11"/>
      <c r="CM84" s="11"/>
      <c r="CN84" s="11"/>
      <c r="CO84" s="11"/>
      <c r="CP84" s="11"/>
      <c r="CQ84" s="12"/>
      <c r="CR84" s="11"/>
      <c r="CS84" s="11"/>
      <c r="CT84" s="11"/>
      <c r="CU84" s="11"/>
      <c r="CV84" s="11"/>
      <c r="CW84" s="11"/>
      <c r="CX84" s="11"/>
      <c r="CY84" s="11"/>
      <c r="CZ84" s="12"/>
      <c r="DA84" s="11"/>
      <c r="DB84" s="11"/>
      <c r="DC84" s="11"/>
      <c r="DD84" s="11"/>
      <c r="DE84" s="11"/>
      <c r="DF84" s="11"/>
      <c r="DG84" s="11"/>
      <c r="DH84" s="11"/>
      <c r="DI84" s="12"/>
      <c r="DJ84" s="11"/>
      <c r="DK84" s="11"/>
      <c r="DL84" s="11"/>
      <c r="DM84" s="11"/>
      <c r="DN84" s="11"/>
      <c r="DO84" s="11"/>
      <c r="DP84" s="11"/>
      <c r="DQ84" s="11"/>
      <c r="DR84" s="12"/>
      <c r="DS84" s="11"/>
      <c r="DT84" s="11"/>
      <c r="DU84" s="11"/>
      <c r="DV84" s="11"/>
      <c r="DW84" s="11"/>
      <c r="DX84" s="11"/>
      <c r="DY84" s="11"/>
      <c r="DZ84" s="11"/>
      <c r="EA84" s="12"/>
      <c r="EB84" s="11"/>
      <c r="EC84" s="11"/>
      <c r="ED84" s="11"/>
      <c r="EE84" s="11"/>
      <c r="EF84" s="11"/>
      <c r="EG84" s="11"/>
      <c r="EH84" s="11"/>
      <c r="EI84" s="11"/>
      <c r="EJ84" s="12"/>
      <c r="EK84" s="11"/>
      <c r="EL84" s="11"/>
      <c r="EM84" s="11"/>
      <c r="EN84" s="11"/>
      <c r="EO84" s="11"/>
      <c r="EP84" s="11"/>
      <c r="EQ84" s="11"/>
      <c r="ER84" s="11"/>
      <c r="ES84" s="12"/>
      <c r="ET84" s="11"/>
      <c r="EU84" s="11"/>
      <c r="EV84" s="11"/>
      <c r="EW84" s="11"/>
      <c r="EX84" s="11"/>
      <c r="EY84" s="11"/>
      <c r="EZ84" s="11"/>
      <c r="FA84" s="11"/>
      <c r="FB84" s="12"/>
      <c r="FC84" s="11"/>
      <c r="FD84" s="11"/>
      <c r="FE84" s="11"/>
      <c r="FF84" s="11"/>
      <c r="FG84" s="11"/>
      <c r="FH84" s="11"/>
      <c r="FI84" s="11"/>
      <c r="FJ84" s="11"/>
      <c r="FK84" s="12"/>
      <c r="FL84" s="11"/>
      <c r="FM84" s="11"/>
      <c r="FN84" s="11"/>
      <c r="FO84" s="11"/>
      <c r="FP84" s="11"/>
      <c r="FQ84" s="11"/>
      <c r="FR84" s="11"/>
      <c r="FS84" s="11"/>
      <c r="FT84" s="12"/>
      <c r="FU84" s="11"/>
      <c r="FV84" s="11"/>
      <c r="FW84" s="11"/>
      <c r="FX84" s="11"/>
      <c r="FY84" s="11"/>
      <c r="FZ84" s="11"/>
      <c r="GA84" s="12"/>
      <c r="GB84" s="11"/>
      <c r="GC84" s="11"/>
      <c r="GD84" s="11"/>
      <c r="GE84" s="11"/>
      <c r="GF84" s="11"/>
      <c r="GG84" s="11"/>
      <c r="GH84" s="12"/>
      <c r="GI84" s="11"/>
      <c r="GJ84" s="11"/>
      <c r="GK84" s="11"/>
      <c r="GL84" s="11"/>
      <c r="GM84" s="11"/>
      <c r="GN84" s="11"/>
      <c r="GO84" s="12"/>
      <c r="GP84" s="11"/>
      <c r="GQ84" s="11"/>
      <c r="GR84" s="11"/>
      <c r="GS84" s="11"/>
      <c r="GT84" s="11"/>
      <c r="GU84" s="11"/>
      <c r="GV84" s="12"/>
      <c r="GW84" s="11"/>
      <c r="GX84" s="11"/>
      <c r="GY84" s="11"/>
      <c r="GZ84" s="11"/>
      <c r="HA84" s="11"/>
      <c r="HB84" s="11"/>
      <c r="HC84" s="12"/>
      <c r="HD84" s="11"/>
      <c r="HE84" s="11"/>
      <c r="HF84" s="11"/>
      <c r="HG84" s="11"/>
      <c r="HH84" s="11"/>
      <c r="HI84" s="11"/>
      <c r="HJ84" s="12"/>
      <c r="HK84" s="11"/>
      <c r="HL84" s="11"/>
      <c r="HM84" s="11"/>
      <c r="HN84" s="11"/>
      <c r="HO84" s="11"/>
      <c r="HP84" s="11"/>
      <c r="HQ84" s="12"/>
      <c r="HR84" s="11"/>
      <c r="HS84" s="11"/>
      <c r="HT84" s="11"/>
      <c r="HU84" s="11"/>
      <c r="HV84" s="11"/>
      <c r="HW84" s="11"/>
      <c r="HX84" s="12"/>
      <c r="HY84" s="11"/>
      <c r="HZ84" s="11"/>
      <c r="IA84" s="11"/>
      <c r="IB84" s="11"/>
      <c r="IC84" s="11"/>
      <c r="ID84" s="11"/>
      <c r="IE84" s="12"/>
      <c r="IF84" s="11"/>
      <c r="IG84" s="11"/>
      <c r="IH84" s="11"/>
      <c r="II84" s="11"/>
      <c r="IJ84" s="11"/>
      <c r="IK84" s="11"/>
      <c r="IL84" s="12"/>
      <c r="IM84" s="11"/>
      <c r="IN84" s="11"/>
      <c r="IO84" s="11"/>
      <c r="IP84" s="11"/>
      <c r="IQ84" s="11"/>
      <c r="IR84" s="11"/>
      <c r="IS84" s="12"/>
      <c r="IT84" s="11"/>
      <c r="IU84" s="11"/>
      <c r="IV84" s="11"/>
      <c r="IW84" s="11"/>
      <c r="IX84" s="11"/>
      <c r="IY84" s="11"/>
      <c r="IZ84" s="12"/>
      <c r="JA84" s="11"/>
      <c r="JB84" s="11"/>
      <c r="JC84" s="11"/>
      <c r="JD84" s="11"/>
      <c r="JE84" s="11"/>
      <c r="JF84" s="11"/>
      <c r="JG84" s="12"/>
      <c r="JH84" s="11"/>
      <c r="JI84" s="11"/>
      <c r="JJ84" s="11"/>
      <c r="JK84" s="11"/>
      <c r="JL84" s="11"/>
      <c r="JM84" s="11"/>
      <c r="JN84" s="12"/>
      <c r="JO84" s="11"/>
      <c r="JP84" s="11"/>
      <c r="JQ84" s="11"/>
      <c r="JR84" s="11"/>
      <c r="JS84" s="11"/>
      <c r="JT84" s="11"/>
      <c r="JU84" s="12"/>
      <c r="JV84" s="11"/>
      <c r="JW84" s="11"/>
      <c r="JX84" s="11"/>
      <c r="JY84" s="11"/>
      <c r="JZ84" s="11"/>
      <c r="KA84" s="11"/>
      <c r="KB84" s="12"/>
      <c r="KC84" s="11"/>
      <c r="KD84" s="11"/>
      <c r="KE84" s="11"/>
      <c r="KF84" s="11"/>
      <c r="KG84" s="11"/>
      <c r="KH84" s="11"/>
      <c r="KI84" s="12"/>
      <c r="KJ84" s="11"/>
      <c r="KK84" s="11"/>
      <c r="KL84" s="11"/>
      <c r="KM84" s="11"/>
      <c r="KN84" s="11"/>
      <c r="KO84" s="11"/>
      <c r="KP84" s="12"/>
      <c r="KQ84" s="11"/>
      <c r="KR84" s="11"/>
      <c r="KS84" s="11"/>
      <c r="KT84" s="11"/>
      <c r="KU84" s="11"/>
      <c r="KV84" s="11"/>
      <c r="KW84" s="12"/>
      <c r="KX84" s="11"/>
      <c r="KY84" s="11"/>
      <c r="KZ84" s="11"/>
      <c r="LA84" s="11"/>
      <c r="LB84" s="11"/>
      <c r="LC84" s="11"/>
      <c r="LD84" s="12"/>
      <c r="LE84" s="11"/>
      <c r="LF84" s="11"/>
      <c r="LG84" s="11"/>
      <c r="LH84" s="11"/>
      <c r="LI84" s="11"/>
      <c r="LJ84" s="11"/>
      <c r="LK84" s="12"/>
      <c r="LL84" s="11"/>
      <c r="LM84" s="11"/>
      <c r="LN84" s="11"/>
      <c r="LO84" s="11"/>
      <c r="LP84" s="11"/>
      <c r="LQ84" s="11"/>
      <c r="LR84" s="12"/>
      <c r="LS84" s="11"/>
      <c r="LT84" s="11"/>
      <c r="LU84" s="11"/>
      <c r="LV84" s="11"/>
      <c r="LW84" s="11"/>
      <c r="LX84" s="11"/>
      <c r="LY84" s="12"/>
      <c r="LZ84" s="11"/>
      <c r="MA84" s="11"/>
      <c r="MB84" s="11"/>
      <c r="MC84" s="11"/>
      <c r="MD84" s="11"/>
      <c r="ME84" s="11"/>
      <c r="MF84" s="12"/>
      <c r="MG84" s="11"/>
      <c r="MH84" s="11"/>
      <c r="MI84" s="11"/>
      <c r="MJ84" s="11"/>
      <c r="MK84" s="11"/>
      <c r="ML84" s="11"/>
      <c r="MM84" s="12"/>
      <c r="MN84" s="11"/>
      <c r="MO84" s="11"/>
      <c r="MP84" s="11"/>
      <c r="MQ84" s="11"/>
      <c r="MR84" s="11"/>
      <c r="MS84" s="11"/>
      <c r="MT84" s="12"/>
    </row>
    <row r="85" spans="1:358" x14ac:dyDescent="0.25">
      <c r="A85" s="8" t="s">
        <v>23</v>
      </c>
      <c r="B85" s="8"/>
      <c r="C85" s="8"/>
      <c r="D85" s="8"/>
      <c r="E85" s="8"/>
      <c r="F85" s="10"/>
      <c r="G85" s="19"/>
      <c r="H85" s="19"/>
      <c r="I85" s="8"/>
      <c r="J85" s="8"/>
      <c r="K85" s="8"/>
      <c r="L85" s="8"/>
      <c r="M85" s="8"/>
      <c r="N85" s="8"/>
      <c r="O85" s="9"/>
      <c r="P85" s="8">
        <f t="shared" ref="P85:P90" si="726">IF(SUM(S85:MT85) &gt; 0, SUM(S85:MT85), "")</f>
        <v>69</v>
      </c>
      <c r="Q85" s="109">
        <f t="shared" ref="Q85:Q91" si="727">IF(SUM(S85:XFD85) &gt; 0, SUM(S85:XFD85) / $P$92 * 100, "")</f>
        <v>100</v>
      </c>
      <c r="R85" s="84"/>
      <c r="S85" s="7">
        <v>1</v>
      </c>
      <c r="U85">
        <v>1</v>
      </c>
      <c r="V85">
        <v>1</v>
      </c>
      <c r="X85">
        <v>1</v>
      </c>
      <c r="Z85" s="7"/>
      <c r="AB85">
        <v>1</v>
      </c>
      <c r="AD85">
        <v>1</v>
      </c>
      <c r="AE85">
        <v>1</v>
      </c>
      <c r="AG85" s="7"/>
      <c r="AI85">
        <v>1</v>
      </c>
      <c r="AK85">
        <v>1</v>
      </c>
      <c r="AL85">
        <v>1</v>
      </c>
      <c r="AN85" s="7"/>
      <c r="AP85">
        <v>1</v>
      </c>
      <c r="AR85">
        <v>1</v>
      </c>
      <c r="AS85">
        <v>1</v>
      </c>
      <c r="AU85" s="7"/>
      <c r="AW85">
        <v>1</v>
      </c>
      <c r="AX85">
        <v>1</v>
      </c>
      <c r="AY85">
        <v>1</v>
      </c>
      <c r="AZ85">
        <v>1</v>
      </c>
      <c r="BB85" s="7"/>
      <c r="BD85">
        <v>1</v>
      </c>
      <c r="BF85">
        <v>1</v>
      </c>
      <c r="BG85">
        <v>1</v>
      </c>
      <c r="BI85" s="7"/>
      <c r="BK85">
        <v>1</v>
      </c>
      <c r="BM85">
        <v>1</v>
      </c>
      <c r="BN85">
        <v>1</v>
      </c>
      <c r="BP85" s="7">
        <v>1</v>
      </c>
      <c r="BR85">
        <v>1</v>
      </c>
      <c r="BT85">
        <v>1</v>
      </c>
      <c r="BW85">
        <v>1</v>
      </c>
      <c r="BY85" s="7"/>
      <c r="CC85">
        <v>1</v>
      </c>
      <c r="CF85">
        <v>1</v>
      </c>
      <c r="CH85" s="7"/>
      <c r="CL85">
        <v>1</v>
      </c>
      <c r="CO85">
        <v>1</v>
      </c>
      <c r="CQ85" s="7"/>
      <c r="CS85">
        <v>1</v>
      </c>
      <c r="CU85">
        <v>1</v>
      </c>
      <c r="CV85">
        <v>1</v>
      </c>
      <c r="CX85">
        <v>1</v>
      </c>
      <c r="CZ85" s="7"/>
      <c r="DB85">
        <v>1</v>
      </c>
      <c r="DE85">
        <v>1</v>
      </c>
      <c r="DG85">
        <v>1</v>
      </c>
      <c r="DI85" s="7"/>
      <c r="DK85">
        <v>1</v>
      </c>
      <c r="DM85">
        <v>1</v>
      </c>
      <c r="DN85">
        <v>1</v>
      </c>
      <c r="DR85" s="7"/>
      <c r="DT85">
        <v>1</v>
      </c>
      <c r="DV85">
        <v>1</v>
      </c>
      <c r="DW85">
        <v>1</v>
      </c>
      <c r="EA85" s="7"/>
      <c r="EB85">
        <v>1</v>
      </c>
      <c r="EC85">
        <v>1</v>
      </c>
      <c r="EE85">
        <v>1</v>
      </c>
      <c r="EF85">
        <v>1</v>
      </c>
      <c r="EJ85" s="7"/>
      <c r="EK85">
        <v>1</v>
      </c>
      <c r="EL85">
        <v>1</v>
      </c>
      <c r="EN85">
        <v>1</v>
      </c>
      <c r="EO85">
        <v>1</v>
      </c>
      <c r="EQ85">
        <v>1</v>
      </c>
      <c r="ES85" s="7"/>
      <c r="ET85">
        <v>1</v>
      </c>
      <c r="EU85">
        <v>1</v>
      </c>
      <c r="EV85">
        <v>1</v>
      </c>
      <c r="EW85">
        <v>1</v>
      </c>
      <c r="EX85">
        <v>1</v>
      </c>
      <c r="FB85" s="7"/>
      <c r="FC85">
        <v>1</v>
      </c>
      <c r="FD85">
        <v>1</v>
      </c>
      <c r="FE85">
        <v>1</v>
      </c>
      <c r="FF85">
        <v>1</v>
      </c>
      <c r="FG85">
        <v>1</v>
      </c>
      <c r="FH85">
        <v>1</v>
      </c>
      <c r="FK85" s="7"/>
      <c r="FL85">
        <v>1</v>
      </c>
      <c r="FM85">
        <v>1</v>
      </c>
      <c r="FO85">
        <v>1</v>
      </c>
      <c r="FP85">
        <v>1</v>
      </c>
      <c r="FQ85">
        <v>1</v>
      </c>
      <c r="FT85" s="7"/>
      <c r="GA85" s="7"/>
      <c r="GH85" s="7"/>
      <c r="GO85" s="7"/>
      <c r="GV85" s="7"/>
      <c r="HC85" s="7"/>
      <c r="HJ85" s="7"/>
      <c r="HQ85" s="7"/>
      <c r="HX85" s="7"/>
      <c r="IE85" s="7"/>
      <c r="IL85" s="7"/>
      <c r="IS85" s="7"/>
      <c r="IZ85" s="7"/>
      <c r="JG85" s="7"/>
      <c r="JN85" s="7"/>
      <c r="JU85" s="7"/>
      <c r="KB85" s="7"/>
      <c r="KI85" s="7"/>
      <c r="KP85" s="7"/>
      <c r="KW85" s="7"/>
      <c r="LD85" s="7"/>
      <c r="LK85" s="7"/>
      <c r="LR85" s="7"/>
      <c r="LY85" s="7"/>
      <c r="MF85" s="7"/>
      <c r="MM85" s="7"/>
      <c r="MT85" s="7"/>
    </row>
    <row r="86" spans="1:358" x14ac:dyDescent="0.25">
      <c r="A86" s="8" t="s">
        <v>22</v>
      </c>
      <c r="B86" s="8"/>
      <c r="C86" s="8"/>
      <c r="D86" s="8"/>
      <c r="E86" s="8"/>
      <c r="F86" s="10"/>
      <c r="G86" s="19"/>
      <c r="H86" s="19"/>
      <c r="I86" s="8"/>
      <c r="J86" s="8"/>
      <c r="K86" s="8"/>
      <c r="L86" s="8"/>
      <c r="M86" s="8"/>
      <c r="N86" s="8"/>
      <c r="O86" s="9"/>
      <c r="P86" s="8" t="str">
        <f t="shared" si="726"/>
        <v/>
      </c>
      <c r="Q86" s="109" t="str">
        <f t="shared" si="727"/>
        <v/>
      </c>
      <c r="R86" s="84"/>
      <c r="S86" s="7"/>
      <c r="Z86" s="7"/>
      <c r="AG86" s="7"/>
      <c r="AN86" s="7"/>
      <c r="AU86" s="7"/>
      <c r="BB86" s="7"/>
      <c r="BI86" s="7"/>
      <c r="BP86" s="7"/>
      <c r="BY86" s="7"/>
      <c r="CH86" s="7"/>
      <c r="CQ86" s="7"/>
      <c r="CZ86" s="7"/>
      <c r="DI86" s="7"/>
      <c r="DR86" s="7"/>
      <c r="EA86" s="7"/>
      <c r="EJ86" s="7"/>
      <c r="ES86" s="7"/>
      <c r="FB86" s="7"/>
      <c r="FK86" s="7"/>
      <c r="FT86" s="7"/>
      <c r="GA86" s="7"/>
      <c r="GH86" s="7"/>
      <c r="GO86" s="7"/>
      <c r="GV86" s="7"/>
      <c r="HC86" s="7"/>
      <c r="HJ86" s="7"/>
      <c r="HQ86" s="7"/>
      <c r="HX86" s="7"/>
      <c r="IE86" s="7"/>
      <c r="IL86" s="7"/>
      <c r="IS86" s="7"/>
      <c r="IZ86" s="7"/>
      <c r="JG86" s="7"/>
      <c r="JN86" s="7"/>
      <c r="JU86" s="7"/>
      <c r="KB86" s="7"/>
      <c r="KI86" s="7"/>
      <c r="KP86" s="7"/>
      <c r="KW86" s="7"/>
      <c r="LD86" s="7"/>
      <c r="LK86" s="7"/>
      <c r="LR86" s="7"/>
      <c r="LY86" s="7"/>
      <c r="MF86" s="7"/>
      <c r="MM86" s="7"/>
      <c r="MT86" s="7"/>
    </row>
    <row r="87" spans="1:358" x14ac:dyDescent="0.25">
      <c r="A87" s="8" t="s">
        <v>21</v>
      </c>
      <c r="B87" s="8"/>
      <c r="C87" s="8"/>
      <c r="D87" s="8"/>
      <c r="E87" s="8"/>
      <c r="F87" s="10"/>
      <c r="G87" s="19"/>
      <c r="H87" s="19"/>
      <c r="I87" s="8"/>
      <c r="J87" s="8"/>
      <c r="K87" s="8"/>
      <c r="L87" s="8"/>
      <c r="M87" s="8"/>
      <c r="N87" s="8"/>
      <c r="O87" s="9"/>
      <c r="P87" s="8" t="str">
        <f t="shared" si="726"/>
        <v/>
      </c>
      <c r="Q87" s="109" t="str">
        <f t="shared" si="727"/>
        <v/>
      </c>
      <c r="R87" s="84"/>
      <c r="S87" s="7"/>
      <c r="Z87" s="7"/>
      <c r="AG87" s="7"/>
      <c r="AN87" s="7"/>
      <c r="AU87" s="7"/>
      <c r="BB87" s="7"/>
      <c r="BI87" s="7"/>
      <c r="BP87" s="7"/>
      <c r="BY87" s="7"/>
      <c r="CH87" s="7"/>
      <c r="CQ87" s="7"/>
      <c r="CZ87" s="7"/>
      <c r="DI87" s="7"/>
      <c r="DR87" s="7"/>
      <c r="EA87" s="7"/>
      <c r="EJ87" s="7"/>
      <c r="ES87" s="7"/>
      <c r="FB87" s="7"/>
      <c r="FK87" s="7"/>
      <c r="FT87" s="7"/>
      <c r="GA87" s="7"/>
      <c r="GH87" s="7"/>
      <c r="GO87" s="7"/>
      <c r="GV87" s="7"/>
      <c r="HC87" s="7"/>
      <c r="HJ87" s="7"/>
      <c r="HQ87" s="7"/>
      <c r="HX87" s="7"/>
      <c r="IE87" s="7"/>
      <c r="IL87" s="7"/>
      <c r="IS87" s="7"/>
      <c r="IZ87" s="7"/>
      <c r="JG87" s="7"/>
      <c r="JN87" s="7"/>
      <c r="JU87" s="7"/>
      <c r="KB87" s="7"/>
      <c r="KI87" s="7"/>
      <c r="KP87" s="7"/>
      <c r="KW87" s="7"/>
      <c r="LD87" s="7"/>
      <c r="LK87" s="7"/>
      <c r="LR87" s="7"/>
      <c r="LY87" s="7"/>
      <c r="MF87" s="7"/>
      <c r="MM87" s="7"/>
      <c r="MT87" s="7"/>
    </row>
    <row r="88" spans="1:358" x14ac:dyDescent="0.25">
      <c r="A88" s="8" t="s">
        <v>20</v>
      </c>
      <c r="B88" s="8"/>
      <c r="C88" s="8"/>
      <c r="D88" s="8"/>
      <c r="E88" s="8"/>
      <c r="F88" s="10"/>
      <c r="G88" s="19"/>
      <c r="H88" s="19"/>
      <c r="I88" s="8"/>
      <c r="J88" s="8"/>
      <c r="K88" s="8"/>
      <c r="L88" s="8"/>
      <c r="M88" s="8"/>
      <c r="N88" s="8"/>
      <c r="O88" s="9"/>
      <c r="P88" s="8" t="str">
        <f t="shared" si="726"/>
        <v/>
      </c>
      <c r="Q88" s="109" t="str">
        <f t="shared" si="727"/>
        <v/>
      </c>
      <c r="R88" s="84"/>
      <c r="S88" s="7"/>
      <c r="Z88" s="7"/>
      <c r="AG88" s="7"/>
      <c r="AN88" s="7"/>
      <c r="AU88" s="7"/>
      <c r="BB88" s="7"/>
      <c r="BI88" s="7"/>
      <c r="BP88" s="7"/>
      <c r="BY88" s="7"/>
      <c r="CH88" s="7"/>
      <c r="CQ88" s="7"/>
      <c r="CZ88" s="7"/>
      <c r="DI88" s="7"/>
      <c r="DR88" s="7"/>
      <c r="EA88" s="7"/>
      <c r="EJ88" s="7"/>
      <c r="ES88" s="7"/>
      <c r="FB88" s="7"/>
      <c r="FK88" s="7"/>
      <c r="FT88" s="7"/>
      <c r="GA88" s="7"/>
      <c r="GH88" s="7"/>
      <c r="GO88" s="7"/>
      <c r="GV88" s="7"/>
      <c r="HC88" s="7"/>
      <c r="HJ88" s="7"/>
      <c r="HQ88" s="7"/>
      <c r="HX88" s="7"/>
      <c r="IE88" s="7"/>
      <c r="IL88" s="7"/>
      <c r="IS88" s="7"/>
      <c r="IZ88" s="7"/>
      <c r="JG88" s="7"/>
      <c r="JN88" s="7"/>
      <c r="JU88" s="7"/>
      <c r="KB88" s="7"/>
      <c r="KI88" s="7"/>
      <c r="KP88" s="7"/>
      <c r="KW88" s="7"/>
      <c r="LD88" s="7"/>
      <c r="LK88" s="7"/>
      <c r="LR88" s="7"/>
      <c r="LY88" s="7"/>
      <c r="MF88" s="7"/>
      <c r="MM88" s="7"/>
      <c r="MT88" s="7"/>
    </row>
    <row r="89" spans="1:358" x14ac:dyDescent="0.25">
      <c r="A89" s="8" t="s">
        <v>152</v>
      </c>
      <c r="B89" s="8"/>
      <c r="C89" s="8"/>
      <c r="D89" s="8"/>
      <c r="E89" s="8"/>
      <c r="F89" s="10"/>
      <c r="G89" s="19"/>
      <c r="H89" s="19"/>
      <c r="I89" s="8"/>
      <c r="J89" s="8"/>
      <c r="K89" s="8"/>
      <c r="L89" s="8"/>
      <c r="M89" s="8"/>
      <c r="N89" s="8"/>
      <c r="O89" s="9"/>
      <c r="P89" s="8">
        <f t="shared" si="726"/>
        <v>1</v>
      </c>
      <c r="Q89" s="109">
        <f t="shared" si="727"/>
        <v>1.4492753623188406</v>
      </c>
      <c r="R89" s="84"/>
      <c r="S89" s="7"/>
      <c r="Z89" s="7"/>
      <c r="AG89" s="7"/>
      <c r="AN89" s="7"/>
      <c r="AU89" s="7"/>
      <c r="BB89" s="7"/>
      <c r="BI89" s="7"/>
      <c r="BP89" s="7"/>
      <c r="BY89" s="7"/>
      <c r="CH89" s="7"/>
      <c r="CQ89" s="7"/>
      <c r="CZ89" s="7"/>
      <c r="DI89" s="7"/>
      <c r="DR89" s="7"/>
      <c r="EA89" s="7"/>
      <c r="EJ89" s="7"/>
      <c r="ES89" s="7"/>
      <c r="EU89">
        <v>1</v>
      </c>
      <c r="FB89" s="7"/>
      <c r="FK89" s="7"/>
      <c r="FT89" s="7"/>
      <c r="GA89" s="7"/>
      <c r="GH89" s="7"/>
      <c r="GO89" s="7"/>
      <c r="GV89" s="7"/>
      <c r="HC89" s="7"/>
      <c r="HJ89" s="7"/>
      <c r="HQ89" s="7"/>
      <c r="HX89" s="7"/>
      <c r="IE89" s="7"/>
      <c r="IL89" s="7"/>
      <c r="IS89" s="7"/>
      <c r="IZ89" s="7"/>
      <c r="JG89" s="7"/>
      <c r="JN89" s="7"/>
      <c r="JU89" s="7"/>
      <c r="KB89" s="7"/>
      <c r="KI89" s="7"/>
      <c r="KP89" s="7"/>
      <c r="KW89" s="7"/>
      <c r="LD89" s="7"/>
      <c r="LK89" s="7"/>
      <c r="LR89" s="7"/>
      <c r="LY89" s="7"/>
      <c r="MF89" s="7"/>
      <c r="MM89" s="7"/>
      <c r="MT89" s="7"/>
    </row>
    <row r="90" spans="1:358" x14ac:dyDescent="0.25">
      <c r="A90" s="8" t="s">
        <v>19</v>
      </c>
      <c r="B90" s="8"/>
      <c r="C90" s="8"/>
      <c r="D90" s="8"/>
      <c r="E90" s="8"/>
      <c r="F90" s="10"/>
      <c r="G90" s="19"/>
      <c r="H90" s="19"/>
      <c r="I90" s="8"/>
      <c r="J90" s="8"/>
      <c r="K90" s="8"/>
      <c r="L90" s="8"/>
      <c r="M90" s="8"/>
      <c r="N90" s="8"/>
      <c r="O90" s="9"/>
      <c r="P90" s="8">
        <f t="shared" si="726"/>
        <v>16</v>
      </c>
      <c r="Q90" s="109">
        <f t="shared" si="727"/>
        <v>23.188405797101449</v>
      </c>
      <c r="R90" s="84"/>
      <c r="S90" s="7"/>
      <c r="Z90" s="7"/>
      <c r="AG90" s="7"/>
      <c r="AK90">
        <v>1</v>
      </c>
      <c r="AN90" s="7"/>
      <c r="AU90" s="7"/>
      <c r="AW90">
        <v>1</v>
      </c>
      <c r="AY90">
        <v>1</v>
      </c>
      <c r="BB90" s="7"/>
      <c r="BF90">
        <v>1</v>
      </c>
      <c r="BI90" s="7"/>
      <c r="BN90">
        <v>1</v>
      </c>
      <c r="BP90" s="7"/>
      <c r="BY90" s="7"/>
      <c r="CH90" s="7"/>
      <c r="CQ90" s="7"/>
      <c r="CZ90" s="7"/>
      <c r="DI90" s="7"/>
      <c r="DR90" s="7"/>
      <c r="DT90">
        <v>1</v>
      </c>
      <c r="EA90" s="7"/>
      <c r="EC90">
        <v>1</v>
      </c>
      <c r="EE90">
        <v>1</v>
      </c>
      <c r="EJ90" s="7"/>
      <c r="EL90">
        <v>1</v>
      </c>
      <c r="EN90">
        <v>1</v>
      </c>
      <c r="EO90">
        <v>1</v>
      </c>
      <c r="ES90" s="7"/>
      <c r="EW90">
        <v>1</v>
      </c>
      <c r="EX90">
        <v>1</v>
      </c>
      <c r="FB90" s="7"/>
      <c r="FD90">
        <v>1</v>
      </c>
      <c r="FK90" s="7"/>
      <c r="FM90">
        <v>1</v>
      </c>
      <c r="FO90">
        <v>1</v>
      </c>
      <c r="FT90" s="7"/>
      <c r="GA90" s="7"/>
      <c r="GH90" s="7"/>
      <c r="GO90" s="7"/>
      <c r="GV90" s="7"/>
      <c r="HC90" s="7"/>
      <c r="HJ90" s="7"/>
      <c r="HQ90" s="7"/>
      <c r="HX90" s="7"/>
      <c r="IE90" s="7"/>
      <c r="IL90" s="7"/>
      <c r="IS90" s="7"/>
      <c r="IZ90" s="7"/>
      <c r="JG90" s="7"/>
      <c r="JN90" s="7"/>
      <c r="JU90" s="7"/>
      <c r="KB90" s="7"/>
      <c r="KI90" s="7"/>
      <c r="KP90" s="7"/>
      <c r="KW90" s="7"/>
      <c r="LD90" s="7"/>
      <c r="LK90" s="7"/>
      <c r="LR90" s="7"/>
      <c r="LY90" s="7"/>
      <c r="MF90" s="7"/>
      <c r="MM90" s="7"/>
      <c r="MT90" s="7"/>
    </row>
    <row r="91" spans="1:358" ht="5.25" customHeight="1" x14ac:dyDescent="0.25">
      <c r="A91" s="8"/>
      <c r="B91" s="8"/>
      <c r="C91" s="8"/>
      <c r="D91" s="8"/>
      <c r="E91" s="8"/>
      <c r="F91" s="10"/>
      <c r="G91" s="19"/>
      <c r="H91" s="19"/>
      <c r="I91" s="8"/>
      <c r="J91" s="8"/>
      <c r="K91" s="8"/>
      <c r="L91" s="8"/>
      <c r="M91" s="8"/>
      <c r="N91" s="8"/>
      <c r="O91" s="9"/>
      <c r="P91" s="8" t="str">
        <f>IF(SUM(R91:MT91) &gt; 0, SUM(R91:MT91), "")</f>
        <v/>
      </c>
      <c r="Q91" s="109" t="str">
        <f t="shared" si="727"/>
        <v/>
      </c>
      <c r="R91" s="9"/>
      <c r="S91" s="7"/>
      <c r="Z91" s="7"/>
      <c r="AG91" s="7"/>
      <c r="AN91" s="7"/>
      <c r="AU91" s="7"/>
      <c r="BB91" s="7"/>
      <c r="BI91" s="7"/>
      <c r="BP91" s="7"/>
      <c r="BY91" s="7"/>
      <c r="CH91" s="7"/>
      <c r="CQ91" s="7"/>
      <c r="CZ91" s="7"/>
      <c r="DI91" s="7"/>
      <c r="DR91" s="7"/>
      <c r="EA91" s="7"/>
      <c r="EJ91" s="7"/>
      <c r="ES91" s="7"/>
      <c r="FB91" s="7"/>
      <c r="FK91" s="7"/>
      <c r="FT91" s="7"/>
      <c r="GA91" s="7"/>
      <c r="GH91" s="7"/>
      <c r="GO91" s="7"/>
      <c r="GV91" s="7"/>
      <c r="HC91" s="7"/>
      <c r="HJ91" s="7"/>
      <c r="HQ91" s="7"/>
      <c r="HX91" s="7"/>
      <c r="IE91" s="7"/>
      <c r="IL91" s="7"/>
      <c r="IS91" s="7"/>
      <c r="IZ91" s="7"/>
      <c r="JG91" s="7"/>
      <c r="JN91" s="7"/>
      <c r="JU91" s="7"/>
      <c r="KB91" s="7"/>
      <c r="KI91" s="7"/>
      <c r="KP91" s="7"/>
      <c r="KW91" s="7"/>
      <c r="LD91" s="7"/>
      <c r="LK91" s="7"/>
      <c r="LR91" s="7"/>
      <c r="LY91" s="7"/>
      <c r="MF91" s="7"/>
      <c r="MM91" s="7"/>
      <c r="MT91" s="7"/>
    </row>
    <row r="92" spans="1:358" x14ac:dyDescent="0.25">
      <c r="A92" s="6" t="s">
        <v>18</v>
      </c>
      <c r="B92" s="3"/>
      <c r="C92" s="3"/>
      <c r="D92" s="3"/>
      <c r="E92" s="3"/>
      <c r="F92" s="5"/>
      <c r="G92" s="3"/>
      <c r="H92" s="3"/>
      <c r="I92" s="3"/>
      <c r="J92" s="3"/>
      <c r="K92" s="3"/>
      <c r="L92" s="3"/>
      <c r="M92" s="3"/>
      <c r="N92" s="3"/>
      <c r="O92" s="4"/>
      <c r="P92" s="3">
        <f>SUM(S92:MT92)</f>
        <v>69</v>
      </c>
      <c r="Q92" s="3"/>
      <c r="R92" s="4"/>
      <c r="S92" s="4">
        <v>1</v>
      </c>
      <c r="T92" s="3"/>
      <c r="U92" s="3">
        <v>1</v>
      </c>
      <c r="V92" s="3">
        <v>1</v>
      </c>
      <c r="W92" s="3"/>
      <c r="X92" s="3">
        <v>1</v>
      </c>
      <c r="Y92" s="3"/>
      <c r="Z92" s="4"/>
      <c r="AA92" s="3"/>
      <c r="AB92" s="3">
        <v>1</v>
      </c>
      <c r="AC92" s="3"/>
      <c r="AD92" s="3">
        <v>1</v>
      </c>
      <c r="AE92" s="3">
        <v>1</v>
      </c>
      <c r="AF92" s="3"/>
      <c r="AG92" s="4"/>
      <c r="AH92" s="3"/>
      <c r="AI92" s="3">
        <v>1</v>
      </c>
      <c r="AJ92" s="3"/>
      <c r="AK92" s="3">
        <v>1</v>
      </c>
      <c r="AL92" s="3">
        <v>1</v>
      </c>
      <c r="AM92" s="3"/>
      <c r="AN92" s="4"/>
      <c r="AO92" s="3"/>
      <c r="AP92" s="3">
        <v>1</v>
      </c>
      <c r="AQ92" s="3"/>
      <c r="AR92" s="3">
        <v>1</v>
      </c>
      <c r="AS92" s="3">
        <v>1</v>
      </c>
      <c r="AT92" s="3"/>
      <c r="AU92" s="4"/>
      <c r="AV92" s="3"/>
      <c r="AW92" s="3">
        <v>1</v>
      </c>
      <c r="AX92" s="3">
        <v>1</v>
      </c>
      <c r="AY92" s="3">
        <v>1</v>
      </c>
      <c r="AZ92" s="3">
        <v>1</v>
      </c>
      <c r="BA92" s="3"/>
      <c r="BB92" s="4"/>
      <c r="BC92" s="3"/>
      <c r="BD92" s="3">
        <v>1</v>
      </c>
      <c r="BE92" s="3"/>
      <c r="BF92" s="3">
        <v>1</v>
      </c>
      <c r="BG92" s="3">
        <v>1</v>
      </c>
      <c r="BH92" s="3"/>
      <c r="BI92" s="4"/>
      <c r="BJ92" s="3"/>
      <c r="BK92" s="3">
        <v>1</v>
      </c>
      <c r="BL92" s="3"/>
      <c r="BM92" s="3">
        <v>1</v>
      </c>
      <c r="BN92" s="3">
        <v>1</v>
      </c>
      <c r="BO92" s="3"/>
      <c r="BP92" s="4">
        <v>1</v>
      </c>
      <c r="BQ92" s="3"/>
      <c r="BR92" s="3">
        <v>1</v>
      </c>
      <c r="BS92" s="3"/>
      <c r="BT92" s="3">
        <v>1</v>
      </c>
      <c r="BU92" s="3"/>
      <c r="BV92" s="3"/>
      <c r="BW92" s="3">
        <v>1</v>
      </c>
      <c r="BX92" s="3"/>
      <c r="BY92" s="4"/>
      <c r="BZ92" s="3"/>
      <c r="CA92" s="3"/>
      <c r="CB92" s="3"/>
      <c r="CC92" s="3">
        <v>1</v>
      </c>
      <c r="CD92" s="3"/>
      <c r="CE92" s="3"/>
      <c r="CF92" s="3">
        <v>1</v>
      </c>
      <c r="CG92" s="3"/>
      <c r="CH92" s="4"/>
      <c r="CI92" s="3"/>
      <c r="CJ92" s="3"/>
      <c r="CK92" s="3"/>
      <c r="CL92" s="3">
        <v>1</v>
      </c>
      <c r="CM92" s="3"/>
      <c r="CN92" s="3"/>
      <c r="CO92" s="3">
        <v>1</v>
      </c>
      <c r="CP92" s="3"/>
      <c r="CQ92" s="4"/>
      <c r="CR92" s="3"/>
      <c r="CS92" s="3">
        <v>1</v>
      </c>
      <c r="CT92" s="3"/>
      <c r="CU92" s="3">
        <v>1</v>
      </c>
      <c r="CV92" s="3">
        <v>1</v>
      </c>
      <c r="CW92" s="3"/>
      <c r="CX92" s="3">
        <v>1</v>
      </c>
      <c r="CY92" s="3"/>
      <c r="CZ92" s="4"/>
      <c r="DA92" s="3"/>
      <c r="DB92" s="3">
        <v>1</v>
      </c>
      <c r="DC92" s="3"/>
      <c r="DD92" s="3"/>
      <c r="DE92" s="3">
        <v>1</v>
      </c>
      <c r="DF92" s="3"/>
      <c r="DG92" s="3">
        <v>1</v>
      </c>
      <c r="DH92" s="3"/>
      <c r="DI92" s="4"/>
      <c r="DJ92" s="3"/>
      <c r="DK92" s="3">
        <v>1</v>
      </c>
      <c r="DL92" s="3"/>
      <c r="DM92" s="3">
        <v>1</v>
      </c>
      <c r="DN92" s="3">
        <v>1</v>
      </c>
      <c r="DO92" s="3"/>
      <c r="DP92" s="3"/>
      <c r="DQ92" s="3"/>
      <c r="DR92" s="4"/>
      <c r="DS92" s="3"/>
      <c r="DT92" s="3">
        <v>1</v>
      </c>
      <c r="DU92" s="3"/>
      <c r="DV92" s="3">
        <v>1</v>
      </c>
      <c r="DW92" s="3">
        <v>1</v>
      </c>
      <c r="DX92" s="3"/>
      <c r="DY92" s="3"/>
      <c r="DZ92" s="3"/>
      <c r="EA92" s="4"/>
      <c r="EB92" s="3">
        <v>1</v>
      </c>
      <c r="EC92" s="3">
        <v>1</v>
      </c>
      <c r="ED92" s="3"/>
      <c r="EE92" s="3">
        <v>1</v>
      </c>
      <c r="EF92" s="3">
        <v>1</v>
      </c>
      <c r="EG92" s="3"/>
      <c r="EH92" s="3"/>
      <c r="EI92" s="3"/>
      <c r="EJ92" s="4"/>
      <c r="EK92" s="3">
        <v>1</v>
      </c>
      <c r="EL92" s="3">
        <v>1</v>
      </c>
      <c r="EM92" s="3"/>
      <c r="EN92" s="3">
        <v>1</v>
      </c>
      <c r="EO92" s="3">
        <v>1</v>
      </c>
      <c r="EP92" s="3"/>
      <c r="EQ92" s="3">
        <v>1</v>
      </c>
      <c r="ER92" s="3"/>
      <c r="ES92" s="4"/>
      <c r="ET92" s="3">
        <v>1</v>
      </c>
      <c r="EU92" s="3">
        <v>1</v>
      </c>
      <c r="EV92" s="3">
        <v>1</v>
      </c>
      <c r="EW92" s="3">
        <v>1</v>
      </c>
      <c r="EX92" s="3">
        <v>1</v>
      </c>
      <c r="EY92" s="3"/>
      <c r="EZ92" s="3"/>
      <c r="FA92" s="3"/>
      <c r="FB92" s="4"/>
      <c r="FC92" s="3">
        <v>1</v>
      </c>
      <c r="FD92" s="3">
        <v>1</v>
      </c>
      <c r="FE92" s="3">
        <v>1</v>
      </c>
      <c r="FF92" s="3">
        <v>1</v>
      </c>
      <c r="FG92" s="3">
        <v>1</v>
      </c>
      <c r="FH92" s="3">
        <v>1</v>
      </c>
      <c r="FI92" s="3"/>
      <c r="FJ92" s="3"/>
      <c r="FK92" s="4"/>
      <c r="FL92" s="3">
        <v>1</v>
      </c>
      <c r="FM92" s="3">
        <v>1</v>
      </c>
      <c r="FN92" s="3"/>
      <c r="FO92" s="3">
        <v>1</v>
      </c>
      <c r="FP92" s="3">
        <v>1</v>
      </c>
      <c r="FQ92" s="3">
        <v>1</v>
      </c>
      <c r="FR92" s="3"/>
      <c r="FS92" s="3"/>
      <c r="FT92" s="4"/>
      <c r="FU92" s="3"/>
      <c r="FV92" s="3"/>
      <c r="FW92" s="3"/>
      <c r="FX92" s="3"/>
      <c r="FY92" s="3"/>
      <c r="FZ92" s="3"/>
      <c r="GA92" s="4"/>
      <c r="GB92" s="3"/>
      <c r="GC92" s="3"/>
      <c r="GD92" s="3"/>
      <c r="GE92" s="3"/>
      <c r="GF92" s="3"/>
      <c r="GG92" s="3"/>
      <c r="GH92" s="4"/>
      <c r="GI92" s="3"/>
      <c r="GJ92" s="3"/>
      <c r="GK92" s="3"/>
      <c r="GL92" s="3"/>
      <c r="GM92" s="3"/>
      <c r="GN92" s="3"/>
      <c r="GO92" s="4"/>
      <c r="GP92" s="3"/>
      <c r="GQ92" s="3"/>
      <c r="GR92" s="3"/>
      <c r="GS92" s="3"/>
      <c r="GT92" s="3"/>
      <c r="GU92" s="3"/>
      <c r="GV92" s="4"/>
      <c r="GW92" s="3"/>
      <c r="GX92" s="3"/>
      <c r="GY92" s="3"/>
      <c r="GZ92" s="3"/>
      <c r="HA92" s="3"/>
      <c r="HB92" s="3"/>
      <c r="HC92" s="4"/>
      <c r="HD92" s="3"/>
      <c r="HE92" s="3"/>
      <c r="HF92" s="3"/>
      <c r="HG92" s="3"/>
      <c r="HH92" s="3"/>
      <c r="HI92" s="3"/>
      <c r="HJ92" s="4"/>
      <c r="HK92" s="3"/>
      <c r="HL92" s="3"/>
      <c r="HM92" s="3"/>
      <c r="HN92" s="3"/>
      <c r="HO92" s="3"/>
      <c r="HP92" s="3"/>
      <c r="HQ92" s="4"/>
      <c r="HR92" s="3"/>
      <c r="HS92" s="3"/>
      <c r="HT92" s="3"/>
      <c r="HU92" s="3"/>
      <c r="HV92" s="3"/>
      <c r="HW92" s="3"/>
      <c r="HX92" s="4"/>
      <c r="HY92" s="3"/>
      <c r="HZ92" s="3"/>
      <c r="IA92" s="3"/>
      <c r="IB92" s="3"/>
      <c r="IC92" s="3"/>
      <c r="ID92" s="3"/>
      <c r="IE92" s="4"/>
      <c r="IF92" s="3"/>
      <c r="IG92" s="3"/>
      <c r="IH92" s="3"/>
      <c r="II92" s="3"/>
      <c r="IJ92" s="3"/>
      <c r="IK92" s="3"/>
      <c r="IL92" s="4"/>
      <c r="IM92" s="3"/>
      <c r="IN92" s="3"/>
      <c r="IO92" s="3"/>
      <c r="IP92" s="3"/>
      <c r="IQ92" s="3"/>
      <c r="IR92" s="3"/>
      <c r="IS92" s="4"/>
      <c r="IT92" s="3"/>
      <c r="IU92" s="3"/>
      <c r="IV92" s="3"/>
      <c r="IW92" s="3"/>
      <c r="IX92" s="3"/>
      <c r="IY92" s="3"/>
      <c r="IZ92" s="4"/>
      <c r="JA92" s="3"/>
      <c r="JB92" s="3"/>
      <c r="JC92" s="3"/>
      <c r="JD92" s="3"/>
      <c r="JE92" s="3"/>
      <c r="JF92" s="3"/>
      <c r="JG92" s="4"/>
      <c r="JH92" s="3"/>
      <c r="JI92" s="3"/>
      <c r="JJ92" s="3"/>
      <c r="JK92" s="3"/>
      <c r="JL92" s="3"/>
      <c r="JM92" s="3"/>
      <c r="JN92" s="4"/>
      <c r="JO92" s="3"/>
      <c r="JP92" s="3"/>
      <c r="JQ92" s="3"/>
      <c r="JR92" s="3"/>
      <c r="JS92" s="3"/>
      <c r="JT92" s="3"/>
      <c r="JU92" s="4"/>
      <c r="JV92" s="3"/>
      <c r="JW92" s="3"/>
      <c r="JX92" s="3"/>
      <c r="JY92" s="3"/>
      <c r="JZ92" s="3"/>
      <c r="KA92" s="3"/>
      <c r="KB92" s="4"/>
      <c r="KC92" s="3"/>
      <c r="KD92" s="3"/>
      <c r="KE92" s="3"/>
      <c r="KF92" s="3"/>
      <c r="KG92" s="3"/>
      <c r="KH92" s="3"/>
      <c r="KI92" s="4"/>
      <c r="KJ92" s="3"/>
      <c r="KK92" s="3"/>
      <c r="KL92" s="3"/>
      <c r="KM92" s="3"/>
      <c r="KN92" s="3"/>
      <c r="KO92" s="3"/>
      <c r="KP92" s="4"/>
      <c r="KQ92" s="3"/>
      <c r="KR92" s="3"/>
      <c r="KS92" s="3"/>
      <c r="KT92" s="3"/>
      <c r="KU92" s="3"/>
      <c r="KV92" s="3"/>
      <c r="KW92" s="4"/>
      <c r="KX92" s="3"/>
      <c r="KY92" s="3"/>
      <c r="KZ92" s="3"/>
      <c r="LA92" s="3"/>
      <c r="LB92" s="3"/>
      <c r="LC92" s="3"/>
      <c r="LD92" s="4"/>
      <c r="LE92" s="3"/>
      <c r="LF92" s="3"/>
      <c r="LG92" s="3"/>
      <c r="LH92" s="3"/>
      <c r="LI92" s="3"/>
      <c r="LJ92" s="3"/>
      <c r="LK92" s="4"/>
      <c r="LL92" s="3"/>
      <c r="LM92" s="3"/>
      <c r="LN92" s="3"/>
      <c r="LO92" s="3"/>
      <c r="LP92" s="3"/>
      <c r="LQ92" s="3"/>
      <c r="LR92" s="4"/>
      <c r="LS92" s="3"/>
      <c r="LT92" s="3"/>
      <c r="LU92" s="3"/>
      <c r="LV92" s="3"/>
      <c r="LW92" s="3"/>
      <c r="LX92" s="3"/>
      <c r="LY92" s="4"/>
      <c r="LZ92" s="3"/>
      <c r="MA92" s="3"/>
      <c r="MB92" s="3"/>
      <c r="MC92" s="3"/>
      <c r="MD92" s="3"/>
      <c r="ME92" s="3"/>
      <c r="MF92" s="4"/>
      <c r="MG92" s="3"/>
      <c r="MH92" s="3"/>
      <c r="MI92" s="3"/>
      <c r="MJ92" s="3"/>
      <c r="MK92" s="3"/>
      <c r="ML92" s="3"/>
      <c r="MM92" s="4"/>
      <c r="MN92" s="3"/>
      <c r="MO92" s="3"/>
      <c r="MP92" s="3"/>
      <c r="MQ92" s="3"/>
      <c r="MR92" s="3"/>
      <c r="MS92" s="3"/>
      <c r="MT92" s="4"/>
    </row>
    <row r="94" spans="1:358" x14ac:dyDescent="0.25">
      <c r="B94" t="s">
        <v>199</v>
      </c>
      <c r="C94" t="s">
        <v>200</v>
      </c>
      <c r="D94" t="s">
        <v>201</v>
      </c>
      <c r="E94" t="s">
        <v>202</v>
      </c>
      <c r="F94" t="s">
        <v>207</v>
      </c>
      <c r="G94" t="s">
        <v>203</v>
      </c>
      <c r="H94" t="s">
        <v>204</v>
      </c>
      <c r="I94" t="s">
        <v>48</v>
      </c>
      <c r="J94" t="s">
        <v>406</v>
      </c>
      <c r="K94" t="s">
        <v>205</v>
      </c>
      <c r="L94" t="s">
        <v>206</v>
      </c>
    </row>
    <row r="95" spans="1:358" ht="15" customHeight="1" x14ac:dyDescent="0.25">
      <c r="A95" t="s">
        <v>17</v>
      </c>
      <c r="B95" t="s">
        <v>145</v>
      </c>
      <c r="C95">
        <v>7</v>
      </c>
      <c r="D95">
        <v>28</v>
      </c>
      <c r="E95">
        <v>38</v>
      </c>
      <c r="F95">
        <v>1</v>
      </c>
      <c r="G95" t="s">
        <v>15</v>
      </c>
      <c r="H95" t="s">
        <v>13</v>
      </c>
      <c r="I95" t="s">
        <v>187</v>
      </c>
      <c r="J95" t="s">
        <v>188</v>
      </c>
      <c r="K95" t="s">
        <v>407</v>
      </c>
      <c r="L95" s="51" t="str">
        <f>FindEnd(S37:MT37)</f>
        <v>FT</v>
      </c>
      <c r="N95" s="101"/>
      <c r="O95" s="102"/>
      <c r="P95" s="102"/>
      <c r="Q95" s="102"/>
      <c r="R95" s="103"/>
      <c r="S95" s="102"/>
      <c r="V95" s="34"/>
    </row>
    <row r="96" spans="1:358" x14ac:dyDescent="0.25">
      <c r="B96" t="s">
        <v>148</v>
      </c>
      <c r="C96">
        <v>46</v>
      </c>
      <c r="D96">
        <v>64</v>
      </c>
      <c r="E96">
        <v>69</v>
      </c>
      <c r="F96">
        <v>40</v>
      </c>
      <c r="G96" t="s">
        <v>15</v>
      </c>
      <c r="H96" t="s">
        <v>13</v>
      </c>
      <c r="I96" t="s">
        <v>187</v>
      </c>
      <c r="K96" t="s">
        <v>105</v>
      </c>
      <c r="L96" s="51" t="str">
        <f>FindEnd(S68:MT68)</f>
        <v>FT</v>
      </c>
    </row>
    <row r="97" spans="1:12" x14ac:dyDescent="0.25">
      <c r="B97" t="s">
        <v>16</v>
      </c>
      <c r="C97">
        <v>75</v>
      </c>
      <c r="D97">
        <v>78</v>
      </c>
      <c r="E97">
        <v>81</v>
      </c>
      <c r="F97">
        <v>70</v>
      </c>
      <c r="G97" t="s">
        <v>15</v>
      </c>
      <c r="H97" t="s">
        <v>13</v>
      </c>
      <c r="I97" t="s">
        <v>187</v>
      </c>
      <c r="K97" t="s">
        <v>105</v>
      </c>
      <c r="L97" s="51" t="str">
        <f>FindEnd(S80:MT80)</f>
        <v>FT</v>
      </c>
    </row>
    <row r="98" spans="1:12" x14ac:dyDescent="0.25">
      <c r="F98" s="106" t="s">
        <v>402</v>
      </c>
      <c r="K98" s="51"/>
    </row>
    <row r="99" spans="1:12" x14ac:dyDescent="0.25">
      <c r="K99" s="51"/>
    </row>
    <row r="100" spans="1:12" x14ac:dyDescent="0.25">
      <c r="K100" s="51"/>
    </row>
    <row r="101" spans="1:12" x14ac:dyDescent="0.25">
      <c r="K101" s="51"/>
    </row>
    <row r="102" spans="1:12" hidden="1" x14ac:dyDescent="0.25">
      <c r="A102" s="8" t="s">
        <v>112</v>
      </c>
      <c r="B102" s="8" t="s">
        <v>111</v>
      </c>
      <c r="C102" s="8" t="s">
        <v>110</v>
      </c>
      <c r="D102" s="8" t="s">
        <v>109</v>
      </c>
      <c r="E102" s="18">
        <v>40099</v>
      </c>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x14ac:dyDescent="0.25">
      <c r="A108" s="8" t="s">
        <v>72</v>
      </c>
      <c r="B108" s="8"/>
      <c r="C108" s="8" t="s">
        <v>71</v>
      </c>
      <c r="D108" s="8" t="s">
        <v>70</v>
      </c>
      <c r="E108" s="18">
        <v>40754</v>
      </c>
    </row>
    <row r="109" spans="1:12" x14ac:dyDescent="0.25">
      <c r="A109" s="8" t="s">
        <v>69</v>
      </c>
      <c r="B109" s="8"/>
      <c r="C109" s="8" t="s">
        <v>68</v>
      </c>
      <c r="D109" s="8" t="s">
        <v>67</v>
      </c>
      <c r="E109" s="18"/>
    </row>
    <row r="110" spans="1:12" hidden="1" x14ac:dyDescent="0.25">
      <c r="A110" s="8" t="s">
        <v>66</v>
      </c>
      <c r="B110" s="8" t="s">
        <v>65</v>
      </c>
      <c r="C110" s="8" t="s">
        <v>64</v>
      </c>
      <c r="D110" s="8" t="s">
        <v>63</v>
      </c>
      <c r="E110" s="18">
        <v>39713</v>
      </c>
    </row>
    <row r="111" spans="1:12" x14ac:dyDescent="0.25">
      <c r="A111" s="8" t="s">
        <v>61</v>
      </c>
      <c r="B111" s="8"/>
      <c r="C111" s="8" t="s">
        <v>60</v>
      </c>
      <c r="D111" s="8" t="s">
        <v>59</v>
      </c>
      <c r="E111" s="18"/>
    </row>
    <row r="112" spans="1:12" hidden="1" x14ac:dyDescent="0.25">
      <c r="A112" s="8" t="s">
        <v>58</v>
      </c>
      <c r="B112" s="8"/>
      <c r="C112" s="8" t="s">
        <v>57</v>
      </c>
      <c r="D112" s="8"/>
      <c r="E112" s="18"/>
    </row>
    <row r="113" spans="1:5" x14ac:dyDescent="0.25">
      <c r="A113" s="8" t="s">
        <v>56</v>
      </c>
      <c r="B113" s="8"/>
      <c r="C113" s="8" t="s">
        <v>14</v>
      </c>
      <c r="D113" s="8"/>
      <c r="E113" s="18"/>
    </row>
    <row r="114" spans="1:5" x14ac:dyDescent="0.25">
      <c r="A114" s="8" t="s">
        <v>55</v>
      </c>
      <c r="B114" s="8"/>
      <c r="C114" s="31" t="s">
        <v>54</v>
      </c>
      <c r="D114" s="8"/>
      <c r="E114" s="18"/>
    </row>
    <row r="115" spans="1:5" x14ac:dyDescent="0.25">
      <c r="A115" s="8" t="s">
        <v>53</v>
      </c>
      <c r="B115" s="8"/>
      <c r="C115" s="31" t="s">
        <v>52</v>
      </c>
      <c r="D115" s="8"/>
      <c r="E115" s="18"/>
    </row>
    <row r="116" spans="1:5" x14ac:dyDescent="0.25">
      <c r="A116" s="8" t="s">
        <v>51</v>
      </c>
      <c r="B116" s="8"/>
      <c r="C116" s="31" t="s">
        <v>50</v>
      </c>
      <c r="D116" s="8"/>
      <c r="E116" s="18"/>
    </row>
    <row r="117" spans="1:5" x14ac:dyDescent="0.25">
      <c r="A117" s="8" t="s">
        <v>62</v>
      </c>
      <c r="B117" s="8"/>
      <c r="C117" s="31" t="s">
        <v>292</v>
      </c>
      <c r="D117" s="8" t="s">
        <v>293</v>
      </c>
    </row>
    <row r="120" spans="1:5" x14ac:dyDescent="0.25">
      <c r="A120" s="145" t="s">
        <v>560</v>
      </c>
      <c r="B120" s="41"/>
      <c r="C120" s="41"/>
      <c r="D120" s="41"/>
      <c r="E120" s="41"/>
    </row>
    <row r="121" spans="1:5" x14ac:dyDescent="0.25">
      <c r="A121" t="s">
        <v>556</v>
      </c>
      <c r="D121" s="144" t="s">
        <v>558</v>
      </c>
    </row>
    <row r="122" spans="1:5" x14ac:dyDescent="0.25">
      <c r="A122" t="s">
        <v>559</v>
      </c>
      <c r="D122" s="144" t="s">
        <v>557</v>
      </c>
    </row>
  </sheetData>
  <dataConsolidate/>
  <mergeCells count="12">
    <mergeCell ref="A71:E72"/>
    <mergeCell ref="P71:P72"/>
    <mergeCell ref="R71:R72"/>
    <mergeCell ref="R2:R3"/>
    <mergeCell ref="A2:E3"/>
    <mergeCell ref="P2:P3"/>
    <mergeCell ref="A41:E42"/>
    <mergeCell ref="P41:P42"/>
    <mergeCell ref="R41:R42"/>
    <mergeCell ref="Q2:Q3"/>
    <mergeCell ref="Q41:Q42"/>
    <mergeCell ref="Q71:Q72"/>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FJ7:FK20 FJ24:FK28 FJ21 FJ22:FK22 FK21 FJ23:FK23 FS7 FS8:FS20 D121:D122 FS24:FS27 FS22 FT7:FT28" numberStoredAsText="1"/>
    <ignoredError sqref="P31 Q28 FU38:MT38" formula="1"/>
    <ignoredError sqref="AI69:CV69 CY72 AI81:CV84 AI80:BL80 BN80:CV80 AI90:CV91 AI85:CR85 CT85 AI92:CR92 CT92 CY73:DF84 DA72:DF72 CY69:DF69 CY90:DF91 CY85:DA85 DC85:DD85 CY92:DA92 DC92:DD92 DI72:DO84 DI69:DO69 DS70:DW71 DR69:DW69 DI90:DO91 DI85:DJ85 DL85 DF85 DF92 DI92:DJ92 DL92 DO85 DO92 AI72:CV79 AI70:BY71 DR79:DU79 DR77:DS77 DU77 DR74:DW74 DR72:DS73 DU72:DU73 DR76:DW76 DR75:DS75 DU75 DR78:DT78 DR81:DW84 DR80:DS80 DU80 DR86:DW88 DR85:DS85 DU85 DR91:DW91 DR90:DS90 DU90:DW90 DR92:DS92 DU92 DZ72:EB72 ED72 DW79 DZ77:EB77 DZ80:EB80 ED80 DZ85:EA85 ED85 DZ90:EB90 ED90 DZ92:EA92 ED92 EF90 EF76 DZ91:EF91 DZ86:EF88 DZ82:EF84 ED77:EF77 DZ78:EF79 EB70:EF71 DZ73:EF74 DZ69:EF69 EI69:EP69 EI73:EP74 EK70:EP71 FT90:MT92 DZ81:EE81 ES72:EW72 FB72:FF72 FK72:FL72 FN72 FT72:MT72 EI79:EP79 EI77:EK77 EM77 EI81:EP84 EI80:EK80 EM80 EI86:EP88 EI85:EJ85 EM85 EI91:EP91 EI90:EK90 EM90 EI92:EJ92 EM92 EI72:EK72 EM72 EP72 EI78:EN78 EP77:EP78 EP80 EP85 EP90 EP92 EI76:EP76 EI75:EK75 DZ75:ED76 EY72 ET70:EY71 ES73:EY76 ES69:EY69 FT69:MT69 ES91:EY91 ES85 ES92 ES86:EY88 FT73:MT88 DI86:DO88 CY86:DF88 AI86:CV88 ES81:EY84 ES80:ET80 EV80 ES78:EY79 ES77:ET77 EV77 EY77 EY80 EY85 ES90:EV90 EY90 EY92 FB73:FH76 FC70:FH71 FH72 FB69:FH69 FB91:FH91 FU71:MT71 FU70:MT70 FB78:FH79 FB77:FC77 FE77 FB81:FH84 FB80:FC80 FE80 FB86:FH88 FB85 FB90:FC90 FE90:FH90 FB92 FH77 FH80 FL70:FQ70 FL71:FQ71 FK73:FQ76 FK69:FQ69 FP72:FQ72 FK91:FQ91 FK86:FQ88 FK85 FN85 FK92 FN92 FK81:FQ84 FK80:FL80 FN80:FQ80 FK78:FQ79 FK77:FL77 FN77 FQ77 A38:P38 EX38:EZ38 FH38:FI38 FK38 FK90:FL90 FN90 FP90:FQ90" formulaRange="1"/>
    <ignoredError sqref="FL38:FQ38 FJ38 FA38:FG38 Q38:EW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94</xdr:row>
                    <xdr:rowOff>28575</xdr:rowOff>
                  </from>
                  <to>
                    <xdr:col>0</xdr:col>
                    <xdr:colOff>676275</xdr:colOff>
                    <xdr:row>96</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98</xdr:row>
                    <xdr:rowOff>28575</xdr:rowOff>
                  </from>
                  <to>
                    <xdr:col>9</xdr:col>
                    <xdr:colOff>47625</xdr:colOff>
                    <xdr:row>99</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76"/>
  <sheetViews>
    <sheetView workbookViewId="0">
      <selection activeCell="B17" sqref="B17"/>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2"/>
      <c r="B9" s="73"/>
      <c r="C9" s="74"/>
      <c r="D9" s="73"/>
    </row>
    <row r="10" spans="1:4" x14ac:dyDescent="0.25">
      <c r="A10" s="72"/>
      <c r="B10" s="73"/>
      <c r="C10" s="74"/>
      <c r="D10" s="73"/>
    </row>
    <row r="11" spans="1:4" x14ac:dyDescent="0.25">
      <c r="A11" s="72"/>
      <c r="B11" s="73"/>
      <c r="C11" s="74"/>
      <c r="D11" s="73"/>
    </row>
    <row r="12" spans="1:4" x14ac:dyDescent="0.25">
      <c r="A12" s="72"/>
      <c r="B12" s="73"/>
      <c r="C12" s="74"/>
      <c r="D12" s="73"/>
    </row>
    <row r="13" spans="1:4" x14ac:dyDescent="0.25">
      <c r="A13" s="72"/>
      <c r="B13" s="73"/>
      <c r="C13" s="74"/>
      <c r="D13" s="73"/>
    </row>
    <row r="14" spans="1:4" x14ac:dyDescent="0.25">
      <c r="A14" s="72"/>
      <c r="B14" s="73"/>
      <c r="C14" s="74"/>
      <c r="D14" s="73"/>
    </row>
    <row r="15" spans="1:4" x14ac:dyDescent="0.25">
      <c r="A15" s="72"/>
      <c r="B15" s="73"/>
      <c r="C15" s="74"/>
      <c r="D15" s="73"/>
    </row>
    <row r="16" spans="1:4" x14ac:dyDescent="0.25">
      <c r="A16" s="75">
        <v>44107</v>
      </c>
      <c r="B16" s="74" t="s">
        <v>549</v>
      </c>
      <c r="C16" s="74"/>
      <c r="D16" s="73"/>
    </row>
    <row r="17" spans="1:4" ht="120" x14ac:dyDescent="0.25">
      <c r="A17" s="72"/>
      <c r="B17" s="76" t="s">
        <v>566</v>
      </c>
      <c r="C17" s="74"/>
      <c r="D17" s="73"/>
    </row>
    <row r="18" spans="1:4" x14ac:dyDescent="0.25">
      <c r="A18" s="75">
        <v>44106</v>
      </c>
      <c r="B18" s="74" t="s">
        <v>481</v>
      </c>
      <c r="C18" s="74"/>
      <c r="D18" s="74" t="s">
        <v>449</v>
      </c>
    </row>
    <row r="19" spans="1:4" ht="75" x14ac:dyDescent="0.25">
      <c r="A19" s="72"/>
      <c r="B19" s="76" t="s">
        <v>565</v>
      </c>
      <c r="C19" s="74"/>
      <c r="D19" s="76" t="s">
        <v>564</v>
      </c>
    </row>
    <row r="20" spans="1:4" x14ac:dyDescent="0.25">
      <c r="A20" s="75">
        <v>44105</v>
      </c>
      <c r="B20" s="74" t="s">
        <v>551</v>
      </c>
      <c r="C20" s="74"/>
      <c r="D20" s="74" t="s">
        <v>454</v>
      </c>
    </row>
    <row r="21" spans="1:4" ht="75" x14ac:dyDescent="0.25">
      <c r="A21" s="72"/>
      <c r="B21" s="76" t="s">
        <v>552</v>
      </c>
      <c r="C21" s="74"/>
      <c r="D21" s="76" t="s">
        <v>563</v>
      </c>
    </row>
    <row r="22" spans="1:4" x14ac:dyDescent="0.25">
      <c r="A22" s="75">
        <v>44103</v>
      </c>
      <c r="B22" s="74" t="s">
        <v>528</v>
      </c>
      <c r="C22" s="74"/>
      <c r="D22" s="74" t="s">
        <v>550</v>
      </c>
    </row>
    <row r="23" spans="1:4" ht="90" x14ac:dyDescent="0.25">
      <c r="A23" s="72"/>
      <c r="B23" s="76" t="s">
        <v>548</v>
      </c>
      <c r="C23" s="74"/>
      <c r="D23" s="76" t="s">
        <v>547</v>
      </c>
    </row>
    <row r="24" spans="1:4" x14ac:dyDescent="0.25">
      <c r="A24" s="75">
        <v>44102</v>
      </c>
      <c r="B24" s="74" t="s">
        <v>454</v>
      </c>
      <c r="C24" s="74"/>
      <c r="D24" s="73"/>
    </row>
    <row r="25" spans="1:4" ht="60" x14ac:dyDescent="0.25">
      <c r="A25" s="72"/>
      <c r="B25" s="76" t="s">
        <v>546</v>
      </c>
      <c r="C25" s="74"/>
      <c r="D25" s="73"/>
    </row>
    <row r="26" spans="1:4" x14ac:dyDescent="0.25">
      <c r="A26" s="72"/>
      <c r="B26" s="73"/>
      <c r="C26" s="74"/>
      <c r="D26" s="73"/>
    </row>
    <row r="27" spans="1:4" x14ac:dyDescent="0.25">
      <c r="A27" s="75">
        <v>44100</v>
      </c>
      <c r="B27" s="74" t="s">
        <v>542</v>
      </c>
      <c r="C27" s="74"/>
      <c r="D27" s="73"/>
    </row>
    <row r="28" spans="1:4" ht="75" x14ac:dyDescent="0.25">
      <c r="A28" s="72"/>
      <c r="B28" s="76" t="s">
        <v>543</v>
      </c>
      <c r="C28" s="74"/>
      <c r="D28" s="73"/>
    </row>
    <row r="29" spans="1:4" x14ac:dyDescent="0.25">
      <c r="A29" s="75">
        <v>44099</v>
      </c>
      <c r="B29" s="74" t="s">
        <v>528</v>
      </c>
      <c r="C29" s="74"/>
      <c r="D29" s="74" t="s">
        <v>454</v>
      </c>
    </row>
    <row r="30" spans="1:4" ht="60" x14ac:dyDescent="0.25">
      <c r="A30" s="72"/>
      <c r="B30" s="76" t="s">
        <v>540</v>
      </c>
      <c r="C30" s="74"/>
      <c r="D30" s="76" t="s">
        <v>541</v>
      </c>
    </row>
    <row r="31" spans="1:4" x14ac:dyDescent="0.25">
      <c r="A31" s="75">
        <v>44098</v>
      </c>
      <c r="B31" s="74" t="s">
        <v>537</v>
      </c>
      <c r="C31" s="74"/>
      <c r="D31" s="74" t="s">
        <v>449</v>
      </c>
    </row>
    <row r="32" spans="1:4" ht="105" x14ac:dyDescent="0.25">
      <c r="A32" s="72"/>
      <c r="B32" s="76" t="s">
        <v>539</v>
      </c>
      <c r="C32" s="74"/>
      <c r="D32" s="76" t="s">
        <v>538</v>
      </c>
    </row>
    <row r="33" spans="1:4" x14ac:dyDescent="0.25">
      <c r="A33" s="75">
        <v>44097</v>
      </c>
      <c r="B33" s="74" t="s">
        <v>535</v>
      </c>
      <c r="C33" s="74"/>
      <c r="D33" s="76"/>
    </row>
    <row r="34" spans="1:4" ht="60" x14ac:dyDescent="0.25">
      <c r="A34" s="72"/>
      <c r="B34" s="76" t="s">
        <v>536</v>
      </c>
      <c r="C34" s="74"/>
      <c r="D34" s="73"/>
    </row>
    <row r="35" spans="1:4" x14ac:dyDescent="0.25">
      <c r="A35" s="75">
        <v>44096</v>
      </c>
      <c r="B35" s="74" t="s">
        <v>531</v>
      </c>
      <c r="C35" s="74"/>
      <c r="D35" s="74" t="s">
        <v>533</v>
      </c>
    </row>
    <row r="36" spans="1:4" ht="105" x14ac:dyDescent="0.25">
      <c r="A36" s="72"/>
      <c r="B36" s="76" t="s">
        <v>532</v>
      </c>
      <c r="C36" s="74"/>
      <c r="D36" s="76" t="s">
        <v>534</v>
      </c>
    </row>
    <row r="37" spans="1:4" x14ac:dyDescent="0.25">
      <c r="A37" s="75">
        <v>44095</v>
      </c>
      <c r="B37" s="74" t="s">
        <v>528</v>
      </c>
      <c r="C37" s="74"/>
      <c r="D37" s="73"/>
    </row>
    <row r="38" spans="1:4" ht="90" x14ac:dyDescent="0.25">
      <c r="A38" s="72"/>
      <c r="B38" s="76" t="s">
        <v>529</v>
      </c>
      <c r="C38" s="74"/>
      <c r="D38" s="73"/>
    </row>
    <row r="39" spans="1:4" x14ac:dyDescent="0.25">
      <c r="A39" s="72"/>
      <c r="B39" s="73"/>
      <c r="C39" s="74"/>
      <c r="D39" s="73"/>
    </row>
    <row r="40" spans="1:4" x14ac:dyDescent="0.25">
      <c r="A40" s="75">
        <v>44092</v>
      </c>
      <c r="B40" s="73"/>
      <c r="C40" s="74"/>
      <c r="D40" s="74" t="s">
        <v>454</v>
      </c>
    </row>
    <row r="41" spans="1:4" ht="45" x14ac:dyDescent="0.25">
      <c r="A41" s="72"/>
      <c r="B41" s="73"/>
      <c r="C41" s="74"/>
      <c r="D41" s="76" t="s">
        <v>527</v>
      </c>
    </row>
    <row r="42" spans="1:4" x14ac:dyDescent="0.25">
      <c r="A42" s="75">
        <v>44091</v>
      </c>
      <c r="B42" s="74" t="s">
        <v>520</v>
      </c>
      <c r="C42" s="74"/>
      <c r="D42" s="74" t="s">
        <v>517</v>
      </c>
    </row>
    <row r="43" spans="1:4" ht="105" x14ac:dyDescent="0.25">
      <c r="A43" s="72"/>
      <c r="B43" s="76" t="s">
        <v>519</v>
      </c>
      <c r="C43" s="74"/>
      <c r="D43" s="76" t="s">
        <v>518</v>
      </c>
    </row>
    <row r="44" spans="1:4" x14ac:dyDescent="0.25">
      <c r="A44" s="75">
        <v>44090</v>
      </c>
      <c r="B44" s="74" t="s">
        <v>521</v>
      </c>
      <c r="C44" s="74"/>
      <c r="D44" s="73"/>
    </row>
    <row r="45" spans="1:4" ht="180" x14ac:dyDescent="0.25">
      <c r="A45" s="72"/>
      <c r="B45" s="76" t="s">
        <v>516</v>
      </c>
      <c r="C45" s="74"/>
      <c r="D45" s="73"/>
    </row>
    <row r="46" spans="1:4" x14ac:dyDescent="0.25">
      <c r="A46" s="75">
        <v>44089</v>
      </c>
      <c r="B46" s="74" t="s">
        <v>462</v>
      </c>
      <c r="C46" s="74"/>
      <c r="D46" s="74" t="s">
        <v>474</v>
      </c>
    </row>
    <row r="47" spans="1:4" ht="75" x14ac:dyDescent="0.25">
      <c r="A47" s="72"/>
      <c r="B47" s="76" t="s">
        <v>511</v>
      </c>
      <c r="C47" s="74"/>
      <c r="D47" s="76" t="s">
        <v>510</v>
      </c>
    </row>
    <row r="48" spans="1:4" x14ac:dyDescent="0.25">
      <c r="A48" s="75">
        <v>44088</v>
      </c>
      <c r="B48" s="74" t="s">
        <v>522</v>
      </c>
      <c r="C48" s="74"/>
      <c r="D48" s="73"/>
    </row>
    <row r="49" spans="1:4" ht="45" x14ac:dyDescent="0.25">
      <c r="A49" s="72"/>
      <c r="B49" s="76" t="s">
        <v>509</v>
      </c>
      <c r="C49" s="74"/>
      <c r="D49" s="73"/>
    </row>
    <row r="50" spans="1:4" x14ac:dyDescent="0.25">
      <c r="A50" s="72"/>
      <c r="B50" s="73"/>
      <c r="C50" s="74"/>
      <c r="D50" s="73"/>
    </row>
    <row r="51" spans="1:4" x14ac:dyDescent="0.25">
      <c r="A51" s="75">
        <v>44087</v>
      </c>
      <c r="B51" s="74" t="s">
        <v>507</v>
      </c>
      <c r="C51" s="74"/>
    </row>
    <row r="52" spans="1:4" ht="120" x14ac:dyDescent="0.25">
      <c r="A52" s="72"/>
      <c r="B52" s="76" t="s">
        <v>506</v>
      </c>
      <c r="C52" s="74"/>
      <c r="D52" s="73"/>
    </row>
    <row r="53" spans="1:4" x14ac:dyDescent="0.25">
      <c r="A53" s="75">
        <v>44085</v>
      </c>
      <c r="B53" s="74" t="s">
        <v>492</v>
      </c>
      <c r="C53" s="74"/>
      <c r="D53" s="74" t="s">
        <v>450</v>
      </c>
    </row>
    <row r="54" spans="1:4" ht="210" x14ac:dyDescent="0.25">
      <c r="A54" s="72"/>
      <c r="B54" s="76" t="s">
        <v>494</v>
      </c>
      <c r="C54" s="74"/>
      <c r="D54" s="76" t="s">
        <v>493</v>
      </c>
    </row>
    <row r="55" spans="1:4" x14ac:dyDescent="0.25">
      <c r="A55" s="75">
        <v>44084</v>
      </c>
      <c r="B55" s="74" t="s">
        <v>489</v>
      </c>
      <c r="C55" s="74"/>
      <c r="D55" s="74" t="s">
        <v>449</v>
      </c>
    </row>
    <row r="56" spans="1:4" ht="45" x14ac:dyDescent="0.25">
      <c r="A56" s="72"/>
      <c r="B56" s="76" t="s">
        <v>490</v>
      </c>
      <c r="C56" s="74"/>
      <c r="D56" s="76" t="s">
        <v>491</v>
      </c>
    </row>
    <row r="57" spans="1:4" x14ac:dyDescent="0.25">
      <c r="A57" s="75">
        <v>44082</v>
      </c>
      <c r="B57" s="74" t="s">
        <v>465</v>
      </c>
      <c r="C57" s="74"/>
      <c r="D57" s="74" t="s">
        <v>450</v>
      </c>
    </row>
    <row r="58" spans="1:4" ht="90" x14ac:dyDescent="0.25">
      <c r="A58" s="72"/>
      <c r="B58" s="76" t="s">
        <v>485</v>
      </c>
      <c r="C58" s="74"/>
      <c r="D58" s="76" t="s">
        <v>483</v>
      </c>
    </row>
    <row r="59" spans="1:4" x14ac:dyDescent="0.25">
      <c r="A59" s="75">
        <v>44081</v>
      </c>
      <c r="B59" s="74" t="s">
        <v>481</v>
      </c>
      <c r="C59" s="74"/>
      <c r="D59" s="73"/>
    </row>
    <row r="60" spans="1:4" ht="120" x14ac:dyDescent="0.25">
      <c r="A60" s="72"/>
      <c r="B60" s="76" t="s">
        <v>484</v>
      </c>
      <c r="C60" s="74"/>
      <c r="D60" s="73"/>
    </row>
    <row r="61" spans="1:4" x14ac:dyDescent="0.25">
      <c r="A61" s="72"/>
      <c r="B61" s="73"/>
      <c r="C61" s="74"/>
      <c r="D61" s="73"/>
    </row>
    <row r="62" spans="1:4" x14ac:dyDescent="0.25">
      <c r="A62" s="75">
        <v>44078</v>
      </c>
      <c r="B62" s="74" t="s">
        <v>474</v>
      </c>
      <c r="C62" s="74"/>
      <c r="D62" s="74" t="s">
        <v>475</v>
      </c>
    </row>
    <row r="63" spans="1:4" ht="75" x14ac:dyDescent="0.25">
      <c r="A63" s="72"/>
      <c r="B63" s="76" t="s">
        <v>477</v>
      </c>
      <c r="C63" s="74"/>
      <c r="D63" s="76" t="s">
        <v>476</v>
      </c>
    </row>
    <row r="64" spans="1:4" x14ac:dyDescent="0.25">
      <c r="A64" s="75">
        <v>44077</v>
      </c>
      <c r="B64" s="74" t="s">
        <v>465</v>
      </c>
      <c r="C64" s="74"/>
      <c r="D64" s="74" t="s">
        <v>454</v>
      </c>
    </row>
    <row r="65" spans="1:4" ht="75" x14ac:dyDescent="0.25">
      <c r="A65" s="72"/>
      <c r="B65" s="76" t="s">
        <v>480</v>
      </c>
      <c r="C65" s="74"/>
      <c r="D65" s="76" t="s">
        <v>466</v>
      </c>
    </row>
    <row r="66" spans="1:4" x14ac:dyDescent="0.25">
      <c r="A66" s="75">
        <v>44075</v>
      </c>
      <c r="B66" s="74" t="s">
        <v>462</v>
      </c>
      <c r="C66" s="74"/>
      <c r="D66" s="74" t="s">
        <v>450</v>
      </c>
    </row>
    <row r="67" spans="1:4" ht="60" x14ac:dyDescent="0.25">
      <c r="A67" s="72"/>
      <c r="B67" s="76" t="s">
        <v>464</v>
      </c>
      <c r="C67" s="74"/>
      <c r="D67" s="76" t="s">
        <v>463</v>
      </c>
    </row>
    <row r="68" spans="1:4" x14ac:dyDescent="0.25">
      <c r="A68" s="75">
        <v>44074</v>
      </c>
      <c r="B68" s="74" t="s">
        <v>453</v>
      </c>
      <c r="C68" s="74"/>
      <c r="D68" s="73"/>
    </row>
    <row r="69" spans="1:4" ht="74.25" customHeight="1" x14ac:dyDescent="0.25">
      <c r="A69" s="72"/>
      <c r="B69" s="76" t="s">
        <v>458</v>
      </c>
      <c r="C69" s="74"/>
      <c r="D69" s="73"/>
    </row>
    <row r="70" spans="1:4" x14ac:dyDescent="0.25">
      <c r="A70" s="72"/>
      <c r="B70" s="73"/>
      <c r="C70" s="74"/>
      <c r="D70" s="73"/>
    </row>
    <row r="71" spans="1:4" x14ac:dyDescent="0.25">
      <c r="A71" s="75">
        <v>44071</v>
      </c>
      <c r="B71" s="74" t="s">
        <v>453</v>
      </c>
      <c r="C71" s="74"/>
      <c r="D71" s="74" t="s">
        <v>454</v>
      </c>
    </row>
    <row r="72" spans="1:4" ht="105" x14ac:dyDescent="0.25">
      <c r="A72" s="72"/>
      <c r="B72" s="76" t="s">
        <v>456</v>
      </c>
      <c r="C72" s="74"/>
      <c r="D72" s="76" t="s">
        <v>455</v>
      </c>
    </row>
    <row r="73" spans="1:4" x14ac:dyDescent="0.25">
      <c r="A73" s="75">
        <v>44070</v>
      </c>
      <c r="B73" s="74" t="s">
        <v>449</v>
      </c>
      <c r="C73" s="74"/>
      <c r="D73" s="74" t="s">
        <v>450</v>
      </c>
    </row>
    <row r="74" spans="1:4" ht="90" x14ac:dyDescent="0.25">
      <c r="A74" s="72"/>
      <c r="B74" s="76" t="s">
        <v>451</v>
      </c>
      <c r="C74" s="74"/>
      <c r="D74" s="76" t="s">
        <v>452</v>
      </c>
    </row>
    <row r="75" spans="1:4" x14ac:dyDescent="0.25">
      <c r="A75" s="75">
        <v>44068</v>
      </c>
      <c r="B75" s="74" t="s">
        <v>445</v>
      </c>
      <c r="C75" s="74"/>
      <c r="D75" s="74" t="s">
        <v>446</v>
      </c>
    </row>
    <row r="76" spans="1:4" ht="75" x14ac:dyDescent="0.25">
      <c r="A76" s="72"/>
      <c r="B76" s="76" t="s">
        <v>447</v>
      </c>
      <c r="C76" s="74"/>
      <c r="D76" s="76" t="s">
        <v>448</v>
      </c>
    </row>
    <row r="77" spans="1:4" x14ac:dyDescent="0.25">
      <c r="A77" s="72"/>
      <c r="B77" s="73"/>
      <c r="C77" s="74"/>
      <c r="D77" s="73"/>
    </row>
    <row r="78" spans="1:4" x14ac:dyDescent="0.25">
      <c r="A78" s="75">
        <v>44066</v>
      </c>
      <c r="B78" s="74" t="s">
        <v>442</v>
      </c>
      <c r="C78" s="74"/>
      <c r="D78" s="73"/>
    </row>
    <row r="79" spans="1:4" ht="60" x14ac:dyDescent="0.25">
      <c r="A79" s="72"/>
      <c r="B79" s="76" t="s">
        <v>443</v>
      </c>
      <c r="C79" s="74"/>
      <c r="D79" s="73"/>
    </row>
    <row r="80" spans="1:4" x14ac:dyDescent="0.25">
      <c r="A80" s="75">
        <v>44064</v>
      </c>
      <c r="B80" s="74" t="s">
        <v>439</v>
      </c>
      <c r="C80" s="74"/>
      <c r="D80" s="73"/>
    </row>
    <row r="81" spans="1:4" ht="90" x14ac:dyDescent="0.25">
      <c r="A81" s="72"/>
      <c r="B81" s="76" t="s">
        <v>440</v>
      </c>
      <c r="C81" s="74"/>
      <c r="D81" s="73"/>
    </row>
    <row r="82" spans="1:4" x14ac:dyDescent="0.25">
      <c r="A82" s="75">
        <v>44063</v>
      </c>
      <c r="B82" s="74" t="s">
        <v>437</v>
      </c>
      <c r="C82" s="74"/>
      <c r="D82" s="73"/>
    </row>
    <row r="83" spans="1:4" ht="75" x14ac:dyDescent="0.25">
      <c r="A83" s="72"/>
      <c r="B83" s="76" t="s">
        <v>438</v>
      </c>
      <c r="C83" s="74"/>
      <c r="D83" s="73"/>
    </row>
    <row r="84" spans="1:4" x14ac:dyDescent="0.25">
      <c r="A84" s="75">
        <v>44061</v>
      </c>
      <c r="B84" s="74" t="s">
        <v>433</v>
      </c>
      <c r="C84" s="74"/>
      <c r="D84" s="73"/>
    </row>
    <row r="85" spans="1:4" ht="120" x14ac:dyDescent="0.25">
      <c r="A85" s="72"/>
      <c r="B85" s="76" t="s">
        <v>434</v>
      </c>
      <c r="C85" s="74"/>
      <c r="D85" s="73"/>
    </row>
    <row r="86" spans="1:4" x14ac:dyDescent="0.25">
      <c r="A86" s="72"/>
      <c r="B86" s="76"/>
      <c r="C86" s="74"/>
      <c r="D86" s="73"/>
    </row>
    <row r="87" spans="1:4" x14ac:dyDescent="0.25">
      <c r="A87" s="75">
        <v>44059</v>
      </c>
      <c r="B87" s="74" t="s">
        <v>372</v>
      </c>
      <c r="C87" s="74"/>
      <c r="D87" s="73"/>
    </row>
    <row r="88" spans="1:4" ht="45" x14ac:dyDescent="0.25">
      <c r="A88" s="72"/>
      <c r="B88" s="76" t="s">
        <v>420</v>
      </c>
      <c r="C88" s="74"/>
      <c r="D88" s="73"/>
    </row>
    <row r="89" spans="1:4" x14ac:dyDescent="0.25">
      <c r="A89" s="75">
        <v>44057</v>
      </c>
      <c r="B89" s="74" t="s">
        <v>423</v>
      </c>
      <c r="C89" s="74"/>
      <c r="D89" s="73"/>
    </row>
    <row r="90" spans="1:4" ht="60" x14ac:dyDescent="0.25">
      <c r="A90" s="72"/>
      <c r="B90" s="76" t="s">
        <v>418</v>
      </c>
      <c r="C90" s="74"/>
      <c r="D90" s="73"/>
    </row>
    <row r="91" spans="1:4" x14ac:dyDescent="0.25">
      <c r="A91" s="75">
        <v>44056</v>
      </c>
      <c r="B91" s="74" t="s">
        <v>416</v>
      </c>
      <c r="C91" s="74"/>
      <c r="D91" s="73"/>
    </row>
    <row r="92" spans="1:4" x14ac:dyDescent="0.25">
      <c r="A92" s="72"/>
      <c r="B92" s="73" t="s">
        <v>417</v>
      </c>
      <c r="C92" s="74"/>
      <c r="D92" s="73"/>
    </row>
    <row r="93" spans="1:4" x14ac:dyDescent="0.25">
      <c r="A93" s="75">
        <v>44054</v>
      </c>
      <c r="B93" s="74" t="s">
        <v>414</v>
      </c>
      <c r="C93" s="74"/>
      <c r="D93" s="73"/>
    </row>
    <row r="94" spans="1:4" ht="75" x14ac:dyDescent="0.25">
      <c r="A94" s="72"/>
      <c r="B94" s="76" t="s">
        <v>415</v>
      </c>
      <c r="C94" s="74"/>
      <c r="D94" s="73"/>
    </row>
    <row r="95" spans="1:4" x14ac:dyDescent="0.25">
      <c r="A95" s="72"/>
      <c r="B95" s="73"/>
      <c r="C95" s="74"/>
      <c r="D95" s="73"/>
    </row>
    <row r="96" spans="1:4" x14ac:dyDescent="0.25">
      <c r="A96" s="75">
        <v>44052</v>
      </c>
      <c r="B96" s="74" t="s">
        <v>346</v>
      </c>
      <c r="C96" s="74"/>
      <c r="D96" s="73"/>
    </row>
    <row r="97" spans="1:4" ht="90" x14ac:dyDescent="0.25">
      <c r="A97" s="72"/>
      <c r="B97" s="76" t="s">
        <v>409</v>
      </c>
      <c r="C97" s="74"/>
      <c r="D97" s="73"/>
    </row>
    <row r="98" spans="1:4" x14ac:dyDescent="0.25">
      <c r="A98" s="75">
        <v>44050</v>
      </c>
      <c r="B98" s="74" t="s">
        <v>396</v>
      </c>
      <c r="C98" s="74"/>
      <c r="D98" s="73"/>
    </row>
    <row r="99" spans="1:4" ht="90" x14ac:dyDescent="0.25">
      <c r="A99" s="72"/>
      <c r="B99" s="76" t="s">
        <v>399</v>
      </c>
      <c r="C99" s="74"/>
      <c r="D99" s="73"/>
    </row>
    <row r="100" spans="1:4" x14ac:dyDescent="0.25">
      <c r="A100" s="75">
        <v>44049</v>
      </c>
      <c r="B100" s="74" t="s">
        <v>401</v>
      </c>
      <c r="C100" s="74"/>
      <c r="D100" s="73"/>
    </row>
    <row r="101" spans="1:4" ht="75" x14ac:dyDescent="0.25">
      <c r="A101" s="72"/>
      <c r="B101" s="76" t="s">
        <v>400</v>
      </c>
      <c r="C101" s="74"/>
      <c r="D101" s="73"/>
    </row>
    <row r="102" spans="1:4" x14ac:dyDescent="0.25">
      <c r="A102" s="75">
        <v>44047</v>
      </c>
      <c r="B102" s="74" t="s">
        <v>396</v>
      </c>
      <c r="C102" s="74"/>
      <c r="D102" s="73"/>
    </row>
    <row r="103" spans="1:4" ht="90" x14ac:dyDescent="0.25">
      <c r="A103" s="72"/>
      <c r="B103" s="76" t="s">
        <v>397</v>
      </c>
      <c r="C103" s="74"/>
      <c r="D103" s="73"/>
    </row>
    <row r="104" spans="1:4" x14ac:dyDescent="0.25">
      <c r="A104" s="72"/>
      <c r="B104" s="73"/>
      <c r="C104" s="74"/>
      <c r="D104" s="73"/>
    </row>
    <row r="105" spans="1:4" x14ac:dyDescent="0.25">
      <c r="A105" s="75">
        <v>44045</v>
      </c>
      <c r="B105" s="74" t="s">
        <v>394</v>
      </c>
      <c r="C105" s="74"/>
      <c r="D105" s="73"/>
    </row>
    <row r="106" spans="1:4" ht="60" x14ac:dyDescent="0.25">
      <c r="A106" s="72"/>
      <c r="B106" s="76" t="s">
        <v>395</v>
      </c>
      <c r="C106" s="74"/>
      <c r="D106" s="73"/>
    </row>
    <row r="107" spans="1:4" x14ac:dyDescent="0.25">
      <c r="A107" s="75">
        <v>44042</v>
      </c>
      <c r="B107" s="74" t="s">
        <v>390</v>
      </c>
      <c r="C107" s="74"/>
      <c r="D107" s="73"/>
    </row>
    <row r="108" spans="1:4" ht="45" x14ac:dyDescent="0.25">
      <c r="A108" s="72"/>
      <c r="B108" s="76" t="s">
        <v>389</v>
      </c>
      <c r="C108" s="74"/>
      <c r="D108" s="73"/>
    </row>
    <row r="109" spans="1:4" x14ac:dyDescent="0.25">
      <c r="A109" s="72"/>
      <c r="B109" s="73"/>
      <c r="C109" s="74"/>
      <c r="D109" s="73"/>
    </row>
    <row r="110" spans="1:4" x14ac:dyDescent="0.25">
      <c r="A110" s="75">
        <v>44038</v>
      </c>
      <c r="B110" s="74" t="s">
        <v>385</v>
      </c>
      <c r="C110" s="74"/>
      <c r="D110" s="73"/>
    </row>
    <row r="111" spans="1:4" ht="60" x14ac:dyDescent="0.25">
      <c r="A111" s="72"/>
      <c r="B111" s="76" t="s">
        <v>386</v>
      </c>
      <c r="C111" s="74"/>
      <c r="D111" s="73"/>
    </row>
    <row r="112" spans="1:4" x14ac:dyDescent="0.25">
      <c r="A112" s="75">
        <v>44035</v>
      </c>
      <c r="B112" s="74" t="s">
        <v>374</v>
      </c>
      <c r="C112" s="74"/>
      <c r="D112" s="73"/>
    </row>
    <row r="113" spans="1:4" ht="45" x14ac:dyDescent="0.25">
      <c r="A113" s="72"/>
      <c r="B113" s="76" t="s">
        <v>373</v>
      </c>
      <c r="C113" s="74"/>
      <c r="D113" s="73"/>
    </row>
    <row r="114" spans="1:4" x14ac:dyDescent="0.25">
      <c r="A114" s="72"/>
      <c r="B114" s="73"/>
      <c r="C114" s="74"/>
      <c r="D114" s="73"/>
    </row>
    <row r="115" spans="1:4" x14ac:dyDescent="0.25">
      <c r="A115" s="75">
        <v>44031</v>
      </c>
      <c r="B115" s="74" t="s">
        <v>370</v>
      </c>
      <c r="C115" s="74"/>
      <c r="D115" s="74" t="s">
        <v>372</v>
      </c>
    </row>
    <row r="116" spans="1:4" ht="30" x14ac:dyDescent="0.25">
      <c r="A116" s="72"/>
      <c r="B116" s="76" t="s">
        <v>371</v>
      </c>
      <c r="C116" s="74"/>
      <c r="D116" s="73" t="s">
        <v>347</v>
      </c>
    </row>
    <row r="117" spans="1:4" x14ac:dyDescent="0.25">
      <c r="A117" s="75">
        <v>44028</v>
      </c>
      <c r="B117" s="74" t="s">
        <v>352</v>
      </c>
      <c r="C117" s="74"/>
      <c r="D117" s="73"/>
    </row>
    <row r="118" spans="1:4" x14ac:dyDescent="0.25">
      <c r="A118" s="72"/>
      <c r="B118" s="73" t="s">
        <v>353</v>
      </c>
      <c r="C118" s="74"/>
      <c r="D118" s="73"/>
    </row>
    <row r="119" spans="1:4" x14ac:dyDescent="0.25">
      <c r="A119" s="75">
        <v>44026</v>
      </c>
      <c r="B119" s="74" t="s">
        <v>350</v>
      </c>
      <c r="C119" s="74"/>
      <c r="D119" s="73"/>
    </row>
    <row r="120" spans="1:4" x14ac:dyDescent="0.25">
      <c r="A120" s="72"/>
      <c r="B120" s="73" t="s">
        <v>7</v>
      </c>
      <c r="C120" s="74"/>
      <c r="D120" s="73"/>
    </row>
    <row r="121" spans="1:4" x14ac:dyDescent="0.25">
      <c r="A121" s="72"/>
      <c r="B121" s="73"/>
      <c r="C121" s="74"/>
      <c r="D121" s="73"/>
    </row>
    <row r="122" spans="1:4" x14ac:dyDescent="0.25">
      <c r="A122" s="75">
        <v>44024</v>
      </c>
      <c r="B122" s="74" t="s">
        <v>346</v>
      </c>
      <c r="C122" s="74"/>
      <c r="D122" s="74" t="s">
        <v>349</v>
      </c>
    </row>
    <row r="123" spans="1:4" ht="30" x14ac:dyDescent="0.25">
      <c r="A123" s="72"/>
      <c r="B123" s="76" t="s">
        <v>354</v>
      </c>
      <c r="C123" s="74"/>
      <c r="D123" s="73" t="s">
        <v>347</v>
      </c>
    </row>
    <row r="124" spans="1:4" x14ac:dyDescent="0.25">
      <c r="A124" s="75">
        <v>44022</v>
      </c>
      <c r="B124" s="76"/>
      <c r="C124" s="74"/>
      <c r="D124" s="74" t="s">
        <v>350</v>
      </c>
    </row>
    <row r="125" spans="1:4" x14ac:dyDescent="0.25">
      <c r="A125" s="72"/>
      <c r="B125" s="76"/>
      <c r="C125" s="74"/>
      <c r="D125" s="73" t="s">
        <v>351</v>
      </c>
    </row>
    <row r="126" spans="1:4" x14ac:dyDescent="0.25">
      <c r="A126" s="75">
        <v>44021</v>
      </c>
      <c r="B126" s="74" t="s">
        <v>241</v>
      </c>
      <c r="C126" s="74"/>
      <c r="D126" s="74" t="s">
        <v>295</v>
      </c>
    </row>
    <row r="127" spans="1:4" x14ac:dyDescent="0.25">
      <c r="A127" s="72"/>
      <c r="B127" s="73" t="s">
        <v>345</v>
      </c>
      <c r="C127" s="74"/>
      <c r="D127" s="73" t="s">
        <v>344</v>
      </c>
    </row>
    <row r="128" spans="1:4" x14ac:dyDescent="0.25">
      <c r="A128" s="75">
        <v>44019</v>
      </c>
      <c r="B128" s="74" t="s">
        <v>241</v>
      </c>
      <c r="C128" s="74"/>
      <c r="D128" s="74" t="s">
        <v>295</v>
      </c>
    </row>
    <row r="129" spans="1:4" x14ac:dyDescent="0.25">
      <c r="A129" s="72"/>
      <c r="B129" s="73" t="s">
        <v>299</v>
      </c>
      <c r="C129" s="74"/>
      <c r="D129" s="73" t="s">
        <v>314</v>
      </c>
    </row>
    <row r="130" spans="1:4" x14ac:dyDescent="0.25">
      <c r="A130" s="72"/>
      <c r="B130" s="73"/>
      <c r="C130" s="74"/>
      <c r="D130" s="73"/>
    </row>
    <row r="131" spans="1:4" x14ac:dyDescent="0.25">
      <c r="A131" s="75">
        <v>44015</v>
      </c>
      <c r="B131" s="74" t="s">
        <v>245</v>
      </c>
      <c r="C131" s="74"/>
      <c r="D131" s="73"/>
    </row>
    <row r="132" spans="1:4" ht="75.75" customHeight="1" x14ac:dyDescent="0.25">
      <c r="A132" s="72"/>
      <c r="B132" s="76" t="s">
        <v>313</v>
      </c>
      <c r="C132" s="74"/>
      <c r="D132" s="73"/>
    </row>
    <row r="133" spans="1:4" x14ac:dyDescent="0.25">
      <c r="A133" s="75">
        <v>44014</v>
      </c>
      <c r="B133" s="74" t="s">
        <v>263</v>
      </c>
      <c r="C133" s="74"/>
      <c r="D133" s="74" t="s">
        <v>306</v>
      </c>
    </row>
    <row r="134" spans="1:4" ht="75" x14ac:dyDescent="0.25">
      <c r="A134" s="72"/>
      <c r="B134" s="76" t="s">
        <v>308</v>
      </c>
      <c r="C134" s="74"/>
      <c r="D134" s="76" t="s">
        <v>307</v>
      </c>
    </row>
    <row r="135" spans="1:4" x14ac:dyDescent="0.25">
      <c r="A135" s="75">
        <v>44012</v>
      </c>
      <c r="B135" s="74" t="s">
        <v>263</v>
      </c>
      <c r="C135" s="74"/>
      <c r="D135" s="74" t="s">
        <v>245</v>
      </c>
    </row>
    <row r="136" spans="1:4" ht="45" x14ac:dyDescent="0.25">
      <c r="A136" s="72"/>
      <c r="B136" s="76" t="s">
        <v>300</v>
      </c>
      <c r="C136" s="74"/>
      <c r="D136" s="73" t="s">
        <v>299</v>
      </c>
    </row>
    <row r="137" spans="1:4" x14ac:dyDescent="0.25">
      <c r="A137" s="72"/>
      <c r="B137" s="73"/>
      <c r="C137" s="74"/>
      <c r="D137" s="73"/>
    </row>
    <row r="138" spans="1:4" x14ac:dyDescent="0.25">
      <c r="A138" s="75">
        <v>44008</v>
      </c>
      <c r="B138" s="74" t="s">
        <v>215</v>
      </c>
      <c r="C138" s="74"/>
      <c r="D138" s="73"/>
    </row>
    <row r="139" spans="1:4" ht="105" x14ac:dyDescent="0.25">
      <c r="A139" s="72"/>
      <c r="B139" s="76" t="s">
        <v>296</v>
      </c>
      <c r="C139" s="74"/>
      <c r="D139" s="73"/>
    </row>
    <row r="140" spans="1:4" x14ac:dyDescent="0.25">
      <c r="A140" s="75">
        <v>44007</v>
      </c>
      <c r="B140" s="74" t="s">
        <v>294</v>
      </c>
      <c r="C140" s="74"/>
      <c r="D140" s="74" t="s">
        <v>295</v>
      </c>
    </row>
    <row r="141" spans="1:4" ht="60" x14ac:dyDescent="0.25">
      <c r="A141" s="72"/>
      <c r="B141" s="76" t="s">
        <v>291</v>
      </c>
      <c r="C141" s="74"/>
      <c r="D141" s="76" t="s">
        <v>265</v>
      </c>
    </row>
    <row r="142" spans="1:4" x14ac:dyDescent="0.25">
      <c r="A142" s="75">
        <v>44006</v>
      </c>
      <c r="B142" s="74" t="s">
        <v>289</v>
      </c>
      <c r="C142" s="74"/>
      <c r="D142" s="74" t="s">
        <v>290</v>
      </c>
    </row>
    <row r="143" spans="1:4" x14ac:dyDescent="0.25">
      <c r="A143" s="72"/>
      <c r="B143" s="73" t="s">
        <v>288</v>
      </c>
      <c r="C143" s="74"/>
      <c r="D143" s="73" t="s">
        <v>288</v>
      </c>
    </row>
    <row r="144" spans="1:4" x14ac:dyDescent="0.25">
      <c r="A144" s="75">
        <v>44005</v>
      </c>
      <c r="B144" s="74" t="s">
        <v>263</v>
      </c>
      <c r="C144" s="74"/>
      <c r="D144" s="74" t="s">
        <v>245</v>
      </c>
    </row>
    <row r="145" spans="1:4" ht="45" x14ac:dyDescent="0.25">
      <c r="A145" s="72"/>
      <c r="B145" s="73" t="s">
        <v>264</v>
      </c>
      <c r="C145" s="74"/>
      <c r="D145" s="76" t="s">
        <v>265</v>
      </c>
    </row>
    <row r="146" spans="1:4" x14ac:dyDescent="0.25">
      <c r="A146" s="72"/>
      <c r="B146" s="73"/>
      <c r="C146" s="74"/>
      <c r="D146" s="73"/>
    </row>
    <row r="147" spans="1:4" x14ac:dyDescent="0.25">
      <c r="A147" s="75">
        <v>44001</v>
      </c>
      <c r="B147" s="74" t="s">
        <v>245</v>
      </c>
      <c r="C147" s="74"/>
      <c r="D147" s="73"/>
    </row>
    <row r="148" spans="1:4" ht="135" x14ac:dyDescent="0.25">
      <c r="A148" s="72"/>
      <c r="B148" s="76" t="s">
        <v>261</v>
      </c>
      <c r="C148" s="74"/>
      <c r="D148" s="73"/>
    </row>
    <row r="149" spans="1:4" x14ac:dyDescent="0.25">
      <c r="A149" s="75">
        <v>44000</v>
      </c>
      <c r="B149" s="74" t="s">
        <v>241</v>
      </c>
      <c r="C149" s="74"/>
      <c r="D149" s="74" t="s">
        <v>258</v>
      </c>
    </row>
    <row r="150" spans="1:4" ht="105" x14ac:dyDescent="0.25">
      <c r="A150" s="72"/>
      <c r="B150" s="76" t="s">
        <v>260</v>
      </c>
      <c r="C150" s="74"/>
      <c r="D150" s="76" t="s">
        <v>259</v>
      </c>
    </row>
    <row r="151" spans="1:4" x14ac:dyDescent="0.25">
      <c r="A151" s="75">
        <v>43998</v>
      </c>
      <c r="B151" s="74" t="s">
        <v>212</v>
      </c>
      <c r="C151" s="74"/>
      <c r="D151" s="74" t="s">
        <v>255</v>
      </c>
    </row>
    <row r="152" spans="1:4" ht="120" x14ac:dyDescent="0.25">
      <c r="A152" s="72"/>
      <c r="B152" s="76" t="s">
        <v>256</v>
      </c>
      <c r="C152" s="74"/>
      <c r="D152" s="1" t="s">
        <v>257</v>
      </c>
    </row>
    <row r="153" spans="1:4" x14ac:dyDescent="0.25">
      <c r="A153" s="72"/>
      <c r="B153" s="73"/>
      <c r="C153" s="74"/>
      <c r="D153" s="73"/>
    </row>
    <row r="154" spans="1:4" x14ac:dyDescent="0.25">
      <c r="A154" s="75">
        <v>43994</v>
      </c>
      <c r="B154" s="74" t="s">
        <v>253</v>
      </c>
      <c r="C154" s="74"/>
      <c r="D154" s="73"/>
    </row>
    <row r="155" spans="1:4" ht="75" x14ac:dyDescent="0.25">
      <c r="A155" s="72"/>
      <c r="B155" s="76" t="s">
        <v>254</v>
      </c>
      <c r="C155" s="74"/>
      <c r="D155" s="73"/>
    </row>
    <row r="156" spans="1:4" x14ac:dyDescent="0.25">
      <c r="A156" s="75">
        <v>43993</v>
      </c>
      <c r="B156" s="74" t="s">
        <v>212</v>
      </c>
      <c r="C156" s="74"/>
      <c r="D156" s="74" t="s">
        <v>250</v>
      </c>
    </row>
    <row r="157" spans="1:4" ht="120" x14ac:dyDescent="0.25">
      <c r="A157" s="72"/>
      <c r="B157" s="69" t="s">
        <v>251</v>
      </c>
      <c r="C157" s="74"/>
      <c r="D157" s="76" t="s">
        <v>252</v>
      </c>
    </row>
    <row r="158" spans="1:4" x14ac:dyDescent="0.25">
      <c r="A158" s="75">
        <v>43991</v>
      </c>
      <c r="B158" s="74" t="s">
        <v>241</v>
      </c>
      <c r="C158" s="74"/>
      <c r="D158" s="74" t="s">
        <v>245</v>
      </c>
    </row>
    <row r="159" spans="1:4" ht="105" x14ac:dyDescent="0.25">
      <c r="A159" s="66"/>
      <c r="B159" s="67" t="s">
        <v>242</v>
      </c>
      <c r="C159" s="68"/>
      <c r="D159" s="69" t="s">
        <v>246</v>
      </c>
    </row>
    <row r="160" spans="1:4" x14ac:dyDescent="0.25">
      <c r="A160" s="66"/>
      <c r="B160" s="67"/>
      <c r="C160" s="68"/>
      <c r="D160" s="69"/>
    </row>
    <row r="161" spans="1:2" x14ac:dyDescent="0.25">
      <c r="A161" s="46">
        <v>43987</v>
      </c>
      <c r="B161" s="41" t="s">
        <v>212</v>
      </c>
    </row>
    <row r="162" spans="1:2" ht="195.75" customHeight="1" x14ac:dyDescent="0.25">
      <c r="B162" s="1" t="s">
        <v>214</v>
      </c>
    </row>
    <row r="163" spans="1:2" x14ac:dyDescent="0.25">
      <c r="A163" s="46">
        <v>43986</v>
      </c>
      <c r="B163" s="41" t="s">
        <v>215</v>
      </c>
    </row>
    <row r="164" spans="1:2" ht="165" customHeight="1" x14ac:dyDescent="0.25">
      <c r="B164" s="1" t="s">
        <v>213</v>
      </c>
    </row>
    <row r="165" spans="1:2" x14ac:dyDescent="0.25">
      <c r="A165" s="46">
        <v>43984</v>
      </c>
      <c r="B165" s="41" t="s">
        <v>222</v>
      </c>
    </row>
    <row r="166" spans="1:2" ht="120" x14ac:dyDescent="0.25">
      <c r="B166" s="1" t="s">
        <v>221</v>
      </c>
    </row>
    <row r="168" spans="1:2" x14ac:dyDescent="0.25">
      <c r="A168" s="46">
        <v>43980</v>
      </c>
      <c r="B168" s="41" t="s">
        <v>216</v>
      </c>
    </row>
    <row r="169" spans="1:2" ht="165" x14ac:dyDescent="0.25">
      <c r="B169" s="1" t="s">
        <v>220</v>
      </c>
    </row>
    <row r="170" spans="1:2" x14ac:dyDescent="0.25">
      <c r="A170" s="46">
        <v>43978</v>
      </c>
      <c r="B170" s="41" t="s">
        <v>219</v>
      </c>
    </row>
    <row r="171" spans="1:2" ht="120" x14ac:dyDescent="0.25">
      <c r="B171" s="1" t="s">
        <v>218</v>
      </c>
    </row>
    <row r="172" spans="1:2" x14ac:dyDescent="0.25">
      <c r="A172" s="46">
        <v>43977</v>
      </c>
      <c r="B172" s="41" t="s">
        <v>216</v>
      </c>
    </row>
    <row r="173" spans="1:2" ht="90" x14ac:dyDescent="0.25">
      <c r="B173" s="1" t="s">
        <v>217</v>
      </c>
    </row>
    <row r="175" spans="1:2" x14ac:dyDescent="0.25">
      <c r="A175" s="46">
        <v>43975</v>
      </c>
      <c r="B175" s="41" t="s">
        <v>197</v>
      </c>
    </row>
    <row r="176" spans="1:2" ht="60" x14ac:dyDescent="0.25">
      <c r="B176"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5"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5"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5"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5"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6" t="s">
        <v>210</v>
      </c>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row>
    <row r="26" spans="1:70" x14ac:dyDescent="0.25">
      <c r="C26" s="2" t="s">
        <v>193</v>
      </c>
    </row>
    <row r="27" spans="1:70" ht="244.5" customHeight="1" x14ac:dyDescent="0.25">
      <c r="A27" s="1"/>
      <c r="C27" s="166" t="s">
        <v>194</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6" t="s">
        <v>279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6" t="s">
        <v>278</v>
      </c>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2020-10-04T09:01:08Z</dcterms:modified>
</cp:coreProperties>
</file>