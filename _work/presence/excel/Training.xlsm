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0FAF11E-6AD3-4FA1-A575-D9A55EDC5B5C}" xr6:coauthVersionLast="44" xr6:coauthVersionMax="44" xr10:uidLastSave="{00000000-0000-0000-0000-000000000000}"/>
  <bookViews>
    <workbookView xWindow="-120" yWindow="-120" windowWidth="29040" windowHeight="1599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Anwesend!$B$86:$K$88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9" i="3" l="1"/>
  <c r="F29" i="3"/>
  <c r="G29" i="3"/>
  <c r="H29" i="3"/>
  <c r="I29" i="3"/>
  <c r="J29" i="3"/>
  <c r="K29" i="3"/>
  <c r="L29" i="3"/>
  <c r="CN73" i="3" l="1"/>
  <c r="CN61" i="3"/>
  <c r="CN74" i="3" s="1"/>
  <c r="CN32" i="3"/>
  <c r="CE32" i="3"/>
  <c r="BV73" i="3" l="1"/>
  <c r="BV74" i="3" s="1"/>
  <c r="BO73" i="3"/>
  <c r="BO61" i="3"/>
  <c r="BV32" i="3"/>
  <c r="BO32" i="3"/>
  <c r="P73" i="3"/>
  <c r="P61" i="3"/>
  <c r="BO74" i="3" l="1"/>
  <c r="P30" i="3"/>
  <c r="P32" i="3"/>
  <c r="MA73" i="3" l="1"/>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H73" i="3"/>
  <c r="DG73" i="3"/>
  <c r="DF73" i="3"/>
  <c r="DE73" i="3"/>
  <c r="DD73" i="3"/>
  <c r="DC73" i="3"/>
  <c r="DB73" i="3"/>
  <c r="DA73" i="3"/>
  <c r="CZ73" i="3"/>
  <c r="CY73" i="3"/>
  <c r="CX73" i="3"/>
  <c r="CW73" i="3"/>
  <c r="CV73" i="3"/>
  <c r="CU73" i="3"/>
  <c r="CT73" i="3"/>
  <c r="CS73" i="3"/>
  <c r="CR73" i="3"/>
  <c r="CQ73" i="3"/>
  <c r="CP73" i="3"/>
  <c r="CM73" i="3"/>
  <c r="CL73" i="3"/>
  <c r="CK73" i="3"/>
  <c r="CJ73" i="3"/>
  <c r="CI73" i="3"/>
  <c r="CH73" i="3"/>
  <c r="CG73" i="3"/>
  <c r="CD73" i="3"/>
  <c r="CC73" i="3"/>
  <c r="CB73" i="3"/>
  <c r="CA73" i="3"/>
  <c r="BZ73" i="3"/>
  <c r="BY73" i="3"/>
  <c r="BX73" i="3"/>
  <c r="BU73" i="3"/>
  <c r="BT73" i="3"/>
  <c r="BS73" i="3"/>
  <c r="BR73" i="3"/>
  <c r="BQ73" i="3"/>
  <c r="BP73" i="3"/>
  <c r="BN73" i="3"/>
  <c r="BM73" i="3"/>
  <c r="BL73" i="3"/>
  <c r="BK73" i="3"/>
  <c r="BJ73" i="3"/>
  <c r="BI73" i="3"/>
  <c r="BH73" i="3"/>
  <c r="BG73" i="3"/>
  <c r="BF73" i="3"/>
  <c r="BE73" i="3"/>
  <c r="BD73" i="3"/>
  <c r="BC73" i="3"/>
  <c r="BB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R62" i="3" l="1"/>
  <c r="Q71" i="3"/>
  <c r="Q68" i="3"/>
  <c r="Q66" i="3"/>
  <c r="P72" i="3"/>
  <c r="BA73" i="3"/>
  <c r="AZ73" i="3"/>
  <c r="AY73" i="3"/>
  <c r="AX73" i="3"/>
  <c r="AW73" i="3"/>
  <c r="AV73" i="3"/>
  <c r="AU73" i="3"/>
  <c r="AT73" i="3"/>
  <c r="AS73" i="3"/>
  <c r="AR73" i="3"/>
  <c r="AQ73" i="3"/>
  <c r="AP73" i="3"/>
  <c r="AO73" i="3"/>
  <c r="AN73" i="3"/>
  <c r="AF73" i="3"/>
  <c r="AE73" i="3"/>
  <c r="AD73" i="3"/>
  <c r="AC73" i="3"/>
  <c r="AB73" i="3"/>
  <c r="AA73" i="3"/>
  <c r="Z73" i="3"/>
  <c r="Y73" i="3"/>
  <c r="X73" i="3"/>
  <c r="W73" i="3"/>
  <c r="V73" i="3"/>
  <c r="U73" i="3"/>
  <c r="T73" i="3"/>
  <c r="S73" i="3"/>
  <c r="AM73" i="3"/>
  <c r="AL73" i="3"/>
  <c r="AK73" i="3"/>
  <c r="AJ73" i="3"/>
  <c r="AI73" i="3"/>
  <c r="AG73" i="3"/>
  <c r="AH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H61" i="3"/>
  <c r="DG61" i="3"/>
  <c r="DF61" i="3"/>
  <c r="DE61" i="3"/>
  <c r="DD61" i="3"/>
  <c r="DC61" i="3"/>
  <c r="DB61" i="3"/>
  <c r="DA61" i="3"/>
  <c r="CZ61" i="3"/>
  <c r="CY61" i="3"/>
  <c r="CX61" i="3"/>
  <c r="CW61" i="3"/>
  <c r="CV61" i="3"/>
  <c r="CU61" i="3"/>
  <c r="CT61" i="3"/>
  <c r="CS61" i="3"/>
  <c r="CR61" i="3"/>
  <c r="CQ61" i="3"/>
  <c r="CP61" i="3"/>
  <c r="CM61" i="3"/>
  <c r="CL61" i="3"/>
  <c r="CK61" i="3"/>
  <c r="CJ61" i="3"/>
  <c r="CI61" i="3"/>
  <c r="CH61" i="3"/>
  <c r="CG61" i="3"/>
  <c r="CD61" i="3"/>
  <c r="CC61" i="3"/>
  <c r="CB61" i="3"/>
  <c r="CA61" i="3"/>
  <c r="BZ61" i="3"/>
  <c r="BY61" i="3"/>
  <c r="BX61" i="3"/>
  <c r="BU61" i="3"/>
  <c r="BT61" i="3"/>
  <c r="BS61" i="3"/>
  <c r="BR61" i="3"/>
  <c r="BQ61" i="3"/>
  <c r="BP61" i="3"/>
  <c r="BN61" i="3"/>
  <c r="BM61" i="3"/>
  <c r="BL61" i="3"/>
  <c r="BK61" i="3"/>
  <c r="BJ61" i="3"/>
  <c r="BI61" i="3"/>
  <c r="BH61" i="3"/>
  <c r="BG61" i="3"/>
  <c r="BF61" i="3"/>
  <c r="BE61" i="3"/>
  <c r="BD61" i="3"/>
  <c r="BC61" i="3"/>
  <c r="BB61" i="3"/>
  <c r="BA61" i="3"/>
  <c r="BA74" i="3" s="1"/>
  <c r="AZ61" i="3"/>
  <c r="AY61" i="3"/>
  <c r="AX61" i="3"/>
  <c r="AX74" i="3" s="1"/>
  <c r="AW61" i="3"/>
  <c r="AV61" i="3"/>
  <c r="AU61" i="3"/>
  <c r="AU74" i="3" s="1"/>
  <c r="AT61" i="3"/>
  <c r="AS61" i="3"/>
  <c r="AS74" i="3" s="1"/>
  <c r="AR61" i="3"/>
  <c r="AQ61" i="3"/>
  <c r="AP61" i="3"/>
  <c r="AP74" i="3" s="1"/>
  <c r="AO61" i="3"/>
  <c r="AN61" i="3"/>
  <c r="R61" i="3"/>
  <c r="AF61" i="3"/>
  <c r="AF74" i="3" s="1"/>
  <c r="AE61" i="3"/>
  <c r="AD61" i="3"/>
  <c r="AD74" i="3" s="1"/>
  <c r="AC61" i="3"/>
  <c r="AB61" i="3"/>
  <c r="AA61" i="3"/>
  <c r="AA74" i="3" s="1"/>
  <c r="Z61" i="3"/>
  <c r="Z74" i="3" s="1"/>
  <c r="Y61" i="3"/>
  <c r="Y74" i="3" s="1"/>
  <c r="X61" i="3"/>
  <c r="W61" i="3"/>
  <c r="V61" i="3"/>
  <c r="V74" i="3" s="1"/>
  <c r="U61" i="3"/>
  <c r="T61" i="3"/>
  <c r="S61" i="3"/>
  <c r="S74" i="3" s="1"/>
  <c r="AM61" i="3"/>
  <c r="AM74" i="3" s="1"/>
  <c r="AL61" i="3"/>
  <c r="AL74" i="3" s="1"/>
  <c r="AK61" i="3"/>
  <c r="AJ61" i="3"/>
  <c r="AI61" i="3"/>
  <c r="AI74" i="3" s="1"/>
  <c r="AG61" i="3"/>
  <c r="AH61" i="3"/>
  <c r="Q59" i="3"/>
  <c r="Q58" i="3"/>
  <c r="Q57" i="3"/>
  <c r="Q40" i="3"/>
  <c r="P60" i="3"/>
  <c r="Q61" i="3" s="1"/>
  <c r="P43" i="3"/>
  <c r="L43" i="3"/>
  <c r="K43" i="3"/>
  <c r="J43" i="3"/>
  <c r="I43" i="3"/>
  <c r="H43" i="3"/>
  <c r="G43" i="3"/>
  <c r="F43" i="3"/>
  <c r="EL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R35" i="3"/>
  <c r="R36" i="3" s="1"/>
  <c r="R63" i="3" s="1"/>
  <c r="K88" i="3"/>
  <c r="K87" i="3"/>
  <c r="Q70" i="3" l="1"/>
  <c r="Q73" i="3"/>
  <c r="AG74" i="3"/>
  <c r="U74" i="3"/>
  <c r="AC74" i="3"/>
  <c r="AB74" i="3"/>
  <c r="W74" i="3"/>
  <c r="AE74" i="3"/>
  <c r="AN74" i="3"/>
  <c r="AY74" i="3"/>
  <c r="AQ74" i="3"/>
  <c r="AR74" i="3"/>
  <c r="AZ74" i="3"/>
  <c r="AT74" i="3"/>
  <c r="AO74" i="3"/>
  <c r="AW74" i="3"/>
  <c r="T74" i="3"/>
  <c r="Q67" i="3"/>
  <c r="Q54" i="3"/>
  <c r="Q46" i="3"/>
  <c r="AV74" i="3"/>
  <c r="Q69" i="3"/>
  <c r="Q41" i="3"/>
  <c r="Q50" i="3"/>
  <c r="Q51" i="3"/>
  <c r="Q44" i="3"/>
  <c r="EL74" i="3"/>
  <c r="AK74" i="3"/>
  <c r="X74" i="3"/>
  <c r="AH74" i="3"/>
  <c r="AJ74" i="3"/>
  <c r="Q53" i="3"/>
  <c r="Q55" i="3"/>
  <c r="Q56" i="3"/>
  <c r="Q43" i="3"/>
  <c r="Q45" i="3"/>
  <c r="Q42" i="3"/>
  <c r="Q52" i="3"/>
  <c r="Q47" i="3"/>
  <c r="Q48" i="3"/>
  <c r="Q49" i="3"/>
  <c r="R2" i="3"/>
  <c r="GB32" i="3"/>
  <c r="GB74" i="3"/>
  <c r="S1" i="3"/>
  <c r="K86" i="3"/>
  <c r="S2" i="3" l="1"/>
  <c r="S62" i="3"/>
  <c r="T1" i="3"/>
  <c r="S35" i="3"/>
  <c r="S36" i="3" s="1"/>
  <c r="S63" i="3" s="1"/>
  <c r="Q6" i="3"/>
  <c r="P6" i="3"/>
  <c r="P8" i="3"/>
  <c r="T35" i="3" l="1"/>
  <c r="T36" i="3" s="1"/>
  <c r="T63" i="3" s="1"/>
  <c r="T62" i="3"/>
  <c r="U1" i="3"/>
  <c r="T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2" i="3"/>
  <c r="F7" i="3"/>
  <c r="P7" i="3"/>
  <c r="P9" i="3"/>
  <c r="P10" i="3"/>
  <c r="P12" i="3"/>
  <c r="P13" i="3"/>
  <c r="P14" i="3"/>
  <c r="P15" i="3"/>
  <c r="P16" i="3"/>
  <c r="P17" i="3"/>
  <c r="P18" i="3"/>
  <c r="P19" i="3"/>
  <c r="P20" i="3"/>
  <c r="P21" i="3"/>
  <c r="P22" i="3"/>
  <c r="P23" i="3"/>
  <c r="P24" i="3"/>
  <c r="P25" i="3"/>
  <c r="P26" i="3"/>
  <c r="P27" i="3"/>
  <c r="Q27" i="3"/>
  <c r="P28" i="3"/>
  <c r="Q31" i="3"/>
  <c r="P31" i="3" s="1"/>
  <c r="O32" i="3"/>
  <c r="R32" i="3"/>
  <c r="S32" i="3"/>
  <c r="T32" i="3"/>
  <c r="U32" i="3"/>
  <c r="V32" i="3"/>
  <c r="X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P32" i="3"/>
  <c r="BQ32" i="3"/>
  <c r="BR32" i="3"/>
  <c r="BS32" i="3"/>
  <c r="BT32" i="3"/>
  <c r="BU32" i="3"/>
  <c r="BX32" i="3"/>
  <c r="BY32" i="3"/>
  <c r="BZ32" i="3"/>
  <c r="CA32" i="3"/>
  <c r="CB32" i="3"/>
  <c r="CC32" i="3"/>
  <c r="CD32" i="3"/>
  <c r="CG32" i="3"/>
  <c r="CH32" i="3"/>
  <c r="CI32" i="3"/>
  <c r="CJ32" i="3"/>
  <c r="CK32" i="3"/>
  <c r="CL32" i="3"/>
  <c r="CM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DT32" i="3"/>
  <c r="DU32" i="3"/>
  <c r="DV32" i="3"/>
  <c r="DW32" i="3"/>
  <c r="DY32" i="3"/>
  <c r="DZ32" i="3"/>
  <c r="EA32" i="3"/>
  <c r="EB32" i="3"/>
  <c r="EC32" i="3"/>
  <c r="ED32" i="3"/>
  <c r="EE32" i="3"/>
  <c r="EF32" i="3"/>
  <c r="EG32" i="3"/>
  <c r="EH32" i="3"/>
  <c r="EI32" i="3"/>
  <c r="EJ32" i="3"/>
  <c r="EK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C32" i="3"/>
  <c r="GD32" i="3"/>
  <c r="GE32" i="3"/>
  <c r="GF32" i="3"/>
  <c r="GG32" i="3"/>
  <c r="GH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Q65" i="3"/>
  <c r="F66" i="3"/>
  <c r="I66" i="3"/>
  <c r="J66" i="3"/>
  <c r="K66" i="3"/>
  <c r="L66" i="3"/>
  <c r="P66" i="3"/>
  <c r="P67" i="3"/>
  <c r="F68" i="3"/>
  <c r="I68" i="3"/>
  <c r="J68" i="3"/>
  <c r="K68" i="3"/>
  <c r="L68" i="3"/>
  <c r="P68" i="3"/>
  <c r="F69" i="3"/>
  <c r="I69" i="3"/>
  <c r="J69" i="3"/>
  <c r="K69" i="3"/>
  <c r="L69" i="3"/>
  <c r="P69" i="3"/>
  <c r="F70" i="3"/>
  <c r="I70" i="3"/>
  <c r="J70" i="3"/>
  <c r="K70" i="3"/>
  <c r="L70" i="3"/>
  <c r="P70" i="3"/>
  <c r="P71" i="3"/>
  <c r="R73" i="3"/>
  <c r="R74" i="3" s="1"/>
  <c r="BB74" i="3"/>
  <c r="BC74" i="3"/>
  <c r="BD74" i="3"/>
  <c r="BE74" i="3"/>
  <c r="BF74" i="3"/>
  <c r="BG74" i="3"/>
  <c r="BH74" i="3"/>
  <c r="BI74" i="3"/>
  <c r="BJ74" i="3"/>
  <c r="BK74" i="3"/>
  <c r="BL74" i="3"/>
  <c r="BM74" i="3"/>
  <c r="BN74" i="3"/>
  <c r="BP74" i="3"/>
  <c r="BQ74" i="3"/>
  <c r="BR74" i="3"/>
  <c r="BS74" i="3"/>
  <c r="BT74" i="3"/>
  <c r="BU74" i="3"/>
  <c r="BX74" i="3"/>
  <c r="BY74" i="3"/>
  <c r="BZ74" i="3"/>
  <c r="CA74" i="3"/>
  <c r="CB74" i="3"/>
  <c r="CC74" i="3"/>
  <c r="CD74" i="3"/>
  <c r="CG74" i="3"/>
  <c r="CH74" i="3"/>
  <c r="CI74" i="3"/>
  <c r="CJ74" i="3"/>
  <c r="CK74" i="3"/>
  <c r="CL74" i="3"/>
  <c r="CM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P77" i="3"/>
  <c r="P78" i="3"/>
  <c r="P79" i="3"/>
  <c r="P80" i="3"/>
  <c r="P81" i="3"/>
  <c r="Q82" i="3"/>
  <c r="P82" i="3" s="1"/>
  <c r="P83" i="3"/>
  <c r="Q29" i="3" s="1"/>
  <c r="Q11" i="3" l="1"/>
  <c r="Q32" i="3"/>
  <c r="Q28" i="3"/>
  <c r="Q30" i="3"/>
  <c r="U35" i="3"/>
  <c r="U36" i="3" s="1"/>
  <c r="U63" i="3" s="1"/>
  <c r="U62" i="3"/>
  <c r="U2" i="3"/>
  <c r="V1" i="3"/>
  <c r="Q9" i="3"/>
  <c r="Q26" i="3"/>
  <c r="H32" i="3"/>
  <c r="G32" i="3"/>
  <c r="K32" i="3"/>
  <c r="L32" i="3"/>
  <c r="Q79" i="3"/>
  <c r="I32" i="3"/>
  <c r="Q80" i="3"/>
  <c r="Q78" i="3"/>
  <c r="Q24" i="3"/>
  <c r="Q77" i="3"/>
  <c r="Q25" i="3"/>
  <c r="Q81" i="3"/>
  <c r="F32" i="3"/>
  <c r="J32" i="3"/>
  <c r="Q22" i="3"/>
  <c r="Q18" i="3"/>
  <c r="Q10" i="3"/>
  <c r="Q23" i="3"/>
  <c r="Q19" i="3"/>
  <c r="Q14" i="3"/>
  <c r="Q12" i="3"/>
  <c r="Q20" i="3"/>
  <c r="Q15" i="3"/>
  <c r="Q13" i="3"/>
  <c r="Q7" i="3"/>
  <c r="Q16" i="3"/>
  <c r="Q8" i="3"/>
  <c r="Q21" i="3"/>
  <c r="Q17" i="3"/>
  <c r="V35" i="3" l="1"/>
  <c r="V36" i="3" s="1"/>
  <c r="V63" i="3" s="1"/>
  <c r="V62" i="3"/>
  <c r="V2" i="3"/>
  <c r="W1" i="3"/>
  <c r="W35" i="3" l="1"/>
  <c r="W36" i="3" s="1"/>
  <c r="W63" i="3" s="1"/>
  <c r="W62" i="3"/>
  <c r="W2" i="3"/>
  <c r="X1" i="3"/>
  <c r="X2" i="3" s="1"/>
  <c r="X35" i="3" l="1"/>
  <c r="X36" i="3" s="1"/>
  <c r="X63" i="3" s="1"/>
  <c r="X62" i="3"/>
  <c r="Y1" i="3"/>
  <c r="Y35" i="3" l="1"/>
  <c r="Y36" i="3" s="1"/>
  <c r="Y63" i="3" s="1"/>
  <c r="Y62" i="3"/>
  <c r="Y2" i="3"/>
  <c r="Z1" i="3"/>
  <c r="Z35" i="3" l="1"/>
  <c r="Z36" i="3" s="1"/>
  <c r="Z63" i="3" s="1"/>
  <c r="Z62" i="3"/>
  <c r="Z2" i="3"/>
  <c r="AA1" i="3"/>
  <c r="AA35" i="3" l="1"/>
  <c r="AA36" i="3" s="1"/>
  <c r="AA63" i="3" s="1"/>
  <c r="AA62" i="3"/>
  <c r="AA2" i="3"/>
  <c r="AB1" i="3"/>
  <c r="AB35" i="3" l="1"/>
  <c r="AB36" i="3" s="1"/>
  <c r="AB63" i="3" s="1"/>
  <c r="AB62" i="3"/>
  <c r="AC1" i="3"/>
  <c r="AB2" i="3"/>
  <c r="AC35" i="3" l="1"/>
  <c r="AC36" i="3" s="1"/>
  <c r="AC63" i="3" s="1"/>
  <c r="AC62" i="3"/>
  <c r="AC2" i="3"/>
  <c r="AD1"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P1" i="3" s="1"/>
  <c r="AO2" i="3" l="1"/>
  <c r="AP35" i="3"/>
  <c r="AP36" i="3" s="1"/>
  <c r="AP63" i="3" s="1"/>
  <c r="AP62" i="3"/>
  <c r="AO35" i="3"/>
  <c r="AO36" i="3" s="1"/>
  <c r="AO63" i="3" s="1"/>
  <c r="AO62" i="3"/>
  <c r="AQ1" i="3"/>
  <c r="AP2" i="3"/>
  <c r="AQ35" i="3" l="1"/>
  <c r="AQ36" i="3" s="1"/>
  <c r="AQ63" i="3" s="1"/>
  <c r="AQ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O1" i="3" s="1"/>
  <c r="BO62" i="3" s="1"/>
  <c r="BM2" i="3"/>
  <c r="BP1" i="3" l="1"/>
  <c r="BO35" i="3"/>
  <c r="BN35" i="3"/>
  <c r="BN36" i="3" s="1"/>
  <c r="BN63" i="3" s="1"/>
  <c r="BN62" i="3"/>
  <c r="BN2" i="3"/>
  <c r="BP35" i="3" l="1"/>
  <c r="BP36" i="3" s="1"/>
  <c r="BP63" i="3" s="1"/>
  <c r="BP62" i="3"/>
  <c r="BQ1" i="3"/>
  <c r="BP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V1" i="3" s="1"/>
  <c r="BT2" i="3"/>
  <c r="BV35" i="3" l="1"/>
  <c r="BV62" i="3"/>
  <c r="BY1" i="3"/>
  <c r="BV2" i="3"/>
  <c r="BU35" i="3"/>
  <c r="BU36" i="3" s="1"/>
  <c r="BU63" i="3" s="1"/>
  <c r="BU62" i="3"/>
  <c r="BU2" i="3"/>
  <c r="BY35" i="3" l="1"/>
  <c r="BY36" i="3" s="1"/>
  <c r="BY63" i="3" s="1"/>
  <c r="BY62" i="3"/>
  <c r="BZ1" i="3"/>
  <c r="BY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E35" i="3" s="1"/>
  <c r="CE36" i="3" s="1"/>
  <c r="CD2" i="3"/>
  <c r="CE62" i="3" l="1"/>
  <c r="CE2" i="3"/>
  <c r="CH1" i="3"/>
  <c r="CH35" i="3" l="1"/>
  <c r="CH36" i="3" s="1"/>
  <c r="CH63" i="3" s="1"/>
  <c r="CH62" i="3"/>
  <c r="CI1" i="3"/>
  <c r="CH2"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N1" i="3" s="1"/>
  <c r="CL2" i="3"/>
  <c r="CN62" i="3" l="1"/>
  <c r="CQ1" i="3"/>
  <c r="CN2" i="3"/>
  <c r="CN35" i="3"/>
  <c r="CN36" i="3" s="1"/>
  <c r="CN63" i="3" s="1"/>
  <c r="CM35" i="3"/>
  <c r="CM36" i="3" s="1"/>
  <c r="CM63" i="3" s="1"/>
  <c r="CM62" i="3"/>
  <c r="CM2" i="3"/>
  <c r="CQ35" i="3" l="1"/>
  <c r="CQ36" i="3" s="1"/>
  <c r="CQ63" i="3" s="1"/>
  <c r="CQ62" i="3"/>
  <c r="CR1" i="3"/>
  <c r="CQ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U2" i="3"/>
  <c r="CV35" i="3" l="1"/>
  <c r="CV36" i="3" s="1"/>
  <c r="CV63" i="3" s="1"/>
  <c r="CV62" i="3"/>
  <c r="CW1" i="3"/>
  <c r="CV2" i="3"/>
  <c r="CW35" i="3" l="1"/>
  <c r="CW36" i="3" s="1"/>
  <c r="CW63" i="3" s="1"/>
  <c r="CW62" i="3"/>
  <c r="CX1" i="3"/>
  <c r="CW2" i="3"/>
  <c r="CX35" i="3" l="1"/>
  <c r="CX36" i="3" s="1"/>
  <c r="CX63" i="3" s="1"/>
  <c r="CX62" i="3"/>
  <c r="CY1" i="3"/>
  <c r="CX2" i="3"/>
  <c r="CY35" i="3" l="1"/>
  <c r="CY36" i="3" s="1"/>
  <c r="CY63" i="3" s="1"/>
  <c r="CY62" i="3"/>
  <c r="CZ1" i="3"/>
  <c r="CY2" i="3"/>
  <c r="CZ35" i="3" l="1"/>
  <c r="CZ36" i="3" s="1"/>
  <c r="CZ63" i="3" s="1"/>
  <c r="CZ62" i="3"/>
  <c r="DA1" i="3"/>
  <c r="CZ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E2" i="3"/>
  <c r="DF35" i="3" l="1"/>
  <c r="DF36" i="3" s="1"/>
  <c r="DF63" i="3" s="1"/>
  <c r="DF62" i="3"/>
  <c r="DG1" i="3"/>
  <c r="DF2" i="3"/>
  <c r="DG35" i="3" l="1"/>
  <c r="DG36" i="3" s="1"/>
  <c r="DG63" i="3" s="1"/>
  <c r="DG62" i="3"/>
  <c r="DH1" i="3"/>
  <c r="DG2" i="3"/>
  <c r="DH35" i="3" l="1"/>
  <c r="DH36" i="3" s="1"/>
  <c r="DH63" i="3" s="1"/>
  <c r="DH62" i="3"/>
  <c r="DI1" i="3"/>
  <c r="DH2" i="3"/>
  <c r="DI35" i="3" l="1"/>
  <c r="DI36" i="3" s="1"/>
  <c r="DI63" i="3" s="1"/>
  <c r="DI62" i="3"/>
  <c r="DJ1" i="3"/>
  <c r="DI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J62" i="3" s="1"/>
  <c r="EI2" i="3"/>
  <c r="EJ35" i="3" l="1"/>
  <c r="EJ36" i="3" s="1"/>
  <c r="EJ63" i="3" s="1"/>
  <c r="EK1" i="3"/>
  <c r="EK62" i="3" s="1"/>
  <c r="EJ2" i="3"/>
  <c r="EK35" i="3" l="1"/>
  <c r="EK36" i="3" s="1"/>
  <c r="EK63" i="3" s="1"/>
  <c r="EL1" i="3"/>
  <c r="EL62" i="3" s="1"/>
  <c r="EK2" i="3"/>
  <c r="EL2" i="3" l="1"/>
  <c r="EL35" i="3"/>
  <c r="EL36" i="3" s="1"/>
  <c r="EL63" i="3" s="1"/>
  <c r="EM1" i="3"/>
  <c r="EM35" i="3" l="1"/>
  <c r="EM36" i="3" s="1"/>
  <c r="EM63" i="3" s="1"/>
  <c r="EM62" i="3"/>
  <c r="EN1" i="3"/>
  <c r="EM2" i="3"/>
  <c r="EN35" i="3" l="1"/>
  <c r="EN36" i="3" s="1"/>
  <c r="EN63" i="3" s="1"/>
  <c r="EN62" i="3"/>
  <c r="EO1" i="3"/>
  <c r="EN2" i="3"/>
  <c r="EO35" i="3" l="1"/>
  <c r="EO36" i="3" s="1"/>
  <c r="EO63" i="3" s="1"/>
  <c r="EO62" i="3"/>
  <c r="EP1" i="3"/>
  <c r="EO2" i="3"/>
  <c r="EP35" i="3" l="1"/>
  <c r="EP36" i="3" s="1"/>
  <c r="EP63" i="3" s="1"/>
  <c r="EP62" i="3"/>
  <c r="EQ1" i="3"/>
  <c r="EP2" i="3"/>
  <c r="EQ35" i="3" l="1"/>
  <c r="EQ36" i="3" s="1"/>
  <c r="EQ63" i="3" s="1"/>
  <c r="EQ62" i="3"/>
  <c r="ER1" i="3"/>
  <c r="EQ2"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A2" i="3"/>
</calcChain>
</file>

<file path=xl/sharedStrings.xml><?xml version="1.0" encoding="utf-8"?>
<sst xmlns="http://schemas.openxmlformats.org/spreadsheetml/2006/main" count="950" uniqueCount="407">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</sst>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4"/>
  <sheetViews>
    <sheetView zoomScaleNormal="100" workbookViewId="0">
      <pane xSplit="17" ySplit="3" topLeftCell="BI4" activePane="bottomRight" state="frozen"/>
      <selection pane="topRight" activeCell="F1" sqref="F1"/>
      <selection pane="bottomLeft" activeCell="A3" sqref="A3"/>
      <selection pane="bottomRight" activeCell="CS33" sqref="CS3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75" hidden="1"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385</v>
      </c>
      <c r="BX1" s="50" t="s">
        <v>366</v>
      </c>
      <c r="BY1" s="48">
        <f>BV1 + 1</f>
        <v>44032</v>
      </c>
      <c r="BZ1" s="48">
        <f t="shared" si="0"/>
        <v>44033</v>
      </c>
      <c r="CA1" s="48">
        <f t="shared" si="0"/>
        <v>44034</v>
      </c>
      <c r="CB1" s="48">
        <f t="shared" si="0"/>
        <v>44035</v>
      </c>
      <c r="CC1" s="48">
        <f t="shared" si="0"/>
        <v>44036</v>
      </c>
      <c r="CD1" s="48">
        <f t="shared" si="0"/>
        <v>44037</v>
      </c>
      <c r="CE1" s="102">
        <f>CD1 + 1</f>
        <v>44038</v>
      </c>
      <c r="CF1" s="102" t="s">
        <v>389</v>
      </c>
      <c r="CG1" s="50" t="s">
        <v>367</v>
      </c>
      <c r="CH1" s="48">
        <f>CE1 + 1</f>
        <v>44039</v>
      </c>
      <c r="CI1" s="48">
        <f t="shared" ref="CI1:EU1" si="1">CH1 + 1</f>
        <v>44040</v>
      </c>
      <c r="CJ1" s="48">
        <f t="shared" si="1"/>
        <v>44041</v>
      </c>
      <c r="CK1" s="48">
        <f t="shared" si="1"/>
        <v>44042</v>
      </c>
      <c r="CL1" s="48">
        <f t="shared" si="1"/>
        <v>44043</v>
      </c>
      <c r="CM1" s="48">
        <f t="shared" si="1"/>
        <v>44044</v>
      </c>
      <c r="CN1" s="48">
        <f t="shared" si="1"/>
        <v>44045</v>
      </c>
      <c r="CO1" s="48" t="s">
        <v>390</v>
      </c>
      <c r="CP1" s="50" t="s">
        <v>383</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16" t="s">
        <v>144</v>
      </c>
      <c r="B2" s="116"/>
      <c r="C2" s="116"/>
      <c r="D2" s="116"/>
      <c r="E2" s="116"/>
      <c r="F2" s="39"/>
      <c r="G2" s="39"/>
      <c r="H2" s="39"/>
      <c r="I2" s="39"/>
      <c r="J2" s="39"/>
      <c r="K2" s="39"/>
      <c r="L2" s="39"/>
      <c r="M2" s="39"/>
      <c r="N2" s="39"/>
      <c r="O2" s="27"/>
      <c r="P2" s="117" t="s">
        <v>49</v>
      </c>
      <c r="Q2" s="115" t="s">
        <v>48</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376</v>
      </c>
      <c r="BX2" s="51" t="s">
        <v>365</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376</v>
      </c>
      <c r="CG2" s="51" t="s">
        <v>368</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376</v>
      </c>
      <c r="CP2" s="51" t="s">
        <v>384</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16"/>
      <c r="B3" s="116"/>
      <c r="C3" s="116"/>
      <c r="D3" s="116"/>
      <c r="E3" s="116"/>
      <c r="F3" s="39"/>
      <c r="G3" s="39"/>
      <c r="H3" s="39"/>
      <c r="I3" s="39"/>
      <c r="J3" s="39"/>
      <c r="K3" s="39"/>
      <c r="L3" s="39"/>
      <c r="M3" s="39"/>
      <c r="N3" s="39"/>
      <c r="O3" s="27"/>
      <c r="P3" s="118"/>
      <c r="Q3" s="114"/>
      <c r="R3" s="24" t="s">
        <v>148</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264</v>
      </c>
      <c r="AX3" s="38" t="s">
        <v>38</v>
      </c>
      <c r="AY3" s="38" t="s">
        <v>38</v>
      </c>
      <c r="AZ3" s="38"/>
      <c r="BA3" s="24"/>
      <c r="BB3" s="38"/>
      <c r="BC3" s="38" t="s">
        <v>38</v>
      </c>
      <c r="BD3" s="38"/>
      <c r="BE3" s="38" t="s">
        <v>38</v>
      </c>
      <c r="BF3" s="38" t="s">
        <v>38</v>
      </c>
      <c r="BG3" s="38"/>
      <c r="BH3" s="24"/>
      <c r="BI3" s="38"/>
      <c r="BJ3" s="38" t="s">
        <v>38</v>
      </c>
      <c r="BK3" s="38"/>
      <c r="BL3" s="38" t="s">
        <v>38</v>
      </c>
      <c r="BM3" s="38"/>
      <c r="BN3" s="38"/>
      <c r="BO3" s="24" t="s">
        <v>148</v>
      </c>
      <c r="BP3" s="38"/>
      <c r="BQ3" s="38" t="s">
        <v>54</v>
      </c>
      <c r="BR3" s="38"/>
      <c r="BS3" s="38" t="s">
        <v>148</v>
      </c>
      <c r="BT3" s="38"/>
      <c r="BU3" s="38"/>
      <c r="BV3" s="38" t="s">
        <v>148</v>
      </c>
      <c r="BW3" s="38"/>
      <c r="BX3" s="24"/>
      <c r="BY3" s="38"/>
      <c r="BZ3" s="38"/>
      <c r="CA3" s="38"/>
      <c r="CB3" s="38" t="s">
        <v>148</v>
      </c>
      <c r="CC3" s="38"/>
      <c r="CD3" s="38"/>
      <c r="CE3" s="38" t="s">
        <v>148</v>
      </c>
      <c r="CF3" s="38"/>
      <c r="CG3" s="24"/>
      <c r="CH3" s="38"/>
      <c r="CI3" s="38"/>
      <c r="CJ3" s="38"/>
      <c r="CK3" s="38" t="s">
        <v>400</v>
      </c>
      <c r="CL3" s="38"/>
      <c r="CM3" s="38"/>
      <c r="CN3" s="38" t="s">
        <v>148</v>
      </c>
      <c r="CO3" s="38"/>
      <c r="CP3" s="24"/>
      <c r="CQ3" s="25"/>
      <c r="CR3" s="25" t="s">
        <v>400</v>
      </c>
      <c r="CS3" s="25"/>
      <c r="CT3" s="38" t="s">
        <v>148</v>
      </c>
      <c r="CU3" s="38" t="s">
        <v>400</v>
      </c>
      <c r="CV3" s="38"/>
      <c r="CW3" s="24" t="s">
        <v>148</v>
      </c>
      <c r="CX3" s="38"/>
      <c r="CY3" s="38" t="s">
        <v>400</v>
      </c>
      <c r="CZ3" s="38"/>
      <c r="DA3" s="38" t="s">
        <v>148</v>
      </c>
      <c r="DB3" s="38" t="s">
        <v>400</v>
      </c>
      <c r="DC3" s="38"/>
      <c r="DD3" s="24" t="s">
        <v>148</v>
      </c>
      <c r="DE3" s="38"/>
      <c r="DF3" s="38" t="s">
        <v>400</v>
      </c>
      <c r="DG3" s="38"/>
      <c r="DH3" s="38" t="s">
        <v>148</v>
      </c>
      <c r="DI3" s="38" t="s">
        <v>400</v>
      </c>
      <c r="DJ3" s="38"/>
      <c r="DK3" s="24" t="s">
        <v>148</v>
      </c>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c r="EG3" s="38"/>
      <c r="EH3" s="38" t="s">
        <v>38</v>
      </c>
      <c r="EI3" s="38"/>
      <c r="EJ3" s="38" t="s">
        <v>38</v>
      </c>
      <c r="EK3" s="38" t="s">
        <v>38</v>
      </c>
      <c r="EL3" s="38"/>
      <c r="EM3" s="24"/>
      <c r="EN3" s="38"/>
      <c r="EO3" s="38" t="s">
        <v>38</v>
      </c>
      <c r="EP3" s="38"/>
      <c r="EQ3" s="38" t="s">
        <v>38</v>
      </c>
      <c r="ER3" s="38" t="s">
        <v>38</v>
      </c>
      <c r="ES3" s="38" t="s">
        <v>46</v>
      </c>
      <c r="ET3" s="24"/>
      <c r="EU3" s="38"/>
      <c r="EV3" s="38" t="s">
        <v>38</v>
      </c>
      <c r="EW3" s="38"/>
      <c r="EX3" s="38" t="s">
        <v>38</v>
      </c>
      <c r="EY3" s="38" t="s">
        <v>38</v>
      </c>
      <c r="EZ3" s="38"/>
      <c r="FA3" s="24"/>
      <c r="FB3" s="38"/>
      <c r="FC3" s="38" t="s">
        <v>38</v>
      </c>
      <c r="FD3" s="38"/>
      <c r="FE3" s="38" t="s">
        <v>38</v>
      </c>
      <c r="FF3" s="38" t="s">
        <v>38</v>
      </c>
      <c r="FG3" s="38"/>
      <c r="FH3" s="24"/>
      <c r="FI3" s="38"/>
      <c r="FJ3" s="38" t="s">
        <v>38</v>
      </c>
      <c r="FK3" s="38"/>
      <c r="FL3" s="38" t="s">
        <v>38</v>
      </c>
      <c r="FM3" s="38" t="s">
        <v>38</v>
      </c>
      <c r="FN3" s="38"/>
      <c r="FO3" s="24"/>
      <c r="FP3" s="38"/>
      <c r="FQ3" s="38" t="s">
        <v>38</v>
      </c>
      <c r="FR3" s="38"/>
      <c r="FS3" s="38" t="s">
        <v>38</v>
      </c>
      <c r="FT3" s="38" t="s">
        <v>38</v>
      </c>
      <c r="FU3" s="38"/>
      <c r="FV3" s="24"/>
      <c r="FW3" s="38"/>
      <c r="FX3" s="38" t="s">
        <v>38</v>
      </c>
      <c r="FY3" s="38"/>
      <c r="FZ3" s="38" t="s">
        <v>38</v>
      </c>
      <c r="GA3" s="38" t="s">
        <v>38</v>
      </c>
      <c r="GB3" s="38"/>
      <c r="GC3" s="24"/>
      <c r="GD3" s="38"/>
      <c r="GE3" s="38" t="s">
        <v>38</v>
      </c>
      <c r="GF3" s="38"/>
      <c r="GG3" s="38" t="s">
        <v>38</v>
      </c>
      <c r="GH3" s="38" t="s">
        <v>38</v>
      </c>
      <c r="GI3" s="38"/>
      <c r="GJ3" s="24"/>
      <c r="GK3" s="38"/>
      <c r="GL3" s="38" t="s">
        <v>38</v>
      </c>
      <c r="GM3" s="38"/>
      <c r="GN3" s="38" t="s">
        <v>38</v>
      </c>
      <c r="GO3" s="38" t="s">
        <v>38</v>
      </c>
      <c r="GP3" s="38"/>
      <c r="GQ3" s="24"/>
      <c r="GR3" s="38"/>
      <c r="GS3" s="38" t="s">
        <v>38</v>
      </c>
      <c r="GT3" s="38"/>
      <c r="GU3" s="38" t="s">
        <v>38</v>
      </c>
      <c r="GV3" s="38" t="s">
        <v>38</v>
      </c>
      <c r="GW3" s="38"/>
      <c r="GX3" s="24"/>
      <c r="GY3" s="38"/>
      <c r="GZ3" s="38" t="s">
        <v>38</v>
      </c>
      <c r="HA3" s="38"/>
      <c r="HB3" s="38" t="s">
        <v>38</v>
      </c>
      <c r="HC3" s="38" t="s">
        <v>38</v>
      </c>
      <c r="HD3" s="38"/>
      <c r="HE3" s="24"/>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 t="shared" ref="P6:P30" si="317">IF(SUM(R6:MA6) &gt; 0, SUM(R6:MA6), "")</f>
        <v/>
      </c>
      <c r="Q6" s="86" t="str">
        <f t="shared" ref="Q6:Q26" si="318">IF(SUM(R6:XFD6) &gt; 0, SUM(R6:XFD6) / $P$33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7"/>
        <v>25</v>
      </c>
      <c r="Q7" s="86">
        <f t="shared" si="318"/>
        <v>83.333333333333343</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99" t="s">
        <v>386</v>
      </c>
      <c r="BX7" s="82" t="s">
        <v>369</v>
      </c>
      <c r="CB7">
        <v>1</v>
      </c>
      <c r="CF7" s="99" t="s">
        <v>386</v>
      </c>
      <c r="CG7" s="82" t="s">
        <v>371</v>
      </c>
      <c r="CK7">
        <v>1</v>
      </c>
      <c r="CO7" s="103" t="s">
        <v>386</v>
      </c>
      <c r="CP7" s="82" t="s">
        <v>371</v>
      </c>
      <c r="CR7">
        <v>1</v>
      </c>
      <c r="CW7" s="7"/>
      <c r="CY7" t="s">
        <v>391</v>
      </c>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7"/>
        <v>11</v>
      </c>
      <c r="Q8" s="86">
        <f t="shared" si="318"/>
        <v>36.666666666666664</v>
      </c>
      <c r="R8" s="7">
        <v>1</v>
      </c>
      <c r="T8">
        <v>1</v>
      </c>
      <c r="U8">
        <v>1</v>
      </c>
      <c r="W8">
        <v>1</v>
      </c>
      <c r="Y8" s="7"/>
      <c r="AA8">
        <v>1</v>
      </c>
      <c r="AD8">
        <v>1</v>
      </c>
      <c r="AF8" s="7"/>
      <c r="AH8">
        <v>1</v>
      </c>
      <c r="AJ8">
        <v>1</v>
      </c>
      <c r="AM8" s="7"/>
      <c r="AQ8">
        <v>1</v>
      </c>
      <c r="AT8" s="7"/>
      <c r="AV8">
        <v>1</v>
      </c>
      <c r="BA8" s="7"/>
      <c r="BH8" s="7"/>
      <c r="BO8" s="7"/>
      <c r="BQ8">
        <v>1</v>
      </c>
      <c r="BW8" s="100"/>
      <c r="BX8" s="82" t="s">
        <v>373</v>
      </c>
      <c r="CF8" s="100"/>
      <c r="CG8" s="82" t="s">
        <v>373</v>
      </c>
      <c r="CI8" t="s">
        <v>382</v>
      </c>
      <c r="CO8" s="104"/>
      <c r="CP8" s="81"/>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7"/>
        <v>26</v>
      </c>
      <c r="Q9" s="86">
        <f t="shared" si="318"/>
        <v>86.666666666666671</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99" t="s">
        <v>371</v>
      </c>
      <c r="BX9" s="82" t="s">
        <v>372</v>
      </c>
      <c r="CB9">
        <v>1</v>
      </c>
      <c r="CE9">
        <v>1</v>
      </c>
      <c r="CF9" s="99" t="s">
        <v>371</v>
      </c>
      <c r="CG9" s="82" t="s">
        <v>372</v>
      </c>
      <c r="CK9">
        <v>1</v>
      </c>
      <c r="CN9">
        <v>1</v>
      </c>
      <c r="CO9" s="103" t="s">
        <v>371</v>
      </c>
      <c r="CP9" s="82" t="s">
        <v>372</v>
      </c>
      <c r="CR9">
        <v>1</v>
      </c>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249</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7"/>
        <v>24</v>
      </c>
      <c r="Q10" s="86">
        <f t="shared" si="318"/>
        <v>80</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99" t="s">
        <v>371</v>
      </c>
      <c r="BX10" s="82" t="s">
        <v>374</v>
      </c>
      <c r="CB10">
        <v>1</v>
      </c>
      <c r="CE10">
        <v>1</v>
      </c>
      <c r="CF10" s="99" t="s">
        <v>371</v>
      </c>
      <c r="CG10" s="82" t="s">
        <v>372</v>
      </c>
      <c r="CO10" s="103" t="s">
        <v>371</v>
      </c>
      <c r="CP10" s="82" t="s">
        <v>375</v>
      </c>
      <c r="CW10" s="7"/>
      <c r="CY10" t="s">
        <v>397</v>
      </c>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7"/>
        <v>24</v>
      </c>
      <c r="Q11" s="86">
        <f t="shared" si="318"/>
        <v>80</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99" t="s">
        <v>371</v>
      </c>
      <c r="BX11" s="82" t="s">
        <v>372</v>
      </c>
      <c r="CB11">
        <v>1</v>
      </c>
      <c r="CE11">
        <v>1</v>
      </c>
      <c r="CF11" s="99" t="s">
        <v>371</v>
      </c>
      <c r="CG11" s="82" t="s">
        <v>372</v>
      </c>
      <c r="CK11">
        <v>1</v>
      </c>
      <c r="CO11" s="103" t="s">
        <v>371</v>
      </c>
      <c r="CP11" s="82" t="s">
        <v>374</v>
      </c>
      <c r="CR11">
        <v>1</v>
      </c>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7"/>
        <v>27</v>
      </c>
      <c r="Q12" s="86">
        <f t="shared" si="318"/>
        <v>90</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99" t="s">
        <v>386</v>
      </c>
      <c r="BX12" s="82" t="s">
        <v>371</v>
      </c>
      <c r="CB12">
        <v>1</v>
      </c>
      <c r="CF12" s="99" t="s">
        <v>386</v>
      </c>
      <c r="CG12" s="82" t="s">
        <v>371</v>
      </c>
      <c r="CK12">
        <v>1</v>
      </c>
      <c r="CN12">
        <v>1</v>
      </c>
      <c r="CO12" s="103" t="s">
        <v>371</v>
      </c>
      <c r="CP12" s="82" t="s">
        <v>372</v>
      </c>
      <c r="CR12">
        <v>1</v>
      </c>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7"/>
        <v>1</v>
      </c>
      <c r="Q13" s="86">
        <f t="shared" si="318"/>
        <v>3.3333333333333335</v>
      </c>
      <c r="R13" s="7">
        <v>1</v>
      </c>
      <c r="Y13" s="7"/>
      <c r="AF13" s="7"/>
      <c r="AM13" s="7"/>
      <c r="AT13" s="7"/>
      <c r="BA13" s="7"/>
      <c r="BH13" s="7"/>
      <c r="BO13" s="7"/>
      <c r="BW13" s="100"/>
      <c r="BX13" s="81"/>
      <c r="CF13" s="99" t="s">
        <v>371</v>
      </c>
      <c r="CG13" s="82" t="s">
        <v>374</v>
      </c>
      <c r="CO13" s="103" t="s">
        <v>371</v>
      </c>
      <c r="CP13" s="82" t="s">
        <v>373</v>
      </c>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7"/>
        <v>1</v>
      </c>
      <c r="Q14" s="86">
        <f t="shared" si="318"/>
        <v>3.3333333333333335</v>
      </c>
      <c r="R14" s="7">
        <v>1</v>
      </c>
      <c r="Y14" s="7"/>
      <c r="AF14" s="7"/>
      <c r="AM14" s="7"/>
      <c r="AT14" s="7"/>
      <c r="BA14" s="7"/>
      <c r="BH14" s="7"/>
      <c r="BO14" s="7"/>
      <c r="BW14" s="100"/>
      <c r="BX14" s="81"/>
      <c r="CF14" s="99" t="s">
        <v>371</v>
      </c>
      <c r="CG14" s="82" t="s">
        <v>374</v>
      </c>
      <c r="CO14" s="103" t="s">
        <v>371</v>
      </c>
      <c r="CP14" s="82" t="s">
        <v>373</v>
      </c>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7"/>
        <v>24</v>
      </c>
      <c r="Q15" s="86">
        <f t="shared" si="318"/>
        <v>80</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99" t="s">
        <v>386</v>
      </c>
      <c r="BX15" s="82" t="s">
        <v>371</v>
      </c>
      <c r="CB15">
        <v>1</v>
      </c>
      <c r="CF15" s="99" t="s">
        <v>388</v>
      </c>
      <c r="CG15" s="82" t="s">
        <v>370</v>
      </c>
      <c r="CK15">
        <v>1</v>
      </c>
      <c r="CO15" s="103" t="s">
        <v>371</v>
      </c>
      <c r="CP15" s="82" t="s">
        <v>374</v>
      </c>
      <c r="CR15">
        <v>1</v>
      </c>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7"/>
        <v>19</v>
      </c>
      <c r="Q16" s="86">
        <f t="shared" si="318"/>
        <v>63.333333333333329</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99" t="s">
        <v>388</v>
      </c>
      <c r="BX16" s="82" t="s">
        <v>370</v>
      </c>
      <c r="CB16">
        <v>1</v>
      </c>
      <c r="CF16" s="99" t="s">
        <v>387</v>
      </c>
      <c r="CG16" s="82" t="s">
        <v>369</v>
      </c>
      <c r="CK16">
        <v>1</v>
      </c>
      <c r="CO16" s="103" t="s">
        <v>387</v>
      </c>
      <c r="CP16" s="82" t="s">
        <v>369</v>
      </c>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7"/>
        <v>25</v>
      </c>
      <c r="Q17" s="86">
        <f t="shared" si="318"/>
        <v>83.333333333333343</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99" t="s">
        <v>386</v>
      </c>
      <c r="BX17" s="82" t="s">
        <v>371</v>
      </c>
      <c r="CF17" s="99" t="s">
        <v>393</v>
      </c>
      <c r="CG17" s="82" t="s">
        <v>392</v>
      </c>
      <c r="CN17">
        <v>1</v>
      </c>
      <c r="CO17" s="103" t="s">
        <v>387</v>
      </c>
      <c r="CP17" s="82" t="s">
        <v>369</v>
      </c>
      <c r="CR17">
        <v>1</v>
      </c>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7"/>
        <v>23</v>
      </c>
      <c r="Q18" s="86">
        <f t="shared" si="318"/>
        <v>76.666666666666671</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99" t="s">
        <v>386</v>
      </c>
      <c r="BX18" s="82" t="s">
        <v>371</v>
      </c>
      <c r="CF18" s="99" t="s">
        <v>371</v>
      </c>
      <c r="CG18" s="82" t="s">
        <v>375</v>
      </c>
      <c r="CN18">
        <v>1</v>
      </c>
      <c r="CO18" s="103" t="s">
        <v>371</v>
      </c>
      <c r="CP18" s="82" t="s">
        <v>374</v>
      </c>
      <c r="CR18">
        <v>1</v>
      </c>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7"/>
        <v>24</v>
      </c>
      <c r="Q19" s="86">
        <f t="shared" si="318"/>
        <v>80</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99" t="s">
        <v>386</v>
      </c>
      <c r="BX19" s="82" t="s">
        <v>371</v>
      </c>
      <c r="CF19" s="99" t="s">
        <v>371</v>
      </c>
      <c r="CG19" s="82" t="s">
        <v>375</v>
      </c>
      <c r="CN19">
        <v>1</v>
      </c>
      <c r="CO19" s="103" t="s">
        <v>371</v>
      </c>
      <c r="CP19" s="82" t="s">
        <v>374</v>
      </c>
      <c r="CR19">
        <v>1</v>
      </c>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7"/>
        <v>1</v>
      </c>
      <c r="Q20" s="86">
        <f t="shared" si="318"/>
        <v>3.3333333333333335</v>
      </c>
      <c r="R20" s="7">
        <v>1</v>
      </c>
      <c r="Y20" s="7"/>
      <c r="AF20" s="7"/>
      <c r="AM20" s="7"/>
      <c r="AT20" s="7"/>
      <c r="BA20" s="7"/>
      <c r="BH20" s="7"/>
      <c r="BO20" s="7"/>
      <c r="BW20" s="99" t="s">
        <v>371</v>
      </c>
      <c r="BX20" s="82" t="s">
        <v>374</v>
      </c>
      <c r="CF20" s="99" t="s">
        <v>371</v>
      </c>
      <c r="CG20" s="82" t="s">
        <v>375</v>
      </c>
      <c r="CO20" s="103" t="s">
        <v>371</v>
      </c>
      <c r="CP20" s="82" t="s">
        <v>373</v>
      </c>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7"/>
        <v>23</v>
      </c>
      <c r="Q21" s="86">
        <f t="shared" si="318"/>
        <v>76.666666666666671</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99" t="s">
        <v>386</v>
      </c>
      <c r="BX21" s="82" t="s">
        <v>371</v>
      </c>
      <c r="CF21" s="99" t="s">
        <v>371</v>
      </c>
      <c r="CG21" s="82" t="s">
        <v>375</v>
      </c>
      <c r="CO21" s="103" t="s">
        <v>371</v>
      </c>
      <c r="CP21" s="82" t="s">
        <v>375</v>
      </c>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7"/>
        <v>18</v>
      </c>
      <c r="Q22" s="86">
        <f t="shared" si="318"/>
        <v>60</v>
      </c>
      <c r="R22" s="7">
        <v>1</v>
      </c>
      <c r="T22">
        <v>1</v>
      </c>
      <c r="U22">
        <v>1</v>
      </c>
      <c r="Y22" s="7"/>
      <c r="AA22">
        <v>1</v>
      </c>
      <c r="AF22" s="7"/>
      <c r="AM22" s="7"/>
      <c r="AT22" s="7"/>
      <c r="AV22">
        <v>1</v>
      </c>
      <c r="AY22">
        <v>1</v>
      </c>
      <c r="BA22" s="7"/>
      <c r="BE22">
        <v>1</v>
      </c>
      <c r="BF22">
        <v>1</v>
      </c>
      <c r="BH22" s="7"/>
      <c r="BJ22">
        <v>1</v>
      </c>
      <c r="BL22">
        <v>1</v>
      </c>
      <c r="BO22" s="7"/>
      <c r="BQ22">
        <v>1</v>
      </c>
      <c r="BS22">
        <v>1</v>
      </c>
      <c r="BV22">
        <v>1</v>
      </c>
      <c r="BW22" s="99" t="s">
        <v>371</v>
      </c>
      <c r="BX22" s="82" t="s">
        <v>372</v>
      </c>
      <c r="CB22">
        <v>1</v>
      </c>
      <c r="CE22">
        <v>1</v>
      </c>
      <c r="CF22" s="99" t="s">
        <v>371</v>
      </c>
      <c r="CG22" s="82" t="s">
        <v>372</v>
      </c>
      <c r="CK22">
        <v>1</v>
      </c>
      <c r="CN22">
        <v>1</v>
      </c>
      <c r="CO22" s="103" t="s">
        <v>371</v>
      </c>
      <c r="CP22" s="82" t="s">
        <v>372</v>
      </c>
      <c r="CR22">
        <v>1</v>
      </c>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7"/>
        <v>22</v>
      </c>
      <c r="Q23" s="86">
        <f t="shared" si="318"/>
        <v>73.333333333333329</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99" t="s">
        <v>371</v>
      </c>
      <c r="BX23" s="82" t="s">
        <v>375</v>
      </c>
      <c r="CB23">
        <v>1</v>
      </c>
      <c r="CE23">
        <v>1</v>
      </c>
      <c r="CF23" s="99" t="s">
        <v>401</v>
      </c>
      <c r="CG23" s="82" t="s">
        <v>369</v>
      </c>
      <c r="CI23" s="34"/>
      <c r="CK23">
        <v>1</v>
      </c>
      <c r="CN23">
        <v>1</v>
      </c>
      <c r="CO23" s="103" t="s">
        <v>387</v>
      </c>
      <c r="CP23" s="82" t="s">
        <v>371</v>
      </c>
      <c r="CR23">
        <v>1</v>
      </c>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7"/>
        <v>24</v>
      </c>
      <c r="Q24" s="86">
        <f t="shared" si="318"/>
        <v>80</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99" t="s">
        <v>401</v>
      </c>
      <c r="BX24" s="82" t="s">
        <v>374</v>
      </c>
      <c r="CE24">
        <v>1</v>
      </c>
      <c r="CF24" s="99" t="s">
        <v>393</v>
      </c>
      <c r="CG24" s="82" t="s">
        <v>402</v>
      </c>
      <c r="CK24">
        <v>1</v>
      </c>
      <c r="CN24">
        <v>1</v>
      </c>
      <c r="CO24" s="103" t="s">
        <v>371</v>
      </c>
      <c r="CP24" s="82" t="s">
        <v>372</v>
      </c>
      <c r="CR24">
        <v>1</v>
      </c>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7"/>
        <v/>
      </c>
      <c r="Q25" s="86" t="str">
        <f t="shared" si="318"/>
        <v/>
      </c>
      <c r="R25" s="7"/>
      <c r="Y25" s="7"/>
      <c r="AF25" s="7"/>
      <c r="AM25" s="7"/>
      <c r="AT25" s="7"/>
      <c r="BA25" s="7"/>
      <c r="BH25" s="7"/>
      <c r="BO25" s="7"/>
      <c r="BW25" s="99" t="s">
        <v>371</v>
      </c>
      <c r="BX25" s="81"/>
      <c r="CF25" s="99" t="s">
        <v>371</v>
      </c>
      <c r="CG25" s="82" t="s">
        <v>373</v>
      </c>
      <c r="CO25" s="103" t="s">
        <v>371</v>
      </c>
      <c r="CP25" s="82" t="s">
        <v>373</v>
      </c>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91" t="s">
        <v>132</v>
      </c>
      <c r="B26" s="91"/>
      <c r="C26" s="91" t="s">
        <v>131</v>
      </c>
      <c r="D26" s="91" t="s">
        <v>130</v>
      </c>
      <c r="E26" s="92">
        <v>39280</v>
      </c>
      <c r="F26" s="93">
        <f t="shared" si="320"/>
        <v>1</v>
      </c>
      <c r="G26" s="91">
        <f t="shared" si="320"/>
        <v>1</v>
      </c>
      <c r="H26" s="91">
        <f t="shared" si="320"/>
        <v>1</v>
      </c>
      <c r="I26" s="91">
        <f t="shared" si="320"/>
        <v>1</v>
      </c>
      <c r="J26" s="91" t="str">
        <f t="shared" si="320"/>
        <v/>
      </c>
      <c r="K26" s="91" t="str">
        <f t="shared" si="320"/>
        <v/>
      </c>
      <c r="L26" s="91" t="str">
        <f t="shared" si="320"/>
        <v/>
      </c>
      <c r="M26" s="91">
        <v>1</v>
      </c>
      <c r="N26" s="91">
        <v>1</v>
      </c>
      <c r="O26" s="94"/>
      <c r="P26" s="91">
        <f t="shared" si="317"/>
        <v>18</v>
      </c>
      <c r="Q26" s="95">
        <f t="shared" si="318"/>
        <v>60</v>
      </c>
      <c r="R26" s="96"/>
      <c r="S26" s="97"/>
      <c r="T26" s="97">
        <v>1</v>
      </c>
      <c r="U26" s="97"/>
      <c r="V26" s="97"/>
      <c r="W26" s="97">
        <v>1</v>
      </c>
      <c r="X26" s="97"/>
      <c r="Y26" s="96"/>
      <c r="Z26" s="97"/>
      <c r="AA26" s="97">
        <v>1</v>
      </c>
      <c r="AB26" s="97"/>
      <c r="AC26" s="97">
        <v>1</v>
      </c>
      <c r="AD26" s="97">
        <v>1</v>
      </c>
      <c r="AE26" s="97"/>
      <c r="AF26" s="96"/>
      <c r="AG26" s="97"/>
      <c r="AH26" s="97">
        <v>1</v>
      </c>
      <c r="AI26" s="97"/>
      <c r="AJ26" s="97">
        <v>1</v>
      </c>
      <c r="AK26" s="97"/>
      <c r="AL26" s="97"/>
      <c r="AM26" s="96"/>
      <c r="AN26" s="97"/>
      <c r="AO26" s="97">
        <v>1</v>
      </c>
      <c r="AP26" s="97"/>
      <c r="AQ26" s="97">
        <v>1</v>
      </c>
      <c r="AR26" s="97">
        <v>1</v>
      </c>
      <c r="AS26" s="97"/>
      <c r="AT26" s="96"/>
      <c r="AU26" s="97"/>
      <c r="AV26" s="97">
        <v>1</v>
      </c>
      <c r="AW26" s="97"/>
      <c r="AX26" s="97">
        <v>1</v>
      </c>
      <c r="AY26" s="97"/>
      <c r="AZ26" s="97"/>
      <c r="BA26" s="96"/>
      <c r="BB26" s="97"/>
      <c r="BC26" s="97">
        <v>1</v>
      </c>
      <c r="BD26" s="97"/>
      <c r="BE26" s="97">
        <v>1</v>
      </c>
      <c r="BF26" s="97"/>
      <c r="BG26" s="97"/>
      <c r="BH26" s="96"/>
      <c r="BI26" s="97"/>
      <c r="BJ26" s="97">
        <v>1</v>
      </c>
      <c r="BK26" s="97"/>
      <c r="BL26" s="97">
        <v>1</v>
      </c>
      <c r="BM26" s="97"/>
      <c r="BN26" s="97"/>
      <c r="BO26" s="96"/>
      <c r="BP26" s="97"/>
      <c r="BQ26" s="97">
        <v>1</v>
      </c>
      <c r="BR26" s="97"/>
      <c r="BS26" s="97"/>
      <c r="BT26" s="97"/>
      <c r="BU26" s="97"/>
      <c r="BV26" s="97"/>
      <c r="BW26" s="101" t="s">
        <v>371</v>
      </c>
      <c r="BX26" s="98" t="s">
        <v>375</v>
      </c>
      <c r="BY26" s="97"/>
      <c r="BZ26" s="97"/>
      <c r="CA26" s="97"/>
      <c r="CB26" s="97"/>
      <c r="CC26" s="97"/>
      <c r="CD26" s="97"/>
      <c r="CE26" s="97"/>
      <c r="CF26" s="101" t="s">
        <v>371</v>
      </c>
      <c r="CG26" s="98" t="s">
        <v>375</v>
      </c>
      <c r="CH26" s="97"/>
      <c r="CI26" s="97"/>
      <c r="CJ26" s="97"/>
      <c r="CK26" s="97"/>
      <c r="CL26" s="97"/>
      <c r="CM26" s="97"/>
      <c r="CN26" s="97"/>
      <c r="CO26" s="101" t="s">
        <v>371</v>
      </c>
      <c r="CP26" s="98" t="s">
        <v>375</v>
      </c>
      <c r="CQ26" s="97"/>
      <c r="CR26" s="97">
        <v>1</v>
      </c>
      <c r="CS26" s="97"/>
      <c r="CT26" s="97"/>
      <c r="CU26" s="97"/>
      <c r="CV26" s="97"/>
      <c r="CW26" s="96"/>
      <c r="CX26" s="97"/>
      <c r="CY26" s="97"/>
      <c r="CZ26" s="97"/>
      <c r="DA26" s="97"/>
      <c r="DB26" s="97"/>
      <c r="DC26" s="97"/>
      <c r="DD26" s="96"/>
      <c r="DE26" s="97"/>
      <c r="DF26" s="97"/>
      <c r="DG26" s="97"/>
      <c r="DH26" s="97"/>
      <c r="DI26" s="97"/>
      <c r="DJ26" s="97"/>
      <c r="DK26" s="96"/>
      <c r="DL26" s="97"/>
      <c r="DM26" s="97"/>
      <c r="DN26" s="97"/>
      <c r="DO26" s="97"/>
      <c r="DP26" s="97"/>
      <c r="DQ26" s="97"/>
      <c r="DR26" s="96"/>
      <c r="DS26" s="97"/>
      <c r="DT26" s="97"/>
      <c r="DU26" s="97"/>
      <c r="DV26" s="97"/>
      <c r="DW26" s="97"/>
      <c r="DX26" s="97"/>
      <c r="DY26" s="96"/>
      <c r="DZ26" s="97"/>
      <c r="EA26" s="97"/>
      <c r="EB26" s="97"/>
      <c r="EC26" s="97"/>
      <c r="ED26" s="97"/>
      <c r="EE26" s="97"/>
      <c r="EF26" s="96"/>
      <c r="EG26" s="97"/>
      <c r="EH26" s="97"/>
      <c r="EI26" s="97"/>
      <c r="EJ26" s="97"/>
      <c r="EK26" s="97"/>
      <c r="EL26" s="97"/>
      <c r="EM26" s="96"/>
      <c r="EN26" s="97"/>
      <c r="EO26" s="97"/>
      <c r="EP26" s="97"/>
      <c r="EQ26" s="97"/>
      <c r="ER26" s="97"/>
      <c r="ES26" s="97"/>
      <c r="ET26" s="96"/>
      <c r="EU26" s="97"/>
      <c r="EV26" s="97"/>
      <c r="EW26" s="97"/>
      <c r="EX26" s="97"/>
      <c r="EY26" s="97"/>
      <c r="EZ26" s="97"/>
      <c r="FA26" s="96"/>
      <c r="FB26" s="97"/>
      <c r="FC26" s="97"/>
      <c r="FD26" s="97"/>
      <c r="FE26" s="97"/>
      <c r="FF26" s="97"/>
      <c r="FG26" s="97"/>
      <c r="FH26" s="96"/>
      <c r="FI26" s="97"/>
      <c r="FJ26" s="97"/>
      <c r="FK26" s="97"/>
      <c r="FL26" s="97"/>
      <c r="FM26" s="97"/>
      <c r="FN26" s="97"/>
      <c r="FO26" s="96"/>
      <c r="FP26" s="97"/>
      <c r="FQ26" s="97"/>
      <c r="FR26" s="97"/>
      <c r="FS26" s="97"/>
      <c r="FT26" s="97"/>
      <c r="FU26" s="97"/>
      <c r="FV26" s="96"/>
      <c r="FW26" s="97"/>
      <c r="FX26" s="97"/>
      <c r="FY26" s="97"/>
      <c r="FZ26" s="97"/>
      <c r="GA26" s="97"/>
      <c r="GB26" s="97"/>
      <c r="GC26" s="96"/>
      <c r="GD26" s="97"/>
      <c r="GE26" s="97"/>
      <c r="GF26" s="97"/>
      <c r="GG26" s="97"/>
      <c r="GH26" s="97"/>
      <c r="GI26" s="97"/>
      <c r="GJ26" s="96"/>
      <c r="GK26" s="97"/>
      <c r="GL26" s="97"/>
      <c r="GM26" s="97"/>
      <c r="GN26" s="97"/>
      <c r="GO26" s="97"/>
      <c r="GP26" s="97"/>
      <c r="GQ26" s="96"/>
      <c r="GR26" s="97"/>
      <c r="GS26" s="97"/>
      <c r="GT26" s="97"/>
      <c r="GU26" s="97"/>
      <c r="GV26" s="97"/>
      <c r="GW26" s="97"/>
      <c r="GX26" s="96"/>
      <c r="GY26" s="97"/>
      <c r="GZ26" s="97"/>
      <c r="HA26" s="97"/>
      <c r="HB26" s="97"/>
      <c r="HC26" s="97"/>
      <c r="HD26" s="97"/>
      <c r="HE26" s="96"/>
      <c r="HF26" s="97"/>
      <c r="HG26" s="97"/>
      <c r="HH26" s="97"/>
      <c r="HI26" s="97"/>
      <c r="HJ26" s="97"/>
      <c r="HK26" s="97"/>
      <c r="HL26" s="96"/>
      <c r="HM26" s="97"/>
      <c r="HN26" s="97"/>
      <c r="HO26" s="97"/>
      <c r="HP26" s="97"/>
      <c r="HQ26" s="97"/>
      <c r="HR26" s="97"/>
      <c r="HS26" s="96"/>
      <c r="HT26" s="97"/>
      <c r="HU26" s="97"/>
      <c r="HV26" s="97"/>
      <c r="HW26" s="97"/>
      <c r="HX26" s="97"/>
      <c r="HY26" s="97"/>
      <c r="HZ26" s="96"/>
      <c r="IA26" s="97"/>
      <c r="IB26" s="97"/>
      <c r="IC26" s="97"/>
      <c r="ID26" s="97"/>
      <c r="IE26" s="97"/>
      <c r="IF26" s="97"/>
      <c r="IG26" s="96"/>
      <c r="IH26" s="97"/>
      <c r="II26" s="97"/>
      <c r="IJ26" s="97"/>
      <c r="IK26" s="97"/>
      <c r="IL26" s="97"/>
      <c r="IM26" s="97"/>
      <c r="IN26" s="96"/>
      <c r="IO26" s="97"/>
      <c r="IP26" s="97"/>
      <c r="IQ26" s="97"/>
      <c r="IR26" s="97"/>
      <c r="IS26" s="97"/>
      <c r="IT26" s="97"/>
      <c r="IU26" s="96"/>
      <c r="IV26" s="97"/>
      <c r="IW26" s="97"/>
      <c r="IX26" s="97"/>
      <c r="IY26" s="97"/>
      <c r="IZ26" s="97"/>
      <c r="JA26" s="97"/>
      <c r="JB26" s="96"/>
      <c r="JC26" s="97"/>
      <c r="JD26" s="97"/>
      <c r="JE26" s="97"/>
      <c r="JF26" s="97"/>
      <c r="JG26" s="97"/>
      <c r="JH26" s="97"/>
      <c r="JI26" s="96"/>
      <c r="JJ26" s="97"/>
      <c r="JK26" s="97"/>
      <c r="JL26" s="97"/>
      <c r="JM26" s="97"/>
      <c r="JN26" s="97"/>
      <c r="JO26" s="97"/>
      <c r="JP26" s="96"/>
      <c r="JQ26" s="97"/>
      <c r="JR26" s="97"/>
      <c r="JS26" s="97"/>
      <c r="JT26" s="97"/>
      <c r="JU26" s="97"/>
      <c r="JV26" s="97"/>
      <c r="JW26" s="96"/>
      <c r="JX26" s="97"/>
      <c r="JY26" s="97"/>
      <c r="JZ26" s="97"/>
      <c r="KA26" s="97"/>
      <c r="KB26" s="97"/>
      <c r="KC26" s="97"/>
      <c r="KD26" s="96"/>
      <c r="KE26" s="97"/>
      <c r="KF26" s="97"/>
      <c r="KG26" s="97"/>
      <c r="KH26" s="97"/>
      <c r="KI26" s="97"/>
      <c r="KJ26" s="97"/>
      <c r="KK26" s="96"/>
      <c r="KL26" s="97"/>
      <c r="KM26" s="97"/>
      <c r="KN26" s="97"/>
      <c r="KO26" s="97"/>
      <c r="KP26" s="97"/>
      <c r="KQ26" s="97"/>
      <c r="KR26" s="96"/>
      <c r="KS26" s="97"/>
      <c r="KT26" s="97"/>
      <c r="KU26" s="97"/>
      <c r="KV26" s="97"/>
      <c r="KW26" s="97"/>
      <c r="KX26" s="97"/>
      <c r="KY26" s="96"/>
      <c r="KZ26" s="97"/>
      <c r="LA26" s="97"/>
      <c r="LB26" s="97"/>
      <c r="LC26" s="97"/>
      <c r="LD26" s="97"/>
      <c r="LE26" s="97"/>
      <c r="LF26" s="96"/>
      <c r="LG26" s="97"/>
      <c r="LH26" s="97"/>
      <c r="LI26" s="97"/>
      <c r="LJ26" s="97"/>
      <c r="LK26" s="97"/>
      <c r="LL26" s="97"/>
      <c r="LM26" s="96"/>
      <c r="LN26" s="97"/>
      <c r="LO26" s="97"/>
      <c r="LP26" s="97"/>
      <c r="LQ26" s="97"/>
      <c r="LR26" s="97"/>
      <c r="LS26" s="97"/>
      <c r="LT26" s="96"/>
      <c r="LU26" s="97"/>
      <c r="LV26" s="97"/>
      <c r="LW26" s="97"/>
      <c r="LX26" s="97"/>
      <c r="LY26" s="97"/>
      <c r="LZ26" s="97"/>
      <c r="MA26" s="96"/>
    </row>
    <row r="27" spans="1:339" hidden="1" x14ac:dyDescent="0.25">
      <c r="A27" s="19" t="s">
        <v>92</v>
      </c>
      <c r="B27" s="19"/>
      <c r="C27" s="19" t="s">
        <v>159</v>
      </c>
      <c r="D27" s="19" t="s">
        <v>121</v>
      </c>
      <c r="E27" s="57">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7"/>
        <v/>
      </c>
      <c r="Q27" s="86" t="str">
        <f>IF(SUM(R27:XFD27) &gt; 0, SUM(R27:XFD27) / $P$83 * 100, "")</f>
        <v/>
      </c>
      <c r="R27" s="7"/>
      <c r="Y27" s="7"/>
      <c r="AF27" s="7"/>
      <c r="AM27" s="7"/>
      <c r="AT27" s="7"/>
      <c r="BA27" s="7"/>
      <c r="BH27" s="7"/>
      <c r="BO27" s="7"/>
      <c r="BW27" s="100"/>
      <c r="BX27" s="81"/>
      <c r="CF27" s="10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115</v>
      </c>
      <c r="B28" s="8"/>
      <c r="C28" s="8" t="s">
        <v>245</v>
      </c>
      <c r="D28" s="8" t="s">
        <v>246</v>
      </c>
      <c r="E28" s="18">
        <v>36526</v>
      </c>
      <c r="F28" s="10" t="str">
        <f t="shared" si="320"/>
        <v/>
      </c>
      <c r="G28" s="19" t="str">
        <f t="shared" ref="G28:L29" si="321">IF($E28 &gt;= G$5, 1, "")</f>
        <v/>
      </c>
      <c r="H28" s="19" t="str">
        <f t="shared" si="321"/>
        <v/>
      </c>
      <c r="I28" s="19" t="str">
        <f t="shared" si="321"/>
        <v/>
      </c>
      <c r="J28" s="19" t="str">
        <f t="shared" si="321"/>
        <v/>
      </c>
      <c r="K28" s="19" t="str">
        <f t="shared" si="321"/>
        <v/>
      </c>
      <c r="L28" s="19" t="str">
        <f t="shared" si="321"/>
        <v/>
      </c>
      <c r="M28" s="8"/>
      <c r="N28" s="8"/>
      <c r="O28" s="9"/>
      <c r="P28" s="8">
        <f t="shared" si="317"/>
        <v>13</v>
      </c>
      <c r="Q28" s="86">
        <f>IF(SUM(R28:XFD28) &gt; 0, SUM(R28:XFD28) / $P$83 * 100, "")</f>
        <v>41.935483870967744</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00"/>
      <c r="BX28" s="81"/>
      <c r="CF28" s="10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x14ac:dyDescent="0.25">
      <c r="A29" s="8" t="s">
        <v>396</v>
      </c>
      <c r="B29" s="8"/>
      <c r="C29" s="8" t="s">
        <v>239</v>
      </c>
      <c r="D29" s="8" t="s">
        <v>164</v>
      </c>
      <c r="E29" s="18">
        <v>36526</v>
      </c>
      <c r="F29" s="10" t="str">
        <f t="shared" si="320"/>
        <v/>
      </c>
      <c r="G29" s="19" t="str">
        <f t="shared" si="321"/>
        <v/>
      </c>
      <c r="H29" s="19" t="str">
        <f t="shared" si="321"/>
        <v/>
      </c>
      <c r="I29" s="19" t="str">
        <f t="shared" si="321"/>
        <v/>
      </c>
      <c r="J29" s="19" t="str">
        <f t="shared" si="321"/>
        <v/>
      </c>
      <c r="K29" s="19" t="str">
        <f t="shared" si="321"/>
        <v/>
      </c>
      <c r="L29" s="19" t="str">
        <f t="shared" si="321"/>
        <v/>
      </c>
      <c r="M29" s="8"/>
      <c r="N29" s="8"/>
      <c r="O29" s="9"/>
      <c r="P29" s="8">
        <f t="shared" ref="P29" si="322">IF(SUM(R29:MA29) &gt; 0, SUM(R29:MA29), "")</f>
        <v>2</v>
      </c>
      <c r="Q29" s="86">
        <f>IF(SUM(R29:XFD29) &gt; 0, SUM(R29:XFD29) / $P$83 * 100, "")</f>
        <v>6.4516129032258061</v>
      </c>
      <c r="R29" s="7"/>
      <c r="Y29" s="7"/>
      <c r="AF29" s="7"/>
      <c r="AM29" s="7"/>
      <c r="AT29" s="7"/>
      <c r="BA29" s="7"/>
      <c r="BH29" s="7"/>
      <c r="BO29" s="7"/>
      <c r="BW29" s="100"/>
      <c r="BX29" s="81"/>
      <c r="CF29" s="100"/>
      <c r="CG29" s="82"/>
      <c r="CK29">
        <v>1</v>
      </c>
      <c r="CP29" s="7"/>
      <c r="CR29">
        <v>1</v>
      </c>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idden="1" x14ac:dyDescent="0.25">
      <c r="A30" s="8" t="s">
        <v>352</v>
      </c>
      <c r="B30" s="8"/>
      <c r="C30" s="8"/>
      <c r="D30" s="8"/>
      <c r="E30" s="18"/>
      <c r="F30" s="10"/>
      <c r="G30" s="19"/>
      <c r="H30" s="19"/>
      <c r="I30" s="19"/>
      <c r="J30" s="19"/>
      <c r="K30" s="19"/>
      <c r="L30" s="19"/>
      <c r="M30" s="8"/>
      <c r="N30" s="8"/>
      <c r="O30" s="9"/>
      <c r="P30" s="8">
        <f t="shared" si="317"/>
        <v>2</v>
      </c>
      <c r="Q30" s="86">
        <f>IF(SUM(R30:XFD30) &gt; 0, SUM(R30:XFD30) / $P$83 * 100, "")</f>
        <v>6.4516129032258061</v>
      </c>
      <c r="R30" s="7"/>
      <c r="Y30" s="7"/>
      <c r="AF30" s="7"/>
      <c r="AM30" s="7"/>
      <c r="AT30" s="7"/>
      <c r="BA30" s="7"/>
      <c r="BH30" s="7"/>
      <c r="BL30">
        <v>1</v>
      </c>
      <c r="BO30" s="7"/>
      <c r="BS30">
        <v>1</v>
      </c>
      <c r="BW30" s="100"/>
      <c r="BX30" s="81"/>
      <c r="CF30" s="100"/>
      <c r="CG30" s="82"/>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7.5" customHeight="1" thickBot="1" x14ac:dyDescent="0.3">
      <c r="A31" s="8"/>
      <c r="B31" s="8"/>
      <c r="C31" s="8"/>
      <c r="D31" s="8"/>
      <c r="E31" s="8"/>
      <c r="F31" s="10"/>
      <c r="G31" s="19"/>
      <c r="H31" s="19"/>
      <c r="I31" s="8"/>
      <c r="J31" s="8"/>
      <c r="K31" s="8"/>
      <c r="L31" s="8"/>
      <c r="M31" s="8"/>
      <c r="N31" s="8"/>
      <c r="O31" s="9"/>
      <c r="P31" s="8" t="str">
        <f>IF(SUM(Q31:MA31) &gt; 0, SUM(Q31:MA31), "")</f>
        <v/>
      </c>
      <c r="Q31" s="9" t="str">
        <f>IF(SUM(R31:XFD31) &gt; 0, SUM(R31:XFD31), "")</f>
        <v/>
      </c>
      <c r="R31" s="7"/>
      <c r="Y31" s="41"/>
      <c r="AF31" s="7"/>
      <c r="AM31" s="7"/>
      <c r="AT31" s="7"/>
      <c r="BA31" s="7"/>
      <c r="BH31" s="7"/>
      <c r="BO31" s="7"/>
      <c r="BW31" s="100"/>
      <c r="BX31" s="81"/>
      <c r="CF31" s="100"/>
      <c r="CG31" s="7"/>
      <c r="CP31" s="7"/>
      <c r="CW31" s="7"/>
      <c r="DD31" s="7"/>
      <c r="DK31" s="7"/>
      <c r="DR31" s="7"/>
      <c r="DY31" s="7"/>
      <c r="EF31" s="7"/>
      <c r="EM31" s="7"/>
      <c r="ET31" s="7"/>
      <c r="FA31" s="7"/>
      <c r="FH31" s="7"/>
      <c r="FO31" s="7"/>
      <c r="FV31" s="7"/>
      <c r="GC31" s="7"/>
      <c r="GJ31" s="7"/>
      <c r="GQ31" s="7"/>
      <c r="GX31" s="7"/>
      <c r="HE31" s="7"/>
      <c r="HL31" s="7"/>
      <c r="HS31" s="7"/>
      <c r="HZ31" s="7"/>
      <c r="IG31" s="7"/>
      <c r="IN31" s="7"/>
      <c r="IU31" s="7"/>
      <c r="JB31" s="7"/>
      <c r="JI31" s="7"/>
      <c r="JP31" s="7"/>
      <c r="JW31" s="7"/>
      <c r="KD31" s="7"/>
      <c r="KK31" s="7"/>
      <c r="KR31" s="7"/>
      <c r="KY31" s="7"/>
      <c r="LF31" s="7"/>
      <c r="LM31" s="7"/>
      <c r="LT31" s="7"/>
      <c r="MA31" s="7"/>
    </row>
    <row r="32" spans="1:339" ht="15.75" thickBot="1" x14ac:dyDescent="0.3">
      <c r="A32" s="16" t="s">
        <v>25</v>
      </c>
      <c r="B32" s="16"/>
      <c r="C32" s="16"/>
      <c r="D32" s="16"/>
      <c r="E32" s="17"/>
      <c r="F32" s="16">
        <f t="shared" ref="F32:L32" si="323">SUM(F6:F31)</f>
        <v>13</v>
      </c>
      <c r="G32" s="16">
        <f t="shared" si="323"/>
        <v>8</v>
      </c>
      <c r="H32" s="16">
        <f t="shared" si="323"/>
        <v>3</v>
      </c>
      <c r="I32" s="16">
        <f t="shared" si="323"/>
        <v>2</v>
      </c>
      <c r="J32" s="16">
        <f t="shared" si="323"/>
        <v>0</v>
      </c>
      <c r="K32" s="16">
        <f t="shared" si="323"/>
        <v>0</v>
      </c>
      <c r="L32" s="16">
        <f t="shared" si="323"/>
        <v>0</v>
      </c>
      <c r="M32" s="16">
        <v>0</v>
      </c>
      <c r="N32" s="16">
        <f>SUM(N6:N31)</f>
        <v>15</v>
      </c>
      <c r="O32" s="17">
        <f>SUM(O6:O31)+ SUM(O40:O71)</f>
        <v>15</v>
      </c>
      <c r="P32" s="16">
        <f>VisibleSum(P6:P26)</f>
        <v>23</v>
      </c>
      <c r="Q32" s="17">
        <f>P32 / P33 * 100</f>
        <v>76.666666666666671</v>
      </c>
      <c r="R32" s="15">
        <f t="shared" ref="R32:AW32" si="324">IF(SUM(R6:R31) &gt; 0, SUM(R6:R31), "")</f>
        <v>15</v>
      </c>
      <c r="S32" s="14" t="str">
        <f t="shared" si="324"/>
        <v/>
      </c>
      <c r="T32" s="14">
        <f t="shared" si="324"/>
        <v>12</v>
      </c>
      <c r="U32" s="14">
        <f t="shared" si="324"/>
        <v>13</v>
      </c>
      <c r="V32" s="14" t="str">
        <f t="shared" si="324"/>
        <v/>
      </c>
      <c r="W32" s="14">
        <f t="shared" si="324"/>
        <v>12</v>
      </c>
      <c r="X32" s="14" t="str">
        <f t="shared" si="324"/>
        <v/>
      </c>
      <c r="Y32" s="15" t="str">
        <f t="shared" si="324"/>
        <v/>
      </c>
      <c r="Z32" s="14" t="str">
        <f t="shared" si="324"/>
        <v/>
      </c>
      <c r="AA32" s="14">
        <f t="shared" si="324"/>
        <v>15</v>
      </c>
      <c r="AB32" s="14" t="str">
        <f t="shared" si="324"/>
        <v/>
      </c>
      <c r="AC32" s="14">
        <f t="shared" si="324"/>
        <v>12</v>
      </c>
      <c r="AD32" s="14">
        <f t="shared" si="324"/>
        <v>15</v>
      </c>
      <c r="AE32" s="14" t="str">
        <f t="shared" si="324"/>
        <v/>
      </c>
      <c r="AF32" s="15" t="str">
        <f t="shared" si="324"/>
        <v/>
      </c>
      <c r="AG32" s="14" t="str">
        <f t="shared" si="324"/>
        <v/>
      </c>
      <c r="AH32" s="14">
        <f t="shared" si="324"/>
        <v>16</v>
      </c>
      <c r="AI32" s="14" t="str">
        <f t="shared" si="324"/>
        <v/>
      </c>
      <c r="AJ32" s="14">
        <f t="shared" si="324"/>
        <v>15</v>
      </c>
      <c r="AK32" s="14">
        <f t="shared" si="324"/>
        <v>10</v>
      </c>
      <c r="AL32" s="14" t="str">
        <f t="shared" si="324"/>
        <v/>
      </c>
      <c r="AM32" s="15" t="str">
        <f t="shared" si="324"/>
        <v/>
      </c>
      <c r="AN32" s="14" t="str">
        <f t="shared" si="324"/>
        <v/>
      </c>
      <c r="AO32" s="14">
        <f t="shared" si="324"/>
        <v>15</v>
      </c>
      <c r="AP32" s="14" t="str">
        <f t="shared" si="324"/>
        <v/>
      </c>
      <c r="AQ32" s="14">
        <f t="shared" si="324"/>
        <v>16</v>
      </c>
      <c r="AR32" s="14">
        <f t="shared" si="324"/>
        <v>11</v>
      </c>
      <c r="AS32" s="14" t="str">
        <f t="shared" si="324"/>
        <v/>
      </c>
      <c r="AT32" s="15" t="str">
        <f t="shared" si="324"/>
        <v/>
      </c>
      <c r="AU32" s="14" t="str">
        <f t="shared" si="324"/>
        <v/>
      </c>
      <c r="AV32" s="14">
        <f t="shared" si="324"/>
        <v>14</v>
      </c>
      <c r="AW32" s="14">
        <f t="shared" si="324"/>
        <v>2</v>
      </c>
      <c r="AX32" s="14">
        <f t="shared" ref="AX32:BV32" si="325">IF(SUM(AX6:AX31) &gt; 0, SUM(AX6:AX31), "")</f>
        <v>13</v>
      </c>
      <c r="AY32" s="14">
        <f t="shared" si="325"/>
        <v>12</v>
      </c>
      <c r="AZ32" s="14" t="str">
        <f t="shared" si="325"/>
        <v/>
      </c>
      <c r="BA32" s="15" t="str">
        <f t="shared" si="325"/>
        <v/>
      </c>
      <c r="BB32" s="14" t="str">
        <f t="shared" si="325"/>
        <v/>
      </c>
      <c r="BC32" s="14">
        <f t="shared" si="325"/>
        <v>14</v>
      </c>
      <c r="BD32" s="14" t="str">
        <f t="shared" si="325"/>
        <v/>
      </c>
      <c r="BE32" s="14">
        <f t="shared" si="325"/>
        <v>14</v>
      </c>
      <c r="BF32" s="14">
        <f t="shared" si="325"/>
        <v>11</v>
      </c>
      <c r="BG32" s="14" t="str">
        <f t="shared" si="325"/>
        <v/>
      </c>
      <c r="BH32" s="15" t="str">
        <f t="shared" si="325"/>
        <v/>
      </c>
      <c r="BI32" s="14" t="str">
        <f t="shared" si="325"/>
        <v/>
      </c>
      <c r="BJ32" s="14">
        <f t="shared" si="325"/>
        <v>16</v>
      </c>
      <c r="BK32" s="14" t="str">
        <f t="shared" si="325"/>
        <v/>
      </c>
      <c r="BL32" s="14">
        <f t="shared" si="325"/>
        <v>16</v>
      </c>
      <c r="BM32" s="14" t="str">
        <f t="shared" si="325"/>
        <v/>
      </c>
      <c r="BN32" s="14" t="str">
        <f t="shared" si="325"/>
        <v/>
      </c>
      <c r="BO32" s="15">
        <f t="shared" si="325"/>
        <v>8</v>
      </c>
      <c r="BP32" s="14" t="str">
        <f t="shared" si="325"/>
        <v/>
      </c>
      <c r="BQ32" s="14">
        <f t="shared" si="325"/>
        <v>17</v>
      </c>
      <c r="BR32" s="14" t="str">
        <f t="shared" si="325"/>
        <v/>
      </c>
      <c r="BS32" s="14">
        <f t="shared" si="325"/>
        <v>14</v>
      </c>
      <c r="BT32" s="14" t="str">
        <f t="shared" si="325"/>
        <v/>
      </c>
      <c r="BU32" s="14" t="str">
        <f t="shared" si="325"/>
        <v/>
      </c>
      <c r="BV32" s="14">
        <f t="shared" si="325"/>
        <v>3</v>
      </c>
      <c r="BW32" s="14"/>
      <c r="BX32" s="15" t="str">
        <f t="shared" ref="BX32:CE32" si="326">IF(SUM(BX6:BX31) &gt; 0, SUM(BX6:BX31), "")</f>
        <v/>
      </c>
      <c r="BY32" s="14" t="str">
        <f t="shared" si="326"/>
        <v/>
      </c>
      <c r="BZ32" s="14" t="str">
        <f t="shared" si="326"/>
        <v/>
      </c>
      <c r="CA32" s="14" t="str">
        <f t="shared" si="326"/>
        <v/>
      </c>
      <c r="CB32" s="14">
        <f t="shared" si="326"/>
        <v>9</v>
      </c>
      <c r="CC32" s="14" t="str">
        <f t="shared" si="326"/>
        <v/>
      </c>
      <c r="CD32" s="14" t="str">
        <f t="shared" si="326"/>
        <v/>
      </c>
      <c r="CE32" s="14">
        <f t="shared" si="326"/>
        <v>6</v>
      </c>
      <c r="CF32" s="14"/>
      <c r="CG32" s="15" t="str">
        <f t="shared" ref="CG32:CN32" si="327">IF(SUM(CG6:CG31) &gt; 0, SUM(CG6:CG31), "")</f>
        <v/>
      </c>
      <c r="CH32" s="14" t="str">
        <f t="shared" si="327"/>
        <v/>
      </c>
      <c r="CI32" s="14" t="str">
        <f t="shared" si="327"/>
        <v/>
      </c>
      <c r="CJ32" s="14" t="str">
        <f t="shared" si="327"/>
        <v/>
      </c>
      <c r="CK32" s="14">
        <f t="shared" si="327"/>
        <v>10</v>
      </c>
      <c r="CL32" s="14" t="str">
        <f t="shared" si="327"/>
        <v/>
      </c>
      <c r="CM32" s="14" t="str">
        <f t="shared" si="327"/>
        <v/>
      </c>
      <c r="CN32" s="14">
        <f t="shared" si="327"/>
        <v>8</v>
      </c>
      <c r="CO32" s="14"/>
      <c r="CP32" s="15" t="str">
        <f t="shared" ref="CP32:DW32" si="328">IF(SUM(CP6:CP31) &gt; 0, SUM(CP6:CP31), "")</f>
        <v/>
      </c>
      <c r="CQ32" s="14" t="str">
        <f t="shared" si="328"/>
        <v/>
      </c>
      <c r="CR32" s="14">
        <f t="shared" si="328"/>
        <v>13</v>
      </c>
      <c r="CS32" s="14" t="str">
        <f t="shared" si="328"/>
        <v/>
      </c>
      <c r="CT32" s="14" t="str">
        <f t="shared" si="328"/>
        <v/>
      </c>
      <c r="CU32" s="14" t="str">
        <f t="shared" si="328"/>
        <v/>
      </c>
      <c r="CV32" s="14" t="str">
        <f t="shared" si="328"/>
        <v/>
      </c>
      <c r="CW32" s="15" t="str">
        <f t="shared" si="328"/>
        <v/>
      </c>
      <c r="CX32" s="14" t="str">
        <f t="shared" si="328"/>
        <v/>
      </c>
      <c r="CY32" s="14" t="str">
        <f t="shared" si="328"/>
        <v/>
      </c>
      <c r="CZ32" s="14" t="str">
        <f t="shared" si="328"/>
        <v/>
      </c>
      <c r="DA32" s="14" t="str">
        <f t="shared" si="328"/>
        <v/>
      </c>
      <c r="DB32" s="14" t="str">
        <f t="shared" si="328"/>
        <v/>
      </c>
      <c r="DC32" s="14" t="str">
        <f t="shared" si="328"/>
        <v/>
      </c>
      <c r="DD32" s="15" t="str">
        <f t="shared" si="328"/>
        <v/>
      </c>
      <c r="DE32" s="14" t="str">
        <f t="shared" si="328"/>
        <v/>
      </c>
      <c r="DF32" s="14" t="str">
        <f t="shared" si="328"/>
        <v/>
      </c>
      <c r="DG32" s="14" t="str">
        <f t="shared" si="328"/>
        <v/>
      </c>
      <c r="DH32" s="14" t="str">
        <f t="shared" si="328"/>
        <v/>
      </c>
      <c r="DI32" s="14" t="str">
        <f t="shared" si="328"/>
        <v/>
      </c>
      <c r="DJ32" s="14" t="str">
        <f t="shared" si="328"/>
        <v/>
      </c>
      <c r="DK32" s="15" t="str">
        <f t="shared" si="328"/>
        <v/>
      </c>
      <c r="DL32" s="14" t="str">
        <f t="shared" si="328"/>
        <v/>
      </c>
      <c r="DM32" s="14" t="str">
        <f t="shared" si="328"/>
        <v/>
      </c>
      <c r="DN32" s="14" t="str">
        <f t="shared" si="328"/>
        <v/>
      </c>
      <c r="DO32" s="14" t="str">
        <f t="shared" si="328"/>
        <v/>
      </c>
      <c r="DP32" s="14" t="str">
        <f t="shared" si="328"/>
        <v/>
      </c>
      <c r="DQ32" s="14" t="str">
        <f t="shared" si="328"/>
        <v/>
      </c>
      <c r="DR32" s="15" t="str">
        <f t="shared" si="328"/>
        <v/>
      </c>
      <c r="DS32" s="14" t="str">
        <f t="shared" si="328"/>
        <v/>
      </c>
      <c r="DT32" s="14" t="str">
        <f t="shared" si="328"/>
        <v/>
      </c>
      <c r="DU32" s="14" t="str">
        <f t="shared" si="328"/>
        <v/>
      </c>
      <c r="DV32" s="14" t="str">
        <f t="shared" si="328"/>
        <v/>
      </c>
      <c r="DW32" s="14" t="str">
        <f t="shared" si="328"/>
        <v/>
      </c>
      <c r="DX32" s="14"/>
      <c r="DY32" s="15" t="str">
        <f t="shared" ref="DY32:FD32" si="329">IF(SUM(DY6:DY31) &gt; 0, SUM(DY6:DY31), "")</f>
        <v/>
      </c>
      <c r="DZ32" s="14" t="str">
        <f t="shared" si="329"/>
        <v/>
      </c>
      <c r="EA32" s="14" t="str">
        <f t="shared" si="329"/>
        <v/>
      </c>
      <c r="EB32" s="14" t="str">
        <f t="shared" si="329"/>
        <v/>
      </c>
      <c r="EC32" s="14" t="str">
        <f t="shared" si="329"/>
        <v/>
      </c>
      <c r="ED32" s="14" t="str">
        <f t="shared" si="329"/>
        <v/>
      </c>
      <c r="EE32" s="14" t="str">
        <f t="shared" si="329"/>
        <v/>
      </c>
      <c r="EF32" s="15" t="str">
        <f t="shared" si="329"/>
        <v/>
      </c>
      <c r="EG32" s="14" t="str">
        <f t="shared" si="329"/>
        <v/>
      </c>
      <c r="EH32" s="14" t="str">
        <f t="shared" si="329"/>
        <v/>
      </c>
      <c r="EI32" s="14" t="str">
        <f t="shared" si="329"/>
        <v/>
      </c>
      <c r="EJ32" s="14" t="str">
        <f t="shared" si="329"/>
        <v/>
      </c>
      <c r="EK32" s="14" t="str">
        <f t="shared" si="329"/>
        <v/>
      </c>
      <c r="EL32" s="14" t="str">
        <f t="shared" si="329"/>
        <v/>
      </c>
      <c r="EM32" s="15" t="str">
        <f t="shared" si="329"/>
        <v/>
      </c>
      <c r="EN32" s="14" t="str">
        <f t="shared" si="329"/>
        <v/>
      </c>
      <c r="EO32" s="14" t="str">
        <f t="shared" si="329"/>
        <v/>
      </c>
      <c r="EP32" s="14" t="str">
        <f t="shared" si="329"/>
        <v/>
      </c>
      <c r="EQ32" s="14" t="str">
        <f t="shared" si="329"/>
        <v/>
      </c>
      <c r="ER32" s="14" t="str">
        <f t="shared" si="329"/>
        <v/>
      </c>
      <c r="ES32" s="14" t="str">
        <f t="shared" si="329"/>
        <v/>
      </c>
      <c r="ET32" s="15" t="str">
        <f t="shared" si="329"/>
        <v/>
      </c>
      <c r="EU32" s="14" t="str">
        <f t="shared" si="329"/>
        <v/>
      </c>
      <c r="EV32" s="14" t="str">
        <f t="shared" si="329"/>
        <v/>
      </c>
      <c r="EW32" s="14" t="str">
        <f t="shared" si="329"/>
        <v/>
      </c>
      <c r="EX32" s="14" t="str">
        <f t="shared" si="329"/>
        <v/>
      </c>
      <c r="EY32" s="14" t="str">
        <f t="shared" si="329"/>
        <v/>
      </c>
      <c r="EZ32" s="14" t="str">
        <f t="shared" si="329"/>
        <v/>
      </c>
      <c r="FA32" s="15" t="str">
        <f t="shared" si="329"/>
        <v/>
      </c>
      <c r="FB32" s="14" t="str">
        <f t="shared" si="329"/>
        <v/>
      </c>
      <c r="FC32" s="14" t="str">
        <f t="shared" si="329"/>
        <v/>
      </c>
      <c r="FD32" s="14" t="str">
        <f t="shared" si="329"/>
        <v/>
      </c>
      <c r="FE32" s="14" t="str">
        <f t="shared" ref="FE32:GH32" si="330">IF(SUM(FE6:FE31) &gt; 0, SUM(FE6:FE31), "")</f>
        <v/>
      </c>
      <c r="FF32" s="14" t="str">
        <f t="shared" si="330"/>
        <v/>
      </c>
      <c r="FG32" s="14" t="str">
        <f t="shared" si="330"/>
        <v/>
      </c>
      <c r="FH32" s="15" t="str">
        <f t="shared" si="330"/>
        <v/>
      </c>
      <c r="FI32" s="14" t="str">
        <f t="shared" si="330"/>
        <v/>
      </c>
      <c r="FJ32" s="14" t="str">
        <f t="shared" si="330"/>
        <v/>
      </c>
      <c r="FK32" s="14" t="str">
        <f t="shared" si="330"/>
        <v/>
      </c>
      <c r="FL32" s="14" t="str">
        <f t="shared" si="330"/>
        <v/>
      </c>
      <c r="FM32" s="14" t="str">
        <f t="shared" si="330"/>
        <v/>
      </c>
      <c r="FN32" s="14" t="str">
        <f t="shared" si="330"/>
        <v/>
      </c>
      <c r="FO32" s="15" t="str">
        <f t="shared" si="330"/>
        <v/>
      </c>
      <c r="FP32" s="14" t="str">
        <f t="shared" si="330"/>
        <v/>
      </c>
      <c r="FQ32" s="14" t="str">
        <f t="shared" si="330"/>
        <v/>
      </c>
      <c r="FR32" s="14" t="str">
        <f t="shared" si="330"/>
        <v/>
      </c>
      <c r="FS32" s="14" t="str">
        <f t="shared" si="330"/>
        <v/>
      </c>
      <c r="FT32" s="14" t="str">
        <f t="shared" si="330"/>
        <v/>
      </c>
      <c r="FU32" s="14" t="str">
        <f t="shared" si="330"/>
        <v/>
      </c>
      <c r="FV32" s="15" t="str">
        <f t="shared" si="330"/>
        <v/>
      </c>
      <c r="FW32" s="14" t="str">
        <f t="shared" si="330"/>
        <v/>
      </c>
      <c r="FX32" s="14" t="str">
        <f t="shared" si="330"/>
        <v/>
      </c>
      <c r="FY32" s="14" t="str">
        <f t="shared" si="330"/>
        <v/>
      </c>
      <c r="FZ32" s="14" t="str">
        <f t="shared" si="330"/>
        <v/>
      </c>
      <c r="GA32" s="14" t="str">
        <f t="shared" si="330"/>
        <v/>
      </c>
      <c r="GB32" s="14" t="str">
        <f t="shared" si="330"/>
        <v/>
      </c>
      <c r="GC32" s="15" t="str">
        <f t="shared" si="330"/>
        <v/>
      </c>
      <c r="GD32" s="14" t="str">
        <f t="shared" si="330"/>
        <v/>
      </c>
      <c r="GE32" s="14" t="str">
        <f t="shared" si="330"/>
        <v/>
      </c>
      <c r="GF32" s="14" t="str">
        <f t="shared" si="330"/>
        <v/>
      </c>
      <c r="GG32" s="14" t="str">
        <f t="shared" si="330"/>
        <v/>
      </c>
      <c r="GH32" s="14" t="str">
        <f t="shared" si="330"/>
        <v/>
      </c>
      <c r="GI32" s="14"/>
      <c r="GJ32" s="15" t="str">
        <f t="shared" ref="GJ32:HO32" si="331">IF(SUM(GJ6:GJ31) &gt; 0, SUM(GJ6:GJ31), "")</f>
        <v/>
      </c>
      <c r="GK32" s="14" t="str">
        <f t="shared" si="331"/>
        <v/>
      </c>
      <c r="GL32" s="14" t="str">
        <f t="shared" si="331"/>
        <v/>
      </c>
      <c r="GM32" s="14" t="str">
        <f t="shared" si="331"/>
        <v/>
      </c>
      <c r="GN32" s="14" t="str">
        <f t="shared" si="331"/>
        <v/>
      </c>
      <c r="GO32" s="14" t="str">
        <f t="shared" si="331"/>
        <v/>
      </c>
      <c r="GP32" s="14" t="str">
        <f t="shared" si="331"/>
        <v/>
      </c>
      <c r="GQ32" s="15" t="str">
        <f t="shared" si="331"/>
        <v/>
      </c>
      <c r="GR32" s="14" t="str">
        <f t="shared" si="331"/>
        <v/>
      </c>
      <c r="GS32" s="14" t="str">
        <f t="shared" si="331"/>
        <v/>
      </c>
      <c r="GT32" s="14" t="str">
        <f t="shared" si="331"/>
        <v/>
      </c>
      <c r="GU32" s="14" t="str">
        <f t="shared" si="331"/>
        <v/>
      </c>
      <c r="GV32" s="14" t="str">
        <f t="shared" si="331"/>
        <v/>
      </c>
      <c r="GW32" s="14" t="str">
        <f t="shared" si="331"/>
        <v/>
      </c>
      <c r="GX32" s="15" t="str">
        <f t="shared" si="331"/>
        <v/>
      </c>
      <c r="GY32" s="14" t="str">
        <f t="shared" si="331"/>
        <v/>
      </c>
      <c r="GZ32" s="14" t="str">
        <f t="shared" si="331"/>
        <v/>
      </c>
      <c r="HA32" s="14" t="str">
        <f t="shared" si="331"/>
        <v/>
      </c>
      <c r="HB32" s="14" t="str">
        <f t="shared" si="331"/>
        <v/>
      </c>
      <c r="HC32" s="14" t="str">
        <f t="shared" si="331"/>
        <v/>
      </c>
      <c r="HD32" s="14" t="str">
        <f t="shared" si="331"/>
        <v/>
      </c>
      <c r="HE32" s="15" t="str">
        <f t="shared" si="331"/>
        <v/>
      </c>
      <c r="HF32" s="14" t="str">
        <f t="shared" si="331"/>
        <v/>
      </c>
      <c r="HG32" s="14" t="str">
        <f t="shared" si="331"/>
        <v/>
      </c>
      <c r="HH32" s="14" t="str">
        <f t="shared" si="331"/>
        <v/>
      </c>
      <c r="HI32" s="14" t="str">
        <f t="shared" si="331"/>
        <v/>
      </c>
      <c r="HJ32" s="14" t="str">
        <f t="shared" si="331"/>
        <v/>
      </c>
      <c r="HK32" s="14" t="str">
        <f t="shared" si="331"/>
        <v/>
      </c>
      <c r="HL32" s="15" t="str">
        <f t="shared" si="331"/>
        <v/>
      </c>
      <c r="HM32" s="14" t="str">
        <f t="shared" si="331"/>
        <v/>
      </c>
      <c r="HN32" s="14" t="str">
        <f t="shared" si="331"/>
        <v/>
      </c>
      <c r="HO32" s="14" t="str">
        <f t="shared" si="331"/>
        <v/>
      </c>
      <c r="HP32" s="14" t="str">
        <f t="shared" ref="HP32:IU32" si="332">IF(SUM(HP6:HP31) &gt; 0, SUM(HP6:HP31), "")</f>
        <v/>
      </c>
      <c r="HQ32" s="14" t="str">
        <f t="shared" si="332"/>
        <v/>
      </c>
      <c r="HR32" s="14" t="str">
        <f t="shared" si="332"/>
        <v/>
      </c>
      <c r="HS32" s="15" t="str">
        <f t="shared" si="332"/>
        <v/>
      </c>
      <c r="HT32" s="14" t="str">
        <f t="shared" si="332"/>
        <v/>
      </c>
      <c r="HU32" s="14" t="str">
        <f t="shared" si="332"/>
        <v/>
      </c>
      <c r="HV32" s="14" t="str">
        <f t="shared" si="332"/>
        <v/>
      </c>
      <c r="HW32" s="14" t="str">
        <f t="shared" si="332"/>
        <v/>
      </c>
      <c r="HX32" s="14" t="str">
        <f t="shared" si="332"/>
        <v/>
      </c>
      <c r="HY32" s="14" t="str">
        <f t="shared" si="332"/>
        <v/>
      </c>
      <c r="HZ32" s="15" t="str">
        <f t="shared" si="332"/>
        <v/>
      </c>
      <c r="IA32" s="14" t="str">
        <f t="shared" si="332"/>
        <v/>
      </c>
      <c r="IB32" s="14" t="str">
        <f t="shared" si="332"/>
        <v/>
      </c>
      <c r="IC32" s="14" t="str">
        <f t="shared" si="332"/>
        <v/>
      </c>
      <c r="ID32" s="14" t="str">
        <f t="shared" si="332"/>
        <v/>
      </c>
      <c r="IE32" s="14" t="str">
        <f t="shared" si="332"/>
        <v/>
      </c>
      <c r="IF32" s="14" t="str">
        <f t="shared" si="332"/>
        <v/>
      </c>
      <c r="IG32" s="15" t="str">
        <f t="shared" si="332"/>
        <v/>
      </c>
      <c r="IH32" s="14" t="str">
        <f t="shared" si="332"/>
        <v/>
      </c>
      <c r="II32" s="14" t="str">
        <f t="shared" si="332"/>
        <v/>
      </c>
      <c r="IJ32" s="14" t="str">
        <f t="shared" si="332"/>
        <v/>
      </c>
      <c r="IK32" s="14" t="str">
        <f t="shared" si="332"/>
        <v/>
      </c>
      <c r="IL32" s="14" t="str">
        <f t="shared" si="332"/>
        <v/>
      </c>
      <c r="IM32" s="14" t="str">
        <f t="shared" si="332"/>
        <v/>
      </c>
      <c r="IN32" s="15" t="str">
        <f t="shared" si="332"/>
        <v/>
      </c>
      <c r="IO32" s="14" t="str">
        <f t="shared" si="332"/>
        <v/>
      </c>
      <c r="IP32" s="14" t="str">
        <f t="shared" si="332"/>
        <v/>
      </c>
      <c r="IQ32" s="14" t="str">
        <f t="shared" si="332"/>
        <v/>
      </c>
      <c r="IR32" s="14" t="str">
        <f t="shared" si="332"/>
        <v/>
      </c>
      <c r="IS32" s="14" t="str">
        <f t="shared" si="332"/>
        <v/>
      </c>
      <c r="IT32" s="14" t="str">
        <f t="shared" si="332"/>
        <v/>
      </c>
      <c r="IU32" s="15" t="str">
        <f t="shared" si="332"/>
        <v/>
      </c>
      <c r="IV32" s="14" t="str">
        <f t="shared" ref="IV32:KA32" si="333">IF(SUM(IV6:IV31) &gt; 0, SUM(IV6:IV31), "")</f>
        <v/>
      </c>
      <c r="IW32" s="14" t="str">
        <f t="shared" si="333"/>
        <v/>
      </c>
      <c r="IX32" s="14" t="str">
        <f t="shared" si="333"/>
        <v/>
      </c>
      <c r="IY32" s="14" t="str">
        <f t="shared" si="333"/>
        <v/>
      </c>
      <c r="IZ32" s="14" t="str">
        <f t="shared" si="333"/>
        <v/>
      </c>
      <c r="JA32" s="14" t="str">
        <f t="shared" si="333"/>
        <v/>
      </c>
      <c r="JB32" s="15" t="str">
        <f t="shared" si="333"/>
        <v/>
      </c>
      <c r="JC32" s="14" t="str">
        <f t="shared" si="333"/>
        <v/>
      </c>
      <c r="JD32" s="14" t="str">
        <f t="shared" si="333"/>
        <v/>
      </c>
      <c r="JE32" s="14" t="str">
        <f t="shared" si="333"/>
        <v/>
      </c>
      <c r="JF32" s="14" t="str">
        <f t="shared" si="333"/>
        <v/>
      </c>
      <c r="JG32" s="14" t="str">
        <f t="shared" si="333"/>
        <v/>
      </c>
      <c r="JH32" s="14" t="str">
        <f t="shared" si="333"/>
        <v/>
      </c>
      <c r="JI32" s="15" t="str">
        <f t="shared" si="333"/>
        <v/>
      </c>
      <c r="JJ32" s="14" t="str">
        <f t="shared" si="333"/>
        <v/>
      </c>
      <c r="JK32" s="14" t="str">
        <f t="shared" si="333"/>
        <v/>
      </c>
      <c r="JL32" s="14" t="str">
        <f t="shared" si="333"/>
        <v/>
      </c>
      <c r="JM32" s="14" t="str">
        <f t="shared" si="333"/>
        <v/>
      </c>
      <c r="JN32" s="14" t="str">
        <f t="shared" si="333"/>
        <v/>
      </c>
      <c r="JO32" s="14" t="str">
        <f t="shared" si="333"/>
        <v/>
      </c>
      <c r="JP32" s="15" t="str">
        <f t="shared" si="333"/>
        <v/>
      </c>
      <c r="JQ32" s="14" t="str">
        <f t="shared" si="333"/>
        <v/>
      </c>
      <c r="JR32" s="14" t="str">
        <f t="shared" si="333"/>
        <v/>
      </c>
      <c r="JS32" s="14" t="str">
        <f t="shared" si="333"/>
        <v/>
      </c>
      <c r="JT32" s="14" t="str">
        <f t="shared" si="333"/>
        <v/>
      </c>
      <c r="JU32" s="14" t="str">
        <f t="shared" si="333"/>
        <v/>
      </c>
      <c r="JV32" s="14" t="str">
        <f t="shared" si="333"/>
        <v/>
      </c>
      <c r="JW32" s="15" t="str">
        <f t="shared" si="333"/>
        <v/>
      </c>
      <c r="JX32" s="14" t="str">
        <f t="shared" si="333"/>
        <v/>
      </c>
      <c r="JY32" s="14" t="str">
        <f t="shared" si="333"/>
        <v/>
      </c>
      <c r="JZ32" s="14" t="str">
        <f t="shared" si="333"/>
        <v/>
      </c>
      <c r="KA32" s="14" t="str">
        <f t="shared" si="333"/>
        <v/>
      </c>
      <c r="KB32" s="14" t="str">
        <f t="shared" ref="KB32:LG32" si="334">IF(SUM(KB6:KB31) &gt; 0, SUM(KB6:KB31), "")</f>
        <v/>
      </c>
      <c r="KC32" s="14" t="str">
        <f t="shared" si="334"/>
        <v/>
      </c>
      <c r="KD32" s="15" t="str">
        <f t="shared" si="334"/>
        <v/>
      </c>
      <c r="KE32" s="14" t="str">
        <f t="shared" si="334"/>
        <v/>
      </c>
      <c r="KF32" s="14" t="str">
        <f t="shared" si="334"/>
        <v/>
      </c>
      <c r="KG32" s="14" t="str">
        <f t="shared" si="334"/>
        <v/>
      </c>
      <c r="KH32" s="14" t="str">
        <f t="shared" si="334"/>
        <v/>
      </c>
      <c r="KI32" s="14" t="str">
        <f t="shared" si="334"/>
        <v/>
      </c>
      <c r="KJ32" s="14" t="str">
        <f t="shared" si="334"/>
        <v/>
      </c>
      <c r="KK32" s="15" t="str">
        <f t="shared" si="334"/>
        <v/>
      </c>
      <c r="KL32" s="14" t="str">
        <f t="shared" si="334"/>
        <v/>
      </c>
      <c r="KM32" s="14" t="str">
        <f t="shared" si="334"/>
        <v/>
      </c>
      <c r="KN32" s="14" t="str">
        <f t="shared" si="334"/>
        <v/>
      </c>
      <c r="KO32" s="14" t="str">
        <f t="shared" si="334"/>
        <v/>
      </c>
      <c r="KP32" s="14" t="str">
        <f t="shared" si="334"/>
        <v/>
      </c>
      <c r="KQ32" s="14" t="str">
        <f t="shared" si="334"/>
        <v/>
      </c>
      <c r="KR32" s="15" t="str">
        <f t="shared" si="334"/>
        <v/>
      </c>
      <c r="KS32" s="14" t="str">
        <f t="shared" si="334"/>
        <v/>
      </c>
      <c r="KT32" s="14" t="str">
        <f t="shared" si="334"/>
        <v/>
      </c>
      <c r="KU32" s="14" t="str">
        <f t="shared" si="334"/>
        <v/>
      </c>
      <c r="KV32" s="14" t="str">
        <f t="shared" si="334"/>
        <v/>
      </c>
      <c r="KW32" s="14" t="str">
        <f t="shared" si="334"/>
        <v/>
      </c>
      <c r="KX32" s="14" t="str">
        <f t="shared" si="334"/>
        <v/>
      </c>
      <c r="KY32" s="15" t="str">
        <f t="shared" si="334"/>
        <v/>
      </c>
      <c r="KZ32" s="14" t="str">
        <f t="shared" si="334"/>
        <v/>
      </c>
      <c r="LA32" s="14" t="str">
        <f t="shared" si="334"/>
        <v/>
      </c>
      <c r="LB32" s="14" t="str">
        <f t="shared" si="334"/>
        <v/>
      </c>
      <c r="LC32" s="14" t="str">
        <f t="shared" si="334"/>
        <v/>
      </c>
      <c r="LD32" s="14" t="str">
        <f t="shared" si="334"/>
        <v/>
      </c>
      <c r="LE32" s="14" t="str">
        <f t="shared" si="334"/>
        <v/>
      </c>
      <c r="LF32" s="15" t="str">
        <f t="shared" si="334"/>
        <v/>
      </c>
      <c r="LG32" s="14" t="str">
        <f t="shared" si="334"/>
        <v/>
      </c>
      <c r="LH32" s="14" t="str">
        <f t="shared" ref="LH32:MA32" si="335">IF(SUM(LH6:LH31) &gt; 0, SUM(LH6:LH31), "")</f>
        <v/>
      </c>
      <c r="LI32" s="14" t="str">
        <f t="shared" si="335"/>
        <v/>
      </c>
      <c r="LJ32" s="14" t="str">
        <f t="shared" si="335"/>
        <v/>
      </c>
      <c r="LK32" s="14" t="str">
        <f t="shared" si="335"/>
        <v/>
      </c>
      <c r="LL32" s="14" t="str">
        <f t="shared" si="335"/>
        <v/>
      </c>
      <c r="LM32" s="15" t="str">
        <f t="shared" si="335"/>
        <v/>
      </c>
      <c r="LN32" s="14" t="str">
        <f t="shared" si="335"/>
        <v/>
      </c>
      <c r="LO32" s="14" t="str">
        <f t="shared" si="335"/>
        <v/>
      </c>
      <c r="LP32" s="14" t="str">
        <f t="shared" si="335"/>
        <v/>
      </c>
      <c r="LQ32" s="14" t="str">
        <f t="shared" si="335"/>
        <v/>
      </c>
      <c r="LR32" s="14" t="str">
        <f t="shared" si="335"/>
        <v/>
      </c>
      <c r="LS32" s="14" t="str">
        <f t="shared" si="335"/>
        <v/>
      </c>
      <c r="LT32" s="15" t="str">
        <f t="shared" si="335"/>
        <v/>
      </c>
      <c r="LU32" s="14" t="str">
        <f t="shared" si="335"/>
        <v/>
      </c>
      <c r="LV32" s="14" t="str">
        <f t="shared" si="335"/>
        <v/>
      </c>
      <c r="LW32" s="14" t="str">
        <f t="shared" si="335"/>
        <v/>
      </c>
      <c r="LX32" s="14" t="str">
        <f t="shared" si="335"/>
        <v/>
      </c>
      <c r="LY32" s="14" t="str">
        <f t="shared" si="335"/>
        <v/>
      </c>
      <c r="LZ32" s="14" t="str">
        <f t="shared" si="335"/>
        <v/>
      </c>
      <c r="MA32" s="15" t="str">
        <f t="shared" si="335"/>
        <v/>
      </c>
    </row>
    <row r="33" spans="1:339" x14ac:dyDescent="0.25">
      <c r="A33" s="6" t="s">
        <v>18</v>
      </c>
      <c r="B33" s="3"/>
      <c r="C33" s="3"/>
      <c r="D33" s="3"/>
      <c r="E33" s="3"/>
      <c r="F33" s="5"/>
      <c r="G33" s="3"/>
      <c r="H33" s="3"/>
      <c r="I33" s="3"/>
      <c r="J33" s="3"/>
      <c r="K33" s="3"/>
      <c r="L33" s="3"/>
      <c r="M33" s="3"/>
      <c r="N33" s="3"/>
      <c r="O33" s="4"/>
      <c r="P33" s="3">
        <f>SUM(R33:MA33)</f>
        <v>30</v>
      </c>
      <c r="Q33" s="4"/>
      <c r="R33" s="4">
        <v>1</v>
      </c>
      <c r="S33" s="3"/>
      <c r="T33" s="3">
        <v>1</v>
      </c>
      <c r="U33" s="3">
        <v>1</v>
      </c>
      <c r="V33" s="3"/>
      <c r="W33" s="3">
        <v>1</v>
      </c>
      <c r="X33" s="3"/>
      <c r="Y33" s="4"/>
      <c r="Z33" s="3"/>
      <c r="AA33" s="3">
        <v>1</v>
      </c>
      <c r="AB33" s="3"/>
      <c r="AC33" s="3">
        <v>1</v>
      </c>
      <c r="AD33" s="3">
        <v>1</v>
      </c>
      <c r="AE33" s="3"/>
      <c r="AF33" s="4"/>
      <c r="AG33" s="3"/>
      <c r="AH33" s="3">
        <v>1</v>
      </c>
      <c r="AI33" s="3"/>
      <c r="AJ33" s="3">
        <v>1</v>
      </c>
      <c r="AK33" s="3">
        <v>1</v>
      </c>
      <c r="AL33" s="3"/>
      <c r="AM33" s="4"/>
      <c r="AN33" s="3"/>
      <c r="AO33" s="3">
        <v>1</v>
      </c>
      <c r="AP33" s="3"/>
      <c r="AQ33" s="3">
        <v>1</v>
      </c>
      <c r="AR33" s="3">
        <v>1</v>
      </c>
      <c r="AS33" s="3"/>
      <c r="AT33" s="4"/>
      <c r="AU33" s="3"/>
      <c r="AV33" s="3">
        <v>1</v>
      </c>
      <c r="AW33" s="3"/>
      <c r="AX33" s="3">
        <v>1</v>
      </c>
      <c r="AY33" s="3">
        <v>1</v>
      </c>
      <c r="AZ33" s="3"/>
      <c r="BA33" s="4"/>
      <c r="BB33" s="3"/>
      <c r="BC33" s="3">
        <v>1</v>
      </c>
      <c r="BD33" s="3"/>
      <c r="BE33" s="3">
        <v>1</v>
      </c>
      <c r="BF33" s="3">
        <v>1</v>
      </c>
      <c r="BG33" s="3"/>
      <c r="BH33" s="4"/>
      <c r="BI33" s="3"/>
      <c r="BJ33" s="3">
        <v>1</v>
      </c>
      <c r="BK33" s="3"/>
      <c r="BL33" s="3">
        <v>1</v>
      </c>
      <c r="BM33" s="3"/>
      <c r="BN33" s="3"/>
      <c r="BO33" s="4">
        <v>1</v>
      </c>
      <c r="BP33" s="3"/>
      <c r="BQ33" s="3">
        <v>1</v>
      </c>
      <c r="BR33" s="3"/>
      <c r="BS33" s="3">
        <v>1</v>
      </c>
      <c r="BT33" s="3"/>
      <c r="BU33" s="3"/>
      <c r="BV33" s="3">
        <v>1</v>
      </c>
      <c r="BW33" s="3"/>
      <c r="BX33" s="4"/>
      <c r="BY33" s="3"/>
      <c r="BZ33" s="3"/>
      <c r="CA33" s="3"/>
      <c r="CB33" s="3">
        <v>1</v>
      </c>
      <c r="CC33" s="3"/>
      <c r="CD33" s="3"/>
      <c r="CE33" s="3">
        <v>1</v>
      </c>
      <c r="CF33" s="3"/>
      <c r="CG33" s="4"/>
      <c r="CH33" s="3"/>
      <c r="CI33" s="3"/>
      <c r="CJ33" s="3"/>
      <c r="CK33" s="3">
        <v>1</v>
      </c>
      <c r="CL33" s="3"/>
      <c r="CM33" s="3"/>
      <c r="CN33" s="3">
        <v>1</v>
      </c>
      <c r="CO33" s="3"/>
      <c r="CP33" s="4"/>
      <c r="CQ33" s="3"/>
      <c r="CR33" s="3">
        <v>1</v>
      </c>
      <c r="CS33" s="3"/>
      <c r="CT33" s="3"/>
      <c r="CU33" s="3"/>
      <c r="CV33" s="3"/>
      <c r="CW33" s="4"/>
      <c r="CX33" s="3"/>
      <c r="CY33" s="3"/>
      <c r="CZ33" s="3"/>
      <c r="DA33" s="3"/>
      <c r="DB33" s="3"/>
      <c r="DC33" s="3"/>
      <c r="DD33" s="4"/>
      <c r="DE33" s="3"/>
      <c r="DF33" s="3"/>
      <c r="DG33" s="3"/>
      <c r="DH33" s="3"/>
      <c r="DI33" s="3"/>
      <c r="DJ33" s="3"/>
      <c r="DK33" s="4"/>
      <c r="DL33" s="3"/>
      <c r="DM33" s="3"/>
      <c r="DN33" s="3"/>
      <c r="DO33" s="3"/>
      <c r="DP33" s="3"/>
      <c r="DQ33" s="3"/>
      <c r="DR33" s="4"/>
      <c r="DS33" s="3"/>
      <c r="DT33" s="3"/>
      <c r="DU33" s="3"/>
      <c r="DV33" s="3"/>
      <c r="DW33" s="3"/>
      <c r="DX33" s="3"/>
      <c r="DY33" s="4"/>
      <c r="DZ33" s="3"/>
      <c r="EA33" s="3"/>
      <c r="EB33" s="3"/>
      <c r="EC33" s="3"/>
      <c r="ED33" s="3"/>
      <c r="EE33" s="3"/>
      <c r="EF33" s="4"/>
      <c r="EG33" s="3"/>
      <c r="EH33" s="3"/>
      <c r="EI33" s="3"/>
      <c r="EJ33" s="3"/>
      <c r="EK33" s="3"/>
      <c r="EL33" s="3"/>
      <c r="EM33" s="4"/>
      <c r="EN33" s="3"/>
      <c r="EO33" s="3"/>
      <c r="EP33" s="3"/>
      <c r="EQ33" s="3"/>
      <c r="ER33" s="3"/>
      <c r="ES33" s="3"/>
      <c r="ET33" s="4"/>
      <c r="EU33" s="3"/>
      <c r="EV33" s="3"/>
      <c r="EW33" s="3"/>
      <c r="EX33" s="3"/>
      <c r="EY33" s="3"/>
      <c r="EZ33" s="3"/>
      <c r="FA33" s="4"/>
      <c r="FB33" s="3"/>
      <c r="FC33" s="3"/>
      <c r="FD33" s="3"/>
      <c r="FE33" s="3"/>
      <c r="FF33" s="3"/>
      <c r="FG33" s="3"/>
      <c r="FH33" s="4"/>
      <c r="FI33" s="3"/>
      <c r="FJ33" s="3"/>
      <c r="FK33" s="3"/>
      <c r="FL33" s="3"/>
      <c r="FM33" s="3"/>
      <c r="FN33" s="3"/>
      <c r="FO33" s="4"/>
      <c r="FP33" s="3"/>
      <c r="FQ33" s="3"/>
      <c r="FR33" s="3"/>
      <c r="FS33" s="3"/>
      <c r="FT33" s="3"/>
      <c r="FU33" s="3"/>
      <c r="FV33" s="4"/>
      <c r="FW33" s="3"/>
      <c r="FX33" s="3"/>
      <c r="FY33" s="3"/>
      <c r="FZ33" s="3"/>
      <c r="GA33" s="3"/>
      <c r="GB33" s="3"/>
      <c r="GC33" s="4"/>
      <c r="GD33" s="3"/>
      <c r="GE33" s="3"/>
      <c r="GF33" s="3"/>
      <c r="GG33" s="3"/>
      <c r="GH33" s="3"/>
      <c r="GI33" s="3"/>
      <c r="GJ33" s="4"/>
      <c r="GK33" s="3"/>
      <c r="GL33" s="3"/>
      <c r="GM33" s="3"/>
      <c r="GN33" s="3"/>
      <c r="GO33" s="3"/>
      <c r="GP33" s="3"/>
      <c r="GQ33" s="4"/>
      <c r="GR33" s="3"/>
      <c r="GS33" s="3"/>
      <c r="GT33" s="3"/>
      <c r="GU33" s="3"/>
      <c r="GV33" s="3"/>
      <c r="GW33" s="3"/>
      <c r="GX33" s="4"/>
      <c r="GY33" s="3"/>
      <c r="GZ33" s="3"/>
      <c r="HA33" s="3"/>
      <c r="HB33" s="3"/>
      <c r="HC33" s="3"/>
      <c r="HD33" s="3"/>
      <c r="HE33" s="4"/>
      <c r="HF33" s="3"/>
      <c r="HG33" s="3"/>
      <c r="HH33" s="3"/>
      <c r="HI33" s="3"/>
      <c r="HJ33" s="3"/>
      <c r="HK33" s="3"/>
      <c r="HL33" s="4"/>
      <c r="HM33" s="3"/>
      <c r="HN33" s="3"/>
      <c r="HO33" s="3"/>
      <c r="HP33" s="3"/>
      <c r="HQ33" s="3"/>
      <c r="HR33" s="3"/>
      <c r="HS33" s="4"/>
      <c r="HT33" s="3"/>
      <c r="HU33" s="3"/>
      <c r="HV33" s="3"/>
      <c r="HW33" s="3"/>
      <c r="HX33" s="3"/>
      <c r="HY33" s="3"/>
      <c r="HZ33" s="4"/>
      <c r="IA33" s="3"/>
      <c r="IB33" s="3"/>
      <c r="IC33" s="3"/>
      <c r="ID33" s="3"/>
      <c r="IE33" s="3"/>
      <c r="IF33" s="3"/>
      <c r="IG33" s="4"/>
      <c r="IH33" s="3"/>
      <c r="II33" s="3"/>
      <c r="IJ33" s="3"/>
      <c r="IK33" s="3"/>
      <c r="IL33" s="3"/>
      <c r="IM33" s="3"/>
      <c r="IN33" s="4"/>
      <c r="IO33" s="3"/>
      <c r="IP33" s="3"/>
      <c r="IQ33" s="3"/>
      <c r="IR33" s="3"/>
      <c r="IS33" s="3"/>
      <c r="IT33" s="3"/>
      <c r="IU33" s="4"/>
      <c r="IV33" s="3"/>
      <c r="IW33" s="3"/>
      <c r="IX33" s="3"/>
      <c r="IY33" s="3"/>
      <c r="IZ33" s="3"/>
      <c r="JA33" s="3"/>
      <c r="JB33" s="4"/>
      <c r="JC33" s="3"/>
      <c r="JD33" s="3"/>
      <c r="JE33" s="3"/>
      <c r="JF33" s="3"/>
      <c r="JG33" s="3"/>
      <c r="JH33" s="3"/>
      <c r="JI33" s="4"/>
      <c r="JJ33" s="3"/>
      <c r="JK33" s="3"/>
      <c r="JL33" s="3"/>
      <c r="JM33" s="3"/>
      <c r="JN33" s="3"/>
      <c r="JO33" s="3"/>
      <c r="JP33" s="4"/>
      <c r="JQ33" s="3"/>
      <c r="JR33" s="3"/>
      <c r="JS33" s="3"/>
      <c r="JT33" s="3"/>
      <c r="JU33" s="3"/>
      <c r="JV33" s="3"/>
      <c r="JW33" s="4"/>
      <c r="JX33" s="3"/>
      <c r="JY33" s="3"/>
      <c r="JZ33" s="3"/>
      <c r="KA33" s="3"/>
      <c r="KB33" s="3"/>
      <c r="KC33" s="3"/>
      <c r="KD33" s="4"/>
      <c r="KE33" s="3"/>
      <c r="KF33" s="3"/>
      <c r="KG33" s="3"/>
      <c r="KH33" s="3"/>
      <c r="KI33" s="3"/>
      <c r="KJ33" s="3"/>
      <c r="KK33" s="4"/>
      <c r="KL33" s="3"/>
      <c r="KM33" s="3"/>
      <c r="KN33" s="3"/>
      <c r="KO33" s="3"/>
      <c r="KP33" s="3"/>
      <c r="KQ33" s="3"/>
      <c r="KR33" s="4"/>
      <c r="KS33" s="3"/>
      <c r="KT33" s="3"/>
      <c r="KU33" s="3"/>
      <c r="KV33" s="3"/>
      <c r="KW33" s="3"/>
      <c r="KX33" s="3"/>
      <c r="KY33" s="4"/>
      <c r="KZ33" s="3"/>
      <c r="LA33" s="3"/>
      <c r="LB33" s="3"/>
      <c r="LC33" s="3"/>
      <c r="LD33" s="3"/>
      <c r="LE33" s="3"/>
      <c r="LF33" s="4"/>
      <c r="LG33" s="3"/>
      <c r="LH33" s="3"/>
      <c r="LI33" s="3"/>
      <c r="LJ33" s="3"/>
      <c r="LK33" s="3"/>
      <c r="LL33" s="3"/>
      <c r="LM33" s="4"/>
      <c r="LN33" s="3"/>
      <c r="LO33" s="3"/>
      <c r="LP33" s="3"/>
      <c r="LQ33" s="3"/>
      <c r="LR33" s="3"/>
      <c r="LS33" s="3"/>
      <c r="LT33" s="4"/>
      <c r="LU33" s="3"/>
      <c r="LV33" s="3"/>
      <c r="LW33" s="3"/>
      <c r="LX33" s="3"/>
      <c r="LY33" s="3"/>
      <c r="LZ33" s="3"/>
      <c r="MA33" s="4"/>
    </row>
    <row r="34" spans="1:339" ht="7.5" customHeight="1" x14ac:dyDescent="0.25">
      <c r="A34" s="36"/>
      <c r="B34" s="36"/>
      <c r="C34" s="36"/>
      <c r="D34" s="36"/>
      <c r="E34" s="35"/>
      <c r="F34" s="19"/>
      <c r="G34" s="19"/>
      <c r="H34" s="19"/>
      <c r="I34" s="19"/>
      <c r="J34" s="19"/>
      <c r="K34" s="19"/>
      <c r="L34" s="19"/>
      <c r="M34" s="19"/>
      <c r="N34" s="19"/>
      <c r="O34" s="9"/>
      <c r="P34" s="19"/>
      <c r="Q34" s="9"/>
      <c r="R34" s="7"/>
      <c r="S34" s="34"/>
      <c r="T34" s="34"/>
      <c r="U34" s="34"/>
      <c r="V34" s="34"/>
      <c r="W34" s="34"/>
      <c r="X34" s="34"/>
      <c r="Y34" s="7"/>
      <c r="Z34" s="34"/>
      <c r="AA34" s="34"/>
      <c r="AB34" s="34"/>
      <c r="AC34" s="34"/>
      <c r="AD34" s="34"/>
      <c r="AE34" s="34"/>
      <c r="AF34" s="7"/>
      <c r="AG34" s="34"/>
      <c r="AH34" s="34"/>
      <c r="AI34" s="34"/>
      <c r="AJ34" s="34"/>
      <c r="AK34" s="34"/>
      <c r="AL34" s="34"/>
      <c r="AM34" s="7"/>
      <c r="AN34" s="34"/>
      <c r="AO34" s="34"/>
      <c r="AP34" s="34"/>
      <c r="AQ34" s="34"/>
      <c r="AR34" s="34"/>
      <c r="AS34" s="34"/>
      <c r="AT34" s="7"/>
      <c r="AU34" s="34"/>
      <c r="AV34" s="34"/>
      <c r="AW34" s="34"/>
      <c r="AX34" s="34"/>
      <c r="AY34" s="34"/>
      <c r="AZ34" s="34"/>
      <c r="BA34" s="7"/>
      <c r="BB34" s="34"/>
      <c r="BC34" s="34"/>
      <c r="BD34" s="34"/>
      <c r="BE34" s="34"/>
      <c r="BF34" s="34"/>
      <c r="BG34" s="34"/>
      <c r="BH34" s="7"/>
      <c r="BI34" s="34"/>
      <c r="BJ34" s="34"/>
      <c r="BK34" s="34"/>
      <c r="BL34" s="34"/>
      <c r="BM34" s="34"/>
      <c r="BN34" s="34"/>
      <c r="BO34" s="7"/>
      <c r="BP34" s="34"/>
      <c r="BQ34" s="34"/>
      <c r="BR34" s="34"/>
      <c r="BS34" s="34"/>
      <c r="BT34" s="34"/>
      <c r="BU34" s="34"/>
      <c r="BV34" s="34"/>
      <c r="BW34" s="34"/>
      <c r="BX34" s="7"/>
      <c r="BY34" s="34"/>
      <c r="BZ34" s="34"/>
      <c r="CA34" s="34"/>
      <c r="CB34" s="34"/>
      <c r="CC34" s="34"/>
      <c r="CD34" s="34"/>
      <c r="CE34" s="34"/>
      <c r="CF34" s="34"/>
      <c r="CG34" s="7"/>
      <c r="CH34" s="34"/>
      <c r="CI34" s="34"/>
      <c r="CJ34" s="34"/>
      <c r="CK34" s="34"/>
      <c r="CL34" s="34"/>
      <c r="CM34" s="34"/>
      <c r="CN34" s="34"/>
      <c r="CO34" s="34"/>
      <c r="CP34" s="7"/>
      <c r="CQ34" s="34"/>
      <c r="CR34" s="34"/>
      <c r="CS34" s="34"/>
      <c r="CT34" s="34"/>
      <c r="CU34" s="34"/>
      <c r="CV34" s="34"/>
      <c r="CW34" s="7"/>
      <c r="CX34" s="34"/>
      <c r="CY34" s="34"/>
      <c r="CZ34" s="34"/>
      <c r="DA34" s="34"/>
      <c r="DB34" s="34"/>
      <c r="DC34" s="34"/>
      <c r="DD34" s="7"/>
      <c r="DE34" s="34"/>
      <c r="DF34" s="34"/>
      <c r="DG34" s="34"/>
      <c r="DH34" s="34"/>
      <c r="DI34" s="34"/>
      <c r="DJ34" s="34"/>
      <c r="DK34" s="7"/>
      <c r="DL34" s="34"/>
      <c r="DM34" s="34"/>
      <c r="DN34" s="34"/>
      <c r="DO34" s="34"/>
      <c r="DP34" s="34"/>
      <c r="DQ34" s="34"/>
      <c r="DR34" s="7"/>
      <c r="DS34" s="34"/>
      <c r="DT34" s="34"/>
      <c r="DU34" s="34"/>
      <c r="DV34" s="34"/>
      <c r="DW34" s="34"/>
      <c r="DX34" s="34"/>
      <c r="DY34" s="7"/>
      <c r="DZ34" s="34"/>
      <c r="EA34" s="34"/>
      <c r="EB34" s="34"/>
      <c r="EC34" s="34"/>
      <c r="ED34" s="34"/>
      <c r="EE34" s="34"/>
      <c r="EF34" s="7"/>
      <c r="EG34" s="34"/>
      <c r="EH34" s="34"/>
      <c r="EI34" s="34"/>
      <c r="EJ34" s="34"/>
      <c r="EK34" s="34"/>
      <c r="EL34" s="34"/>
      <c r="EM34" s="7"/>
      <c r="EN34" s="34"/>
      <c r="EO34" s="34"/>
      <c r="EP34" s="34"/>
      <c r="EQ34" s="34"/>
      <c r="ER34" s="34"/>
      <c r="ES34" s="34"/>
      <c r="ET34" s="7"/>
      <c r="EU34" s="34"/>
      <c r="EV34" s="34"/>
      <c r="EW34" s="34"/>
      <c r="EX34" s="34"/>
      <c r="EY34" s="34"/>
      <c r="EZ34" s="34"/>
      <c r="FA34" s="7"/>
      <c r="FB34" s="34"/>
      <c r="FC34" s="34"/>
      <c r="FD34" s="34"/>
      <c r="FE34" s="34"/>
      <c r="FF34" s="34"/>
      <c r="FG34" s="34"/>
      <c r="FH34" s="7"/>
      <c r="FI34" s="34"/>
      <c r="FJ34" s="34"/>
      <c r="FK34" s="34"/>
      <c r="FL34" s="34"/>
      <c r="FM34" s="34"/>
      <c r="FN34" s="34"/>
      <c r="FO34" s="7"/>
      <c r="FP34" s="34"/>
      <c r="FQ34" s="34"/>
      <c r="FR34" s="34"/>
      <c r="FS34" s="34"/>
      <c r="FT34" s="34"/>
      <c r="FU34" s="34"/>
      <c r="FV34" s="7"/>
      <c r="FW34" s="34"/>
      <c r="FX34" s="34"/>
      <c r="FY34" s="34"/>
      <c r="FZ34" s="34"/>
      <c r="GA34" s="34"/>
      <c r="GB34" s="34"/>
      <c r="GC34" s="7"/>
      <c r="GD34" s="34"/>
      <c r="GE34" s="34"/>
      <c r="GF34" s="34"/>
      <c r="GG34" s="34"/>
      <c r="GH34" s="34"/>
      <c r="GI34" s="34"/>
      <c r="GJ34" s="7"/>
      <c r="GK34" s="34"/>
      <c r="GL34" s="34"/>
      <c r="GM34" s="34"/>
      <c r="GN34" s="34"/>
      <c r="GO34" s="34"/>
      <c r="GP34" s="34"/>
      <c r="GQ34" s="7"/>
      <c r="GR34" s="34"/>
      <c r="GS34" s="34"/>
      <c r="GT34" s="34"/>
      <c r="GU34" s="34"/>
      <c r="GV34" s="34"/>
      <c r="GW34" s="34"/>
      <c r="GX34" s="7"/>
      <c r="GY34" s="34"/>
      <c r="GZ34" s="34"/>
      <c r="HA34" s="34"/>
      <c r="HB34" s="34"/>
      <c r="HC34" s="34"/>
      <c r="HD34" s="34"/>
      <c r="HE34" s="7"/>
      <c r="HF34" s="34"/>
      <c r="HG34" s="34"/>
      <c r="HH34" s="34"/>
      <c r="HI34" s="34"/>
      <c r="HJ34" s="34"/>
      <c r="HK34" s="34"/>
      <c r="HL34" s="7"/>
      <c r="HM34" s="34"/>
      <c r="HN34" s="34"/>
      <c r="HO34" s="34"/>
      <c r="HP34" s="34"/>
      <c r="HQ34" s="34"/>
      <c r="HR34" s="34"/>
      <c r="HS34" s="7"/>
      <c r="HT34" s="34"/>
      <c r="HU34" s="34"/>
      <c r="HV34" s="34"/>
      <c r="HW34" s="34"/>
      <c r="HX34" s="34"/>
      <c r="HY34" s="34"/>
      <c r="HZ34" s="7"/>
      <c r="IA34" s="34"/>
      <c r="IB34" s="34"/>
      <c r="IC34" s="34"/>
      <c r="ID34" s="34"/>
      <c r="IE34" s="34"/>
      <c r="IF34" s="34"/>
      <c r="IG34" s="37"/>
      <c r="IH34" s="34"/>
      <c r="II34" s="34"/>
      <c r="IJ34" s="34"/>
      <c r="IK34" s="34"/>
      <c r="IL34" s="34"/>
      <c r="IM34" s="34"/>
      <c r="IN34" s="37"/>
      <c r="IO34" s="34"/>
      <c r="IP34" s="34"/>
      <c r="IQ34" s="34"/>
      <c r="IR34" s="34"/>
      <c r="IS34" s="34"/>
      <c r="IT34" s="34"/>
      <c r="IU34" s="37"/>
      <c r="IV34" s="34"/>
      <c r="IW34" s="34"/>
      <c r="IX34" s="34"/>
      <c r="IY34" s="34"/>
      <c r="IZ34" s="34"/>
      <c r="JA34" s="34"/>
      <c r="JB34" s="37"/>
      <c r="JC34" s="34"/>
      <c r="JD34" s="34"/>
      <c r="JE34" s="34"/>
      <c r="JF34" s="34"/>
      <c r="JG34" s="34"/>
      <c r="JH34" s="34"/>
      <c r="JI34" s="37"/>
      <c r="JJ34" s="34"/>
      <c r="JK34" s="34"/>
      <c r="JL34" s="34"/>
      <c r="JM34" s="34"/>
      <c r="JN34" s="34"/>
      <c r="JO34" s="34"/>
      <c r="JP34" s="37"/>
      <c r="JQ34" s="34"/>
      <c r="JR34" s="34"/>
      <c r="JS34" s="34"/>
      <c r="JT34" s="34"/>
      <c r="JU34" s="34"/>
      <c r="JV34" s="34"/>
      <c r="JW34" s="37"/>
      <c r="JX34" s="34"/>
      <c r="JY34" s="34"/>
      <c r="JZ34" s="34"/>
      <c r="KA34" s="34"/>
      <c r="KB34" s="34"/>
      <c r="KC34" s="34"/>
      <c r="KD34" s="37"/>
      <c r="KE34" s="34"/>
      <c r="KF34" s="34"/>
      <c r="KG34" s="34"/>
      <c r="KH34" s="34"/>
      <c r="KI34" s="34"/>
      <c r="KJ34" s="34"/>
      <c r="KK34" s="37"/>
      <c r="KL34" s="34"/>
      <c r="KM34" s="34"/>
      <c r="KN34" s="34"/>
      <c r="KO34" s="34"/>
      <c r="KP34" s="34"/>
      <c r="KQ34" s="34"/>
      <c r="KR34" s="37"/>
      <c r="KS34" s="34"/>
      <c r="KT34" s="34"/>
      <c r="KU34" s="34"/>
      <c r="KV34" s="34"/>
      <c r="KW34" s="34"/>
      <c r="KX34" s="34"/>
      <c r="KY34" s="7"/>
      <c r="KZ34" s="34"/>
      <c r="LA34" s="34"/>
      <c r="LB34" s="34"/>
      <c r="LC34" s="34"/>
      <c r="LD34" s="34"/>
      <c r="LE34" s="34"/>
      <c r="LF34" s="7"/>
      <c r="LG34" s="34"/>
      <c r="LH34" s="34"/>
      <c r="LI34" s="34"/>
      <c r="LJ34" s="34"/>
      <c r="LK34" s="34"/>
      <c r="LL34" s="34"/>
      <c r="LM34" s="7"/>
      <c r="LN34" s="34"/>
      <c r="LO34" s="34"/>
      <c r="LP34" s="34"/>
      <c r="LQ34" s="34"/>
      <c r="LR34" s="34"/>
      <c r="LS34" s="34"/>
      <c r="LT34" s="7"/>
      <c r="LU34" s="34"/>
      <c r="LV34" s="34"/>
      <c r="LW34" s="34"/>
      <c r="LX34" s="34"/>
      <c r="LY34" s="34"/>
      <c r="LZ34" s="34"/>
      <c r="MA34" s="7"/>
    </row>
    <row r="35" spans="1:339" ht="67.5" hidden="1" customHeight="1" x14ac:dyDescent="0.25">
      <c r="A35" s="36"/>
      <c r="B35" s="36"/>
      <c r="C35" s="36"/>
      <c r="D35" s="36"/>
      <c r="E35" s="35"/>
      <c r="F35" s="19"/>
      <c r="G35" s="19"/>
      <c r="H35" s="19"/>
      <c r="I35" s="19"/>
      <c r="J35" s="19"/>
      <c r="K35" s="19"/>
      <c r="L35" s="19"/>
      <c r="M35" s="19"/>
      <c r="N35" s="19"/>
      <c r="O35" s="9"/>
      <c r="P35" s="19"/>
      <c r="Q35" s="9"/>
      <c r="R35" s="50">
        <f t="shared" ref="R35:AW35" si="336">R1</f>
        <v>43975</v>
      </c>
      <c r="S35" s="50">
        <f t="shared" si="336"/>
        <v>43976</v>
      </c>
      <c r="T35" s="50">
        <f t="shared" si="336"/>
        <v>43977</v>
      </c>
      <c r="U35" s="50">
        <f t="shared" si="336"/>
        <v>43978</v>
      </c>
      <c r="V35" s="50">
        <f t="shared" si="336"/>
        <v>43979</v>
      </c>
      <c r="W35" s="50">
        <f t="shared" si="336"/>
        <v>43980</v>
      </c>
      <c r="X35" s="50">
        <f t="shared" si="336"/>
        <v>43981</v>
      </c>
      <c r="Y35" s="50">
        <f t="shared" si="336"/>
        <v>43982</v>
      </c>
      <c r="Z35" s="50">
        <f t="shared" si="336"/>
        <v>43983</v>
      </c>
      <c r="AA35" s="50">
        <f t="shared" si="336"/>
        <v>43984</v>
      </c>
      <c r="AB35" s="50">
        <f t="shared" si="336"/>
        <v>43985</v>
      </c>
      <c r="AC35" s="50">
        <f t="shared" si="336"/>
        <v>43986</v>
      </c>
      <c r="AD35" s="50">
        <f t="shared" si="336"/>
        <v>43987</v>
      </c>
      <c r="AE35" s="50">
        <f t="shared" si="336"/>
        <v>43988</v>
      </c>
      <c r="AF35" s="50">
        <f t="shared" si="336"/>
        <v>43989</v>
      </c>
      <c r="AG35" s="50">
        <f t="shared" si="336"/>
        <v>43990</v>
      </c>
      <c r="AH35" s="50">
        <f t="shared" si="336"/>
        <v>43991</v>
      </c>
      <c r="AI35" s="50">
        <f t="shared" si="336"/>
        <v>43992</v>
      </c>
      <c r="AJ35" s="50">
        <f t="shared" si="336"/>
        <v>43993</v>
      </c>
      <c r="AK35" s="50">
        <f t="shared" si="336"/>
        <v>43994</v>
      </c>
      <c r="AL35" s="50">
        <f t="shared" si="336"/>
        <v>43995</v>
      </c>
      <c r="AM35" s="50">
        <f t="shared" si="336"/>
        <v>43996</v>
      </c>
      <c r="AN35" s="50">
        <f t="shared" si="336"/>
        <v>43997</v>
      </c>
      <c r="AO35" s="50">
        <f t="shared" si="336"/>
        <v>43998</v>
      </c>
      <c r="AP35" s="50">
        <f t="shared" si="336"/>
        <v>43999</v>
      </c>
      <c r="AQ35" s="50">
        <f t="shared" si="336"/>
        <v>44000</v>
      </c>
      <c r="AR35" s="50">
        <f t="shared" si="336"/>
        <v>44001</v>
      </c>
      <c r="AS35" s="50">
        <f t="shared" si="336"/>
        <v>44002</v>
      </c>
      <c r="AT35" s="50">
        <f t="shared" si="336"/>
        <v>44003</v>
      </c>
      <c r="AU35" s="50">
        <f t="shared" si="336"/>
        <v>44004</v>
      </c>
      <c r="AV35" s="50">
        <f t="shared" si="336"/>
        <v>44005</v>
      </c>
      <c r="AW35" s="50">
        <f t="shared" si="336"/>
        <v>44006</v>
      </c>
      <c r="AX35" s="50">
        <f t="shared" ref="AX35:BV35" si="337">AX1</f>
        <v>44007</v>
      </c>
      <c r="AY35" s="50">
        <f t="shared" si="337"/>
        <v>44008</v>
      </c>
      <c r="AZ35" s="50">
        <f t="shared" si="337"/>
        <v>44009</v>
      </c>
      <c r="BA35" s="50">
        <f t="shared" si="337"/>
        <v>44010</v>
      </c>
      <c r="BB35" s="50">
        <f t="shared" si="337"/>
        <v>44011</v>
      </c>
      <c r="BC35" s="50">
        <f t="shared" si="337"/>
        <v>44012</v>
      </c>
      <c r="BD35" s="50">
        <f t="shared" si="337"/>
        <v>44013</v>
      </c>
      <c r="BE35" s="50">
        <f t="shared" si="337"/>
        <v>44014</v>
      </c>
      <c r="BF35" s="50">
        <f t="shared" si="337"/>
        <v>44015</v>
      </c>
      <c r="BG35" s="50">
        <f t="shared" si="337"/>
        <v>44016</v>
      </c>
      <c r="BH35" s="50">
        <f t="shared" si="337"/>
        <v>44017</v>
      </c>
      <c r="BI35" s="50">
        <f t="shared" si="337"/>
        <v>44018</v>
      </c>
      <c r="BJ35" s="50">
        <f t="shared" si="337"/>
        <v>44019</v>
      </c>
      <c r="BK35" s="50">
        <f t="shared" si="337"/>
        <v>44020</v>
      </c>
      <c r="BL35" s="50">
        <f t="shared" si="337"/>
        <v>44021</v>
      </c>
      <c r="BM35" s="50">
        <f t="shared" si="337"/>
        <v>44022</v>
      </c>
      <c r="BN35" s="50">
        <f t="shared" si="337"/>
        <v>44023</v>
      </c>
      <c r="BO35" s="50">
        <f t="shared" si="337"/>
        <v>44024</v>
      </c>
      <c r="BP35" s="50">
        <f t="shared" si="337"/>
        <v>44025</v>
      </c>
      <c r="BQ35" s="50">
        <f t="shared" si="337"/>
        <v>44026</v>
      </c>
      <c r="BR35" s="50">
        <f t="shared" si="337"/>
        <v>44027</v>
      </c>
      <c r="BS35" s="50">
        <f t="shared" si="337"/>
        <v>44028</v>
      </c>
      <c r="BT35" s="50">
        <f t="shared" si="337"/>
        <v>44029</v>
      </c>
      <c r="BU35" s="50">
        <f t="shared" si="337"/>
        <v>44030</v>
      </c>
      <c r="BV35" s="50">
        <f t="shared" si="337"/>
        <v>44031</v>
      </c>
      <c r="BW35" s="50"/>
      <c r="BX35" s="50"/>
      <c r="BY35" s="50">
        <f t="shared" ref="BY35:CE35" si="338">BY1</f>
        <v>44032</v>
      </c>
      <c r="BZ35" s="50">
        <f t="shared" si="338"/>
        <v>44033</v>
      </c>
      <c r="CA35" s="50">
        <f t="shared" si="338"/>
        <v>44034</v>
      </c>
      <c r="CB35" s="50">
        <f t="shared" si="338"/>
        <v>44035</v>
      </c>
      <c r="CC35" s="50">
        <f t="shared" si="338"/>
        <v>44036</v>
      </c>
      <c r="CD35" s="50">
        <f t="shared" si="338"/>
        <v>44037</v>
      </c>
      <c r="CE35" s="50">
        <f t="shared" si="338"/>
        <v>44038</v>
      </c>
      <c r="CF35" s="50"/>
      <c r="CG35" s="50"/>
      <c r="CH35" s="50">
        <f t="shared" ref="CH35:CN35" si="339">CH1</f>
        <v>44039</v>
      </c>
      <c r="CI35" s="50">
        <f t="shared" si="339"/>
        <v>44040</v>
      </c>
      <c r="CJ35" s="50">
        <f t="shared" si="339"/>
        <v>44041</v>
      </c>
      <c r="CK35" s="50">
        <f t="shared" si="339"/>
        <v>44042</v>
      </c>
      <c r="CL35" s="50">
        <f t="shared" si="339"/>
        <v>44043</v>
      </c>
      <c r="CM35" s="50">
        <f t="shared" si="339"/>
        <v>44044</v>
      </c>
      <c r="CN35" s="50">
        <f t="shared" si="339"/>
        <v>44045</v>
      </c>
      <c r="CO35" s="50"/>
      <c r="CP35" s="50"/>
      <c r="CQ35" s="50">
        <f t="shared" ref="CQ35:FB35" si="340">CQ1</f>
        <v>44046</v>
      </c>
      <c r="CR35" s="50">
        <f t="shared" si="340"/>
        <v>44047</v>
      </c>
      <c r="CS35" s="50">
        <f t="shared" si="340"/>
        <v>44048</v>
      </c>
      <c r="CT35" s="50">
        <f t="shared" si="340"/>
        <v>44049</v>
      </c>
      <c r="CU35" s="50">
        <f t="shared" si="340"/>
        <v>44050</v>
      </c>
      <c r="CV35" s="50">
        <f t="shared" si="340"/>
        <v>44051</v>
      </c>
      <c r="CW35" s="50">
        <f t="shared" si="340"/>
        <v>44052</v>
      </c>
      <c r="CX35" s="50">
        <f t="shared" si="340"/>
        <v>44053</v>
      </c>
      <c r="CY35" s="50">
        <f t="shared" si="340"/>
        <v>44054</v>
      </c>
      <c r="CZ35" s="50">
        <f t="shared" si="340"/>
        <v>44055</v>
      </c>
      <c r="DA35" s="50">
        <f t="shared" si="340"/>
        <v>44056</v>
      </c>
      <c r="DB35" s="50">
        <f t="shared" si="340"/>
        <v>44057</v>
      </c>
      <c r="DC35" s="50">
        <f t="shared" si="340"/>
        <v>44058</v>
      </c>
      <c r="DD35" s="50">
        <f t="shared" si="340"/>
        <v>44059</v>
      </c>
      <c r="DE35" s="50">
        <f t="shared" si="340"/>
        <v>44060</v>
      </c>
      <c r="DF35" s="50">
        <f t="shared" si="340"/>
        <v>44061</v>
      </c>
      <c r="DG35" s="50">
        <f t="shared" si="340"/>
        <v>44062</v>
      </c>
      <c r="DH35" s="50">
        <f t="shared" si="340"/>
        <v>44063</v>
      </c>
      <c r="DI35" s="50">
        <f t="shared" si="340"/>
        <v>44064</v>
      </c>
      <c r="DJ35" s="50">
        <f t="shared" si="340"/>
        <v>44065</v>
      </c>
      <c r="DK35" s="50">
        <f t="shared" si="340"/>
        <v>44066</v>
      </c>
      <c r="DL35" s="50">
        <f t="shared" si="340"/>
        <v>44067</v>
      </c>
      <c r="DM35" s="50">
        <f t="shared" si="340"/>
        <v>44068</v>
      </c>
      <c r="DN35" s="50">
        <f t="shared" si="340"/>
        <v>44069</v>
      </c>
      <c r="DO35" s="50">
        <f t="shared" si="340"/>
        <v>44070</v>
      </c>
      <c r="DP35" s="50">
        <f t="shared" si="340"/>
        <v>44071</v>
      </c>
      <c r="DQ35" s="50">
        <f t="shared" si="340"/>
        <v>44072</v>
      </c>
      <c r="DR35" s="50">
        <f t="shared" si="340"/>
        <v>44073</v>
      </c>
      <c r="DS35" s="50">
        <f t="shared" si="340"/>
        <v>44074</v>
      </c>
      <c r="DT35" s="50">
        <f t="shared" si="340"/>
        <v>44075</v>
      </c>
      <c r="DU35" s="50">
        <f t="shared" si="340"/>
        <v>44076</v>
      </c>
      <c r="DV35" s="50">
        <f t="shared" si="340"/>
        <v>44077</v>
      </c>
      <c r="DW35" s="50">
        <f t="shared" si="340"/>
        <v>44078</v>
      </c>
      <c r="DX35" s="50">
        <f t="shared" si="340"/>
        <v>44079</v>
      </c>
      <c r="DY35" s="50">
        <f t="shared" si="340"/>
        <v>44080</v>
      </c>
      <c r="DZ35" s="50">
        <f t="shared" si="340"/>
        <v>44081</v>
      </c>
      <c r="EA35" s="50">
        <f t="shared" si="340"/>
        <v>44082</v>
      </c>
      <c r="EB35" s="50">
        <f t="shared" si="340"/>
        <v>44083</v>
      </c>
      <c r="EC35" s="50">
        <f t="shared" si="340"/>
        <v>44084</v>
      </c>
      <c r="ED35" s="50">
        <f t="shared" si="340"/>
        <v>44085</v>
      </c>
      <c r="EE35" s="50">
        <f t="shared" si="340"/>
        <v>44086</v>
      </c>
      <c r="EF35" s="50">
        <f t="shared" si="340"/>
        <v>44087</v>
      </c>
      <c r="EG35" s="50">
        <f t="shared" si="340"/>
        <v>44088</v>
      </c>
      <c r="EH35" s="50">
        <f t="shared" si="340"/>
        <v>44089</v>
      </c>
      <c r="EI35" s="50">
        <f t="shared" si="340"/>
        <v>44090</v>
      </c>
      <c r="EJ35" s="50">
        <f t="shared" si="340"/>
        <v>44091</v>
      </c>
      <c r="EK35" s="50">
        <f t="shared" si="340"/>
        <v>44092</v>
      </c>
      <c r="EL35" s="50">
        <f t="shared" si="340"/>
        <v>44093</v>
      </c>
      <c r="EM35" s="50">
        <f t="shared" si="340"/>
        <v>44094</v>
      </c>
      <c r="EN35" s="50">
        <f t="shared" si="340"/>
        <v>44095</v>
      </c>
      <c r="EO35" s="50">
        <f t="shared" si="340"/>
        <v>44096</v>
      </c>
      <c r="EP35" s="50">
        <f t="shared" si="340"/>
        <v>44097</v>
      </c>
      <c r="EQ35" s="50">
        <f t="shared" si="340"/>
        <v>44098</v>
      </c>
      <c r="ER35" s="50">
        <f t="shared" si="340"/>
        <v>44099</v>
      </c>
      <c r="ES35" s="50">
        <f t="shared" si="340"/>
        <v>44100</v>
      </c>
      <c r="ET35" s="50">
        <f t="shared" si="340"/>
        <v>44101</v>
      </c>
      <c r="EU35" s="50">
        <f t="shared" si="340"/>
        <v>44102</v>
      </c>
      <c r="EV35" s="50">
        <f t="shared" si="340"/>
        <v>44103</v>
      </c>
      <c r="EW35" s="50">
        <f t="shared" si="340"/>
        <v>44104</v>
      </c>
      <c r="EX35" s="50">
        <f t="shared" si="340"/>
        <v>44105</v>
      </c>
      <c r="EY35" s="50">
        <f t="shared" si="340"/>
        <v>44106</v>
      </c>
      <c r="EZ35" s="50">
        <f t="shared" si="340"/>
        <v>44107</v>
      </c>
      <c r="FA35" s="50">
        <f t="shared" si="340"/>
        <v>44108</v>
      </c>
      <c r="FB35" s="50">
        <f t="shared" si="340"/>
        <v>44109</v>
      </c>
      <c r="FC35" s="50">
        <f t="shared" ref="FC35:HN35" si="341">FC1</f>
        <v>44110</v>
      </c>
      <c r="FD35" s="50">
        <f t="shared" si="341"/>
        <v>44111</v>
      </c>
      <c r="FE35" s="50">
        <f t="shared" si="341"/>
        <v>44112</v>
      </c>
      <c r="FF35" s="50">
        <f t="shared" si="341"/>
        <v>44113</v>
      </c>
      <c r="FG35" s="50">
        <f t="shared" si="341"/>
        <v>44114</v>
      </c>
      <c r="FH35" s="50">
        <f t="shared" si="341"/>
        <v>44115</v>
      </c>
      <c r="FI35" s="50">
        <f t="shared" si="341"/>
        <v>44116</v>
      </c>
      <c r="FJ35" s="50">
        <f t="shared" si="341"/>
        <v>44117</v>
      </c>
      <c r="FK35" s="50">
        <f t="shared" si="341"/>
        <v>44118</v>
      </c>
      <c r="FL35" s="50">
        <f t="shared" si="341"/>
        <v>44119</v>
      </c>
      <c r="FM35" s="50">
        <f t="shared" si="341"/>
        <v>44120</v>
      </c>
      <c r="FN35" s="50">
        <f t="shared" si="341"/>
        <v>44121</v>
      </c>
      <c r="FO35" s="50">
        <f t="shared" si="341"/>
        <v>44122</v>
      </c>
      <c r="FP35" s="50">
        <f t="shared" si="341"/>
        <v>44123</v>
      </c>
      <c r="FQ35" s="50">
        <f t="shared" si="341"/>
        <v>44124</v>
      </c>
      <c r="FR35" s="50">
        <f t="shared" si="341"/>
        <v>44125</v>
      </c>
      <c r="FS35" s="50">
        <f t="shared" si="341"/>
        <v>44126</v>
      </c>
      <c r="FT35" s="50">
        <f t="shared" si="341"/>
        <v>44127</v>
      </c>
      <c r="FU35" s="50">
        <f t="shared" si="341"/>
        <v>44128</v>
      </c>
      <c r="FV35" s="50">
        <f t="shared" si="341"/>
        <v>44129</v>
      </c>
      <c r="FW35" s="50">
        <f t="shared" si="341"/>
        <v>44130</v>
      </c>
      <c r="FX35" s="50">
        <f t="shared" si="341"/>
        <v>44131</v>
      </c>
      <c r="FY35" s="50">
        <f t="shared" si="341"/>
        <v>44132</v>
      </c>
      <c r="FZ35" s="50">
        <f t="shared" si="341"/>
        <v>44133</v>
      </c>
      <c r="GA35" s="50">
        <f t="shared" si="341"/>
        <v>44134</v>
      </c>
      <c r="GB35" s="50">
        <f t="shared" si="341"/>
        <v>44135</v>
      </c>
      <c r="GC35" s="50">
        <f t="shared" si="341"/>
        <v>44136</v>
      </c>
      <c r="GD35" s="50">
        <f t="shared" si="341"/>
        <v>44137</v>
      </c>
      <c r="GE35" s="50">
        <f t="shared" si="341"/>
        <v>44138</v>
      </c>
      <c r="GF35" s="50">
        <f t="shared" si="341"/>
        <v>44139</v>
      </c>
      <c r="GG35" s="50">
        <f t="shared" si="341"/>
        <v>44140</v>
      </c>
      <c r="GH35" s="50">
        <f t="shared" si="341"/>
        <v>44141</v>
      </c>
      <c r="GI35" s="50">
        <f t="shared" si="341"/>
        <v>44142</v>
      </c>
      <c r="GJ35" s="50">
        <f t="shared" si="341"/>
        <v>44143</v>
      </c>
      <c r="GK35" s="50">
        <f t="shared" si="341"/>
        <v>44144</v>
      </c>
      <c r="GL35" s="50">
        <f t="shared" si="341"/>
        <v>44145</v>
      </c>
      <c r="GM35" s="50">
        <f t="shared" si="341"/>
        <v>44146</v>
      </c>
      <c r="GN35" s="50">
        <f t="shared" si="341"/>
        <v>44147</v>
      </c>
      <c r="GO35" s="50">
        <f t="shared" si="341"/>
        <v>44148</v>
      </c>
      <c r="GP35" s="50">
        <f t="shared" si="341"/>
        <v>44149</v>
      </c>
      <c r="GQ35" s="50">
        <f t="shared" si="341"/>
        <v>44150</v>
      </c>
      <c r="GR35" s="50">
        <f t="shared" si="341"/>
        <v>44151</v>
      </c>
      <c r="GS35" s="50">
        <f t="shared" si="341"/>
        <v>44152</v>
      </c>
      <c r="GT35" s="50">
        <f t="shared" si="341"/>
        <v>44153</v>
      </c>
      <c r="GU35" s="50">
        <f t="shared" si="341"/>
        <v>44154</v>
      </c>
      <c r="GV35" s="50">
        <f t="shared" si="341"/>
        <v>44155</v>
      </c>
      <c r="GW35" s="50">
        <f t="shared" si="341"/>
        <v>44156</v>
      </c>
      <c r="GX35" s="50">
        <f t="shared" si="341"/>
        <v>44157</v>
      </c>
      <c r="GY35" s="50">
        <f t="shared" si="341"/>
        <v>44158</v>
      </c>
      <c r="GZ35" s="50">
        <f t="shared" si="341"/>
        <v>44159</v>
      </c>
      <c r="HA35" s="50">
        <f t="shared" si="341"/>
        <v>44160</v>
      </c>
      <c r="HB35" s="50">
        <f t="shared" si="341"/>
        <v>44161</v>
      </c>
      <c r="HC35" s="50">
        <f t="shared" si="341"/>
        <v>44162</v>
      </c>
      <c r="HD35" s="50">
        <f t="shared" si="341"/>
        <v>44163</v>
      </c>
      <c r="HE35" s="50">
        <f t="shared" si="341"/>
        <v>44164</v>
      </c>
      <c r="HF35" s="50">
        <f t="shared" si="341"/>
        <v>44165</v>
      </c>
      <c r="HG35" s="50">
        <f t="shared" si="341"/>
        <v>44166</v>
      </c>
      <c r="HH35" s="50">
        <f t="shared" si="341"/>
        <v>44167</v>
      </c>
      <c r="HI35" s="50">
        <f t="shared" si="341"/>
        <v>44168</v>
      </c>
      <c r="HJ35" s="50">
        <f t="shared" si="341"/>
        <v>44169</v>
      </c>
      <c r="HK35" s="50">
        <f t="shared" si="341"/>
        <v>44170</v>
      </c>
      <c r="HL35" s="50">
        <f t="shared" si="341"/>
        <v>44171</v>
      </c>
      <c r="HM35" s="50">
        <f t="shared" si="341"/>
        <v>44172</v>
      </c>
      <c r="HN35" s="50">
        <f t="shared" si="341"/>
        <v>44173</v>
      </c>
      <c r="HO35" s="50">
        <f t="shared" ref="HO35:JZ35" si="342">HO1</f>
        <v>44174</v>
      </c>
      <c r="HP35" s="50">
        <f t="shared" si="342"/>
        <v>44175</v>
      </c>
      <c r="HQ35" s="50">
        <f t="shared" si="342"/>
        <v>44176</v>
      </c>
      <c r="HR35" s="50">
        <f t="shared" si="342"/>
        <v>44177</v>
      </c>
      <c r="HS35" s="50">
        <f t="shared" si="342"/>
        <v>44178</v>
      </c>
      <c r="HT35" s="50">
        <f t="shared" si="342"/>
        <v>44179</v>
      </c>
      <c r="HU35" s="50">
        <f t="shared" si="342"/>
        <v>44180</v>
      </c>
      <c r="HV35" s="50">
        <f t="shared" si="342"/>
        <v>44181</v>
      </c>
      <c r="HW35" s="50">
        <f t="shared" si="342"/>
        <v>44182</v>
      </c>
      <c r="HX35" s="50">
        <f t="shared" si="342"/>
        <v>44183</v>
      </c>
      <c r="HY35" s="50">
        <f t="shared" si="342"/>
        <v>44184</v>
      </c>
      <c r="HZ35" s="50">
        <f t="shared" si="342"/>
        <v>44185</v>
      </c>
      <c r="IA35" s="50">
        <f t="shared" si="342"/>
        <v>44186</v>
      </c>
      <c r="IB35" s="50">
        <f t="shared" si="342"/>
        <v>44187</v>
      </c>
      <c r="IC35" s="50">
        <f t="shared" si="342"/>
        <v>44188</v>
      </c>
      <c r="ID35" s="50">
        <f t="shared" si="342"/>
        <v>44189</v>
      </c>
      <c r="IE35" s="50">
        <f t="shared" si="342"/>
        <v>44190</v>
      </c>
      <c r="IF35" s="50">
        <f t="shared" si="342"/>
        <v>44191</v>
      </c>
      <c r="IG35" s="50">
        <f t="shared" si="342"/>
        <v>44192</v>
      </c>
      <c r="IH35" s="50">
        <f t="shared" si="342"/>
        <v>44193</v>
      </c>
      <c r="II35" s="50">
        <f t="shared" si="342"/>
        <v>44194</v>
      </c>
      <c r="IJ35" s="50">
        <f t="shared" si="342"/>
        <v>44195</v>
      </c>
      <c r="IK35" s="50">
        <f t="shared" si="342"/>
        <v>44196</v>
      </c>
      <c r="IL35" s="50">
        <f t="shared" si="342"/>
        <v>44197</v>
      </c>
      <c r="IM35" s="50">
        <f t="shared" si="342"/>
        <v>44198</v>
      </c>
      <c r="IN35" s="50">
        <f t="shared" si="342"/>
        <v>44199</v>
      </c>
      <c r="IO35" s="50">
        <f t="shared" si="342"/>
        <v>44200</v>
      </c>
      <c r="IP35" s="50">
        <f t="shared" si="342"/>
        <v>44201</v>
      </c>
      <c r="IQ35" s="50">
        <f t="shared" si="342"/>
        <v>44202</v>
      </c>
      <c r="IR35" s="50">
        <f t="shared" si="342"/>
        <v>44203</v>
      </c>
      <c r="IS35" s="50">
        <f t="shared" si="342"/>
        <v>44204</v>
      </c>
      <c r="IT35" s="50">
        <f t="shared" si="342"/>
        <v>44205</v>
      </c>
      <c r="IU35" s="50">
        <f t="shared" si="342"/>
        <v>44206</v>
      </c>
      <c r="IV35" s="50">
        <f t="shared" si="342"/>
        <v>44207</v>
      </c>
      <c r="IW35" s="50">
        <f t="shared" si="342"/>
        <v>44208</v>
      </c>
      <c r="IX35" s="50">
        <f t="shared" si="342"/>
        <v>44209</v>
      </c>
      <c r="IY35" s="50">
        <f t="shared" si="342"/>
        <v>44210</v>
      </c>
      <c r="IZ35" s="50">
        <f t="shared" si="342"/>
        <v>44211</v>
      </c>
      <c r="JA35" s="50">
        <f t="shared" si="342"/>
        <v>44212</v>
      </c>
      <c r="JB35" s="50">
        <f t="shared" si="342"/>
        <v>44213</v>
      </c>
      <c r="JC35" s="50">
        <f t="shared" si="342"/>
        <v>44214</v>
      </c>
      <c r="JD35" s="50">
        <f t="shared" si="342"/>
        <v>44215</v>
      </c>
      <c r="JE35" s="50">
        <f t="shared" si="342"/>
        <v>44216</v>
      </c>
      <c r="JF35" s="50">
        <f t="shared" si="342"/>
        <v>44217</v>
      </c>
      <c r="JG35" s="50">
        <f t="shared" si="342"/>
        <v>44218</v>
      </c>
      <c r="JH35" s="50">
        <f t="shared" si="342"/>
        <v>44219</v>
      </c>
      <c r="JI35" s="50">
        <f t="shared" si="342"/>
        <v>44220</v>
      </c>
      <c r="JJ35" s="50">
        <f t="shared" si="342"/>
        <v>44221</v>
      </c>
      <c r="JK35" s="50">
        <f t="shared" si="342"/>
        <v>44222</v>
      </c>
      <c r="JL35" s="50">
        <f t="shared" si="342"/>
        <v>44223</v>
      </c>
      <c r="JM35" s="50">
        <f t="shared" si="342"/>
        <v>44224</v>
      </c>
      <c r="JN35" s="50">
        <f t="shared" si="342"/>
        <v>44225</v>
      </c>
      <c r="JO35" s="50">
        <f t="shared" si="342"/>
        <v>44226</v>
      </c>
      <c r="JP35" s="50">
        <f t="shared" si="342"/>
        <v>44227</v>
      </c>
      <c r="JQ35" s="50">
        <f t="shared" si="342"/>
        <v>44228</v>
      </c>
      <c r="JR35" s="50">
        <f t="shared" si="342"/>
        <v>44229</v>
      </c>
      <c r="JS35" s="50">
        <f t="shared" si="342"/>
        <v>44230</v>
      </c>
      <c r="JT35" s="50">
        <f t="shared" si="342"/>
        <v>44231</v>
      </c>
      <c r="JU35" s="50">
        <f t="shared" si="342"/>
        <v>44232</v>
      </c>
      <c r="JV35" s="50">
        <f t="shared" si="342"/>
        <v>44233</v>
      </c>
      <c r="JW35" s="50">
        <f t="shared" si="342"/>
        <v>44234</v>
      </c>
      <c r="JX35" s="50">
        <f t="shared" si="342"/>
        <v>44235</v>
      </c>
      <c r="JY35" s="50">
        <f t="shared" si="342"/>
        <v>44236</v>
      </c>
      <c r="JZ35" s="50">
        <f t="shared" si="342"/>
        <v>44237</v>
      </c>
      <c r="KA35" s="50">
        <f t="shared" ref="KA35:MA35" si="343">KA1</f>
        <v>44238</v>
      </c>
      <c r="KB35" s="50">
        <f t="shared" si="343"/>
        <v>44239</v>
      </c>
      <c r="KC35" s="50">
        <f t="shared" si="343"/>
        <v>44240</v>
      </c>
      <c r="KD35" s="50">
        <f t="shared" si="343"/>
        <v>44241</v>
      </c>
      <c r="KE35" s="50">
        <f t="shared" si="343"/>
        <v>44242</v>
      </c>
      <c r="KF35" s="50">
        <f t="shared" si="343"/>
        <v>44243</v>
      </c>
      <c r="KG35" s="50">
        <f t="shared" si="343"/>
        <v>44244</v>
      </c>
      <c r="KH35" s="50">
        <f t="shared" si="343"/>
        <v>44245</v>
      </c>
      <c r="KI35" s="50">
        <f t="shared" si="343"/>
        <v>44246</v>
      </c>
      <c r="KJ35" s="50">
        <f t="shared" si="343"/>
        <v>44247</v>
      </c>
      <c r="KK35" s="50">
        <f t="shared" si="343"/>
        <v>44248</v>
      </c>
      <c r="KL35" s="50">
        <f t="shared" si="343"/>
        <v>44249</v>
      </c>
      <c r="KM35" s="50">
        <f t="shared" si="343"/>
        <v>44250</v>
      </c>
      <c r="KN35" s="50">
        <f t="shared" si="343"/>
        <v>44251</v>
      </c>
      <c r="KO35" s="50">
        <f t="shared" si="343"/>
        <v>44252</v>
      </c>
      <c r="KP35" s="50">
        <f t="shared" si="343"/>
        <v>44253</v>
      </c>
      <c r="KQ35" s="50">
        <f t="shared" si="343"/>
        <v>44254</v>
      </c>
      <c r="KR35" s="50">
        <f t="shared" si="343"/>
        <v>44255</v>
      </c>
      <c r="KS35" s="50">
        <f t="shared" si="343"/>
        <v>44256</v>
      </c>
      <c r="KT35" s="50">
        <f t="shared" si="343"/>
        <v>44257</v>
      </c>
      <c r="KU35" s="50">
        <f t="shared" si="343"/>
        <v>44258</v>
      </c>
      <c r="KV35" s="50">
        <f t="shared" si="343"/>
        <v>44259</v>
      </c>
      <c r="KW35" s="50">
        <f t="shared" si="343"/>
        <v>44260</v>
      </c>
      <c r="KX35" s="50">
        <f t="shared" si="343"/>
        <v>44261</v>
      </c>
      <c r="KY35" s="50">
        <f t="shared" si="343"/>
        <v>44262</v>
      </c>
      <c r="KZ35" s="50">
        <f t="shared" si="343"/>
        <v>44263</v>
      </c>
      <c r="LA35" s="50">
        <f t="shared" si="343"/>
        <v>44264</v>
      </c>
      <c r="LB35" s="50">
        <f t="shared" si="343"/>
        <v>44265</v>
      </c>
      <c r="LC35" s="50">
        <f t="shared" si="343"/>
        <v>44266</v>
      </c>
      <c r="LD35" s="50">
        <f t="shared" si="343"/>
        <v>44267</v>
      </c>
      <c r="LE35" s="50">
        <f t="shared" si="343"/>
        <v>44268</v>
      </c>
      <c r="LF35" s="50">
        <f t="shared" si="343"/>
        <v>44269</v>
      </c>
      <c r="LG35" s="50">
        <f t="shared" si="343"/>
        <v>44270</v>
      </c>
      <c r="LH35" s="50">
        <f t="shared" si="343"/>
        <v>44271</v>
      </c>
      <c r="LI35" s="50">
        <f t="shared" si="343"/>
        <v>44272</v>
      </c>
      <c r="LJ35" s="50">
        <f t="shared" si="343"/>
        <v>44273</v>
      </c>
      <c r="LK35" s="50">
        <f t="shared" si="343"/>
        <v>44274</v>
      </c>
      <c r="LL35" s="50">
        <f t="shared" si="343"/>
        <v>44275</v>
      </c>
      <c r="LM35" s="50">
        <f t="shared" si="343"/>
        <v>44276</v>
      </c>
      <c r="LN35" s="50">
        <f t="shared" si="343"/>
        <v>44277</v>
      </c>
      <c r="LO35" s="50">
        <f t="shared" si="343"/>
        <v>44278</v>
      </c>
      <c r="LP35" s="50">
        <f t="shared" si="343"/>
        <v>44279</v>
      </c>
      <c r="LQ35" s="50">
        <f t="shared" si="343"/>
        <v>44280</v>
      </c>
      <c r="LR35" s="50">
        <f t="shared" si="343"/>
        <v>44281</v>
      </c>
      <c r="LS35" s="50">
        <f t="shared" si="343"/>
        <v>44282</v>
      </c>
      <c r="LT35" s="50">
        <f t="shared" si="343"/>
        <v>44283</v>
      </c>
      <c r="LU35" s="50">
        <f t="shared" si="343"/>
        <v>44284</v>
      </c>
      <c r="LV35" s="50">
        <f t="shared" si="343"/>
        <v>44285</v>
      </c>
      <c r="LW35" s="50">
        <f t="shared" si="343"/>
        <v>44286</v>
      </c>
      <c r="LX35" s="50">
        <f t="shared" si="343"/>
        <v>44287</v>
      </c>
      <c r="LY35" s="50">
        <f t="shared" si="343"/>
        <v>44288</v>
      </c>
      <c r="LZ35" s="50">
        <f t="shared" si="343"/>
        <v>44289</v>
      </c>
      <c r="MA35" s="50">
        <f t="shared" si="343"/>
        <v>44290</v>
      </c>
    </row>
    <row r="36" spans="1:339" ht="15" customHeight="1" x14ac:dyDescent="0.25">
      <c r="A36" s="107" t="s">
        <v>144</v>
      </c>
      <c r="B36" s="107"/>
      <c r="C36" s="107"/>
      <c r="D36" s="107"/>
      <c r="E36" s="108"/>
      <c r="F36" s="36"/>
      <c r="G36" s="36"/>
      <c r="H36" s="36"/>
      <c r="I36" s="36"/>
      <c r="J36" s="36"/>
      <c r="K36" s="36"/>
      <c r="L36" s="36"/>
      <c r="M36" s="36"/>
      <c r="N36" s="36"/>
      <c r="O36" s="35"/>
      <c r="P36" s="111" t="s">
        <v>49</v>
      </c>
      <c r="Q36" s="113" t="s">
        <v>48</v>
      </c>
      <c r="R36" s="55">
        <f>R35</f>
        <v>43975</v>
      </c>
      <c r="S36" s="56">
        <f t="shared" ref="S36:CH36" si="344">S35</f>
        <v>43976</v>
      </c>
      <c r="T36" s="55">
        <f t="shared" si="344"/>
        <v>43977</v>
      </c>
      <c r="U36" s="55">
        <f t="shared" si="344"/>
        <v>43978</v>
      </c>
      <c r="V36" s="55">
        <f t="shared" si="344"/>
        <v>43979</v>
      </c>
      <c r="W36" s="55">
        <f t="shared" si="344"/>
        <v>43980</v>
      </c>
      <c r="X36" s="55">
        <f t="shared" si="344"/>
        <v>43981</v>
      </c>
      <c r="Y36" s="54">
        <f t="shared" si="344"/>
        <v>43982</v>
      </c>
      <c r="Z36" s="55">
        <f t="shared" si="344"/>
        <v>43983</v>
      </c>
      <c r="AA36" s="55">
        <f t="shared" si="344"/>
        <v>43984</v>
      </c>
      <c r="AB36" s="55">
        <f t="shared" si="344"/>
        <v>43985</v>
      </c>
      <c r="AC36" s="55">
        <f t="shared" si="344"/>
        <v>43986</v>
      </c>
      <c r="AD36" s="55">
        <f t="shared" si="344"/>
        <v>43987</v>
      </c>
      <c r="AE36" s="55">
        <f t="shared" si="344"/>
        <v>43988</v>
      </c>
      <c r="AF36" s="54">
        <f t="shared" si="344"/>
        <v>43989</v>
      </c>
      <c r="AG36" s="55">
        <f t="shared" si="344"/>
        <v>43990</v>
      </c>
      <c r="AH36" s="55">
        <f t="shared" si="344"/>
        <v>43991</v>
      </c>
      <c r="AI36" s="55">
        <f t="shared" si="344"/>
        <v>43992</v>
      </c>
      <c r="AJ36" s="55">
        <f t="shared" si="344"/>
        <v>43993</v>
      </c>
      <c r="AK36" s="55">
        <f t="shared" si="344"/>
        <v>43994</v>
      </c>
      <c r="AL36" s="55">
        <f t="shared" si="344"/>
        <v>43995</v>
      </c>
      <c r="AM36" s="54">
        <f t="shared" si="344"/>
        <v>43996</v>
      </c>
      <c r="AN36" s="55">
        <f t="shared" si="344"/>
        <v>43997</v>
      </c>
      <c r="AO36" s="55">
        <f t="shared" si="344"/>
        <v>43998</v>
      </c>
      <c r="AP36" s="55">
        <f t="shared" si="344"/>
        <v>43999</v>
      </c>
      <c r="AQ36" s="55">
        <f t="shared" si="344"/>
        <v>44000</v>
      </c>
      <c r="AR36" s="55">
        <f t="shared" si="344"/>
        <v>44001</v>
      </c>
      <c r="AS36" s="55">
        <f t="shared" si="344"/>
        <v>44002</v>
      </c>
      <c r="AT36" s="54">
        <f t="shared" si="344"/>
        <v>44003</v>
      </c>
      <c r="AU36" s="55">
        <f t="shared" si="344"/>
        <v>44004</v>
      </c>
      <c r="AV36" s="55">
        <f t="shared" si="344"/>
        <v>44005</v>
      </c>
      <c r="AW36" s="55">
        <f t="shared" si="344"/>
        <v>44006</v>
      </c>
      <c r="AX36" s="55">
        <f t="shared" si="344"/>
        <v>44007</v>
      </c>
      <c r="AY36" s="55">
        <f t="shared" si="344"/>
        <v>44008</v>
      </c>
      <c r="AZ36" s="55">
        <f t="shared" si="344"/>
        <v>44009</v>
      </c>
      <c r="BA36" s="54">
        <f t="shared" si="344"/>
        <v>44010</v>
      </c>
      <c r="BB36" s="55">
        <f t="shared" si="344"/>
        <v>44011</v>
      </c>
      <c r="BC36" s="55">
        <f t="shared" si="344"/>
        <v>44012</v>
      </c>
      <c r="BD36" s="55">
        <f t="shared" si="344"/>
        <v>44013</v>
      </c>
      <c r="BE36" s="55">
        <f t="shared" si="344"/>
        <v>44014</v>
      </c>
      <c r="BF36" s="55">
        <f t="shared" si="344"/>
        <v>44015</v>
      </c>
      <c r="BG36" s="55">
        <f t="shared" si="344"/>
        <v>44016</v>
      </c>
      <c r="BH36" s="54">
        <f t="shared" si="344"/>
        <v>44017</v>
      </c>
      <c r="BI36" s="55">
        <f t="shared" si="344"/>
        <v>44018</v>
      </c>
      <c r="BJ36" s="55">
        <f t="shared" si="344"/>
        <v>44019</v>
      </c>
      <c r="BK36" s="55">
        <f t="shared" si="344"/>
        <v>44020</v>
      </c>
      <c r="BL36" s="55">
        <f t="shared" si="344"/>
        <v>44021</v>
      </c>
      <c r="BM36" s="55">
        <f t="shared" si="344"/>
        <v>44022</v>
      </c>
      <c r="BN36" s="55">
        <f t="shared" si="344"/>
        <v>44023</v>
      </c>
      <c r="BO36" s="54">
        <v>12</v>
      </c>
      <c r="BP36" s="55">
        <f t="shared" si="344"/>
        <v>44025</v>
      </c>
      <c r="BQ36" s="55">
        <f t="shared" si="344"/>
        <v>44026</v>
      </c>
      <c r="BR36" s="55">
        <f t="shared" si="344"/>
        <v>44027</v>
      </c>
      <c r="BS36" s="55">
        <f t="shared" si="344"/>
        <v>44028</v>
      </c>
      <c r="BT36" s="55">
        <f t="shared" si="344"/>
        <v>44029</v>
      </c>
      <c r="BU36" s="55">
        <f t="shared" si="344"/>
        <v>44030</v>
      </c>
      <c r="BV36" s="55">
        <v>19</v>
      </c>
      <c r="BW36" s="55"/>
      <c r="BX36" s="54"/>
      <c r="BY36" s="55">
        <f t="shared" si="344"/>
        <v>44032</v>
      </c>
      <c r="BZ36" s="55">
        <f t="shared" si="344"/>
        <v>44033</v>
      </c>
      <c r="CA36" s="55">
        <f t="shared" si="344"/>
        <v>44034</v>
      </c>
      <c r="CB36" s="55">
        <f t="shared" si="344"/>
        <v>44035</v>
      </c>
      <c r="CC36" s="55">
        <f t="shared" si="344"/>
        <v>44036</v>
      </c>
      <c r="CD36" s="55">
        <f t="shared" si="344"/>
        <v>44037</v>
      </c>
      <c r="CE36" s="55">
        <f t="shared" si="344"/>
        <v>44038</v>
      </c>
      <c r="CF36" s="55"/>
      <c r="CG36" s="54"/>
      <c r="CH36" s="55">
        <f t="shared" si="344"/>
        <v>44039</v>
      </c>
      <c r="CI36" s="55">
        <f t="shared" ref="CI36:EU36" si="345">CI35</f>
        <v>44040</v>
      </c>
      <c r="CJ36" s="55">
        <f t="shared" si="345"/>
        <v>44041</v>
      </c>
      <c r="CK36" s="55">
        <f t="shared" si="345"/>
        <v>44042</v>
      </c>
      <c r="CL36" s="55">
        <f t="shared" si="345"/>
        <v>44043</v>
      </c>
      <c r="CM36" s="55">
        <f t="shared" si="345"/>
        <v>44044</v>
      </c>
      <c r="CN36" s="55">
        <f t="shared" ref="CN36" si="346">CN35</f>
        <v>44045</v>
      </c>
      <c r="CO36" s="55"/>
      <c r="CP36" s="54"/>
      <c r="CQ36" s="55">
        <f t="shared" si="345"/>
        <v>44046</v>
      </c>
      <c r="CR36" s="55">
        <f t="shared" si="345"/>
        <v>44047</v>
      </c>
      <c r="CS36" s="55">
        <f t="shared" si="345"/>
        <v>44048</v>
      </c>
      <c r="CT36" s="55">
        <f t="shared" si="345"/>
        <v>44049</v>
      </c>
      <c r="CU36" s="55">
        <f t="shared" si="345"/>
        <v>44050</v>
      </c>
      <c r="CV36" s="55">
        <f t="shared" si="345"/>
        <v>44051</v>
      </c>
      <c r="CW36" s="54">
        <f t="shared" si="345"/>
        <v>44052</v>
      </c>
      <c r="CX36" s="55">
        <f t="shared" si="345"/>
        <v>44053</v>
      </c>
      <c r="CY36" s="55">
        <f t="shared" si="345"/>
        <v>44054</v>
      </c>
      <c r="CZ36" s="55">
        <f t="shared" si="345"/>
        <v>44055</v>
      </c>
      <c r="DA36" s="55">
        <f t="shared" si="345"/>
        <v>44056</v>
      </c>
      <c r="DB36" s="55">
        <f t="shared" si="345"/>
        <v>44057</v>
      </c>
      <c r="DC36" s="55">
        <f t="shared" si="345"/>
        <v>44058</v>
      </c>
      <c r="DD36" s="54">
        <f t="shared" si="345"/>
        <v>44059</v>
      </c>
      <c r="DE36" s="55">
        <f t="shared" si="345"/>
        <v>44060</v>
      </c>
      <c r="DF36" s="55">
        <f t="shared" si="345"/>
        <v>44061</v>
      </c>
      <c r="DG36" s="55">
        <f t="shared" si="345"/>
        <v>44062</v>
      </c>
      <c r="DH36" s="55">
        <f t="shared" si="345"/>
        <v>44063</v>
      </c>
      <c r="DI36" s="55">
        <f t="shared" si="345"/>
        <v>44064</v>
      </c>
      <c r="DJ36" s="55">
        <f t="shared" si="345"/>
        <v>44065</v>
      </c>
      <c r="DK36" s="54">
        <f t="shared" si="345"/>
        <v>44066</v>
      </c>
      <c r="DL36" s="55">
        <f t="shared" si="345"/>
        <v>44067</v>
      </c>
      <c r="DM36" s="55">
        <f t="shared" si="345"/>
        <v>44068</v>
      </c>
      <c r="DN36" s="55">
        <f t="shared" si="345"/>
        <v>44069</v>
      </c>
      <c r="DO36" s="55">
        <f t="shared" si="345"/>
        <v>44070</v>
      </c>
      <c r="DP36" s="55">
        <f t="shared" si="345"/>
        <v>44071</v>
      </c>
      <c r="DQ36" s="55">
        <f t="shared" si="345"/>
        <v>44072</v>
      </c>
      <c r="DR36" s="54">
        <f t="shared" si="345"/>
        <v>44073</v>
      </c>
      <c r="DS36" s="55">
        <f t="shared" si="345"/>
        <v>44074</v>
      </c>
      <c r="DT36" s="55">
        <f t="shared" si="345"/>
        <v>44075</v>
      </c>
      <c r="DU36" s="55">
        <f t="shared" si="345"/>
        <v>44076</v>
      </c>
      <c r="DV36" s="55">
        <f t="shared" si="345"/>
        <v>44077</v>
      </c>
      <c r="DW36" s="55">
        <f t="shared" si="345"/>
        <v>44078</v>
      </c>
      <c r="DX36" s="55">
        <f t="shared" si="345"/>
        <v>44079</v>
      </c>
      <c r="DY36" s="54">
        <f t="shared" si="345"/>
        <v>44080</v>
      </c>
      <c r="DZ36" s="55">
        <f t="shared" si="345"/>
        <v>44081</v>
      </c>
      <c r="EA36" s="55">
        <f t="shared" si="345"/>
        <v>44082</v>
      </c>
      <c r="EB36" s="55">
        <f t="shared" si="345"/>
        <v>44083</v>
      </c>
      <c r="EC36" s="55">
        <f t="shared" si="345"/>
        <v>44084</v>
      </c>
      <c r="ED36" s="55">
        <f t="shared" si="345"/>
        <v>44085</v>
      </c>
      <c r="EE36" s="55">
        <f t="shared" si="345"/>
        <v>44086</v>
      </c>
      <c r="EF36" s="54">
        <f t="shared" si="345"/>
        <v>44087</v>
      </c>
      <c r="EG36" s="55">
        <f t="shared" si="345"/>
        <v>44088</v>
      </c>
      <c r="EH36" s="55">
        <f t="shared" si="345"/>
        <v>44089</v>
      </c>
      <c r="EI36" s="55">
        <f t="shared" si="345"/>
        <v>44090</v>
      </c>
      <c r="EJ36" s="55">
        <f t="shared" si="345"/>
        <v>44091</v>
      </c>
      <c r="EK36" s="55">
        <f t="shared" si="345"/>
        <v>44092</v>
      </c>
      <c r="EL36" s="55">
        <f t="shared" si="345"/>
        <v>44093</v>
      </c>
      <c r="EM36" s="54">
        <f t="shared" si="345"/>
        <v>44094</v>
      </c>
      <c r="EN36" s="55">
        <f t="shared" si="345"/>
        <v>44095</v>
      </c>
      <c r="EO36" s="55">
        <f t="shared" si="345"/>
        <v>44096</v>
      </c>
      <c r="EP36" s="55">
        <f t="shared" si="345"/>
        <v>44097</v>
      </c>
      <c r="EQ36" s="55">
        <f t="shared" si="345"/>
        <v>44098</v>
      </c>
      <c r="ER36" s="55">
        <f t="shared" si="345"/>
        <v>44099</v>
      </c>
      <c r="ES36" s="55">
        <f t="shared" si="345"/>
        <v>44100</v>
      </c>
      <c r="ET36" s="54">
        <f t="shared" si="345"/>
        <v>44101</v>
      </c>
      <c r="EU36" s="55">
        <f t="shared" si="345"/>
        <v>44102</v>
      </c>
      <c r="EV36" s="55">
        <f t="shared" ref="EV36:HG36" si="347">EV35</f>
        <v>44103</v>
      </c>
      <c r="EW36" s="55">
        <f t="shared" si="347"/>
        <v>44104</v>
      </c>
      <c r="EX36" s="55">
        <f t="shared" si="347"/>
        <v>44105</v>
      </c>
      <c r="EY36" s="55">
        <f t="shared" si="347"/>
        <v>44106</v>
      </c>
      <c r="EZ36" s="55">
        <f t="shared" si="347"/>
        <v>44107</v>
      </c>
      <c r="FA36" s="54">
        <f t="shared" si="347"/>
        <v>44108</v>
      </c>
      <c r="FB36" s="55">
        <f t="shared" si="347"/>
        <v>44109</v>
      </c>
      <c r="FC36" s="55">
        <f t="shared" si="347"/>
        <v>44110</v>
      </c>
      <c r="FD36" s="55">
        <f t="shared" si="347"/>
        <v>44111</v>
      </c>
      <c r="FE36" s="55">
        <f t="shared" si="347"/>
        <v>44112</v>
      </c>
      <c r="FF36" s="55">
        <f t="shared" si="347"/>
        <v>44113</v>
      </c>
      <c r="FG36" s="55">
        <f t="shared" si="347"/>
        <v>44114</v>
      </c>
      <c r="FH36" s="54">
        <f t="shared" si="347"/>
        <v>44115</v>
      </c>
      <c r="FI36" s="55">
        <f t="shared" si="347"/>
        <v>44116</v>
      </c>
      <c r="FJ36" s="55">
        <f t="shared" si="347"/>
        <v>44117</v>
      </c>
      <c r="FK36" s="55">
        <f t="shared" si="347"/>
        <v>44118</v>
      </c>
      <c r="FL36" s="55">
        <f t="shared" si="347"/>
        <v>44119</v>
      </c>
      <c r="FM36" s="55">
        <f t="shared" si="347"/>
        <v>44120</v>
      </c>
      <c r="FN36" s="55">
        <f t="shared" si="347"/>
        <v>44121</v>
      </c>
      <c r="FO36" s="54">
        <f t="shared" si="347"/>
        <v>44122</v>
      </c>
      <c r="FP36" s="55">
        <f t="shared" si="347"/>
        <v>44123</v>
      </c>
      <c r="FQ36" s="55">
        <f t="shared" si="347"/>
        <v>44124</v>
      </c>
      <c r="FR36" s="55">
        <f t="shared" si="347"/>
        <v>44125</v>
      </c>
      <c r="FS36" s="55">
        <f t="shared" si="347"/>
        <v>44126</v>
      </c>
      <c r="FT36" s="55">
        <f t="shared" si="347"/>
        <v>44127</v>
      </c>
      <c r="FU36" s="55">
        <f t="shared" si="347"/>
        <v>44128</v>
      </c>
      <c r="FV36" s="54">
        <f t="shared" si="347"/>
        <v>44129</v>
      </c>
      <c r="FW36" s="55">
        <f t="shared" si="347"/>
        <v>44130</v>
      </c>
      <c r="FX36" s="55">
        <f t="shared" si="347"/>
        <v>44131</v>
      </c>
      <c r="FY36" s="55">
        <f t="shared" si="347"/>
        <v>44132</v>
      </c>
      <c r="FZ36" s="55">
        <f t="shared" si="347"/>
        <v>44133</v>
      </c>
      <c r="GA36" s="55">
        <f t="shared" si="347"/>
        <v>44134</v>
      </c>
      <c r="GB36" s="55">
        <f t="shared" si="347"/>
        <v>44135</v>
      </c>
      <c r="GC36" s="54">
        <f t="shared" si="347"/>
        <v>44136</v>
      </c>
      <c r="GD36" s="55">
        <f t="shared" si="347"/>
        <v>44137</v>
      </c>
      <c r="GE36" s="55">
        <f t="shared" si="347"/>
        <v>44138</v>
      </c>
      <c r="GF36" s="55">
        <f t="shared" si="347"/>
        <v>44139</v>
      </c>
      <c r="GG36" s="55">
        <f t="shared" si="347"/>
        <v>44140</v>
      </c>
      <c r="GH36" s="55">
        <f t="shared" si="347"/>
        <v>44141</v>
      </c>
      <c r="GI36" s="55">
        <f t="shared" si="347"/>
        <v>44142</v>
      </c>
      <c r="GJ36" s="54">
        <f t="shared" si="347"/>
        <v>44143</v>
      </c>
      <c r="GK36" s="55">
        <f t="shared" si="347"/>
        <v>44144</v>
      </c>
      <c r="GL36" s="55">
        <f t="shared" si="347"/>
        <v>44145</v>
      </c>
      <c r="GM36" s="55">
        <f t="shared" si="347"/>
        <v>44146</v>
      </c>
      <c r="GN36" s="55">
        <f t="shared" si="347"/>
        <v>44147</v>
      </c>
      <c r="GO36" s="55">
        <f t="shared" si="347"/>
        <v>44148</v>
      </c>
      <c r="GP36" s="55">
        <f t="shared" si="347"/>
        <v>44149</v>
      </c>
      <c r="GQ36" s="54">
        <f t="shared" si="347"/>
        <v>44150</v>
      </c>
      <c r="GR36" s="55">
        <f t="shared" si="347"/>
        <v>44151</v>
      </c>
      <c r="GS36" s="55">
        <f t="shared" si="347"/>
        <v>44152</v>
      </c>
      <c r="GT36" s="55">
        <f t="shared" si="347"/>
        <v>44153</v>
      </c>
      <c r="GU36" s="55">
        <f t="shared" si="347"/>
        <v>44154</v>
      </c>
      <c r="GV36" s="55">
        <f t="shared" si="347"/>
        <v>44155</v>
      </c>
      <c r="GW36" s="55">
        <f t="shared" si="347"/>
        <v>44156</v>
      </c>
      <c r="GX36" s="54">
        <f t="shared" si="347"/>
        <v>44157</v>
      </c>
      <c r="GY36" s="55">
        <f t="shared" si="347"/>
        <v>44158</v>
      </c>
      <c r="GZ36" s="55">
        <f t="shared" si="347"/>
        <v>44159</v>
      </c>
      <c r="HA36" s="55">
        <f t="shared" si="347"/>
        <v>44160</v>
      </c>
      <c r="HB36" s="55">
        <f t="shared" si="347"/>
        <v>44161</v>
      </c>
      <c r="HC36" s="55">
        <f t="shared" si="347"/>
        <v>44162</v>
      </c>
      <c r="HD36" s="55">
        <f t="shared" si="347"/>
        <v>44163</v>
      </c>
      <c r="HE36" s="54">
        <f t="shared" si="347"/>
        <v>44164</v>
      </c>
      <c r="HF36" s="55">
        <f t="shared" si="347"/>
        <v>44165</v>
      </c>
      <c r="HG36" s="55">
        <f t="shared" si="347"/>
        <v>44166</v>
      </c>
      <c r="HH36" s="55">
        <f t="shared" ref="HH36:JS36" si="348">HH35</f>
        <v>44167</v>
      </c>
      <c r="HI36" s="55">
        <f t="shared" si="348"/>
        <v>44168</v>
      </c>
      <c r="HJ36" s="55">
        <f t="shared" si="348"/>
        <v>44169</v>
      </c>
      <c r="HK36" s="55">
        <f t="shared" si="348"/>
        <v>44170</v>
      </c>
      <c r="HL36" s="54">
        <f t="shared" si="348"/>
        <v>44171</v>
      </c>
      <c r="HM36" s="55">
        <f t="shared" si="348"/>
        <v>44172</v>
      </c>
      <c r="HN36" s="55">
        <f t="shared" si="348"/>
        <v>44173</v>
      </c>
      <c r="HO36" s="55">
        <f t="shared" si="348"/>
        <v>44174</v>
      </c>
      <c r="HP36" s="55">
        <f t="shared" si="348"/>
        <v>44175</v>
      </c>
      <c r="HQ36" s="55">
        <f t="shared" si="348"/>
        <v>44176</v>
      </c>
      <c r="HR36" s="55">
        <f t="shared" si="348"/>
        <v>44177</v>
      </c>
      <c r="HS36" s="54">
        <f t="shared" si="348"/>
        <v>44178</v>
      </c>
      <c r="HT36" s="55">
        <f t="shared" si="348"/>
        <v>44179</v>
      </c>
      <c r="HU36" s="55">
        <f t="shared" si="348"/>
        <v>44180</v>
      </c>
      <c r="HV36" s="55">
        <f t="shared" si="348"/>
        <v>44181</v>
      </c>
      <c r="HW36" s="55">
        <f t="shared" si="348"/>
        <v>44182</v>
      </c>
      <c r="HX36" s="55">
        <f t="shared" si="348"/>
        <v>44183</v>
      </c>
      <c r="HY36" s="55">
        <f t="shared" si="348"/>
        <v>44184</v>
      </c>
      <c r="HZ36" s="54">
        <f t="shared" si="348"/>
        <v>44185</v>
      </c>
      <c r="IA36" s="55">
        <f t="shared" si="348"/>
        <v>44186</v>
      </c>
      <c r="IB36" s="55">
        <f t="shared" si="348"/>
        <v>44187</v>
      </c>
      <c r="IC36" s="55">
        <f t="shared" si="348"/>
        <v>44188</v>
      </c>
      <c r="ID36" s="55">
        <f t="shared" si="348"/>
        <v>44189</v>
      </c>
      <c r="IE36" s="55">
        <f t="shared" si="348"/>
        <v>44190</v>
      </c>
      <c r="IF36" s="55">
        <f t="shared" si="348"/>
        <v>44191</v>
      </c>
      <c r="IG36" s="54">
        <f t="shared" si="348"/>
        <v>44192</v>
      </c>
      <c r="IH36" s="55">
        <f t="shared" si="348"/>
        <v>44193</v>
      </c>
      <c r="II36" s="55">
        <f t="shared" si="348"/>
        <v>44194</v>
      </c>
      <c r="IJ36" s="55">
        <f t="shared" si="348"/>
        <v>44195</v>
      </c>
      <c r="IK36" s="55">
        <f t="shared" si="348"/>
        <v>44196</v>
      </c>
      <c r="IL36" s="55">
        <f t="shared" si="348"/>
        <v>44197</v>
      </c>
      <c r="IM36" s="55">
        <f t="shared" si="348"/>
        <v>44198</v>
      </c>
      <c r="IN36" s="54">
        <f t="shared" si="348"/>
        <v>44199</v>
      </c>
      <c r="IO36" s="55">
        <f t="shared" si="348"/>
        <v>44200</v>
      </c>
      <c r="IP36" s="55">
        <f t="shared" si="348"/>
        <v>44201</v>
      </c>
      <c r="IQ36" s="55">
        <f t="shared" si="348"/>
        <v>44202</v>
      </c>
      <c r="IR36" s="55">
        <f t="shared" si="348"/>
        <v>44203</v>
      </c>
      <c r="IS36" s="55">
        <f t="shared" si="348"/>
        <v>44204</v>
      </c>
      <c r="IT36" s="55">
        <f t="shared" si="348"/>
        <v>44205</v>
      </c>
      <c r="IU36" s="54">
        <f t="shared" si="348"/>
        <v>44206</v>
      </c>
      <c r="IV36" s="55">
        <f t="shared" si="348"/>
        <v>44207</v>
      </c>
      <c r="IW36" s="55">
        <f t="shared" si="348"/>
        <v>44208</v>
      </c>
      <c r="IX36" s="55">
        <f t="shared" si="348"/>
        <v>44209</v>
      </c>
      <c r="IY36" s="55">
        <f t="shared" si="348"/>
        <v>44210</v>
      </c>
      <c r="IZ36" s="55">
        <f t="shared" si="348"/>
        <v>44211</v>
      </c>
      <c r="JA36" s="55">
        <f t="shared" si="348"/>
        <v>44212</v>
      </c>
      <c r="JB36" s="54">
        <f t="shared" si="348"/>
        <v>44213</v>
      </c>
      <c r="JC36" s="55">
        <f t="shared" si="348"/>
        <v>44214</v>
      </c>
      <c r="JD36" s="55">
        <f t="shared" si="348"/>
        <v>44215</v>
      </c>
      <c r="JE36" s="55">
        <f t="shared" si="348"/>
        <v>44216</v>
      </c>
      <c r="JF36" s="55">
        <f t="shared" si="348"/>
        <v>44217</v>
      </c>
      <c r="JG36" s="55">
        <f t="shared" si="348"/>
        <v>44218</v>
      </c>
      <c r="JH36" s="55">
        <f t="shared" si="348"/>
        <v>44219</v>
      </c>
      <c r="JI36" s="54">
        <f t="shared" si="348"/>
        <v>44220</v>
      </c>
      <c r="JJ36" s="55">
        <f t="shared" si="348"/>
        <v>44221</v>
      </c>
      <c r="JK36" s="55">
        <f t="shared" si="348"/>
        <v>44222</v>
      </c>
      <c r="JL36" s="55">
        <f t="shared" si="348"/>
        <v>44223</v>
      </c>
      <c r="JM36" s="55">
        <f t="shared" si="348"/>
        <v>44224</v>
      </c>
      <c r="JN36" s="55">
        <f t="shared" si="348"/>
        <v>44225</v>
      </c>
      <c r="JO36" s="55">
        <f t="shared" si="348"/>
        <v>44226</v>
      </c>
      <c r="JP36" s="54">
        <f t="shared" si="348"/>
        <v>44227</v>
      </c>
      <c r="JQ36" s="55">
        <f t="shared" si="348"/>
        <v>44228</v>
      </c>
      <c r="JR36" s="55">
        <f t="shared" si="348"/>
        <v>44229</v>
      </c>
      <c r="JS36" s="55">
        <f t="shared" si="348"/>
        <v>44230</v>
      </c>
      <c r="JT36" s="55">
        <f t="shared" ref="JT36:MA36" si="349">JT35</f>
        <v>44231</v>
      </c>
      <c r="JU36" s="55">
        <f t="shared" si="349"/>
        <v>44232</v>
      </c>
      <c r="JV36" s="55">
        <f t="shared" si="349"/>
        <v>44233</v>
      </c>
      <c r="JW36" s="54">
        <f t="shared" si="349"/>
        <v>44234</v>
      </c>
      <c r="JX36" s="55">
        <f t="shared" si="349"/>
        <v>44235</v>
      </c>
      <c r="JY36" s="55">
        <f t="shared" si="349"/>
        <v>44236</v>
      </c>
      <c r="JZ36" s="55">
        <f t="shared" si="349"/>
        <v>44237</v>
      </c>
      <c r="KA36" s="55">
        <f t="shared" si="349"/>
        <v>44238</v>
      </c>
      <c r="KB36" s="55">
        <f t="shared" si="349"/>
        <v>44239</v>
      </c>
      <c r="KC36" s="55">
        <f t="shared" si="349"/>
        <v>44240</v>
      </c>
      <c r="KD36" s="54">
        <f t="shared" si="349"/>
        <v>44241</v>
      </c>
      <c r="KE36" s="55">
        <f t="shared" si="349"/>
        <v>44242</v>
      </c>
      <c r="KF36" s="55">
        <f t="shared" si="349"/>
        <v>44243</v>
      </c>
      <c r="KG36" s="55">
        <f t="shared" si="349"/>
        <v>44244</v>
      </c>
      <c r="KH36" s="55">
        <f t="shared" si="349"/>
        <v>44245</v>
      </c>
      <c r="KI36" s="55">
        <f t="shared" si="349"/>
        <v>44246</v>
      </c>
      <c r="KJ36" s="55">
        <f t="shared" si="349"/>
        <v>44247</v>
      </c>
      <c r="KK36" s="54">
        <f t="shared" si="349"/>
        <v>44248</v>
      </c>
      <c r="KL36" s="55">
        <f t="shared" si="349"/>
        <v>44249</v>
      </c>
      <c r="KM36" s="55">
        <f t="shared" si="349"/>
        <v>44250</v>
      </c>
      <c r="KN36" s="55">
        <f t="shared" si="349"/>
        <v>44251</v>
      </c>
      <c r="KO36" s="55">
        <f t="shared" si="349"/>
        <v>44252</v>
      </c>
      <c r="KP36" s="55">
        <f t="shared" si="349"/>
        <v>44253</v>
      </c>
      <c r="KQ36" s="55">
        <f t="shared" si="349"/>
        <v>44254</v>
      </c>
      <c r="KR36" s="54">
        <f t="shared" si="349"/>
        <v>44255</v>
      </c>
      <c r="KS36" s="55">
        <f t="shared" si="349"/>
        <v>44256</v>
      </c>
      <c r="KT36" s="55">
        <f t="shared" si="349"/>
        <v>44257</v>
      </c>
      <c r="KU36" s="55">
        <f t="shared" si="349"/>
        <v>44258</v>
      </c>
      <c r="KV36" s="55">
        <f t="shared" si="349"/>
        <v>44259</v>
      </c>
      <c r="KW36" s="55">
        <f t="shared" si="349"/>
        <v>44260</v>
      </c>
      <c r="KX36" s="55">
        <f t="shared" si="349"/>
        <v>44261</v>
      </c>
      <c r="KY36" s="54">
        <f t="shared" si="349"/>
        <v>44262</v>
      </c>
      <c r="KZ36" s="55">
        <f t="shared" si="349"/>
        <v>44263</v>
      </c>
      <c r="LA36" s="55">
        <f t="shared" si="349"/>
        <v>44264</v>
      </c>
      <c r="LB36" s="55">
        <f t="shared" si="349"/>
        <v>44265</v>
      </c>
      <c r="LC36" s="55">
        <f t="shared" si="349"/>
        <v>44266</v>
      </c>
      <c r="LD36" s="55">
        <f t="shared" si="349"/>
        <v>44267</v>
      </c>
      <c r="LE36" s="55">
        <f t="shared" si="349"/>
        <v>44268</v>
      </c>
      <c r="LF36" s="54">
        <f t="shared" si="349"/>
        <v>44269</v>
      </c>
      <c r="LG36" s="55">
        <f t="shared" si="349"/>
        <v>44270</v>
      </c>
      <c r="LH36" s="55">
        <f t="shared" si="349"/>
        <v>44271</v>
      </c>
      <c r="LI36" s="55">
        <f t="shared" si="349"/>
        <v>44272</v>
      </c>
      <c r="LJ36" s="55">
        <f t="shared" si="349"/>
        <v>44273</v>
      </c>
      <c r="LK36" s="55">
        <f t="shared" si="349"/>
        <v>44274</v>
      </c>
      <c r="LL36" s="55">
        <f t="shared" si="349"/>
        <v>44275</v>
      </c>
      <c r="LM36" s="54">
        <f t="shared" si="349"/>
        <v>44276</v>
      </c>
      <c r="LN36" s="55">
        <f t="shared" si="349"/>
        <v>44277</v>
      </c>
      <c r="LO36" s="55">
        <f t="shared" si="349"/>
        <v>44278</v>
      </c>
      <c r="LP36" s="55">
        <f t="shared" si="349"/>
        <v>44279</v>
      </c>
      <c r="LQ36" s="55">
        <f t="shared" si="349"/>
        <v>44280</v>
      </c>
      <c r="LR36" s="55">
        <f t="shared" si="349"/>
        <v>44281</v>
      </c>
      <c r="LS36" s="55">
        <f t="shared" si="349"/>
        <v>44282</v>
      </c>
      <c r="LT36" s="54">
        <f t="shared" si="349"/>
        <v>44283</v>
      </c>
      <c r="LU36" s="55">
        <f t="shared" si="349"/>
        <v>44284</v>
      </c>
      <c r="LV36" s="55">
        <f t="shared" si="349"/>
        <v>44285</v>
      </c>
      <c r="LW36" s="55">
        <f t="shared" si="349"/>
        <v>44286</v>
      </c>
      <c r="LX36" s="55">
        <f t="shared" si="349"/>
        <v>44287</v>
      </c>
      <c r="LY36" s="55">
        <f t="shared" si="349"/>
        <v>44288</v>
      </c>
      <c r="LZ36" s="55">
        <f t="shared" si="349"/>
        <v>44289</v>
      </c>
      <c r="MA36" s="54">
        <f t="shared" si="349"/>
        <v>44290</v>
      </c>
    </row>
    <row r="37" spans="1:339" ht="15" customHeight="1" x14ac:dyDescent="0.25">
      <c r="A37" s="109"/>
      <c r="B37" s="109"/>
      <c r="C37" s="109"/>
      <c r="D37" s="109"/>
      <c r="E37" s="110"/>
      <c r="F37" s="19"/>
      <c r="G37" s="19"/>
      <c r="H37" s="19"/>
      <c r="I37" s="19"/>
      <c r="J37" s="19"/>
      <c r="K37" s="19"/>
      <c r="L37" s="19"/>
      <c r="M37" s="19"/>
      <c r="N37" s="19"/>
      <c r="O37" s="9"/>
      <c r="P37" s="112"/>
      <c r="Q37" s="114"/>
      <c r="R37" s="24"/>
      <c r="S37" s="25"/>
      <c r="T37" s="25"/>
      <c r="U37" s="25"/>
      <c r="V37" s="25"/>
      <c r="W37" s="25"/>
      <c r="X37" s="25"/>
      <c r="Y37" s="24"/>
      <c r="Z37" s="25"/>
      <c r="AA37" s="25"/>
      <c r="AB37" s="25"/>
      <c r="AC37" s="25"/>
      <c r="AD37" s="25"/>
      <c r="AE37" s="25"/>
      <c r="AF37" s="24"/>
      <c r="AG37" s="25"/>
      <c r="AH37" s="25" t="s">
        <v>38</v>
      </c>
      <c r="AI37" s="25"/>
      <c r="AJ37" s="25" t="s">
        <v>38</v>
      </c>
      <c r="AK37" s="25"/>
      <c r="AL37" s="25"/>
      <c r="AM37" s="24"/>
      <c r="AN37" s="25"/>
      <c r="AO37" s="25" t="s">
        <v>38</v>
      </c>
      <c r="AP37" s="25"/>
      <c r="AQ37" s="25" t="s">
        <v>38</v>
      </c>
      <c r="AR37" s="25"/>
      <c r="AS37" s="25"/>
      <c r="AT37" s="24"/>
      <c r="AU37" s="25"/>
      <c r="AV37" s="25" t="s">
        <v>38</v>
      </c>
      <c r="AW37" s="25" t="s">
        <v>264</v>
      </c>
      <c r="AX37" s="25" t="s">
        <v>38</v>
      </c>
      <c r="AY37" s="25"/>
      <c r="AZ37" s="25"/>
      <c r="BA37" s="24"/>
      <c r="BB37" s="25"/>
      <c r="BC37" s="25" t="s">
        <v>38</v>
      </c>
      <c r="BD37" s="25"/>
      <c r="BE37" s="25" t="s">
        <v>38</v>
      </c>
      <c r="BF37" s="25"/>
      <c r="BG37" s="25"/>
      <c r="BH37" s="24"/>
      <c r="BI37" s="25"/>
      <c r="BJ37" s="25" t="s">
        <v>38</v>
      </c>
      <c r="BK37" s="25"/>
      <c r="BL37" s="25" t="s">
        <v>38</v>
      </c>
      <c r="BM37" s="25" t="s">
        <v>54</v>
      </c>
      <c r="BN37" s="25"/>
      <c r="BO37" s="24" t="s">
        <v>148</v>
      </c>
      <c r="BP37" s="25"/>
      <c r="BQ37" s="25"/>
      <c r="BR37" s="25"/>
      <c r="BS37" s="25"/>
      <c r="BT37" s="25"/>
      <c r="BU37" s="25"/>
      <c r="BV37" s="25" t="s">
        <v>148</v>
      </c>
      <c r="BW37" s="25"/>
      <c r="BX37" s="24"/>
      <c r="BY37" s="25"/>
      <c r="BZ37" s="25"/>
      <c r="CA37" s="25"/>
      <c r="CB37" s="25"/>
      <c r="CC37" s="25"/>
      <c r="CD37" s="25"/>
      <c r="CE37" s="25"/>
      <c r="CF37" s="25"/>
      <c r="CG37" s="24"/>
      <c r="CH37" s="25"/>
      <c r="CI37" s="25"/>
      <c r="CJ37" s="25"/>
      <c r="CK37" s="25"/>
      <c r="CL37" s="25"/>
      <c r="CM37" s="25"/>
      <c r="CN37" s="25"/>
      <c r="CO37" s="25"/>
      <c r="CP37" s="24"/>
      <c r="CQ37" s="25"/>
      <c r="CR37" s="25"/>
      <c r="CS37" s="25"/>
      <c r="CT37" s="25"/>
      <c r="CU37" s="25"/>
      <c r="CV37" s="25"/>
      <c r="CW37" s="24"/>
      <c r="CX37" s="25"/>
      <c r="CY37" s="25"/>
      <c r="CZ37" s="25"/>
      <c r="DA37" s="25"/>
      <c r="DB37" s="25"/>
      <c r="DC37" s="25"/>
      <c r="DD37" s="24"/>
      <c r="DE37" s="25"/>
      <c r="DF37" s="25"/>
      <c r="DG37" s="25"/>
      <c r="DH37" s="25"/>
      <c r="DI37" s="25"/>
      <c r="DJ37" s="25"/>
      <c r="DK37" s="24"/>
      <c r="DL37" s="25"/>
      <c r="DM37" s="25"/>
      <c r="DN37" s="25"/>
      <c r="DO37" s="25"/>
      <c r="DP37" s="25"/>
      <c r="DQ37" s="25"/>
      <c r="DR37" s="24"/>
      <c r="DS37" s="25"/>
      <c r="DT37" s="25"/>
      <c r="DU37" s="25"/>
      <c r="DV37" s="25"/>
      <c r="DW37" s="25"/>
      <c r="DX37" s="25"/>
      <c r="DY37" s="24"/>
      <c r="DZ37" s="25"/>
      <c r="EA37" s="25"/>
      <c r="EB37" s="25"/>
      <c r="EC37" s="25"/>
      <c r="ED37" s="25"/>
      <c r="EE37" s="25"/>
      <c r="EF37" s="24"/>
      <c r="EG37" s="25"/>
      <c r="EH37" s="25" t="s">
        <v>38</v>
      </c>
      <c r="EI37" s="25"/>
      <c r="EJ37" s="25" t="s">
        <v>38</v>
      </c>
      <c r="EK37" s="25" t="s">
        <v>38</v>
      </c>
      <c r="EL37" s="25"/>
      <c r="EM37" s="24"/>
      <c r="EN37" s="25"/>
      <c r="EO37" s="25" t="s">
        <v>38</v>
      </c>
      <c r="EP37" s="25"/>
      <c r="EQ37" s="25" t="s">
        <v>38</v>
      </c>
      <c r="ER37" s="25" t="s">
        <v>38</v>
      </c>
      <c r="ES37" s="25"/>
      <c r="ET37" s="24"/>
      <c r="EU37" s="25"/>
      <c r="EV37" s="25" t="s">
        <v>38</v>
      </c>
      <c r="EW37" s="25"/>
      <c r="EX37" s="25" t="s">
        <v>38</v>
      </c>
      <c r="EY37" s="25" t="s">
        <v>38</v>
      </c>
      <c r="EZ37" s="25"/>
      <c r="FA37" s="24"/>
      <c r="FB37" s="25"/>
      <c r="FC37" s="25" t="s">
        <v>38</v>
      </c>
      <c r="FD37" s="25"/>
      <c r="FE37" s="25" t="s">
        <v>38</v>
      </c>
      <c r="FF37" s="25" t="s">
        <v>38</v>
      </c>
      <c r="FG37" s="25"/>
      <c r="FH37" s="24"/>
      <c r="FI37" s="25"/>
      <c r="FJ37" s="25" t="s">
        <v>38</v>
      </c>
      <c r="FK37" s="25"/>
      <c r="FL37" s="25" t="s">
        <v>38</v>
      </c>
      <c r="FM37" s="25" t="s">
        <v>38</v>
      </c>
      <c r="FN37" s="25"/>
      <c r="FO37" s="24"/>
      <c r="FP37" s="25"/>
      <c r="FQ37" s="25" t="s">
        <v>38</v>
      </c>
      <c r="FR37" s="25"/>
      <c r="FS37" s="25" t="s">
        <v>38</v>
      </c>
      <c r="FT37" s="25" t="s">
        <v>38</v>
      </c>
      <c r="FU37" s="25"/>
      <c r="FV37" s="24"/>
      <c r="FW37" s="25"/>
      <c r="FX37" s="25" t="s">
        <v>38</v>
      </c>
      <c r="FY37" s="25"/>
      <c r="FZ37" s="25" t="s">
        <v>38</v>
      </c>
      <c r="GA37" s="25" t="s">
        <v>38</v>
      </c>
      <c r="GB37" s="25"/>
      <c r="GC37" s="24"/>
      <c r="GD37" s="25"/>
      <c r="GE37" s="25" t="s">
        <v>38</v>
      </c>
      <c r="GF37" s="25"/>
      <c r="GG37" s="25" t="s">
        <v>38</v>
      </c>
      <c r="GH37" s="25" t="s">
        <v>38</v>
      </c>
      <c r="GI37" s="25"/>
      <c r="GJ37" s="24"/>
      <c r="GK37" s="25"/>
      <c r="GL37" s="25" t="s">
        <v>38</v>
      </c>
      <c r="GM37" s="25"/>
      <c r="GN37" s="25" t="s">
        <v>38</v>
      </c>
      <c r="GO37" s="25" t="s">
        <v>38</v>
      </c>
      <c r="GP37" s="25"/>
      <c r="GQ37" s="24"/>
      <c r="GR37" s="25"/>
      <c r="GS37" s="25" t="s">
        <v>38</v>
      </c>
      <c r="GT37" s="25"/>
      <c r="GU37" s="25" t="s">
        <v>38</v>
      </c>
      <c r="GV37" s="25" t="s">
        <v>38</v>
      </c>
      <c r="GW37" s="25"/>
      <c r="GX37" s="24"/>
      <c r="GY37" s="25"/>
      <c r="GZ37" s="25" t="s">
        <v>38</v>
      </c>
      <c r="HA37" s="25"/>
      <c r="HB37" s="25" t="s">
        <v>38</v>
      </c>
      <c r="HC37" s="25" t="s">
        <v>38</v>
      </c>
      <c r="HD37" s="25"/>
      <c r="HE37" s="24"/>
      <c r="HF37" s="25"/>
      <c r="HG37" s="25" t="s">
        <v>38</v>
      </c>
      <c r="HH37" s="25" t="s">
        <v>38</v>
      </c>
      <c r="HI37" s="25"/>
      <c r="HJ37" s="25" t="s">
        <v>38</v>
      </c>
      <c r="HK37" s="25"/>
      <c r="HL37" s="24"/>
      <c r="HM37" s="25"/>
      <c r="HN37" s="25" t="s">
        <v>38</v>
      </c>
      <c r="HO37" s="25"/>
      <c r="HP37" s="25" t="s">
        <v>38</v>
      </c>
      <c r="HQ37" s="25" t="s">
        <v>38</v>
      </c>
      <c r="HR37" s="25"/>
      <c r="HS37" s="24"/>
      <c r="HT37" s="25"/>
      <c r="HU37" s="25" t="s">
        <v>38</v>
      </c>
      <c r="HV37" s="25"/>
      <c r="HW37" s="25" t="s">
        <v>38</v>
      </c>
      <c r="HX37" s="25" t="s">
        <v>38</v>
      </c>
      <c r="HY37" s="25"/>
      <c r="HZ37" s="24"/>
      <c r="IA37" s="25"/>
      <c r="IB37" s="25" t="s">
        <v>38</v>
      </c>
      <c r="IC37" s="25"/>
      <c r="ID37" s="25" t="s">
        <v>38</v>
      </c>
      <c r="IE37" s="25" t="s">
        <v>38</v>
      </c>
      <c r="IF37" s="25"/>
      <c r="IG37" s="24"/>
      <c r="IH37" s="25"/>
      <c r="II37" s="25" t="s">
        <v>38</v>
      </c>
      <c r="IJ37" s="25"/>
      <c r="IK37" s="25" t="s">
        <v>38</v>
      </c>
      <c r="IL37" s="25" t="s">
        <v>38</v>
      </c>
      <c r="IM37" s="25"/>
      <c r="IN37" s="24"/>
      <c r="IO37" s="25"/>
      <c r="IP37" s="25" t="s">
        <v>38</v>
      </c>
      <c r="IQ37" s="25"/>
      <c r="IR37" s="25" t="s">
        <v>38</v>
      </c>
      <c r="IS37" s="25" t="s">
        <v>38</v>
      </c>
      <c r="IT37" s="25"/>
      <c r="IU37" s="24"/>
      <c r="IV37" s="25"/>
      <c r="IW37" s="25" t="s">
        <v>38</v>
      </c>
      <c r="IX37" s="25"/>
      <c r="IY37" s="25" t="s">
        <v>38</v>
      </c>
      <c r="IZ37" s="25" t="s">
        <v>38</v>
      </c>
      <c r="JA37" s="25"/>
      <c r="JB37" s="24"/>
      <c r="JC37" s="25"/>
      <c r="JD37" s="25" t="s">
        <v>38</v>
      </c>
      <c r="JE37" s="25"/>
      <c r="JF37" s="25" t="s">
        <v>38</v>
      </c>
      <c r="JG37" s="25" t="s">
        <v>38</v>
      </c>
      <c r="JH37" s="25"/>
      <c r="JI37" s="24"/>
      <c r="JJ37" s="25"/>
      <c r="JK37" s="25" t="s">
        <v>38</v>
      </c>
      <c r="JL37" s="25"/>
      <c r="JM37" s="25" t="s">
        <v>38</v>
      </c>
      <c r="JN37" s="25" t="s">
        <v>38</v>
      </c>
      <c r="JO37" s="25"/>
      <c r="JP37" s="24"/>
      <c r="JQ37" s="25"/>
      <c r="JR37" s="25" t="s">
        <v>38</v>
      </c>
      <c r="JS37" s="25"/>
      <c r="JT37" s="25" t="s">
        <v>38</v>
      </c>
      <c r="JU37" s="25" t="s">
        <v>38</v>
      </c>
      <c r="JV37" s="25"/>
      <c r="JW37" s="24"/>
      <c r="JX37" s="25"/>
      <c r="JY37" s="25" t="s">
        <v>38</v>
      </c>
      <c r="JZ37" s="25"/>
      <c r="KA37" s="25" t="s">
        <v>38</v>
      </c>
      <c r="KB37" s="25" t="s">
        <v>38</v>
      </c>
      <c r="KC37" s="25"/>
      <c r="KD37" s="24"/>
      <c r="KE37" s="25"/>
      <c r="KF37" s="25" t="s">
        <v>38</v>
      </c>
      <c r="KG37" s="25"/>
      <c r="KH37" s="25" t="s">
        <v>38</v>
      </c>
      <c r="KI37" s="25" t="s">
        <v>38</v>
      </c>
      <c r="KJ37" s="25"/>
      <c r="KK37" s="24"/>
      <c r="KL37" s="25"/>
      <c r="KM37" s="25" t="s">
        <v>38</v>
      </c>
      <c r="KN37" s="25"/>
      <c r="KO37" s="25" t="s">
        <v>38</v>
      </c>
      <c r="KP37" s="25" t="s">
        <v>38</v>
      </c>
      <c r="KQ37" s="25"/>
      <c r="KR37" s="24"/>
      <c r="KS37" s="25"/>
      <c r="KT37" s="25" t="s">
        <v>38</v>
      </c>
      <c r="KU37" s="25"/>
      <c r="KV37" s="25" t="s">
        <v>38</v>
      </c>
      <c r="KW37" s="25"/>
      <c r="KX37" s="25"/>
      <c r="KY37" s="26"/>
      <c r="KZ37" s="25"/>
      <c r="LA37" s="25" t="s">
        <v>38</v>
      </c>
      <c r="LB37" s="25"/>
      <c r="LC37" s="25" t="s">
        <v>38</v>
      </c>
      <c r="LD37" s="25"/>
      <c r="LE37" s="25"/>
      <c r="LF37" s="24"/>
      <c r="LG37" s="25"/>
      <c r="LH37" s="25"/>
      <c r="LI37" s="25"/>
      <c r="LJ37" s="25"/>
      <c r="LK37" s="25"/>
      <c r="LL37" s="25"/>
      <c r="LM37" s="24"/>
      <c r="LN37" s="25"/>
      <c r="LO37" s="25"/>
      <c r="LP37" s="25"/>
      <c r="LQ37" s="25"/>
      <c r="LR37" s="25"/>
      <c r="LS37" s="25"/>
      <c r="LT37" s="24"/>
      <c r="LU37" s="25"/>
      <c r="LV37" s="25"/>
      <c r="LW37" s="25"/>
      <c r="LX37" s="25"/>
      <c r="LY37" s="25"/>
      <c r="LZ37" s="25"/>
      <c r="MA37" s="24"/>
    </row>
    <row r="38" spans="1:339"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2"/>
      <c r="R39" s="12"/>
      <c r="S39" s="11"/>
      <c r="T39" s="11"/>
      <c r="U39" s="11"/>
      <c r="V39" s="11"/>
      <c r="W39" s="11"/>
      <c r="X39" s="11"/>
      <c r="Y39" s="12"/>
      <c r="Z39" s="11"/>
      <c r="AA39" s="11"/>
      <c r="AB39" s="11"/>
      <c r="AC39" s="11"/>
      <c r="AD39" s="11"/>
      <c r="AE39" s="11"/>
      <c r="AF39" s="12"/>
      <c r="AG39" s="11"/>
      <c r="AH39" s="11"/>
      <c r="AI39" s="11"/>
      <c r="AJ39" s="11"/>
      <c r="AK39" s="11"/>
      <c r="AL39" s="11"/>
      <c r="AM39" s="12"/>
      <c r="AN39" s="11"/>
      <c r="AO39" s="11"/>
      <c r="AP39" s="11"/>
      <c r="AQ39" s="11"/>
      <c r="AR39" s="11"/>
      <c r="AS39" s="11"/>
      <c r="AT39" s="12"/>
      <c r="AU39" s="11"/>
      <c r="AV39" s="11"/>
      <c r="AW39" s="11"/>
      <c r="AX39" s="11"/>
      <c r="AY39" s="11"/>
      <c r="AZ39" s="11"/>
      <c r="BA39" s="12"/>
      <c r="BB39" s="11"/>
      <c r="BC39" s="11"/>
      <c r="BD39" s="11"/>
      <c r="BE39" s="11"/>
      <c r="BF39" s="11"/>
      <c r="BG39" s="11"/>
      <c r="BH39" s="12"/>
      <c r="BI39" s="11"/>
      <c r="BJ39" s="11"/>
      <c r="BK39" s="11"/>
      <c r="BL39" s="11"/>
      <c r="BM39" s="11"/>
      <c r="BN39" s="11"/>
      <c r="BO39" s="12"/>
      <c r="BP39" s="11"/>
      <c r="BQ39" s="11"/>
      <c r="BR39" s="11"/>
      <c r="BS39" s="11"/>
      <c r="BT39" s="11"/>
      <c r="BU39" s="11"/>
      <c r="BV39" s="11"/>
      <c r="BW39" s="11"/>
      <c r="BX39" s="12"/>
      <c r="BY39" s="11"/>
      <c r="BZ39" s="11"/>
      <c r="CA39" s="11"/>
      <c r="CB39" s="11"/>
      <c r="CC39" s="11"/>
      <c r="CD39" s="11"/>
      <c r="CE39" s="11"/>
      <c r="CF39" s="11"/>
      <c r="CG39" s="12"/>
      <c r="CH39" s="11"/>
      <c r="CI39" s="11"/>
      <c r="CJ39" s="11"/>
      <c r="CK39" s="11"/>
      <c r="CL39" s="11"/>
      <c r="CM39" s="11"/>
      <c r="CN39" s="11"/>
      <c r="CO39" s="11"/>
      <c r="CP39" s="12"/>
      <c r="CQ39" s="11"/>
      <c r="CR39" s="11"/>
      <c r="CS39" s="11"/>
      <c r="CT39" s="11"/>
      <c r="CU39" s="11"/>
      <c r="CV39" s="11"/>
      <c r="CW39" s="12"/>
      <c r="CX39" s="11"/>
      <c r="CY39" s="11"/>
      <c r="CZ39" s="11"/>
      <c r="DA39" s="11"/>
      <c r="DB39" s="11"/>
      <c r="DC39" s="11"/>
      <c r="DD39" s="12"/>
      <c r="DE39" s="11"/>
      <c r="DF39" s="11"/>
      <c r="DG39" s="11"/>
      <c r="DH39" s="11"/>
      <c r="DI39" s="11"/>
      <c r="DJ39" s="11"/>
      <c r="DK39" s="12"/>
      <c r="DL39" s="11"/>
      <c r="DM39" s="11"/>
      <c r="DN39" s="11"/>
      <c r="DO39" s="11"/>
      <c r="DP39" s="11"/>
      <c r="DQ39" s="11"/>
      <c r="DR39" s="12"/>
      <c r="DS39" s="11"/>
      <c r="DT39" s="11"/>
      <c r="DU39" s="11"/>
      <c r="DV39" s="11"/>
      <c r="DW39" s="11"/>
      <c r="DX39" s="11"/>
      <c r="DY39" s="12"/>
      <c r="DZ39" s="11"/>
      <c r="EA39" s="11"/>
      <c r="EB39" s="11"/>
      <c r="EC39" s="11"/>
      <c r="ED39" s="11"/>
      <c r="EE39" s="11"/>
      <c r="EF39" s="12"/>
      <c r="EG39" s="11"/>
      <c r="EH39" s="11"/>
      <c r="EI39" s="11"/>
      <c r="EJ39" s="11"/>
      <c r="EK39" s="11"/>
      <c r="EL39" s="11"/>
      <c r="EM39" s="12"/>
      <c r="EN39" s="11"/>
      <c r="EO39" s="11"/>
      <c r="EP39" s="11"/>
      <c r="EQ39" s="11"/>
      <c r="ER39" s="11"/>
      <c r="ES39" s="11"/>
      <c r="ET39" s="12"/>
      <c r="EU39" s="11"/>
      <c r="EV39" s="11"/>
      <c r="EW39" s="11"/>
      <c r="EX39" s="11"/>
      <c r="EY39" s="11"/>
      <c r="EZ39" s="11"/>
      <c r="FA39" s="12"/>
      <c r="FB39" s="11"/>
      <c r="FC39" s="11"/>
      <c r="FD39" s="11"/>
      <c r="FE39" s="11"/>
      <c r="FF39" s="11"/>
      <c r="FG39" s="11"/>
      <c r="FH39" s="12"/>
      <c r="FI39" s="11"/>
      <c r="FJ39" s="11"/>
      <c r="FK39" s="11"/>
      <c r="FL39" s="11"/>
      <c r="FM39" s="11"/>
      <c r="FN39" s="11"/>
      <c r="FO39" s="12"/>
      <c r="FP39" s="11"/>
      <c r="FQ39" s="11"/>
      <c r="FR39" s="11"/>
      <c r="FS39" s="11"/>
      <c r="FT39" s="11"/>
      <c r="FU39" s="11"/>
      <c r="FV39" s="12"/>
      <c r="FW39" s="11"/>
      <c r="FX39" s="11"/>
      <c r="FY39" s="11"/>
      <c r="FZ39" s="11"/>
      <c r="GA39" s="11"/>
      <c r="GB39" s="11"/>
      <c r="GC39" s="12"/>
      <c r="GD39" s="11"/>
      <c r="GE39" s="11"/>
      <c r="GF39" s="11"/>
      <c r="GG39" s="11"/>
      <c r="GH39" s="11"/>
      <c r="GI39" s="11"/>
      <c r="GJ39" s="12"/>
      <c r="GK39" s="11"/>
      <c r="GL39" s="11"/>
      <c r="GM39" s="11"/>
      <c r="GN39" s="11"/>
      <c r="GO39" s="11"/>
      <c r="GP39" s="11"/>
      <c r="GQ39" s="12"/>
      <c r="GR39" s="11"/>
      <c r="GS39" s="11"/>
      <c r="GT39" s="11"/>
      <c r="GU39" s="11"/>
      <c r="GV39" s="11"/>
      <c r="GW39" s="11"/>
      <c r="GX39" s="12"/>
      <c r="GY39" s="11"/>
      <c r="GZ39" s="11"/>
      <c r="HA39" s="11"/>
      <c r="HB39" s="11"/>
      <c r="HC39" s="11"/>
      <c r="HD39" s="11"/>
      <c r="HE39" s="12"/>
      <c r="HF39" s="11"/>
      <c r="HG39" s="11"/>
      <c r="HH39" s="11"/>
      <c r="HI39" s="11"/>
      <c r="HJ39" s="11"/>
      <c r="HK39" s="11"/>
      <c r="HL39" s="12"/>
      <c r="HM39" s="11"/>
      <c r="HN39" s="11"/>
      <c r="HO39" s="11"/>
      <c r="HP39" s="11"/>
      <c r="HQ39" s="11"/>
      <c r="HR39" s="11"/>
      <c r="HS39" s="12"/>
      <c r="HT39" s="11"/>
      <c r="HU39" s="11"/>
      <c r="HV39" s="11"/>
      <c r="HW39" s="11"/>
      <c r="HX39" s="11"/>
      <c r="HY39" s="11"/>
      <c r="HZ39" s="12"/>
      <c r="IA39" s="11"/>
      <c r="IB39" s="11"/>
      <c r="IC39" s="11"/>
      <c r="ID39" s="11"/>
      <c r="IE39" s="11"/>
      <c r="IF39" s="11"/>
      <c r="IG39" s="12"/>
      <c r="IH39" s="11"/>
      <c r="II39" s="11"/>
      <c r="IJ39" s="11"/>
      <c r="IK39" s="11"/>
      <c r="IL39" s="11"/>
      <c r="IM39" s="11"/>
      <c r="IN39" s="12"/>
      <c r="IO39" s="11"/>
      <c r="IP39" s="11"/>
      <c r="IQ39" s="11"/>
      <c r="IR39" s="11"/>
      <c r="IS39" s="11"/>
      <c r="IT39" s="11"/>
      <c r="IU39" s="12"/>
      <c r="IV39" s="11"/>
      <c r="IW39" s="11"/>
      <c r="IX39" s="11"/>
      <c r="IY39" s="11"/>
      <c r="IZ39" s="11"/>
      <c r="JA39" s="11"/>
      <c r="JB39" s="12"/>
      <c r="JC39" s="11"/>
      <c r="JD39" s="11"/>
      <c r="JE39" s="11"/>
      <c r="JF39" s="11"/>
      <c r="JG39" s="11"/>
      <c r="JH39" s="11"/>
      <c r="JI39" s="12"/>
      <c r="JJ39" s="11"/>
      <c r="JK39" s="11"/>
      <c r="JL39" s="11"/>
      <c r="JM39" s="11"/>
      <c r="JN39" s="11"/>
      <c r="JO39" s="11"/>
      <c r="JP39" s="12"/>
      <c r="JQ39" s="11"/>
      <c r="JR39" s="11"/>
      <c r="JS39" s="11"/>
      <c r="JT39" s="11"/>
      <c r="JU39" s="11"/>
      <c r="JV39" s="11"/>
      <c r="JW39" s="12"/>
      <c r="JX39" s="11"/>
      <c r="JY39" s="11"/>
      <c r="JZ39" s="11"/>
      <c r="KA39" s="11"/>
      <c r="KB39" s="11"/>
      <c r="KC39" s="11"/>
      <c r="KD39" s="12"/>
      <c r="KE39" s="11"/>
      <c r="KF39" s="11"/>
      <c r="KG39" s="11"/>
      <c r="KH39" s="11"/>
      <c r="KI39" s="11"/>
      <c r="KJ39" s="11"/>
      <c r="KK39" s="12"/>
      <c r="KL39" s="11"/>
      <c r="KM39" s="11"/>
      <c r="KN39" s="11"/>
      <c r="KO39" s="11"/>
      <c r="KP39" s="11"/>
      <c r="KQ39" s="11"/>
      <c r="KR39" s="12"/>
      <c r="KS39" s="11"/>
      <c r="KT39" s="11"/>
      <c r="KU39" s="11"/>
      <c r="KV39" s="11"/>
      <c r="KW39" s="11"/>
      <c r="KX39" s="11"/>
      <c r="KY39" s="12"/>
      <c r="KZ39" s="11"/>
      <c r="LA39" s="11"/>
      <c r="LB39" s="11"/>
      <c r="LC39" s="11"/>
      <c r="LD39" s="11"/>
      <c r="LE39" s="11"/>
      <c r="LF39" s="12"/>
      <c r="LG39" s="11"/>
      <c r="LH39" s="11"/>
      <c r="LI39" s="11"/>
      <c r="LJ39" s="11"/>
      <c r="LK39" s="11"/>
      <c r="LL39" s="11"/>
      <c r="LM39" s="12"/>
      <c r="LN39" s="11"/>
      <c r="LO39" s="11"/>
      <c r="LP39" s="11"/>
      <c r="LQ39" s="11"/>
      <c r="LR39" s="11"/>
      <c r="LS39" s="11"/>
      <c r="LT39" s="12"/>
      <c r="LU39" s="11"/>
      <c r="LV39" s="11"/>
      <c r="LW39" s="11"/>
      <c r="LX39" s="11"/>
      <c r="LY39" s="11"/>
      <c r="LZ39" s="11"/>
      <c r="MA39" s="12"/>
    </row>
    <row r="40" spans="1:339" ht="7.5" customHeight="1" x14ac:dyDescent="0.25">
      <c r="A40" s="8"/>
      <c r="B40" s="8"/>
      <c r="C40" s="8"/>
      <c r="D40" s="8"/>
      <c r="E40" s="8"/>
      <c r="F40" s="10"/>
      <c r="G40" s="19"/>
      <c r="H40" s="19"/>
      <c r="I40" s="8"/>
      <c r="J40" s="8"/>
      <c r="K40" s="8"/>
      <c r="L40" s="8"/>
      <c r="M40" s="8"/>
      <c r="N40" s="8"/>
      <c r="O40" s="9"/>
      <c r="P40" s="8" t="str">
        <f>IF(SUM(Q40:MA40) &gt; 0, SUM(Q40:MA40), "")</f>
        <v/>
      </c>
      <c r="Q40" s="86" t="str">
        <f t="shared" ref="Q40:Q59" si="350">IF(SUM(R40:XFD40) &gt; 0, SUM(R40:XFD40) / $P$60 * 100, "")</f>
        <v/>
      </c>
      <c r="R40" s="7"/>
      <c r="Y40" s="7"/>
      <c r="AF40" s="7"/>
      <c r="AM40" s="7"/>
      <c r="AT40" s="7"/>
      <c r="BA40" s="7"/>
      <c r="BH40" s="7"/>
      <c r="BO40" s="7"/>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116</v>
      </c>
      <c r="B41" s="8" t="s">
        <v>115</v>
      </c>
      <c r="C41" s="8" t="s">
        <v>114</v>
      </c>
      <c r="D41" s="8" t="s">
        <v>113</v>
      </c>
      <c r="E41" s="57">
        <v>40073</v>
      </c>
      <c r="F41" s="19">
        <f t="shared" ref="F41:L52" si="351">IF($E41 &gt;= F$39, 1, "")</f>
        <v>1</v>
      </c>
      <c r="G41" s="19">
        <f t="shared" si="351"/>
        <v>1</v>
      </c>
      <c r="H41" s="19">
        <f t="shared" si="351"/>
        <v>1</v>
      </c>
      <c r="I41" s="19">
        <f t="shared" si="351"/>
        <v>1</v>
      </c>
      <c r="J41" s="19">
        <f t="shared" si="351"/>
        <v>1</v>
      </c>
      <c r="K41" s="19">
        <f t="shared" si="351"/>
        <v>1</v>
      </c>
      <c r="L41" s="19" t="str">
        <f t="shared" si="351"/>
        <v/>
      </c>
      <c r="M41" s="8">
        <v>1</v>
      </c>
      <c r="N41" s="8"/>
      <c r="O41" s="9"/>
      <c r="P41" s="8">
        <f t="shared" ref="P41:P59" si="352">IF(SUM(R41:MA41) &gt; 0, SUM(R41:MA41), "")</f>
        <v>9</v>
      </c>
      <c r="Q41" s="86">
        <f t="shared" si="350"/>
        <v>69.230769230769226</v>
      </c>
      <c r="R41" s="7"/>
      <c r="Y41" s="7"/>
      <c r="AF41" s="7"/>
      <c r="AJ41">
        <v>1</v>
      </c>
      <c r="AM41" s="7"/>
      <c r="AQ41">
        <v>1</v>
      </c>
      <c r="AT41" s="7"/>
      <c r="AW41">
        <v>1</v>
      </c>
      <c r="AX41">
        <v>1</v>
      </c>
      <c r="BA41" s="7"/>
      <c r="BE41">
        <v>1</v>
      </c>
      <c r="BH41" s="7"/>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73</v>
      </c>
      <c r="B42" s="8" t="s">
        <v>108</v>
      </c>
      <c r="C42" s="8" t="s">
        <v>107</v>
      </c>
      <c r="D42" s="8" t="s">
        <v>106</v>
      </c>
      <c r="E42" s="18">
        <v>39474</v>
      </c>
      <c r="F42" s="10">
        <f t="shared" si="351"/>
        <v>1</v>
      </c>
      <c r="G42" s="19">
        <f t="shared" si="351"/>
        <v>1</v>
      </c>
      <c r="H42" s="19">
        <f t="shared" si="351"/>
        <v>1</v>
      </c>
      <c r="I42" s="19">
        <f t="shared" si="351"/>
        <v>1</v>
      </c>
      <c r="J42" s="19">
        <f t="shared" si="351"/>
        <v>1</v>
      </c>
      <c r="K42" s="19" t="str">
        <f t="shared" si="351"/>
        <v/>
      </c>
      <c r="L42" s="19" t="str">
        <f t="shared" si="351"/>
        <v/>
      </c>
      <c r="M42" s="8">
        <v>1</v>
      </c>
      <c r="N42" s="8"/>
      <c r="O42" s="9"/>
      <c r="P42" s="8">
        <f t="shared" si="352"/>
        <v>14</v>
      </c>
      <c r="Q42" s="86">
        <f t="shared" si="350"/>
        <v>107.69230769230769</v>
      </c>
      <c r="R42" s="7"/>
      <c r="Y42" s="7"/>
      <c r="AF42" s="7"/>
      <c r="AH42">
        <v>1</v>
      </c>
      <c r="AJ42">
        <v>1</v>
      </c>
      <c r="AM42" s="7"/>
      <c r="AO42">
        <v>1</v>
      </c>
      <c r="AQ42">
        <v>1</v>
      </c>
      <c r="AT42" s="7"/>
      <c r="AV42">
        <v>1</v>
      </c>
      <c r="AW42">
        <v>1</v>
      </c>
      <c r="AX42">
        <v>1</v>
      </c>
      <c r="BA42" s="7"/>
      <c r="BC42">
        <v>1</v>
      </c>
      <c r="BE42">
        <v>1</v>
      </c>
      <c r="BH42" s="7"/>
      <c r="BJ42">
        <v>1</v>
      </c>
      <c r="BL42">
        <v>1</v>
      </c>
      <c r="BM42">
        <v>1</v>
      </c>
      <c r="BO42" s="7">
        <v>1</v>
      </c>
      <c r="BV42">
        <v>1</v>
      </c>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237</v>
      </c>
      <c r="B43" s="8" t="s">
        <v>238</v>
      </c>
      <c r="C43" s="8" t="s">
        <v>239</v>
      </c>
      <c r="D43" s="8" t="s">
        <v>240</v>
      </c>
      <c r="E43" s="18">
        <v>39425</v>
      </c>
      <c r="F43" s="10">
        <f t="shared" si="351"/>
        <v>1</v>
      </c>
      <c r="G43" s="19">
        <f t="shared" si="351"/>
        <v>1</v>
      </c>
      <c r="H43" s="19">
        <f t="shared" si="351"/>
        <v>1</v>
      </c>
      <c r="I43" s="19">
        <f t="shared" si="351"/>
        <v>1</v>
      </c>
      <c r="J43" s="19" t="str">
        <f t="shared" si="351"/>
        <v/>
      </c>
      <c r="K43" s="19" t="str">
        <f t="shared" si="351"/>
        <v/>
      </c>
      <c r="L43" s="19" t="str">
        <f t="shared" si="351"/>
        <v/>
      </c>
      <c r="M43" s="8">
        <v>1</v>
      </c>
      <c r="N43" s="8"/>
      <c r="O43" s="9"/>
      <c r="P43" s="8">
        <f t="shared" si="352"/>
        <v>12</v>
      </c>
      <c r="Q43" s="86">
        <f t="shared" si="350"/>
        <v>92.307692307692307</v>
      </c>
      <c r="R43" s="7"/>
      <c r="Y43" s="7"/>
      <c r="AF43" s="7"/>
      <c r="AH43">
        <v>1</v>
      </c>
      <c r="AJ43">
        <v>1</v>
      </c>
      <c r="AM43" s="7"/>
      <c r="AO43">
        <v>1</v>
      </c>
      <c r="AQ43">
        <v>1</v>
      </c>
      <c r="AT43" s="7"/>
      <c r="AV43">
        <v>1</v>
      </c>
      <c r="AW43">
        <v>1</v>
      </c>
      <c r="AX43">
        <v>1</v>
      </c>
      <c r="BA43" s="7"/>
      <c r="BC43">
        <v>1</v>
      </c>
      <c r="BE43">
        <v>1</v>
      </c>
      <c r="BH43" s="7"/>
      <c r="BJ43">
        <v>1</v>
      </c>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ht="15" customHeight="1" x14ac:dyDescent="0.25">
      <c r="A44" s="8" t="s">
        <v>234</v>
      </c>
      <c r="B44" s="8"/>
      <c r="C44" s="8" t="s">
        <v>36</v>
      </c>
      <c r="D44" s="8" t="s">
        <v>235</v>
      </c>
      <c r="E44" s="18">
        <v>38536</v>
      </c>
      <c r="F44" s="10">
        <f t="shared" si="351"/>
        <v>1</v>
      </c>
      <c r="G44" s="19">
        <f t="shared" si="351"/>
        <v>1</v>
      </c>
      <c r="H44" s="19" t="str">
        <f t="shared" si="351"/>
        <v/>
      </c>
      <c r="I44" s="19" t="str">
        <f t="shared" si="351"/>
        <v/>
      </c>
      <c r="J44" s="19" t="str">
        <f t="shared" si="351"/>
        <v/>
      </c>
      <c r="K44" s="19" t="str">
        <f t="shared" si="351"/>
        <v/>
      </c>
      <c r="L44" s="19" t="str">
        <f t="shared" si="351"/>
        <v/>
      </c>
      <c r="M44" s="8">
        <v>1</v>
      </c>
      <c r="N44" s="8"/>
      <c r="O44" s="9"/>
      <c r="P44" s="8">
        <f t="shared" si="352"/>
        <v>5</v>
      </c>
      <c r="Q44" s="86">
        <f t="shared" si="350"/>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230</v>
      </c>
      <c r="B45" s="8" t="s">
        <v>231</v>
      </c>
      <c r="C45" s="8" t="s">
        <v>233</v>
      </c>
      <c r="D45" s="8" t="s">
        <v>232</v>
      </c>
      <c r="E45" s="18">
        <v>38679</v>
      </c>
      <c r="F45" s="10">
        <f t="shared" si="351"/>
        <v>1</v>
      </c>
      <c r="G45" s="19">
        <f t="shared" si="351"/>
        <v>1</v>
      </c>
      <c r="H45" s="19" t="str">
        <f t="shared" si="351"/>
        <v/>
      </c>
      <c r="I45" s="19" t="str">
        <f t="shared" si="351"/>
        <v/>
      </c>
      <c r="J45" s="19" t="str">
        <f t="shared" si="351"/>
        <v/>
      </c>
      <c r="K45" s="19" t="str">
        <f t="shared" si="351"/>
        <v/>
      </c>
      <c r="L45" s="19" t="str">
        <f t="shared" si="351"/>
        <v/>
      </c>
      <c r="M45" s="8">
        <v>1</v>
      </c>
      <c r="N45" s="8"/>
      <c r="O45" s="9"/>
      <c r="P45" s="8">
        <f t="shared" si="352"/>
        <v>5</v>
      </c>
      <c r="Q45" s="86">
        <f t="shared" si="350"/>
        <v>38.461538461538467</v>
      </c>
      <c r="R45" s="7"/>
      <c r="Y45" s="7"/>
      <c r="AF45" s="7"/>
      <c r="AH45">
        <v>1</v>
      </c>
      <c r="AM45" s="7"/>
      <c r="AQ45">
        <v>1</v>
      </c>
      <c r="AT45" s="7"/>
      <c r="BA45" s="7"/>
      <c r="BC45">
        <v>1</v>
      </c>
      <c r="BH45" s="7"/>
      <c r="BL45">
        <v>1</v>
      </c>
      <c r="BM45">
        <v>1</v>
      </c>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62</v>
      </c>
      <c r="B46" s="8"/>
      <c r="C46" s="8" t="s">
        <v>294</v>
      </c>
      <c r="D46" s="8" t="s">
        <v>295</v>
      </c>
      <c r="E46" s="18">
        <v>39814</v>
      </c>
      <c r="F46" s="10">
        <f t="shared" si="351"/>
        <v>1</v>
      </c>
      <c r="G46" s="19">
        <f t="shared" si="351"/>
        <v>1</v>
      </c>
      <c r="H46" s="19">
        <f t="shared" si="351"/>
        <v>1</v>
      </c>
      <c r="I46" s="8">
        <f t="shared" si="351"/>
        <v>1</v>
      </c>
      <c r="J46" s="8">
        <f t="shared" si="351"/>
        <v>1</v>
      </c>
      <c r="K46" s="8">
        <f t="shared" si="351"/>
        <v>1</v>
      </c>
      <c r="L46" s="8" t="str">
        <f t="shared" si="351"/>
        <v/>
      </c>
      <c r="M46" s="8">
        <v>1</v>
      </c>
      <c r="N46" s="8"/>
      <c r="O46" s="9"/>
      <c r="P46" s="8">
        <f t="shared" si="352"/>
        <v>3</v>
      </c>
      <c r="Q46" s="86">
        <f t="shared" si="350"/>
        <v>23.076923076923077</v>
      </c>
      <c r="R46" s="7"/>
      <c r="Y46" s="7"/>
      <c r="AF46" s="7"/>
      <c r="AM46" s="7"/>
      <c r="AO46">
        <v>1</v>
      </c>
      <c r="AT46" s="7"/>
      <c r="AX46">
        <v>1</v>
      </c>
      <c r="BA46" s="7"/>
      <c r="BE46">
        <v>1</v>
      </c>
      <c r="BH46" s="7"/>
      <c r="BO46" s="7"/>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92</v>
      </c>
      <c r="B47" s="8"/>
      <c r="C47" s="8" t="s">
        <v>91</v>
      </c>
      <c r="D47" s="8" t="s">
        <v>90</v>
      </c>
      <c r="E47" s="18">
        <v>39507</v>
      </c>
      <c r="F47" s="10">
        <f t="shared" si="351"/>
        <v>1</v>
      </c>
      <c r="G47" s="19">
        <f t="shared" si="351"/>
        <v>1</v>
      </c>
      <c r="H47" s="19">
        <f t="shared" si="351"/>
        <v>1</v>
      </c>
      <c r="I47" s="19">
        <f t="shared" si="351"/>
        <v>1</v>
      </c>
      <c r="J47" s="19">
        <f t="shared" si="351"/>
        <v>1</v>
      </c>
      <c r="K47" s="19" t="str">
        <f t="shared" si="351"/>
        <v/>
      </c>
      <c r="L47" s="19" t="str">
        <f t="shared" si="351"/>
        <v/>
      </c>
      <c r="M47" s="8">
        <v>1</v>
      </c>
      <c r="N47" s="8"/>
      <c r="O47" s="9"/>
      <c r="P47" s="8">
        <f t="shared" si="352"/>
        <v>12</v>
      </c>
      <c r="Q47" s="86">
        <f t="shared" si="350"/>
        <v>92.307692307692307</v>
      </c>
      <c r="R47" s="7"/>
      <c r="Y47" s="7"/>
      <c r="AF47" s="7"/>
      <c r="AH47">
        <v>1</v>
      </c>
      <c r="AM47" s="7"/>
      <c r="AO47">
        <v>1</v>
      </c>
      <c r="AQ47">
        <v>1</v>
      </c>
      <c r="AT47" s="7"/>
      <c r="AV47">
        <v>1</v>
      </c>
      <c r="AW47">
        <v>1</v>
      </c>
      <c r="AX47">
        <v>1</v>
      </c>
      <c r="BA47" s="7"/>
      <c r="BC47">
        <v>1</v>
      </c>
      <c r="BE47">
        <v>1</v>
      </c>
      <c r="BH47" s="7"/>
      <c r="BJ47">
        <v>1</v>
      </c>
      <c r="BL47">
        <v>1</v>
      </c>
      <c r="BM47">
        <v>1</v>
      </c>
      <c r="BO47" s="7">
        <v>1</v>
      </c>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89</v>
      </c>
      <c r="B48" s="8"/>
      <c r="C48" s="8" t="s">
        <v>88</v>
      </c>
      <c r="D48" s="8" t="s">
        <v>87</v>
      </c>
      <c r="E48" s="18">
        <v>39651</v>
      </c>
      <c r="F48" s="10">
        <f t="shared" si="351"/>
        <v>1</v>
      </c>
      <c r="G48" s="19">
        <f t="shared" si="351"/>
        <v>1</v>
      </c>
      <c r="H48" s="19">
        <f t="shared" si="351"/>
        <v>1</v>
      </c>
      <c r="I48" s="8">
        <f t="shared" si="351"/>
        <v>1</v>
      </c>
      <c r="J48" s="8">
        <f t="shared" si="351"/>
        <v>1</v>
      </c>
      <c r="K48" s="8" t="str">
        <f t="shared" si="351"/>
        <v/>
      </c>
      <c r="L48" s="8" t="str">
        <f t="shared" si="351"/>
        <v/>
      </c>
      <c r="M48" s="8">
        <v>1</v>
      </c>
      <c r="N48" s="8"/>
      <c r="O48" s="9"/>
      <c r="P48" s="8">
        <f t="shared" si="352"/>
        <v>3</v>
      </c>
      <c r="Q48" s="86">
        <f t="shared" si="350"/>
        <v>23.076923076923077</v>
      </c>
      <c r="R48" s="7"/>
      <c r="Y48" s="7"/>
      <c r="AF48" s="7"/>
      <c r="AH48">
        <v>1</v>
      </c>
      <c r="AJ48">
        <v>1</v>
      </c>
      <c r="AM48" s="7"/>
      <c r="AT48" s="7"/>
      <c r="AV48">
        <v>1</v>
      </c>
      <c r="BA48" s="7"/>
      <c r="BH48" s="7"/>
      <c r="BO48" s="7"/>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134</v>
      </c>
      <c r="B49" s="8" t="s">
        <v>133</v>
      </c>
      <c r="C49" s="8" t="s">
        <v>236</v>
      </c>
      <c r="D49" s="8" t="s">
        <v>87</v>
      </c>
      <c r="E49" s="18">
        <v>38979</v>
      </c>
      <c r="F49" s="10">
        <f t="shared" si="351"/>
        <v>1</v>
      </c>
      <c r="G49" s="19">
        <f t="shared" si="351"/>
        <v>1</v>
      </c>
      <c r="H49" s="19">
        <f t="shared" si="351"/>
        <v>1</v>
      </c>
      <c r="I49" s="8" t="str">
        <f t="shared" si="351"/>
        <v/>
      </c>
      <c r="J49" s="8" t="str">
        <f t="shared" si="351"/>
        <v/>
      </c>
      <c r="K49" s="8" t="str">
        <f t="shared" si="351"/>
        <v/>
      </c>
      <c r="L49" s="8" t="str">
        <f t="shared" si="351"/>
        <v/>
      </c>
      <c r="M49" s="8">
        <v>1</v>
      </c>
      <c r="N49" s="8"/>
      <c r="O49" s="9"/>
      <c r="P49" s="8">
        <f t="shared" si="352"/>
        <v>8</v>
      </c>
      <c r="Q49" s="86">
        <f t="shared" si="350"/>
        <v>61.53846153846154</v>
      </c>
      <c r="R49" s="7"/>
      <c r="Y49" s="7"/>
      <c r="AF49" s="7"/>
      <c r="AH49">
        <v>1</v>
      </c>
      <c r="AJ49">
        <v>1</v>
      </c>
      <c r="AM49" s="7"/>
      <c r="AT49" s="7"/>
      <c r="AV49">
        <v>1</v>
      </c>
      <c r="AW49">
        <v>1</v>
      </c>
      <c r="BA49" s="7"/>
      <c r="BH49" s="7"/>
      <c r="BJ49">
        <v>1</v>
      </c>
      <c r="BL49">
        <v>1</v>
      </c>
      <c r="BM49">
        <v>1</v>
      </c>
      <c r="BO49" s="7">
        <v>1</v>
      </c>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86</v>
      </c>
      <c r="B50" s="8"/>
      <c r="C50" s="8" t="s">
        <v>85</v>
      </c>
      <c r="D50" s="8" t="s">
        <v>84</v>
      </c>
      <c r="E50" s="18">
        <v>39562</v>
      </c>
      <c r="F50" s="10">
        <f t="shared" si="351"/>
        <v>1</v>
      </c>
      <c r="G50" s="19">
        <f t="shared" si="351"/>
        <v>1</v>
      </c>
      <c r="H50" s="19">
        <f t="shared" si="351"/>
        <v>1</v>
      </c>
      <c r="I50" s="8">
        <f t="shared" si="351"/>
        <v>1</v>
      </c>
      <c r="J50" s="8">
        <f t="shared" si="351"/>
        <v>1</v>
      </c>
      <c r="K50" s="8" t="str">
        <f t="shared" si="351"/>
        <v/>
      </c>
      <c r="L50" s="8" t="str">
        <f t="shared" si="351"/>
        <v/>
      </c>
      <c r="M50" s="8">
        <v>1</v>
      </c>
      <c r="N50" s="8"/>
      <c r="O50" s="9"/>
      <c r="P50" s="8">
        <f t="shared" si="352"/>
        <v>5</v>
      </c>
      <c r="Q50" s="86">
        <f t="shared" si="350"/>
        <v>38.461538461538467</v>
      </c>
      <c r="R50" s="7"/>
      <c r="Y50" s="7"/>
      <c r="AF50" s="7"/>
      <c r="AM50" s="7"/>
      <c r="AO50">
        <v>1</v>
      </c>
      <c r="AQ50">
        <v>1</v>
      </c>
      <c r="AT50" s="7"/>
      <c r="AV50">
        <v>1</v>
      </c>
      <c r="BA50" s="7"/>
      <c r="BH50" s="7"/>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83</v>
      </c>
      <c r="B51" s="8"/>
      <c r="C51" s="8" t="s">
        <v>82</v>
      </c>
      <c r="D51" s="8" t="s">
        <v>81</v>
      </c>
      <c r="E51" s="18">
        <v>39475</v>
      </c>
      <c r="F51" s="10">
        <f t="shared" si="351"/>
        <v>1</v>
      </c>
      <c r="G51" s="19">
        <f t="shared" si="351"/>
        <v>1</v>
      </c>
      <c r="H51" s="19">
        <f t="shared" si="351"/>
        <v>1</v>
      </c>
      <c r="I51" s="8">
        <f t="shared" si="351"/>
        <v>1</v>
      </c>
      <c r="J51" s="8">
        <f t="shared" si="351"/>
        <v>1</v>
      </c>
      <c r="K51" s="8" t="str">
        <f t="shared" si="351"/>
        <v/>
      </c>
      <c r="L51" s="8" t="str">
        <f t="shared" si="351"/>
        <v/>
      </c>
      <c r="M51" s="8">
        <v>1</v>
      </c>
      <c r="N51" s="8"/>
      <c r="O51" s="9"/>
      <c r="P51" s="8">
        <f t="shared" si="352"/>
        <v>10</v>
      </c>
      <c r="Q51" s="86">
        <f t="shared" si="350"/>
        <v>76.923076923076934</v>
      </c>
      <c r="R51" s="7"/>
      <c r="Y51" s="7"/>
      <c r="AF51" s="7"/>
      <c r="AH51">
        <v>1</v>
      </c>
      <c r="AJ51">
        <v>1</v>
      </c>
      <c r="AM51" s="7"/>
      <c r="AO51">
        <v>1</v>
      </c>
      <c r="AQ51">
        <v>1</v>
      </c>
      <c r="AT51" s="7"/>
      <c r="AX51">
        <v>1</v>
      </c>
      <c r="BA51" s="7"/>
      <c r="BC51">
        <v>1</v>
      </c>
      <c r="BE51">
        <v>1</v>
      </c>
      <c r="BH51" s="7"/>
      <c r="BJ51">
        <v>1</v>
      </c>
      <c r="BL51">
        <v>1</v>
      </c>
      <c r="BM51">
        <v>1</v>
      </c>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80</v>
      </c>
      <c r="B52" s="8"/>
      <c r="C52" s="8" t="s">
        <v>79</v>
      </c>
      <c r="D52" s="8" t="s">
        <v>78</v>
      </c>
      <c r="E52" s="18">
        <v>39927</v>
      </c>
      <c r="F52" s="10">
        <f t="shared" si="351"/>
        <v>1</v>
      </c>
      <c r="G52" s="19">
        <f t="shared" si="351"/>
        <v>1</v>
      </c>
      <c r="H52" s="19">
        <f t="shared" si="351"/>
        <v>1</v>
      </c>
      <c r="I52" s="8">
        <f t="shared" si="351"/>
        <v>1</v>
      </c>
      <c r="J52" s="8">
        <f t="shared" si="351"/>
        <v>1</v>
      </c>
      <c r="K52" s="8">
        <f t="shared" si="351"/>
        <v>1</v>
      </c>
      <c r="L52" s="8" t="str">
        <f t="shared" si="351"/>
        <v/>
      </c>
      <c r="M52" s="8">
        <v>1</v>
      </c>
      <c r="N52" s="8"/>
      <c r="O52" s="9"/>
      <c r="P52" s="8">
        <f t="shared" si="352"/>
        <v>4</v>
      </c>
      <c r="Q52" s="86">
        <f t="shared" si="350"/>
        <v>30.76923076923077</v>
      </c>
      <c r="R52" s="7"/>
      <c r="Y52" s="7"/>
      <c r="AF52" s="7"/>
      <c r="AH52">
        <v>1</v>
      </c>
      <c r="AJ52">
        <v>1</v>
      </c>
      <c r="AM52" s="7"/>
      <c r="AO52">
        <v>1</v>
      </c>
      <c r="AT52" s="7"/>
      <c r="AV52">
        <v>1</v>
      </c>
      <c r="BA52" s="7"/>
      <c r="BH52" s="7"/>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77</v>
      </c>
      <c r="B53" s="8" t="s">
        <v>76</v>
      </c>
      <c r="C53" s="8" t="s">
        <v>75</v>
      </c>
      <c r="D53" s="8" t="s">
        <v>74</v>
      </c>
      <c r="E53" s="18">
        <v>40051</v>
      </c>
      <c r="F53" s="10">
        <f t="shared" ref="F53:L59" si="353">IF($E53 &gt;= F$39, 1, "")</f>
        <v>1</v>
      </c>
      <c r="G53" s="19">
        <f t="shared" si="353"/>
        <v>1</v>
      </c>
      <c r="H53" s="19">
        <f t="shared" si="353"/>
        <v>1</v>
      </c>
      <c r="I53" s="8">
        <f t="shared" si="353"/>
        <v>1</v>
      </c>
      <c r="J53" s="8">
        <f t="shared" si="353"/>
        <v>1</v>
      </c>
      <c r="K53" s="8">
        <f t="shared" si="353"/>
        <v>1</v>
      </c>
      <c r="L53" s="8" t="str">
        <f t="shared" si="353"/>
        <v/>
      </c>
      <c r="M53" s="8">
        <v>1</v>
      </c>
      <c r="N53" s="8"/>
      <c r="O53" s="9"/>
      <c r="P53" s="8">
        <f t="shared" si="352"/>
        <v>7</v>
      </c>
      <c r="Q53" s="86">
        <f t="shared" si="350"/>
        <v>53.846153846153847</v>
      </c>
      <c r="R53" s="7"/>
      <c r="Y53" s="7"/>
      <c r="AF53" s="7"/>
      <c r="AH53">
        <v>1</v>
      </c>
      <c r="AM53" s="7"/>
      <c r="AO53">
        <v>1</v>
      </c>
      <c r="AT53" s="7"/>
      <c r="AV53">
        <v>1</v>
      </c>
      <c r="AW53">
        <v>1</v>
      </c>
      <c r="BA53" s="7"/>
      <c r="BC53">
        <v>1</v>
      </c>
      <c r="BH53" s="7"/>
      <c r="BJ53">
        <v>1</v>
      </c>
      <c r="BM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x14ac:dyDescent="0.25">
      <c r="A54" s="8" t="s">
        <v>73</v>
      </c>
      <c r="B54" s="8"/>
      <c r="C54" s="8" t="s">
        <v>27</v>
      </c>
      <c r="D54" s="8" t="s">
        <v>70</v>
      </c>
      <c r="E54" s="18">
        <v>40004</v>
      </c>
      <c r="F54" s="10">
        <f t="shared" si="353"/>
        <v>1</v>
      </c>
      <c r="G54" s="19">
        <f t="shared" si="353"/>
        <v>1</v>
      </c>
      <c r="H54" s="19">
        <f t="shared" si="353"/>
        <v>1</v>
      </c>
      <c r="I54" s="8">
        <f t="shared" si="353"/>
        <v>1</v>
      </c>
      <c r="J54" s="8">
        <f t="shared" si="353"/>
        <v>1</v>
      </c>
      <c r="K54" s="8">
        <f t="shared" si="353"/>
        <v>1</v>
      </c>
      <c r="L54" s="8" t="str">
        <f t="shared" si="353"/>
        <v/>
      </c>
      <c r="M54" s="8">
        <v>1</v>
      </c>
      <c r="N54" s="8"/>
      <c r="O54" s="9"/>
      <c r="P54" s="8">
        <f t="shared" si="352"/>
        <v>8</v>
      </c>
      <c r="Q54" s="86">
        <f t="shared" si="350"/>
        <v>61.53846153846154</v>
      </c>
      <c r="R54" s="7"/>
      <c r="Y54" s="7"/>
      <c r="AF54" s="7"/>
      <c r="AH54">
        <v>1</v>
      </c>
      <c r="AM54" s="7"/>
      <c r="AO54">
        <v>1</v>
      </c>
      <c r="AQ54">
        <v>1</v>
      </c>
      <c r="AT54" s="7"/>
      <c r="AV54">
        <v>1</v>
      </c>
      <c r="AX54">
        <v>1</v>
      </c>
      <c r="BA54" s="7"/>
      <c r="BC54">
        <v>1</v>
      </c>
      <c r="BH54" s="7"/>
      <c r="BJ54">
        <v>1</v>
      </c>
      <c r="BL54">
        <v>1</v>
      </c>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53"/>
        <v/>
      </c>
      <c r="G55" s="19" t="str">
        <f t="shared" si="353"/>
        <v/>
      </c>
      <c r="H55" s="19" t="str">
        <f t="shared" si="353"/>
        <v/>
      </c>
      <c r="I55" s="8" t="str">
        <f t="shared" si="353"/>
        <v/>
      </c>
      <c r="J55" s="8" t="str">
        <f t="shared" si="353"/>
        <v/>
      </c>
      <c r="K55" s="8" t="str">
        <f t="shared" si="353"/>
        <v/>
      </c>
      <c r="L55" s="8" t="str">
        <f t="shared" si="353"/>
        <v/>
      </c>
      <c r="M55" s="8"/>
      <c r="N55" s="8"/>
      <c r="O55" s="9"/>
      <c r="P55" s="8" t="str">
        <f t="shared" si="352"/>
        <v/>
      </c>
      <c r="Q55" s="86" t="str">
        <f t="shared" si="350"/>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53"/>
        <v/>
      </c>
      <c r="G56" s="19" t="str">
        <f t="shared" si="353"/>
        <v/>
      </c>
      <c r="H56" s="19" t="str">
        <f t="shared" si="353"/>
        <v/>
      </c>
      <c r="I56" s="8" t="str">
        <f t="shared" si="353"/>
        <v/>
      </c>
      <c r="J56" s="8" t="str">
        <f t="shared" si="353"/>
        <v/>
      </c>
      <c r="K56" s="8" t="str">
        <f t="shared" si="353"/>
        <v/>
      </c>
      <c r="L56" s="8" t="str">
        <f t="shared" si="353"/>
        <v/>
      </c>
      <c r="M56" s="8"/>
      <c r="N56" s="8"/>
      <c r="O56" s="9"/>
      <c r="P56" s="8" t="str">
        <f t="shared" si="352"/>
        <v/>
      </c>
      <c r="Q56" s="86" t="str">
        <f t="shared" si="350"/>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53"/>
        <v/>
      </c>
      <c r="G57" s="19" t="str">
        <f t="shared" si="353"/>
        <v/>
      </c>
      <c r="H57" s="19" t="str">
        <f t="shared" si="353"/>
        <v/>
      </c>
      <c r="I57" s="8" t="str">
        <f t="shared" si="353"/>
        <v/>
      </c>
      <c r="J57" s="8" t="str">
        <f t="shared" si="353"/>
        <v/>
      </c>
      <c r="K57" s="8" t="str">
        <f t="shared" si="353"/>
        <v/>
      </c>
      <c r="L57" s="8" t="str">
        <f t="shared" si="353"/>
        <v/>
      </c>
      <c r="M57" s="8"/>
      <c r="N57" s="8"/>
      <c r="O57" s="9"/>
      <c r="P57" s="8" t="str">
        <f t="shared" si="352"/>
        <v/>
      </c>
      <c r="Q57" s="86" t="str">
        <f t="shared" si="350"/>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idden="1" x14ac:dyDescent="0.25">
      <c r="A58" s="8"/>
      <c r="B58" s="8"/>
      <c r="C58" s="8"/>
      <c r="D58" s="8"/>
      <c r="E58" s="18"/>
      <c r="F58" s="10" t="str">
        <f t="shared" si="353"/>
        <v/>
      </c>
      <c r="G58" s="19" t="str">
        <f t="shared" si="353"/>
        <v/>
      </c>
      <c r="H58" s="19" t="str">
        <f t="shared" si="353"/>
        <v/>
      </c>
      <c r="I58" s="8" t="str">
        <f t="shared" si="353"/>
        <v/>
      </c>
      <c r="J58" s="8" t="str">
        <f t="shared" si="353"/>
        <v/>
      </c>
      <c r="K58" s="8" t="str">
        <f t="shared" si="353"/>
        <v/>
      </c>
      <c r="L58" s="8" t="str">
        <f t="shared" si="353"/>
        <v/>
      </c>
      <c r="M58" s="8"/>
      <c r="N58" s="8"/>
      <c r="O58" s="9"/>
      <c r="P58" s="8" t="str">
        <f t="shared" si="352"/>
        <v/>
      </c>
      <c r="Q58" s="86" t="str">
        <f t="shared" si="350"/>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7.5" customHeight="1" x14ac:dyDescent="0.25">
      <c r="A59" s="8"/>
      <c r="B59" s="8"/>
      <c r="C59" s="8"/>
      <c r="D59" s="8"/>
      <c r="E59" s="18"/>
      <c r="F59" s="10" t="str">
        <f t="shared" si="353"/>
        <v/>
      </c>
      <c r="G59" s="19" t="str">
        <f t="shared" si="353"/>
        <v/>
      </c>
      <c r="H59" s="19" t="str">
        <f t="shared" si="353"/>
        <v/>
      </c>
      <c r="I59" s="19" t="str">
        <f t="shared" si="353"/>
        <v/>
      </c>
      <c r="J59" s="19" t="str">
        <f t="shared" si="353"/>
        <v/>
      </c>
      <c r="K59" s="19" t="str">
        <f t="shared" si="353"/>
        <v/>
      </c>
      <c r="L59" s="19" t="str">
        <f t="shared" si="353"/>
        <v/>
      </c>
      <c r="M59" s="8"/>
      <c r="N59" s="8"/>
      <c r="O59" s="9"/>
      <c r="P59" s="8" t="str">
        <f t="shared" si="352"/>
        <v/>
      </c>
      <c r="Q59" s="86" t="str">
        <f t="shared" si="350"/>
        <v/>
      </c>
      <c r="R59" s="7"/>
      <c r="Y59" s="7"/>
      <c r="AF59" s="7"/>
      <c r="AM59" s="7"/>
      <c r="AT59" s="7"/>
      <c r="BA59" s="7"/>
      <c r="BH59" s="7"/>
      <c r="BO59" s="7"/>
      <c r="BX59" s="7"/>
      <c r="CG59" s="7"/>
      <c r="CP59" s="7"/>
      <c r="CW59" s="7"/>
      <c r="DD59" s="7"/>
      <c r="DK59" s="7"/>
      <c r="DR59" s="7"/>
      <c r="DY59" s="7"/>
      <c r="EF59" s="7"/>
      <c r="EM59" s="7"/>
      <c r="ET59" s="7"/>
      <c r="FA59" s="7"/>
      <c r="FH59" s="7"/>
      <c r="FO59" s="7"/>
      <c r="FV59" s="7"/>
      <c r="GC59" s="7"/>
      <c r="GJ59" s="7"/>
      <c r="GQ59" s="7"/>
      <c r="GX59" s="7"/>
      <c r="HE59" s="7"/>
      <c r="HL59" s="7"/>
      <c r="HS59" s="7"/>
      <c r="HZ59" s="7"/>
      <c r="IG59" s="7"/>
      <c r="IN59" s="7"/>
      <c r="IU59" s="7"/>
      <c r="JB59" s="7"/>
      <c r="JI59" s="7"/>
      <c r="JP59" s="7"/>
      <c r="JW59" s="7"/>
      <c r="KD59" s="7"/>
      <c r="KK59" s="7"/>
      <c r="KR59" s="7"/>
      <c r="KY59" s="7"/>
      <c r="LF59" s="7"/>
      <c r="LM59" s="7"/>
      <c r="LT59" s="7"/>
      <c r="MA59" s="7"/>
    </row>
    <row r="60" spans="1:339" ht="15" customHeight="1" x14ac:dyDescent="0.25">
      <c r="A60" s="23" t="s">
        <v>18</v>
      </c>
      <c r="B60" s="20"/>
      <c r="C60" s="20"/>
      <c r="D60" s="20"/>
      <c r="E60" s="60"/>
      <c r="F60" s="20"/>
      <c r="G60" s="20"/>
      <c r="H60" s="20"/>
      <c r="I60" s="20"/>
      <c r="J60" s="20"/>
      <c r="K60" s="20"/>
      <c r="L60" s="20"/>
      <c r="M60" s="20"/>
      <c r="N60" s="20"/>
      <c r="O60" s="21"/>
      <c r="P60" s="3">
        <f>SUM(R60:MA60)</f>
        <v>13</v>
      </c>
      <c r="Q60" s="84"/>
      <c r="R60" s="21"/>
      <c r="S60" s="20"/>
      <c r="T60" s="20"/>
      <c r="U60" s="20"/>
      <c r="V60" s="20"/>
      <c r="W60" s="20"/>
      <c r="X60" s="20"/>
      <c r="Y60" s="21"/>
      <c r="Z60" s="20"/>
      <c r="AA60" s="20"/>
      <c r="AB60" s="20"/>
      <c r="AC60" s="20"/>
      <c r="AD60" s="20"/>
      <c r="AE60" s="20"/>
      <c r="AF60" s="21"/>
      <c r="AG60" s="20"/>
      <c r="AH60" s="20">
        <v>1</v>
      </c>
      <c r="AI60" s="20"/>
      <c r="AJ60" s="20">
        <v>1</v>
      </c>
      <c r="AK60" s="20"/>
      <c r="AL60" s="20"/>
      <c r="AM60" s="21"/>
      <c r="AN60" s="20"/>
      <c r="AO60" s="20">
        <v>1</v>
      </c>
      <c r="AP60" s="20"/>
      <c r="AQ60" s="20">
        <v>1</v>
      </c>
      <c r="AR60" s="20"/>
      <c r="AS60" s="20"/>
      <c r="AT60" s="21"/>
      <c r="AU60" s="20"/>
      <c r="AV60" s="20">
        <v>1</v>
      </c>
      <c r="AW60" s="20">
        <v>1</v>
      </c>
      <c r="AX60" s="20">
        <v>1</v>
      </c>
      <c r="AY60" s="20"/>
      <c r="AZ60" s="20"/>
      <c r="BA60" s="21"/>
      <c r="BB60" s="20"/>
      <c r="BC60" s="20">
        <v>1</v>
      </c>
      <c r="BD60" s="20"/>
      <c r="BE60" s="20">
        <v>1</v>
      </c>
      <c r="BF60" s="20"/>
      <c r="BG60" s="20"/>
      <c r="BH60" s="21"/>
      <c r="BI60" s="20"/>
      <c r="BJ60" s="20">
        <v>1</v>
      </c>
      <c r="BK60" s="20"/>
      <c r="BL60" s="20">
        <v>1</v>
      </c>
      <c r="BM60" s="20"/>
      <c r="BN60" s="20"/>
      <c r="BO60" s="21">
        <v>1</v>
      </c>
      <c r="BP60" s="20"/>
      <c r="BQ60" s="20"/>
      <c r="BR60" s="20"/>
      <c r="BS60" s="20"/>
      <c r="BT60" s="20"/>
      <c r="BU60" s="20"/>
      <c r="BV60" s="20">
        <v>1</v>
      </c>
      <c r="BW60" s="20"/>
      <c r="BX60" s="21"/>
      <c r="BY60" s="20"/>
      <c r="BZ60" s="20"/>
      <c r="CA60" s="20"/>
      <c r="CB60" s="20"/>
      <c r="CC60" s="20"/>
      <c r="CD60" s="20"/>
      <c r="CE60" s="20"/>
      <c r="CF60" s="20"/>
      <c r="CG60" s="21"/>
      <c r="CH60" s="20"/>
      <c r="CI60" s="20"/>
      <c r="CJ60" s="20"/>
      <c r="CK60" s="20"/>
      <c r="CL60" s="20"/>
      <c r="CM60" s="20"/>
      <c r="CN60" s="20"/>
      <c r="CO60" s="20"/>
      <c r="CP60" s="21"/>
      <c r="CQ60" s="20"/>
      <c r="CR60" s="20"/>
      <c r="CS60" s="20"/>
      <c r="CT60" s="20"/>
      <c r="CU60" s="20"/>
      <c r="CV60" s="20"/>
      <c r="CW60" s="21"/>
      <c r="CX60" s="20"/>
      <c r="CY60" s="20"/>
      <c r="CZ60" s="20"/>
      <c r="DA60" s="20"/>
      <c r="DB60" s="20"/>
      <c r="DC60" s="20"/>
      <c r="DD60" s="21"/>
      <c r="DE60" s="20"/>
      <c r="DF60" s="20"/>
      <c r="DG60" s="20"/>
      <c r="DH60" s="20"/>
      <c r="DI60" s="20"/>
      <c r="DJ60" s="20"/>
      <c r="DK60" s="21"/>
      <c r="DL60" s="20"/>
      <c r="DM60" s="20"/>
      <c r="DN60" s="20"/>
      <c r="DO60" s="20"/>
      <c r="DP60" s="20"/>
      <c r="DQ60" s="20"/>
      <c r="DR60" s="21"/>
      <c r="DS60" s="20"/>
      <c r="DT60" s="20"/>
      <c r="DU60" s="20"/>
      <c r="DV60" s="20"/>
      <c r="DW60" s="20"/>
      <c r="DX60" s="20"/>
      <c r="DY60" s="21"/>
      <c r="DZ60" s="20"/>
      <c r="EA60" s="20"/>
      <c r="EB60" s="20"/>
      <c r="EC60" s="20"/>
      <c r="ED60" s="20"/>
      <c r="EE60" s="20"/>
      <c r="EF60" s="21"/>
      <c r="EG60" s="20"/>
      <c r="EH60" s="20"/>
      <c r="EI60" s="20"/>
      <c r="EJ60" s="20"/>
      <c r="EK60" s="20"/>
      <c r="EL60" s="20"/>
      <c r="EM60" s="21"/>
      <c r="EN60" s="20"/>
      <c r="EO60" s="20"/>
      <c r="EP60" s="20"/>
      <c r="EQ60" s="20"/>
      <c r="ER60" s="20"/>
      <c r="ES60" s="20"/>
      <c r="ET60" s="21"/>
      <c r="EU60" s="20"/>
      <c r="EV60" s="20"/>
      <c r="EW60" s="20"/>
      <c r="EX60" s="20"/>
      <c r="EY60" s="20"/>
      <c r="EZ60" s="20"/>
      <c r="FA60" s="21"/>
      <c r="FB60" s="20"/>
      <c r="FC60" s="20"/>
      <c r="FD60" s="20"/>
      <c r="FE60" s="20"/>
      <c r="FF60" s="20"/>
      <c r="FG60" s="20"/>
      <c r="FH60" s="21"/>
      <c r="FI60" s="20"/>
      <c r="FJ60" s="20"/>
      <c r="FK60" s="20"/>
      <c r="FL60" s="20"/>
      <c r="FM60" s="20"/>
      <c r="FN60" s="20"/>
      <c r="FO60" s="21"/>
      <c r="FP60" s="20"/>
      <c r="FQ60" s="20"/>
      <c r="FR60" s="20"/>
      <c r="FS60" s="20"/>
      <c r="FT60" s="20"/>
      <c r="FU60" s="20"/>
      <c r="FV60" s="21"/>
      <c r="FW60" s="20"/>
      <c r="FX60" s="20"/>
      <c r="FY60" s="20"/>
      <c r="FZ60" s="20"/>
      <c r="GA60" s="20"/>
      <c r="GB60" s="20"/>
      <c r="GC60" s="21"/>
      <c r="GD60" s="20"/>
      <c r="GE60" s="20"/>
      <c r="GF60" s="20"/>
      <c r="GG60" s="20"/>
      <c r="GH60" s="20"/>
      <c r="GI60" s="20"/>
      <c r="GJ60" s="21"/>
      <c r="GK60" s="20"/>
      <c r="GL60" s="20"/>
      <c r="GM60" s="20"/>
      <c r="GN60" s="20"/>
      <c r="GO60" s="20"/>
      <c r="GP60" s="20"/>
      <c r="GQ60" s="21"/>
      <c r="GR60" s="20"/>
      <c r="GS60" s="20"/>
      <c r="GT60" s="20"/>
      <c r="GU60" s="20"/>
      <c r="GV60" s="20"/>
      <c r="GW60" s="20"/>
      <c r="GX60" s="21"/>
      <c r="GY60" s="20"/>
      <c r="GZ60" s="20"/>
      <c r="HA60" s="20"/>
      <c r="HB60" s="20"/>
      <c r="HC60" s="20"/>
      <c r="HD60" s="20"/>
      <c r="HE60" s="21"/>
      <c r="HF60" s="20"/>
      <c r="HG60" s="20"/>
      <c r="HH60" s="20"/>
      <c r="HI60" s="20"/>
      <c r="HJ60" s="20"/>
      <c r="HK60" s="20"/>
      <c r="HL60" s="21"/>
      <c r="HM60" s="20"/>
      <c r="HN60" s="20"/>
      <c r="HO60" s="20"/>
      <c r="HP60" s="20"/>
      <c r="HQ60" s="20"/>
      <c r="HR60" s="20"/>
      <c r="HS60" s="21"/>
      <c r="HT60" s="20"/>
      <c r="HU60" s="20"/>
      <c r="HV60" s="20"/>
      <c r="HW60" s="20"/>
      <c r="HX60" s="20"/>
      <c r="HY60" s="20"/>
      <c r="HZ60" s="21"/>
      <c r="IA60" s="20"/>
      <c r="IB60" s="20"/>
      <c r="IC60" s="20"/>
      <c r="ID60" s="20"/>
      <c r="IE60" s="20"/>
      <c r="IF60" s="20"/>
      <c r="IG60" s="21"/>
      <c r="IH60" s="20"/>
      <c r="II60" s="20"/>
      <c r="IJ60" s="20"/>
      <c r="IK60" s="20"/>
      <c r="IL60" s="20"/>
      <c r="IM60" s="20"/>
      <c r="IN60" s="21"/>
      <c r="IO60" s="20"/>
      <c r="IP60" s="20"/>
      <c r="IQ60" s="20"/>
      <c r="IR60" s="20"/>
      <c r="IS60" s="20"/>
      <c r="IT60" s="20"/>
      <c r="IU60" s="21"/>
      <c r="IV60" s="20"/>
      <c r="IW60" s="20"/>
      <c r="IX60" s="20"/>
      <c r="IY60" s="20"/>
      <c r="IZ60" s="20"/>
      <c r="JA60" s="20"/>
      <c r="JB60" s="21"/>
      <c r="JC60" s="20"/>
      <c r="JD60" s="20"/>
      <c r="JE60" s="20"/>
      <c r="JF60" s="20"/>
      <c r="JG60" s="20"/>
      <c r="JH60" s="20"/>
      <c r="JI60" s="21"/>
      <c r="JJ60" s="20"/>
      <c r="JK60" s="20"/>
      <c r="JL60" s="20"/>
      <c r="JM60" s="20"/>
      <c r="JN60" s="20"/>
      <c r="JO60" s="20"/>
      <c r="JP60" s="21"/>
      <c r="JQ60" s="20"/>
      <c r="JR60" s="20"/>
      <c r="JS60" s="20"/>
      <c r="JT60" s="20"/>
      <c r="JU60" s="20"/>
      <c r="JV60" s="20"/>
      <c r="JW60" s="21"/>
      <c r="JX60" s="20"/>
      <c r="JY60" s="20"/>
      <c r="JZ60" s="20"/>
      <c r="KA60" s="20"/>
      <c r="KB60" s="20"/>
      <c r="KC60" s="20"/>
      <c r="KD60" s="21"/>
      <c r="KE60" s="20"/>
      <c r="KF60" s="20"/>
      <c r="KG60" s="20"/>
      <c r="KH60" s="20"/>
      <c r="KI60" s="20"/>
      <c r="KJ60" s="20"/>
      <c r="KK60" s="21"/>
      <c r="KL60" s="20"/>
      <c r="KM60" s="20"/>
      <c r="KN60" s="20"/>
      <c r="KO60" s="20"/>
      <c r="KP60" s="20"/>
      <c r="KQ60" s="20"/>
      <c r="KR60" s="21"/>
      <c r="KS60" s="20"/>
      <c r="KT60" s="20"/>
      <c r="KU60" s="20"/>
      <c r="KV60" s="20"/>
      <c r="KW60" s="20"/>
      <c r="KX60" s="20"/>
      <c r="KY60" s="21"/>
      <c r="KZ60" s="20"/>
      <c r="LA60" s="20"/>
      <c r="LB60" s="20"/>
      <c r="LC60" s="20"/>
      <c r="LD60" s="20"/>
      <c r="LE60" s="20"/>
      <c r="LF60" s="21"/>
      <c r="LG60" s="20"/>
      <c r="LH60" s="20"/>
      <c r="LI60" s="20"/>
      <c r="LJ60" s="20"/>
      <c r="LK60" s="20"/>
      <c r="LL60" s="20"/>
      <c r="LM60" s="21"/>
      <c r="LN60" s="20"/>
      <c r="LO60" s="20"/>
      <c r="LP60" s="20"/>
      <c r="LQ60" s="20"/>
      <c r="LR60" s="20"/>
      <c r="LS60" s="20"/>
      <c r="LT60" s="21"/>
      <c r="LU60" s="20"/>
      <c r="LV60" s="20"/>
      <c r="LW60" s="20"/>
      <c r="LX60" s="20"/>
      <c r="LY60" s="20"/>
      <c r="LZ60" s="20"/>
      <c r="MA60" s="21"/>
    </row>
    <row r="61" spans="1:339" ht="15" customHeight="1" x14ac:dyDescent="0.25">
      <c r="A61" s="23" t="s">
        <v>241</v>
      </c>
      <c r="B61" s="20"/>
      <c r="C61" s="20"/>
      <c r="D61" s="20"/>
      <c r="E61" s="61"/>
      <c r="F61" s="20"/>
      <c r="G61" s="20"/>
      <c r="H61" s="20"/>
      <c r="I61" s="20"/>
      <c r="J61" s="20"/>
      <c r="K61" s="20"/>
      <c r="L61" s="20"/>
      <c r="M61" s="20"/>
      <c r="N61" s="20"/>
      <c r="O61" s="21"/>
      <c r="P61" s="83">
        <f>VisibleSum(P40:P59)</f>
        <v>7.5</v>
      </c>
      <c r="Q61" s="85">
        <f>P61 / P60 * 100</f>
        <v>57.692307692307686</v>
      </c>
      <c r="R61" s="63" t="str">
        <f t="shared" ref="R61:CG61" si="354">IF(SUM(R39:R59) &gt; 0, SUM(R39:R59), "")</f>
        <v/>
      </c>
      <c r="S61" s="20" t="str">
        <f t="shared" si="354"/>
        <v/>
      </c>
      <c r="T61" s="20" t="str">
        <f t="shared" si="354"/>
        <v/>
      </c>
      <c r="U61" s="20" t="str">
        <f t="shared" si="354"/>
        <v/>
      </c>
      <c r="V61" s="20" t="str">
        <f t="shared" si="354"/>
        <v/>
      </c>
      <c r="W61" s="20" t="str">
        <f t="shared" si="354"/>
        <v/>
      </c>
      <c r="X61" s="20" t="str">
        <f t="shared" si="354"/>
        <v/>
      </c>
      <c r="Y61" s="63" t="str">
        <f t="shared" si="354"/>
        <v/>
      </c>
      <c r="Z61" s="20" t="str">
        <f t="shared" si="354"/>
        <v/>
      </c>
      <c r="AA61" s="20" t="str">
        <f t="shared" si="354"/>
        <v/>
      </c>
      <c r="AB61" s="20" t="str">
        <f t="shared" si="354"/>
        <v/>
      </c>
      <c r="AC61" s="20" t="str">
        <f t="shared" si="354"/>
        <v/>
      </c>
      <c r="AD61" s="20" t="str">
        <f t="shared" si="354"/>
        <v/>
      </c>
      <c r="AE61" s="20" t="str">
        <f t="shared" si="354"/>
        <v/>
      </c>
      <c r="AF61" s="63" t="str">
        <f t="shared" si="354"/>
        <v/>
      </c>
      <c r="AG61" s="20" t="str">
        <f t="shared" si="354"/>
        <v/>
      </c>
      <c r="AH61" s="20">
        <f t="shared" si="354"/>
        <v>11</v>
      </c>
      <c r="AI61" s="20" t="str">
        <f t="shared" si="354"/>
        <v/>
      </c>
      <c r="AJ61" s="20">
        <f t="shared" si="354"/>
        <v>7</v>
      </c>
      <c r="AK61" s="20" t="str">
        <f t="shared" si="354"/>
        <v/>
      </c>
      <c r="AL61" s="20" t="str">
        <f t="shared" si="354"/>
        <v/>
      </c>
      <c r="AM61" s="63" t="str">
        <f t="shared" si="354"/>
        <v/>
      </c>
      <c r="AN61" s="20" t="str">
        <f t="shared" si="354"/>
        <v/>
      </c>
      <c r="AO61" s="20">
        <f t="shared" si="354"/>
        <v>9</v>
      </c>
      <c r="AP61" s="20" t="str">
        <f t="shared" si="354"/>
        <v/>
      </c>
      <c r="AQ61" s="20">
        <f t="shared" si="354"/>
        <v>9</v>
      </c>
      <c r="AR61" s="20" t="str">
        <f t="shared" si="354"/>
        <v/>
      </c>
      <c r="AS61" s="20" t="str">
        <f t="shared" si="354"/>
        <v/>
      </c>
      <c r="AT61" s="63" t="str">
        <f t="shared" si="354"/>
        <v/>
      </c>
      <c r="AU61" s="20" t="str">
        <f t="shared" si="354"/>
        <v/>
      </c>
      <c r="AV61" s="20">
        <f t="shared" si="354"/>
        <v>9</v>
      </c>
      <c r="AW61" s="20">
        <f t="shared" si="354"/>
        <v>6</v>
      </c>
      <c r="AX61" s="20">
        <f t="shared" si="354"/>
        <v>7</v>
      </c>
      <c r="AY61" s="20" t="str">
        <f t="shared" si="354"/>
        <v/>
      </c>
      <c r="AZ61" s="20" t="str">
        <f t="shared" si="354"/>
        <v/>
      </c>
      <c r="BA61" s="63" t="str">
        <f t="shared" si="354"/>
        <v/>
      </c>
      <c r="BB61" s="20" t="str">
        <f t="shared" si="354"/>
        <v/>
      </c>
      <c r="BC61" s="20">
        <f t="shared" si="354"/>
        <v>8</v>
      </c>
      <c r="BD61" s="20" t="str">
        <f t="shared" si="354"/>
        <v/>
      </c>
      <c r="BE61" s="20">
        <f t="shared" si="354"/>
        <v>6</v>
      </c>
      <c r="BF61" s="20" t="str">
        <f t="shared" si="354"/>
        <v/>
      </c>
      <c r="BG61" s="20" t="str">
        <f t="shared" si="354"/>
        <v/>
      </c>
      <c r="BH61" s="63" t="str">
        <f t="shared" si="354"/>
        <v/>
      </c>
      <c r="BI61" s="20" t="str">
        <f t="shared" si="354"/>
        <v/>
      </c>
      <c r="BJ61" s="20">
        <f t="shared" si="354"/>
        <v>7</v>
      </c>
      <c r="BK61" s="20" t="str">
        <f t="shared" si="354"/>
        <v/>
      </c>
      <c r="BL61" s="20">
        <f t="shared" si="354"/>
        <v>10</v>
      </c>
      <c r="BM61" s="20">
        <f t="shared" si="354"/>
        <v>10</v>
      </c>
      <c r="BN61" s="20" t="str">
        <f t="shared" si="354"/>
        <v/>
      </c>
      <c r="BO61" s="21">
        <f t="shared" si="354"/>
        <v>4</v>
      </c>
      <c r="BP61" s="20" t="str">
        <f t="shared" si="354"/>
        <v/>
      </c>
      <c r="BQ61" s="20" t="str">
        <f t="shared" si="354"/>
        <v/>
      </c>
      <c r="BR61" s="20" t="str">
        <f t="shared" si="354"/>
        <v/>
      </c>
      <c r="BS61" s="20" t="str">
        <f t="shared" si="354"/>
        <v/>
      </c>
      <c r="BT61" s="20" t="str">
        <f t="shared" si="354"/>
        <v/>
      </c>
      <c r="BU61" s="20" t="str">
        <f t="shared" si="354"/>
        <v/>
      </c>
      <c r="BV61" s="20"/>
      <c r="BW61" s="20"/>
      <c r="BX61" s="63" t="str">
        <f t="shared" si="354"/>
        <v/>
      </c>
      <c r="BY61" s="20" t="str">
        <f t="shared" si="354"/>
        <v/>
      </c>
      <c r="BZ61" s="20" t="str">
        <f t="shared" si="354"/>
        <v/>
      </c>
      <c r="CA61" s="20" t="str">
        <f t="shared" si="354"/>
        <v/>
      </c>
      <c r="CB61" s="20" t="str">
        <f t="shared" si="354"/>
        <v/>
      </c>
      <c r="CC61" s="20" t="str">
        <f t="shared" si="354"/>
        <v/>
      </c>
      <c r="CD61" s="20" t="str">
        <f t="shared" si="354"/>
        <v/>
      </c>
      <c r="CE61" s="20"/>
      <c r="CF61" s="20"/>
      <c r="CG61" s="63" t="str">
        <f t="shared" si="354"/>
        <v/>
      </c>
      <c r="CH61" s="20" t="str">
        <f t="shared" ref="CH61:EU61" si="355">IF(SUM(CH39:CH59) &gt; 0, SUM(CH39:CH59), "")</f>
        <v/>
      </c>
      <c r="CI61" s="20" t="str">
        <f t="shared" si="355"/>
        <v/>
      </c>
      <c r="CJ61" s="20" t="str">
        <f t="shared" si="355"/>
        <v/>
      </c>
      <c r="CK61" s="20" t="str">
        <f t="shared" si="355"/>
        <v/>
      </c>
      <c r="CL61" s="20" t="str">
        <f t="shared" si="355"/>
        <v/>
      </c>
      <c r="CM61" s="20" t="str">
        <f t="shared" si="355"/>
        <v/>
      </c>
      <c r="CN61" s="20" t="str">
        <f t="shared" ref="CN61" si="356">IF(SUM(CN39:CN59) &gt; 0, SUM(CN39:CN59), "")</f>
        <v/>
      </c>
      <c r="CO61" s="20"/>
      <c r="CP61" s="63" t="str">
        <f t="shared" si="355"/>
        <v/>
      </c>
      <c r="CQ61" s="20" t="str">
        <f t="shared" si="355"/>
        <v/>
      </c>
      <c r="CR61" s="20" t="str">
        <f t="shared" si="355"/>
        <v/>
      </c>
      <c r="CS61" s="20" t="str">
        <f t="shared" si="355"/>
        <v/>
      </c>
      <c r="CT61" s="20" t="str">
        <f t="shared" si="355"/>
        <v/>
      </c>
      <c r="CU61" s="20" t="str">
        <f t="shared" si="355"/>
        <v/>
      </c>
      <c r="CV61" s="20" t="str">
        <f t="shared" si="355"/>
        <v/>
      </c>
      <c r="CW61" s="63" t="str">
        <f t="shared" si="355"/>
        <v/>
      </c>
      <c r="CX61" s="20" t="str">
        <f t="shared" si="355"/>
        <v/>
      </c>
      <c r="CY61" s="20" t="str">
        <f t="shared" si="355"/>
        <v/>
      </c>
      <c r="CZ61" s="20" t="str">
        <f t="shared" si="355"/>
        <v/>
      </c>
      <c r="DA61" s="20" t="str">
        <f t="shared" si="355"/>
        <v/>
      </c>
      <c r="DB61" s="20" t="str">
        <f t="shared" si="355"/>
        <v/>
      </c>
      <c r="DC61" s="20" t="str">
        <f t="shared" si="355"/>
        <v/>
      </c>
      <c r="DD61" s="63" t="str">
        <f t="shared" si="355"/>
        <v/>
      </c>
      <c r="DE61" s="20" t="str">
        <f t="shared" si="355"/>
        <v/>
      </c>
      <c r="DF61" s="20" t="str">
        <f t="shared" si="355"/>
        <v/>
      </c>
      <c r="DG61" s="20" t="str">
        <f t="shared" si="355"/>
        <v/>
      </c>
      <c r="DH61" s="20" t="str">
        <f t="shared" si="355"/>
        <v/>
      </c>
      <c r="DI61" s="20" t="str">
        <f t="shared" si="355"/>
        <v/>
      </c>
      <c r="DJ61" s="20" t="str">
        <f t="shared" si="355"/>
        <v/>
      </c>
      <c r="DK61" s="63" t="str">
        <f t="shared" si="355"/>
        <v/>
      </c>
      <c r="DL61" s="20" t="str">
        <f t="shared" si="355"/>
        <v/>
      </c>
      <c r="DM61" s="20" t="str">
        <f t="shared" si="355"/>
        <v/>
      </c>
      <c r="DN61" s="20" t="str">
        <f t="shared" si="355"/>
        <v/>
      </c>
      <c r="DO61" s="20" t="str">
        <f t="shared" si="355"/>
        <v/>
      </c>
      <c r="DP61" s="20" t="str">
        <f t="shared" si="355"/>
        <v/>
      </c>
      <c r="DQ61" s="20" t="str">
        <f t="shared" si="355"/>
        <v/>
      </c>
      <c r="DR61" s="63" t="str">
        <f t="shared" si="355"/>
        <v/>
      </c>
      <c r="DS61" s="20" t="str">
        <f t="shared" si="355"/>
        <v/>
      </c>
      <c r="DT61" s="20" t="str">
        <f t="shared" si="355"/>
        <v/>
      </c>
      <c r="DU61" s="20" t="str">
        <f t="shared" si="355"/>
        <v/>
      </c>
      <c r="DV61" s="20" t="str">
        <f t="shared" si="355"/>
        <v/>
      </c>
      <c r="DW61" s="20" t="str">
        <f t="shared" si="355"/>
        <v/>
      </c>
      <c r="DX61" s="20" t="str">
        <f t="shared" si="355"/>
        <v/>
      </c>
      <c r="DY61" s="63" t="str">
        <f t="shared" si="355"/>
        <v/>
      </c>
      <c r="DZ61" s="20" t="str">
        <f t="shared" si="355"/>
        <v/>
      </c>
      <c r="EA61" s="20" t="str">
        <f t="shared" si="355"/>
        <v/>
      </c>
      <c r="EB61" s="20" t="str">
        <f t="shared" si="355"/>
        <v/>
      </c>
      <c r="EC61" s="20" t="str">
        <f t="shared" si="355"/>
        <v/>
      </c>
      <c r="ED61" s="20" t="str">
        <f t="shared" si="355"/>
        <v/>
      </c>
      <c r="EE61" s="20" t="str">
        <f t="shared" si="355"/>
        <v/>
      </c>
      <c r="EF61" s="63" t="str">
        <f t="shared" si="355"/>
        <v/>
      </c>
      <c r="EG61" s="20" t="str">
        <f t="shared" si="355"/>
        <v/>
      </c>
      <c r="EH61" s="20" t="str">
        <f t="shared" si="355"/>
        <v/>
      </c>
      <c r="EI61" s="20" t="str">
        <f t="shared" si="355"/>
        <v/>
      </c>
      <c r="EJ61" s="20" t="str">
        <f t="shared" si="355"/>
        <v/>
      </c>
      <c r="EK61" s="20" t="str">
        <f t="shared" si="355"/>
        <v/>
      </c>
      <c r="EL61" s="20" t="str">
        <f t="shared" si="355"/>
        <v/>
      </c>
      <c r="EM61" s="63" t="str">
        <f t="shared" si="355"/>
        <v/>
      </c>
      <c r="EN61" s="20" t="str">
        <f t="shared" si="355"/>
        <v/>
      </c>
      <c r="EO61" s="20" t="str">
        <f t="shared" si="355"/>
        <v/>
      </c>
      <c r="EP61" s="20" t="str">
        <f t="shared" si="355"/>
        <v/>
      </c>
      <c r="EQ61" s="20" t="str">
        <f t="shared" si="355"/>
        <v/>
      </c>
      <c r="ER61" s="20" t="str">
        <f t="shared" si="355"/>
        <v/>
      </c>
      <c r="ES61" s="20" t="str">
        <f t="shared" si="355"/>
        <v/>
      </c>
      <c r="ET61" s="63" t="str">
        <f t="shared" si="355"/>
        <v/>
      </c>
      <c r="EU61" s="20" t="str">
        <f t="shared" si="355"/>
        <v/>
      </c>
      <c r="EV61" s="20" t="str">
        <f t="shared" ref="EV61:HG61" si="357">IF(SUM(EV39:EV59) &gt; 0, SUM(EV39:EV59), "")</f>
        <v/>
      </c>
      <c r="EW61" s="20" t="str">
        <f t="shared" si="357"/>
        <v/>
      </c>
      <c r="EX61" s="20" t="str">
        <f t="shared" si="357"/>
        <v/>
      </c>
      <c r="EY61" s="20" t="str">
        <f t="shared" si="357"/>
        <v/>
      </c>
      <c r="EZ61" s="20" t="str">
        <f t="shared" si="357"/>
        <v/>
      </c>
      <c r="FA61" s="63" t="str">
        <f t="shared" si="357"/>
        <v/>
      </c>
      <c r="FB61" s="20" t="str">
        <f t="shared" si="357"/>
        <v/>
      </c>
      <c r="FC61" s="20" t="str">
        <f t="shared" si="357"/>
        <v/>
      </c>
      <c r="FD61" s="20" t="str">
        <f t="shared" si="357"/>
        <v/>
      </c>
      <c r="FE61" s="20" t="str">
        <f t="shared" si="357"/>
        <v/>
      </c>
      <c r="FF61" s="20" t="str">
        <f t="shared" si="357"/>
        <v/>
      </c>
      <c r="FG61" s="20" t="str">
        <f t="shared" si="357"/>
        <v/>
      </c>
      <c r="FH61" s="63" t="str">
        <f t="shared" si="357"/>
        <v/>
      </c>
      <c r="FI61" s="20" t="str">
        <f t="shared" si="357"/>
        <v/>
      </c>
      <c r="FJ61" s="20" t="str">
        <f t="shared" si="357"/>
        <v/>
      </c>
      <c r="FK61" s="20" t="str">
        <f t="shared" si="357"/>
        <v/>
      </c>
      <c r="FL61" s="20" t="str">
        <f t="shared" si="357"/>
        <v/>
      </c>
      <c r="FM61" s="20" t="str">
        <f t="shared" si="357"/>
        <v/>
      </c>
      <c r="FN61" s="20" t="str">
        <f t="shared" si="357"/>
        <v/>
      </c>
      <c r="FO61" s="63" t="str">
        <f t="shared" si="357"/>
        <v/>
      </c>
      <c r="FP61" s="20" t="str">
        <f t="shared" si="357"/>
        <v/>
      </c>
      <c r="FQ61" s="20" t="str">
        <f t="shared" si="357"/>
        <v/>
      </c>
      <c r="FR61" s="20" t="str">
        <f t="shared" si="357"/>
        <v/>
      </c>
      <c r="FS61" s="20" t="str">
        <f t="shared" si="357"/>
        <v/>
      </c>
      <c r="FT61" s="20" t="str">
        <f t="shared" si="357"/>
        <v/>
      </c>
      <c r="FU61" s="20" t="str">
        <f t="shared" si="357"/>
        <v/>
      </c>
      <c r="FV61" s="63" t="str">
        <f t="shared" si="357"/>
        <v/>
      </c>
      <c r="FW61" s="20" t="str">
        <f t="shared" si="357"/>
        <v/>
      </c>
      <c r="FX61" s="20" t="str">
        <f t="shared" si="357"/>
        <v/>
      </c>
      <c r="FY61" s="20" t="str">
        <f t="shared" si="357"/>
        <v/>
      </c>
      <c r="FZ61" s="20" t="str">
        <f t="shared" si="357"/>
        <v/>
      </c>
      <c r="GA61" s="20" t="str">
        <f t="shared" si="357"/>
        <v/>
      </c>
      <c r="GB61" s="20" t="str">
        <f t="shared" si="357"/>
        <v/>
      </c>
      <c r="GC61" s="63" t="str">
        <f t="shared" si="357"/>
        <v/>
      </c>
      <c r="GD61" s="20" t="str">
        <f t="shared" si="357"/>
        <v/>
      </c>
      <c r="GE61" s="20" t="str">
        <f t="shared" si="357"/>
        <v/>
      </c>
      <c r="GF61" s="20" t="str">
        <f t="shared" si="357"/>
        <v/>
      </c>
      <c r="GG61" s="20" t="str">
        <f t="shared" si="357"/>
        <v/>
      </c>
      <c r="GH61" s="20" t="str">
        <f t="shared" si="357"/>
        <v/>
      </c>
      <c r="GI61" s="20" t="str">
        <f t="shared" si="357"/>
        <v/>
      </c>
      <c r="GJ61" s="63" t="str">
        <f t="shared" si="357"/>
        <v/>
      </c>
      <c r="GK61" s="20" t="str">
        <f t="shared" si="357"/>
        <v/>
      </c>
      <c r="GL61" s="20" t="str">
        <f t="shared" si="357"/>
        <v/>
      </c>
      <c r="GM61" s="20" t="str">
        <f t="shared" si="357"/>
        <v/>
      </c>
      <c r="GN61" s="20" t="str">
        <f t="shared" si="357"/>
        <v/>
      </c>
      <c r="GO61" s="20" t="str">
        <f t="shared" si="357"/>
        <v/>
      </c>
      <c r="GP61" s="20" t="str">
        <f t="shared" si="357"/>
        <v/>
      </c>
      <c r="GQ61" s="63" t="str">
        <f t="shared" si="357"/>
        <v/>
      </c>
      <c r="GR61" s="20" t="str">
        <f t="shared" si="357"/>
        <v/>
      </c>
      <c r="GS61" s="20" t="str">
        <f t="shared" si="357"/>
        <v/>
      </c>
      <c r="GT61" s="20" t="str">
        <f t="shared" si="357"/>
        <v/>
      </c>
      <c r="GU61" s="20" t="str">
        <f t="shared" si="357"/>
        <v/>
      </c>
      <c r="GV61" s="20" t="str">
        <f t="shared" si="357"/>
        <v/>
      </c>
      <c r="GW61" s="20" t="str">
        <f t="shared" si="357"/>
        <v/>
      </c>
      <c r="GX61" s="63" t="str">
        <f t="shared" si="357"/>
        <v/>
      </c>
      <c r="GY61" s="20" t="str">
        <f t="shared" si="357"/>
        <v/>
      </c>
      <c r="GZ61" s="20" t="str">
        <f t="shared" si="357"/>
        <v/>
      </c>
      <c r="HA61" s="20" t="str">
        <f t="shared" si="357"/>
        <v/>
      </c>
      <c r="HB61" s="20" t="str">
        <f t="shared" si="357"/>
        <v/>
      </c>
      <c r="HC61" s="20" t="str">
        <f t="shared" si="357"/>
        <v/>
      </c>
      <c r="HD61" s="20" t="str">
        <f t="shared" si="357"/>
        <v/>
      </c>
      <c r="HE61" s="63" t="str">
        <f t="shared" si="357"/>
        <v/>
      </c>
      <c r="HF61" s="20" t="str">
        <f t="shared" si="357"/>
        <v/>
      </c>
      <c r="HG61" s="20" t="str">
        <f t="shared" si="357"/>
        <v/>
      </c>
      <c r="HH61" s="20" t="str">
        <f t="shared" ref="HH61:JS61" si="358">IF(SUM(HH39:HH59) &gt; 0, SUM(HH39:HH59), "")</f>
        <v/>
      </c>
      <c r="HI61" s="20" t="str">
        <f t="shared" si="358"/>
        <v/>
      </c>
      <c r="HJ61" s="20" t="str">
        <f t="shared" si="358"/>
        <v/>
      </c>
      <c r="HK61" s="20" t="str">
        <f t="shared" si="358"/>
        <v/>
      </c>
      <c r="HL61" s="63" t="str">
        <f t="shared" si="358"/>
        <v/>
      </c>
      <c r="HM61" s="20" t="str">
        <f t="shared" si="358"/>
        <v/>
      </c>
      <c r="HN61" s="20" t="str">
        <f t="shared" si="358"/>
        <v/>
      </c>
      <c r="HO61" s="20" t="str">
        <f t="shared" si="358"/>
        <v/>
      </c>
      <c r="HP61" s="20" t="str">
        <f t="shared" si="358"/>
        <v/>
      </c>
      <c r="HQ61" s="20" t="str">
        <f t="shared" si="358"/>
        <v/>
      </c>
      <c r="HR61" s="20" t="str">
        <f t="shared" si="358"/>
        <v/>
      </c>
      <c r="HS61" s="63" t="str">
        <f t="shared" si="358"/>
        <v/>
      </c>
      <c r="HT61" s="20" t="str">
        <f t="shared" si="358"/>
        <v/>
      </c>
      <c r="HU61" s="20" t="str">
        <f t="shared" si="358"/>
        <v/>
      </c>
      <c r="HV61" s="20" t="str">
        <f t="shared" si="358"/>
        <v/>
      </c>
      <c r="HW61" s="20" t="str">
        <f t="shared" si="358"/>
        <v/>
      </c>
      <c r="HX61" s="20" t="str">
        <f t="shared" si="358"/>
        <v/>
      </c>
      <c r="HY61" s="20" t="str">
        <f t="shared" si="358"/>
        <v/>
      </c>
      <c r="HZ61" s="63" t="str">
        <f t="shared" si="358"/>
        <v/>
      </c>
      <c r="IA61" s="20" t="str">
        <f t="shared" si="358"/>
        <v/>
      </c>
      <c r="IB61" s="20" t="str">
        <f t="shared" si="358"/>
        <v/>
      </c>
      <c r="IC61" s="20" t="str">
        <f t="shared" si="358"/>
        <v/>
      </c>
      <c r="ID61" s="20" t="str">
        <f t="shared" si="358"/>
        <v/>
      </c>
      <c r="IE61" s="20" t="str">
        <f t="shared" si="358"/>
        <v/>
      </c>
      <c r="IF61" s="20" t="str">
        <f t="shared" si="358"/>
        <v/>
      </c>
      <c r="IG61" s="63" t="str">
        <f t="shared" si="358"/>
        <v/>
      </c>
      <c r="IH61" s="20" t="str">
        <f t="shared" si="358"/>
        <v/>
      </c>
      <c r="II61" s="20" t="str">
        <f t="shared" si="358"/>
        <v/>
      </c>
      <c r="IJ61" s="20" t="str">
        <f t="shared" si="358"/>
        <v/>
      </c>
      <c r="IK61" s="20" t="str">
        <f t="shared" si="358"/>
        <v/>
      </c>
      <c r="IL61" s="20" t="str">
        <f t="shared" si="358"/>
        <v/>
      </c>
      <c r="IM61" s="20" t="str">
        <f t="shared" si="358"/>
        <v/>
      </c>
      <c r="IN61" s="63" t="str">
        <f t="shared" si="358"/>
        <v/>
      </c>
      <c r="IO61" s="20" t="str">
        <f t="shared" si="358"/>
        <v/>
      </c>
      <c r="IP61" s="20" t="str">
        <f t="shared" si="358"/>
        <v/>
      </c>
      <c r="IQ61" s="20" t="str">
        <f t="shared" si="358"/>
        <v/>
      </c>
      <c r="IR61" s="20" t="str">
        <f t="shared" si="358"/>
        <v/>
      </c>
      <c r="IS61" s="20" t="str">
        <f t="shared" si="358"/>
        <v/>
      </c>
      <c r="IT61" s="20" t="str">
        <f t="shared" si="358"/>
        <v/>
      </c>
      <c r="IU61" s="63" t="str">
        <f t="shared" si="358"/>
        <v/>
      </c>
      <c r="IV61" s="20" t="str">
        <f t="shared" si="358"/>
        <v/>
      </c>
      <c r="IW61" s="20" t="str">
        <f t="shared" si="358"/>
        <v/>
      </c>
      <c r="IX61" s="20" t="str">
        <f t="shared" si="358"/>
        <v/>
      </c>
      <c r="IY61" s="20" t="str">
        <f t="shared" si="358"/>
        <v/>
      </c>
      <c r="IZ61" s="20" t="str">
        <f t="shared" si="358"/>
        <v/>
      </c>
      <c r="JA61" s="20" t="str">
        <f t="shared" si="358"/>
        <v/>
      </c>
      <c r="JB61" s="63" t="str">
        <f t="shared" si="358"/>
        <v/>
      </c>
      <c r="JC61" s="20" t="str">
        <f t="shared" si="358"/>
        <v/>
      </c>
      <c r="JD61" s="20" t="str">
        <f t="shared" si="358"/>
        <v/>
      </c>
      <c r="JE61" s="20" t="str">
        <f t="shared" si="358"/>
        <v/>
      </c>
      <c r="JF61" s="20" t="str">
        <f t="shared" si="358"/>
        <v/>
      </c>
      <c r="JG61" s="20" t="str">
        <f t="shared" si="358"/>
        <v/>
      </c>
      <c r="JH61" s="20" t="str">
        <f t="shared" si="358"/>
        <v/>
      </c>
      <c r="JI61" s="63" t="str">
        <f t="shared" si="358"/>
        <v/>
      </c>
      <c r="JJ61" s="20" t="str">
        <f t="shared" si="358"/>
        <v/>
      </c>
      <c r="JK61" s="20" t="str">
        <f t="shared" si="358"/>
        <v/>
      </c>
      <c r="JL61" s="20" t="str">
        <f t="shared" si="358"/>
        <v/>
      </c>
      <c r="JM61" s="20" t="str">
        <f t="shared" si="358"/>
        <v/>
      </c>
      <c r="JN61" s="20" t="str">
        <f t="shared" si="358"/>
        <v/>
      </c>
      <c r="JO61" s="20" t="str">
        <f t="shared" si="358"/>
        <v/>
      </c>
      <c r="JP61" s="63" t="str">
        <f t="shared" si="358"/>
        <v/>
      </c>
      <c r="JQ61" s="20" t="str">
        <f t="shared" si="358"/>
        <v/>
      </c>
      <c r="JR61" s="20" t="str">
        <f t="shared" si="358"/>
        <v/>
      </c>
      <c r="JS61" s="20" t="str">
        <f t="shared" si="358"/>
        <v/>
      </c>
      <c r="JT61" s="20" t="str">
        <f t="shared" ref="JT61:MA61" si="359">IF(SUM(JT39:JT59) &gt; 0, SUM(JT39:JT59), "")</f>
        <v/>
      </c>
      <c r="JU61" s="20" t="str">
        <f t="shared" si="359"/>
        <v/>
      </c>
      <c r="JV61" s="20" t="str">
        <f t="shared" si="359"/>
        <v/>
      </c>
      <c r="JW61" s="63" t="str">
        <f t="shared" si="359"/>
        <v/>
      </c>
      <c r="JX61" s="20" t="str">
        <f t="shared" si="359"/>
        <v/>
      </c>
      <c r="JY61" s="20" t="str">
        <f t="shared" si="359"/>
        <v/>
      </c>
      <c r="JZ61" s="20" t="str">
        <f t="shared" si="359"/>
        <v/>
      </c>
      <c r="KA61" s="20" t="str">
        <f t="shared" si="359"/>
        <v/>
      </c>
      <c r="KB61" s="20" t="str">
        <f t="shared" si="359"/>
        <v/>
      </c>
      <c r="KC61" s="20" t="str">
        <f t="shared" si="359"/>
        <v/>
      </c>
      <c r="KD61" s="63" t="str">
        <f t="shared" si="359"/>
        <v/>
      </c>
      <c r="KE61" s="20" t="str">
        <f t="shared" si="359"/>
        <v/>
      </c>
      <c r="KF61" s="20" t="str">
        <f t="shared" si="359"/>
        <v/>
      </c>
      <c r="KG61" s="20" t="str">
        <f t="shared" si="359"/>
        <v/>
      </c>
      <c r="KH61" s="20" t="str">
        <f t="shared" si="359"/>
        <v/>
      </c>
      <c r="KI61" s="20" t="str">
        <f t="shared" si="359"/>
        <v/>
      </c>
      <c r="KJ61" s="20" t="str">
        <f t="shared" si="359"/>
        <v/>
      </c>
      <c r="KK61" s="63" t="str">
        <f t="shared" si="359"/>
        <v/>
      </c>
      <c r="KL61" s="20" t="str">
        <f t="shared" si="359"/>
        <v/>
      </c>
      <c r="KM61" s="20" t="str">
        <f t="shared" si="359"/>
        <v/>
      </c>
      <c r="KN61" s="20" t="str">
        <f t="shared" si="359"/>
        <v/>
      </c>
      <c r="KO61" s="20" t="str">
        <f t="shared" si="359"/>
        <v/>
      </c>
      <c r="KP61" s="20" t="str">
        <f t="shared" si="359"/>
        <v/>
      </c>
      <c r="KQ61" s="20" t="str">
        <f t="shared" si="359"/>
        <v/>
      </c>
      <c r="KR61" s="63" t="str">
        <f t="shared" si="359"/>
        <v/>
      </c>
      <c r="KS61" s="20" t="str">
        <f t="shared" si="359"/>
        <v/>
      </c>
      <c r="KT61" s="20" t="str">
        <f t="shared" si="359"/>
        <v/>
      </c>
      <c r="KU61" s="20" t="str">
        <f t="shared" si="359"/>
        <v/>
      </c>
      <c r="KV61" s="20" t="str">
        <f t="shared" si="359"/>
        <v/>
      </c>
      <c r="KW61" s="20" t="str">
        <f t="shared" si="359"/>
        <v/>
      </c>
      <c r="KX61" s="20" t="str">
        <f t="shared" si="359"/>
        <v/>
      </c>
      <c r="KY61" s="63" t="str">
        <f t="shared" si="359"/>
        <v/>
      </c>
      <c r="KZ61" s="20" t="str">
        <f t="shared" si="359"/>
        <v/>
      </c>
      <c r="LA61" s="20" t="str">
        <f t="shared" si="359"/>
        <v/>
      </c>
      <c r="LB61" s="20" t="str">
        <f t="shared" si="359"/>
        <v/>
      </c>
      <c r="LC61" s="20" t="str">
        <f t="shared" si="359"/>
        <v/>
      </c>
      <c r="LD61" s="20" t="str">
        <f t="shared" si="359"/>
        <v/>
      </c>
      <c r="LE61" s="20" t="str">
        <f t="shared" si="359"/>
        <v/>
      </c>
      <c r="LF61" s="63" t="str">
        <f t="shared" si="359"/>
        <v/>
      </c>
      <c r="LG61" s="20" t="str">
        <f t="shared" si="359"/>
        <v/>
      </c>
      <c r="LH61" s="20" t="str">
        <f t="shared" si="359"/>
        <v/>
      </c>
      <c r="LI61" s="20" t="str">
        <f t="shared" si="359"/>
        <v/>
      </c>
      <c r="LJ61" s="20" t="str">
        <f t="shared" si="359"/>
        <v/>
      </c>
      <c r="LK61" s="20" t="str">
        <f t="shared" si="359"/>
        <v/>
      </c>
      <c r="LL61" s="20" t="str">
        <f t="shared" si="359"/>
        <v/>
      </c>
      <c r="LM61" s="63" t="str">
        <f t="shared" si="359"/>
        <v/>
      </c>
      <c r="LN61" s="20" t="str">
        <f t="shared" si="359"/>
        <v/>
      </c>
      <c r="LO61" s="20" t="str">
        <f t="shared" si="359"/>
        <v/>
      </c>
      <c r="LP61" s="20" t="str">
        <f t="shared" si="359"/>
        <v/>
      </c>
      <c r="LQ61" s="20" t="str">
        <f t="shared" si="359"/>
        <v/>
      </c>
      <c r="LR61" s="20" t="str">
        <f t="shared" si="359"/>
        <v/>
      </c>
      <c r="LS61" s="20" t="str">
        <f t="shared" si="359"/>
        <v/>
      </c>
      <c r="LT61" s="63" t="str">
        <f t="shared" si="359"/>
        <v/>
      </c>
      <c r="LU61" s="20" t="str">
        <f t="shared" si="359"/>
        <v/>
      </c>
      <c r="LV61" s="20" t="str">
        <f t="shared" si="359"/>
        <v/>
      </c>
      <c r="LW61" s="20" t="str">
        <f t="shared" si="359"/>
        <v/>
      </c>
      <c r="LX61" s="20" t="str">
        <f t="shared" si="359"/>
        <v/>
      </c>
      <c r="LY61" s="20" t="str">
        <f t="shared" si="359"/>
        <v/>
      </c>
      <c r="LZ61" s="20" t="str">
        <f t="shared" si="359"/>
        <v/>
      </c>
      <c r="MA61" s="63" t="str">
        <f t="shared" si="359"/>
        <v/>
      </c>
    </row>
    <row r="62" spans="1:339" ht="1.5" hidden="1" customHeight="1" x14ac:dyDescent="0.25">
      <c r="A62" s="23"/>
      <c r="B62" s="20"/>
      <c r="C62" s="20"/>
      <c r="D62" s="20"/>
      <c r="E62" s="61"/>
      <c r="F62" s="20"/>
      <c r="G62" s="20"/>
      <c r="H62" s="20"/>
      <c r="I62" s="20"/>
      <c r="J62" s="20"/>
      <c r="K62" s="20"/>
      <c r="L62" s="20"/>
      <c r="M62" s="20"/>
      <c r="N62" s="20"/>
      <c r="O62" s="21"/>
      <c r="P62" s="62"/>
      <c r="Q62" s="87"/>
      <c r="R62" s="50">
        <f t="shared" ref="R62:AW62" si="360">R1</f>
        <v>43975</v>
      </c>
      <c r="S62" s="50">
        <f t="shared" si="360"/>
        <v>43976</v>
      </c>
      <c r="T62" s="50">
        <f t="shared" si="360"/>
        <v>43977</v>
      </c>
      <c r="U62" s="50">
        <f t="shared" si="360"/>
        <v>43978</v>
      </c>
      <c r="V62" s="50">
        <f t="shared" si="360"/>
        <v>43979</v>
      </c>
      <c r="W62" s="50">
        <f t="shared" si="360"/>
        <v>43980</v>
      </c>
      <c r="X62" s="50">
        <f t="shared" si="360"/>
        <v>43981</v>
      </c>
      <c r="Y62" s="50">
        <f t="shared" si="360"/>
        <v>43982</v>
      </c>
      <c r="Z62" s="50">
        <f t="shared" si="360"/>
        <v>43983</v>
      </c>
      <c r="AA62" s="50">
        <f t="shared" si="360"/>
        <v>43984</v>
      </c>
      <c r="AB62" s="50">
        <f t="shared" si="360"/>
        <v>43985</v>
      </c>
      <c r="AC62" s="50">
        <f t="shared" si="360"/>
        <v>43986</v>
      </c>
      <c r="AD62" s="50">
        <f t="shared" si="360"/>
        <v>43987</v>
      </c>
      <c r="AE62" s="50">
        <f t="shared" si="360"/>
        <v>43988</v>
      </c>
      <c r="AF62" s="50">
        <f t="shared" si="360"/>
        <v>43989</v>
      </c>
      <c r="AG62" s="50">
        <f t="shared" si="360"/>
        <v>43990</v>
      </c>
      <c r="AH62" s="50">
        <f t="shared" si="360"/>
        <v>43991</v>
      </c>
      <c r="AI62" s="50">
        <f t="shared" si="360"/>
        <v>43992</v>
      </c>
      <c r="AJ62" s="50">
        <f t="shared" si="360"/>
        <v>43993</v>
      </c>
      <c r="AK62" s="50">
        <f t="shared" si="360"/>
        <v>43994</v>
      </c>
      <c r="AL62" s="50">
        <f t="shared" si="360"/>
        <v>43995</v>
      </c>
      <c r="AM62" s="50">
        <f t="shared" si="360"/>
        <v>43996</v>
      </c>
      <c r="AN62" s="50">
        <f t="shared" si="360"/>
        <v>43997</v>
      </c>
      <c r="AO62" s="50">
        <f t="shared" si="360"/>
        <v>43998</v>
      </c>
      <c r="AP62" s="50">
        <f t="shared" si="360"/>
        <v>43999</v>
      </c>
      <c r="AQ62" s="50">
        <f t="shared" si="360"/>
        <v>44000</v>
      </c>
      <c r="AR62" s="50">
        <f t="shared" si="360"/>
        <v>44001</v>
      </c>
      <c r="AS62" s="50">
        <f t="shared" si="360"/>
        <v>44002</v>
      </c>
      <c r="AT62" s="50">
        <f t="shared" si="360"/>
        <v>44003</v>
      </c>
      <c r="AU62" s="50">
        <f t="shared" si="360"/>
        <v>44004</v>
      </c>
      <c r="AV62" s="50">
        <f t="shared" si="360"/>
        <v>44005</v>
      </c>
      <c r="AW62" s="50">
        <f t="shared" si="360"/>
        <v>44006</v>
      </c>
      <c r="AX62" s="50">
        <f t="shared" ref="AX62:BV62" si="361">AX1</f>
        <v>44007</v>
      </c>
      <c r="AY62" s="50">
        <f t="shared" si="361"/>
        <v>44008</v>
      </c>
      <c r="AZ62" s="50">
        <f t="shared" si="361"/>
        <v>44009</v>
      </c>
      <c r="BA62" s="50">
        <f t="shared" si="361"/>
        <v>44010</v>
      </c>
      <c r="BB62" s="50">
        <f t="shared" si="361"/>
        <v>44011</v>
      </c>
      <c r="BC62" s="50">
        <f t="shared" si="361"/>
        <v>44012</v>
      </c>
      <c r="BD62" s="50">
        <f t="shared" si="361"/>
        <v>44013</v>
      </c>
      <c r="BE62" s="50">
        <f t="shared" si="361"/>
        <v>44014</v>
      </c>
      <c r="BF62" s="50">
        <f t="shared" si="361"/>
        <v>44015</v>
      </c>
      <c r="BG62" s="50">
        <f t="shared" si="361"/>
        <v>44016</v>
      </c>
      <c r="BH62" s="50">
        <f t="shared" si="361"/>
        <v>44017</v>
      </c>
      <c r="BI62" s="50">
        <f t="shared" si="361"/>
        <v>44018</v>
      </c>
      <c r="BJ62" s="50">
        <f t="shared" si="361"/>
        <v>44019</v>
      </c>
      <c r="BK62" s="50">
        <f t="shared" si="361"/>
        <v>44020</v>
      </c>
      <c r="BL62" s="50">
        <f t="shared" si="361"/>
        <v>44021</v>
      </c>
      <c r="BM62" s="50">
        <f t="shared" si="361"/>
        <v>44022</v>
      </c>
      <c r="BN62" s="50">
        <f t="shared" si="361"/>
        <v>44023</v>
      </c>
      <c r="BO62" s="50">
        <f t="shared" si="361"/>
        <v>44024</v>
      </c>
      <c r="BP62" s="50">
        <f t="shared" si="361"/>
        <v>44025</v>
      </c>
      <c r="BQ62" s="50">
        <f t="shared" si="361"/>
        <v>44026</v>
      </c>
      <c r="BR62" s="50">
        <f t="shared" si="361"/>
        <v>44027</v>
      </c>
      <c r="BS62" s="50">
        <f t="shared" si="361"/>
        <v>44028</v>
      </c>
      <c r="BT62" s="50">
        <f t="shared" si="361"/>
        <v>44029</v>
      </c>
      <c r="BU62" s="50">
        <f t="shared" si="361"/>
        <v>44030</v>
      </c>
      <c r="BV62" s="50">
        <f t="shared" si="361"/>
        <v>44031</v>
      </c>
      <c r="BW62" s="50"/>
      <c r="BX62" s="50"/>
      <c r="BY62" s="50">
        <f t="shared" ref="BY62:CE62" si="362">BY1</f>
        <v>44032</v>
      </c>
      <c r="BZ62" s="50">
        <f t="shared" si="362"/>
        <v>44033</v>
      </c>
      <c r="CA62" s="50">
        <f t="shared" si="362"/>
        <v>44034</v>
      </c>
      <c r="CB62" s="50">
        <f t="shared" si="362"/>
        <v>44035</v>
      </c>
      <c r="CC62" s="50">
        <f t="shared" si="362"/>
        <v>44036</v>
      </c>
      <c r="CD62" s="50">
        <f t="shared" si="362"/>
        <v>44037</v>
      </c>
      <c r="CE62" s="50">
        <f t="shared" si="362"/>
        <v>44038</v>
      </c>
      <c r="CF62" s="50"/>
      <c r="CG62" s="50"/>
      <c r="CH62" s="50">
        <f t="shared" ref="CH62:CN62" si="363">CH1</f>
        <v>44039</v>
      </c>
      <c r="CI62" s="50">
        <f t="shared" si="363"/>
        <v>44040</v>
      </c>
      <c r="CJ62" s="50">
        <f t="shared" si="363"/>
        <v>44041</v>
      </c>
      <c r="CK62" s="50">
        <f t="shared" si="363"/>
        <v>44042</v>
      </c>
      <c r="CL62" s="50">
        <f t="shared" si="363"/>
        <v>44043</v>
      </c>
      <c r="CM62" s="50">
        <f t="shared" si="363"/>
        <v>44044</v>
      </c>
      <c r="CN62" s="50">
        <f t="shared" si="363"/>
        <v>44045</v>
      </c>
      <c r="CO62" s="50"/>
      <c r="CP62" s="50"/>
      <c r="CQ62" s="50">
        <f t="shared" ref="CQ62:FB62" si="364">CQ1</f>
        <v>44046</v>
      </c>
      <c r="CR62" s="50">
        <f t="shared" si="364"/>
        <v>44047</v>
      </c>
      <c r="CS62" s="50">
        <f t="shared" si="364"/>
        <v>44048</v>
      </c>
      <c r="CT62" s="50">
        <f t="shared" si="364"/>
        <v>44049</v>
      </c>
      <c r="CU62" s="50">
        <f t="shared" si="364"/>
        <v>44050</v>
      </c>
      <c r="CV62" s="50">
        <f t="shared" si="364"/>
        <v>44051</v>
      </c>
      <c r="CW62" s="50">
        <f t="shared" si="364"/>
        <v>44052</v>
      </c>
      <c r="CX62" s="50">
        <f t="shared" si="364"/>
        <v>44053</v>
      </c>
      <c r="CY62" s="50">
        <f t="shared" si="364"/>
        <v>44054</v>
      </c>
      <c r="CZ62" s="50">
        <f t="shared" si="364"/>
        <v>44055</v>
      </c>
      <c r="DA62" s="50">
        <f t="shared" si="364"/>
        <v>44056</v>
      </c>
      <c r="DB62" s="50">
        <f t="shared" si="364"/>
        <v>44057</v>
      </c>
      <c r="DC62" s="50">
        <f t="shared" si="364"/>
        <v>44058</v>
      </c>
      <c r="DD62" s="50">
        <f t="shared" si="364"/>
        <v>44059</v>
      </c>
      <c r="DE62" s="50">
        <f t="shared" si="364"/>
        <v>44060</v>
      </c>
      <c r="DF62" s="50">
        <f t="shared" si="364"/>
        <v>44061</v>
      </c>
      <c r="DG62" s="50">
        <f t="shared" si="364"/>
        <v>44062</v>
      </c>
      <c r="DH62" s="50">
        <f t="shared" si="364"/>
        <v>44063</v>
      </c>
      <c r="DI62" s="50">
        <f t="shared" si="364"/>
        <v>44064</v>
      </c>
      <c r="DJ62" s="50">
        <f t="shared" si="364"/>
        <v>44065</v>
      </c>
      <c r="DK62" s="50">
        <f t="shared" si="364"/>
        <v>44066</v>
      </c>
      <c r="DL62" s="50">
        <f t="shared" si="364"/>
        <v>44067</v>
      </c>
      <c r="DM62" s="50">
        <f t="shared" si="364"/>
        <v>44068</v>
      </c>
      <c r="DN62" s="50">
        <f t="shared" si="364"/>
        <v>44069</v>
      </c>
      <c r="DO62" s="50">
        <f t="shared" si="364"/>
        <v>44070</v>
      </c>
      <c r="DP62" s="50">
        <f t="shared" si="364"/>
        <v>44071</v>
      </c>
      <c r="DQ62" s="50">
        <f t="shared" si="364"/>
        <v>44072</v>
      </c>
      <c r="DR62" s="50">
        <f t="shared" si="364"/>
        <v>44073</v>
      </c>
      <c r="DS62" s="50">
        <f t="shared" si="364"/>
        <v>44074</v>
      </c>
      <c r="DT62" s="50">
        <f t="shared" si="364"/>
        <v>44075</v>
      </c>
      <c r="DU62" s="50">
        <f t="shared" si="364"/>
        <v>44076</v>
      </c>
      <c r="DV62" s="50">
        <f t="shared" si="364"/>
        <v>44077</v>
      </c>
      <c r="DW62" s="50">
        <f t="shared" si="364"/>
        <v>44078</v>
      </c>
      <c r="DX62" s="50">
        <f t="shared" si="364"/>
        <v>44079</v>
      </c>
      <c r="DY62" s="50">
        <f t="shared" si="364"/>
        <v>44080</v>
      </c>
      <c r="DZ62" s="50">
        <f t="shared" si="364"/>
        <v>44081</v>
      </c>
      <c r="EA62" s="50">
        <f t="shared" si="364"/>
        <v>44082</v>
      </c>
      <c r="EB62" s="50">
        <f t="shared" si="364"/>
        <v>44083</v>
      </c>
      <c r="EC62" s="50">
        <f t="shared" si="364"/>
        <v>44084</v>
      </c>
      <c r="ED62" s="50">
        <f t="shared" si="364"/>
        <v>44085</v>
      </c>
      <c r="EE62" s="50">
        <f t="shared" si="364"/>
        <v>44086</v>
      </c>
      <c r="EF62" s="50">
        <f t="shared" si="364"/>
        <v>44087</v>
      </c>
      <c r="EG62" s="50">
        <f t="shared" si="364"/>
        <v>44088</v>
      </c>
      <c r="EH62" s="50">
        <f t="shared" si="364"/>
        <v>44089</v>
      </c>
      <c r="EI62" s="50">
        <f t="shared" si="364"/>
        <v>44090</v>
      </c>
      <c r="EJ62" s="50">
        <f t="shared" si="364"/>
        <v>44091</v>
      </c>
      <c r="EK62" s="50">
        <f t="shared" si="364"/>
        <v>44092</v>
      </c>
      <c r="EL62" s="50">
        <f t="shared" si="364"/>
        <v>44093</v>
      </c>
      <c r="EM62" s="50">
        <f t="shared" si="364"/>
        <v>44094</v>
      </c>
      <c r="EN62" s="50">
        <f t="shared" si="364"/>
        <v>44095</v>
      </c>
      <c r="EO62" s="50">
        <f t="shared" si="364"/>
        <v>44096</v>
      </c>
      <c r="EP62" s="50">
        <f t="shared" si="364"/>
        <v>44097</v>
      </c>
      <c r="EQ62" s="50">
        <f t="shared" si="364"/>
        <v>44098</v>
      </c>
      <c r="ER62" s="50">
        <f t="shared" si="364"/>
        <v>44099</v>
      </c>
      <c r="ES62" s="50">
        <f t="shared" si="364"/>
        <v>44100</v>
      </c>
      <c r="ET62" s="50">
        <f t="shared" si="364"/>
        <v>44101</v>
      </c>
      <c r="EU62" s="50">
        <f t="shared" si="364"/>
        <v>44102</v>
      </c>
      <c r="EV62" s="50">
        <f t="shared" si="364"/>
        <v>44103</v>
      </c>
      <c r="EW62" s="50">
        <f t="shared" si="364"/>
        <v>44104</v>
      </c>
      <c r="EX62" s="50">
        <f t="shared" si="364"/>
        <v>44105</v>
      </c>
      <c r="EY62" s="50">
        <f t="shared" si="364"/>
        <v>44106</v>
      </c>
      <c r="EZ62" s="50">
        <f t="shared" si="364"/>
        <v>44107</v>
      </c>
      <c r="FA62" s="50">
        <f t="shared" si="364"/>
        <v>44108</v>
      </c>
      <c r="FB62" s="50">
        <f t="shared" si="364"/>
        <v>44109</v>
      </c>
      <c r="FC62" s="50">
        <f t="shared" ref="FC62:HN62" si="365">FC1</f>
        <v>44110</v>
      </c>
      <c r="FD62" s="50">
        <f t="shared" si="365"/>
        <v>44111</v>
      </c>
      <c r="FE62" s="50">
        <f t="shared" si="365"/>
        <v>44112</v>
      </c>
      <c r="FF62" s="50">
        <f t="shared" si="365"/>
        <v>44113</v>
      </c>
      <c r="FG62" s="50">
        <f t="shared" si="365"/>
        <v>44114</v>
      </c>
      <c r="FH62" s="50">
        <f t="shared" si="365"/>
        <v>44115</v>
      </c>
      <c r="FI62" s="50">
        <f t="shared" si="365"/>
        <v>44116</v>
      </c>
      <c r="FJ62" s="50">
        <f t="shared" si="365"/>
        <v>44117</v>
      </c>
      <c r="FK62" s="50">
        <f t="shared" si="365"/>
        <v>44118</v>
      </c>
      <c r="FL62" s="50">
        <f t="shared" si="365"/>
        <v>44119</v>
      </c>
      <c r="FM62" s="50">
        <f t="shared" si="365"/>
        <v>44120</v>
      </c>
      <c r="FN62" s="50">
        <f t="shared" si="365"/>
        <v>44121</v>
      </c>
      <c r="FO62" s="50">
        <f t="shared" si="365"/>
        <v>44122</v>
      </c>
      <c r="FP62" s="50">
        <f t="shared" si="365"/>
        <v>44123</v>
      </c>
      <c r="FQ62" s="50">
        <f t="shared" si="365"/>
        <v>44124</v>
      </c>
      <c r="FR62" s="50">
        <f t="shared" si="365"/>
        <v>44125</v>
      </c>
      <c r="FS62" s="50">
        <f t="shared" si="365"/>
        <v>44126</v>
      </c>
      <c r="FT62" s="50">
        <f t="shared" si="365"/>
        <v>44127</v>
      </c>
      <c r="FU62" s="50">
        <f t="shared" si="365"/>
        <v>44128</v>
      </c>
      <c r="FV62" s="50">
        <f t="shared" si="365"/>
        <v>44129</v>
      </c>
      <c r="FW62" s="50">
        <f t="shared" si="365"/>
        <v>44130</v>
      </c>
      <c r="FX62" s="50">
        <f t="shared" si="365"/>
        <v>44131</v>
      </c>
      <c r="FY62" s="50">
        <f t="shared" si="365"/>
        <v>44132</v>
      </c>
      <c r="FZ62" s="50">
        <f t="shared" si="365"/>
        <v>44133</v>
      </c>
      <c r="GA62" s="50">
        <f t="shared" si="365"/>
        <v>44134</v>
      </c>
      <c r="GB62" s="50">
        <f t="shared" si="365"/>
        <v>44135</v>
      </c>
      <c r="GC62" s="50">
        <f t="shared" si="365"/>
        <v>44136</v>
      </c>
      <c r="GD62" s="50">
        <f t="shared" si="365"/>
        <v>44137</v>
      </c>
      <c r="GE62" s="50">
        <f t="shared" si="365"/>
        <v>44138</v>
      </c>
      <c r="GF62" s="50">
        <f t="shared" si="365"/>
        <v>44139</v>
      </c>
      <c r="GG62" s="50">
        <f t="shared" si="365"/>
        <v>44140</v>
      </c>
      <c r="GH62" s="50">
        <f t="shared" si="365"/>
        <v>44141</v>
      </c>
      <c r="GI62" s="50">
        <f t="shared" si="365"/>
        <v>44142</v>
      </c>
      <c r="GJ62" s="50">
        <f t="shared" si="365"/>
        <v>44143</v>
      </c>
      <c r="GK62" s="50">
        <f t="shared" si="365"/>
        <v>44144</v>
      </c>
      <c r="GL62" s="50">
        <f t="shared" si="365"/>
        <v>44145</v>
      </c>
      <c r="GM62" s="50">
        <f t="shared" si="365"/>
        <v>44146</v>
      </c>
      <c r="GN62" s="50">
        <f t="shared" si="365"/>
        <v>44147</v>
      </c>
      <c r="GO62" s="50">
        <f t="shared" si="365"/>
        <v>44148</v>
      </c>
      <c r="GP62" s="50">
        <f t="shared" si="365"/>
        <v>44149</v>
      </c>
      <c r="GQ62" s="50">
        <f t="shared" si="365"/>
        <v>44150</v>
      </c>
      <c r="GR62" s="50">
        <f t="shared" si="365"/>
        <v>44151</v>
      </c>
      <c r="GS62" s="50">
        <f t="shared" si="365"/>
        <v>44152</v>
      </c>
      <c r="GT62" s="50">
        <f t="shared" si="365"/>
        <v>44153</v>
      </c>
      <c r="GU62" s="50">
        <f t="shared" si="365"/>
        <v>44154</v>
      </c>
      <c r="GV62" s="50">
        <f t="shared" si="365"/>
        <v>44155</v>
      </c>
      <c r="GW62" s="50">
        <f t="shared" si="365"/>
        <v>44156</v>
      </c>
      <c r="GX62" s="50">
        <f t="shared" si="365"/>
        <v>44157</v>
      </c>
      <c r="GY62" s="50">
        <f t="shared" si="365"/>
        <v>44158</v>
      </c>
      <c r="GZ62" s="50">
        <f t="shared" si="365"/>
        <v>44159</v>
      </c>
      <c r="HA62" s="50">
        <f t="shared" si="365"/>
        <v>44160</v>
      </c>
      <c r="HB62" s="50">
        <f t="shared" si="365"/>
        <v>44161</v>
      </c>
      <c r="HC62" s="50">
        <f t="shared" si="365"/>
        <v>44162</v>
      </c>
      <c r="HD62" s="50">
        <f t="shared" si="365"/>
        <v>44163</v>
      </c>
      <c r="HE62" s="50">
        <f t="shared" si="365"/>
        <v>44164</v>
      </c>
      <c r="HF62" s="50">
        <f t="shared" si="365"/>
        <v>44165</v>
      </c>
      <c r="HG62" s="50">
        <f t="shared" si="365"/>
        <v>44166</v>
      </c>
      <c r="HH62" s="50">
        <f t="shared" si="365"/>
        <v>44167</v>
      </c>
      <c r="HI62" s="50">
        <f t="shared" si="365"/>
        <v>44168</v>
      </c>
      <c r="HJ62" s="50">
        <f t="shared" si="365"/>
        <v>44169</v>
      </c>
      <c r="HK62" s="50">
        <f t="shared" si="365"/>
        <v>44170</v>
      </c>
      <c r="HL62" s="50">
        <f t="shared" si="365"/>
        <v>44171</v>
      </c>
      <c r="HM62" s="50">
        <f t="shared" si="365"/>
        <v>44172</v>
      </c>
      <c r="HN62" s="50">
        <f t="shared" si="365"/>
        <v>44173</v>
      </c>
      <c r="HO62" s="50">
        <f t="shared" ref="HO62:JZ62" si="366">HO1</f>
        <v>44174</v>
      </c>
      <c r="HP62" s="50">
        <f t="shared" si="366"/>
        <v>44175</v>
      </c>
      <c r="HQ62" s="50">
        <f t="shared" si="366"/>
        <v>44176</v>
      </c>
      <c r="HR62" s="50">
        <f t="shared" si="366"/>
        <v>44177</v>
      </c>
      <c r="HS62" s="50">
        <f t="shared" si="366"/>
        <v>44178</v>
      </c>
      <c r="HT62" s="50">
        <f t="shared" si="366"/>
        <v>44179</v>
      </c>
      <c r="HU62" s="50">
        <f t="shared" si="366"/>
        <v>44180</v>
      </c>
      <c r="HV62" s="50">
        <f t="shared" si="366"/>
        <v>44181</v>
      </c>
      <c r="HW62" s="50">
        <f t="shared" si="366"/>
        <v>44182</v>
      </c>
      <c r="HX62" s="50">
        <f t="shared" si="366"/>
        <v>44183</v>
      </c>
      <c r="HY62" s="50">
        <f t="shared" si="366"/>
        <v>44184</v>
      </c>
      <c r="HZ62" s="50">
        <f t="shared" si="366"/>
        <v>44185</v>
      </c>
      <c r="IA62" s="50">
        <f t="shared" si="366"/>
        <v>44186</v>
      </c>
      <c r="IB62" s="50">
        <f t="shared" si="366"/>
        <v>44187</v>
      </c>
      <c r="IC62" s="50">
        <f t="shared" si="366"/>
        <v>44188</v>
      </c>
      <c r="ID62" s="50">
        <f t="shared" si="366"/>
        <v>44189</v>
      </c>
      <c r="IE62" s="50">
        <f t="shared" si="366"/>
        <v>44190</v>
      </c>
      <c r="IF62" s="50">
        <f t="shared" si="366"/>
        <v>44191</v>
      </c>
      <c r="IG62" s="50">
        <f t="shared" si="366"/>
        <v>44192</v>
      </c>
      <c r="IH62" s="50">
        <f t="shared" si="366"/>
        <v>44193</v>
      </c>
      <c r="II62" s="50">
        <f t="shared" si="366"/>
        <v>44194</v>
      </c>
      <c r="IJ62" s="50">
        <f t="shared" si="366"/>
        <v>44195</v>
      </c>
      <c r="IK62" s="50">
        <f t="shared" si="366"/>
        <v>44196</v>
      </c>
      <c r="IL62" s="50">
        <f t="shared" si="366"/>
        <v>44197</v>
      </c>
      <c r="IM62" s="50">
        <f t="shared" si="366"/>
        <v>44198</v>
      </c>
      <c r="IN62" s="50">
        <f t="shared" si="366"/>
        <v>44199</v>
      </c>
      <c r="IO62" s="50">
        <f t="shared" si="366"/>
        <v>44200</v>
      </c>
      <c r="IP62" s="50">
        <f t="shared" si="366"/>
        <v>44201</v>
      </c>
      <c r="IQ62" s="50">
        <f t="shared" si="366"/>
        <v>44202</v>
      </c>
      <c r="IR62" s="50">
        <f t="shared" si="366"/>
        <v>44203</v>
      </c>
      <c r="IS62" s="50">
        <f t="shared" si="366"/>
        <v>44204</v>
      </c>
      <c r="IT62" s="50">
        <f t="shared" si="366"/>
        <v>44205</v>
      </c>
      <c r="IU62" s="50">
        <f t="shared" si="366"/>
        <v>44206</v>
      </c>
      <c r="IV62" s="50">
        <f t="shared" si="366"/>
        <v>44207</v>
      </c>
      <c r="IW62" s="50">
        <f t="shared" si="366"/>
        <v>44208</v>
      </c>
      <c r="IX62" s="50">
        <f t="shared" si="366"/>
        <v>44209</v>
      </c>
      <c r="IY62" s="50">
        <f t="shared" si="366"/>
        <v>44210</v>
      </c>
      <c r="IZ62" s="50">
        <f t="shared" si="366"/>
        <v>44211</v>
      </c>
      <c r="JA62" s="50">
        <f t="shared" si="366"/>
        <v>44212</v>
      </c>
      <c r="JB62" s="50">
        <f t="shared" si="366"/>
        <v>44213</v>
      </c>
      <c r="JC62" s="50">
        <f t="shared" si="366"/>
        <v>44214</v>
      </c>
      <c r="JD62" s="50">
        <f t="shared" si="366"/>
        <v>44215</v>
      </c>
      <c r="JE62" s="50">
        <f t="shared" si="366"/>
        <v>44216</v>
      </c>
      <c r="JF62" s="50">
        <f t="shared" si="366"/>
        <v>44217</v>
      </c>
      <c r="JG62" s="50">
        <f t="shared" si="366"/>
        <v>44218</v>
      </c>
      <c r="JH62" s="50">
        <f t="shared" si="366"/>
        <v>44219</v>
      </c>
      <c r="JI62" s="50">
        <f t="shared" si="366"/>
        <v>44220</v>
      </c>
      <c r="JJ62" s="50">
        <f t="shared" si="366"/>
        <v>44221</v>
      </c>
      <c r="JK62" s="50">
        <f t="shared" si="366"/>
        <v>44222</v>
      </c>
      <c r="JL62" s="50">
        <f t="shared" si="366"/>
        <v>44223</v>
      </c>
      <c r="JM62" s="50">
        <f t="shared" si="366"/>
        <v>44224</v>
      </c>
      <c r="JN62" s="50">
        <f t="shared" si="366"/>
        <v>44225</v>
      </c>
      <c r="JO62" s="50">
        <f t="shared" si="366"/>
        <v>44226</v>
      </c>
      <c r="JP62" s="50">
        <f t="shared" si="366"/>
        <v>44227</v>
      </c>
      <c r="JQ62" s="50">
        <f t="shared" si="366"/>
        <v>44228</v>
      </c>
      <c r="JR62" s="50">
        <f t="shared" si="366"/>
        <v>44229</v>
      </c>
      <c r="JS62" s="50">
        <f t="shared" si="366"/>
        <v>44230</v>
      </c>
      <c r="JT62" s="50">
        <f t="shared" si="366"/>
        <v>44231</v>
      </c>
      <c r="JU62" s="50">
        <f t="shared" si="366"/>
        <v>44232</v>
      </c>
      <c r="JV62" s="50">
        <f t="shared" si="366"/>
        <v>44233</v>
      </c>
      <c r="JW62" s="50">
        <f t="shared" si="366"/>
        <v>44234</v>
      </c>
      <c r="JX62" s="50">
        <f t="shared" si="366"/>
        <v>44235</v>
      </c>
      <c r="JY62" s="50">
        <f t="shared" si="366"/>
        <v>44236</v>
      </c>
      <c r="JZ62" s="50">
        <f t="shared" si="366"/>
        <v>44237</v>
      </c>
      <c r="KA62" s="50">
        <f t="shared" ref="KA62:MA62" si="367">KA1</f>
        <v>44238</v>
      </c>
      <c r="KB62" s="50">
        <f t="shared" si="367"/>
        <v>44239</v>
      </c>
      <c r="KC62" s="50">
        <f t="shared" si="367"/>
        <v>44240</v>
      </c>
      <c r="KD62" s="50">
        <f t="shared" si="367"/>
        <v>44241</v>
      </c>
      <c r="KE62" s="50">
        <f t="shared" si="367"/>
        <v>44242</v>
      </c>
      <c r="KF62" s="50">
        <f t="shared" si="367"/>
        <v>44243</v>
      </c>
      <c r="KG62" s="50">
        <f t="shared" si="367"/>
        <v>44244</v>
      </c>
      <c r="KH62" s="50">
        <f t="shared" si="367"/>
        <v>44245</v>
      </c>
      <c r="KI62" s="50">
        <f t="shared" si="367"/>
        <v>44246</v>
      </c>
      <c r="KJ62" s="50">
        <f t="shared" si="367"/>
        <v>44247</v>
      </c>
      <c r="KK62" s="50">
        <f t="shared" si="367"/>
        <v>44248</v>
      </c>
      <c r="KL62" s="50">
        <f t="shared" si="367"/>
        <v>44249</v>
      </c>
      <c r="KM62" s="50">
        <f t="shared" si="367"/>
        <v>44250</v>
      </c>
      <c r="KN62" s="50">
        <f t="shared" si="367"/>
        <v>44251</v>
      </c>
      <c r="KO62" s="50">
        <f t="shared" si="367"/>
        <v>44252</v>
      </c>
      <c r="KP62" s="50">
        <f t="shared" si="367"/>
        <v>44253</v>
      </c>
      <c r="KQ62" s="50">
        <f t="shared" si="367"/>
        <v>44254</v>
      </c>
      <c r="KR62" s="50">
        <f t="shared" si="367"/>
        <v>44255</v>
      </c>
      <c r="KS62" s="50">
        <f t="shared" si="367"/>
        <v>44256</v>
      </c>
      <c r="KT62" s="50">
        <f t="shared" si="367"/>
        <v>44257</v>
      </c>
      <c r="KU62" s="50">
        <f t="shared" si="367"/>
        <v>44258</v>
      </c>
      <c r="KV62" s="50">
        <f t="shared" si="367"/>
        <v>44259</v>
      </c>
      <c r="KW62" s="50">
        <f t="shared" si="367"/>
        <v>44260</v>
      </c>
      <c r="KX62" s="50">
        <f t="shared" si="367"/>
        <v>44261</v>
      </c>
      <c r="KY62" s="50">
        <f t="shared" si="367"/>
        <v>44262</v>
      </c>
      <c r="KZ62" s="50">
        <f t="shared" si="367"/>
        <v>44263</v>
      </c>
      <c r="LA62" s="50">
        <f t="shared" si="367"/>
        <v>44264</v>
      </c>
      <c r="LB62" s="50">
        <f t="shared" si="367"/>
        <v>44265</v>
      </c>
      <c r="LC62" s="50">
        <f t="shared" si="367"/>
        <v>44266</v>
      </c>
      <c r="LD62" s="50">
        <f t="shared" si="367"/>
        <v>44267</v>
      </c>
      <c r="LE62" s="50">
        <f t="shared" si="367"/>
        <v>44268</v>
      </c>
      <c r="LF62" s="50">
        <f t="shared" si="367"/>
        <v>44269</v>
      </c>
      <c r="LG62" s="50">
        <f t="shared" si="367"/>
        <v>44270</v>
      </c>
      <c r="LH62" s="50">
        <f t="shared" si="367"/>
        <v>44271</v>
      </c>
      <c r="LI62" s="50">
        <f t="shared" si="367"/>
        <v>44272</v>
      </c>
      <c r="LJ62" s="50">
        <f t="shared" si="367"/>
        <v>44273</v>
      </c>
      <c r="LK62" s="50">
        <f t="shared" si="367"/>
        <v>44274</v>
      </c>
      <c r="LL62" s="50">
        <f t="shared" si="367"/>
        <v>44275</v>
      </c>
      <c r="LM62" s="50">
        <f t="shared" si="367"/>
        <v>44276</v>
      </c>
      <c r="LN62" s="50">
        <f t="shared" si="367"/>
        <v>44277</v>
      </c>
      <c r="LO62" s="50">
        <f t="shared" si="367"/>
        <v>44278</v>
      </c>
      <c r="LP62" s="50">
        <f t="shared" si="367"/>
        <v>44279</v>
      </c>
      <c r="LQ62" s="50">
        <f t="shared" si="367"/>
        <v>44280</v>
      </c>
      <c r="LR62" s="50">
        <f t="shared" si="367"/>
        <v>44281</v>
      </c>
      <c r="LS62" s="50">
        <f t="shared" si="367"/>
        <v>44282</v>
      </c>
      <c r="LT62" s="50">
        <f t="shared" si="367"/>
        <v>44283</v>
      </c>
      <c r="LU62" s="50">
        <f t="shared" si="367"/>
        <v>44284</v>
      </c>
      <c r="LV62" s="50">
        <f t="shared" si="367"/>
        <v>44285</v>
      </c>
      <c r="LW62" s="50">
        <f t="shared" si="367"/>
        <v>44286</v>
      </c>
      <c r="LX62" s="50">
        <f t="shared" si="367"/>
        <v>44287</v>
      </c>
      <c r="LY62" s="50">
        <f t="shared" si="367"/>
        <v>44288</v>
      </c>
      <c r="LZ62" s="50">
        <f t="shared" si="367"/>
        <v>44289</v>
      </c>
      <c r="MA62" s="50">
        <f t="shared" si="367"/>
        <v>44290</v>
      </c>
    </row>
    <row r="63" spans="1:339" ht="15" customHeight="1" x14ac:dyDescent="0.25">
      <c r="A63" s="107" t="s">
        <v>144</v>
      </c>
      <c r="B63" s="107"/>
      <c r="C63" s="107"/>
      <c r="D63" s="107"/>
      <c r="E63" s="108"/>
      <c r="F63" s="30"/>
      <c r="G63" s="30"/>
      <c r="H63" s="30"/>
      <c r="I63" s="30"/>
      <c r="J63" s="30"/>
      <c r="K63" s="30"/>
      <c r="L63" s="30"/>
      <c r="M63" s="30"/>
      <c r="N63" s="30"/>
      <c r="O63" s="29"/>
      <c r="P63" s="111" t="s">
        <v>49</v>
      </c>
      <c r="Q63" s="113" t="s">
        <v>48</v>
      </c>
      <c r="R63" s="58">
        <f t="shared" ref="R63:CD63" si="368">R36</f>
        <v>43975</v>
      </c>
      <c r="S63" s="59">
        <f t="shared" si="368"/>
        <v>43976</v>
      </c>
      <c r="T63" s="59">
        <f t="shared" si="368"/>
        <v>43977</v>
      </c>
      <c r="U63" s="59">
        <f t="shared" si="368"/>
        <v>43978</v>
      </c>
      <c r="V63" s="59">
        <f t="shared" si="368"/>
        <v>43979</v>
      </c>
      <c r="W63" s="59">
        <f t="shared" si="368"/>
        <v>43980</v>
      </c>
      <c r="X63" s="59">
        <f t="shared" si="368"/>
        <v>43981</v>
      </c>
      <c r="Y63" s="58">
        <f t="shared" si="368"/>
        <v>43982</v>
      </c>
      <c r="Z63" s="59">
        <f t="shared" si="368"/>
        <v>43983</v>
      </c>
      <c r="AA63" s="59">
        <f t="shared" si="368"/>
        <v>43984</v>
      </c>
      <c r="AB63" s="59">
        <f t="shared" si="368"/>
        <v>43985</v>
      </c>
      <c r="AC63" s="59">
        <f t="shared" si="368"/>
        <v>43986</v>
      </c>
      <c r="AD63" s="59">
        <f t="shared" si="368"/>
        <v>43987</v>
      </c>
      <c r="AE63" s="59">
        <f t="shared" si="368"/>
        <v>43988</v>
      </c>
      <c r="AF63" s="58">
        <f t="shared" si="368"/>
        <v>43989</v>
      </c>
      <c r="AG63" s="59">
        <f t="shared" si="368"/>
        <v>43990</v>
      </c>
      <c r="AH63" s="59">
        <f t="shared" si="368"/>
        <v>43991</v>
      </c>
      <c r="AI63" s="59">
        <f t="shared" si="368"/>
        <v>43992</v>
      </c>
      <c r="AJ63" s="59">
        <f t="shared" si="368"/>
        <v>43993</v>
      </c>
      <c r="AK63" s="59">
        <f t="shared" si="368"/>
        <v>43994</v>
      </c>
      <c r="AL63" s="59">
        <f t="shared" si="368"/>
        <v>43995</v>
      </c>
      <c r="AM63" s="58">
        <f t="shared" si="368"/>
        <v>43996</v>
      </c>
      <c r="AN63" s="59">
        <f t="shared" si="368"/>
        <v>43997</v>
      </c>
      <c r="AO63" s="59">
        <f t="shared" si="368"/>
        <v>43998</v>
      </c>
      <c r="AP63" s="59">
        <f t="shared" si="368"/>
        <v>43999</v>
      </c>
      <c r="AQ63" s="59">
        <f t="shared" si="368"/>
        <v>44000</v>
      </c>
      <c r="AR63" s="59">
        <f t="shared" si="368"/>
        <v>44001</v>
      </c>
      <c r="AS63" s="59">
        <f t="shared" si="368"/>
        <v>44002</v>
      </c>
      <c r="AT63" s="58">
        <f t="shared" si="368"/>
        <v>44003</v>
      </c>
      <c r="AU63" s="59">
        <f t="shared" si="368"/>
        <v>44004</v>
      </c>
      <c r="AV63" s="59">
        <f t="shared" si="368"/>
        <v>44005</v>
      </c>
      <c r="AW63" s="59">
        <f t="shared" si="368"/>
        <v>44006</v>
      </c>
      <c r="AX63" s="59">
        <f t="shared" si="368"/>
        <v>44007</v>
      </c>
      <c r="AY63" s="59">
        <f t="shared" si="368"/>
        <v>44008</v>
      </c>
      <c r="AZ63" s="59">
        <f t="shared" si="368"/>
        <v>44009</v>
      </c>
      <c r="BA63" s="58">
        <f t="shared" si="368"/>
        <v>44010</v>
      </c>
      <c r="BB63" s="59">
        <f t="shared" si="368"/>
        <v>44011</v>
      </c>
      <c r="BC63" s="59">
        <f t="shared" si="368"/>
        <v>44012</v>
      </c>
      <c r="BD63" s="59">
        <f t="shared" si="368"/>
        <v>44013</v>
      </c>
      <c r="BE63" s="59">
        <f t="shared" si="368"/>
        <v>44014</v>
      </c>
      <c r="BF63" s="59">
        <f t="shared" si="368"/>
        <v>44015</v>
      </c>
      <c r="BG63" s="59">
        <f t="shared" si="368"/>
        <v>44016</v>
      </c>
      <c r="BH63" s="58">
        <f t="shared" si="368"/>
        <v>44017</v>
      </c>
      <c r="BI63" s="59">
        <f t="shared" si="368"/>
        <v>44018</v>
      </c>
      <c r="BJ63" s="59">
        <f t="shared" si="368"/>
        <v>44019</v>
      </c>
      <c r="BK63" s="59">
        <f t="shared" si="368"/>
        <v>44020</v>
      </c>
      <c r="BL63" s="59">
        <f t="shared" si="368"/>
        <v>44021</v>
      </c>
      <c r="BM63" s="59">
        <f t="shared" si="368"/>
        <v>44022</v>
      </c>
      <c r="BN63" s="59">
        <f t="shared" si="368"/>
        <v>44023</v>
      </c>
      <c r="BO63" s="58">
        <v>12</v>
      </c>
      <c r="BP63" s="59">
        <f t="shared" si="368"/>
        <v>44025</v>
      </c>
      <c r="BQ63" s="59">
        <f t="shared" si="368"/>
        <v>44026</v>
      </c>
      <c r="BR63" s="59">
        <f t="shared" si="368"/>
        <v>44027</v>
      </c>
      <c r="BS63" s="59">
        <f t="shared" si="368"/>
        <v>44028</v>
      </c>
      <c r="BT63" s="59">
        <f t="shared" si="368"/>
        <v>44029</v>
      </c>
      <c r="BU63" s="59">
        <f t="shared" si="368"/>
        <v>44030</v>
      </c>
      <c r="BV63" s="59">
        <v>19</v>
      </c>
      <c r="BW63" s="59"/>
      <c r="BX63" s="58"/>
      <c r="BY63" s="59">
        <f t="shared" si="368"/>
        <v>44032</v>
      </c>
      <c r="BZ63" s="59">
        <f t="shared" si="368"/>
        <v>44033</v>
      </c>
      <c r="CA63" s="59">
        <f t="shared" si="368"/>
        <v>44034</v>
      </c>
      <c r="CB63" s="59">
        <f t="shared" si="368"/>
        <v>44035</v>
      </c>
      <c r="CC63" s="59">
        <f t="shared" si="368"/>
        <v>44036</v>
      </c>
      <c r="CD63" s="59">
        <f t="shared" si="368"/>
        <v>44037</v>
      </c>
      <c r="CE63" s="59">
        <v>26</v>
      </c>
      <c r="CF63" s="59"/>
      <c r="CG63" s="58"/>
      <c r="CH63" s="59">
        <f t="shared" ref="CH63:EU63" si="369">CH36</f>
        <v>44039</v>
      </c>
      <c r="CI63" s="59">
        <f t="shared" si="369"/>
        <v>44040</v>
      </c>
      <c r="CJ63" s="59">
        <f t="shared" si="369"/>
        <v>44041</v>
      </c>
      <c r="CK63" s="59">
        <f t="shared" si="369"/>
        <v>44042</v>
      </c>
      <c r="CL63" s="59">
        <f t="shared" si="369"/>
        <v>44043</v>
      </c>
      <c r="CM63" s="59">
        <f t="shared" si="369"/>
        <v>44044</v>
      </c>
      <c r="CN63" s="59">
        <f t="shared" ref="CN63" si="370">CN36</f>
        <v>44045</v>
      </c>
      <c r="CO63" s="59"/>
      <c r="CP63" s="58"/>
      <c r="CQ63" s="59">
        <f t="shared" si="369"/>
        <v>44046</v>
      </c>
      <c r="CR63" s="59">
        <f t="shared" si="369"/>
        <v>44047</v>
      </c>
      <c r="CS63" s="59">
        <f t="shared" si="369"/>
        <v>44048</v>
      </c>
      <c r="CT63" s="59">
        <f t="shared" si="369"/>
        <v>44049</v>
      </c>
      <c r="CU63" s="59">
        <f t="shared" si="369"/>
        <v>44050</v>
      </c>
      <c r="CV63" s="59">
        <f t="shared" si="369"/>
        <v>44051</v>
      </c>
      <c r="CW63" s="58">
        <f t="shared" si="369"/>
        <v>44052</v>
      </c>
      <c r="CX63" s="59">
        <f t="shared" si="369"/>
        <v>44053</v>
      </c>
      <c r="CY63" s="59">
        <f t="shared" si="369"/>
        <v>44054</v>
      </c>
      <c r="CZ63" s="59">
        <f t="shared" si="369"/>
        <v>44055</v>
      </c>
      <c r="DA63" s="59">
        <f t="shared" si="369"/>
        <v>44056</v>
      </c>
      <c r="DB63" s="59">
        <f t="shared" si="369"/>
        <v>44057</v>
      </c>
      <c r="DC63" s="59">
        <f t="shared" si="369"/>
        <v>44058</v>
      </c>
      <c r="DD63" s="58">
        <f t="shared" si="369"/>
        <v>44059</v>
      </c>
      <c r="DE63" s="59">
        <f t="shared" si="369"/>
        <v>44060</v>
      </c>
      <c r="DF63" s="59">
        <f t="shared" si="369"/>
        <v>44061</v>
      </c>
      <c r="DG63" s="59">
        <f t="shared" si="369"/>
        <v>44062</v>
      </c>
      <c r="DH63" s="59">
        <f t="shared" si="369"/>
        <v>44063</v>
      </c>
      <c r="DI63" s="59">
        <f t="shared" si="369"/>
        <v>44064</v>
      </c>
      <c r="DJ63" s="59">
        <f t="shared" si="369"/>
        <v>44065</v>
      </c>
      <c r="DK63" s="58">
        <f t="shared" si="369"/>
        <v>44066</v>
      </c>
      <c r="DL63" s="59">
        <f t="shared" si="369"/>
        <v>44067</v>
      </c>
      <c r="DM63" s="59">
        <f t="shared" si="369"/>
        <v>44068</v>
      </c>
      <c r="DN63" s="59">
        <f t="shared" si="369"/>
        <v>44069</v>
      </c>
      <c r="DO63" s="59">
        <f t="shared" si="369"/>
        <v>44070</v>
      </c>
      <c r="DP63" s="59">
        <f t="shared" si="369"/>
        <v>44071</v>
      </c>
      <c r="DQ63" s="59">
        <f t="shared" si="369"/>
        <v>44072</v>
      </c>
      <c r="DR63" s="58">
        <f t="shared" si="369"/>
        <v>44073</v>
      </c>
      <c r="DS63" s="59">
        <f t="shared" si="369"/>
        <v>44074</v>
      </c>
      <c r="DT63" s="59">
        <f t="shared" si="369"/>
        <v>44075</v>
      </c>
      <c r="DU63" s="59">
        <f t="shared" si="369"/>
        <v>44076</v>
      </c>
      <c r="DV63" s="59">
        <f t="shared" si="369"/>
        <v>44077</v>
      </c>
      <c r="DW63" s="59">
        <f t="shared" si="369"/>
        <v>44078</v>
      </c>
      <c r="DX63" s="59">
        <f t="shared" si="369"/>
        <v>44079</v>
      </c>
      <c r="DY63" s="58">
        <f t="shared" si="369"/>
        <v>44080</v>
      </c>
      <c r="DZ63" s="59">
        <f t="shared" si="369"/>
        <v>44081</v>
      </c>
      <c r="EA63" s="59">
        <f t="shared" si="369"/>
        <v>44082</v>
      </c>
      <c r="EB63" s="59">
        <f t="shared" si="369"/>
        <v>44083</v>
      </c>
      <c r="EC63" s="59">
        <f t="shared" si="369"/>
        <v>44084</v>
      </c>
      <c r="ED63" s="59">
        <f t="shared" si="369"/>
        <v>44085</v>
      </c>
      <c r="EE63" s="59">
        <f t="shared" si="369"/>
        <v>44086</v>
      </c>
      <c r="EF63" s="58">
        <f t="shared" si="369"/>
        <v>44087</v>
      </c>
      <c r="EG63" s="59">
        <f t="shared" si="369"/>
        <v>44088</v>
      </c>
      <c r="EH63" s="59">
        <f t="shared" si="369"/>
        <v>44089</v>
      </c>
      <c r="EI63" s="59">
        <f t="shared" si="369"/>
        <v>44090</v>
      </c>
      <c r="EJ63" s="59">
        <f t="shared" si="369"/>
        <v>44091</v>
      </c>
      <c r="EK63" s="59">
        <f t="shared" si="369"/>
        <v>44092</v>
      </c>
      <c r="EL63" s="59">
        <f t="shared" si="369"/>
        <v>44093</v>
      </c>
      <c r="EM63" s="58">
        <f t="shared" si="369"/>
        <v>44094</v>
      </c>
      <c r="EN63" s="59">
        <f t="shared" si="369"/>
        <v>44095</v>
      </c>
      <c r="EO63" s="59">
        <f t="shared" si="369"/>
        <v>44096</v>
      </c>
      <c r="EP63" s="59">
        <f t="shared" si="369"/>
        <v>44097</v>
      </c>
      <c r="EQ63" s="59">
        <f t="shared" si="369"/>
        <v>44098</v>
      </c>
      <c r="ER63" s="59">
        <f t="shared" si="369"/>
        <v>44099</v>
      </c>
      <c r="ES63" s="59">
        <f t="shared" si="369"/>
        <v>44100</v>
      </c>
      <c r="ET63" s="58">
        <f t="shared" si="369"/>
        <v>44101</v>
      </c>
      <c r="EU63" s="59">
        <f t="shared" si="369"/>
        <v>44102</v>
      </c>
      <c r="EV63" s="59">
        <f t="shared" ref="EV63:HG63" si="371">EV36</f>
        <v>44103</v>
      </c>
      <c r="EW63" s="59">
        <f t="shared" si="371"/>
        <v>44104</v>
      </c>
      <c r="EX63" s="59">
        <f t="shared" si="371"/>
        <v>44105</v>
      </c>
      <c r="EY63" s="59">
        <f t="shared" si="371"/>
        <v>44106</v>
      </c>
      <c r="EZ63" s="59">
        <f t="shared" si="371"/>
        <v>44107</v>
      </c>
      <c r="FA63" s="58">
        <f t="shared" si="371"/>
        <v>44108</v>
      </c>
      <c r="FB63" s="59">
        <f t="shared" si="371"/>
        <v>44109</v>
      </c>
      <c r="FC63" s="59">
        <f t="shared" si="371"/>
        <v>44110</v>
      </c>
      <c r="FD63" s="59">
        <f t="shared" si="371"/>
        <v>44111</v>
      </c>
      <c r="FE63" s="59">
        <f t="shared" si="371"/>
        <v>44112</v>
      </c>
      <c r="FF63" s="59">
        <f t="shared" si="371"/>
        <v>44113</v>
      </c>
      <c r="FG63" s="59">
        <f t="shared" si="371"/>
        <v>44114</v>
      </c>
      <c r="FH63" s="58">
        <f t="shared" si="371"/>
        <v>44115</v>
      </c>
      <c r="FI63" s="59">
        <f t="shared" si="371"/>
        <v>44116</v>
      </c>
      <c r="FJ63" s="59">
        <f t="shared" si="371"/>
        <v>44117</v>
      </c>
      <c r="FK63" s="59">
        <f t="shared" si="371"/>
        <v>44118</v>
      </c>
      <c r="FL63" s="59">
        <f t="shared" si="371"/>
        <v>44119</v>
      </c>
      <c r="FM63" s="59">
        <f t="shared" si="371"/>
        <v>44120</v>
      </c>
      <c r="FN63" s="59">
        <f t="shared" si="371"/>
        <v>44121</v>
      </c>
      <c r="FO63" s="58">
        <f t="shared" si="371"/>
        <v>44122</v>
      </c>
      <c r="FP63" s="59">
        <f t="shared" si="371"/>
        <v>44123</v>
      </c>
      <c r="FQ63" s="59">
        <f t="shared" si="371"/>
        <v>44124</v>
      </c>
      <c r="FR63" s="59">
        <f t="shared" si="371"/>
        <v>44125</v>
      </c>
      <c r="FS63" s="59">
        <f t="shared" si="371"/>
        <v>44126</v>
      </c>
      <c r="FT63" s="59">
        <f t="shared" si="371"/>
        <v>44127</v>
      </c>
      <c r="FU63" s="59">
        <f t="shared" si="371"/>
        <v>44128</v>
      </c>
      <c r="FV63" s="58">
        <f t="shared" si="371"/>
        <v>44129</v>
      </c>
      <c r="FW63" s="59">
        <f t="shared" si="371"/>
        <v>44130</v>
      </c>
      <c r="FX63" s="59">
        <f t="shared" si="371"/>
        <v>44131</v>
      </c>
      <c r="FY63" s="59">
        <f t="shared" si="371"/>
        <v>44132</v>
      </c>
      <c r="FZ63" s="59">
        <f t="shared" si="371"/>
        <v>44133</v>
      </c>
      <c r="GA63" s="59">
        <f t="shared" si="371"/>
        <v>44134</v>
      </c>
      <c r="GB63" s="59">
        <f t="shared" si="371"/>
        <v>44135</v>
      </c>
      <c r="GC63" s="58">
        <f t="shared" si="371"/>
        <v>44136</v>
      </c>
      <c r="GD63" s="59">
        <f t="shared" si="371"/>
        <v>44137</v>
      </c>
      <c r="GE63" s="59">
        <f t="shared" si="371"/>
        <v>44138</v>
      </c>
      <c r="GF63" s="59">
        <f t="shared" si="371"/>
        <v>44139</v>
      </c>
      <c r="GG63" s="59">
        <f t="shared" si="371"/>
        <v>44140</v>
      </c>
      <c r="GH63" s="59">
        <f t="shared" si="371"/>
        <v>44141</v>
      </c>
      <c r="GI63" s="59">
        <f t="shared" si="371"/>
        <v>44142</v>
      </c>
      <c r="GJ63" s="58">
        <f t="shared" si="371"/>
        <v>44143</v>
      </c>
      <c r="GK63" s="59">
        <f t="shared" si="371"/>
        <v>44144</v>
      </c>
      <c r="GL63" s="59">
        <f t="shared" si="371"/>
        <v>44145</v>
      </c>
      <c r="GM63" s="59">
        <f t="shared" si="371"/>
        <v>44146</v>
      </c>
      <c r="GN63" s="59">
        <f t="shared" si="371"/>
        <v>44147</v>
      </c>
      <c r="GO63" s="59">
        <f t="shared" si="371"/>
        <v>44148</v>
      </c>
      <c r="GP63" s="59">
        <f t="shared" si="371"/>
        <v>44149</v>
      </c>
      <c r="GQ63" s="58">
        <f t="shared" si="371"/>
        <v>44150</v>
      </c>
      <c r="GR63" s="59">
        <f t="shared" si="371"/>
        <v>44151</v>
      </c>
      <c r="GS63" s="59">
        <f t="shared" si="371"/>
        <v>44152</v>
      </c>
      <c r="GT63" s="59">
        <f t="shared" si="371"/>
        <v>44153</v>
      </c>
      <c r="GU63" s="59">
        <f t="shared" si="371"/>
        <v>44154</v>
      </c>
      <c r="GV63" s="59">
        <f t="shared" si="371"/>
        <v>44155</v>
      </c>
      <c r="GW63" s="59">
        <f t="shared" si="371"/>
        <v>44156</v>
      </c>
      <c r="GX63" s="58">
        <f t="shared" si="371"/>
        <v>44157</v>
      </c>
      <c r="GY63" s="59">
        <f t="shared" si="371"/>
        <v>44158</v>
      </c>
      <c r="GZ63" s="59">
        <f t="shared" si="371"/>
        <v>44159</v>
      </c>
      <c r="HA63" s="59">
        <f t="shared" si="371"/>
        <v>44160</v>
      </c>
      <c r="HB63" s="59">
        <f t="shared" si="371"/>
        <v>44161</v>
      </c>
      <c r="HC63" s="59">
        <f t="shared" si="371"/>
        <v>44162</v>
      </c>
      <c r="HD63" s="59">
        <f t="shared" si="371"/>
        <v>44163</v>
      </c>
      <c r="HE63" s="58">
        <f t="shared" si="371"/>
        <v>44164</v>
      </c>
      <c r="HF63" s="59">
        <f t="shared" si="371"/>
        <v>44165</v>
      </c>
      <c r="HG63" s="59">
        <f t="shared" si="371"/>
        <v>44166</v>
      </c>
      <c r="HH63" s="59">
        <f t="shared" ref="HH63:JS63" si="372">HH36</f>
        <v>44167</v>
      </c>
      <c r="HI63" s="59">
        <f t="shared" si="372"/>
        <v>44168</v>
      </c>
      <c r="HJ63" s="59">
        <f t="shared" si="372"/>
        <v>44169</v>
      </c>
      <c r="HK63" s="59">
        <f t="shared" si="372"/>
        <v>44170</v>
      </c>
      <c r="HL63" s="58">
        <f t="shared" si="372"/>
        <v>44171</v>
      </c>
      <c r="HM63" s="59">
        <f t="shared" si="372"/>
        <v>44172</v>
      </c>
      <c r="HN63" s="59">
        <f t="shared" si="372"/>
        <v>44173</v>
      </c>
      <c r="HO63" s="59">
        <f t="shared" si="372"/>
        <v>44174</v>
      </c>
      <c r="HP63" s="59">
        <f t="shared" si="372"/>
        <v>44175</v>
      </c>
      <c r="HQ63" s="59">
        <f t="shared" si="372"/>
        <v>44176</v>
      </c>
      <c r="HR63" s="59">
        <f t="shared" si="372"/>
        <v>44177</v>
      </c>
      <c r="HS63" s="58">
        <f t="shared" si="372"/>
        <v>44178</v>
      </c>
      <c r="HT63" s="59">
        <f t="shared" si="372"/>
        <v>44179</v>
      </c>
      <c r="HU63" s="59">
        <f t="shared" si="372"/>
        <v>44180</v>
      </c>
      <c r="HV63" s="59">
        <f t="shared" si="372"/>
        <v>44181</v>
      </c>
      <c r="HW63" s="59">
        <f t="shared" si="372"/>
        <v>44182</v>
      </c>
      <c r="HX63" s="59">
        <f t="shared" si="372"/>
        <v>44183</v>
      </c>
      <c r="HY63" s="59">
        <f t="shared" si="372"/>
        <v>44184</v>
      </c>
      <c r="HZ63" s="58">
        <f t="shared" si="372"/>
        <v>44185</v>
      </c>
      <c r="IA63" s="59">
        <f t="shared" si="372"/>
        <v>44186</v>
      </c>
      <c r="IB63" s="59">
        <f t="shared" si="372"/>
        <v>44187</v>
      </c>
      <c r="IC63" s="59">
        <f t="shared" si="372"/>
        <v>44188</v>
      </c>
      <c r="ID63" s="59">
        <f t="shared" si="372"/>
        <v>44189</v>
      </c>
      <c r="IE63" s="59">
        <f t="shared" si="372"/>
        <v>44190</v>
      </c>
      <c r="IF63" s="59">
        <f t="shared" si="372"/>
        <v>44191</v>
      </c>
      <c r="IG63" s="58">
        <f t="shared" si="372"/>
        <v>44192</v>
      </c>
      <c r="IH63" s="59">
        <f t="shared" si="372"/>
        <v>44193</v>
      </c>
      <c r="II63" s="59">
        <f t="shared" si="372"/>
        <v>44194</v>
      </c>
      <c r="IJ63" s="59">
        <f t="shared" si="372"/>
        <v>44195</v>
      </c>
      <c r="IK63" s="59">
        <f t="shared" si="372"/>
        <v>44196</v>
      </c>
      <c r="IL63" s="59">
        <f t="shared" si="372"/>
        <v>44197</v>
      </c>
      <c r="IM63" s="59">
        <f t="shared" si="372"/>
        <v>44198</v>
      </c>
      <c r="IN63" s="58">
        <f t="shared" si="372"/>
        <v>44199</v>
      </c>
      <c r="IO63" s="59">
        <f t="shared" si="372"/>
        <v>44200</v>
      </c>
      <c r="IP63" s="59">
        <f t="shared" si="372"/>
        <v>44201</v>
      </c>
      <c r="IQ63" s="59">
        <f t="shared" si="372"/>
        <v>44202</v>
      </c>
      <c r="IR63" s="59">
        <f t="shared" si="372"/>
        <v>44203</v>
      </c>
      <c r="IS63" s="59">
        <f t="shared" si="372"/>
        <v>44204</v>
      </c>
      <c r="IT63" s="59">
        <f t="shared" si="372"/>
        <v>44205</v>
      </c>
      <c r="IU63" s="58">
        <f t="shared" si="372"/>
        <v>44206</v>
      </c>
      <c r="IV63" s="59">
        <f t="shared" si="372"/>
        <v>44207</v>
      </c>
      <c r="IW63" s="59">
        <f t="shared" si="372"/>
        <v>44208</v>
      </c>
      <c r="IX63" s="59">
        <f t="shared" si="372"/>
        <v>44209</v>
      </c>
      <c r="IY63" s="59">
        <f t="shared" si="372"/>
        <v>44210</v>
      </c>
      <c r="IZ63" s="59">
        <f t="shared" si="372"/>
        <v>44211</v>
      </c>
      <c r="JA63" s="59">
        <f t="shared" si="372"/>
        <v>44212</v>
      </c>
      <c r="JB63" s="58">
        <f t="shared" si="372"/>
        <v>44213</v>
      </c>
      <c r="JC63" s="59">
        <f t="shared" si="372"/>
        <v>44214</v>
      </c>
      <c r="JD63" s="59">
        <f t="shared" si="372"/>
        <v>44215</v>
      </c>
      <c r="JE63" s="59">
        <f t="shared" si="372"/>
        <v>44216</v>
      </c>
      <c r="JF63" s="59">
        <f t="shared" si="372"/>
        <v>44217</v>
      </c>
      <c r="JG63" s="59">
        <f t="shared" si="372"/>
        <v>44218</v>
      </c>
      <c r="JH63" s="59">
        <f t="shared" si="372"/>
        <v>44219</v>
      </c>
      <c r="JI63" s="58">
        <f t="shared" si="372"/>
        <v>44220</v>
      </c>
      <c r="JJ63" s="59">
        <f t="shared" si="372"/>
        <v>44221</v>
      </c>
      <c r="JK63" s="59">
        <f t="shared" si="372"/>
        <v>44222</v>
      </c>
      <c r="JL63" s="59">
        <f t="shared" si="372"/>
        <v>44223</v>
      </c>
      <c r="JM63" s="59">
        <f t="shared" si="372"/>
        <v>44224</v>
      </c>
      <c r="JN63" s="59">
        <f t="shared" si="372"/>
        <v>44225</v>
      </c>
      <c r="JO63" s="59">
        <f t="shared" si="372"/>
        <v>44226</v>
      </c>
      <c r="JP63" s="58">
        <f t="shared" si="372"/>
        <v>44227</v>
      </c>
      <c r="JQ63" s="59">
        <f t="shared" si="372"/>
        <v>44228</v>
      </c>
      <c r="JR63" s="59">
        <f t="shared" si="372"/>
        <v>44229</v>
      </c>
      <c r="JS63" s="59">
        <f t="shared" si="372"/>
        <v>44230</v>
      </c>
      <c r="JT63" s="59">
        <f t="shared" ref="JT63:MA63" si="373">JT36</f>
        <v>44231</v>
      </c>
      <c r="JU63" s="59">
        <f t="shared" si="373"/>
        <v>44232</v>
      </c>
      <c r="JV63" s="59">
        <f t="shared" si="373"/>
        <v>44233</v>
      </c>
      <c r="JW63" s="58">
        <f t="shared" si="373"/>
        <v>44234</v>
      </c>
      <c r="JX63" s="59">
        <f t="shared" si="373"/>
        <v>44235</v>
      </c>
      <c r="JY63" s="59">
        <f t="shared" si="373"/>
        <v>44236</v>
      </c>
      <c r="JZ63" s="59">
        <f t="shared" si="373"/>
        <v>44237</v>
      </c>
      <c r="KA63" s="59">
        <f t="shared" si="373"/>
        <v>44238</v>
      </c>
      <c r="KB63" s="59">
        <f t="shared" si="373"/>
        <v>44239</v>
      </c>
      <c r="KC63" s="59">
        <f t="shared" si="373"/>
        <v>44240</v>
      </c>
      <c r="KD63" s="58">
        <f t="shared" si="373"/>
        <v>44241</v>
      </c>
      <c r="KE63" s="59">
        <f t="shared" si="373"/>
        <v>44242</v>
      </c>
      <c r="KF63" s="59">
        <f t="shared" si="373"/>
        <v>44243</v>
      </c>
      <c r="KG63" s="59">
        <f t="shared" si="373"/>
        <v>44244</v>
      </c>
      <c r="KH63" s="59">
        <f t="shared" si="373"/>
        <v>44245</v>
      </c>
      <c r="KI63" s="59">
        <f t="shared" si="373"/>
        <v>44246</v>
      </c>
      <c r="KJ63" s="59">
        <f t="shared" si="373"/>
        <v>44247</v>
      </c>
      <c r="KK63" s="58">
        <f t="shared" si="373"/>
        <v>44248</v>
      </c>
      <c r="KL63" s="59">
        <f t="shared" si="373"/>
        <v>44249</v>
      </c>
      <c r="KM63" s="59">
        <f t="shared" si="373"/>
        <v>44250</v>
      </c>
      <c r="KN63" s="59">
        <f t="shared" si="373"/>
        <v>44251</v>
      </c>
      <c r="KO63" s="59">
        <f t="shared" si="373"/>
        <v>44252</v>
      </c>
      <c r="KP63" s="59">
        <f t="shared" si="373"/>
        <v>44253</v>
      </c>
      <c r="KQ63" s="59">
        <f t="shared" si="373"/>
        <v>44254</v>
      </c>
      <c r="KR63" s="58">
        <f t="shared" si="373"/>
        <v>44255</v>
      </c>
      <c r="KS63" s="59">
        <f t="shared" si="373"/>
        <v>44256</v>
      </c>
      <c r="KT63" s="59">
        <f t="shared" si="373"/>
        <v>44257</v>
      </c>
      <c r="KU63" s="59">
        <f t="shared" si="373"/>
        <v>44258</v>
      </c>
      <c r="KV63" s="59">
        <f t="shared" si="373"/>
        <v>44259</v>
      </c>
      <c r="KW63" s="59">
        <f t="shared" si="373"/>
        <v>44260</v>
      </c>
      <c r="KX63" s="59">
        <f t="shared" si="373"/>
        <v>44261</v>
      </c>
      <c r="KY63" s="58">
        <f t="shared" si="373"/>
        <v>44262</v>
      </c>
      <c r="KZ63" s="59">
        <f t="shared" si="373"/>
        <v>44263</v>
      </c>
      <c r="LA63" s="59">
        <f t="shared" si="373"/>
        <v>44264</v>
      </c>
      <c r="LB63" s="59">
        <f t="shared" si="373"/>
        <v>44265</v>
      </c>
      <c r="LC63" s="59">
        <f t="shared" si="373"/>
        <v>44266</v>
      </c>
      <c r="LD63" s="59">
        <f t="shared" si="373"/>
        <v>44267</v>
      </c>
      <c r="LE63" s="59">
        <f t="shared" si="373"/>
        <v>44268</v>
      </c>
      <c r="LF63" s="58">
        <f t="shared" si="373"/>
        <v>44269</v>
      </c>
      <c r="LG63" s="59">
        <f t="shared" si="373"/>
        <v>44270</v>
      </c>
      <c r="LH63" s="59">
        <f t="shared" si="373"/>
        <v>44271</v>
      </c>
      <c r="LI63" s="59">
        <f t="shared" si="373"/>
        <v>44272</v>
      </c>
      <c r="LJ63" s="59">
        <f t="shared" si="373"/>
        <v>44273</v>
      </c>
      <c r="LK63" s="59">
        <f t="shared" si="373"/>
        <v>44274</v>
      </c>
      <c r="LL63" s="59">
        <f t="shared" si="373"/>
        <v>44275</v>
      </c>
      <c r="LM63" s="58">
        <f t="shared" si="373"/>
        <v>44276</v>
      </c>
      <c r="LN63" s="59">
        <f t="shared" si="373"/>
        <v>44277</v>
      </c>
      <c r="LO63" s="59">
        <f t="shared" si="373"/>
        <v>44278</v>
      </c>
      <c r="LP63" s="59">
        <f t="shared" si="373"/>
        <v>44279</v>
      </c>
      <c r="LQ63" s="59">
        <f t="shared" si="373"/>
        <v>44280</v>
      </c>
      <c r="LR63" s="59">
        <f t="shared" si="373"/>
        <v>44281</v>
      </c>
      <c r="LS63" s="59">
        <f t="shared" si="373"/>
        <v>44282</v>
      </c>
      <c r="LT63" s="58">
        <f t="shared" si="373"/>
        <v>44283</v>
      </c>
      <c r="LU63" s="59">
        <f t="shared" si="373"/>
        <v>44284</v>
      </c>
      <c r="LV63" s="59">
        <f t="shared" si="373"/>
        <v>44285</v>
      </c>
      <c r="LW63" s="59">
        <f t="shared" si="373"/>
        <v>44286</v>
      </c>
      <c r="LX63" s="59">
        <f t="shared" si="373"/>
        <v>44287</v>
      </c>
      <c r="LY63" s="59">
        <f t="shared" si="373"/>
        <v>44288</v>
      </c>
      <c r="LZ63" s="59">
        <f t="shared" si="373"/>
        <v>44289</v>
      </c>
      <c r="MA63" s="58">
        <f t="shared" si="373"/>
        <v>44290</v>
      </c>
    </row>
    <row r="64" spans="1:339" ht="15" customHeight="1" x14ac:dyDescent="0.25">
      <c r="A64" s="109"/>
      <c r="B64" s="109"/>
      <c r="C64" s="109"/>
      <c r="D64" s="109"/>
      <c r="E64" s="110"/>
      <c r="F64" s="28"/>
      <c r="G64" s="28"/>
      <c r="H64" s="28"/>
      <c r="I64" s="28"/>
      <c r="J64" s="28"/>
      <c r="K64" s="28"/>
      <c r="L64" s="28"/>
      <c r="M64" s="28"/>
      <c r="N64" s="28"/>
      <c r="O64" s="27"/>
      <c r="P64" s="112"/>
      <c r="Q64" s="114"/>
      <c r="R64" s="24"/>
      <c r="S64" s="25"/>
      <c r="T64" s="25"/>
      <c r="U64" s="25"/>
      <c r="V64" s="25"/>
      <c r="W64" s="25"/>
      <c r="X64" s="25"/>
      <c r="Y64" s="24"/>
      <c r="Z64" s="25"/>
      <c r="AA64" s="25"/>
      <c r="AB64" s="25"/>
      <c r="AC64" s="25"/>
      <c r="AD64" s="25"/>
      <c r="AE64" s="25"/>
      <c r="AF64" s="24"/>
      <c r="AG64" s="25"/>
      <c r="AH64" s="25" t="s">
        <v>38</v>
      </c>
      <c r="AI64" s="25"/>
      <c r="AJ64" s="25" t="s">
        <v>38</v>
      </c>
      <c r="AK64" s="25"/>
      <c r="AL64" s="25"/>
      <c r="AM64" s="24"/>
      <c r="AN64" s="25"/>
      <c r="AO64" s="25" t="s">
        <v>38</v>
      </c>
      <c r="AP64" s="25"/>
      <c r="AQ64" s="25" t="s">
        <v>38</v>
      </c>
      <c r="AR64" s="25"/>
      <c r="AS64" s="25"/>
      <c r="AT64" s="24"/>
      <c r="AU64" s="25"/>
      <c r="AV64" s="25" t="s">
        <v>38</v>
      </c>
      <c r="AW64" s="25" t="s">
        <v>264</v>
      </c>
      <c r="AX64" s="25" t="s">
        <v>38</v>
      </c>
      <c r="AY64" s="25"/>
      <c r="AZ64" s="25"/>
      <c r="BA64" s="24"/>
      <c r="BB64" s="25"/>
      <c r="BC64" s="25" t="s">
        <v>38</v>
      </c>
      <c r="BD64" s="25"/>
      <c r="BE64" s="25" t="s">
        <v>38</v>
      </c>
      <c r="BF64" s="25"/>
      <c r="BG64" s="25"/>
      <c r="BH64" s="24"/>
      <c r="BI64" s="25"/>
      <c r="BJ64" s="25" t="s">
        <v>38</v>
      </c>
      <c r="BK64" s="25"/>
      <c r="BL64" s="25" t="s">
        <v>38</v>
      </c>
      <c r="BM64" s="25"/>
      <c r="BN64" s="25"/>
      <c r="BO64" s="24" t="s">
        <v>148</v>
      </c>
      <c r="BP64" s="25"/>
      <c r="BQ64" s="25"/>
      <c r="BR64" s="25"/>
      <c r="BS64" s="25"/>
      <c r="BT64" s="25"/>
      <c r="BU64" s="25"/>
      <c r="BV64" s="25" t="s">
        <v>148</v>
      </c>
      <c r="BW64" s="25"/>
      <c r="BX64" s="24"/>
      <c r="BY64" s="25"/>
      <c r="BZ64" s="25"/>
      <c r="CA64" s="25"/>
      <c r="CB64" s="25"/>
      <c r="CC64" s="25"/>
      <c r="CD64" s="25"/>
      <c r="CE64" s="25"/>
      <c r="CF64" s="25"/>
      <c r="CG64" s="24"/>
      <c r="CH64" s="25"/>
      <c r="CI64" s="25"/>
      <c r="CJ64" s="25"/>
      <c r="CK64" s="25"/>
      <c r="CL64" s="25"/>
      <c r="CM64" s="25"/>
      <c r="CN64" s="25"/>
      <c r="CO64" s="25"/>
      <c r="CP64" s="24"/>
      <c r="CQ64" s="25"/>
      <c r="CR64" s="25"/>
      <c r="CS64" s="25"/>
      <c r="CT64" s="25"/>
      <c r="CU64" s="25"/>
      <c r="CV64" s="25"/>
      <c r="CW64" s="24"/>
      <c r="CX64" s="25"/>
      <c r="CY64" s="25"/>
      <c r="CZ64" s="25"/>
      <c r="DA64" s="25"/>
      <c r="DB64" s="25"/>
      <c r="DC64" s="25"/>
      <c r="DD64" s="24"/>
      <c r="DE64" s="25"/>
      <c r="DF64" s="25"/>
      <c r="DG64" s="25"/>
      <c r="DH64" s="25"/>
      <c r="DI64" s="25"/>
      <c r="DJ64" s="25"/>
      <c r="DK64" s="24"/>
      <c r="DL64" s="25"/>
      <c r="DM64" s="25"/>
      <c r="DN64" s="25"/>
      <c r="DO64" s="25"/>
      <c r="DP64" s="25"/>
      <c r="DQ64" s="25"/>
      <c r="DR64" s="24"/>
      <c r="DS64" s="25"/>
      <c r="DT64" s="25"/>
      <c r="DU64" s="25"/>
      <c r="DV64" s="25"/>
      <c r="DW64" s="25"/>
      <c r="DX64" s="25"/>
      <c r="DY64" s="24"/>
      <c r="DZ64" s="25"/>
      <c r="EA64" s="25"/>
      <c r="EB64" s="25"/>
      <c r="EC64" s="25"/>
      <c r="ED64" s="25"/>
      <c r="EE64" s="25"/>
      <c r="EF64" s="24"/>
      <c r="EG64" s="25"/>
      <c r="EH64" s="25" t="s">
        <v>38</v>
      </c>
      <c r="EI64" s="25"/>
      <c r="EJ64" s="25" t="s">
        <v>38</v>
      </c>
      <c r="EK64" s="25"/>
      <c r="EL64" s="25"/>
      <c r="EM64" s="24"/>
      <c r="EN64" s="25"/>
      <c r="EO64" s="25" t="s">
        <v>38</v>
      </c>
      <c r="EP64" s="25"/>
      <c r="EQ64" s="25" t="s">
        <v>38</v>
      </c>
      <c r="ER64" s="25"/>
      <c r="ES64" s="25"/>
      <c r="ET64" s="24"/>
      <c r="EU64" s="25"/>
      <c r="EV64" s="25"/>
      <c r="EW64" s="25"/>
      <c r="EX64" s="25"/>
      <c r="EY64" s="25" t="s">
        <v>38</v>
      </c>
      <c r="EZ64" s="25"/>
      <c r="FA64" s="24"/>
      <c r="FB64" s="25"/>
      <c r="FC64" s="25" t="s">
        <v>38</v>
      </c>
      <c r="FD64" s="25"/>
      <c r="FE64" s="25" t="s">
        <v>38</v>
      </c>
      <c r="FF64" s="25"/>
      <c r="FG64" s="25"/>
      <c r="FH64" s="24"/>
      <c r="FI64" s="25"/>
      <c r="FJ64" s="25" t="s">
        <v>38</v>
      </c>
      <c r="FK64" s="25"/>
      <c r="FL64" s="25" t="s">
        <v>38</v>
      </c>
      <c r="FM64" s="25"/>
      <c r="FN64" s="25"/>
      <c r="FO64" s="24"/>
      <c r="FP64" s="25"/>
      <c r="FQ64" s="25" t="s">
        <v>38</v>
      </c>
      <c r="FR64" s="25"/>
      <c r="FS64" s="25" t="s">
        <v>38</v>
      </c>
      <c r="FT64" s="25"/>
      <c r="FU64" s="25"/>
      <c r="FV64" s="24"/>
      <c r="FW64" s="25"/>
      <c r="FX64" s="25" t="s">
        <v>38</v>
      </c>
      <c r="FY64" s="25"/>
      <c r="FZ64" s="25" t="s">
        <v>38</v>
      </c>
      <c r="GA64" s="25"/>
      <c r="GB64" s="25"/>
      <c r="GC64" s="24"/>
      <c r="GD64" s="25"/>
      <c r="GE64" s="25" t="s">
        <v>38</v>
      </c>
      <c r="GF64" s="25"/>
      <c r="GG64" s="25" t="s">
        <v>38</v>
      </c>
      <c r="GH64" s="25"/>
      <c r="GI64" s="25"/>
      <c r="GJ64" s="24"/>
      <c r="GK64" s="25"/>
      <c r="GL64" s="25" t="s">
        <v>38</v>
      </c>
      <c r="GM64" s="25"/>
      <c r="GN64" s="25" t="s">
        <v>38</v>
      </c>
      <c r="GO64" s="25"/>
      <c r="GP64" s="25"/>
      <c r="GQ64" s="24"/>
      <c r="GR64" s="25"/>
      <c r="GS64" s="25" t="s">
        <v>38</v>
      </c>
      <c r="GT64" s="25"/>
      <c r="GU64" s="25" t="s">
        <v>38</v>
      </c>
      <c r="GV64" s="25"/>
      <c r="GW64" s="25"/>
      <c r="GX64" s="24"/>
      <c r="GY64" s="25"/>
      <c r="GZ64" s="25" t="s">
        <v>38</v>
      </c>
      <c r="HA64" s="25"/>
      <c r="HB64" s="25" t="s">
        <v>38</v>
      </c>
      <c r="HC64" s="25"/>
      <c r="HD64" s="25"/>
      <c r="HE64" s="24"/>
      <c r="HF64" s="25"/>
      <c r="HG64" s="25" t="s">
        <v>38</v>
      </c>
      <c r="HH64" s="25"/>
      <c r="HI64" s="25" t="s">
        <v>38</v>
      </c>
      <c r="HJ64" s="25"/>
      <c r="HK64" s="25"/>
      <c r="HL64" s="24"/>
      <c r="HM64" s="25"/>
      <c r="HN64" s="25" t="s">
        <v>38</v>
      </c>
      <c r="HO64" s="25"/>
      <c r="HP64" s="25" t="s">
        <v>38</v>
      </c>
      <c r="HQ64" s="25"/>
      <c r="HR64" s="25"/>
      <c r="HS64" s="24"/>
      <c r="HT64" s="25"/>
      <c r="HU64" s="25" t="s">
        <v>38</v>
      </c>
      <c r="HV64" s="25"/>
      <c r="HW64" s="25" t="s">
        <v>38</v>
      </c>
      <c r="HX64" s="25"/>
      <c r="HY64" s="25"/>
      <c r="HZ64" s="24"/>
      <c r="IA64" s="25"/>
      <c r="IB64" s="25" t="s">
        <v>38</v>
      </c>
      <c r="IC64" s="25"/>
      <c r="ID64" s="25" t="s">
        <v>38</v>
      </c>
      <c r="IE64" s="25"/>
      <c r="IF64" s="25"/>
      <c r="IG64" s="24"/>
      <c r="IH64" s="25"/>
      <c r="II64" s="25" t="s">
        <v>38</v>
      </c>
      <c r="IJ64" s="25"/>
      <c r="IK64" s="25" t="s">
        <v>38</v>
      </c>
      <c r="IL64" s="25"/>
      <c r="IM64" s="25"/>
      <c r="IN64" s="24"/>
      <c r="IO64" s="25"/>
      <c r="IP64" s="25" t="s">
        <v>38</v>
      </c>
      <c r="IQ64" s="25"/>
      <c r="IR64" s="25" t="s">
        <v>38</v>
      </c>
      <c r="IS64" s="25"/>
      <c r="IT64" s="25"/>
      <c r="IU64" s="24"/>
      <c r="IV64" s="25"/>
      <c r="IW64" s="25" t="s">
        <v>38</v>
      </c>
      <c r="IX64" s="25"/>
      <c r="IY64" s="25" t="s">
        <v>38</v>
      </c>
      <c r="IZ64" s="25"/>
      <c r="JA64" s="25"/>
      <c r="JB64" s="24"/>
      <c r="JC64" s="25"/>
      <c r="JD64" s="25" t="s">
        <v>38</v>
      </c>
      <c r="JE64" s="25"/>
      <c r="JF64" s="25" t="s">
        <v>38</v>
      </c>
      <c r="JG64" s="25"/>
      <c r="JH64" s="25"/>
      <c r="JI64" s="24"/>
      <c r="JJ64" s="25"/>
      <c r="JK64" s="25" t="s">
        <v>38</v>
      </c>
      <c r="JL64" s="25"/>
      <c r="JM64" s="25" t="s">
        <v>38</v>
      </c>
      <c r="JN64" s="25"/>
      <c r="JO64" s="25"/>
      <c r="JP64" s="24"/>
      <c r="JQ64" s="25"/>
      <c r="JR64" s="25" t="s">
        <v>38</v>
      </c>
      <c r="JS64" s="25"/>
      <c r="JT64" s="25" t="s">
        <v>38</v>
      </c>
      <c r="JU64" s="25"/>
      <c r="JV64" s="25"/>
      <c r="JW64" s="24"/>
      <c r="JX64" s="25"/>
      <c r="JY64" s="25" t="s">
        <v>38</v>
      </c>
      <c r="JZ64" s="25"/>
      <c r="KA64" s="25" t="s">
        <v>38</v>
      </c>
      <c r="KB64" s="25"/>
      <c r="KC64" s="25"/>
      <c r="KD64" s="24"/>
      <c r="KE64" s="25"/>
      <c r="KF64" s="25" t="s">
        <v>38</v>
      </c>
      <c r="KG64" s="25"/>
      <c r="KH64" s="25" t="s">
        <v>38</v>
      </c>
      <c r="KI64" s="25"/>
      <c r="KJ64" s="25"/>
      <c r="KK64" s="24"/>
      <c r="KL64" s="25"/>
      <c r="KM64" s="25" t="s">
        <v>38</v>
      </c>
      <c r="KN64" s="25"/>
      <c r="KO64" s="25" t="s">
        <v>38</v>
      </c>
      <c r="KP64" s="25"/>
      <c r="KQ64" s="25"/>
      <c r="KR64" s="24"/>
      <c r="KS64" s="25"/>
      <c r="KT64" s="25" t="s">
        <v>38</v>
      </c>
      <c r="KU64" s="25"/>
      <c r="KV64" s="25" t="s">
        <v>38</v>
      </c>
      <c r="KW64" s="25"/>
      <c r="KX64" s="25"/>
      <c r="KY64" s="26"/>
      <c r="KZ64" s="25"/>
      <c r="LA64" s="25" t="s">
        <v>38</v>
      </c>
      <c r="LB64" s="25"/>
      <c r="LC64" s="25" t="s">
        <v>38</v>
      </c>
      <c r="LD64" s="25"/>
      <c r="LE64" s="25"/>
      <c r="LF64" s="24"/>
      <c r="LG64" s="25"/>
      <c r="LH64" s="25"/>
      <c r="LI64" s="25"/>
      <c r="LJ64" s="25"/>
      <c r="LK64" s="25"/>
      <c r="LL64" s="25"/>
      <c r="LM64" s="24"/>
      <c r="LN64" s="25"/>
      <c r="LO64" s="25"/>
      <c r="LP64" s="25"/>
      <c r="LQ64" s="25"/>
      <c r="LR64" s="25"/>
      <c r="LS64" s="25"/>
      <c r="LT64" s="24"/>
      <c r="LU64" s="25"/>
      <c r="LV64" s="25"/>
      <c r="LW64" s="25"/>
      <c r="LX64" s="25"/>
      <c r="LY64" s="25"/>
      <c r="LZ64" s="25"/>
      <c r="MA64" s="24"/>
    </row>
    <row r="65" spans="1:339" x14ac:dyDescent="0.25">
      <c r="A65" s="23" t="s">
        <v>16</v>
      </c>
      <c r="B65" s="20"/>
      <c r="C65" s="20"/>
      <c r="D65" s="20"/>
      <c r="E65" s="20"/>
      <c r="F65" s="22" t="str">
        <f t="shared" ref="F65:F70" si="374">IF($E65 &gt;= F$39, 1, "")</f>
        <v/>
      </c>
      <c r="G65" s="20"/>
      <c r="H65" s="20"/>
      <c r="I65" s="20" t="str">
        <f t="shared" ref="I65:L66" si="375">IF($E65 &gt;= I$39, 1, "")</f>
        <v/>
      </c>
      <c r="J65" s="20" t="str">
        <f t="shared" si="375"/>
        <v/>
      </c>
      <c r="K65" s="20" t="str">
        <f t="shared" si="375"/>
        <v/>
      </c>
      <c r="L65" s="20" t="str">
        <f t="shared" si="375"/>
        <v/>
      </c>
      <c r="M65" s="20"/>
      <c r="N65" s="20"/>
      <c r="O65" s="21"/>
      <c r="P65" s="20" t="str">
        <f t="shared" ref="P65:P70" si="376">IF(SUM(R65:MA65) &gt; 0, SUM(R65:MA65), "")</f>
        <v/>
      </c>
      <c r="Q65" s="84" t="str">
        <f>IF(SUM(R65:XFD65) &gt; 0, SUM(R65:XFD65) / $P$83 * 100, "")</f>
        <v/>
      </c>
      <c r="R65" s="21"/>
      <c r="S65" s="20"/>
      <c r="T65" s="20"/>
      <c r="U65" s="20"/>
      <c r="V65" s="20"/>
      <c r="W65" s="20"/>
      <c r="X65" s="20"/>
      <c r="Y65" s="21"/>
      <c r="Z65" s="20"/>
      <c r="AA65" s="20"/>
      <c r="AB65" s="20"/>
      <c r="AC65" s="20"/>
      <c r="AD65" s="20"/>
      <c r="AE65" s="20"/>
      <c r="AF65" s="21"/>
      <c r="AG65" s="20"/>
      <c r="AH65" s="20"/>
      <c r="AI65" s="20"/>
      <c r="AJ65" s="20"/>
      <c r="AK65" s="20"/>
      <c r="AL65" s="20"/>
      <c r="AM65" s="21"/>
      <c r="AN65" s="20"/>
      <c r="AO65" s="20"/>
      <c r="AP65" s="20"/>
      <c r="AQ65" s="20"/>
      <c r="AR65" s="20"/>
      <c r="AS65" s="20"/>
      <c r="AT65" s="21"/>
      <c r="AU65" s="20"/>
      <c r="AV65" s="20"/>
      <c r="AW65" s="20"/>
      <c r="AX65" s="20"/>
      <c r="AY65" s="20"/>
      <c r="AZ65" s="20"/>
      <c r="BA65" s="21"/>
      <c r="BB65" s="20"/>
      <c r="BC65" s="20"/>
      <c r="BD65" s="20"/>
      <c r="BE65" s="20"/>
      <c r="BF65" s="20"/>
      <c r="BG65" s="20"/>
      <c r="BH65" s="21"/>
      <c r="BI65" s="20"/>
      <c r="BJ65" s="20"/>
      <c r="BK65" s="20"/>
      <c r="BL65" s="20"/>
      <c r="BM65" s="20"/>
      <c r="BN65" s="20"/>
      <c r="BO65" s="21"/>
      <c r="BP65" s="20"/>
      <c r="BQ65" s="20"/>
      <c r="BR65" s="20"/>
      <c r="BS65" s="20"/>
      <c r="BT65" s="20"/>
      <c r="BU65" s="20"/>
      <c r="BV65" s="20"/>
      <c r="BW65" s="20"/>
      <c r="BX65" s="21"/>
      <c r="BY65" s="20"/>
      <c r="BZ65" s="20"/>
      <c r="CA65" s="20"/>
      <c r="CB65" s="20"/>
      <c r="CC65" s="20"/>
      <c r="CD65" s="20"/>
      <c r="CE65" s="20"/>
      <c r="CF65" s="20"/>
      <c r="CG65" s="21"/>
      <c r="CH65" s="20"/>
      <c r="CI65" s="20"/>
      <c r="CJ65" s="20"/>
      <c r="CK65" s="20"/>
      <c r="CL65" s="20"/>
      <c r="CM65" s="20"/>
      <c r="CN65" s="20"/>
      <c r="CO65" s="20"/>
      <c r="CP65" s="21"/>
      <c r="CQ65" s="20"/>
      <c r="CR65" s="20"/>
      <c r="CS65" s="20"/>
      <c r="CT65" s="20"/>
      <c r="CU65" s="20"/>
      <c r="CV65" s="20"/>
      <c r="CW65" s="21"/>
      <c r="CX65" s="20"/>
      <c r="CY65" s="20"/>
      <c r="CZ65" s="20"/>
      <c r="DA65" s="20"/>
      <c r="DB65" s="20"/>
      <c r="DC65" s="20"/>
      <c r="DD65" s="21"/>
      <c r="DE65" s="20"/>
      <c r="DF65" s="20"/>
      <c r="DG65" s="20"/>
      <c r="DH65" s="20"/>
      <c r="DI65" s="20"/>
      <c r="DJ65" s="20"/>
      <c r="DK65" s="21"/>
      <c r="DL65" s="20"/>
      <c r="DM65" s="20"/>
      <c r="DN65" s="20"/>
      <c r="DO65" s="20"/>
      <c r="DP65" s="20"/>
      <c r="DQ65" s="20"/>
      <c r="DR65" s="21"/>
      <c r="DS65" s="20"/>
      <c r="DT65" s="20"/>
      <c r="DU65" s="20"/>
      <c r="DV65" s="20"/>
      <c r="DW65" s="20"/>
      <c r="DX65" s="20"/>
      <c r="DY65" s="21"/>
      <c r="DZ65" s="20"/>
      <c r="EA65" s="20"/>
      <c r="EB65" s="20"/>
      <c r="EC65" s="20"/>
      <c r="ED65" s="20"/>
      <c r="EE65" s="20"/>
      <c r="EF65" s="21"/>
      <c r="EG65" s="20"/>
      <c r="EH65" s="20"/>
      <c r="EI65" s="20"/>
      <c r="EJ65" s="20"/>
      <c r="EK65" s="20"/>
      <c r="EL65" s="20"/>
      <c r="EM65" s="21"/>
      <c r="EN65" s="20"/>
      <c r="EO65" s="20"/>
      <c r="EP65" s="20"/>
      <c r="EQ65" s="20"/>
      <c r="ER65" s="20"/>
      <c r="ES65" s="20"/>
      <c r="ET65" s="21"/>
      <c r="EU65" s="20"/>
      <c r="EV65" s="20"/>
      <c r="EW65" s="20"/>
      <c r="EX65" s="20"/>
      <c r="EY65" s="20"/>
      <c r="EZ65" s="20"/>
      <c r="FA65" s="21"/>
      <c r="FB65" s="20"/>
      <c r="FC65" s="20"/>
      <c r="FD65" s="20"/>
      <c r="FE65" s="20"/>
      <c r="FF65" s="20"/>
      <c r="FG65" s="20"/>
      <c r="FH65" s="21"/>
      <c r="FI65" s="20"/>
      <c r="FJ65" s="20"/>
      <c r="FK65" s="20"/>
      <c r="FL65" s="20"/>
      <c r="FM65" s="20"/>
      <c r="FN65" s="20"/>
      <c r="FO65" s="21"/>
      <c r="FP65" s="20"/>
      <c r="FQ65" s="20"/>
      <c r="FR65" s="20"/>
      <c r="FS65" s="20"/>
      <c r="FT65" s="20"/>
      <c r="FU65" s="20"/>
      <c r="FV65" s="21"/>
      <c r="FW65" s="20"/>
      <c r="FX65" s="20"/>
      <c r="FY65" s="20"/>
      <c r="FZ65" s="20"/>
      <c r="GA65" s="20"/>
      <c r="GB65" s="20"/>
      <c r="GC65" s="21"/>
      <c r="GD65" s="20"/>
      <c r="GE65" s="20"/>
      <c r="GF65" s="20"/>
      <c r="GG65" s="20"/>
      <c r="GH65" s="20"/>
      <c r="GI65" s="20"/>
      <c r="GJ65" s="21"/>
      <c r="GK65" s="20"/>
      <c r="GL65" s="20"/>
      <c r="GM65" s="20"/>
      <c r="GN65" s="20"/>
      <c r="GO65" s="20"/>
      <c r="GP65" s="20"/>
      <c r="GQ65" s="21"/>
      <c r="GR65" s="20"/>
      <c r="GS65" s="20"/>
      <c r="GT65" s="20"/>
      <c r="GU65" s="20"/>
      <c r="GV65" s="20"/>
      <c r="GW65" s="20"/>
      <c r="GX65" s="21"/>
      <c r="GY65" s="20"/>
      <c r="GZ65" s="20"/>
      <c r="HA65" s="20"/>
      <c r="HB65" s="20"/>
      <c r="HC65" s="20"/>
      <c r="HD65" s="20"/>
      <c r="HE65" s="21"/>
      <c r="HF65" s="20"/>
      <c r="HG65" s="20"/>
      <c r="HH65" s="20"/>
      <c r="HI65" s="20"/>
      <c r="HJ65" s="20"/>
      <c r="HK65" s="20"/>
      <c r="HL65" s="21"/>
      <c r="HM65" s="20"/>
      <c r="HN65" s="20"/>
      <c r="HO65" s="20"/>
      <c r="HP65" s="20"/>
      <c r="HQ65" s="20"/>
      <c r="HR65" s="20"/>
      <c r="HS65" s="21"/>
      <c r="HT65" s="20"/>
      <c r="HU65" s="20"/>
      <c r="HV65" s="20"/>
      <c r="HW65" s="20"/>
      <c r="HX65" s="20"/>
      <c r="HY65" s="20"/>
      <c r="HZ65" s="21"/>
      <c r="IA65" s="20"/>
      <c r="IB65" s="20"/>
      <c r="IC65" s="20"/>
      <c r="ID65" s="20"/>
      <c r="IE65" s="20"/>
      <c r="IF65" s="20"/>
      <c r="IG65" s="21"/>
      <c r="IH65" s="20"/>
      <c r="II65" s="20"/>
      <c r="IJ65" s="20"/>
      <c r="IK65" s="20"/>
      <c r="IL65" s="20"/>
      <c r="IM65" s="20"/>
      <c r="IN65" s="21"/>
      <c r="IO65" s="20"/>
      <c r="IP65" s="20"/>
      <c r="IQ65" s="20"/>
      <c r="IR65" s="20"/>
      <c r="IS65" s="20"/>
      <c r="IT65" s="20"/>
      <c r="IU65" s="21"/>
      <c r="IV65" s="20"/>
      <c r="IW65" s="20"/>
      <c r="IX65" s="20"/>
      <c r="IY65" s="20"/>
      <c r="IZ65" s="20"/>
      <c r="JA65" s="20"/>
      <c r="JB65" s="21"/>
      <c r="JC65" s="20"/>
      <c r="JD65" s="20"/>
      <c r="JE65" s="20"/>
      <c r="JF65" s="20"/>
      <c r="JG65" s="20"/>
      <c r="JH65" s="20"/>
      <c r="JI65" s="21"/>
      <c r="JJ65" s="20"/>
      <c r="JK65" s="20"/>
      <c r="JL65" s="20"/>
      <c r="JM65" s="20"/>
      <c r="JN65" s="20"/>
      <c r="JO65" s="20"/>
      <c r="JP65" s="21"/>
      <c r="JQ65" s="20"/>
      <c r="JR65" s="20"/>
      <c r="JS65" s="20"/>
      <c r="JT65" s="20"/>
      <c r="JU65" s="20"/>
      <c r="JV65" s="20"/>
      <c r="JW65" s="21"/>
      <c r="JX65" s="20"/>
      <c r="JY65" s="20"/>
      <c r="JZ65" s="20"/>
      <c r="KA65" s="20"/>
      <c r="KB65" s="20"/>
      <c r="KC65" s="20"/>
      <c r="KD65" s="21"/>
      <c r="KE65" s="20"/>
      <c r="KF65" s="20"/>
      <c r="KG65" s="20"/>
      <c r="KH65" s="20"/>
      <c r="KI65" s="20"/>
      <c r="KJ65" s="20"/>
      <c r="KK65" s="21"/>
      <c r="KL65" s="20"/>
      <c r="KM65" s="20"/>
      <c r="KN65" s="20"/>
      <c r="KO65" s="20"/>
      <c r="KP65" s="20"/>
      <c r="KQ65" s="20"/>
      <c r="KR65" s="21"/>
      <c r="KS65" s="20"/>
      <c r="KT65" s="20"/>
      <c r="KU65" s="20"/>
      <c r="KV65" s="20"/>
      <c r="KW65" s="20"/>
      <c r="KX65" s="20"/>
      <c r="KY65" s="21"/>
      <c r="KZ65" s="20"/>
      <c r="LA65" s="20"/>
      <c r="LB65" s="20"/>
      <c r="LC65" s="20"/>
      <c r="LD65" s="20"/>
      <c r="LE65" s="20"/>
      <c r="LF65" s="21"/>
      <c r="LG65" s="20"/>
      <c r="LH65" s="20"/>
      <c r="LI65" s="20"/>
      <c r="LJ65" s="20"/>
      <c r="LK65" s="20"/>
      <c r="LL65" s="20"/>
      <c r="LM65" s="21"/>
      <c r="LN65" s="20"/>
      <c r="LO65" s="20"/>
      <c r="LP65" s="20"/>
      <c r="LQ65" s="20"/>
      <c r="LR65" s="20"/>
      <c r="LS65" s="20"/>
      <c r="LT65" s="21"/>
      <c r="LU65" s="20"/>
      <c r="LV65" s="20"/>
      <c r="LW65" s="20"/>
      <c r="LX65" s="20"/>
      <c r="LY65" s="20"/>
      <c r="LZ65" s="20"/>
      <c r="MA65" s="21"/>
    </row>
    <row r="66" spans="1:339" ht="7.5" customHeight="1" x14ac:dyDescent="0.25">
      <c r="A66" s="8"/>
      <c r="B66" s="8"/>
      <c r="C66" s="8"/>
      <c r="D66" s="8"/>
      <c r="E66" s="8"/>
      <c r="F66" s="10" t="str">
        <f t="shared" si="374"/>
        <v/>
      </c>
      <c r="G66" s="19"/>
      <c r="H66" s="19"/>
      <c r="I66" s="19" t="str">
        <f t="shared" si="375"/>
        <v/>
      </c>
      <c r="J66" s="19" t="str">
        <f t="shared" si="375"/>
        <v/>
      </c>
      <c r="K66" s="19" t="str">
        <f t="shared" si="375"/>
        <v/>
      </c>
      <c r="L66" s="19" t="str">
        <f t="shared" si="375"/>
        <v/>
      </c>
      <c r="M66" s="8"/>
      <c r="N66" s="8"/>
      <c r="O66" s="9"/>
      <c r="P66" s="8" t="str">
        <f t="shared" si="376"/>
        <v/>
      </c>
      <c r="Q66" s="86" t="str">
        <f t="shared" ref="Q66:Q71" si="377">IF(SUM(R66:XFD66) &gt; 0, SUM(R66:XFD66) / $P$72 * 100, "")</f>
        <v/>
      </c>
      <c r="R66" s="7"/>
      <c r="Y66" s="7"/>
      <c r="AF66" s="7"/>
      <c r="AM66" s="7"/>
      <c r="AT66" s="7"/>
      <c r="BA66" s="7"/>
      <c r="BH66" s="7"/>
      <c r="BO66" s="7"/>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37</v>
      </c>
      <c r="B67" s="8"/>
      <c r="C67" s="8" t="s">
        <v>36</v>
      </c>
      <c r="D67" s="8" t="s">
        <v>35</v>
      </c>
      <c r="E67" s="18">
        <v>39448</v>
      </c>
      <c r="F67" s="10">
        <f t="shared" si="374"/>
        <v>1</v>
      </c>
      <c r="G67" s="19">
        <f t="shared" ref="G67:H70" si="378">IF($E67 &gt;= G$39, 1, "")</f>
        <v>1</v>
      </c>
      <c r="H67" s="19">
        <f t="shared" si="378"/>
        <v>1</v>
      </c>
      <c r="I67" s="8">
        <f t="shared" ref="I67:L70" si="379">IF($E67 &gt;= I$39, 1, "")</f>
        <v>1</v>
      </c>
      <c r="J67" s="8">
        <f t="shared" si="379"/>
        <v>1</v>
      </c>
      <c r="K67" s="8" t="str">
        <f t="shared" si="379"/>
        <v/>
      </c>
      <c r="L67" s="8" t="str">
        <f t="shared" si="379"/>
        <v/>
      </c>
      <c r="M67" s="8"/>
      <c r="N67" s="8"/>
      <c r="O67" s="9"/>
      <c r="P67" s="8">
        <f t="shared" si="376"/>
        <v>8</v>
      </c>
      <c r="Q67" s="86">
        <f t="shared" si="377"/>
        <v>61.53846153846154</v>
      </c>
      <c r="R67" s="7"/>
      <c r="Y67" s="7"/>
      <c r="AF67" s="7"/>
      <c r="AJ67">
        <v>1</v>
      </c>
      <c r="AM67" s="7"/>
      <c r="AO67">
        <v>1</v>
      </c>
      <c r="AT67" s="7"/>
      <c r="AV67">
        <v>1</v>
      </c>
      <c r="BA67" s="7"/>
      <c r="BC67">
        <v>1</v>
      </c>
      <c r="BH67" s="7"/>
      <c r="BJ67">
        <v>1</v>
      </c>
      <c r="BL67">
        <v>1</v>
      </c>
      <c r="BM67">
        <v>1</v>
      </c>
      <c r="BO67" s="7"/>
      <c r="BV67">
        <v>1</v>
      </c>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34</v>
      </c>
      <c r="B68" s="8"/>
      <c r="C68" s="8" t="s">
        <v>33</v>
      </c>
      <c r="D68" s="8" t="s">
        <v>32</v>
      </c>
      <c r="E68" s="18">
        <v>39649</v>
      </c>
      <c r="F68" s="10">
        <f t="shared" si="374"/>
        <v>1</v>
      </c>
      <c r="G68" s="19">
        <f t="shared" si="378"/>
        <v>1</v>
      </c>
      <c r="H68" s="19">
        <f t="shared" si="378"/>
        <v>1</v>
      </c>
      <c r="I68" s="8">
        <f t="shared" si="379"/>
        <v>1</v>
      </c>
      <c r="J68" s="8">
        <f t="shared" si="379"/>
        <v>1</v>
      </c>
      <c r="K68" s="8" t="str">
        <f t="shared" si="379"/>
        <v/>
      </c>
      <c r="L68" s="8" t="str">
        <f t="shared" si="379"/>
        <v/>
      </c>
      <c r="M68" s="8"/>
      <c r="N68" s="8"/>
      <c r="O68" s="9"/>
      <c r="P68" s="8" t="str">
        <f t="shared" si="376"/>
        <v/>
      </c>
      <c r="Q68" s="86" t="str">
        <f t="shared" si="377"/>
        <v/>
      </c>
      <c r="R68" s="7"/>
      <c r="Y68" s="7"/>
      <c r="AF68" s="7"/>
      <c r="AM68" s="7"/>
      <c r="AT68" s="7"/>
      <c r="BA68" s="7"/>
      <c r="BH68" s="7"/>
      <c r="BO68" s="7"/>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31</v>
      </c>
      <c r="B69" s="8"/>
      <c r="C69" s="8" t="s">
        <v>30</v>
      </c>
      <c r="D69" s="8" t="s">
        <v>29</v>
      </c>
      <c r="E69" s="18">
        <v>39453</v>
      </c>
      <c r="F69" s="10">
        <f t="shared" si="374"/>
        <v>1</v>
      </c>
      <c r="G69" s="19">
        <f t="shared" si="378"/>
        <v>1</v>
      </c>
      <c r="H69" s="19">
        <f t="shared" si="378"/>
        <v>1</v>
      </c>
      <c r="I69" s="8">
        <f t="shared" si="379"/>
        <v>1</v>
      </c>
      <c r="J69" s="8">
        <f t="shared" si="379"/>
        <v>1</v>
      </c>
      <c r="K69" s="8" t="str">
        <f t="shared" si="379"/>
        <v/>
      </c>
      <c r="L69" s="8" t="str">
        <f t="shared" si="379"/>
        <v/>
      </c>
      <c r="M69" s="8"/>
      <c r="N69" s="8"/>
      <c r="O69" s="9"/>
      <c r="P69" s="8">
        <f t="shared" si="376"/>
        <v>9</v>
      </c>
      <c r="Q69" s="86">
        <f t="shared" si="377"/>
        <v>69.230769230769226</v>
      </c>
      <c r="R69" s="7"/>
      <c r="Y69" s="7"/>
      <c r="AF69" s="7"/>
      <c r="AJ69">
        <v>1</v>
      </c>
      <c r="AM69" s="7"/>
      <c r="AQ69">
        <v>1</v>
      </c>
      <c r="AT69" s="7"/>
      <c r="BA69" s="7"/>
      <c r="BC69">
        <v>1</v>
      </c>
      <c r="BE69">
        <v>1</v>
      </c>
      <c r="BH69" s="7"/>
      <c r="BJ69">
        <v>1</v>
      </c>
      <c r="BL69">
        <v>1</v>
      </c>
      <c r="BM69">
        <v>1</v>
      </c>
      <c r="BO69" s="7">
        <v>1</v>
      </c>
      <c r="BV69">
        <v>1</v>
      </c>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x14ac:dyDescent="0.25">
      <c r="A70" s="8" t="s">
        <v>28</v>
      </c>
      <c r="B70" s="8"/>
      <c r="C70" s="8" t="s">
        <v>27</v>
      </c>
      <c r="D70" s="8" t="s">
        <v>26</v>
      </c>
      <c r="E70" s="18">
        <v>39802</v>
      </c>
      <c r="F70" s="10">
        <f t="shared" si="374"/>
        <v>1</v>
      </c>
      <c r="G70" s="19">
        <f t="shared" si="378"/>
        <v>1</v>
      </c>
      <c r="H70" s="19">
        <f t="shared" si="378"/>
        <v>1</v>
      </c>
      <c r="I70" s="8">
        <f t="shared" si="379"/>
        <v>1</v>
      </c>
      <c r="J70" s="8">
        <f t="shared" si="379"/>
        <v>1</v>
      </c>
      <c r="K70" s="8" t="str">
        <f t="shared" si="379"/>
        <v/>
      </c>
      <c r="L70" s="8" t="str">
        <f t="shared" si="379"/>
        <v/>
      </c>
      <c r="M70" s="8"/>
      <c r="N70" s="8"/>
      <c r="O70" s="9"/>
      <c r="P70" s="8">
        <f t="shared" si="376"/>
        <v>7</v>
      </c>
      <c r="Q70" s="86">
        <f t="shared" si="377"/>
        <v>53.846153846153847</v>
      </c>
      <c r="R70" s="7"/>
      <c r="Y70" s="7"/>
      <c r="AF70" s="7"/>
      <c r="AJ70">
        <v>1</v>
      </c>
      <c r="AM70" s="7"/>
      <c r="AO70">
        <v>1</v>
      </c>
      <c r="AT70" s="7"/>
      <c r="AV70">
        <v>1</v>
      </c>
      <c r="AX70">
        <v>1</v>
      </c>
      <c r="BA70" s="7"/>
      <c r="BC70">
        <v>1</v>
      </c>
      <c r="BE70">
        <v>1</v>
      </c>
      <c r="BH70" s="7"/>
      <c r="BL70">
        <v>1</v>
      </c>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7.5" customHeight="1" x14ac:dyDescent="0.25">
      <c r="A71" s="8"/>
      <c r="B71" s="8"/>
      <c r="C71" s="8"/>
      <c r="D71" s="8"/>
      <c r="E71" s="8"/>
      <c r="F71" s="10"/>
      <c r="G71" s="19"/>
      <c r="H71" s="19"/>
      <c r="I71" s="8"/>
      <c r="J71" s="8"/>
      <c r="K71" s="8"/>
      <c r="L71" s="8"/>
      <c r="M71" s="8"/>
      <c r="N71" s="8"/>
      <c r="O71" s="9"/>
      <c r="P71" s="8" t="str">
        <f>IF(SUM(Q71:MA71) &gt; 0, SUM(Q71:MA71), "")</f>
        <v/>
      </c>
      <c r="Q71" s="86" t="str">
        <f t="shared" si="377"/>
        <v/>
      </c>
      <c r="R71" s="7"/>
      <c r="Y71" s="7"/>
      <c r="AF71" s="7"/>
      <c r="AM71" s="7"/>
      <c r="AT71" s="7"/>
      <c r="BA71" s="7"/>
      <c r="BH71" s="7"/>
      <c r="BO71" s="7"/>
      <c r="BX71" s="7"/>
      <c r="CG71" s="7"/>
      <c r="CP71" s="7"/>
      <c r="CW71" s="7"/>
      <c r="DD71" s="7"/>
      <c r="DK71" s="7"/>
      <c r="DR71" s="7"/>
      <c r="DY71" s="7"/>
      <c r="EF71" s="7"/>
      <c r="EM71" s="7"/>
      <c r="ET71" s="7"/>
      <c r="FA71" s="7"/>
      <c r="FH71" s="7"/>
      <c r="FO71" s="7"/>
      <c r="FV71" s="7"/>
      <c r="GC71" s="7"/>
      <c r="GJ71" s="7"/>
      <c r="GQ71" s="7"/>
      <c r="GX71" s="7"/>
      <c r="HE71" s="7"/>
      <c r="HL71" s="7"/>
      <c r="HS71" s="7"/>
      <c r="HZ71" s="7"/>
      <c r="IG71" s="7"/>
      <c r="IN71" s="7"/>
      <c r="IU71" s="7"/>
      <c r="JB71" s="7"/>
      <c r="JI71" s="7"/>
      <c r="JP71" s="7"/>
      <c r="JW71" s="7"/>
      <c r="KD71" s="7"/>
      <c r="KK71" s="7"/>
      <c r="KR71" s="7"/>
      <c r="KY71" s="7"/>
      <c r="LF71" s="7"/>
      <c r="LM71" s="7"/>
      <c r="LT71" s="7"/>
      <c r="MA71" s="7"/>
    </row>
    <row r="72" spans="1:339" ht="15" customHeight="1" thickBot="1" x14ac:dyDescent="0.3">
      <c r="A72" s="20" t="s">
        <v>18</v>
      </c>
      <c r="B72" s="20"/>
      <c r="C72" s="20"/>
      <c r="D72" s="20"/>
      <c r="E72" s="21"/>
      <c r="F72" s="20"/>
      <c r="G72" s="20"/>
      <c r="H72" s="20"/>
      <c r="I72" s="20"/>
      <c r="J72" s="20"/>
      <c r="K72" s="20"/>
      <c r="L72" s="20"/>
      <c r="M72" s="20"/>
      <c r="N72" s="20"/>
      <c r="O72" s="21"/>
      <c r="P72" s="62">
        <f>SUM(R72:MA72)</f>
        <v>13</v>
      </c>
      <c r="Q72" s="21"/>
      <c r="R72" s="21"/>
      <c r="S72" s="20"/>
      <c r="T72" s="20"/>
      <c r="U72" s="20"/>
      <c r="V72" s="20"/>
      <c r="W72" s="20"/>
      <c r="X72" s="20"/>
      <c r="Y72" s="21"/>
      <c r="Z72" s="20"/>
      <c r="AA72" s="20"/>
      <c r="AB72" s="20"/>
      <c r="AC72" s="20"/>
      <c r="AD72" s="20"/>
      <c r="AE72" s="20"/>
      <c r="AF72" s="21"/>
      <c r="AG72" s="20"/>
      <c r="AH72" s="20">
        <v>1</v>
      </c>
      <c r="AI72" s="20"/>
      <c r="AJ72" s="20">
        <v>1</v>
      </c>
      <c r="AK72" s="20"/>
      <c r="AL72" s="20"/>
      <c r="AM72" s="21"/>
      <c r="AN72" s="20"/>
      <c r="AO72" s="20">
        <v>1</v>
      </c>
      <c r="AP72" s="20"/>
      <c r="AQ72" s="20">
        <v>1</v>
      </c>
      <c r="AR72" s="20"/>
      <c r="AS72" s="20"/>
      <c r="AT72" s="21"/>
      <c r="AU72" s="20"/>
      <c r="AV72" s="20">
        <v>1</v>
      </c>
      <c r="AW72" s="20">
        <v>1</v>
      </c>
      <c r="AX72" s="20">
        <v>1</v>
      </c>
      <c r="AY72" s="20"/>
      <c r="AZ72" s="20"/>
      <c r="BA72" s="21"/>
      <c r="BB72" s="20"/>
      <c r="BC72" s="20">
        <v>1</v>
      </c>
      <c r="BD72" s="20"/>
      <c r="BE72" s="20">
        <v>1</v>
      </c>
      <c r="BF72" s="20"/>
      <c r="BG72" s="20"/>
      <c r="BH72" s="21"/>
      <c r="BI72" s="20"/>
      <c r="BJ72" s="20">
        <v>1</v>
      </c>
      <c r="BK72" s="20"/>
      <c r="BL72" s="20"/>
      <c r="BM72" s="20">
        <v>1</v>
      </c>
      <c r="BN72" s="20"/>
      <c r="BO72" s="21">
        <v>1</v>
      </c>
      <c r="BP72" s="20"/>
      <c r="BQ72" s="20"/>
      <c r="BR72" s="20"/>
      <c r="BS72" s="20"/>
      <c r="BT72" s="20"/>
      <c r="BU72" s="20"/>
      <c r="BV72" s="20">
        <v>1</v>
      </c>
      <c r="BW72" s="20"/>
      <c r="BX72" s="21"/>
      <c r="BY72" s="20"/>
      <c r="BZ72" s="20"/>
      <c r="CA72" s="20"/>
      <c r="CB72" s="20"/>
      <c r="CC72" s="20"/>
      <c r="CD72" s="20"/>
      <c r="CE72" s="20"/>
      <c r="CF72" s="20"/>
      <c r="CG72" s="21"/>
      <c r="CH72" s="20"/>
      <c r="CI72" s="20"/>
      <c r="CJ72" s="20"/>
      <c r="CK72" s="20"/>
      <c r="CL72" s="20"/>
      <c r="CM72" s="20"/>
      <c r="CN72" s="20"/>
      <c r="CO72" s="20"/>
      <c r="CP72" s="21"/>
      <c r="CQ72" s="20"/>
      <c r="CR72" s="20"/>
      <c r="CS72" s="20"/>
      <c r="CT72" s="20"/>
      <c r="CU72" s="20"/>
      <c r="CV72" s="20"/>
      <c r="CW72" s="21"/>
      <c r="CX72" s="20"/>
      <c r="CY72" s="20"/>
      <c r="CZ72" s="20"/>
      <c r="DA72" s="20"/>
      <c r="DB72" s="20"/>
      <c r="DC72" s="20"/>
      <c r="DD72" s="21"/>
      <c r="DE72" s="20"/>
      <c r="DF72" s="20"/>
      <c r="DG72" s="20"/>
      <c r="DH72" s="20"/>
      <c r="DI72" s="20"/>
      <c r="DJ72" s="20"/>
      <c r="DK72" s="21"/>
      <c r="DL72" s="20"/>
      <c r="DM72" s="20"/>
      <c r="DN72" s="20"/>
      <c r="DO72" s="20"/>
      <c r="DP72" s="20"/>
      <c r="DQ72" s="20"/>
      <c r="DR72" s="21"/>
      <c r="DS72" s="20"/>
      <c r="DT72" s="20"/>
      <c r="DU72" s="20"/>
      <c r="DV72" s="20"/>
      <c r="DW72" s="20"/>
      <c r="DX72" s="20"/>
      <c r="DY72" s="21"/>
      <c r="DZ72" s="20"/>
      <c r="EA72" s="20"/>
      <c r="EB72" s="20"/>
      <c r="EC72" s="20"/>
      <c r="ED72" s="20"/>
      <c r="EE72" s="20"/>
      <c r="EF72" s="21"/>
      <c r="EG72" s="20"/>
      <c r="EH72" s="20"/>
      <c r="EI72" s="20"/>
      <c r="EJ72" s="20"/>
      <c r="EK72" s="20"/>
      <c r="EL72" s="20"/>
      <c r="EM72" s="21"/>
      <c r="EN72" s="20"/>
      <c r="EO72" s="20"/>
      <c r="EP72" s="20"/>
      <c r="EQ72" s="20"/>
      <c r="ER72" s="20"/>
      <c r="ES72" s="20"/>
      <c r="ET72" s="21"/>
      <c r="EU72" s="20"/>
      <c r="EV72" s="20"/>
      <c r="EW72" s="20"/>
      <c r="EX72" s="20"/>
      <c r="EY72" s="20"/>
      <c r="EZ72" s="20"/>
      <c r="FA72" s="21"/>
      <c r="FB72" s="20"/>
      <c r="FC72" s="20"/>
      <c r="FD72" s="20"/>
      <c r="FE72" s="20"/>
      <c r="FF72" s="20"/>
      <c r="FG72" s="20"/>
      <c r="FH72" s="21"/>
      <c r="FI72" s="20"/>
      <c r="FJ72" s="20"/>
      <c r="FK72" s="20"/>
      <c r="FL72" s="20"/>
      <c r="FM72" s="20"/>
      <c r="FN72" s="20"/>
      <c r="FO72" s="21"/>
      <c r="FP72" s="20"/>
      <c r="FQ72" s="20"/>
      <c r="FR72" s="20"/>
      <c r="FS72" s="20"/>
      <c r="FT72" s="20"/>
      <c r="FU72" s="20"/>
      <c r="FV72" s="21"/>
      <c r="FW72" s="20"/>
      <c r="FX72" s="20"/>
      <c r="FY72" s="20"/>
      <c r="FZ72" s="20"/>
      <c r="GA72" s="20"/>
      <c r="GB72" s="20"/>
      <c r="GC72" s="21"/>
      <c r="GD72" s="20"/>
      <c r="GE72" s="20"/>
      <c r="GF72" s="20"/>
      <c r="GG72" s="20"/>
      <c r="GH72" s="20"/>
      <c r="GI72" s="20"/>
      <c r="GJ72" s="21"/>
      <c r="GK72" s="20"/>
      <c r="GL72" s="20"/>
      <c r="GM72" s="20"/>
      <c r="GN72" s="20"/>
      <c r="GO72" s="20"/>
      <c r="GP72" s="20"/>
      <c r="GQ72" s="21"/>
      <c r="GR72" s="20"/>
      <c r="GS72" s="20"/>
      <c r="GT72" s="20"/>
      <c r="GU72" s="20"/>
      <c r="GV72" s="20"/>
      <c r="GW72" s="20"/>
      <c r="GX72" s="21"/>
      <c r="GY72" s="20"/>
      <c r="GZ72" s="20"/>
      <c r="HA72" s="20"/>
      <c r="HB72" s="20"/>
      <c r="HC72" s="20"/>
      <c r="HD72" s="20"/>
      <c r="HE72" s="21"/>
      <c r="HF72" s="20"/>
      <c r="HG72" s="20"/>
      <c r="HH72" s="20"/>
      <c r="HI72" s="20"/>
      <c r="HJ72" s="20"/>
      <c r="HK72" s="20"/>
      <c r="HL72" s="21"/>
      <c r="HM72" s="20"/>
      <c r="HN72" s="20"/>
      <c r="HO72" s="20"/>
      <c r="HP72" s="20"/>
      <c r="HQ72" s="20"/>
      <c r="HR72" s="20"/>
      <c r="HS72" s="21"/>
      <c r="HT72" s="20"/>
      <c r="HU72" s="20"/>
      <c r="HV72" s="20"/>
      <c r="HW72" s="20"/>
      <c r="HX72" s="20"/>
      <c r="HY72" s="20"/>
      <c r="HZ72" s="21"/>
      <c r="IA72" s="20"/>
      <c r="IB72" s="20"/>
      <c r="IC72" s="20"/>
      <c r="ID72" s="20"/>
      <c r="IE72" s="20"/>
      <c r="IF72" s="20"/>
      <c r="IG72" s="21"/>
      <c r="IH72" s="20"/>
      <c r="II72" s="20"/>
      <c r="IJ72" s="20"/>
      <c r="IK72" s="20"/>
      <c r="IL72" s="20"/>
      <c r="IM72" s="20"/>
      <c r="IN72" s="21"/>
      <c r="IO72" s="20"/>
      <c r="IP72" s="20"/>
      <c r="IQ72" s="20"/>
      <c r="IR72" s="20"/>
      <c r="IS72" s="20"/>
      <c r="IT72" s="20"/>
      <c r="IU72" s="21"/>
      <c r="IV72" s="20"/>
      <c r="IW72" s="20"/>
      <c r="IX72" s="20"/>
      <c r="IY72" s="20"/>
      <c r="IZ72" s="20"/>
      <c r="JA72" s="20"/>
      <c r="JB72" s="21"/>
      <c r="JC72" s="20"/>
      <c r="JD72" s="20"/>
      <c r="JE72" s="20"/>
      <c r="JF72" s="20"/>
      <c r="JG72" s="20"/>
      <c r="JH72" s="20"/>
      <c r="JI72" s="21"/>
      <c r="JJ72" s="20"/>
      <c r="JK72" s="20"/>
      <c r="JL72" s="20"/>
      <c r="JM72" s="20"/>
      <c r="JN72" s="20"/>
      <c r="JO72" s="20"/>
      <c r="JP72" s="21"/>
      <c r="JQ72" s="20"/>
      <c r="JR72" s="20"/>
      <c r="JS72" s="20"/>
      <c r="JT72" s="20"/>
      <c r="JU72" s="20"/>
      <c r="JV72" s="20"/>
      <c r="JW72" s="21"/>
      <c r="JX72" s="20"/>
      <c r="JY72" s="20"/>
      <c r="JZ72" s="20"/>
      <c r="KA72" s="20"/>
      <c r="KB72" s="20"/>
      <c r="KC72" s="20"/>
      <c r="KD72" s="21"/>
      <c r="KE72" s="20"/>
      <c r="KF72" s="20"/>
      <c r="KG72" s="20"/>
      <c r="KH72" s="20"/>
      <c r="KI72" s="20"/>
      <c r="KJ72" s="20"/>
      <c r="KK72" s="21"/>
      <c r="KL72" s="20"/>
      <c r="KM72" s="20"/>
      <c r="KN72" s="20"/>
      <c r="KO72" s="20"/>
      <c r="KP72" s="20"/>
      <c r="KQ72" s="20"/>
      <c r="KR72" s="21"/>
      <c r="KS72" s="20"/>
      <c r="KT72" s="20"/>
      <c r="KU72" s="20"/>
      <c r="KV72" s="20"/>
      <c r="KW72" s="20"/>
      <c r="KX72" s="20"/>
      <c r="KY72" s="21"/>
      <c r="KZ72" s="20"/>
      <c r="LA72" s="20"/>
      <c r="LB72" s="20"/>
      <c r="LC72" s="20"/>
      <c r="LD72" s="20"/>
      <c r="LE72" s="20"/>
      <c r="LF72" s="21"/>
      <c r="LG72" s="20"/>
      <c r="LH72" s="20"/>
      <c r="LI72" s="20"/>
      <c r="LJ72" s="20"/>
      <c r="LK72" s="20"/>
      <c r="LL72" s="20"/>
      <c r="LM72" s="21"/>
      <c r="LN72" s="20"/>
      <c r="LO72" s="20"/>
      <c r="LP72" s="20"/>
      <c r="LQ72" s="20"/>
      <c r="LR72" s="20"/>
      <c r="LS72" s="20"/>
      <c r="LT72" s="21"/>
      <c r="LU72" s="20"/>
      <c r="LV72" s="20"/>
      <c r="LW72" s="20"/>
      <c r="LX72" s="20"/>
      <c r="LY72" s="20"/>
      <c r="LZ72" s="20"/>
      <c r="MA72" s="21"/>
    </row>
    <row r="73" spans="1:339" ht="15.75" thickBot="1" x14ac:dyDescent="0.3">
      <c r="A73" s="66" t="s">
        <v>250</v>
      </c>
      <c r="B73" s="64"/>
      <c r="C73" s="64"/>
      <c r="D73" s="64"/>
      <c r="E73" s="65"/>
      <c r="F73" s="64"/>
      <c r="G73" s="64"/>
      <c r="H73" s="64"/>
      <c r="I73" s="64"/>
      <c r="J73" s="64"/>
      <c r="K73" s="64"/>
      <c r="L73" s="64"/>
      <c r="M73" s="64"/>
      <c r="N73" s="64"/>
      <c r="O73" s="65"/>
      <c r="P73" s="88">
        <f>VisibleSum(P66:P71)</f>
        <v>8</v>
      </c>
      <c r="Q73" s="89">
        <f>P73 / P72 * 100</f>
        <v>61.53846153846154</v>
      </c>
      <c r="R73" s="65" t="str">
        <f>IF(SUM(R40:R59, R67:R70) &gt; 0, SUM(R40:R59, R67:R70), "")</f>
        <v/>
      </c>
      <c r="S73" s="64" t="str">
        <f t="shared" ref="S73:T73" si="380">IF(SUM(S66:S71) &gt; 0, SUM(S66:S71), "")</f>
        <v/>
      </c>
      <c r="T73" s="64" t="str">
        <f t="shared" si="380"/>
        <v/>
      </c>
      <c r="U73" s="64" t="str">
        <f t="shared" ref="U73" si="381">IF(SUM(U66:U71) &gt; 0, SUM(U66:U71), "")</f>
        <v/>
      </c>
      <c r="V73" s="64" t="str">
        <f t="shared" ref="V73" si="382">IF(SUM(V66:V71) &gt; 0, SUM(V66:V71), "")</f>
        <v/>
      </c>
      <c r="W73" s="64" t="str">
        <f t="shared" ref="W73" si="383">IF(SUM(W66:W71) &gt; 0, SUM(W66:W71), "")</f>
        <v/>
      </c>
      <c r="X73" s="64" t="str">
        <f t="shared" ref="X73" si="384">IF(SUM(X66:X71) &gt; 0, SUM(X66:X71), "")</f>
        <v/>
      </c>
      <c r="Y73" s="65" t="str">
        <f t="shared" ref="Y73:AA73" si="385">IF(SUM(Y66:Y71) &gt; 0, SUM(Y66:Y71), "")</f>
        <v/>
      </c>
      <c r="Z73" s="64" t="str">
        <f t="shared" si="385"/>
        <v/>
      </c>
      <c r="AA73" s="64" t="str">
        <f t="shared" si="385"/>
        <v/>
      </c>
      <c r="AB73" s="64" t="str">
        <f t="shared" ref="AB73" si="386">IF(SUM(AB66:AB71) &gt; 0, SUM(AB66:AB71), "")</f>
        <v/>
      </c>
      <c r="AC73" s="64" t="str">
        <f t="shared" ref="AC73" si="387">IF(SUM(AC66:AC71) &gt; 0, SUM(AC66:AC71), "")</f>
        <v/>
      </c>
      <c r="AD73" s="64" t="str">
        <f t="shared" ref="AD73" si="388">IF(SUM(AD66:AD71) &gt; 0, SUM(AD66:AD71), "")</f>
        <v/>
      </c>
      <c r="AE73" s="64" t="str">
        <f t="shared" ref="AE73" si="389">IF(SUM(AE66:AE71) &gt; 0, SUM(AE66:AE71), "")</f>
        <v/>
      </c>
      <c r="AF73" s="65" t="str">
        <f t="shared" ref="AF73" si="390">IF(SUM(AF66:AF71) &gt; 0, SUM(AF66:AF71), "")</f>
        <v/>
      </c>
      <c r="AG73" s="64" t="str">
        <f>IF(SUM(AG66:AG71) &gt; 0, SUM(AG66:AG71), "")</f>
        <v/>
      </c>
      <c r="AH73" s="64" t="str">
        <f>IF(SUM(AH66:AH71) &gt; 0, SUM(AH66:AH71), "")</f>
        <v/>
      </c>
      <c r="AI73" s="64" t="str">
        <f t="shared" ref="AI73:AM73" si="391">IF(SUM(AI66:AI71) &gt; 0, SUM(AI66:AI71), "")</f>
        <v/>
      </c>
      <c r="AJ73" s="64">
        <f t="shared" si="391"/>
        <v>3</v>
      </c>
      <c r="AK73" s="64" t="str">
        <f t="shared" si="391"/>
        <v/>
      </c>
      <c r="AL73" s="64" t="str">
        <f t="shared" si="391"/>
        <v/>
      </c>
      <c r="AM73" s="65" t="str">
        <f t="shared" si="391"/>
        <v/>
      </c>
      <c r="AN73" s="64" t="str">
        <f>IF(SUM(AN66:AN71) &gt; 0, SUM(AN66:AN71), "")</f>
        <v/>
      </c>
      <c r="AO73" s="64">
        <f>IF(SUM(AO66:AO71) &gt; 0, SUM(AO66:AO71), "")</f>
        <v>2</v>
      </c>
      <c r="AP73" s="64" t="str">
        <f t="shared" ref="AP73" si="392">IF(SUM(AP66:AP71) &gt; 0, SUM(AP66:AP71), "")</f>
        <v/>
      </c>
      <c r="AQ73" s="64">
        <f t="shared" ref="AQ73" si="393">IF(SUM(AQ66:AQ71) &gt; 0, SUM(AQ66:AQ71), "")</f>
        <v>1</v>
      </c>
      <c r="AR73" s="64" t="str">
        <f t="shared" ref="AR73" si="394">IF(SUM(AR66:AR71) &gt; 0, SUM(AR66:AR71), "")</f>
        <v/>
      </c>
      <c r="AS73" s="64" t="str">
        <f t="shared" ref="AS73" si="395">IF(SUM(AS66:AS71) &gt; 0, SUM(AS66:AS71), "")</f>
        <v/>
      </c>
      <c r="AT73" s="65" t="str">
        <f t="shared" ref="AT73" si="396">IF(SUM(AT66:AT71) &gt; 0, SUM(AT66:AT71), "")</f>
        <v/>
      </c>
      <c r="AU73" s="64" t="str">
        <f>IF(SUM(AU66:AU71) &gt; 0, SUM(AU66:AU71), "")</f>
        <v/>
      </c>
      <c r="AV73" s="64">
        <f>IF(SUM(AV66:AV71) &gt; 0, SUM(AV66:AV71), "")</f>
        <v>2</v>
      </c>
      <c r="AW73" s="64" t="str">
        <f t="shared" ref="AW73" si="397">IF(SUM(AW66:AW71) &gt; 0, SUM(AW66:AW71), "")</f>
        <v/>
      </c>
      <c r="AX73" s="64">
        <f t="shared" ref="AX73" si="398">IF(SUM(AX66:AX71) &gt; 0, SUM(AX66:AX71), "")</f>
        <v>1</v>
      </c>
      <c r="AY73" s="64" t="str">
        <f t="shared" ref="AY73" si="399">IF(SUM(AY66:AY71) &gt; 0, SUM(AY66:AY71), "")</f>
        <v/>
      </c>
      <c r="AZ73" s="64" t="str">
        <f t="shared" ref="AZ73" si="400">IF(SUM(AZ66:AZ71) &gt; 0, SUM(AZ66:AZ71), "")</f>
        <v/>
      </c>
      <c r="BA73" s="65" t="str">
        <f t="shared" ref="BA73" si="401">IF(SUM(BA66:BA71) &gt; 0, SUM(BA66:BA71), "")</f>
        <v/>
      </c>
      <c r="BB73" s="64" t="str">
        <f>IF(SUM(BB66:BB71) &gt; 0, SUM(BB66:BB71), "")</f>
        <v/>
      </c>
      <c r="BC73" s="64">
        <f>IF(SUM(BC66:BC71) &gt; 0, SUM(BC66:BC71), "")</f>
        <v>3</v>
      </c>
      <c r="BD73" s="64" t="str">
        <f t="shared" ref="BD73:DU73" si="402">IF(SUM(BD66:BD71) &gt; 0, SUM(BD66:BD71), "")</f>
        <v/>
      </c>
      <c r="BE73" s="64">
        <f t="shared" si="402"/>
        <v>2</v>
      </c>
      <c r="BF73" s="64" t="str">
        <f t="shared" si="402"/>
        <v/>
      </c>
      <c r="BG73" s="64" t="str">
        <f t="shared" si="402"/>
        <v/>
      </c>
      <c r="BH73" s="65" t="str">
        <f t="shared" si="402"/>
        <v/>
      </c>
      <c r="BI73" s="64" t="str">
        <f t="shared" si="402"/>
        <v/>
      </c>
      <c r="BJ73" s="64">
        <f t="shared" si="402"/>
        <v>2</v>
      </c>
      <c r="BK73" s="64" t="str">
        <f t="shared" si="402"/>
        <v/>
      </c>
      <c r="BL73" s="64">
        <f t="shared" si="402"/>
        <v>3</v>
      </c>
      <c r="BM73" s="64">
        <f t="shared" si="402"/>
        <v>2</v>
      </c>
      <c r="BN73" s="64" t="str">
        <f t="shared" si="402"/>
        <v/>
      </c>
      <c r="BO73" s="65">
        <f t="shared" si="402"/>
        <v>1</v>
      </c>
      <c r="BP73" s="64" t="str">
        <f t="shared" si="402"/>
        <v/>
      </c>
      <c r="BQ73" s="64" t="str">
        <f t="shared" si="402"/>
        <v/>
      </c>
      <c r="BR73" s="64" t="str">
        <f t="shared" si="402"/>
        <v/>
      </c>
      <c r="BS73" s="64" t="str">
        <f t="shared" si="402"/>
        <v/>
      </c>
      <c r="BT73" s="64" t="str">
        <f t="shared" si="402"/>
        <v/>
      </c>
      <c r="BU73" s="64" t="str">
        <f t="shared" si="402"/>
        <v/>
      </c>
      <c r="BV73" s="64">
        <f t="shared" ref="BV73" si="403">IF(SUM(BV66:BV71) &gt; 0, SUM(BV66:BV71), "")</f>
        <v>2</v>
      </c>
      <c r="BW73" s="64"/>
      <c r="BX73" s="65" t="str">
        <f t="shared" si="402"/>
        <v/>
      </c>
      <c r="BY73" s="64" t="str">
        <f t="shared" si="402"/>
        <v/>
      </c>
      <c r="BZ73" s="64" t="str">
        <f t="shared" si="402"/>
        <v/>
      </c>
      <c r="CA73" s="64" t="str">
        <f t="shared" si="402"/>
        <v/>
      </c>
      <c r="CB73" s="64" t="str">
        <f t="shared" si="402"/>
        <v/>
      </c>
      <c r="CC73" s="64" t="str">
        <f t="shared" si="402"/>
        <v/>
      </c>
      <c r="CD73" s="64" t="str">
        <f t="shared" si="402"/>
        <v/>
      </c>
      <c r="CE73" s="64"/>
      <c r="CF73" s="64"/>
      <c r="CG73" s="65" t="str">
        <f t="shared" si="402"/>
        <v/>
      </c>
      <c r="CH73" s="64" t="str">
        <f t="shared" si="402"/>
        <v/>
      </c>
      <c r="CI73" s="64" t="str">
        <f t="shared" si="402"/>
        <v/>
      </c>
      <c r="CJ73" s="64" t="str">
        <f t="shared" si="402"/>
        <v/>
      </c>
      <c r="CK73" s="64" t="str">
        <f t="shared" si="402"/>
        <v/>
      </c>
      <c r="CL73" s="64" t="str">
        <f t="shared" si="402"/>
        <v/>
      </c>
      <c r="CM73" s="64" t="str">
        <f t="shared" si="402"/>
        <v/>
      </c>
      <c r="CN73" s="64" t="str">
        <f t="shared" ref="CN73" si="404">IF(SUM(CN66:CN71) &gt; 0, SUM(CN66:CN71), "")</f>
        <v/>
      </c>
      <c r="CO73" s="64"/>
      <c r="CP73" s="65" t="str">
        <f t="shared" si="402"/>
        <v/>
      </c>
      <c r="CQ73" s="64" t="str">
        <f t="shared" si="402"/>
        <v/>
      </c>
      <c r="CR73" s="64" t="str">
        <f t="shared" si="402"/>
        <v/>
      </c>
      <c r="CS73" s="64" t="str">
        <f t="shared" si="402"/>
        <v/>
      </c>
      <c r="CT73" s="64" t="str">
        <f t="shared" si="402"/>
        <v/>
      </c>
      <c r="CU73" s="64" t="str">
        <f t="shared" si="402"/>
        <v/>
      </c>
      <c r="CV73" s="64" t="str">
        <f t="shared" si="402"/>
        <v/>
      </c>
      <c r="CW73" s="65" t="str">
        <f t="shared" si="402"/>
        <v/>
      </c>
      <c r="CX73" s="64" t="str">
        <f t="shared" si="402"/>
        <v/>
      </c>
      <c r="CY73" s="64" t="str">
        <f t="shared" si="402"/>
        <v/>
      </c>
      <c r="CZ73" s="64" t="str">
        <f t="shared" si="402"/>
        <v/>
      </c>
      <c r="DA73" s="64" t="str">
        <f t="shared" si="402"/>
        <v/>
      </c>
      <c r="DB73" s="64" t="str">
        <f t="shared" si="402"/>
        <v/>
      </c>
      <c r="DC73" s="64" t="str">
        <f t="shared" si="402"/>
        <v/>
      </c>
      <c r="DD73" s="65" t="str">
        <f t="shared" si="402"/>
        <v/>
      </c>
      <c r="DE73" s="64" t="str">
        <f t="shared" si="402"/>
        <v/>
      </c>
      <c r="DF73" s="64" t="str">
        <f t="shared" si="402"/>
        <v/>
      </c>
      <c r="DG73" s="64" t="str">
        <f t="shared" si="402"/>
        <v/>
      </c>
      <c r="DH73" s="64" t="str">
        <f t="shared" si="402"/>
        <v/>
      </c>
      <c r="DI73" s="64" t="str">
        <f t="shared" si="402"/>
        <v/>
      </c>
      <c r="DJ73" s="64" t="str">
        <f t="shared" si="402"/>
        <v/>
      </c>
      <c r="DK73" s="65" t="str">
        <f t="shared" si="402"/>
        <v/>
      </c>
      <c r="DL73" s="64" t="str">
        <f t="shared" si="402"/>
        <v/>
      </c>
      <c r="DM73" s="64" t="str">
        <f t="shared" si="402"/>
        <v/>
      </c>
      <c r="DN73" s="64" t="str">
        <f t="shared" si="402"/>
        <v/>
      </c>
      <c r="DO73" s="64" t="str">
        <f t="shared" si="402"/>
        <v/>
      </c>
      <c r="DP73" s="64" t="str">
        <f t="shared" si="402"/>
        <v/>
      </c>
      <c r="DQ73" s="64" t="str">
        <f t="shared" si="402"/>
        <v/>
      </c>
      <c r="DR73" s="65" t="str">
        <f t="shared" si="402"/>
        <v/>
      </c>
      <c r="DS73" s="64" t="str">
        <f t="shared" si="402"/>
        <v/>
      </c>
      <c r="DT73" s="64" t="str">
        <f t="shared" si="402"/>
        <v/>
      </c>
      <c r="DU73" s="64" t="str">
        <f t="shared" si="402"/>
        <v/>
      </c>
      <c r="DV73" s="64" t="str">
        <f t="shared" ref="DV73:GG73" si="405">IF(SUM(DV66:DV71) &gt; 0, SUM(DV66:DV71), "")</f>
        <v/>
      </c>
      <c r="DW73" s="64" t="str">
        <f t="shared" si="405"/>
        <v/>
      </c>
      <c r="DX73" s="64" t="str">
        <f t="shared" si="405"/>
        <v/>
      </c>
      <c r="DY73" s="65" t="str">
        <f t="shared" si="405"/>
        <v/>
      </c>
      <c r="DZ73" s="64" t="str">
        <f t="shared" si="405"/>
        <v/>
      </c>
      <c r="EA73" s="64" t="str">
        <f t="shared" si="405"/>
        <v/>
      </c>
      <c r="EB73" s="64" t="str">
        <f t="shared" si="405"/>
        <v/>
      </c>
      <c r="EC73" s="64" t="str">
        <f t="shared" si="405"/>
        <v/>
      </c>
      <c r="ED73" s="64" t="str">
        <f t="shared" si="405"/>
        <v/>
      </c>
      <c r="EE73" s="64" t="str">
        <f t="shared" si="405"/>
        <v/>
      </c>
      <c r="EF73" s="65" t="str">
        <f t="shared" si="405"/>
        <v/>
      </c>
      <c r="EG73" s="64" t="str">
        <f t="shared" si="405"/>
        <v/>
      </c>
      <c r="EH73" s="64" t="str">
        <f t="shared" si="405"/>
        <v/>
      </c>
      <c r="EI73" s="64" t="str">
        <f t="shared" si="405"/>
        <v/>
      </c>
      <c r="EJ73" s="64" t="str">
        <f t="shared" si="405"/>
        <v/>
      </c>
      <c r="EK73" s="64" t="str">
        <f t="shared" si="405"/>
        <v/>
      </c>
      <c r="EL73" s="64" t="str">
        <f t="shared" si="405"/>
        <v/>
      </c>
      <c r="EM73" s="65" t="str">
        <f t="shared" si="405"/>
        <v/>
      </c>
      <c r="EN73" s="64" t="str">
        <f t="shared" si="405"/>
        <v/>
      </c>
      <c r="EO73" s="64" t="str">
        <f t="shared" si="405"/>
        <v/>
      </c>
      <c r="EP73" s="64" t="str">
        <f t="shared" si="405"/>
        <v/>
      </c>
      <c r="EQ73" s="64" t="str">
        <f t="shared" si="405"/>
        <v/>
      </c>
      <c r="ER73" s="64" t="str">
        <f t="shared" si="405"/>
        <v/>
      </c>
      <c r="ES73" s="64" t="str">
        <f t="shared" si="405"/>
        <v/>
      </c>
      <c r="ET73" s="65" t="str">
        <f t="shared" si="405"/>
        <v/>
      </c>
      <c r="EU73" s="64" t="str">
        <f t="shared" si="405"/>
        <v/>
      </c>
      <c r="EV73" s="64" t="str">
        <f t="shared" si="405"/>
        <v/>
      </c>
      <c r="EW73" s="64" t="str">
        <f t="shared" si="405"/>
        <v/>
      </c>
      <c r="EX73" s="64" t="str">
        <f t="shared" si="405"/>
        <v/>
      </c>
      <c r="EY73" s="64" t="str">
        <f t="shared" si="405"/>
        <v/>
      </c>
      <c r="EZ73" s="64" t="str">
        <f t="shared" si="405"/>
        <v/>
      </c>
      <c r="FA73" s="65" t="str">
        <f t="shared" si="405"/>
        <v/>
      </c>
      <c r="FB73" s="64" t="str">
        <f t="shared" si="405"/>
        <v/>
      </c>
      <c r="FC73" s="64" t="str">
        <f t="shared" si="405"/>
        <v/>
      </c>
      <c r="FD73" s="64" t="str">
        <f t="shared" si="405"/>
        <v/>
      </c>
      <c r="FE73" s="64" t="str">
        <f t="shared" si="405"/>
        <v/>
      </c>
      <c r="FF73" s="64" t="str">
        <f t="shared" si="405"/>
        <v/>
      </c>
      <c r="FG73" s="64" t="str">
        <f t="shared" si="405"/>
        <v/>
      </c>
      <c r="FH73" s="65" t="str">
        <f t="shared" si="405"/>
        <v/>
      </c>
      <c r="FI73" s="64" t="str">
        <f t="shared" si="405"/>
        <v/>
      </c>
      <c r="FJ73" s="64" t="str">
        <f t="shared" si="405"/>
        <v/>
      </c>
      <c r="FK73" s="64" t="str">
        <f t="shared" si="405"/>
        <v/>
      </c>
      <c r="FL73" s="64" t="str">
        <f t="shared" si="405"/>
        <v/>
      </c>
      <c r="FM73" s="64" t="str">
        <f t="shared" si="405"/>
        <v/>
      </c>
      <c r="FN73" s="64" t="str">
        <f t="shared" si="405"/>
        <v/>
      </c>
      <c r="FO73" s="65" t="str">
        <f t="shared" si="405"/>
        <v/>
      </c>
      <c r="FP73" s="64" t="str">
        <f t="shared" si="405"/>
        <v/>
      </c>
      <c r="FQ73" s="64" t="str">
        <f t="shared" si="405"/>
        <v/>
      </c>
      <c r="FR73" s="64" t="str">
        <f t="shared" si="405"/>
        <v/>
      </c>
      <c r="FS73" s="64" t="str">
        <f t="shared" si="405"/>
        <v/>
      </c>
      <c r="FT73" s="64" t="str">
        <f t="shared" si="405"/>
        <v/>
      </c>
      <c r="FU73" s="64" t="str">
        <f t="shared" si="405"/>
        <v/>
      </c>
      <c r="FV73" s="65" t="str">
        <f t="shared" si="405"/>
        <v/>
      </c>
      <c r="FW73" s="64" t="str">
        <f t="shared" si="405"/>
        <v/>
      </c>
      <c r="FX73" s="64" t="str">
        <f t="shared" si="405"/>
        <v/>
      </c>
      <c r="FY73" s="64" t="str">
        <f t="shared" si="405"/>
        <v/>
      </c>
      <c r="FZ73" s="64" t="str">
        <f t="shared" si="405"/>
        <v/>
      </c>
      <c r="GA73" s="64" t="str">
        <f t="shared" si="405"/>
        <v/>
      </c>
      <c r="GB73" s="64" t="str">
        <f t="shared" si="405"/>
        <v/>
      </c>
      <c r="GC73" s="65" t="str">
        <f t="shared" si="405"/>
        <v/>
      </c>
      <c r="GD73" s="64" t="str">
        <f t="shared" si="405"/>
        <v/>
      </c>
      <c r="GE73" s="64" t="str">
        <f t="shared" si="405"/>
        <v/>
      </c>
      <c r="GF73" s="64" t="str">
        <f t="shared" si="405"/>
        <v/>
      </c>
      <c r="GG73" s="64" t="str">
        <f t="shared" si="405"/>
        <v/>
      </c>
      <c r="GH73" s="64" t="str">
        <f t="shared" ref="GH73:IS73" si="406">IF(SUM(GH66:GH71) &gt; 0, SUM(GH66:GH71), "")</f>
        <v/>
      </c>
      <c r="GI73" s="64" t="str">
        <f t="shared" si="406"/>
        <v/>
      </c>
      <c r="GJ73" s="65" t="str">
        <f t="shared" si="406"/>
        <v/>
      </c>
      <c r="GK73" s="64" t="str">
        <f t="shared" si="406"/>
        <v/>
      </c>
      <c r="GL73" s="64" t="str">
        <f t="shared" si="406"/>
        <v/>
      </c>
      <c r="GM73" s="64" t="str">
        <f t="shared" si="406"/>
        <v/>
      </c>
      <c r="GN73" s="64" t="str">
        <f t="shared" si="406"/>
        <v/>
      </c>
      <c r="GO73" s="64" t="str">
        <f t="shared" si="406"/>
        <v/>
      </c>
      <c r="GP73" s="64" t="str">
        <f t="shared" si="406"/>
        <v/>
      </c>
      <c r="GQ73" s="65" t="str">
        <f t="shared" si="406"/>
        <v/>
      </c>
      <c r="GR73" s="64" t="str">
        <f t="shared" si="406"/>
        <v/>
      </c>
      <c r="GS73" s="64" t="str">
        <f t="shared" si="406"/>
        <v/>
      </c>
      <c r="GT73" s="64" t="str">
        <f t="shared" si="406"/>
        <v/>
      </c>
      <c r="GU73" s="64" t="str">
        <f t="shared" si="406"/>
        <v/>
      </c>
      <c r="GV73" s="64" t="str">
        <f t="shared" si="406"/>
        <v/>
      </c>
      <c r="GW73" s="64" t="str">
        <f t="shared" si="406"/>
        <v/>
      </c>
      <c r="GX73" s="65" t="str">
        <f t="shared" si="406"/>
        <v/>
      </c>
      <c r="GY73" s="64" t="str">
        <f t="shared" si="406"/>
        <v/>
      </c>
      <c r="GZ73" s="64" t="str">
        <f t="shared" si="406"/>
        <v/>
      </c>
      <c r="HA73" s="64" t="str">
        <f t="shared" si="406"/>
        <v/>
      </c>
      <c r="HB73" s="64" t="str">
        <f t="shared" si="406"/>
        <v/>
      </c>
      <c r="HC73" s="64" t="str">
        <f t="shared" si="406"/>
        <v/>
      </c>
      <c r="HD73" s="64" t="str">
        <f t="shared" si="406"/>
        <v/>
      </c>
      <c r="HE73" s="65" t="str">
        <f t="shared" si="406"/>
        <v/>
      </c>
      <c r="HF73" s="64" t="str">
        <f t="shared" si="406"/>
        <v/>
      </c>
      <c r="HG73" s="64" t="str">
        <f t="shared" si="406"/>
        <v/>
      </c>
      <c r="HH73" s="64" t="str">
        <f t="shared" si="406"/>
        <v/>
      </c>
      <c r="HI73" s="64" t="str">
        <f t="shared" si="406"/>
        <v/>
      </c>
      <c r="HJ73" s="64" t="str">
        <f t="shared" si="406"/>
        <v/>
      </c>
      <c r="HK73" s="64" t="str">
        <f t="shared" si="406"/>
        <v/>
      </c>
      <c r="HL73" s="65" t="str">
        <f t="shared" si="406"/>
        <v/>
      </c>
      <c r="HM73" s="64" t="str">
        <f t="shared" si="406"/>
        <v/>
      </c>
      <c r="HN73" s="64" t="str">
        <f t="shared" si="406"/>
        <v/>
      </c>
      <c r="HO73" s="64" t="str">
        <f t="shared" si="406"/>
        <v/>
      </c>
      <c r="HP73" s="64" t="str">
        <f t="shared" si="406"/>
        <v/>
      </c>
      <c r="HQ73" s="64" t="str">
        <f t="shared" si="406"/>
        <v/>
      </c>
      <c r="HR73" s="64" t="str">
        <f t="shared" si="406"/>
        <v/>
      </c>
      <c r="HS73" s="65" t="str">
        <f t="shared" si="406"/>
        <v/>
      </c>
      <c r="HT73" s="64" t="str">
        <f t="shared" si="406"/>
        <v/>
      </c>
      <c r="HU73" s="64" t="str">
        <f t="shared" si="406"/>
        <v/>
      </c>
      <c r="HV73" s="64" t="str">
        <f t="shared" si="406"/>
        <v/>
      </c>
      <c r="HW73" s="64" t="str">
        <f t="shared" si="406"/>
        <v/>
      </c>
      <c r="HX73" s="64" t="str">
        <f t="shared" si="406"/>
        <v/>
      </c>
      <c r="HY73" s="64" t="str">
        <f t="shared" si="406"/>
        <v/>
      </c>
      <c r="HZ73" s="65" t="str">
        <f t="shared" si="406"/>
        <v/>
      </c>
      <c r="IA73" s="64" t="str">
        <f t="shared" si="406"/>
        <v/>
      </c>
      <c r="IB73" s="64" t="str">
        <f t="shared" si="406"/>
        <v/>
      </c>
      <c r="IC73" s="64" t="str">
        <f t="shared" si="406"/>
        <v/>
      </c>
      <c r="ID73" s="64" t="str">
        <f t="shared" si="406"/>
        <v/>
      </c>
      <c r="IE73" s="64" t="str">
        <f t="shared" si="406"/>
        <v/>
      </c>
      <c r="IF73" s="64" t="str">
        <f t="shared" si="406"/>
        <v/>
      </c>
      <c r="IG73" s="65" t="str">
        <f t="shared" si="406"/>
        <v/>
      </c>
      <c r="IH73" s="64" t="str">
        <f t="shared" si="406"/>
        <v/>
      </c>
      <c r="II73" s="64" t="str">
        <f t="shared" si="406"/>
        <v/>
      </c>
      <c r="IJ73" s="64" t="str">
        <f t="shared" si="406"/>
        <v/>
      </c>
      <c r="IK73" s="64" t="str">
        <f t="shared" si="406"/>
        <v/>
      </c>
      <c r="IL73" s="64" t="str">
        <f t="shared" si="406"/>
        <v/>
      </c>
      <c r="IM73" s="64" t="str">
        <f t="shared" si="406"/>
        <v/>
      </c>
      <c r="IN73" s="65" t="str">
        <f t="shared" si="406"/>
        <v/>
      </c>
      <c r="IO73" s="64" t="str">
        <f t="shared" si="406"/>
        <v/>
      </c>
      <c r="IP73" s="64" t="str">
        <f t="shared" si="406"/>
        <v/>
      </c>
      <c r="IQ73" s="64" t="str">
        <f t="shared" si="406"/>
        <v/>
      </c>
      <c r="IR73" s="64" t="str">
        <f t="shared" si="406"/>
        <v/>
      </c>
      <c r="IS73" s="64" t="str">
        <f t="shared" si="406"/>
        <v/>
      </c>
      <c r="IT73" s="64" t="str">
        <f t="shared" ref="IT73:LE73" si="407">IF(SUM(IT66:IT71) &gt; 0, SUM(IT66:IT71), "")</f>
        <v/>
      </c>
      <c r="IU73" s="65" t="str">
        <f t="shared" si="407"/>
        <v/>
      </c>
      <c r="IV73" s="64" t="str">
        <f t="shared" si="407"/>
        <v/>
      </c>
      <c r="IW73" s="64" t="str">
        <f t="shared" si="407"/>
        <v/>
      </c>
      <c r="IX73" s="64" t="str">
        <f t="shared" si="407"/>
        <v/>
      </c>
      <c r="IY73" s="64" t="str">
        <f t="shared" si="407"/>
        <v/>
      </c>
      <c r="IZ73" s="64" t="str">
        <f t="shared" si="407"/>
        <v/>
      </c>
      <c r="JA73" s="64" t="str">
        <f t="shared" si="407"/>
        <v/>
      </c>
      <c r="JB73" s="65" t="str">
        <f t="shared" si="407"/>
        <v/>
      </c>
      <c r="JC73" s="64" t="str">
        <f t="shared" si="407"/>
        <v/>
      </c>
      <c r="JD73" s="64" t="str">
        <f t="shared" si="407"/>
        <v/>
      </c>
      <c r="JE73" s="64" t="str">
        <f t="shared" si="407"/>
        <v/>
      </c>
      <c r="JF73" s="64" t="str">
        <f t="shared" si="407"/>
        <v/>
      </c>
      <c r="JG73" s="64" t="str">
        <f t="shared" si="407"/>
        <v/>
      </c>
      <c r="JH73" s="64" t="str">
        <f t="shared" si="407"/>
        <v/>
      </c>
      <c r="JI73" s="65" t="str">
        <f t="shared" si="407"/>
        <v/>
      </c>
      <c r="JJ73" s="64" t="str">
        <f t="shared" si="407"/>
        <v/>
      </c>
      <c r="JK73" s="64" t="str">
        <f t="shared" si="407"/>
        <v/>
      </c>
      <c r="JL73" s="64" t="str">
        <f t="shared" si="407"/>
        <v/>
      </c>
      <c r="JM73" s="64" t="str">
        <f t="shared" si="407"/>
        <v/>
      </c>
      <c r="JN73" s="64" t="str">
        <f t="shared" si="407"/>
        <v/>
      </c>
      <c r="JO73" s="64" t="str">
        <f t="shared" si="407"/>
        <v/>
      </c>
      <c r="JP73" s="65" t="str">
        <f t="shared" si="407"/>
        <v/>
      </c>
      <c r="JQ73" s="64" t="str">
        <f t="shared" si="407"/>
        <v/>
      </c>
      <c r="JR73" s="64" t="str">
        <f t="shared" si="407"/>
        <v/>
      </c>
      <c r="JS73" s="64" t="str">
        <f t="shared" si="407"/>
        <v/>
      </c>
      <c r="JT73" s="64" t="str">
        <f t="shared" si="407"/>
        <v/>
      </c>
      <c r="JU73" s="64" t="str">
        <f t="shared" si="407"/>
        <v/>
      </c>
      <c r="JV73" s="64" t="str">
        <f t="shared" si="407"/>
        <v/>
      </c>
      <c r="JW73" s="65" t="str">
        <f t="shared" si="407"/>
        <v/>
      </c>
      <c r="JX73" s="64" t="str">
        <f t="shared" si="407"/>
        <v/>
      </c>
      <c r="JY73" s="64" t="str">
        <f t="shared" si="407"/>
        <v/>
      </c>
      <c r="JZ73" s="64" t="str">
        <f t="shared" si="407"/>
        <v/>
      </c>
      <c r="KA73" s="64" t="str">
        <f t="shared" si="407"/>
        <v/>
      </c>
      <c r="KB73" s="64" t="str">
        <f t="shared" si="407"/>
        <v/>
      </c>
      <c r="KC73" s="64" t="str">
        <f t="shared" si="407"/>
        <v/>
      </c>
      <c r="KD73" s="65" t="str">
        <f t="shared" si="407"/>
        <v/>
      </c>
      <c r="KE73" s="64" t="str">
        <f t="shared" si="407"/>
        <v/>
      </c>
      <c r="KF73" s="64" t="str">
        <f t="shared" si="407"/>
        <v/>
      </c>
      <c r="KG73" s="64" t="str">
        <f t="shared" si="407"/>
        <v/>
      </c>
      <c r="KH73" s="64" t="str">
        <f t="shared" si="407"/>
        <v/>
      </c>
      <c r="KI73" s="64" t="str">
        <f t="shared" si="407"/>
        <v/>
      </c>
      <c r="KJ73" s="64" t="str">
        <f t="shared" si="407"/>
        <v/>
      </c>
      <c r="KK73" s="65" t="str">
        <f t="shared" si="407"/>
        <v/>
      </c>
      <c r="KL73" s="64" t="str">
        <f t="shared" si="407"/>
        <v/>
      </c>
      <c r="KM73" s="64" t="str">
        <f t="shared" si="407"/>
        <v/>
      </c>
      <c r="KN73" s="64" t="str">
        <f t="shared" si="407"/>
        <v/>
      </c>
      <c r="KO73" s="64" t="str">
        <f t="shared" si="407"/>
        <v/>
      </c>
      <c r="KP73" s="64" t="str">
        <f t="shared" si="407"/>
        <v/>
      </c>
      <c r="KQ73" s="64" t="str">
        <f t="shared" si="407"/>
        <v/>
      </c>
      <c r="KR73" s="65" t="str">
        <f t="shared" si="407"/>
        <v/>
      </c>
      <c r="KS73" s="64" t="str">
        <f t="shared" si="407"/>
        <v/>
      </c>
      <c r="KT73" s="64" t="str">
        <f t="shared" si="407"/>
        <v/>
      </c>
      <c r="KU73" s="64" t="str">
        <f t="shared" si="407"/>
        <v/>
      </c>
      <c r="KV73" s="64" t="str">
        <f t="shared" si="407"/>
        <v/>
      </c>
      <c r="KW73" s="64" t="str">
        <f t="shared" si="407"/>
        <v/>
      </c>
      <c r="KX73" s="64" t="str">
        <f t="shared" si="407"/>
        <v/>
      </c>
      <c r="KY73" s="65" t="str">
        <f t="shared" si="407"/>
        <v/>
      </c>
      <c r="KZ73" s="64" t="str">
        <f t="shared" si="407"/>
        <v/>
      </c>
      <c r="LA73" s="64" t="str">
        <f t="shared" si="407"/>
        <v/>
      </c>
      <c r="LB73" s="64" t="str">
        <f t="shared" si="407"/>
        <v/>
      </c>
      <c r="LC73" s="64" t="str">
        <f t="shared" si="407"/>
        <v/>
      </c>
      <c r="LD73" s="64" t="str">
        <f t="shared" si="407"/>
        <v/>
      </c>
      <c r="LE73" s="64" t="str">
        <f t="shared" si="407"/>
        <v/>
      </c>
      <c r="LF73" s="65" t="str">
        <f t="shared" ref="LF73:MA73" si="408">IF(SUM(LF66:LF71) &gt; 0, SUM(LF66:LF71), "")</f>
        <v/>
      </c>
      <c r="LG73" s="64" t="str">
        <f t="shared" si="408"/>
        <v/>
      </c>
      <c r="LH73" s="64" t="str">
        <f t="shared" si="408"/>
        <v/>
      </c>
      <c r="LI73" s="64" t="str">
        <f t="shared" si="408"/>
        <v/>
      </c>
      <c r="LJ73" s="64" t="str">
        <f t="shared" si="408"/>
        <v/>
      </c>
      <c r="LK73" s="64" t="str">
        <f t="shared" si="408"/>
        <v/>
      </c>
      <c r="LL73" s="64" t="str">
        <f t="shared" si="408"/>
        <v/>
      </c>
      <c r="LM73" s="65" t="str">
        <f t="shared" si="408"/>
        <v/>
      </c>
      <c r="LN73" s="64" t="str">
        <f t="shared" si="408"/>
        <v/>
      </c>
      <c r="LO73" s="64" t="str">
        <f t="shared" si="408"/>
        <v/>
      </c>
      <c r="LP73" s="64" t="str">
        <f t="shared" si="408"/>
        <v/>
      </c>
      <c r="LQ73" s="64" t="str">
        <f t="shared" si="408"/>
        <v/>
      </c>
      <c r="LR73" s="64" t="str">
        <f t="shared" si="408"/>
        <v/>
      </c>
      <c r="LS73" s="64" t="str">
        <f t="shared" si="408"/>
        <v/>
      </c>
      <c r="LT73" s="65" t="str">
        <f t="shared" si="408"/>
        <v/>
      </c>
      <c r="LU73" s="64" t="str">
        <f t="shared" si="408"/>
        <v/>
      </c>
      <c r="LV73" s="64" t="str">
        <f t="shared" si="408"/>
        <v/>
      </c>
      <c r="LW73" s="64" t="str">
        <f t="shared" si="408"/>
        <v/>
      </c>
      <c r="LX73" s="64" t="str">
        <f t="shared" si="408"/>
        <v/>
      </c>
      <c r="LY73" s="64" t="str">
        <f t="shared" si="408"/>
        <v/>
      </c>
      <c r="LZ73" s="64" t="str">
        <f t="shared" si="408"/>
        <v/>
      </c>
      <c r="MA73" s="90" t="str">
        <f t="shared" si="408"/>
        <v/>
      </c>
    </row>
    <row r="74" spans="1:339" ht="15.75" thickBot="1" x14ac:dyDescent="0.3">
      <c r="A74" s="66" t="s">
        <v>251</v>
      </c>
      <c r="B74" s="64"/>
      <c r="C74" s="64"/>
      <c r="D74" s="64"/>
      <c r="E74" s="65"/>
      <c r="F74" s="64"/>
      <c r="G74" s="64"/>
      <c r="H74" s="64"/>
      <c r="I74" s="64"/>
      <c r="J74" s="64"/>
      <c r="K74" s="64"/>
      <c r="L74" s="64"/>
      <c r="M74" s="64"/>
      <c r="N74" s="64"/>
      <c r="O74" s="65"/>
      <c r="P74" s="64"/>
      <c r="Q74" s="65"/>
      <c r="R74" s="64" t="str">
        <f>IF(SUM(R61, R73) &gt; 0, SUM(R61, R73), "")</f>
        <v/>
      </c>
      <c r="S74" s="67" t="str">
        <f t="shared" ref="S74:Y74" si="409">IF(SUM(S61, S73) &gt; 0, SUM(S61, S73), "")</f>
        <v/>
      </c>
      <c r="T74" s="64" t="str">
        <f t="shared" si="409"/>
        <v/>
      </c>
      <c r="U74" s="64" t="str">
        <f t="shared" si="409"/>
        <v/>
      </c>
      <c r="V74" s="64" t="str">
        <f t="shared" si="409"/>
        <v/>
      </c>
      <c r="W74" s="64" t="str">
        <f t="shared" si="409"/>
        <v/>
      </c>
      <c r="X74" s="64" t="str">
        <f t="shared" si="409"/>
        <v/>
      </c>
      <c r="Y74" s="65" t="str">
        <f t="shared" si="409"/>
        <v/>
      </c>
      <c r="Z74" s="67" t="str">
        <f t="shared" ref="Z74" si="410">IF(SUM(Z61, Z73) &gt; 0, SUM(Z61, Z73), "")</f>
        <v/>
      </c>
      <c r="AA74" s="64" t="str">
        <f t="shared" ref="AA74" si="411">IF(SUM(AA61, AA73) &gt; 0, SUM(AA61, AA73), "")</f>
        <v/>
      </c>
      <c r="AB74" s="64" t="str">
        <f t="shared" ref="AB74" si="412">IF(SUM(AB61, AB73) &gt; 0, SUM(AB61, AB73), "")</f>
        <v/>
      </c>
      <c r="AC74" s="64" t="str">
        <f t="shared" ref="AC74" si="413">IF(SUM(AC61, AC73) &gt; 0, SUM(AC61, AC73), "")</f>
        <v/>
      </c>
      <c r="AD74" s="64" t="str">
        <f t="shared" ref="AD74" si="414">IF(SUM(AD61, AD73) &gt; 0, SUM(AD61, AD73), "")</f>
        <v/>
      </c>
      <c r="AE74" s="64" t="str">
        <f t="shared" ref="AE74" si="415">IF(SUM(AE61, AE73) &gt; 0, SUM(AE61, AE73), "")</f>
        <v/>
      </c>
      <c r="AF74" s="65" t="str">
        <f t="shared" ref="AF74" si="416">IF(SUM(AF61, AF73) &gt; 0, SUM(AF61, AF73), "")</f>
        <v/>
      </c>
      <c r="AG74" s="67" t="str">
        <f t="shared" ref="AG74" si="417">IF(SUM(AG61, AG73) &gt; 0, SUM(AG61, AG73), "")</f>
        <v/>
      </c>
      <c r="AH74" s="64">
        <f t="shared" ref="AH74" si="418">IF(SUM(AH61, AH73) &gt; 0, SUM(AH61, AH73), "")</f>
        <v>11</v>
      </c>
      <c r="AI74" s="64" t="str">
        <f t="shared" ref="AI74" si="419">IF(SUM(AI61, AI73) &gt; 0, SUM(AI61, AI73), "")</f>
        <v/>
      </c>
      <c r="AJ74" s="64">
        <f t="shared" ref="AJ74" si="420">IF(SUM(AJ61, AJ73) &gt; 0, SUM(AJ61, AJ73), "")</f>
        <v>10</v>
      </c>
      <c r="AK74" s="64" t="str">
        <f t="shared" ref="AK74" si="421">IF(SUM(AK61, AK73) &gt; 0, SUM(AK61, AK73), "")</f>
        <v/>
      </c>
      <c r="AL74" s="64" t="str">
        <f t="shared" ref="AL74" si="422">IF(SUM(AL61, AL73) &gt; 0, SUM(AL61, AL73), "")</f>
        <v/>
      </c>
      <c r="AM74" s="65" t="str">
        <f t="shared" ref="AM74" si="423">IF(SUM(AM61, AM73) &gt; 0, SUM(AM61, AM73), "")</f>
        <v/>
      </c>
      <c r="AN74" s="67" t="str">
        <f t="shared" ref="AN74" si="424">IF(SUM(AN61, AN73) &gt; 0, SUM(AN61, AN73), "")</f>
        <v/>
      </c>
      <c r="AO74" s="64">
        <f t="shared" ref="AO74" si="425">IF(SUM(AO61, AO73) &gt; 0, SUM(AO61, AO73), "")</f>
        <v>11</v>
      </c>
      <c r="AP74" s="64" t="str">
        <f t="shared" ref="AP74" si="426">IF(SUM(AP61, AP73) &gt; 0, SUM(AP61, AP73), "")</f>
        <v/>
      </c>
      <c r="AQ74" s="64">
        <f t="shared" ref="AQ74" si="427">IF(SUM(AQ61, AQ73) &gt; 0, SUM(AQ61, AQ73), "")</f>
        <v>10</v>
      </c>
      <c r="AR74" s="64" t="str">
        <f t="shared" ref="AR74" si="428">IF(SUM(AR61, AR73) &gt; 0, SUM(AR61, AR73), "")</f>
        <v/>
      </c>
      <c r="AS74" s="64" t="str">
        <f t="shared" ref="AS74" si="429">IF(SUM(AS61, AS73) &gt; 0, SUM(AS61, AS73), "")</f>
        <v/>
      </c>
      <c r="AT74" s="65" t="str">
        <f t="shared" ref="AT74" si="430">IF(SUM(AT61, AT73) &gt; 0, SUM(AT61, AT73), "")</f>
        <v/>
      </c>
      <c r="AU74" s="67" t="str">
        <f t="shared" ref="AU74" si="431">IF(SUM(AU61, AU73) &gt; 0, SUM(AU61, AU73), "")</f>
        <v/>
      </c>
      <c r="AV74" s="64">
        <f t="shared" ref="AV74" si="432">IF(SUM(AV61, AV73) &gt; 0, SUM(AV61, AV73), "")</f>
        <v>11</v>
      </c>
      <c r="AW74" s="64">
        <f t="shared" ref="AW74" si="433">IF(SUM(AW61, AW73) &gt; 0, SUM(AW61, AW73), "")</f>
        <v>6</v>
      </c>
      <c r="AX74" s="64">
        <f t="shared" ref="AX74" si="434">IF(SUM(AX61, AX73) &gt; 0, SUM(AX61, AX73), "")</f>
        <v>8</v>
      </c>
      <c r="AY74" s="64" t="str">
        <f t="shared" ref="AY74" si="435">IF(SUM(AY61, AY73) &gt; 0, SUM(AY61, AY73), "")</f>
        <v/>
      </c>
      <c r="AZ74" s="64" t="str">
        <f t="shared" ref="AZ74" si="436">IF(SUM(AZ61, AZ73) &gt; 0, SUM(AZ61, AZ73), "")</f>
        <v/>
      </c>
      <c r="BA74" s="65" t="str">
        <f t="shared" ref="BA74" si="437">IF(SUM(BA61, BA73) &gt; 0, SUM(BA61, BA73), "")</f>
        <v/>
      </c>
      <c r="BB74" s="67" t="str">
        <f t="shared" ref="BB74" si="438">IF(SUM(BB61, BB73) &gt; 0, SUM(BB61, BB73), "")</f>
        <v/>
      </c>
      <c r="BC74" s="64">
        <f t="shared" ref="BC74" si="439">IF(SUM(BC61, BC73) &gt; 0, SUM(BC61, BC73), "")</f>
        <v>11</v>
      </c>
      <c r="BD74" s="64" t="str">
        <f t="shared" ref="BD74" si="440">IF(SUM(BD61, BD73) &gt; 0, SUM(BD61, BD73), "")</f>
        <v/>
      </c>
      <c r="BE74" s="64">
        <f t="shared" ref="BE74" si="441">IF(SUM(BE61, BE73) &gt; 0, SUM(BE61, BE73), "")</f>
        <v>8</v>
      </c>
      <c r="BF74" s="64" t="str">
        <f t="shared" ref="BF74" si="442">IF(SUM(BF61, BF73) &gt; 0, SUM(BF61, BF73), "")</f>
        <v/>
      </c>
      <c r="BG74" s="64" t="str">
        <f t="shared" ref="BG74" si="443">IF(SUM(BG61, BG73) &gt; 0, SUM(BG61, BG73), "")</f>
        <v/>
      </c>
      <c r="BH74" s="65" t="str">
        <f t="shared" ref="BH74" si="444">IF(SUM(BH61, BH73) &gt; 0, SUM(BH61, BH73), "")</f>
        <v/>
      </c>
      <c r="BI74" s="67" t="str">
        <f t="shared" ref="BI74" si="445">IF(SUM(BI61, BI73) &gt; 0, SUM(BI61, BI73), "")</f>
        <v/>
      </c>
      <c r="BJ74" s="64">
        <f t="shared" ref="BJ74" si="446">IF(SUM(BJ61, BJ73) &gt; 0, SUM(BJ61, BJ73), "")</f>
        <v>9</v>
      </c>
      <c r="BK74" s="64" t="str">
        <f t="shared" ref="BK74" si="447">IF(SUM(BK61, BK73) &gt; 0, SUM(BK61, BK73), "")</f>
        <v/>
      </c>
      <c r="BL74" s="64">
        <f t="shared" ref="BL74" si="448">IF(SUM(BL61, BL73) &gt; 0, SUM(BL61, BL73), "")</f>
        <v>13</v>
      </c>
      <c r="BM74" s="64">
        <f t="shared" ref="BM74" si="449">IF(SUM(BM61, BM73) &gt; 0, SUM(BM61, BM73), "")</f>
        <v>12</v>
      </c>
      <c r="BN74" s="64" t="str">
        <f t="shared" ref="BN74:BO74" si="450">IF(SUM(BN61, BN73) &gt; 0, SUM(BN61, BN73), "")</f>
        <v/>
      </c>
      <c r="BO74" s="65">
        <f t="shared" si="450"/>
        <v>5</v>
      </c>
      <c r="BP74" s="64" t="str">
        <f t="shared" ref="BP74" si="451">IF(SUM(BP61, BP73) &gt; 0, SUM(BP61, BP73), "")</f>
        <v/>
      </c>
      <c r="BQ74" s="64" t="str">
        <f t="shared" ref="BQ74" si="452">IF(SUM(BQ61, BQ73) &gt; 0, SUM(BQ61, BQ73), "")</f>
        <v/>
      </c>
      <c r="BR74" s="64" t="str">
        <f t="shared" ref="BR74" si="453">IF(SUM(BR61, BR73) &gt; 0, SUM(BR61, BR73), "")</f>
        <v/>
      </c>
      <c r="BS74" s="64" t="str">
        <f t="shared" ref="BS74" si="454">IF(SUM(BS61, BS73) &gt; 0, SUM(BS61, BS73), "")</f>
        <v/>
      </c>
      <c r="BT74" s="64" t="str">
        <f t="shared" ref="BT74" si="455">IF(SUM(BT61, BT73) &gt; 0, SUM(BT61, BT73), "")</f>
        <v/>
      </c>
      <c r="BU74" s="64" t="str">
        <f t="shared" ref="BU74:BV74" si="456">IF(SUM(BU61, BU73) &gt; 0, SUM(BU61, BU73), "")</f>
        <v/>
      </c>
      <c r="BV74" s="64">
        <f t="shared" si="456"/>
        <v>2</v>
      </c>
      <c r="BW74" s="64"/>
      <c r="BX74" s="65" t="str">
        <f t="shared" ref="BX74" si="457">IF(SUM(BX61, BX73) &gt; 0, SUM(BX61, BX73), "")</f>
        <v/>
      </c>
      <c r="BY74" s="67" t="str">
        <f t="shared" ref="BY74" si="458">IF(SUM(BY61, BY73) &gt; 0, SUM(BY61, BY73), "")</f>
        <v/>
      </c>
      <c r="BZ74" s="64" t="str">
        <f t="shared" ref="BZ74" si="459">IF(SUM(BZ61, BZ73) &gt; 0, SUM(BZ61, BZ73), "")</f>
        <v/>
      </c>
      <c r="CA74" s="64" t="str">
        <f t="shared" ref="CA74" si="460">IF(SUM(CA61, CA73) &gt; 0, SUM(CA61, CA73), "")</f>
        <v/>
      </c>
      <c r="CB74" s="64" t="str">
        <f t="shared" ref="CB74" si="461">IF(SUM(CB61, CB73) &gt; 0, SUM(CB61, CB73), "")</f>
        <v/>
      </c>
      <c r="CC74" s="64" t="str">
        <f t="shared" ref="CC74" si="462">IF(SUM(CC61, CC73) &gt; 0, SUM(CC61, CC73), "")</f>
        <v/>
      </c>
      <c r="CD74" s="64" t="str">
        <f t="shared" ref="CD74" si="463">IF(SUM(CD61, CD73) &gt; 0, SUM(CD61, CD73), "")</f>
        <v/>
      </c>
      <c r="CE74" s="64"/>
      <c r="CF74" s="64"/>
      <c r="CG74" s="65" t="str">
        <f t="shared" ref="CG74" si="464">IF(SUM(CG61, CG73) &gt; 0, SUM(CG61, CG73), "")</f>
        <v/>
      </c>
      <c r="CH74" s="67" t="str">
        <f t="shared" ref="CH74" si="465">IF(SUM(CH61, CH73) &gt; 0, SUM(CH61, CH73), "")</f>
        <v/>
      </c>
      <c r="CI74" s="64" t="str">
        <f t="shared" ref="CI74" si="466">IF(SUM(CI61, CI73) &gt; 0, SUM(CI61, CI73), "")</f>
        <v/>
      </c>
      <c r="CJ74" s="64" t="str">
        <f t="shared" ref="CJ74" si="467">IF(SUM(CJ61, CJ73) &gt; 0, SUM(CJ61, CJ73), "")</f>
        <v/>
      </c>
      <c r="CK74" s="64" t="str">
        <f t="shared" ref="CK74" si="468">IF(SUM(CK61, CK73) &gt; 0, SUM(CK61, CK73), "")</f>
        <v/>
      </c>
      <c r="CL74" s="64" t="str">
        <f t="shared" ref="CL74" si="469">IF(SUM(CL61, CL73) &gt; 0, SUM(CL61, CL73), "")</f>
        <v/>
      </c>
      <c r="CM74" s="64" t="str">
        <f t="shared" ref="CM74:CN74" si="470">IF(SUM(CM61, CM73) &gt; 0, SUM(CM61, CM73), "")</f>
        <v/>
      </c>
      <c r="CN74" s="64" t="str">
        <f t="shared" si="470"/>
        <v/>
      </c>
      <c r="CO74" s="64"/>
      <c r="CP74" s="65" t="str">
        <f t="shared" ref="CP74" si="471">IF(SUM(CP61, CP73) &gt; 0, SUM(CP61, CP73), "")</f>
        <v/>
      </c>
      <c r="CQ74" s="67" t="str">
        <f t="shared" ref="CQ74" si="472">IF(SUM(CQ61, CQ73) &gt; 0, SUM(CQ61, CQ73), "")</f>
        <v/>
      </c>
      <c r="CR74" s="64" t="str">
        <f t="shared" ref="CR74" si="473">IF(SUM(CR61, CR73) &gt; 0, SUM(CR61, CR73), "")</f>
        <v/>
      </c>
      <c r="CS74" s="64" t="str">
        <f t="shared" ref="CS74" si="474">IF(SUM(CS61, CS73) &gt; 0, SUM(CS61, CS73), "")</f>
        <v/>
      </c>
      <c r="CT74" s="64" t="str">
        <f t="shared" ref="CT74" si="475">IF(SUM(CT61, CT73) &gt; 0, SUM(CT61, CT73), "")</f>
        <v/>
      </c>
      <c r="CU74" s="64" t="str">
        <f t="shared" ref="CU74" si="476">IF(SUM(CU61, CU73) &gt; 0, SUM(CU61, CU73), "")</f>
        <v/>
      </c>
      <c r="CV74" s="64" t="str">
        <f t="shared" ref="CV74" si="477">IF(SUM(CV61, CV73) &gt; 0, SUM(CV61, CV73), "")</f>
        <v/>
      </c>
      <c r="CW74" s="65" t="str">
        <f t="shared" ref="CW74" si="478">IF(SUM(CW61, CW73) &gt; 0, SUM(CW61, CW73), "")</f>
        <v/>
      </c>
      <c r="CX74" s="67" t="str">
        <f t="shared" ref="CX74" si="479">IF(SUM(CX61, CX73) &gt; 0, SUM(CX61, CX73), "")</f>
        <v/>
      </c>
      <c r="CY74" s="64" t="str">
        <f t="shared" ref="CY74" si="480">IF(SUM(CY61, CY73) &gt; 0, SUM(CY61, CY73), "")</f>
        <v/>
      </c>
      <c r="CZ74" s="64" t="str">
        <f t="shared" ref="CZ74" si="481">IF(SUM(CZ61, CZ73) &gt; 0, SUM(CZ61, CZ73), "")</f>
        <v/>
      </c>
      <c r="DA74" s="64" t="str">
        <f t="shared" ref="DA74" si="482">IF(SUM(DA61, DA73) &gt; 0, SUM(DA61, DA73), "")</f>
        <v/>
      </c>
      <c r="DB74" s="64" t="str">
        <f t="shared" ref="DB74" si="483">IF(SUM(DB61, DB73) &gt; 0, SUM(DB61, DB73), "")</f>
        <v/>
      </c>
      <c r="DC74" s="64" t="str">
        <f t="shared" ref="DC74" si="484">IF(SUM(DC61, DC73) &gt; 0, SUM(DC61, DC73), "")</f>
        <v/>
      </c>
      <c r="DD74" s="65" t="str">
        <f t="shared" ref="DD74" si="485">IF(SUM(DD61, DD73) &gt; 0, SUM(DD61, DD73), "")</f>
        <v/>
      </c>
      <c r="DE74" s="67" t="str">
        <f t="shared" ref="DE74" si="486">IF(SUM(DE61, DE73) &gt; 0, SUM(DE61, DE73), "")</f>
        <v/>
      </c>
      <c r="DF74" s="64" t="str">
        <f t="shared" ref="DF74" si="487">IF(SUM(DF61, DF73) &gt; 0, SUM(DF61, DF73), "")</f>
        <v/>
      </c>
      <c r="DG74" s="64" t="str">
        <f t="shared" ref="DG74" si="488">IF(SUM(DG61, DG73) &gt; 0, SUM(DG61, DG73), "")</f>
        <v/>
      </c>
      <c r="DH74" s="64" t="str">
        <f t="shared" ref="DH74" si="489">IF(SUM(DH61, DH73) &gt; 0, SUM(DH61, DH73), "")</f>
        <v/>
      </c>
      <c r="DI74" s="64" t="str">
        <f t="shared" ref="DI74" si="490">IF(SUM(DI61, DI73) &gt; 0, SUM(DI61, DI73), "")</f>
        <v/>
      </c>
      <c r="DJ74" s="64" t="str">
        <f t="shared" ref="DJ74" si="491">IF(SUM(DJ61, DJ73) &gt; 0, SUM(DJ61, DJ73), "")</f>
        <v/>
      </c>
      <c r="DK74" s="65" t="str">
        <f t="shared" ref="DK74" si="492">IF(SUM(DK61, DK73) &gt; 0, SUM(DK61, DK73), "")</f>
        <v/>
      </c>
      <c r="DL74" s="67" t="str">
        <f t="shared" ref="DL74" si="493">IF(SUM(DL61, DL73) &gt; 0, SUM(DL61, DL73), "")</f>
        <v/>
      </c>
      <c r="DM74" s="64" t="str">
        <f t="shared" ref="DM74" si="494">IF(SUM(DM61, DM73) &gt; 0, SUM(DM61, DM73), "")</f>
        <v/>
      </c>
      <c r="DN74" s="64" t="str">
        <f t="shared" ref="DN74" si="495">IF(SUM(DN61, DN73) &gt; 0, SUM(DN61, DN73), "")</f>
        <v/>
      </c>
      <c r="DO74" s="64" t="str">
        <f t="shared" ref="DO74" si="496">IF(SUM(DO61, DO73) &gt; 0, SUM(DO61, DO73), "")</f>
        <v/>
      </c>
      <c r="DP74" s="64" t="str">
        <f t="shared" ref="DP74" si="497">IF(SUM(DP61, DP73) &gt; 0, SUM(DP61, DP73), "")</f>
        <v/>
      </c>
      <c r="DQ74" s="64" t="str">
        <f t="shared" ref="DQ74" si="498">IF(SUM(DQ61, DQ73) &gt; 0, SUM(DQ61, DQ73), "")</f>
        <v/>
      </c>
      <c r="DR74" s="65" t="str">
        <f t="shared" ref="DR74" si="499">IF(SUM(DR61, DR73) &gt; 0, SUM(DR61, DR73), "")</f>
        <v/>
      </c>
      <c r="DS74" s="67" t="str">
        <f t="shared" ref="DS74" si="500">IF(SUM(DS61, DS73) &gt; 0, SUM(DS61, DS73), "")</f>
        <v/>
      </c>
      <c r="DT74" s="64" t="str">
        <f t="shared" ref="DT74" si="501">IF(SUM(DT61, DT73) &gt; 0, SUM(DT61, DT73), "")</f>
        <v/>
      </c>
      <c r="DU74" s="64" t="str">
        <f t="shared" ref="DU74" si="502">IF(SUM(DU61, DU73) &gt; 0, SUM(DU61, DU73), "")</f>
        <v/>
      </c>
      <c r="DV74" s="64" t="str">
        <f t="shared" ref="DV74" si="503">IF(SUM(DV61, DV73) &gt; 0, SUM(DV61, DV73), "")</f>
        <v/>
      </c>
      <c r="DW74" s="64" t="str">
        <f t="shared" ref="DW74" si="504">IF(SUM(DW61, DW73) &gt; 0, SUM(DW61, DW73), "")</f>
        <v/>
      </c>
      <c r="DX74" s="64" t="str">
        <f t="shared" ref="DX74" si="505">IF(SUM(DX61, DX73) &gt; 0, SUM(DX61, DX73), "")</f>
        <v/>
      </c>
      <c r="DY74" s="65" t="str">
        <f t="shared" ref="DY74" si="506">IF(SUM(DY61, DY73) &gt; 0, SUM(DY61, DY73), "")</f>
        <v/>
      </c>
      <c r="DZ74" s="67" t="str">
        <f t="shared" ref="DZ74" si="507">IF(SUM(DZ61, DZ73) &gt; 0, SUM(DZ61, DZ73), "")</f>
        <v/>
      </c>
      <c r="EA74" s="64" t="str">
        <f t="shared" ref="EA74" si="508">IF(SUM(EA61, EA73) &gt; 0, SUM(EA61, EA73), "")</f>
        <v/>
      </c>
      <c r="EB74" s="64" t="str">
        <f t="shared" ref="EB74" si="509">IF(SUM(EB61, EB73) &gt; 0, SUM(EB61, EB73), "")</f>
        <v/>
      </c>
      <c r="EC74" s="64" t="str">
        <f t="shared" ref="EC74" si="510">IF(SUM(EC61, EC73) &gt; 0, SUM(EC61, EC73), "")</f>
        <v/>
      </c>
      <c r="ED74" s="64" t="str">
        <f t="shared" ref="ED74" si="511">IF(SUM(ED61, ED73) &gt; 0, SUM(ED61, ED73), "")</f>
        <v/>
      </c>
      <c r="EE74" s="64" t="str">
        <f t="shared" ref="EE74" si="512">IF(SUM(EE61, EE73) &gt; 0, SUM(EE61, EE73), "")</f>
        <v/>
      </c>
      <c r="EF74" s="65" t="str">
        <f t="shared" ref="EF74" si="513">IF(SUM(EF61, EF73) &gt; 0, SUM(EF61, EF73), "")</f>
        <v/>
      </c>
      <c r="EG74" s="67" t="str">
        <f t="shared" ref="EG74" si="514">IF(SUM(EG61, EG73) &gt; 0, SUM(EG61, EG73), "")</f>
        <v/>
      </c>
      <c r="EH74" s="64" t="str">
        <f t="shared" ref="EH74" si="515">IF(SUM(EH61, EH73) &gt; 0, SUM(EH61, EH73), "")</f>
        <v/>
      </c>
      <c r="EI74" s="64" t="str">
        <f t="shared" ref="EI74" si="516">IF(SUM(EI61, EI73) &gt; 0, SUM(EI61, EI73), "")</f>
        <v/>
      </c>
      <c r="EJ74" s="64" t="str">
        <f t="shared" ref="EJ74" si="517">IF(SUM(EJ61, EJ73) &gt; 0, SUM(EJ61, EJ73), "")</f>
        <v/>
      </c>
      <c r="EK74" s="64" t="str">
        <f t="shared" ref="EK74" si="518">IF(SUM(EK61, EK73) &gt; 0, SUM(EK61, EK73), "")</f>
        <v/>
      </c>
      <c r="EL74" s="64" t="str">
        <f t="shared" ref="EL74" si="519">IF(SUM(EL61, EL73) &gt; 0, SUM(EL61, EL73), "")</f>
        <v/>
      </c>
      <c r="EM74" s="65" t="str">
        <f t="shared" ref="EM74" si="520">IF(SUM(EM61, EM73) &gt; 0, SUM(EM61, EM73), "")</f>
        <v/>
      </c>
      <c r="EN74" s="67" t="str">
        <f t="shared" ref="EN74" si="521">IF(SUM(EN61, EN73) &gt; 0, SUM(EN61, EN73), "")</f>
        <v/>
      </c>
      <c r="EO74" s="64" t="str">
        <f t="shared" ref="EO74" si="522">IF(SUM(EO61, EO73) &gt; 0, SUM(EO61, EO73), "")</f>
        <v/>
      </c>
      <c r="EP74" s="64" t="str">
        <f t="shared" ref="EP74" si="523">IF(SUM(EP61, EP73) &gt; 0, SUM(EP61, EP73), "")</f>
        <v/>
      </c>
      <c r="EQ74" s="64" t="str">
        <f t="shared" ref="EQ74" si="524">IF(SUM(EQ61, EQ73) &gt; 0, SUM(EQ61, EQ73), "")</f>
        <v/>
      </c>
      <c r="ER74" s="64" t="str">
        <f t="shared" ref="ER74" si="525">IF(SUM(ER61, ER73) &gt; 0, SUM(ER61, ER73), "")</f>
        <v/>
      </c>
      <c r="ES74" s="64" t="str">
        <f t="shared" ref="ES74" si="526">IF(SUM(ES61, ES73) &gt; 0, SUM(ES61, ES73), "")</f>
        <v/>
      </c>
      <c r="ET74" s="65" t="str">
        <f t="shared" ref="ET74" si="527">IF(SUM(ET61, ET73) &gt; 0, SUM(ET61, ET73), "")</f>
        <v/>
      </c>
      <c r="EU74" s="67" t="str">
        <f t="shared" ref="EU74" si="528">IF(SUM(EU61, EU73) &gt; 0, SUM(EU61, EU73), "")</f>
        <v/>
      </c>
      <c r="EV74" s="64" t="str">
        <f t="shared" ref="EV74" si="529">IF(SUM(EV61, EV73) &gt; 0, SUM(EV61, EV73), "")</f>
        <v/>
      </c>
      <c r="EW74" s="64" t="str">
        <f t="shared" ref="EW74" si="530">IF(SUM(EW61, EW73) &gt; 0, SUM(EW61, EW73), "")</f>
        <v/>
      </c>
      <c r="EX74" s="64" t="str">
        <f t="shared" ref="EX74" si="531">IF(SUM(EX61, EX73) &gt; 0, SUM(EX61, EX73), "")</f>
        <v/>
      </c>
      <c r="EY74" s="64" t="str">
        <f t="shared" ref="EY74" si="532">IF(SUM(EY61, EY73) &gt; 0, SUM(EY61, EY73), "")</f>
        <v/>
      </c>
      <c r="EZ74" s="64" t="str">
        <f t="shared" ref="EZ74" si="533">IF(SUM(EZ61, EZ73) &gt; 0, SUM(EZ61, EZ73), "")</f>
        <v/>
      </c>
      <c r="FA74" s="65" t="str">
        <f t="shared" ref="FA74" si="534">IF(SUM(FA61, FA73) &gt; 0, SUM(FA61, FA73), "")</f>
        <v/>
      </c>
      <c r="FB74" s="67" t="str">
        <f t="shared" ref="FB74" si="535">IF(SUM(FB61, FB73) &gt; 0, SUM(FB61, FB73), "")</f>
        <v/>
      </c>
      <c r="FC74" s="64" t="str">
        <f t="shared" ref="FC74" si="536">IF(SUM(FC61, FC73) &gt; 0, SUM(FC61, FC73), "")</f>
        <v/>
      </c>
      <c r="FD74" s="64" t="str">
        <f t="shared" ref="FD74" si="537">IF(SUM(FD61, FD73) &gt; 0, SUM(FD61, FD73), "")</f>
        <v/>
      </c>
      <c r="FE74" s="64" t="str">
        <f t="shared" ref="FE74" si="538">IF(SUM(FE61, FE73) &gt; 0, SUM(FE61, FE73), "")</f>
        <v/>
      </c>
      <c r="FF74" s="64" t="str">
        <f t="shared" ref="FF74" si="539">IF(SUM(FF61, FF73) &gt; 0, SUM(FF61, FF73), "")</f>
        <v/>
      </c>
      <c r="FG74" s="64" t="str">
        <f t="shared" ref="FG74" si="540">IF(SUM(FG61, FG73) &gt; 0, SUM(FG61, FG73), "")</f>
        <v/>
      </c>
      <c r="FH74" s="65" t="str">
        <f t="shared" ref="FH74" si="541">IF(SUM(FH61, FH73) &gt; 0, SUM(FH61, FH73), "")</f>
        <v/>
      </c>
      <c r="FI74" s="67" t="str">
        <f t="shared" ref="FI74" si="542">IF(SUM(FI61, FI73) &gt; 0, SUM(FI61, FI73), "")</f>
        <v/>
      </c>
      <c r="FJ74" s="64" t="str">
        <f t="shared" ref="FJ74" si="543">IF(SUM(FJ61, FJ73) &gt; 0, SUM(FJ61, FJ73), "")</f>
        <v/>
      </c>
      <c r="FK74" s="64" t="str">
        <f t="shared" ref="FK74" si="544">IF(SUM(FK61, FK73) &gt; 0, SUM(FK61, FK73), "")</f>
        <v/>
      </c>
      <c r="FL74" s="64" t="str">
        <f t="shared" ref="FL74" si="545">IF(SUM(FL61, FL73) &gt; 0, SUM(FL61, FL73), "")</f>
        <v/>
      </c>
      <c r="FM74" s="64" t="str">
        <f t="shared" ref="FM74" si="546">IF(SUM(FM61, FM73) &gt; 0, SUM(FM61, FM73), "")</f>
        <v/>
      </c>
      <c r="FN74" s="64" t="str">
        <f t="shared" ref="FN74" si="547">IF(SUM(FN61, FN73) &gt; 0, SUM(FN61, FN73), "")</f>
        <v/>
      </c>
      <c r="FO74" s="65" t="str">
        <f t="shared" ref="FO74" si="548">IF(SUM(FO61, FO73) &gt; 0, SUM(FO61, FO73), "")</f>
        <v/>
      </c>
      <c r="FP74" s="67" t="str">
        <f t="shared" ref="FP74" si="549">IF(SUM(FP61, FP73) &gt; 0, SUM(FP61, FP73), "")</f>
        <v/>
      </c>
      <c r="FQ74" s="64" t="str">
        <f t="shared" ref="FQ74" si="550">IF(SUM(FQ61, FQ73) &gt; 0, SUM(FQ61, FQ73), "")</f>
        <v/>
      </c>
      <c r="FR74" s="64" t="str">
        <f t="shared" ref="FR74" si="551">IF(SUM(FR61, FR73) &gt; 0, SUM(FR61, FR73), "")</f>
        <v/>
      </c>
      <c r="FS74" s="64" t="str">
        <f t="shared" ref="FS74" si="552">IF(SUM(FS61, FS73) &gt; 0, SUM(FS61, FS73), "")</f>
        <v/>
      </c>
      <c r="FT74" s="64" t="str">
        <f t="shared" ref="FT74" si="553">IF(SUM(FT61, FT73) &gt; 0, SUM(FT61, FT73), "")</f>
        <v/>
      </c>
      <c r="FU74" s="64" t="str">
        <f t="shared" ref="FU74" si="554">IF(SUM(FU61, FU73) &gt; 0, SUM(FU61, FU73), "")</f>
        <v/>
      </c>
      <c r="FV74" s="65" t="str">
        <f t="shared" ref="FV74" si="555">IF(SUM(FV61, FV73) &gt; 0, SUM(FV61, FV73), "")</f>
        <v/>
      </c>
      <c r="FW74" s="67" t="str">
        <f t="shared" ref="FW74" si="556">IF(SUM(FW61, FW73) &gt; 0, SUM(FW61, FW73), "")</f>
        <v/>
      </c>
      <c r="FX74" s="64" t="str">
        <f t="shared" ref="FX74" si="557">IF(SUM(FX61, FX73) &gt; 0, SUM(FX61, FX73), "")</f>
        <v/>
      </c>
      <c r="FY74" s="64" t="str">
        <f t="shared" ref="FY74" si="558">IF(SUM(FY61, FY73) &gt; 0, SUM(FY61, FY73), "")</f>
        <v/>
      </c>
      <c r="FZ74" s="64" t="str">
        <f t="shared" ref="FZ74" si="559">IF(SUM(FZ61, FZ73) &gt; 0, SUM(FZ61, FZ73), "")</f>
        <v/>
      </c>
      <c r="GA74" s="64" t="str">
        <f t="shared" ref="GA74" si="560">IF(SUM(GA61, GA73) &gt; 0, SUM(GA61, GA73), "")</f>
        <v/>
      </c>
      <c r="GB74" s="64" t="str">
        <f t="shared" ref="GB74" si="561">IF(SUM(GB61, GB73) &gt; 0, SUM(GB61, GB73), "")</f>
        <v/>
      </c>
      <c r="GC74" s="65" t="str">
        <f t="shared" ref="GC74" si="562">IF(SUM(GC61, GC73) &gt; 0, SUM(GC61, GC73), "")</f>
        <v/>
      </c>
      <c r="GD74" s="67" t="str">
        <f t="shared" ref="GD74" si="563">IF(SUM(GD61, GD73) &gt; 0, SUM(GD61, GD73), "")</f>
        <v/>
      </c>
      <c r="GE74" s="64" t="str">
        <f t="shared" ref="GE74" si="564">IF(SUM(GE61, GE73) &gt; 0, SUM(GE61, GE73), "")</f>
        <v/>
      </c>
      <c r="GF74" s="64" t="str">
        <f t="shared" ref="GF74" si="565">IF(SUM(GF61, GF73) &gt; 0, SUM(GF61, GF73), "")</f>
        <v/>
      </c>
      <c r="GG74" s="64" t="str">
        <f t="shared" ref="GG74" si="566">IF(SUM(GG61, GG73) &gt; 0, SUM(GG61, GG73), "")</f>
        <v/>
      </c>
      <c r="GH74" s="64" t="str">
        <f t="shared" ref="GH74" si="567">IF(SUM(GH61, GH73) &gt; 0, SUM(GH61, GH73), "")</f>
        <v/>
      </c>
      <c r="GI74" s="64" t="str">
        <f t="shared" ref="GI74" si="568">IF(SUM(GI61, GI73) &gt; 0, SUM(GI61, GI73), "")</f>
        <v/>
      </c>
      <c r="GJ74" s="65" t="str">
        <f t="shared" ref="GJ74" si="569">IF(SUM(GJ61, GJ73) &gt; 0, SUM(GJ61, GJ73), "")</f>
        <v/>
      </c>
      <c r="GK74" s="67" t="str">
        <f t="shared" ref="GK74" si="570">IF(SUM(GK61, GK73) &gt; 0, SUM(GK61, GK73), "")</f>
        <v/>
      </c>
      <c r="GL74" s="64" t="str">
        <f t="shared" ref="GL74" si="571">IF(SUM(GL61, GL73) &gt; 0, SUM(GL61, GL73), "")</f>
        <v/>
      </c>
      <c r="GM74" s="64" t="str">
        <f t="shared" ref="GM74" si="572">IF(SUM(GM61, GM73) &gt; 0, SUM(GM61, GM73), "")</f>
        <v/>
      </c>
      <c r="GN74" s="64" t="str">
        <f t="shared" ref="GN74" si="573">IF(SUM(GN61, GN73) &gt; 0, SUM(GN61, GN73), "")</f>
        <v/>
      </c>
      <c r="GO74" s="64" t="str">
        <f t="shared" ref="GO74" si="574">IF(SUM(GO61, GO73) &gt; 0, SUM(GO61, GO73), "")</f>
        <v/>
      </c>
      <c r="GP74" s="64" t="str">
        <f t="shared" ref="GP74" si="575">IF(SUM(GP61, GP73) &gt; 0, SUM(GP61, GP73), "")</f>
        <v/>
      </c>
      <c r="GQ74" s="65" t="str">
        <f t="shared" ref="GQ74" si="576">IF(SUM(GQ61, GQ73) &gt; 0, SUM(GQ61, GQ73), "")</f>
        <v/>
      </c>
      <c r="GR74" s="67" t="str">
        <f t="shared" ref="GR74" si="577">IF(SUM(GR61, GR73) &gt; 0, SUM(GR61, GR73), "")</f>
        <v/>
      </c>
      <c r="GS74" s="64" t="str">
        <f t="shared" ref="GS74" si="578">IF(SUM(GS61, GS73) &gt; 0, SUM(GS61, GS73), "")</f>
        <v/>
      </c>
      <c r="GT74" s="64" t="str">
        <f t="shared" ref="GT74" si="579">IF(SUM(GT61, GT73) &gt; 0, SUM(GT61, GT73), "")</f>
        <v/>
      </c>
      <c r="GU74" s="64" t="str">
        <f t="shared" ref="GU74" si="580">IF(SUM(GU61, GU73) &gt; 0, SUM(GU61, GU73), "")</f>
        <v/>
      </c>
      <c r="GV74" s="64" t="str">
        <f t="shared" ref="GV74" si="581">IF(SUM(GV61, GV73) &gt; 0, SUM(GV61, GV73), "")</f>
        <v/>
      </c>
      <c r="GW74" s="64" t="str">
        <f t="shared" ref="GW74" si="582">IF(SUM(GW61, GW73) &gt; 0, SUM(GW61, GW73), "")</f>
        <v/>
      </c>
      <c r="GX74" s="65" t="str">
        <f t="shared" ref="GX74" si="583">IF(SUM(GX61, GX73) &gt; 0, SUM(GX61, GX73), "")</f>
        <v/>
      </c>
      <c r="GY74" s="67" t="str">
        <f t="shared" ref="GY74" si="584">IF(SUM(GY61, GY73) &gt; 0, SUM(GY61, GY73), "")</f>
        <v/>
      </c>
      <c r="GZ74" s="64" t="str">
        <f t="shared" ref="GZ74" si="585">IF(SUM(GZ61, GZ73) &gt; 0, SUM(GZ61, GZ73), "")</f>
        <v/>
      </c>
      <c r="HA74" s="64" t="str">
        <f t="shared" ref="HA74" si="586">IF(SUM(HA61, HA73) &gt; 0, SUM(HA61, HA73), "")</f>
        <v/>
      </c>
      <c r="HB74" s="64" t="str">
        <f t="shared" ref="HB74" si="587">IF(SUM(HB61, HB73) &gt; 0, SUM(HB61, HB73), "")</f>
        <v/>
      </c>
      <c r="HC74" s="64" t="str">
        <f t="shared" ref="HC74" si="588">IF(SUM(HC61, HC73) &gt; 0, SUM(HC61, HC73), "")</f>
        <v/>
      </c>
      <c r="HD74" s="64" t="str">
        <f t="shared" ref="HD74" si="589">IF(SUM(HD61, HD73) &gt; 0, SUM(HD61, HD73), "")</f>
        <v/>
      </c>
      <c r="HE74" s="65" t="str">
        <f t="shared" ref="HE74" si="590">IF(SUM(HE61, HE73) &gt; 0, SUM(HE61, HE73), "")</f>
        <v/>
      </c>
      <c r="HF74" s="67" t="str">
        <f t="shared" ref="HF74" si="591">IF(SUM(HF61, HF73) &gt; 0, SUM(HF61, HF73), "")</f>
        <v/>
      </c>
      <c r="HG74" s="64" t="str">
        <f t="shared" ref="HG74" si="592">IF(SUM(HG61, HG73) &gt; 0, SUM(HG61, HG73), "")</f>
        <v/>
      </c>
      <c r="HH74" s="64" t="str">
        <f t="shared" ref="HH74" si="593">IF(SUM(HH61, HH73) &gt; 0, SUM(HH61, HH73), "")</f>
        <v/>
      </c>
      <c r="HI74" s="64" t="str">
        <f t="shared" ref="HI74" si="594">IF(SUM(HI61, HI73) &gt; 0, SUM(HI61, HI73), "")</f>
        <v/>
      </c>
      <c r="HJ74" s="64" t="str">
        <f t="shared" ref="HJ74" si="595">IF(SUM(HJ61, HJ73) &gt; 0, SUM(HJ61, HJ73), "")</f>
        <v/>
      </c>
      <c r="HK74" s="64" t="str">
        <f t="shared" ref="HK74" si="596">IF(SUM(HK61, HK73) &gt; 0, SUM(HK61, HK73), "")</f>
        <v/>
      </c>
      <c r="HL74" s="65" t="str">
        <f t="shared" ref="HL74" si="597">IF(SUM(HL61, HL73) &gt; 0, SUM(HL61, HL73), "")</f>
        <v/>
      </c>
      <c r="HM74" s="67" t="str">
        <f t="shared" ref="HM74" si="598">IF(SUM(HM61, HM73) &gt; 0, SUM(HM61, HM73), "")</f>
        <v/>
      </c>
      <c r="HN74" s="64" t="str">
        <f t="shared" ref="HN74" si="599">IF(SUM(HN61, HN73) &gt; 0, SUM(HN61, HN73), "")</f>
        <v/>
      </c>
      <c r="HO74" s="64" t="str">
        <f t="shared" ref="HO74" si="600">IF(SUM(HO61, HO73) &gt; 0, SUM(HO61, HO73), "")</f>
        <v/>
      </c>
      <c r="HP74" s="64" t="str">
        <f t="shared" ref="HP74" si="601">IF(SUM(HP61, HP73) &gt; 0, SUM(HP61, HP73), "")</f>
        <v/>
      </c>
      <c r="HQ74" s="64" t="str">
        <f t="shared" ref="HQ74" si="602">IF(SUM(HQ61, HQ73) &gt; 0, SUM(HQ61, HQ73), "")</f>
        <v/>
      </c>
      <c r="HR74" s="64" t="str">
        <f t="shared" ref="HR74" si="603">IF(SUM(HR61, HR73) &gt; 0, SUM(HR61, HR73), "")</f>
        <v/>
      </c>
      <c r="HS74" s="65" t="str">
        <f t="shared" ref="HS74" si="604">IF(SUM(HS61, HS73) &gt; 0, SUM(HS61, HS73), "")</f>
        <v/>
      </c>
      <c r="HT74" s="67" t="str">
        <f t="shared" ref="HT74" si="605">IF(SUM(HT61, HT73) &gt; 0, SUM(HT61, HT73), "")</f>
        <v/>
      </c>
      <c r="HU74" s="64" t="str">
        <f t="shared" ref="HU74" si="606">IF(SUM(HU61, HU73) &gt; 0, SUM(HU61, HU73), "")</f>
        <v/>
      </c>
      <c r="HV74" s="64" t="str">
        <f t="shared" ref="HV74" si="607">IF(SUM(HV61, HV73) &gt; 0, SUM(HV61, HV73), "")</f>
        <v/>
      </c>
      <c r="HW74" s="64" t="str">
        <f t="shared" ref="HW74" si="608">IF(SUM(HW61, HW73) &gt; 0, SUM(HW61, HW73), "")</f>
        <v/>
      </c>
      <c r="HX74" s="64" t="str">
        <f t="shared" ref="HX74" si="609">IF(SUM(HX61, HX73) &gt; 0, SUM(HX61, HX73), "")</f>
        <v/>
      </c>
      <c r="HY74" s="64" t="str">
        <f t="shared" ref="HY74" si="610">IF(SUM(HY61, HY73) &gt; 0, SUM(HY61, HY73), "")</f>
        <v/>
      </c>
      <c r="HZ74" s="65" t="str">
        <f t="shared" ref="HZ74" si="611">IF(SUM(HZ61, HZ73) &gt; 0, SUM(HZ61, HZ73), "")</f>
        <v/>
      </c>
      <c r="IA74" s="67" t="str">
        <f t="shared" ref="IA74" si="612">IF(SUM(IA61, IA73) &gt; 0, SUM(IA61, IA73), "")</f>
        <v/>
      </c>
      <c r="IB74" s="64" t="str">
        <f t="shared" ref="IB74" si="613">IF(SUM(IB61, IB73) &gt; 0, SUM(IB61, IB73), "")</f>
        <v/>
      </c>
      <c r="IC74" s="64" t="str">
        <f t="shared" ref="IC74" si="614">IF(SUM(IC61, IC73) &gt; 0, SUM(IC61, IC73), "")</f>
        <v/>
      </c>
      <c r="ID74" s="64" t="str">
        <f t="shared" ref="ID74" si="615">IF(SUM(ID61, ID73) &gt; 0, SUM(ID61, ID73), "")</f>
        <v/>
      </c>
      <c r="IE74" s="64" t="str">
        <f t="shared" ref="IE74" si="616">IF(SUM(IE61, IE73) &gt; 0, SUM(IE61, IE73), "")</f>
        <v/>
      </c>
      <c r="IF74" s="64" t="str">
        <f t="shared" ref="IF74" si="617">IF(SUM(IF61, IF73) &gt; 0, SUM(IF61, IF73), "")</f>
        <v/>
      </c>
      <c r="IG74" s="65" t="str">
        <f t="shared" ref="IG74" si="618">IF(SUM(IG61, IG73) &gt; 0, SUM(IG61, IG73), "")</f>
        <v/>
      </c>
      <c r="IH74" s="67" t="str">
        <f t="shared" ref="IH74" si="619">IF(SUM(IH61, IH73) &gt; 0, SUM(IH61, IH73), "")</f>
        <v/>
      </c>
      <c r="II74" s="64" t="str">
        <f t="shared" ref="II74" si="620">IF(SUM(II61, II73) &gt; 0, SUM(II61, II73), "")</f>
        <v/>
      </c>
      <c r="IJ74" s="64" t="str">
        <f t="shared" ref="IJ74" si="621">IF(SUM(IJ61, IJ73) &gt; 0, SUM(IJ61, IJ73), "")</f>
        <v/>
      </c>
      <c r="IK74" s="64" t="str">
        <f t="shared" ref="IK74" si="622">IF(SUM(IK61, IK73) &gt; 0, SUM(IK61, IK73), "")</f>
        <v/>
      </c>
      <c r="IL74" s="64" t="str">
        <f t="shared" ref="IL74" si="623">IF(SUM(IL61, IL73) &gt; 0, SUM(IL61, IL73), "")</f>
        <v/>
      </c>
      <c r="IM74" s="64" t="str">
        <f t="shared" ref="IM74" si="624">IF(SUM(IM61, IM73) &gt; 0, SUM(IM61, IM73), "")</f>
        <v/>
      </c>
      <c r="IN74" s="65" t="str">
        <f t="shared" ref="IN74" si="625">IF(SUM(IN61, IN73) &gt; 0, SUM(IN61, IN73), "")</f>
        <v/>
      </c>
      <c r="IO74" s="67" t="str">
        <f t="shared" ref="IO74" si="626">IF(SUM(IO61, IO73) &gt; 0, SUM(IO61, IO73), "")</f>
        <v/>
      </c>
      <c r="IP74" s="64" t="str">
        <f t="shared" ref="IP74" si="627">IF(SUM(IP61, IP73) &gt; 0, SUM(IP61, IP73), "")</f>
        <v/>
      </c>
      <c r="IQ74" s="64" t="str">
        <f t="shared" ref="IQ74" si="628">IF(SUM(IQ61, IQ73) &gt; 0, SUM(IQ61, IQ73), "")</f>
        <v/>
      </c>
      <c r="IR74" s="64" t="str">
        <f t="shared" ref="IR74" si="629">IF(SUM(IR61, IR73) &gt; 0, SUM(IR61, IR73), "")</f>
        <v/>
      </c>
      <c r="IS74" s="64" t="str">
        <f t="shared" ref="IS74" si="630">IF(SUM(IS61, IS73) &gt; 0, SUM(IS61, IS73), "")</f>
        <v/>
      </c>
      <c r="IT74" s="64" t="str">
        <f t="shared" ref="IT74" si="631">IF(SUM(IT61, IT73) &gt; 0, SUM(IT61, IT73), "")</f>
        <v/>
      </c>
      <c r="IU74" s="65" t="str">
        <f t="shared" ref="IU74" si="632">IF(SUM(IU61, IU73) &gt; 0, SUM(IU61, IU73), "")</f>
        <v/>
      </c>
      <c r="IV74" s="67" t="str">
        <f t="shared" ref="IV74" si="633">IF(SUM(IV61, IV73) &gt; 0, SUM(IV61, IV73), "")</f>
        <v/>
      </c>
      <c r="IW74" s="64" t="str">
        <f t="shared" ref="IW74" si="634">IF(SUM(IW61, IW73) &gt; 0, SUM(IW61, IW73), "")</f>
        <v/>
      </c>
      <c r="IX74" s="64" t="str">
        <f t="shared" ref="IX74" si="635">IF(SUM(IX61, IX73) &gt; 0, SUM(IX61, IX73), "")</f>
        <v/>
      </c>
      <c r="IY74" s="64" t="str">
        <f t="shared" ref="IY74" si="636">IF(SUM(IY61, IY73) &gt; 0, SUM(IY61, IY73), "")</f>
        <v/>
      </c>
      <c r="IZ74" s="64" t="str">
        <f t="shared" ref="IZ74" si="637">IF(SUM(IZ61, IZ73) &gt; 0, SUM(IZ61, IZ73), "")</f>
        <v/>
      </c>
      <c r="JA74" s="64" t="str">
        <f t="shared" ref="JA74" si="638">IF(SUM(JA61, JA73) &gt; 0, SUM(JA61, JA73), "")</f>
        <v/>
      </c>
      <c r="JB74" s="65" t="str">
        <f t="shared" ref="JB74" si="639">IF(SUM(JB61, JB73) &gt; 0, SUM(JB61, JB73), "")</f>
        <v/>
      </c>
      <c r="JC74" s="67" t="str">
        <f t="shared" ref="JC74" si="640">IF(SUM(JC61, JC73) &gt; 0, SUM(JC61, JC73), "")</f>
        <v/>
      </c>
      <c r="JD74" s="64" t="str">
        <f t="shared" ref="JD74" si="641">IF(SUM(JD61, JD73) &gt; 0, SUM(JD61, JD73), "")</f>
        <v/>
      </c>
      <c r="JE74" s="64" t="str">
        <f t="shared" ref="JE74" si="642">IF(SUM(JE61, JE73) &gt; 0, SUM(JE61, JE73), "")</f>
        <v/>
      </c>
      <c r="JF74" s="64" t="str">
        <f t="shared" ref="JF74" si="643">IF(SUM(JF61, JF73) &gt; 0, SUM(JF61, JF73), "")</f>
        <v/>
      </c>
      <c r="JG74" s="64" t="str">
        <f t="shared" ref="JG74" si="644">IF(SUM(JG61, JG73) &gt; 0, SUM(JG61, JG73), "")</f>
        <v/>
      </c>
      <c r="JH74" s="64" t="str">
        <f t="shared" ref="JH74" si="645">IF(SUM(JH61, JH73) &gt; 0, SUM(JH61, JH73), "")</f>
        <v/>
      </c>
      <c r="JI74" s="65" t="str">
        <f t="shared" ref="JI74" si="646">IF(SUM(JI61, JI73) &gt; 0, SUM(JI61, JI73), "")</f>
        <v/>
      </c>
      <c r="JJ74" s="67" t="str">
        <f t="shared" ref="JJ74" si="647">IF(SUM(JJ61, JJ73) &gt; 0, SUM(JJ61, JJ73), "")</f>
        <v/>
      </c>
      <c r="JK74" s="64" t="str">
        <f t="shared" ref="JK74" si="648">IF(SUM(JK61, JK73) &gt; 0, SUM(JK61, JK73), "")</f>
        <v/>
      </c>
      <c r="JL74" s="64" t="str">
        <f t="shared" ref="JL74" si="649">IF(SUM(JL61, JL73) &gt; 0, SUM(JL61, JL73), "")</f>
        <v/>
      </c>
      <c r="JM74" s="64" t="str">
        <f t="shared" ref="JM74" si="650">IF(SUM(JM61, JM73) &gt; 0, SUM(JM61, JM73), "")</f>
        <v/>
      </c>
      <c r="JN74" s="64" t="str">
        <f t="shared" ref="JN74" si="651">IF(SUM(JN61, JN73) &gt; 0, SUM(JN61, JN73), "")</f>
        <v/>
      </c>
      <c r="JO74" s="64" t="str">
        <f t="shared" ref="JO74" si="652">IF(SUM(JO61, JO73) &gt; 0, SUM(JO61, JO73), "")</f>
        <v/>
      </c>
      <c r="JP74" s="65" t="str">
        <f t="shared" ref="JP74" si="653">IF(SUM(JP61, JP73) &gt; 0, SUM(JP61, JP73), "")</f>
        <v/>
      </c>
      <c r="JQ74" s="67" t="str">
        <f t="shared" ref="JQ74" si="654">IF(SUM(JQ61, JQ73) &gt; 0, SUM(JQ61, JQ73), "")</f>
        <v/>
      </c>
      <c r="JR74" s="64" t="str">
        <f t="shared" ref="JR74" si="655">IF(SUM(JR61, JR73) &gt; 0, SUM(JR61, JR73), "")</f>
        <v/>
      </c>
      <c r="JS74" s="64" t="str">
        <f t="shared" ref="JS74" si="656">IF(SUM(JS61, JS73) &gt; 0, SUM(JS61, JS73), "")</f>
        <v/>
      </c>
      <c r="JT74" s="64" t="str">
        <f t="shared" ref="JT74" si="657">IF(SUM(JT61, JT73) &gt; 0, SUM(JT61, JT73), "")</f>
        <v/>
      </c>
      <c r="JU74" s="64" t="str">
        <f t="shared" ref="JU74" si="658">IF(SUM(JU61, JU73) &gt; 0, SUM(JU61, JU73), "")</f>
        <v/>
      </c>
      <c r="JV74" s="64" t="str">
        <f t="shared" ref="JV74" si="659">IF(SUM(JV61, JV73) &gt; 0, SUM(JV61, JV73), "")</f>
        <v/>
      </c>
      <c r="JW74" s="65" t="str">
        <f t="shared" ref="JW74" si="660">IF(SUM(JW61, JW73) &gt; 0, SUM(JW61, JW73), "")</f>
        <v/>
      </c>
      <c r="JX74" s="67" t="str">
        <f t="shared" ref="JX74" si="661">IF(SUM(JX61, JX73) &gt; 0, SUM(JX61, JX73), "")</f>
        <v/>
      </c>
      <c r="JY74" s="64" t="str">
        <f t="shared" ref="JY74" si="662">IF(SUM(JY61, JY73) &gt; 0, SUM(JY61, JY73), "")</f>
        <v/>
      </c>
      <c r="JZ74" s="64" t="str">
        <f t="shared" ref="JZ74" si="663">IF(SUM(JZ61, JZ73) &gt; 0, SUM(JZ61, JZ73), "")</f>
        <v/>
      </c>
      <c r="KA74" s="64" t="str">
        <f t="shared" ref="KA74" si="664">IF(SUM(KA61, KA73) &gt; 0, SUM(KA61, KA73), "")</f>
        <v/>
      </c>
      <c r="KB74" s="64" t="str">
        <f t="shared" ref="KB74" si="665">IF(SUM(KB61, KB73) &gt; 0, SUM(KB61, KB73), "")</f>
        <v/>
      </c>
      <c r="KC74" s="64" t="str">
        <f t="shared" ref="KC74" si="666">IF(SUM(KC61, KC73) &gt; 0, SUM(KC61, KC73), "")</f>
        <v/>
      </c>
      <c r="KD74" s="65" t="str">
        <f t="shared" ref="KD74" si="667">IF(SUM(KD61, KD73) &gt; 0, SUM(KD61, KD73), "")</f>
        <v/>
      </c>
      <c r="KE74" s="67" t="str">
        <f t="shared" ref="KE74" si="668">IF(SUM(KE61, KE73) &gt; 0, SUM(KE61, KE73), "")</f>
        <v/>
      </c>
      <c r="KF74" s="64" t="str">
        <f t="shared" ref="KF74" si="669">IF(SUM(KF61, KF73) &gt; 0, SUM(KF61, KF73), "")</f>
        <v/>
      </c>
      <c r="KG74" s="64" t="str">
        <f t="shared" ref="KG74" si="670">IF(SUM(KG61, KG73) &gt; 0, SUM(KG61, KG73), "")</f>
        <v/>
      </c>
      <c r="KH74" s="64" t="str">
        <f t="shared" ref="KH74" si="671">IF(SUM(KH61, KH73) &gt; 0, SUM(KH61, KH73), "")</f>
        <v/>
      </c>
      <c r="KI74" s="64" t="str">
        <f t="shared" ref="KI74" si="672">IF(SUM(KI61, KI73) &gt; 0, SUM(KI61, KI73), "")</f>
        <v/>
      </c>
      <c r="KJ74" s="64" t="str">
        <f t="shared" ref="KJ74" si="673">IF(SUM(KJ61, KJ73) &gt; 0, SUM(KJ61, KJ73), "")</f>
        <v/>
      </c>
      <c r="KK74" s="65" t="str">
        <f t="shared" ref="KK74" si="674">IF(SUM(KK61, KK73) &gt; 0, SUM(KK61, KK73), "")</f>
        <v/>
      </c>
      <c r="KL74" s="67" t="str">
        <f t="shared" ref="KL74" si="675">IF(SUM(KL61, KL73) &gt; 0, SUM(KL61, KL73), "")</f>
        <v/>
      </c>
      <c r="KM74" s="64" t="str">
        <f t="shared" ref="KM74" si="676">IF(SUM(KM61, KM73) &gt; 0, SUM(KM61, KM73), "")</f>
        <v/>
      </c>
      <c r="KN74" s="64" t="str">
        <f t="shared" ref="KN74" si="677">IF(SUM(KN61, KN73) &gt; 0, SUM(KN61, KN73), "")</f>
        <v/>
      </c>
      <c r="KO74" s="64" t="str">
        <f t="shared" ref="KO74" si="678">IF(SUM(KO61, KO73) &gt; 0, SUM(KO61, KO73), "")</f>
        <v/>
      </c>
      <c r="KP74" s="64" t="str">
        <f t="shared" ref="KP74" si="679">IF(SUM(KP61, KP73) &gt; 0, SUM(KP61, KP73), "")</f>
        <v/>
      </c>
      <c r="KQ74" s="64" t="str">
        <f t="shared" ref="KQ74" si="680">IF(SUM(KQ61, KQ73) &gt; 0, SUM(KQ61, KQ73), "")</f>
        <v/>
      </c>
      <c r="KR74" s="65" t="str">
        <f t="shared" ref="KR74" si="681">IF(SUM(KR61, KR73) &gt; 0, SUM(KR61, KR73), "")</f>
        <v/>
      </c>
      <c r="KS74" s="67" t="str">
        <f t="shared" ref="KS74" si="682">IF(SUM(KS61, KS73) &gt; 0, SUM(KS61, KS73), "")</f>
        <v/>
      </c>
      <c r="KT74" s="64" t="str">
        <f t="shared" ref="KT74" si="683">IF(SUM(KT61, KT73) &gt; 0, SUM(KT61, KT73), "")</f>
        <v/>
      </c>
      <c r="KU74" s="64" t="str">
        <f t="shared" ref="KU74" si="684">IF(SUM(KU61, KU73) &gt; 0, SUM(KU61, KU73), "")</f>
        <v/>
      </c>
      <c r="KV74" s="64" t="str">
        <f t="shared" ref="KV74" si="685">IF(SUM(KV61, KV73) &gt; 0, SUM(KV61, KV73), "")</f>
        <v/>
      </c>
      <c r="KW74" s="64" t="str">
        <f t="shared" ref="KW74" si="686">IF(SUM(KW61, KW73) &gt; 0, SUM(KW61, KW73), "")</f>
        <v/>
      </c>
      <c r="KX74" s="64" t="str">
        <f t="shared" ref="KX74" si="687">IF(SUM(KX61, KX73) &gt; 0, SUM(KX61, KX73), "")</f>
        <v/>
      </c>
      <c r="KY74" s="65" t="str">
        <f t="shared" ref="KY74" si="688">IF(SUM(KY61, KY73) &gt; 0, SUM(KY61, KY73), "")</f>
        <v/>
      </c>
      <c r="KZ74" s="67" t="str">
        <f t="shared" ref="KZ74" si="689">IF(SUM(KZ61, KZ73) &gt; 0, SUM(KZ61, KZ73), "")</f>
        <v/>
      </c>
      <c r="LA74" s="64" t="str">
        <f t="shared" ref="LA74" si="690">IF(SUM(LA61, LA73) &gt; 0, SUM(LA61, LA73), "")</f>
        <v/>
      </c>
      <c r="LB74" s="64" t="str">
        <f t="shared" ref="LB74" si="691">IF(SUM(LB61, LB73) &gt; 0, SUM(LB61, LB73), "")</f>
        <v/>
      </c>
      <c r="LC74" s="64" t="str">
        <f t="shared" ref="LC74" si="692">IF(SUM(LC61, LC73) &gt; 0, SUM(LC61, LC73), "")</f>
        <v/>
      </c>
      <c r="LD74" s="64" t="str">
        <f t="shared" ref="LD74" si="693">IF(SUM(LD61, LD73) &gt; 0, SUM(LD61, LD73), "")</f>
        <v/>
      </c>
      <c r="LE74" s="64" t="str">
        <f t="shared" ref="LE74" si="694">IF(SUM(LE61, LE73) &gt; 0, SUM(LE61, LE73), "")</f>
        <v/>
      </c>
      <c r="LF74" s="65" t="str">
        <f t="shared" ref="LF74" si="695">IF(SUM(LF61, LF73) &gt; 0, SUM(LF61, LF73), "")</f>
        <v/>
      </c>
      <c r="LG74" s="67" t="str">
        <f t="shared" ref="LG74" si="696">IF(SUM(LG61, LG73) &gt; 0, SUM(LG61, LG73), "")</f>
        <v/>
      </c>
      <c r="LH74" s="64" t="str">
        <f t="shared" ref="LH74" si="697">IF(SUM(LH61, LH73) &gt; 0, SUM(LH61, LH73), "")</f>
        <v/>
      </c>
      <c r="LI74" s="64" t="str">
        <f t="shared" ref="LI74" si="698">IF(SUM(LI61, LI73) &gt; 0, SUM(LI61, LI73), "")</f>
        <v/>
      </c>
      <c r="LJ74" s="64" t="str">
        <f t="shared" ref="LJ74" si="699">IF(SUM(LJ61, LJ73) &gt; 0, SUM(LJ61, LJ73), "")</f>
        <v/>
      </c>
      <c r="LK74" s="64" t="str">
        <f t="shared" ref="LK74" si="700">IF(SUM(LK61, LK73) &gt; 0, SUM(LK61, LK73), "")</f>
        <v/>
      </c>
      <c r="LL74" s="64" t="str">
        <f t="shared" ref="LL74" si="701">IF(SUM(LL61, LL73) &gt; 0, SUM(LL61, LL73), "")</f>
        <v/>
      </c>
      <c r="LM74" s="65" t="str">
        <f t="shared" ref="LM74" si="702">IF(SUM(LM61, LM73) &gt; 0, SUM(LM61, LM73), "")</f>
        <v/>
      </c>
      <c r="LN74" s="67" t="str">
        <f t="shared" ref="LN74" si="703">IF(SUM(LN61, LN73) &gt; 0, SUM(LN61, LN73), "")</f>
        <v/>
      </c>
      <c r="LO74" s="64" t="str">
        <f t="shared" ref="LO74" si="704">IF(SUM(LO61, LO73) &gt; 0, SUM(LO61, LO73), "")</f>
        <v/>
      </c>
      <c r="LP74" s="64" t="str">
        <f t="shared" ref="LP74" si="705">IF(SUM(LP61, LP73) &gt; 0, SUM(LP61, LP73), "")</f>
        <v/>
      </c>
      <c r="LQ74" s="64" t="str">
        <f t="shared" ref="LQ74" si="706">IF(SUM(LQ61, LQ73) &gt; 0, SUM(LQ61, LQ73), "")</f>
        <v/>
      </c>
      <c r="LR74" s="64" t="str">
        <f t="shared" ref="LR74" si="707">IF(SUM(LR61, LR73) &gt; 0, SUM(LR61, LR73), "")</f>
        <v/>
      </c>
      <c r="LS74" s="64" t="str">
        <f t="shared" ref="LS74" si="708">IF(SUM(LS61, LS73) &gt; 0, SUM(LS61, LS73), "")</f>
        <v/>
      </c>
      <c r="LT74" s="65" t="str">
        <f t="shared" ref="LT74" si="709">IF(SUM(LT61, LT73) &gt; 0, SUM(LT61, LT73), "")</f>
        <v/>
      </c>
      <c r="LU74" s="67" t="str">
        <f t="shared" ref="LU74" si="710">IF(SUM(LU61, LU73) &gt; 0, SUM(LU61, LU73), "")</f>
        <v/>
      </c>
      <c r="LV74" s="64" t="str">
        <f t="shared" ref="LV74" si="711">IF(SUM(LV61, LV73) &gt; 0, SUM(LV61, LV73), "")</f>
        <v/>
      </c>
      <c r="LW74" s="64" t="str">
        <f t="shared" ref="LW74" si="712">IF(SUM(LW61, LW73) &gt; 0, SUM(LW61, LW73), "")</f>
        <v/>
      </c>
      <c r="LX74" s="64" t="str">
        <f t="shared" ref="LX74" si="713">IF(SUM(LX61, LX73) &gt; 0, SUM(LX61, LX73), "")</f>
        <v/>
      </c>
      <c r="LY74" s="64" t="str">
        <f t="shared" ref="LY74" si="714">IF(SUM(LY61, LY73) &gt; 0, SUM(LY61, LY73), "")</f>
        <v/>
      </c>
      <c r="LZ74" s="64" t="str">
        <f t="shared" ref="LZ74" si="715">IF(SUM(LZ61, LZ73) &gt; 0, SUM(LZ61, LZ73), "")</f>
        <v/>
      </c>
      <c r="MA74" s="65" t="str">
        <f t="shared" ref="MA74" si="716">IF(SUM(MA61, MA73) &gt; 0, SUM(MA61, MA73), "")</f>
        <v/>
      </c>
    </row>
    <row r="75" spans="1:339" ht="7.5" customHeight="1" x14ac:dyDescent="0.25">
      <c r="A75" s="8"/>
      <c r="B75" s="8"/>
      <c r="C75" s="8"/>
      <c r="D75" s="8"/>
      <c r="E75" s="8"/>
      <c r="F75" s="10"/>
      <c r="G75" s="19"/>
      <c r="H75" s="19"/>
      <c r="I75" s="8"/>
      <c r="J75" s="8"/>
      <c r="K75" s="8"/>
      <c r="L75" s="8"/>
      <c r="M75" s="8"/>
      <c r="N75" s="8"/>
      <c r="O75" s="9"/>
      <c r="P75" s="8"/>
      <c r="Q75" s="9"/>
      <c r="R75" s="7"/>
      <c r="Y75" s="7"/>
      <c r="AF75" s="7"/>
      <c r="AM75" s="7"/>
      <c r="AT75" s="7"/>
      <c r="BA75" s="7"/>
      <c r="BH75" s="7"/>
      <c r="BO75" s="7"/>
      <c r="BX75" s="7"/>
      <c r="CG75" s="7"/>
      <c r="CP75" s="7"/>
      <c r="CW75" s="7"/>
      <c r="DD75" s="7"/>
      <c r="DK75" s="7"/>
      <c r="DR75" s="7"/>
      <c r="DY75" s="7"/>
      <c r="EF75" s="7"/>
      <c r="EM75" s="7"/>
      <c r="ET75" s="7"/>
      <c r="FA75" s="7"/>
      <c r="FH75" s="7"/>
      <c r="FO75" s="7"/>
      <c r="FV75" s="7"/>
      <c r="GC75" s="7"/>
      <c r="GJ75" s="7"/>
      <c r="GQ75" s="7"/>
      <c r="GX75" s="7"/>
      <c r="HE75" s="7"/>
      <c r="HL75" s="7"/>
      <c r="HS75" s="7"/>
      <c r="HZ75" s="7"/>
      <c r="IG75" s="7"/>
      <c r="IN75" s="7"/>
      <c r="IU75" s="7"/>
      <c r="JB75" s="7"/>
      <c r="JI75" s="7"/>
      <c r="JP75" s="7"/>
      <c r="JW75" s="7"/>
      <c r="KD75" s="7"/>
      <c r="KK75" s="7"/>
      <c r="KR75" s="7"/>
      <c r="KY75" s="7"/>
      <c r="LF75" s="7"/>
      <c r="LM75" s="7"/>
      <c r="LT75" s="7"/>
      <c r="MA75" s="7"/>
    </row>
    <row r="76" spans="1:339" x14ac:dyDescent="0.25">
      <c r="A76" s="11" t="s">
        <v>24</v>
      </c>
      <c r="B76" s="11"/>
      <c r="C76" s="11"/>
      <c r="D76" s="11"/>
      <c r="E76" s="11"/>
      <c r="F76" s="13"/>
      <c r="G76" s="40"/>
      <c r="H76" s="40"/>
      <c r="I76" s="11"/>
      <c r="J76" s="11"/>
      <c r="K76" s="11"/>
      <c r="L76" s="11"/>
      <c r="M76" s="11"/>
      <c r="N76" s="11"/>
      <c r="O76" s="12"/>
      <c r="P76" s="11"/>
      <c r="Q76" s="12"/>
      <c r="R76" s="12"/>
      <c r="S76" s="11"/>
      <c r="T76" s="11"/>
      <c r="U76" s="11"/>
      <c r="V76" s="11"/>
      <c r="W76" s="11"/>
      <c r="X76" s="11"/>
      <c r="Y76" s="12"/>
      <c r="Z76" s="11"/>
      <c r="AA76" s="11"/>
      <c r="AB76" s="11"/>
      <c r="AC76" s="11"/>
      <c r="AD76" s="11"/>
      <c r="AE76" s="11"/>
      <c r="AF76" s="12"/>
      <c r="AG76" s="11"/>
      <c r="AH76" s="11"/>
      <c r="AI76" s="11"/>
      <c r="AJ76" s="11"/>
      <c r="AK76" s="11"/>
      <c r="AL76" s="11"/>
      <c r="AM76" s="12"/>
      <c r="AN76" s="11"/>
      <c r="AO76" s="11"/>
      <c r="AP76" s="11"/>
      <c r="AQ76" s="11"/>
      <c r="AR76" s="11"/>
      <c r="AS76" s="11"/>
      <c r="AT76" s="12"/>
      <c r="AU76" s="11"/>
      <c r="AV76" s="11"/>
      <c r="AW76" s="11"/>
      <c r="AX76" s="11"/>
      <c r="AY76" s="11"/>
      <c r="AZ76" s="11"/>
      <c r="BA76" s="12"/>
      <c r="BB76" s="11"/>
      <c r="BC76" s="11"/>
      <c r="BD76" s="11"/>
      <c r="BE76" s="11"/>
      <c r="BF76" s="11"/>
      <c r="BG76" s="11"/>
      <c r="BH76" s="12"/>
      <c r="BI76" s="11"/>
      <c r="BJ76" s="11"/>
      <c r="BK76" s="11"/>
      <c r="BL76" s="11"/>
      <c r="BM76" s="11"/>
      <c r="BN76" s="11"/>
      <c r="BO76" s="12"/>
      <c r="BP76" s="11"/>
      <c r="BQ76" s="11"/>
      <c r="BR76" s="11"/>
      <c r="BS76" s="11"/>
      <c r="BT76" s="11"/>
      <c r="BU76" s="11"/>
      <c r="BV76" s="11"/>
      <c r="BW76" s="11"/>
      <c r="BX76" s="12"/>
      <c r="BY76" s="11"/>
      <c r="BZ76" s="11"/>
      <c r="CA76" s="11"/>
      <c r="CB76" s="11"/>
      <c r="CC76" s="11"/>
      <c r="CD76" s="11"/>
      <c r="CE76" s="11"/>
      <c r="CF76" s="11"/>
      <c r="CG76" s="12"/>
      <c r="CH76" s="11"/>
      <c r="CI76" s="11"/>
      <c r="CJ76" s="11"/>
      <c r="CK76" s="11"/>
      <c r="CL76" s="11"/>
      <c r="CM76" s="11"/>
      <c r="CN76" s="11"/>
      <c r="CO76" s="11"/>
      <c r="CP76" s="12"/>
      <c r="CQ76" s="11"/>
      <c r="CR76" s="11"/>
      <c r="CS76" s="11"/>
      <c r="CT76" s="11"/>
      <c r="CU76" s="11"/>
      <c r="CV76" s="11"/>
      <c r="CW76" s="12"/>
      <c r="CX76" s="11"/>
      <c r="CY76" s="11"/>
      <c r="CZ76" s="11"/>
      <c r="DA76" s="11"/>
      <c r="DB76" s="11"/>
      <c r="DC76" s="11"/>
      <c r="DD76" s="12"/>
      <c r="DE76" s="11"/>
      <c r="DF76" s="11"/>
      <c r="DG76" s="11"/>
      <c r="DH76" s="11"/>
      <c r="DI76" s="11"/>
      <c r="DJ76" s="11"/>
      <c r="DK76" s="12"/>
      <c r="DL76" s="11"/>
      <c r="DM76" s="11"/>
      <c r="DN76" s="11"/>
      <c r="DO76" s="11"/>
      <c r="DP76" s="11"/>
      <c r="DQ76" s="11"/>
      <c r="DR76" s="12"/>
      <c r="DS76" s="11"/>
      <c r="DT76" s="11"/>
      <c r="DU76" s="11"/>
      <c r="DV76" s="11"/>
      <c r="DW76" s="11"/>
      <c r="DX76" s="11"/>
      <c r="DY76" s="12"/>
      <c r="DZ76" s="11"/>
      <c r="EA76" s="11"/>
      <c r="EB76" s="11"/>
      <c r="EC76" s="11"/>
      <c r="ED76" s="11"/>
      <c r="EE76" s="11"/>
      <c r="EF76" s="12"/>
      <c r="EG76" s="11"/>
      <c r="EH76" s="11"/>
      <c r="EI76" s="11"/>
      <c r="EJ76" s="11"/>
      <c r="EK76" s="11"/>
      <c r="EL76" s="11"/>
      <c r="EM76" s="12"/>
      <c r="EN76" s="11"/>
      <c r="EO76" s="11"/>
      <c r="EP76" s="11"/>
      <c r="EQ76" s="11"/>
      <c r="ER76" s="11"/>
      <c r="ES76" s="11"/>
      <c r="ET76" s="12"/>
      <c r="EU76" s="11"/>
      <c r="EV76" s="11"/>
      <c r="EW76" s="11"/>
      <c r="EX76" s="11"/>
      <c r="EY76" s="11"/>
      <c r="EZ76" s="11"/>
      <c r="FA76" s="12"/>
      <c r="FB76" s="11"/>
      <c r="FC76" s="11"/>
      <c r="FD76" s="11"/>
      <c r="FE76" s="11"/>
      <c r="FF76" s="11"/>
      <c r="FG76" s="11"/>
      <c r="FH76" s="12"/>
      <c r="FI76" s="11"/>
      <c r="FJ76" s="11"/>
      <c r="FK76" s="11"/>
      <c r="FL76" s="11"/>
      <c r="FM76" s="11"/>
      <c r="FN76" s="11"/>
      <c r="FO76" s="12"/>
      <c r="FP76" s="11"/>
      <c r="FQ76" s="11"/>
      <c r="FR76" s="11"/>
      <c r="FS76" s="11"/>
      <c r="FT76" s="11"/>
      <c r="FU76" s="11"/>
      <c r="FV76" s="12"/>
      <c r="FW76" s="11"/>
      <c r="FX76" s="11"/>
      <c r="FY76" s="11"/>
      <c r="FZ76" s="11"/>
      <c r="GA76" s="11"/>
      <c r="GB76" s="11"/>
      <c r="GC76" s="12"/>
      <c r="GD76" s="11"/>
      <c r="GE76" s="11"/>
      <c r="GF76" s="11"/>
      <c r="GG76" s="11"/>
      <c r="GH76" s="11"/>
      <c r="GI76" s="11"/>
      <c r="GJ76" s="12"/>
      <c r="GK76" s="11"/>
      <c r="GL76" s="11"/>
      <c r="GM76" s="11"/>
      <c r="GN76" s="11"/>
      <c r="GO76" s="11"/>
      <c r="GP76" s="11"/>
      <c r="GQ76" s="12"/>
      <c r="GR76" s="11"/>
      <c r="GS76" s="11"/>
      <c r="GT76" s="11"/>
      <c r="GU76" s="11"/>
      <c r="GV76" s="11"/>
      <c r="GW76" s="11"/>
      <c r="GX76" s="12"/>
      <c r="GY76" s="11"/>
      <c r="GZ76" s="11"/>
      <c r="HA76" s="11"/>
      <c r="HB76" s="11"/>
      <c r="HC76" s="11"/>
      <c r="HD76" s="11"/>
      <c r="HE76" s="12"/>
      <c r="HF76" s="11"/>
      <c r="HG76" s="11"/>
      <c r="HH76" s="11"/>
      <c r="HI76" s="11"/>
      <c r="HJ76" s="11"/>
      <c r="HK76" s="11"/>
      <c r="HL76" s="12"/>
      <c r="HM76" s="11"/>
      <c r="HN76" s="11"/>
      <c r="HO76" s="11"/>
      <c r="HP76" s="11"/>
      <c r="HQ76" s="11"/>
      <c r="HR76" s="11"/>
      <c r="HS76" s="12"/>
      <c r="HT76" s="11"/>
      <c r="HU76" s="11"/>
      <c r="HV76" s="11"/>
      <c r="HW76" s="11"/>
      <c r="HX76" s="11"/>
      <c r="HY76" s="11"/>
      <c r="HZ76" s="12"/>
      <c r="IA76" s="11"/>
      <c r="IB76" s="11"/>
      <c r="IC76" s="11"/>
      <c r="ID76" s="11"/>
      <c r="IE76" s="11"/>
      <c r="IF76" s="11"/>
      <c r="IG76" s="12"/>
      <c r="IH76" s="11"/>
      <c r="II76" s="11"/>
      <c r="IJ76" s="11"/>
      <c r="IK76" s="11"/>
      <c r="IL76" s="11"/>
      <c r="IM76" s="11"/>
      <c r="IN76" s="12"/>
      <c r="IO76" s="11"/>
      <c r="IP76" s="11"/>
      <c r="IQ76" s="11"/>
      <c r="IR76" s="11"/>
      <c r="IS76" s="11"/>
      <c r="IT76" s="11"/>
      <c r="IU76" s="12"/>
      <c r="IV76" s="11"/>
      <c r="IW76" s="11"/>
      <c r="IX76" s="11"/>
      <c r="IY76" s="11"/>
      <c r="IZ76" s="11"/>
      <c r="JA76" s="11"/>
      <c r="JB76" s="12"/>
      <c r="JC76" s="11"/>
      <c r="JD76" s="11"/>
      <c r="JE76" s="11"/>
      <c r="JF76" s="11"/>
      <c r="JG76" s="11"/>
      <c r="JH76" s="11"/>
      <c r="JI76" s="12"/>
      <c r="JJ76" s="11"/>
      <c r="JK76" s="11"/>
      <c r="JL76" s="11"/>
      <c r="JM76" s="11"/>
      <c r="JN76" s="11"/>
      <c r="JO76" s="11"/>
      <c r="JP76" s="12"/>
      <c r="JQ76" s="11"/>
      <c r="JR76" s="11"/>
      <c r="JS76" s="11"/>
      <c r="JT76" s="11"/>
      <c r="JU76" s="11"/>
      <c r="JV76" s="11"/>
      <c r="JW76" s="12"/>
      <c r="JX76" s="11"/>
      <c r="JY76" s="11"/>
      <c r="JZ76" s="11"/>
      <c r="KA76" s="11"/>
      <c r="KB76" s="11"/>
      <c r="KC76" s="11"/>
      <c r="KD76" s="12"/>
      <c r="KE76" s="11"/>
      <c r="KF76" s="11"/>
      <c r="KG76" s="11"/>
      <c r="KH76" s="11"/>
      <c r="KI76" s="11"/>
      <c r="KJ76" s="11"/>
      <c r="KK76" s="12"/>
      <c r="KL76" s="11"/>
      <c r="KM76" s="11"/>
      <c r="KN76" s="11"/>
      <c r="KO76" s="11"/>
      <c r="KP76" s="11"/>
      <c r="KQ76" s="11"/>
      <c r="KR76" s="12"/>
      <c r="KS76" s="11"/>
      <c r="KT76" s="11"/>
      <c r="KU76" s="11"/>
      <c r="KV76" s="11"/>
      <c r="KW76" s="11"/>
      <c r="KX76" s="11"/>
      <c r="KY76" s="12"/>
      <c r="KZ76" s="11"/>
      <c r="LA76" s="11"/>
      <c r="LB76" s="11"/>
      <c r="LC76" s="11"/>
      <c r="LD76" s="11"/>
      <c r="LE76" s="11"/>
      <c r="LF76" s="12"/>
      <c r="LG76" s="11"/>
      <c r="LH76" s="11"/>
      <c r="LI76" s="11"/>
      <c r="LJ76" s="11"/>
      <c r="LK76" s="11"/>
      <c r="LL76" s="11"/>
      <c r="LM76" s="12"/>
      <c r="LN76" s="11"/>
      <c r="LO76" s="11"/>
      <c r="LP76" s="11"/>
      <c r="LQ76" s="11"/>
      <c r="LR76" s="11"/>
      <c r="LS76" s="11"/>
      <c r="LT76" s="12"/>
      <c r="LU76" s="11"/>
      <c r="LV76" s="11"/>
      <c r="LW76" s="11"/>
      <c r="LX76" s="11"/>
      <c r="LY76" s="11"/>
      <c r="LZ76" s="11"/>
      <c r="MA76" s="12"/>
    </row>
    <row r="77" spans="1:339" x14ac:dyDescent="0.25">
      <c r="A77" s="8" t="s">
        <v>23</v>
      </c>
      <c r="B77" s="8"/>
      <c r="C77" s="8"/>
      <c r="D77" s="8"/>
      <c r="E77" s="8"/>
      <c r="F77" s="10"/>
      <c r="G77" s="19"/>
      <c r="H77" s="19"/>
      <c r="I77" s="8"/>
      <c r="J77" s="8"/>
      <c r="K77" s="8"/>
      <c r="L77" s="8"/>
      <c r="M77" s="8"/>
      <c r="N77" s="8"/>
      <c r="O77" s="9"/>
      <c r="P77" s="8">
        <f>IF(SUM(R77:MA77) &gt; 0, SUM(R77:MA77), "")</f>
        <v>31</v>
      </c>
      <c r="Q77" s="86">
        <f>IF(SUM(R77:XFD77) &gt; 0, SUM(R77:XFD77) / $P$83 * 100, "")</f>
        <v>100</v>
      </c>
      <c r="R77" s="7">
        <v>1</v>
      </c>
      <c r="T77">
        <v>1</v>
      </c>
      <c r="U77">
        <v>1</v>
      </c>
      <c r="W77">
        <v>1</v>
      </c>
      <c r="Y77" s="7"/>
      <c r="AA77">
        <v>1</v>
      </c>
      <c r="AC77">
        <v>1</v>
      </c>
      <c r="AD77">
        <v>1</v>
      </c>
      <c r="AF77" s="7"/>
      <c r="AH77">
        <v>1</v>
      </c>
      <c r="AJ77">
        <v>1</v>
      </c>
      <c r="AK77">
        <v>1</v>
      </c>
      <c r="AM77" s="7"/>
      <c r="AO77">
        <v>1</v>
      </c>
      <c r="AQ77">
        <v>1</v>
      </c>
      <c r="AR77">
        <v>1</v>
      </c>
      <c r="AT77" s="7"/>
      <c r="AV77">
        <v>1</v>
      </c>
      <c r="AW77">
        <v>1</v>
      </c>
      <c r="AX77">
        <v>1</v>
      </c>
      <c r="AY77">
        <v>1</v>
      </c>
      <c r="BA77" s="7"/>
      <c r="BC77">
        <v>1</v>
      </c>
      <c r="BE77">
        <v>1</v>
      </c>
      <c r="BF77">
        <v>1</v>
      </c>
      <c r="BH77" s="7"/>
      <c r="BJ77">
        <v>1</v>
      </c>
      <c r="BL77">
        <v>1</v>
      </c>
      <c r="BM77">
        <v>1</v>
      </c>
      <c r="BO77" s="7">
        <v>1</v>
      </c>
      <c r="BQ77">
        <v>1</v>
      </c>
      <c r="BS77">
        <v>1</v>
      </c>
      <c r="BV77">
        <v>1</v>
      </c>
      <c r="BX77" s="7"/>
      <c r="CB77">
        <v>1</v>
      </c>
      <c r="CE77">
        <v>1</v>
      </c>
      <c r="CG77" s="7"/>
      <c r="CK77">
        <v>1</v>
      </c>
      <c r="CN77">
        <v>1</v>
      </c>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22</v>
      </c>
      <c r="B78" s="8"/>
      <c r="C78" s="8"/>
      <c r="D78" s="8"/>
      <c r="E78" s="8"/>
      <c r="F78" s="10"/>
      <c r="G78" s="19"/>
      <c r="H78" s="19"/>
      <c r="I78" s="8"/>
      <c r="J78" s="8"/>
      <c r="K78" s="8"/>
      <c r="L78" s="8"/>
      <c r="M78" s="8"/>
      <c r="N78" s="8"/>
      <c r="O78" s="9"/>
      <c r="P78" s="8" t="str">
        <f>IF(SUM(R78:MA78) &gt; 0, SUM(R78:MA78), "")</f>
        <v/>
      </c>
      <c r="Q78" s="86" t="str">
        <f>IF(SUM(R78:XFD78) &gt; 0, SUM(R78:XFD78) / $P$83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21</v>
      </c>
      <c r="B79" s="8"/>
      <c r="C79" s="8"/>
      <c r="D79" s="8"/>
      <c r="E79" s="8"/>
      <c r="F79" s="10"/>
      <c r="G79" s="19"/>
      <c r="H79" s="19"/>
      <c r="I79" s="8"/>
      <c r="J79" s="8"/>
      <c r="K79" s="8"/>
      <c r="L79" s="8"/>
      <c r="M79" s="8"/>
      <c r="N79" s="8"/>
      <c r="O79" s="9"/>
      <c r="P79" s="8" t="str">
        <f>IF(SUM(R79:MA79) &gt; 0, SUM(R79:MA79), "")</f>
        <v/>
      </c>
      <c r="Q79" s="86" t="str">
        <f>IF(SUM(R79:XFD79) &gt; 0, SUM(R79:XFD79) / $P$83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20</v>
      </c>
      <c r="B80" s="8"/>
      <c r="C80" s="8"/>
      <c r="D80" s="8"/>
      <c r="E80" s="8"/>
      <c r="F80" s="10"/>
      <c r="G80" s="19"/>
      <c r="H80" s="19"/>
      <c r="I80" s="8"/>
      <c r="J80" s="8"/>
      <c r="K80" s="8"/>
      <c r="L80" s="8"/>
      <c r="M80" s="8"/>
      <c r="N80" s="8"/>
      <c r="O80" s="9"/>
      <c r="P80" s="8" t="str">
        <f>IF(SUM(R80:MA80) &gt; 0, SUM(R80:MA80), "")</f>
        <v/>
      </c>
      <c r="Q80" s="86" t="str">
        <f>IF(SUM(R80:XFD80) &gt; 0, SUM(R80:XFD80) / $P$83 * 100, "")</f>
        <v/>
      </c>
      <c r="R80" s="7"/>
      <c r="Y80" s="7"/>
      <c r="AF80" s="7"/>
      <c r="AM80" s="7"/>
      <c r="AT80" s="7"/>
      <c r="BA80" s="7"/>
      <c r="BH80" s="7"/>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x14ac:dyDescent="0.25">
      <c r="A81" s="8" t="s">
        <v>19</v>
      </c>
      <c r="B81" s="8"/>
      <c r="C81" s="8"/>
      <c r="D81" s="8"/>
      <c r="E81" s="8"/>
      <c r="F81" s="10"/>
      <c r="G81" s="19"/>
      <c r="H81" s="19"/>
      <c r="I81" s="8"/>
      <c r="J81" s="8"/>
      <c r="K81" s="8"/>
      <c r="L81" s="8"/>
      <c r="M81" s="8"/>
      <c r="N81" s="8"/>
      <c r="O81" s="9"/>
      <c r="P81" s="8">
        <f>IF(SUM(R81:MA81) &gt; 0, SUM(R81:MA81), "")</f>
        <v>5</v>
      </c>
      <c r="Q81" s="86">
        <f>IF(SUM(R81:XFD81) &gt; 0, SUM(R81:XFD81) / $P$83 * 100, "")</f>
        <v>16.129032258064516</v>
      </c>
      <c r="R81" s="7"/>
      <c r="Y81" s="7"/>
      <c r="AF81" s="7"/>
      <c r="AJ81">
        <v>1</v>
      </c>
      <c r="AM81" s="7"/>
      <c r="AT81" s="7"/>
      <c r="AV81">
        <v>1</v>
      </c>
      <c r="AX81">
        <v>1</v>
      </c>
      <c r="BA81" s="7"/>
      <c r="BE81">
        <v>1</v>
      </c>
      <c r="BH81" s="7"/>
      <c r="BM81">
        <v>1</v>
      </c>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ht="5.25" customHeight="1" x14ac:dyDescent="0.25">
      <c r="A82" s="8"/>
      <c r="B82" s="8"/>
      <c r="C82" s="8"/>
      <c r="D82" s="8"/>
      <c r="E82" s="8"/>
      <c r="F82" s="10"/>
      <c r="G82" s="19"/>
      <c r="H82" s="19"/>
      <c r="I82" s="8"/>
      <c r="J82" s="8"/>
      <c r="K82" s="8"/>
      <c r="L82" s="8"/>
      <c r="M82" s="8"/>
      <c r="N82" s="8"/>
      <c r="O82" s="9"/>
      <c r="P82" s="8" t="str">
        <f>IF(SUM(Q82:MA82) &gt; 0, SUM(Q82:MA82), "")</f>
        <v/>
      </c>
      <c r="Q82" s="9" t="str">
        <f>IF(SUM(R82:XFD82) &gt; 0, SUM(R82:XFD82), "")</f>
        <v/>
      </c>
      <c r="R82" s="7"/>
      <c r="Y82" s="7"/>
      <c r="AF82" s="7"/>
      <c r="AM82" s="7"/>
      <c r="AT82" s="7"/>
      <c r="BA82" s="7"/>
      <c r="BH82" s="7"/>
      <c r="BO82" s="7"/>
      <c r="BX82" s="7"/>
      <c r="CG82" s="7"/>
      <c r="CP82" s="7"/>
      <c r="CW82" s="7"/>
      <c r="DD82" s="7"/>
      <c r="DK82" s="7"/>
      <c r="DR82" s="7"/>
      <c r="DY82" s="7"/>
      <c r="EF82" s="7"/>
      <c r="EM82" s="7"/>
      <c r="ET82" s="7"/>
      <c r="FA82" s="7"/>
      <c r="FH82" s="7"/>
      <c r="FO82" s="7"/>
      <c r="FV82" s="7"/>
      <c r="GC82" s="7"/>
      <c r="GJ82" s="7"/>
      <c r="GQ82" s="7"/>
      <c r="GX82" s="7"/>
      <c r="HE82" s="7"/>
      <c r="HL82" s="7"/>
      <c r="HS82" s="7"/>
      <c r="HZ82" s="7"/>
      <c r="IG82" s="7"/>
      <c r="IN82" s="7"/>
      <c r="IU82" s="7"/>
      <c r="JB82" s="7"/>
      <c r="JI82" s="7"/>
      <c r="JP82" s="7"/>
      <c r="JW82" s="7"/>
      <c r="KD82" s="7"/>
      <c r="KK82" s="7"/>
      <c r="KR82" s="7"/>
      <c r="KY82" s="7"/>
      <c r="LF82" s="7"/>
      <c r="LM82" s="7"/>
      <c r="LT82" s="7"/>
      <c r="MA82" s="7"/>
    </row>
    <row r="83" spans="1:339" x14ac:dyDescent="0.25">
      <c r="A83" s="6" t="s">
        <v>18</v>
      </c>
      <c r="B83" s="3"/>
      <c r="C83" s="3"/>
      <c r="D83" s="3"/>
      <c r="E83" s="3"/>
      <c r="F83" s="5"/>
      <c r="G83" s="3"/>
      <c r="H83" s="3"/>
      <c r="I83" s="3"/>
      <c r="J83" s="3"/>
      <c r="K83" s="3"/>
      <c r="L83" s="3"/>
      <c r="M83" s="3"/>
      <c r="N83" s="3"/>
      <c r="O83" s="4"/>
      <c r="P83" s="3">
        <f>SUM(R83:MA83)</f>
        <v>31</v>
      </c>
      <c r="Q83" s="4"/>
      <c r="R83" s="4">
        <v>1</v>
      </c>
      <c r="S83" s="3"/>
      <c r="T83" s="3">
        <v>1</v>
      </c>
      <c r="U83" s="3">
        <v>1</v>
      </c>
      <c r="V83" s="3"/>
      <c r="W83" s="3">
        <v>1</v>
      </c>
      <c r="X83" s="3"/>
      <c r="Y83" s="4"/>
      <c r="Z83" s="3"/>
      <c r="AA83" s="3">
        <v>1</v>
      </c>
      <c r="AB83" s="3"/>
      <c r="AC83" s="3">
        <v>1</v>
      </c>
      <c r="AD83" s="3">
        <v>1</v>
      </c>
      <c r="AE83" s="3"/>
      <c r="AF83" s="4"/>
      <c r="AG83" s="3"/>
      <c r="AH83" s="3">
        <v>1</v>
      </c>
      <c r="AI83" s="3"/>
      <c r="AJ83" s="3">
        <v>1</v>
      </c>
      <c r="AK83" s="3">
        <v>1</v>
      </c>
      <c r="AL83" s="3"/>
      <c r="AM83" s="4"/>
      <c r="AN83" s="3"/>
      <c r="AO83" s="3">
        <v>1</v>
      </c>
      <c r="AP83" s="3"/>
      <c r="AQ83" s="3">
        <v>1</v>
      </c>
      <c r="AR83" s="3">
        <v>1</v>
      </c>
      <c r="AS83" s="3"/>
      <c r="AT83" s="4"/>
      <c r="AU83" s="3"/>
      <c r="AV83" s="3">
        <v>1</v>
      </c>
      <c r="AW83" s="3">
        <v>1</v>
      </c>
      <c r="AX83" s="3">
        <v>1</v>
      </c>
      <c r="AY83" s="3">
        <v>1</v>
      </c>
      <c r="AZ83" s="3"/>
      <c r="BA83" s="4"/>
      <c r="BB83" s="3"/>
      <c r="BC83" s="3">
        <v>1</v>
      </c>
      <c r="BD83" s="3"/>
      <c r="BE83" s="3">
        <v>1</v>
      </c>
      <c r="BF83" s="3">
        <v>1</v>
      </c>
      <c r="BG83" s="3"/>
      <c r="BH83" s="4"/>
      <c r="BI83" s="3"/>
      <c r="BJ83" s="3">
        <v>1</v>
      </c>
      <c r="BK83" s="3"/>
      <c r="BL83" s="3">
        <v>1</v>
      </c>
      <c r="BM83" s="3">
        <v>1</v>
      </c>
      <c r="BN83" s="3"/>
      <c r="BO83" s="4">
        <v>1</v>
      </c>
      <c r="BP83" s="3"/>
      <c r="BQ83" s="3">
        <v>1</v>
      </c>
      <c r="BR83" s="3"/>
      <c r="BS83" s="3">
        <v>1</v>
      </c>
      <c r="BT83" s="3"/>
      <c r="BU83" s="3"/>
      <c r="BV83" s="3">
        <v>1</v>
      </c>
      <c r="BW83" s="3"/>
      <c r="BX83" s="4"/>
      <c r="BY83" s="3"/>
      <c r="BZ83" s="3"/>
      <c r="CA83" s="3"/>
      <c r="CB83" s="3">
        <v>1</v>
      </c>
      <c r="CC83" s="3"/>
      <c r="CD83" s="3"/>
      <c r="CE83" s="3">
        <v>1</v>
      </c>
      <c r="CF83" s="3"/>
      <c r="CG83" s="4"/>
      <c r="CH83" s="3"/>
      <c r="CI83" s="3"/>
      <c r="CJ83" s="3"/>
      <c r="CK83" s="3">
        <v>1</v>
      </c>
      <c r="CL83" s="3"/>
      <c r="CM83" s="3"/>
      <c r="CN83" s="3">
        <v>1</v>
      </c>
      <c r="CO83" s="3"/>
      <c r="CP83" s="4"/>
      <c r="CQ83" s="3"/>
      <c r="CR83" s="3"/>
      <c r="CS83" s="3"/>
      <c r="CT83" s="3"/>
      <c r="CU83" s="3"/>
      <c r="CV83" s="3"/>
      <c r="CW83" s="4"/>
      <c r="CX83" s="3"/>
      <c r="CY83" s="3"/>
      <c r="CZ83" s="3"/>
      <c r="DA83" s="3"/>
      <c r="DB83" s="3"/>
      <c r="DC83" s="3"/>
      <c r="DD83" s="4"/>
      <c r="DE83" s="3"/>
      <c r="DF83" s="3"/>
      <c r="DG83" s="3"/>
      <c r="DH83" s="3"/>
      <c r="DI83" s="3"/>
      <c r="DJ83" s="3"/>
      <c r="DK83" s="4"/>
      <c r="DL83" s="3"/>
      <c r="DM83" s="3"/>
      <c r="DN83" s="3"/>
      <c r="DO83" s="3"/>
      <c r="DP83" s="3"/>
      <c r="DQ83" s="3"/>
      <c r="DR83" s="4"/>
      <c r="DS83" s="3"/>
      <c r="DT83" s="3"/>
      <c r="DU83" s="3"/>
      <c r="DV83" s="3"/>
      <c r="DW83" s="3"/>
      <c r="DX83" s="3"/>
      <c r="DY83" s="4"/>
      <c r="DZ83" s="3"/>
      <c r="EA83" s="3"/>
      <c r="EB83" s="3"/>
      <c r="EC83" s="3"/>
      <c r="ED83" s="3"/>
      <c r="EE83" s="3"/>
      <c r="EF83" s="4"/>
      <c r="EG83" s="3"/>
      <c r="EH83" s="3"/>
      <c r="EI83" s="3"/>
      <c r="EJ83" s="3"/>
      <c r="EK83" s="3"/>
      <c r="EL83" s="3"/>
      <c r="EM83" s="4"/>
      <c r="EN83" s="3"/>
      <c r="EO83" s="3"/>
      <c r="EP83" s="3"/>
      <c r="EQ83" s="3"/>
      <c r="ER83" s="3"/>
      <c r="ES83" s="3"/>
      <c r="ET83" s="4"/>
      <c r="EU83" s="3"/>
      <c r="EV83" s="3"/>
      <c r="EW83" s="3"/>
      <c r="EX83" s="3"/>
      <c r="EY83" s="3"/>
      <c r="EZ83" s="3"/>
      <c r="FA83" s="4"/>
      <c r="FB83" s="3"/>
      <c r="FC83" s="3"/>
      <c r="FD83" s="3"/>
      <c r="FE83" s="3"/>
      <c r="FF83" s="3"/>
      <c r="FG83" s="3"/>
      <c r="FH83" s="4"/>
      <c r="FI83" s="3"/>
      <c r="FJ83" s="3"/>
      <c r="FK83" s="3"/>
      <c r="FL83" s="3"/>
      <c r="FM83" s="3"/>
      <c r="FN83" s="3"/>
      <c r="FO83" s="4"/>
      <c r="FP83" s="3"/>
      <c r="FQ83" s="3"/>
      <c r="FR83" s="3"/>
      <c r="FS83" s="3"/>
      <c r="FT83" s="3"/>
      <c r="FU83" s="3"/>
      <c r="FV83" s="4"/>
      <c r="FW83" s="3"/>
      <c r="FX83" s="3"/>
      <c r="FY83" s="3"/>
      <c r="FZ83" s="3"/>
      <c r="GA83" s="3"/>
      <c r="GB83" s="3"/>
      <c r="GC83" s="4"/>
      <c r="GD83" s="3"/>
      <c r="GE83" s="3"/>
      <c r="GF83" s="3"/>
      <c r="GG83" s="3"/>
      <c r="GH83" s="3"/>
      <c r="GI83" s="3"/>
      <c r="GJ83" s="4"/>
      <c r="GK83" s="3"/>
      <c r="GL83" s="3"/>
      <c r="GM83" s="3"/>
      <c r="GN83" s="3"/>
      <c r="GO83" s="3"/>
      <c r="GP83" s="3"/>
      <c r="GQ83" s="4"/>
      <c r="GR83" s="3"/>
      <c r="GS83" s="3"/>
      <c r="GT83" s="3"/>
      <c r="GU83" s="3"/>
      <c r="GV83" s="3"/>
      <c r="GW83" s="3"/>
      <c r="GX83" s="4"/>
      <c r="GY83" s="3"/>
      <c r="GZ83" s="3"/>
      <c r="HA83" s="3"/>
      <c r="HB83" s="3"/>
      <c r="HC83" s="3"/>
      <c r="HD83" s="3"/>
      <c r="HE83" s="4"/>
      <c r="HF83" s="3"/>
      <c r="HG83" s="3"/>
      <c r="HH83" s="3"/>
      <c r="HI83" s="3"/>
      <c r="HJ83" s="3"/>
      <c r="HK83" s="3"/>
      <c r="HL83" s="4"/>
      <c r="HM83" s="3"/>
      <c r="HN83" s="3"/>
      <c r="HO83" s="3"/>
      <c r="HP83" s="3"/>
      <c r="HQ83" s="3"/>
      <c r="HR83" s="3"/>
      <c r="HS83" s="4"/>
      <c r="HT83" s="3"/>
      <c r="HU83" s="3"/>
      <c r="HV83" s="3"/>
      <c r="HW83" s="3"/>
      <c r="HX83" s="3"/>
      <c r="HY83" s="3"/>
      <c r="HZ83" s="4"/>
      <c r="IA83" s="3"/>
      <c r="IB83" s="3"/>
      <c r="IC83" s="3"/>
      <c r="ID83" s="3"/>
      <c r="IE83" s="3"/>
      <c r="IF83" s="3"/>
      <c r="IG83" s="4"/>
      <c r="IH83" s="3"/>
      <c r="II83" s="3"/>
      <c r="IJ83" s="3"/>
      <c r="IK83" s="3"/>
      <c r="IL83" s="3"/>
      <c r="IM83" s="3"/>
      <c r="IN83" s="4"/>
      <c r="IO83" s="3"/>
      <c r="IP83" s="3"/>
      <c r="IQ83" s="3"/>
      <c r="IR83" s="3"/>
      <c r="IS83" s="3"/>
      <c r="IT83" s="3"/>
      <c r="IU83" s="4"/>
      <c r="IV83" s="3"/>
      <c r="IW83" s="3"/>
      <c r="IX83" s="3"/>
      <c r="IY83" s="3"/>
      <c r="IZ83" s="3"/>
      <c r="JA83" s="3"/>
      <c r="JB83" s="4"/>
      <c r="JC83" s="3"/>
      <c r="JD83" s="3"/>
      <c r="JE83" s="3"/>
      <c r="JF83" s="3"/>
      <c r="JG83" s="3"/>
      <c r="JH83" s="3"/>
      <c r="JI83" s="4"/>
      <c r="JJ83" s="3"/>
      <c r="JK83" s="3"/>
      <c r="JL83" s="3"/>
      <c r="JM83" s="3"/>
      <c r="JN83" s="3"/>
      <c r="JO83" s="3"/>
      <c r="JP83" s="4"/>
      <c r="JQ83" s="3"/>
      <c r="JR83" s="3"/>
      <c r="JS83" s="3"/>
      <c r="JT83" s="3"/>
      <c r="JU83" s="3"/>
      <c r="JV83" s="3"/>
      <c r="JW83" s="4"/>
      <c r="JX83" s="3"/>
      <c r="JY83" s="3"/>
      <c r="JZ83" s="3"/>
      <c r="KA83" s="3"/>
      <c r="KB83" s="3"/>
      <c r="KC83" s="3"/>
      <c r="KD83" s="4"/>
      <c r="KE83" s="3"/>
      <c r="KF83" s="3"/>
      <c r="KG83" s="3"/>
      <c r="KH83" s="3"/>
      <c r="KI83" s="3"/>
      <c r="KJ83" s="3"/>
      <c r="KK83" s="4"/>
      <c r="KL83" s="3"/>
      <c r="KM83" s="3"/>
      <c r="KN83" s="3"/>
      <c r="KO83" s="3"/>
      <c r="KP83" s="3"/>
      <c r="KQ83" s="3"/>
      <c r="KR83" s="4"/>
      <c r="KS83" s="3"/>
      <c r="KT83" s="3"/>
      <c r="KU83" s="3"/>
      <c r="KV83" s="3"/>
      <c r="KW83" s="3"/>
      <c r="KX83" s="3"/>
      <c r="KY83" s="4"/>
      <c r="KZ83" s="3"/>
      <c r="LA83" s="3"/>
      <c r="LB83" s="3"/>
      <c r="LC83" s="3"/>
      <c r="LD83" s="3"/>
      <c r="LE83" s="3"/>
      <c r="LF83" s="4"/>
      <c r="LG83" s="3"/>
      <c r="LH83" s="3"/>
      <c r="LI83" s="3"/>
      <c r="LJ83" s="3"/>
      <c r="LK83" s="3"/>
      <c r="LL83" s="3"/>
      <c r="LM83" s="4"/>
      <c r="LN83" s="3"/>
      <c r="LO83" s="3"/>
      <c r="LP83" s="3"/>
      <c r="LQ83" s="3"/>
      <c r="LR83" s="3"/>
      <c r="LS83" s="3"/>
      <c r="LT83" s="4"/>
      <c r="LU83" s="3"/>
      <c r="LV83" s="3"/>
      <c r="LW83" s="3"/>
      <c r="LX83" s="3"/>
      <c r="LY83" s="3"/>
      <c r="LZ83" s="3"/>
      <c r="MA83" s="4"/>
    </row>
    <row r="85" spans="1:339" x14ac:dyDescent="0.25">
      <c r="B85" t="s">
        <v>200</v>
      </c>
      <c r="C85" t="s">
        <v>201</v>
      </c>
      <c r="D85" t="s">
        <v>202</v>
      </c>
      <c r="E85" t="s">
        <v>203</v>
      </c>
      <c r="F85" t="s">
        <v>208</v>
      </c>
      <c r="G85" t="s">
        <v>204</v>
      </c>
      <c r="H85" t="s">
        <v>205</v>
      </c>
      <c r="I85" t="s">
        <v>48</v>
      </c>
      <c r="J85" t="s">
        <v>206</v>
      </c>
      <c r="K85" t="s">
        <v>207</v>
      </c>
    </row>
    <row r="86" spans="1:339" ht="15" customHeight="1" x14ac:dyDescent="0.25">
      <c r="A86" t="s">
        <v>17</v>
      </c>
      <c r="B86" t="s">
        <v>145</v>
      </c>
      <c r="C86">
        <v>7</v>
      </c>
      <c r="D86">
        <v>26</v>
      </c>
      <c r="E86">
        <v>32</v>
      </c>
      <c r="F86">
        <v>1</v>
      </c>
      <c r="G86" t="s">
        <v>15</v>
      </c>
      <c r="H86" t="s">
        <v>13</v>
      </c>
      <c r="I86" t="s">
        <v>188</v>
      </c>
      <c r="J86" t="s">
        <v>189</v>
      </c>
      <c r="K86" s="52" t="str">
        <f>FindEnd(R33:MA33)</f>
        <v>CW</v>
      </c>
      <c r="M86" s="105"/>
      <c r="N86" s="106"/>
      <c r="O86" s="106"/>
      <c r="P86" s="106"/>
      <c r="Q86" s="106"/>
      <c r="T86" s="34"/>
    </row>
    <row r="87" spans="1:339" x14ac:dyDescent="0.25">
      <c r="B87" t="s">
        <v>148</v>
      </c>
      <c r="C87">
        <v>41</v>
      </c>
      <c r="D87">
        <v>58</v>
      </c>
      <c r="E87">
        <v>61</v>
      </c>
      <c r="F87">
        <v>35</v>
      </c>
      <c r="G87" t="s">
        <v>15</v>
      </c>
      <c r="H87" t="s">
        <v>13</v>
      </c>
      <c r="I87" t="s">
        <v>188</v>
      </c>
      <c r="J87" t="s">
        <v>242</v>
      </c>
      <c r="K87" s="52" t="str">
        <f>FindEnd(R60:MA60)</f>
        <v>BX</v>
      </c>
    </row>
    <row r="88" spans="1:339" x14ac:dyDescent="0.25">
      <c r="B88" t="s">
        <v>16</v>
      </c>
      <c r="C88">
        <v>67</v>
      </c>
      <c r="D88">
        <v>70</v>
      </c>
      <c r="E88">
        <v>73</v>
      </c>
      <c r="F88">
        <v>62</v>
      </c>
      <c r="G88" t="s">
        <v>15</v>
      </c>
      <c r="H88" t="s">
        <v>13</v>
      </c>
      <c r="I88" t="s">
        <v>188</v>
      </c>
      <c r="J88" t="s">
        <v>242</v>
      </c>
      <c r="K88" s="52" t="str">
        <f>FindEnd(R72:MA72)</f>
        <v>BX</v>
      </c>
    </row>
    <row r="90" spans="1:339" hidden="1" x14ac:dyDescent="0.25">
      <c r="A90" s="8" t="s">
        <v>112</v>
      </c>
      <c r="B90" s="8" t="s">
        <v>111</v>
      </c>
      <c r="C90" s="8" t="s">
        <v>110</v>
      </c>
      <c r="D90" s="8" t="s">
        <v>109</v>
      </c>
      <c r="E90" s="18">
        <v>40099</v>
      </c>
    </row>
    <row r="91" spans="1:339" hidden="1" x14ac:dyDescent="0.25">
      <c r="A91" s="8" t="s">
        <v>83</v>
      </c>
      <c r="B91" s="8"/>
      <c r="C91" s="8" t="s">
        <v>105</v>
      </c>
      <c r="D91" s="8" t="s">
        <v>104</v>
      </c>
      <c r="E91" s="18">
        <v>39365</v>
      </c>
    </row>
    <row r="92" spans="1:339" hidden="1" x14ac:dyDescent="0.25">
      <c r="A92" s="8" t="s">
        <v>103</v>
      </c>
      <c r="B92" s="8"/>
      <c r="C92" s="8" t="s">
        <v>102</v>
      </c>
      <c r="D92" s="8" t="s">
        <v>101</v>
      </c>
      <c r="E92" s="18">
        <v>39705</v>
      </c>
    </row>
    <row r="93" spans="1:339" hidden="1" x14ac:dyDescent="0.25">
      <c r="A93" s="8" t="s">
        <v>86</v>
      </c>
      <c r="B93" s="8"/>
      <c r="C93" s="8" t="s">
        <v>100</v>
      </c>
      <c r="D93" s="8" t="s">
        <v>97</v>
      </c>
      <c r="E93" s="18">
        <v>39386</v>
      </c>
    </row>
    <row r="94" spans="1:339" hidden="1" x14ac:dyDescent="0.25">
      <c r="A94" s="8" t="s">
        <v>99</v>
      </c>
      <c r="B94" s="8"/>
      <c r="C94" s="8" t="s">
        <v>98</v>
      </c>
      <c r="D94" s="8" t="s">
        <v>97</v>
      </c>
      <c r="E94" s="18">
        <v>39386</v>
      </c>
    </row>
    <row r="95" spans="1:339" hidden="1" x14ac:dyDescent="0.25">
      <c r="A95" s="8" t="s">
        <v>96</v>
      </c>
      <c r="B95" s="8" t="s">
        <v>95</v>
      </c>
      <c r="C95" s="8" t="s">
        <v>94</v>
      </c>
      <c r="D95" s="8" t="s">
        <v>93</v>
      </c>
      <c r="E95" s="18">
        <v>39590</v>
      </c>
    </row>
    <row r="96" spans="1:339" x14ac:dyDescent="0.25">
      <c r="A96" s="8" t="s">
        <v>72</v>
      </c>
      <c r="B96" s="8"/>
      <c r="C96" s="8" t="s">
        <v>71</v>
      </c>
      <c r="D96" s="8" t="s">
        <v>70</v>
      </c>
      <c r="E96" s="18">
        <v>40754</v>
      </c>
    </row>
    <row r="97" spans="1:5" x14ac:dyDescent="0.25">
      <c r="A97" s="8" t="s">
        <v>69</v>
      </c>
      <c r="B97" s="8"/>
      <c r="C97" s="8" t="s">
        <v>68</v>
      </c>
      <c r="D97" s="8" t="s">
        <v>67</v>
      </c>
      <c r="E97" s="18"/>
    </row>
    <row r="98" spans="1:5" x14ac:dyDescent="0.25">
      <c r="A98" s="8" t="s">
        <v>66</v>
      </c>
      <c r="B98" s="8" t="s">
        <v>65</v>
      </c>
      <c r="C98" s="8" t="s">
        <v>64</v>
      </c>
      <c r="D98" s="8" t="s">
        <v>63</v>
      </c>
      <c r="E98" s="18">
        <v>39713</v>
      </c>
    </row>
    <row r="99" spans="1:5" x14ac:dyDescent="0.25">
      <c r="A99" s="8" t="s">
        <v>61</v>
      </c>
      <c r="B99" s="8"/>
      <c r="C99" s="8" t="s">
        <v>60</v>
      </c>
      <c r="D99" s="8" t="s">
        <v>59</v>
      </c>
      <c r="E99" s="18"/>
    </row>
    <row r="100" spans="1:5" x14ac:dyDescent="0.25">
      <c r="A100" s="8" t="s">
        <v>58</v>
      </c>
      <c r="B100" s="8"/>
      <c r="C100" s="8" t="s">
        <v>57</v>
      </c>
      <c r="D100" s="8"/>
      <c r="E100" s="18"/>
    </row>
    <row r="101" spans="1:5" x14ac:dyDescent="0.25">
      <c r="A101" s="8" t="s">
        <v>56</v>
      </c>
      <c r="B101" s="8"/>
      <c r="C101" s="8" t="s">
        <v>14</v>
      </c>
      <c r="D101" s="8"/>
      <c r="E101" s="18"/>
    </row>
    <row r="102" spans="1:5" x14ac:dyDescent="0.25">
      <c r="A102" s="8" t="s">
        <v>55</v>
      </c>
      <c r="B102" s="8"/>
      <c r="C102" s="31" t="s">
        <v>54</v>
      </c>
      <c r="D102" s="8"/>
      <c r="E102" s="18"/>
    </row>
    <row r="103" spans="1:5" x14ac:dyDescent="0.25">
      <c r="A103" s="8" t="s">
        <v>53</v>
      </c>
      <c r="B103" s="8"/>
      <c r="C103" s="31" t="s">
        <v>52</v>
      </c>
      <c r="D103" s="8"/>
      <c r="E103" s="18"/>
    </row>
    <row r="104" spans="1:5" x14ac:dyDescent="0.25">
      <c r="A104" s="8" t="s">
        <v>51</v>
      </c>
      <c r="B104" s="8"/>
      <c r="C104" s="31" t="s">
        <v>50</v>
      </c>
      <c r="D104" s="8"/>
      <c r="E104" s="18"/>
    </row>
  </sheetData>
  <dataConsolidate/>
  <mergeCells count="9">
    <mergeCell ref="A63:E64"/>
    <mergeCell ref="P63:P64"/>
    <mergeCell ref="Q63:Q64"/>
    <mergeCell ref="Q2:Q3"/>
    <mergeCell ref="A2:E3"/>
    <mergeCell ref="P2:P3"/>
    <mergeCell ref="A36:E37"/>
    <mergeCell ref="P36:P37"/>
    <mergeCell ref="Q36:Q37"/>
  </mergeCells>
  <pageMargins left="0.7" right="0.7" top="0.75" bottom="0.75" header="0.3" footer="0.3"/>
  <pageSetup paperSize="9" orientation="portrait" r:id="rId1"/>
  <ignoredErrors>
    <ignoredError sqref="BX7 BX9:BX11 BW7:BW11 BX25:BX26 CG8:CG11 CG7 CF8:CF11 CF7 BW25:BW26 CG19:CG22 CG13:CG14 CF13:CF14 CF23 CF15:CF17 CF18:CF22 CF25:CF26 CG23 CG15:CG16 CG18 CG17 CG25:CG26 CF12:CG12 CF24:CG24 BW13:BW16 BX13:BX16 BW12:BX12 BW24 BW22:BW23 BX22:BX24 CO24:CO26 CO18:CO22 CO8:CO15 CO7:CP7 CO16:CP17 CP8:CP15 CO23:CP23 CP18:CP22 CP24:CP26 BX20 BW20 BW17:BX19 BW21:BX21" numberStoredAsText="1"/>
    <ignoredError sqref="P29" formula="1"/>
    <ignoredError sqref="AH61:MA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82"/>
  <sheetViews>
    <sheetView tabSelected="1" workbookViewId="0">
      <selection activeCell="B9" sqref="B9"/>
    </sheetView>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197</v>
      </c>
      <c r="B1" s="73" t="s">
        <v>190</v>
      </c>
      <c r="C1" s="73"/>
      <c r="D1" s="73" t="s">
        <v>191</v>
      </c>
    </row>
    <row r="2" spans="1:4" x14ac:dyDescent="0.25">
      <c r="A2" s="74"/>
      <c r="B2" s="75"/>
      <c r="C2" s="76"/>
      <c r="D2" s="75"/>
    </row>
    <row r="3" spans="1:4" x14ac:dyDescent="0.25">
      <c r="A3" s="74"/>
      <c r="B3" s="75"/>
      <c r="C3" s="76"/>
      <c r="D3" s="75"/>
    </row>
    <row r="4" spans="1:4" x14ac:dyDescent="0.25">
      <c r="A4" s="74"/>
      <c r="B4" s="75"/>
      <c r="C4" s="76"/>
      <c r="D4" s="75"/>
    </row>
    <row r="5" spans="1:4" x14ac:dyDescent="0.25">
      <c r="A5" s="74"/>
      <c r="B5" s="75"/>
      <c r="C5" s="76"/>
      <c r="D5" s="75"/>
    </row>
    <row r="6" spans="1:4" x14ac:dyDescent="0.25">
      <c r="A6" s="74"/>
      <c r="B6" s="75"/>
      <c r="C6" s="76"/>
      <c r="D6" s="75"/>
    </row>
    <row r="7" spans="1:4" x14ac:dyDescent="0.25">
      <c r="A7" s="74"/>
      <c r="B7" s="75"/>
      <c r="C7" s="76"/>
      <c r="D7" s="75"/>
    </row>
    <row r="8" spans="1:4" x14ac:dyDescent="0.25">
      <c r="A8" s="77">
        <v>44047</v>
      </c>
      <c r="B8" s="76" t="s">
        <v>405</v>
      </c>
      <c r="C8" s="76"/>
      <c r="D8" s="75"/>
    </row>
    <row r="9" spans="1:4" ht="90" x14ac:dyDescent="0.25">
      <c r="A9" s="74"/>
      <c r="B9" s="78" t="s">
        <v>406</v>
      </c>
      <c r="C9" s="76"/>
      <c r="D9" s="75"/>
    </row>
    <row r="10" spans="1:4" x14ac:dyDescent="0.25">
      <c r="A10" s="74"/>
      <c r="B10" s="75"/>
      <c r="C10" s="76"/>
      <c r="D10" s="75"/>
    </row>
    <row r="11" spans="1:4" x14ac:dyDescent="0.25">
      <c r="A11" s="77">
        <v>44045</v>
      </c>
      <c r="B11" s="76" t="s">
        <v>403</v>
      </c>
      <c r="C11" s="76"/>
      <c r="D11" s="75"/>
    </row>
    <row r="12" spans="1:4" ht="60" x14ac:dyDescent="0.25">
      <c r="A12" s="74"/>
      <c r="B12" s="78" t="s">
        <v>404</v>
      </c>
      <c r="C12" s="76"/>
      <c r="D12" s="75"/>
    </row>
    <row r="13" spans="1:4" x14ac:dyDescent="0.25">
      <c r="A13" s="77">
        <v>44042</v>
      </c>
      <c r="B13" s="76" t="s">
        <v>399</v>
      </c>
      <c r="C13" s="76"/>
      <c r="D13" s="75"/>
    </row>
    <row r="14" spans="1:4" ht="45" x14ac:dyDescent="0.25">
      <c r="A14" s="74"/>
      <c r="B14" s="78" t="s">
        <v>398</v>
      </c>
      <c r="C14" s="76"/>
      <c r="D14" s="75"/>
    </row>
    <row r="15" spans="1:4" x14ac:dyDescent="0.25">
      <c r="A15" s="74"/>
      <c r="B15" s="75"/>
      <c r="C15" s="76"/>
      <c r="D15" s="75"/>
    </row>
    <row r="16" spans="1:4" x14ac:dyDescent="0.25">
      <c r="A16" s="77">
        <v>44038</v>
      </c>
      <c r="B16" s="76" t="s">
        <v>394</v>
      </c>
      <c r="C16" s="76"/>
      <c r="D16" s="75"/>
    </row>
    <row r="17" spans="1:4" ht="60" x14ac:dyDescent="0.25">
      <c r="A17" s="74"/>
      <c r="B17" s="78" t="s">
        <v>395</v>
      </c>
      <c r="C17" s="76"/>
      <c r="D17" s="75"/>
    </row>
    <row r="18" spans="1:4" x14ac:dyDescent="0.25">
      <c r="A18" s="77">
        <v>44035</v>
      </c>
      <c r="B18" s="76" t="s">
        <v>381</v>
      </c>
      <c r="C18" s="76"/>
      <c r="D18" s="75"/>
    </row>
    <row r="19" spans="1:4" ht="45" x14ac:dyDescent="0.25">
      <c r="A19" s="74"/>
      <c r="B19" s="78" t="s">
        <v>380</v>
      </c>
      <c r="C19" s="76"/>
      <c r="D19" s="75"/>
    </row>
    <row r="20" spans="1:4" x14ac:dyDescent="0.25">
      <c r="A20" s="74"/>
      <c r="B20" s="75"/>
      <c r="C20" s="76"/>
      <c r="D20" s="75"/>
    </row>
    <row r="21" spans="1:4" x14ac:dyDescent="0.25">
      <c r="A21" s="77">
        <v>44031</v>
      </c>
      <c r="B21" s="76" t="s">
        <v>377</v>
      </c>
      <c r="C21" s="76"/>
      <c r="D21" s="76" t="s">
        <v>379</v>
      </c>
    </row>
    <row r="22" spans="1:4" ht="30" x14ac:dyDescent="0.25">
      <c r="A22" s="74"/>
      <c r="B22" s="78" t="s">
        <v>378</v>
      </c>
      <c r="C22" s="76"/>
      <c r="D22" s="75" t="s">
        <v>351</v>
      </c>
    </row>
    <row r="23" spans="1:4" x14ac:dyDescent="0.25">
      <c r="A23" s="77">
        <v>44028</v>
      </c>
      <c r="B23" s="76" t="s">
        <v>356</v>
      </c>
      <c r="C23" s="76"/>
      <c r="D23" s="75"/>
    </row>
    <row r="24" spans="1:4" x14ac:dyDescent="0.25">
      <c r="A24" s="74"/>
      <c r="B24" s="75" t="s">
        <v>357</v>
      </c>
      <c r="C24" s="76"/>
      <c r="D24" s="75"/>
    </row>
    <row r="25" spans="1:4" x14ac:dyDescent="0.25">
      <c r="A25" s="77">
        <v>44026</v>
      </c>
      <c r="B25" s="76" t="s">
        <v>354</v>
      </c>
      <c r="C25" s="76"/>
      <c r="D25" s="75"/>
    </row>
    <row r="26" spans="1:4" x14ac:dyDescent="0.25">
      <c r="A26" s="74"/>
      <c r="B26" s="75" t="s">
        <v>7</v>
      </c>
      <c r="C26" s="76"/>
      <c r="D26" s="75"/>
    </row>
    <row r="27" spans="1:4" x14ac:dyDescent="0.25">
      <c r="A27" s="74"/>
      <c r="B27" s="75"/>
      <c r="C27" s="76"/>
      <c r="D27" s="75"/>
    </row>
    <row r="28" spans="1:4" x14ac:dyDescent="0.25">
      <c r="A28" s="77">
        <v>44024</v>
      </c>
      <c r="B28" s="76" t="s">
        <v>350</v>
      </c>
      <c r="C28" s="76"/>
      <c r="D28" s="76" t="s">
        <v>353</v>
      </c>
    </row>
    <row r="29" spans="1:4" ht="30" x14ac:dyDescent="0.25">
      <c r="A29" s="74"/>
      <c r="B29" s="78" t="s">
        <v>358</v>
      </c>
      <c r="C29" s="76"/>
      <c r="D29" s="75" t="s">
        <v>351</v>
      </c>
    </row>
    <row r="30" spans="1:4" x14ac:dyDescent="0.25">
      <c r="A30" s="77">
        <v>44022</v>
      </c>
      <c r="B30" s="78"/>
      <c r="C30" s="76"/>
      <c r="D30" s="76" t="s">
        <v>354</v>
      </c>
    </row>
    <row r="31" spans="1:4" x14ac:dyDescent="0.25">
      <c r="A31" s="74"/>
      <c r="B31" s="78"/>
      <c r="C31" s="76"/>
      <c r="D31" s="75" t="s">
        <v>355</v>
      </c>
    </row>
    <row r="32" spans="1:4" x14ac:dyDescent="0.25">
      <c r="A32" s="77">
        <v>44021</v>
      </c>
      <c r="B32" s="76" t="s">
        <v>243</v>
      </c>
      <c r="C32" s="76"/>
      <c r="D32" s="76" t="s">
        <v>297</v>
      </c>
    </row>
    <row r="33" spans="1:4" x14ac:dyDescent="0.25">
      <c r="A33" s="74"/>
      <c r="B33" s="75" t="s">
        <v>349</v>
      </c>
      <c r="C33" s="76"/>
      <c r="D33" s="75" t="s">
        <v>348</v>
      </c>
    </row>
    <row r="34" spans="1:4" x14ac:dyDescent="0.25">
      <c r="A34" s="77">
        <v>44019</v>
      </c>
      <c r="B34" s="76" t="s">
        <v>243</v>
      </c>
      <c r="C34" s="76"/>
      <c r="D34" s="76" t="s">
        <v>297</v>
      </c>
    </row>
    <row r="35" spans="1:4" x14ac:dyDescent="0.25">
      <c r="A35" s="74"/>
      <c r="B35" s="75" t="s">
        <v>301</v>
      </c>
      <c r="C35" s="76"/>
      <c r="D35" s="75" t="s">
        <v>318</v>
      </c>
    </row>
    <row r="36" spans="1:4" x14ac:dyDescent="0.25">
      <c r="A36" s="74"/>
      <c r="B36" s="75"/>
      <c r="C36" s="76"/>
      <c r="D36" s="75"/>
    </row>
    <row r="37" spans="1:4" x14ac:dyDescent="0.25">
      <c r="A37" s="77">
        <v>44015</v>
      </c>
      <c r="B37" s="76" t="s">
        <v>247</v>
      </c>
      <c r="C37" s="76"/>
      <c r="D37" s="75"/>
    </row>
    <row r="38" spans="1:4" ht="75.75" customHeight="1" x14ac:dyDescent="0.25">
      <c r="A38" s="74"/>
      <c r="B38" s="78" t="s">
        <v>317</v>
      </c>
      <c r="C38" s="76"/>
      <c r="D38" s="75"/>
    </row>
    <row r="39" spans="1:4" x14ac:dyDescent="0.25">
      <c r="A39" s="77">
        <v>44014</v>
      </c>
      <c r="B39" s="76" t="s">
        <v>265</v>
      </c>
      <c r="C39" s="76"/>
      <c r="D39" s="76" t="s">
        <v>309</v>
      </c>
    </row>
    <row r="40" spans="1:4" ht="75" x14ac:dyDescent="0.25">
      <c r="A40" s="74"/>
      <c r="B40" s="78" t="s">
        <v>311</v>
      </c>
      <c r="C40" s="76"/>
      <c r="D40" s="78" t="s">
        <v>310</v>
      </c>
    </row>
    <row r="41" spans="1:4" x14ac:dyDescent="0.25">
      <c r="A41" s="77">
        <v>44012</v>
      </c>
      <c r="B41" s="76" t="s">
        <v>265</v>
      </c>
      <c r="C41" s="76"/>
      <c r="D41" s="76" t="s">
        <v>247</v>
      </c>
    </row>
    <row r="42" spans="1:4" ht="45" x14ac:dyDescent="0.25">
      <c r="A42" s="74"/>
      <c r="B42" s="78" t="s">
        <v>302</v>
      </c>
      <c r="C42" s="76"/>
      <c r="D42" s="75" t="s">
        <v>301</v>
      </c>
    </row>
    <row r="43" spans="1:4" x14ac:dyDescent="0.25">
      <c r="A43" s="74"/>
      <c r="B43" s="75"/>
      <c r="C43" s="76"/>
      <c r="D43" s="75"/>
    </row>
    <row r="44" spans="1:4" x14ac:dyDescent="0.25">
      <c r="A44" s="77">
        <v>44008</v>
      </c>
      <c r="B44" s="76" t="s">
        <v>216</v>
      </c>
      <c r="C44" s="76"/>
      <c r="D44" s="75"/>
    </row>
    <row r="45" spans="1:4" ht="105" x14ac:dyDescent="0.25">
      <c r="A45" s="74"/>
      <c r="B45" s="78" t="s">
        <v>298</v>
      </c>
      <c r="C45" s="76"/>
      <c r="D45" s="75"/>
    </row>
    <row r="46" spans="1:4" x14ac:dyDescent="0.25">
      <c r="A46" s="77">
        <v>44007</v>
      </c>
      <c r="B46" s="76" t="s">
        <v>296</v>
      </c>
      <c r="C46" s="76"/>
      <c r="D46" s="76" t="s">
        <v>297</v>
      </c>
    </row>
    <row r="47" spans="1:4" ht="60" x14ac:dyDescent="0.25">
      <c r="A47" s="74"/>
      <c r="B47" s="78" t="s">
        <v>293</v>
      </c>
      <c r="C47" s="76"/>
      <c r="D47" s="78" t="s">
        <v>267</v>
      </c>
    </row>
    <row r="48" spans="1:4" x14ac:dyDescent="0.25">
      <c r="A48" s="77">
        <v>44006</v>
      </c>
      <c r="B48" s="76" t="s">
        <v>291</v>
      </c>
      <c r="C48" s="76"/>
      <c r="D48" s="76" t="s">
        <v>292</v>
      </c>
    </row>
    <row r="49" spans="1:4" x14ac:dyDescent="0.25">
      <c r="A49" s="74"/>
      <c r="B49" s="75" t="s">
        <v>290</v>
      </c>
      <c r="C49" s="76"/>
      <c r="D49" s="75" t="s">
        <v>290</v>
      </c>
    </row>
    <row r="50" spans="1:4" x14ac:dyDescent="0.25">
      <c r="A50" s="77">
        <v>44005</v>
      </c>
      <c r="B50" s="76" t="s">
        <v>265</v>
      </c>
      <c r="C50" s="76"/>
      <c r="D50" s="76" t="s">
        <v>247</v>
      </c>
    </row>
    <row r="51" spans="1:4" ht="45" x14ac:dyDescent="0.25">
      <c r="A51" s="74"/>
      <c r="B51" s="75" t="s">
        <v>266</v>
      </c>
      <c r="C51" s="76"/>
      <c r="D51" s="78" t="s">
        <v>267</v>
      </c>
    </row>
    <row r="52" spans="1:4" x14ac:dyDescent="0.25">
      <c r="A52" s="74"/>
      <c r="B52" s="75"/>
      <c r="C52" s="76"/>
      <c r="D52" s="75"/>
    </row>
    <row r="53" spans="1:4" x14ac:dyDescent="0.25">
      <c r="A53" s="77">
        <v>44001</v>
      </c>
      <c r="B53" s="76" t="s">
        <v>247</v>
      </c>
      <c r="C53" s="76"/>
      <c r="D53" s="75"/>
    </row>
    <row r="54" spans="1:4" ht="135" x14ac:dyDescent="0.25">
      <c r="A54" s="74"/>
      <c r="B54" s="78" t="s">
        <v>263</v>
      </c>
      <c r="C54" s="76"/>
      <c r="D54" s="75"/>
    </row>
    <row r="55" spans="1:4" x14ac:dyDescent="0.25">
      <c r="A55" s="77">
        <v>44000</v>
      </c>
      <c r="B55" s="76" t="s">
        <v>243</v>
      </c>
      <c r="C55" s="76"/>
      <c r="D55" s="76" t="s">
        <v>260</v>
      </c>
    </row>
    <row r="56" spans="1:4" ht="105" x14ac:dyDescent="0.25">
      <c r="A56" s="74"/>
      <c r="B56" s="78" t="s">
        <v>262</v>
      </c>
      <c r="C56" s="76"/>
      <c r="D56" s="78" t="s">
        <v>261</v>
      </c>
    </row>
    <row r="57" spans="1:4" x14ac:dyDescent="0.25">
      <c r="A57" s="77">
        <v>43998</v>
      </c>
      <c r="B57" s="76" t="s">
        <v>213</v>
      </c>
      <c r="C57" s="76"/>
      <c r="D57" s="76" t="s">
        <v>257</v>
      </c>
    </row>
    <row r="58" spans="1:4" ht="120" x14ac:dyDescent="0.25">
      <c r="A58" s="74"/>
      <c r="B58" s="78" t="s">
        <v>258</v>
      </c>
      <c r="C58" s="76"/>
      <c r="D58" s="1" t="s">
        <v>259</v>
      </c>
    </row>
    <row r="59" spans="1:4" x14ac:dyDescent="0.25">
      <c r="A59" s="74"/>
      <c r="B59" s="75"/>
      <c r="C59" s="76"/>
      <c r="D59" s="75"/>
    </row>
    <row r="60" spans="1:4" x14ac:dyDescent="0.25">
      <c r="A60" s="77">
        <v>43994</v>
      </c>
      <c r="B60" s="76" t="s">
        <v>255</v>
      </c>
      <c r="C60" s="76"/>
      <c r="D60" s="75"/>
    </row>
    <row r="61" spans="1:4" ht="75" x14ac:dyDescent="0.25">
      <c r="A61" s="74"/>
      <c r="B61" s="78" t="s">
        <v>256</v>
      </c>
      <c r="C61" s="76"/>
      <c r="D61" s="75"/>
    </row>
    <row r="62" spans="1:4" x14ac:dyDescent="0.25">
      <c r="A62" s="77">
        <v>43993</v>
      </c>
      <c r="B62" s="76" t="s">
        <v>213</v>
      </c>
      <c r="C62" s="76"/>
      <c r="D62" s="76" t="s">
        <v>252</v>
      </c>
    </row>
    <row r="63" spans="1:4" ht="120" x14ac:dyDescent="0.25">
      <c r="A63" s="74"/>
      <c r="B63" s="71" t="s">
        <v>253</v>
      </c>
      <c r="C63" s="76"/>
      <c r="D63" s="78" t="s">
        <v>254</v>
      </c>
    </row>
    <row r="64" spans="1:4" x14ac:dyDescent="0.25">
      <c r="A64" s="77">
        <v>43991</v>
      </c>
      <c r="B64" s="76" t="s">
        <v>243</v>
      </c>
      <c r="C64" s="76"/>
      <c r="D64" s="76" t="s">
        <v>247</v>
      </c>
    </row>
    <row r="65" spans="1:4" ht="105" x14ac:dyDescent="0.25">
      <c r="A65" s="68"/>
      <c r="B65" s="69" t="s">
        <v>244</v>
      </c>
      <c r="C65" s="70"/>
      <c r="D65" s="71" t="s">
        <v>248</v>
      </c>
    </row>
    <row r="66" spans="1:4" x14ac:dyDescent="0.25">
      <c r="A66" s="68"/>
      <c r="B66" s="69"/>
      <c r="C66" s="70"/>
      <c r="D66" s="71"/>
    </row>
    <row r="67" spans="1:4" x14ac:dyDescent="0.25">
      <c r="A67" s="47">
        <v>43987</v>
      </c>
      <c r="B67" s="42" t="s">
        <v>213</v>
      </c>
    </row>
    <row r="68" spans="1:4" ht="195.75" customHeight="1" x14ac:dyDescent="0.25">
      <c r="B68" s="1" t="s">
        <v>215</v>
      </c>
    </row>
    <row r="69" spans="1:4" x14ac:dyDescent="0.25">
      <c r="A69" s="47">
        <v>43986</v>
      </c>
      <c r="B69" s="42" t="s">
        <v>216</v>
      </c>
    </row>
    <row r="70" spans="1:4" ht="165" customHeight="1" x14ac:dyDescent="0.25">
      <c r="B70" s="1" t="s">
        <v>214</v>
      </c>
    </row>
    <row r="71" spans="1:4" x14ac:dyDescent="0.25">
      <c r="A71" s="47">
        <v>43984</v>
      </c>
      <c r="B71" s="42" t="s">
        <v>223</v>
      </c>
    </row>
    <row r="72" spans="1:4" ht="120" x14ac:dyDescent="0.25">
      <c r="B72" s="1" t="s">
        <v>222</v>
      </c>
    </row>
    <row r="74" spans="1:4" x14ac:dyDescent="0.25">
      <c r="A74" s="47">
        <v>43980</v>
      </c>
      <c r="B74" s="42" t="s">
        <v>217</v>
      </c>
    </row>
    <row r="75" spans="1:4" ht="165" x14ac:dyDescent="0.25">
      <c r="B75" s="1" t="s">
        <v>221</v>
      </c>
    </row>
    <row r="76" spans="1:4" x14ac:dyDescent="0.25">
      <c r="A76" s="47">
        <v>43978</v>
      </c>
      <c r="B76" s="42" t="s">
        <v>220</v>
      </c>
    </row>
    <row r="77" spans="1:4" ht="120" x14ac:dyDescent="0.25">
      <c r="B77" s="1" t="s">
        <v>219</v>
      </c>
    </row>
    <row r="78" spans="1:4" x14ac:dyDescent="0.25">
      <c r="A78" s="47">
        <v>43977</v>
      </c>
      <c r="B78" s="42" t="s">
        <v>217</v>
      </c>
    </row>
    <row r="79" spans="1:4" ht="90" x14ac:dyDescent="0.25">
      <c r="B79" s="1" t="s">
        <v>218</v>
      </c>
    </row>
    <row r="81" spans="1:2" x14ac:dyDescent="0.25">
      <c r="A81" s="47">
        <v>43975</v>
      </c>
      <c r="B81" s="42" t="s">
        <v>198</v>
      </c>
    </row>
    <row r="82" spans="1:2" ht="60" x14ac:dyDescent="0.25">
      <c r="B82"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128</v>
      </c>
      <c r="B1" s="53" t="s">
        <v>157</v>
      </c>
      <c r="C1" s="1" t="s">
        <v>359</v>
      </c>
      <c r="E1" t="s">
        <v>360</v>
      </c>
    </row>
    <row r="2" spans="1:5" x14ac:dyDescent="0.25">
      <c r="A2" s="53" t="s">
        <v>151</v>
      </c>
      <c r="B2" s="53" t="s">
        <v>153</v>
      </c>
      <c r="C2" s="1" t="s">
        <v>312</v>
      </c>
      <c r="E2" t="s">
        <v>313</v>
      </c>
    </row>
    <row r="3" spans="1:5" ht="45" x14ac:dyDescent="0.25">
      <c r="A3" s="53" t="s">
        <v>20</v>
      </c>
      <c r="B3" s="53" t="s">
        <v>149</v>
      </c>
      <c r="C3" s="1" t="s">
        <v>314</v>
      </c>
    </row>
    <row r="4" spans="1:5" ht="30" x14ac:dyDescent="0.25">
      <c r="A4" s="53" t="s">
        <v>178</v>
      </c>
      <c r="B4" s="53" t="s">
        <v>179</v>
      </c>
      <c r="C4" s="1" t="s">
        <v>319</v>
      </c>
    </row>
    <row r="5" spans="1:5" ht="30" x14ac:dyDescent="0.25">
      <c r="A5" s="53" t="s">
        <v>120</v>
      </c>
      <c r="B5" s="53" t="s">
        <v>176</v>
      </c>
      <c r="C5" s="1" t="s">
        <v>228</v>
      </c>
    </row>
    <row r="6" spans="1:5" ht="45" x14ac:dyDescent="0.25">
      <c r="A6" s="53" t="s">
        <v>162</v>
      </c>
      <c r="B6" s="53" t="s">
        <v>163</v>
      </c>
      <c r="C6" s="1" t="s">
        <v>306</v>
      </c>
    </row>
    <row r="7" spans="1:5" hidden="1" x14ac:dyDescent="0.25">
      <c r="A7" s="53" t="s">
        <v>178</v>
      </c>
      <c r="B7" s="53" t="s">
        <v>180</v>
      </c>
    </row>
    <row r="8" spans="1:5" hidden="1" x14ac:dyDescent="0.25">
      <c r="A8" s="53" t="s">
        <v>172</v>
      </c>
      <c r="B8" s="53" t="s">
        <v>174</v>
      </c>
      <c r="C8" s="1" t="s">
        <v>229</v>
      </c>
      <c r="E8" t="s">
        <v>315</v>
      </c>
    </row>
    <row r="9" spans="1:5" ht="30" x14ac:dyDescent="0.25">
      <c r="A9" s="53" t="s">
        <v>125</v>
      </c>
      <c r="B9" s="53" t="s">
        <v>158</v>
      </c>
      <c r="C9" s="1" t="s">
        <v>305</v>
      </c>
      <c r="E9" t="s">
        <v>361</v>
      </c>
    </row>
    <row r="10" spans="1:5" ht="45" x14ac:dyDescent="0.25">
      <c r="A10" s="53" t="s">
        <v>226</v>
      </c>
      <c r="B10" s="53" t="s">
        <v>160</v>
      </c>
      <c r="C10" s="1" t="s">
        <v>307</v>
      </c>
    </row>
    <row r="11" spans="1:5" ht="30" x14ac:dyDescent="0.25">
      <c r="A11" s="53" t="s">
        <v>155</v>
      </c>
      <c r="B11" s="53" t="s">
        <v>156</v>
      </c>
      <c r="C11" s="1" t="s">
        <v>304</v>
      </c>
    </row>
    <row r="12" spans="1:5" ht="30" x14ac:dyDescent="0.25">
      <c r="A12" s="53" t="s">
        <v>227</v>
      </c>
      <c r="B12" s="53" t="s">
        <v>143</v>
      </c>
      <c r="C12" s="1" t="s">
        <v>362</v>
      </c>
    </row>
    <row r="13" spans="1:5" ht="30" x14ac:dyDescent="0.25">
      <c r="A13" s="53" t="s">
        <v>142</v>
      </c>
      <c r="B13" s="53" t="s">
        <v>140</v>
      </c>
      <c r="C13" s="1" t="s">
        <v>308</v>
      </c>
    </row>
    <row r="14" spans="1:5" hidden="1" x14ac:dyDescent="0.25">
      <c r="A14" s="53" t="s">
        <v>162</v>
      </c>
      <c r="B14" s="53" t="s">
        <v>187</v>
      </c>
    </row>
    <row r="15" spans="1:5" ht="30" x14ac:dyDescent="0.25">
      <c r="A15" s="53" t="s">
        <v>138</v>
      </c>
      <c r="B15" s="53" t="s">
        <v>136</v>
      </c>
      <c r="C15" s="1" t="s">
        <v>224</v>
      </c>
    </row>
    <row r="16" spans="1:5" ht="45" x14ac:dyDescent="0.25">
      <c r="A16" s="53" t="s">
        <v>134</v>
      </c>
      <c r="B16" s="53" t="s">
        <v>170</v>
      </c>
      <c r="C16" s="1" t="s">
        <v>363</v>
      </c>
      <c r="E16" t="s">
        <v>316</v>
      </c>
    </row>
    <row r="17" spans="1:3" ht="30" x14ac:dyDescent="0.25">
      <c r="A17" s="53" t="s">
        <v>125</v>
      </c>
      <c r="B17" s="53" t="s">
        <v>168</v>
      </c>
      <c r="C17" s="1" t="s">
        <v>303</v>
      </c>
    </row>
    <row r="18" spans="1:3" ht="30" x14ac:dyDescent="0.25">
      <c r="A18" s="53" t="s">
        <v>182</v>
      </c>
      <c r="B18" s="53" t="s">
        <v>184</v>
      </c>
      <c r="C18" s="1" t="s">
        <v>364</v>
      </c>
    </row>
    <row r="19" spans="1:3" hidden="1" x14ac:dyDescent="0.25">
      <c r="A19" s="53" t="s">
        <v>129</v>
      </c>
      <c r="B19" s="53" t="s">
        <v>165</v>
      </c>
    </row>
    <row r="20" spans="1:3" x14ac:dyDescent="0.25">
      <c r="A20" s="53" t="s">
        <v>132</v>
      </c>
      <c r="B20" s="53"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22" t="s">
        <v>344</v>
      </c>
      <c r="B1" s="122"/>
    </row>
    <row r="2" spans="1:2" x14ac:dyDescent="0.25">
      <c r="A2" t="s">
        <v>343</v>
      </c>
    </row>
    <row r="3" spans="1:2" x14ac:dyDescent="0.25">
      <c r="A3" t="s">
        <v>347</v>
      </c>
    </row>
    <row r="4" spans="1:2" x14ac:dyDescent="0.25">
      <c r="A4" t="s">
        <v>341</v>
      </c>
    </row>
    <row r="5" spans="1:2" x14ac:dyDescent="0.25">
      <c r="A5" t="s">
        <v>342</v>
      </c>
    </row>
    <row r="7" spans="1:2" s="80" customFormat="1" ht="21" x14ac:dyDescent="0.35">
      <c r="A7" s="122" t="s">
        <v>345</v>
      </c>
      <c r="B7" s="122"/>
    </row>
    <row r="8" spans="1:2" ht="15.75" x14ac:dyDescent="0.25">
      <c r="A8" s="120" t="s">
        <v>336</v>
      </c>
      <c r="B8" s="120"/>
    </row>
    <row r="9" spans="1:2" x14ac:dyDescent="0.25">
      <c r="A9" t="s">
        <v>337</v>
      </c>
    </row>
    <row r="11" spans="1:2" ht="15.75" x14ac:dyDescent="0.25">
      <c r="A11" s="121" t="s">
        <v>333</v>
      </c>
      <c r="B11" s="121"/>
    </row>
    <row r="12" spans="1:2" ht="30" x14ac:dyDescent="0.25">
      <c r="A12" s="75" t="s">
        <v>320</v>
      </c>
      <c r="B12" s="78" t="s">
        <v>334</v>
      </c>
    </row>
    <row r="13" spans="1:2" ht="30" x14ac:dyDescent="0.25">
      <c r="A13" s="75" t="s">
        <v>321</v>
      </c>
      <c r="B13" s="78" t="s">
        <v>322</v>
      </c>
    </row>
    <row r="14" spans="1:2" ht="30" x14ac:dyDescent="0.25">
      <c r="A14" s="78" t="s">
        <v>340</v>
      </c>
      <c r="B14" s="75" t="s">
        <v>323</v>
      </c>
    </row>
    <row r="15" spans="1:2" x14ac:dyDescent="0.25">
      <c r="A15" s="75" t="s">
        <v>324</v>
      </c>
      <c r="B15" s="75" t="s">
        <v>325</v>
      </c>
    </row>
    <row r="16" spans="1:2" x14ac:dyDescent="0.25">
      <c r="A16" s="75"/>
      <c r="B16" s="75"/>
    </row>
    <row r="17" spans="1:2" x14ac:dyDescent="0.25">
      <c r="A17" s="75" t="s">
        <v>326</v>
      </c>
      <c r="B17" s="75" t="s">
        <v>327</v>
      </c>
    </row>
    <row r="18" spans="1:2" ht="30" x14ac:dyDescent="0.25">
      <c r="A18" s="78" t="s">
        <v>328</v>
      </c>
      <c r="B18" s="78" t="s">
        <v>329</v>
      </c>
    </row>
    <row r="19" spans="1:2" ht="30" x14ac:dyDescent="0.25">
      <c r="A19" s="78" t="s">
        <v>330</v>
      </c>
      <c r="B19" s="75" t="s">
        <v>331</v>
      </c>
    </row>
    <row r="20" spans="1:2" x14ac:dyDescent="0.25">
      <c r="A20" s="75"/>
      <c r="B20" s="75"/>
    </row>
    <row r="21" spans="1:2" ht="45" x14ac:dyDescent="0.25">
      <c r="A21" s="75" t="s">
        <v>332</v>
      </c>
      <c r="B21" s="78" t="s">
        <v>335</v>
      </c>
    </row>
    <row r="23" spans="1:2" ht="36" customHeight="1" x14ac:dyDescent="0.25">
      <c r="A23" s="119" t="s">
        <v>346</v>
      </c>
      <c r="B23" s="119"/>
    </row>
    <row r="25" spans="1:2" ht="15.75" x14ac:dyDescent="0.25">
      <c r="A25" s="120" t="s">
        <v>338</v>
      </c>
      <c r="B25" s="120"/>
    </row>
    <row r="26" spans="1:2" x14ac:dyDescent="0.25">
      <c r="A26" t="s">
        <v>339</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288</v>
      </c>
    </row>
    <row r="2" spans="1:70" x14ac:dyDescent="0.25">
      <c r="A2" s="2" t="s">
        <v>0</v>
      </c>
    </row>
    <row r="3" spans="1:70" x14ac:dyDescent="0.25">
      <c r="A3" t="s">
        <v>212</v>
      </c>
    </row>
    <row r="4" spans="1:70" x14ac:dyDescent="0.25">
      <c r="B4" s="2" t="s">
        <v>1</v>
      </c>
    </row>
    <row r="5" spans="1:70" ht="60.75" customHeight="1" x14ac:dyDescent="0.25">
      <c r="B5" s="123" t="s">
        <v>299</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row>
    <row r="6" spans="1:70" x14ac:dyDescent="0.25">
      <c r="C6" s="2" t="s">
        <v>3</v>
      </c>
    </row>
    <row r="7" spans="1:70" ht="45" customHeight="1" x14ac:dyDescent="0.25">
      <c r="C7" s="123" t="s">
        <v>283</v>
      </c>
      <c r="D7" s="126"/>
      <c r="E7" s="126"/>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c r="BK7" s="126"/>
      <c r="BL7" s="126"/>
      <c r="BM7" s="126"/>
      <c r="BN7" s="126"/>
      <c r="BO7" s="126"/>
      <c r="BP7" s="126"/>
      <c r="BQ7" s="126"/>
      <c r="BR7" s="126"/>
    </row>
    <row r="8" spans="1:70" x14ac:dyDescent="0.25">
      <c r="C8" s="2" t="s">
        <v>4</v>
      </c>
    </row>
    <row r="9" spans="1:70" ht="75" customHeight="1" x14ac:dyDescent="0.25">
      <c r="C9" s="123" t="s">
        <v>276</v>
      </c>
      <c r="D9" s="126"/>
      <c r="E9" s="126"/>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c r="BK9" s="126"/>
      <c r="BL9" s="126"/>
      <c r="BM9" s="126"/>
      <c r="BN9" s="126"/>
      <c r="BO9" s="126"/>
      <c r="BP9" s="126"/>
      <c r="BQ9" s="126"/>
      <c r="BR9" s="126"/>
    </row>
    <row r="10" spans="1:70" x14ac:dyDescent="0.25">
      <c r="C10" s="2" t="s">
        <v>5</v>
      </c>
    </row>
    <row r="11" spans="1:70" ht="75" customHeight="1" x14ac:dyDescent="0.25">
      <c r="C11" s="123" t="s">
        <v>300</v>
      </c>
      <c r="D11" s="126"/>
      <c r="E11" s="126"/>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c r="BK11" s="126"/>
      <c r="BL11" s="126"/>
      <c r="BM11" s="126"/>
      <c r="BN11" s="126"/>
      <c r="BO11" s="126"/>
      <c r="BP11" s="126"/>
      <c r="BQ11" s="126"/>
      <c r="BR11" s="126"/>
    </row>
    <row r="12" spans="1:70" x14ac:dyDescent="0.25">
      <c r="C12" s="2" t="s">
        <v>6</v>
      </c>
    </row>
    <row r="13" spans="1:70" ht="90.75" customHeight="1" x14ac:dyDescent="0.25">
      <c r="C13" s="123" t="s">
        <v>287</v>
      </c>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c r="BK13" s="126"/>
      <c r="BL13" s="126"/>
      <c r="BM13" s="126"/>
      <c r="BN13" s="126"/>
      <c r="BO13" s="126"/>
      <c r="BP13" s="126"/>
      <c r="BQ13" s="126"/>
      <c r="BR13" s="126"/>
    </row>
    <row r="14" spans="1:70" x14ac:dyDescent="0.25">
      <c r="D14" s="2" t="s">
        <v>286</v>
      </c>
    </row>
    <row r="15" spans="1:70" ht="62.25" customHeight="1" x14ac:dyDescent="0.25">
      <c r="D15" s="123" t="s">
        <v>289</v>
      </c>
      <c r="E15" s="123"/>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c r="AS15" s="123"/>
      <c r="AT15" s="123"/>
      <c r="AU15" s="123"/>
      <c r="AV15" s="123"/>
      <c r="AW15" s="123"/>
      <c r="AX15" s="123"/>
      <c r="AY15" s="123"/>
      <c r="AZ15" s="123"/>
      <c r="BA15" s="123"/>
      <c r="BB15" s="123"/>
      <c r="BC15" s="123"/>
      <c r="BD15" s="123"/>
      <c r="BE15" s="123"/>
      <c r="BF15" s="123"/>
      <c r="BG15" s="123"/>
      <c r="BH15" s="123"/>
      <c r="BI15" s="123"/>
      <c r="BJ15" s="123"/>
      <c r="BK15" s="123"/>
      <c r="BL15" s="123"/>
      <c r="BM15" s="123"/>
      <c r="BN15" s="123"/>
      <c r="BO15" s="123"/>
      <c r="BP15" s="123"/>
      <c r="BQ15" s="123"/>
      <c r="BR15" s="123"/>
    </row>
    <row r="16" spans="1:70" x14ac:dyDescent="0.25">
      <c r="D16" s="2" t="s">
        <v>196</v>
      </c>
    </row>
    <row r="17" spans="1:70" ht="47.25" customHeight="1" x14ac:dyDescent="0.25">
      <c r="D17" s="123" t="s">
        <v>269</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15.75" customHeight="1" x14ac:dyDescent="0.25">
      <c r="D18" s="125" t="s">
        <v>268</v>
      </c>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row>
    <row r="19" spans="1:70" ht="45.75" customHeight="1" x14ac:dyDescent="0.25">
      <c r="D19" s="123" t="s">
        <v>277</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15.75" customHeight="1" x14ac:dyDescent="0.25">
      <c r="D20" s="125" t="s">
        <v>285</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row>
    <row r="21" spans="1:70" ht="44.25" customHeight="1" x14ac:dyDescent="0.25">
      <c r="D21" s="123" t="s">
        <v>278</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x14ac:dyDescent="0.25">
      <c r="B22" s="2" t="s">
        <v>192</v>
      </c>
      <c r="C22" s="2"/>
    </row>
    <row r="23" spans="1:70" ht="69.75" customHeight="1" x14ac:dyDescent="0.25">
      <c r="B23" s="123" t="s">
        <v>270</v>
      </c>
      <c r="C23" s="12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23"/>
      <c r="AI23" s="123"/>
      <c r="AJ23" s="123"/>
      <c r="AK23" s="123"/>
      <c r="AL23" s="123"/>
      <c r="AM23" s="123"/>
      <c r="AN23" s="123"/>
      <c r="AO23" s="123"/>
      <c r="AP23" s="123"/>
      <c r="AQ23" s="123"/>
      <c r="AR23" s="123"/>
      <c r="AS23" s="123"/>
      <c r="AT23" s="123"/>
      <c r="AU23" s="123"/>
      <c r="AV23" s="123"/>
      <c r="AW23" s="123"/>
      <c r="AX23" s="123"/>
      <c r="AY23" s="123"/>
      <c r="AZ23" s="123"/>
      <c r="BA23" s="123"/>
      <c r="BB23" s="123"/>
      <c r="BC23" s="123"/>
      <c r="BD23" s="123"/>
      <c r="BE23" s="123"/>
      <c r="BF23" s="123"/>
      <c r="BG23" s="123"/>
      <c r="BH23" s="123"/>
      <c r="BI23" s="123"/>
      <c r="BJ23" s="123"/>
      <c r="BK23" s="123"/>
      <c r="BL23" s="123"/>
      <c r="BM23" s="123"/>
      <c r="BN23" s="123"/>
      <c r="BO23" s="123"/>
      <c r="BP23" s="123"/>
      <c r="BQ23" s="123"/>
      <c r="BR23" s="123"/>
    </row>
    <row r="24" spans="1:70" x14ac:dyDescent="0.25">
      <c r="C24" s="2" t="s">
        <v>193</v>
      </c>
    </row>
    <row r="25" spans="1:70" ht="204.75" customHeight="1" x14ac:dyDescent="0.25">
      <c r="C25" s="124" t="s">
        <v>211</v>
      </c>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row>
    <row r="26" spans="1:70" x14ac:dyDescent="0.25">
      <c r="C26" s="2" t="s">
        <v>194</v>
      </c>
    </row>
    <row r="27" spans="1:70" ht="244.5" customHeight="1" x14ac:dyDescent="0.25">
      <c r="A27" s="1"/>
      <c r="C27" s="124" t="s">
        <v>195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row>
    <row r="28" spans="1:70" x14ac:dyDescent="0.25">
      <c r="B28" s="2" t="s">
        <v>271</v>
      </c>
      <c r="C28" s="44"/>
    </row>
    <row r="29" spans="1:70" ht="75" customHeight="1" x14ac:dyDescent="0.25">
      <c r="A29" s="1"/>
      <c r="B29" s="123" t="s">
        <v>282</v>
      </c>
      <c r="C29" s="123"/>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x14ac:dyDescent="0.25">
      <c r="C30" s="2" t="s">
        <v>275</v>
      </c>
    </row>
    <row r="31" spans="1:70" ht="46.5" customHeight="1" x14ac:dyDescent="0.25">
      <c r="A31" s="1"/>
      <c r="C31" s="124" t="s">
        <v>281</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row>
    <row r="32" spans="1:70" ht="15.75" customHeight="1" x14ac:dyDescent="0.25">
      <c r="C32" s="125" t="s">
        <v>272</v>
      </c>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c r="BP32" s="125"/>
      <c r="BQ32" s="125"/>
      <c r="BR32" s="125"/>
    </row>
    <row r="33" spans="1:70" ht="120" customHeight="1" x14ac:dyDescent="0.25">
      <c r="A33" s="44"/>
      <c r="C33" s="123" t="s">
        <v>274</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15.75" customHeight="1" x14ac:dyDescent="0.25">
      <c r="C34" s="125" t="s">
        <v>273</v>
      </c>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c r="BP34" s="125"/>
      <c r="BQ34" s="125"/>
      <c r="BR34" s="125"/>
    </row>
    <row r="35" spans="1:70" ht="47.25" customHeight="1" x14ac:dyDescent="0.25">
      <c r="C35" s="124" t="s">
        <v>280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c r="AO35" s="124"/>
      <c r="AP35" s="124"/>
      <c r="AQ35" s="124"/>
      <c r="AR35" s="124"/>
      <c r="AS35" s="124"/>
      <c r="AT35" s="124"/>
      <c r="AU35" s="124"/>
      <c r="AV35" s="124"/>
      <c r="AW35" s="124"/>
      <c r="AX35" s="124"/>
      <c r="AY35" s="124"/>
      <c r="AZ35" s="124"/>
      <c r="BA35" s="124"/>
      <c r="BB35" s="124"/>
      <c r="BC35" s="124"/>
      <c r="BD35" s="124"/>
      <c r="BE35" s="124"/>
      <c r="BF35" s="124"/>
      <c r="BG35" s="124"/>
      <c r="BH35" s="124"/>
      <c r="BI35" s="124"/>
      <c r="BJ35" s="124"/>
      <c r="BK35" s="124"/>
      <c r="BL35" s="124"/>
      <c r="BM35" s="124"/>
      <c r="BN35" s="124"/>
      <c r="BO35" s="124"/>
      <c r="BP35" s="124"/>
      <c r="BQ35" s="124"/>
      <c r="BR35" s="124"/>
    </row>
    <row r="36" spans="1:70" x14ac:dyDescent="0.25">
      <c r="B36" s="2" t="s">
        <v>2</v>
      </c>
    </row>
    <row r="37" spans="1:70" x14ac:dyDescent="0.25">
      <c r="B37" s="126" t="s">
        <v>12</v>
      </c>
      <c r="C37" s="126"/>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x14ac:dyDescent="0.25">
      <c r="C38" s="2" t="s">
        <v>7</v>
      </c>
    </row>
    <row r="39" spans="1:70" ht="45.75" customHeight="1" x14ac:dyDescent="0.25">
      <c r="C39" s="123" t="s">
        <v>8</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288</v>
      </c>
    </row>
    <row r="2" spans="1:4" x14ac:dyDescent="0.25">
      <c r="A2" s="2" t="s">
        <v>0</v>
      </c>
    </row>
    <row r="3" spans="1:4" x14ac:dyDescent="0.25">
      <c r="A3" t="s">
        <v>212</v>
      </c>
    </row>
    <row r="4" spans="1:4" x14ac:dyDescent="0.25">
      <c r="B4" s="2" t="s">
        <v>1</v>
      </c>
    </row>
    <row r="5" spans="1:4" ht="90" x14ac:dyDescent="0.25">
      <c r="B5" s="1" t="s">
        <v>279</v>
      </c>
    </row>
    <row r="6" spans="1:4" x14ac:dyDescent="0.25">
      <c r="C6" s="2" t="s">
        <v>3</v>
      </c>
    </row>
    <row r="7" spans="1:4" ht="45" x14ac:dyDescent="0.25">
      <c r="C7" s="1" t="s">
        <v>283</v>
      </c>
    </row>
    <row r="8" spans="1:4" x14ac:dyDescent="0.25">
      <c r="C8" s="2" t="s">
        <v>4</v>
      </c>
    </row>
    <row r="9" spans="1:4" ht="75" x14ac:dyDescent="0.25">
      <c r="C9" s="1" t="s">
        <v>276</v>
      </c>
    </row>
    <row r="10" spans="1:4" x14ac:dyDescent="0.25">
      <c r="C10" s="2" t="s">
        <v>5</v>
      </c>
    </row>
    <row r="11" spans="1:4" ht="90" x14ac:dyDescent="0.25">
      <c r="C11" s="1" t="s">
        <v>284</v>
      </c>
    </row>
    <row r="12" spans="1:4" x14ac:dyDescent="0.25">
      <c r="C12" s="2" t="s">
        <v>6</v>
      </c>
    </row>
    <row r="13" spans="1:4" ht="105" x14ac:dyDescent="0.25">
      <c r="C13" s="44" t="s">
        <v>287</v>
      </c>
    </row>
    <row r="14" spans="1:4" x14ac:dyDescent="0.25">
      <c r="C14" s="44"/>
      <c r="D14" s="2" t="s">
        <v>286</v>
      </c>
    </row>
    <row r="15" spans="1:4" ht="90" x14ac:dyDescent="0.25">
      <c r="C15" s="44"/>
      <c r="D15" s="1" t="s">
        <v>289</v>
      </c>
    </row>
    <row r="16" spans="1:4" x14ac:dyDescent="0.25">
      <c r="C16" s="45"/>
      <c r="D16" s="2" t="s">
        <v>196</v>
      </c>
    </row>
    <row r="17" spans="2:4" ht="45" x14ac:dyDescent="0.25">
      <c r="C17" s="45"/>
      <c r="D17" s="1" t="s">
        <v>269</v>
      </c>
    </row>
    <row r="18" spans="2:4" x14ac:dyDescent="0.25">
      <c r="C18" s="45"/>
      <c r="D18" s="79" t="s">
        <v>268</v>
      </c>
    </row>
    <row r="19" spans="2:4" ht="45" x14ac:dyDescent="0.25">
      <c r="C19" s="45"/>
      <c r="D19" s="1" t="s">
        <v>277</v>
      </c>
    </row>
    <row r="20" spans="2:4" x14ac:dyDescent="0.25">
      <c r="C20" s="45"/>
      <c r="D20" s="79" t="s">
        <v>285</v>
      </c>
    </row>
    <row r="21" spans="2:4" ht="45" x14ac:dyDescent="0.25">
      <c r="C21" s="45"/>
      <c r="D21" s="1" t="s">
        <v>278</v>
      </c>
    </row>
    <row r="22" spans="2:4" x14ac:dyDescent="0.25">
      <c r="B22" s="2" t="s">
        <v>192</v>
      </c>
      <c r="C22" s="2"/>
    </row>
    <row r="23" spans="2:4" ht="60" x14ac:dyDescent="0.25">
      <c r="B23" s="1" t="s">
        <v>270</v>
      </c>
      <c r="C23" s="2"/>
    </row>
    <row r="24" spans="2:4" x14ac:dyDescent="0.25">
      <c r="C24" s="2" t="s">
        <v>193</v>
      </c>
    </row>
    <row r="25" spans="2:4" ht="210" x14ac:dyDescent="0.25">
      <c r="C25" s="44" t="s">
        <v>211</v>
      </c>
    </row>
    <row r="26" spans="2:4" x14ac:dyDescent="0.25">
      <c r="C26" s="2" t="s">
        <v>194</v>
      </c>
    </row>
    <row r="27" spans="2:4" ht="240" x14ac:dyDescent="0.25">
      <c r="C27" s="44" t="s">
        <v>195</v>
      </c>
    </row>
    <row r="28" spans="2:4" x14ac:dyDescent="0.25">
      <c r="B28" s="2" t="s">
        <v>271</v>
      </c>
      <c r="C28" s="44"/>
    </row>
    <row r="29" spans="2:4" ht="75" x14ac:dyDescent="0.25">
      <c r="B29" s="1" t="s">
        <v>282</v>
      </c>
      <c r="C29" s="44"/>
    </row>
    <row r="30" spans="2:4" x14ac:dyDescent="0.25">
      <c r="C30" s="2" t="s">
        <v>275</v>
      </c>
    </row>
    <row r="31" spans="2:4" ht="45" x14ac:dyDescent="0.25">
      <c r="C31" s="44" t="s">
        <v>281</v>
      </c>
    </row>
    <row r="32" spans="2:4" x14ac:dyDescent="0.25">
      <c r="C32" s="79" t="s">
        <v>272</v>
      </c>
    </row>
    <row r="33" spans="2:5" ht="165" x14ac:dyDescent="0.25">
      <c r="C33" s="1" t="s">
        <v>274</v>
      </c>
    </row>
    <row r="34" spans="2:5" x14ac:dyDescent="0.25">
      <c r="C34" s="79" t="s">
        <v>273</v>
      </c>
    </row>
    <row r="35" spans="2:5" ht="75" x14ac:dyDescent="0.25">
      <c r="C35" s="44" t="s">
        <v>280</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2020-08-06T11:13:32Z</dcterms:modified>
</cp:coreProperties>
</file>