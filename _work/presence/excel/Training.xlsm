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7764C31-CAA9-4526-AA68-C73F8C8FF8D3}" xr6:coauthVersionLast="45" xr6:coauthVersionMax="45" xr10:uidLastSave="{00000000-0000-0000-0000-000000000000}"/>
  <bookViews>
    <workbookView xWindow="-120" yWindow="-120" windowWidth="29040" windowHeight="16440" activeTab="2"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4" l="1"/>
  <c r="C18" i="14"/>
  <c r="C17" i="14"/>
  <c r="C16" i="14"/>
  <c r="C15" i="14"/>
  <c r="C14" i="14"/>
  <c r="C13" i="14"/>
  <c r="C12" i="14"/>
  <c r="C11" i="14"/>
  <c r="C10" i="14"/>
  <c r="C9" i="14"/>
  <c r="C8" i="14"/>
  <c r="C7" i="14"/>
  <c r="C6" i="14"/>
  <c r="C5" i="14"/>
  <c r="C4" i="14"/>
  <c r="C3" i="14"/>
  <c r="C2" i="14"/>
  <c r="C1" i="14"/>
  <c r="K13" i="13" l="1"/>
  <c r="IB12" i="13"/>
  <c r="IA12" i="13"/>
  <c r="HZ12" i="13"/>
  <c r="HY12" i="13"/>
  <c r="HX12" i="13"/>
  <c r="HW12" i="13"/>
  <c r="HV12" i="13"/>
  <c r="HU12" i="13"/>
  <c r="HT12" i="13"/>
  <c r="HS12" i="13"/>
  <c r="HR12" i="13"/>
  <c r="HQ12" i="13"/>
  <c r="HP12" i="13"/>
  <c r="HO12" i="13"/>
  <c r="HN12" i="13"/>
  <c r="HM12" i="13"/>
  <c r="HL12" i="13"/>
  <c r="HK12" i="13"/>
  <c r="HJ12" i="13"/>
  <c r="HI12" i="13"/>
  <c r="HH12" i="13"/>
  <c r="HG12" i="13"/>
  <c r="HF12" i="13"/>
  <c r="HE12" i="13"/>
  <c r="HD12" i="13"/>
  <c r="HC12" i="13"/>
  <c r="HB12" i="13"/>
  <c r="HA12" i="13"/>
  <c r="GZ12" i="13"/>
  <c r="GY12" i="13"/>
  <c r="GX12" i="13"/>
  <c r="GW12" i="13"/>
  <c r="GV12" i="13"/>
  <c r="GU12" i="13"/>
  <c r="GT12" i="13"/>
  <c r="GS12" i="13"/>
  <c r="GR12" i="13"/>
  <c r="GQ12" i="13"/>
  <c r="GP12" i="13"/>
  <c r="GO12" i="13"/>
  <c r="GN12" i="13"/>
  <c r="GM12" i="13"/>
  <c r="GL12" i="13"/>
  <c r="GK12" i="13"/>
  <c r="GJ12" i="13"/>
  <c r="GI12" i="13"/>
  <c r="GH12" i="13"/>
  <c r="GG12" i="13"/>
  <c r="GF12" i="13"/>
  <c r="GE12" i="13"/>
  <c r="GD12" i="13"/>
  <c r="GC12" i="13"/>
  <c r="GB12" i="13"/>
  <c r="GA12" i="13"/>
  <c r="FZ12" i="13"/>
  <c r="FY12" i="13"/>
  <c r="FX12" i="13"/>
  <c r="FW12" i="13"/>
  <c r="FV12" i="13"/>
  <c r="FU12" i="13"/>
  <c r="FT12" i="13"/>
  <c r="FS12" i="13"/>
  <c r="FR12" i="13"/>
  <c r="FQ12" i="13"/>
  <c r="FP12" i="13"/>
  <c r="FO12" i="13"/>
  <c r="FN12" i="13"/>
  <c r="FM12" i="13"/>
  <c r="FL12" i="13"/>
  <c r="FK12" i="13"/>
  <c r="FJ12" i="13"/>
  <c r="FI12" i="13"/>
  <c r="FH12" i="13"/>
  <c r="FG12" i="13"/>
  <c r="FF12" i="13"/>
  <c r="FE12" i="13"/>
  <c r="FD12" i="13"/>
  <c r="FC12" i="13"/>
  <c r="FB12" i="13"/>
  <c r="FA12" i="13"/>
  <c r="EZ12" i="13"/>
  <c r="EY12" i="13"/>
  <c r="EX12" i="13"/>
  <c r="EW12" i="13"/>
  <c r="EV12" i="13"/>
  <c r="EU12" i="13"/>
  <c r="ET12" i="13"/>
  <c r="ES12" i="13"/>
  <c r="ER12" i="13"/>
  <c r="EQ12" i="13"/>
  <c r="EP12" i="13"/>
  <c r="EO12" i="13"/>
  <c r="EN12" i="13"/>
  <c r="EM12" i="13"/>
  <c r="EL12" i="13"/>
  <c r="EK12" i="13"/>
  <c r="EJ12" i="13"/>
  <c r="EI12" i="13"/>
  <c r="EH12" i="13"/>
  <c r="EG12" i="13"/>
  <c r="EF12" i="13"/>
  <c r="EE12" i="13"/>
  <c r="ED12" i="13"/>
  <c r="EC12" i="13"/>
  <c r="EB12" i="13"/>
  <c r="EA12" i="13"/>
  <c r="DZ12" i="13"/>
  <c r="DY12" i="13"/>
  <c r="DX12" i="13"/>
  <c r="DW12" i="13"/>
  <c r="DV12" i="13"/>
  <c r="DU12" i="13"/>
  <c r="DT12" i="13"/>
  <c r="DS12" i="13"/>
  <c r="DR12" i="13"/>
  <c r="DQ12" i="13"/>
  <c r="DP12" i="13"/>
  <c r="DO12" i="13"/>
  <c r="DN12" i="13"/>
  <c r="DM12" i="13"/>
  <c r="DL12" i="13"/>
  <c r="DK12" i="13"/>
  <c r="DJ12" i="13"/>
  <c r="DI12" i="13"/>
  <c r="DH12" i="13"/>
  <c r="DG12" i="13"/>
  <c r="DF12" i="13"/>
  <c r="DE12" i="13"/>
  <c r="DD12" i="13"/>
  <c r="DC12" i="13"/>
  <c r="DB12" i="13"/>
  <c r="DA12" i="13"/>
  <c r="CZ12" i="13"/>
  <c r="CY12" i="13"/>
  <c r="CX12" i="13"/>
  <c r="CW12" i="13"/>
  <c r="CV12" i="13"/>
  <c r="CU12" i="13"/>
  <c r="CT12" i="13"/>
  <c r="CS12" i="13"/>
  <c r="CR12" i="13"/>
  <c r="CQ12" i="13"/>
  <c r="CP12" i="13"/>
  <c r="CO12" i="13"/>
  <c r="CN12" i="13"/>
  <c r="CM12" i="13"/>
  <c r="CL12" i="13"/>
  <c r="CK12" i="13"/>
  <c r="CJ12" i="13"/>
  <c r="CI12" i="13"/>
  <c r="CH12" i="13"/>
  <c r="CG12" i="13"/>
  <c r="CF12" i="13"/>
  <c r="CE12" i="13"/>
  <c r="CD12" i="13"/>
  <c r="CC12" i="13"/>
  <c r="CB12" i="13"/>
  <c r="CA12" i="13"/>
  <c r="BZ12" i="13"/>
  <c r="BY12" i="13"/>
  <c r="BX12" i="13"/>
  <c r="BW12" i="13"/>
  <c r="BV12" i="13"/>
  <c r="BU12" i="13"/>
  <c r="BT12" i="13"/>
  <c r="BS12" i="13"/>
  <c r="BR12" i="13"/>
  <c r="BQ12" i="13"/>
  <c r="BP12" i="13"/>
  <c r="BO12" i="13"/>
  <c r="BN12" i="13"/>
  <c r="BM12" i="13"/>
  <c r="BL12" i="13"/>
  <c r="BK12" i="13"/>
  <c r="BJ12" i="13"/>
  <c r="BI12" i="13"/>
  <c r="BH12" i="13"/>
  <c r="BG12" i="13"/>
  <c r="BF12" i="13"/>
  <c r="BE12" i="13"/>
  <c r="BD12" i="13"/>
  <c r="BC12" i="13"/>
  <c r="BB12" i="13"/>
  <c r="BA12" i="13"/>
  <c r="AZ12" i="13"/>
  <c r="AY12" i="13"/>
  <c r="AX12" i="13"/>
  <c r="AW12" i="13"/>
  <c r="AV12" i="13"/>
  <c r="AU12" i="13"/>
  <c r="AT12" i="13"/>
  <c r="AS12" i="13"/>
  <c r="AR12" i="13"/>
  <c r="AQ12" i="13"/>
  <c r="AP12" i="13"/>
  <c r="AO12" i="13"/>
  <c r="AN12" i="13"/>
  <c r="AM12" i="13"/>
  <c r="AL12" i="13"/>
  <c r="AK12" i="13"/>
  <c r="AJ12" i="13"/>
  <c r="AI12" i="13"/>
  <c r="AH12" i="13"/>
  <c r="AG12" i="13"/>
  <c r="AF12" i="13"/>
  <c r="AE12" i="13"/>
  <c r="AD12" i="13"/>
  <c r="AC12" i="13"/>
  <c r="AB12" i="13"/>
  <c r="AA12" i="13"/>
  <c r="Z12" i="13"/>
  <c r="Y12" i="13"/>
  <c r="X12" i="13"/>
  <c r="W12" i="13"/>
  <c r="V12" i="13"/>
  <c r="U12" i="13"/>
  <c r="T12" i="13"/>
  <c r="S12" i="13"/>
  <c r="R12" i="13"/>
  <c r="Q12" i="13"/>
  <c r="P12" i="13"/>
  <c r="O12" i="13"/>
  <c r="N12" i="13"/>
  <c r="M12" i="13"/>
  <c r="I12" i="13"/>
  <c r="IB11" i="13"/>
  <c r="IA11" i="13"/>
  <c r="HZ11" i="13"/>
  <c r="HY11" i="13"/>
  <c r="HX11" i="13"/>
  <c r="HW11" i="13"/>
  <c r="HV11" i="13"/>
  <c r="HU11" i="13"/>
  <c r="HT11" i="13"/>
  <c r="HS11" i="13"/>
  <c r="HR11" i="13"/>
  <c r="HQ11" i="13"/>
  <c r="HP11" i="13"/>
  <c r="HO11" i="13"/>
  <c r="HN11" i="13"/>
  <c r="HM11" i="13"/>
  <c r="HL11" i="13"/>
  <c r="HK11" i="13"/>
  <c r="HJ11" i="13"/>
  <c r="HI11" i="13"/>
  <c r="HH11" i="13"/>
  <c r="HG11" i="13"/>
  <c r="HF11" i="13"/>
  <c r="HE11" i="13"/>
  <c r="HD11" i="13"/>
  <c r="HC11" i="13"/>
  <c r="HB11" i="13"/>
  <c r="HA11" i="13"/>
  <c r="GZ11" i="13"/>
  <c r="GY11" i="13"/>
  <c r="GX11" i="13"/>
  <c r="GW11" i="13"/>
  <c r="GV11" i="13"/>
  <c r="GU11" i="13"/>
  <c r="GT11" i="13"/>
  <c r="GS11" i="13"/>
  <c r="GR11" i="13"/>
  <c r="GQ11" i="13"/>
  <c r="GP11" i="13"/>
  <c r="GO11" i="13"/>
  <c r="GN11" i="13"/>
  <c r="GM11" i="13"/>
  <c r="GL11" i="13"/>
  <c r="GK11" i="13"/>
  <c r="GJ11" i="13"/>
  <c r="GI11" i="13"/>
  <c r="GH11" i="13"/>
  <c r="GG11" i="13"/>
  <c r="GF11" i="13"/>
  <c r="GE11" i="13"/>
  <c r="GD11" i="13"/>
  <c r="GC11" i="13"/>
  <c r="GB11" i="13"/>
  <c r="GA11" i="13"/>
  <c r="FZ11" i="13"/>
  <c r="FY11" i="13"/>
  <c r="FX11" i="13"/>
  <c r="FW11" i="13"/>
  <c r="FV11" i="13"/>
  <c r="FU11" i="13"/>
  <c r="FT11" i="13"/>
  <c r="FS11" i="13"/>
  <c r="FR11" i="13"/>
  <c r="FQ11" i="13"/>
  <c r="FP11" i="13"/>
  <c r="FO11" i="13"/>
  <c r="FN11" i="13"/>
  <c r="FM11" i="13"/>
  <c r="FL11" i="13"/>
  <c r="FK11" i="13"/>
  <c r="FJ11" i="13"/>
  <c r="FI11" i="13"/>
  <c r="FH11" i="13"/>
  <c r="FG11" i="13"/>
  <c r="FF11" i="13"/>
  <c r="FE11" i="13"/>
  <c r="FD11" i="13"/>
  <c r="FC11" i="13"/>
  <c r="FB11" i="13"/>
  <c r="FA11" i="13"/>
  <c r="EZ11" i="13"/>
  <c r="EY11" i="13"/>
  <c r="EX11" i="13"/>
  <c r="EW11" i="13"/>
  <c r="EV11" i="13"/>
  <c r="EU11" i="13"/>
  <c r="ET11" i="13"/>
  <c r="ES11" i="13"/>
  <c r="ER11" i="13"/>
  <c r="EQ11" i="13"/>
  <c r="EP11" i="13"/>
  <c r="EO11" i="13"/>
  <c r="EN11" i="13"/>
  <c r="EM11" i="13"/>
  <c r="EL11" i="13"/>
  <c r="EK11" i="13"/>
  <c r="EJ11" i="13"/>
  <c r="EI11" i="13"/>
  <c r="EH11" i="13"/>
  <c r="EG11" i="13"/>
  <c r="EF11" i="13"/>
  <c r="EE11" i="13"/>
  <c r="ED11" i="13"/>
  <c r="EC11" i="13"/>
  <c r="EB11" i="13"/>
  <c r="EA11" i="13"/>
  <c r="DZ11" i="13"/>
  <c r="DY11" i="13"/>
  <c r="DX11" i="13"/>
  <c r="DW11" i="13"/>
  <c r="DV11" i="13"/>
  <c r="DU11" i="13"/>
  <c r="DT11" i="13"/>
  <c r="DS11" i="13"/>
  <c r="DR11" i="13"/>
  <c r="DQ11" i="13"/>
  <c r="DP11" i="13"/>
  <c r="DO11" i="13"/>
  <c r="DN11" i="13"/>
  <c r="DM11" i="13"/>
  <c r="DL11" i="13"/>
  <c r="DK11" i="13"/>
  <c r="DJ11" i="13"/>
  <c r="DI11" i="13"/>
  <c r="DH11" i="13"/>
  <c r="DG11" i="13"/>
  <c r="DF11" i="13"/>
  <c r="DE11" i="13"/>
  <c r="DD11" i="13"/>
  <c r="DC11" i="13"/>
  <c r="DB11" i="13"/>
  <c r="DA11" i="13"/>
  <c r="CZ11" i="13"/>
  <c r="CY11" i="13"/>
  <c r="CX11" i="13"/>
  <c r="CW11" i="13"/>
  <c r="CV11" i="13"/>
  <c r="CU11" i="13"/>
  <c r="CT11" i="13"/>
  <c r="CS11" i="13"/>
  <c r="CR11" i="13"/>
  <c r="CQ11" i="13"/>
  <c r="CP11" i="13"/>
  <c r="CO11" i="13"/>
  <c r="CN11" i="13"/>
  <c r="CM11" i="13"/>
  <c r="CL11" i="13"/>
  <c r="CK11" i="13"/>
  <c r="CJ11" i="13"/>
  <c r="CI11" i="13"/>
  <c r="CH11" i="13"/>
  <c r="CG11" i="13"/>
  <c r="CF11" i="13"/>
  <c r="CE11" i="13"/>
  <c r="CD11" i="13"/>
  <c r="CC11" i="13"/>
  <c r="CB11" i="13"/>
  <c r="CA11" i="13"/>
  <c r="BZ11" i="13"/>
  <c r="BY11" i="13"/>
  <c r="BX11" i="13"/>
  <c r="BW11" i="13"/>
  <c r="BV11" i="13"/>
  <c r="BU11" i="13"/>
  <c r="BT11" i="13"/>
  <c r="BS11" i="13"/>
  <c r="BR11" i="13"/>
  <c r="BQ11" i="13"/>
  <c r="BP11" i="13"/>
  <c r="BO11" i="13"/>
  <c r="BN11" i="13"/>
  <c r="BM11" i="13"/>
  <c r="BL11" i="13"/>
  <c r="BK11" i="13"/>
  <c r="BJ11" i="13"/>
  <c r="BI11" i="13"/>
  <c r="BH11" i="13"/>
  <c r="BG11" i="13"/>
  <c r="BF11" i="13"/>
  <c r="BE11" i="13"/>
  <c r="BD11" i="13"/>
  <c r="BC11" i="13"/>
  <c r="BB11" i="13"/>
  <c r="BA11" i="13"/>
  <c r="AZ11" i="13"/>
  <c r="AY11" i="13"/>
  <c r="AX11" i="13"/>
  <c r="AW11" i="13"/>
  <c r="AV11" i="13"/>
  <c r="AU11" i="13"/>
  <c r="AT11" i="13"/>
  <c r="AS11" i="13"/>
  <c r="AR11" i="13"/>
  <c r="AQ11" i="13"/>
  <c r="AP11" i="13"/>
  <c r="AO11" i="13"/>
  <c r="AN11" i="13"/>
  <c r="AM11" i="13"/>
  <c r="AL11" i="13"/>
  <c r="AK11" i="13"/>
  <c r="AJ11" i="13"/>
  <c r="AI11" i="13"/>
  <c r="AH11" i="13"/>
  <c r="AG11" i="13"/>
  <c r="AF11" i="13"/>
  <c r="AE11" i="13"/>
  <c r="AD11" i="13"/>
  <c r="AC11" i="13"/>
  <c r="AB11" i="13"/>
  <c r="AA11" i="13"/>
  <c r="Z11" i="13"/>
  <c r="Y11" i="13"/>
  <c r="X11" i="13"/>
  <c r="W11" i="13"/>
  <c r="V11" i="13"/>
  <c r="U11" i="13"/>
  <c r="T11" i="13"/>
  <c r="S11" i="13"/>
  <c r="R11" i="13"/>
  <c r="Q11" i="13"/>
  <c r="P11" i="13"/>
  <c r="O11" i="13"/>
  <c r="N11" i="13"/>
  <c r="M11" i="13"/>
  <c r="I11" i="13"/>
  <c r="K10" i="13"/>
  <c r="I10" i="13"/>
  <c r="E10" i="13"/>
  <c r="K9" i="13"/>
  <c r="I9" i="13"/>
  <c r="E9" i="13"/>
  <c r="K8" i="13"/>
  <c r="I8" i="13"/>
  <c r="E8" i="13"/>
  <c r="K7" i="13"/>
  <c r="I7" i="13"/>
  <c r="E7" i="13"/>
  <c r="K6" i="13"/>
  <c r="I6" i="13"/>
  <c r="E6" i="13"/>
  <c r="K5" i="13"/>
  <c r="I5" i="13"/>
  <c r="E5" i="13"/>
  <c r="K4" i="13"/>
  <c r="I4" i="13"/>
  <c r="E4"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K12" i="13" l="1"/>
  <c r="L12" i="13" s="1"/>
  <c r="K11" i="13"/>
  <c r="L11" i="13" s="1"/>
  <c r="L5" i="13"/>
  <c r="L8" i="13"/>
  <c r="L3" i="13"/>
  <c r="L9" i="13"/>
  <c r="L6" i="13"/>
  <c r="L4" i="13"/>
  <c r="L7"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7"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L21" i="10" s="1"/>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4" i="10" l="1"/>
  <c r="L24" i="10" s="1"/>
  <c r="K23" i="10"/>
  <c r="L23" i="10" s="1"/>
  <c r="L22"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<sst xmlns="http://schemas.openxmlformats.org/spreadsheetml/2006/main" count="2670" uniqueCount="830">
  <si>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</si>
  <si>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</si>
  <si>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</si>
  <si>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</si>
  <si>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</si>
  <si>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</si>
  <si>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</si>
  <si>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</si>
  <si>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</si>
  <si>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</si>
  <si>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</si>
  <si>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</si>
  <si>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</si>
  <si>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</si>
  <si>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</si>
  <si>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</si>
  <si>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</si>
  <si>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</si>
  <si>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</si>
  <si>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</si>
  <si>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</si>
  <si>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</si>
  <si>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</si>
  <si>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</si>
  <si>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</si>
  <si>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</si>
  <si>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</si>
  <si>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</si>
  <si>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</si>
  <si>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</si>
  <si>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</si>
  <si>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</si>
  <si>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</si>
  <si>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</si>
  <si>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</si>
  <si>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</si>
  <si>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</si>
  <si>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</si>
  <si>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</si>
  <si>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</si>
  <si>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</si>
  <si>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</si>
  <si>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</si>
  <si>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</si>
  <si>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</si>
  <si>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</si>
  <si>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</si>
  <si>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</si>
  <si>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</si>
  <si>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</si>
  <si>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</si>
  <si>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</si>
  <si>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</si>
  <si>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</si>
  <si>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</si>
  <si>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</si>
  <si>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</si>
  <si>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</si>
  <si>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</si>
  <si>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</si>
  <si>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</si>
  <si>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</si>
  <si>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</si>
  <si>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</si>
  <si>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</si>
  <si>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</si>
  <si>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</si>
  <si>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</si>
  <si>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</si>
  <si>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</si>
  <si>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</si>
  <si>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</si>
  <si>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</si>
  <si>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</si>
  <si>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</si>
  <si>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</si>
  <si>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</si>
  <si>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</si>
  <si>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</si>
  <si>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</si>
  <si>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</si>
  <si>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</si>
  <si>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</si>
  <si>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</si>
  <si>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</si>
  <si>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</si>
  <si>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</si>
  <si>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</si>
  <si>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</si>
  <si>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</si>
  <si>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</si>
  <si>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</si>
  <si>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</si>
  <si>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</si>
  <si>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</si>
  <si>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</si>
  <si>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</si>
  <si>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</si>
  <si>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</si>
  <si>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</si>
  <si>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</si>
  <si>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</si>
  <si>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</si>
  <si>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</si>
  <si>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</si>
  <si>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</si>
  <si>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</si>
  <si>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</si>
  <si>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</si>
  <si>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</si>
  <si>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</si>
  <si>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</si>
  <si>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</si>
  <si>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</si>
  <si>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</si>
  <si>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</si>
  <si>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</si>
  <si>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</si>
  <si>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</si>
  <si>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</si>
  <si>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</si>
  <si>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</si>
  <si>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</si>
  <si>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</si>
  <si>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</si>
  <si>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</si>
  <si>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</si>
  <si>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</si>
  <si>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</si>
  <si>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</si>
  <si>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</si>
  <si>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</si>
  <si>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</si>
  <si>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</si>
  <si>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</si>
  <si>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</si>
  <si>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</si>
  <si>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</si>
  <si>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</si>
  <si>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</si>
  <si>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</si>
  <si>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</si>
  <si>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</si>
  <si>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</si>
  <si>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</si>
  <si>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</si>
  <si>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</si>
  <si>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</si>
  <si>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</si>
  <si>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</si>
  <si>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</si>
  <si>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</si>
  <si>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</si>
  <si>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</si>
  <si>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</si>
  <si>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</si>
  <si>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</si>
  <si>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</si>
  <si>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</si>
  <si>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</si>
  <si>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</si>
  <si>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</si>
  <si>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</si>
  <si>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</si>
  <si>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</si>
  <si>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</si>
  <si>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</si>
  <si>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</si>
  <si>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</si>
  <si>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</si>
  <si>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</si>
  <si>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</si>
  <si>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</si>
  <si>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</si>
  <si>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</si>
  <si>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</si>
  <si>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</si>
  <si>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</si>
  <si>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</si>
  <si>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</si>
  <si>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</si>
  <si>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</si>
  <si>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</si>
  <si>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</si>
  <si>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</si>
  <si>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</si>
  <si>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</si>
  <si>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</si>
  <si>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</si>
  <si>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</si>
  <si>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</si>
  <si>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</si>
  <si>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</si>
  <si>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</si>
  <si>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</si>
  <si>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</si>
  <si>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</si>
  <si>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</si>
  <si>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</si>
  <si>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</si>
  <si>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</si>
  <si>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</si>
  <si>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</si>
  <si>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</si>
  <si>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</si>
  <si>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</si>
  <si>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</si>
  <si>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</si>
  <si>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</si>
  <si>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</si>
  <si>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</si>
  <si>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</si>
  <si>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</si>
  <si>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</si>
  <si>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</si>
  <si>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</si>
  <si>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</si>
  <si>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</si>
  <si>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</si>
  <si>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</si>
  <si>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</si>
  <si>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</si>
  <si>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</si>
  <si>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</si>
  <si>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</si>
  <si>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</si>
  <si>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</si>
  <si>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</si>
  <si>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</si>
  <si>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</si>
  <si>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</si>
  <si>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</si>
  <si>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</si>
  <si>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</si>
  <si>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</si>
  <si>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</si>
  <si>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</si>
  <si>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</si>
  <si>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</si>
  <si>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</si>
  <si>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</si>
  <si>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</si>
  <si>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</si>
  <si>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</si>
  <si>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</si>
  <si>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</si>
  <si>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</si>
  <si>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</si>
  <si>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</si>
  <si>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</si>
  <si>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</si>
  <si>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</si>
  <si>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</si>
  <si>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</si>
  <si>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</si>
  <si>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</si>
  <si>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</si>
  <si>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</si>
  <si>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</si>
  <si>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</si>
  <si>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</si>
  <si>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</si>
  <si>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</si>
  <si>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</si>
  <si>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</si>
  <si>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</si>
  <si>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</si>
  <si>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</si>
  <si>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</si>
  <si>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</si>
  <si>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</si>
  <si>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</si>
  <si>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</si>
  <si>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</si>
  <si>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</si>
  <si>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</si>
  <si>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</si>
  <si>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</si>
  <si>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</si>
  <si>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</si>
  <si>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</si>
  <si>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</si>
  <si>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</si>
  <si>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</si>
  <si>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</si>
  <si>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</si>
  <si>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</si>
  <si>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</si>
  <si>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</si>
  <si>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</si>
  <si>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</si>
  <si>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</si>
  <si>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</si>
  <si>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</si>
  <si>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</si>
  <si>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</si>
  <si>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</si>
  <si>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</si>
  <si>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</si>
  <si>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</si>
  <si>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</si>
  <si>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</si>
  <si>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</si>
  <si>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</si>
  <si>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</si>
  <si>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</si>
  <si>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</si>
  <si>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</si>
  <si>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</si>
  <si>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</si>
  <si>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</si>
  <si>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</si>
  <si>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</si>
  <si>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</si>
  <si>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</si>
  <si>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</si>
  <si>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</si>
  <si>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</si>
  <si>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</si>
  <si>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</si>
  <si>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</si>
  <si>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</si>
  <si>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</si>
  <si>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</si>
  <si>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</si>
  <si>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</si>
  <si>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</si>
  <si>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</si>
  <si>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</si>
  <si>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</si>
  <si>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</si>
  <si>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</si>
  <si>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</si>
  <si>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</si>
  <si>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</si>
  <si>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</si>
  <si>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</si>
  <si>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</si>
  <si>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</si>
  <si>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</si>
  <si>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</si>
  <si>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</si>
  <si>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</si>
  <si>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</si>
  <si>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</si>
  <si>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</si>
  <si>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</si>
  <si>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</si>
  <si>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</si>
  <si>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</si>
  <si>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</si>
  <si>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</si>
  <si>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</si>
  <si>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</si>
  <si>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</si>
  <si>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</si>
  <si>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</si>
  <si>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</si>
  <si>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</si>
  <si>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</si>
  <si>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</si>
  <si>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</si>
  <si>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</si>
  <si>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</si>
  <si>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</si>
  <si>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</si>
  <si>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</si>
  <si>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</si>
  <si>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</si>
  <si>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</si>
  <si>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</si>
  <si>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</si>
  <si>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</si>
  <si>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</si>
  <si>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</si>
  <si>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</si>
  <si>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</si>
  <si>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</si>
  <si>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</si>
  <si>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</si>
  <si>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</si>
  <si>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</si>
  <si>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</si>
  <si>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</si>
  <si>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</si>
  <si>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</si>
  <si>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</si>
  <si>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</si>
  <si>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</si>
  <si>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</si>
  <si>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</si>
  <si>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</si>
  <si>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</si>
  <si>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</si>
  <si>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</si>
  <si>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</si>
  <si>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</si>
  <si>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</si>
  <si>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</si>
  <si>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</si>
  <si>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</si>
  <si>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</si>
  <si>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</si>
  <si>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</si>
  <si>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</si>
  <si>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</si>
  <si>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</si>
  <si>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</si>
  <si>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</si>
  <si>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</si>
  <si>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</si>
  <si>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</si>
  <si>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</si>
  <si>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</si>
  <si>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</si>
  <si>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</si>
  <si>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</si>
  <si>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</si>
  <si>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</si>
  <si>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</si>
  <si>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</si>
  <si>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</si>
  <si>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</si>
  <si>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</si>
  <si>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</si>
  <si>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</si>
  <si>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</si>
  <si>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</si>
  <si>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</si>
  <si>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</si>
  <si>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</si>
  <si>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</si>
  <si>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</si>
  <si>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</si>
  <si>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</si>
  <si>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</si>
  <si>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</si>
  <si>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</si>
  <si>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</si>
  <si>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</si>
  <si>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</si>
  <si>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</si>
  <si>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</si>
  <si>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</si>
  <si>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</si>
  <si>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</si>
  <si>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</si>
  <si>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</si>
  <si>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</si>
  <si>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</si>
  <si>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</si>
  <si>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</si>
  <si>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</si>
  <si>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</si>
  <si>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</si>
  <si>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</si>
  <si>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</si>
  <si>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</si>
  <si>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</si>
  <si>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</si>
  <si>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</si>
  <si>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</si>
  <si>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</si>
  <si>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</si>
  <si>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</si>
  <si>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</si>
  <si>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</si>
  <si>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</si>
  <si>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</si>
  <si>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</si>
  <si>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</si>
  <si>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</si>
  <si>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</si>
  <si>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</si>
  <si>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</si>
  <si>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</si>
  <si>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</si>
  <si>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</si>
  <si>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</si>
  <si>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</si>
  <si>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</si>
  <si>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</si>
  <si>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</si>
  <si>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</si>
  <si>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</si>
  <si>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</si>
  <si>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</si>
  <si>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</si>
  <si>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</si>
  <si>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</si>
  <si>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</si>
  <si>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</si>
  <si>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</si>
  <si>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</si>
  <si>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</si>
  <si>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</si>
  <si>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</si>
  <si>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</si>
  <si>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</si>
  <si>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</si>
  <si>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</si>
  <si>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</si>
  <si>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</si>
  <si>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</si>
  <si>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</si>
  <si>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</si>
  <si>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</si>
  <si>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</si>
  <si>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</si>
  <si>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</si>
  <si>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</si>
  <si>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</si>
  <si>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</si>
  <si>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</si>
  <si>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</si>
  <si>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</si>
  <si>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</si>
  <si>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</si>
  <si>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</si>
  <si>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</si>
  <si>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</si>
  <si>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</si>
  <si>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</si>
  <si>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</si>
  <si>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</si>
  <si>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</si>
  <si>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</si>
  <si>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</si>
  <si>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</si>
  <si>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</si>
  <si>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</si>
  <si>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</si>
  <si>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</si>
  <si>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</si>
  <si>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</si>
  <si>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</si>
  <si>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</si>
  <si>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</si>
  <si>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</si>
  <si>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</si>
  <si>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</si>
  <si>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</si>
  <si>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</si>
  <si>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</si>
  <si>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</si>
  <si>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</si>
  <si>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</si>
  <si>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</si>
  <si>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</si>
  <si>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</si>
  <si>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</si>
  <si>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</si>
  <si>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</si>
  <si>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</si>
  <si>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</si>
  <si>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</si>
  <si>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</si>
  <si>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</si>
  <si>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</si>
  <si>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</si>
  <si>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</si>
  <si>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</si>
  <si>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</si>
  <si>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</si>
  <si>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</si>
  <si>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</si>
  <si>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</si>
  <si>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</si>
  <si>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</si>
  <si>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</si>
  <si>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</si>
  <si>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</si>
  <si>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</si>
  <si>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</si>
  <si>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</si>
  <si>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</si>
  <si>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</si>
  <si>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</si>
  <si>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</si>
  <si>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</si>
  <si>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</si>
  <si>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</si>
  <si>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</si>
  <si>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</si>
  <si>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</si>
  <si>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</si>
  <si>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</si>
  <si>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</si>
  <si>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</si>
  <si>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</si>
  <si>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</si>
  <si>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</si>
  <si>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</si>
  <si>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</si>
  <si>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</si>
  <si>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</si>
  <si>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</si>
  <si>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</si>
  <si>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</si>
  <si>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</si>
  <si>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</si>
  <si>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</si>
  <si>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</si>
  <si>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</si>
  <si>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</si>
  <si>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</si>
  <si>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</si>
  <si>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</si>
  <si>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</si>
  <si>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</si>
  <si>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</si>
  <si>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</si>
  <si>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</si>
  <si>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</si>
  <si>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</si>
  <si>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</si>
  <si>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</si>
  <si>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</si>
  <si>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</si>
  <si>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</si>
  <si>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</si>
  <si>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</si>
  <si>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</si>
  <si>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</si>
  <si>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</si>
  <si>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</si>
  <si>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</si>
  <si>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</si>
  <si>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</si>
  <si>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</si>
  <si>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</si>
  <si>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</si>
  <si>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</si>
  <si>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</si>
  <si>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</si>
  <si>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</si>
  <si>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</si>
  <si>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</si>
  <si>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</si>
  <si>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</si>
  <si>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</si>
  <si>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</si>
  <si>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</si>
  <si>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</si>
  <si>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</si>
  <si>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</si>
  <si>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</si>
  <si>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</si>
  <si>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</si>
  <si>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</si>
  <si>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</si>
  <si>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</si>
  <si>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</si>
  <si>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</si>
  <si>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</si>
  <si>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</si>
  <si>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</si>
  <si>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</si>
  <si>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</si>
  <si>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</si>
  <si>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</si>
  <si>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</si>
  <si>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</si>
  <si>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</si>
  <si>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</si>
  <si>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</si>
  <si>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</si>
  <si>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</si>
  <si>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</si>
  <si>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</si>
  <si>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</si>
  <si>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</si>
  <si>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</si>
  <si>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</si>
  <si>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</si>
  <si>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</si>
  <si>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</si>
  <si>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</si>
  <si>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</si>
  <si>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</si>
  <si>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</si>
  <si>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</si>
  <si>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</si>
  <si>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</si>
  <si>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</si>
  <si>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</si>
  <si>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</si>
  <si>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</si>
  <si>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</si>
  <si>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</si>
  <si>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</si>
  <si>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</si>
  <si>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</si>
  <si>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</si>
  <si>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</si>
  <si>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</si>
  <si>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</si>
  <si>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</si>
  <si>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</si>
  <si>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</si>
  <si>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</si>
  <si>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</si>
  <si>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</si>
  <si>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</si>
  <si>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</si>
  <si>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</si>
  <si>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</si>
  <si>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</si>
  <si>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</si>
  <si>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</si>
  <si>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</si>
  <si>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</si>
  <si>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</si>
  <si>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</si>
  <si>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</si>
  <si>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</si>
  <si>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</si>
  <si>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</si>
  <si>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</si>
  <si>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</si>
  <si>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</si>
  <si>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</si>
  <si>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</si>
  <si>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</si>
  <si>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</si>
  <si>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</si>
  <si>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</si>
  <si>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</si>
  <si>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</si>
  <si>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</si>
  <si>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</si>
  <si>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</si>
  <si>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</si>
  <si>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</si>
  <si>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</si>
  <si>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</si>
  <si>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</si>
  <si>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</si>
  <si>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</si>
  <si>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</si>
  <si>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</si>
  <si>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</si>
  <si>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</si>
  <si>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</si>
  <si>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</si>
  <si>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</si>
  <si>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</si>
  <si>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</si>
  <si>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</si>
  <si>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</si>
  <si>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</si>
  <si>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</si>
  <si>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</si>
  <si>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</si>
  <si>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</si>
  <si>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</si>
  <si>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</si>
  <si>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</si>
  <si>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</si>
  <si>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</si>
  <si>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</si>
  <si>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</si>
  <si>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</si>
  <si>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</si>
  <si>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</si>
  <si>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</si>
  <si>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</si>
  <si>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</si>
  <si>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</si>
  <si>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</si>
  <si>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</si>
  <si>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</si>
  <si>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</si>
  <si>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</si>
  <si>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</si>
  <si>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</si>
  <si>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</si>
  <si>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</si>
  <si>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</si>
  <si>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</si>
  <si>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</si>
  <si>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</si>
  <si>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</si>
  <si>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</si>
  <si>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</si>
  <si>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</si>
  <si>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</si>
  <si>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</si>
  <si>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</si>
  <si>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</si>
  <si>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</si>
  <si>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</si>
  <si>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</si>
  <si>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</si>
  <si>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(Sa)</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</si>
  <si>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</si>
  <si>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</si>
  <si>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</si>
  <si>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</si>
  <si>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</si>
  <si>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</si>
  <si>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</si>
  <si>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</si>
  <si>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</si>
  <si>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</si>
  <si>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</si>
  <si>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</si>
  <si>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</si>
  <si>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Di</t>
  </si>
  <si>
    <t>Mo</t>
  </si>
  <si>
    <t>X</t>
  </si>
  <si>
    <t>(Fr)</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</si>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</sst>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46111D6A-9E02-4F13-B683-723D0ECE6CC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13"/>
  <sheetViews>
    <sheetView workbookViewId="0">
      <selection activeCell="AM7" sqref="AM7"/>
    </sheetView>
  </sheetViews>
  <sheetFormatPr baseColWidth="10" defaultRowHeight="15" x14ac:dyDescent="0.25"/>
  <cols>
    <col min="2" max="2" width="9" customWidth="1"/>
    <col min="3" max="3" width="4.5703125" hidden="1" customWidth="1"/>
    <col min="4" max="4" width="12.85546875" customWidth="1"/>
    <col min="5" max="5" width="23.7109375" hidden="1" customWidth="1"/>
    <col min="6" max="6" width="34.28515625" hidden="1" customWidth="1"/>
    <col min="7" max="7" width="14.7109375" hidden="1" customWidth="1"/>
    <col min="9" max="9" width="10.85546875" hidden="1" customWidth="1"/>
    <col min="10" max="12" width="3.7109375" style="44" customWidth="1"/>
    <col min="13" max="224" width="3.7109375" customWidth="1"/>
  </cols>
  <sheetData>
    <row r="1" spans="1:236" ht="15" customHeight="1" x14ac:dyDescent="0.25">
      <c r="A1" s="215" t="s">
        <v>807</v>
      </c>
      <c r="B1" s="216"/>
      <c r="C1" s="216"/>
      <c r="D1" s="216"/>
      <c r="E1" s="216"/>
      <c r="F1" s="216"/>
      <c r="G1" s="216"/>
      <c r="H1" s="217"/>
      <c r="I1" s="221" t="str">
        <f>A1</f>
        <v>NW</v>
      </c>
      <c r="J1" s="223" t="s">
        <v>38</v>
      </c>
      <c r="K1" s="225" t="s">
        <v>49</v>
      </c>
      <c r="L1" s="207"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6" ht="15" customHeight="1" x14ac:dyDescent="0.25">
      <c r="A2" s="218"/>
      <c r="B2" s="219"/>
      <c r="C2" s="219"/>
      <c r="D2" s="219"/>
      <c r="E2" s="219"/>
      <c r="F2" s="219"/>
      <c r="G2" s="219"/>
      <c r="H2" s="220"/>
      <c r="I2" s="222"/>
      <c r="J2" s="224"/>
      <c r="K2" s="226"/>
      <c r="L2" s="208"/>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c r="AX2" s="131"/>
      <c r="AY2" s="131"/>
      <c r="AZ2" s="131"/>
      <c r="BA2" s="131"/>
      <c r="BB2" s="164"/>
      <c r="BC2" s="131"/>
      <c r="BD2" s="131"/>
      <c r="BE2" s="131"/>
      <c r="BF2" s="131"/>
      <c r="BG2" s="131"/>
      <c r="BH2" s="131"/>
      <c r="BI2" s="164"/>
      <c r="BJ2" s="131"/>
      <c r="BK2" s="131"/>
      <c r="BL2" s="131"/>
      <c r="BM2" s="131"/>
      <c r="BN2" s="131"/>
      <c r="BO2" s="131"/>
      <c r="BP2" s="164"/>
      <c r="BQ2" s="131"/>
      <c r="BR2" s="131"/>
      <c r="BS2" s="131"/>
      <c r="BT2" s="131"/>
      <c r="BU2" s="131"/>
      <c r="BV2" s="131"/>
      <c r="BW2" s="164"/>
      <c r="BX2" s="131"/>
      <c r="BY2" s="131"/>
      <c r="BZ2" s="131"/>
      <c r="CA2" s="131"/>
      <c r="CB2" s="131"/>
      <c r="CC2" s="131"/>
      <c r="CD2" s="164"/>
      <c r="CE2" s="131"/>
      <c r="CF2" s="131"/>
      <c r="CG2" s="131"/>
      <c r="CH2" s="131"/>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6" x14ac:dyDescent="0.25">
      <c r="A3" s="10" t="s">
        <v>116</v>
      </c>
      <c r="B3" s="19" t="s">
        <v>115</v>
      </c>
      <c r="C3" s="19" t="s">
        <v>114</v>
      </c>
      <c r="D3" s="19" t="s">
        <v>113</v>
      </c>
      <c r="E3" s="19" t="str">
        <f>A3 &amp; " " &amp; D3</f>
        <v>Melanie Dreier</v>
      </c>
      <c r="F3" s="19"/>
      <c r="G3" s="182"/>
      <c r="H3" s="206">
        <v>40073</v>
      </c>
      <c r="I3" s="176" t="str">
        <f t="shared" ref="I3:I10" si="4">C3</f>
        <v>MD</v>
      </c>
      <c r="J3" s="198" t="s">
        <v>808</v>
      </c>
      <c r="K3" s="36">
        <f t="shared" ref="K3:K10" si="5">SUM(M3:HP3)</f>
        <v>6</v>
      </c>
      <c r="L3" s="191">
        <f t="shared" ref="L3:L12" si="6">K3/K$13 * 100</f>
        <v>100</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c r="AQ3" s="34"/>
      <c r="AR3" s="34"/>
      <c r="AS3" s="34"/>
      <c r="AT3" s="34"/>
      <c r="AU3" s="7"/>
      <c r="AV3" s="34"/>
      <c r="AW3" s="34"/>
      <c r="AX3" s="34"/>
      <c r="AY3" s="34"/>
      <c r="AZ3" s="34"/>
      <c r="BA3" s="34"/>
      <c r="BB3" s="7"/>
      <c r="BC3" s="34"/>
      <c r="BD3" s="34"/>
      <c r="BE3" s="34"/>
      <c r="BF3" s="34"/>
      <c r="BG3" s="34"/>
      <c r="BH3" s="34"/>
      <c r="BI3" s="7"/>
      <c r="BJ3" s="34"/>
      <c r="BK3" s="34"/>
      <c r="BL3" s="34"/>
      <c r="BM3" s="34"/>
      <c r="BN3" s="34"/>
      <c r="BO3" s="34"/>
      <c r="BP3" s="7"/>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6" x14ac:dyDescent="0.25">
      <c r="A4" s="8" t="s">
        <v>73</v>
      </c>
      <c r="B4" s="19" t="s">
        <v>108</v>
      </c>
      <c r="C4" s="19" t="s">
        <v>107</v>
      </c>
      <c r="D4" s="8" t="s">
        <v>106</v>
      </c>
      <c r="E4" s="19" t="str">
        <f t="shared" ref="E4:E10" si="7">A4 &amp; " " &amp; D4</f>
        <v>Larissa Groinigg</v>
      </c>
      <c r="F4" s="19"/>
      <c r="G4" s="182"/>
      <c r="H4" s="56">
        <v>39474</v>
      </c>
      <c r="I4" s="176" t="str">
        <f t="shared" si="4"/>
        <v>LG</v>
      </c>
      <c r="J4" s="199" t="s">
        <v>808</v>
      </c>
      <c r="K4" s="19">
        <f t="shared" si="5"/>
        <v>6</v>
      </c>
      <c r="L4" s="192">
        <f t="shared" si="6"/>
        <v>100</v>
      </c>
      <c r="M4" s="203"/>
      <c r="N4" s="148"/>
      <c r="O4" s="34"/>
      <c r="P4" s="34"/>
      <c r="Q4" s="34"/>
      <c r="R4" s="34"/>
      <c r="S4" s="7"/>
      <c r="T4" s="148"/>
      <c r="U4" s="148"/>
      <c r="V4" s="34"/>
      <c r="W4" s="34"/>
      <c r="X4" s="34"/>
      <c r="Y4" s="34"/>
      <c r="Z4" s="7"/>
      <c r="AA4" s="148"/>
      <c r="AB4" s="148"/>
      <c r="AC4" s="34"/>
      <c r="AD4" s="34">
        <v>1</v>
      </c>
      <c r="AE4" s="34">
        <v>1</v>
      </c>
      <c r="AF4" s="34">
        <v>1</v>
      </c>
      <c r="AG4" s="7"/>
      <c r="AH4" s="34"/>
      <c r="AI4" s="148">
        <v>1</v>
      </c>
      <c r="AJ4" s="34"/>
      <c r="AK4" s="34">
        <v>1</v>
      </c>
      <c r="AL4" s="34">
        <v>1</v>
      </c>
      <c r="AM4" s="34"/>
      <c r="AN4" s="7"/>
      <c r="AO4" s="34"/>
      <c r="AP4" s="34"/>
      <c r="AQ4" s="34"/>
      <c r="AR4" s="34"/>
      <c r="AS4" s="34"/>
      <c r="AT4" s="34"/>
      <c r="AU4" s="7"/>
      <c r="AV4" s="34"/>
      <c r="AW4" s="34"/>
      <c r="AX4" s="34"/>
      <c r="AY4" s="34"/>
      <c r="AZ4" s="34"/>
      <c r="BA4" s="34"/>
      <c r="BB4" s="7"/>
      <c r="BC4" s="34"/>
      <c r="BD4" s="34"/>
      <c r="BE4" s="34"/>
      <c r="BF4" s="34"/>
      <c r="BG4" s="34"/>
      <c r="BH4" s="34"/>
      <c r="BI4" s="7"/>
      <c r="BJ4" s="34"/>
      <c r="BK4" s="34"/>
      <c r="BL4" s="34"/>
      <c r="BM4" s="34"/>
      <c r="BN4" s="34"/>
      <c r="BO4" s="34"/>
      <c r="BP4" s="7"/>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6" x14ac:dyDescent="0.25">
      <c r="A5" s="8" t="s">
        <v>236</v>
      </c>
      <c r="B5" s="19" t="s">
        <v>237</v>
      </c>
      <c r="C5" s="19" t="s">
        <v>238</v>
      </c>
      <c r="D5" s="8" t="s">
        <v>239</v>
      </c>
      <c r="E5" s="19" t="str">
        <f t="shared" si="7"/>
        <v>Johanna Grundnig</v>
      </c>
      <c r="F5" s="19"/>
      <c r="G5" s="182"/>
      <c r="H5" s="56">
        <v>39425</v>
      </c>
      <c r="I5" s="176" t="str">
        <f t="shared" si="4"/>
        <v>JG</v>
      </c>
      <c r="J5" s="199" t="s">
        <v>808</v>
      </c>
      <c r="K5" s="19">
        <f t="shared" si="5"/>
        <v>2</v>
      </c>
      <c r="L5" s="192">
        <f t="shared" si="6"/>
        <v>33.333333333333329</v>
      </c>
      <c r="M5" s="203"/>
      <c r="N5" s="148"/>
      <c r="O5" s="34"/>
      <c r="P5" s="34"/>
      <c r="Q5" s="34"/>
      <c r="R5" s="34"/>
      <c r="S5" s="7"/>
      <c r="T5" s="148"/>
      <c r="U5" s="148"/>
      <c r="V5" s="34"/>
      <c r="W5" s="34"/>
      <c r="X5" s="34"/>
      <c r="Y5" s="34"/>
      <c r="Z5" s="7"/>
      <c r="AA5" s="148"/>
      <c r="AB5" s="148"/>
      <c r="AC5" s="34"/>
      <c r="AD5" s="34">
        <v>1</v>
      </c>
      <c r="AE5" s="34"/>
      <c r="AF5" s="34"/>
      <c r="AG5" s="7"/>
      <c r="AH5" s="34"/>
      <c r="AI5" s="34">
        <v>1</v>
      </c>
      <c r="AJ5" s="34"/>
      <c r="AK5" s="34"/>
      <c r="AL5" s="34"/>
      <c r="AM5" s="34"/>
      <c r="AN5" s="7"/>
      <c r="AO5" s="34"/>
      <c r="AP5" s="34"/>
      <c r="AQ5" s="34"/>
      <c r="AR5" s="34"/>
      <c r="AS5" s="34"/>
      <c r="AT5" s="34"/>
      <c r="AU5" s="7"/>
      <c r="AV5" s="34"/>
      <c r="AW5" s="34"/>
      <c r="AX5" s="34"/>
      <c r="AY5" s="34"/>
      <c r="AZ5" s="34"/>
      <c r="BA5" s="34"/>
      <c r="BB5" s="7"/>
      <c r="BC5" s="34"/>
      <c r="BD5" s="34"/>
      <c r="BE5" s="34"/>
      <c r="BF5" s="34"/>
      <c r="BG5" s="34"/>
      <c r="BH5" s="34"/>
      <c r="BI5" s="7"/>
      <c r="BJ5" s="34"/>
      <c r="BK5" s="34"/>
      <c r="BL5" s="34"/>
      <c r="BM5" s="34"/>
      <c r="BN5" s="34"/>
      <c r="BO5" s="34"/>
      <c r="BP5" s="7"/>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6" x14ac:dyDescent="0.25">
      <c r="A6" s="8" t="s">
        <v>92</v>
      </c>
      <c r="B6" s="19"/>
      <c r="C6" s="19" t="s">
        <v>91</v>
      </c>
      <c r="D6" s="8" t="s">
        <v>90</v>
      </c>
      <c r="E6" s="19" t="str">
        <f t="shared" si="7"/>
        <v>Julia Nussbaumer</v>
      </c>
      <c r="F6" s="19"/>
      <c r="G6" s="182"/>
      <c r="H6" s="56">
        <v>39507</v>
      </c>
      <c r="I6" s="176" t="str">
        <f t="shared" si="4"/>
        <v>JN</v>
      </c>
      <c r="J6" s="199" t="s">
        <v>758</v>
      </c>
      <c r="K6" s="19">
        <f t="shared" si="5"/>
        <v>5</v>
      </c>
      <c r="L6" s="192">
        <f t="shared" si="6"/>
        <v>83.333333333333343</v>
      </c>
      <c r="M6" s="203"/>
      <c r="N6" s="148"/>
      <c r="O6" s="34"/>
      <c r="P6" s="34"/>
      <c r="Q6" s="34"/>
      <c r="R6" s="34"/>
      <c r="S6" s="7"/>
      <c r="T6" s="148"/>
      <c r="U6" s="148"/>
      <c r="V6" s="34"/>
      <c r="W6" s="34"/>
      <c r="X6" s="34"/>
      <c r="Y6" s="34"/>
      <c r="Z6" s="7"/>
      <c r="AA6" s="148"/>
      <c r="AB6" s="148"/>
      <c r="AC6" s="34"/>
      <c r="AD6" s="148">
        <v>1</v>
      </c>
      <c r="AE6" s="34">
        <v>1</v>
      </c>
      <c r="AF6" s="34">
        <v>1</v>
      </c>
      <c r="AG6" s="7"/>
      <c r="AH6" s="34"/>
      <c r="AI6" s="34"/>
      <c r="AJ6" s="34"/>
      <c r="AK6" s="34">
        <v>1</v>
      </c>
      <c r="AL6" s="34">
        <v>1</v>
      </c>
      <c r="AM6" s="34"/>
      <c r="AN6" s="7"/>
      <c r="AO6" s="34"/>
      <c r="AP6" s="34"/>
      <c r="AQ6" s="34"/>
      <c r="AR6" s="34"/>
      <c r="AS6" s="34"/>
      <c r="AT6" s="34"/>
      <c r="AU6" s="7"/>
      <c r="AV6" s="34"/>
      <c r="AW6" s="34"/>
      <c r="AX6" s="34"/>
      <c r="AY6" s="34"/>
      <c r="AZ6" s="34"/>
      <c r="BA6" s="34"/>
      <c r="BB6" s="7"/>
      <c r="BC6" s="34"/>
      <c r="BD6" s="34"/>
      <c r="BE6" s="34"/>
      <c r="BF6" s="34"/>
      <c r="BG6" s="34"/>
      <c r="BH6" s="34"/>
      <c r="BI6" s="7"/>
      <c r="BJ6" s="34"/>
      <c r="BK6" s="34"/>
      <c r="BL6" s="34"/>
      <c r="BM6" s="34"/>
      <c r="BN6" s="34"/>
      <c r="BO6" s="34"/>
      <c r="BP6" s="7"/>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6" x14ac:dyDescent="0.25">
      <c r="A7" s="8" t="s">
        <v>134</v>
      </c>
      <c r="B7" s="19" t="s">
        <v>133</v>
      </c>
      <c r="C7" s="19" t="s">
        <v>235</v>
      </c>
      <c r="D7" s="8" t="s">
        <v>87</v>
      </c>
      <c r="E7" s="19" t="str">
        <f t="shared" si="7"/>
        <v>Valentina Reinsberger</v>
      </c>
      <c r="F7" s="19"/>
      <c r="G7" s="182"/>
      <c r="H7" s="56">
        <v>38979</v>
      </c>
      <c r="I7" s="176" t="str">
        <f t="shared" si="4"/>
        <v>VR</v>
      </c>
      <c r="J7" s="199" t="s">
        <v>809</v>
      </c>
      <c r="K7" s="19">
        <f t="shared" si="5"/>
        <v>5</v>
      </c>
      <c r="L7" s="192">
        <f t="shared" si="6"/>
        <v>83.333333333333343</v>
      </c>
      <c r="M7" s="203"/>
      <c r="N7" s="148"/>
      <c r="O7" s="34"/>
      <c r="P7" s="34"/>
      <c r="Q7" s="34"/>
      <c r="R7" s="34"/>
      <c r="S7" s="7"/>
      <c r="T7" s="148"/>
      <c r="U7" s="148"/>
      <c r="V7" s="34"/>
      <c r="W7" s="34"/>
      <c r="X7" s="34"/>
      <c r="Y7" s="34"/>
      <c r="Z7" s="7"/>
      <c r="AA7" s="148"/>
      <c r="AB7" s="148"/>
      <c r="AC7" s="34"/>
      <c r="AD7" s="148">
        <v>1</v>
      </c>
      <c r="AE7" s="148">
        <v>1</v>
      </c>
      <c r="AF7" s="148">
        <v>1</v>
      </c>
      <c r="AG7" s="7"/>
      <c r="AH7" s="34"/>
      <c r="AI7" s="34"/>
      <c r="AJ7" s="34"/>
      <c r="AK7" s="148">
        <v>1</v>
      </c>
      <c r="AL7" s="148">
        <v>1</v>
      </c>
      <c r="AM7" s="34"/>
      <c r="AN7" s="7"/>
      <c r="AO7" s="34"/>
      <c r="AP7" s="34"/>
      <c r="AQ7" s="34"/>
      <c r="AR7" s="34"/>
      <c r="AS7" s="34"/>
      <c r="AT7" s="34"/>
      <c r="AU7" s="7"/>
      <c r="AV7" s="34"/>
      <c r="AW7" s="34"/>
      <c r="AX7" s="34"/>
      <c r="AY7" s="34"/>
      <c r="AZ7" s="34"/>
      <c r="BA7" s="34"/>
      <c r="BB7" s="7"/>
      <c r="BC7" s="34"/>
      <c r="BD7" s="34"/>
      <c r="BE7" s="34"/>
      <c r="BF7" s="34"/>
      <c r="BG7" s="34"/>
      <c r="BH7" s="34"/>
      <c r="BI7" s="7"/>
      <c r="BJ7" s="34"/>
      <c r="BK7" s="34"/>
      <c r="BL7" s="34"/>
      <c r="BM7" s="34"/>
      <c r="BN7" s="34"/>
      <c r="BO7" s="34"/>
      <c r="BP7" s="7"/>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6" x14ac:dyDescent="0.25">
      <c r="A8" s="8" t="s">
        <v>83</v>
      </c>
      <c r="B8" s="19"/>
      <c r="C8" s="19" t="s">
        <v>82</v>
      </c>
      <c r="D8" s="8" t="s">
        <v>81</v>
      </c>
      <c r="E8" s="19" t="str">
        <f t="shared" si="7"/>
        <v>Anna Scheitz</v>
      </c>
      <c r="F8" s="19"/>
      <c r="G8" s="182"/>
      <c r="H8" s="56">
        <v>39475</v>
      </c>
      <c r="I8" s="176" t="str">
        <f t="shared" si="4"/>
        <v>AS</v>
      </c>
      <c r="J8" s="199" t="s">
        <v>808</v>
      </c>
      <c r="K8" s="19">
        <f t="shared" si="5"/>
        <v>6</v>
      </c>
      <c r="L8" s="192">
        <f t="shared" si="6"/>
        <v>100</v>
      </c>
      <c r="M8" s="203"/>
      <c r="N8" s="148"/>
      <c r="O8" s="34"/>
      <c r="P8" s="34"/>
      <c r="Q8" s="34"/>
      <c r="R8" s="34"/>
      <c r="S8" s="7"/>
      <c r="T8" s="148"/>
      <c r="U8" s="148"/>
      <c r="V8" s="34"/>
      <c r="W8" s="34"/>
      <c r="X8" s="34"/>
      <c r="Y8" s="34"/>
      <c r="Z8" s="7"/>
      <c r="AA8" s="148"/>
      <c r="AB8" s="148"/>
      <c r="AC8" s="34"/>
      <c r="AD8" s="148">
        <v>1</v>
      </c>
      <c r="AE8" s="148">
        <v>1</v>
      </c>
      <c r="AF8" s="148">
        <v>1</v>
      </c>
      <c r="AG8" s="7"/>
      <c r="AH8" s="34"/>
      <c r="AI8" s="148">
        <v>1</v>
      </c>
      <c r="AJ8" s="34"/>
      <c r="AK8" s="148">
        <v>1</v>
      </c>
      <c r="AL8" s="148">
        <v>1</v>
      </c>
      <c r="AM8" s="34"/>
      <c r="AN8" s="7"/>
      <c r="AO8" s="34"/>
      <c r="AP8" s="34"/>
      <c r="AQ8" s="34"/>
      <c r="AR8" s="34"/>
      <c r="AS8" s="34"/>
      <c r="AT8" s="34"/>
      <c r="AU8" s="7"/>
      <c r="AV8" s="34"/>
      <c r="AW8" s="34"/>
      <c r="AX8" s="34"/>
      <c r="AY8" s="34"/>
      <c r="AZ8" s="34"/>
      <c r="BA8" s="34"/>
      <c r="BB8" s="7"/>
      <c r="BC8" s="34"/>
      <c r="BD8" s="34"/>
      <c r="BE8" s="34"/>
      <c r="BF8" s="34"/>
      <c r="BG8" s="34"/>
      <c r="BH8" s="34"/>
      <c r="BI8" s="7"/>
      <c r="BJ8" s="34"/>
      <c r="BK8" s="34"/>
      <c r="BL8" s="34"/>
      <c r="BM8" s="34"/>
      <c r="BN8" s="34"/>
      <c r="BO8" s="34"/>
      <c r="BP8" s="7"/>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6" x14ac:dyDescent="0.25">
      <c r="A9" s="88" t="s">
        <v>428</v>
      </c>
      <c r="B9" s="88"/>
      <c r="C9" s="88" t="s">
        <v>429</v>
      </c>
      <c r="D9" s="88" t="s">
        <v>600</v>
      </c>
      <c r="E9" s="88" t="str">
        <f t="shared" si="7"/>
        <v>Elena Schmid</v>
      </c>
      <c r="F9" s="88"/>
      <c r="G9" s="183"/>
      <c r="H9" s="162">
        <v>40003</v>
      </c>
      <c r="I9" s="89" t="str">
        <f t="shared" si="4"/>
        <v>ES</v>
      </c>
      <c r="J9" s="200" t="s">
        <v>810</v>
      </c>
      <c r="K9" s="88">
        <f t="shared" si="5"/>
        <v>6</v>
      </c>
      <c r="L9" s="193">
        <f t="shared" si="6"/>
        <v>100</v>
      </c>
      <c r="M9" s="204"/>
      <c r="N9" s="205"/>
      <c r="O9" s="93"/>
      <c r="P9" s="93"/>
      <c r="Q9" s="93"/>
      <c r="R9" s="93"/>
      <c r="S9" s="92"/>
      <c r="T9" s="205"/>
      <c r="U9" s="205"/>
      <c r="V9" s="93"/>
      <c r="W9" s="93"/>
      <c r="X9" s="93"/>
      <c r="Y9" s="93"/>
      <c r="Z9" s="92"/>
      <c r="AA9" s="205"/>
      <c r="AB9" s="205"/>
      <c r="AC9" s="93"/>
      <c r="AD9" s="93">
        <v>1</v>
      </c>
      <c r="AE9" s="93">
        <v>1</v>
      </c>
      <c r="AF9" s="93">
        <v>1</v>
      </c>
      <c r="AG9" s="92"/>
      <c r="AH9" s="93"/>
      <c r="AI9" s="93">
        <v>1</v>
      </c>
      <c r="AJ9" s="93"/>
      <c r="AK9" s="93">
        <v>1</v>
      </c>
      <c r="AL9" s="93">
        <v>1</v>
      </c>
      <c r="AM9" s="93"/>
      <c r="AN9" s="92"/>
      <c r="AO9" s="93"/>
      <c r="AP9" s="93"/>
      <c r="AQ9" s="93"/>
      <c r="AR9" s="93"/>
      <c r="AS9" s="93"/>
      <c r="AT9" s="93"/>
      <c r="AU9" s="92"/>
      <c r="AV9" s="93"/>
      <c r="AW9" s="93"/>
      <c r="AX9" s="93"/>
      <c r="AY9" s="93"/>
      <c r="AZ9" s="93"/>
      <c r="BA9" s="93"/>
      <c r="BB9" s="92"/>
      <c r="BC9" s="93"/>
      <c r="BD9" s="93"/>
      <c r="BE9" s="93"/>
      <c r="BF9" s="93"/>
      <c r="BG9" s="93"/>
      <c r="BH9" s="93"/>
      <c r="BI9" s="92"/>
      <c r="BJ9" s="93"/>
      <c r="BK9" s="93"/>
      <c r="BL9" s="93"/>
      <c r="BM9" s="93"/>
      <c r="BN9" s="93"/>
      <c r="BO9" s="93"/>
      <c r="BP9" s="92"/>
      <c r="BQ9" s="93"/>
      <c r="BR9" s="93"/>
      <c r="BS9" s="93"/>
      <c r="BT9" s="93"/>
      <c r="BU9" s="93"/>
      <c r="BV9" s="93"/>
      <c r="BW9" s="92"/>
      <c r="BX9" s="93"/>
      <c r="BY9" s="93"/>
      <c r="BZ9" s="93"/>
      <c r="CA9" s="93"/>
      <c r="CB9" s="93"/>
      <c r="CC9" s="93"/>
      <c r="CD9" s="92"/>
      <c r="CE9" s="93"/>
      <c r="CF9" s="93"/>
      <c r="CG9" s="93"/>
      <c r="CH9" s="93"/>
      <c r="CI9" s="93"/>
      <c r="CJ9" s="93"/>
      <c r="CK9" s="92"/>
      <c r="CL9" s="93"/>
      <c r="CM9" s="93"/>
      <c r="CN9" s="93"/>
      <c r="CO9" s="93"/>
      <c r="CP9" s="93"/>
      <c r="CQ9" s="93"/>
      <c r="CR9" s="92"/>
      <c r="CS9" s="93"/>
      <c r="CT9" s="93"/>
      <c r="CU9" s="93"/>
      <c r="CV9" s="93"/>
      <c r="CW9" s="93"/>
      <c r="CX9" s="93"/>
      <c r="CY9" s="92"/>
      <c r="CZ9" s="93"/>
      <c r="DA9" s="93"/>
      <c r="DB9" s="93"/>
      <c r="DC9" s="93"/>
      <c r="DD9" s="93"/>
      <c r="DE9" s="93"/>
      <c r="DF9" s="92"/>
      <c r="DG9" s="93"/>
      <c r="DH9" s="93"/>
      <c r="DI9" s="93"/>
      <c r="DJ9" s="93"/>
      <c r="DK9" s="93"/>
      <c r="DL9" s="93"/>
      <c r="DM9" s="92"/>
      <c r="DN9" s="93"/>
      <c r="DO9" s="93"/>
      <c r="DP9" s="93"/>
      <c r="DQ9" s="93"/>
      <c r="DR9" s="93"/>
      <c r="DS9" s="93"/>
      <c r="DT9" s="92"/>
      <c r="DU9" s="93"/>
      <c r="DV9" s="93"/>
      <c r="DW9" s="93"/>
      <c r="DX9" s="93"/>
      <c r="DY9" s="93"/>
      <c r="DZ9" s="93"/>
      <c r="EA9" s="92"/>
      <c r="EB9" s="93"/>
      <c r="EC9" s="93"/>
      <c r="ED9" s="93"/>
      <c r="EE9" s="93"/>
      <c r="EF9" s="93"/>
      <c r="EG9" s="93"/>
      <c r="EH9" s="92"/>
      <c r="EI9" s="93"/>
      <c r="EJ9" s="93"/>
      <c r="EK9" s="93"/>
      <c r="EL9" s="93"/>
      <c r="EM9" s="93"/>
      <c r="EN9" s="93"/>
      <c r="EO9" s="92"/>
      <c r="EP9" s="93"/>
      <c r="EQ9" s="93"/>
      <c r="ER9" s="93"/>
      <c r="ES9" s="93"/>
      <c r="ET9" s="93"/>
      <c r="EU9" s="93"/>
      <c r="EV9" s="92"/>
      <c r="EW9" s="93"/>
      <c r="EX9" s="93"/>
      <c r="EY9" s="93"/>
      <c r="EZ9" s="93"/>
      <c r="FA9" s="93"/>
      <c r="FB9" s="93"/>
      <c r="FC9" s="92"/>
      <c r="FD9" s="93"/>
      <c r="FE9" s="93"/>
      <c r="FF9" s="93"/>
      <c r="FG9" s="93"/>
      <c r="FH9" s="93"/>
      <c r="FI9" s="93"/>
      <c r="FJ9" s="92"/>
      <c r="FK9" s="93"/>
      <c r="FL9" s="93"/>
      <c r="FM9" s="93"/>
      <c r="FN9" s="93"/>
      <c r="FO9" s="93"/>
      <c r="FP9" s="93"/>
      <c r="FQ9" s="92"/>
      <c r="FR9" s="93"/>
      <c r="FS9" s="93"/>
      <c r="FT9" s="93"/>
      <c r="FU9" s="93"/>
      <c r="FV9" s="93"/>
      <c r="FW9" s="93"/>
      <c r="FX9" s="92"/>
      <c r="FY9" s="93"/>
      <c r="FZ9" s="93"/>
      <c r="GA9" s="93"/>
      <c r="GB9" s="93"/>
      <c r="GC9" s="93"/>
      <c r="GD9" s="93"/>
      <c r="GE9" s="92"/>
      <c r="GF9" s="93"/>
      <c r="GG9" s="93"/>
      <c r="GH9" s="93"/>
      <c r="GI9" s="93"/>
      <c r="GJ9" s="93"/>
      <c r="GK9" s="93"/>
      <c r="GL9" s="92"/>
      <c r="GM9" s="93"/>
      <c r="GN9" s="93"/>
      <c r="GO9" s="93"/>
      <c r="GP9" s="93"/>
      <c r="GQ9" s="93"/>
      <c r="GR9" s="93"/>
      <c r="GS9" s="92"/>
      <c r="GT9" s="93"/>
      <c r="GU9" s="93"/>
      <c r="GV9" s="93"/>
      <c r="GW9" s="93"/>
      <c r="GX9" s="93"/>
      <c r="GY9" s="93"/>
      <c r="GZ9" s="92"/>
      <c r="HA9" s="93"/>
      <c r="HB9" s="93"/>
      <c r="HC9" s="93"/>
      <c r="HD9" s="93"/>
      <c r="HE9" s="93"/>
      <c r="HF9" s="93"/>
      <c r="HG9" s="92"/>
      <c r="HH9" s="93"/>
      <c r="HI9" s="93"/>
      <c r="HJ9" s="93"/>
      <c r="HK9" s="93"/>
      <c r="HL9" s="93"/>
      <c r="HM9" s="93"/>
      <c r="HN9" s="92"/>
      <c r="HO9" s="93"/>
      <c r="HP9" s="93"/>
      <c r="HQ9" s="34"/>
    </row>
    <row r="10" spans="1:236" ht="15.75" thickBot="1" x14ac:dyDescent="0.3">
      <c r="A10" s="10" t="s">
        <v>644</v>
      </c>
      <c r="B10" s="19" t="s">
        <v>23</v>
      </c>
      <c r="C10" s="19" t="s">
        <v>645</v>
      </c>
      <c r="D10" s="19" t="s">
        <v>646</v>
      </c>
      <c r="E10" s="19" t="str">
        <f t="shared" si="7"/>
        <v>Karl Gorton</v>
      </c>
      <c r="F10" s="19" t="s">
        <v>689</v>
      </c>
      <c r="G10" s="182" t="s">
        <v>716</v>
      </c>
      <c r="H10" s="56"/>
      <c r="I10" s="180" t="str">
        <f t="shared" si="4"/>
        <v>BG</v>
      </c>
      <c r="J10" s="10" t="s">
        <v>788</v>
      </c>
      <c r="K10" s="169">
        <f t="shared" si="5"/>
        <v>6</v>
      </c>
      <c r="L10" s="194">
        <f t="shared" si="6"/>
        <v>100</v>
      </c>
      <c r="M10" s="148"/>
      <c r="N10" s="148"/>
      <c r="O10" s="34"/>
      <c r="P10" s="148"/>
      <c r="Q10" s="148"/>
      <c r="R10" s="148"/>
      <c r="S10" s="7"/>
      <c r="T10" s="148"/>
      <c r="U10" s="148"/>
      <c r="V10" s="34"/>
      <c r="W10" s="148"/>
      <c r="X10" s="148"/>
      <c r="Y10" s="34"/>
      <c r="Z10" s="7"/>
      <c r="AA10" s="148"/>
      <c r="AB10" s="148"/>
      <c r="AC10" s="34"/>
      <c r="AD10" s="148">
        <v>1</v>
      </c>
      <c r="AE10" s="148">
        <v>1</v>
      </c>
      <c r="AF10" s="148">
        <v>1</v>
      </c>
      <c r="AG10" s="7"/>
      <c r="AH10" s="34"/>
      <c r="AI10" s="148">
        <v>1</v>
      </c>
      <c r="AJ10" s="34"/>
      <c r="AK10" s="148">
        <v>1</v>
      </c>
      <c r="AL10" s="148">
        <v>1</v>
      </c>
      <c r="AM10" s="34"/>
      <c r="AN10" s="7"/>
      <c r="AO10" s="34"/>
      <c r="AP10" s="34"/>
      <c r="AQ10" s="34"/>
      <c r="AR10" s="34"/>
      <c r="AS10" s="34"/>
      <c r="AT10" s="34"/>
      <c r="AU10" s="7"/>
      <c r="AV10" s="34"/>
      <c r="AW10" s="34"/>
      <c r="AX10" s="34"/>
      <c r="AY10" s="34"/>
      <c r="AZ10" s="34"/>
      <c r="BA10" s="34"/>
      <c r="BB10" s="7"/>
      <c r="BC10" s="34"/>
      <c r="BD10" s="34"/>
      <c r="BE10" s="34"/>
      <c r="BF10" s="34"/>
      <c r="BG10" s="34"/>
      <c r="BH10" s="34"/>
      <c r="BI10" s="7"/>
      <c r="BJ10" s="34"/>
      <c r="BK10" s="34"/>
      <c r="BL10" s="34"/>
      <c r="BM10" s="34"/>
      <c r="BN10" s="34"/>
      <c r="BO10" s="34"/>
      <c r="BP10" s="7"/>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6" x14ac:dyDescent="0.25">
      <c r="A11" s="209" t="s">
        <v>647</v>
      </c>
      <c r="B11" s="210"/>
      <c r="C11" s="210"/>
      <c r="D11" s="210"/>
      <c r="E11" s="210"/>
      <c r="F11" s="210"/>
      <c r="G11" s="210"/>
      <c r="H11" s="211"/>
      <c r="I11" s="181" t="str">
        <f>"#1|" &amp; A11</f>
        <v>#1|Spielerinnen</v>
      </c>
      <c r="J11" s="177"/>
      <c r="K11" s="188">
        <f>SUM(K3:K9) / (7)</f>
        <v>5.1428571428571432</v>
      </c>
      <c r="L11" s="187">
        <f t="shared" si="6"/>
        <v>85.714285714285722</v>
      </c>
      <c r="M11" s="186" t="str">
        <f t="shared" ref="M11:BX11" si="8">IF(SUM(M3:M9) &gt; 0, SUM(M3:M9), "")</f>
        <v/>
      </c>
      <c r="N11" s="150" t="str">
        <f t="shared" si="8"/>
        <v/>
      </c>
      <c r="O11" s="150" t="str">
        <f t="shared" si="8"/>
        <v/>
      </c>
      <c r="P11" s="150" t="str">
        <f t="shared" si="8"/>
        <v/>
      </c>
      <c r="Q11" s="150" t="str">
        <f t="shared" si="8"/>
        <v/>
      </c>
      <c r="R11" s="150" t="str">
        <f t="shared" si="8"/>
        <v/>
      </c>
      <c r="S11" s="166" t="str">
        <f t="shared" si="8"/>
        <v/>
      </c>
      <c r="T11" s="186" t="str">
        <f t="shared" si="8"/>
        <v/>
      </c>
      <c r="U11" s="150" t="str">
        <f t="shared" si="8"/>
        <v/>
      </c>
      <c r="V11" s="150" t="str">
        <f t="shared" si="8"/>
        <v/>
      </c>
      <c r="W11" s="150" t="str">
        <f t="shared" si="8"/>
        <v/>
      </c>
      <c r="X11" s="150" t="str">
        <f t="shared" si="8"/>
        <v/>
      </c>
      <c r="Y11" s="150" t="str">
        <f t="shared" si="8"/>
        <v/>
      </c>
      <c r="Z11" s="166" t="str">
        <f t="shared" si="8"/>
        <v/>
      </c>
      <c r="AA11" s="186" t="str">
        <f t="shared" si="8"/>
        <v/>
      </c>
      <c r="AB11" s="150" t="str">
        <f t="shared" si="8"/>
        <v/>
      </c>
      <c r="AC11" s="150" t="str">
        <f t="shared" si="8"/>
        <v/>
      </c>
      <c r="AD11" s="150">
        <f t="shared" si="8"/>
        <v>7</v>
      </c>
      <c r="AE11" s="150">
        <f t="shared" si="8"/>
        <v>6</v>
      </c>
      <c r="AF11" s="150">
        <f t="shared" si="8"/>
        <v>6</v>
      </c>
      <c r="AG11" s="166" t="str">
        <f t="shared" si="8"/>
        <v/>
      </c>
      <c r="AH11" s="186" t="str">
        <f t="shared" si="8"/>
        <v/>
      </c>
      <c r="AI11" s="150">
        <f t="shared" si="8"/>
        <v>5</v>
      </c>
      <c r="AJ11" s="150" t="str">
        <f t="shared" si="8"/>
        <v/>
      </c>
      <c r="AK11" s="150">
        <f t="shared" si="8"/>
        <v>6</v>
      </c>
      <c r="AL11" s="150">
        <f t="shared" si="8"/>
        <v>6</v>
      </c>
      <c r="AM11" s="150" t="str">
        <f t="shared" si="8"/>
        <v/>
      </c>
      <c r="AN11" s="166" t="str">
        <f t="shared" si="8"/>
        <v/>
      </c>
      <c r="AO11" s="186" t="str">
        <f t="shared" si="8"/>
        <v/>
      </c>
      <c r="AP11" s="150" t="str">
        <f t="shared" si="8"/>
        <v/>
      </c>
      <c r="AQ11" s="150" t="str">
        <f t="shared" si="8"/>
        <v/>
      </c>
      <c r="AR11" s="150" t="str">
        <f t="shared" si="8"/>
        <v/>
      </c>
      <c r="AS11" s="150" t="str">
        <f t="shared" si="8"/>
        <v/>
      </c>
      <c r="AT11" s="150" t="str">
        <f t="shared" si="8"/>
        <v/>
      </c>
      <c r="AU11" s="166" t="str">
        <f t="shared" si="8"/>
        <v/>
      </c>
      <c r="AV11" s="186" t="str">
        <f t="shared" si="8"/>
        <v/>
      </c>
      <c r="AW11" s="150" t="str">
        <f t="shared" si="8"/>
        <v/>
      </c>
      <c r="AX11" s="150" t="str">
        <f t="shared" si="8"/>
        <v/>
      </c>
      <c r="AY11" s="150" t="str">
        <f t="shared" si="8"/>
        <v/>
      </c>
      <c r="AZ11" s="150" t="str">
        <f t="shared" si="8"/>
        <v/>
      </c>
      <c r="BA11" s="150" t="str">
        <f t="shared" si="8"/>
        <v/>
      </c>
      <c r="BB11" s="166" t="str">
        <f t="shared" si="8"/>
        <v/>
      </c>
      <c r="BC11" s="186" t="str">
        <f t="shared" si="8"/>
        <v/>
      </c>
      <c r="BD11" s="150" t="str">
        <f t="shared" si="8"/>
        <v/>
      </c>
      <c r="BE11" s="150" t="str">
        <f t="shared" si="8"/>
        <v/>
      </c>
      <c r="BF11" s="150" t="str">
        <f t="shared" si="8"/>
        <v/>
      </c>
      <c r="BG11" s="150" t="str">
        <f t="shared" si="8"/>
        <v/>
      </c>
      <c r="BH11" s="150" t="str">
        <f t="shared" si="8"/>
        <v/>
      </c>
      <c r="BI11" s="166" t="str">
        <f t="shared" si="8"/>
        <v/>
      </c>
      <c r="BJ11" s="186" t="str">
        <f t="shared" si="8"/>
        <v/>
      </c>
      <c r="BK11" s="150" t="str">
        <f t="shared" si="8"/>
        <v/>
      </c>
      <c r="BL11" s="150" t="str">
        <f t="shared" si="8"/>
        <v/>
      </c>
      <c r="BM11" s="150" t="str">
        <f t="shared" si="8"/>
        <v/>
      </c>
      <c r="BN11" s="150" t="str">
        <f t="shared" si="8"/>
        <v/>
      </c>
      <c r="BO11" s="150" t="str">
        <f t="shared" si="8"/>
        <v/>
      </c>
      <c r="BP11" s="166" t="str">
        <f t="shared" si="8"/>
        <v/>
      </c>
      <c r="BQ11" s="186" t="str">
        <f t="shared" si="8"/>
        <v/>
      </c>
      <c r="BR11" s="150" t="str">
        <f t="shared" si="8"/>
        <v/>
      </c>
      <c r="BS11" s="150" t="str">
        <f t="shared" si="8"/>
        <v/>
      </c>
      <c r="BT11" s="150" t="str">
        <f t="shared" si="8"/>
        <v/>
      </c>
      <c r="BU11" s="150" t="str">
        <f t="shared" si="8"/>
        <v/>
      </c>
      <c r="BV11" s="150" t="str">
        <f t="shared" si="8"/>
        <v/>
      </c>
      <c r="BW11" s="166" t="str">
        <f t="shared" si="8"/>
        <v/>
      </c>
      <c r="BX11" s="186" t="str">
        <f t="shared" si="8"/>
        <v/>
      </c>
      <c r="BY11" s="150" t="str">
        <f t="shared" ref="BY11:EJ11" si="9">IF(SUM(BY3:BY9) &gt; 0, SUM(BY3:BY9), "")</f>
        <v/>
      </c>
      <c r="BZ11" s="150" t="str">
        <f t="shared" si="9"/>
        <v/>
      </c>
      <c r="CA11" s="150" t="str">
        <f t="shared" si="9"/>
        <v/>
      </c>
      <c r="CB11" s="150" t="str">
        <f t="shared" si="9"/>
        <v/>
      </c>
      <c r="CC11" s="150" t="str">
        <f t="shared" si="9"/>
        <v/>
      </c>
      <c r="CD11" s="166" t="str">
        <f t="shared" si="9"/>
        <v/>
      </c>
      <c r="CE11" s="186" t="str">
        <f t="shared" si="9"/>
        <v/>
      </c>
      <c r="CF11" s="150" t="str">
        <f t="shared" si="9"/>
        <v/>
      </c>
      <c r="CG11" s="150" t="str">
        <f t="shared" si="9"/>
        <v/>
      </c>
      <c r="CH11" s="150" t="str">
        <f t="shared" si="9"/>
        <v/>
      </c>
      <c r="CI11" s="150" t="str">
        <f t="shared" si="9"/>
        <v/>
      </c>
      <c r="CJ11" s="150" t="str">
        <f t="shared" si="9"/>
        <v/>
      </c>
      <c r="CK11" s="166" t="str">
        <f t="shared" si="9"/>
        <v/>
      </c>
      <c r="CL11" s="186" t="str">
        <f t="shared" si="9"/>
        <v/>
      </c>
      <c r="CM11" s="150" t="str">
        <f t="shared" si="9"/>
        <v/>
      </c>
      <c r="CN11" s="150" t="str">
        <f t="shared" si="9"/>
        <v/>
      </c>
      <c r="CO11" s="150" t="str">
        <f t="shared" si="9"/>
        <v/>
      </c>
      <c r="CP11" s="150" t="str">
        <f t="shared" si="9"/>
        <v/>
      </c>
      <c r="CQ11" s="150" t="str">
        <f t="shared" si="9"/>
        <v/>
      </c>
      <c r="CR11" s="166" t="str">
        <f t="shared" si="9"/>
        <v/>
      </c>
      <c r="CS11" s="186" t="str">
        <f t="shared" si="9"/>
        <v/>
      </c>
      <c r="CT11" s="150" t="str">
        <f t="shared" si="9"/>
        <v/>
      </c>
      <c r="CU11" s="150" t="str">
        <f t="shared" si="9"/>
        <v/>
      </c>
      <c r="CV11" s="150" t="str">
        <f t="shared" si="9"/>
        <v/>
      </c>
      <c r="CW11" s="150" t="str">
        <f t="shared" si="9"/>
        <v/>
      </c>
      <c r="CX11" s="150" t="str">
        <f t="shared" si="9"/>
        <v/>
      </c>
      <c r="CY11" s="166" t="str">
        <f t="shared" si="9"/>
        <v/>
      </c>
      <c r="CZ11" s="186" t="str">
        <f t="shared" si="9"/>
        <v/>
      </c>
      <c r="DA11" s="150" t="str">
        <f t="shared" si="9"/>
        <v/>
      </c>
      <c r="DB11" s="150" t="str">
        <f t="shared" si="9"/>
        <v/>
      </c>
      <c r="DC11" s="150" t="str">
        <f t="shared" si="9"/>
        <v/>
      </c>
      <c r="DD11" s="150" t="str">
        <f t="shared" si="9"/>
        <v/>
      </c>
      <c r="DE11" s="150" t="str">
        <f t="shared" si="9"/>
        <v/>
      </c>
      <c r="DF11" s="166" t="str">
        <f t="shared" si="9"/>
        <v/>
      </c>
      <c r="DG11" s="186" t="str">
        <f t="shared" si="9"/>
        <v/>
      </c>
      <c r="DH11" s="150" t="str">
        <f t="shared" si="9"/>
        <v/>
      </c>
      <c r="DI11" s="150" t="str">
        <f t="shared" si="9"/>
        <v/>
      </c>
      <c r="DJ11" s="150" t="str">
        <f t="shared" si="9"/>
        <v/>
      </c>
      <c r="DK11" s="150" t="str">
        <f t="shared" si="9"/>
        <v/>
      </c>
      <c r="DL11" s="150" t="str">
        <f t="shared" si="9"/>
        <v/>
      </c>
      <c r="DM11" s="166" t="str">
        <f t="shared" si="9"/>
        <v/>
      </c>
      <c r="DN11" s="186" t="str">
        <f t="shared" si="9"/>
        <v/>
      </c>
      <c r="DO11" s="150" t="str">
        <f t="shared" si="9"/>
        <v/>
      </c>
      <c r="DP11" s="150" t="str">
        <f t="shared" si="9"/>
        <v/>
      </c>
      <c r="DQ11" s="150" t="str">
        <f t="shared" si="9"/>
        <v/>
      </c>
      <c r="DR11" s="150" t="str">
        <f t="shared" si="9"/>
        <v/>
      </c>
      <c r="DS11" s="150" t="str">
        <f t="shared" si="9"/>
        <v/>
      </c>
      <c r="DT11" s="166" t="str">
        <f t="shared" si="9"/>
        <v/>
      </c>
      <c r="DU11" s="186" t="str">
        <f t="shared" si="9"/>
        <v/>
      </c>
      <c r="DV11" s="150" t="str">
        <f t="shared" si="9"/>
        <v/>
      </c>
      <c r="DW11" s="150" t="str">
        <f t="shared" si="9"/>
        <v/>
      </c>
      <c r="DX11" s="150" t="str">
        <f t="shared" si="9"/>
        <v/>
      </c>
      <c r="DY11" s="150" t="str">
        <f t="shared" si="9"/>
        <v/>
      </c>
      <c r="DZ11" s="150" t="str">
        <f t="shared" si="9"/>
        <v/>
      </c>
      <c r="EA11" s="166" t="str">
        <f t="shared" si="9"/>
        <v/>
      </c>
      <c r="EB11" s="186" t="str">
        <f t="shared" si="9"/>
        <v/>
      </c>
      <c r="EC11" s="150" t="str">
        <f t="shared" si="9"/>
        <v/>
      </c>
      <c r="ED11" s="150" t="str">
        <f t="shared" si="9"/>
        <v/>
      </c>
      <c r="EE11" s="150" t="str">
        <f t="shared" si="9"/>
        <v/>
      </c>
      <c r="EF11" s="150" t="str">
        <f t="shared" si="9"/>
        <v/>
      </c>
      <c r="EG11" s="150" t="str">
        <f t="shared" si="9"/>
        <v/>
      </c>
      <c r="EH11" s="166" t="str">
        <f t="shared" si="9"/>
        <v/>
      </c>
      <c r="EI11" s="186" t="str">
        <f t="shared" si="9"/>
        <v/>
      </c>
      <c r="EJ11" s="150" t="str">
        <f t="shared" si="9"/>
        <v/>
      </c>
      <c r="EK11" s="150" t="str">
        <f t="shared" ref="EK11:GV11" si="10">IF(SUM(EK3:EK9) &gt; 0, SUM(EK3:EK9), "")</f>
        <v/>
      </c>
      <c r="EL11" s="150" t="str">
        <f t="shared" si="10"/>
        <v/>
      </c>
      <c r="EM11" s="150" t="str">
        <f t="shared" si="10"/>
        <v/>
      </c>
      <c r="EN11" s="150" t="str">
        <f t="shared" si="10"/>
        <v/>
      </c>
      <c r="EO11" s="166" t="str">
        <f t="shared" si="10"/>
        <v/>
      </c>
      <c r="EP11" s="186" t="str">
        <f t="shared" si="10"/>
        <v/>
      </c>
      <c r="EQ11" s="150" t="str">
        <f t="shared" si="10"/>
        <v/>
      </c>
      <c r="ER11" s="150" t="str">
        <f t="shared" si="10"/>
        <v/>
      </c>
      <c r="ES11" s="150" t="str">
        <f t="shared" si="10"/>
        <v/>
      </c>
      <c r="ET11" s="150" t="str">
        <f t="shared" si="10"/>
        <v/>
      </c>
      <c r="EU11" s="150" t="str">
        <f t="shared" si="10"/>
        <v/>
      </c>
      <c r="EV11" s="166" t="str">
        <f t="shared" si="10"/>
        <v/>
      </c>
      <c r="EW11" s="186" t="str">
        <f t="shared" si="10"/>
        <v/>
      </c>
      <c r="EX11" s="150" t="str">
        <f t="shared" si="10"/>
        <v/>
      </c>
      <c r="EY11" s="150" t="str">
        <f t="shared" si="10"/>
        <v/>
      </c>
      <c r="EZ11" s="150" t="str">
        <f t="shared" si="10"/>
        <v/>
      </c>
      <c r="FA11" s="150" t="str">
        <f t="shared" si="10"/>
        <v/>
      </c>
      <c r="FB11" s="150" t="str">
        <f t="shared" si="10"/>
        <v/>
      </c>
      <c r="FC11" s="166" t="str">
        <f t="shared" si="10"/>
        <v/>
      </c>
      <c r="FD11" s="186" t="str">
        <f t="shared" si="10"/>
        <v/>
      </c>
      <c r="FE11" s="150" t="str">
        <f t="shared" si="10"/>
        <v/>
      </c>
      <c r="FF11" s="150" t="str">
        <f t="shared" si="10"/>
        <v/>
      </c>
      <c r="FG11" s="150" t="str">
        <f t="shared" si="10"/>
        <v/>
      </c>
      <c r="FH11" s="150" t="str">
        <f t="shared" si="10"/>
        <v/>
      </c>
      <c r="FI11" s="150" t="str">
        <f t="shared" si="10"/>
        <v/>
      </c>
      <c r="FJ11" s="166" t="str">
        <f t="shared" si="10"/>
        <v/>
      </c>
      <c r="FK11" s="186" t="str">
        <f t="shared" si="10"/>
        <v/>
      </c>
      <c r="FL11" s="150" t="str">
        <f t="shared" si="10"/>
        <v/>
      </c>
      <c r="FM11" s="150" t="str">
        <f t="shared" si="10"/>
        <v/>
      </c>
      <c r="FN11" s="150" t="str">
        <f t="shared" si="10"/>
        <v/>
      </c>
      <c r="FO11" s="150" t="str">
        <f t="shared" si="10"/>
        <v/>
      </c>
      <c r="FP11" s="150" t="str">
        <f t="shared" si="10"/>
        <v/>
      </c>
      <c r="FQ11" s="166" t="str">
        <f t="shared" si="10"/>
        <v/>
      </c>
      <c r="FR11" s="186" t="str">
        <f t="shared" si="10"/>
        <v/>
      </c>
      <c r="FS11" s="150" t="str">
        <f t="shared" si="10"/>
        <v/>
      </c>
      <c r="FT11" s="150" t="str">
        <f t="shared" si="10"/>
        <v/>
      </c>
      <c r="FU11" s="150" t="str">
        <f t="shared" si="10"/>
        <v/>
      </c>
      <c r="FV11" s="150" t="str">
        <f t="shared" si="10"/>
        <v/>
      </c>
      <c r="FW11" s="150" t="str">
        <f t="shared" si="10"/>
        <v/>
      </c>
      <c r="FX11" s="166" t="str">
        <f t="shared" si="10"/>
        <v/>
      </c>
      <c r="FY11" s="186" t="str">
        <f t="shared" si="10"/>
        <v/>
      </c>
      <c r="FZ11" s="150" t="str">
        <f t="shared" si="10"/>
        <v/>
      </c>
      <c r="GA11" s="150" t="str">
        <f t="shared" si="10"/>
        <v/>
      </c>
      <c r="GB11" s="150" t="str">
        <f t="shared" si="10"/>
        <v/>
      </c>
      <c r="GC11" s="150" t="str">
        <f t="shared" si="10"/>
        <v/>
      </c>
      <c r="GD11" s="150" t="str">
        <f t="shared" si="10"/>
        <v/>
      </c>
      <c r="GE11" s="166" t="str">
        <f t="shared" si="10"/>
        <v/>
      </c>
      <c r="GF11" s="186" t="str">
        <f t="shared" si="10"/>
        <v/>
      </c>
      <c r="GG11" s="150" t="str">
        <f t="shared" si="10"/>
        <v/>
      </c>
      <c r="GH11" s="150" t="str">
        <f t="shared" si="10"/>
        <v/>
      </c>
      <c r="GI11" s="150" t="str">
        <f t="shared" si="10"/>
        <v/>
      </c>
      <c r="GJ11" s="150" t="str">
        <f t="shared" si="10"/>
        <v/>
      </c>
      <c r="GK11" s="150" t="str">
        <f t="shared" si="10"/>
        <v/>
      </c>
      <c r="GL11" s="166" t="str">
        <f t="shared" si="10"/>
        <v/>
      </c>
      <c r="GM11" s="186" t="str">
        <f t="shared" si="10"/>
        <v/>
      </c>
      <c r="GN11" s="150" t="str">
        <f t="shared" si="10"/>
        <v/>
      </c>
      <c r="GO11" s="150" t="str">
        <f t="shared" si="10"/>
        <v/>
      </c>
      <c r="GP11" s="150" t="str">
        <f t="shared" si="10"/>
        <v/>
      </c>
      <c r="GQ11" s="150" t="str">
        <f t="shared" si="10"/>
        <v/>
      </c>
      <c r="GR11" s="150" t="str">
        <f t="shared" si="10"/>
        <v/>
      </c>
      <c r="GS11" s="166" t="str">
        <f t="shared" si="10"/>
        <v/>
      </c>
      <c r="GT11" s="186" t="str">
        <f t="shared" si="10"/>
        <v/>
      </c>
      <c r="GU11" s="150" t="str">
        <f t="shared" si="10"/>
        <v/>
      </c>
      <c r="GV11" s="150" t="str">
        <f t="shared" si="10"/>
        <v/>
      </c>
      <c r="GW11" s="150" t="str">
        <f t="shared" ref="GW11:IB11" si="11">IF(SUM(GW3:GW9) &gt; 0, SUM(GW3:GW9), "")</f>
        <v/>
      </c>
      <c r="GX11" s="150" t="str">
        <f t="shared" si="11"/>
        <v/>
      </c>
      <c r="GY11" s="150" t="str">
        <f t="shared" si="11"/>
        <v/>
      </c>
      <c r="GZ11" s="166" t="str">
        <f t="shared" si="11"/>
        <v/>
      </c>
      <c r="HA11" s="186" t="str">
        <f t="shared" si="11"/>
        <v/>
      </c>
      <c r="HB11" s="150" t="str">
        <f t="shared" si="11"/>
        <v/>
      </c>
      <c r="HC11" s="150" t="str">
        <f t="shared" si="11"/>
        <v/>
      </c>
      <c r="HD11" s="150" t="str">
        <f t="shared" si="11"/>
        <v/>
      </c>
      <c r="HE11" s="150" t="str">
        <f t="shared" si="11"/>
        <v/>
      </c>
      <c r="HF11" s="150" t="str">
        <f t="shared" si="11"/>
        <v/>
      </c>
      <c r="HG11" s="166" t="str">
        <f t="shared" si="11"/>
        <v/>
      </c>
      <c r="HH11" s="186" t="str">
        <f t="shared" si="11"/>
        <v/>
      </c>
      <c r="HI11" s="150" t="str">
        <f t="shared" si="11"/>
        <v/>
      </c>
      <c r="HJ11" s="150" t="str">
        <f t="shared" si="11"/>
        <v/>
      </c>
      <c r="HK11" s="150" t="str">
        <f t="shared" si="11"/>
        <v/>
      </c>
      <c r="HL11" s="150" t="str">
        <f t="shared" si="11"/>
        <v/>
      </c>
      <c r="HM11" s="150" t="str">
        <f t="shared" si="11"/>
        <v/>
      </c>
      <c r="HN11" s="166" t="str">
        <f t="shared" si="11"/>
        <v/>
      </c>
      <c r="HO11" s="186" t="str">
        <f t="shared" si="11"/>
        <v/>
      </c>
      <c r="HP11" s="150" t="str">
        <f t="shared" si="11"/>
        <v/>
      </c>
      <c r="HQ11" s="150" t="str">
        <f t="shared" si="11"/>
        <v/>
      </c>
      <c r="HR11" s="150" t="str">
        <f t="shared" si="11"/>
        <v/>
      </c>
      <c r="HS11" s="150" t="str">
        <f t="shared" si="11"/>
        <v/>
      </c>
      <c r="HT11" s="150" t="str">
        <f t="shared" si="11"/>
        <v/>
      </c>
      <c r="HU11" s="166" t="str">
        <f t="shared" si="11"/>
        <v/>
      </c>
      <c r="HV11" s="186" t="str">
        <f t="shared" si="11"/>
        <v/>
      </c>
      <c r="HW11" s="150" t="str">
        <f t="shared" si="11"/>
        <v/>
      </c>
      <c r="HX11" s="150" t="str">
        <f t="shared" si="11"/>
        <v/>
      </c>
      <c r="HY11" s="150" t="str">
        <f t="shared" si="11"/>
        <v/>
      </c>
      <c r="HZ11" s="150" t="str">
        <f t="shared" si="11"/>
        <v/>
      </c>
      <c r="IA11" s="150" t="str">
        <f t="shared" si="11"/>
        <v/>
      </c>
      <c r="IB11" s="166" t="str">
        <f t="shared" si="11"/>
        <v/>
      </c>
    </row>
    <row r="12" spans="1:236" ht="15.75" thickBot="1" x14ac:dyDescent="0.3">
      <c r="A12" s="212" t="s">
        <v>728</v>
      </c>
      <c r="B12" s="213"/>
      <c r="C12" s="213"/>
      <c r="D12" s="213"/>
      <c r="E12" s="213"/>
      <c r="F12" s="213"/>
      <c r="G12" s="213"/>
      <c r="H12" s="214"/>
      <c r="I12" s="180" t="str">
        <f>"#2|" &amp; A12</f>
        <v>#2|Alle</v>
      </c>
      <c r="J12" s="178"/>
      <c r="K12" s="189">
        <f>SUM(K3:K10) / 8</f>
        <v>5.25</v>
      </c>
      <c r="L12" s="190">
        <f t="shared" si="6"/>
        <v>87.5</v>
      </c>
      <c r="M12" s="173" t="str">
        <f t="shared" ref="M12:BX12" si="12">IF(SUM(M3:M10) &gt; 0, SUM(M3:M10), "")</f>
        <v/>
      </c>
      <c r="N12" s="160" t="str">
        <f t="shared" si="12"/>
        <v/>
      </c>
      <c r="O12" s="160" t="str">
        <f t="shared" si="12"/>
        <v/>
      </c>
      <c r="P12" s="160" t="str">
        <f t="shared" si="12"/>
        <v/>
      </c>
      <c r="Q12" s="160" t="str">
        <f t="shared" si="12"/>
        <v/>
      </c>
      <c r="R12" s="160" t="str">
        <f t="shared" si="12"/>
        <v/>
      </c>
      <c r="S12" s="167" t="str">
        <f t="shared" si="12"/>
        <v/>
      </c>
      <c r="T12" s="173" t="str">
        <f t="shared" si="12"/>
        <v/>
      </c>
      <c r="U12" s="160" t="str">
        <f t="shared" si="12"/>
        <v/>
      </c>
      <c r="V12" s="160" t="str">
        <f t="shared" si="12"/>
        <v/>
      </c>
      <c r="W12" s="160" t="str">
        <f t="shared" si="12"/>
        <v/>
      </c>
      <c r="X12" s="160" t="str">
        <f t="shared" si="12"/>
        <v/>
      </c>
      <c r="Y12" s="160" t="str">
        <f t="shared" si="12"/>
        <v/>
      </c>
      <c r="Z12" s="167" t="str">
        <f t="shared" si="12"/>
        <v/>
      </c>
      <c r="AA12" s="173" t="str">
        <f t="shared" si="12"/>
        <v/>
      </c>
      <c r="AB12" s="160" t="str">
        <f t="shared" si="12"/>
        <v/>
      </c>
      <c r="AC12" s="160" t="str">
        <f t="shared" si="12"/>
        <v/>
      </c>
      <c r="AD12" s="160">
        <f t="shared" si="12"/>
        <v>8</v>
      </c>
      <c r="AE12" s="160">
        <f t="shared" si="12"/>
        <v>7</v>
      </c>
      <c r="AF12" s="160">
        <f t="shared" si="12"/>
        <v>7</v>
      </c>
      <c r="AG12" s="167" t="str">
        <f t="shared" si="12"/>
        <v/>
      </c>
      <c r="AH12" s="173" t="str">
        <f t="shared" si="12"/>
        <v/>
      </c>
      <c r="AI12" s="160">
        <f t="shared" si="12"/>
        <v>6</v>
      </c>
      <c r="AJ12" s="160" t="str">
        <f t="shared" si="12"/>
        <v/>
      </c>
      <c r="AK12" s="160">
        <f t="shared" si="12"/>
        <v>7</v>
      </c>
      <c r="AL12" s="160">
        <f t="shared" si="12"/>
        <v>7</v>
      </c>
      <c r="AM12" s="160" t="str">
        <f t="shared" si="12"/>
        <v/>
      </c>
      <c r="AN12" s="167" t="str">
        <f t="shared" si="12"/>
        <v/>
      </c>
      <c r="AO12" s="173" t="str">
        <f t="shared" si="12"/>
        <v/>
      </c>
      <c r="AP12" s="160" t="str">
        <f t="shared" si="12"/>
        <v/>
      </c>
      <c r="AQ12" s="160" t="str">
        <f t="shared" si="12"/>
        <v/>
      </c>
      <c r="AR12" s="160" t="str">
        <f t="shared" si="12"/>
        <v/>
      </c>
      <c r="AS12" s="160" t="str">
        <f t="shared" si="12"/>
        <v/>
      </c>
      <c r="AT12" s="160" t="str">
        <f t="shared" si="12"/>
        <v/>
      </c>
      <c r="AU12" s="167" t="str">
        <f t="shared" si="12"/>
        <v/>
      </c>
      <c r="AV12" s="173" t="str">
        <f t="shared" si="12"/>
        <v/>
      </c>
      <c r="AW12" s="160" t="str">
        <f t="shared" si="12"/>
        <v/>
      </c>
      <c r="AX12" s="160" t="str">
        <f t="shared" si="12"/>
        <v/>
      </c>
      <c r="AY12" s="160" t="str">
        <f t="shared" si="12"/>
        <v/>
      </c>
      <c r="AZ12" s="160" t="str">
        <f t="shared" si="12"/>
        <v/>
      </c>
      <c r="BA12" s="160" t="str">
        <f t="shared" si="12"/>
        <v/>
      </c>
      <c r="BB12" s="167" t="str">
        <f t="shared" si="12"/>
        <v/>
      </c>
      <c r="BC12" s="173" t="str">
        <f t="shared" si="12"/>
        <v/>
      </c>
      <c r="BD12" s="160" t="str">
        <f t="shared" si="12"/>
        <v/>
      </c>
      <c r="BE12" s="160" t="str">
        <f t="shared" si="12"/>
        <v/>
      </c>
      <c r="BF12" s="160" t="str">
        <f t="shared" si="12"/>
        <v/>
      </c>
      <c r="BG12" s="160" t="str">
        <f t="shared" si="12"/>
        <v/>
      </c>
      <c r="BH12" s="160" t="str">
        <f t="shared" si="12"/>
        <v/>
      </c>
      <c r="BI12" s="167" t="str">
        <f t="shared" si="12"/>
        <v/>
      </c>
      <c r="BJ12" s="173" t="str">
        <f t="shared" si="12"/>
        <v/>
      </c>
      <c r="BK12" s="160" t="str">
        <f t="shared" si="12"/>
        <v/>
      </c>
      <c r="BL12" s="160" t="str">
        <f t="shared" si="12"/>
        <v/>
      </c>
      <c r="BM12" s="160" t="str">
        <f t="shared" si="12"/>
        <v/>
      </c>
      <c r="BN12" s="160" t="str">
        <f t="shared" si="12"/>
        <v/>
      </c>
      <c r="BO12" s="160" t="str">
        <f t="shared" si="12"/>
        <v/>
      </c>
      <c r="BP12" s="167" t="str">
        <f t="shared" si="12"/>
        <v/>
      </c>
      <c r="BQ12" s="173" t="str">
        <f t="shared" si="12"/>
        <v/>
      </c>
      <c r="BR12" s="160" t="str">
        <f t="shared" si="12"/>
        <v/>
      </c>
      <c r="BS12" s="160" t="str">
        <f t="shared" si="12"/>
        <v/>
      </c>
      <c r="BT12" s="160" t="str">
        <f t="shared" si="12"/>
        <v/>
      </c>
      <c r="BU12" s="160" t="str">
        <f t="shared" si="12"/>
        <v/>
      </c>
      <c r="BV12" s="160" t="str">
        <f t="shared" si="12"/>
        <v/>
      </c>
      <c r="BW12" s="167" t="str">
        <f t="shared" si="12"/>
        <v/>
      </c>
      <c r="BX12" s="173" t="str">
        <f t="shared" si="12"/>
        <v/>
      </c>
      <c r="BY12" s="160" t="str">
        <f t="shared" ref="BY12:EJ12" si="13">IF(SUM(BY3:BY10) &gt; 0, SUM(BY3:BY10), "")</f>
        <v/>
      </c>
      <c r="BZ12" s="160" t="str">
        <f t="shared" si="13"/>
        <v/>
      </c>
      <c r="CA12" s="160" t="str">
        <f t="shared" si="13"/>
        <v/>
      </c>
      <c r="CB12" s="160" t="str">
        <f t="shared" si="13"/>
        <v/>
      </c>
      <c r="CC12" s="160" t="str">
        <f t="shared" si="13"/>
        <v/>
      </c>
      <c r="CD12" s="167" t="str">
        <f t="shared" si="13"/>
        <v/>
      </c>
      <c r="CE12" s="173" t="str">
        <f t="shared" si="13"/>
        <v/>
      </c>
      <c r="CF12" s="160" t="str">
        <f t="shared" si="13"/>
        <v/>
      </c>
      <c r="CG12" s="160" t="str">
        <f t="shared" si="13"/>
        <v/>
      </c>
      <c r="CH12" s="160" t="str">
        <f t="shared" si="13"/>
        <v/>
      </c>
      <c r="CI12" s="160" t="str">
        <f t="shared" si="13"/>
        <v/>
      </c>
      <c r="CJ12" s="160" t="str">
        <f t="shared" si="13"/>
        <v/>
      </c>
      <c r="CK12" s="167" t="str">
        <f t="shared" si="13"/>
        <v/>
      </c>
      <c r="CL12" s="173" t="str">
        <f t="shared" si="13"/>
        <v/>
      </c>
      <c r="CM12" s="160" t="str">
        <f t="shared" si="13"/>
        <v/>
      </c>
      <c r="CN12" s="160" t="str">
        <f t="shared" si="13"/>
        <v/>
      </c>
      <c r="CO12" s="160" t="str">
        <f t="shared" si="13"/>
        <v/>
      </c>
      <c r="CP12" s="160" t="str">
        <f t="shared" si="13"/>
        <v/>
      </c>
      <c r="CQ12" s="160" t="str">
        <f t="shared" si="13"/>
        <v/>
      </c>
      <c r="CR12" s="167" t="str">
        <f t="shared" si="13"/>
        <v/>
      </c>
      <c r="CS12" s="173" t="str">
        <f t="shared" si="13"/>
        <v/>
      </c>
      <c r="CT12" s="160" t="str">
        <f t="shared" si="13"/>
        <v/>
      </c>
      <c r="CU12" s="160" t="str">
        <f t="shared" si="13"/>
        <v/>
      </c>
      <c r="CV12" s="160" t="str">
        <f t="shared" si="13"/>
        <v/>
      </c>
      <c r="CW12" s="160" t="str">
        <f t="shared" si="13"/>
        <v/>
      </c>
      <c r="CX12" s="160" t="str">
        <f t="shared" si="13"/>
        <v/>
      </c>
      <c r="CY12" s="167" t="str">
        <f t="shared" si="13"/>
        <v/>
      </c>
      <c r="CZ12" s="173" t="str">
        <f t="shared" si="13"/>
        <v/>
      </c>
      <c r="DA12" s="160" t="str">
        <f t="shared" si="13"/>
        <v/>
      </c>
      <c r="DB12" s="160" t="str">
        <f t="shared" si="13"/>
        <v/>
      </c>
      <c r="DC12" s="160" t="str">
        <f t="shared" si="13"/>
        <v/>
      </c>
      <c r="DD12" s="160" t="str">
        <f t="shared" si="13"/>
        <v/>
      </c>
      <c r="DE12" s="160" t="str">
        <f t="shared" si="13"/>
        <v/>
      </c>
      <c r="DF12" s="167" t="str">
        <f t="shared" si="13"/>
        <v/>
      </c>
      <c r="DG12" s="173" t="str">
        <f t="shared" si="13"/>
        <v/>
      </c>
      <c r="DH12" s="160" t="str">
        <f t="shared" si="13"/>
        <v/>
      </c>
      <c r="DI12" s="160" t="str">
        <f t="shared" si="13"/>
        <v/>
      </c>
      <c r="DJ12" s="160" t="str">
        <f t="shared" si="13"/>
        <v/>
      </c>
      <c r="DK12" s="160" t="str">
        <f t="shared" si="13"/>
        <v/>
      </c>
      <c r="DL12" s="160" t="str">
        <f t="shared" si="13"/>
        <v/>
      </c>
      <c r="DM12" s="167" t="str">
        <f t="shared" si="13"/>
        <v/>
      </c>
      <c r="DN12" s="173" t="str">
        <f t="shared" si="13"/>
        <v/>
      </c>
      <c r="DO12" s="160" t="str">
        <f t="shared" si="13"/>
        <v/>
      </c>
      <c r="DP12" s="160" t="str">
        <f t="shared" si="13"/>
        <v/>
      </c>
      <c r="DQ12" s="160" t="str">
        <f t="shared" si="13"/>
        <v/>
      </c>
      <c r="DR12" s="160" t="str">
        <f t="shared" si="13"/>
        <v/>
      </c>
      <c r="DS12" s="160" t="str">
        <f t="shared" si="13"/>
        <v/>
      </c>
      <c r="DT12" s="167" t="str">
        <f t="shared" si="13"/>
        <v/>
      </c>
      <c r="DU12" s="173" t="str">
        <f t="shared" si="13"/>
        <v/>
      </c>
      <c r="DV12" s="160" t="str">
        <f t="shared" si="13"/>
        <v/>
      </c>
      <c r="DW12" s="160" t="str">
        <f t="shared" si="13"/>
        <v/>
      </c>
      <c r="DX12" s="160" t="str">
        <f t="shared" si="13"/>
        <v/>
      </c>
      <c r="DY12" s="160" t="str">
        <f t="shared" si="13"/>
        <v/>
      </c>
      <c r="DZ12" s="160" t="str">
        <f t="shared" si="13"/>
        <v/>
      </c>
      <c r="EA12" s="167" t="str">
        <f t="shared" si="13"/>
        <v/>
      </c>
      <c r="EB12" s="173" t="str">
        <f t="shared" si="13"/>
        <v/>
      </c>
      <c r="EC12" s="160" t="str">
        <f t="shared" si="13"/>
        <v/>
      </c>
      <c r="ED12" s="160" t="str">
        <f t="shared" si="13"/>
        <v/>
      </c>
      <c r="EE12" s="160" t="str">
        <f t="shared" si="13"/>
        <v/>
      </c>
      <c r="EF12" s="160" t="str">
        <f t="shared" si="13"/>
        <v/>
      </c>
      <c r="EG12" s="160" t="str">
        <f t="shared" si="13"/>
        <v/>
      </c>
      <c r="EH12" s="167" t="str">
        <f t="shared" si="13"/>
        <v/>
      </c>
      <c r="EI12" s="173" t="str">
        <f t="shared" si="13"/>
        <v/>
      </c>
      <c r="EJ12" s="160" t="str">
        <f t="shared" si="13"/>
        <v/>
      </c>
      <c r="EK12" s="160" t="str">
        <f t="shared" ref="EK12:GV12" si="14">IF(SUM(EK3:EK10) &gt; 0, SUM(EK3:EK10), "")</f>
        <v/>
      </c>
      <c r="EL12" s="160" t="str">
        <f t="shared" si="14"/>
        <v/>
      </c>
      <c r="EM12" s="160" t="str">
        <f t="shared" si="14"/>
        <v/>
      </c>
      <c r="EN12" s="160" t="str">
        <f t="shared" si="14"/>
        <v/>
      </c>
      <c r="EO12" s="167" t="str">
        <f t="shared" si="14"/>
        <v/>
      </c>
      <c r="EP12" s="173" t="str">
        <f t="shared" si="14"/>
        <v/>
      </c>
      <c r="EQ12" s="160" t="str">
        <f t="shared" si="14"/>
        <v/>
      </c>
      <c r="ER12" s="160" t="str">
        <f t="shared" si="14"/>
        <v/>
      </c>
      <c r="ES12" s="160" t="str">
        <f t="shared" si="14"/>
        <v/>
      </c>
      <c r="ET12" s="160" t="str">
        <f t="shared" si="14"/>
        <v/>
      </c>
      <c r="EU12" s="160" t="str">
        <f t="shared" si="14"/>
        <v/>
      </c>
      <c r="EV12" s="167" t="str">
        <f t="shared" si="14"/>
        <v/>
      </c>
      <c r="EW12" s="173" t="str">
        <f t="shared" si="14"/>
        <v/>
      </c>
      <c r="EX12" s="160" t="str">
        <f t="shared" si="14"/>
        <v/>
      </c>
      <c r="EY12" s="160" t="str">
        <f t="shared" si="14"/>
        <v/>
      </c>
      <c r="EZ12" s="160" t="str">
        <f t="shared" si="14"/>
        <v/>
      </c>
      <c r="FA12" s="160" t="str">
        <f t="shared" si="14"/>
        <v/>
      </c>
      <c r="FB12" s="160" t="str">
        <f t="shared" si="14"/>
        <v/>
      </c>
      <c r="FC12" s="167" t="str">
        <f t="shared" si="14"/>
        <v/>
      </c>
      <c r="FD12" s="173" t="str">
        <f t="shared" si="14"/>
        <v/>
      </c>
      <c r="FE12" s="160" t="str">
        <f t="shared" si="14"/>
        <v/>
      </c>
      <c r="FF12" s="160" t="str">
        <f t="shared" si="14"/>
        <v/>
      </c>
      <c r="FG12" s="160" t="str">
        <f t="shared" si="14"/>
        <v/>
      </c>
      <c r="FH12" s="160" t="str">
        <f t="shared" si="14"/>
        <v/>
      </c>
      <c r="FI12" s="160" t="str">
        <f t="shared" si="14"/>
        <v/>
      </c>
      <c r="FJ12" s="167" t="str">
        <f t="shared" si="14"/>
        <v/>
      </c>
      <c r="FK12" s="173" t="str">
        <f t="shared" si="14"/>
        <v/>
      </c>
      <c r="FL12" s="160" t="str">
        <f t="shared" si="14"/>
        <v/>
      </c>
      <c r="FM12" s="160" t="str">
        <f t="shared" si="14"/>
        <v/>
      </c>
      <c r="FN12" s="160" t="str">
        <f t="shared" si="14"/>
        <v/>
      </c>
      <c r="FO12" s="160" t="str">
        <f t="shared" si="14"/>
        <v/>
      </c>
      <c r="FP12" s="160" t="str">
        <f t="shared" si="14"/>
        <v/>
      </c>
      <c r="FQ12" s="167" t="str">
        <f t="shared" si="14"/>
        <v/>
      </c>
      <c r="FR12" s="173" t="str">
        <f t="shared" si="14"/>
        <v/>
      </c>
      <c r="FS12" s="160" t="str">
        <f t="shared" si="14"/>
        <v/>
      </c>
      <c r="FT12" s="160" t="str">
        <f t="shared" si="14"/>
        <v/>
      </c>
      <c r="FU12" s="160" t="str">
        <f t="shared" si="14"/>
        <v/>
      </c>
      <c r="FV12" s="160" t="str">
        <f t="shared" si="14"/>
        <v/>
      </c>
      <c r="FW12" s="160" t="str">
        <f t="shared" si="14"/>
        <v/>
      </c>
      <c r="FX12" s="167" t="str">
        <f t="shared" si="14"/>
        <v/>
      </c>
      <c r="FY12" s="173" t="str">
        <f t="shared" si="14"/>
        <v/>
      </c>
      <c r="FZ12" s="160" t="str">
        <f t="shared" si="14"/>
        <v/>
      </c>
      <c r="GA12" s="160" t="str">
        <f t="shared" si="14"/>
        <v/>
      </c>
      <c r="GB12" s="160" t="str">
        <f t="shared" si="14"/>
        <v/>
      </c>
      <c r="GC12" s="160" t="str">
        <f t="shared" si="14"/>
        <v/>
      </c>
      <c r="GD12" s="160" t="str">
        <f t="shared" si="14"/>
        <v/>
      </c>
      <c r="GE12" s="167" t="str">
        <f t="shared" si="14"/>
        <v/>
      </c>
      <c r="GF12" s="173" t="str">
        <f t="shared" si="14"/>
        <v/>
      </c>
      <c r="GG12" s="160" t="str">
        <f t="shared" si="14"/>
        <v/>
      </c>
      <c r="GH12" s="160" t="str">
        <f t="shared" si="14"/>
        <v/>
      </c>
      <c r="GI12" s="160" t="str">
        <f t="shared" si="14"/>
        <v/>
      </c>
      <c r="GJ12" s="160" t="str">
        <f t="shared" si="14"/>
        <v/>
      </c>
      <c r="GK12" s="160" t="str">
        <f t="shared" si="14"/>
        <v/>
      </c>
      <c r="GL12" s="167" t="str">
        <f t="shared" si="14"/>
        <v/>
      </c>
      <c r="GM12" s="173" t="str">
        <f t="shared" si="14"/>
        <v/>
      </c>
      <c r="GN12" s="160" t="str">
        <f t="shared" si="14"/>
        <v/>
      </c>
      <c r="GO12" s="160" t="str">
        <f t="shared" si="14"/>
        <v/>
      </c>
      <c r="GP12" s="160" t="str">
        <f t="shared" si="14"/>
        <v/>
      </c>
      <c r="GQ12" s="160" t="str">
        <f t="shared" si="14"/>
        <v/>
      </c>
      <c r="GR12" s="160" t="str">
        <f t="shared" si="14"/>
        <v/>
      </c>
      <c r="GS12" s="167" t="str">
        <f t="shared" si="14"/>
        <v/>
      </c>
      <c r="GT12" s="173" t="str">
        <f t="shared" si="14"/>
        <v/>
      </c>
      <c r="GU12" s="160" t="str">
        <f t="shared" si="14"/>
        <v/>
      </c>
      <c r="GV12" s="160" t="str">
        <f t="shared" si="14"/>
        <v/>
      </c>
      <c r="GW12" s="160" t="str">
        <f t="shared" ref="GW12:IB12" si="15">IF(SUM(GW3:GW10) &gt; 0, SUM(GW3:GW10), "")</f>
        <v/>
      </c>
      <c r="GX12" s="160" t="str">
        <f t="shared" si="15"/>
        <v/>
      </c>
      <c r="GY12" s="160" t="str">
        <f t="shared" si="15"/>
        <v/>
      </c>
      <c r="GZ12" s="167" t="str">
        <f t="shared" si="15"/>
        <v/>
      </c>
      <c r="HA12" s="173" t="str">
        <f t="shared" si="15"/>
        <v/>
      </c>
      <c r="HB12" s="160" t="str">
        <f t="shared" si="15"/>
        <v/>
      </c>
      <c r="HC12" s="160" t="str">
        <f t="shared" si="15"/>
        <v/>
      </c>
      <c r="HD12" s="160" t="str">
        <f t="shared" si="15"/>
        <v/>
      </c>
      <c r="HE12" s="160" t="str">
        <f t="shared" si="15"/>
        <v/>
      </c>
      <c r="HF12" s="160" t="str">
        <f t="shared" si="15"/>
        <v/>
      </c>
      <c r="HG12" s="167" t="str">
        <f t="shared" si="15"/>
        <v/>
      </c>
      <c r="HH12" s="173" t="str">
        <f t="shared" si="15"/>
        <v/>
      </c>
      <c r="HI12" s="160" t="str">
        <f t="shared" si="15"/>
        <v/>
      </c>
      <c r="HJ12" s="160" t="str">
        <f t="shared" si="15"/>
        <v/>
      </c>
      <c r="HK12" s="160" t="str">
        <f t="shared" si="15"/>
        <v/>
      </c>
      <c r="HL12" s="160" t="str">
        <f t="shared" si="15"/>
        <v/>
      </c>
      <c r="HM12" s="160" t="str">
        <f t="shared" si="15"/>
        <v/>
      </c>
      <c r="HN12" s="167" t="str">
        <f t="shared" si="15"/>
        <v/>
      </c>
      <c r="HO12" s="173" t="str">
        <f t="shared" si="15"/>
        <v/>
      </c>
      <c r="HP12" s="160" t="str">
        <f t="shared" si="15"/>
        <v/>
      </c>
      <c r="HQ12" s="160" t="str">
        <f t="shared" si="15"/>
        <v/>
      </c>
      <c r="HR12" s="160" t="str">
        <f t="shared" si="15"/>
        <v/>
      </c>
      <c r="HS12" s="160" t="str">
        <f t="shared" si="15"/>
        <v/>
      </c>
      <c r="HT12" s="160" t="str">
        <f t="shared" si="15"/>
        <v/>
      </c>
      <c r="HU12" s="167" t="str">
        <f t="shared" si="15"/>
        <v/>
      </c>
      <c r="HV12" s="173" t="str">
        <f t="shared" si="15"/>
        <v/>
      </c>
      <c r="HW12" s="160" t="str">
        <f t="shared" si="15"/>
        <v/>
      </c>
      <c r="HX12" s="160" t="str">
        <f t="shared" si="15"/>
        <v/>
      </c>
      <c r="HY12" s="160" t="str">
        <f t="shared" si="15"/>
        <v/>
      </c>
      <c r="HZ12" s="160" t="str">
        <f t="shared" si="15"/>
        <v/>
      </c>
      <c r="IA12" s="160" t="str">
        <f t="shared" si="15"/>
        <v/>
      </c>
      <c r="IB12" s="167" t="str">
        <f t="shared" si="15"/>
        <v/>
      </c>
    </row>
    <row r="13" spans="1:236" ht="15.75" thickBot="1" x14ac:dyDescent="0.3">
      <c r="A13" s="110" t="s">
        <v>18</v>
      </c>
      <c r="B13" s="16" t="s">
        <v>648</v>
      </c>
      <c r="C13" s="16" t="s">
        <v>648</v>
      </c>
      <c r="D13" s="16" t="s">
        <v>648</v>
      </c>
      <c r="E13" s="16"/>
      <c r="F13" s="16"/>
      <c r="G13" s="16"/>
      <c r="H13" s="17" t="s">
        <v>648</v>
      </c>
      <c r="I13" s="179"/>
      <c r="J13" s="184" t="s">
        <v>648</v>
      </c>
      <c r="K13" s="179">
        <f>SUM(M13:HP13)</f>
        <v>6</v>
      </c>
      <c r="L13" s="172" t="s">
        <v>648</v>
      </c>
      <c r="M13" s="170"/>
      <c r="N13" s="170"/>
      <c r="O13" s="170"/>
      <c r="P13" s="170"/>
      <c r="Q13" s="170"/>
      <c r="R13" s="170"/>
      <c r="S13" s="172"/>
      <c r="T13" s="170"/>
      <c r="U13" s="170"/>
      <c r="V13" s="170"/>
      <c r="W13" s="170"/>
      <c r="X13" s="170"/>
      <c r="Y13" s="170"/>
      <c r="Z13" s="172"/>
      <c r="AA13" s="170"/>
      <c r="AB13" s="170"/>
      <c r="AC13" s="170"/>
      <c r="AD13" s="170">
        <v>1</v>
      </c>
      <c r="AE13" s="170">
        <v>1</v>
      </c>
      <c r="AF13" s="170">
        <v>1</v>
      </c>
      <c r="AG13" s="172"/>
      <c r="AH13" s="170"/>
      <c r="AI13" s="170">
        <v>1</v>
      </c>
      <c r="AJ13" s="170"/>
      <c r="AK13" s="170">
        <v>1</v>
      </c>
      <c r="AL13" s="170">
        <v>1</v>
      </c>
      <c r="AM13" s="170"/>
      <c r="AN13" s="172"/>
      <c r="AO13" s="170"/>
      <c r="AP13" s="170"/>
      <c r="AQ13" s="170"/>
      <c r="AR13" s="170"/>
      <c r="AS13" s="170"/>
      <c r="AT13" s="170"/>
      <c r="AU13" s="172"/>
      <c r="AV13" s="170"/>
      <c r="AW13" s="170"/>
      <c r="AX13" s="170"/>
      <c r="AY13" s="170"/>
      <c r="AZ13" s="170"/>
      <c r="BA13" s="170"/>
      <c r="BB13" s="172"/>
      <c r="BC13" s="170"/>
      <c r="BD13" s="170"/>
      <c r="BE13" s="170"/>
      <c r="BF13" s="170"/>
      <c r="BG13" s="170"/>
      <c r="BH13" s="170"/>
      <c r="BI13" s="172"/>
      <c r="BJ13" s="170"/>
      <c r="BK13" s="170"/>
      <c r="BL13" s="170"/>
      <c r="BM13" s="170"/>
      <c r="BN13" s="170"/>
      <c r="BO13" s="170"/>
      <c r="BP13" s="172"/>
      <c r="BQ13" s="170"/>
      <c r="BR13" s="170"/>
      <c r="BS13" s="170"/>
      <c r="BT13" s="170"/>
      <c r="BU13" s="170"/>
      <c r="BV13" s="170"/>
      <c r="BW13" s="172"/>
      <c r="BX13" s="170"/>
      <c r="BY13" s="170"/>
      <c r="BZ13" s="170"/>
      <c r="CA13" s="170"/>
      <c r="CB13" s="170"/>
      <c r="CC13" s="170"/>
      <c r="CD13" s="172"/>
      <c r="CE13" s="170"/>
      <c r="CF13" s="170"/>
      <c r="CG13" s="170"/>
      <c r="CH13" s="170"/>
      <c r="CI13" s="170"/>
      <c r="CJ13" s="170"/>
      <c r="CK13" s="172"/>
      <c r="CL13" s="170"/>
      <c r="CM13" s="170"/>
      <c r="CN13" s="170"/>
      <c r="CO13" s="170"/>
      <c r="CP13" s="170"/>
      <c r="CQ13" s="170"/>
      <c r="CR13" s="172"/>
      <c r="CS13" s="170"/>
      <c r="CT13" s="170"/>
      <c r="CU13" s="170"/>
      <c r="CV13" s="170"/>
      <c r="CW13" s="170"/>
      <c r="CX13" s="170"/>
      <c r="CY13" s="172"/>
      <c r="CZ13" s="170"/>
      <c r="DA13" s="170"/>
      <c r="DB13" s="170"/>
      <c r="DC13" s="170"/>
      <c r="DD13" s="170"/>
      <c r="DE13" s="170"/>
      <c r="DF13" s="172"/>
      <c r="DG13" s="170"/>
      <c r="DH13" s="170"/>
      <c r="DI13" s="170"/>
      <c r="DJ13" s="170"/>
      <c r="DK13" s="170"/>
      <c r="DL13" s="170"/>
      <c r="DM13" s="172"/>
      <c r="DN13" s="170"/>
      <c r="DO13" s="170"/>
      <c r="DP13" s="170"/>
      <c r="DQ13" s="170"/>
      <c r="DR13" s="170"/>
      <c r="DS13" s="170"/>
      <c r="DT13" s="172"/>
      <c r="DU13" s="170"/>
      <c r="DV13" s="170"/>
      <c r="DW13" s="170"/>
      <c r="DX13" s="170"/>
      <c r="DY13" s="170"/>
      <c r="DZ13" s="170"/>
      <c r="EA13" s="172"/>
      <c r="EB13" s="170"/>
      <c r="EC13" s="170"/>
      <c r="ED13" s="170"/>
      <c r="EE13" s="170"/>
      <c r="EF13" s="170"/>
      <c r="EG13" s="170"/>
      <c r="EH13" s="172"/>
      <c r="EI13" s="170"/>
      <c r="EJ13" s="170"/>
      <c r="EK13" s="170"/>
      <c r="EL13" s="170"/>
      <c r="EM13" s="170"/>
      <c r="EN13" s="170"/>
      <c r="EO13" s="172"/>
      <c r="EP13" s="170"/>
      <c r="EQ13" s="170"/>
      <c r="ER13" s="170"/>
      <c r="ES13" s="170"/>
      <c r="ET13" s="170"/>
      <c r="EU13" s="170"/>
      <c r="EV13" s="172"/>
      <c r="EW13" s="170"/>
      <c r="EX13" s="170"/>
      <c r="EY13" s="170"/>
      <c r="EZ13" s="170"/>
      <c r="FA13" s="170"/>
      <c r="FB13" s="170"/>
      <c r="FC13" s="172"/>
      <c r="FD13" s="170"/>
      <c r="FE13" s="170"/>
      <c r="FF13" s="170"/>
      <c r="FG13" s="170"/>
      <c r="FH13" s="170"/>
      <c r="FI13" s="170"/>
      <c r="FJ13" s="172"/>
      <c r="FK13" s="170"/>
      <c r="FL13" s="170"/>
      <c r="FM13" s="170"/>
      <c r="FN13" s="170"/>
      <c r="FO13" s="170"/>
      <c r="FP13" s="170"/>
      <c r="FQ13" s="172"/>
      <c r="FR13" s="170"/>
      <c r="FS13" s="170"/>
      <c r="FT13" s="170"/>
      <c r="FU13" s="170"/>
      <c r="FV13" s="170"/>
      <c r="FW13" s="170"/>
      <c r="FX13" s="172"/>
      <c r="FY13" s="170"/>
      <c r="FZ13" s="170"/>
      <c r="GA13" s="170"/>
      <c r="GB13" s="170"/>
      <c r="GC13" s="170"/>
      <c r="GD13" s="170"/>
      <c r="GE13" s="172"/>
      <c r="GF13" s="170"/>
      <c r="GG13" s="170"/>
      <c r="GH13" s="170"/>
      <c r="GI13" s="170"/>
      <c r="GJ13" s="170"/>
      <c r="GK13" s="170"/>
      <c r="GL13" s="172"/>
      <c r="GM13" s="170"/>
      <c r="GN13" s="170"/>
      <c r="GO13" s="170"/>
      <c r="GP13" s="170"/>
      <c r="GQ13" s="170"/>
      <c r="GR13" s="170"/>
      <c r="GS13" s="172"/>
      <c r="GT13" s="170"/>
      <c r="GU13" s="170"/>
      <c r="GV13" s="170"/>
      <c r="GW13" s="170"/>
      <c r="GX13" s="170"/>
      <c r="GY13" s="170"/>
      <c r="GZ13" s="172"/>
      <c r="HA13" s="170"/>
      <c r="HB13" s="170"/>
      <c r="HC13" s="170"/>
      <c r="HD13" s="170"/>
      <c r="HE13" s="170"/>
      <c r="HF13" s="170"/>
      <c r="HG13" s="172"/>
      <c r="HH13" s="170"/>
      <c r="HI13" s="170"/>
      <c r="HJ13" s="170"/>
      <c r="HK13" s="170"/>
      <c r="HL13" s="170"/>
      <c r="HM13" s="170"/>
      <c r="HN13" s="172"/>
      <c r="HO13" s="170"/>
      <c r="HP13" s="170"/>
      <c r="HQ13" s="34"/>
    </row>
  </sheetData>
  <mergeCells count="7">
    <mergeCell ref="L1:L2"/>
    <mergeCell ref="A11:H11"/>
    <mergeCell ref="A12:H12"/>
    <mergeCell ref="A1:H2"/>
    <mergeCell ref="I1:I2"/>
    <mergeCell ref="J1:J2"/>
    <mergeCell ref="K1:K2"/>
  </mergeCells>
  <pageMargins left="0.7" right="0.7" top="0.78740157499999996" bottom="0.78740157499999996" header="0.3" footer="0.3"/>
  <ignoredErrors>
    <ignoredError sqref="AD11:AF11 AI11:AL11"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opLeftCell="A13" workbookViewId="0">
      <pane xSplit="12" topLeftCell="R1" activePane="topRight" state="frozen"/>
      <selection pane="topRight" activeCell="BR28" sqref="BR28"/>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0.85546875" hidden="1" customWidth="1"/>
    <col min="10" max="12" width="3.7109375" style="44" customWidth="1"/>
    <col min="13" max="255" width="3.7109375" customWidth="1"/>
  </cols>
  <sheetData>
    <row r="1" spans="1:262" ht="15" customHeight="1" x14ac:dyDescent="0.25">
      <c r="A1" s="215" t="s">
        <v>46</v>
      </c>
      <c r="B1" s="216"/>
      <c r="C1" s="216"/>
      <c r="D1" s="216"/>
      <c r="E1" s="216"/>
      <c r="F1" s="216"/>
      <c r="G1" s="216"/>
      <c r="H1" s="217"/>
      <c r="I1" s="221" t="str">
        <f>A1</f>
        <v>BL</v>
      </c>
      <c r="J1" s="223" t="s">
        <v>38</v>
      </c>
      <c r="K1" s="225" t="s">
        <v>49</v>
      </c>
      <c r="L1" s="207"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18"/>
      <c r="B2" s="219"/>
      <c r="C2" s="219"/>
      <c r="D2" s="219"/>
      <c r="E2" s="219"/>
      <c r="F2" s="219"/>
      <c r="G2" s="219"/>
      <c r="H2" s="220"/>
      <c r="I2" s="222"/>
      <c r="J2" s="224"/>
      <c r="K2" s="226"/>
      <c r="L2" s="208"/>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35</v>
      </c>
      <c r="L3" s="191">
        <f t="shared" ref="L3:L24" si="5">K3/K$25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31</v>
      </c>
      <c r="L4" s="192">
        <f t="shared" si="5"/>
        <v>88.571428571428569</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35</v>
      </c>
      <c r="L5" s="192">
        <f t="shared" si="5"/>
        <v>100</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30</v>
      </c>
      <c r="L6" s="192">
        <f t="shared" si="5"/>
        <v>85.714285714285708</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33</v>
      </c>
      <c r="L7" s="192">
        <f t="shared" si="5"/>
        <v>94.285714285714278</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811</v>
      </c>
      <c r="K8" s="19">
        <f t="shared" si="7"/>
        <v>23</v>
      </c>
      <c r="L8" s="192">
        <f t="shared" si="5"/>
        <v>65.714285714285708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35</v>
      </c>
      <c r="L9" s="192">
        <f t="shared" si="5"/>
        <v>100</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32</v>
      </c>
      <c r="L10" s="192">
        <f t="shared" si="5"/>
        <v>91.428571428571431</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27</v>
      </c>
      <c r="L11" s="192">
        <f t="shared" si="5"/>
        <v>77.142857142857153</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32</v>
      </c>
      <c r="L12" s="192">
        <f t="shared" si="5"/>
        <v>91.428571428571431</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29</v>
      </c>
      <c r="L13" s="192">
        <f t="shared" si="5"/>
        <v>82.857142857142861</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811</v>
      </c>
      <c r="K14" s="19">
        <f t="shared" si="7"/>
        <v>29</v>
      </c>
      <c r="L14" s="192">
        <f t="shared" si="5"/>
        <v>82.857142857142861</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794</v>
      </c>
      <c r="K15" s="19">
        <f t="shared" si="7"/>
        <v>19</v>
      </c>
      <c r="L15" s="192">
        <f t="shared" si="5"/>
        <v>54.285714285714285</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35</v>
      </c>
      <c r="L16" s="192">
        <f t="shared" si="5"/>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35</v>
      </c>
      <c r="L17" s="192">
        <f t="shared" si="5"/>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35</v>
      </c>
      <c r="L18" s="192">
        <f t="shared" si="5"/>
        <v>100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794</v>
      </c>
      <c r="K19" s="88">
        <f t="shared" si="7"/>
        <v>17</v>
      </c>
      <c r="L19" s="193">
        <f t="shared" si="5"/>
        <v>48.571428571428569</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30</v>
      </c>
      <c r="L20" s="192">
        <f t="shared" si="5"/>
        <v>85.714285714285708</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796</v>
      </c>
      <c r="K21" s="10">
        <f t="shared" si="7"/>
        <v>14</v>
      </c>
      <c r="L21" s="192">
        <f t="shared" si="5"/>
        <v>40</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34</v>
      </c>
      <c r="L22" s="194">
        <f t="shared" si="5"/>
        <v>97.142857142857139</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34"/>
      <c r="BS22" s="7"/>
      <c r="BT22" s="34"/>
      <c r="BU22" s="34"/>
      <c r="BV22" s="34"/>
      <c r="BW22" s="34"/>
      <c r="BX22" s="34"/>
      <c r="BY22" s="34"/>
      <c r="BZ22" s="7"/>
      <c r="CA22" s="34"/>
      <c r="CB22" s="34"/>
      <c r="CC22" s="34"/>
      <c r="CD22" s="34"/>
      <c r="CE22" s="34"/>
      <c r="CF22" s="34"/>
      <c r="CG22" s="7"/>
      <c r="CH22" s="34"/>
      <c r="CI22" s="34"/>
      <c r="CJ22" s="34"/>
      <c r="CK22" s="34"/>
      <c r="CL22" s="34"/>
      <c r="CM22" s="34"/>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09" t="s">
        <v>647</v>
      </c>
      <c r="B23" s="210"/>
      <c r="C23" s="210"/>
      <c r="D23" s="210"/>
      <c r="E23" s="210"/>
      <c r="F23" s="210"/>
      <c r="G23" s="210"/>
      <c r="H23" s="211"/>
      <c r="I23" s="181" t="str">
        <f>"#1|" &amp; A23</f>
        <v>#1|Spielerinnen</v>
      </c>
      <c r="J23" s="177"/>
      <c r="K23" s="188">
        <f>SUM(K3:K19) / (17)</f>
        <v>30.117647058823529</v>
      </c>
      <c r="L23" s="187">
        <f t="shared" si="5"/>
        <v>86.05042016806722</v>
      </c>
      <c r="M23" s="150">
        <v>12</v>
      </c>
      <c r="N23" s="150">
        <v>7</v>
      </c>
      <c r="O23" s="166"/>
      <c r="P23" s="186" t="str">
        <f>IF(SUM(P3:P19) &gt; 0, SUM(P3:P19), "")</f>
        <v/>
      </c>
      <c r="Q23" s="150" t="str">
        <f t="shared" ref="Q23:V23" si="8">IF(SUM(Q3:Q19) &gt; 0, SUM(Q3:Q19), "")</f>
        <v/>
      </c>
      <c r="R23" s="150" t="str">
        <f t="shared" si="8"/>
        <v/>
      </c>
      <c r="S23" s="150" t="str">
        <f t="shared" si="8"/>
        <v/>
      </c>
      <c r="T23" s="150" t="str">
        <f t="shared" si="8"/>
        <v/>
      </c>
      <c r="U23" s="150">
        <f t="shared" si="8"/>
        <v>15</v>
      </c>
      <c r="V23" s="166" t="str">
        <f t="shared" si="8"/>
        <v/>
      </c>
      <c r="W23" s="186">
        <f>IF(SUM(W3:W19) &gt; 0, SUM(W3:W19), "")</f>
        <v>12</v>
      </c>
      <c r="X23" s="150">
        <f t="shared" ref="X23:AC23" si="9">IF(SUM(X3:X19) &gt; 0, SUM(X3:X19), "")</f>
        <v>14</v>
      </c>
      <c r="Y23" s="150" t="str">
        <f t="shared" si="9"/>
        <v/>
      </c>
      <c r="Z23" s="150">
        <f t="shared" si="9"/>
        <v>13</v>
      </c>
      <c r="AA23" s="150">
        <f t="shared" si="9"/>
        <v>15</v>
      </c>
      <c r="AB23" s="150" t="str">
        <f t="shared" si="9"/>
        <v/>
      </c>
      <c r="AC23" s="166" t="str">
        <f t="shared" si="9"/>
        <v/>
      </c>
      <c r="AD23" s="186">
        <f>IF(SUM(AD3:AD19) &gt; 0, SUM(AD3:AD19), "")</f>
        <v>17</v>
      </c>
      <c r="AE23" s="150">
        <f t="shared" ref="AE23:AJ23" si="10">IF(SUM(AE3:AE19) &gt; 0, SUM(AE3:AE19), "")</f>
        <v>14</v>
      </c>
      <c r="AF23" s="150" t="str">
        <f t="shared" si="10"/>
        <v/>
      </c>
      <c r="AG23" s="150">
        <f t="shared" si="10"/>
        <v>13</v>
      </c>
      <c r="AH23" s="150">
        <f t="shared" si="10"/>
        <v>15</v>
      </c>
      <c r="AI23" s="150">
        <f t="shared" si="10"/>
        <v>17</v>
      </c>
      <c r="AJ23" s="166">
        <f t="shared" si="10"/>
        <v>17</v>
      </c>
      <c r="AK23" s="186">
        <f>IF(SUM(AK3:AK19) &gt; 0, SUM(AK3:AK19), "")</f>
        <v>16</v>
      </c>
      <c r="AL23" s="150">
        <f t="shared" ref="AL23:AQ23" si="11">IF(SUM(AL3:AL19) &gt; 0, SUM(AL3:AL19), "")</f>
        <v>17</v>
      </c>
      <c r="AM23" s="150" t="str">
        <f t="shared" si="11"/>
        <v/>
      </c>
      <c r="AN23" s="150">
        <f t="shared" si="11"/>
        <v>15</v>
      </c>
      <c r="AO23" s="150">
        <f t="shared" si="11"/>
        <v>13</v>
      </c>
      <c r="AP23" s="150">
        <f t="shared" si="11"/>
        <v>17</v>
      </c>
      <c r="AQ23" s="166">
        <f t="shared" si="11"/>
        <v>14</v>
      </c>
      <c r="AR23" s="186">
        <f>IF(SUM(AR3:AR19) &gt; 0, SUM(AR3:AR19), "")</f>
        <v>14</v>
      </c>
      <c r="AS23" s="150">
        <f t="shared" ref="AS23:AX23" si="12">IF(SUM(AS3:AS19) &gt; 0, SUM(AS3:AS19), "")</f>
        <v>16</v>
      </c>
      <c r="AT23" s="150" t="str">
        <f t="shared" si="12"/>
        <v/>
      </c>
      <c r="AU23" s="150">
        <f t="shared" si="12"/>
        <v>16</v>
      </c>
      <c r="AV23" s="150">
        <f t="shared" si="12"/>
        <v>15</v>
      </c>
      <c r="AW23" s="150">
        <f t="shared" si="12"/>
        <v>16</v>
      </c>
      <c r="AX23" s="166" t="str">
        <f t="shared" si="12"/>
        <v/>
      </c>
      <c r="AY23" s="186">
        <f>IF(SUM(AY3:AY19) &gt; 0, SUM(AY3:AY19), "")</f>
        <v>15</v>
      </c>
      <c r="AZ23" s="150">
        <f t="shared" ref="AZ23:BE23" si="13">IF(SUM(AZ3:AZ19) &gt; 0, SUM(AZ3:AZ19), "")</f>
        <v>13</v>
      </c>
      <c r="BA23" s="150" t="str">
        <f t="shared" si="13"/>
        <v/>
      </c>
      <c r="BB23" s="150">
        <f t="shared" si="13"/>
        <v>14</v>
      </c>
      <c r="BC23" s="150">
        <f t="shared" si="13"/>
        <v>11</v>
      </c>
      <c r="BD23" s="150" t="str">
        <f t="shared" si="13"/>
        <v/>
      </c>
      <c r="BE23" s="166" t="str">
        <f t="shared" si="13"/>
        <v/>
      </c>
      <c r="BF23" s="186">
        <f>IF(SUM(BF3:BF19) &gt; 0, SUM(BF3:BF19), "")</f>
        <v>14</v>
      </c>
      <c r="BG23" s="150">
        <f t="shared" ref="BG23:BL23" si="14">IF(SUM(BG3:BG19) &gt; 0, SUM(BG3:BG19), "")</f>
        <v>15</v>
      </c>
      <c r="BH23" s="150" t="str">
        <f t="shared" si="14"/>
        <v/>
      </c>
      <c r="BI23" s="150">
        <f t="shared" si="14"/>
        <v>15</v>
      </c>
      <c r="BJ23" s="150">
        <f t="shared" si="14"/>
        <v>14</v>
      </c>
      <c r="BK23" s="150">
        <f t="shared" si="14"/>
        <v>14</v>
      </c>
      <c r="BL23" s="166" t="str">
        <f t="shared" si="14"/>
        <v/>
      </c>
      <c r="BM23" s="186">
        <f>IF(SUM(BM3:BM19) &gt; 0, SUM(BM3:BM19), "")</f>
        <v>15</v>
      </c>
      <c r="BN23" s="150">
        <f t="shared" ref="BN23:BS23" si="15">IF(SUM(BN3:BN19) &gt; 0, SUM(BN3:BN19), "")</f>
        <v>16</v>
      </c>
      <c r="BO23" s="150" t="str">
        <f t="shared" si="15"/>
        <v/>
      </c>
      <c r="BP23" s="150">
        <f t="shared" si="15"/>
        <v>13</v>
      </c>
      <c r="BQ23" s="150">
        <f t="shared" si="15"/>
        <v>12</v>
      </c>
      <c r="BR23" s="150" t="str">
        <f t="shared" si="15"/>
        <v/>
      </c>
      <c r="BS23" s="166" t="str">
        <f t="shared" si="15"/>
        <v/>
      </c>
      <c r="BT23" s="186" t="str">
        <f>IF(SUM(BT3:BT19) &gt; 0, SUM(BT3:BT19), "")</f>
        <v/>
      </c>
      <c r="BU23" s="150" t="str">
        <f t="shared" ref="BU23:BZ23" si="16">IF(SUM(BU3:BU19) &gt; 0, SUM(BU3:BU19), "")</f>
        <v/>
      </c>
      <c r="BV23" s="150" t="str">
        <f t="shared" si="16"/>
        <v/>
      </c>
      <c r="BW23" s="150" t="str">
        <f t="shared" si="16"/>
        <v/>
      </c>
      <c r="BX23" s="150" t="str">
        <f t="shared" si="16"/>
        <v/>
      </c>
      <c r="BY23" s="150" t="str">
        <f t="shared" si="16"/>
        <v/>
      </c>
      <c r="BZ23" s="166" t="str">
        <f t="shared" si="16"/>
        <v/>
      </c>
      <c r="CA23" s="186" t="str">
        <f>IF(SUM(CA3:CA19) &gt; 0, SUM(CA3:CA19), "")</f>
        <v/>
      </c>
      <c r="CB23" s="150" t="str">
        <f t="shared" ref="CB23:CG23" si="17">IF(SUM(CB3:CB19) &gt; 0, SUM(CB3:CB19), "")</f>
        <v/>
      </c>
      <c r="CC23" s="150" t="str">
        <f t="shared" si="17"/>
        <v/>
      </c>
      <c r="CD23" s="150" t="str">
        <f t="shared" si="17"/>
        <v/>
      </c>
      <c r="CE23" s="150" t="str">
        <f t="shared" si="17"/>
        <v/>
      </c>
      <c r="CF23" s="150" t="str">
        <f t="shared" si="17"/>
        <v/>
      </c>
      <c r="CG23" s="166" t="str">
        <f t="shared" si="17"/>
        <v/>
      </c>
      <c r="CH23" s="186" t="str">
        <f>IF(SUM(CH3:CH19) &gt; 0, SUM(CH3:CH19), "")</f>
        <v/>
      </c>
      <c r="CI23" s="150" t="str">
        <f t="shared" ref="CI23:CN23" si="18">IF(SUM(CI3:CI19) &gt; 0, SUM(CI3:CI19), "")</f>
        <v/>
      </c>
      <c r="CJ23" s="150" t="str">
        <f t="shared" si="18"/>
        <v/>
      </c>
      <c r="CK23" s="150" t="str">
        <f t="shared" si="18"/>
        <v/>
      </c>
      <c r="CL23" s="150" t="str">
        <f t="shared" si="18"/>
        <v/>
      </c>
      <c r="CM23" s="150" t="str">
        <f t="shared" si="18"/>
        <v/>
      </c>
      <c r="CN23" s="166" t="str">
        <f t="shared" si="18"/>
        <v/>
      </c>
      <c r="CO23" s="186" t="str">
        <f>IF(SUM(CO3:CO19) &gt; 0, SUM(CO3:CO19), "")</f>
        <v/>
      </c>
      <c r="CP23" s="150" t="str">
        <f t="shared" ref="CP23:CU23" si="19">IF(SUM(CP3:CP19) &gt; 0, SUM(CP3:CP19), "")</f>
        <v/>
      </c>
      <c r="CQ23" s="150" t="str">
        <f t="shared" si="19"/>
        <v/>
      </c>
      <c r="CR23" s="150" t="str">
        <f t="shared" si="19"/>
        <v/>
      </c>
      <c r="CS23" s="150" t="str">
        <f t="shared" si="19"/>
        <v/>
      </c>
      <c r="CT23" s="150" t="str">
        <f t="shared" si="19"/>
        <v/>
      </c>
      <c r="CU23" s="166" t="str">
        <f t="shared" si="19"/>
        <v/>
      </c>
      <c r="CV23" s="186" t="str">
        <f>IF(SUM(CV3:CV19) &gt; 0, SUM(CV3:CV19), "")</f>
        <v/>
      </c>
      <c r="CW23" s="150" t="str">
        <f t="shared" ref="CW23:DB23" si="20">IF(SUM(CW3:CW19) &gt; 0, SUM(CW3:CW19), "")</f>
        <v/>
      </c>
      <c r="CX23" s="150" t="str">
        <f t="shared" si="20"/>
        <v/>
      </c>
      <c r="CY23" s="150" t="str">
        <f t="shared" si="20"/>
        <v/>
      </c>
      <c r="CZ23" s="150" t="str">
        <f t="shared" si="20"/>
        <v/>
      </c>
      <c r="DA23" s="150" t="str">
        <f t="shared" si="20"/>
        <v/>
      </c>
      <c r="DB23" s="166" t="str">
        <f t="shared" si="20"/>
        <v/>
      </c>
      <c r="DC23" s="186" t="str">
        <f>IF(SUM(DC3:DC19) &gt; 0, SUM(DC3:DC19), "")</f>
        <v/>
      </c>
      <c r="DD23" s="150" t="str">
        <f t="shared" ref="DD23:DI23" si="21">IF(SUM(DD3:DD19) &gt; 0, SUM(DD3:DD19), "")</f>
        <v/>
      </c>
      <c r="DE23" s="150" t="str">
        <f t="shared" si="21"/>
        <v/>
      </c>
      <c r="DF23" s="150" t="str">
        <f t="shared" si="21"/>
        <v/>
      </c>
      <c r="DG23" s="150" t="str">
        <f t="shared" si="21"/>
        <v/>
      </c>
      <c r="DH23" s="150" t="str">
        <f t="shared" si="21"/>
        <v/>
      </c>
      <c r="DI23" s="166" t="str">
        <f t="shared" si="21"/>
        <v/>
      </c>
      <c r="DJ23" s="186" t="str">
        <f>IF(SUM(DJ3:DJ19) &gt; 0, SUM(DJ3:DJ19), "")</f>
        <v/>
      </c>
      <c r="DK23" s="150" t="str">
        <f t="shared" ref="DK23:DP23" si="22">IF(SUM(DK3:DK19) &gt; 0, SUM(DK3:DK19), "")</f>
        <v/>
      </c>
      <c r="DL23" s="150" t="str">
        <f t="shared" si="22"/>
        <v/>
      </c>
      <c r="DM23" s="150" t="str">
        <f t="shared" si="22"/>
        <v/>
      </c>
      <c r="DN23" s="150" t="str">
        <f t="shared" si="22"/>
        <v/>
      </c>
      <c r="DO23" s="150" t="str">
        <f t="shared" si="22"/>
        <v/>
      </c>
      <c r="DP23" s="166" t="str">
        <f t="shared" si="22"/>
        <v/>
      </c>
      <c r="DQ23" s="186" t="str">
        <f>IF(SUM(DQ3:DQ19) &gt; 0, SUM(DQ3:DQ19), "")</f>
        <v/>
      </c>
      <c r="DR23" s="150" t="str">
        <f t="shared" ref="DR23:DW23" si="23">IF(SUM(DR3:DR19) &gt; 0, SUM(DR3:DR19), "")</f>
        <v/>
      </c>
      <c r="DS23" s="150" t="str">
        <f t="shared" si="23"/>
        <v/>
      </c>
      <c r="DT23" s="150" t="str">
        <f t="shared" si="23"/>
        <v/>
      </c>
      <c r="DU23" s="150" t="str">
        <f t="shared" si="23"/>
        <v/>
      </c>
      <c r="DV23" s="150" t="str">
        <f t="shared" si="23"/>
        <v/>
      </c>
      <c r="DW23" s="166" t="str">
        <f t="shared" si="23"/>
        <v/>
      </c>
      <c r="DX23" s="186" t="str">
        <f>IF(SUM(DX3:DX19) &gt; 0, SUM(DX3:DX19), "")</f>
        <v/>
      </c>
      <c r="DY23" s="150" t="str">
        <f t="shared" ref="DY23:ED23" si="24">IF(SUM(DY3:DY19) &gt; 0, SUM(DY3:DY19), "")</f>
        <v/>
      </c>
      <c r="DZ23" s="150" t="str">
        <f t="shared" si="24"/>
        <v/>
      </c>
      <c r="EA23" s="150" t="str">
        <f t="shared" si="24"/>
        <v/>
      </c>
      <c r="EB23" s="150" t="str">
        <f t="shared" si="24"/>
        <v/>
      </c>
      <c r="EC23" s="150" t="str">
        <f t="shared" si="24"/>
        <v/>
      </c>
      <c r="ED23" s="166" t="str">
        <f t="shared" si="24"/>
        <v/>
      </c>
      <c r="EE23" s="186" t="str">
        <f>IF(SUM(EE3:EE19) &gt; 0, SUM(EE3:EE19), "")</f>
        <v/>
      </c>
      <c r="EF23" s="150" t="str">
        <f t="shared" ref="EF23:EK23" si="25">IF(SUM(EF3:EF19) &gt; 0, SUM(EF3:EF19), "")</f>
        <v/>
      </c>
      <c r="EG23" s="150" t="str">
        <f t="shared" si="25"/>
        <v/>
      </c>
      <c r="EH23" s="150" t="str">
        <f t="shared" si="25"/>
        <v/>
      </c>
      <c r="EI23" s="150" t="str">
        <f t="shared" si="25"/>
        <v/>
      </c>
      <c r="EJ23" s="150" t="str">
        <f t="shared" si="25"/>
        <v/>
      </c>
      <c r="EK23" s="166" t="str">
        <f t="shared" si="25"/>
        <v/>
      </c>
      <c r="EL23" s="186" t="str">
        <f>IF(SUM(EL3:EL19) &gt; 0, SUM(EL3:EL19), "")</f>
        <v/>
      </c>
      <c r="EM23" s="150" t="str">
        <f t="shared" ref="EM23:ER23" si="26">IF(SUM(EM3:EM19) &gt; 0, SUM(EM3:EM19), "")</f>
        <v/>
      </c>
      <c r="EN23" s="150" t="str">
        <f t="shared" si="26"/>
        <v/>
      </c>
      <c r="EO23" s="150" t="str">
        <f t="shared" si="26"/>
        <v/>
      </c>
      <c r="EP23" s="150" t="str">
        <f t="shared" si="26"/>
        <v/>
      </c>
      <c r="EQ23" s="150" t="str">
        <f t="shared" si="26"/>
        <v/>
      </c>
      <c r="ER23" s="166" t="str">
        <f t="shared" si="26"/>
        <v/>
      </c>
      <c r="ES23" s="186" t="str">
        <f>IF(SUM(ES3:ES19) &gt; 0, SUM(ES3:ES19), "")</f>
        <v/>
      </c>
      <c r="ET23" s="150" t="str">
        <f t="shared" ref="ET23:EY23" si="27">IF(SUM(ET3:ET19) &gt; 0, SUM(ET3:ET19), "")</f>
        <v/>
      </c>
      <c r="EU23" s="150" t="str">
        <f t="shared" si="27"/>
        <v/>
      </c>
      <c r="EV23" s="150" t="str">
        <f t="shared" si="27"/>
        <v/>
      </c>
      <c r="EW23" s="150" t="str">
        <f t="shared" si="27"/>
        <v/>
      </c>
      <c r="EX23" s="150" t="str">
        <f t="shared" si="27"/>
        <v/>
      </c>
      <c r="EY23" s="166" t="str">
        <f t="shared" si="27"/>
        <v/>
      </c>
      <c r="EZ23" s="186" t="str">
        <f>IF(SUM(EZ3:EZ19) &gt; 0, SUM(EZ3:EZ19), "")</f>
        <v/>
      </c>
      <c r="FA23" s="150" t="str">
        <f t="shared" ref="FA23:FF23" si="28">IF(SUM(FA3:FA19) &gt; 0, SUM(FA3:FA19), "")</f>
        <v/>
      </c>
      <c r="FB23" s="150" t="str">
        <f t="shared" si="28"/>
        <v/>
      </c>
      <c r="FC23" s="150" t="str">
        <f t="shared" si="28"/>
        <v/>
      </c>
      <c r="FD23" s="150" t="str">
        <f t="shared" si="28"/>
        <v/>
      </c>
      <c r="FE23" s="150" t="str">
        <f t="shared" si="28"/>
        <v/>
      </c>
      <c r="FF23" s="166" t="str">
        <f t="shared" si="28"/>
        <v/>
      </c>
      <c r="FG23" s="186" t="str">
        <f>IF(SUM(FG3:FG19) &gt; 0, SUM(FG3:FG19), "")</f>
        <v/>
      </c>
      <c r="FH23" s="150" t="str">
        <f t="shared" ref="FH23:FM23" si="29">IF(SUM(FH3:FH19) &gt; 0, SUM(FH3:FH19), "")</f>
        <v/>
      </c>
      <c r="FI23" s="150" t="str">
        <f t="shared" si="29"/>
        <v/>
      </c>
      <c r="FJ23" s="150" t="str">
        <f t="shared" si="29"/>
        <v/>
      </c>
      <c r="FK23" s="150" t="str">
        <f t="shared" si="29"/>
        <v/>
      </c>
      <c r="FL23" s="150" t="str">
        <f t="shared" si="29"/>
        <v/>
      </c>
      <c r="FM23" s="166" t="str">
        <f t="shared" si="29"/>
        <v/>
      </c>
      <c r="FN23" s="186" t="str">
        <f>IF(SUM(FN3:FN19) &gt; 0, SUM(FN3:FN19), "")</f>
        <v/>
      </c>
      <c r="FO23" s="150" t="str">
        <f t="shared" ref="FO23:FT23" si="30">IF(SUM(FO3:FO19) &gt; 0, SUM(FO3:FO19), "")</f>
        <v/>
      </c>
      <c r="FP23" s="150" t="str">
        <f t="shared" si="30"/>
        <v/>
      </c>
      <c r="FQ23" s="150" t="str">
        <f t="shared" si="30"/>
        <v/>
      </c>
      <c r="FR23" s="150" t="str">
        <f t="shared" si="30"/>
        <v/>
      </c>
      <c r="FS23" s="150" t="str">
        <f t="shared" si="30"/>
        <v/>
      </c>
      <c r="FT23" s="166" t="str">
        <f t="shared" si="30"/>
        <v/>
      </c>
      <c r="FU23" s="186" t="str">
        <f>IF(SUM(FU3:FU19) &gt; 0, SUM(FU3:FU19), "")</f>
        <v/>
      </c>
      <c r="FV23" s="150" t="str">
        <f t="shared" ref="FV23:GA23" si="31">IF(SUM(FV3:FV19) &gt; 0, SUM(FV3:FV19), "")</f>
        <v/>
      </c>
      <c r="FW23" s="150" t="str">
        <f t="shared" si="31"/>
        <v/>
      </c>
      <c r="FX23" s="150" t="str">
        <f t="shared" si="31"/>
        <v/>
      </c>
      <c r="FY23" s="150" t="str">
        <f t="shared" si="31"/>
        <v/>
      </c>
      <c r="FZ23" s="150" t="str">
        <f t="shared" si="31"/>
        <v/>
      </c>
      <c r="GA23" s="166" t="str">
        <f t="shared" si="31"/>
        <v/>
      </c>
      <c r="GB23" s="186" t="str">
        <f>IF(SUM(GB3:GB19) &gt; 0, SUM(GB3:GB19), "")</f>
        <v/>
      </c>
      <c r="GC23" s="150" t="str">
        <f t="shared" ref="GC23:GH23" si="32">IF(SUM(GC3:GC19) &gt; 0, SUM(GC3:GC19), "")</f>
        <v/>
      </c>
      <c r="GD23" s="150" t="str">
        <f t="shared" si="32"/>
        <v/>
      </c>
      <c r="GE23" s="150" t="str">
        <f t="shared" si="32"/>
        <v/>
      </c>
      <c r="GF23" s="150" t="str">
        <f t="shared" si="32"/>
        <v/>
      </c>
      <c r="GG23" s="150" t="str">
        <f t="shared" si="32"/>
        <v/>
      </c>
      <c r="GH23" s="166" t="str">
        <f t="shared" si="32"/>
        <v/>
      </c>
      <c r="GI23" s="186" t="str">
        <f>IF(SUM(GI3:GI19) &gt; 0, SUM(GI3:GI19), "")</f>
        <v/>
      </c>
      <c r="GJ23" s="150" t="str">
        <f t="shared" ref="GJ23:GO23" si="33">IF(SUM(GJ3:GJ19) &gt; 0, SUM(GJ3:GJ19), "")</f>
        <v/>
      </c>
      <c r="GK23" s="150" t="str">
        <f t="shared" si="33"/>
        <v/>
      </c>
      <c r="GL23" s="150" t="str">
        <f t="shared" si="33"/>
        <v/>
      </c>
      <c r="GM23" s="150" t="str">
        <f t="shared" si="33"/>
        <v/>
      </c>
      <c r="GN23" s="150" t="str">
        <f t="shared" si="33"/>
        <v/>
      </c>
      <c r="GO23" s="166" t="str">
        <f t="shared" si="33"/>
        <v/>
      </c>
      <c r="GP23" s="186" t="str">
        <f>IF(SUM(GP3:GP19) &gt; 0, SUM(GP3:GP19), "")</f>
        <v/>
      </c>
      <c r="GQ23" s="150" t="str">
        <f t="shared" ref="GQ23:GV23" si="34">IF(SUM(GQ3:GQ19) &gt; 0, SUM(GQ3:GQ19), "")</f>
        <v/>
      </c>
      <c r="GR23" s="150" t="str">
        <f t="shared" si="34"/>
        <v/>
      </c>
      <c r="GS23" s="150" t="str">
        <f t="shared" si="34"/>
        <v/>
      </c>
      <c r="GT23" s="150" t="str">
        <f t="shared" si="34"/>
        <v/>
      </c>
      <c r="GU23" s="150" t="str">
        <f t="shared" si="34"/>
        <v/>
      </c>
      <c r="GV23" s="166" t="str">
        <f t="shared" si="34"/>
        <v/>
      </c>
      <c r="GW23" s="186" t="str">
        <f>IF(SUM(GW3:GW19) &gt; 0, SUM(GW3:GW19), "")</f>
        <v/>
      </c>
      <c r="GX23" s="150" t="str">
        <f t="shared" ref="GX23:HC23" si="35">IF(SUM(GX3:GX19) &gt; 0, SUM(GX3:GX19), "")</f>
        <v/>
      </c>
      <c r="GY23" s="150" t="str">
        <f t="shared" si="35"/>
        <v/>
      </c>
      <c r="GZ23" s="150" t="str">
        <f t="shared" si="35"/>
        <v/>
      </c>
      <c r="HA23" s="150" t="str">
        <f t="shared" si="35"/>
        <v/>
      </c>
      <c r="HB23" s="150" t="str">
        <f t="shared" si="35"/>
        <v/>
      </c>
      <c r="HC23" s="166" t="str">
        <f t="shared" si="35"/>
        <v/>
      </c>
      <c r="HD23" s="186" t="str">
        <f>IF(SUM(HD3:HD19) &gt; 0, SUM(HD3:HD19), "")</f>
        <v/>
      </c>
      <c r="HE23" s="150" t="str">
        <f t="shared" ref="HE23:HJ23" si="36">IF(SUM(HE3:HE19) &gt; 0, SUM(HE3:HE19), "")</f>
        <v/>
      </c>
      <c r="HF23" s="150" t="str">
        <f t="shared" si="36"/>
        <v/>
      </c>
      <c r="HG23" s="150" t="str">
        <f t="shared" si="36"/>
        <v/>
      </c>
      <c r="HH23" s="150" t="str">
        <f t="shared" si="36"/>
        <v/>
      </c>
      <c r="HI23" s="150" t="str">
        <f t="shared" si="36"/>
        <v/>
      </c>
      <c r="HJ23" s="166" t="str">
        <f t="shared" si="36"/>
        <v/>
      </c>
      <c r="HK23" s="186" t="str">
        <f>IF(SUM(HK3:HK19) &gt; 0, SUM(HK3:HK19), "")</f>
        <v/>
      </c>
      <c r="HL23" s="150" t="str">
        <f t="shared" ref="HL23:HQ23" si="37">IF(SUM(HL3:HL19) &gt; 0, SUM(HL3:HL19), "")</f>
        <v/>
      </c>
      <c r="HM23" s="150" t="str">
        <f t="shared" si="37"/>
        <v/>
      </c>
      <c r="HN23" s="150" t="str">
        <f t="shared" si="37"/>
        <v/>
      </c>
      <c r="HO23" s="150" t="str">
        <f t="shared" si="37"/>
        <v/>
      </c>
      <c r="HP23" s="150" t="str">
        <f t="shared" si="37"/>
        <v/>
      </c>
      <c r="HQ23" s="166" t="str">
        <f t="shared" si="37"/>
        <v/>
      </c>
      <c r="HR23" s="186" t="str">
        <f>IF(SUM(HR3:HR19) &gt; 0, SUM(HR3:HR19), "")</f>
        <v/>
      </c>
      <c r="HS23" s="150" t="str">
        <f t="shared" ref="HS23:HX23" si="38">IF(SUM(HS3:HS19) &gt; 0, SUM(HS3:HS19), "")</f>
        <v/>
      </c>
      <c r="HT23" s="150" t="str">
        <f t="shared" si="38"/>
        <v/>
      </c>
      <c r="HU23" s="150" t="str">
        <f t="shared" si="38"/>
        <v/>
      </c>
      <c r="HV23" s="150" t="str">
        <f t="shared" si="38"/>
        <v/>
      </c>
      <c r="HW23" s="150" t="str">
        <f t="shared" si="38"/>
        <v/>
      </c>
      <c r="HX23" s="166" t="str">
        <f t="shared" si="38"/>
        <v/>
      </c>
      <c r="HY23" s="186" t="str">
        <f>IF(SUM(HY3:HY19) &gt; 0, SUM(HY3:HY19), "")</f>
        <v/>
      </c>
      <c r="HZ23" s="150" t="str">
        <f t="shared" ref="HZ23:IE23" si="39">IF(SUM(HZ3:HZ19) &gt; 0, SUM(HZ3:HZ19), "")</f>
        <v/>
      </c>
      <c r="IA23" s="150" t="str">
        <f t="shared" si="39"/>
        <v/>
      </c>
      <c r="IB23" s="150" t="str">
        <f t="shared" si="39"/>
        <v/>
      </c>
      <c r="IC23" s="150" t="str">
        <f t="shared" si="39"/>
        <v/>
      </c>
      <c r="ID23" s="150" t="str">
        <f t="shared" si="39"/>
        <v/>
      </c>
      <c r="IE23" s="166" t="str">
        <f t="shared" si="39"/>
        <v/>
      </c>
      <c r="IF23" s="186" t="str">
        <f>IF(SUM(IF3:IF19) &gt; 0, SUM(IF3:IF19), "")</f>
        <v/>
      </c>
      <c r="IG23" s="150" t="str">
        <f t="shared" ref="IG23:IL23" si="40">IF(SUM(IG3:IG19) &gt; 0, SUM(IG3:IG19), "")</f>
        <v/>
      </c>
      <c r="IH23" s="150" t="str">
        <f t="shared" si="40"/>
        <v/>
      </c>
      <c r="II23" s="150" t="str">
        <f t="shared" si="40"/>
        <v/>
      </c>
      <c r="IJ23" s="150" t="str">
        <f t="shared" si="40"/>
        <v/>
      </c>
      <c r="IK23" s="150" t="str">
        <f t="shared" si="40"/>
        <v/>
      </c>
      <c r="IL23" s="166" t="str">
        <f t="shared" si="40"/>
        <v/>
      </c>
      <c r="IM23" s="186" t="str">
        <f>IF(SUM(IM3:IM19) &gt; 0, SUM(IM3:IM19), "")</f>
        <v/>
      </c>
      <c r="IN23" s="150" t="str">
        <f t="shared" ref="IN23:IS23" si="41">IF(SUM(IN3:IN19) &gt; 0, SUM(IN3:IN19), "")</f>
        <v/>
      </c>
      <c r="IO23" s="150" t="str">
        <f t="shared" si="41"/>
        <v/>
      </c>
      <c r="IP23" s="150" t="str">
        <f t="shared" si="41"/>
        <v/>
      </c>
      <c r="IQ23" s="150" t="str">
        <f t="shared" si="41"/>
        <v/>
      </c>
      <c r="IR23" s="150" t="str">
        <f t="shared" si="41"/>
        <v/>
      </c>
      <c r="IS23" s="166" t="str">
        <f t="shared" si="41"/>
        <v/>
      </c>
      <c r="IT23" s="186" t="str">
        <f>IF(SUM(IT3:IT19) &gt; 0, SUM(IT3:IT19), "")</f>
        <v/>
      </c>
      <c r="IU23" s="150" t="str">
        <f t="shared" ref="IU23:IZ23" si="42">IF(SUM(IU3:IU19) &gt; 0, SUM(IU3:IU19), "")</f>
        <v/>
      </c>
      <c r="IV23" s="150" t="str">
        <f t="shared" si="42"/>
        <v/>
      </c>
      <c r="IW23" s="150" t="str">
        <f t="shared" si="42"/>
        <v/>
      </c>
      <c r="IX23" s="150" t="str">
        <f t="shared" si="42"/>
        <v/>
      </c>
      <c r="IY23" s="150" t="str">
        <f t="shared" si="42"/>
        <v/>
      </c>
      <c r="IZ23" s="166" t="str">
        <f t="shared" si="42"/>
        <v/>
      </c>
      <c r="JA23" s="186" t="str">
        <f>IF(SUM(JA3:JA19) &gt; 0, SUM(JA3:JA19), "")</f>
        <v/>
      </c>
      <c r="JB23" s="150" t="str">
        <f t="shared" ref="JB23:JG23" si="43">IF(SUM(JB3:JB19) &gt; 0, SUM(JB3:JB19), "")</f>
        <v/>
      </c>
      <c r="JC23" s="150" t="str">
        <f t="shared" si="43"/>
        <v/>
      </c>
      <c r="JD23" s="150" t="str">
        <f t="shared" si="43"/>
        <v/>
      </c>
      <c r="JE23" s="150" t="str">
        <f t="shared" si="43"/>
        <v/>
      </c>
      <c r="JF23" s="150" t="str">
        <f t="shared" si="43"/>
        <v/>
      </c>
      <c r="JG23" s="166" t="str">
        <f t="shared" si="43"/>
        <v/>
      </c>
    </row>
    <row r="24" spans="1:267" ht="15.75" thickBot="1" x14ac:dyDescent="0.3">
      <c r="A24" s="212" t="s">
        <v>728</v>
      </c>
      <c r="B24" s="213"/>
      <c r="C24" s="213"/>
      <c r="D24" s="213"/>
      <c r="E24" s="213"/>
      <c r="F24" s="213"/>
      <c r="G24" s="213"/>
      <c r="H24" s="214"/>
      <c r="I24" s="180" t="str">
        <f>"#2|" &amp; A24</f>
        <v>#2|Alle</v>
      </c>
      <c r="J24" s="178"/>
      <c r="K24" s="189">
        <f>SUM(K3:K22) / 19</f>
        <v>31.05263157894737</v>
      </c>
      <c r="L24" s="190">
        <f t="shared" si="5"/>
        <v>88.721804511278208</v>
      </c>
      <c r="M24" s="160"/>
      <c r="N24" s="160"/>
      <c r="O24" s="167"/>
      <c r="P24" s="173" t="str">
        <f>IF(SUM(P3:P22) &gt; 0, SUM(P3:P22), "")</f>
        <v/>
      </c>
      <c r="Q24" s="160" t="str">
        <f t="shared" ref="Q24:V24" si="44">IF(SUM(Q3:Q22) &gt; 0, SUM(Q3:Q22), "")</f>
        <v/>
      </c>
      <c r="R24" s="160" t="str">
        <f t="shared" si="44"/>
        <v/>
      </c>
      <c r="S24" s="160" t="str">
        <f t="shared" si="44"/>
        <v/>
      </c>
      <c r="T24" s="160" t="str">
        <f t="shared" si="44"/>
        <v/>
      </c>
      <c r="U24" s="160">
        <f t="shared" si="44"/>
        <v>17</v>
      </c>
      <c r="V24" s="167" t="str">
        <f t="shared" si="44"/>
        <v/>
      </c>
      <c r="W24" s="173">
        <f>IF(SUM(W3:W22) &gt; 0, SUM(W3:W22), "")</f>
        <v>14</v>
      </c>
      <c r="X24" s="160">
        <f t="shared" ref="X24:AC24" si="45">IF(SUM(X3:X22) &gt; 0, SUM(X3:X22), "")</f>
        <v>16</v>
      </c>
      <c r="Y24" s="160" t="str">
        <f t="shared" si="45"/>
        <v/>
      </c>
      <c r="Z24" s="160">
        <f t="shared" si="45"/>
        <v>14</v>
      </c>
      <c r="AA24" s="160">
        <f t="shared" si="45"/>
        <v>16</v>
      </c>
      <c r="AB24" s="160" t="str">
        <f t="shared" si="45"/>
        <v/>
      </c>
      <c r="AC24" s="167" t="str">
        <f t="shared" si="45"/>
        <v/>
      </c>
      <c r="AD24" s="173">
        <f>IF(SUM(AD3:AD22) &gt; 0, SUM(AD3:AD22), "")</f>
        <v>19</v>
      </c>
      <c r="AE24" s="160">
        <f t="shared" ref="AE24:AJ24" si="46">IF(SUM(AE3:AE22) &gt; 0, SUM(AE3:AE22), "")</f>
        <v>16</v>
      </c>
      <c r="AF24" s="160" t="str">
        <f t="shared" si="46"/>
        <v/>
      </c>
      <c r="AG24" s="160">
        <f t="shared" si="46"/>
        <v>14</v>
      </c>
      <c r="AH24" s="160">
        <f t="shared" si="46"/>
        <v>17</v>
      </c>
      <c r="AI24" s="160">
        <f t="shared" si="46"/>
        <v>19</v>
      </c>
      <c r="AJ24" s="167">
        <f t="shared" si="46"/>
        <v>19</v>
      </c>
      <c r="AK24" s="173">
        <f>IF(SUM(AK3:AK22) &gt; 0, SUM(AK3:AK22), "")</f>
        <v>18</v>
      </c>
      <c r="AL24" s="160">
        <f t="shared" ref="AL24:AQ24" si="47">IF(SUM(AL3:AL22) &gt; 0, SUM(AL3:AL22), "")</f>
        <v>19</v>
      </c>
      <c r="AM24" s="160" t="str">
        <f t="shared" si="47"/>
        <v/>
      </c>
      <c r="AN24" s="160">
        <f t="shared" si="47"/>
        <v>17</v>
      </c>
      <c r="AO24" s="160">
        <f t="shared" si="47"/>
        <v>15</v>
      </c>
      <c r="AP24" s="160">
        <f t="shared" si="47"/>
        <v>19</v>
      </c>
      <c r="AQ24" s="167">
        <f t="shared" si="47"/>
        <v>16</v>
      </c>
      <c r="AR24" s="173">
        <f>IF(SUM(AR3:AR22) &gt; 0, SUM(AR3:AR22), "")</f>
        <v>16</v>
      </c>
      <c r="AS24" s="160">
        <f t="shared" ref="AS24:AX24" si="48">IF(SUM(AS3:AS22) &gt; 0, SUM(AS3:AS22), "")</f>
        <v>18</v>
      </c>
      <c r="AT24" s="160" t="str">
        <f t="shared" si="48"/>
        <v/>
      </c>
      <c r="AU24" s="160">
        <f t="shared" si="48"/>
        <v>18</v>
      </c>
      <c r="AV24" s="160">
        <f t="shared" si="48"/>
        <v>18</v>
      </c>
      <c r="AW24" s="160">
        <f t="shared" si="48"/>
        <v>18</v>
      </c>
      <c r="AX24" s="167" t="str">
        <f t="shared" si="48"/>
        <v/>
      </c>
      <c r="AY24" s="173">
        <f>IF(SUM(AY3:AY22) &gt; 0, SUM(AY3:AY22), "")</f>
        <v>18</v>
      </c>
      <c r="AZ24" s="160">
        <f t="shared" ref="AZ24:BE24" si="49">IF(SUM(AZ3:AZ22) &gt; 0, SUM(AZ3:AZ22), "")</f>
        <v>16</v>
      </c>
      <c r="BA24" s="160" t="str">
        <f t="shared" si="49"/>
        <v/>
      </c>
      <c r="BB24" s="160">
        <f t="shared" si="49"/>
        <v>17</v>
      </c>
      <c r="BC24" s="160">
        <f t="shared" si="49"/>
        <v>14</v>
      </c>
      <c r="BD24" s="160" t="str">
        <f t="shared" si="49"/>
        <v/>
      </c>
      <c r="BE24" s="167" t="str">
        <f t="shared" si="49"/>
        <v/>
      </c>
      <c r="BF24" s="173">
        <f>IF(SUM(BF3:BF22) &gt; 0, SUM(BF3:BF22), "")</f>
        <v>17</v>
      </c>
      <c r="BG24" s="160">
        <f t="shared" ref="BG24:BL24" si="50">IF(SUM(BG3:BG22) &gt; 0, SUM(BG3:BG22), "")</f>
        <v>18</v>
      </c>
      <c r="BH24" s="160" t="str">
        <f t="shared" si="50"/>
        <v/>
      </c>
      <c r="BI24" s="160">
        <f t="shared" si="50"/>
        <v>17</v>
      </c>
      <c r="BJ24" s="160">
        <f t="shared" si="50"/>
        <v>16</v>
      </c>
      <c r="BK24" s="160">
        <f t="shared" si="50"/>
        <v>16</v>
      </c>
      <c r="BL24" s="167" t="str">
        <f t="shared" si="50"/>
        <v/>
      </c>
      <c r="BM24" s="173">
        <f>IF(SUM(BM3:BM22) &gt; 0, SUM(BM3:BM22), "")</f>
        <v>18</v>
      </c>
      <c r="BN24" s="160">
        <f t="shared" ref="BN24:BS24" si="51">IF(SUM(BN3:BN22) &gt; 0, SUM(BN3:BN22), "")</f>
        <v>19</v>
      </c>
      <c r="BO24" s="160" t="str">
        <f t="shared" si="51"/>
        <v/>
      </c>
      <c r="BP24" s="160">
        <f t="shared" si="51"/>
        <v>16</v>
      </c>
      <c r="BQ24" s="160">
        <f t="shared" si="51"/>
        <v>15</v>
      </c>
      <c r="BR24" s="160" t="str">
        <f t="shared" si="51"/>
        <v/>
      </c>
      <c r="BS24" s="167" t="str">
        <f t="shared" si="51"/>
        <v/>
      </c>
      <c r="BT24" s="173" t="str">
        <f>IF(SUM(BT3:BT22) &gt; 0, SUM(BT3:BT22), "")</f>
        <v/>
      </c>
      <c r="BU24" s="160" t="str">
        <f t="shared" ref="BU24:BZ24" si="52">IF(SUM(BU3:BU22) &gt; 0, SUM(BU3:BU22), "")</f>
        <v/>
      </c>
      <c r="BV24" s="160" t="str">
        <f t="shared" si="52"/>
        <v/>
      </c>
      <c r="BW24" s="160" t="str">
        <f t="shared" si="52"/>
        <v/>
      </c>
      <c r="BX24" s="160" t="str">
        <f t="shared" si="52"/>
        <v/>
      </c>
      <c r="BY24" s="160" t="str">
        <f t="shared" si="52"/>
        <v/>
      </c>
      <c r="BZ24" s="167" t="str">
        <f t="shared" si="52"/>
        <v/>
      </c>
      <c r="CA24" s="173" t="str">
        <f>IF(SUM(CA3:CA22) &gt; 0, SUM(CA3:CA22), "")</f>
        <v/>
      </c>
      <c r="CB24" s="160" t="str">
        <f t="shared" ref="CB24:CG24" si="53">IF(SUM(CB3:CB22) &gt; 0, SUM(CB3:CB22), "")</f>
        <v/>
      </c>
      <c r="CC24" s="160" t="str">
        <f t="shared" si="53"/>
        <v/>
      </c>
      <c r="CD24" s="160" t="str">
        <f t="shared" si="53"/>
        <v/>
      </c>
      <c r="CE24" s="160" t="str">
        <f t="shared" si="53"/>
        <v/>
      </c>
      <c r="CF24" s="160" t="str">
        <f t="shared" si="53"/>
        <v/>
      </c>
      <c r="CG24" s="167" t="str">
        <f t="shared" si="53"/>
        <v/>
      </c>
      <c r="CH24" s="173" t="str">
        <f>IF(SUM(CH3:CH22) &gt; 0, SUM(CH3:CH22), "")</f>
        <v/>
      </c>
      <c r="CI24" s="160" t="str">
        <f t="shared" ref="CI24:CN24" si="54">IF(SUM(CI3:CI22) &gt; 0, SUM(CI3:CI22), "")</f>
        <v/>
      </c>
      <c r="CJ24" s="160" t="str">
        <f t="shared" si="54"/>
        <v/>
      </c>
      <c r="CK24" s="160" t="str">
        <f t="shared" si="54"/>
        <v/>
      </c>
      <c r="CL24" s="160" t="str">
        <f t="shared" si="54"/>
        <v/>
      </c>
      <c r="CM24" s="160" t="str">
        <f t="shared" si="54"/>
        <v/>
      </c>
      <c r="CN24" s="167" t="str">
        <f t="shared" si="54"/>
        <v/>
      </c>
      <c r="CO24" s="173" t="str">
        <f>IF(SUM(CO3:CO22) &gt; 0, SUM(CO3:CO22), "")</f>
        <v/>
      </c>
      <c r="CP24" s="160" t="str">
        <f t="shared" ref="CP24:CU24" si="55">IF(SUM(CP3:CP22) &gt; 0, SUM(CP3:CP22), "")</f>
        <v/>
      </c>
      <c r="CQ24" s="160" t="str">
        <f t="shared" si="55"/>
        <v/>
      </c>
      <c r="CR24" s="160" t="str">
        <f t="shared" si="55"/>
        <v/>
      </c>
      <c r="CS24" s="160" t="str">
        <f t="shared" si="55"/>
        <v/>
      </c>
      <c r="CT24" s="160" t="str">
        <f t="shared" si="55"/>
        <v/>
      </c>
      <c r="CU24" s="167" t="str">
        <f t="shared" si="55"/>
        <v/>
      </c>
      <c r="CV24" s="173" t="str">
        <f>IF(SUM(CV3:CV22) &gt; 0, SUM(CV3:CV22), "")</f>
        <v/>
      </c>
      <c r="CW24" s="160" t="str">
        <f t="shared" ref="CW24:DB24" si="56">IF(SUM(CW3:CW22) &gt; 0, SUM(CW3:CW22), "")</f>
        <v/>
      </c>
      <c r="CX24" s="160" t="str">
        <f t="shared" si="56"/>
        <v/>
      </c>
      <c r="CY24" s="160" t="str">
        <f t="shared" si="56"/>
        <v/>
      </c>
      <c r="CZ24" s="160" t="str">
        <f t="shared" si="56"/>
        <v/>
      </c>
      <c r="DA24" s="160" t="str">
        <f t="shared" si="56"/>
        <v/>
      </c>
      <c r="DB24" s="167" t="str">
        <f t="shared" si="56"/>
        <v/>
      </c>
      <c r="DC24" s="173" t="str">
        <f>IF(SUM(DC3:DC22) &gt; 0, SUM(DC3:DC22), "")</f>
        <v/>
      </c>
      <c r="DD24" s="160" t="str">
        <f t="shared" ref="DD24:DI24" si="57">IF(SUM(DD3:DD22) &gt; 0, SUM(DD3:DD22), "")</f>
        <v/>
      </c>
      <c r="DE24" s="160" t="str">
        <f t="shared" si="57"/>
        <v/>
      </c>
      <c r="DF24" s="160" t="str">
        <f t="shared" si="57"/>
        <v/>
      </c>
      <c r="DG24" s="160" t="str">
        <f t="shared" si="57"/>
        <v/>
      </c>
      <c r="DH24" s="160" t="str">
        <f t="shared" si="57"/>
        <v/>
      </c>
      <c r="DI24" s="167" t="str">
        <f t="shared" si="57"/>
        <v/>
      </c>
      <c r="DJ24" s="173" t="str">
        <f>IF(SUM(DJ3:DJ22) &gt; 0, SUM(DJ3:DJ22), "")</f>
        <v/>
      </c>
      <c r="DK24" s="160" t="str">
        <f t="shared" ref="DK24:DP24" si="58">IF(SUM(DK3:DK22) &gt; 0, SUM(DK3:DK22), "")</f>
        <v/>
      </c>
      <c r="DL24" s="160" t="str">
        <f t="shared" si="58"/>
        <v/>
      </c>
      <c r="DM24" s="160" t="str">
        <f t="shared" si="58"/>
        <v/>
      </c>
      <c r="DN24" s="160" t="str">
        <f t="shared" si="58"/>
        <v/>
      </c>
      <c r="DO24" s="160" t="str">
        <f t="shared" si="58"/>
        <v/>
      </c>
      <c r="DP24" s="167" t="str">
        <f t="shared" si="58"/>
        <v/>
      </c>
      <c r="DQ24" s="173" t="str">
        <f>IF(SUM(DQ3:DQ22) &gt; 0, SUM(DQ3:DQ22), "")</f>
        <v/>
      </c>
      <c r="DR24" s="160" t="str">
        <f t="shared" ref="DR24:DW24" si="59">IF(SUM(DR3:DR22) &gt; 0, SUM(DR3:DR22), "")</f>
        <v/>
      </c>
      <c r="DS24" s="160" t="str">
        <f t="shared" si="59"/>
        <v/>
      </c>
      <c r="DT24" s="160" t="str">
        <f t="shared" si="59"/>
        <v/>
      </c>
      <c r="DU24" s="160" t="str">
        <f t="shared" si="59"/>
        <v/>
      </c>
      <c r="DV24" s="160" t="str">
        <f t="shared" si="59"/>
        <v/>
      </c>
      <c r="DW24" s="167" t="str">
        <f t="shared" si="59"/>
        <v/>
      </c>
      <c r="DX24" s="173" t="str">
        <f>IF(SUM(DX3:DX22) &gt; 0, SUM(DX3:DX22), "")</f>
        <v/>
      </c>
      <c r="DY24" s="160" t="str">
        <f t="shared" ref="DY24:ED24" si="60">IF(SUM(DY3:DY22) &gt; 0, SUM(DY3:DY22), "")</f>
        <v/>
      </c>
      <c r="DZ24" s="160" t="str">
        <f t="shared" si="60"/>
        <v/>
      </c>
      <c r="EA24" s="160" t="str">
        <f t="shared" si="60"/>
        <v/>
      </c>
      <c r="EB24" s="160" t="str">
        <f t="shared" si="60"/>
        <v/>
      </c>
      <c r="EC24" s="160" t="str">
        <f t="shared" si="60"/>
        <v/>
      </c>
      <c r="ED24" s="167" t="str">
        <f t="shared" si="60"/>
        <v/>
      </c>
      <c r="EE24" s="173" t="str">
        <f>IF(SUM(EE3:EE22) &gt; 0, SUM(EE3:EE22), "")</f>
        <v/>
      </c>
      <c r="EF24" s="160" t="str">
        <f t="shared" ref="EF24:EK24" si="61">IF(SUM(EF3:EF22) &gt; 0, SUM(EF3:EF22), "")</f>
        <v/>
      </c>
      <c r="EG24" s="160" t="str">
        <f t="shared" si="61"/>
        <v/>
      </c>
      <c r="EH24" s="160" t="str">
        <f t="shared" si="61"/>
        <v/>
      </c>
      <c r="EI24" s="160" t="str">
        <f t="shared" si="61"/>
        <v/>
      </c>
      <c r="EJ24" s="160" t="str">
        <f t="shared" si="61"/>
        <v/>
      </c>
      <c r="EK24" s="167" t="str">
        <f t="shared" si="61"/>
        <v/>
      </c>
      <c r="EL24" s="173" t="str">
        <f>IF(SUM(EL3:EL22) &gt; 0, SUM(EL3:EL22), "")</f>
        <v/>
      </c>
      <c r="EM24" s="160" t="str">
        <f t="shared" ref="EM24:ER24" si="62">IF(SUM(EM3:EM22) &gt; 0, SUM(EM3:EM22), "")</f>
        <v/>
      </c>
      <c r="EN24" s="160" t="str">
        <f t="shared" si="62"/>
        <v/>
      </c>
      <c r="EO24" s="160" t="str">
        <f t="shared" si="62"/>
        <v/>
      </c>
      <c r="EP24" s="160" t="str">
        <f t="shared" si="62"/>
        <v/>
      </c>
      <c r="EQ24" s="160" t="str">
        <f t="shared" si="62"/>
        <v/>
      </c>
      <c r="ER24" s="167" t="str">
        <f t="shared" si="62"/>
        <v/>
      </c>
      <c r="ES24" s="173" t="str">
        <f>IF(SUM(ES3:ES22) &gt; 0, SUM(ES3:ES22), "")</f>
        <v/>
      </c>
      <c r="ET24" s="160" t="str">
        <f t="shared" ref="ET24:EY24" si="63">IF(SUM(ET3:ET22) &gt; 0, SUM(ET3:ET22), "")</f>
        <v/>
      </c>
      <c r="EU24" s="160" t="str">
        <f t="shared" si="63"/>
        <v/>
      </c>
      <c r="EV24" s="160" t="str">
        <f t="shared" si="63"/>
        <v/>
      </c>
      <c r="EW24" s="160" t="str">
        <f t="shared" si="63"/>
        <v/>
      </c>
      <c r="EX24" s="160" t="str">
        <f t="shared" si="63"/>
        <v/>
      </c>
      <c r="EY24" s="167" t="str">
        <f t="shared" si="63"/>
        <v/>
      </c>
      <c r="EZ24" s="173" t="str">
        <f>IF(SUM(EZ3:EZ22) &gt; 0, SUM(EZ3:EZ22), "")</f>
        <v/>
      </c>
      <c r="FA24" s="160" t="str">
        <f t="shared" ref="FA24:FF24" si="64">IF(SUM(FA3:FA22) &gt; 0, SUM(FA3:FA22), "")</f>
        <v/>
      </c>
      <c r="FB24" s="160" t="str">
        <f t="shared" si="64"/>
        <v/>
      </c>
      <c r="FC24" s="160" t="str">
        <f t="shared" si="64"/>
        <v/>
      </c>
      <c r="FD24" s="160" t="str">
        <f t="shared" si="64"/>
        <v/>
      </c>
      <c r="FE24" s="160" t="str">
        <f t="shared" si="64"/>
        <v/>
      </c>
      <c r="FF24" s="167" t="str">
        <f t="shared" si="64"/>
        <v/>
      </c>
      <c r="FG24" s="173" t="str">
        <f>IF(SUM(FG3:FG22) &gt; 0, SUM(FG3:FG22), "")</f>
        <v/>
      </c>
      <c r="FH24" s="160" t="str">
        <f t="shared" ref="FH24:FM24" si="65">IF(SUM(FH3:FH22) &gt; 0, SUM(FH3:FH22), "")</f>
        <v/>
      </c>
      <c r="FI24" s="160" t="str">
        <f t="shared" si="65"/>
        <v/>
      </c>
      <c r="FJ24" s="160" t="str">
        <f t="shared" si="65"/>
        <v/>
      </c>
      <c r="FK24" s="160" t="str">
        <f t="shared" si="65"/>
        <v/>
      </c>
      <c r="FL24" s="160" t="str">
        <f t="shared" si="65"/>
        <v/>
      </c>
      <c r="FM24" s="167" t="str">
        <f t="shared" si="65"/>
        <v/>
      </c>
      <c r="FN24" s="173" t="str">
        <f>IF(SUM(FN3:FN22) &gt; 0, SUM(FN3:FN22), "")</f>
        <v/>
      </c>
      <c r="FO24" s="160" t="str">
        <f t="shared" ref="FO24:FT24" si="66">IF(SUM(FO3:FO22) &gt; 0, SUM(FO3:FO22), "")</f>
        <v/>
      </c>
      <c r="FP24" s="160" t="str">
        <f t="shared" si="66"/>
        <v/>
      </c>
      <c r="FQ24" s="160" t="str">
        <f t="shared" si="66"/>
        <v/>
      </c>
      <c r="FR24" s="160" t="str">
        <f t="shared" si="66"/>
        <v/>
      </c>
      <c r="FS24" s="160" t="str">
        <f t="shared" si="66"/>
        <v/>
      </c>
      <c r="FT24" s="167" t="str">
        <f t="shared" si="66"/>
        <v/>
      </c>
      <c r="FU24" s="173" t="str">
        <f>IF(SUM(FU3:FU22) &gt; 0, SUM(FU3:FU22), "")</f>
        <v/>
      </c>
      <c r="FV24" s="160" t="str">
        <f t="shared" ref="FV24:GA24" si="67">IF(SUM(FV3:FV22) &gt; 0, SUM(FV3:FV22), "")</f>
        <v/>
      </c>
      <c r="FW24" s="160" t="str">
        <f t="shared" si="67"/>
        <v/>
      </c>
      <c r="FX24" s="160" t="str">
        <f t="shared" si="67"/>
        <v/>
      </c>
      <c r="FY24" s="160" t="str">
        <f t="shared" si="67"/>
        <v/>
      </c>
      <c r="FZ24" s="160" t="str">
        <f t="shared" si="67"/>
        <v/>
      </c>
      <c r="GA24" s="167" t="str">
        <f t="shared" si="67"/>
        <v/>
      </c>
      <c r="GB24" s="173" t="str">
        <f>IF(SUM(GB3:GB22) &gt; 0, SUM(GB3:GB22), "")</f>
        <v/>
      </c>
      <c r="GC24" s="160" t="str">
        <f t="shared" ref="GC24:GH24" si="68">IF(SUM(GC3:GC22) &gt; 0, SUM(GC3:GC22), "")</f>
        <v/>
      </c>
      <c r="GD24" s="160" t="str">
        <f t="shared" si="68"/>
        <v/>
      </c>
      <c r="GE24" s="160" t="str">
        <f t="shared" si="68"/>
        <v/>
      </c>
      <c r="GF24" s="160" t="str">
        <f t="shared" si="68"/>
        <v/>
      </c>
      <c r="GG24" s="160" t="str">
        <f t="shared" si="68"/>
        <v/>
      </c>
      <c r="GH24" s="167" t="str">
        <f t="shared" si="68"/>
        <v/>
      </c>
      <c r="GI24" s="173" t="str">
        <f>IF(SUM(GI3:GI22) &gt; 0, SUM(GI3:GI22), "")</f>
        <v/>
      </c>
      <c r="GJ24" s="160" t="str">
        <f t="shared" ref="GJ24:GO24" si="69">IF(SUM(GJ3:GJ22) &gt; 0, SUM(GJ3:GJ22), "")</f>
        <v/>
      </c>
      <c r="GK24" s="160" t="str">
        <f t="shared" si="69"/>
        <v/>
      </c>
      <c r="GL24" s="160" t="str">
        <f t="shared" si="69"/>
        <v/>
      </c>
      <c r="GM24" s="160" t="str">
        <f t="shared" si="69"/>
        <v/>
      </c>
      <c r="GN24" s="160" t="str">
        <f t="shared" si="69"/>
        <v/>
      </c>
      <c r="GO24" s="167" t="str">
        <f t="shared" si="69"/>
        <v/>
      </c>
      <c r="GP24" s="173" t="str">
        <f>IF(SUM(GP3:GP22) &gt; 0, SUM(GP3:GP22), "")</f>
        <v/>
      </c>
      <c r="GQ24" s="160" t="str">
        <f t="shared" ref="GQ24:GV24" si="70">IF(SUM(GQ3:GQ22) &gt; 0, SUM(GQ3:GQ22), "")</f>
        <v/>
      </c>
      <c r="GR24" s="160" t="str">
        <f t="shared" si="70"/>
        <v/>
      </c>
      <c r="GS24" s="160" t="str">
        <f t="shared" si="70"/>
        <v/>
      </c>
      <c r="GT24" s="160" t="str">
        <f t="shared" si="70"/>
        <v/>
      </c>
      <c r="GU24" s="160" t="str">
        <f t="shared" si="70"/>
        <v/>
      </c>
      <c r="GV24" s="167" t="str">
        <f t="shared" si="70"/>
        <v/>
      </c>
      <c r="GW24" s="173" t="str">
        <f>IF(SUM(GW3:GW22) &gt; 0, SUM(GW3:GW22), "")</f>
        <v/>
      </c>
      <c r="GX24" s="160" t="str">
        <f t="shared" ref="GX24:HC24" si="71">IF(SUM(GX3:GX22) &gt; 0, SUM(GX3:GX22), "")</f>
        <v/>
      </c>
      <c r="GY24" s="160" t="str">
        <f t="shared" si="71"/>
        <v/>
      </c>
      <c r="GZ24" s="160" t="str">
        <f t="shared" si="71"/>
        <v/>
      </c>
      <c r="HA24" s="160" t="str">
        <f t="shared" si="71"/>
        <v/>
      </c>
      <c r="HB24" s="160" t="str">
        <f t="shared" si="71"/>
        <v/>
      </c>
      <c r="HC24" s="167" t="str">
        <f t="shared" si="71"/>
        <v/>
      </c>
      <c r="HD24" s="173" t="str">
        <f>IF(SUM(HD3:HD22) &gt; 0, SUM(HD3:HD22), "")</f>
        <v/>
      </c>
      <c r="HE24" s="160" t="str">
        <f t="shared" ref="HE24:HJ24" si="72">IF(SUM(HE3:HE22) &gt; 0, SUM(HE3:HE22), "")</f>
        <v/>
      </c>
      <c r="HF24" s="160" t="str">
        <f t="shared" si="72"/>
        <v/>
      </c>
      <c r="HG24" s="160" t="str">
        <f t="shared" si="72"/>
        <v/>
      </c>
      <c r="HH24" s="160" t="str">
        <f t="shared" si="72"/>
        <v/>
      </c>
      <c r="HI24" s="160" t="str">
        <f t="shared" si="72"/>
        <v/>
      </c>
      <c r="HJ24" s="167" t="str">
        <f t="shared" si="72"/>
        <v/>
      </c>
      <c r="HK24" s="173" t="str">
        <f>IF(SUM(HK3:HK22) &gt; 0, SUM(HK3:HK22), "")</f>
        <v/>
      </c>
      <c r="HL24" s="160" t="str">
        <f t="shared" ref="HL24:HQ24" si="73">IF(SUM(HL3:HL22) &gt; 0, SUM(HL3:HL22), "")</f>
        <v/>
      </c>
      <c r="HM24" s="160" t="str">
        <f t="shared" si="73"/>
        <v/>
      </c>
      <c r="HN24" s="160" t="str">
        <f t="shared" si="73"/>
        <v/>
      </c>
      <c r="HO24" s="160" t="str">
        <f t="shared" si="73"/>
        <v/>
      </c>
      <c r="HP24" s="160" t="str">
        <f t="shared" si="73"/>
        <v/>
      </c>
      <c r="HQ24" s="167" t="str">
        <f t="shared" si="73"/>
        <v/>
      </c>
      <c r="HR24" s="173" t="str">
        <f>IF(SUM(HR3:HR22) &gt; 0, SUM(HR3:HR22), "")</f>
        <v/>
      </c>
      <c r="HS24" s="160" t="str">
        <f t="shared" ref="HS24:HX24" si="74">IF(SUM(HS3:HS22) &gt; 0, SUM(HS3:HS22), "")</f>
        <v/>
      </c>
      <c r="HT24" s="160" t="str">
        <f t="shared" si="74"/>
        <v/>
      </c>
      <c r="HU24" s="160" t="str">
        <f t="shared" si="74"/>
        <v/>
      </c>
      <c r="HV24" s="160" t="str">
        <f t="shared" si="74"/>
        <v/>
      </c>
      <c r="HW24" s="160" t="str">
        <f t="shared" si="74"/>
        <v/>
      </c>
      <c r="HX24" s="167" t="str">
        <f t="shared" si="74"/>
        <v/>
      </c>
      <c r="HY24" s="173" t="str">
        <f>IF(SUM(HY3:HY22) &gt; 0, SUM(HY3:HY22), "")</f>
        <v/>
      </c>
      <c r="HZ24" s="160" t="str">
        <f t="shared" ref="HZ24:IE24" si="75">IF(SUM(HZ3:HZ22) &gt; 0, SUM(HZ3:HZ22), "")</f>
        <v/>
      </c>
      <c r="IA24" s="160" t="str">
        <f t="shared" si="75"/>
        <v/>
      </c>
      <c r="IB24" s="160" t="str">
        <f t="shared" si="75"/>
        <v/>
      </c>
      <c r="IC24" s="160" t="str">
        <f t="shared" si="75"/>
        <v/>
      </c>
      <c r="ID24" s="160" t="str">
        <f t="shared" si="75"/>
        <v/>
      </c>
      <c r="IE24" s="167" t="str">
        <f t="shared" si="75"/>
        <v/>
      </c>
      <c r="IF24" s="173" t="str">
        <f>IF(SUM(IF3:IF22) &gt; 0, SUM(IF3:IF22), "")</f>
        <v/>
      </c>
      <c r="IG24" s="160" t="str">
        <f t="shared" ref="IG24:IL24" si="76">IF(SUM(IG3:IG22) &gt; 0, SUM(IG3:IG22), "")</f>
        <v/>
      </c>
      <c r="IH24" s="160" t="str">
        <f t="shared" si="76"/>
        <v/>
      </c>
      <c r="II24" s="160" t="str">
        <f t="shared" si="76"/>
        <v/>
      </c>
      <c r="IJ24" s="160" t="str">
        <f t="shared" si="76"/>
        <v/>
      </c>
      <c r="IK24" s="160" t="str">
        <f t="shared" si="76"/>
        <v/>
      </c>
      <c r="IL24" s="167" t="str">
        <f t="shared" si="76"/>
        <v/>
      </c>
      <c r="IM24" s="173" t="str">
        <f>IF(SUM(IM3:IM22) &gt; 0, SUM(IM3:IM22), "")</f>
        <v/>
      </c>
      <c r="IN24" s="160" t="str">
        <f t="shared" ref="IN24:IS24" si="77">IF(SUM(IN3:IN22) &gt; 0, SUM(IN3:IN22), "")</f>
        <v/>
      </c>
      <c r="IO24" s="160" t="str">
        <f t="shared" si="77"/>
        <v/>
      </c>
      <c r="IP24" s="160" t="str">
        <f t="shared" si="77"/>
        <v/>
      </c>
      <c r="IQ24" s="160" t="str">
        <f t="shared" si="77"/>
        <v/>
      </c>
      <c r="IR24" s="160" t="str">
        <f t="shared" si="77"/>
        <v/>
      </c>
      <c r="IS24" s="167" t="str">
        <f t="shared" si="77"/>
        <v/>
      </c>
      <c r="IT24" s="173" t="str">
        <f>IF(SUM(IT3:IT22) &gt; 0, SUM(IT3:IT22), "")</f>
        <v/>
      </c>
      <c r="IU24" s="160" t="str">
        <f t="shared" ref="IU24:IZ24" si="78">IF(SUM(IU3:IU22) &gt; 0, SUM(IU3:IU22), "")</f>
        <v/>
      </c>
      <c r="IV24" s="160" t="str">
        <f t="shared" si="78"/>
        <v/>
      </c>
      <c r="IW24" s="160" t="str">
        <f t="shared" si="78"/>
        <v/>
      </c>
      <c r="IX24" s="160" t="str">
        <f t="shared" si="78"/>
        <v/>
      </c>
      <c r="IY24" s="160" t="str">
        <f t="shared" si="78"/>
        <v/>
      </c>
      <c r="IZ24" s="167" t="str">
        <f t="shared" si="78"/>
        <v/>
      </c>
      <c r="JA24" s="173" t="str">
        <f>IF(SUM(JA3:JA22) &gt; 0, SUM(JA3:JA22), "")</f>
        <v/>
      </c>
      <c r="JB24" s="160" t="str">
        <f t="shared" ref="JB24:JG24" si="79">IF(SUM(JB3:JB22) &gt; 0, SUM(JB3:JB22), "")</f>
        <v/>
      </c>
      <c r="JC24" s="160" t="str">
        <f t="shared" si="79"/>
        <v/>
      </c>
      <c r="JD24" s="160" t="str">
        <f t="shared" si="79"/>
        <v/>
      </c>
      <c r="JE24" s="160" t="str">
        <f t="shared" si="79"/>
        <v/>
      </c>
      <c r="JF24" s="160" t="str">
        <f t="shared" si="79"/>
        <v/>
      </c>
      <c r="JG24" s="167" t="str">
        <f t="shared" si="79"/>
        <v/>
      </c>
    </row>
    <row r="25" spans="1:267" ht="15.75" thickBot="1" x14ac:dyDescent="0.3">
      <c r="A25" s="110" t="s">
        <v>18</v>
      </c>
      <c r="B25" s="16" t="s">
        <v>648</v>
      </c>
      <c r="C25" s="16" t="s">
        <v>648</v>
      </c>
      <c r="D25" s="16" t="s">
        <v>648</v>
      </c>
      <c r="E25" s="16"/>
      <c r="F25" s="16"/>
      <c r="G25" s="16"/>
      <c r="H25" s="17" t="s">
        <v>648</v>
      </c>
      <c r="I25" s="179"/>
      <c r="J25" s="184" t="s">
        <v>648</v>
      </c>
      <c r="K25" s="179">
        <f t="shared" ref="K25" si="80">SUM(M25:IU25)</f>
        <v>35</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c r="BS25" s="172"/>
      <c r="BT25" s="170"/>
      <c r="BU25" s="170"/>
      <c r="BV25" s="170"/>
      <c r="BW25" s="170"/>
      <c r="BX25" s="170"/>
      <c r="BY25" s="170"/>
      <c r="BZ25" s="172"/>
      <c r="CA25" s="170"/>
      <c r="CB25" s="170"/>
      <c r="CC25" s="170"/>
      <c r="CD25" s="170"/>
      <c r="CE25" s="170"/>
      <c r="CF25" s="170"/>
      <c r="CG25" s="172"/>
      <c r="CH25" s="170"/>
      <c r="CI25" s="170"/>
      <c r="CJ25" s="170"/>
      <c r="CK25" s="170"/>
      <c r="CL25" s="170"/>
      <c r="CM25" s="170"/>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row>
    <row r="28" spans="1:267" x14ac:dyDescent="0.25">
      <c r="C28" t="s">
        <v>673</v>
      </c>
      <c r="D28" t="s">
        <v>741</v>
      </c>
      <c r="N28" s="142" t="s">
        <v>801</v>
      </c>
      <c r="X28" t="s">
        <v>651</v>
      </c>
      <c r="BC28" t="s">
        <v>795</v>
      </c>
    </row>
    <row r="29" spans="1:267" x14ac:dyDescent="0.25">
      <c r="C29" t="s">
        <v>674</v>
      </c>
      <c r="D29" t="s">
        <v>724</v>
      </c>
      <c r="O29" t="s">
        <v>802</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1">B34</f>
        <v>1</v>
      </c>
      <c r="D34">
        <f t="shared" si="81"/>
        <v>1</v>
      </c>
      <c r="H34">
        <f>D34</f>
        <v>1</v>
      </c>
      <c r="I34" s="142" t="s">
        <v>680</v>
      </c>
      <c r="J34">
        <f>H34</f>
        <v>1</v>
      </c>
      <c r="K34">
        <f t="shared" ref="K34:N38" si="82">J34</f>
        <v>1</v>
      </c>
      <c r="L34">
        <f t="shared" si="82"/>
        <v>1</v>
      </c>
      <c r="M34">
        <f t="shared" si="82"/>
        <v>1</v>
      </c>
      <c r="N34">
        <f t="shared" si="82"/>
        <v>1</v>
      </c>
      <c r="Q34" s="45"/>
    </row>
    <row r="35" spans="1:140" x14ac:dyDescent="0.25">
      <c r="A35" t="s">
        <v>668</v>
      </c>
      <c r="B35">
        <v>2</v>
      </c>
      <c r="C35">
        <f t="shared" si="81"/>
        <v>2</v>
      </c>
      <c r="D35">
        <f t="shared" si="81"/>
        <v>2</v>
      </c>
      <c r="H35">
        <f>D35</f>
        <v>2</v>
      </c>
      <c r="I35" s="142" t="s">
        <v>680</v>
      </c>
      <c r="J35">
        <f>H35</f>
        <v>2</v>
      </c>
      <c r="K35">
        <f t="shared" si="82"/>
        <v>2</v>
      </c>
      <c r="L35">
        <f t="shared" si="82"/>
        <v>2</v>
      </c>
      <c r="M35">
        <f t="shared" si="82"/>
        <v>2</v>
      </c>
      <c r="N35">
        <f t="shared" si="82"/>
        <v>2</v>
      </c>
      <c r="Q35" s="45"/>
    </row>
    <row r="36" spans="1:140" x14ac:dyDescent="0.25">
      <c r="A36" t="s">
        <v>200</v>
      </c>
      <c r="B36">
        <v>3</v>
      </c>
      <c r="C36">
        <f t="shared" si="81"/>
        <v>3</v>
      </c>
      <c r="D36">
        <f t="shared" si="81"/>
        <v>3</v>
      </c>
      <c r="H36">
        <f>D36</f>
        <v>3</v>
      </c>
      <c r="I36" s="142" t="s">
        <v>680</v>
      </c>
      <c r="J36">
        <f>H36</f>
        <v>3</v>
      </c>
      <c r="K36">
        <f t="shared" si="82"/>
        <v>3</v>
      </c>
      <c r="L36">
        <f t="shared" si="82"/>
        <v>3</v>
      </c>
      <c r="M36">
        <f t="shared" si="82"/>
        <v>3</v>
      </c>
      <c r="N36">
        <f t="shared" si="82"/>
        <v>3</v>
      </c>
    </row>
    <row r="37" spans="1:140" x14ac:dyDescent="0.25">
      <c r="A37" t="s">
        <v>201</v>
      </c>
      <c r="B37">
        <v>22</v>
      </c>
      <c r="C37">
        <f t="shared" si="81"/>
        <v>22</v>
      </c>
      <c r="D37">
        <f t="shared" si="81"/>
        <v>22</v>
      </c>
      <c r="H37">
        <f>D37</f>
        <v>22</v>
      </c>
      <c r="I37" s="142" t="s">
        <v>680</v>
      </c>
      <c r="J37">
        <f>H37</f>
        <v>22</v>
      </c>
      <c r="K37">
        <f t="shared" si="82"/>
        <v>22</v>
      </c>
      <c r="L37">
        <f t="shared" si="82"/>
        <v>22</v>
      </c>
      <c r="M37">
        <f t="shared" si="82"/>
        <v>22</v>
      </c>
      <c r="N37">
        <f t="shared" si="82"/>
        <v>22</v>
      </c>
      <c r="Q37" s="45"/>
    </row>
    <row r="38" spans="1:140" x14ac:dyDescent="0.25">
      <c r="A38" t="s">
        <v>717</v>
      </c>
      <c r="B38" t="s">
        <v>671</v>
      </c>
      <c r="C38" t="str">
        <f>$B38</f>
        <v>I</v>
      </c>
      <c r="D38" t="str">
        <f>$B38</f>
        <v>I</v>
      </c>
      <c r="H38" t="str">
        <f>D38</f>
        <v>I</v>
      </c>
      <c r="I38" s="142" t="s">
        <v>680</v>
      </c>
      <c r="J38" t="str">
        <f>H38</f>
        <v>I</v>
      </c>
      <c r="K38" t="str">
        <f t="shared" si="82"/>
        <v>I</v>
      </c>
      <c r="L38" t="str">
        <f t="shared" si="82"/>
        <v>I</v>
      </c>
      <c r="M38" t="str">
        <f t="shared" si="82"/>
        <v>I</v>
      </c>
      <c r="N38" t="str">
        <f t="shared" si="82"/>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3">C40</f>
        <v>J</v>
      </c>
      <c r="E40" t="str">
        <f t="shared" si="83"/>
        <v>J</v>
      </c>
      <c r="F40" t="str">
        <f t="shared" si="83"/>
        <v>J</v>
      </c>
      <c r="G40" t="str">
        <f t="shared" si="83"/>
        <v>J</v>
      </c>
      <c r="H40" t="str">
        <f>G40</f>
        <v>J</v>
      </c>
      <c r="I40" t="str">
        <f t="shared" si="83"/>
        <v>J</v>
      </c>
      <c r="J40" t="str">
        <f t="shared" si="83"/>
        <v>J</v>
      </c>
      <c r="K40" t="str">
        <f t="shared" si="83"/>
        <v>J</v>
      </c>
      <c r="L40" t="str">
        <f t="shared" si="83"/>
        <v>J</v>
      </c>
      <c r="M40" t="str">
        <f t="shared" si="83"/>
        <v>J</v>
      </c>
      <c r="N40" t="str">
        <f t="shared" si="83"/>
        <v>J</v>
      </c>
    </row>
    <row r="41" spans="1:140" x14ac:dyDescent="0.25">
      <c r="A41" t="s">
        <v>733</v>
      </c>
      <c r="B41" t="s">
        <v>404</v>
      </c>
      <c r="E41">
        <f t="shared" ref="E41:I41" si="84">D41</f>
        <v>0</v>
      </c>
      <c r="F41">
        <f t="shared" si="84"/>
        <v>0</v>
      </c>
      <c r="G41">
        <f t="shared" si="84"/>
        <v>0</v>
      </c>
      <c r="I41">
        <f t="shared" si="84"/>
        <v>0</v>
      </c>
      <c r="J41"/>
      <c r="K41"/>
      <c r="L41"/>
    </row>
    <row r="42" spans="1:140" x14ac:dyDescent="0.25">
      <c r="A42" t="s">
        <v>734</v>
      </c>
      <c r="B42" t="s">
        <v>52</v>
      </c>
      <c r="E42">
        <f t="shared" ref="E42:I42" si="85">D42</f>
        <v>0</v>
      </c>
      <c r="F42">
        <f t="shared" si="85"/>
        <v>0</v>
      </c>
      <c r="G42">
        <f t="shared" si="85"/>
        <v>0</v>
      </c>
      <c r="I42">
        <f t="shared" si="85"/>
        <v>0</v>
      </c>
      <c r="J42"/>
      <c r="K42"/>
      <c r="L42"/>
    </row>
    <row r="43" spans="1:140" x14ac:dyDescent="0.25">
      <c r="A43" t="s">
        <v>206</v>
      </c>
      <c r="B43" t="str">
        <f>FindEnd(M25:IU25)</f>
        <v>BS</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6">J44</f>
        <v>23</v>
      </c>
      <c r="L44">
        <f t="shared" si="86"/>
        <v>23</v>
      </c>
      <c r="M44">
        <f t="shared" si="86"/>
        <v>23</v>
      </c>
      <c r="N44">
        <f t="shared" si="86"/>
        <v>23</v>
      </c>
    </row>
    <row r="45" spans="1:140" x14ac:dyDescent="0.25">
      <c r="A45" t="s">
        <v>682</v>
      </c>
      <c r="B45">
        <v>24</v>
      </c>
      <c r="C45">
        <f>B45</f>
        <v>24</v>
      </c>
      <c r="D45">
        <f>C45</f>
        <v>24</v>
      </c>
      <c r="H45">
        <f>D45</f>
        <v>24</v>
      </c>
      <c r="I45" s="142" t="s">
        <v>680</v>
      </c>
      <c r="J45">
        <f>H45</f>
        <v>24</v>
      </c>
      <c r="K45">
        <f t="shared" si="86"/>
        <v>24</v>
      </c>
      <c r="L45">
        <f t="shared" si="86"/>
        <v>24</v>
      </c>
      <c r="M45">
        <f t="shared" si="86"/>
        <v>24</v>
      </c>
      <c r="N45">
        <f t="shared" si="86"/>
        <v>24</v>
      </c>
    </row>
    <row r="46" spans="1:140" x14ac:dyDescent="0.25">
      <c r="A46" t="s">
        <v>669</v>
      </c>
      <c r="B46" t="s">
        <v>787</v>
      </c>
      <c r="C46" t="str">
        <f>B46</f>
        <v>K25</v>
      </c>
      <c r="D46" t="str">
        <f t="shared" ref="D46:J46" si="87">C46</f>
        <v>K25</v>
      </c>
      <c r="E46" t="str">
        <f t="shared" si="87"/>
        <v>K25</v>
      </c>
      <c r="F46" t="str">
        <f t="shared" si="87"/>
        <v>K25</v>
      </c>
      <c r="G46" t="str">
        <f t="shared" si="87"/>
        <v>K25</v>
      </c>
      <c r="H46" t="str">
        <f t="shared" si="87"/>
        <v>K25</v>
      </c>
      <c r="I46" t="str">
        <f t="shared" si="87"/>
        <v>K25</v>
      </c>
      <c r="J46" t="str">
        <f t="shared" si="87"/>
        <v>K25</v>
      </c>
      <c r="K46" t="str">
        <f t="shared" si="86"/>
        <v>K25</v>
      </c>
      <c r="L46" t="str">
        <f t="shared" si="86"/>
        <v>K25</v>
      </c>
      <c r="M46" t="str">
        <f t="shared" ref="M46" si="88">L46</f>
        <v>K25</v>
      </c>
      <c r="N46" t="str">
        <f t="shared" ref="N46" si="89">M46</f>
        <v>K25</v>
      </c>
    </row>
    <row r="47" spans="1:140" x14ac:dyDescent="0.25">
      <c r="A47" t="s">
        <v>658</v>
      </c>
      <c r="C47">
        <v>27</v>
      </c>
      <c r="D47">
        <f>C47</f>
        <v>27</v>
      </c>
      <c r="H47">
        <f>D47</f>
        <v>27</v>
      </c>
      <c r="I47" s="142" t="s">
        <v>680</v>
      </c>
      <c r="J47">
        <f>H47</f>
        <v>27</v>
      </c>
      <c r="K47">
        <f t="shared" ref="K47:N48" si="90">J47</f>
        <v>27</v>
      </c>
      <c r="L47">
        <f t="shared" si="90"/>
        <v>27</v>
      </c>
      <c r="M47">
        <f t="shared" si="90"/>
        <v>27</v>
      </c>
      <c r="N47">
        <f t="shared" si="90"/>
        <v>27</v>
      </c>
    </row>
    <row r="48" spans="1:140" x14ac:dyDescent="0.25">
      <c r="A48" t="s">
        <v>659</v>
      </c>
      <c r="C48">
        <v>29</v>
      </c>
      <c r="D48">
        <f>C48</f>
        <v>29</v>
      </c>
      <c r="H48">
        <f>D48</f>
        <v>29</v>
      </c>
      <c r="I48" s="142" t="s">
        <v>680</v>
      </c>
      <c r="J48">
        <f>H48</f>
        <v>29</v>
      </c>
      <c r="K48">
        <f t="shared" si="90"/>
        <v>29</v>
      </c>
      <c r="L48">
        <f t="shared" si="90"/>
        <v>29</v>
      </c>
      <c r="M48">
        <f t="shared" si="90"/>
        <v>29</v>
      </c>
      <c r="N48">
        <f t="shared" si="90"/>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Q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84"/>
  <sheetViews>
    <sheetView tabSelected="1" workbookViewId="0">
      <selection activeCell="B8" sqref="B8"/>
    </sheetView>
  </sheetViews>
  <sheetFormatPr baseColWidth="10"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D1" s="71" t="s">
        <v>828</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5">
        <v>44253</v>
      </c>
      <c r="B7" s="74" t="s">
        <v>608</v>
      </c>
      <c r="C7" s="74"/>
      <c r="D7" s="74" t="s">
        <v>817</v>
      </c>
    </row>
    <row r="8" spans="1:4" ht="60" x14ac:dyDescent="0.25">
      <c r="A8" s="72"/>
      <c r="B8" s="76" t="s">
        <v>829</v>
      </c>
      <c r="D8" s="1" t="s">
        <v>825</v>
      </c>
    </row>
    <row r="9" spans="1:4" x14ac:dyDescent="0.25">
      <c r="A9" s="75">
        <v>44252</v>
      </c>
      <c r="B9" s="74" t="s">
        <v>663</v>
      </c>
      <c r="C9" s="74"/>
      <c r="D9" s="74" t="s">
        <v>817</v>
      </c>
    </row>
    <row r="10" spans="1:4" ht="75" x14ac:dyDescent="0.25">
      <c r="A10" s="72"/>
      <c r="B10" s="76" t="s">
        <v>827</v>
      </c>
      <c r="D10" s="1" t="s">
        <v>826</v>
      </c>
    </row>
    <row r="11" spans="1:4" x14ac:dyDescent="0.25">
      <c r="A11" s="75">
        <v>44250</v>
      </c>
      <c r="B11" s="74" t="s">
        <v>729</v>
      </c>
      <c r="C11" s="74"/>
      <c r="D11" s="74" t="s">
        <v>817</v>
      </c>
    </row>
    <row r="12" spans="1:4" ht="90" x14ac:dyDescent="0.25">
      <c r="A12" s="72"/>
      <c r="B12" s="76" t="s">
        <v>822</v>
      </c>
      <c r="D12" s="1" t="s">
        <v>824</v>
      </c>
    </row>
    <row r="13" spans="1:4" x14ac:dyDescent="0.25">
      <c r="A13" s="75">
        <v>44249</v>
      </c>
      <c r="B13" s="74" t="s">
        <v>820</v>
      </c>
    </row>
    <row r="14" spans="1:4" ht="60" x14ac:dyDescent="0.25">
      <c r="A14" s="72"/>
      <c r="B14" s="76" t="s">
        <v>821</v>
      </c>
    </row>
    <row r="15" spans="1:4" x14ac:dyDescent="0.25">
      <c r="A15" s="75">
        <v>44247</v>
      </c>
      <c r="B15" s="74" t="s">
        <v>608</v>
      </c>
      <c r="C15" s="74"/>
      <c r="D15" s="74" t="s">
        <v>817</v>
      </c>
    </row>
    <row r="16" spans="1:4" ht="105" x14ac:dyDescent="0.25">
      <c r="A16" s="72"/>
      <c r="B16" s="76" t="s">
        <v>819</v>
      </c>
      <c r="D16" s="1" t="s">
        <v>823</v>
      </c>
    </row>
    <row r="17" spans="1:4" x14ac:dyDescent="0.25">
      <c r="A17" s="75">
        <v>44246</v>
      </c>
      <c r="B17" s="74" t="s">
        <v>815</v>
      </c>
      <c r="C17" s="74"/>
      <c r="D17" s="74" t="s">
        <v>817</v>
      </c>
    </row>
    <row r="18" spans="1:4" ht="90" x14ac:dyDescent="0.25">
      <c r="A18" s="72"/>
      <c r="B18" s="76" t="s">
        <v>816</v>
      </c>
      <c r="D18" s="1" t="s">
        <v>818</v>
      </c>
    </row>
    <row r="19" spans="1:4" x14ac:dyDescent="0.25">
      <c r="A19" s="75">
        <v>44245</v>
      </c>
      <c r="B19" s="74" t="s">
        <v>768</v>
      </c>
      <c r="C19" s="74"/>
      <c r="D19" s="74" t="s">
        <v>812</v>
      </c>
    </row>
    <row r="20" spans="1:4" ht="120" x14ac:dyDescent="0.25">
      <c r="A20" s="72"/>
      <c r="B20" s="76" t="s">
        <v>813</v>
      </c>
      <c r="D20" s="76" t="s">
        <v>814</v>
      </c>
    </row>
    <row r="21" spans="1:4" x14ac:dyDescent="0.25">
      <c r="A21" s="75">
        <v>44243</v>
      </c>
      <c r="B21" s="74" t="s">
        <v>763</v>
      </c>
    </row>
    <row r="22" spans="1:4" ht="150" x14ac:dyDescent="0.25">
      <c r="A22" s="72"/>
      <c r="B22" s="76" t="s">
        <v>804</v>
      </c>
    </row>
    <row r="23" spans="1:4" x14ac:dyDescent="0.25">
      <c r="A23" s="75">
        <v>44242</v>
      </c>
      <c r="B23" s="74" t="s">
        <v>663</v>
      </c>
    </row>
    <row r="24" spans="1:4" ht="105" x14ac:dyDescent="0.25">
      <c r="A24" s="72"/>
      <c r="B24" s="76" t="s">
        <v>803</v>
      </c>
    </row>
    <row r="25" spans="1:4" x14ac:dyDescent="0.25">
      <c r="A25" s="72"/>
      <c r="B25" s="76"/>
    </row>
    <row r="26" spans="1:4" x14ac:dyDescent="0.25">
      <c r="A26" s="75">
        <v>44239</v>
      </c>
      <c r="B26" s="74" t="s">
        <v>664</v>
      </c>
    </row>
    <row r="27" spans="1:4" ht="90" x14ac:dyDescent="0.25">
      <c r="A27" s="72"/>
      <c r="B27" s="76" t="s">
        <v>798</v>
      </c>
    </row>
    <row r="28" spans="1:4" x14ac:dyDescent="0.25">
      <c r="A28" s="75">
        <v>44238</v>
      </c>
      <c r="B28" s="74" t="s">
        <v>663</v>
      </c>
    </row>
    <row r="29" spans="1:4" ht="75" x14ac:dyDescent="0.25">
      <c r="A29" s="72"/>
      <c r="B29" s="76" t="s">
        <v>797</v>
      </c>
    </row>
    <row r="30" spans="1:4" x14ac:dyDescent="0.25">
      <c r="A30" s="75">
        <v>44236</v>
      </c>
      <c r="B30" s="74" t="s">
        <v>663</v>
      </c>
    </row>
    <row r="31" spans="1:4" ht="75" x14ac:dyDescent="0.25">
      <c r="A31" s="72"/>
      <c r="B31" s="76" t="s">
        <v>793</v>
      </c>
    </row>
    <row r="32" spans="1:4" x14ac:dyDescent="0.25">
      <c r="A32" s="75">
        <v>44235</v>
      </c>
      <c r="B32" s="74" t="s">
        <v>763</v>
      </c>
    </row>
    <row r="33" spans="1:2" ht="60" x14ac:dyDescent="0.25">
      <c r="A33" s="72"/>
      <c r="B33" s="76" t="s">
        <v>792</v>
      </c>
    </row>
    <row r="34" spans="1:2" x14ac:dyDescent="0.25">
      <c r="A34" s="72"/>
      <c r="B34" s="73"/>
    </row>
    <row r="35" spans="1:2" x14ac:dyDescent="0.25">
      <c r="A35" s="75">
        <v>44233</v>
      </c>
      <c r="B35" s="74" t="s">
        <v>790</v>
      </c>
    </row>
    <row r="36" spans="1:2" x14ac:dyDescent="0.25">
      <c r="A36" s="72"/>
      <c r="B36" s="73" t="s">
        <v>791</v>
      </c>
    </row>
    <row r="37" spans="1:2" x14ac:dyDescent="0.25">
      <c r="A37" s="75">
        <v>44232</v>
      </c>
      <c r="B37" s="74" t="s">
        <v>763</v>
      </c>
    </row>
    <row r="38" spans="1:2" ht="60" x14ac:dyDescent="0.25">
      <c r="A38" s="72"/>
      <c r="B38" s="76" t="s">
        <v>789</v>
      </c>
    </row>
    <row r="39" spans="1:2" x14ac:dyDescent="0.25">
      <c r="A39" s="75">
        <v>44231</v>
      </c>
      <c r="B39" s="74" t="s">
        <v>763</v>
      </c>
    </row>
    <row r="40" spans="1:2" ht="90" x14ac:dyDescent="0.25">
      <c r="A40" s="72"/>
      <c r="B40" s="76" t="s">
        <v>781</v>
      </c>
    </row>
    <row r="41" spans="1:2" x14ac:dyDescent="0.25">
      <c r="A41" s="75">
        <v>44229</v>
      </c>
      <c r="B41" s="74" t="s">
        <v>763</v>
      </c>
    </row>
    <row r="42" spans="1:2" ht="75" x14ac:dyDescent="0.25">
      <c r="A42" s="72"/>
      <c r="B42" s="76" t="s">
        <v>780</v>
      </c>
    </row>
    <row r="43" spans="1:2" x14ac:dyDescent="0.25">
      <c r="A43" s="75">
        <v>44228</v>
      </c>
      <c r="B43" s="74" t="s">
        <v>663</v>
      </c>
    </row>
    <row r="44" spans="1:2" ht="45" x14ac:dyDescent="0.25">
      <c r="A44" s="72"/>
      <c r="B44" s="76" t="s">
        <v>779</v>
      </c>
    </row>
    <row r="45" spans="1:2" x14ac:dyDescent="0.25">
      <c r="A45" s="72"/>
      <c r="B45" s="73"/>
    </row>
    <row r="46" spans="1:2" x14ac:dyDescent="0.25">
      <c r="A46" s="75">
        <v>44227</v>
      </c>
      <c r="B46" s="74" t="s">
        <v>772</v>
      </c>
    </row>
    <row r="47" spans="1:2" ht="60" x14ac:dyDescent="0.25">
      <c r="A47" s="72"/>
      <c r="B47" s="76" t="s">
        <v>773</v>
      </c>
    </row>
    <row r="48" spans="1:2" x14ac:dyDescent="0.25">
      <c r="A48" s="75">
        <v>44226</v>
      </c>
      <c r="B48" s="74" t="s">
        <v>767</v>
      </c>
    </row>
    <row r="49" spans="1:2" x14ac:dyDescent="0.25">
      <c r="A49" s="72"/>
      <c r="B49" s="73" t="s">
        <v>771</v>
      </c>
    </row>
    <row r="50" spans="1:2" x14ac:dyDescent="0.25">
      <c r="A50" s="75">
        <v>44225</v>
      </c>
      <c r="B50" s="74" t="s">
        <v>608</v>
      </c>
    </row>
    <row r="51" spans="1:2" ht="105" x14ac:dyDescent="0.25">
      <c r="A51" s="72"/>
      <c r="B51" s="76" t="s">
        <v>770</v>
      </c>
    </row>
    <row r="52" spans="1:2" x14ac:dyDescent="0.25">
      <c r="A52" s="75">
        <v>44224</v>
      </c>
      <c r="B52" s="74" t="s">
        <v>768</v>
      </c>
    </row>
    <row r="53" spans="1:2" ht="45" x14ac:dyDescent="0.25">
      <c r="A53" s="72"/>
      <c r="B53" s="76" t="s">
        <v>769</v>
      </c>
    </row>
    <row r="54" spans="1:2" x14ac:dyDescent="0.25">
      <c r="A54" s="75">
        <v>44222</v>
      </c>
      <c r="B54" s="74" t="s">
        <v>729</v>
      </c>
    </row>
    <row r="55" spans="1:2" ht="135" x14ac:dyDescent="0.25">
      <c r="A55" s="72"/>
      <c r="B55" s="76" t="s">
        <v>766</v>
      </c>
    </row>
    <row r="56" spans="1:2" x14ac:dyDescent="0.25">
      <c r="A56" s="75">
        <v>44221</v>
      </c>
      <c r="B56" s="74" t="s">
        <v>763</v>
      </c>
    </row>
    <row r="57" spans="1:2" x14ac:dyDescent="0.25">
      <c r="B57" t="s">
        <v>764</v>
      </c>
    </row>
    <row r="58" spans="1:2" x14ac:dyDescent="0.25">
      <c r="A58" s="72"/>
      <c r="B58" s="73"/>
    </row>
    <row r="59" spans="1:2" x14ac:dyDescent="0.25">
      <c r="A59" s="75">
        <v>44220</v>
      </c>
      <c r="B59" s="74" t="s">
        <v>755</v>
      </c>
    </row>
    <row r="60" spans="1:2" ht="75" x14ac:dyDescent="0.25">
      <c r="A60" s="72"/>
      <c r="B60" s="76" t="s">
        <v>761</v>
      </c>
    </row>
    <row r="61" spans="1:2" x14ac:dyDescent="0.25">
      <c r="A61" s="75">
        <v>44219</v>
      </c>
      <c r="B61" s="74" t="s">
        <v>762</v>
      </c>
    </row>
    <row r="62" spans="1:2" x14ac:dyDescent="0.25">
      <c r="A62" s="72"/>
      <c r="B62" s="73" t="s">
        <v>760</v>
      </c>
    </row>
    <row r="63" spans="1:2" x14ac:dyDescent="0.25">
      <c r="A63" s="75">
        <v>44218</v>
      </c>
      <c r="B63" s="74" t="s">
        <v>755</v>
      </c>
    </row>
    <row r="64" spans="1:2" ht="60" x14ac:dyDescent="0.25">
      <c r="A64" s="72"/>
      <c r="B64" s="76" t="s">
        <v>756</v>
      </c>
    </row>
    <row r="65" spans="1:2" x14ac:dyDescent="0.25">
      <c r="A65" s="75">
        <v>44217</v>
      </c>
      <c r="B65" s="74" t="s">
        <v>664</v>
      </c>
    </row>
    <row r="66" spans="1:2" ht="60" x14ac:dyDescent="0.25">
      <c r="A66" s="72"/>
      <c r="B66" s="76" t="s">
        <v>754</v>
      </c>
    </row>
    <row r="67" spans="1:2" x14ac:dyDescent="0.25">
      <c r="A67" s="75">
        <v>44215</v>
      </c>
      <c r="B67" s="74" t="s">
        <v>663</v>
      </c>
    </row>
    <row r="68" spans="1:2" ht="135" x14ac:dyDescent="0.25">
      <c r="A68" s="72"/>
      <c r="B68" s="76" t="s">
        <v>735</v>
      </c>
    </row>
    <row r="69" spans="1:2" x14ac:dyDescent="0.25">
      <c r="A69" s="75">
        <v>44214</v>
      </c>
      <c r="B69" s="74" t="s">
        <v>729</v>
      </c>
    </row>
    <row r="70" spans="1:2" ht="105" x14ac:dyDescent="0.25">
      <c r="A70" s="72"/>
      <c r="B70" s="76" t="s">
        <v>730</v>
      </c>
    </row>
    <row r="71" spans="1:2" x14ac:dyDescent="0.25">
      <c r="A71" s="72"/>
      <c r="B71" s="73"/>
    </row>
    <row r="72" spans="1:2" x14ac:dyDescent="0.25">
      <c r="A72" s="75">
        <v>44211</v>
      </c>
      <c r="B72" s="74" t="s">
        <v>663</v>
      </c>
    </row>
    <row r="73" spans="1:2" ht="105" x14ac:dyDescent="0.25">
      <c r="A73" s="72"/>
      <c r="B73" s="76" t="s">
        <v>665</v>
      </c>
    </row>
    <row r="74" spans="1:2" x14ac:dyDescent="0.25">
      <c r="A74" s="75">
        <v>44210</v>
      </c>
      <c r="B74" s="74" t="s">
        <v>664</v>
      </c>
    </row>
    <row r="75" spans="1:2" ht="75" x14ac:dyDescent="0.25">
      <c r="A75" s="72"/>
      <c r="B75" s="76" t="s">
        <v>654</v>
      </c>
    </row>
    <row r="76" spans="1:2" x14ac:dyDescent="0.25">
      <c r="A76" s="75">
        <v>44208</v>
      </c>
      <c r="B76" s="74" t="s">
        <v>660</v>
      </c>
    </row>
    <row r="77" spans="1:2" ht="75" x14ac:dyDescent="0.25">
      <c r="A77" s="72"/>
      <c r="B77" s="76" t="s">
        <v>666</v>
      </c>
    </row>
    <row r="78" spans="1:2" x14ac:dyDescent="0.25">
      <c r="A78" s="75">
        <v>44207</v>
      </c>
      <c r="B78" s="74" t="s">
        <v>661</v>
      </c>
    </row>
    <row r="79" spans="1:2" ht="45" x14ac:dyDescent="0.25">
      <c r="A79" s="72"/>
      <c r="B79" s="76" t="s">
        <v>653</v>
      </c>
    </row>
    <row r="80" spans="1:2" x14ac:dyDescent="0.25">
      <c r="A80" s="72"/>
      <c r="B80" s="73"/>
    </row>
    <row r="81" spans="1:2" x14ac:dyDescent="0.25">
      <c r="A81" s="75">
        <v>44205</v>
      </c>
      <c r="B81" s="74" t="s">
        <v>662</v>
      </c>
    </row>
    <row r="82" spans="1:2" ht="60" x14ac:dyDescent="0.25">
      <c r="A82" s="72"/>
      <c r="B82" s="76" t="s">
        <v>652</v>
      </c>
    </row>
    <row r="83" spans="1:2" x14ac:dyDescent="0.25">
      <c r="A83" s="72"/>
      <c r="B83" s="73"/>
    </row>
    <row r="84" spans="1:2" x14ac:dyDescent="0.25">
      <c r="A84" s="72"/>
      <c r="B84"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baseColWidth="10"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805</v>
      </c>
      <c r="J29" s="8" t="s">
        <v>73</v>
      </c>
      <c r="K29" s="8" t="s">
        <v>106</v>
      </c>
    </row>
    <row r="30" spans="1:11" x14ac:dyDescent="0.25">
      <c r="A30">
        <v>1</v>
      </c>
      <c r="B30" s="8" t="s">
        <v>236</v>
      </c>
      <c r="C30" s="8" t="s">
        <v>237</v>
      </c>
      <c r="D30" s="8" t="s">
        <v>238</v>
      </c>
      <c r="E30" s="8" t="s">
        <v>239</v>
      </c>
      <c r="F30" s="18">
        <v>39425</v>
      </c>
      <c r="G30" s="196">
        <v>18</v>
      </c>
      <c r="H30" s="8" t="s">
        <v>805</v>
      </c>
      <c r="J30" s="8" t="s">
        <v>236</v>
      </c>
      <c r="K30" s="8" t="s">
        <v>239</v>
      </c>
    </row>
    <row r="31" spans="1:11" x14ac:dyDescent="0.25">
      <c r="A31">
        <v>1</v>
      </c>
      <c r="B31" s="8" t="s">
        <v>92</v>
      </c>
      <c r="C31" s="8"/>
      <c r="D31" s="8" t="s">
        <v>91</v>
      </c>
      <c r="E31" s="8" t="s">
        <v>90</v>
      </c>
      <c r="F31" s="18">
        <v>39507</v>
      </c>
      <c r="G31" s="196">
        <v>18</v>
      </c>
      <c r="H31" s="8" t="s">
        <v>805</v>
      </c>
      <c r="J31" s="8" t="s">
        <v>92</v>
      </c>
      <c r="K31" s="8" t="s">
        <v>90</v>
      </c>
    </row>
    <row r="32" spans="1:11" x14ac:dyDescent="0.25">
      <c r="A32">
        <v>1</v>
      </c>
      <c r="B32" s="8" t="s">
        <v>134</v>
      </c>
      <c r="C32" s="8" t="s">
        <v>133</v>
      </c>
      <c r="D32" s="8" t="s">
        <v>235</v>
      </c>
      <c r="E32" s="8" t="s">
        <v>87</v>
      </c>
      <c r="F32" s="18">
        <v>38979</v>
      </c>
      <c r="G32" s="196">
        <v>18</v>
      </c>
      <c r="H32" s="8" t="s">
        <v>805</v>
      </c>
      <c r="J32" s="8" t="s">
        <v>134</v>
      </c>
      <c r="K32" s="8" t="s">
        <v>87</v>
      </c>
    </row>
    <row r="33" spans="1:11" x14ac:dyDescent="0.25">
      <c r="A33">
        <v>1</v>
      </c>
      <c r="B33" s="8" t="s">
        <v>83</v>
      </c>
      <c r="C33" s="8"/>
      <c r="D33" s="8" t="s">
        <v>82</v>
      </c>
      <c r="E33" s="8" t="s">
        <v>81</v>
      </c>
      <c r="F33" s="18">
        <v>39475</v>
      </c>
      <c r="G33" s="196">
        <v>18</v>
      </c>
      <c r="H33" s="8" t="s">
        <v>805</v>
      </c>
      <c r="J33" s="8" t="s">
        <v>83</v>
      </c>
      <c r="K33" s="8" t="s">
        <v>81</v>
      </c>
    </row>
    <row r="34" spans="1:11" x14ac:dyDescent="0.25">
      <c r="A34">
        <v>1</v>
      </c>
      <c r="B34" s="8" t="s">
        <v>428</v>
      </c>
      <c r="C34" s="8"/>
      <c r="D34" s="8" t="s">
        <v>429</v>
      </c>
      <c r="E34" s="8" t="s">
        <v>600</v>
      </c>
      <c r="F34" s="18">
        <v>40003</v>
      </c>
      <c r="G34" s="196">
        <v>16</v>
      </c>
      <c r="H34" s="8" t="s">
        <v>806</v>
      </c>
      <c r="J34" s="8" t="s">
        <v>428</v>
      </c>
      <c r="K34" s="8" t="s">
        <v>600</v>
      </c>
    </row>
    <row r="35" spans="1:11" x14ac:dyDescent="0.25">
      <c r="A35">
        <v>2</v>
      </c>
      <c r="B35" s="8" t="s">
        <v>116</v>
      </c>
      <c r="C35" s="8" t="s">
        <v>115</v>
      </c>
      <c r="D35" s="8" t="s">
        <v>114</v>
      </c>
      <c r="E35" s="8" t="s">
        <v>113</v>
      </c>
      <c r="F35" s="176">
        <v>40073</v>
      </c>
      <c r="G35" s="196">
        <v>16</v>
      </c>
      <c r="H35" s="19" t="s">
        <v>805</v>
      </c>
      <c r="J35" s="8" t="s">
        <v>116</v>
      </c>
      <c r="K35" s="8" t="s">
        <v>113</v>
      </c>
    </row>
    <row r="40" spans="1:11" x14ac:dyDescent="0.25">
      <c r="A40">
        <v>3</v>
      </c>
      <c r="B40" s="8" t="s">
        <v>112</v>
      </c>
      <c r="C40" s="8" t="s">
        <v>111</v>
      </c>
      <c r="D40" s="8" t="s">
        <v>110</v>
      </c>
      <c r="E40" s="8" t="s">
        <v>109</v>
      </c>
      <c r="F40" s="56">
        <v>40099</v>
      </c>
      <c r="G40" s="19" t="s">
        <v>799</v>
      </c>
    </row>
    <row r="41" spans="1:11" x14ac:dyDescent="0.25">
      <c r="A41">
        <v>9</v>
      </c>
      <c r="B41" s="8" t="s">
        <v>62</v>
      </c>
      <c r="C41" s="8"/>
      <c r="D41" s="8" t="s">
        <v>292</v>
      </c>
      <c r="E41" s="8" t="s">
        <v>293</v>
      </c>
      <c r="F41" s="18">
        <v>39814</v>
      </c>
      <c r="G41" s="19" t="s">
        <v>799</v>
      </c>
    </row>
    <row r="42" spans="1:11" x14ac:dyDescent="0.25">
      <c r="A42">
        <v>9</v>
      </c>
      <c r="B42" s="8" t="s">
        <v>89</v>
      </c>
      <c r="C42" s="8"/>
      <c r="D42" s="8" t="s">
        <v>88</v>
      </c>
      <c r="E42" s="8" t="s">
        <v>87</v>
      </c>
      <c r="F42" s="18">
        <v>39651</v>
      </c>
      <c r="G42" s="19" t="s">
        <v>799</v>
      </c>
    </row>
    <row r="43" spans="1:11" x14ac:dyDescent="0.25">
      <c r="A43">
        <v>9</v>
      </c>
      <c r="B43" s="8" t="s">
        <v>86</v>
      </c>
      <c r="C43" s="8"/>
      <c r="D43" s="8" t="s">
        <v>85</v>
      </c>
      <c r="E43" s="8" t="s">
        <v>84</v>
      </c>
      <c r="F43" s="18">
        <v>39562</v>
      </c>
      <c r="G43" s="19" t="s">
        <v>799</v>
      </c>
    </row>
    <row r="44" spans="1:11" x14ac:dyDescent="0.25">
      <c r="A44">
        <v>3</v>
      </c>
      <c r="B44" s="8" t="s">
        <v>80</v>
      </c>
      <c r="C44" s="8"/>
      <c r="D44" s="8" t="s">
        <v>79</v>
      </c>
      <c r="E44" s="8" t="s">
        <v>78</v>
      </c>
      <c r="F44" s="18">
        <v>39927</v>
      </c>
      <c r="G44" s="19" t="s">
        <v>799</v>
      </c>
    </row>
    <row r="45" spans="1:11" x14ac:dyDescent="0.25">
      <c r="A45">
        <v>2</v>
      </c>
      <c r="B45" s="8" t="s">
        <v>77</v>
      </c>
      <c r="C45" s="8" t="s">
        <v>76</v>
      </c>
      <c r="D45" s="8" t="s">
        <v>75</v>
      </c>
      <c r="E45" s="8" t="s">
        <v>74</v>
      </c>
      <c r="F45" s="18">
        <v>40051</v>
      </c>
      <c r="G45" s="196" t="s">
        <v>800</v>
      </c>
    </row>
    <row r="46" spans="1:11" x14ac:dyDescent="0.25">
      <c r="A46">
        <v>2</v>
      </c>
      <c r="B46" s="8" t="s">
        <v>73</v>
      </c>
      <c r="C46" s="8"/>
      <c r="D46" s="8" t="s">
        <v>27</v>
      </c>
      <c r="E46" s="8" t="s">
        <v>70</v>
      </c>
      <c r="F46" s="18">
        <v>40004</v>
      </c>
      <c r="G46" s="196" t="s">
        <v>800</v>
      </c>
    </row>
    <row r="47" spans="1:11" x14ac:dyDescent="0.25">
      <c r="A47">
        <v>4</v>
      </c>
      <c r="B47" s="8" t="s">
        <v>72</v>
      </c>
      <c r="C47" s="8"/>
      <c r="D47" s="8" t="s">
        <v>71</v>
      </c>
      <c r="E47" s="8" t="s">
        <v>70</v>
      </c>
      <c r="F47" s="18">
        <v>40754</v>
      </c>
      <c r="G47" s="19" t="s">
        <v>799</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E46" sqref="E4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4" t="s">
        <v>144</v>
      </c>
      <c r="B2" s="234"/>
      <c r="C2" s="234"/>
      <c r="D2" s="234"/>
      <c r="E2" s="234"/>
      <c r="F2" s="39"/>
      <c r="G2" s="39"/>
      <c r="H2" s="39"/>
      <c r="I2" s="39"/>
      <c r="J2" s="39"/>
      <c r="K2" s="39"/>
      <c r="L2" s="39"/>
      <c r="M2" s="39"/>
      <c r="N2" s="39"/>
      <c r="O2" s="27"/>
      <c r="P2" s="235" t="s">
        <v>49</v>
      </c>
      <c r="Q2" s="231" t="s">
        <v>48</v>
      </c>
      <c r="R2" s="225"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4"/>
      <c r="B3" s="234"/>
      <c r="C3" s="234"/>
      <c r="D3" s="234"/>
      <c r="E3" s="234"/>
      <c r="F3" s="39"/>
      <c r="G3" s="39"/>
      <c r="H3" s="39"/>
      <c r="I3" s="39"/>
      <c r="J3" s="39"/>
      <c r="K3" s="39"/>
      <c r="L3" s="39"/>
      <c r="M3" s="39"/>
      <c r="N3" s="39"/>
      <c r="O3" s="27"/>
      <c r="P3" s="236"/>
      <c r="Q3" s="232"/>
      <c r="R3" s="23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27" t="s">
        <v>144</v>
      </c>
      <c r="B41" s="227"/>
      <c r="C41" s="227"/>
      <c r="D41" s="227"/>
      <c r="E41" s="228"/>
      <c r="F41" s="36"/>
      <c r="G41" s="36"/>
      <c r="H41" s="36"/>
      <c r="I41" s="36"/>
      <c r="J41" s="36"/>
      <c r="K41" s="36"/>
      <c r="L41" s="36"/>
      <c r="M41" s="36"/>
      <c r="N41" s="36"/>
      <c r="O41" s="35"/>
      <c r="P41" s="237" t="s">
        <v>49</v>
      </c>
      <c r="Q41" s="237" t="s">
        <v>48</v>
      </c>
      <c r="R41" s="238"/>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9"/>
      <c r="B42" s="229"/>
      <c r="C42" s="229"/>
      <c r="D42" s="229"/>
      <c r="E42" s="230"/>
      <c r="F42" s="19"/>
      <c r="G42" s="19"/>
      <c r="H42" s="19"/>
      <c r="I42" s="19"/>
      <c r="J42" s="19"/>
      <c r="K42" s="19"/>
      <c r="L42" s="19"/>
      <c r="M42" s="19"/>
      <c r="N42" s="19"/>
      <c r="O42" s="9"/>
      <c r="P42" s="232"/>
      <c r="Q42" s="232"/>
      <c r="R42" s="233"/>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27" t="s">
        <v>144</v>
      </c>
      <c r="B72" s="227"/>
      <c r="C72" s="227"/>
      <c r="D72" s="227"/>
      <c r="E72" s="228"/>
      <c r="F72" s="30"/>
      <c r="G72" s="30"/>
      <c r="H72" s="30"/>
      <c r="I72" s="30"/>
      <c r="J72" s="30"/>
      <c r="K72" s="30"/>
      <c r="L72" s="30"/>
      <c r="M72" s="30"/>
      <c r="N72" s="30"/>
      <c r="O72" s="29"/>
      <c r="P72" s="231" t="s">
        <v>49</v>
      </c>
      <c r="Q72" s="231" t="s">
        <v>48</v>
      </c>
      <c r="R72" s="225"/>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9"/>
      <c r="B73" s="229"/>
      <c r="C73" s="229"/>
      <c r="D73" s="229"/>
      <c r="E73" s="230"/>
      <c r="F73" s="28"/>
      <c r="G73" s="28"/>
      <c r="H73" s="28"/>
      <c r="I73" s="28"/>
      <c r="J73" s="28"/>
      <c r="K73" s="28"/>
      <c r="L73" s="28"/>
      <c r="M73" s="28"/>
      <c r="N73" s="28"/>
      <c r="O73" s="27"/>
      <c r="P73" s="232"/>
      <c r="Q73" s="239"/>
      <c r="R73" s="233"/>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43" t="s">
        <v>338</v>
      </c>
      <c r="B1" s="243"/>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3" t="s">
        <v>339</v>
      </c>
      <c r="B7" s="243"/>
    </row>
    <row r="8" spans="1:2" ht="15.75" x14ac:dyDescent="0.25">
      <c r="A8" s="241" t="s">
        <v>330</v>
      </c>
      <c r="B8" s="241"/>
    </row>
    <row r="9" spans="1:2" x14ac:dyDescent="0.25">
      <c r="A9" t="s">
        <v>331</v>
      </c>
    </row>
    <row r="11" spans="1:2" ht="15.75" x14ac:dyDescent="0.25">
      <c r="A11" s="242" t="s">
        <v>327</v>
      </c>
      <c r="B11" s="242"/>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0" t="s">
        <v>340</v>
      </c>
      <c r="B23" s="240"/>
    </row>
    <row r="25" spans="1:2" ht="15.75" x14ac:dyDescent="0.25">
      <c r="A25" s="241" t="s">
        <v>332</v>
      </c>
      <c r="B25" s="241"/>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4" t="s">
        <v>297</v>
      </c>
      <c r="C5" s="245"/>
      <c r="D5" s="245"/>
      <c r="E5" s="245"/>
      <c r="F5" s="245"/>
      <c r="G5" s="245"/>
      <c r="H5" s="245"/>
      <c r="I5" s="24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row>
    <row r="6" spans="1:70" x14ac:dyDescent="0.25">
      <c r="C6" s="2" t="s">
        <v>3</v>
      </c>
    </row>
    <row r="7" spans="1:70" ht="45" customHeight="1" x14ac:dyDescent="0.25">
      <c r="C7" s="244" t="s">
        <v>281</v>
      </c>
      <c r="D7" s="245"/>
      <c r="E7" s="245"/>
      <c r="F7" s="245"/>
      <c r="G7" s="245"/>
      <c r="H7" s="245"/>
      <c r="I7" s="245"/>
      <c r="J7" s="245"/>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row>
    <row r="8" spans="1:70" x14ac:dyDescent="0.25">
      <c r="C8" s="2" t="s">
        <v>4</v>
      </c>
    </row>
    <row r="9" spans="1:70" ht="75" customHeight="1" x14ac:dyDescent="0.25">
      <c r="C9" s="244" t="s">
        <v>274</v>
      </c>
      <c r="D9" s="245"/>
      <c r="E9" s="245"/>
      <c r="F9" s="245"/>
      <c r="G9" s="245"/>
      <c r="H9" s="245"/>
      <c r="I9" s="245"/>
      <c r="J9" s="245"/>
      <c r="K9" s="245"/>
      <c r="L9" s="245"/>
      <c r="M9" s="245"/>
      <c r="N9" s="245"/>
      <c r="O9" s="245"/>
      <c r="P9" s="245"/>
      <c r="Q9" s="245"/>
      <c r="R9" s="245"/>
      <c r="S9" s="245"/>
      <c r="T9" s="245"/>
      <c r="U9" s="245"/>
      <c r="V9" s="245"/>
      <c r="W9" s="245"/>
      <c r="X9" s="245"/>
      <c r="Y9" s="245"/>
      <c r="Z9" s="245"/>
      <c r="AA9" s="245"/>
      <c r="AB9" s="245"/>
      <c r="AC9" s="245"/>
      <c r="AD9" s="245"/>
      <c r="AE9" s="245"/>
      <c r="AF9" s="245"/>
      <c r="AG9" s="245"/>
      <c r="AH9" s="245"/>
      <c r="AI9" s="245"/>
      <c r="AJ9" s="245"/>
      <c r="AK9" s="245"/>
      <c r="AL9" s="245"/>
      <c r="AM9" s="245"/>
      <c r="AN9" s="245"/>
      <c r="AO9" s="245"/>
      <c r="AP9" s="245"/>
      <c r="AQ9" s="245"/>
      <c r="AR9" s="245"/>
      <c r="AS9" s="245"/>
      <c r="AT9" s="245"/>
      <c r="AU9" s="245"/>
      <c r="AV9" s="245"/>
      <c r="AW9" s="245"/>
      <c r="AX9" s="245"/>
      <c r="AY9" s="245"/>
      <c r="AZ9" s="245"/>
      <c r="BA9" s="245"/>
      <c r="BB9" s="245"/>
      <c r="BC9" s="245"/>
      <c r="BD9" s="245"/>
      <c r="BE9" s="245"/>
      <c r="BF9" s="245"/>
      <c r="BG9" s="245"/>
      <c r="BH9" s="245"/>
      <c r="BI9" s="245"/>
      <c r="BJ9" s="245"/>
      <c r="BK9" s="245"/>
      <c r="BL9" s="245"/>
      <c r="BM9" s="245"/>
      <c r="BN9" s="245"/>
      <c r="BO9" s="245"/>
      <c r="BP9" s="245"/>
      <c r="BQ9" s="245"/>
      <c r="BR9" s="245"/>
    </row>
    <row r="10" spans="1:70" x14ac:dyDescent="0.25">
      <c r="C10" s="2" t="s">
        <v>5</v>
      </c>
    </row>
    <row r="11" spans="1:70" ht="75" customHeight="1" x14ac:dyDescent="0.25">
      <c r="C11" s="244" t="s">
        <v>298</v>
      </c>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245"/>
      <c r="AC11" s="245"/>
      <c r="AD11" s="245"/>
      <c r="AE11" s="245"/>
      <c r="AF11" s="245"/>
      <c r="AG11" s="245"/>
      <c r="AH11" s="245"/>
      <c r="AI11" s="245"/>
      <c r="AJ11" s="245"/>
      <c r="AK11" s="245"/>
      <c r="AL11" s="245"/>
      <c r="AM11" s="245"/>
      <c r="AN11" s="245"/>
      <c r="AO11" s="245"/>
      <c r="AP11" s="245"/>
      <c r="AQ11" s="245"/>
      <c r="AR11" s="245"/>
      <c r="AS11" s="245"/>
      <c r="AT11" s="245"/>
      <c r="AU11" s="245"/>
      <c r="AV11" s="245"/>
      <c r="AW11" s="245"/>
      <c r="AX11" s="245"/>
      <c r="AY11" s="245"/>
      <c r="AZ11" s="245"/>
      <c r="BA11" s="245"/>
      <c r="BB11" s="245"/>
      <c r="BC11" s="245"/>
      <c r="BD11" s="245"/>
      <c r="BE11" s="245"/>
      <c r="BF11" s="245"/>
      <c r="BG11" s="245"/>
      <c r="BH11" s="245"/>
      <c r="BI11" s="245"/>
      <c r="BJ11" s="245"/>
      <c r="BK11" s="245"/>
      <c r="BL11" s="245"/>
      <c r="BM11" s="245"/>
      <c r="BN11" s="245"/>
      <c r="BO11" s="245"/>
      <c r="BP11" s="245"/>
      <c r="BQ11" s="245"/>
      <c r="BR11" s="245"/>
    </row>
    <row r="12" spans="1:70" x14ac:dyDescent="0.25">
      <c r="C12" s="2" t="s">
        <v>6</v>
      </c>
    </row>
    <row r="13" spans="1:70" ht="90.75" customHeight="1" x14ac:dyDescent="0.25">
      <c r="C13" s="244" t="s">
        <v>285</v>
      </c>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c r="AY13" s="245"/>
      <c r="AZ13" s="245"/>
      <c r="BA13" s="245"/>
      <c r="BB13" s="245"/>
      <c r="BC13" s="245"/>
      <c r="BD13" s="245"/>
      <c r="BE13" s="245"/>
      <c r="BF13" s="245"/>
      <c r="BG13" s="245"/>
      <c r="BH13" s="245"/>
      <c r="BI13" s="245"/>
      <c r="BJ13" s="245"/>
      <c r="BK13" s="245"/>
      <c r="BL13" s="245"/>
      <c r="BM13" s="245"/>
      <c r="BN13" s="245"/>
      <c r="BO13" s="245"/>
      <c r="BP13" s="245"/>
      <c r="BQ13" s="245"/>
      <c r="BR13" s="245"/>
    </row>
    <row r="14" spans="1:70" x14ac:dyDescent="0.25">
      <c r="D14" s="2" t="s">
        <v>284</v>
      </c>
    </row>
    <row r="15" spans="1:70" ht="62.25" customHeight="1" x14ac:dyDescent="0.25">
      <c r="D15" s="244" t="s">
        <v>287</v>
      </c>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4"/>
      <c r="AJ15" s="244"/>
      <c r="AK15" s="244"/>
      <c r="AL15" s="244"/>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4"/>
      <c r="BP15" s="244"/>
      <c r="BQ15" s="244"/>
      <c r="BR15" s="244"/>
    </row>
    <row r="16" spans="1:70" x14ac:dyDescent="0.25">
      <c r="D16" s="2" t="s">
        <v>195</v>
      </c>
    </row>
    <row r="17" spans="1:70" ht="47.25" customHeight="1" x14ac:dyDescent="0.25">
      <c r="D17" s="244" t="s">
        <v>267</v>
      </c>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row>
    <row r="18" spans="1:70" ht="15.75" customHeight="1" x14ac:dyDescent="0.25">
      <c r="D18" s="246" t="s">
        <v>266</v>
      </c>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row>
    <row r="19" spans="1:70" ht="45.75" customHeight="1" x14ac:dyDescent="0.25">
      <c r="D19" s="244" t="s">
        <v>275</v>
      </c>
      <c r="E19" s="244"/>
      <c r="F19" s="244"/>
      <c r="G19" s="244"/>
      <c r="H19" s="244"/>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244"/>
      <c r="AH19" s="244"/>
      <c r="AI19" s="244"/>
      <c r="AJ19" s="244"/>
      <c r="AK19" s="244"/>
      <c r="AL19" s="244"/>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4"/>
      <c r="BP19" s="244"/>
      <c r="BQ19" s="244"/>
      <c r="BR19" s="244"/>
    </row>
    <row r="20" spans="1:70" ht="15.75" customHeight="1" x14ac:dyDescent="0.25">
      <c r="D20" s="246" t="s">
        <v>283</v>
      </c>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row>
    <row r="21" spans="1:70" ht="44.25" customHeight="1" x14ac:dyDescent="0.25">
      <c r="D21" s="244" t="s">
        <v>276</v>
      </c>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4"/>
      <c r="AJ21" s="244"/>
      <c r="AK21" s="244"/>
      <c r="AL21" s="244"/>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c r="BQ21" s="244"/>
      <c r="BR21" s="244"/>
    </row>
    <row r="22" spans="1:70" x14ac:dyDescent="0.25">
      <c r="B22" s="2" t="s">
        <v>191</v>
      </c>
      <c r="C22" s="2"/>
    </row>
    <row r="23" spans="1:70" ht="69.75" customHeight="1" x14ac:dyDescent="0.25">
      <c r="B23" s="244" t="s">
        <v>268</v>
      </c>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row>
    <row r="24" spans="1:70" x14ac:dyDescent="0.25">
      <c r="C24" s="2" t="s">
        <v>192</v>
      </c>
    </row>
    <row r="25" spans="1:70" ht="204.75" customHeight="1" x14ac:dyDescent="0.25">
      <c r="C25" s="247" t="s">
        <v>210</v>
      </c>
      <c r="D25" s="247"/>
      <c r="E25" s="247"/>
      <c r="F25" s="247"/>
      <c r="G25" s="247"/>
      <c r="H25" s="247"/>
      <c r="I25" s="247"/>
      <c r="J25" s="247"/>
      <c r="K25" s="247"/>
      <c r="L25" s="247"/>
      <c r="M25" s="247"/>
      <c r="N25" s="247"/>
      <c r="O25" s="247"/>
      <c r="P25" s="247"/>
      <c r="Q25" s="247"/>
      <c r="R25" s="247"/>
      <c r="S25" s="247"/>
      <c r="T25" s="247"/>
      <c r="U25" s="247"/>
      <c r="V25" s="247"/>
      <c r="W25" s="247"/>
      <c r="X25" s="247"/>
      <c r="Y25" s="247"/>
      <c r="Z25" s="247"/>
      <c r="AA25" s="247"/>
      <c r="AB25" s="247"/>
      <c r="AC25" s="247"/>
      <c r="AD25" s="247"/>
      <c r="AE25" s="247"/>
      <c r="AF25" s="247"/>
      <c r="AG25" s="247"/>
      <c r="AH25" s="247"/>
      <c r="AI25" s="247"/>
      <c r="AJ25" s="247"/>
      <c r="AK25" s="247"/>
      <c r="AL25" s="247"/>
      <c r="AM25" s="247"/>
      <c r="AN25" s="247"/>
      <c r="AO25" s="247"/>
      <c r="AP25" s="247"/>
      <c r="AQ25" s="247"/>
      <c r="AR25" s="247"/>
      <c r="AS25" s="247"/>
      <c r="AT25" s="247"/>
      <c r="AU25" s="247"/>
      <c r="AV25" s="247"/>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row>
    <row r="26" spans="1:70" x14ac:dyDescent="0.25">
      <c r="C26" s="2" t="s">
        <v>193</v>
      </c>
    </row>
    <row r="27" spans="1:70" ht="244.5" customHeight="1" x14ac:dyDescent="0.25">
      <c r="A27" s="1"/>
      <c r="C27" s="247" t="s">
        <v>194</v>
      </c>
      <c r="D27" s="247"/>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7"/>
      <c r="AI27" s="247"/>
      <c r="AJ27" s="247"/>
      <c r="AK27" s="247"/>
      <c r="AL27" s="247"/>
      <c r="AM27" s="247"/>
      <c r="AN27" s="247"/>
      <c r="AO27" s="247"/>
      <c r="AP27" s="247"/>
      <c r="AQ27" s="247"/>
      <c r="AR27" s="247"/>
      <c r="AS27" s="247"/>
      <c r="AT27" s="247"/>
      <c r="AU27" s="247"/>
      <c r="AV27" s="247"/>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row>
    <row r="28" spans="1:70" x14ac:dyDescent="0.25">
      <c r="B28" s="2" t="s">
        <v>269</v>
      </c>
      <c r="C28" s="43"/>
    </row>
    <row r="29" spans="1:70" ht="75" customHeight="1" x14ac:dyDescent="0.25">
      <c r="A29" s="1"/>
      <c r="B29" s="244" t="s">
        <v>280</v>
      </c>
      <c r="C29" s="244"/>
      <c r="D29" s="244"/>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row>
    <row r="30" spans="1:70" x14ac:dyDescent="0.25">
      <c r="C30" s="2" t="s">
        <v>273</v>
      </c>
    </row>
    <row r="31" spans="1:70" ht="46.5" customHeight="1" x14ac:dyDescent="0.25">
      <c r="A31" s="1"/>
      <c r="C31" s="247" t="s">
        <v>279</v>
      </c>
      <c r="D31" s="247"/>
      <c r="E31" s="247"/>
      <c r="F31" s="247"/>
      <c r="G31" s="247"/>
      <c r="H31" s="247"/>
      <c r="I31" s="247"/>
      <c r="J31" s="247"/>
      <c r="K31" s="247"/>
      <c r="L31" s="247"/>
      <c r="M31" s="247"/>
      <c r="N31" s="247"/>
      <c r="O31" s="247"/>
      <c r="P31" s="247"/>
      <c r="Q31" s="247"/>
      <c r="R31" s="247"/>
      <c r="S31" s="247"/>
      <c r="T31" s="247"/>
      <c r="U31" s="247"/>
      <c r="V31" s="247"/>
      <c r="W31" s="247"/>
      <c r="X31" s="247"/>
      <c r="Y31" s="247"/>
      <c r="Z31" s="247"/>
      <c r="AA31" s="247"/>
      <c r="AB31" s="247"/>
      <c r="AC31" s="247"/>
      <c r="AD31" s="247"/>
      <c r="AE31" s="247"/>
      <c r="AF31" s="247"/>
      <c r="AG31" s="247"/>
      <c r="AH31" s="247"/>
      <c r="AI31" s="247"/>
      <c r="AJ31" s="247"/>
      <c r="AK31" s="247"/>
      <c r="AL31" s="247"/>
      <c r="AM31" s="247"/>
      <c r="AN31" s="247"/>
      <c r="AO31" s="247"/>
      <c r="AP31" s="247"/>
      <c r="AQ31" s="247"/>
      <c r="AR31" s="247"/>
      <c r="AS31" s="247"/>
      <c r="AT31" s="247"/>
      <c r="AU31" s="247"/>
      <c r="AV31" s="247"/>
      <c r="AW31" s="247"/>
      <c r="AX31" s="247"/>
      <c r="AY31" s="247"/>
      <c r="AZ31" s="247"/>
      <c r="BA31" s="247"/>
      <c r="BB31" s="247"/>
      <c r="BC31" s="247"/>
      <c r="BD31" s="247"/>
      <c r="BE31" s="247"/>
      <c r="BF31" s="247"/>
      <c r="BG31" s="247"/>
      <c r="BH31" s="247"/>
      <c r="BI31" s="247"/>
      <c r="BJ31" s="247"/>
      <c r="BK31" s="247"/>
      <c r="BL31" s="247"/>
      <c r="BM31" s="247"/>
      <c r="BN31" s="247"/>
      <c r="BO31" s="247"/>
      <c r="BP31" s="247"/>
      <c r="BQ31" s="247"/>
      <c r="BR31" s="247"/>
    </row>
    <row r="32" spans="1:70" ht="15.75" customHeight="1" x14ac:dyDescent="0.25">
      <c r="C32" s="246" t="s">
        <v>270</v>
      </c>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row>
    <row r="33" spans="1:70" ht="120" customHeight="1" x14ac:dyDescent="0.25">
      <c r="A33" s="43"/>
      <c r="C33" s="244" t="s">
        <v>272</v>
      </c>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4"/>
      <c r="BP33" s="244"/>
      <c r="BQ33" s="244"/>
      <c r="BR33" s="244"/>
    </row>
    <row r="34" spans="1:70" ht="15.75" customHeight="1" x14ac:dyDescent="0.25">
      <c r="C34" s="246" t="s">
        <v>271</v>
      </c>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row>
    <row r="35" spans="1:70" ht="47.25" customHeight="1" x14ac:dyDescent="0.25">
      <c r="C35" s="247" t="s">
        <v>278</v>
      </c>
      <c r="D35" s="247"/>
      <c r="E35" s="247"/>
      <c r="F35" s="247"/>
      <c r="G35" s="247"/>
      <c r="H35" s="247"/>
      <c r="I35" s="247"/>
      <c r="J35" s="247"/>
      <c r="K35" s="247"/>
      <c r="L35" s="247"/>
      <c r="M35" s="247"/>
      <c r="N35" s="247"/>
      <c r="O35" s="247"/>
      <c r="P35" s="247"/>
      <c r="Q35" s="247"/>
      <c r="R35" s="247"/>
      <c r="S35" s="247"/>
      <c r="T35" s="247"/>
      <c r="U35" s="247"/>
      <c r="V35" s="247"/>
      <c r="W35" s="247"/>
      <c r="X35" s="247"/>
      <c r="Y35" s="247"/>
      <c r="Z35" s="247"/>
      <c r="AA35" s="247"/>
      <c r="AB35" s="247"/>
      <c r="AC35" s="247"/>
      <c r="AD35" s="247"/>
      <c r="AE35" s="247"/>
      <c r="AF35" s="247"/>
      <c r="AG35" s="247"/>
      <c r="AH35" s="247"/>
      <c r="AI35" s="247"/>
      <c r="AJ35" s="247"/>
      <c r="AK35" s="247"/>
      <c r="AL35" s="247"/>
      <c r="AM35" s="247"/>
      <c r="AN35" s="247"/>
      <c r="AO35" s="247"/>
      <c r="AP35" s="247"/>
      <c r="AQ35" s="247"/>
      <c r="AR35" s="247"/>
      <c r="AS35" s="247"/>
      <c r="AT35" s="247"/>
      <c r="AU35" s="247"/>
      <c r="AV35" s="247"/>
      <c r="AW35" s="247"/>
      <c r="AX35" s="247"/>
      <c r="AY35" s="247"/>
      <c r="AZ35" s="247"/>
      <c r="BA35" s="247"/>
      <c r="BB35" s="247"/>
      <c r="BC35" s="247"/>
      <c r="BD35" s="247"/>
      <c r="BE35" s="247"/>
      <c r="BF35" s="247"/>
      <c r="BG35" s="247"/>
      <c r="BH35" s="247"/>
      <c r="BI35" s="247"/>
      <c r="BJ35" s="247"/>
      <c r="BK35" s="247"/>
      <c r="BL35" s="247"/>
      <c r="BM35" s="247"/>
      <c r="BN35" s="247"/>
      <c r="BO35" s="247"/>
      <c r="BP35" s="247"/>
      <c r="BQ35" s="247"/>
      <c r="BR35" s="247"/>
    </row>
    <row r="36" spans="1:70" x14ac:dyDescent="0.25">
      <c r="B36" s="2" t="s">
        <v>2</v>
      </c>
    </row>
    <row r="37" spans="1:70" x14ac:dyDescent="0.25">
      <c r="B37" s="245" t="s">
        <v>12</v>
      </c>
      <c r="C37" s="245"/>
      <c r="D37" s="245"/>
      <c r="E37" s="245"/>
      <c r="F37" s="245"/>
      <c r="G37" s="245"/>
      <c r="H37" s="245"/>
      <c r="I37" s="245"/>
      <c r="J37" s="245"/>
      <c r="K37" s="245"/>
      <c r="L37" s="245"/>
      <c r="M37" s="245"/>
      <c r="N37" s="245"/>
      <c r="O37" s="245"/>
      <c r="P37" s="245"/>
      <c r="Q37" s="245"/>
      <c r="R37" s="245"/>
      <c r="S37" s="245"/>
      <c r="T37" s="245"/>
      <c r="U37" s="245"/>
      <c r="V37" s="245"/>
      <c r="W37" s="245"/>
      <c r="X37" s="245"/>
      <c r="Y37" s="245"/>
      <c r="Z37" s="245"/>
      <c r="AA37" s="245"/>
      <c r="AB37" s="245"/>
      <c r="AC37" s="245"/>
      <c r="AD37" s="245"/>
      <c r="AE37" s="245"/>
      <c r="AF37" s="245"/>
      <c r="AG37" s="245"/>
      <c r="AH37" s="245"/>
      <c r="AI37" s="245"/>
      <c r="AJ37" s="245"/>
      <c r="AK37" s="245"/>
      <c r="AL37" s="245"/>
      <c r="AM37" s="245"/>
      <c r="AN37" s="245"/>
      <c r="AO37" s="245"/>
      <c r="AP37" s="245"/>
      <c r="AQ37" s="245"/>
      <c r="AR37" s="245"/>
      <c r="AS37" s="245"/>
      <c r="AT37" s="245"/>
      <c r="AU37" s="245"/>
      <c r="AV37" s="245"/>
      <c r="AW37" s="245"/>
      <c r="AX37" s="245"/>
      <c r="AY37" s="245"/>
      <c r="AZ37" s="245"/>
      <c r="BA37" s="245"/>
      <c r="BB37" s="245"/>
      <c r="BC37" s="245"/>
      <c r="BD37" s="245"/>
      <c r="BE37" s="245"/>
      <c r="BF37" s="245"/>
      <c r="BG37" s="245"/>
      <c r="BH37" s="245"/>
      <c r="BI37" s="245"/>
      <c r="BJ37" s="245"/>
      <c r="BK37" s="245"/>
      <c r="BL37" s="245"/>
      <c r="BM37" s="245"/>
      <c r="BN37" s="245"/>
      <c r="BO37" s="245"/>
      <c r="BP37" s="245"/>
      <c r="BQ37" s="245"/>
      <c r="BR37" s="245"/>
    </row>
    <row r="38" spans="1:70" x14ac:dyDescent="0.25">
      <c r="C38" s="2" t="s">
        <v>7</v>
      </c>
    </row>
    <row r="39" spans="1:70" ht="45.75" customHeight="1" x14ac:dyDescent="0.25">
      <c r="C39" s="244" t="s">
        <v>8</v>
      </c>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4"/>
      <c r="AI39" s="244"/>
      <c r="AJ39" s="244"/>
      <c r="AK39" s="244"/>
      <c r="AL39" s="244"/>
      <c r="AM39" s="244"/>
      <c r="AN39" s="244"/>
      <c r="AO39" s="244"/>
      <c r="AP39" s="244"/>
      <c r="AQ39" s="244"/>
      <c r="AR39" s="244"/>
      <c r="AS39" s="244"/>
      <c r="AT39" s="244"/>
      <c r="AU39" s="244"/>
      <c r="AV39" s="244"/>
      <c r="AW39" s="244"/>
      <c r="AX39" s="244"/>
      <c r="AY39" s="244"/>
      <c r="AZ39" s="244"/>
      <c r="BA39" s="244"/>
      <c r="BB39" s="244"/>
      <c r="BC39" s="244"/>
      <c r="BD39" s="244"/>
      <c r="BE39" s="244"/>
      <c r="BF39" s="244"/>
      <c r="BG39" s="244"/>
      <c r="BH39" s="244"/>
      <c r="BI39" s="244"/>
      <c r="BJ39" s="244"/>
      <c r="BK39" s="244"/>
      <c r="BL39" s="244"/>
      <c r="BM39" s="244"/>
      <c r="BN39" s="244"/>
      <c r="BO39" s="244"/>
      <c r="BP39" s="244"/>
      <c r="BQ39" s="244"/>
      <c r="BR39" s="244"/>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2021-02-27T02:06:53Z</dcterms:modified>
</cp:coreProperties>
</file>