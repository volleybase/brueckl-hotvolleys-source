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459D990-E35E-4F26-8187-F35779A8335C}"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Anwesend!$B$89:$L$91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44" i="3" l="1"/>
  <c r="P44" i="3"/>
  <c r="L44" i="3"/>
  <c r="K44" i="3"/>
  <c r="J44" i="3"/>
  <c r="I44" i="3"/>
  <c r="H44" i="3"/>
  <c r="G44" i="3"/>
  <c r="F44" i="3"/>
  <c r="P32" i="3" l="1"/>
  <c r="DP34" i="3"/>
  <c r="R32" i="3"/>
  <c r="EA34" i="3"/>
  <c r="P30" i="3" l="1"/>
  <c r="R30" i="3"/>
  <c r="DG34" i="3" l="1"/>
  <c r="DR34" i="3"/>
  <c r="Q85" i="3" l="1"/>
  <c r="Q83" i="3"/>
  <c r="Q82" i="3"/>
  <c r="Q81" i="3"/>
  <c r="Q74" i="3"/>
  <c r="Q71" i="3"/>
  <c r="Q69" i="3"/>
  <c r="Q62" i="3"/>
  <c r="Q61" i="3"/>
  <c r="Q60" i="3"/>
  <c r="Q59" i="3"/>
  <c r="Q58" i="3"/>
  <c r="Q25" i="3"/>
  <c r="Q33" i="3"/>
  <c r="Q6" i="3"/>
  <c r="CX34" i="3"/>
  <c r="CH34" i="3"/>
  <c r="BY34" i="3"/>
  <c r="CZ34" i="3"/>
  <c r="CQ34" i="3"/>
  <c r="DI34" i="3"/>
  <c r="L89" i="3"/>
  <c r="L90" i="3"/>
  <c r="L91" i="3"/>
  <c r="R34" i="3"/>
  <c r="P34" i="3"/>
  <c r="P29" i="3" l="1"/>
  <c r="F29" i="3"/>
  <c r="G29" i="3"/>
  <c r="H29" i="3"/>
  <c r="I29" i="3"/>
  <c r="J29" i="3"/>
  <c r="K29" i="3"/>
  <c r="L29" i="3"/>
  <c r="P64" i="3"/>
  <c r="P76" i="3"/>
  <c r="CO76" i="3" l="1"/>
  <c r="CO64" i="3"/>
  <c r="CO77" i="3" s="1"/>
  <c r="CO34" i="3"/>
  <c r="CF34" i="3"/>
  <c r="BW76" i="3" l="1"/>
  <c r="BW77" i="3" s="1"/>
  <c r="BP76" i="3"/>
  <c r="BP64" i="3"/>
  <c r="BW34" i="3"/>
  <c r="BP34" i="3"/>
  <c r="BP77" i="3" l="1"/>
  <c r="P31" i="3"/>
  <c r="MJ76" i="3" l="1"/>
  <c r="MI76" i="3"/>
  <c r="MH76" i="3"/>
  <c r="MG76" i="3"/>
  <c r="MF76" i="3"/>
  <c r="ME76" i="3"/>
  <c r="MD76" i="3"/>
  <c r="MC76" i="3"/>
  <c r="MB76" i="3"/>
  <c r="MA76" i="3"/>
  <c r="LZ76" i="3"/>
  <c r="LY76" i="3"/>
  <c r="LX76" i="3"/>
  <c r="LW76" i="3"/>
  <c r="LV76" i="3"/>
  <c r="LU76" i="3"/>
  <c r="LT76" i="3"/>
  <c r="LS76" i="3"/>
  <c r="LR76" i="3"/>
  <c r="LQ76" i="3"/>
  <c r="LP76" i="3"/>
  <c r="LO76" i="3"/>
  <c r="LN76" i="3"/>
  <c r="LM76" i="3"/>
  <c r="LL76" i="3"/>
  <c r="LK76" i="3"/>
  <c r="LJ76" i="3"/>
  <c r="LI76" i="3"/>
  <c r="LH76" i="3"/>
  <c r="LG76" i="3"/>
  <c r="LF76" i="3"/>
  <c r="LE76" i="3"/>
  <c r="LD76" i="3"/>
  <c r="LC76" i="3"/>
  <c r="LB76" i="3"/>
  <c r="LA76" i="3"/>
  <c r="KZ76" i="3"/>
  <c r="KY76" i="3"/>
  <c r="KX76" i="3"/>
  <c r="KW76" i="3"/>
  <c r="KV76" i="3"/>
  <c r="KU76" i="3"/>
  <c r="KT76" i="3"/>
  <c r="KS76" i="3"/>
  <c r="KR76" i="3"/>
  <c r="KQ76" i="3"/>
  <c r="KP76" i="3"/>
  <c r="KO76" i="3"/>
  <c r="KN76" i="3"/>
  <c r="KM76" i="3"/>
  <c r="KL76" i="3"/>
  <c r="KK76" i="3"/>
  <c r="KJ76" i="3"/>
  <c r="KI76" i="3"/>
  <c r="KH76" i="3"/>
  <c r="KG76" i="3"/>
  <c r="KF76" i="3"/>
  <c r="KE76" i="3"/>
  <c r="KD76" i="3"/>
  <c r="KC76" i="3"/>
  <c r="KB76" i="3"/>
  <c r="KA76" i="3"/>
  <c r="JZ76" i="3"/>
  <c r="JY76" i="3"/>
  <c r="JX76" i="3"/>
  <c r="JW76" i="3"/>
  <c r="JV76" i="3"/>
  <c r="JU76" i="3"/>
  <c r="JT76" i="3"/>
  <c r="JS76" i="3"/>
  <c r="JR76" i="3"/>
  <c r="JQ76" i="3"/>
  <c r="JP76" i="3"/>
  <c r="JO76" i="3"/>
  <c r="JN76" i="3"/>
  <c r="JM76" i="3"/>
  <c r="JL76" i="3"/>
  <c r="JK76" i="3"/>
  <c r="JJ76" i="3"/>
  <c r="JI76" i="3"/>
  <c r="JH76" i="3"/>
  <c r="JG76" i="3"/>
  <c r="JF76" i="3"/>
  <c r="JE76" i="3"/>
  <c r="JD76" i="3"/>
  <c r="JC76" i="3"/>
  <c r="JB76" i="3"/>
  <c r="JA76" i="3"/>
  <c r="IZ76" i="3"/>
  <c r="IY76" i="3"/>
  <c r="IX76" i="3"/>
  <c r="IW76" i="3"/>
  <c r="IV76" i="3"/>
  <c r="IU76" i="3"/>
  <c r="IT76" i="3"/>
  <c r="IS76" i="3"/>
  <c r="IR76" i="3"/>
  <c r="IQ76" i="3"/>
  <c r="IP76" i="3"/>
  <c r="IO76" i="3"/>
  <c r="IN76" i="3"/>
  <c r="IM76" i="3"/>
  <c r="IL76" i="3"/>
  <c r="IK76" i="3"/>
  <c r="IJ76" i="3"/>
  <c r="II76" i="3"/>
  <c r="IH76" i="3"/>
  <c r="IG76" i="3"/>
  <c r="IF76" i="3"/>
  <c r="IE76" i="3"/>
  <c r="ID76" i="3"/>
  <c r="IC76" i="3"/>
  <c r="IB76" i="3"/>
  <c r="IA76" i="3"/>
  <c r="HZ76" i="3"/>
  <c r="HY76" i="3"/>
  <c r="HX76" i="3"/>
  <c r="HW76" i="3"/>
  <c r="HV76" i="3"/>
  <c r="HU76" i="3"/>
  <c r="HT76" i="3"/>
  <c r="HS76" i="3"/>
  <c r="HR76" i="3"/>
  <c r="HQ76" i="3"/>
  <c r="HP76" i="3"/>
  <c r="HO76" i="3"/>
  <c r="HN76" i="3"/>
  <c r="HM76" i="3"/>
  <c r="HL76" i="3"/>
  <c r="HK76" i="3"/>
  <c r="HJ76" i="3"/>
  <c r="HI76" i="3"/>
  <c r="HH76" i="3"/>
  <c r="HG76" i="3"/>
  <c r="HF76" i="3"/>
  <c r="HE76" i="3"/>
  <c r="HD76" i="3"/>
  <c r="HC76" i="3"/>
  <c r="HB76" i="3"/>
  <c r="HA76" i="3"/>
  <c r="GZ76" i="3"/>
  <c r="GY76" i="3"/>
  <c r="GX76" i="3"/>
  <c r="GW76" i="3"/>
  <c r="GV76" i="3"/>
  <c r="GU76" i="3"/>
  <c r="GT76" i="3"/>
  <c r="GS76" i="3"/>
  <c r="GR76" i="3"/>
  <c r="GQ76" i="3"/>
  <c r="GP76" i="3"/>
  <c r="GO76" i="3"/>
  <c r="GN76" i="3"/>
  <c r="GM76" i="3"/>
  <c r="GL76" i="3"/>
  <c r="GK76" i="3"/>
  <c r="GJ76" i="3"/>
  <c r="GI76" i="3"/>
  <c r="GH76" i="3"/>
  <c r="GG76" i="3"/>
  <c r="GF76" i="3"/>
  <c r="GE76" i="3"/>
  <c r="GD76" i="3"/>
  <c r="GC76" i="3"/>
  <c r="GB76" i="3"/>
  <c r="GA76" i="3"/>
  <c r="FZ76" i="3"/>
  <c r="FY76" i="3"/>
  <c r="FX76" i="3"/>
  <c r="FW76" i="3"/>
  <c r="FV76" i="3"/>
  <c r="FU76" i="3"/>
  <c r="FT76" i="3"/>
  <c r="FS76" i="3"/>
  <c r="FR76" i="3"/>
  <c r="FQ76" i="3"/>
  <c r="FP76" i="3"/>
  <c r="FO76" i="3"/>
  <c r="FN76" i="3"/>
  <c r="FM76" i="3"/>
  <c r="FL76" i="3"/>
  <c r="FK76" i="3"/>
  <c r="FJ76" i="3"/>
  <c r="FI76" i="3"/>
  <c r="FH76" i="3"/>
  <c r="FG76" i="3"/>
  <c r="FF76" i="3"/>
  <c r="FE76" i="3"/>
  <c r="FD76" i="3"/>
  <c r="FC76" i="3"/>
  <c r="FB76" i="3"/>
  <c r="FA76" i="3"/>
  <c r="EZ76" i="3"/>
  <c r="EY76" i="3"/>
  <c r="EX76" i="3"/>
  <c r="EW76" i="3"/>
  <c r="EV76" i="3"/>
  <c r="EU76" i="3"/>
  <c r="ET76" i="3"/>
  <c r="ES76" i="3"/>
  <c r="ER76" i="3"/>
  <c r="EQ76" i="3"/>
  <c r="EP76" i="3"/>
  <c r="EO76" i="3"/>
  <c r="EN76" i="3"/>
  <c r="EM76" i="3"/>
  <c r="EL76" i="3"/>
  <c r="EK76" i="3"/>
  <c r="EJ76" i="3"/>
  <c r="EI76" i="3"/>
  <c r="EH76" i="3"/>
  <c r="EG76" i="3"/>
  <c r="EF76" i="3"/>
  <c r="EE76" i="3"/>
  <c r="ED76" i="3"/>
  <c r="EC76" i="3"/>
  <c r="EB76" i="3"/>
  <c r="EA76" i="3"/>
  <c r="DZ76" i="3"/>
  <c r="DW76" i="3"/>
  <c r="DV76" i="3"/>
  <c r="DU76" i="3"/>
  <c r="DT76" i="3"/>
  <c r="DS76" i="3"/>
  <c r="DR76" i="3"/>
  <c r="DO76" i="3"/>
  <c r="DN76" i="3"/>
  <c r="DM76" i="3"/>
  <c r="DL76" i="3"/>
  <c r="DK76" i="3"/>
  <c r="DJ76" i="3"/>
  <c r="DI76" i="3"/>
  <c r="DF76" i="3"/>
  <c r="DE76" i="3"/>
  <c r="DD76" i="3"/>
  <c r="DC76" i="3"/>
  <c r="DB76" i="3"/>
  <c r="DA76" i="3"/>
  <c r="CZ76" i="3"/>
  <c r="CY76" i="3"/>
  <c r="CV76" i="3"/>
  <c r="CU76" i="3"/>
  <c r="CT76" i="3"/>
  <c r="CS76" i="3"/>
  <c r="CR76" i="3"/>
  <c r="CQ76" i="3"/>
  <c r="CN76" i="3"/>
  <c r="CM76" i="3"/>
  <c r="CL76" i="3"/>
  <c r="CK76" i="3"/>
  <c r="CJ76" i="3"/>
  <c r="CI76" i="3"/>
  <c r="CH76" i="3"/>
  <c r="CE76" i="3"/>
  <c r="CD76" i="3"/>
  <c r="CC76" i="3"/>
  <c r="CB76" i="3"/>
  <c r="CA76" i="3"/>
  <c r="BZ76" i="3"/>
  <c r="BY76" i="3"/>
  <c r="BV76" i="3"/>
  <c r="BU76" i="3"/>
  <c r="BT76" i="3"/>
  <c r="BS76" i="3"/>
  <c r="BR76" i="3"/>
  <c r="BQ76" i="3"/>
  <c r="BO76" i="3"/>
  <c r="BN76" i="3"/>
  <c r="BM76" i="3"/>
  <c r="BL76" i="3"/>
  <c r="BK76" i="3"/>
  <c r="BJ76" i="3"/>
  <c r="BI76" i="3"/>
  <c r="BH76" i="3"/>
  <c r="BG76" i="3"/>
  <c r="BF76" i="3"/>
  <c r="BE76" i="3"/>
  <c r="BD76" i="3"/>
  <c r="BC76" i="3"/>
  <c r="P49" i="3" l="1"/>
  <c r="L49" i="3"/>
  <c r="K49" i="3"/>
  <c r="J49" i="3"/>
  <c r="I49" i="3"/>
  <c r="H49" i="3"/>
  <c r="G49" i="3"/>
  <c r="F49" i="3"/>
  <c r="P57" i="3" l="1"/>
  <c r="L57" i="3"/>
  <c r="K57" i="3"/>
  <c r="J57" i="3"/>
  <c r="I57" i="3"/>
  <c r="H57" i="3"/>
  <c r="G57" i="3"/>
  <c r="F57" i="3"/>
  <c r="P53" i="3"/>
  <c r="L53" i="3"/>
  <c r="K53" i="3"/>
  <c r="J53" i="3"/>
  <c r="I53" i="3"/>
  <c r="H53" i="3"/>
  <c r="G53" i="3"/>
  <c r="F53" i="3"/>
  <c r="H73" i="3" l="1"/>
  <c r="G73" i="3"/>
  <c r="H72" i="3"/>
  <c r="G72" i="3"/>
  <c r="H71" i="3"/>
  <c r="G71" i="3"/>
  <c r="H70" i="3"/>
  <c r="G70" i="3"/>
  <c r="L70" i="3"/>
  <c r="K70" i="3"/>
  <c r="J70" i="3"/>
  <c r="I70" i="3"/>
  <c r="F70" i="3"/>
  <c r="P11" i="3"/>
  <c r="L11" i="3"/>
  <c r="K11" i="3"/>
  <c r="J11" i="3"/>
  <c r="I11" i="3"/>
  <c r="H11" i="3"/>
  <c r="G11" i="3"/>
  <c r="F11" i="3"/>
  <c r="P47" i="3"/>
  <c r="L47" i="3"/>
  <c r="K47" i="3"/>
  <c r="J47" i="3"/>
  <c r="I47" i="3"/>
  <c r="H47" i="3"/>
  <c r="G47" i="3"/>
  <c r="F47" i="3"/>
  <c r="S65" i="3" l="1"/>
  <c r="P75" i="3"/>
  <c r="BB76" i="3"/>
  <c r="BA76" i="3"/>
  <c r="AZ76" i="3"/>
  <c r="AY76" i="3"/>
  <c r="AX76" i="3"/>
  <c r="AW76" i="3"/>
  <c r="AV76" i="3"/>
  <c r="AU76" i="3"/>
  <c r="AT76" i="3"/>
  <c r="AS76" i="3"/>
  <c r="AR76" i="3"/>
  <c r="AQ76" i="3"/>
  <c r="AP76" i="3"/>
  <c r="AO76" i="3"/>
  <c r="AG76" i="3"/>
  <c r="AF76" i="3"/>
  <c r="AE76" i="3"/>
  <c r="AD76" i="3"/>
  <c r="AC76" i="3"/>
  <c r="AB76" i="3"/>
  <c r="AA76" i="3"/>
  <c r="Z76" i="3"/>
  <c r="Y76" i="3"/>
  <c r="X76" i="3"/>
  <c r="W76" i="3"/>
  <c r="V76" i="3"/>
  <c r="U76" i="3"/>
  <c r="T76" i="3"/>
  <c r="AN76" i="3"/>
  <c r="AM76" i="3"/>
  <c r="AL76" i="3"/>
  <c r="AK76" i="3"/>
  <c r="AJ76" i="3"/>
  <c r="AH76" i="3"/>
  <c r="AI76" i="3"/>
  <c r="L61" i="3"/>
  <c r="K61" i="3"/>
  <c r="J61" i="3"/>
  <c r="I61" i="3"/>
  <c r="H61" i="3"/>
  <c r="G61" i="3"/>
  <c r="F61" i="3"/>
  <c r="L60" i="3"/>
  <c r="K60" i="3"/>
  <c r="J60" i="3"/>
  <c r="I60" i="3"/>
  <c r="H60" i="3"/>
  <c r="G60" i="3"/>
  <c r="F60" i="3"/>
  <c r="L59" i="3"/>
  <c r="K59" i="3"/>
  <c r="J59" i="3"/>
  <c r="I59" i="3"/>
  <c r="H59" i="3"/>
  <c r="G59" i="3"/>
  <c r="F59" i="3"/>
  <c r="L58" i="3"/>
  <c r="K58" i="3"/>
  <c r="J58" i="3"/>
  <c r="I58" i="3"/>
  <c r="H58" i="3"/>
  <c r="G58" i="3"/>
  <c r="F58" i="3"/>
  <c r="MJ64" i="3"/>
  <c r="MI64" i="3"/>
  <c r="MH64" i="3"/>
  <c r="MG64" i="3"/>
  <c r="MF64" i="3"/>
  <c r="ME64" i="3"/>
  <c r="MD64" i="3"/>
  <c r="MC64" i="3"/>
  <c r="MB64" i="3"/>
  <c r="MA64" i="3"/>
  <c r="LZ64" i="3"/>
  <c r="LY64" i="3"/>
  <c r="LX64" i="3"/>
  <c r="LW64" i="3"/>
  <c r="LV64" i="3"/>
  <c r="LU64" i="3"/>
  <c r="LT64" i="3"/>
  <c r="LS64" i="3"/>
  <c r="LR64" i="3"/>
  <c r="LQ64" i="3"/>
  <c r="LP64" i="3"/>
  <c r="LO64" i="3"/>
  <c r="LN64" i="3"/>
  <c r="LM64" i="3"/>
  <c r="LL64" i="3"/>
  <c r="LK64" i="3"/>
  <c r="LJ64" i="3"/>
  <c r="LI64" i="3"/>
  <c r="LH64" i="3"/>
  <c r="LG64" i="3"/>
  <c r="LF64" i="3"/>
  <c r="LE64" i="3"/>
  <c r="LD64" i="3"/>
  <c r="LC64" i="3"/>
  <c r="LB64" i="3"/>
  <c r="LA64" i="3"/>
  <c r="KZ64" i="3"/>
  <c r="KY64" i="3"/>
  <c r="KX64" i="3"/>
  <c r="KW64" i="3"/>
  <c r="KV64" i="3"/>
  <c r="KU64" i="3"/>
  <c r="KT64" i="3"/>
  <c r="KS64" i="3"/>
  <c r="KR64" i="3"/>
  <c r="KQ64" i="3"/>
  <c r="KP64" i="3"/>
  <c r="KO64" i="3"/>
  <c r="KN64" i="3"/>
  <c r="KM64" i="3"/>
  <c r="KL64" i="3"/>
  <c r="KK64" i="3"/>
  <c r="KJ64" i="3"/>
  <c r="KI64" i="3"/>
  <c r="KH64" i="3"/>
  <c r="KG64" i="3"/>
  <c r="KF64" i="3"/>
  <c r="KE64" i="3"/>
  <c r="KD64" i="3"/>
  <c r="KC64" i="3"/>
  <c r="KB64" i="3"/>
  <c r="KA64" i="3"/>
  <c r="JZ64" i="3"/>
  <c r="JY64" i="3"/>
  <c r="JX64" i="3"/>
  <c r="JW64" i="3"/>
  <c r="JV64" i="3"/>
  <c r="JU64" i="3"/>
  <c r="JT64" i="3"/>
  <c r="JS64" i="3"/>
  <c r="JR64" i="3"/>
  <c r="JQ64" i="3"/>
  <c r="JP64" i="3"/>
  <c r="JO64" i="3"/>
  <c r="JN64" i="3"/>
  <c r="JM64" i="3"/>
  <c r="JL64" i="3"/>
  <c r="JK64" i="3"/>
  <c r="JJ64" i="3"/>
  <c r="JI64" i="3"/>
  <c r="JH64" i="3"/>
  <c r="JG64" i="3"/>
  <c r="JF64" i="3"/>
  <c r="JE64" i="3"/>
  <c r="JD64" i="3"/>
  <c r="JC64" i="3"/>
  <c r="JB64" i="3"/>
  <c r="JA64" i="3"/>
  <c r="IZ64" i="3"/>
  <c r="IY64" i="3"/>
  <c r="IX64" i="3"/>
  <c r="IW64" i="3"/>
  <c r="IV64" i="3"/>
  <c r="IU64" i="3"/>
  <c r="IT64" i="3"/>
  <c r="IS64" i="3"/>
  <c r="IR64" i="3"/>
  <c r="IQ64" i="3"/>
  <c r="IP64" i="3"/>
  <c r="IO64" i="3"/>
  <c r="IN64" i="3"/>
  <c r="IM64" i="3"/>
  <c r="IL64" i="3"/>
  <c r="IK64" i="3"/>
  <c r="IJ64" i="3"/>
  <c r="II64" i="3"/>
  <c r="IH64" i="3"/>
  <c r="IG64" i="3"/>
  <c r="IF64" i="3"/>
  <c r="IE64" i="3"/>
  <c r="ID64" i="3"/>
  <c r="IC64" i="3"/>
  <c r="IB64" i="3"/>
  <c r="IA64" i="3"/>
  <c r="HZ64" i="3"/>
  <c r="HY64" i="3"/>
  <c r="HX64" i="3"/>
  <c r="HW64" i="3"/>
  <c r="HV64" i="3"/>
  <c r="HU64" i="3"/>
  <c r="HT64" i="3"/>
  <c r="HS64" i="3"/>
  <c r="HR64" i="3"/>
  <c r="HQ64" i="3"/>
  <c r="HP64" i="3"/>
  <c r="HO64" i="3"/>
  <c r="HN64" i="3"/>
  <c r="HM64" i="3"/>
  <c r="HL64" i="3"/>
  <c r="HK64" i="3"/>
  <c r="HJ64" i="3"/>
  <c r="HI64" i="3"/>
  <c r="HH64" i="3"/>
  <c r="HG64" i="3"/>
  <c r="HF64" i="3"/>
  <c r="HE64" i="3"/>
  <c r="HD64" i="3"/>
  <c r="HC64" i="3"/>
  <c r="HB64" i="3"/>
  <c r="HA64" i="3"/>
  <c r="GZ64" i="3"/>
  <c r="GY64" i="3"/>
  <c r="GX64" i="3"/>
  <c r="GW64" i="3"/>
  <c r="GV64" i="3"/>
  <c r="GU64" i="3"/>
  <c r="GT64" i="3"/>
  <c r="GS64" i="3"/>
  <c r="GR64" i="3"/>
  <c r="GQ64" i="3"/>
  <c r="GP64" i="3"/>
  <c r="GO64" i="3"/>
  <c r="GN64" i="3"/>
  <c r="GM64" i="3"/>
  <c r="GL64" i="3"/>
  <c r="GK64" i="3"/>
  <c r="GJ64" i="3"/>
  <c r="GI64" i="3"/>
  <c r="GH64" i="3"/>
  <c r="GG64" i="3"/>
  <c r="GF64" i="3"/>
  <c r="GE64" i="3"/>
  <c r="GD64" i="3"/>
  <c r="GC64" i="3"/>
  <c r="GB64" i="3"/>
  <c r="GA64" i="3"/>
  <c r="FZ64" i="3"/>
  <c r="FY64" i="3"/>
  <c r="FX64" i="3"/>
  <c r="FW64" i="3"/>
  <c r="FV64" i="3"/>
  <c r="FU64" i="3"/>
  <c r="FT64" i="3"/>
  <c r="FS64" i="3"/>
  <c r="FR64" i="3"/>
  <c r="FQ64" i="3"/>
  <c r="FP64" i="3"/>
  <c r="FO64" i="3"/>
  <c r="FN64" i="3"/>
  <c r="FM64" i="3"/>
  <c r="FL64" i="3"/>
  <c r="FK64" i="3"/>
  <c r="FJ64" i="3"/>
  <c r="FI64" i="3"/>
  <c r="FH64" i="3"/>
  <c r="FG64" i="3"/>
  <c r="FF64" i="3"/>
  <c r="FE64" i="3"/>
  <c r="FD64" i="3"/>
  <c r="FC64" i="3"/>
  <c r="FB64" i="3"/>
  <c r="FA64" i="3"/>
  <c r="EZ64" i="3"/>
  <c r="EY64" i="3"/>
  <c r="EX64" i="3"/>
  <c r="EW64" i="3"/>
  <c r="EV64" i="3"/>
  <c r="EU64" i="3"/>
  <c r="ET64" i="3"/>
  <c r="ES64" i="3"/>
  <c r="ER64" i="3"/>
  <c r="EQ64" i="3"/>
  <c r="EP64" i="3"/>
  <c r="EO64" i="3"/>
  <c r="EN64" i="3"/>
  <c r="EM64" i="3"/>
  <c r="EL64" i="3"/>
  <c r="EK64" i="3"/>
  <c r="EJ64" i="3"/>
  <c r="EI64" i="3"/>
  <c r="EH64" i="3"/>
  <c r="EG64" i="3"/>
  <c r="EF64" i="3"/>
  <c r="EE64" i="3"/>
  <c r="ED64" i="3"/>
  <c r="EC64" i="3"/>
  <c r="EB64" i="3"/>
  <c r="EA64" i="3"/>
  <c r="DZ64" i="3"/>
  <c r="DW64" i="3"/>
  <c r="DV64" i="3"/>
  <c r="DU64" i="3"/>
  <c r="DT64" i="3"/>
  <c r="DS64" i="3"/>
  <c r="DR64" i="3"/>
  <c r="DO64" i="3"/>
  <c r="DN64" i="3"/>
  <c r="DM64" i="3"/>
  <c r="DL64" i="3"/>
  <c r="DK64" i="3"/>
  <c r="DJ64" i="3"/>
  <c r="DI64" i="3"/>
  <c r="DF64" i="3"/>
  <c r="DE64" i="3"/>
  <c r="DD64" i="3"/>
  <c r="DC64" i="3"/>
  <c r="DB64" i="3"/>
  <c r="DA64" i="3"/>
  <c r="CZ64" i="3"/>
  <c r="CY64" i="3"/>
  <c r="CV64" i="3"/>
  <c r="CU64" i="3"/>
  <c r="CT64" i="3"/>
  <c r="CS64" i="3"/>
  <c r="CR64" i="3"/>
  <c r="CQ64" i="3"/>
  <c r="CN64" i="3"/>
  <c r="CM64" i="3"/>
  <c r="CL64" i="3"/>
  <c r="CK64" i="3"/>
  <c r="CJ64" i="3"/>
  <c r="CI64" i="3"/>
  <c r="CH64" i="3"/>
  <c r="CE64" i="3"/>
  <c r="CD64" i="3"/>
  <c r="CC64" i="3"/>
  <c r="CB64" i="3"/>
  <c r="CA64" i="3"/>
  <c r="BZ64" i="3"/>
  <c r="BY64" i="3"/>
  <c r="BV64" i="3"/>
  <c r="BU64" i="3"/>
  <c r="BT64" i="3"/>
  <c r="BS64" i="3"/>
  <c r="BR64" i="3"/>
  <c r="BQ64" i="3"/>
  <c r="BO64" i="3"/>
  <c r="BN64" i="3"/>
  <c r="BM64" i="3"/>
  <c r="BL64" i="3"/>
  <c r="BK64" i="3"/>
  <c r="BJ64" i="3"/>
  <c r="BI64" i="3"/>
  <c r="BH64" i="3"/>
  <c r="BG64" i="3"/>
  <c r="BF64" i="3"/>
  <c r="BE64" i="3"/>
  <c r="BD64" i="3"/>
  <c r="BC64" i="3"/>
  <c r="BB64" i="3"/>
  <c r="BA64" i="3"/>
  <c r="AZ64" i="3"/>
  <c r="AY64" i="3"/>
  <c r="AY77" i="3" s="1"/>
  <c r="AX64" i="3"/>
  <c r="AW64" i="3"/>
  <c r="AV64" i="3"/>
  <c r="AV77" i="3" s="1"/>
  <c r="AU64" i="3"/>
  <c r="AT64" i="3"/>
  <c r="AS64" i="3"/>
  <c r="AR64" i="3"/>
  <c r="AQ64" i="3"/>
  <c r="AQ77" i="3" s="1"/>
  <c r="AP64" i="3"/>
  <c r="AO64" i="3"/>
  <c r="S64" i="3"/>
  <c r="AG64" i="3"/>
  <c r="AF64" i="3"/>
  <c r="AE64" i="3"/>
  <c r="AD64" i="3"/>
  <c r="AC64" i="3"/>
  <c r="AB64" i="3"/>
  <c r="AB77" i="3" s="1"/>
  <c r="AA64" i="3"/>
  <c r="Z64" i="3"/>
  <c r="Y64" i="3"/>
  <c r="X64" i="3"/>
  <c r="W64" i="3"/>
  <c r="V64" i="3"/>
  <c r="U64" i="3"/>
  <c r="T64" i="3"/>
  <c r="T77" i="3" s="1"/>
  <c r="AN64" i="3"/>
  <c r="AM64" i="3"/>
  <c r="AL64" i="3"/>
  <c r="AK64" i="3"/>
  <c r="AJ64" i="3"/>
  <c r="AH64" i="3"/>
  <c r="AI64" i="3"/>
  <c r="R61" i="3"/>
  <c r="R60" i="3"/>
  <c r="P63" i="3"/>
  <c r="P46" i="3"/>
  <c r="L46" i="3"/>
  <c r="K46" i="3"/>
  <c r="J46" i="3"/>
  <c r="I46" i="3"/>
  <c r="H46" i="3"/>
  <c r="G46" i="3"/>
  <c r="F46" i="3"/>
  <c r="EU34" i="3"/>
  <c r="H62" i="3"/>
  <c r="G62" i="3"/>
  <c r="H56" i="3"/>
  <c r="G56" i="3"/>
  <c r="H55" i="3"/>
  <c r="G55" i="3"/>
  <c r="H54" i="3"/>
  <c r="G54" i="3"/>
  <c r="H52" i="3"/>
  <c r="G52" i="3"/>
  <c r="H51" i="3"/>
  <c r="G51" i="3"/>
  <c r="H50" i="3"/>
  <c r="G50" i="3"/>
  <c r="H48" i="3"/>
  <c r="G48" i="3"/>
  <c r="H45" i="3"/>
  <c r="G45" i="3"/>
  <c r="H43" i="3"/>
  <c r="G43" i="3"/>
  <c r="L56" i="3"/>
  <c r="K56" i="3"/>
  <c r="J56" i="3"/>
  <c r="I56" i="3"/>
  <c r="F56" i="3"/>
  <c r="L55" i="3"/>
  <c r="K55" i="3"/>
  <c r="J55" i="3"/>
  <c r="I55" i="3"/>
  <c r="F55" i="3"/>
  <c r="L54" i="3"/>
  <c r="K54" i="3"/>
  <c r="J54" i="3"/>
  <c r="I54" i="3"/>
  <c r="F54" i="3"/>
  <c r="L48" i="3"/>
  <c r="K48" i="3"/>
  <c r="J48" i="3"/>
  <c r="I48" i="3"/>
  <c r="F48" i="3"/>
  <c r="S37" i="3"/>
  <c r="S38" i="3" s="1"/>
  <c r="S66" i="3" s="1"/>
  <c r="AN77" i="3" l="1"/>
  <c r="AA77" i="3"/>
  <c r="AG77" i="3"/>
  <c r="AM77" i="3"/>
  <c r="Z77" i="3"/>
  <c r="Q73" i="3"/>
  <c r="Q72" i="3"/>
  <c r="Q70" i="3"/>
  <c r="Q76" i="3"/>
  <c r="Q55" i="3"/>
  <c r="Q47" i="3"/>
  <c r="Q45" i="3"/>
  <c r="Q56" i="3"/>
  <c r="Q54" i="3"/>
  <c r="Q46" i="3"/>
  <c r="Q57" i="3"/>
  <c r="Q53" i="3"/>
  <c r="Q43" i="3"/>
  <c r="Q52" i="3"/>
  <c r="Q49" i="3"/>
  <c r="Q51" i="3"/>
  <c r="Q48" i="3"/>
  <c r="Q50" i="3"/>
  <c r="Q64" i="3"/>
  <c r="AE77" i="3"/>
  <c r="AT77" i="3"/>
  <c r="BB77" i="3"/>
  <c r="W77" i="3"/>
  <c r="AJ77" i="3"/>
  <c r="AH77" i="3"/>
  <c r="V77" i="3"/>
  <c r="AD77" i="3"/>
  <c r="AC77" i="3"/>
  <c r="X77" i="3"/>
  <c r="AF77" i="3"/>
  <c r="AO77" i="3"/>
  <c r="AZ77" i="3"/>
  <c r="AR77" i="3"/>
  <c r="AS77" i="3"/>
  <c r="BA77" i="3"/>
  <c r="AU77" i="3"/>
  <c r="AP77" i="3"/>
  <c r="AX77" i="3"/>
  <c r="U77" i="3"/>
  <c r="AW77" i="3"/>
  <c r="EU77" i="3"/>
  <c r="AL77" i="3"/>
  <c r="Y77" i="3"/>
  <c r="AI77" i="3"/>
  <c r="AK77" i="3"/>
  <c r="R58" i="3"/>
  <c r="R59" i="3"/>
  <c r="S2" i="3"/>
  <c r="GK34" i="3"/>
  <c r="GK77" i="3"/>
  <c r="T1" i="3"/>
  <c r="T2" i="3" l="1"/>
  <c r="T65" i="3"/>
  <c r="U1" i="3"/>
  <c r="T37" i="3"/>
  <c r="T38" i="3" s="1"/>
  <c r="T66" i="3" s="1"/>
  <c r="P6" i="3"/>
  <c r="P8" i="3"/>
  <c r="U37" i="3" l="1"/>
  <c r="U38" i="3" s="1"/>
  <c r="U66" i="3" s="1"/>
  <c r="U65"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P42" i="3"/>
  <c r="F43" i="3"/>
  <c r="I43" i="3"/>
  <c r="J43" i="3"/>
  <c r="K43" i="3"/>
  <c r="L43" i="3"/>
  <c r="P43" i="3"/>
  <c r="F45" i="3"/>
  <c r="I45" i="3"/>
  <c r="J45" i="3"/>
  <c r="K45" i="3"/>
  <c r="L45" i="3"/>
  <c r="P45" i="3"/>
  <c r="P48" i="3"/>
  <c r="F50" i="3"/>
  <c r="I50" i="3"/>
  <c r="J50" i="3"/>
  <c r="K50" i="3"/>
  <c r="L50" i="3"/>
  <c r="P50" i="3"/>
  <c r="F51" i="3"/>
  <c r="I51" i="3"/>
  <c r="J51" i="3"/>
  <c r="K51" i="3"/>
  <c r="L51" i="3"/>
  <c r="P51" i="3"/>
  <c r="F52" i="3"/>
  <c r="I52" i="3"/>
  <c r="J52" i="3"/>
  <c r="K52" i="3"/>
  <c r="L52" i="3"/>
  <c r="P52" i="3"/>
  <c r="P54" i="3"/>
  <c r="P55" i="3"/>
  <c r="P56" i="3"/>
  <c r="P58" i="3"/>
  <c r="P59" i="3"/>
  <c r="P60" i="3"/>
  <c r="P61" i="3"/>
  <c r="F62" i="3"/>
  <c r="I62" i="3"/>
  <c r="J62" i="3"/>
  <c r="K62" i="3"/>
  <c r="L62" i="3"/>
  <c r="P62" i="3"/>
  <c r="F68" i="3"/>
  <c r="I68" i="3"/>
  <c r="J68" i="3"/>
  <c r="K68" i="3"/>
  <c r="L68" i="3"/>
  <c r="P68" i="3"/>
  <c r="F69" i="3"/>
  <c r="I69" i="3"/>
  <c r="J69" i="3"/>
  <c r="K69" i="3"/>
  <c r="L69" i="3"/>
  <c r="P69" i="3"/>
  <c r="P70" i="3"/>
  <c r="F71" i="3"/>
  <c r="I71" i="3"/>
  <c r="J71" i="3"/>
  <c r="K71" i="3"/>
  <c r="L71" i="3"/>
  <c r="P71" i="3"/>
  <c r="F72" i="3"/>
  <c r="I72" i="3"/>
  <c r="J72" i="3"/>
  <c r="K72" i="3"/>
  <c r="L72" i="3"/>
  <c r="P72" i="3"/>
  <c r="F73" i="3"/>
  <c r="I73" i="3"/>
  <c r="J73" i="3"/>
  <c r="K73" i="3"/>
  <c r="L73" i="3"/>
  <c r="P73" i="3"/>
  <c r="P74" i="3"/>
  <c r="S76" i="3"/>
  <c r="S77" i="3" s="1"/>
  <c r="BC77" i="3"/>
  <c r="BD77" i="3"/>
  <c r="BE77" i="3"/>
  <c r="BF77" i="3"/>
  <c r="BG77" i="3"/>
  <c r="BH77" i="3"/>
  <c r="BI77" i="3"/>
  <c r="BJ77" i="3"/>
  <c r="BK77" i="3"/>
  <c r="BL77" i="3"/>
  <c r="BM77" i="3"/>
  <c r="BN77" i="3"/>
  <c r="BO77" i="3"/>
  <c r="BQ77" i="3"/>
  <c r="BR77" i="3"/>
  <c r="BS77" i="3"/>
  <c r="BT77" i="3"/>
  <c r="BU77" i="3"/>
  <c r="BV77" i="3"/>
  <c r="BY77" i="3"/>
  <c r="BZ77" i="3"/>
  <c r="CA77" i="3"/>
  <c r="CB77" i="3"/>
  <c r="CC77" i="3"/>
  <c r="CD77" i="3"/>
  <c r="CE77" i="3"/>
  <c r="CH77" i="3"/>
  <c r="CI77" i="3"/>
  <c r="CJ77" i="3"/>
  <c r="CK77" i="3"/>
  <c r="CL77" i="3"/>
  <c r="CM77" i="3"/>
  <c r="CN77" i="3"/>
  <c r="CQ77" i="3"/>
  <c r="CR77" i="3"/>
  <c r="CS77" i="3"/>
  <c r="CT77" i="3"/>
  <c r="CU77" i="3"/>
  <c r="CV77" i="3"/>
  <c r="CY77" i="3"/>
  <c r="CZ77" i="3"/>
  <c r="DA77" i="3"/>
  <c r="DB77" i="3"/>
  <c r="DC77" i="3"/>
  <c r="DD77" i="3"/>
  <c r="DE77" i="3"/>
  <c r="DF77" i="3"/>
  <c r="DI77" i="3"/>
  <c r="DJ77" i="3"/>
  <c r="DK77" i="3"/>
  <c r="DL77" i="3"/>
  <c r="DM77" i="3"/>
  <c r="DN77" i="3"/>
  <c r="DO77" i="3"/>
  <c r="DR77" i="3"/>
  <c r="DS77" i="3"/>
  <c r="DT77" i="3"/>
  <c r="DU77" i="3"/>
  <c r="DV77" i="3"/>
  <c r="DW77" i="3"/>
  <c r="DZ77" i="3"/>
  <c r="EA77" i="3"/>
  <c r="EB77" i="3"/>
  <c r="EC77" i="3"/>
  <c r="ED77" i="3"/>
  <c r="EE77" i="3"/>
  <c r="EF77" i="3"/>
  <c r="EG77" i="3"/>
  <c r="EH77" i="3"/>
  <c r="EI77" i="3"/>
  <c r="EJ77" i="3"/>
  <c r="EK77" i="3"/>
  <c r="EL77" i="3"/>
  <c r="EM77" i="3"/>
  <c r="EN77" i="3"/>
  <c r="EO77" i="3"/>
  <c r="EP77" i="3"/>
  <c r="EQ77" i="3"/>
  <c r="ER77" i="3"/>
  <c r="ES77" i="3"/>
  <c r="ET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M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JO77" i="3"/>
  <c r="JP77" i="3"/>
  <c r="JQ77" i="3"/>
  <c r="JR77" i="3"/>
  <c r="JS77" i="3"/>
  <c r="JT77" i="3"/>
  <c r="JU77" i="3"/>
  <c r="JV77" i="3"/>
  <c r="JW77" i="3"/>
  <c r="JX77" i="3"/>
  <c r="JY77" i="3"/>
  <c r="JZ77" i="3"/>
  <c r="KA77" i="3"/>
  <c r="KB77" i="3"/>
  <c r="KC77" i="3"/>
  <c r="KD77" i="3"/>
  <c r="KE77" i="3"/>
  <c r="KF77" i="3"/>
  <c r="KG77" i="3"/>
  <c r="KH77" i="3"/>
  <c r="KI77" i="3"/>
  <c r="KJ77" i="3"/>
  <c r="KK77" i="3"/>
  <c r="KL77" i="3"/>
  <c r="KM77" i="3"/>
  <c r="KN77" i="3"/>
  <c r="KO77" i="3"/>
  <c r="KP77" i="3"/>
  <c r="KQ77" i="3"/>
  <c r="KR77" i="3"/>
  <c r="KS77" i="3"/>
  <c r="KT77" i="3"/>
  <c r="KU77" i="3"/>
  <c r="KV77" i="3"/>
  <c r="KW77" i="3"/>
  <c r="KX77" i="3"/>
  <c r="KY77" i="3"/>
  <c r="KZ77" i="3"/>
  <c r="LA77" i="3"/>
  <c r="LB77" i="3"/>
  <c r="LC77" i="3"/>
  <c r="LD77" i="3"/>
  <c r="LE77" i="3"/>
  <c r="LF77" i="3"/>
  <c r="LG77" i="3"/>
  <c r="LH77" i="3"/>
  <c r="LI77" i="3"/>
  <c r="LJ77" i="3"/>
  <c r="LK77" i="3"/>
  <c r="LL77" i="3"/>
  <c r="LM77" i="3"/>
  <c r="LN77" i="3"/>
  <c r="LO77" i="3"/>
  <c r="LP77" i="3"/>
  <c r="LQ77" i="3"/>
  <c r="LR77" i="3"/>
  <c r="LS77" i="3"/>
  <c r="LT77" i="3"/>
  <c r="LU77" i="3"/>
  <c r="LV77" i="3"/>
  <c r="LW77" i="3"/>
  <c r="LX77" i="3"/>
  <c r="LY77" i="3"/>
  <c r="LZ77" i="3"/>
  <c r="MA77" i="3"/>
  <c r="MB77" i="3"/>
  <c r="MC77" i="3"/>
  <c r="MD77" i="3"/>
  <c r="ME77" i="3"/>
  <c r="MF77" i="3"/>
  <c r="MG77" i="3"/>
  <c r="MH77" i="3"/>
  <c r="MI77" i="3"/>
  <c r="MJ77" i="3"/>
  <c r="P80" i="3"/>
  <c r="P81" i="3"/>
  <c r="P82" i="3"/>
  <c r="P83" i="3"/>
  <c r="P84" i="3"/>
  <c r="P85" i="3"/>
  <c r="P86" i="3"/>
  <c r="Q30" i="3" l="1"/>
  <c r="Q32" i="3"/>
  <c r="Q23" i="3"/>
  <c r="Q15" i="3"/>
  <c r="Q11" i="3"/>
  <c r="Q24" i="3"/>
  <c r="Q22" i="3"/>
  <c r="Q14" i="3"/>
  <c r="Q28" i="3"/>
  <c r="Q18" i="3"/>
  <c r="Q9" i="3"/>
  <c r="Q7" i="3"/>
  <c r="Q21" i="3"/>
  <c r="Q13" i="3"/>
  <c r="Q20" i="3"/>
  <c r="Q10" i="3"/>
  <c r="Q17" i="3"/>
  <c r="Q29" i="3"/>
  <c r="Q12" i="3"/>
  <c r="Q19" i="3"/>
  <c r="Q26" i="3"/>
  <c r="Q16" i="3"/>
  <c r="Q34" i="3"/>
  <c r="Q84" i="3"/>
  <c r="Q80" i="3"/>
  <c r="R31" i="3"/>
  <c r="Q31" i="3" s="1"/>
  <c r="V37" i="3"/>
  <c r="V38" i="3" s="1"/>
  <c r="V66" i="3" s="1"/>
  <c r="V65" i="3"/>
  <c r="V2" i="3"/>
  <c r="W1" i="3"/>
  <c r="H34" i="3"/>
  <c r="G34" i="3"/>
  <c r="K34" i="3"/>
  <c r="L34" i="3"/>
  <c r="I34" i="3"/>
  <c r="F34" i="3"/>
  <c r="J34" i="3"/>
  <c r="R8" i="3"/>
  <c r="Q8" i="3" s="1"/>
  <c r="W37" i="3" l="1"/>
  <c r="W38" i="3" s="1"/>
  <c r="W66" i="3" s="1"/>
  <c r="W65" i="3"/>
  <c r="W2" i="3"/>
  <c r="X1" i="3"/>
  <c r="X37" i="3" l="1"/>
  <c r="X38" i="3" s="1"/>
  <c r="X66" i="3" s="1"/>
  <c r="X65" i="3"/>
  <c r="X2" i="3"/>
  <c r="Y1" i="3"/>
  <c r="Y2" i="3" s="1"/>
  <c r="Y37" i="3" l="1"/>
  <c r="Y38" i="3" s="1"/>
  <c r="Y66" i="3" s="1"/>
  <c r="Y65" i="3"/>
  <c r="Z1" i="3"/>
  <c r="Z37" i="3" l="1"/>
  <c r="Z38" i="3" s="1"/>
  <c r="Z66" i="3" s="1"/>
  <c r="Z65" i="3"/>
  <c r="Z2" i="3"/>
  <c r="AA1" i="3"/>
  <c r="AA37" i="3" l="1"/>
  <c r="AA38" i="3" s="1"/>
  <c r="AA66" i="3" s="1"/>
  <c r="AA65" i="3"/>
  <c r="AA2" i="3"/>
  <c r="AB1" i="3"/>
  <c r="AB37" i="3" l="1"/>
  <c r="AB38" i="3" s="1"/>
  <c r="AB66" i="3" s="1"/>
  <c r="AB65" i="3"/>
  <c r="AB2" i="3"/>
  <c r="AC1" i="3"/>
  <c r="AC37" i="3" l="1"/>
  <c r="AC38" i="3" s="1"/>
  <c r="AC66" i="3" s="1"/>
  <c r="AC65" i="3"/>
  <c r="AD1" i="3"/>
  <c r="AC2" i="3"/>
  <c r="AD37" i="3" l="1"/>
  <c r="AD38" i="3" s="1"/>
  <c r="AD66" i="3" s="1"/>
  <c r="AD65" i="3"/>
  <c r="AD2" i="3"/>
  <c r="AE1" i="3"/>
  <c r="AE37" i="3" l="1"/>
  <c r="AE38" i="3" s="1"/>
  <c r="AE66" i="3" s="1"/>
  <c r="AE65" i="3"/>
  <c r="AE2" i="3"/>
  <c r="AF1" i="3"/>
  <c r="AF37" i="3" l="1"/>
  <c r="AF38" i="3" s="1"/>
  <c r="AF66" i="3" s="1"/>
  <c r="AF65" i="3"/>
  <c r="AF2" i="3"/>
  <c r="AG1" i="3"/>
  <c r="AG37" i="3" l="1"/>
  <c r="AG38" i="3" s="1"/>
  <c r="AG66" i="3" s="1"/>
  <c r="AG65" i="3"/>
  <c r="AG2" i="3"/>
  <c r="AH1" i="3"/>
  <c r="AH37" i="3" l="1"/>
  <c r="AH38" i="3" s="1"/>
  <c r="AH66" i="3" s="1"/>
  <c r="AH65" i="3"/>
  <c r="AH2" i="3"/>
  <c r="AI1" i="3"/>
  <c r="AI37" i="3" l="1"/>
  <c r="AI38" i="3" s="1"/>
  <c r="AI66" i="3" s="1"/>
  <c r="AI65" i="3"/>
  <c r="AI2" i="3"/>
  <c r="AJ1" i="3"/>
  <c r="AJ37" i="3" l="1"/>
  <c r="AJ38" i="3" s="1"/>
  <c r="AJ66" i="3" s="1"/>
  <c r="AJ65" i="3"/>
  <c r="AJ2" i="3"/>
  <c r="AK1" i="3"/>
  <c r="AK37" i="3" l="1"/>
  <c r="AK38" i="3" s="1"/>
  <c r="AK66" i="3" s="1"/>
  <c r="AK65" i="3"/>
  <c r="AK2" i="3"/>
  <c r="AL1" i="3"/>
  <c r="AL37" i="3" l="1"/>
  <c r="AL38" i="3" s="1"/>
  <c r="AL66" i="3" s="1"/>
  <c r="AL65" i="3"/>
  <c r="AL2" i="3"/>
  <c r="AM1" i="3"/>
  <c r="AM37" i="3" l="1"/>
  <c r="AM38" i="3" s="1"/>
  <c r="AM66" i="3" s="1"/>
  <c r="AM65" i="3"/>
  <c r="AM2" i="3"/>
  <c r="AN1" i="3"/>
  <c r="AN37" i="3" l="1"/>
  <c r="AN38" i="3" s="1"/>
  <c r="AN66" i="3" s="1"/>
  <c r="AN65" i="3"/>
  <c r="AN2" i="3"/>
  <c r="AO1" i="3"/>
  <c r="AO37" i="3" l="1"/>
  <c r="AO38" i="3" s="1"/>
  <c r="AO66" i="3" s="1"/>
  <c r="AO65" i="3"/>
  <c r="AO2" i="3"/>
  <c r="AP1" i="3"/>
  <c r="AQ1" i="3" s="1"/>
  <c r="AP2" i="3" l="1"/>
  <c r="AQ37" i="3"/>
  <c r="AQ38" i="3" s="1"/>
  <c r="AQ66" i="3" s="1"/>
  <c r="AQ65" i="3"/>
  <c r="AP37" i="3"/>
  <c r="AP38" i="3" s="1"/>
  <c r="AP66" i="3" s="1"/>
  <c r="AP65" i="3"/>
  <c r="AR1" i="3"/>
  <c r="AQ2" i="3"/>
  <c r="AR37" i="3" l="1"/>
  <c r="AR38" i="3" s="1"/>
  <c r="AR66" i="3" s="1"/>
  <c r="AR65" i="3"/>
  <c r="AS1" i="3"/>
  <c r="AR2" i="3"/>
  <c r="AS37" i="3" l="1"/>
  <c r="AS38" i="3" s="1"/>
  <c r="AS66" i="3" s="1"/>
  <c r="AS65" i="3"/>
  <c r="AT1" i="3"/>
  <c r="AS2" i="3"/>
  <c r="AT37" i="3" l="1"/>
  <c r="AT38" i="3" s="1"/>
  <c r="AT66" i="3" s="1"/>
  <c r="AT65" i="3"/>
  <c r="AU1" i="3"/>
  <c r="AT2" i="3"/>
  <c r="AU37" i="3" l="1"/>
  <c r="AU38" i="3" s="1"/>
  <c r="AU66" i="3" s="1"/>
  <c r="AU65" i="3"/>
  <c r="AV1" i="3"/>
  <c r="AU2" i="3"/>
  <c r="AV37" i="3" l="1"/>
  <c r="AV38" i="3" s="1"/>
  <c r="AV66" i="3" s="1"/>
  <c r="AV65" i="3"/>
  <c r="AW1" i="3"/>
  <c r="AV2" i="3"/>
  <c r="AW37" i="3" l="1"/>
  <c r="AW38" i="3" s="1"/>
  <c r="AW66" i="3" s="1"/>
  <c r="AW65" i="3"/>
  <c r="AX1" i="3"/>
  <c r="AW2" i="3"/>
  <c r="AX37" i="3" l="1"/>
  <c r="AX38" i="3" s="1"/>
  <c r="AX66" i="3" s="1"/>
  <c r="AX65" i="3"/>
  <c r="AY1" i="3"/>
  <c r="AX2" i="3"/>
  <c r="AY37" i="3" l="1"/>
  <c r="AY38" i="3" s="1"/>
  <c r="AY66" i="3" s="1"/>
  <c r="AY65" i="3"/>
  <c r="AZ1" i="3"/>
  <c r="AY2" i="3"/>
  <c r="AZ37" i="3" l="1"/>
  <c r="AZ38" i="3" s="1"/>
  <c r="AZ66" i="3" s="1"/>
  <c r="AZ65" i="3"/>
  <c r="BA1" i="3"/>
  <c r="AZ2" i="3"/>
  <c r="BA37" i="3" l="1"/>
  <c r="BA38" i="3" s="1"/>
  <c r="BA66" i="3" s="1"/>
  <c r="BA65" i="3"/>
  <c r="BB1" i="3"/>
  <c r="BA2" i="3"/>
  <c r="BB37" i="3" l="1"/>
  <c r="BB38" i="3" s="1"/>
  <c r="BB66" i="3" s="1"/>
  <c r="BB65" i="3"/>
  <c r="BC1" i="3"/>
  <c r="BB2" i="3"/>
  <c r="BC37" i="3" l="1"/>
  <c r="BC38" i="3" s="1"/>
  <c r="BC66" i="3" s="1"/>
  <c r="BC65" i="3"/>
  <c r="BD1" i="3"/>
  <c r="BC2" i="3"/>
  <c r="BD37" i="3" l="1"/>
  <c r="BD38" i="3" s="1"/>
  <c r="BD66" i="3" s="1"/>
  <c r="BD65" i="3"/>
  <c r="BE1" i="3"/>
  <c r="BD2" i="3"/>
  <c r="BE37" i="3" l="1"/>
  <c r="BE38" i="3" s="1"/>
  <c r="BE66" i="3" s="1"/>
  <c r="BE65" i="3"/>
  <c r="BF1" i="3"/>
  <c r="BE2" i="3"/>
  <c r="BF37" i="3" l="1"/>
  <c r="BF38" i="3" s="1"/>
  <c r="BF66" i="3" s="1"/>
  <c r="BF65" i="3"/>
  <c r="BG1" i="3"/>
  <c r="BF2" i="3"/>
  <c r="BG37" i="3" l="1"/>
  <c r="BG38" i="3" s="1"/>
  <c r="BG66" i="3" s="1"/>
  <c r="BG65" i="3"/>
  <c r="BH1" i="3"/>
  <c r="BG2" i="3"/>
  <c r="BH37" i="3" l="1"/>
  <c r="BH38" i="3" s="1"/>
  <c r="BH66" i="3" s="1"/>
  <c r="BH65" i="3"/>
  <c r="BI1" i="3"/>
  <c r="BH2" i="3"/>
  <c r="BI37" i="3" l="1"/>
  <c r="BI38" i="3" s="1"/>
  <c r="BI66" i="3" s="1"/>
  <c r="BI65" i="3"/>
  <c r="BJ1" i="3"/>
  <c r="BI2" i="3"/>
  <c r="BJ37" i="3" l="1"/>
  <c r="BJ38" i="3" s="1"/>
  <c r="BJ66" i="3" s="1"/>
  <c r="BJ65" i="3"/>
  <c r="BK1" i="3"/>
  <c r="BJ2" i="3"/>
  <c r="BK37" i="3" l="1"/>
  <c r="BK38" i="3" s="1"/>
  <c r="BK66" i="3" s="1"/>
  <c r="BK65" i="3"/>
  <c r="BL1" i="3"/>
  <c r="BK2" i="3"/>
  <c r="BL37" i="3" l="1"/>
  <c r="BL38" i="3" s="1"/>
  <c r="BL66" i="3" s="1"/>
  <c r="BL65" i="3"/>
  <c r="BM1" i="3"/>
  <c r="BL2" i="3"/>
  <c r="BM37" i="3" l="1"/>
  <c r="BM38" i="3" s="1"/>
  <c r="BM66" i="3" s="1"/>
  <c r="BM65" i="3"/>
  <c r="BN1" i="3"/>
  <c r="BM2" i="3"/>
  <c r="BN37" i="3" l="1"/>
  <c r="BN38" i="3" s="1"/>
  <c r="BN66" i="3" s="1"/>
  <c r="BN65" i="3"/>
  <c r="BO1" i="3"/>
  <c r="BP1" i="3" s="1"/>
  <c r="BP65" i="3" s="1"/>
  <c r="BN2" i="3"/>
  <c r="BQ1" i="3" l="1"/>
  <c r="BP37" i="3"/>
  <c r="BO37" i="3"/>
  <c r="BO38" i="3" s="1"/>
  <c r="BO66" i="3" s="1"/>
  <c r="BO65" i="3"/>
  <c r="BO2" i="3"/>
  <c r="BQ37" i="3" l="1"/>
  <c r="BQ38" i="3" s="1"/>
  <c r="BQ66" i="3" s="1"/>
  <c r="BQ65" i="3"/>
  <c r="BR1" i="3"/>
  <c r="BQ2" i="3"/>
  <c r="BR37" i="3" l="1"/>
  <c r="BR38" i="3" s="1"/>
  <c r="BR66" i="3" s="1"/>
  <c r="BR65" i="3"/>
  <c r="BS1" i="3"/>
  <c r="BR2" i="3"/>
  <c r="BS37" i="3" l="1"/>
  <c r="BS38" i="3" s="1"/>
  <c r="BS66" i="3" s="1"/>
  <c r="BS65" i="3"/>
  <c r="BT1" i="3"/>
  <c r="BS2" i="3"/>
  <c r="BT37" i="3" l="1"/>
  <c r="BT38" i="3" s="1"/>
  <c r="BT66" i="3" s="1"/>
  <c r="BT65" i="3"/>
  <c r="BU1" i="3"/>
  <c r="BT2" i="3"/>
  <c r="BU37" i="3" l="1"/>
  <c r="BU38" i="3" s="1"/>
  <c r="BU66" i="3" s="1"/>
  <c r="BU65" i="3"/>
  <c r="BV1" i="3"/>
  <c r="BW1" i="3" s="1"/>
  <c r="BU2" i="3"/>
  <c r="BW37" i="3" l="1"/>
  <c r="BW65" i="3"/>
  <c r="BZ1" i="3"/>
  <c r="BW2" i="3"/>
  <c r="BV37" i="3"/>
  <c r="BV38" i="3" s="1"/>
  <c r="BV66" i="3" s="1"/>
  <c r="BV65"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6" i="3" s="1"/>
  <c r="DS65" i="3"/>
  <c r="DT1" i="3"/>
  <c r="DS2" i="3"/>
  <c r="DT37" i="3" l="1"/>
  <c r="DT38" i="3" s="1"/>
  <c r="DT66" i="3" s="1"/>
  <c r="DT65" i="3"/>
  <c r="DU1" i="3"/>
  <c r="DT2" i="3"/>
  <c r="DU37" i="3" l="1"/>
  <c r="DU38" i="3" s="1"/>
  <c r="DU66" i="3" s="1"/>
  <c r="DU65" i="3"/>
  <c r="DV1" i="3"/>
  <c r="DU2" i="3"/>
  <c r="DV37" i="3" l="1"/>
  <c r="DV38" i="3" s="1"/>
  <c r="DV66" i="3" s="1"/>
  <c r="DV65" i="3"/>
  <c r="DW1" i="3"/>
  <c r="DX1" i="3" s="1"/>
  <c r="DV2" i="3"/>
  <c r="DX2" i="3" l="1"/>
  <c r="DX37" i="3"/>
  <c r="DX38" i="3" s="1"/>
  <c r="DX66" i="3" s="1"/>
  <c r="DX65" i="3"/>
  <c r="DY1" i="3"/>
  <c r="DW37" i="3"/>
  <c r="DW38" i="3" s="1"/>
  <c r="DW66" i="3" s="1"/>
  <c r="DW65" i="3"/>
  <c r="DW2" i="3"/>
  <c r="DY65" i="3" l="1"/>
  <c r="DY37" i="3"/>
  <c r="DY38" i="3" s="1"/>
  <c r="DY66" i="3" s="1"/>
  <c r="EB1" i="3"/>
  <c r="DY2" i="3"/>
  <c r="EB37" i="3"/>
  <c r="EB38" i="3" s="1"/>
  <c r="EB66" i="3" s="1"/>
  <c r="EB65" i="3"/>
  <c r="EC1" i="3"/>
  <c r="EB2" i="3"/>
  <c r="EC37" i="3" l="1"/>
  <c r="EC38" i="3" s="1"/>
  <c r="EC66" i="3" s="1"/>
  <c r="EC65" i="3"/>
  <c r="ED1" i="3"/>
  <c r="EC2" i="3"/>
  <c r="ED37" i="3" l="1"/>
  <c r="ED38" i="3" s="1"/>
  <c r="ED66" i="3" s="1"/>
  <c r="ED65" i="3"/>
  <c r="EE1" i="3"/>
  <c r="ED2" i="3"/>
  <c r="EE37" i="3" l="1"/>
  <c r="EE38" i="3" s="1"/>
  <c r="EE66" i="3" s="1"/>
  <c r="EE65" i="3"/>
  <c r="EF1" i="3"/>
  <c r="EE2" i="3"/>
  <c r="EF37" i="3" l="1"/>
  <c r="EF38" i="3" s="1"/>
  <c r="EF66" i="3" s="1"/>
  <c r="EF65" i="3"/>
  <c r="EG1" i="3"/>
  <c r="EF2" i="3"/>
  <c r="EG37" i="3" l="1"/>
  <c r="EG38" i="3" s="1"/>
  <c r="EG66" i="3" s="1"/>
  <c r="EG65" i="3"/>
  <c r="EH1" i="3"/>
  <c r="EG2" i="3"/>
  <c r="EH37" i="3" l="1"/>
  <c r="EH38" i="3" s="1"/>
  <c r="EH66" i="3" s="1"/>
  <c r="EH65" i="3"/>
  <c r="EI1" i="3"/>
  <c r="EH2" i="3"/>
  <c r="EI37" i="3" l="1"/>
  <c r="EI38" i="3" s="1"/>
  <c r="EI66" i="3" s="1"/>
  <c r="EI65" i="3"/>
  <c r="EJ1" i="3"/>
  <c r="EI2" i="3"/>
  <c r="EJ37" i="3" l="1"/>
  <c r="EJ38" i="3" s="1"/>
  <c r="EJ66" i="3" s="1"/>
  <c r="EJ65" i="3"/>
  <c r="EK1" i="3"/>
  <c r="EJ2" i="3"/>
  <c r="EK37" i="3" l="1"/>
  <c r="EK38" i="3" s="1"/>
  <c r="EK66" i="3" s="1"/>
  <c r="EK65" i="3"/>
  <c r="EL1" i="3"/>
  <c r="EK2" i="3"/>
  <c r="EL37" i="3" l="1"/>
  <c r="EL38" i="3" s="1"/>
  <c r="EL66" i="3" s="1"/>
  <c r="EL65" i="3"/>
  <c r="EM1" i="3"/>
  <c r="EL2" i="3"/>
  <c r="EM37" i="3" l="1"/>
  <c r="EM38" i="3" s="1"/>
  <c r="EM66" i="3" s="1"/>
  <c r="EM65" i="3"/>
  <c r="EN1" i="3"/>
  <c r="EM2" i="3"/>
  <c r="EN37" i="3" l="1"/>
  <c r="EN38" i="3" s="1"/>
  <c r="EN66" i="3" s="1"/>
  <c r="EN65" i="3"/>
  <c r="EO1" i="3"/>
  <c r="EN2" i="3"/>
  <c r="EO37" i="3" l="1"/>
  <c r="EO38" i="3" s="1"/>
  <c r="EO66" i="3" s="1"/>
  <c r="EO65" i="3"/>
  <c r="EP1" i="3"/>
  <c r="EO2" i="3"/>
  <c r="EP37" i="3" l="1"/>
  <c r="EP38" i="3" s="1"/>
  <c r="EP66" i="3" s="1"/>
  <c r="EP65" i="3"/>
  <c r="EQ1" i="3"/>
  <c r="EP2" i="3"/>
  <c r="EQ37" i="3" l="1"/>
  <c r="EQ38" i="3" s="1"/>
  <c r="EQ66" i="3" s="1"/>
  <c r="EQ65" i="3"/>
  <c r="ER1" i="3"/>
  <c r="EQ2" i="3"/>
  <c r="ER37" i="3" l="1"/>
  <c r="ER38" i="3" s="1"/>
  <c r="ER66" i="3" s="1"/>
  <c r="ER65" i="3"/>
  <c r="ES1" i="3"/>
  <c r="ES65" i="3" s="1"/>
  <c r="ER2" i="3"/>
  <c r="ES37" i="3" l="1"/>
  <c r="ES38" i="3" s="1"/>
  <c r="ES66" i="3" s="1"/>
  <c r="ET1" i="3"/>
  <c r="ET65" i="3" s="1"/>
  <c r="ES2" i="3"/>
  <c r="ET37" i="3" l="1"/>
  <c r="ET38" i="3" s="1"/>
  <c r="ET66" i="3" s="1"/>
  <c r="EU1" i="3"/>
  <c r="EU65" i="3" s="1"/>
  <c r="ET2" i="3"/>
  <c r="EU2" i="3" l="1"/>
  <c r="EU37" i="3"/>
  <c r="EU38" i="3" s="1"/>
  <c r="EU66" i="3" s="1"/>
  <c r="EV1" i="3"/>
  <c r="EV37" i="3" l="1"/>
  <c r="EV38" i="3" s="1"/>
  <c r="EV66" i="3" s="1"/>
  <c r="EV65" i="3"/>
  <c r="EW1" i="3"/>
  <c r="EV2" i="3"/>
  <c r="EW37" i="3" l="1"/>
  <c r="EW38" i="3" s="1"/>
  <c r="EW66" i="3" s="1"/>
  <c r="EW65" i="3"/>
  <c r="EX1" i="3"/>
  <c r="EW2" i="3"/>
  <c r="EX37" i="3" l="1"/>
  <c r="EX38" i="3" s="1"/>
  <c r="EX66" i="3" s="1"/>
  <c r="EX65" i="3"/>
  <c r="EY1" i="3"/>
  <c r="EX2" i="3"/>
  <c r="EY37" i="3" l="1"/>
  <c r="EY38" i="3" s="1"/>
  <c r="EY66" i="3" s="1"/>
  <c r="EY65" i="3"/>
  <c r="EZ1" i="3"/>
  <c r="EY2" i="3"/>
  <c r="EZ37" i="3" l="1"/>
  <c r="EZ38" i="3" s="1"/>
  <c r="EZ66" i="3" s="1"/>
  <c r="EZ65" i="3"/>
  <c r="FA1" i="3"/>
  <c r="EZ2" i="3"/>
  <c r="FA37" i="3" l="1"/>
  <c r="FA38" i="3" s="1"/>
  <c r="FA66" i="3" s="1"/>
  <c r="FA65" i="3"/>
  <c r="FB1" i="3"/>
  <c r="FA2" i="3"/>
  <c r="FB37" i="3" l="1"/>
  <c r="FB38" i="3" s="1"/>
  <c r="FB66" i="3" s="1"/>
  <c r="FB65" i="3"/>
  <c r="FC1" i="3"/>
  <c r="FB2" i="3"/>
  <c r="FC37" i="3" l="1"/>
  <c r="FC38" i="3" s="1"/>
  <c r="FC66" i="3" s="1"/>
  <c r="FC65" i="3"/>
  <c r="FD1" i="3"/>
  <c r="FC2" i="3"/>
  <c r="FD37" i="3" l="1"/>
  <c r="FD38" i="3" s="1"/>
  <c r="FD66" i="3" s="1"/>
  <c r="FD65" i="3"/>
  <c r="FE1" i="3"/>
  <c r="FD2" i="3"/>
  <c r="FE37" i="3" l="1"/>
  <c r="FE38" i="3" s="1"/>
  <c r="FE66" i="3" s="1"/>
  <c r="FE65" i="3"/>
  <c r="FF1" i="3"/>
  <c r="FE2" i="3"/>
  <c r="FF37" i="3" l="1"/>
  <c r="FF38" i="3" s="1"/>
  <c r="FF66" i="3" s="1"/>
  <c r="FF65" i="3"/>
  <c r="FG1" i="3"/>
  <c r="FF2" i="3"/>
  <c r="FG37" i="3" l="1"/>
  <c r="FG38" i="3" s="1"/>
  <c r="FG66" i="3" s="1"/>
  <c r="FG65" i="3"/>
  <c r="FH1" i="3"/>
  <c r="FG2" i="3"/>
  <c r="FH37" i="3" l="1"/>
  <c r="FH38" i="3" s="1"/>
  <c r="FH66" i="3" s="1"/>
  <c r="FH65" i="3"/>
  <c r="FI1" i="3"/>
  <c r="FH2" i="3"/>
  <c r="FI37" i="3" l="1"/>
  <c r="FI38" i="3" s="1"/>
  <c r="FI66" i="3" s="1"/>
  <c r="FI65" i="3"/>
  <c r="FJ1" i="3"/>
  <c r="FI2" i="3"/>
  <c r="FJ37" i="3" l="1"/>
  <c r="FJ38" i="3" s="1"/>
  <c r="FJ66" i="3" s="1"/>
  <c r="FJ65" i="3"/>
  <c r="FK1" i="3"/>
  <c r="FJ2" i="3"/>
  <c r="FK37" i="3" l="1"/>
  <c r="FK38" i="3" s="1"/>
  <c r="FK66" i="3" s="1"/>
  <c r="FK65" i="3"/>
  <c r="FL1" i="3"/>
  <c r="FK2" i="3"/>
  <c r="FL37" i="3" l="1"/>
  <c r="FL38" i="3" s="1"/>
  <c r="FL66" i="3" s="1"/>
  <c r="FL65" i="3"/>
  <c r="FM1" i="3"/>
  <c r="FL2" i="3"/>
  <c r="FM37" i="3" l="1"/>
  <c r="FM38" i="3" s="1"/>
  <c r="FM66" i="3" s="1"/>
  <c r="FM65" i="3"/>
  <c r="FN1" i="3"/>
  <c r="FM2" i="3"/>
  <c r="FN37" i="3" l="1"/>
  <c r="FN38" i="3" s="1"/>
  <c r="FN66" i="3" s="1"/>
  <c r="FN65" i="3"/>
  <c r="FO1" i="3"/>
  <c r="FN2" i="3"/>
  <c r="FO37" i="3" l="1"/>
  <c r="FO38" i="3" s="1"/>
  <c r="FO66" i="3" s="1"/>
  <c r="FO65" i="3"/>
  <c r="FP1" i="3"/>
  <c r="FO2" i="3"/>
  <c r="FP37" i="3" l="1"/>
  <c r="FP38" i="3" s="1"/>
  <c r="FP66" i="3" s="1"/>
  <c r="FP65" i="3"/>
  <c r="FQ1" i="3"/>
  <c r="FP2" i="3"/>
  <c r="FQ37" i="3" l="1"/>
  <c r="FQ38" i="3" s="1"/>
  <c r="FQ66" i="3" s="1"/>
  <c r="FQ65" i="3"/>
  <c r="FR1" i="3"/>
  <c r="FQ2" i="3"/>
  <c r="FR37" i="3" l="1"/>
  <c r="FR38" i="3" s="1"/>
  <c r="FR66" i="3" s="1"/>
  <c r="FR65" i="3"/>
  <c r="FS1" i="3"/>
  <c r="FR2" i="3"/>
  <c r="FS37" i="3" l="1"/>
  <c r="FS38" i="3" s="1"/>
  <c r="FS66" i="3" s="1"/>
  <c r="FS65" i="3"/>
  <c r="FT1" i="3"/>
  <c r="FS2" i="3"/>
  <c r="FT37" i="3" l="1"/>
  <c r="FT38" i="3" s="1"/>
  <c r="FT66" i="3" s="1"/>
  <c r="FT65" i="3"/>
  <c r="FU1" i="3"/>
  <c r="FT2" i="3"/>
  <c r="FU37" i="3" l="1"/>
  <c r="FU38" i="3" s="1"/>
  <c r="FU66" i="3" s="1"/>
  <c r="FU65" i="3"/>
  <c r="FV1" i="3"/>
  <c r="FU2" i="3"/>
  <c r="FV37" i="3" l="1"/>
  <c r="FV38" i="3" s="1"/>
  <c r="FV66" i="3" s="1"/>
  <c r="FV65" i="3"/>
  <c r="FW1" i="3"/>
  <c r="FV2" i="3"/>
  <c r="FW37" i="3" l="1"/>
  <c r="FW38" i="3" s="1"/>
  <c r="FW66" i="3" s="1"/>
  <c r="FW65" i="3"/>
  <c r="FX1" i="3"/>
  <c r="FW2" i="3"/>
  <c r="FX37" i="3" l="1"/>
  <c r="FX38" i="3" s="1"/>
  <c r="FX66" i="3" s="1"/>
  <c r="FX65" i="3"/>
  <c r="FY1" i="3"/>
  <c r="FX2" i="3"/>
  <c r="FY37" i="3" l="1"/>
  <c r="FY38" i="3" s="1"/>
  <c r="FY66" i="3" s="1"/>
  <c r="FY65" i="3"/>
  <c r="FZ1" i="3"/>
  <c r="FY2" i="3"/>
  <c r="FZ37" i="3" l="1"/>
  <c r="FZ38" i="3" s="1"/>
  <c r="FZ66" i="3" s="1"/>
  <c r="FZ65" i="3"/>
  <c r="GA1" i="3"/>
  <c r="FZ2" i="3"/>
  <c r="GA37" i="3" l="1"/>
  <c r="GA38" i="3" s="1"/>
  <c r="GA66" i="3" s="1"/>
  <c r="GA65" i="3"/>
  <c r="GB1" i="3"/>
  <c r="GA2" i="3"/>
  <c r="GB37" i="3" l="1"/>
  <c r="GB38" i="3" s="1"/>
  <c r="GB66" i="3" s="1"/>
  <c r="GB65" i="3"/>
  <c r="GC1" i="3"/>
  <c r="GB2" i="3"/>
  <c r="GC37" i="3" l="1"/>
  <c r="GC38" i="3" s="1"/>
  <c r="GC66" i="3" s="1"/>
  <c r="GC65" i="3"/>
  <c r="GD1" i="3"/>
  <c r="GC2" i="3"/>
  <c r="GD37" i="3" l="1"/>
  <c r="GD38" i="3" s="1"/>
  <c r="GD66" i="3" s="1"/>
  <c r="GD65" i="3"/>
  <c r="GE1" i="3"/>
  <c r="GD2" i="3"/>
  <c r="GE37" i="3" l="1"/>
  <c r="GE38" i="3" s="1"/>
  <c r="GE66" i="3" s="1"/>
  <c r="GE65" i="3"/>
  <c r="GF1" i="3"/>
  <c r="GE2" i="3"/>
  <c r="GF37" i="3" l="1"/>
  <c r="GF38" i="3" s="1"/>
  <c r="GF66" i="3" s="1"/>
  <c r="GF65" i="3"/>
  <c r="GG1" i="3"/>
  <c r="GF2" i="3"/>
  <c r="GG37" i="3" l="1"/>
  <c r="GG38" i="3" s="1"/>
  <c r="GG66" i="3" s="1"/>
  <c r="GG65" i="3"/>
  <c r="GH1" i="3"/>
  <c r="GG2" i="3"/>
  <c r="GH37" i="3" l="1"/>
  <c r="GH38" i="3" s="1"/>
  <c r="GH66" i="3" s="1"/>
  <c r="GH65" i="3"/>
  <c r="GI1" i="3"/>
  <c r="GH2" i="3"/>
  <c r="GI37" i="3" l="1"/>
  <c r="GI38" i="3" s="1"/>
  <c r="GI66" i="3" s="1"/>
  <c r="GI65" i="3"/>
  <c r="GJ1" i="3"/>
  <c r="GI2" i="3"/>
  <c r="GJ37" i="3" l="1"/>
  <c r="GJ38" i="3" s="1"/>
  <c r="GJ66" i="3" s="1"/>
  <c r="GJ65" i="3"/>
  <c r="GK1" i="3"/>
  <c r="GJ2" i="3"/>
  <c r="GK37" i="3" l="1"/>
  <c r="GK38" i="3" s="1"/>
  <c r="GK66" i="3" s="1"/>
  <c r="GK65" i="3"/>
  <c r="GL1" i="3"/>
  <c r="GK2" i="3"/>
  <c r="GL37" i="3" l="1"/>
  <c r="GL38" i="3" s="1"/>
  <c r="GL66" i="3" s="1"/>
  <c r="GL65" i="3"/>
  <c r="GM1" i="3"/>
  <c r="GL2" i="3"/>
  <c r="GM37" i="3" l="1"/>
  <c r="GM38" i="3" s="1"/>
  <c r="GM66" i="3" s="1"/>
  <c r="GM65" i="3"/>
  <c r="GN1" i="3"/>
  <c r="GM2" i="3"/>
  <c r="GN37" i="3" l="1"/>
  <c r="GN38" i="3" s="1"/>
  <c r="GN66" i="3" s="1"/>
  <c r="GN65" i="3"/>
  <c r="GO1" i="3"/>
  <c r="GN2" i="3"/>
  <c r="GO37" i="3" l="1"/>
  <c r="GO38" i="3" s="1"/>
  <c r="GO66" i="3" s="1"/>
  <c r="GO65" i="3"/>
  <c r="GP1" i="3"/>
  <c r="GO2" i="3"/>
  <c r="GP37" i="3" l="1"/>
  <c r="GP38" i="3" s="1"/>
  <c r="GP66" i="3" s="1"/>
  <c r="GP65" i="3"/>
  <c r="GQ1" i="3"/>
  <c r="GP2" i="3"/>
  <c r="GQ37" i="3" l="1"/>
  <c r="GQ38" i="3" s="1"/>
  <c r="GQ66" i="3" s="1"/>
  <c r="GQ65" i="3"/>
  <c r="GR1" i="3"/>
  <c r="GQ2" i="3"/>
  <c r="GR37" i="3" l="1"/>
  <c r="GR38" i="3" s="1"/>
  <c r="GR66" i="3" s="1"/>
  <c r="GR65" i="3"/>
  <c r="GS1" i="3"/>
  <c r="GR2" i="3"/>
  <c r="GS37" i="3" l="1"/>
  <c r="GS38" i="3" s="1"/>
  <c r="GS66" i="3" s="1"/>
  <c r="GS65" i="3"/>
  <c r="GT1" i="3"/>
  <c r="GS2" i="3"/>
  <c r="GT37" i="3" l="1"/>
  <c r="GT38" i="3" s="1"/>
  <c r="GT66" i="3" s="1"/>
  <c r="GT65" i="3"/>
  <c r="GU1" i="3"/>
  <c r="GT2" i="3"/>
  <c r="GU37" i="3" l="1"/>
  <c r="GU38" i="3" s="1"/>
  <c r="GU66" i="3" s="1"/>
  <c r="GU65" i="3"/>
  <c r="GV1" i="3"/>
  <c r="GU2" i="3"/>
  <c r="GV37" i="3" l="1"/>
  <c r="GV38" i="3" s="1"/>
  <c r="GV66" i="3" s="1"/>
  <c r="GV65" i="3"/>
  <c r="GW1" i="3"/>
  <c r="GV2" i="3"/>
  <c r="GW37" i="3" l="1"/>
  <c r="GW38" i="3" s="1"/>
  <c r="GW66" i="3" s="1"/>
  <c r="GW65" i="3"/>
  <c r="GX1" i="3"/>
  <c r="GW2" i="3"/>
  <c r="GX37" i="3" l="1"/>
  <c r="GX38" i="3" s="1"/>
  <c r="GX66" i="3" s="1"/>
  <c r="GX65" i="3"/>
  <c r="GY1" i="3"/>
  <c r="GX2" i="3"/>
  <c r="GY37" i="3" l="1"/>
  <c r="GY38" i="3" s="1"/>
  <c r="GY66" i="3" s="1"/>
  <c r="GY65" i="3"/>
  <c r="GZ1" i="3"/>
  <c r="GY2" i="3"/>
  <c r="GZ37" i="3" l="1"/>
  <c r="GZ38" i="3" s="1"/>
  <c r="GZ66" i="3" s="1"/>
  <c r="GZ65" i="3"/>
  <c r="HA1" i="3"/>
  <c r="GZ2" i="3"/>
  <c r="HA37" i="3" l="1"/>
  <c r="HA38" i="3" s="1"/>
  <c r="HA66" i="3" s="1"/>
  <c r="HA65" i="3"/>
  <c r="HB1" i="3"/>
  <c r="HA2" i="3"/>
  <c r="HB37" i="3" l="1"/>
  <c r="HB38" i="3" s="1"/>
  <c r="HB66" i="3" s="1"/>
  <c r="HB65" i="3"/>
  <c r="HC1" i="3"/>
  <c r="HB2" i="3"/>
  <c r="HC37" i="3" l="1"/>
  <c r="HC38" i="3" s="1"/>
  <c r="HC66" i="3" s="1"/>
  <c r="HC65" i="3"/>
  <c r="HD1" i="3"/>
  <c r="HC2" i="3"/>
  <c r="HD37" i="3" l="1"/>
  <c r="HD38" i="3" s="1"/>
  <c r="HD66" i="3" s="1"/>
  <c r="HD65" i="3"/>
  <c r="HE1" i="3"/>
  <c r="HD2" i="3"/>
  <c r="HE37" i="3" l="1"/>
  <c r="HE38" i="3" s="1"/>
  <c r="HE66" i="3" s="1"/>
  <c r="HE65" i="3"/>
  <c r="HF1" i="3"/>
  <c r="HE2" i="3"/>
  <c r="HF37" i="3" l="1"/>
  <c r="HF38" i="3" s="1"/>
  <c r="HF66" i="3" s="1"/>
  <c r="HF65" i="3"/>
  <c r="HG1" i="3"/>
  <c r="HF2" i="3"/>
  <c r="HG37" i="3" l="1"/>
  <c r="HG38" i="3" s="1"/>
  <c r="HG66" i="3" s="1"/>
  <c r="HG65" i="3"/>
  <c r="HH1" i="3"/>
  <c r="HG2" i="3"/>
  <c r="HH37" i="3" l="1"/>
  <c r="HH38" i="3" s="1"/>
  <c r="HH66" i="3" s="1"/>
  <c r="HH65" i="3"/>
  <c r="HI1" i="3"/>
  <c r="HH2" i="3"/>
  <c r="HI37" i="3" l="1"/>
  <c r="HI38" i="3" s="1"/>
  <c r="HI66" i="3" s="1"/>
  <c r="HI65" i="3"/>
  <c r="HJ1" i="3"/>
  <c r="HI2" i="3"/>
  <c r="HJ37" i="3" l="1"/>
  <c r="HJ38" i="3" s="1"/>
  <c r="HJ66" i="3" s="1"/>
  <c r="HJ65" i="3"/>
  <c r="HK1" i="3"/>
  <c r="HJ2" i="3"/>
  <c r="HK37" i="3" l="1"/>
  <c r="HK38" i="3" s="1"/>
  <c r="HK66" i="3" s="1"/>
  <c r="HK65" i="3"/>
  <c r="HL1" i="3"/>
  <c r="HK2" i="3"/>
  <c r="HL37" i="3" l="1"/>
  <c r="HL38" i="3" s="1"/>
  <c r="HL66" i="3" s="1"/>
  <c r="HL65" i="3"/>
  <c r="HM1" i="3"/>
  <c r="HL2" i="3"/>
  <c r="HM37" i="3" l="1"/>
  <c r="HM38" i="3" s="1"/>
  <c r="HM66" i="3" s="1"/>
  <c r="HM65" i="3"/>
  <c r="HN1" i="3"/>
  <c r="HM2" i="3"/>
  <c r="HN37" i="3" l="1"/>
  <c r="HN38" i="3" s="1"/>
  <c r="HN66" i="3" s="1"/>
  <c r="HN65" i="3"/>
  <c r="HO1" i="3"/>
  <c r="HN2" i="3"/>
  <c r="HO37" i="3" l="1"/>
  <c r="HO38" i="3" s="1"/>
  <c r="HO66" i="3" s="1"/>
  <c r="HO65" i="3"/>
  <c r="HP1" i="3"/>
  <c r="HO2" i="3"/>
  <c r="HP37" i="3" l="1"/>
  <c r="HP38" i="3" s="1"/>
  <c r="HP66" i="3" s="1"/>
  <c r="HP65" i="3"/>
  <c r="HQ1" i="3"/>
  <c r="HP2" i="3"/>
  <c r="HQ37" i="3" l="1"/>
  <c r="HQ38" i="3" s="1"/>
  <c r="HQ66" i="3" s="1"/>
  <c r="HQ65" i="3"/>
  <c r="HR1" i="3"/>
  <c r="HQ2" i="3"/>
  <c r="HR37" i="3" l="1"/>
  <c r="HR38" i="3" s="1"/>
  <c r="HR66" i="3" s="1"/>
  <c r="HR65" i="3"/>
  <c r="HS1" i="3"/>
  <c r="HR2" i="3"/>
  <c r="HS37" i="3" l="1"/>
  <c r="HS38" i="3" s="1"/>
  <c r="HS66" i="3" s="1"/>
  <c r="HS65" i="3"/>
  <c r="HT1" i="3"/>
  <c r="HS2" i="3"/>
  <c r="HT37" i="3" l="1"/>
  <c r="HT38" i="3" s="1"/>
  <c r="HT66" i="3" s="1"/>
  <c r="HT65" i="3"/>
  <c r="HU1" i="3"/>
  <c r="HT2" i="3"/>
  <c r="HU37" i="3" l="1"/>
  <c r="HU38" i="3" s="1"/>
  <c r="HU66" i="3" s="1"/>
  <c r="HU65" i="3"/>
  <c r="HV1" i="3"/>
  <c r="HU2" i="3"/>
  <c r="HV37" i="3" l="1"/>
  <c r="HV38" i="3" s="1"/>
  <c r="HV66" i="3" s="1"/>
  <c r="HV65" i="3"/>
  <c r="HW1" i="3"/>
  <c r="HV2" i="3"/>
  <c r="HW37" i="3" l="1"/>
  <c r="HW38" i="3" s="1"/>
  <c r="HW66" i="3" s="1"/>
  <c r="HW65" i="3"/>
  <c r="HX1" i="3"/>
  <c r="HW2" i="3"/>
  <c r="HX37" i="3" l="1"/>
  <c r="HX38" i="3" s="1"/>
  <c r="HX66" i="3" s="1"/>
  <c r="HX65" i="3"/>
  <c r="HY1" i="3"/>
  <c r="HX2" i="3"/>
  <c r="HY37" i="3" l="1"/>
  <c r="HY38" i="3" s="1"/>
  <c r="HY66" i="3" s="1"/>
  <c r="HY65" i="3"/>
  <c r="HZ1" i="3"/>
  <c r="HY2" i="3"/>
  <c r="HZ37" i="3" l="1"/>
  <c r="HZ38" i="3" s="1"/>
  <c r="HZ66" i="3" s="1"/>
  <c r="HZ65" i="3"/>
  <c r="IA1" i="3"/>
  <c r="HZ2" i="3"/>
  <c r="IA37" i="3" l="1"/>
  <c r="IA38" i="3" s="1"/>
  <c r="IA66" i="3" s="1"/>
  <c r="IA65" i="3"/>
  <c r="IB1" i="3"/>
  <c r="IA2" i="3"/>
  <c r="IB37" i="3" l="1"/>
  <c r="IB38" i="3" s="1"/>
  <c r="IB66" i="3" s="1"/>
  <c r="IB65" i="3"/>
  <c r="IC1" i="3"/>
  <c r="IB2" i="3"/>
  <c r="IC37" i="3" l="1"/>
  <c r="IC38" i="3" s="1"/>
  <c r="IC66" i="3" s="1"/>
  <c r="IC65" i="3"/>
  <c r="ID1" i="3"/>
  <c r="IC2" i="3"/>
  <c r="ID37" i="3" l="1"/>
  <c r="ID38" i="3" s="1"/>
  <c r="ID66" i="3" s="1"/>
  <c r="ID65" i="3"/>
  <c r="IE1" i="3"/>
  <c r="ID2" i="3"/>
  <c r="IE37" i="3" l="1"/>
  <c r="IE38" i="3" s="1"/>
  <c r="IE66" i="3" s="1"/>
  <c r="IE65" i="3"/>
  <c r="IF1" i="3"/>
  <c r="IE2" i="3"/>
  <c r="IF37" i="3" l="1"/>
  <c r="IF38" i="3" s="1"/>
  <c r="IF66" i="3" s="1"/>
  <c r="IF65" i="3"/>
  <c r="IG1" i="3"/>
  <c r="IF2" i="3"/>
  <c r="IG37" i="3" l="1"/>
  <c r="IG38" i="3" s="1"/>
  <c r="IG66" i="3" s="1"/>
  <c r="IG65" i="3"/>
  <c r="IH1" i="3"/>
  <c r="IG2" i="3"/>
  <c r="IH37" i="3" l="1"/>
  <c r="IH38" i="3" s="1"/>
  <c r="IH66" i="3" s="1"/>
  <c r="IH65" i="3"/>
  <c r="II1" i="3"/>
  <c r="IH2" i="3"/>
  <c r="II37" i="3" l="1"/>
  <c r="II38" i="3" s="1"/>
  <c r="II66" i="3" s="1"/>
  <c r="II65" i="3"/>
  <c r="IJ1" i="3"/>
  <c r="II2" i="3"/>
  <c r="IJ37" i="3" l="1"/>
  <c r="IJ38" i="3" s="1"/>
  <c r="IJ66" i="3" s="1"/>
  <c r="IJ65" i="3"/>
  <c r="IK1" i="3"/>
  <c r="IJ2" i="3"/>
  <c r="IK37" i="3" l="1"/>
  <c r="IK38" i="3" s="1"/>
  <c r="IK66" i="3" s="1"/>
  <c r="IK65" i="3"/>
  <c r="IL1" i="3"/>
  <c r="IK2" i="3"/>
  <c r="IL37" i="3" l="1"/>
  <c r="IL38" i="3" s="1"/>
  <c r="IL66" i="3" s="1"/>
  <c r="IL65" i="3"/>
  <c r="IM1" i="3"/>
  <c r="IL2" i="3"/>
  <c r="IM37" i="3" l="1"/>
  <c r="IM38" i="3" s="1"/>
  <c r="IM66" i="3" s="1"/>
  <c r="IM65" i="3"/>
  <c r="IN1" i="3"/>
  <c r="IM2" i="3"/>
  <c r="IN37" i="3" l="1"/>
  <c r="IN38" i="3" s="1"/>
  <c r="IN66" i="3" s="1"/>
  <c r="IN65" i="3"/>
  <c r="IO1" i="3"/>
  <c r="IN2" i="3"/>
  <c r="IO37" i="3" l="1"/>
  <c r="IO38" i="3" s="1"/>
  <c r="IO66" i="3" s="1"/>
  <c r="IO65" i="3"/>
  <c r="IP1" i="3"/>
  <c r="IO2" i="3"/>
  <c r="IP37" i="3" l="1"/>
  <c r="IP38" i="3" s="1"/>
  <c r="IP66" i="3" s="1"/>
  <c r="IP65" i="3"/>
  <c r="IQ1" i="3"/>
  <c r="IP2" i="3"/>
  <c r="IQ37" i="3" l="1"/>
  <c r="IQ38" i="3" s="1"/>
  <c r="IQ66" i="3" s="1"/>
  <c r="IQ65" i="3"/>
  <c r="IR1" i="3"/>
  <c r="IQ2" i="3"/>
  <c r="IR37" i="3" l="1"/>
  <c r="IR38" i="3" s="1"/>
  <c r="IR66" i="3" s="1"/>
  <c r="IR65" i="3"/>
  <c r="IS1" i="3"/>
  <c r="IR2" i="3"/>
  <c r="IS37" i="3" l="1"/>
  <c r="IS38" i="3" s="1"/>
  <c r="IS66" i="3" s="1"/>
  <c r="IS65" i="3"/>
  <c r="IT1" i="3"/>
  <c r="IS2" i="3"/>
  <c r="IT37" i="3" l="1"/>
  <c r="IT38" i="3" s="1"/>
  <c r="IT66" i="3" s="1"/>
  <c r="IT65" i="3"/>
  <c r="IU1" i="3"/>
  <c r="IT2" i="3"/>
  <c r="IU37" i="3" l="1"/>
  <c r="IU38" i="3" s="1"/>
  <c r="IU66" i="3" s="1"/>
  <c r="IU65" i="3"/>
  <c r="IV1" i="3"/>
  <c r="IU2" i="3"/>
  <c r="IV37" i="3" l="1"/>
  <c r="IV38" i="3" s="1"/>
  <c r="IV66" i="3" s="1"/>
  <c r="IV65" i="3"/>
  <c r="IW1" i="3"/>
  <c r="IV2" i="3"/>
  <c r="IW37" i="3" l="1"/>
  <c r="IW38" i="3" s="1"/>
  <c r="IW66" i="3" s="1"/>
  <c r="IW65" i="3"/>
  <c r="IX1" i="3"/>
  <c r="IW2" i="3"/>
  <c r="IX37" i="3" l="1"/>
  <c r="IX38" i="3" s="1"/>
  <c r="IX66" i="3" s="1"/>
  <c r="IX65" i="3"/>
  <c r="IY1" i="3"/>
  <c r="IX2" i="3"/>
  <c r="IY37" i="3" l="1"/>
  <c r="IY38" i="3" s="1"/>
  <c r="IY66" i="3" s="1"/>
  <c r="IY65" i="3"/>
  <c r="IZ1" i="3"/>
  <c r="IY2" i="3"/>
  <c r="IZ37" i="3" l="1"/>
  <c r="IZ38" i="3" s="1"/>
  <c r="IZ66" i="3" s="1"/>
  <c r="IZ65" i="3"/>
  <c r="JA1" i="3"/>
  <c r="IZ2" i="3"/>
  <c r="JA37" i="3" l="1"/>
  <c r="JA38" i="3" s="1"/>
  <c r="JA66" i="3" s="1"/>
  <c r="JA65" i="3"/>
  <c r="JB1" i="3"/>
  <c r="JA2" i="3"/>
  <c r="JB37" i="3" l="1"/>
  <c r="JB38" i="3" s="1"/>
  <c r="JB66" i="3" s="1"/>
  <c r="JB65" i="3"/>
  <c r="JC1" i="3"/>
  <c r="JB2" i="3"/>
  <c r="JC37" i="3" l="1"/>
  <c r="JC38" i="3" s="1"/>
  <c r="JC66" i="3" s="1"/>
  <c r="JC65" i="3"/>
  <c r="JD1" i="3"/>
  <c r="JC2" i="3"/>
  <c r="JD37" i="3" l="1"/>
  <c r="JD38" i="3" s="1"/>
  <c r="JD66" i="3" s="1"/>
  <c r="JD65" i="3"/>
  <c r="JE1" i="3"/>
  <c r="JD2" i="3"/>
  <c r="JE37" i="3" l="1"/>
  <c r="JE38" i="3" s="1"/>
  <c r="JE66" i="3" s="1"/>
  <c r="JE65" i="3"/>
  <c r="JF1" i="3"/>
  <c r="JE2" i="3"/>
  <c r="JF37" i="3" l="1"/>
  <c r="JF38" i="3" s="1"/>
  <c r="JF66" i="3" s="1"/>
  <c r="JF65" i="3"/>
  <c r="JG1" i="3"/>
  <c r="JF2" i="3"/>
  <c r="JG37" i="3" l="1"/>
  <c r="JG38" i="3" s="1"/>
  <c r="JG66" i="3" s="1"/>
  <c r="JG65" i="3"/>
  <c r="JH1" i="3"/>
  <c r="JG2" i="3"/>
  <c r="JH37" i="3" l="1"/>
  <c r="JH38" i="3" s="1"/>
  <c r="JH66" i="3" s="1"/>
  <c r="JH65" i="3"/>
  <c r="JI1" i="3"/>
  <c r="JH2" i="3"/>
  <c r="JI37" i="3" l="1"/>
  <c r="JI38" i="3" s="1"/>
  <c r="JI66" i="3" s="1"/>
  <c r="JI65" i="3"/>
  <c r="JJ1" i="3"/>
  <c r="JI2" i="3"/>
  <c r="JJ37" i="3" l="1"/>
  <c r="JJ38" i="3" s="1"/>
  <c r="JJ66" i="3" s="1"/>
  <c r="JJ65" i="3"/>
  <c r="JK1" i="3"/>
  <c r="JJ2" i="3"/>
  <c r="JK37" i="3" l="1"/>
  <c r="JK38" i="3" s="1"/>
  <c r="JK66" i="3" s="1"/>
  <c r="JK65" i="3"/>
  <c r="JL1" i="3"/>
  <c r="JK2" i="3"/>
  <c r="JL37" i="3" l="1"/>
  <c r="JL38" i="3" s="1"/>
  <c r="JL66" i="3" s="1"/>
  <c r="JL65" i="3"/>
  <c r="JM1" i="3"/>
  <c r="JL2" i="3"/>
  <c r="JM37" i="3" l="1"/>
  <c r="JM38" i="3" s="1"/>
  <c r="JM66" i="3" s="1"/>
  <c r="JM65" i="3"/>
  <c r="JN1" i="3"/>
  <c r="JM2" i="3"/>
  <c r="JN37" i="3" l="1"/>
  <c r="JN38" i="3" s="1"/>
  <c r="JN66" i="3" s="1"/>
  <c r="JN65" i="3"/>
  <c r="JO1" i="3"/>
  <c r="JN2" i="3"/>
  <c r="JO37" i="3" l="1"/>
  <c r="JO38" i="3" s="1"/>
  <c r="JO66" i="3" s="1"/>
  <c r="JO65" i="3"/>
  <c r="JP1" i="3"/>
  <c r="JO2" i="3"/>
  <c r="JP37" i="3" l="1"/>
  <c r="JP38" i="3" s="1"/>
  <c r="JP66" i="3" s="1"/>
  <c r="JP65" i="3"/>
  <c r="JQ1" i="3"/>
  <c r="JP2" i="3"/>
  <c r="JQ37" i="3" l="1"/>
  <c r="JQ38" i="3" s="1"/>
  <c r="JQ66" i="3" s="1"/>
  <c r="JQ65" i="3"/>
  <c r="JR1" i="3"/>
  <c r="JQ2" i="3"/>
  <c r="JR37" i="3" l="1"/>
  <c r="JR38" i="3" s="1"/>
  <c r="JR66" i="3" s="1"/>
  <c r="JR65" i="3"/>
  <c r="JS1" i="3"/>
  <c r="JR2" i="3"/>
  <c r="JS37" i="3" l="1"/>
  <c r="JS38" i="3" s="1"/>
  <c r="JS66" i="3" s="1"/>
  <c r="JS65" i="3"/>
  <c r="JT1" i="3"/>
  <c r="JS2" i="3"/>
  <c r="JT37" i="3" l="1"/>
  <c r="JT38" i="3" s="1"/>
  <c r="JT66" i="3" s="1"/>
  <c r="JT65" i="3"/>
  <c r="JU1" i="3"/>
  <c r="JT2" i="3"/>
  <c r="JU37" i="3" l="1"/>
  <c r="JU38" i="3" s="1"/>
  <c r="JU66" i="3" s="1"/>
  <c r="JU65" i="3"/>
  <c r="JV1" i="3"/>
  <c r="JU2" i="3"/>
  <c r="JV37" i="3" l="1"/>
  <c r="JV38" i="3" s="1"/>
  <c r="JV66" i="3" s="1"/>
  <c r="JV65" i="3"/>
  <c r="JW1" i="3"/>
  <c r="JV2" i="3"/>
  <c r="JW37" i="3" l="1"/>
  <c r="JW38" i="3" s="1"/>
  <c r="JW66" i="3" s="1"/>
  <c r="JW65" i="3"/>
  <c r="JX1" i="3"/>
  <c r="JW2" i="3"/>
  <c r="JX37" i="3" l="1"/>
  <c r="JX38" i="3" s="1"/>
  <c r="JX66" i="3" s="1"/>
  <c r="JX65" i="3"/>
  <c r="JY1" i="3"/>
  <c r="JX2" i="3"/>
  <c r="JY37" i="3" l="1"/>
  <c r="JY38" i="3" s="1"/>
  <c r="JY66" i="3" s="1"/>
  <c r="JY65" i="3"/>
  <c r="JZ1" i="3"/>
  <c r="JY2" i="3"/>
  <c r="JZ37" i="3" l="1"/>
  <c r="JZ38" i="3" s="1"/>
  <c r="JZ66" i="3" s="1"/>
  <c r="JZ65" i="3"/>
  <c r="KA1" i="3"/>
  <c r="JZ2" i="3"/>
  <c r="KA37" i="3" l="1"/>
  <c r="KA38" i="3" s="1"/>
  <c r="KA66" i="3" s="1"/>
  <c r="KA65" i="3"/>
  <c r="KB1" i="3"/>
  <c r="KA2" i="3"/>
  <c r="KB37" i="3" l="1"/>
  <c r="KB38" i="3" s="1"/>
  <c r="KB66" i="3" s="1"/>
  <c r="KB65" i="3"/>
  <c r="KC1" i="3"/>
  <c r="KB2" i="3"/>
  <c r="KC37" i="3" l="1"/>
  <c r="KC38" i="3" s="1"/>
  <c r="KC66" i="3" s="1"/>
  <c r="KC65" i="3"/>
  <c r="KD1" i="3"/>
  <c r="KC2" i="3"/>
  <c r="KD37" i="3" l="1"/>
  <c r="KD38" i="3" s="1"/>
  <c r="KD66" i="3" s="1"/>
  <c r="KD65" i="3"/>
  <c r="KE1" i="3"/>
  <c r="KD2" i="3"/>
  <c r="KE37" i="3" l="1"/>
  <c r="KE38" i="3" s="1"/>
  <c r="KE66" i="3" s="1"/>
  <c r="KE65" i="3"/>
  <c r="KF1" i="3"/>
  <c r="KE2" i="3"/>
  <c r="KF37" i="3" l="1"/>
  <c r="KF38" i="3" s="1"/>
  <c r="KF66" i="3" s="1"/>
  <c r="KF65" i="3"/>
  <c r="KG1" i="3"/>
  <c r="KF2" i="3"/>
  <c r="KG37" i="3" l="1"/>
  <c r="KG38" i="3" s="1"/>
  <c r="KG66" i="3" s="1"/>
  <c r="KG65" i="3"/>
  <c r="KH1" i="3"/>
  <c r="KG2" i="3"/>
  <c r="KH37" i="3" l="1"/>
  <c r="KH38" i="3" s="1"/>
  <c r="KH66" i="3" s="1"/>
  <c r="KH65" i="3"/>
  <c r="KI1" i="3"/>
  <c r="KH2" i="3"/>
  <c r="KI37" i="3" l="1"/>
  <c r="KI38" i="3" s="1"/>
  <c r="KI66" i="3" s="1"/>
  <c r="KI65" i="3"/>
  <c r="KJ1" i="3"/>
  <c r="KI2" i="3"/>
  <c r="KJ37" i="3" l="1"/>
  <c r="KJ38" i="3" s="1"/>
  <c r="KJ66" i="3" s="1"/>
  <c r="KJ65" i="3"/>
  <c r="KK1" i="3"/>
  <c r="KJ2" i="3"/>
  <c r="KK37" i="3" l="1"/>
  <c r="KK38" i="3" s="1"/>
  <c r="KK66" i="3" s="1"/>
  <c r="KK65" i="3"/>
  <c r="KL1" i="3"/>
  <c r="KK2" i="3"/>
  <c r="KL37" i="3" l="1"/>
  <c r="KL38" i="3" s="1"/>
  <c r="KL66" i="3" s="1"/>
  <c r="KL65" i="3"/>
  <c r="KM1" i="3"/>
  <c r="KL2" i="3"/>
  <c r="KM37" i="3" l="1"/>
  <c r="KM38" i="3" s="1"/>
  <c r="KM66" i="3" s="1"/>
  <c r="KM65" i="3"/>
  <c r="KN1" i="3"/>
  <c r="KM2" i="3"/>
  <c r="KN37" i="3" l="1"/>
  <c r="KN38" i="3" s="1"/>
  <c r="KN66" i="3" s="1"/>
  <c r="KN65" i="3"/>
  <c r="KO1" i="3"/>
  <c r="KN2" i="3"/>
  <c r="KO37" i="3" l="1"/>
  <c r="KO38" i="3" s="1"/>
  <c r="KO66" i="3" s="1"/>
  <c r="KO65" i="3"/>
  <c r="KP1" i="3"/>
  <c r="KO2" i="3"/>
  <c r="KP37" i="3" l="1"/>
  <c r="KP38" i="3" s="1"/>
  <c r="KP66" i="3" s="1"/>
  <c r="KP65" i="3"/>
  <c r="KQ1" i="3"/>
  <c r="KP2" i="3"/>
  <c r="KQ37" i="3" l="1"/>
  <c r="KQ38" i="3" s="1"/>
  <c r="KQ66" i="3" s="1"/>
  <c r="KQ65" i="3"/>
  <c r="KR1" i="3"/>
  <c r="KQ2" i="3"/>
  <c r="KR37" i="3" l="1"/>
  <c r="KR38" i="3" s="1"/>
  <c r="KR66" i="3" s="1"/>
  <c r="KR65" i="3"/>
  <c r="KS1" i="3"/>
  <c r="KR2" i="3"/>
  <c r="KS37" i="3" l="1"/>
  <c r="KS38" i="3" s="1"/>
  <c r="KS66" i="3" s="1"/>
  <c r="KS65" i="3"/>
  <c r="KT1" i="3"/>
  <c r="KS2" i="3"/>
  <c r="KT37" i="3" l="1"/>
  <c r="KT38" i="3" s="1"/>
  <c r="KT66" i="3" s="1"/>
  <c r="KT65" i="3"/>
  <c r="KU1" i="3"/>
  <c r="KT2" i="3"/>
  <c r="KU37" i="3" l="1"/>
  <c r="KU38" i="3" s="1"/>
  <c r="KU66" i="3" s="1"/>
  <c r="KU65" i="3"/>
  <c r="KV1" i="3"/>
  <c r="KU2" i="3"/>
  <c r="KV37" i="3" l="1"/>
  <c r="KV38" i="3" s="1"/>
  <c r="KV66" i="3" s="1"/>
  <c r="KV65" i="3"/>
  <c r="KW1" i="3"/>
  <c r="KV2" i="3"/>
  <c r="KW37" i="3" l="1"/>
  <c r="KW38" i="3" s="1"/>
  <c r="KW66" i="3" s="1"/>
  <c r="KW65" i="3"/>
  <c r="KX1" i="3"/>
  <c r="KW2" i="3"/>
  <c r="KX37" i="3" l="1"/>
  <c r="KX38" i="3" s="1"/>
  <c r="KX66" i="3" s="1"/>
  <c r="KX65" i="3"/>
  <c r="KY1" i="3"/>
  <c r="KX2" i="3"/>
  <c r="KY37" i="3" l="1"/>
  <c r="KY38" i="3" s="1"/>
  <c r="KY66" i="3" s="1"/>
  <c r="KY65" i="3"/>
  <c r="KZ1" i="3"/>
  <c r="KY2" i="3"/>
  <c r="KZ37" i="3" l="1"/>
  <c r="KZ38" i="3" s="1"/>
  <c r="KZ66" i="3" s="1"/>
  <c r="KZ65" i="3"/>
  <c r="LA1" i="3"/>
  <c r="KZ2" i="3"/>
  <c r="LA37" i="3" l="1"/>
  <c r="LA38" i="3" s="1"/>
  <c r="LA66" i="3" s="1"/>
  <c r="LA65" i="3"/>
  <c r="LB1" i="3"/>
  <c r="LA2" i="3"/>
  <c r="LB37" i="3" l="1"/>
  <c r="LB38" i="3" s="1"/>
  <c r="LB66" i="3" s="1"/>
  <c r="LB65" i="3"/>
  <c r="LC1" i="3"/>
  <c r="LB2" i="3"/>
  <c r="LC37" i="3" l="1"/>
  <c r="LC38" i="3" s="1"/>
  <c r="LC66" i="3" s="1"/>
  <c r="LC65" i="3"/>
  <c r="LD1" i="3"/>
  <c r="LC2" i="3"/>
  <c r="LD37" i="3" l="1"/>
  <c r="LD38" i="3" s="1"/>
  <c r="LD66" i="3" s="1"/>
  <c r="LD65" i="3"/>
  <c r="LE1" i="3"/>
  <c r="LD2" i="3"/>
  <c r="LE37" i="3" l="1"/>
  <c r="LE38" i="3" s="1"/>
  <c r="LE66" i="3" s="1"/>
  <c r="LE65" i="3"/>
  <c r="LF1" i="3"/>
  <c r="LE2" i="3"/>
  <c r="LF37" i="3" l="1"/>
  <c r="LF38" i="3" s="1"/>
  <c r="LF66" i="3" s="1"/>
  <c r="LF65" i="3"/>
  <c r="LG1" i="3"/>
  <c r="LF2" i="3"/>
  <c r="LG37" i="3" l="1"/>
  <c r="LG38" i="3" s="1"/>
  <c r="LG66" i="3" s="1"/>
  <c r="LG65" i="3"/>
  <c r="LH1" i="3"/>
  <c r="LG2" i="3"/>
  <c r="LH37" i="3" l="1"/>
  <c r="LH38" i="3" s="1"/>
  <c r="LH66" i="3" s="1"/>
  <c r="LH65" i="3"/>
  <c r="LI1" i="3"/>
  <c r="LH2" i="3"/>
  <c r="LI37" i="3" l="1"/>
  <c r="LI38" i="3" s="1"/>
  <c r="LI66" i="3" s="1"/>
  <c r="LI65" i="3"/>
  <c r="LJ1" i="3"/>
  <c r="LI2" i="3"/>
  <c r="LJ37" i="3" l="1"/>
  <c r="LJ38" i="3" s="1"/>
  <c r="LJ66" i="3" s="1"/>
  <c r="LJ65" i="3"/>
  <c r="LK1" i="3"/>
  <c r="LJ2" i="3"/>
  <c r="LK37" i="3" l="1"/>
  <c r="LK38" i="3" s="1"/>
  <c r="LK66" i="3" s="1"/>
  <c r="LK65" i="3"/>
  <c r="LL1" i="3"/>
  <c r="LK2" i="3"/>
  <c r="LL37" i="3" l="1"/>
  <c r="LL38" i="3" s="1"/>
  <c r="LL66" i="3" s="1"/>
  <c r="LL65" i="3"/>
  <c r="LM1" i="3"/>
  <c r="LL2" i="3"/>
  <c r="LM37" i="3" l="1"/>
  <c r="LM38" i="3" s="1"/>
  <c r="LM66" i="3" s="1"/>
  <c r="LM65" i="3"/>
  <c r="LN1" i="3"/>
  <c r="LM2" i="3"/>
  <c r="LN37" i="3" l="1"/>
  <c r="LN38" i="3" s="1"/>
  <c r="LN66" i="3" s="1"/>
  <c r="LN65" i="3"/>
  <c r="LO1" i="3"/>
  <c r="LN2" i="3"/>
  <c r="LO37" i="3" l="1"/>
  <c r="LO38" i="3" s="1"/>
  <c r="LO66" i="3" s="1"/>
  <c r="LO65" i="3"/>
  <c r="LP1" i="3"/>
  <c r="LO2" i="3"/>
  <c r="LP37" i="3" l="1"/>
  <c r="LP38" i="3" s="1"/>
  <c r="LP66" i="3" s="1"/>
  <c r="LP65" i="3"/>
  <c r="LQ1" i="3"/>
  <c r="LP2" i="3"/>
  <c r="LQ37" i="3" l="1"/>
  <c r="LQ38" i="3" s="1"/>
  <c r="LQ66" i="3" s="1"/>
  <c r="LQ65" i="3"/>
  <c r="LR1" i="3"/>
  <c r="LQ2" i="3"/>
  <c r="LR37" i="3" l="1"/>
  <c r="LR38" i="3" s="1"/>
  <c r="LR66" i="3" s="1"/>
  <c r="LR65" i="3"/>
  <c r="LS1" i="3"/>
  <c r="LR2" i="3"/>
  <c r="LS37" i="3" l="1"/>
  <c r="LS38" i="3" s="1"/>
  <c r="LS66" i="3" s="1"/>
  <c r="LS65" i="3"/>
  <c r="LT1" i="3"/>
  <c r="LS2" i="3"/>
  <c r="LT37" i="3" l="1"/>
  <c r="LT38" i="3" s="1"/>
  <c r="LT66" i="3" s="1"/>
  <c r="LT65" i="3"/>
  <c r="LU1" i="3"/>
  <c r="LT2" i="3"/>
  <c r="LU37" i="3" l="1"/>
  <c r="LU38" i="3" s="1"/>
  <c r="LU66" i="3" s="1"/>
  <c r="LU65" i="3"/>
  <c r="LV1" i="3"/>
  <c r="LU2" i="3"/>
  <c r="LV37" i="3" l="1"/>
  <c r="LV38" i="3" s="1"/>
  <c r="LV66" i="3" s="1"/>
  <c r="LV65" i="3"/>
  <c r="LW1" i="3"/>
  <c r="LV2" i="3"/>
  <c r="LW37" i="3" l="1"/>
  <c r="LW38" i="3" s="1"/>
  <c r="LW66" i="3" s="1"/>
  <c r="LW65" i="3"/>
  <c r="LX1" i="3"/>
  <c r="LW2" i="3"/>
  <c r="LX37" i="3" l="1"/>
  <c r="LX38" i="3" s="1"/>
  <c r="LX66" i="3" s="1"/>
  <c r="LX65" i="3"/>
  <c r="LY1" i="3"/>
  <c r="LX2" i="3"/>
  <c r="LY37" i="3" l="1"/>
  <c r="LY38" i="3" s="1"/>
  <c r="LY66" i="3" s="1"/>
  <c r="LY65" i="3"/>
  <c r="LZ1" i="3"/>
  <c r="LY2" i="3"/>
  <c r="LZ37" i="3" l="1"/>
  <c r="LZ38" i="3" s="1"/>
  <c r="LZ66" i="3" s="1"/>
  <c r="LZ65" i="3"/>
  <c r="MA1" i="3"/>
  <c r="LZ2" i="3"/>
  <c r="MA37" i="3" l="1"/>
  <c r="MA38" i="3" s="1"/>
  <c r="MA66" i="3" s="1"/>
  <c r="MA65" i="3"/>
  <c r="MB1" i="3"/>
  <c r="MA2" i="3"/>
  <c r="MB37" i="3" l="1"/>
  <c r="MB38" i="3" s="1"/>
  <c r="MB66" i="3" s="1"/>
  <c r="MB65" i="3"/>
  <c r="MC1" i="3"/>
  <c r="MB2" i="3"/>
  <c r="MC37" i="3" l="1"/>
  <c r="MC38" i="3" s="1"/>
  <c r="MC66" i="3" s="1"/>
  <c r="MC65" i="3"/>
  <c r="MD1" i="3"/>
  <c r="MC2" i="3"/>
  <c r="MD37" i="3" l="1"/>
  <c r="MD38" i="3" s="1"/>
  <c r="MD66" i="3" s="1"/>
  <c r="MD65" i="3"/>
  <c r="ME1" i="3"/>
  <c r="MD2" i="3"/>
  <c r="ME37" i="3" l="1"/>
  <c r="ME38" i="3" s="1"/>
  <c r="ME66" i="3" s="1"/>
  <c r="ME65" i="3"/>
  <c r="MF1" i="3"/>
  <c r="ME2" i="3"/>
  <c r="MF37" i="3" l="1"/>
  <c r="MF38" i="3" s="1"/>
  <c r="MF66" i="3" s="1"/>
  <c r="MF65" i="3"/>
  <c r="MG1" i="3"/>
  <c r="MF2" i="3"/>
  <c r="MG37" i="3" l="1"/>
  <c r="MG38" i="3" s="1"/>
  <c r="MG66" i="3" s="1"/>
  <c r="MG65" i="3"/>
  <c r="MH1" i="3"/>
  <c r="MG2" i="3"/>
  <c r="MH37" i="3" l="1"/>
  <c r="MH38" i="3" s="1"/>
  <c r="MH66" i="3" s="1"/>
  <c r="MH65" i="3"/>
  <c r="MI1" i="3"/>
  <c r="MH2" i="3"/>
  <c r="MI37" i="3" l="1"/>
  <c r="MI38" i="3" s="1"/>
  <c r="MI66" i="3" s="1"/>
  <c r="MI65" i="3"/>
  <c r="MJ1" i="3"/>
  <c r="MI2" i="3"/>
  <c r="R7" i="3"/>
  <c r="R16" i="3"/>
  <c r="R9" i="3"/>
  <c r="R25" i="3"/>
  <c r="R15" i="3"/>
  <c r="R24" i="3"/>
  <c r="R20" i="3"/>
  <c r="R27" i="3"/>
  <c r="R21" i="3"/>
  <c r="R13" i="3"/>
  <c r="R10" i="3"/>
  <c r="R26" i="3"/>
  <c r="R23" i="3"/>
  <c r="R11" i="3"/>
  <c r="R28" i="3"/>
  <c r="R14" i="3"/>
  <c r="R12" i="3"/>
  <c r="R29" i="3"/>
  <c r="R22" i="3"/>
  <c r="R18" i="3"/>
  <c r="R19" i="3"/>
  <c r="R17" i="3"/>
  <c r="Q27" i="3" l="1"/>
  <c r="MJ37" i="3"/>
  <c r="MJ38" i="3" s="1"/>
  <c r="MJ66" i="3" s="1"/>
  <c r="MJ65" i="3"/>
  <c r="MJ2" i="3"/>
</calcChain>
</file>

<file path=xl/sharedStrings.xml><?xml version="1.0" encoding="utf-8"?>
<sst xmlns="http://schemas.openxmlformats.org/spreadsheetml/2006/main" count="1203" uniqueCount="465">
  <si>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</si>
  <si>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</si>
  <si>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</si>
  <si>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</si>
  <si>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</si>
  <si>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</si>
  <si>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</si>
  <si>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</si>
  <si>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</si>
  <si>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</si>
  <si>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</si>
  <si>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</si>
  <si>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</si>
  <si>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</si>
  <si>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</si>
  <si>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</si>
  <si>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</si>
  <si>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</si>
  <si>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</si>
  <si>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</si>
  <si>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</si>
  <si>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</si>
  <si>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</si>
  <si>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</si>
  <si>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</si>
  <si>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</si>
  <si>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</si>
  <si>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</si>
  <si>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</si>
  <si>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</si>
  <si>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</si>
  <si>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</si>
  <si>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</si>
  <si>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</si>
  <si>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</si>
  <si>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</si>
  <si>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</si>
  <si>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</si>
  <si>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</si>
  <si>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</si>
  <si>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</si>
  <si>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</si>
  <si>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</si>
  <si>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</si>
  <si>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</si>
  <si>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</si>
  <si>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</si>
  <si>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</si>
  <si>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</si>
  <si>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</si>
  <si>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</si>
  <si>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</si>
  <si>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</si>
  <si>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</si>
  <si>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</si>
  <si>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</si>
  <si>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</si>
  <si>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</si>
  <si>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</si>
  <si>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</si>
  <si>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</si>
  <si>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</si>
  <si>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</si>
  <si>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</si>
  <si>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</si>
  <si>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</si>
  <si>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</si>
  <si>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</si>
  <si>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</si>
  <si>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</si>
  <si>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</si>
  <si>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</si>
  <si>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</si>
  <si>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</si>
  <si>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</si>
  <si>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</si>
  <si>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</si>
  <si>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</si>
  <si>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</si>
  <si>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</si>
  <si>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</si>
  <si>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</si>
  <si>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</si>
  <si>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</si>
  <si>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</si>
  <si>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</si>
  <si>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</si>
  <si>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</si>
  <si>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</si>
  <si>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</si>
  <si>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</si>
  <si>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</si>
  <si>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</si>
  <si>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</si>
  <si>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</si>
  <si>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</si>
  <si>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</si>
  <si>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</si>
  <si>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</si>
  <si>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</si>
  <si>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</si>
  <si>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</si>
  <si>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</si>
  <si>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</si>
  <si>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</si>
  <si>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</si>
  <si>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</si>
  <si>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</si>
  <si>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</si>
  <si>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</si>
  <si>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</si>
  <si>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</si>
  <si>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</si>
  <si>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</si>
  <si>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</si>
  <si>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</si>
  <si>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</si>
  <si>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</si>
  <si>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</si>
  <si>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</si>
  <si>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</si>
  <si>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</si>
  <si>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</si>
  <si>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</si>
  <si>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</si>
  <si>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</si>
  <si>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</si>
  <si>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</si>
  <si>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</si>
  <si>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</si>
  <si>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</si>
  <si>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</si>
  <si>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</si>
  <si>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</si>
  <si>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</si>
  <si>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</si>
  <si>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</si>
  <si>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</si>
  <si>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</si>
  <si>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</si>
  <si>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</si>
  <si>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</si>
  <si>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</si>
  <si>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</si>
  <si>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</si>
  <si>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</si>
  <si>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</si>
  <si>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</si>
  <si>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</si>
  <si>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</si>
  <si>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</si>
  <si>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</si>
  <si>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</si>
  <si>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</si>
  <si>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</si>
  <si>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</si>
  <si>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</si>
  <si>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</si>
  <si>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</si>
  <si>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</si>
  <si>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</si>
  <si>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</si>
  <si>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</si>
  <si>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</si>
  <si>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</si>
  <si>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</si>
  <si>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</si>
  <si>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</si>
  <si>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</si>
  <si>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</si>
  <si>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</si>
  <si>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</si>
  <si>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</si>
  <si>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</si>
  <si>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</si>
  <si>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</si>
  <si>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</si>
  <si>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</si>
  <si>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</si>
  <si>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</si>
  <si>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</si>
  <si>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</si>
  <si>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</si>
  <si>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</si>
  <si>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</si>
  <si>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</si>
  <si>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</si>
  <si>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</si>
  <si>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</si>
  <si>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</si>
  <si>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</si>
  <si>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</si>
  <si>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</si>
  <si>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</si>
  <si>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</si>
  <si>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</si>
  <si>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</si>
  <si>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</si>
  <si>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</si>
  <si>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</si>
  <si>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</si>
  <si>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</si>
  <si>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</si>
  <si>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</si>
  <si>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</si>
  <si>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</si>
  <si>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</si>
  <si>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</si>
  <si>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</si>
  <si>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</si>
  <si>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</si>
  <si>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</si>
  <si>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</si>
  <si>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</si>
  <si>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</si>
  <si>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</si>
  <si>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</si>
  <si>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</si>
  <si>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</si>
  <si>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</si>
  <si>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</si>
  <si>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</si>
  <si>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</si>
  <si>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</si>
  <si>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</si>
  <si>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</si>
  <si>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</si>
  <si>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</si>
  <si>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</si>
  <si>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</si>
  <si>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</si>
  <si>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</si>
  <si>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</si>
  <si>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</si>
  <si>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</si>
  <si>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</si>
  <si>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</si>
  <si>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</si>
  <si>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</si>
  <si>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</si>
  <si>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</si>
  <si>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</si>
  <si>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</si>
  <si>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</si>
  <si>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</si>
  <si>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</si>
  <si>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</si>
  <si>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</si>
  <si>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</si>
  <si>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</si>
  <si>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</si>
  <si>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</si>
  <si>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</si>
  <si>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</si>
  <si>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</si>
  <si>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</si>
  <si>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</si>
  <si>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</si>
  <si>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</si>
  <si>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</si>
  <si>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</si>
  <si>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</si>
  <si>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</si>
  <si>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</si>
  <si>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</si>
  <si>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</si>
  <si>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</si>
  <si>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</si>
  <si>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</si>
  <si>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</si>
  <si>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</si>
  <si>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</si>
  <si>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</si>
  <si>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</si>
  <si>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</si>
  <si>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</si>
  <si>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</si>
  <si>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</si>
  <si>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</si>
  <si>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</si>
  <si>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</si>
  <si>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</si>
  <si>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</si>
  <si>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</si>
  <si>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</si>
  <si>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</si>
  <si>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</si>
  <si>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</si>
  <si>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</si>
  <si>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</si>
  <si>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</si>
  <si>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</si>
  <si>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</si>
  <si>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</si>
  <si>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</si>
  <si>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</si>
  <si>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</si>
  <si>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</si>
  <si>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</si>
  <si>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</si>
  <si>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</si>
  <si>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</si>
  <si>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</si>
  <si>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</si>
  <si>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</si>
  <si>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</si>
  <si>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</si>
  <si>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</si>
  <si>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</si>
  <si>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</si>
  <si>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</si>
  <si>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</si>
  <si>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</si>
  <si>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</si>
  <si>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</si>
  <si>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</si>
  <si>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</si>
  <si>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</si>
  <si>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</si>
  <si>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</si>
  <si>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</si>
  <si>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</si>
  <si>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</si>
  <si>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</si>
  <si>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</si>
  <si>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</si>
  <si>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</si>
  <si>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</si>
  <si>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</si>
  <si>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</si>
  <si>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</si>
  <si>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</si>
  <si>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</si>
  <si>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</si>
  <si>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</si>
  <si>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</si>
  <si>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</si>
  <si>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</si>
  <si>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</si>
  <si>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</si>
  <si>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</si>
  <si>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</si>
  <si>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</si>
  <si>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</si>
  <si>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</si>
  <si>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</si>
  <si>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</si>
  <si>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</si>
  <si>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</si>
  <si>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</si>
  <si>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</si>
  <si>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</si>
  <si>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</si>
  <si>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</si>
  <si>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</si>
  <si>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</si>
  <si>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</si>
  <si>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</si>
  <si>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</si>
  <si>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</si>
  <si>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</si>
  <si>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</si>
  <si>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</si>
  <si>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</si>
  <si>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</si>
  <si>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</si>
  <si>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</si>
  <si>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</si>
  <si>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</si>
  <si>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</si>
  <si>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</si>
  <si>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</si>
  <si>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</si>
  <si>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</si>
  <si>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</si>
  <si>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</si>
  <si>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</si>
  <si>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</si>
  <si>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</si>
  <si>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</si>
  <si>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</si>
  <si>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</si>
  <si>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</si>
  <si>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</si>
  <si>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</si>
  <si>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</si>
  <si>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</si>
  <si>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</si>
  <si>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</si>
  <si>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</si>
  <si>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</si>
  <si>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</si>
  <si>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</si>
  <si>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</si>
  <si>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</si>
  <si>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</si>
  <si>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</si>
  <si>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</si>
  <si>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</si>
  <si>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</si>
  <si>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</si>
  <si>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</si>
  <si>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</si>
  <si>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</si>
  <si>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</si>
  <si>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</si>
  <si>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</si>
  <si>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</si>
  <si>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</si>
  <si>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</si>
  <si>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</si>
  <si>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</si>
  <si>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</si>
  <si>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</si>
  <si>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</si>
  <si>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</si>
  <si>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</si>
  <si>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</si>
  <si>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</si>
  <si>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</si>
  <si>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</si>
  <si>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</si>
  <si>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</si>
  <si>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</si>
  <si>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</si>
  <si>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</si>
  <si>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</si>
  <si>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</si>
  <si>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</si>
  <si>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</si>
  <si>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</si>
  <si>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</si>
  <si>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</si>
  <si>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</si>
  <si>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</si>
  <si>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</si>
  <si>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</si>
  <si>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</si>
  <si>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</si>
  <si>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</si>
  <si>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</si>
  <si>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</si>
  <si>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</si>
  <si>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</si>
  <si>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</si>
  <si>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</si>
  <si>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</si>
  <si>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</si>
  <si>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</si>
  <si>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</si>
  <si>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</si>
  <si>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</si>
  <si>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</si>
  <si>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</si>
  <si>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</si>
  <si>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</si>
  <si>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</si>
  <si>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</si>
  <si>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</si>
  <si>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</si>
  <si>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</si>
  <si>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</si>
  <si>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14</t>
  </si>
  <si>
    <t>13</t>
  </si>
  <si>
    <t>Urlaub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</si>
</sst>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numFmt numFmtId="165" formatCode="yyyy\-mm\-dd;@"/>
    <numFmt numFmtId="166" formatCode="d"/>
    <numFmt numFmtId="167" formatCode="dd/mm/yy"/>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sz val="10"/>
      <name val="Arial Narrow"/>
      <family val="2"/>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style="hair">
        <color indexed="64"/>
      </left>
      <right style="hair">
        <color indexed="64"/>
      </right>
      <top style="hair">
        <color indexed="64"/>
      </top>
      <bottom style="hair">
        <color indexed="64"/>
      </bottom>
      <diagonal/>
    </border>
  </borders>
  <cellStyleXfs count="2">
    <xf numFmtId="0" fontId="0" fillId="0" borderId="0"/>
    <xf numFmtId="0" fontId="3" fillId="2" borderId="1" applyNumberFormat="0" applyAlignment="0" applyProtection="0"/>
  </cellStyleXfs>
  <cellXfs count="16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1" fillId="0" borderId="18" xfId="0" applyFont="1" applyBorder="1" applyAlignment="1">
      <alignment vertical="center"/>
    </xf>
    <xf numFmtId="167" fontId="11" fillId="0" borderId="18" xfId="0" applyNumberFormat="1" applyFont="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88</xdr:row>
          <xdr:rowOff>28575</xdr:rowOff>
        </xdr:from>
        <xdr:to>
          <xdr:col>0</xdr:col>
          <xdr:colOff>676275</xdr:colOff>
          <xdr:row>90</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92</xdr:row>
          <xdr:rowOff>28575</xdr:rowOff>
        </xdr:from>
        <xdr:to>
          <xdr:col>9</xdr:col>
          <xdr:colOff>47625</xdr:colOff>
          <xdr:row>93</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1"/>
  <sheetViews>
    <sheetView tabSelected="1" zoomScaleNormal="100" workbookViewId="0">
      <pane xSplit="18" ySplit="3" topLeftCell="DO4" activePane="bottomRight" state="frozen"/>
      <selection pane="topRight" activeCell="F1" sqref="F1"/>
      <selection pane="bottomLeft" activeCell="A3" sqref="A3"/>
      <selection pane="bottomRight" activeCell="EX3" sqref="EX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8" t="s">
        <v>144</v>
      </c>
      <c r="B2" s="148"/>
      <c r="C2" s="148"/>
      <c r="D2" s="148"/>
      <c r="E2" s="148"/>
      <c r="F2" s="39"/>
      <c r="G2" s="39"/>
      <c r="H2" s="39"/>
      <c r="I2" s="39"/>
      <c r="J2" s="39"/>
      <c r="K2" s="39"/>
      <c r="L2" s="39"/>
      <c r="M2" s="39"/>
      <c r="N2" s="39"/>
      <c r="O2" s="27"/>
      <c r="P2" s="149" t="s">
        <v>49</v>
      </c>
      <c r="Q2" s="144" t="s">
        <v>48</v>
      </c>
      <c r="R2" s="146"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8"/>
      <c r="B3" s="148"/>
      <c r="C3" s="148"/>
      <c r="D3" s="148"/>
      <c r="E3" s="148"/>
      <c r="F3" s="39"/>
      <c r="G3" s="39"/>
      <c r="H3" s="39"/>
      <c r="I3" s="39"/>
      <c r="J3" s="39"/>
      <c r="K3" s="39"/>
      <c r="L3" s="39"/>
      <c r="M3" s="39"/>
      <c r="N3" s="39"/>
      <c r="O3" s="27"/>
      <c r="P3" s="150"/>
      <c r="Q3" s="145"/>
      <c r="R3" s="147"/>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38</v>
      </c>
      <c r="DW3" s="38" t="s">
        <v>38</v>
      </c>
      <c r="DX3" s="38"/>
      <c r="DY3" s="136"/>
      <c r="DZ3" s="38"/>
      <c r="EA3" s="24"/>
      <c r="EB3" s="38" t="s">
        <v>38</v>
      </c>
      <c r="EC3" s="38" t="s">
        <v>38</v>
      </c>
      <c r="ED3" s="38"/>
      <c r="EE3" s="38" t="s">
        <v>38</v>
      </c>
      <c r="EF3" s="38" t="s">
        <v>38</v>
      </c>
      <c r="EG3" s="38"/>
      <c r="EH3" s="24"/>
      <c r="EI3" s="38" t="s">
        <v>38</v>
      </c>
      <c r="EJ3" s="38" t="s">
        <v>38</v>
      </c>
      <c r="EK3" s="38"/>
      <c r="EL3" s="38" t="s">
        <v>38</v>
      </c>
      <c r="EM3" s="38" t="s">
        <v>38</v>
      </c>
      <c r="EN3" s="38"/>
      <c r="EO3" s="24"/>
      <c r="EP3" s="38" t="s">
        <v>38</v>
      </c>
      <c r="EQ3" s="38" t="s">
        <v>38</v>
      </c>
      <c r="ER3" s="38"/>
      <c r="ES3" s="38" t="s">
        <v>38</v>
      </c>
      <c r="ET3" s="38" t="s">
        <v>38</v>
      </c>
      <c r="EU3" s="38"/>
      <c r="EV3" s="24"/>
      <c r="EW3" s="38" t="s">
        <v>38</v>
      </c>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36</v>
      </c>
      <c r="Q7" s="109">
        <f>IF(SUM(S7:XFD7) &gt; 0, SUM(S7:XFD7) / $P$35 * 100, "")</f>
        <v>83.720930232558146</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394</v>
      </c>
      <c r="DR7" s="80">
        <v>1</v>
      </c>
      <c r="DT7">
        <v>1</v>
      </c>
      <c r="DV7">
        <v>1</v>
      </c>
      <c r="DW7">
        <v>1</v>
      </c>
      <c r="DZ7" s="95" t="s">
        <v>365</v>
      </c>
      <c r="EA7" s="80" t="s">
        <v>364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85.073012439156301</v>
      </c>
      <c r="R8" s="84">
        <f>IF(SUM(S8:XFD8) &gt; 0, SUM(S8:XFD8) / $P$35 * 100, "")</f>
        <v>25.581395348837212</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DZ8" s="96"/>
      <c r="EA8" s="79"/>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38</v>
      </c>
      <c r="Q9" s="109">
        <f t="shared" ref="Q9:Q26" si="320">IF(SUM(S9:XFD9) &gt; 0, SUM(S9:XFD9) / $P$35 * 100, "")</f>
        <v>88.372093023255815</v>
      </c>
      <c r="R9" s="133" t="str">
        <f t="shared" ref="R9:R29" si="321">KStateSum(S9:MJ9,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30</v>
      </c>
      <c r="Q10" s="109">
        <f t="shared" si="320"/>
        <v>69.767441860465112</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400</v>
      </c>
      <c r="DR10" s="80" t="s">
        <v>400</v>
      </c>
      <c r="DT10">
        <v>1</v>
      </c>
      <c r="DV10">
        <v>1</v>
      </c>
      <c r="DZ10" s="95" t="s">
        <v>365</v>
      </c>
      <c r="EA10" s="80" t="s">
        <v>364</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33</v>
      </c>
      <c r="Q11" s="109">
        <f t="shared" si="320"/>
        <v>76.744186046511629</v>
      </c>
      <c r="R11" s="133" t="str">
        <f t="shared" si="321"/>
        <v>-18</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390</v>
      </c>
      <c r="DZ11" s="95" t="s">
        <v>365</v>
      </c>
      <c r="EA11" s="80" t="s">
        <v>364</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76.744186046511629</v>
      </c>
      <c r="R12" s="133" t="str">
        <f t="shared" si="321"/>
        <v>-8</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DZ12" s="95" t="s">
        <v>365</v>
      </c>
      <c r="EA12" s="80" t="s">
        <v>364</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2.3255813953488373</v>
      </c>
      <c r="R13" s="133" t="str">
        <f t="shared" si="321"/>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2.3255813953488373</v>
      </c>
      <c r="R14" s="133" t="str">
        <f t="shared" si="321"/>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32</v>
      </c>
      <c r="Q15" s="109">
        <f t="shared" si="320"/>
        <v>74.418604651162795</v>
      </c>
      <c r="R15" s="133" t="str">
        <f t="shared" si="321"/>
        <v>-14</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DT15">
        <v>1</v>
      </c>
      <c r="DV15">
        <v>1</v>
      </c>
      <c r="DW15">
        <v>1</v>
      </c>
      <c r="DZ15" s="95" t="s">
        <v>365</v>
      </c>
      <c r="EA15" s="80" t="s">
        <v>364</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25</v>
      </c>
      <c r="Q16" s="109">
        <f t="shared" si="320"/>
        <v>58.139534883720934</v>
      </c>
      <c r="R16" s="133" t="str">
        <f t="shared" si="321"/>
        <v>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DW16">
        <v>1</v>
      </c>
      <c r="DZ16" s="95" t="s">
        <v>462</v>
      </c>
      <c r="EA16" s="80" t="s">
        <v>463</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34</v>
      </c>
      <c r="Q17" s="109">
        <f t="shared" si="320"/>
        <v>79.069767441860463</v>
      </c>
      <c r="R17" s="133" t="str">
        <f t="shared" si="321"/>
        <v>0</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DW17">
        <v>1</v>
      </c>
      <c r="DZ17" s="95" t="s">
        <v>365</v>
      </c>
      <c r="EA17" s="80" t="s">
        <v>364</v>
      </c>
      <c r="EC17" t="s">
        <v>464</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32</v>
      </c>
      <c r="Q18" s="109">
        <f t="shared" si="320"/>
        <v>74.418604651162795</v>
      </c>
      <c r="R18" s="133" t="str">
        <f t="shared" si="321"/>
        <v>-17</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DW18">
        <v>1</v>
      </c>
      <c r="DZ18" s="95" t="s">
        <v>365</v>
      </c>
      <c r="EA18" s="80" t="s">
        <v>364</v>
      </c>
      <c r="EC18" t="s">
        <v>464</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33</v>
      </c>
      <c r="Q19" s="109">
        <f t="shared" si="320"/>
        <v>76.744186046511629</v>
      </c>
      <c r="R19" s="133" t="str">
        <f t="shared" si="321"/>
        <v>-7</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DW19">
        <v>1</v>
      </c>
      <c r="DZ19" s="95" t="s">
        <v>365</v>
      </c>
      <c r="EA19" s="80" t="s">
        <v>364</v>
      </c>
      <c r="EC19" t="s">
        <v>464</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2.3255813953488373</v>
      </c>
      <c r="R20" s="133" t="str">
        <f t="shared" si="321"/>
        <v>-15</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DZ20" s="95" t="s">
        <v>365</v>
      </c>
      <c r="EA20" s="80" t="s">
        <v>364</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26</v>
      </c>
      <c r="Q21" s="109">
        <f t="shared" si="320"/>
        <v>60.465116279069761</v>
      </c>
      <c r="R21" s="133" t="str">
        <f t="shared" si="321"/>
        <v>-28</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DV21">
        <v>1</v>
      </c>
      <c r="DW21">
        <v>1</v>
      </c>
      <c r="DZ21" s="95" t="s">
        <v>365</v>
      </c>
      <c r="EA21" s="80" t="s">
        <v>364</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28</v>
      </c>
      <c r="Q22" s="109">
        <f t="shared" si="320"/>
        <v>65.116279069767444</v>
      </c>
      <c r="R22" s="133" t="str">
        <f t="shared" si="321"/>
        <v>-7</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DT22">
        <v>1</v>
      </c>
      <c r="DV22">
        <v>1</v>
      </c>
      <c r="DW22">
        <v>1</v>
      </c>
      <c r="DZ22" s="95" t="s">
        <v>365</v>
      </c>
      <c r="EA22" s="80" t="s">
        <v>364</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34</v>
      </c>
      <c r="Q23" s="109">
        <f t="shared" si="320"/>
        <v>79.069767441860463</v>
      </c>
      <c r="R23" s="133" t="str">
        <f t="shared" si="321"/>
        <v>-13</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DT23">
        <v>1</v>
      </c>
      <c r="DV23">
        <v>1</v>
      </c>
      <c r="DW23">
        <v>1</v>
      </c>
      <c r="DZ23" s="95" t="s">
        <v>365</v>
      </c>
      <c r="EA23" s="80" t="s">
        <v>364</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33</v>
      </c>
      <c r="Q24" s="109">
        <f t="shared" si="320"/>
        <v>76.744186046511629</v>
      </c>
      <c r="R24" s="133" t="str">
        <f t="shared" si="321"/>
        <v>-3</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DW24">
        <v>1</v>
      </c>
      <c r="DZ24" s="95" t="s">
        <v>462</v>
      </c>
      <c r="EA24" s="80" t="s">
        <v>463</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-1</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DZ25" s="95" t="s">
        <v>365</v>
      </c>
      <c r="EA25" s="80" t="s">
        <v>364</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21</v>
      </c>
      <c r="Q26" s="110">
        <f t="shared" si="320"/>
        <v>48.837209302325576</v>
      </c>
      <c r="R26" s="134" t="str">
        <f t="shared" si="321"/>
        <v>-35</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v>1</v>
      </c>
      <c r="DW26" s="93">
        <v>1</v>
      </c>
      <c r="DX26" s="93"/>
      <c r="DY26" s="93"/>
      <c r="DZ26" s="97" t="s">
        <v>365</v>
      </c>
      <c r="EA26" s="94" t="s">
        <v>364</v>
      </c>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$P$86 * 100, "")</f>
        <v/>
      </c>
      <c r="R27" s="133" t="str">
        <f t="shared" si="321"/>
        <v>?</v>
      </c>
      <c r="S27" s="7"/>
      <c r="Z27" s="7"/>
      <c r="AG27" s="7"/>
      <c r="AN27" s="7"/>
      <c r="AU27" s="7"/>
      <c r="BB27" s="7"/>
      <c r="BI27" s="7"/>
      <c r="BP27" s="7"/>
      <c r="BX27" s="96"/>
      <c r="BY27" s="79"/>
      <c r="CG27" s="96"/>
      <c r="CH27" s="80"/>
      <c r="CQ27" s="7"/>
      <c r="CZ27" s="7"/>
      <c r="DI27" s="7"/>
      <c r="DR27" s="7"/>
      <c r="DZ27" s="96"/>
      <c r="EA27" s="79"/>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hidden="1"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32.558139534883722</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5</v>
      </c>
      <c r="Q29" s="109">
        <f>IF(SUM(S29:XFD29) &gt; 0, SUM(S29:XFD29) / $P$35 * 100, "")</f>
        <v>11.627906976744185</v>
      </c>
      <c r="R29" s="133" t="str">
        <f t="shared" si="321"/>
        <v>?</v>
      </c>
      <c r="S29" s="7"/>
      <c r="Z29" s="7"/>
      <c r="AG29" s="7"/>
      <c r="AN29" s="7"/>
      <c r="AU29" s="7"/>
      <c r="BB29" s="7"/>
      <c r="BI29" s="7"/>
      <c r="BP29" s="7"/>
      <c r="BX29" s="96"/>
      <c r="BY29" s="79"/>
      <c r="CG29" s="96"/>
      <c r="CH29" s="80"/>
      <c r="CL29">
        <v>1</v>
      </c>
      <c r="CQ29" s="7"/>
      <c r="CS29">
        <v>1</v>
      </c>
      <c r="CV29">
        <v>1</v>
      </c>
      <c r="CZ29" s="7"/>
      <c r="DI29" s="7"/>
      <c r="DK29">
        <v>1</v>
      </c>
      <c r="DR29" s="7"/>
      <c r="DT29">
        <v>1</v>
      </c>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hidden="1"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4.6511627906976747</v>
      </c>
      <c r="R30" s="133" t="str">
        <f t="shared" ref="R30" si="324">KStateSum(S30:MJ30, 1)</f>
        <v>?</v>
      </c>
      <c r="S30" s="7"/>
      <c r="Z30" s="7"/>
      <c r="AG30" s="7"/>
      <c r="AN30" s="7"/>
      <c r="AU30" s="7"/>
      <c r="BB30" s="7"/>
      <c r="BI30" s="7"/>
      <c r="BP30" s="7"/>
      <c r="BX30" s="96"/>
      <c r="BY30" s="79"/>
      <c r="CG30" s="96"/>
      <c r="CH30" s="80"/>
      <c r="CQ30" s="7"/>
      <c r="CZ30" s="7"/>
      <c r="DI30" s="7"/>
      <c r="DK30">
        <v>1</v>
      </c>
      <c r="DM30">
        <v>1</v>
      </c>
      <c r="DR30" s="7"/>
      <c r="DZ30" s="96"/>
      <c r="EA30" s="79"/>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$P$86 * 100, "")</f>
        <v>14.87603305785124</v>
      </c>
      <c r="R31" s="84">
        <f>IF(SUM(S31:XFD31) &gt; 0, SUM(S31:XFD31) / $P$86 * 100, "")</f>
        <v>4.5454545454545459</v>
      </c>
      <c r="S31" s="7"/>
      <c r="Z31" s="7"/>
      <c r="AG31" s="7"/>
      <c r="AN31" s="7"/>
      <c r="AU31" s="7"/>
      <c r="BB31" s="7"/>
      <c r="BI31" s="7"/>
      <c r="BM31">
        <v>1</v>
      </c>
      <c r="BP31" s="7"/>
      <c r="BT31">
        <v>1</v>
      </c>
      <c r="BX31" s="96"/>
      <c r="BY31" s="79"/>
      <c r="CG31" s="96"/>
      <c r="CH31" s="80"/>
      <c r="CQ31" s="7"/>
      <c r="CZ31" s="7"/>
      <c r="DI31" s="7"/>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444</v>
      </c>
      <c r="B32" s="8"/>
      <c r="C32" s="8"/>
      <c r="D32" s="8" t="s">
        <v>445</v>
      </c>
      <c r="E32" s="18"/>
      <c r="F32" s="10"/>
      <c r="G32" s="19"/>
      <c r="H32" s="19"/>
      <c r="I32" s="19"/>
      <c r="J32" s="19"/>
      <c r="K32" s="19"/>
      <c r="L32" s="19"/>
      <c r="M32" s="8"/>
      <c r="N32" s="8"/>
      <c r="O32" s="9"/>
      <c r="P32" s="8">
        <f t="shared" ref="P32" si="325">IF(SUM(S32:MJ32) &gt; 0, SUM(S32:MJ32), "")</f>
        <v>1</v>
      </c>
      <c r="Q32" s="109">
        <f>IF(SUM(S32:XFD32) &gt; 0, SUM(S32:XFD32) / $P$35 * 100, "")</f>
        <v>2.3255813953488373</v>
      </c>
      <c r="R32" s="133" t="str">
        <f t="shared" ref="R32" si="326">KStateSum(S32:MJ32, 1)</f>
        <v>?</v>
      </c>
      <c r="S32" s="7"/>
      <c r="Z32" s="7"/>
      <c r="AG32" s="7"/>
      <c r="AN32" s="7"/>
      <c r="AU32" s="7"/>
      <c r="BB32" s="7"/>
      <c r="BI32" s="7"/>
      <c r="BP32" s="7"/>
      <c r="BX32" s="96"/>
      <c r="BY32" s="79"/>
      <c r="CG32" s="96"/>
      <c r="CH32" s="80"/>
      <c r="CQ32" s="7"/>
      <c r="CZ32" s="7"/>
      <c r="DI32" s="7"/>
      <c r="DP32">
        <v>1</v>
      </c>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SUM(O42:O74)</f>
        <v>15</v>
      </c>
      <c r="P34" s="16">
        <f>VisibleSum(P6:P26)</f>
        <v>31.2</v>
      </c>
      <c r="Q34" s="16">
        <f>P34 / P35 * 100</f>
        <v>72.558139534883708</v>
      </c>
      <c r="R34" s="17">
        <f>VisibleSum(R6:R26)</f>
        <v>-11.733333333333333</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-0.8666666666666667</v>
      </c>
      <c r="DS34" s="14" t="str">
        <f t="shared" si="332"/>
        <v/>
      </c>
      <c r="DT34" s="14">
        <f t="shared" si="332"/>
        <v>8</v>
      </c>
      <c r="DU34" s="14" t="str">
        <f t="shared" si="332"/>
        <v/>
      </c>
      <c r="DV34" s="14">
        <f t="shared" si="332"/>
        <v>8</v>
      </c>
      <c r="DW34" s="14">
        <f t="shared" si="332"/>
        <v>12</v>
      </c>
      <c r="DX34" s="14"/>
      <c r="DY34" s="14"/>
      <c r="DZ34" s="137" t="str">
        <f t="shared" si="332"/>
        <v/>
      </c>
      <c r="EA34" s="135">
        <f>IF(VisibleSum(EA6:EA26) = "", "??", VisibleSum(EA6:EA26))</f>
        <v>0.8666666666666667</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43</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v>1</v>
      </c>
      <c r="DU35" s="111"/>
      <c r="DV35" s="111">
        <v>1</v>
      </c>
      <c r="DW35" s="111">
        <v>1</v>
      </c>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hidden="1"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40" t="s">
        <v>144</v>
      </c>
      <c r="B38" s="140"/>
      <c r="C38" s="140"/>
      <c r="D38" s="140"/>
      <c r="E38" s="141"/>
      <c r="F38" s="36"/>
      <c r="G38" s="36"/>
      <c r="H38" s="36"/>
      <c r="I38" s="36"/>
      <c r="J38" s="36"/>
      <c r="K38" s="36"/>
      <c r="L38" s="36"/>
      <c r="M38" s="36"/>
      <c r="N38" s="36"/>
      <c r="O38" s="35"/>
      <c r="P38" s="151" t="s">
        <v>49</v>
      </c>
      <c r="Q38" s="151" t="s">
        <v>48</v>
      </c>
      <c r="R38" s="152"/>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42"/>
      <c r="B39" s="142"/>
      <c r="C39" s="142"/>
      <c r="D39" s="142"/>
      <c r="E39" s="143"/>
      <c r="F39" s="19"/>
      <c r="G39" s="19"/>
      <c r="H39" s="19"/>
      <c r="I39" s="19"/>
      <c r="J39" s="19"/>
      <c r="K39" s="19"/>
      <c r="L39" s="19"/>
      <c r="M39" s="19"/>
      <c r="N39" s="19"/>
      <c r="O39" s="9"/>
      <c r="P39" s="145"/>
      <c r="Q39" s="145"/>
      <c r="R39" s="147"/>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38</v>
      </c>
      <c r="DW39" s="25" t="s">
        <v>38</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5"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2" si="355">IF(SUM(S43:MJ43) &gt; 0, SUM(S43:MJ43), "")</f>
        <v>12</v>
      </c>
      <c r="Q43" s="109">
        <f t="shared" ref="Q43:Q62" si="356">IF(SUM(S43:XFD43) &gt; 0, SUM(S43:XFD43) / $P$63 * 100, "")</f>
        <v>70.588235294117652</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DT43">
        <v>1</v>
      </c>
      <c r="DV43">
        <v>1</v>
      </c>
      <c r="DW43">
        <v>1</v>
      </c>
      <c r="EA43" s="7"/>
      <c r="EC43" t="s">
        <v>58</v>
      </c>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112</v>
      </c>
      <c r="B44" s="8" t="s">
        <v>111</v>
      </c>
      <c r="C44" s="8" t="s">
        <v>110</v>
      </c>
      <c r="D44" s="8" t="s">
        <v>109</v>
      </c>
      <c r="E44" s="56">
        <v>40099</v>
      </c>
      <c r="F44" s="19">
        <f t="shared" si="354"/>
        <v>1</v>
      </c>
      <c r="G44" s="19">
        <f t="shared" si="354"/>
        <v>1</v>
      </c>
      <c r="H44" s="19">
        <f t="shared" si="354"/>
        <v>1</v>
      </c>
      <c r="I44" s="19">
        <f t="shared" si="354"/>
        <v>1</v>
      </c>
      <c r="J44" s="19">
        <f t="shared" si="354"/>
        <v>1</v>
      </c>
      <c r="K44" s="19">
        <f t="shared" si="354"/>
        <v>1</v>
      </c>
      <c r="L44" s="19" t="str">
        <f t="shared" si="354"/>
        <v/>
      </c>
      <c r="M44" s="8">
        <v>1</v>
      </c>
      <c r="N44" s="8"/>
      <c r="O44" s="9"/>
      <c r="P44" s="8">
        <f t="shared" ref="P44" si="357">IF(SUM(S44:MJ44) &gt; 0, SUM(S44:MJ44), "")</f>
        <v>2</v>
      </c>
      <c r="Q44" s="109">
        <f t="shared" si="356"/>
        <v>11.76470588235294</v>
      </c>
      <c r="R44" s="84"/>
      <c r="S44" s="7"/>
      <c r="Z44" s="7"/>
      <c r="AG44" s="7"/>
      <c r="AN44" s="7"/>
      <c r="AU44" s="7"/>
      <c r="BB44" s="7"/>
      <c r="BI44" s="7"/>
      <c r="BP44" s="7"/>
      <c r="BY44" s="7"/>
      <c r="CH44" s="7"/>
      <c r="CQ44" s="7"/>
      <c r="CZ44" s="7"/>
      <c r="DI44" s="7"/>
      <c r="DR44" s="7"/>
      <c r="DT44">
        <v>1</v>
      </c>
      <c r="DW44">
        <v>1</v>
      </c>
      <c r="EA44" s="7"/>
      <c r="EC44" t="s">
        <v>55</v>
      </c>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73</v>
      </c>
      <c r="B45" s="8" t="s">
        <v>108</v>
      </c>
      <c r="C45" s="8" t="s">
        <v>107</v>
      </c>
      <c r="D45" s="8" t="s">
        <v>106</v>
      </c>
      <c r="E45" s="18">
        <v>39474</v>
      </c>
      <c r="F45" s="10">
        <f t="shared" si="354"/>
        <v>1</v>
      </c>
      <c r="G45" s="19">
        <f t="shared" si="354"/>
        <v>1</v>
      </c>
      <c r="H45" s="19">
        <f t="shared" si="354"/>
        <v>1</v>
      </c>
      <c r="I45" s="19">
        <f t="shared" si="354"/>
        <v>1</v>
      </c>
      <c r="J45" s="19">
        <f t="shared" si="354"/>
        <v>1</v>
      </c>
      <c r="K45" s="19" t="str">
        <f t="shared" si="354"/>
        <v/>
      </c>
      <c r="L45" s="19" t="str">
        <f t="shared" si="354"/>
        <v/>
      </c>
      <c r="M45" s="8">
        <v>1</v>
      </c>
      <c r="N45" s="8"/>
      <c r="O45" s="9"/>
      <c r="P45" s="8">
        <f t="shared" si="355"/>
        <v>16</v>
      </c>
      <c r="Q45" s="109">
        <f t="shared" si="356"/>
        <v>94.117647058823522</v>
      </c>
      <c r="R45" s="84"/>
      <c r="S45" s="7"/>
      <c r="Z45" s="7"/>
      <c r="AG45" s="7"/>
      <c r="AI45">
        <v>1</v>
      </c>
      <c r="AK45">
        <v>1</v>
      </c>
      <c r="AN45" s="7"/>
      <c r="AP45">
        <v>1</v>
      </c>
      <c r="AR45">
        <v>1</v>
      </c>
      <c r="AU45" s="7"/>
      <c r="AW45">
        <v>1</v>
      </c>
      <c r="AX45">
        <v>1</v>
      </c>
      <c r="AY45">
        <v>1</v>
      </c>
      <c r="BB45" s="7"/>
      <c r="BD45">
        <v>1</v>
      </c>
      <c r="BF45">
        <v>1</v>
      </c>
      <c r="BI45" s="7"/>
      <c r="BK45">
        <v>1</v>
      </c>
      <c r="BM45">
        <v>1</v>
      </c>
      <c r="BN45">
        <v>1</v>
      </c>
      <c r="BP45" s="7">
        <v>1</v>
      </c>
      <c r="BW45">
        <v>1</v>
      </c>
      <c r="BY45" s="7"/>
      <c r="CH45" s="7"/>
      <c r="CQ45" s="7"/>
      <c r="CZ45" s="7"/>
      <c r="DI45" s="7"/>
      <c r="DR45" s="7"/>
      <c r="DT45">
        <v>1</v>
      </c>
      <c r="DV45">
        <v>1</v>
      </c>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customHeight="1" x14ac:dyDescent="0.25">
      <c r="A46" s="8" t="s">
        <v>237</v>
      </c>
      <c r="B46" s="8" t="s">
        <v>238</v>
      </c>
      <c r="C46" s="8" t="s">
        <v>239</v>
      </c>
      <c r="D46" s="8" t="s">
        <v>240</v>
      </c>
      <c r="E46" s="18">
        <v>39425</v>
      </c>
      <c r="F46" s="10">
        <f t="shared" si="354"/>
        <v>1</v>
      </c>
      <c r="G46" s="19">
        <f t="shared" si="354"/>
        <v>1</v>
      </c>
      <c r="H46" s="19">
        <f t="shared" si="354"/>
        <v>1</v>
      </c>
      <c r="I46" s="19">
        <f t="shared" si="354"/>
        <v>1</v>
      </c>
      <c r="J46" s="19" t="str">
        <f t="shared" si="354"/>
        <v/>
      </c>
      <c r="K46" s="19" t="str">
        <f t="shared" si="354"/>
        <v/>
      </c>
      <c r="L46" s="19" t="str">
        <f t="shared" si="354"/>
        <v/>
      </c>
      <c r="M46" s="8">
        <v>1</v>
      </c>
      <c r="N46" s="8"/>
      <c r="O46" s="9"/>
      <c r="P46" s="8">
        <f t="shared" si="355"/>
        <v>15</v>
      </c>
      <c r="Q46" s="109">
        <f t="shared" si="356"/>
        <v>88.235294117647058</v>
      </c>
      <c r="R46" s="84"/>
      <c r="S46" s="7"/>
      <c r="Z46" s="7"/>
      <c r="AG46" s="7"/>
      <c r="AI46">
        <v>1</v>
      </c>
      <c r="AK46">
        <v>1</v>
      </c>
      <c r="AN46" s="7"/>
      <c r="AP46">
        <v>1</v>
      </c>
      <c r="AR46">
        <v>1</v>
      </c>
      <c r="AU46" s="7"/>
      <c r="AW46">
        <v>1</v>
      </c>
      <c r="AX46">
        <v>1</v>
      </c>
      <c r="AY46">
        <v>1</v>
      </c>
      <c r="BB46" s="7"/>
      <c r="BD46">
        <v>1</v>
      </c>
      <c r="BF46">
        <v>1</v>
      </c>
      <c r="BI46" s="7"/>
      <c r="BK46">
        <v>1</v>
      </c>
      <c r="BM46">
        <v>1</v>
      </c>
      <c r="BN46">
        <v>1</v>
      </c>
      <c r="BP46" s="7"/>
      <c r="BY46" s="7"/>
      <c r="CH46" s="7"/>
      <c r="CQ46" s="7"/>
      <c r="CZ46" s="7"/>
      <c r="DI46" s="7"/>
      <c r="DR46" s="7"/>
      <c r="DT46">
        <v>1</v>
      </c>
      <c r="DV46">
        <v>1</v>
      </c>
      <c r="DW46">
        <v>1</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t="15" hidden="1" customHeight="1" x14ac:dyDescent="0.25">
      <c r="A47" s="8" t="s">
        <v>234</v>
      </c>
      <c r="B47" s="8"/>
      <c r="C47" s="8" t="s">
        <v>36</v>
      </c>
      <c r="D47" s="8" t="s">
        <v>235</v>
      </c>
      <c r="E47" s="18">
        <v>38536</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 t="shared" si="356"/>
        <v>29.411764705882355</v>
      </c>
      <c r="R47" s="84"/>
      <c r="S47" s="7"/>
      <c r="Z47" s="7"/>
      <c r="AG47" s="7"/>
      <c r="AI47">
        <v>1</v>
      </c>
      <c r="AN47" s="7"/>
      <c r="AR47">
        <v>1</v>
      </c>
      <c r="AU47" s="7"/>
      <c r="BB47" s="7"/>
      <c r="BD47">
        <v>1</v>
      </c>
      <c r="BI47" s="7"/>
      <c r="BM47">
        <v>1</v>
      </c>
      <c r="BN47">
        <v>1</v>
      </c>
      <c r="BP47" s="7"/>
      <c r="BY47" s="7"/>
      <c r="CH47" s="7"/>
      <c r="CQ47" s="7"/>
      <c r="CZ47" s="7"/>
      <c r="DI47" s="7"/>
      <c r="DR47" s="7"/>
      <c r="DT47" t="s">
        <v>449</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idden="1" x14ac:dyDescent="0.25">
      <c r="A48" s="8" t="s">
        <v>230</v>
      </c>
      <c r="B48" s="8" t="s">
        <v>231</v>
      </c>
      <c r="C48" s="8" t="s">
        <v>233</v>
      </c>
      <c r="D48" s="8" t="s">
        <v>232</v>
      </c>
      <c r="E48" s="18">
        <v>38679</v>
      </c>
      <c r="F48" s="10">
        <f t="shared" si="354"/>
        <v>1</v>
      </c>
      <c r="G48" s="19">
        <f t="shared" si="354"/>
        <v>1</v>
      </c>
      <c r="H48" s="19" t="str">
        <f t="shared" si="354"/>
        <v/>
      </c>
      <c r="I48" s="19" t="str">
        <f t="shared" si="354"/>
        <v/>
      </c>
      <c r="J48" s="19" t="str">
        <f t="shared" si="354"/>
        <v/>
      </c>
      <c r="K48" s="19" t="str">
        <f t="shared" si="354"/>
        <v/>
      </c>
      <c r="L48" s="19" t="str">
        <f t="shared" si="354"/>
        <v/>
      </c>
      <c r="M48" s="8">
        <v>1</v>
      </c>
      <c r="N48" s="8"/>
      <c r="O48" s="9"/>
      <c r="P48" s="8">
        <f t="shared" si="355"/>
        <v>5</v>
      </c>
      <c r="Q48" s="109">
        <f t="shared" si="356"/>
        <v>29.411764705882355</v>
      </c>
      <c r="R48" s="84"/>
      <c r="S48" s="7"/>
      <c r="Z48" s="7"/>
      <c r="AG48" s="7"/>
      <c r="AI48">
        <v>1</v>
      </c>
      <c r="AN48" s="7"/>
      <c r="AR48">
        <v>1</v>
      </c>
      <c r="AU48" s="7"/>
      <c r="BB48" s="7"/>
      <c r="BD48">
        <v>1</v>
      </c>
      <c r="BI48" s="7"/>
      <c r="BM48">
        <v>1</v>
      </c>
      <c r="BN48">
        <v>1</v>
      </c>
      <c r="BP48" s="7"/>
      <c r="BY48" s="7"/>
      <c r="CH48" s="7"/>
      <c r="CQ48" s="7"/>
      <c r="CZ48" s="7"/>
      <c r="DI48" s="7"/>
      <c r="DR48" s="7"/>
      <c r="DT48" t="s">
        <v>449</v>
      </c>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hidden="1" x14ac:dyDescent="0.25">
      <c r="A49" s="8" t="s">
        <v>62</v>
      </c>
      <c r="B49" s="8"/>
      <c r="C49" s="8" t="s">
        <v>293</v>
      </c>
      <c r="D49" s="8" t="s">
        <v>294</v>
      </c>
      <c r="E49" s="18">
        <v>39814</v>
      </c>
      <c r="F49" s="10">
        <f t="shared" si="354"/>
        <v>1</v>
      </c>
      <c r="G49" s="19">
        <f t="shared" si="354"/>
        <v>1</v>
      </c>
      <c r="H49" s="19">
        <f t="shared" si="354"/>
        <v>1</v>
      </c>
      <c r="I49" s="8">
        <f t="shared" si="354"/>
        <v>1</v>
      </c>
      <c r="J49" s="8">
        <f t="shared" si="354"/>
        <v>1</v>
      </c>
      <c r="K49" s="8">
        <f t="shared" si="354"/>
        <v>1</v>
      </c>
      <c r="L49" s="8" t="str">
        <f t="shared" si="354"/>
        <v/>
      </c>
      <c r="M49" s="8">
        <v>1</v>
      </c>
      <c r="N49" s="8"/>
      <c r="O49" s="9"/>
      <c r="P49" s="8">
        <f t="shared" si="355"/>
        <v>3</v>
      </c>
      <c r="Q49" s="109">
        <f t="shared" si="356"/>
        <v>17.647058823529413</v>
      </c>
      <c r="R49" s="84"/>
      <c r="S49" s="7"/>
      <c r="Z49" s="7"/>
      <c r="AG49" s="7"/>
      <c r="AN49" s="7"/>
      <c r="AP49">
        <v>1</v>
      </c>
      <c r="AU49" s="7"/>
      <c r="AY49">
        <v>1</v>
      </c>
      <c r="BB49" s="7"/>
      <c r="BF49">
        <v>1</v>
      </c>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92</v>
      </c>
      <c r="B50" s="8"/>
      <c r="C50" s="8" t="s">
        <v>91</v>
      </c>
      <c r="D50" s="8" t="s">
        <v>90</v>
      </c>
      <c r="E50" s="18">
        <v>39507</v>
      </c>
      <c r="F50" s="10">
        <f t="shared" si="354"/>
        <v>1</v>
      </c>
      <c r="G50" s="19">
        <f t="shared" si="354"/>
        <v>1</v>
      </c>
      <c r="H50" s="19">
        <f t="shared" si="354"/>
        <v>1</v>
      </c>
      <c r="I50" s="19">
        <f t="shared" si="354"/>
        <v>1</v>
      </c>
      <c r="J50" s="19">
        <f t="shared" si="354"/>
        <v>1</v>
      </c>
      <c r="K50" s="19" t="str">
        <f t="shared" si="354"/>
        <v/>
      </c>
      <c r="L50" s="19" t="str">
        <f t="shared" si="354"/>
        <v/>
      </c>
      <c r="M50" s="8">
        <v>1</v>
      </c>
      <c r="N50" s="8"/>
      <c r="O50" s="9"/>
      <c r="P50" s="8">
        <f t="shared" si="355"/>
        <v>13</v>
      </c>
      <c r="Q50" s="109">
        <f t="shared" si="356"/>
        <v>76.470588235294116</v>
      </c>
      <c r="R50" s="84"/>
      <c r="S50" s="7"/>
      <c r="Z50" s="7"/>
      <c r="AG50" s="7"/>
      <c r="AI50">
        <v>1</v>
      </c>
      <c r="AN50" s="7"/>
      <c r="AP50">
        <v>1</v>
      </c>
      <c r="AR50">
        <v>1</v>
      </c>
      <c r="AU50" s="7"/>
      <c r="AW50">
        <v>1</v>
      </c>
      <c r="AX50">
        <v>1</v>
      </c>
      <c r="AY50">
        <v>1</v>
      </c>
      <c r="BB50" s="7"/>
      <c r="BD50">
        <v>1</v>
      </c>
      <c r="BF50">
        <v>1</v>
      </c>
      <c r="BI50" s="7"/>
      <c r="BK50">
        <v>1</v>
      </c>
      <c r="BM50">
        <v>1</v>
      </c>
      <c r="BN50">
        <v>1</v>
      </c>
      <c r="BP50" s="7">
        <v>1</v>
      </c>
      <c r="BY50" s="7"/>
      <c r="CH50" s="7"/>
      <c r="CQ50" s="7"/>
      <c r="CZ50" s="7"/>
      <c r="DI50" s="7"/>
      <c r="DR50" s="7"/>
      <c r="DT50">
        <v>1</v>
      </c>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hidden="1" x14ac:dyDescent="0.25">
      <c r="A51" s="8" t="s">
        <v>89</v>
      </c>
      <c r="B51" s="8"/>
      <c r="C51" s="8" t="s">
        <v>88</v>
      </c>
      <c r="D51" s="8" t="s">
        <v>87</v>
      </c>
      <c r="E51" s="18">
        <v>39651</v>
      </c>
      <c r="F51" s="10">
        <f t="shared" si="354"/>
        <v>1</v>
      </c>
      <c r="G51" s="19">
        <f t="shared" si="354"/>
        <v>1</v>
      </c>
      <c r="H51" s="19">
        <f t="shared" si="354"/>
        <v>1</v>
      </c>
      <c r="I51" s="8">
        <f t="shared" si="354"/>
        <v>1</v>
      </c>
      <c r="J51" s="8">
        <f t="shared" si="354"/>
        <v>1</v>
      </c>
      <c r="K51" s="8" t="str">
        <f t="shared" si="354"/>
        <v/>
      </c>
      <c r="L51" s="8" t="str">
        <f t="shared" si="354"/>
        <v/>
      </c>
      <c r="M51" s="8">
        <v>1</v>
      </c>
      <c r="N51" s="8"/>
      <c r="O51" s="9"/>
      <c r="P51" s="8">
        <f t="shared" si="355"/>
        <v>3</v>
      </c>
      <c r="Q51" s="109">
        <f t="shared" si="356"/>
        <v>17.647058823529413</v>
      </c>
      <c r="R51" s="84"/>
      <c r="S51" s="7"/>
      <c r="Z51" s="7"/>
      <c r="AG51" s="7"/>
      <c r="AI51">
        <v>1</v>
      </c>
      <c r="AK51">
        <v>1</v>
      </c>
      <c r="AN51" s="7"/>
      <c r="AU51" s="7"/>
      <c r="AW51">
        <v>1</v>
      </c>
      <c r="BB51" s="7"/>
      <c r="BI51" s="7"/>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134</v>
      </c>
      <c r="B52" s="8" t="s">
        <v>133</v>
      </c>
      <c r="C52" s="8" t="s">
        <v>236</v>
      </c>
      <c r="D52" s="8" t="s">
        <v>87</v>
      </c>
      <c r="E52" s="18">
        <v>38979</v>
      </c>
      <c r="F52" s="10">
        <f t="shared" si="354"/>
        <v>1</v>
      </c>
      <c r="G52" s="19">
        <f t="shared" si="354"/>
        <v>1</v>
      </c>
      <c r="H52" s="19">
        <f t="shared" si="354"/>
        <v>1</v>
      </c>
      <c r="I52" s="8" t="str">
        <f t="shared" si="354"/>
        <v/>
      </c>
      <c r="J52" s="8" t="str">
        <f t="shared" si="354"/>
        <v/>
      </c>
      <c r="K52" s="8" t="str">
        <f t="shared" si="354"/>
        <v/>
      </c>
      <c r="L52" s="8" t="str">
        <f t="shared" si="354"/>
        <v/>
      </c>
      <c r="M52" s="8">
        <v>1</v>
      </c>
      <c r="N52" s="8"/>
      <c r="O52" s="9"/>
      <c r="P52" s="8">
        <f t="shared" si="355"/>
        <v>10</v>
      </c>
      <c r="Q52" s="109">
        <f t="shared" si="356"/>
        <v>58.82352941176471</v>
      </c>
      <c r="R52" s="84"/>
      <c r="S52" s="7"/>
      <c r="Z52" s="7"/>
      <c r="AG52" s="7"/>
      <c r="AI52">
        <v>1</v>
      </c>
      <c r="AK52">
        <v>1</v>
      </c>
      <c r="AN52" s="7"/>
      <c r="AU52" s="7"/>
      <c r="AW52">
        <v>1</v>
      </c>
      <c r="AX52">
        <v>1</v>
      </c>
      <c r="BB52" s="7"/>
      <c r="BI52" s="7"/>
      <c r="BK52">
        <v>1</v>
      </c>
      <c r="BM52">
        <v>1</v>
      </c>
      <c r="BN52">
        <v>1</v>
      </c>
      <c r="BP52" s="7">
        <v>1</v>
      </c>
      <c r="BY52" s="7"/>
      <c r="CH52" s="7"/>
      <c r="CQ52" s="7"/>
      <c r="CZ52" s="7"/>
      <c r="DI52" s="7"/>
      <c r="DR52" s="7"/>
      <c r="DT52">
        <v>1</v>
      </c>
      <c r="DV52">
        <v>1</v>
      </c>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86</v>
      </c>
      <c r="B53" s="8"/>
      <c r="C53" s="8" t="s">
        <v>85</v>
      </c>
      <c r="D53" s="8" t="s">
        <v>84</v>
      </c>
      <c r="E53" s="18">
        <v>39562</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5</v>
      </c>
      <c r="Q53" s="109">
        <f t="shared" si="356"/>
        <v>29.411764705882355</v>
      </c>
      <c r="R53" s="84"/>
      <c r="S53" s="7"/>
      <c r="Z53" s="7"/>
      <c r="AG53" s="7"/>
      <c r="AN53" s="7"/>
      <c r="AP53">
        <v>1</v>
      </c>
      <c r="AR53">
        <v>1</v>
      </c>
      <c r="AU53" s="7"/>
      <c r="AW53">
        <v>1</v>
      </c>
      <c r="BB53" s="7"/>
      <c r="BI53" s="7"/>
      <c r="BM53">
        <v>1</v>
      </c>
      <c r="BN53">
        <v>1</v>
      </c>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83</v>
      </c>
      <c r="B54" s="8"/>
      <c r="C54" s="8" t="s">
        <v>82</v>
      </c>
      <c r="D54" s="8" t="s">
        <v>81</v>
      </c>
      <c r="E54" s="18">
        <v>39475</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13</v>
      </c>
      <c r="Q54" s="109">
        <f t="shared" si="356"/>
        <v>76.470588235294116</v>
      </c>
      <c r="R54" s="84"/>
      <c r="S54" s="7"/>
      <c r="Z54" s="7"/>
      <c r="AG54" s="7"/>
      <c r="AI54">
        <v>1</v>
      </c>
      <c r="AK54">
        <v>1</v>
      </c>
      <c r="AN54" s="7"/>
      <c r="AP54">
        <v>1</v>
      </c>
      <c r="AR54">
        <v>1</v>
      </c>
      <c r="AU54" s="7"/>
      <c r="AY54">
        <v>1</v>
      </c>
      <c r="BB54" s="7"/>
      <c r="BD54">
        <v>1</v>
      </c>
      <c r="BF54">
        <v>1</v>
      </c>
      <c r="BI54" s="7"/>
      <c r="BK54">
        <v>1</v>
      </c>
      <c r="BM54">
        <v>1</v>
      </c>
      <c r="BN54">
        <v>1</v>
      </c>
      <c r="BP54" s="7"/>
      <c r="BY54" s="7"/>
      <c r="CH54" s="7"/>
      <c r="CQ54" s="7"/>
      <c r="CZ54" s="7"/>
      <c r="DI54" s="7"/>
      <c r="DR54" s="7"/>
      <c r="DT54">
        <v>1</v>
      </c>
      <c r="DV54">
        <v>1</v>
      </c>
      <c r="DW54">
        <v>1</v>
      </c>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80</v>
      </c>
      <c r="B55" s="8"/>
      <c r="C55" s="8" t="s">
        <v>79</v>
      </c>
      <c r="D55" s="8" t="s">
        <v>78</v>
      </c>
      <c r="E55" s="18">
        <v>39927</v>
      </c>
      <c r="F55" s="10">
        <f t="shared" si="354"/>
        <v>1</v>
      </c>
      <c r="G55" s="19">
        <f t="shared" si="354"/>
        <v>1</v>
      </c>
      <c r="H55" s="19">
        <f t="shared" si="354"/>
        <v>1</v>
      </c>
      <c r="I55" s="8">
        <f t="shared" si="354"/>
        <v>1</v>
      </c>
      <c r="J55" s="8">
        <f t="shared" si="354"/>
        <v>1</v>
      </c>
      <c r="K55" s="8">
        <f t="shared" si="354"/>
        <v>1</v>
      </c>
      <c r="L55" s="8" t="str">
        <f t="shared" si="354"/>
        <v/>
      </c>
      <c r="M55" s="8">
        <v>1</v>
      </c>
      <c r="N55" s="8"/>
      <c r="O55" s="9"/>
      <c r="P55" s="8">
        <f t="shared" si="355"/>
        <v>4</v>
      </c>
      <c r="Q55" s="109">
        <f t="shared" si="356"/>
        <v>23.52941176470588</v>
      </c>
      <c r="R55" s="84"/>
      <c r="S55" s="7"/>
      <c r="Z55" s="7"/>
      <c r="AG55" s="7"/>
      <c r="AI55">
        <v>1</v>
      </c>
      <c r="AK55">
        <v>1</v>
      </c>
      <c r="AN55" s="7"/>
      <c r="AP55">
        <v>1</v>
      </c>
      <c r="AU55" s="7"/>
      <c r="AW55">
        <v>1</v>
      </c>
      <c r="BB55" s="7"/>
      <c r="BI55" s="7"/>
      <c r="BP55" s="7"/>
      <c r="BY55" s="7"/>
      <c r="CH55" s="7"/>
      <c r="CQ55" s="7"/>
      <c r="CZ55" s="7"/>
      <c r="DI55" s="7"/>
      <c r="DR55" s="7"/>
      <c r="EA55" s="7"/>
      <c r="EH55" s="7"/>
      <c r="EO55" s="7"/>
      <c r="EQ55" t="s">
        <v>448</v>
      </c>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77</v>
      </c>
      <c r="B56" s="8" t="s">
        <v>76</v>
      </c>
      <c r="C56" s="8" t="s">
        <v>75</v>
      </c>
      <c r="D56" s="8" t="s">
        <v>74</v>
      </c>
      <c r="E56" s="18">
        <v>40051</v>
      </c>
      <c r="F56" s="10">
        <f t="shared" ref="F56:L62" si="358">IF($E56 &gt;= F$41, 1, "")</f>
        <v>1</v>
      </c>
      <c r="G56" s="19">
        <f t="shared" si="358"/>
        <v>1</v>
      </c>
      <c r="H56" s="19">
        <f t="shared" si="358"/>
        <v>1</v>
      </c>
      <c r="I56" s="8">
        <f t="shared" si="358"/>
        <v>1</v>
      </c>
      <c r="J56" s="8">
        <f t="shared" si="358"/>
        <v>1</v>
      </c>
      <c r="K56" s="8">
        <f t="shared" si="358"/>
        <v>1</v>
      </c>
      <c r="L56" s="8" t="str">
        <f t="shared" si="358"/>
        <v/>
      </c>
      <c r="M56" s="8">
        <v>1</v>
      </c>
      <c r="N56" s="8"/>
      <c r="O56" s="9"/>
      <c r="P56" s="8">
        <f t="shared" si="355"/>
        <v>7</v>
      </c>
      <c r="Q56" s="109">
        <f t="shared" si="356"/>
        <v>41.17647058823529</v>
      </c>
      <c r="R56" s="84"/>
      <c r="S56" s="7"/>
      <c r="Z56" s="7"/>
      <c r="AG56" s="7"/>
      <c r="AI56">
        <v>1</v>
      </c>
      <c r="AN56" s="7"/>
      <c r="AP56">
        <v>1</v>
      </c>
      <c r="AU56" s="7"/>
      <c r="AW56">
        <v>1</v>
      </c>
      <c r="AX56">
        <v>1</v>
      </c>
      <c r="BB56" s="7"/>
      <c r="BD56">
        <v>1</v>
      </c>
      <c r="BI56" s="7"/>
      <c r="BK56">
        <v>1</v>
      </c>
      <c r="BN56">
        <v>1</v>
      </c>
      <c r="BP56" s="7"/>
      <c r="BY56" s="7"/>
      <c r="CH56" s="7"/>
      <c r="CQ56" s="7"/>
      <c r="CZ56" s="7"/>
      <c r="DI56" s="7"/>
      <c r="DR56" s="7"/>
      <c r="EA56" s="7"/>
      <c r="EC56" t="s">
        <v>367</v>
      </c>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x14ac:dyDescent="0.25">
      <c r="A57" s="8" t="s">
        <v>73</v>
      </c>
      <c r="B57" s="8"/>
      <c r="C57" s="8" t="s">
        <v>27</v>
      </c>
      <c r="D57" s="8" t="s">
        <v>70</v>
      </c>
      <c r="E57" s="18">
        <v>40004</v>
      </c>
      <c r="F57" s="10">
        <f t="shared" si="358"/>
        <v>1</v>
      </c>
      <c r="G57" s="19">
        <f t="shared" si="358"/>
        <v>1</v>
      </c>
      <c r="H57" s="19">
        <f t="shared" si="358"/>
        <v>1</v>
      </c>
      <c r="I57" s="8">
        <f t="shared" si="358"/>
        <v>1</v>
      </c>
      <c r="J57" s="8">
        <f t="shared" si="358"/>
        <v>1</v>
      </c>
      <c r="K57" s="8">
        <f t="shared" si="358"/>
        <v>1</v>
      </c>
      <c r="L57" s="8" t="str">
        <f t="shared" si="358"/>
        <v/>
      </c>
      <c r="M57" s="8">
        <v>1</v>
      </c>
      <c r="N57" s="8"/>
      <c r="O57" s="9"/>
      <c r="P57" s="8">
        <f t="shared" si="355"/>
        <v>8</v>
      </c>
      <c r="Q57" s="109">
        <f t="shared" si="356"/>
        <v>47.058823529411761</v>
      </c>
      <c r="R57" s="84"/>
      <c r="S57" s="7"/>
      <c r="Z57" s="7"/>
      <c r="AG57" s="7"/>
      <c r="AI57">
        <v>1</v>
      </c>
      <c r="AN57" s="7"/>
      <c r="AP57">
        <v>1</v>
      </c>
      <c r="AR57">
        <v>1</v>
      </c>
      <c r="AU57" s="7"/>
      <c r="AW57">
        <v>1</v>
      </c>
      <c r="AY57">
        <v>1</v>
      </c>
      <c r="BB57" s="7"/>
      <c r="BD57">
        <v>1</v>
      </c>
      <c r="BI57" s="7"/>
      <c r="BK57">
        <v>1</v>
      </c>
      <c r="BM57">
        <v>1</v>
      </c>
      <c r="BP57" s="7"/>
      <c r="BY57" s="7"/>
      <c r="CH57" s="7"/>
      <c r="CQ57" s="7"/>
      <c r="CZ57" s="7"/>
      <c r="DI57" s="7"/>
      <c r="DR57" s="7"/>
      <c r="EA57" s="7"/>
      <c r="EH57" s="7"/>
      <c r="EO57" s="7"/>
      <c r="EQ57" t="s">
        <v>448</v>
      </c>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8"/>
        <v/>
      </c>
      <c r="G58" s="19" t="str">
        <f t="shared" si="358"/>
        <v/>
      </c>
      <c r="H58" s="19" t="str">
        <f t="shared" si="358"/>
        <v/>
      </c>
      <c r="I58" s="8" t="str">
        <f t="shared" si="358"/>
        <v/>
      </c>
      <c r="J58" s="8" t="str">
        <f t="shared" si="358"/>
        <v/>
      </c>
      <c r="K58" s="8" t="str">
        <f t="shared" si="358"/>
        <v/>
      </c>
      <c r="L58" s="8" t="str">
        <f t="shared" si="358"/>
        <v/>
      </c>
      <c r="M58" s="8"/>
      <c r="N58" s="8"/>
      <c r="O58" s="9"/>
      <c r="P58" s="8" t="str">
        <f t="shared" si="355"/>
        <v/>
      </c>
      <c r="Q58" s="109" t="str">
        <f t="shared" si="356"/>
        <v/>
      </c>
      <c r="R58" s="84" t="str">
        <f>IF(SUM(S58:XFD58) &gt; 0, SUM(S58:XFD58) / $P$63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8"/>
        <v/>
      </c>
      <c r="G59" s="19" t="str">
        <f t="shared" si="358"/>
        <v/>
      </c>
      <c r="H59" s="19" t="str">
        <f t="shared" si="358"/>
        <v/>
      </c>
      <c r="I59" s="8" t="str">
        <f t="shared" si="358"/>
        <v/>
      </c>
      <c r="J59" s="8" t="str">
        <f t="shared" si="358"/>
        <v/>
      </c>
      <c r="K59" s="8" t="str">
        <f t="shared" si="358"/>
        <v/>
      </c>
      <c r="L59" s="8" t="str">
        <f t="shared" si="358"/>
        <v/>
      </c>
      <c r="M59" s="8"/>
      <c r="N59" s="8"/>
      <c r="O59" s="9"/>
      <c r="P59" s="8" t="str">
        <f t="shared" si="355"/>
        <v/>
      </c>
      <c r="Q59" s="109" t="str">
        <f t="shared" si="356"/>
        <v/>
      </c>
      <c r="R59" s="84" t="str">
        <f>IF(SUM(S59:XFD59) &gt; 0, SUM(S59:XFD59) / $P$63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8"/>
        <v/>
      </c>
      <c r="G60" s="19" t="str">
        <f t="shared" si="358"/>
        <v/>
      </c>
      <c r="H60" s="19" t="str">
        <f t="shared" si="358"/>
        <v/>
      </c>
      <c r="I60" s="8" t="str">
        <f t="shared" si="358"/>
        <v/>
      </c>
      <c r="J60" s="8" t="str">
        <f t="shared" si="358"/>
        <v/>
      </c>
      <c r="K60" s="8" t="str">
        <f t="shared" si="358"/>
        <v/>
      </c>
      <c r="L60" s="8" t="str">
        <f t="shared" si="358"/>
        <v/>
      </c>
      <c r="M60" s="8"/>
      <c r="N60" s="8"/>
      <c r="O60" s="9"/>
      <c r="P60" s="8" t="str">
        <f t="shared" si="355"/>
        <v/>
      </c>
      <c r="Q60" s="109" t="str">
        <f t="shared" si="356"/>
        <v/>
      </c>
      <c r="R60" s="84" t="str">
        <f>IF(SUM(S60:XFD60) &gt; 0, SUM(S60:XFD60) / $P$63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idden="1" x14ac:dyDescent="0.25">
      <c r="A61" s="8"/>
      <c r="B61" s="8"/>
      <c r="C61" s="8"/>
      <c r="D61" s="8"/>
      <c r="E61" s="18"/>
      <c r="F61" s="10" t="str">
        <f t="shared" si="358"/>
        <v/>
      </c>
      <c r="G61" s="19" t="str">
        <f t="shared" si="358"/>
        <v/>
      </c>
      <c r="H61" s="19" t="str">
        <f t="shared" si="358"/>
        <v/>
      </c>
      <c r="I61" s="8" t="str">
        <f t="shared" si="358"/>
        <v/>
      </c>
      <c r="J61" s="8" t="str">
        <f t="shared" si="358"/>
        <v/>
      </c>
      <c r="K61" s="8" t="str">
        <f t="shared" si="358"/>
        <v/>
      </c>
      <c r="L61" s="8" t="str">
        <f t="shared" si="358"/>
        <v/>
      </c>
      <c r="M61" s="8"/>
      <c r="N61" s="8"/>
      <c r="O61" s="9"/>
      <c r="P61" s="8" t="str">
        <f t="shared" si="355"/>
        <v/>
      </c>
      <c r="Q61" s="109" t="str">
        <f t="shared" si="356"/>
        <v/>
      </c>
      <c r="R61" s="84" t="str">
        <f>IF(SUM(S61:XFD61) &gt; 0, SUM(S61:XFD61) / $P$63 * 100, "")</f>
        <v/>
      </c>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7.5" customHeight="1" x14ac:dyDescent="0.25">
      <c r="A62" s="8"/>
      <c r="B62" s="8"/>
      <c r="C62" s="8"/>
      <c r="D62" s="8"/>
      <c r="E62" s="18"/>
      <c r="F62" s="10" t="str">
        <f t="shared" si="358"/>
        <v/>
      </c>
      <c r="G62" s="19" t="str">
        <f t="shared" si="358"/>
        <v/>
      </c>
      <c r="H62" s="19" t="str">
        <f t="shared" si="358"/>
        <v/>
      </c>
      <c r="I62" s="19" t="str">
        <f t="shared" si="358"/>
        <v/>
      </c>
      <c r="J62" s="19" t="str">
        <f t="shared" si="358"/>
        <v/>
      </c>
      <c r="K62" s="19" t="str">
        <f t="shared" si="358"/>
        <v/>
      </c>
      <c r="L62" s="19" t="str">
        <f t="shared" si="358"/>
        <v/>
      </c>
      <c r="M62" s="8"/>
      <c r="N62" s="8"/>
      <c r="O62" s="9"/>
      <c r="P62" s="8" t="str">
        <f t="shared" si="355"/>
        <v/>
      </c>
      <c r="Q62" s="109" t="str">
        <f t="shared" si="356"/>
        <v/>
      </c>
      <c r="R62" s="84"/>
      <c r="S62" s="7"/>
      <c r="Z62" s="7"/>
      <c r="AG62" s="7"/>
      <c r="AN62" s="7"/>
      <c r="AU62" s="7"/>
      <c r="BB62" s="7"/>
      <c r="BI62" s="7"/>
      <c r="BP62" s="7"/>
      <c r="BY62" s="7"/>
      <c r="CH62" s="7"/>
      <c r="CQ62" s="7"/>
      <c r="CZ62" s="7"/>
      <c r="DI62" s="7"/>
      <c r="DR62" s="7"/>
      <c r="EA62" s="7"/>
      <c r="EH62" s="7"/>
      <c r="EO62" s="7"/>
      <c r="EV62" s="7"/>
      <c r="FC62" s="7"/>
      <c r="FJ62" s="7"/>
      <c r="FQ62" s="7"/>
      <c r="FX62" s="7"/>
      <c r="GE62" s="7"/>
      <c r="GL62" s="7"/>
      <c r="GS62" s="7"/>
      <c r="GZ62" s="7"/>
      <c r="HG62" s="7"/>
      <c r="HN62" s="7"/>
      <c r="HU62" s="7"/>
      <c r="IB62" s="7"/>
      <c r="II62" s="7"/>
      <c r="IP62" s="7"/>
      <c r="IW62" s="7"/>
      <c r="JD62" s="7"/>
      <c r="JK62" s="7"/>
      <c r="JR62" s="7"/>
      <c r="JY62" s="7"/>
      <c r="KF62" s="7"/>
      <c r="KM62" s="7"/>
      <c r="KT62" s="7"/>
      <c r="LA62" s="7"/>
      <c r="LH62" s="7"/>
      <c r="LO62" s="7"/>
      <c r="LV62" s="7"/>
      <c r="MC62" s="7"/>
      <c r="MJ62" s="7"/>
    </row>
    <row r="63" spans="1:348" ht="15" customHeight="1" x14ac:dyDescent="0.25">
      <c r="A63" s="23" t="s">
        <v>18</v>
      </c>
      <c r="B63" s="20"/>
      <c r="C63" s="20"/>
      <c r="D63" s="20"/>
      <c r="E63" s="59"/>
      <c r="F63" s="20"/>
      <c r="G63" s="20"/>
      <c r="H63" s="20"/>
      <c r="I63" s="20"/>
      <c r="J63" s="20"/>
      <c r="K63" s="20"/>
      <c r="L63" s="20"/>
      <c r="M63" s="20"/>
      <c r="N63" s="20"/>
      <c r="O63" s="21"/>
      <c r="P63" s="3">
        <f>SUM(S63:MJ63)</f>
        <v>17</v>
      </c>
      <c r="Q63" s="60"/>
      <c r="R63" s="82"/>
      <c r="S63" s="21"/>
      <c r="T63" s="20"/>
      <c r="U63" s="20"/>
      <c r="V63" s="20"/>
      <c r="W63" s="20"/>
      <c r="X63" s="20"/>
      <c r="Y63" s="20"/>
      <c r="Z63" s="21"/>
      <c r="AA63" s="20"/>
      <c r="AB63" s="20"/>
      <c r="AC63" s="20"/>
      <c r="AD63" s="20"/>
      <c r="AE63" s="20"/>
      <c r="AF63" s="20"/>
      <c r="AG63" s="21"/>
      <c r="AH63" s="20"/>
      <c r="AI63" s="20">
        <v>1</v>
      </c>
      <c r="AJ63" s="20"/>
      <c r="AK63" s="20">
        <v>1</v>
      </c>
      <c r="AL63" s="20"/>
      <c r="AM63" s="20"/>
      <c r="AN63" s="21"/>
      <c r="AO63" s="20"/>
      <c r="AP63" s="20">
        <v>1</v>
      </c>
      <c r="AQ63" s="20"/>
      <c r="AR63" s="20">
        <v>1</v>
      </c>
      <c r="AS63" s="20"/>
      <c r="AT63" s="20"/>
      <c r="AU63" s="21"/>
      <c r="AV63" s="20"/>
      <c r="AW63" s="20">
        <v>1</v>
      </c>
      <c r="AX63" s="20">
        <v>1</v>
      </c>
      <c r="AY63" s="20">
        <v>1</v>
      </c>
      <c r="AZ63" s="20"/>
      <c r="BA63" s="20"/>
      <c r="BB63" s="21"/>
      <c r="BC63" s="20"/>
      <c r="BD63" s="20">
        <v>1</v>
      </c>
      <c r="BE63" s="20"/>
      <c r="BF63" s="20">
        <v>1</v>
      </c>
      <c r="BG63" s="20"/>
      <c r="BH63" s="20"/>
      <c r="BI63" s="21"/>
      <c r="BJ63" s="20"/>
      <c r="BK63" s="20">
        <v>1</v>
      </c>
      <c r="BL63" s="20"/>
      <c r="BM63" s="20">
        <v>1</v>
      </c>
      <c r="BN63" s="20">
        <v>1</v>
      </c>
      <c r="BO63" s="20"/>
      <c r="BP63" s="21">
        <v>1</v>
      </c>
      <c r="BQ63" s="20"/>
      <c r="BR63" s="20"/>
      <c r="BS63" s="20"/>
      <c r="BT63" s="20"/>
      <c r="BU63" s="20"/>
      <c r="BV63" s="20"/>
      <c r="BW63" s="20">
        <v>1</v>
      </c>
      <c r="BX63" s="20"/>
      <c r="BY63" s="21"/>
      <c r="BZ63" s="20"/>
      <c r="CA63" s="20"/>
      <c r="CB63" s="20"/>
      <c r="CC63" s="20"/>
      <c r="CD63" s="20"/>
      <c r="CE63" s="20"/>
      <c r="CF63" s="20"/>
      <c r="CG63" s="20"/>
      <c r="CH63" s="21"/>
      <c r="CI63" s="20"/>
      <c r="CJ63" s="20"/>
      <c r="CK63" s="20"/>
      <c r="CL63" s="20"/>
      <c r="CM63" s="20"/>
      <c r="CN63" s="20"/>
      <c r="CO63" s="20"/>
      <c r="CP63" s="20"/>
      <c r="CQ63" s="21"/>
      <c r="CR63" s="20"/>
      <c r="CS63" s="20"/>
      <c r="CT63" s="20"/>
      <c r="CU63" s="20"/>
      <c r="CV63" s="20"/>
      <c r="CW63" s="20"/>
      <c r="CX63" s="20"/>
      <c r="CY63" s="20"/>
      <c r="CZ63" s="21"/>
      <c r="DA63" s="20"/>
      <c r="DB63" s="20"/>
      <c r="DC63" s="20"/>
      <c r="DD63" s="20"/>
      <c r="DE63" s="20"/>
      <c r="DF63" s="20"/>
      <c r="DG63" s="20"/>
      <c r="DH63" s="20"/>
      <c r="DI63" s="21"/>
      <c r="DJ63" s="20"/>
      <c r="DK63" s="20"/>
      <c r="DL63" s="20"/>
      <c r="DM63" s="20"/>
      <c r="DN63" s="20"/>
      <c r="DO63" s="20"/>
      <c r="DP63" s="20"/>
      <c r="DQ63" s="20"/>
      <c r="DR63" s="21"/>
      <c r="DS63" s="20"/>
      <c r="DT63" s="20">
        <v>1</v>
      </c>
      <c r="DU63" s="20"/>
      <c r="DV63" s="20">
        <v>1</v>
      </c>
      <c r="DW63" s="20">
        <v>1</v>
      </c>
      <c r="DX63" s="20"/>
      <c r="DY63" s="20"/>
      <c r="DZ63" s="20"/>
      <c r="EA63" s="21"/>
      <c r="EB63" s="20"/>
      <c r="EC63" s="20"/>
      <c r="ED63" s="20"/>
      <c r="EE63" s="20"/>
      <c r="EF63" s="20"/>
      <c r="EG63" s="20"/>
      <c r="EH63" s="21"/>
      <c r="EI63" s="20"/>
      <c r="EJ63" s="20"/>
      <c r="EK63" s="20"/>
      <c r="EL63" s="20"/>
      <c r="EM63" s="20"/>
      <c r="EN63" s="20"/>
      <c r="EO63" s="21"/>
      <c r="EP63" s="20"/>
      <c r="EQ63" s="20"/>
      <c r="ER63" s="20"/>
      <c r="ES63" s="20"/>
      <c r="ET63" s="20"/>
      <c r="EU63" s="20"/>
      <c r="EV63" s="21"/>
      <c r="EW63" s="20"/>
      <c r="EX63" s="20"/>
      <c r="EY63" s="20"/>
      <c r="EZ63" s="20"/>
      <c r="FA63" s="20"/>
      <c r="FB63" s="20"/>
      <c r="FC63" s="21"/>
      <c r="FD63" s="20"/>
      <c r="FE63" s="20"/>
      <c r="FF63" s="20"/>
      <c r="FG63" s="20"/>
      <c r="FH63" s="20"/>
      <c r="FI63" s="20"/>
      <c r="FJ63" s="21"/>
      <c r="FK63" s="20"/>
      <c r="FL63" s="20"/>
      <c r="FM63" s="20"/>
      <c r="FN63" s="20"/>
      <c r="FO63" s="20"/>
      <c r="FP63" s="20"/>
      <c r="FQ63" s="21"/>
      <c r="FR63" s="20"/>
      <c r="FS63" s="20"/>
      <c r="FT63" s="20"/>
      <c r="FU63" s="20"/>
      <c r="FV63" s="20"/>
      <c r="FW63" s="20"/>
      <c r="FX63" s="21"/>
      <c r="FY63" s="20"/>
      <c r="FZ63" s="20"/>
      <c r="GA63" s="20"/>
      <c r="GB63" s="20"/>
      <c r="GC63" s="20"/>
      <c r="GD63" s="20"/>
      <c r="GE63" s="21"/>
      <c r="GF63" s="20"/>
      <c r="GG63" s="20"/>
      <c r="GH63" s="20"/>
      <c r="GI63" s="20"/>
      <c r="GJ63" s="20"/>
      <c r="GK63" s="20"/>
      <c r="GL63" s="21"/>
      <c r="GM63" s="20"/>
      <c r="GN63" s="20"/>
      <c r="GO63" s="20"/>
      <c r="GP63" s="20"/>
      <c r="GQ63" s="20"/>
      <c r="GR63" s="20"/>
      <c r="GS63" s="21"/>
      <c r="GT63" s="20"/>
      <c r="GU63" s="20"/>
      <c r="GV63" s="20"/>
      <c r="GW63" s="20"/>
      <c r="GX63" s="20"/>
      <c r="GY63" s="20"/>
      <c r="GZ63" s="21"/>
      <c r="HA63" s="20"/>
      <c r="HB63" s="20"/>
      <c r="HC63" s="20"/>
      <c r="HD63" s="20"/>
      <c r="HE63" s="20"/>
      <c r="HF63" s="20"/>
      <c r="HG63" s="21"/>
      <c r="HH63" s="20"/>
      <c r="HI63" s="20"/>
      <c r="HJ63" s="20"/>
      <c r="HK63" s="20"/>
      <c r="HL63" s="20"/>
      <c r="HM63" s="20"/>
      <c r="HN63" s="21"/>
      <c r="HO63" s="20"/>
      <c r="HP63" s="20"/>
      <c r="HQ63" s="20"/>
      <c r="HR63" s="20"/>
      <c r="HS63" s="20"/>
      <c r="HT63" s="20"/>
      <c r="HU63" s="21"/>
      <c r="HV63" s="20"/>
      <c r="HW63" s="20"/>
      <c r="HX63" s="20"/>
      <c r="HY63" s="20"/>
      <c r="HZ63" s="20"/>
      <c r="IA63" s="20"/>
      <c r="IB63" s="21"/>
      <c r="IC63" s="20"/>
      <c r="ID63" s="20"/>
      <c r="IE63" s="20"/>
      <c r="IF63" s="20"/>
      <c r="IG63" s="20"/>
      <c r="IH63" s="20"/>
      <c r="II63" s="21"/>
      <c r="IJ63" s="20"/>
      <c r="IK63" s="20"/>
      <c r="IL63" s="20"/>
      <c r="IM63" s="20"/>
      <c r="IN63" s="20"/>
      <c r="IO63" s="20"/>
      <c r="IP63" s="21"/>
      <c r="IQ63" s="20"/>
      <c r="IR63" s="20"/>
      <c r="IS63" s="20"/>
      <c r="IT63" s="20"/>
      <c r="IU63" s="20"/>
      <c r="IV63" s="20"/>
      <c r="IW63" s="21"/>
      <c r="IX63" s="20"/>
      <c r="IY63" s="20"/>
      <c r="IZ63" s="20"/>
      <c r="JA63" s="20"/>
      <c r="JB63" s="20"/>
      <c r="JC63" s="20"/>
      <c r="JD63" s="21"/>
      <c r="JE63" s="20"/>
      <c r="JF63" s="20"/>
      <c r="JG63" s="20"/>
      <c r="JH63" s="20"/>
      <c r="JI63" s="20"/>
      <c r="JJ63" s="20"/>
      <c r="JK63" s="21"/>
      <c r="JL63" s="20"/>
      <c r="JM63" s="20"/>
      <c r="JN63" s="20"/>
      <c r="JO63" s="20"/>
      <c r="JP63" s="20"/>
      <c r="JQ63" s="20"/>
      <c r="JR63" s="21"/>
      <c r="JS63" s="20"/>
      <c r="JT63" s="20"/>
      <c r="JU63" s="20"/>
      <c r="JV63" s="20"/>
      <c r="JW63" s="20"/>
      <c r="JX63" s="20"/>
      <c r="JY63" s="21"/>
      <c r="JZ63" s="20"/>
      <c r="KA63" s="20"/>
      <c r="KB63" s="20"/>
      <c r="KC63" s="20"/>
      <c r="KD63" s="20"/>
      <c r="KE63" s="20"/>
      <c r="KF63" s="21"/>
      <c r="KG63" s="20"/>
      <c r="KH63" s="20"/>
      <c r="KI63" s="20"/>
      <c r="KJ63" s="20"/>
      <c r="KK63" s="20"/>
      <c r="KL63" s="20"/>
      <c r="KM63" s="21"/>
      <c r="KN63" s="20"/>
      <c r="KO63" s="20"/>
      <c r="KP63" s="20"/>
      <c r="KQ63" s="20"/>
      <c r="KR63" s="20"/>
      <c r="KS63" s="20"/>
      <c r="KT63" s="21"/>
      <c r="KU63" s="20"/>
      <c r="KV63" s="20"/>
      <c r="KW63" s="20"/>
      <c r="KX63" s="20"/>
      <c r="KY63" s="20"/>
      <c r="KZ63" s="20"/>
      <c r="LA63" s="21"/>
      <c r="LB63" s="20"/>
      <c r="LC63" s="20"/>
      <c r="LD63" s="20"/>
      <c r="LE63" s="20"/>
      <c r="LF63" s="20"/>
      <c r="LG63" s="20"/>
      <c r="LH63" s="21"/>
      <c r="LI63" s="20"/>
      <c r="LJ63" s="20"/>
      <c r="LK63" s="20"/>
      <c r="LL63" s="20"/>
      <c r="LM63" s="20"/>
      <c r="LN63" s="20"/>
      <c r="LO63" s="21"/>
      <c r="LP63" s="20"/>
      <c r="LQ63" s="20"/>
      <c r="LR63" s="20"/>
      <c r="LS63" s="20"/>
      <c r="LT63" s="20"/>
      <c r="LU63" s="20"/>
      <c r="LV63" s="21"/>
      <c r="LW63" s="20"/>
      <c r="LX63" s="20"/>
      <c r="LY63" s="20"/>
      <c r="LZ63" s="20"/>
      <c r="MA63" s="20"/>
      <c r="MB63" s="20"/>
      <c r="MC63" s="21"/>
      <c r="MD63" s="20"/>
      <c r="ME63" s="20"/>
      <c r="MF63" s="20"/>
      <c r="MG63" s="20"/>
      <c r="MH63" s="20"/>
      <c r="MI63" s="20"/>
      <c r="MJ63" s="21"/>
    </row>
    <row r="64" spans="1:348" ht="15" customHeight="1" x14ac:dyDescent="0.25">
      <c r="A64" s="127" t="s">
        <v>241</v>
      </c>
      <c r="B64" s="128"/>
      <c r="C64" s="128"/>
      <c r="D64" s="128"/>
      <c r="E64" s="59"/>
      <c r="F64" s="128"/>
      <c r="G64" s="128"/>
      <c r="H64" s="128"/>
      <c r="I64" s="128"/>
      <c r="J64" s="128"/>
      <c r="K64" s="128"/>
      <c r="L64" s="128"/>
      <c r="M64" s="128"/>
      <c r="N64" s="128"/>
      <c r="O64" s="61"/>
      <c r="P64" s="81">
        <f>VisibleSum(P42:P62)</f>
        <v>9.545454545454545</v>
      </c>
      <c r="Q64" s="117">
        <f>P64 / P63 * 100</f>
        <v>56.149732620320862</v>
      </c>
      <c r="R64" s="83"/>
      <c r="S64" s="61" t="str">
        <f t="shared" ref="S64:CH64" si="359">IF(SUM(S41:S62) &gt; 0, SUM(S41:S62), "")</f>
        <v/>
      </c>
      <c r="T64" s="128" t="str">
        <f t="shared" si="359"/>
        <v/>
      </c>
      <c r="U64" s="128" t="str">
        <f t="shared" si="359"/>
        <v/>
      </c>
      <c r="V64" s="128" t="str">
        <f t="shared" si="359"/>
        <v/>
      </c>
      <c r="W64" s="128" t="str">
        <f t="shared" si="359"/>
        <v/>
      </c>
      <c r="X64" s="128" t="str">
        <f t="shared" si="359"/>
        <v/>
      </c>
      <c r="Y64" s="128" t="str">
        <f t="shared" si="359"/>
        <v/>
      </c>
      <c r="Z64" s="61" t="str">
        <f t="shared" si="359"/>
        <v/>
      </c>
      <c r="AA64" s="128" t="str">
        <f t="shared" si="359"/>
        <v/>
      </c>
      <c r="AB64" s="128" t="str">
        <f t="shared" si="359"/>
        <v/>
      </c>
      <c r="AC64" s="128" t="str">
        <f t="shared" si="359"/>
        <v/>
      </c>
      <c r="AD64" s="128" t="str">
        <f t="shared" si="359"/>
        <v/>
      </c>
      <c r="AE64" s="128" t="str">
        <f t="shared" si="359"/>
        <v/>
      </c>
      <c r="AF64" s="128" t="str">
        <f t="shared" si="359"/>
        <v/>
      </c>
      <c r="AG64" s="61" t="str">
        <f t="shared" si="359"/>
        <v/>
      </c>
      <c r="AH64" s="128" t="str">
        <f t="shared" si="359"/>
        <v/>
      </c>
      <c r="AI64" s="128">
        <f t="shared" si="359"/>
        <v>11</v>
      </c>
      <c r="AJ64" s="128" t="str">
        <f t="shared" si="359"/>
        <v/>
      </c>
      <c r="AK64" s="128">
        <f t="shared" si="359"/>
        <v>7</v>
      </c>
      <c r="AL64" s="128" t="str">
        <f t="shared" si="359"/>
        <v/>
      </c>
      <c r="AM64" s="128" t="str">
        <f t="shared" si="359"/>
        <v/>
      </c>
      <c r="AN64" s="61" t="str">
        <f t="shared" si="359"/>
        <v/>
      </c>
      <c r="AO64" s="128" t="str">
        <f t="shared" si="359"/>
        <v/>
      </c>
      <c r="AP64" s="128">
        <f t="shared" si="359"/>
        <v>9</v>
      </c>
      <c r="AQ64" s="128" t="str">
        <f t="shared" si="359"/>
        <v/>
      </c>
      <c r="AR64" s="128">
        <f t="shared" si="359"/>
        <v>9</v>
      </c>
      <c r="AS64" s="128" t="str">
        <f t="shared" si="359"/>
        <v/>
      </c>
      <c r="AT64" s="128" t="str">
        <f t="shared" si="359"/>
        <v/>
      </c>
      <c r="AU64" s="61" t="str">
        <f t="shared" si="359"/>
        <v/>
      </c>
      <c r="AV64" s="128" t="str">
        <f t="shared" si="359"/>
        <v/>
      </c>
      <c r="AW64" s="128">
        <f t="shared" si="359"/>
        <v>9</v>
      </c>
      <c r="AX64" s="128">
        <f t="shared" si="359"/>
        <v>6</v>
      </c>
      <c r="AY64" s="128">
        <f t="shared" si="359"/>
        <v>7</v>
      </c>
      <c r="AZ64" s="128" t="str">
        <f t="shared" si="359"/>
        <v/>
      </c>
      <c r="BA64" s="128" t="str">
        <f t="shared" si="359"/>
        <v/>
      </c>
      <c r="BB64" s="61" t="str">
        <f t="shared" si="359"/>
        <v/>
      </c>
      <c r="BC64" s="128" t="str">
        <f t="shared" si="359"/>
        <v/>
      </c>
      <c r="BD64" s="128">
        <f t="shared" si="359"/>
        <v>8</v>
      </c>
      <c r="BE64" s="128" t="str">
        <f t="shared" si="359"/>
        <v/>
      </c>
      <c r="BF64" s="128">
        <f t="shared" si="359"/>
        <v>6</v>
      </c>
      <c r="BG64" s="128" t="str">
        <f t="shared" si="359"/>
        <v/>
      </c>
      <c r="BH64" s="128" t="str">
        <f t="shared" si="359"/>
        <v/>
      </c>
      <c r="BI64" s="61" t="str">
        <f t="shared" si="359"/>
        <v/>
      </c>
      <c r="BJ64" s="128" t="str">
        <f t="shared" si="359"/>
        <v/>
      </c>
      <c r="BK64" s="128">
        <f t="shared" si="359"/>
        <v>7</v>
      </c>
      <c r="BL64" s="128" t="str">
        <f t="shared" si="359"/>
        <v/>
      </c>
      <c r="BM64" s="128">
        <f t="shared" si="359"/>
        <v>10</v>
      </c>
      <c r="BN64" s="128">
        <f t="shared" si="359"/>
        <v>10</v>
      </c>
      <c r="BO64" s="128" t="str">
        <f t="shared" si="359"/>
        <v/>
      </c>
      <c r="BP64" s="61">
        <f t="shared" si="359"/>
        <v>4</v>
      </c>
      <c r="BQ64" s="128" t="str">
        <f t="shared" si="359"/>
        <v/>
      </c>
      <c r="BR64" s="128" t="str">
        <f t="shared" si="359"/>
        <v/>
      </c>
      <c r="BS64" s="128" t="str">
        <f t="shared" si="359"/>
        <v/>
      </c>
      <c r="BT64" s="128" t="str">
        <f t="shared" si="359"/>
        <v/>
      </c>
      <c r="BU64" s="128" t="str">
        <f t="shared" si="359"/>
        <v/>
      </c>
      <c r="BV64" s="128" t="str">
        <f t="shared" si="359"/>
        <v/>
      </c>
      <c r="BW64" s="128"/>
      <c r="BX64" s="128"/>
      <c r="BY64" s="61" t="str">
        <f t="shared" si="359"/>
        <v/>
      </c>
      <c r="BZ64" s="128" t="str">
        <f t="shared" si="359"/>
        <v/>
      </c>
      <c r="CA64" s="128" t="str">
        <f t="shared" si="359"/>
        <v/>
      </c>
      <c r="CB64" s="128" t="str">
        <f t="shared" si="359"/>
        <v/>
      </c>
      <c r="CC64" s="128" t="str">
        <f t="shared" si="359"/>
        <v/>
      </c>
      <c r="CD64" s="128" t="str">
        <f t="shared" si="359"/>
        <v/>
      </c>
      <c r="CE64" s="128" t="str">
        <f t="shared" si="359"/>
        <v/>
      </c>
      <c r="CF64" s="128"/>
      <c r="CG64" s="128"/>
      <c r="CH64" s="61" t="str">
        <f t="shared" si="359"/>
        <v/>
      </c>
      <c r="CI64" s="128" t="str">
        <f t="shared" ref="CI64:FD64" si="360">IF(SUM(CI41:CI62) &gt; 0, SUM(CI41:CI62), "")</f>
        <v/>
      </c>
      <c r="CJ64" s="128" t="str">
        <f t="shared" si="360"/>
        <v/>
      </c>
      <c r="CK64" s="128" t="str">
        <f t="shared" si="360"/>
        <v/>
      </c>
      <c r="CL64" s="128" t="str">
        <f t="shared" si="360"/>
        <v/>
      </c>
      <c r="CM64" s="128" t="str">
        <f t="shared" si="360"/>
        <v/>
      </c>
      <c r="CN64" s="128" t="str">
        <f t="shared" si="360"/>
        <v/>
      </c>
      <c r="CO64" s="128" t="str">
        <f t="shared" ref="CO64" si="361">IF(SUM(CO41:CO62) &gt; 0, SUM(CO41:CO62), "")</f>
        <v/>
      </c>
      <c r="CP64" s="128"/>
      <c r="CQ64" s="61" t="str">
        <f t="shared" si="360"/>
        <v/>
      </c>
      <c r="CR64" s="128" t="str">
        <f t="shared" si="360"/>
        <v/>
      </c>
      <c r="CS64" s="128" t="str">
        <f t="shared" si="360"/>
        <v/>
      </c>
      <c r="CT64" s="128" t="str">
        <f t="shared" si="360"/>
        <v/>
      </c>
      <c r="CU64" s="128" t="str">
        <f t="shared" si="360"/>
        <v/>
      </c>
      <c r="CV64" s="128" t="str">
        <f t="shared" si="360"/>
        <v/>
      </c>
      <c r="CW64" s="128"/>
      <c r="CX64" s="128"/>
      <c r="CY64" s="128" t="str">
        <f t="shared" si="360"/>
        <v/>
      </c>
      <c r="CZ64" s="61" t="str">
        <f t="shared" si="360"/>
        <v/>
      </c>
      <c r="DA64" s="128" t="str">
        <f t="shared" si="360"/>
        <v/>
      </c>
      <c r="DB64" s="128" t="str">
        <f t="shared" si="360"/>
        <v/>
      </c>
      <c r="DC64" s="128" t="str">
        <f t="shared" si="360"/>
        <v/>
      </c>
      <c r="DD64" s="128" t="str">
        <f t="shared" si="360"/>
        <v/>
      </c>
      <c r="DE64" s="128" t="str">
        <f t="shared" si="360"/>
        <v/>
      </c>
      <c r="DF64" s="128" t="str">
        <f t="shared" si="360"/>
        <v/>
      </c>
      <c r="DG64" s="128"/>
      <c r="DH64" s="128"/>
      <c r="DI64" s="61" t="str">
        <f t="shared" si="360"/>
        <v/>
      </c>
      <c r="DJ64" s="128" t="str">
        <f t="shared" si="360"/>
        <v/>
      </c>
      <c r="DK64" s="128" t="str">
        <f t="shared" si="360"/>
        <v/>
      </c>
      <c r="DL64" s="128" t="str">
        <f t="shared" si="360"/>
        <v/>
      </c>
      <c r="DM64" s="128" t="str">
        <f t="shared" si="360"/>
        <v/>
      </c>
      <c r="DN64" s="128" t="str">
        <f t="shared" si="360"/>
        <v/>
      </c>
      <c r="DO64" s="128" t="str">
        <f t="shared" si="360"/>
        <v/>
      </c>
      <c r="DP64" s="128"/>
      <c r="DQ64" s="128"/>
      <c r="DR64" s="61" t="str">
        <f t="shared" si="360"/>
        <v/>
      </c>
      <c r="DS64" s="128" t="str">
        <f t="shared" si="360"/>
        <v/>
      </c>
      <c r="DT64" s="128">
        <f t="shared" si="360"/>
        <v>7</v>
      </c>
      <c r="DU64" s="128" t="str">
        <f t="shared" si="360"/>
        <v/>
      </c>
      <c r="DV64" s="128">
        <f t="shared" si="360"/>
        <v>5</v>
      </c>
      <c r="DW64" s="128">
        <f t="shared" si="360"/>
        <v>4</v>
      </c>
      <c r="DX64" s="128"/>
      <c r="DY64" s="128"/>
      <c r="DZ64" s="128" t="str">
        <f t="shared" si="360"/>
        <v/>
      </c>
      <c r="EA64" s="61" t="str">
        <f t="shared" si="360"/>
        <v/>
      </c>
      <c r="EB64" s="128" t="str">
        <f t="shared" si="360"/>
        <v/>
      </c>
      <c r="EC64" s="128" t="str">
        <f t="shared" si="360"/>
        <v/>
      </c>
      <c r="ED64" s="128" t="str">
        <f t="shared" si="360"/>
        <v/>
      </c>
      <c r="EE64" s="128" t="str">
        <f t="shared" si="360"/>
        <v/>
      </c>
      <c r="EF64" s="128" t="str">
        <f t="shared" si="360"/>
        <v/>
      </c>
      <c r="EG64" s="128" t="str">
        <f t="shared" si="360"/>
        <v/>
      </c>
      <c r="EH64" s="61" t="str">
        <f t="shared" si="360"/>
        <v/>
      </c>
      <c r="EI64" s="128" t="str">
        <f t="shared" si="360"/>
        <v/>
      </c>
      <c r="EJ64" s="128" t="str">
        <f t="shared" si="360"/>
        <v/>
      </c>
      <c r="EK64" s="128" t="str">
        <f t="shared" si="360"/>
        <v/>
      </c>
      <c r="EL64" s="128" t="str">
        <f t="shared" si="360"/>
        <v/>
      </c>
      <c r="EM64" s="128" t="str">
        <f t="shared" si="360"/>
        <v/>
      </c>
      <c r="EN64" s="128" t="str">
        <f t="shared" si="360"/>
        <v/>
      </c>
      <c r="EO64" s="61" t="str">
        <f t="shared" si="360"/>
        <v/>
      </c>
      <c r="EP64" s="128" t="str">
        <f t="shared" si="360"/>
        <v/>
      </c>
      <c r="EQ64" s="128" t="str">
        <f t="shared" si="360"/>
        <v/>
      </c>
      <c r="ER64" s="128" t="str">
        <f t="shared" si="360"/>
        <v/>
      </c>
      <c r="ES64" s="128" t="str">
        <f t="shared" si="360"/>
        <v/>
      </c>
      <c r="ET64" s="128" t="str">
        <f t="shared" si="360"/>
        <v/>
      </c>
      <c r="EU64" s="128" t="str">
        <f t="shared" si="360"/>
        <v/>
      </c>
      <c r="EV64" s="61" t="str">
        <f t="shared" si="360"/>
        <v/>
      </c>
      <c r="EW64" s="128" t="str">
        <f t="shared" si="360"/>
        <v/>
      </c>
      <c r="EX64" s="128" t="str">
        <f t="shared" si="360"/>
        <v/>
      </c>
      <c r="EY64" s="128" t="str">
        <f t="shared" si="360"/>
        <v/>
      </c>
      <c r="EZ64" s="128" t="str">
        <f t="shared" si="360"/>
        <v/>
      </c>
      <c r="FA64" s="128" t="str">
        <f t="shared" si="360"/>
        <v/>
      </c>
      <c r="FB64" s="128" t="str">
        <f t="shared" si="360"/>
        <v/>
      </c>
      <c r="FC64" s="61" t="str">
        <f t="shared" si="360"/>
        <v/>
      </c>
      <c r="FD64" s="128" t="str">
        <f t="shared" si="360"/>
        <v/>
      </c>
      <c r="FE64" s="128" t="str">
        <f t="shared" ref="FE64:HP64" si="362">IF(SUM(FE41:FE62) &gt; 0, SUM(FE41:FE62), "")</f>
        <v/>
      </c>
      <c r="FF64" s="128" t="str">
        <f t="shared" si="362"/>
        <v/>
      </c>
      <c r="FG64" s="128" t="str">
        <f t="shared" si="362"/>
        <v/>
      </c>
      <c r="FH64" s="128" t="str">
        <f t="shared" si="362"/>
        <v/>
      </c>
      <c r="FI64" s="128" t="str">
        <f t="shared" si="362"/>
        <v/>
      </c>
      <c r="FJ64" s="61" t="str">
        <f t="shared" si="362"/>
        <v/>
      </c>
      <c r="FK64" s="128" t="str">
        <f t="shared" si="362"/>
        <v/>
      </c>
      <c r="FL64" s="128" t="str">
        <f t="shared" si="362"/>
        <v/>
      </c>
      <c r="FM64" s="128" t="str">
        <f t="shared" si="362"/>
        <v/>
      </c>
      <c r="FN64" s="128" t="str">
        <f t="shared" si="362"/>
        <v/>
      </c>
      <c r="FO64" s="128" t="str">
        <f t="shared" si="362"/>
        <v/>
      </c>
      <c r="FP64" s="128" t="str">
        <f t="shared" si="362"/>
        <v/>
      </c>
      <c r="FQ64" s="61" t="str">
        <f t="shared" si="362"/>
        <v/>
      </c>
      <c r="FR64" s="128" t="str">
        <f t="shared" si="362"/>
        <v/>
      </c>
      <c r="FS64" s="128" t="str">
        <f t="shared" si="362"/>
        <v/>
      </c>
      <c r="FT64" s="128" t="str">
        <f t="shared" si="362"/>
        <v/>
      </c>
      <c r="FU64" s="128" t="str">
        <f t="shared" si="362"/>
        <v/>
      </c>
      <c r="FV64" s="128" t="str">
        <f t="shared" si="362"/>
        <v/>
      </c>
      <c r="FW64" s="128" t="str">
        <f t="shared" si="362"/>
        <v/>
      </c>
      <c r="FX64" s="61" t="str">
        <f t="shared" si="362"/>
        <v/>
      </c>
      <c r="FY64" s="128" t="str">
        <f t="shared" si="362"/>
        <v/>
      </c>
      <c r="FZ64" s="128" t="str">
        <f t="shared" si="362"/>
        <v/>
      </c>
      <c r="GA64" s="128" t="str">
        <f t="shared" si="362"/>
        <v/>
      </c>
      <c r="GB64" s="128" t="str">
        <f t="shared" si="362"/>
        <v/>
      </c>
      <c r="GC64" s="128" t="str">
        <f t="shared" si="362"/>
        <v/>
      </c>
      <c r="GD64" s="128" t="str">
        <f t="shared" si="362"/>
        <v/>
      </c>
      <c r="GE64" s="61" t="str">
        <f t="shared" si="362"/>
        <v/>
      </c>
      <c r="GF64" s="128" t="str">
        <f t="shared" si="362"/>
        <v/>
      </c>
      <c r="GG64" s="128" t="str">
        <f t="shared" si="362"/>
        <v/>
      </c>
      <c r="GH64" s="128" t="str">
        <f t="shared" si="362"/>
        <v/>
      </c>
      <c r="GI64" s="128" t="str">
        <f t="shared" si="362"/>
        <v/>
      </c>
      <c r="GJ64" s="128" t="str">
        <f t="shared" si="362"/>
        <v/>
      </c>
      <c r="GK64" s="128" t="str">
        <f t="shared" si="362"/>
        <v/>
      </c>
      <c r="GL64" s="61" t="str">
        <f t="shared" si="362"/>
        <v/>
      </c>
      <c r="GM64" s="128" t="str">
        <f t="shared" si="362"/>
        <v/>
      </c>
      <c r="GN64" s="128" t="str">
        <f t="shared" si="362"/>
        <v/>
      </c>
      <c r="GO64" s="128" t="str">
        <f t="shared" si="362"/>
        <v/>
      </c>
      <c r="GP64" s="128" t="str">
        <f t="shared" si="362"/>
        <v/>
      </c>
      <c r="GQ64" s="128" t="str">
        <f t="shared" si="362"/>
        <v/>
      </c>
      <c r="GR64" s="128" t="str">
        <f t="shared" si="362"/>
        <v/>
      </c>
      <c r="GS64" s="61" t="str">
        <f t="shared" si="362"/>
        <v/>
      </c>
      <c r="GT64" s="128" t="str">
        <f t="shared" si="362"/>
        <v/>
      </c>
      <c r="GU64" s="128" t="str">
        <f t="shared" si="362"/>
        <v/>
      </c>
      <c r="GV64" s="128" t="str">
        <f t="shared" si="362"/>
        <v/>
      </c>
      <c r="GW64" s="128" t="str">
        <f t="shared" si="362"/>
        <v/>
      </c>
      <c r="GX64" s="128" t="str">
        <f t="shared" si="362"/>
        <v/>
      </c>
      <c r="GY64" s="128" t="str">
        <f t="shared" si="362"/>
        <v/>
      </c>
      <c r="GZ64" s="61" t="str">
        <f t="shared" si="362"/>
        <v/>
      </c>
      <c r="HA64" s="128" t="str">
        <f t="shared" si="362"/>
        <v/>
      </c>
      <c r="HB64" s="128" t="str">
        <f t="shared" si="362"/>
        <v/>
      </c>
      <c r="HC64" s="128" t="str">
        <f t="shared" si="362"/>
        <v/>
      </c>
      <c r="HD64" s="128" t="str">
        <f t="shared" si="362"/>
        <v/>
      </c>
      <c r="HE64" s="128" t="str">
        <f t="shared" si="362"/>
        <v/>
      </c>
      <c r="HF64" s="128" t="str">
        <f t="shared" si="362"/>
        <v/>
      </c>
      <c r="HG64" s="61" t="str">
        <f t="shared" si="362"/>
        <v/>
      </c>
      <c r="HH64" s="128" t="str">
        <f t="shared" si="362"/>
        <v/>
      </c>
      <c r="HI64" s="128" t="str">
        <f t="shared" si="362"/>
        <v/>
      </c>
      <c r="HJ64" s="128" t="str">
        <f t="shared" si="362"/>
        <v/>
      </c>
      <c r="HK64" s="128" t="str">
        <f t="shared" si="362"/>
        <v/>
      </c>
      <c r="HL64" s="128" t="str">
        <f t="shared" si="362"/>
        <v/>
      </c>
      <c r="HM64" s="128" t="str">
        <f t="shared" si="362"/>
        <v/>
      </c>
      <c r="HN64" s="61" t="str">
        <f t="shared" si="362"/>
        <v/>
      </c>
      <c r="HO64" s="128" t="str">
        <f t="shared" si="362"/>
        <v/>
      </c>
      <c r="HP64" s="128" t="str">
        <f t="shared" si="362"/>
        <v/>
      </c>
      <c r="HQ64" s="128" t="str">
        <f t="shared" ref="HQ64:KB64" si="363">IF(SUM(HQ41:HQ62) &gt; 0, SUM(HQ41:HQ62), "")</f>
        <v/>
      </c>
      <c r="HR64" s="128" t="str">
        <f t="shared" si="363"/>
        <v/>
      </c>
      <c r="HS64" s="128" t="str">
        <f t="shared" si="363"/>
        <v/>
      </c>
      <c r="HT64" s="128" t="str">
        <f t="shared" si="363"/>
        <v/>
      </c>
      <c r="HU64" s="61" t="str">
        <f t="shared" si="363"/>
        <v/>
      </c>
      <c r="HV64" s="128" t="str">
        <f t="shared" si="363"/>
        <v/>
      </c>
      <c r="HW64" s="128" t="str">
        <f t="shared" si="363"/>
        <v/>
      </c>
      <c r="HX64" s="128" t="str">
        <f t="shared" si="363"/>
        <v/>
      </c>
      <c r="HY64" s="128" t="str">
        <f t="shared" si="363"/>
        <v/>
      </c>
      <c r="HZ64" s="128" t="str">
        <f t="shared" si="363"/>
        <v/>
      </c>
      <c r="IA64" s="128" t="str">
        <f t="shared" si="363"/>
        <v/>
      </c>
      <c r="IB64" s="61" t="str">
        <f t="shared" si="363"/>
        <v/>
      </c>
      <c r="IC64" s="128" t="str">
        <f t="shared" si="363"/>
        <v/>
      </c>
      <c r="ID64" s="128" t="str">
        <f t="shared" si="363"/>
        <v/>
      </c>
      <c r="IE64" s="128" t="str">
        <f t="shared" si="363"/>
        <v/>
      </c>
      <c r="IF64" s="128" t="str">
        <f t="shared" si="363"/>
        <v/>
      </c>
      <c r="IG64" s="128" t="str">
        <f t="shared" si="363"/>
        <v/>
      </c>
      <c r="IH64" s="128" t="str">
        <f t="shared" si="363"/>
        <v/>
      </c>
      <c r="II64" s="61" t="str">
        <f t="shared" si="363"/>
        <v/>
      </c>
      <c r="IJ64" s="128" t="str">
        <f t="shared" si="363"/>
        <v/>
      </c>
      <c r="IK64" s="128" t="str">
        <f t="shared" si="363"/>
        <v/>
      </c>
      <c r="IL64" s="128" t="str">
        <f t="shared" si="363"/>
        <v/>
      </c>
      <c r="IM64" s="128" t="str">
        <f t="shared" si="363"/>
        <v/>
      </c>
      <c r="IN64" s="128" t="str">
        <f t="shared" si="363"/>
        <v/>
      </c>
      <c r="IO64" s="128" t="str">
        <f t="shared" si="363"/>
        <v/>
      </c>
      <c r="IP64" s="61" t="str">
        <f t="shared" si="363"/>
        <v/>
      </c>
      <c r="IQ64" s="128" t="str">
        <f t="shared" si="363"/>
        <v/>
      </c>
      <c r="IR64" s="128" t="str">
        <f t="shared" si="363"/>
        <v/>
      </c>
      <c r="IS64" s="128" t="str">
        <f t="shared" si="363"/>
        <v/>
      </c>
      <c r="IT64" s="128" t="str">
        <f t="shared" si="363"/>
        <v/>
      </c>
      <c r="IU64" s="128" t="str">
        <f t="shared" si="363"/>
        <v/>
      </c>
      <c r="IV64" s="128" t="str">
        <f t="shared" si="363"/>
        <v/>
      </c>
      <c r="IW64" s="61" t="str">
        <f t="shared" si="363"/>
        <v/>
      </c>
      <c r="IX64" s="128" t="str">
        <f t="shared" si="363"/>
        <v/>
      </c>
      <c r="IY64" s="128" t="str">
        <f t="shared" si="363"/>
        <v/>
      </c>
      <c r="IZ64" s="128" t="str">
        <f t="shared" si="363"/>
        <v/>
      </c>
      <c r="JA64" s="128" t="str">
        <f t="shared" si="363"/>
        <v/>
      </c>
      <c r="JB64" s="128" t="str">
        <f t="shared" si="363"/>
        <v/>
      </c>
      <c r="JC64" s="128" t="str">
        <f t="shared" si="363"/>
        <v/>
      </c>
      <c r="JD64" s="61" t="str">
        <f t="shared" si="363"/>
        <v/>
      </c>
      <c r="JE64" s="128" t="str">
        <f t="shared" si="363"/>
        <v/>
      </c>
      <c r="JF64" s="128" t="str">
        <f t="shared" si="363"/>
        <v/>
      </c>
      <c r="JG64" s="128" t="str">
        <f t="shared" si="363"/>
        <v/>
      </c>
      <c r="JH64" s="128" t="str">
        <f t="shared" si="363"/>
        <v/>
      </c>
      <c r="JI64" s="128" t="str">
        <f t="shared" si="363"/>
        <v/>
      </c>
      <c r="JJ64" s="128" t="str">
        <f t="shared" si="363"/>
        <v/>
      </c>
      <c r="JK64" s="61" t="str">
        <f t="shared" si="363"/>
        <v/>
      </c>
      <c r="JL64" s="128" t="str">
        <f t="shared" si="363"/>
        <v/>
      </c>
      <c r="JM64" s="128" t="str">
        <f t="shared" si="363"/>
        <v/>
      </c>
      <c r="JN64" s="128" t="str">
        <f t="shared" si="363"/>
        <v/>
      </c>
      <c r="JO64" s="128" t="str">
        <f t="shared" si="363"/>
        <v/>
      </c>
      <c r="JP64" s="128" t="str">
        <f t="shared" si="363"/>
        <v/>
      </c>
      <c r="JQ64" s="128" t="str">
        <f t="shared" si="363"/>
        <v/>
      </c>
      <c r="JR64" s="61" t="str">
        <f t="shared" si="363"/>
        <v/>
      </c>
      <c r="JS64" s="128" t="str">
        <f t="shared" si="363"/>
        <v/>
      </c>
      <c r="JT64" s="128" t="str">
        <f t="shared" si="363"/>
        <v/>
      </c>
      <c r="JU64" s="128" t="str">
        <f t="shared" si="363"/>
        <v/>
      </c>
      <c r="JV64" s="128" t="str">
        <f t="shared" si="363"/>
        <v/>
      </c>
      <c r="JW64" s="128" t="str">
        <f t="shared" si="363"/>
        <v/>
      </c>
      <c r="JX64" s="128" t="str">
        <f t="shared" si="363"/>
        <v/>
      </c>
      <c r="JY64" s="61" t="str">
        <f t="shared" si="363"/>
        <v/>
      </c>
      <c r="JZ64" s="128" t="str">
        <f t="shared" si="363"/>
        <v/>
      </c>
      <c r="KA64" s="128" t="str">
        <f t="shared" si="363"/>
        <v/>
      </c>
      <c r="KB64" s="128" t="str">
        <f t="shared" si="363"/>
        <v/>
      </c>
      <c r="KC64" s="128" t="str">
        <f t="shared" ref="KC64:MJ64" si="364">IF(SUM(KC41:KC62) &gt; 0, SUM(KC41:KC62), "")</f>
        <v/>
      </c>
      <c r="KD64" s="128" t="str">
        <f t="shared" si="364"/>
        <v/>
      </c>
      <c r="KE64" s="128" t="str">
        <f t="shared" si="364"/>
        <v/>
      </c>
      <c r="KF64" s="61" t="str">
        <f t="shared" si="364"/>
        <v/>
      </c>
      <c r="KG64" s="128" t="str">
        <f t="shared" si="364"/>
        <v/>
      </c>
      <c r="KH64" s="128" t="str">
        <f t="shared" si="364"/>
        <v/>
      </c>
      <c r="KI64" s="128" t="str">
        <f t="shared" si="364"/>
        <v/>
      </c>
      <c r="KJ64" s="128" t="str">
        <f t="shared" si="364"/>
        <v/>
      </c>
      <c r="KK64" s="128" t="str">
        <f t="shared" si="364"/>
        <v/>
      </c>
      <c r="KL64" s="128" t="str">
        <f t="shared" si="364"/>
        <v/>
      </c>
      <c r="KM64" s="61" t="str">
        <f t="shared" si="364"/>
        <v/>
      </c>
      <c r="KN64" s="128" t="str">
        <f t="shared" si="364"/>
        <v/>
      </c>
      <c r="KO64" s="128" t="str">
        <f t="shared" si="364"/>
        <v/>
      </c>
      <c r="KP64" s="128" t="str">
        <f t="shared" si="364"/>
        <v/>
      </c>
      <c r="KQ64" s="128" t="str">
        <f t="shared" si="364"/>
        <v/>
      </c>
      <c r="KR64" s="128" t="str">
        <f t="shared" si="364"/>
        <v/>
      </c>
      <c r="KS64" s="128" t="str">
        <f t="shared" si="364"/>
        <v/>
      </c>
      <c r="KT64" s="61" t="str">
        <f t="shared" si="364"/>
        <v/>
      </c>
      <c r="KU64" s="128" t="str">
        <f t="shared" si="364"/>
        <v/>
      </c>
      <c r="KV64" s="128" t="str">
        <f t="shared" si="364"/>
        <v/>
      </c>
      <c r="KW64" s="128" t="str">
        <f t="shared" si="364"/>
        <v/>
      </c>
      <c r="KX64" s="128" t="str">
        <f t="shared" si="364"/>
        <v/>
      </c>
      <c r="KY64" s="128" t="str">
        <f t="shared" si="364"/>
        <v/>
      </c>
      <c r="KZ64" s="128" t="str">
        <f t="shared" si="364"/>
        <v/>
      </c>
      <c r="LA64" s="61" t="str">
        <f t="shared" si="364"/>
        <v/>
      </c>
      <c r="LB64" s="128" t="str">
        <f t="shared" si="364"/>
        <v/>
      </c>
      <c r="LC64" s="128" t="str">
        <f t="shared" si="364"/>
        <v/>
      </c>
      <c r="LD64" s="128" t="str">
        <f t="shared" si="364"/>
        <v/>
      </c>
      <c r="LE64" s="128" t="str">
        <f t="shared" si="364"/>
        <v/>
      </c>
      <c r="LF64" s="128" t="str">
        <f t="shared" si="364"/>
        <v/>
      </c>
      <c r="LG64" s="128" t="str">
        <f t="shared" si="364"/>
        <v/>
      </c>
      <c r="LH64" s="61" t="str">
        <f t="shared" si="364"/>
        <v/>
      </c>
      <c r="LI64" s="128" t="str">
        <f t="shared" si="364"/>
        <v/>
      </c>
      <c r="LJ64" s="128" t="str">
        <f t="shared" si="364"/>
        <v/>
      </c>
      <c r="LK64" s="128" t="str">
        <f t="shared" si="364"/>
        <v/>
      </c>
      <c r="LL64" s="128" t="str">
        <f t="shared" si="364"/>
        <v/>
      </c>
      <c r="LM64" s="128" t="str">
        <f t="shared" si="364"/>
        <v/>
      </c>
      <c r="LN64" s="128" t="str">
        <f t="shared" si="364"/>
        <v/>
      </c>
      <c r="LO64" s="61" t="str">
        <f t="shared" si="364"/>
        <v/>
      </c>
      <c r="LP64" s="128" t="str">
        <f t="shared" si="364"/>
        <v/>
      </c>
      <c r="LQ64" s="128" t="str">
        <f t="shared" si="364"/>
        <v/>
      </c>
      <c r="LR64" s="128" t="str">
        <f t="shared" si="364"/>
        <v/>
      </c>
      <c r="LS64" s="128" t="str">
        <f t="shared" si="364"/>
        <v/>
      </c>
      <c r="LT64" s="128" t="str">
        <f t="shared" si="364"/>
        <v/>
      </c>
      <c r="LU64" s="128" t="str">
        <f t="shared" si="364"/>
        <v/>
      </c>
      <c r="LV64" s="61" t="str">
        <f t="shared" si="364"/>
        <v/>
      </c>
      <c r="LW64" s="128" t="str">
        <f t="shared" si="364"/>
        <v/>
      </c>
      <c r="LX64" s="128" t="str">
        <f t="shared" si="364"/>
        <v/>
      </c>
      <c r="LY64" s="128" t="str">
        <f t="shared" si="364"/>
        <v/>
      </c>
      <c r="LZ64" s="128" t="str">
        <f t="shared" si="364"/>
        <v/>
      </c>
      <c r="MA64" s="128" t="str">
        <f t="shared" si="364"/>
        <v/>
      </c>
      <c r="MB64" s="128" t="str">
        <f t="shared" si="364"/>
        <v/>
      </c>
      <c r="MC64" s="61" t="str">
        <f t="shared" si="364"/>
        <v/>
      </c>
      <c r="MD64" s="128" t="str">
        <f t="shared" si="364"/>
        <v/>
      </c>
      <c r="ME64" s="128" t="str">
        <f t="shared" si="364"/>
        <v/>
      </c>
      <c r="MF64" s="128" t="str">
        <f t="shared" si="364"/>
        <v/>
      </c>
      <c r="MG64" s="128" t="str">
        <f t="shared" si="364"/>
        <v/>
      </c>
      <c r="MH64" s="128" t="str">
        <f t="shared" si="364"/>
        <v/>
      </c>
      <c r="MI64" s="128" t="str">
        <f t="shared" si="364"/>
        <v/>
      </c>
      <c r="MJ64" s="61" t="str">
        <f t="shared" si="364"/>
        <v/>
      </c>
    </row>
    <row r="65" spans="1:348" ht="72.75" hidden="1" customHeight="1" x14ac:dyDescent="0.25">
      <c r="A65" s="122"/>
      <c r="B65" s="118"/>
      <c r="C65" s="118"/>
      <c r="D65" s="118"/>
      <c r="E65" s="123"/>
      <c r="F65" s="118"/>
      <c r="G65" s="118"/>
      <c r="H65" s="118"/>
      <c r="I65" s="118"/>
      <c r="J65" s="118"/>
      <c r="K65" s="118"/>
      <c r="L65" s="118"/>
      <c r="M65" s="118"/>
      <c r="N65" s="118"/>
      <c r="O65" s="118"/>
      <c r="P65" s="124" t="s">
        <v>410</v>
      </c>
      <c r="Q65" s="125" t="s">
        <v>410</v>
      </c>
      <c r="R65" s="126"/>
      <c r="S65" s="49">
        <f t="shared" ref="S65:AX65" si="365">S1</f>
        <v>43975</v>
      </c>
      <c r="T65" s="49">
        <f t="shared" si="365"/>
        <v>43976</v>
      </c>
      <c r="U65" s="49">
        <f t="shared" si="365"/>
        <v>43977</v>
      </c>
      <c r="V65" s="49">
        <f t="shared" si="365"/>
        <v>43978</v>
      </c>
      <c r="W65" s="49">
        <f t="shared" si="365"/>
        <v>43979</v>
      </c>
      <c r="X65" s="49">
        <f t="shared" si="365"/>
        <v>43980</v>
      </c>
      <c r="Y65" s="49">
        <f t="shared" si="365"/>
        <v>43981</v>
      </c>
      <c r="Z65" s="49">
        <f t="shared" si="365"/>
        <v>43982</v>
      </c>
      <c r="AA65" s="49">
        <f t="shared" si="365"/>
        <v>43983</v>
      </c>
      <c r="AB65" s="49">
        <f t="shared" si="365"/>
        <v>43984</v>
      </c>
      <c r="AC65" s="49">
        <f t="shared" si="365"/>
        <v>43985</v>
      </c>
      <c r="AD65" s="49">
        <f t="shared" si="365"/>
        <v>43986</v>
      </c>
      <c r="AE65" s="49">
        <f t="shared" si="365"/>
        <v>43987</v>
      </c>
      <c r="AF65" s="49">
        <f t="shared" si="365"/>
        <v>43988</v>
      </c>
      <c r="AG65" s="49">
        <f t="shared" si="365"/>
        <v>43989</v>
      </c>
      <c r="AH65" s="49">
        <f t="shared" si="365"/>
        <v>43990</v>
      </c>
      <c r="AI65" s="49">
        <f t="shared" si="365"/>
        <v>43991</v>
      </c>
      <c r="AJ65" s="49">
        <f t="shared" si="365"/>
        <v>43992</v>
      </c>
      <c r="AK65" s="49">
        <f t="shared" si="365"/>
        <v>43993</v>
      </c>
      <c r="AL65" s="49">
        <f t="shared" si="365"/>
        <v>43994</v>
      </c>
      <c r="AM65" s="49">
        <f t="shared" si="365"/>
        <v>43995</v>
      </c>
      <c r="AN65" s="49">
        <f t="shared" si="365"/>
        <v>43996</v>
      </c>
      <c r="AO65" s="49">
        <f t="shared" si="365"/>
        <v>43997</v>
      </c>
      <c r="AP65" s="49">
        <f t="shared" si="365"/>
        <v>43998</v>
      </c>
      <c r="AQ65" s="49">
        <f t="shared" si="365"/>
        <v>43999</v>
      </c>
      <c r="AR65" s="49">
        <f t="shared" si="365"/>
        <v>44000</v>
      </c>
      <c r="AS65" s="49">
        <f t="shared" si="365"/>
        <v>44001</v>
      </c>
      <c r="AT65" s="49">
        <f t="shared" si="365"/>
        <v>44002</v>
      </c>
      <c r="AU65" s="49">
        <f t="shared" si="365"/>
        <v>44003</v>
      </c>
      <c r="AV65" s="49">
        <f t="shared" si="365"/>
        <v>44004</v>
      </c>
      <c r="AW65" s="49">
        <f t="shared" si="365"/>
        <v>44005</v>
      </c>
      <c r="AX65" s="49">
        <f t="shared" si="365"/>
        <v>44006</v>
      </c>
      <c r="AY65" s="49">
        <f t="shared" ref="AY65:BW65" si="366">AY1</f>
        <v>44007</v>
      </c>
      <c r="AZ65" s="49">
        <f t="shared" si="366"/>
        <v>44008</v>
      </c>
      <c r="BA65" s="49">
        <f t="shared" si="366"/>
        <v>44009</v>
      </c>
      <c r="BB65" s="49">
        <f t="shared" si="366"/>
        <v>44010</v>
      </c>
      <c r="BC65" s="49">
        <f t="shared" si="366"/>
        <v>44011</v>
      </c>
      <c r="BD65" s="49">
        <f t="shared" si="366"/>
        <v>44012</v>
      </c>
      <c r="BE65" s="49">
        <f t="shared" si="366"/>
        <v>44013</v>
      </c>
      <c r="BF65" s="49">
        <f t="shared" si="366"/>
        <v>44014</v>
      </c>
      <c r="BG65" s="49">
        <f t="shared" si="366"/>
        <v>44015</v>
      </c>
      <c r="BH65" s="49">
        <f t="shared" si="366"/>
        <v>44016</v>
      </c>
      <c r="BI65" s="49">
        <f t="shared" si="366"/>
        <v>44017</v>
      </c>
      <c r="BJ65" s="49">
        <f t="shared" si="366"/>
        <v>44018</v>
      </c>
      <c r="BK65" s="49">
        <f t="shared" si="366"/>
        <v>44019</v>
      </c>
      <c r="BL65" s="49">
        <f t="shared" si="366"/>
        <v>44020</v>
      </c>
      <c r="BM65" s="49">
        <f t="shared" si="366"/>
        <v>44021</v>
      </c>
      <c r="BN65" s="49">
        <f t="shared" si="366"/>
        <v>44022</v>
      </c>
      <c r="BO65" s="49">
        <f t="shared" si="366"/>
        <v>44023</v>
      </c>
      <c r="BP65" s="49">
        <f t="shared" si="366"/>
        <v>44024</v>
      </c>
      <c r="BQ65" s="49">
        <f t="shared" si="366"/>
        <v>44025</v>
      </c>
      <c r="BR65" s="49">
        <f t="shared" si="366"/>
        <v>44026</v>
      </c>
      <c r="BS65" s="49">
        <f t="shared" si="366"/>
        <v>44027</v>
      </c>
      <c r="BT65" s="49">
        <f t="shared" si="366"/>
        <v>44028</v>
      </c>
      <c r="BU65" s="49">
        <f t="shared" si="366"/>
        <v>44029</v>
      </c>
      <c r="BV65" s="49">
        <f t="shared" si="366"/>
        <v>44030</v>
      </c>
      <c r="BW65" s="49">
        <f t="shared" si="366"/>
        <v>44031</v>
      </c>
      <c r="BX65" s="49"/>
      <c r="BY65" s="49"/>
      <c r="BZ65" s="49"/>
      <c r="CA65" s="49"/>
      <c r="CB65" s="49"/>
      <c r="CC65" s="49"/>
      <c r="CD65" s="49"/>
      <c r="CE65" s="49"/>
      <c r="CF65" s="49"/>
      <c r="CG65" s="49"/>
      <c r="CH65" s="49"/>
      <c r="CI65" s="49"/>
      <c r="CJ65" s="49"/>
      <c r="CK65" s="49"/>
      <c r="CL65" s="49"/>
      <c r="CM65" s="49"/>
      <c r="CN65" s="49"/>
      <c r="CO65" s="49"/>
      <c r="CP65" s="49"/>
      <c r="CQ65" s="49"/>
      <c r="CR65" s="49"/>
      <c r="CS65" s="49"/>
      <c r="CT65" s="49"/>
      <c r="CU65" s="49"/>
      <c r="CV65" s="49"/>
      <c r="CW65" s="49"/>
      <c r="CX65" s="49"/>
      <c r="CY65" s="49"/>
      <c r="CZ65" s="49"/>
      <c r="DA65" s="49"/>
      <c r="DB65" s="49"/>
      <c r="DC65" s="49"/>
      <c r="DD65" s="49"/>
      <c r="DE65" s="49"/>
      <c r="DF65" s="49"/>
      <c r="DG65" s="49"/>
      <c r="DH65" s="49"/>
      <c r="DI65" s="49"/>
      <c r="DJ65" s="49"/>
      <c r="DK65" s="49"/>
      <c r="DL65" s="49"/>
      <c r="DM65" s="49"/>
      <c r="DN65" s="49"/>
      <c r="DO65" s="49"/>
      <c r="DP65" s="49"/>
      <c r="DQ65" s="49"/>
      <c r="DR65" s="49"/>
      <c r="DS65" s="49">
        <f t="shared" ref="DS65:FK65" si="367">DS1</f>
        <v>44067</v>
      </c>
      <c r="DT65" s="49">
        <f t="shared" si="367"/>
        <v>44068</v>
      </c>
      <c r="DU65" s="49">
        <f t="shared" si="367"/>
        <v>44069</v>
      </c>
      <c r="DV65" s="49">
        <f t="shared" si="367"/>
        <v>44070</v>
      </c>
      <c r="DW65" s="49">
        <f t="shared" si="367"/>
        <v>44071</v>
      </c>
      <c r="DX65" s="49">
        <f t="shared" si="367"/>
        <v>44072</v>
      </c>
      <c r="DY65" s="49">
        <f t="shared" si="367"/>
        <v>44073</v>
      </c>
      <c r="DZ65" s="49"/>
      <c r="EA65" s="49"/>
      <c r="EB65" s="49">
        <f t="shared" si="367"/>
        <v>44074</v>
      </c>
      <c r="EC65" s="49">
        <f t="shared" si="367"/>
        <v>44075</v>
      </c>
      <c r="ED65" s="49">
        <f t="shared" si="367"/>
        <v>44076</v>
      </c>
      <c r="EE65" s="49">
        <f t="shared" si="367"/>
        <v>44077</v>
      </c>
      <c r="EF65" s="49">
        <f t="shared" si="367"/>
        <v>44078</v>
      </c>
      <c r="EG65" s="49">
        <f t="shared" si="367"/>
        <v>44079</v>
      </c>
      <c r="EH65" s="49">
        <f t="shared" si="367"/>
        <v>44080</v>
      </c>
      <c r="EI65" s="49">
        <f t="shared" si="367"/>
        <v>44081</v>
      </c>
      <c r="EJ65" s="49">
        <f t="shared" si="367"/>
        <v>44082</v>
      </c>
      <c r="EK65" s="49">
        <f t="shared" si="367"/>
        <v>44083</v>
      </c>
      <c r="EL65" s="49">
        <f t="shared" si="367"/>
        <v>44084</v>
      </c>
      <c r="EM65" s="49">
        <f t="shared" si="367"/>
        <v>44085</v>
      </c>
      <c r="EN65" s="49">
        <f t="shared" si="367"/>
        <v>44086</v>
      </c>
      <c r="EO65" s="49">
        <f t="shared" si="367"/>
        <v>44087</v>
      </c>
      <c r="EP65" s="49">
        <f t="shared" si="367"/>
        <v>44088</v>
      </c>
      <c r="EQ65" s="49">
        <f t="shared" si="367"/>
        <v>44089</v>
      </c>
      <c r="ER65" s="49">
        <f t="shared" si="367"/>
        <v>44090</v>
      </c>
      <c r="ES65" s="49">
        <f t="shared" si="367"/>
        <v>44091</v>
      </c>
      <c r="ET65" s="49">
        <f t="shared" si="367"/>
        <v>44092</v>
      </c>
      <c r="EU65" s="49">
        <f t="shared" si="367"/>
        <v>44093</v>
      </c>
      <c r="EV65" s="49">
        <f t="shared" si="367"/>
        <v>44094</v>
      </c>
      <c r="EW65" s="49">
        <f t="shared" si="367"/>
        <v>44095</v>
      </c>
      <c r="EX65" s="49">
        <f t="shared" si="367"/>
        <v>44096</v>
      </c>
      <c r="EY65" s="49">
        <f t="shared" si="367"/>
        <v>44097</v>
      </c>
      <c r="EZ65" s="49">
        <f t="shared" si="367"/>
        <v>44098</v>
      </c>
      <c r="FA65" s="49">
        <f t="shared" si="367"/>
        <v>44099</v>
      </c>
      <c r="FB65" s="49">
        <f t="shared" si="367"/>
        <v>44100</v>
      </c>
      <c r="FC65" s="49">
        <f t="shared" si="367"/>
        <v>44101</v>
      </c>
      <c r="FD65" s="49">
        <f t="shared" si="367"/>
        <v>44102</v>
      </c>
      <c r="FE65" s="49">
        <f t="shared" si="367"/>
        <v>44103</v>
      </c>
      <c r="FF65" s="49">
        <f t="shared" si="367"/>
        <v>44104</v>
      </c>
      <c r="FG65" s="49">
        <f t="shared" si="367"/>
        <v>44105</v>
      </c>
      <c r="FH65" s="49">
        <f t="shared" si="367"/>
        <v>44106</v>
      </c>
      <c r="FI65" s="49">
        <f t="shared" si="367"/>
        <v>44107</v>
      </c>
      <c r="FJ65" s="49">
        <f t="shared" si="367"/>
        <v>44108</v>
      </c>
      <c r="FK65" s="49">
        <f t="shared" si="367"/>
        <v>44109</v>
      </c>
      <c r="FL65" s="49">
        <f t="shared" ref="FL65:HW65" si="368">FL1</f>
        <v>44110</v>
      </c>
      <c r="FM65" s="49">
        <f t="shared" si="368"/>
        <v>44111</v>
      </c>
      <c r="FN65" s="49">
        <f t="shared" si="368"/>
        <v>44112</v>
      </c>
      <c r="FO65" s="49">
        <f t="shared" si="368"/>
        <v>44113</v>
      </c>
      <c r="FP65" s="49">
        <f t="shared" si="368"/>
        <v>44114</v>
      </c>
      <c r="FQ65" s="49">
        <f t="shared" si="368"/>
        <v>44115</v>
      </c>
      <c r="FR65" s="49">
        <f t="shared" si="368"/>
        <v>44116</v>
      </c>
      <c r="FS65" s="49">
        <f t="shared" si="368"/>
        <v>44117</v>
      </c>
      <c r="FT65" s="49">
        <f t="shared" si="368"/>
        <v>44118</v>
      </c>
      <c r="FU65" s="49">
        <f t="shared" si="368"/>
        <v>44119</v>
      </c>
      <c r="FV65" s="49">
        <f t="shared" si="368"/>
        <v>44120</v>
      </c>
      <c r="FW65" s="49">
        <f t="shared" si="368"/>
        <v>44121</v>
      </c>
      <c r="FX65" s="49">
        <f t="shared" si="368"/>
        <v>44122</v>
      </c>
      <c r="FY65" s="49">
        <f t="shared" si="368"/>
        <v>44123</v>
      </c>
      <c r="FZ65" s="49">
        <f t="shared" si="368"/>
        <v>44124</v>
      </c>
      <c r="GA65" s="49">
        <f t="shared" si="368"/>
        <v>44125</v>
      </c>
      <c r="GB65" s="49">
        <f t="shared" si="368"/>
        <v>44126</v>
      </c>
      <c r="GC65" s="49">
        <f t="shared" si="368"/>
        <v>44127</v>
      </c>
      <c r="GD65" s="49">
        <f t="shared" si="368"/>
        <v>44128</v>
      </c>
      <c r="GE65" s="49">
        <f t="shared" si="368"/>
        <v>44129</v>
      </c>
      <c r="GF65" s="49">
        <f t="shared" si="368"/>
        <v>44130</v>
      </c>
      <c r="GG65" s="49">
        <f t="shared" si="368"/>
        <v>44131</v>
      </c>
      <c r="GH65" s="49">
        <f t="shared" si="368"/>
        <v>44132</v>
      </c>
      <c r="GI65" s="49">
        <f t="shared" si="368"/>
        <v>44133</v>
      </c>
      <c r="GJ65" s="49">
        <f t="shared" si="368"/>
        <v>44134</v>
      </c>
      <c r="GK65" s="49">
        <f t="shared" si="368"/>
        <v>44135</v>
      </c>
      <c r="GL65" s="49">
        <f t="shared" si="368"/>
        <v>44136</v>
      </c>
      <c r="GM65" s="49">
        <f t="shared" si="368"/>
        <v>44137</v>
      </c>
      <c r="GN65" s="49">
        <f t="shared" si="368"/>
        <v>44138</v>
      </c>
      <c r="GO65" s="49">
        <f t="shared" si="368"/>
        <v>44139</v>
      </c>
      <c r="GP65" s="49">
        <f t="shared" si="368"/>
        <v>44140</v>
      </c>
      <c r="GQ65" s="49">
        <f t="shared" si="368"/>
        <v>44141</v>
      </c>
      <c r="GR65" s="49">
        <f t="shared" si="368"/>
        <v>44142</v>
      </c>
      <c r="GS65" s="49">
        <f t="shared" si="368"/>
        <v>44143</v>
      </c>
      <c r="GT65" s="49">
        <f t="shared" si="368"/>
        <v>44144</v>
      </c>
      <c r="GU65" s="49">
        <f t="shared" si="368"/>
        <v>44145</v>
      </c>
      <c r="GV65" s="49">
        <f t="shared" si="368"/>
        <v>44146</v>
      </c>
      <c r="GW65" s="49">
        <f t="shared" si="368"/>
        <v>44147</v>
      </c>
      <c r="GX65" s="49">
        <f t="shared" si="368"/>
        <v>44148</v>
      </c>
      <c r="GY65" s="49">
        <f t="shared" si="368"/>
        <v>44149</v>
      </c>
      <c r="GZ65" s="49">
        <f t="shared" si="368"/>
        <v>44150</v>
      </c>
      <c r="HA65" s="49">
        <f t="shared" si="368"/>
        <v>44151</v>
      </c>
      <c r="HB65" s="49">
        <f t="shared" si="368"/>
        <v>44152</v>
      </c>
      <c r="HC65" s="49">
        <f t="shared" si="368"/>
        <v>44153</v>
      </c>
      <c r="HD65" s="49">
        <f t="shared" si="368"/>
        <v>44154</v>
      </c>
      <c r="HE65" s="49">
        <f t="shared" si="368"/>
        <v>44155</v>
      </c>
      <c r="HF65" s="49">
        <f t="shared" si="368"/>
        <v>44156</v>
      </c>
      <c r="HG65" s="49">
        <f t="shared" si="368"/>
        <v>44157</v>
      </c>
      <c r="HH65" s="49">
        <f t="shared" si="368"/>
        <v>44158</v>
      </c>
      <c r="HI65" s="49">
        <f t="shared" si="368"/>
        <v>44159</v>
      </c>
      <c r="HJ65" s="49">
        <f t="shared" si="368"/>
        <v>44160</v>
      </c>
      <c r="HK65" s="49">
        <f t="shared" si="368"/>
        <v>44161</v>
      </c>
      <c r="HL65" s="49">
        <f t="shared" si="368"/>
        <v>44162</v>
      </c>
      <c r="HM65" s="49">
        <f t="shared" si="368"/>
        <v>44163</v>
      </c>
      <c r="HN65" s="49">
        <f t="shared" si="368"/>
        <v>44164</v>
      </c>
      <c r="HO65" s="49">
        <f t="shared" si="368"/>
        <v>44165</v>
      </c>
      <c r="HP65" s="49">
        <f t="shared" si="368"/>
        <v>44166</v>
      </c>
      <c r="HQ65" s="49">
        <f t="shared" si="368"/>
        <v>44167</v>
      </c>
      <c r="HR65" s="49">
        <f t="shared" si="368"/>
        <v>44168</v>
      </c>
      <c r="HS65" s="49">
        <f t="shared" si="368"/>
        <v>44169</v>
      </c>
      <c r="HT65" s="49">
        <f t="shared" si="368"/>
        <v>44170</v>
      </c>
      <c r="HU65" s="49">
        <f t="shared" si="368"/>
        <v>44171</v>
      </c>
      <c r="HV65" s="49">
        <f t="shared" si="368"/>
        <v>44172</v>
      </c>
      <c r="HW65" s="49">
        <f t="shared" si="368"/>
        <v>44173</v>
      </c>
      <c r="HX65" s="49">
        <f t="shared" ref="HX65:KI65" si="369">HX1</f>
        <v>44174</v>
      </c>
      <c r="HY65" s="49">
        <f t="shared" si="369"/>
        <v>44175</v>
      </c>
      <c r="HZ65" s="49">
        <f t="shared" si="369"/>
        <v>44176</v>
      </c>
      <c r="IA65" s="49">
        <f t="shared" si="369"/>
        <v>44177</v>
      </c>
      <c r="IB65" s="49">
        <f t="shared" si="369"/>
        <v>44178</v>
      </c>
      <c r="IC65" s="49">
        <f t="shared" si="369"/>
        <v>44179</v>
      </c>
      <c r="ID65" s="49">
        <f t="shared" si="369"/>
        <v>44180</v>
      </c>
      <c r="IE65" s="49">
        <f t="shared" si="369"/>
        <v>44181</v>
      </c>
      <c r="IF65" s="49">
        <f t="shared" si="369"/>
        <v>44182</v>
      </c>
      <c r="IG65" s="49">
        <f t="shared" si="369"/>
        <v>44183</v>
      </c>
      <c r="IH65" s="49">
        <f t="shared" si="369"/>
        <v>44184</v>
      </c>
      <c r="II65" s="49">
        <f t="shared" si="369"/>
        <v>44185</v>
      </c>
      <c r="IJ65" s="49">
        <f t="shared" si="369"/>
        <v>44186</v>
      </c>
      <c r="IK65" s="49">
        <f t="shared" si="369"/>
        <v>44187</v>
      </c>
      <c r="IL65" s="49">
        <f t="shared" si="369"/>
        <v>44188</v>
      </c>
      <c r="IM65" s="49">
        <f t="shared" si="369"/>
        <v>44189</v>
      </c>
      <c r="IN65" s="49">
        <f t="shared" si="369"/>
        <v>44190</v>
      </c>
      <c r="IO65" s="49">
        <f t="shared" si="369"/>
        <v>44191</v>
      </c>
      <c r="IP65" s="49">
        <f t="shared" si="369"/>
        <v>44192</v>
      </c>
      <c r="IQ65" s="49">
        <f t="shared" si="369"/>
        <v>44193</v>
      </c>
      <c r="IR65" s="49">
        <f t="shared" si="369"/>
        <v>44194</v>
      </c>
      <c r="IS65" s="49">
        <f t="shared" si="369"/>
        <v>44195</v>
      </c>
      <c r="IT65" s="49">
        <f t="shared" si="369"/>
        <v>44196</v>
      </c>
      <c r="IU65" s="49">
        <f t="shared" si="369"/>
        <v>44197</v>
      </c>
      <c r="IV65" s="49">
        <f t="shared" si="369"/>
        <v>44198</v>
      </c>
      <c r="IW65" s="49">
        <f t="shared" si="369"/>
        <v>44199</v>
      </c>
      <c r="IX65" s="49">
        <f t="shared" si="369"/>
        <v>44200</v>
      </c>
      <c r="IY65" s="49">
        <f t="shared" si="369"/>
        <v>44201</v>
      </c>
      <c r="IZ65" s="49">
        <f t="shared" si="369"/>
        <v>44202</v>
      </c>
      <c r="JA65" s="49">
        <f t="shared" si="369"/>
        <v>44203</v>
      </c>
      <c r="JB65" s="49">
        <f t="shared" si="369"/>
        <v>44204</v>
      </c>
      <c r="JC65" s="49">
        <f t="shared" si="369"/>
        <v>44205</v>
      </c>
      <c r="JD65" s="49">
        <f t="shared" si="369"/>
        <v>44206</v>
      </c>
      <c r="JE65" s="49">
        <f t="shared" si="369"/>
        <v>44207</v>
      </c>
      <c r="JF65" s="49">
        <f t="shared" si="369"/>
        <v>44208</v>
      </c>
      <c r="JG65" s="49">
        <f t="shared" si="369"/>
        <v>44209</v>
      </c>
      <c r="JH65" s="49">
        <f t="shared" si="369"/>
        <v>44210</v>
      </c>
      <c r="JI65" s="49">
        <f t="shared" si="369"/>
        <v>44211</v>
      </c>
      <c r="JJ65" s="49">
        <f t="shared" si="369"/>
        <v>44212</v>
      </c>
      <c r="JK65" s="49">
        <f t="shared" si="369"/>
        <v>44213</v>
      </c>
      <c r="JL65" s="49">
        <f t="shared" si="369"/>
        <v>44214</v>
      </c>
      <c r="JM65" s="49">
        <f t="shared" si="369"/>
        <v>44215</v>
      </c>
      <c r="JN65" s="49">
        <f t="shared" si="369"/>
        <v>44216</v>
      </c>
      <c r="JO65" s="49">
        <f t="shared" si="369"/>
        <v>44217</v>
      </c>
      <c r="JP65" s="49">
        <f t="shared" si="369"/>
        <v>44218</v>
      </c>
      <c r="JQ65" s="49">
        <f t="shared" si="369"/>
        <v>44219</v>
      </c>
      <c r="JR65" s="49">
        <f t="shared" si="369"/>
        <v>44220</v>
      </c>
      <c r="JS65" s="49">
        <f t="shared" si="369"/>
        <v>44221</v>
      </c>
      <c r="JT65" s="49">
        <f t="shared" si="369"/>
        <v>44222</v>
      </c>
      <c r="JU65" s="49">
        <f t="shared" si="369"/>
        <v>44223</v>
      </c>
      <c r="JV65" s="49">
        <f t="shared" si="369"/>
        <v>44224</v>
      </c>
      <c r="JW65" s="49">
        <f t="shared" si="369"/>
        <v>44225</v>
      </c>
      <c r="JX65" s="49">
        <f t="shared" si="369"/>
        <v>44226</v>
      </c>
      <c r="JY65" s="49">
        <f t="shared" si="369"/>
        <v>44227</v>
      </c>
      <c r="JZ65" s="49">
        <f t="shared" si="369"/>
        <v>44228</v>
      </c>
      <c r="KA65" s="49">
        <f t="shared" si="369"/>
        <v>44229</v>
      </c>
      <c r="KB65" s="49">
        <f t="shared" si="369"/>
        <v>44230</v>
      </c>
      <c r="KC65" s="49">
        <f t="shared" si="369"/>
        <v>44231</v>
      </c>
      <c r="KD65" s="49">
        <f t="shared" si="369"/>
        <v>44232</v>
      </c>
      <c r="KE65" s="49">
        <f t="shared" si="369"/>
        <v>44233</v>
      </c>
      <c r="KF65" s="49">
        <f t="shared" si="369"/>
        <v>44234</v>
      </c>
      <c r="KG65" s="49">
        <f t="shared" si="369"/>
        <v>44235</v>
      </c>
      <c r="KH65" s="49">
        <f t="shared" si="369"/>
        <v>44236</v>
      </c>
      <c r="KI65" s="49">
        <f t="shared" si="369"/>
        <v>44237</v>
      </c>
      <c r="KJ65" s="49">
        <f t="shared" ref="KJ65:MJ65" si="370">KJ1</f>
        <v>44238</v>
      </c>
      <c r="KK65" s="49">
        <f t="shared" si="370"/>
        <v>44239</v>
      </c>
      <c r="KL65" s="49">
        <f t="shared" si="370"/>
        <v>44240</v>
      </c>
      <c r="KM65" s="49">
        <f t="shared" si="370"/>
        <v>44241</v>
      </c>
      <c r="KN65" s="49">
        <f t="shared" si="370"/>
        <v>44242</v>
      </c>
      <c r="KO65" s="49">
        <f t="shared" si="370"/>
        <v>44243</v>
      </c>
      <c r="KP65" s="49">
        <f t="shared" si="370"/>
        <v>44244</v>
      </c>
      <c r="KQ65" s="49">
        <f t="shared" si="370"/>
        <v>44245</v>
      </c>
      <c r="KR65" s="49">
        <f t="shared" si="370"/>
        <v>44246</v>
      </c>
      <c r="KS65" s="49">
        <f t="shared" si="370"/>
        <v>44247</v>
      </c>
      <c r="KT65" s="49">
        <f t="shared" si="370"/>
        <v>44248</v>
      </c>
      <c r="KU65" s="49">
        <f t="shared" si="370"/>
        <v>44249</v>
      </c>
      <c r="KV65" s="49">
        <f t="shared" si="370"/>
        <v>44250</v>
      </c>
      <c r="KW65" s="49">
        <f t="shared" si="370"/>
        <v>44251</v>
      </c>
      <c r="KX65" s="49">
        <f t="shared" si="370"/>
        <v>44252</v>
      </c>
      <c r="KY65" s="49">
        <f t="shared" si="370"/>
        <v>44253</v>
      </c>
      <c r="KZ65" s="49">
        <f t="shared" si="370"/>
        <v>44254</v>
      </c>
      <c r="LA65" s="49">
        <f t="shared" si="370"/>
        <v>44255</v>
      </c>
      <c r="LB65" s="49">
        <f t="shared" si="370"/>
        <v>44256</v>
      </c>
      <c r="LC65" s="49">
        <f t="shared" si="370"/>
        <v>44257</v>
      </c>
      <c r="LD65" s="49">
        <f t="shared" si="370"/>
        <v>44258</v>
      </c>
      <c r="LE65" s="49">
        <f t="shared" si="370"/>
        <v>44259</v>
      </c>
      <c r="LF65" s="49">
        <f t="shared" si="370"/>
        <v>44260</v>
      </c>
      <c r="LG65" s="49">
        <f t="shared" si="370"/>
        <v>44261</v>
      </c>
      <c r="LH65" s="49">
        <f t="shared" si="370"/>
        <v>44262</v>
      </c>
      <c r="LI65" s="49">
        <f t="shared" si="370"/>
        <v>44263</v>
      </c>
      <c r="LJ65" s="49">
        <f t="shared" si="370"/>
        <v>44264</v>
      </c>
      <c r="LK65" s="49">
        <f t="shared" si="370"/>
        <v>44265</v>
      </c>
      <c r="LL65" s="49">
        <f t="shared" si="370"/>
        <v>44266</v>
      </c>
      <c r="LM65" s="49">
        <f t="shared" si="370"/>
        <v>44267</v>
      </c>
      <c r="LN65" s="49">
        <f t="shared" si="370"/>
        <v>44268</v>
      </c>
      <c r="LO65" s="49">
        <f t="shared" si="370"/>
        <v>44269</v>
      </c>
      <c r="LP65" s="49">
        <f t="shared" si="370"/>
        <v>44270</v>
      </c>
      <c r="LQ65" s="49">
        <f t="shared" si="370"/>
        <v>44271</v>
      </c>
      <c r="LR65" s="49">
        <f t="shared" si="370"/>
        <v>44272</v>
      </c>
      <c r="LS65" s="49">
        <f t="shared" si="370"/>
        <v>44273</v>
      </c>
      <c r="LT65" s="49">
        <f t="shared" si="370"/>
        <v>44274</v>
      </c>
      <c r="LU65" s="49">
        <f t="shared" si="370"/>
        <v>44275</v>
      </c>
      <c r="LV65" s="49">
        <f t="shared" si="370"/>
        <v>44276</v>
      </c>
      <c r="LW65" s="49">
        <f t="shared" si="370"/>
        <v>44277</v>
      </c>
      <c r="LX65" s="49">
        <f t="shared" si="370"/>
        <v>44278</v>
      </c>
      <c r="LY65" s="49">
        <f t="shared" si="370"/>
        <v>44279</v>
      </c>
      <c r="LZ65" s="49">
        <f t="shared" si="370"/>
        <v>44280</v>
      </c>
      <c r="MA65" s="49">
        <f t="shared" si="370"/>
        <v>44281</v>
      </c>
      <c r="MB65" s="49">
        <f t="shared" si="370"/>
        <v>44282</v>
      </c>
      <c r="MC65" s="49">
        <f t="shared" si="370"/>
        <v>44283</v>
      </c>
      <c r="MD65" s="49">
        <f t="shared" si="370"/>
        <v>44284</v>
      </c>
      <c r="ME65" s="49">
        <f t="shared" si="370"/>
        <v>44285</v>
      </c>
      <c r="MF65" s="49">
        <f t="shared" si="370"/>
        <v>44286</v>
      </c>
      <c r="MG65" s="49">
        <f t="shared" si="370"/>
        <v>44287</v>
      </c>
      <c r="MH65" s="49">
        <f t="shared" si="370"/>
        <v>44288</v>
      </c>
      <c r="MI65" s="49">
        <f t="shared" si="370"/>
        <v>44289</v>
      </c>
      <c r="MJ65" s="49">
        <f t="shared" si="370"/>
        <v>44290</v>
      </c>
    </row>
    <row r="66" spans="1:348" ht="15" customHeight="1" x14ac:dyDescent="0.25">
      <c r="A66" s="140" t="s">
        <v>144</v>
      </c>
      <c r="B66" s="140"/>
      <c r="C66" s="140"/>
      <c r="D66" s="140"/>
      <c r="E66" s="141"/>
      <c r="F66" s="30"/>
      <c r="G66" s="30"/>
      <c r="H66" s="30"/>
      <c r="I66" s="30"/>
      <c r="J66" s="30"/>
      <c r="K66" s="30"/>
      <c r="L66" s="30"/>
      <c r="M66" s="30"/>
      <c r="N66" s="30"/>
      <c r="O66" s="29"/>
      <c r="P66" s="144" t="s">
        <v>49</v>
      </c>
      <c r="Q66" s="144" t="s">
        <v>48</v>
      </c>
      <c r="R66" s="146"/>
      <c r="S66" s="57">
        <f t="shared" ref="S66:BV66" si="371">S38</f>
        <v>43975</v>
      </c>
      <c r="T66" s="58">
        <f t="shared" si="371"/>
        <v>43976</v>
      </c>
      <c r="U66" s="58">
        <f t="shared" si="371"/>
        <v>43977</v>
      </c>
      <c r="V66" s="58">
        <f t="shared" si="371"/>
        <v>43978</v>
      </c>
      <c r="W66" s="58">
        <f t="shared" si="371"/>
        <v>43979</v>
      </c>
      <c r="X66" s="58">
        <f t="shared" si="371"/>
        <v>43980</v>
      </c>
      <c r="Y66" s="58">
        <f t="shared" si="371"/>
        <v>43981</v>
      </c>
      <c r="Z66" s="57">
        <f t="shared" si="371"/>
        <v>43982</v>
      </c>
      <c r="AA66" s="58">
        <f t="shared" si="371"/>
        <v>43983</v>
      </c>
      <c r="AB66" s="58">
        <f t="shared" si="371"/>
        <v>43984</v>
      </c>
      <c r="AC66" s="58">
        <f t="shared" si="371"/>
        <v>43985</v>
      </c>
      <c r="AD66" s="58">
        <f t="shared" si="371"/>
        <v>43986</v>
      </c>
      <c r="AE66" s="58">
        <f t="shared" si="371"/>
        <v>43987</v>
      </c>
      <c r="AF66" s="58">
        <f t="shared" si="371"/>
        <v>43988</v>
      </c>
      <c r="AG66" s="57">
        <f t="shared" si="371"/>
        <v>43989</v>
      </c>
      <c r="AH66" s="58">
        <f t="shared" si="371"/>
        <v>43990</v>
      </c>
      <c r="AI66" s="58">
        <f t="shared" si="371"/>
        <v>43991</v>
      </c>
      <c r="AJ66" s="58">
        <f t="shared" si="371"/>
        <v>43992</v>
      </c>
      <c r="AK66" s="58">
        <f t="shared" si="371"/>
        <v>43993</v>
      </c>
      <c r="AL66" s="58">
        <f t="shared" si="371"/>
        <v>43994</v>
      </c>
      <c r="AM66" s="58">
        <f t="shared" si="371"/>
        <v>43995</v>
      </c>
      <c r="AN66" s="57">
        <f t="shared" si="371"/>
        <v>43996</v>
      </c>
      <c r="AO66" s="58">
        <f t="shared" si="371"/>
        <v>43997</v>
      </c>
      <c r="AP66" s="58">
        <f t="shared" si="371"/>
        <v>43998</v>
      </c>
      <c r="AQ66" s="58">
        <f t="shared" si="371"/>
        <v>43999</v>
      </c>
      <c r="AR66" s="58">
        <f t="shared" si="371"/>
        <v>44000</v>
      </c>
      <c r="AS66" s="58">
        <f t="shared" si="371"/>
        <v>44001</v>
      </c>
      <c r="AT66" s="58">
        <f t="shared" si="371"/>
        <v>44002</v>
      </c>
      <c r="AU66" s="57">
        <f t="shared" si="371"/>
        <v>44003</v>
      </c>
      <c r="AV66" s="58">
        <f t="shared" si="371"/>
        <v>44004</v>
      </c>
      <c r="AW66" s="58">
        <f t="shared" si="371"/>
        <v>44005</v>
      </c>
      <c r="AX66" s="58">
        <f t="shared" si="371"/>
        <v>44006</v>
      </c>
      <c r="AY66" s="58">
        <f t="shared" si="371"/>
        <v>44007</v>
      </c>
      <c r="AZ66" s="58">
        <f t="shared" si="371"/>
        <v>44008</v>
      </c>
      <c r="BA66" s="58">
        <f t="shared" si="371"/>
        <v>44009</v>
      </c>
      <c r="BB66" s="57">
        <f t="shared" si="371"/>
        <v>44010</v>
      </c>
      <c r="BC66" s="58">
        <f t="shared" si="371"/>
        <v>44011</v>
      </c>
      <c r="BD66" s="58">
        <f t="shared" si="371"/>
        <v>44012</v>
      </c>
      <c r="BE66" s="58">
        <f t="shared" si="371"/>
        <v>44013</v>
      </c>
      <c r="BF66" s="58">
        <f t="shared" si="371"/>
        <v>44014</v>
      </c>
      <c r="BG66" s="58">
        <f t="shared" si="371"/>
        <v>44015</v>
      </c>
      <c r="BH66" s="58">
        <f t="shared" si="371"/>
        <v>44016</v>
      </c>
      <c r="BI66" s="57">
        <f t="shared" si="371"/>
        <v>44017</v>
      </c>
      <c r="BJ66" s="58">
        <f t="shared" si="371"/>
        <v>44018</v>
      </c>
      <c r="BK66" s="58">
        <f t="shared" si="371"/>
        <v>44019</v>
      </c>
      <c r="BL66" s="58">
        <f t="shared" si="371"/>
        <v>44020</v>
      </c>
      <c r="BM66" s="58">
        <f t="shared" si="371"/>
        <v>44021</v>
      </c>
      <c r="BN66" s="58">
        <f t="shared" si="371"/>
        <v>44022</v>
      </c>
      <c r="BO66" s="58">
        <f t="shared" si="371"/>
        <v>44023</v>
      </c>
      <c r="BP66" s="57">
        <v>12</v>
      </c>
      <c r="BQ66" s="58">
        <f t="shared" si="371"/>
        <v>44025</v>
      </c>
      <c r="BR66" s="58">
        <f t="shared" si="371"/>
        <v>44026</v>
      </c>
      <c r="BS66" s="58">
        <f t="shared" si="371"/>
        <v>44027</v>
      </c>
      <c r="BT66" s="58">
        <f t="shared" si="371"/>
        <v>44028</v>
      </c>
      <c r="BU66" s="58">
        <f t="shared" si="371"/>
        <v>44029</v>
      </c>
      <c r="BV66" s="58">
        <f t="shared" si="371"/>
        <v>44030</v>
      </c>
      <c r="BW66" s="58">
        <v>19</v>
      </c>
      <c r="BX66" s="58"/>
      <c r="BY66" s="57"/>
      <c r="BZ66" s="58"/>
      <c r="CA66" s="58"/>
      <c r="CB66" s="58"/>
      <c r="CC66" s="58"/>
      <c r="CD66" s="58"/>
      <c r="CE66" s="58"/>
      <c r="CF66" s="58"/>
      <c r="CG66" s="58"/>
      <c r="CH66" s="57"/>
      <c r="CI66" s="58"/>
      <c r="CJ66" s="58"/>
      <c r="CK66" s="58"/>
      <c r="CL66" s="58"/>
      <c r="CM66" s="58"/>
      <c r="CN66" s="58"/>
      <c r="CO66" s="58"/>
      <c r="CP66" s="58"/>
      <c r="CQ66" s="57"/>
      <c r="CR66" s="58"/>
      <c r="CS66" s="58"/>
      <c r="CT66" s="58"/>
      <c r="CU66" s="58"/>
      <c r="CV66" s="58"/>
      <c r="CW66" s="58"/>
      <c r="CX66" s="58"/>
      <c r="CY66" s="58"/>
      <c r="CZ66" s="57"/>
      <c r="DA66" s="58"/>
      <c r="DB66" s="58"/>
      <c r="DC66" s="58"/>
      <c r="DD66" s="58"/>
      <c r="DE66" s="58"/>
      <c r="DF66" s="58"/>
      <c r="DG66" s="58"/>
      <c r="DH66" s="58"/>
      <c r="DI66" s="57"/>
      <c r="DJ66" s="58"/>
      <c r="DK66" s="58"/>
      <c r="DL66" s="58"/>
      <c r="DM66" s="58"/>
      <c r="DN66" s="58"/>
      <c r="DO66" s="58"/>
      <c r="DP66" s="58"/>
      <c r="DQ66" s="58"/>
      <c r="DR66" s="57"/>
      <c r="DS66" s="58">
        <f t="shared" ref="DS66:FD66" si="372">DS38</f>
        <v>44067</v>
      </c>
      <c r="DT66" s="58">
        <f t="shared" si="372"/>
        <v>44068</v>
      </c>
      <c r="DU66" s="58">
        <f t="shared" si="372"/>
        <v>44069</v>
      </c>
      <c r="DV66" s="58">
        <f t="shared" si="372"/>
        <v>44070</v>
      </c>
      <c r="DW66" s="58">
        <f t="shared" si="372"/>
        <v>44071</v>
      </c>
      <c r="DX66" s="58">
        <f t="shared" si="372"/>
        <v>44072</v>
      </c>
      <c r="DY66" s="58">
        <f t="shared" si="372"/>
        <v>44073</v>
      </c>
      <c r="DZ66" s="58"/>
      <c r="EA66" s="57"/>
      <c r="EB66" s="58">
        <f t="shared" si="372"/>
        <v>44074</v>
      </c>
      <c r="EC66" s="58">
        <f t="shared" si="372"/>
        <v>44075</v>
      </c>
      <c r="ED66" s="58">
        <f t="shared" si="372"/>
        <v>44076</v>
      </c>
      <c r="EE66" s="58">
        <f t="shared" si="372"/>
        <v>44077</v>
      </c>
      <c r="EF66" s="58">
        <f t="shared" si="372"/>
        <v>44078</v>
      </c>
      <c r="EG66" s="58">
        <f t="shared" si="372"/>
        <v>44079</v>
      </c>
      <c r="EH66" s="57">
        <f t="shared" si="372"/>
        <v>44080</v>
      </c>
      <c r="EI66" s="58">
        <f t="shared" si="372"/>
        <v>44081</v>
      </c>
      <c r="EJ66" s="58">
        <f t="shared" si="372"/>
        <v>44082</v>
      </c>
      <c r="EK66" s="58">
        <f t="shared" si="372"/>
        <v>44083</v>
      </c>
      <c r="EL66" s="58">
        <f t="shared" si="372"/>
        <v>44084</v>
      </c>
      <c r="EM66" s="58">
        <f t="shared" si="372"/>
        <v>44085</v>
      </c>
      <c r="EN66" s="58">
        <f t="shared" si="372"/>
        <v>44086</v>
      </c>
      <c r="EO66" s="57">
        <f t="shared" si="372"/>
        <v>44087</v>
      </c>
      <c r="EP66" s="58">
        <f t="shared" si="372"/>
        <v>44088</v>
      </c>
      <c r="EQ66" s="58">
        <f t="shared" si="372"/>
        <v>44089</v>
      </c>
      <c r="ER66" s="58">
        <f t="shared" si="372"/>
        <v>44090</v>
      </c>
      <c r="ES66" s="58">
        <f t="shared" si="372"/>
        <v>44091</v>
      </c>
      <c r="ET66" s="58">
        <f t="shared" si="372"/>
        <v>44092</v>
      </c>
      <c r="EU66" s="58">
        <f t="shared" si="372"/>
        <v>44093</v>
      </c>
      <c r="EV66" s="57">
        <f t="shared" si="372"/>
        <v>44094</v>
      </c>
      <c r="EW66" s="58">
        <f t="shared" si="372"/>
        <v>44095</v>
      </c>
      <c r="EX66" s="58">
        <f t="shared" si="372"/>
        <v>44096</v>
      </c>
      <c r="EY66" s="58">
        <f t="shared" si="372"/>
        <v>44097</v>
      </c>
      <c r="EZ66" s="58">
        <f t="shared" si="372"/>
        <v>44098</v>
      </c>
      <c r="FA66" s="58">
        <f t="shared" si="372"/>
        <v>44099</v>
      </c>
      <c r="FB66" s="58">
        <f t="shared" si="372"/>
        <v>44100</v>
      </c>
      <c r="FC66" s="57">
        <f t="shared" si="372"/>
        <v>44101</v>
      </c>
      <c r="FD66" s="58">
        <f t="shared" si="372"/>
        <v>44102</v>
      </c>
      <c r="FE66" s="58">
        <f t="shared" ref="FE66:HP66" si="373">FE38</f>
        <v>44103</v>
      </c>
      <c r="FF66" s="58">
        <f t="shared" si="373"/>
        <v>44104</v>
      </c>
      <c r="FG66" s="58">
        <f t="shared" si="373"/>
        <v>44105</v>
      </c>
      <c r="FH66" s="58">
        <f t="shared" si="373"/>
        <v>44106</v>
      </c>
      <c r="FI66" s="58">
        <f t="shared" si="373"/>
        <v>44107</v>
      </c>
      <c r="FJ66" s="57">
        <f t="shared" si="373"/>
        <v>44108</v>
      </c>
      <c r="FK66" s="58">
        <f t="shared" si="373"/>
        <v>44109</v>
      </c>
      <c r="FL66" s="58">
        <f t="shared" si="373"/>
        <v>44110</v>
      </c>
      <c r="FM66" s="58">
        <f t="shared" si="373"/>
        <v>44111</v>
      </c>
      <c r="FN66" s="58">
        <f t="shared" si="373"/>
        <v>44112</v>
      </c>
      <c r="FO66" s="58">
        <f t="shared" si="373"/>
        <v>44113</v>
      </c>
      <c r="FP66" s="58">
        <f t="shared" si="373"/>
        <v>44114</v>
      </c>
      <c r="FQ66" s="57">
        <f t="shared" si="373"/>
        <v>44115</v>
      </c>
      <c r="FR66" s="58">
        <f t="shared" si="373"/>
        <v>44116</v>
      </c>
      <c r="FS66" s="58">
        <f t="shared" si="373"/>
        <v>44117</v>
      </c>
      <c r="FT66" s="58">
        <f t="shared" si="373"/>
        <v>44118</v>
      </c>
      <c r="FU66" s="58">
        <f t="shared" si="373"/>
        <v>44119</v>
      </c>
      <c r="FV66" s="58">
        <f t="shared" si="373"/>
        <v>44120</v>
      </c>
      <c r="FW66" s="58">
        <f t="shared" si="373"/>
        <v>44121</v>
      </c>
      <c r="FX66" s="57">
        <f t="shared" si="373"/>
        <v>44122</v>
      </c>
      <c r="FY66" s="58">
        <f t="shared" si="373"/>
        <v>44123</v>
      </c>
      <c r="FZ66" s="58">
        <f t="shared" si="373"/>
        <v>44124</v>
      </c>
      <c r="GA66" s="58">
        <f t="shared" si="373"/>
        <v>44125</v>
      </c>
      <c r="GB66" s="58">
        <f t="shared" si="373"/>
        <v>44126</v>
      </c>
      <c r="GC66" s="58">
        <f t="shared" si="373"/>
        <v>44127</v>
      </c>
      <c r="GD66" s="58">
        <f t="shared" si="373"/>
        <v>44128</v>
      </c>
      <c r="GE66" s="57">
        <f t="shared" si="373"/>
        <v>44129</v>
      </c>
      <c r="GF66" s="58">
        <f t="shared" si="373"/>
        <v>44130</v>
      </c>
      <c r="GG66" s="58">
        <f t="shared" si="373"/>
        <v>44131</v>
      </c>
      <c r="GH66" s="58">
        <f t="shared" si="373"/>
        <v>44132</v>
      </c>
      <c r="GI66" s="58">
        <f t="shared" si="373"/>
        <v>44133</v>
      </c>
      <c r="GJ66" s="58">
        <f t="shared" si="373"/>
        <v>44134</v>
      </c>
      <c r="GK66" s="58">
        <f t="shared" si="373"/>
        <v>44135</v>
      </c>
      <c r="GL66" s="57">
        <f t="shared" si="373"/>
        <v>44136</v>
      </c>
      <c r="GM66" s="58">
        <f t="shared" si="373"/>
        <v>44137</v>
      </c>
      <c r="GN66" s="58">
        <f t="shared" si="373"/>
        <v>44138</v>
      </c>
      <c r="GO66" s="58">
        <f t="shared" si="373"/>
        <v>44139</v>
      </c>
      <c r="GP66" s="58">
        <f t="shared" si="373"/>
        <v>44140</v>
      </c>
      <c r="GQ66" s="58">
        <f t="shared" si="373"/>
        <v>44141</v>
      </c>
      <c r="GR66" s="58">
        <f t="shared" si="373"/>
        <v>44142</v>
      </c>
      <c r="GS66" s="57">
        <f t="shared" si="373"/>
        <v>44143</v>
      </c>
      <c r="GT66" s="58">
        <f t="shared" si="373"/>
        <v>44144</v>
      </c>
      <c r="GU66" s="58">
        <f t="shared" si="373"/>
        <v>44145</v>
      </c>
      <c r="GV66" s="58">
        <f t="shared" si="373"/>
        <v>44146</v>
      </c>
      <c r="GW66" s="58">
        <f t="shared" si="373"/>
        <v>44147</v>
      </c>
      <c r="GX66" s="58">
        <f t="shared" si="373"/>
        <v>44148</v>
      </c>
      <c r="GY66" s="58">
        <f t="shared" si="373"/>
        <v>44149</v>
      </c>
      <c r="GZ66" s="57">
        <f t="shared" si="373"/>
        <v>44150</v>
      </c>
      <c r="HA66" s="58">
        <f t="shared" si="373"/>
        <v>44151</v>
      </c>
      <c r="HB66" s="58">
        <f t="shared" si="373"/>
        <v>44152</v>
      </c>
      <c r="HC66" s="58">
        <f t="shared" si="373"/>
        <v>44153</v>
      </c>
      <c r="HD66" s="58">
        <f t="shared" si="373"/>
        <v>44154</v>
      </c>
      <c r="HE66" s="58">
        <f t="shared" si="373"/>
        <v>44155</v>
      </c>
      <c r="HF66" s="58">
        <f t="shared" si="373"/>
        <v>44156</v>
      </c>
      <c r="HG66" s="57">
        <f t="shared" si="373"/>
        <v>44157</v>
      </c>
      <c r="HH66" s="58">
        <f t="shared" si="373"/>
        <v>44158</v>
      </c>
      <c r="HI66" s="58">
        <f t="shared" si="373"/>
        <v>44159</v>
      </c>
      <c r="HJ66" s="58">
        <f t="shared" si="373"/>
        <v>44160</v>
      </c>
      <c r="HK66" s="58">
        <f t="shared" si="373"/>
        <v>44161</v>
      </c>
      <c r="HL66" s="58">
        <f t="shared" si="373"/>
        <v>44162</v>
      </c>
      <c r="HM66" s="58">
        <f t="shared" si="373"/>
        <v>44163</v>
      </c>
      <c r="HN66" s="57">
        <f t="shared" si="373"/>
        <v>44164</v>
      </c>
      <c r="HO66" s="58">
        <f t="shared" si="373"/>
        <v>44165</v>
      </c>
      <c r="HP66" s="58">
        <f t="shared" si="373"/>
        <v>44166</v>
      </c>
      <c r="HQ66" s="58">
        <f t="shared" ref="HQ66:KB66" si="374">HQ38</f>
        <v>44167</v>
      </c>
      <c r="HR66" s="58">
        <f t="shared" si="374"/>
        <v>44168</v>
      </c>
      <c r="HS66" s="58">
        <f t="shared" si="374"/>
        <v>44169</v>
      </c>
      <c r="HT66" s="58">
        <f t="shared" si="374"/>
        <v>44170</v>
      </c>
      <c r="HU66" s="57">
        <f t="shared" si="374"/>
        <v>44171</v>
      </c>
      <c r="HV66" s="58">
        <f t="shared" si="374"/>
        <v>44172</v>
      </c>
      <c r="HW66" s="58">
        <f t="shared" si="374"/>
        <v>44173</v>
      </c>
      <c r="HX66" s="58">
        <f t="shared" si="374"/>
        <v>44174</v>
      </c>
      <c r="HY66" s="58">
        <f t="shared" si="374"/>
        <v>44175</v>
      </c>
      <c r="HZ66" s="58">
        <f t="shared" si="374"/>
        <v>44176</v>
      </c>
      <c r="IA66" s="58">
        <f t="shared" si="374"/>
        <v>44177</v>
      </c>
      <c r="IB66" s="57">
        <f t="shared" si="374"/>
        <v>44178</v>
      </c>
      <c r="IC66" s="58">
        <f t="shared" si="374"/>
        <v>44179</v>
      </c>
      <c r="ID66" s="58">
        <f t="shared" si="374"/>
        <v>44180</v>
      </c>
      <c r="IE66" s="58">
        <f t="shared" si="374"/>
        <v>44181</v>
      </c>
      <c r="IF66" s="58">
        <f t="shared" si="374"/>
        <v>44182</v>
      </c>
      <c r="IG66" s="58">
        <f t="shared" si="374"/>
        <v>44183</v>
      </c>
      <c r="IH66" s="58">
        <f t="shared" si="374"/>
        <v>44184</v>
      </c>
      <c r="II66" s="57">
        <f t="shared" si="374"/>
        <v>44185</v>
      </c>
      <c r="IJ66" s="58">
        <f t="shared" si="374"/>
        <v>44186</v>
      </c>
      <c r="IK66" s="58">
        <f t="shared" si="374"/>
        <v>44187</v>
      </c>
      <c r="IL66" s="58">
        <f t="shared" si="374"/>
        <v>44188</v>
      </c>
      <c r="IM66" s="58">
        <f t="shared" si="374"/>
        <v>44189</v>
      </c>
      <c r="IN66" s="58">
        <f t="shared" si="374"/>
        <v>44190</v>
      </c>
      <c r="IO66" s="58">
        <f t="shared" si="374"/>
        <v>44191</v>
      </c>
      <c r="IP66" s="57">
        <f t="shared" si="374"/>
        <v>44192</v>
      </c>
      <c r="IQ66" s="58">
        <f t="shared" si="374"/>
        <v>44193</v>
      </c>
      <c r="IR66" s="58">
        <f t="shared" si="374"/>
        <v>44194</v>
      </c>
      <c r="IS66" s="58">
        <f t="shared" si="374"/>
        <v>44195</v>
      </c>
      <c r="IT66" s="58">
        <f t="shared" si="374"/>
        <v>44196</v>
      </c>
      <c r="IU66" s="58">
        <f t="shared" si="374"/>
        <v>44197</v>
      </c>
      <c r="IV66" s="58">
        <f t="shared" si="374"/>
        <v>44198</v>
      </c>
      <c r="IW66" s="57">
        <f t="shared" si="374"/>
        <v>44199</v>
      </c>
      <c r="IX66" s="58">
        <f t="shared" si="374"/>
        <v>44200</v>
      </c>
      <c r="IY66" s="58">
        <f t="shared" si="374"/>
        <v>44201</v>
      </c>
      <c r="IZ66" s="58">
        <f t="shared" si="374"/>
        <v>44202</v>
      </c>
      <c r="JA66" s="58">
        <f t="shared" si="374"/>
        <v>44203</v>
      </c>
      <c r="JB66" s="58">
        <f t="shared" si="374"/>
        <v>44204</v>
      </c>
      <c r="JC66" s="58">
        <f t="shared" si="374"/>
        <v>44205</v>
      </c>
      <c r="JD66" s="57">
        <f t="shared" si="374"/>
        <v>44206</v>
      </c>
      <c r="JE66" s="58">
        <f t="shared" si="374"/>
        <v>44207</v>
      </c>
      <c r="JF66" s="58">
        <f t="shared" si="374"/>
        <v>44208</v>
      </c>
      <c r="JG66" s="58">
        <f t="shared" si="374"/>
        <v>44209</v>
      </c>
      <c r="JH66" s="58">
        <f t="shared" si="374"/>
        <v>44210</v>
      </c>
      <c r="JI66" s="58">
        <f t="shared" si="374"/>
        <v>44211</v>
      </c>
      <c r="JJ66" s="58">
        <f t="shared" si="374"/>
        <v>44212</v>
      </c>
      <c r="JK66" s="57">
        <f t="shared" si="374"/>
        <v>44213</v>
      </c>
      <c r="JL66" s="58">
        <f t="shared" si="374"/>
        <v>44214</v>
      </c>
      <c r="JM66" s="58">
        <f t="shared" si="374"/>
        <v>44215</v>
      </c>
      <c r="JN66" s="58">
        <f t="shared" si="374"/>
        <v>44216</v>
      </c>
      <c r="JO66" s="58">
        <f t="shared" si="374"/>
        <v>44217</v>
      </c>
      <c r="JP66" s="58">
        <f t="shared" si="374"/>
        <v>44218</v>
      </c>
      <c r="JQ66" s="58">
        <f t="shared" si="374"/>
        <v>44219</v>
      </c>
      <c r="JR66" s="57">
        <f t="shared" si="374"/>
        <v>44220</v>
      </c>
      <c r="JS66" s="58">
        <f t="shared" si="374"/>
        <v>44221</v>
      </c>
      <c r="JT66" s="58">
        <f t="shared" si="374"/>
        <v>44222</v>
      </c>
      <c r="JU66" s="58">
        <f t="shared" si="374"/>
        <v>44223</v>
      </c>
      <c r="JV66" s="58">
        <f t="shared" si="374"/>
        <v>44224</v>
      </c>
      <c r="JW66" s="58">
        <f t="shared" si="374"/>
        <v>44225</v>
      </c>
      <c r="JX66" s="58">
        <f t="shared" si="374"/>
        <v>44226</v>
      </c>
      <c r="JY66" s="57">
        <f t="shared" si="374"/>
        <v>44227</v>
      </c>
      <c r="JZ66" s="58">
        <f t="shared" si="374"/>
        <v>44228</v>
      </c>
      <c r="KA66" s="58">
        <f t="shared" si="374"/>
        <v>44229</v>
      </c>
      <c r="KB66" s="58">
        <f t="shared" si="374"/>
        <v>44230</v>
      </c>
      <c r="KC66" s="58">
        <f t="shared" ref="KC66:MJ66" si="375">KC38</f>
        <v>44231</v>
      </c>
      <c r="KD66" s="58">
        <f t="shared" si="375"/>
        <v>44232</v>
      </c>
      <c r="KE66" s="58">
        <f t="shared" si="375"/>
        <v>44233</v>
      </c>
      <c r="KF66" s="57">
        <f t="shared" si="375"/>
        <v>44234</v>
      </c>
      <c r="KG66" s="58">
        <f t="shared" si="375"/>
        <v>44235</v>
      </c>
      <c r="KH66" s="58">
        <f t="shared" si="375"/>
        <v>44236</v>
      </c>
      <c r="KI66" s="58">
        <f t="shared" si="375"/>
        <v>44237</v>
      </c>
      <c r="KJ66" s="58">
        <f t="shared" si="375"/>
        <v>44238</v>
      </c>
      <c r="KK66" s="58">
        <f t="shared" si="375"/>
        <v>44239</v>
      </c>
      <c r="KL66" s="58">
        <f t="shared" si="375"/>
        <v>44240</v>
      </c>
      <c r="KM66" s="57">
        <f t="shared" si="375"/>
        <v>44241</v>
      </c>
      <c r="KN66" s="58">
        <f t="shared" si="375"/>
        <v>44242</v>
      </c>
      <c r="KO66" s="58">
        <f t="shared" si="375"/>
        <v>44243</v>
      </c>
      <c r="KP66" s="58">
        <f t="shared" si="375"/>
        <v>44244</v>
      </c>
      <c r="KQ66" s="58">
        <f t="shared" si="375"/>
        <v>44245</v>
      </c>
      <c r="KR66" s="58">
        <f t="shared" si="375"/>
        <v>44246</v>
      </c>
      <c r="KS66" s="58">
        <f t="shared" si="375"/>
        <v>44247</v>
      </c>
      <c r="KT66" s="57">
        <f t="shared" si="375"/>
        <v>44248</v>
      </c>
      <c r="KU66" s="58">
        <f t="shared" si="375"/>
        <v>44249</v>
      </c>
      <c r="KV66" s="58">
        <f t="shared" si="375"/>
        <v>44250</v>
      </c>
      <c r="KW66" s="58">
        <f t="shared" si="375"/>
        <v>44251</v>
      </c>
      <c r="KX66" s="58">
        <f t="shared" si="375"/>
        <v>44252</v>
      </c>
      <c r="KY66" s="58">
        <f t="shared" si="375"/>
        <v>44253</v>
      </c>
      <c r="KZ66" s="58">
        <f t="shared" si="375"/>
        <v>44254</v>
      </c>
      <c r="LA66" s="57">
        <f t="shared" si="375"/>
        <v>44255</v>
      </c>
      <c r="LB66" s="58">
        <f t="shared" si="375"/>
        <v>44256</v>
      </c>
      <c r="LC66" s="58">
        <f t="shared" si="375"/>
        <v>44257</v>
      </c>
      <c r="LD66" s="58">
        <f t="shared" si="375"/>
        <v>44258</v>
      </c>
      <c r="LE66" s="58">
        <f t="shared" si="375"/>
        <v>44259</v>
      </c>
      <c r="LF66" s="58">
        <f t="shared" si="375"/>
        <v>44260</v>
      </c>
      <c r="LG66" s="58">
        <f t="shared" si="375"/>
        <v>44261</v>
      </c>
      <c r="LH66" s="57">
        <f t="shared" si="375"/>
        <v>44262</v>
      </c>
      <c r="LI66" s="58">
        <f t="shared" si="375"/>
        <v>44263</v>
      </c>
      <c r="LJ66" s="58">
        <f t="shared" si="375"/>
        <v>44264</v>
      </c>
      <c r="LK66" s="58">
        <f t="shared" si="375"/>
        <v>44265</v>
      </c>
      <c r="LL66" s="58">
        <f t="shared" si="375"/>
        <v>44266</v>
      </c>
      <c r="LM66" s="58">
        <f t="shared" si="375"/>
        <v>44267</v>
      </c>
      <c r="LN66" s="58">
        <f t="shared" si="375"/>
        <v>44268</v>
      </c>
      <c r="LO66" s="57">
        <f t="shared" si="375"/>
        <v>44269</v>
      </c>
      <c r="LP66" s="58">
        <f t="shared" si="375"/>
        <v>44270</v>
      </c>
      <c r="LQ66" s="58">
        <f t="shared" si="375"/>
        <v>44271</v>
      </c>
      <c r="LR66" s="58">
        <f t="shared" si="375"/>
        <v>44272</v>
      </c>
      <c r="LS66" s="58">
        <f t="shared" si="375"/>
        <v>44273</v>
      </c>
      <c r="LT66" s="58">
        <f t="shared" si="375"/>
        <v>44274</v>
      </c>
      <c r="LU66" s="58">
        <f t="shared" si="375"/>
        <v>44275</v>
      </c>
      <c r="LV66" s="57">
        <f t="shared" si="375"/>
        <v>44276</v>
      </c>
      <c r="LW66" s="58">
        <f t="shared" si="375"/>
        <v>44277</v>
      </c>
      <c r="LX66" s="58">
        <f t="shared" si="375"/>
        <v>44278</v>
      </c>
      <c r="LY66" s="58">
        <f t="shared" si="375"/>
        <v>44279</v>
      </c>
      <c r="LZ66" s="58">
        <f t="shared" si="375"/>
        <v>44280</v>
      </c>
      <c r="MA66" s="58">
        <f t="shared" si="375"/>
        <v>44281</v>
      </c>
      <c r="MB66" s="58">
        <f t="shared" si="375"/>
        <v>44282</v>
      </c>
      <c r="MC66" s="57">
        <f t="shared" si="375"/>
        <v>44283</v>
      </c>
      <c r="MD66" s="58">
        <f t="shared" si="375"/>
        <v>44284</v>
      </c>
      <c r="ME66" s="58">
        <f t="shared" si="375"/>
        <v>44285</v>
      </c>
      <c r="MF66" s="58">
        <f t="shared" si="375"/>
        <v>44286</v>
      </c>
      <c r="MG66" s="58">
        <f t="shared" si="375"/>
        <v>44287</v>
      </c>
      <c r="MH66" s="58">
        <f t="shared" si="375"/>
        <v>44288</v>
      </c>
      <c r="MI66" s="58">
        <f t="shared" si="375"/>
        <v>44289</v>
      </c>
      <c r="MJ66" s="57">
        <f t="shared" si="375"/>
        <v>44290</v>
      </c>
    </row>
    <row r="67" spans="1:348" ht="15" customHeight="1" x14ac:dyDescent="0.25">
      <c r="A67" s="142"/>
      <c r="B67" s="142"/>
      <c r="C67" s="142"/>
      <c r="D67" s="142"/>
      <c r="E67" s="143"/>
      <c r="F67" s="28"/>
      <c r="G67" s="28"/>
      <c r="H67" s="28"/>
      <c r="I67" s="28"/>
      <c r="J67" s="28"/>
      <c r="K67" s="28"/>
      <c r="L67" s="28"/>
      <c r="M67" s="28"/>
      <c r="N67" s="28"/>
      <c r="O67" s="27"/>
      <c r="P67" s="145"/>
      <c r="Q67" s="153"/>
      <c r="R67" s="147"/>
      <c r="S67" s="24"/>
      <c r="T67" s="25"/>
      <c r="U67" s="25"/>
      <c r="V67" s="25"/>
      <c r="W67" s="25"/>
      <c r="X67" s="25"/>
      <c r="Y67" s="25"/>
      <c r="Z67" s="24"/>
      <c r="AA67" s="25"/>
      <c r="AB67" s="25"/>
      <c r="AC67" s="25"/>
      <c r="AD67" s="25"/>
      <c r="AE67" s="25"/>
      <c r="AF67" s="25"/>
      <c r="AG67" s="24"/>
      <c r="AH67" s="25"/>
      <c r="AI67" s="25" t="s">
        <v>38</v>
      </c>
      <c r="AJ67" s="25"/>
      <c r="AK67" s="25" t="s">
        <v>38</v>
      </c>
      <c r="AL67" s="25"/>
      <c r="AM67" s="25"/>
      <c r="AN67" s="24"/>
      <c r="AO67" s="25"/>
      <c r="AP67" s="25" t="s">
        <v>38</v>
      </c>
      <c r="AQ67" s="25"/>
      <c r="AR67" s="25" t="s">
        <v>38</v>
      </c>
      <c r="AS67" s="25"/>
      <c r="AT67" s="25"/>
      <c r="AU67" s="24"/>
      <c r="AV67" s="25"/>
      <c r="AW67" s="25" t="s">
        <v>38</v>
      </c>
      <c r="AX67" s="25" t="s">
        <v>263</v>
      </c>
      <c r="AY67" s="25" t="s">
        <v>38</v>
      </c>
      <c r="AZ67" s="25"/>
      <c r="BA67" s="25"/>
      <c r="BB67" s="24"/>
      <c r="BC67" s="25"/>
      <c r="BD67" s="25" t="s">
        <v>38</v>
      </c>
      <c r="BE67" s="25"/>
      <c r="BF67" s="25" t="s">
        <v>38</v>
      </c>
      <c r="BG67" s="25"/>
      <c r="BH67" s="25"/>
      <c r="BI67" s="24"/>
      <c r="BJ67" s="25"/>
      <c r="BK67" s="25" t="s">
        <v>38</v>
      </c>
      <c r="BL67" s="25"/>
      <c r="BM67" s="25" t="s">
        <v>38</v>
      </c>
      <c r="BN67" s="25"/>
      <c r="BO67" s="25"/>
      <c r="BP67" s="24" t="s">
        <v>148</v>
      </c>
      <c r="BQ67" s="25"/>
      <c r="BR67" s="25"/>
      <c r="BS67" s="25"/>
      <c r="BT67" s="25"/>
      <c r="BU67" s="25"/>
      <c r="BV67" s="25"/>
      <c r="BW67" s="25" t="s">
        <v>148</v>
      </c>
      <c r="BX67" s="25"/>
      <c r="BY67" s="24"/>
      <c r="BZ67" s="25"/>
      <c r="CA67" s="25"/>
      <c r="CB67" s="25"/>
      <c r="CC67" s="25"/>
      <c r="CD67" s="25"/>
      <c r="CE67" s="25"/>
      <c r="CF67" s="25"/>
      <c r="CG67" s="25"/>
      <c r="CH67" s="24"/>
      <c r="CI67" s="25"/>
      <c r="CJ67" s="25"/>
      <c r="CK67" s="25"/>
      <c r="CL67" s="25"/>
      <c r="CM67" s="25"/>
      <c r="CN67" s="25"/>
      <c r="CO67" s="25"/>
      <c r="CP67" s="25"/>
      <c r="CQ67" s="24"/>
      <c r="CR67" s="25"/>
      <c r="CS67" s="25"/>
      <c r="CT67" s="25"/>
      <c r="CU67" s="25"/>
      <c r="CV67" s="25"/>
      <c r="CW67" s="25"/>
      <c r="CX67" s="25"/>
      <c r="CY67" s="25"/>
      <c r="CZ67" s="24"/>
      <c r="DA67" s="25"/>
      <c r="DB67" s="25"/>
      <c r="DC67" s="25"/>
      <c r="DD67" s="25"/>
      <c r="DE67" s="25"/>
      <c r="DF67" s="25"/>
      <c r="DG67" s="25"/>
      <c r="DH67" s="25"/>
      <c r="DI67" s="24"/>
      <c r="DJ67" s="25"/>
      <c r="DK67" s="25"/>
      <c r="DL67" s="25"/>
      <c r="DM67" s="25"/>
      <c r="DN67" s="25"/>
      <c r="DO67" s="25"/>
      <c r="DP67" s="25"/>
      <c r="DQ67" s="25"/>
      <c r="DR67" s="24"/>
      <c r="DS67" s="25"/>
      <c r="DT67" s="25" t="s">
        <v>393</v>
      </c>
      <c r="DU67" s="25"/>
      <c r="DV67" s="25" t="s">
        <v>38</v>
      </c>
      <c r="DW67" s="25" t="s">
        <v>38</v>
      </c>
      <c r="DX67" s="25"/>
      <c r="DY67" s="25"/>
      <c r="DZ67" s="25"/>
      <c r="EA67" s="24"/>
      <c r="EB67" s="25"/>
      <c r="EC67" s="25" t="s">
        <v>38</v>
      </c>
      <c r="ED67" s="25"/>
      <c r="EE67" s="25" t="s">
        <v>38</v>
      </c>
      <c r="EF67" s="25" t="s">
        <v>38</v>
      </c>
      <c r="EG67" s="25"/>
      <c r="EH67" s="24"/>
      <c r="EI67" s="25"/>
      <c r="EJ67" s="25"/>
      <c r="EK67" s="25"/>
      <c r="EL67" s="25"/>
      <c r="EM67" s="25"/>
      <c r="EN67" s="25"/>
      <c r="EO67" s="24"/>
      <c r="EP67" s="25"/>
      <c r="EQ67" s="25" t="s">
        <v>38</v>
      </c>
      <c r="ER67" s="25"/>
      <c r="ES67" s="25" t="s">
        <v>38</v>
      </c>
      <c r="ET67" s="25"/>
      <c r="EU67" s="25"/>
      <c r="EV67" s="24"/>
      <c r="EW67" s="25"/>
      <c r="EX67" s="25" t="s">
        <v>38</v>
      </c>
      <c r="EY67" s="25"/>
      <c r="EZ67" s="25" t="s">
        <v>38</v>
      </c>
      <c r="FA67" s="25"/>
      <c r="FB67" s="25"/>
      <c r="FC67" s="24"/>
      <c r="FD67" s="25"/>
      <c r="FE67" s="25"/>
      <c r="FF67" s="25"/>
      <c r="FG67" s="25"/>
      <c r="FH67" s="25" t="s">
        <v>38</v>
      </c>
      <c r="FI67" s="25"/>
      <c r="FJ67" s="24"/>
      <c r="FK67" s="25"/>
      <c r="FL67" s="25" t="s">
        <v>38</v>
      </c>
      <c r="FM67" s="25"/>
      <c r="FN67" s="25" t="s">
        <v>38</v>
      </c>
      <c r="FO67" s="25"/>
      <c r="FP67" s="25"/>
      <c r="FQ67" s="24"/>
      <c r="FR67" s="25"/>
      <c r="FS67" s="25" t="s">
        <v>38</v>
      </c>
      <c r="FT67" s="25"/>
      <c r="FU67" s="25" t="s">
        <v>38</v>
      </c>
      <c r="FV67" s="25"/>
      <c r="FW67" s="25"/>
      <c r="FX67" s="24"/>
      <c r="FY67" s="25"/>
      <c r="FZ67" s="25" t="s">
        <v>38</v>
      </c>
      <c r="GA67" s="25"/>
      <c r="GB67" s="25" t="s">
        <v>38</v>
      </c>
      <c r="GC67" s="25"/>
      <c r="GD67" s="25"/>
      <c r="GE67" s="24"/>
      <c r="GF67" s="25"/>
      <c r="GG67" s="25" t="s">
        <v>38</v>
      </c>
      <c r="GH67" s="25"/>
      <c r="GI67" s="25" t="s">
        <v>38</v>
      </c>
      <c r="GJ67" s="25"/>
      <c r="GK67" s="25"/>
      <c r="GL67" s="24"/>
      <c r="GM67" s="25"/>
      <c r="GN67" s="25" t="s">
        <v>38</v>
      </c>
      <c r="GO67" s="25"/>
      <c r="GP67" s="25" t="s">
        <v>38</v>
      </c>
      <c r="GQ67" s="25"/>
      <c r="GR67" s="25"/>
      <c r="GS67" s="24"/>
      <c r="GT67" s="25"/>
      <c r="GU67" s="25" t="s">
        <v>38</v>
      </c>
      <c r="GV67" s="25"/>
      <c r="GW67" s="25" t="s">
        <v>38</v>
      </c>
      <c r="GX67" s="25"/>
      <c r="GY67" s="25"/>
      <c r="GZ67" s="24"/>
      <c r="HA67" s="25"/>
      <c r="HB67" s="25" t="s">
        <v>38</v>
      </c>
      <c r="HC67" s="25"/>
      <c r="HD67" s="25" t="s">
        <v>38</v>
      </c>
      <c r="HE67" s="25"/>
      <c r="HF67" s="25"/>
      <c r="HG67" s="24"/>
      <c r="HH67" s="25"/>
      <c r="HI67" s="25" t="s">
        <v>38</v>
      </c>
      <c r="HJ67" s="25"/>
      <c r="HK67" s="25" t="s">
        <v>38</v>
      </c>
      <c r="HL67" s="25"/>
      <c r="HM67" s="25"/>
      <c r="HN67" s="24"/>
      <c r="HO67" s="25"/>
      <c r="HP67" s="25" t="s">
        <v>38</v>
      </c>
      <c r="HQ67" s="25"/>
      <c r="HR67" s="25" t="s">
        <v>38</v>
      </c>
      <c r="HS67" s="25"/>
      <c r="HT67" s="25"/>
      <c r="HU67" s="24"/>
      <c r="HV67" s="25"/>
      <c r="HW67" s="25" t="s">
        <v>38</v>
      </c>
      <c r="HX67" s="25"/>
      <c r="HY67" s="25" t="s">
        <v>38</v>
      </c>
      <c r="HZ67" s="25"/>
      <c r="IA67" s="25"/>
      <c r="IB67" s="24"/>
      <c r="IC67" s="25"/>
      <c r="ID67" s="25" t="s">
        <v>38</v>
      </c>
      <c r="IE67" s="25"/>
      <c r="IF67" s="25" t="s">
        <v>38</v>
      </c>
      <c r="IG67" s="25"/>
      <c r="IH67" s="25"/>
      <c r="II67" s="24"/>
      <c r="IJ67" s="25"/>
      <c r="IK67" s="25" t="s">
        <v>38</v>
      </c>
      <c r="IL67" s="25"/>
      <c r="IM67" s="25" t="s">
        <v>38</v>
      </c>
      <c r="IN67" s="25"/>
      <c r="IO67" s="25"/>
      <c r="IP67" s="24"/>
      <c r="IQ67" s="25"/>
      <c r="IR67" s="25" t="s">
        <v>38</v>
      </c>
      <c r="IS67" s="25"/>
      <c r="IT67" s="25" t="s">
        <v>38</v>
      </c>
      <c r="IU67" s="25"/>
      <c r="IV67" s="25"/>
      <c r="IW67" s="24"/>
      <c r="IX67" s="25"/>
      <c r="IY67" s="25" t="s">
        <v>38</v>
      </c>
      <c r="IZ67" s="25"/>
      <c r="JA67" s="25" t="s">
        <v>38</v>
      </c>
      <c r="JB67" s="25"/>
      <c r="JC67" s="25"/>
      <c r="JD67" s="24"/>
      <c r="JE67" s="25"/>
      <c r="JF67" s="25" t="s">
        <v>38</v>
      </c>
      <c r="JG67" s="25"/>
      <c r="JH67" s="25" t="s">
        <v>38</v>
      </c>
      <c r="JI67" s="25"/>
      <c r="JJ67" s="25"/>
      <c r="JK67" s="24"/>
      <c r="JL67" s="25"/>
      <c r="JM67" s="25" t="s">
        <v>38</v>
      </c>
      <c r="JN67" s="25"/>
      <c r="JO67" s="25" t="s">
        <v>38</v>
      </c>
      <c r="JP67" s="25"/>
      <c r="JQ67" s="25"/>
      <c r="JR67" s="24"/>
      <c r="JS67" s="25"/>
      <c r="JT67" s="25" t="s">
        <v>38</v>
      </c>
      <c r="JU67" s="25"/>
      <c r="JV67" s="25" t="s">
        <v>38</v>
      </c>
      <c r="JW67" s="25"/>
      <c r="JX67" s="25"/>
      <c r="JY67" s="24"/>
      <c r="JZ67" s="25"/>
      <c r="KA67" s="25" t="s">
        <v>38</v>
      </c>
      <c r="KB67" s="25"/>
      <c r="KC67" s="25" t="s">
        <v>38</v>
      </c>
      <c r="KD67" s="25"/>
      <c r="KE67" s="25"/>
      <c r="KF67" s="24"/>
      <c r="KG67" s="25"/>
      <c r="KH67" s="25" t="s">
        <v>38</v>
      </c>
      <c r="KI67" s="25"/>
      <c r="KJ67" s="25" t="s">
        <v>38</v>
      </c>
      <c r="KK67" s="25"/>
      <c r="KL67" s="25"/>
      <c r="KM67" s="24"/>
      <c r="KN67" s="25"/>
      <c r="KO67" s="25" t="s">
        <v>38</v>
      </c>
      <c r="KP67" s="25"/>
      <c r="KQ67" s="25" t="s">
        <v>38</v>
      </c>
      <c r="KR67" s="25"/>
      <c r="KS67" s="25"/>
      <c r="KT67" s="24"/>
      <c r="KU67" s="25"/>
      <c r="KV67" s="25" t="s">
        <v>38</v>
      </c>
      <c r="KW67" s="25"/>
      <c r="KX67" s="25" t="s">
        <v>38</v>
      </c>
      <c r="KY67" s="25"/>
      <c r="KZ67" s="25"/>
      <c r="LA67" s="24"/>
      <c r="LB67" s="25"/>
      <c r="LC67" s="25" t="s">
        <v>38</v>
      </c>
      <c r="LD67" s="25"/>
      <c r="LE67" s="25" t="s">
        <v>38</v>
      </c>
      <c r="LF67" s="25"/>
      <c r="LG67" s="25"/>
      <c r="LH67" s="26"/>
      <c r="LI67" s="25"/>
      <c r="LJ67" s="25" t="s">
        <v>38</v>
      </c>
      <c r="LK67" s="25"/>
      <c r="LL67" s="25" t="s">
        <v>38</v>
      </c>
      <c r="LM67" s="25"/>
      <c r="LN67" s="25"/>
      <c r="LO67" s="24"/>
      <c r="LP67" s="25"/>
      <c r="LQ67" s="25"/>
      <c r="LR67" s="25"/>
      <c r="LS67" s="25"/>
      <c r="LT67" s="25"/>
      <c r="LU67" s="25"/>
      <c r="LV67" s="24"/>
      <c r="LW67" s="25"/>
      <c r="LX67" s="25"/>
      <c r="LY67" s="25"/>
      <c r="LZ67" s="25"/>
      <c r="MA67" s="25"/>
      <c r="MB67" s="25"/>
      <c r="MC67" s="24"/>
      <c r="MD67" s="25"/>
      <c r="ME67" s="25"/>
      <c r="MF67" s="25"/>
      <c r="MG67" s="25"/>
      <c r="MH67" s="25"/>
      <c r="MI67" s="25"/>
      <c r="MJ67" s="24"/>
    </row>
    <row r="68" spans="1:348" x14ac:dyDescent="0.25">
      <c r="A68" s="23" t="s">
        <v>16</v>
      </c>
      <c r="B68" s="20"/>
      <c r="C68" s="20"/>
      <c r="D68" s="20"/>
      <c r="E68" s="20"/>
      <c r="F68" s="22" t="str">
        <f t="shared" ref="F68:F73" si="376">IF($E68 &gt;= F$41, 1, "")</f>
        <v/>
      </c>
      <c r="G68" s="20"/>
      <c r="H68" s="20"/>
      <c r="I68" s="20" t="str">
        <f t="shared" ref="I68:L69" si="377">IF($E68 &gt;= I$41, 1, "")</f>
        <v/>
      </c>
      <c r="J68" s="20" t="str">
        <f t="shared" si="377"/>
        <v/>
      </c>
      <c r="K68" s="20" t="str">
        <f t="shared" si="377"/>
        <v/>
      </c>
      <c r="L68" s="20" t="str">
        <f t="shared" si="377"/>
        <v/>
      </c>
      <c r="M68" s="20"/>
      <c r="N68" s="20"/>
      <c r="O68" s="21"/>
      <c r="P68" s="20" t="str">
        <f t="shared" ref="P68:P73" si="378">IF(SUM(S68:MJ68) &gt; 0, SUM(S68:MJ68), "")</f>
        <v/>
      </c>
      <c r="Q68" s="118"/>
      <c r="R68" s="82"/>
      <c r="S68" s="21"/>
      <c r="T68" s="20"/>
      <c r="U68" s="20"/>
      <c r="V68" s="20"/>
      <c r="W68" s="20"/>
      <c r="X68" s="20"/>
      <c r="Y68" s="20"/>
      <c r="Z68" s="21"/>
      <c r="AA68" s="20"/>
      <c r="AB68" s="20"/>
      <c r="AC68" s="20"/>
      <c r="AD68" s="20"/>
      <c r="AE68" s="20"/>
      <c r="AF68" s="20"/>
      <c r="AG68" s="21"/>
      <c r="AH68" s="20"/>
      <c r="AI68" s="20"/>
      <c r="AJ68" s="20"/>
      <c r="AK68" s="20"/>
      <c r="AL68" s="20"/>
      <c r="AM68" s="20"/>
      <c r="AN68" s="21"/>
      <c r="AO68" s="20"/>
      <c r="AP68" s="20"/>
      <c r="AQ68" s="20"/>
      <c r="AR68" s="20"/>
      <c r="AS68" s="20"/>
      <c r="AT68" s="20"/>
      <c r="AU68" s="21"/>
      <c r="AV68" s="20"/>
      <c r="AW68" s="20"/>
      <c r="AX68" s="20"/>
      <c r="AY68" s="20"/>
      <c r="AZ68" s="20"/>
      <c r="BA68" s="20"/>
      <c r="BB68" s="21"/>
      <c r="BC68" s="20"/>
      <c r="BD68" s="20"/>
      <c r="BE68" s="20"/>
      <c r="BF68" s="20"/>
      <c r="BG68" s="20"/>
      <c r="BH68" s="20"/>
      <c r="BI68" s="21"/>
      <c r="BJ68" s="20"/>
      <c r="BK68" s="20"/>
      <c r="BL68" s="20"/>
      <c r="BM68" s="20"/>
      <c r="BN68" s="20"/>
      <c r="BO68" s="20"/>
      <c r="BP68" s="21"/>
      <c r="BQ68" s="20"/>
      <c r="BR68" s="20"/>
      <c r="BS68" s="20"/>
      <c r="BT68" s="20"/>
      <c r="BU68" s="20"/>
      <c r="BV68" s="20"/>
      <c r="BW68" s="20"/>
      <c r="BX68" s="20"/>
      <c r="BY68" s="21"/>
      <c r="BZ68" s="20"/>
      <c r="CA68" s="20"/>
      <c r="CB68" s="20"/>
      <c r="CC68" s="20"/>
      <c r="CD68" s="20"/>
      <c r="CE68" s="20"/>
      <c r="CF68" s="20"/>
      <c r="CG68" s="20"/>
      <c r="CH68" s="21"/>
      <c r="CI68" s="20"/>
      <c r="CJ68" s="20"/>
      <c r="CK68" s="20"/>
      <c r="CL68" s="20"/>
      <c r="CM68" s="20"/>
      <c r="CN68" s="20"/>
      <c r="CO68" s="20"/>
      <c r="CP68" s="20"/>
      <c r="CQ68" s="21"/>
      <c r="CR68" s="20"/>
      <c r="CS68" s="20"/>
      <c r="CT68" s="20"/>
      <c r="CU68" s="20"/>
      <c r="CV68" s="20"/>
      <c r="CW68" s="20"/>
      <c r="CX68" s="20"/>
      <c r="CY68" s="20"/>
      <c r="CZ68" s="21"/>
      <c r="DA68" s="20"/>
      <c r="DB68" s="20"/>
      <c r="DC68" s="20"/>
      <c r="DD68" s="20"/>
      <c r="DE68" s="20"/>
      <c r="DF68" s="20"/>
      <c r="DG68" s="20"/>
      <c r="DH68" s="20"/>
      <c r="DI68" s="21"/>
      <c r="DJ68" s="20"/>
      <c r="DK68" s="20"/>
      <c r="DL68" s="20"/>
      <c r="DM68" s="20"/>
      <c r="DN68" s="20"/>
      <c r="DO68" s="20"/>
      <c r="DP68" s="20"/>
      <c r="DQ68" s="20"/>
      <c r="DR68" s="21"/>
      <c r="DS68" s="20"/>
      <c r="DT68" s="20"/>
      <c r="DU68" s="20"/>
      <c r="DV68" s="20"/>
      <c r="DW68" s="20"/>
      <c r="DX68" s="20"/>
      <c r="DY68" s="20"/>
      <c r="DZ68" s="20"/>
      <c r="EA68" s="21"/>
      <c r="EB68" s="20"/>
      <c r="EC68" s="20"/>
      <c r="ED68" s="20"/>
      <c r="EE68" s="20"/>
      <c r="EF68" s="20"/>
      <c r="EG68" s="20"/>
      <c r="EH68" s="21"/>
      <c r="EI68" s="20"/>
      <c r="EJ68" s="20"/>
      <c r="EK68" s="20"/>
      <c r="EL68" s="20"/>
      <c r="EM68" s="20"/>
      <c r="EN68" s="20"/>
      <c r="EO68" s="21"/>
      <c r="EP68" s="20"/>
      <c r="EQ68" s="20"/>
      <c r="ER68" s="20"/>
      <c r="ES68" s="20"/>
      <c r="ET68" s="20"/>
      <c r="EU68" s="20"/>
      <c r="EV68" s="21"/>
      <c r="EW68" s="20"/>
      <c r="EX68" s="20"/>
      <c r="EY68" s="20"/>
      <c r="EZ68" s="20"/>
      <c r="FA68" s="20"/>
      <c r="FB68" s="20"/>
      <c r="FC68" s="21"/>
      <c r="FD68" s="20"/>
      <c r="FE68" s="20"/>
      <c r="FF68" s="20"/>
      <c r="FG68" s="20"/>
      <c r="FH68" s="20"/>
      <c r="FI68" s="20"/>
      <c r="FJ68" s="21"/>
      <c r="FK68" s="20"/>
      <c r="FL68" s="20"/>
      <c r="FM68" s="20"/>
      <c r="FN68" s="20"/>
      <c r="FO68" s="20"/>
      <c r="FP68" s="20"/>
      <c r="FQ68" s="21"/>
      <c r="FR68" s="20"/>
      <c r="FS68" s="20"/>
      <c r="FT68" s="20"/>
      <c r="FU68" s="20"/>
      <c r="FV68" s="20"/>
      <c r="FW68" s="20"/>
      <c r="FX68" s="21"/>
      <c r="FY68" s="20"/>
      <c r="FZ68" s="20"/>
      <c r="GA68" s="20"/>
      <c r="GB68" s="20"/>
      <c r="GC68" s="20"/>
      <c r="GD68" s="20"/>
      <c r="GE68" s="21"/>
      <c r="GF68" s="20"/>
      <c r="GG68" s="20"/>
      <c r="GH68" s="20"/>
      <c r="GI68" s="20"/>
      <c r="GJ68" s="20"/>
      <c r="GK68" s="20"/>
      <c r="GL68" s="21"/>
      <c r="GM68" s="20"/>
      <c r="GN68" s="20"/>
      <c r="GO68" s="20"/>
      <c r="GP68" s="20"/>
      <c r="GQ68" s="20"/>
      <c r="GR68" s="20"/>
      <c r="GS68" s="21"/>
      <c r="GT68" s="20"/>
      <c r="GU68" s="20"/>
      <c r="GV68" s="20"/>
      <c r="GW68" s="20"/>
      <c r="GX68" s="20"/>
      <c r="GY68" s="20"/>
      <c r="GZ68" s="21"/>
      <c r="HA68" s="20"/>
      <c r="HB68" s="20"/>
      <c r="HC68" s="20"/>
      <c r="HD68" s="20"/>
      <c r="HE68" s="20"/>
      <c r="HF68" s="20"/>
      <c r="HG68" s="21"/>
      <c r="HH68" s="20"/>
      <c r="HI68" s="20"/>
      <c r="HJ68" s="20"/>
      <c r="HK68" s="20"/>
      <c r="HL68" s="20"/>
      <c r="HM68" s="20"/>
      <c r="HN68" s="21"/>
      <c r="HO68" s="20"/>
      <c r="HP68" s="20"/>
      <c r="HQ68" s="20"/>
      <c r="HR68" s="20"/>
      <c r="HS68" s="20"/>
      <c r="HT68" s="20"/>
      <c r="HU68" s="21"/>
      <c r="HV68" s="20"/>
      <c r="HW68" s="20"/>
      <c r="HX68" s="20"/>
      <c r="HY68" s="20"/>
      <c r="HZ68" s="20"/>
      <c r="IA68" s="20"/>
      <c r="IB68" s="21"/>
      <c r="IC68" s="20"/>
      <c r="ID68" s="20"/>
      <c r="IE68" s="20"/>
      <c r="IF68" s="20"/>
      <c r="IG68" s="20"/>
      <c r="IH68" s="20"/>
      <c r="II68" s="21"/>
      <c r="IJ68" s="20"/>
      <c r="IK68" s="20"/>
      <c r="IL68" s="20"/>
      <c r="IM68" s="20"/>
      <c r="IN68" s="20"/>
      <c r="IO68" s="20"/>
      <c r="IP68" s="21"/>
      <c r="IQ68" s="20"/>
      <c r="IR68" s="20"/>
      <c r="IS68" s="20"/>
      <c r="IT68" s="20"/>
      <c r="IU68" s="20"/>
      <c r="IV68" s="20"/>
      <c r="IW68" s="21"/>
      <c r="IX68" s="20"/>
      <c r="IY68" s="20"/>
      <c r="IZ68" s="20"/>
      <c r="JA68" s="20"/>
      <c r="JB68" s="20"/>
      <c r="JC68" s="20"/>
      <c r="JD68" s="21"/>
      <c r="JE68" s="20"/>
      <c r="JF68" s="20"/>
      <c r="JG68" s="20"/>
      <c r="JH68" s="20"/>
      <c r="JI68" s="20"/>
      <c r="JJ68" s="20"/>
      <c r="JK68" s="21"/>
      <c r="JL68" s="20"/>
      <c r="JM68" s="20"/>
      <c r="JN68" s="20"/>
      <c r="JO68" s="20"/>
      <c r="JP68" s="20"/>
      <c r="JQ68" s="20"/>
      <c r="JR68" s="21"/>
      <c r="JS68" s="20"/>
      <c r="JT68" s="20"/>
      <c r="JU68" s="20"/>
      <c r="JV68" s="20"/>
      <c r="JW68" s="20"/>
      <c r="JX68" s="20"/>
      <c r="JY68" s="21"/>
      <c r="JZ68" s="20"/>
      <c r="KA68" s="20"/>
      <c r="KB68" s="20"/>
      <c r="KC68" s="20"/>
      <c r="KD68" s="20"/>
      <c r="KE68" s="20"/>
      <c r="KF68" s="21"/>
      <c r="KG68" s="20"/>
      <c r="KH68" s="20"/>
      <c r="KI68" s="20"/>
      <c r="KJ68" s="20"/>
      <c r="KK68" s="20"/>
      <c r="KL68" s="20"/>
      <c r="KM68" s="21"/>
      <c r="KN68" s="20"/>
      <c r="KO68" s="20"/>
      <c r="KP68" s="20"/>
      <c r="KQ68" s="20"/>
      <c r="KR68" s="20"/>
      <c r="KS68" s="20"/>
      <c r="KT68" s="21"/>
      <c r="KU68" s="20"/>
      <c r="KV68" s="20"/>
      <c r="KW68" s="20"/>
      <c r="KX68" s="20"/>
      <c r="KY68" s="20"/>
      <c r="KZ68" s="20"/>
      <c r="LA68" s="21"/>
      <c r="LB68" s="20"/>
      <c r="LC68" s="20"/>
      <c r="LD68" s="20"/>
      <c r="LE68" s="20"/>
      <c r="LF68" s="20"/>
      <c r="LG68" s="20"/>
      <c r="LH68" s="21"/>
      <c r="LI68" s="20"/>
      <c r="LJ68" s="20"/>
      <c r="LK68" s="20"/>
      <c r="LL68" s="20"/>
      <c r="LM68" s="20"/>
      <c r="LN68" s="20"/>
      <c r="LO68" s="21"/>
      <c r="LP68" s="20"/>
      <c r="LQ68" s="20"/>
      <c r="LR68" s="20"/>
      <c r="LS68" s="20"/>
      <c r="LT68" s="20"/>
      <c r="LU68" s="20"/>
      <c r="LV68" s="21"/>
      <c r="LW68" s="20"/>
      <c r="LX68" s="20"/>
      <c r="LY68" s="20"/>
      <c r="LZ68" s="20"/>
      <c r="MA68" s="20"/>
      <c r="MB68" s="20"/>
      <c r="MC68" s="21"/>
      <c r="MD68" s="20"/>
      <c r="ME68" s="20"/>
      <c r="MF68" s="20"/>
      <c r="MG68" s="20"/>
      <c r="MH68" s="20"/>
      <c r="MI68" s="20"/>
      <c r="MJ68" s="21"/>
    </row>
    <row r="69" spans="1:348" ht="7.5" customHeight="1" x14ac:dyDescent="0.25">
      <c r="A69" s="8"/>
      <c r="B69" s="8"/>
      <c r="C69" s="8"/>
      <c r="D69" s="8"/>
      <c r="E69" s="8"/>
      <c r="F69" s="10" t="str">
        <f t="shared" si="376"/>
        <v/>
      </c>
      <c r="G69" s="19"/>
      <c r="H69" s="19"/>
      <c r="I69" s="19" t="str">
        <f t="shared" si="377"/>
        <v/>
      </c>
      <c r="J69" s="19" t="str">
        <f t="shared" si="377"/>
        <v/>
      </c>
      <c r="K69" s="19" t="str">
        <f t="shared" si="377"/>
        <v/>
      </c>
      <c r="L69" s="19" t="str">
        <f t="shared" si="377"/>
        <v/>
      </c>
      <c r="M69" s="8"/>
      <c r="N69" s="8"/>
      <c r="O69" s="9"/>
      <c r="P69" s="8" t="str">
        <f t="shared" si="378"/>
        <v/>
      </c>
      <c r="Q69" s="109" t="str">
        <f t="shared" ref="Q69:Q74" si="379">IF(SUM(S69:XFD69) &gt; 0, SUM(S69:XFD69) / $P$75 * 100, "")</f>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37</v>
      </c>
      <c r="B70" s="8"/>
      <c r="C70" s="8" t="s">
        <v>36</v>
      </c>
      <c r="D70" s="8" t="s">
        <v>35</v>
      </c>
      <c r="E70" s="18">
        <v>39448</v>
      </c>
      <c r="F70" s="10">
        <f t="shared" si="376"/>
        <v>1</v>
      </c>
      <c r="G70" s="19">
        <f t="shared" ref="G70:H73" si="380">IF($E70 &gt;= G$41, 1, "")</f>
        <v>1</v>
      </c>
      <c r="H70" s="19">
        <f t="shared" si="380"/>
        <v>1</v>
      </c>
      <c r="I70" s="8">
        <f t="shared" ref="I70:L73" si="381">IF($E70 &gt;= I$41, 1, "")</f>
        <v>1</v>
      </c>
      <c r="J70" s="8">
        <f t="shared" si="381"/>
        <v>1</v>
      </c>
      <c r="K70" s="8" t="str">
        <f t="shared" si="381"/>
        <v/>
      </c>
      <c r="L70" s="8" t="str">
        <f t="shared" si="381"/>
        <v/>
      </c>
      <c r="M70" s="8"/>
      <c r="N70" s="8"/>
      <c r="O70" s="9"/>
      <c r="P70" s="8">
        <f t="shared" si="378"/>
        <v>8</v>
      </c>
      <c r="Q70" s="109">
        <f t="shared" si="379"/>
        <v>47.058823529411761</v>
      </c>
      <c r="R70" s="84"/>
      <c r="S70" s="7"/>
      <c r="Z70" s="7"/>
      <c r="AG70" s="7"/>
      <c r="AK70">
        <v>1</v>
      </c>
      <c r="AN70" s="7"/>
      <c r="AP70">
        <v>1</v>
      </c>
      <c r="AU70" s="7"/>
      <c r="AW70">
        <v>1</v>
      </c>
      <c r="BB70" s="7"/>
      <c r="BD70">
        <v>1</v>
      </c>
      <c r="BI70" s="7"/>
      <c r="BK70">
        <v>1</v>
      </c>
      <c r="BM70">
        <v>1</v>
      </c>
      <c r="BN70">
        <v>1</v>
      </c>
      <c r="BP70" s="7"/>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34</v>
      </c>
      <c r="B71" s="8"/>
      <c r="C71" s="8" t="s">
        <v>33</v>
      </c>
      <c r="D71" s="8" t="s">
        <v>32</v>
      </c>
      <c r="E71" s="18">
        <v>39649</v>
      </c>
      <c r="F71" s="10">
        <f t="shared" si="376"/>
        <v>1</v>
      </c>
      <c r="G71" s="19">
        <f t="shared" si="380"/>
        <v>1</v>
      </c>
      <c r="H71" s="19">
        <f t="shared" si="380"/>
        <v>1</v>
      </c>
      <c r="I71" s="8">
        <f t="shared" si="381"/>
        <v>1</v>
      </c>
      <c r="J71" s="8">
        <f t="shared" si="381"/>
        <v>1</v>
      </c>
      <c r="K71" s="8" t="str">
        <f t="shared" si="381"/>
        <v/>
      </c>
      <c r="L71" s="8" t="str">
        <f t="shared" si="381"/>
        <v/>
      </c>
      <c r="M71" s="8"/>
      <c r="N71" s="8"/>
      <c r="O71" s="9"/>
      <c r="P71" s="8" t="str">
        <f t="shared" si="378"/>
        <v/>
      </c>
      <c r="Q71" s="109" t="str">
        <f t="shared" si="379"/>
        <v/>
      </c>
      <c r="R71" s="84"/>
      <c r="S71" s="7"/>
      <c r="Z71" s="7"/>
      <c r="AG71" s="7"/>
      <c r="AN71" s="7"/>
      <c r="AU71" s="7"/>
      <c r="BB71" s="7"/>
      <c r="BI71" s="7"/>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31</v>
      </c>
      <c r="B72" s="8"/>
      <c r="C72" s="8" t="s">
        <v>30</v>
      </c>
      <c r="D72" s="8" t="s">
        <v>29</v>
      </c>
      <c r="E72" s="18">
        <v>39453</v>
      </c>
      <c r="F72" s="10">
        <f t="shared" si="376"/>
        <v>1</v>
      </c>
      <c r="G72" s="19">
        <f t="shared" si="380"/>
        <v>1</v>
      </c>
      <c r="H72" s="19">
        <f t="shared" si="380"/>
        <v>1</v>
      </c>
      <c r="I72" s="8">
        <f t="shared" si="381"/>
        <v>1</v>
      </c>
      <c r="J72" s="8">
        <f t="shared" si="381"/>
        <v>1</v>
      </c>
      <c r="K72" s="8" t="str">
        <f t="shared" si="381"/>
        <v/>
      </c>
      <c r="L72" s="8" t="str">
        <f t="shared" si="381"/>
        <v/>
      </c>
      <c r="M72" s="8"/>
      <c r="N72" s="8"/>
      <c r="O72" s="9"/>
      <c r="P72" s="8">
        <f t="shared" si="378"/>
        <v>11</v>
      </c>
      <c r="Q72" s="109">
        <f t="shared" si="379"/>
        <v>64.705882352941174</v>
      </c>
      <c r="R72" s="84"/>
      <c r="S72" s="7"/>
      <c r="Z72" s="7"/>
      <c r="AG72" s="7"/>
      <c r="AK72">
        <v>1</v>
      </c>
      <c r="AN72" s="7"/>
      <c r="AR72">
        <v>1</v>
      </c>
      <c r="AU72" s="7"/>
      <c r="BB72" s="7"/>
      <c r="BD72">
        <v>1</v>
      </c>
      <c r="BF72">
        <v>1</v>
      </c>
      <c r="BI72" s="7"/>
      <c r="BK72">
        <v>1</v>
      </c>
      <c r="BM72">
        <v>1</v>
      </c>
      <c r="BN72">
        <v>1</v>
      </c>
      <c r="BP72" s="7">
        <v>1</v>
      </c>
      <c r="BW72">
        <v>1</v>
      </c>
      <c r="BY72" s="7"/>
      <c r="CH72" s="7"/>
      <c r="CQ72" s="7"/>
      <c r="CZ72" s="7"/>
      <c r="DI72" s="7"/>
      <c r="DR72" s="7"/>
      <c r="DT72">
        <v>1</v>
      </c>
      <c r="DV72">
        <v>1</v>
      </c>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x14ac:dyDescent="0.25">
      <c r="A73" s="8" t="s">
        <v>28</v>
      </c>
      <c r="B73" s="8"/>
      <c r="C73" s="8" t="s">
        <v>27</v>
      </c>
      <c r="D73" s="8" t="s">
        <v>26</v>
      </c>
      <c r="E73" s="18">
        <v>39802</v>
      </c>
      <c r="F73" s="10">
        <f t="shared" si="376"/>
        <v>1</v>
      </c>
      <c r="G73" s="19">
        <f t="shared" si="380"/>
        <v>1</v>
      </c>
      <c r="H73" s="19">
        <f t="shared" si="380"/>
        <v>1</v>
      </c>
      <c r="I73" s="8">
        <f t="shared" si="381"/>
        <v>1</v>
      </c>
      <c r="J73" s="8">
        <f t="shared" si="381"/>
        <v>1</v>
      </c>
      <c r="K73" s="8" t="str">
        <f t="shared" si="381"/>
        <v/>
      </c>
      <c r="L73" s="8" t="str">
        <f t="shared" si="381"/>
        <v/>
      </c>
      <c r="M73" s="8"/>
      <c r="N73" s="8"/>
      <c r="O73" s="9"/>
      <c r="P73" s="8">
        <f t="shared" si="378"/>
        <v>9</v>
      </c>
      <c r="Q73" s="109">
        <f t="shared" si="379"/>
        <v>52.941176470588239</v>
      </c>
      <c r="R73" s="84"/>
      <c r="S73" s="7"/>
      <c r="Z73" s="7"/>
      <c r="AG73" s="7"/>
      <c r="AK73">
        <v>1</v>
      </c>
      <c r="AN73" s="7"/>
      <c r="AP73">
        <v>1</v>
      </c>
      <c r="AU73" s="7"/>
      <c r="AW73">
        <v>1</v>
      </c>
      <c r="AY73">
        <v>1</v>
      </c>
      <c r="BB73" s="7"/>
      <c r="BD73">
        <v>1</v>
      </c>
      <c r="BF73">
        <v>1</v>
      </c>
      <c r="BI73" s="7"/>
      <c r="BM73">
        <v>1</v>
      </c>
      <c r="BP73" s="7"/>
      <c r="BY73" s="7"/>
      <c r="CH73" s="7"/>
      <c r="CQ73" s="7"/>
      <c r="CZ73" s="7"/>
      <c r="DI73" s="7"/>
      <c r="DR73" s="7"/>
      <c r="DV73">
        <v>1</v>
      </c>
      <c r="DW73">
        <v>1</v>
      </c>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7.5" customHeight="1" x14ac:dyDescent="0.25">
      <c r="A74" s="8"/>
      <c r="B74" s="8"/>
      <c r="C74" s="8"/>
      <c r="D74" s="8"/>
      <c r="E74" s="8"/>
      <c r="F74" s="10"/>
      <c r="G74" s="19"/>
      <c r="H74" s="19"/>
      <c r="I74" s="8"/>
      <c r="J74" s="8"/>
      <c r="K74" s="8"/>
      <c r="L74" s="8"/>
      <c r="M74" s="8"/>
      <c r="N74" s="8"/>
      <c r="O74" s="9"/>
      <c r="P74" s="8" t="str">
        <f>IF(SUM(R74:MJ74) &gt; 0, SUM(R74:MJ74), "")</f>
        <v/>
      </c>
      <c r="Q74" s="109" t="str">
        <f t="shared" si="379"/>
        <v/>
      </c>
      <c r="R74" s="84"/>
      <c r="S74" s="7"/>
      <c r="Z74" s="7"/>
      <c r="AG74" s="7"/>
      <c r="AN74" s="7"/>
      <c r="AU74" s="7"/>
      <c r="BB74" s="7"/>
      <c r="BI74" s="7"/>
      <c r="BP74" s="7"/>
      <c r="BY74" s="7"/>
      <c r="CH74" s="7"/>
      <c r="CQ74" s="7"/>
      <c r="CZ74" s="7"/>
      <c r="DI74" s="7"/>
      <c r="DR74" s="7"/>
      <c r="EA74" s="7"/>
      <c r="EH74" s="7"/>
      <c r="EO74" s="7"/>
      <c r="EV74" s="7"/>
      <c r="FC74" s="7"/>
      <c r="FJ74" s="7"/>
      <c r="FQ74" s="7"/>
      <c r="FX74" s="7"/>
      <c r="GE74" s="7"/>
      <c r="GL74" s="7"/>
      <c r="GS74" s="7"/>
      <c r="GZ74" s="7"/>
      <c r="HG74" s="7"/>
      <c r="HN74" s="7"/>
      <c r="HU74" s="7"/>
      <c r="IB74" s="7"/>
      <c r="II74" s="7"/>
      <c r="IP74" s="7"/>
      <c r="IW74" s="7"/>
      <c r="JD74" s="7"/>
      <c r="JK74" s="7"/>
      <c r="JR74" s="7"/>
      <c r="JY74" s="7"/>
      <c r="KF74" s="7"/>
      <c r="KM74" s="7"/>
      <c r="KT74" s="7"/>
      <c r="LA74" s="7"/>
      <c r="LH74" s="7"/>
      <c r="LO74" s="7"/>
      <c r="LV74" s="7"/>
      <c r="MC74" s="7"/>
      <c r="MJ74" s="7"/>
    </row>
    <row r="75" spans="1:348" ht="15" customHeight="1" thickBot="1" x14ac:dyDescent="0.3">
      <c r="A75" s="20" t="s">
        <v>18</v>
      </c>
      <c r="B75" s="20"/>
      <c r="C75" s="20"/>
      <c r="D75" s="20"/>
      <c r="E75" s="21"/>
      <c r="F75" s="20"/>
      <c r="G75" s="20"/>
      <c r="H75" s="20"/>
      <c r="I75" s="20"/>
      <c r="J75" s="20"/>
      <c r="K75" s="20"/>
      <c r="L75" s="20"/>
      <c r="M75" s="20"/>
      <c r="N75" s="20"/>
      <c r="O75" s="21"/>
      <c r="P75" s="60">
        <f>SUM(S75:MJ75)</f>
        <v>17</v>
      </c>
      <c r="Q75" s="60"/>
      <c r="R75" s="21"/>
      <c r="S75" s="21"/>
      <c r="T75" s="20"/>
      <c r="U75" s="20"/>
      <c r="V75" s="20"/>
      <c r="W75" s="20"/>
      <c r="X75" s="20"/>
      <c r="Y75" s="20"/>
      <c r="Z75" s="21"/>
      <c r="AA75" s="20"/>
      <c r="AB75" s="20"/>
      <c r="AC75" s="20"/>
      <c r="AD75" s="20"/>
      <c r="AE75" s="20"/>
      <c r="AF75" s="20"/>
      <c r="AG75" s="21"/>
      <c r="AH75" s="20"/>
      <c r="AI75" s="20">
        <v>1</v>
      </c>
      <c r="AJ75" s="20"/>
      <c r="AK75" s="20">
        <v>1</v>
      </c>
      <c r="AL75" s="20"/>
      <c r="AM75" s="20"/>
      <c r="AN75" s="21"/>
      <c r="AO75" s="20"/>
      <c r="AP75" s="20">
        <v>1</v>
      </c>
      <c r="AQ75" s="20"/>
      <c r="AR75" s="20">
        <v>1</v>
      </c>
      <c r="AS75" s="20"/>
      <c r="AT75" s="20"/>
      <c r="AU75" s="21"/>
      <c r="AV75" s="20"/>
      <c r="AW75" s="20">
        <v>1</v>
      </c>
      <c r="AX75" s="20">
        <v>1</v>
      </c>
      <c r="AY75" s="20">
        <v>1</v>
      </c>
      <c r="AZ75" s="20"/>
      <c r="BA75" s="20"/>
      <c r="BB75" s="21"/>
      <c r="BC75" s="20"/>
      <c r="BD75" s="20">
        <v>1</v>
      </c>
      <c r="BE75" s="20"/>
      <c r="BF75" s="20">
        <v>1</v>
      </c>
      <c r="BG75" s="20"/>
      <c r="BH75" s="20"/>
      <c r="BI75" s="21"/>
      <c r="BJ75" s="20"/>
      <c r="BK75" s="20">
        <v>1</v>
      </c>
      <c r="BL75" s="20"/>
      <c r="BM75" s="20">
        <v>1</v>
      </c>
      <c r="BN75" s="20">
        <v>1</v>
      </c>
      <c r="BO75" s="20"/>
      <c r="BP75" s="21">
        <v>1</v>
      </c>
      <c r="BQ75" s="20"/>
      <c r="BR75" s="20"/>
      <c r="BS75" s="20"/>
      <c r="BT75" s="20"/>
      <c r="BU75" s="20"/>
      <c r="BV75" s="20"/>
      <c r="BW75" s="20">
        <v>1</v>
      </c>
      <c r="BX75" s="20"/>
      <c r="BY75" s="21"/>
      <c r="BZ75" s="20"/>
      <c r="CA75" s="20"/>
      <c r="CB75" s="20"/>
      <c r="CC75" s="20"/>
      <c r="CD75" s="20"/>
      <c r="CE75" s="20"/>
      <c r="CF75" s="20"/>
      <c r="CG75" s="20"/>
      <c r="CH75" s="21"/>
      <c r="CI75" s="20"/>
      <c r="CJ75" s="20"/>
      <c r="CK75" s="20"/>
      <c r="CL75" s="20"/>
      <c r="CM75" s="20"/>
      <c r="CN75" s="20"/>
      <c r="CO75" s="20"/>
      <c r="CP75" s="20"/>
      <c r="CQ75" s="21"/>
      <c r="CR75" s="20"/>
      <c r="CS75" s="20"/>
      <c r="CT75" s="20"/>
      <c r="CU75" s="20"/>
      <c r="CV75" s="20"/>
      <c r="CW75" s="20"/>
      <c r="CX75" s="20"/>
      <c r="CY75" s="20"/>
      <c r="CZ75" s="21"/>
      <c r="DA75" s="20"/>
      <c r="DB75" s="20"/>
      <c r="DC75" s="20"/>
      <c r="DD75" s="20"/>
      <c r="DE75" s="20"/>
      <c r="DF75" s="20"/>
      <c r="DG75" s="20"/>
      <c r="DH75" s="20"/>
      <c r="DI75" s="21"/>
      <c r="DJ75" s="20"/>
      <c r="DK75" s="20"/>
      <c r="DL75" s="20"/>
      <c r="DM75" s="20"/>
      <c r="DN75" s="20"/>
      <c r="DO75" s="20"/>
      <c r="DP75" s="20"/>
      <c r="DQ75" s="20"/>
      <c r="DR75" s="21"/>
      <c r="DS75" s="20"/>
      <c r="DT75" s="20">
        <v>1</v>
      </c>
      <c r="DU75" s="20"/>
      <c r="DV75" s="20">
        <v>1</v>
      </c>
      <c r="DW75" s="20">
        <v>1</v>
      </c>
      <c r="DX75" s="20"/>
      <c r="DY75" s="20"/>
      <c r="DZ75" s="20"/>
      <c r="EA75" s="21"/>
      <c r="EB75" s="20"/>
      <c r="EC75" s="20"/>
      <c r="ED75" s="20"/>
      <c r="EE75" s="20"/>
      <c r="EF75" s="20"/>
      <c r="EG75" s="20"/>
      <c r="EH75" s="21"/>
      <c r="EI75" s="20"/>
      <c r="EJ75" s="20"/>
      <c r="EK75" s="20"/>
      <c r="EL75" s="20"/>
      <c r="EM75" s="20"/>
      <c r="EN75" s="20"/>
      <c r="EO75" s="21"/>
      <c r="EP75" s="20"/>
      <c r="EQ75" s="20"/>
      <c r="ER75" s="20"/>
      <c r="ES75" s="20"/>
      <c r="ET75" s="20"/>
      <c r="EU75" s="20"/>
      <c r="EV75" s="21"/>
      <c r="EW75" s="20"/>
      <c r="EX75" s="20"/>
      <c r="EY75" s="20"/>
      <c r="EZ75" s="20"/>
      <c r="FA75" s="20"/>
      <c r="FB75" s="20"/>
      <c r="FC75" s="21"/>
      <c r="FD75" s="20"/>
      <c r="FE75" s="20"/>
      <c r="FF75" s="20"/>
      <c r="FG75" s="20"/>
      <c r="FH75" s="20"/>
      <c r="FI75" s="20"/>
      <c r="FJ75" s="21"/>
      <c r="FK75" s="20"/>
      <c r="FL75" s="20"/>
      <c r="FM75" s="20"/>
      <c r="FN75" s="20"/>
      <c r="FO75" s="20"/>
      <c r="FP75" s="20"/>
      <c r="FQ75" s="21"/>
      <c r="FR75" s="20"/>
      <c r="FS75" s="20"/>
      <c r="FT75" s="20"/>
      <c r="FU75" s="20"/>
      <c r="FV75" s="20"/>
      <c r="FW75" s="20"/>
      <c r="FX75" s="21"/>
      <c r="FY75" s="20"/>
      <c r="FZ75" s="20"/>
      <c r="GA75" s="20"/>
      <c r="GB75" s="20"/>
      <c r="GC75" s="20"/>
      <c r="GD75" s="20"/>
      <c r="GE75" s="21"/>
      <c r="GF75" s="20"/>
      <c r="GG75" s="20"/>
      <c r="GH75" s="20"/>
      <c r="GI75" s="20"/>
      <c r="GJ75" s="20"/>
      <c r="GK75" s="20"/>
      <c r="GL75" s="21"/>
      <c r="GM75" s="20"/>
      <c r="GN75" s="20"/>
      <c r="GO75" s="20"/>
      <c r="GP75" s="20"/>
      <c r="GQ75" s="20"/>
      <c r="GR75" s="20"/>
      <c r="GS75" s="21"/>
      <c r="GT75" s="20"/>
      <c r="GU75" s="20"/>
      <c r="GV75" s="20"/>
      <c r="GW75" s="20"/>
      <c r="GX75" s="20"/>
      <c r="GY75" s="20"/>
      <c r="GZ75" s="21"/>
      <c r="HA75" s="20"/>
      <c r="HB75" s="20"/>
      <c r="HC75" s="20"/>
      <c r="HD75" s="20"/>
      <c r="HE75" s="20"/>
      <c r="HF75" s="20"/>
      <c r="HG75" s="21"/>
      <c r="HH75" s="20"/>
      <c r="HI75" s="20"/>
      <c r="HJ75" s="20"/>
      <c r="HK75" s="20"/>
      <c r="HL75" s="20"/>
      <c r="HM75" s="20"/>
      <c r="HN75" s="21"/>
      <c r="HO75" s="20"/>
      <c r="HP75" s="20"/>
      <c r="HQ75" s="20"/>
      <c r="HR75" s="20"/>
      <c r="HS75" s="20"/>
      <c r="HT75" s="20"/>
      <c r="HU75" s="21"/>
      <c r="HV75" s="20"/>
      <c r="HW75" s="20"/>
      <c r="HX75" s="20"/>
      <c r="HY75" s="20"/>
      <c r="HZ75" s="20"/>
      <c r="IA75" s="20"/>
      <c r="IB75" s="21"/>
      <c r="IC75" s="20"/>
      <c r="ID75" s="20"/>
      <c r="IE75" s="20"/>
      <c r="IF75" s="20"/>
      <c r="IG75" s="20"/>
      <c r="IH75" s="20"/>
      <c r="II75" s="21"/>
      <c r="IJ75" s="20"/>
      <c r="IK75" s="20"/>
      <c r="IL75" s="20"/>
      <c r="IM75" s="20"/>
      <c r="IN75" s="20"/>
      <c r="IO75" s="20"/>
      <c r="IP75" s="21"/>
      <c r="IQ75" s="20"/>
      <c r="IR75" s="20"/>
      <c r="IS75" s="20"/>
      <c r="IT75" s="20"/>
      <c r="IU75" s="20"/>
      <c r="IV75" s="20"/>
      <c r="IW75" s="21"/>
      <c r="IX75" s="20"/>
      <c r="IY75" s="20"/>
      <c r="IZ75" s="20"/>
      <c r="JA75" s="20"/>
      <c r="JB75" s="20"/>
      <c r="JC75" s="20"/>
      <c r="JD75" s="21"/>
      <c r="JE75" s="20"/>
      <c r="JF75" s="20"/>
      <c r="JG75" s="20"/>
      <c r="JH75" s="20"/>
      <c r="JI75" s="20"/>
      <c r="JJ75" s="20"/>
      <c r="JK75" s="21"/>
      <c r="JL75" s="20"/>
      <c r="JM75" s="20"/>
      <c r="JN75" s="20"/>
      <c r="JO75" s="20"/>
      <c r="JP75" s="20"/>
      <c r="JQ75" s="20"/>
      <c r="JR75" s="21"/>
      <c r="JS75" s="20"/>
      <c r="JT75" s="20"/>
      <c r="JU75" s="20"/>
      <c r="JV75" s="20"/>
      <c r="JW75" s="20"/>
      <c r="JX75" s="20"/>
      <c r="JY75" s="21"/>
      <c r="JZ75" s="20"/>
      <c r="KA75" s="20"/>
      <c r="KB75" s="20"/>
      <c r="KC75" s="20"/>
      <c r="KD75" s="20"/>
      <c r="KE75" s="20"/>
      <c r="KF75" s="21"/>
      <c r="KG75" s="20"/>
      <c r="KH75" s="20"/>
      <c r="KI75" s="20"/>
      <c r="KJ75" s="20"/>
      <c r="KK75" s="20"/>
      <c r="KL75" s="20"/>
      <c r="KM75" s="21"/>
      <c r="KN75" s="20"/>
      <c r="KO75" s="20"/>
      <c r="KP75" s="20"/>
      <c r="KQ75" s="20"/>
      <c r="KR75" s="20"/>
      <c r="KS75" s="20"/>
      <c r="KT75" s="21"/>
      <c r="KU75" s="20"/>
      <c r="KV75" s="20"/>
      <c r="KW75" s="20"/>
      <c r="KX75" s="20"/>
      <c r="KY75" s="20"/>
      <c r="KZ75" s="20"/>
      <c r="LA75" s="21"/>
      <c r="LB75" s="20"/>
      <c r="LC75" s="20"/>
      <c r="LD75" s="20"/>
      <c r="LE75" s="20"/>
      <c r="LF75" s="20"/>
      <c r="LG75" s="20"/>
      <c r="LH75" s="21"/>
      <c r="LI75" s="20"/>
      <c r="LJ75" s="20"/>
      <c r="LK75" s="20"/>
      <c r="LL75" s="20"/>
      <c r="LM75" s="20"/>
      <c r="LN75" s="20"/>
      <c r="LO75" s="21"/>
      <c r="LP75" s="20"/>
      <c r="LQ75" s="20"/>
      <c r="LR75" s="20"/>
      <c r="LS75" s="20"/>
      <c r="LT75" s="20"/>
      <c r="LU75" s="20"/>
      <c r="LV75" s="21"/>
      <c r="LW75" s="20"/>
      <c r="LX75" s="20"/>
      <c r="LY75" s="20"/>
      <c r="LZ75" s="20"/>
      <c r="MA75" s="20"/>
      <c r="MB75" s="20"/>
      <c r="MC75" s="21"/>
      <c r="MD75" s="20"/>
      <c r="ME75" s="20"/>
      <c r="MF75" s="20"/>
      <c r="MG75" s="20"/>
      <c r="MH75" s="20"/>
      <c r="MI75" s="20"/>
      <c r="MJ75" s="21"/>
    </row>
    <row r="76" spans="1:348" ht="15.75" thickBot="1" x14ac:dyDescent="0.3">
      <c r="A76" s="64" t="s">
        <v>249</v>
      </c>
      <c r="B76" s="62"/>
      <c r="C76" s="62"/>
      <c r="D76" s="62"/>
      <c r="E76" s="63"/>
      <c r="F76" s="62"/>
      <c r="G76" s="62"/>
      <c r="H76" s="62"/>
      <c r="I76" s="62"/>
      <c r="J76" s="62"/>
      <c r="K76" s="62"/>
      <c r="L76" s="62"/>
      <c r="M76" s="62"/>
      <c r="N76" s="62"/>
      <c r="O76" s="63"/>
      <c r="P76" s="85">
        <f>VisibleSum(P69:P74)</f>
        <v>9</v>
      </c>
      <c r="Q76" s="62">
        <f>P76 / P75 * 100</f>
        <v>52.941176470588239</v>
      </c>
      <c r="R76" s="86"/>
      <c r="S76" s="63" t="str">
        <f>IF(SUM(S42:S62, S70:S73) &gt; 0, SUM(S42:S62, S70:S73), "")</f>
        <v/>
      </c>
      <c r="T76" s="62" t="str">
        <f t="shared" ref="T76:U76" si="382">IF(SUM(T69:T74) &gt; 0, SUM(T69:T74), "")</f>
        <v/>
      </c>
      <c r="U76" s="62" t="str">
        <f t="shared" si="382"/>
        <v/>
      </c>
      <c r="V76" s="62" t="str">
        <f t="shared" ref="V76" si="383">IF(SUM(V69:V74) &gt; 0, SUM(V69:V74), "")</f>
        <v/>
      </c>
      <c r="W76" s="62" t="str">
        <f t="shared" ref="W76" si="384">IF(SUM(W69:W74) &gt; 0, SUM(W69:W74), "")</f>
        <v/>
      </c>
      <c r="X76" s="62" t="str">
        <f t="shared" ref="X76" si="385">IF(SUM(X69:X74) &gt; 0, SUM(X69:X74), "")</f>
        <v/>
      </c>
      <c r="Y76" s="62" t="str">
        <f t="shared" ref="Y76" si="386">IF(SUM(Y69:Y74) &gt; 0, SUM(Y69:Y74), "")</f>
        <v/>
      </c>
      <c r="Z76" s="63" t="str">
        <f t="shared" ref="Z76:AB76" si="387">IF(SUM(Z69:Z74) &gt; 0, SUM(Z69:Z74), "")</f>
        <v/>
      </c>
      <c r="AA76" s="62" t="str">
        <f t="shared" si="387"/>
        <v/>
      </c>
      <c r="AB76" s="62" t="str">
        <f t="shared" si="387"/>
        <v/>
      </c>
      <c r="AC76" s="62" t="str">
        <f t="shared" ref="AC76" si="388">IF(SUM(AC69:AC74) &gt; 0, SUM(AC69:AC74), "")</f>
        <v/>
      </c>
      <c r="AD76" s="62" t="str">
        <f t="shared" ref="AD76" si="389">IF(SUM(AD69:AD74) &gt; 0, SUM(AD69:AD74), "")</f>
        <v/>
      </c>
      <c r="AE76" s="62" t="str">
        <f t="shared" ref="AE76" si="390">IF(SUM(AE69:AE74) &gt; 0, SUM(AE69:AE74), "")</f>
        <v/>
      </c>
      <c r="AF76" s="62" t="str">
        <f t="shared" ref="AF76" si="391">IF(SUM(AF69:AF74) &gt; 0, SUM(AF69:AF74), "")</f>
        <v/>
      </c>
      <c r="AG76" s="63" t="str">
        <f t="shared" ref="AG76" si="392">IF(SUM(AG69:AG74) &gt; 0, SUM(AG69:AG74), "")</f>
        <v/>
      </c>
      <c r="AH76" s="62" t="str">
        <f>IF(SUM(AH69:AH74) &gt; 0, SUM(AH69:AH74), "")</f>
        <v/>
      </c>
      <c r="AI76" s="62" t="str">
        <f>IF(SUM(AI69:AI74) &gt; 0, SUM(AI69:AI74), "")</f>
        <v/>
      </c>
      <c r="AJ76" s="62" t="str">
        <f t="shared" ref="AJ76:AN76" si="393">IF(SUM(AJ69:AJ74) &gt; 0, SUM(AJ69:AJ74), "")</f>
        <v/>
      </c>
      <c r="AK76" s="62">
        <f t="shared" si="393"/>
        <v>3</v>
      </c>
      <c r="AL76" s="62" t="str">
        <f t="shared" si="393"/>
        <v/>
      </c>
      <c r="AM76" s="62" t="str">
        <f t="shared" si="393"/>
        <v/>
      </c>
      <c r="AN76" s="63" t="str">
        <f t="shared" si="393"/>
        <v/>
      </c>
      <c r="AO76" s="62" t="str">
        <f>IF(SUM(AO69:AO74) &gt; 0, SUM(AO69:AO74), "")</f>
        <v/>
      </c>
      <c r="AP76" s="62">
        <f>IF(SUM(AP69:AP74) &gt; 0, SUM(AP69:AP74), "")</f>
        <v>2</v>
      </c>
      <c r="AQ76" s="62" t="str">
        <f t="shared" ref="AQ76" si="394">IF(SUM(AQ69:AQ74) &gt; 0, SUM(AQ69:AQ74), "")</f>
        <v/>
      </c>
      <c r="AR76" s="62">
        <f t="shared" ref="AR76" si="395">IF(SUM(AR69:AR74) &gt; 0, SUM(AR69:AR74), "")</f>
        <v>1</v>
      </c>
      <c r="AS76" s="62" t="str">
        <f t="shared" ref="AS76" si="396">IF(SUM(AS69:AS74) &gt; 0, SUM(AS69:AS74), "")</f>
        <v/>
      </c>
      <c r="AT76" s="62" t="str">
        <f t="shared" ref="AT76" si="397">IF(SUM(AT69:AT74) &gt; 0, SUM(AT69:AT74), "")</f>
        <v/>
      </c>
      <c r="AU76" s="63" t="str">
        <f t="shared" ref="AU76" si="398">IF(SUM(AU69:AU74) &gt; 0, SUM(AU69:AU74), "")</f>
        <v/>
      </c>
      <c r="AV76" s="62" t="str">
        <f>IF(SUM(AV69:AV74) &gt; 0, SUM(AV69:AV74), "")</f>
        <v/>
      </c>
      <c r="AW76" s="62">
        <f>IF(SUM(AW69:AW74) &gt; 0, SUM(AW69:AW74), "")</f>
        <v>2</v>
      </c>
      <c r="AX76" s="62" t="str">
        <f t="shared" ref="AX76" si="399">IF(SUM(AX69:AX74) &gt; 0, SUM(AX69:AX74), "")</f>
        <v/>
      </c>
      <c r="AY76" s="62">
        <f t="shared" ref="AY76" si="400">IF(SUM(AY69:AY74) &gt; 0, SUM(AY69:AY74), "")</f>
        <v>1</v>
      </c>
      <c r="AZ76" s="62" t="str">
        <f t="shared" ref="AZ76" si="401">IF(SUM(AZ69:AZ74) &gt; 0, SUM(AZ69:AZ74), "")</f>
        <v/>
      </c>
      <c r="BA76" s="62" t="str">
        <f t="shared" ref="BA76" si="402">IF(SUM(BA69:BA74) &gt; 0, SUM(BA69:BA74), "")</f>
        <v/>
      </c>
      <c r="BB76" s="63" t="str">
        <f t="shared" ref="BB76" si="403">IF(SUM(BB69:BB74) &gt; 0, SUM(BB69:BB74), "")</f>
        <v/>
      </c>
      <c r="BC76" s="62" t="str">
        <f>IF(SUM(BC69:BC74) &gt; 0, SUM(BC69:BC74), "")</f>
        <v/>
      </c>
      <c r="BD76" s="62">
        <f>IF(SUM(BD69:BD74) &gt; 0, SUM(BD69:BD74), "")</f>
        <v>3</v>
      </c>
      <c r="BE76" s="62" t="str">
        <f t="shared" ref="BE76:ED76" si="404">IF(SUM(BE69:BE74) &gt; 0, SUM(BE69:BE74), "")</f>
        <v/>
      </c>
      <c r="BF76" s="62">
        <f t="shared" si="404"/>
        <v>2</v>
      </c>
      <c r="BG76" s="62" t="str">
        <f t="shared" si="404"/>
        <v/>
      </c>
      <c r="BH76" s="62" t="str">
        <f t="shared" si="404"/>
        <v/>
      </c>
      <c r="BI76" s="63" t="str">
        <f t="shared" si="404"/>
        <v/>
      </c>
      <c r="BJ76" s="62" t="str">
        <f t="shared" si="404"/>
        <v/>
      </c>
      <c r="BK76" s="62">
        <f t="shared" si="404"/>
        <v>2</v>
      </c>
      <c r="BL76" s="62" t="str">
        <f t="shared" si="404"/>
        <v/>
      </c>
      <c r="BM76" s="62">
        <f t="shared" si="404"/>
        <v>3</v>
      </c>
      <c r="BN76" s="62">
        <f t="shared" si="404"/>
        <v>2</v>
      </c>
      <c r="BO76" s="62" t="str">
        <f t="shared" si="404"/>
        <v/>
      </c>
      <c r="BP76" s="63">
        <f t="shared" si="404"/>
        <v>1</v>
      </c>
      <c r="BQ76" s="62" t="str">
        <f t="shared" si="404"/>
        <v/>
      </c>
      <c r="BR76" s="62" t="str">
        <f t="shared" si="404"/>
        <v/>
      </c>
      <c r="BS76" s="62" t="str">
        <f t="shared" si="404"/>
        <v/>
      </c>
      <c r="BT76" s="62" t="str">
        <f t="shared" si="404"/>
        <v/>
      </c>
      <c r="BU76" s="62" t="str">
        <f t="shared" si="404"/>
        <v/>
      </c>
      <c r="BV76" s="62" t="str">
        <f t="shared" si="404"/>
        <v/>
      </c>
      <c r="BW76" s="62">
        <f t="shared" ref="BW76" si="405">IF(SUM(BW69:BW74) &gt; 0, SUM(BW69:BW74), "")</f>
        <v>2</v>
      </c>
      <c r="BX76" s="62"/>
      <c r="BY76" s="63" t="str">
        <f t="shared" si="404"/>
        <v/>
      </c>
      <c r="BZ76" s="62" t="str">
        <f t="shared" si="404"/>
        <v/>
      </c>
      <c r="CA76" s="62" t="str">
        <f t="shared" si="404"/>
        <v/>
      </c>
      <c r="CB76" s="62" t="str">
        <f t="shared" si="404"/>
        <v/>
      </c>
      <c r="CC76" s="62" t="str">
        <f t="shared" si="404"/>
        <v/>
      </c>
      <c r="CD76" s="62" t="str">
        <f t="shared" si="404"/>
        <v/>
      </c>
      <c r="CE76" s="62" t="str">
        <f t="shared" si="404"/>
        <v/>
      </c>
      <c r="CF76" s="62"/>
      <c r="CG76" s="62"/>
      <c r="CH76" s="63" t="str">
        <f t="shared" si="404"/>
        <v/>
      </c>
      <c r="CI76" s="62" t="str">
        <f t="shared" si="404"/>
        <v/>
      </c>
      <c r="CJ76" s="62" t="str">
        <f t="shared" si="404"/>
        <v/>
      </c>
      <c r="CK76" s="62" t="str">
        <f t="shared" si="404"/>
        <v/>
      </c>
      <c r="CL76" s="62" t="str">
        <f t="shared" si="404"/>
        <v/>
      </c>
      <c r="CM76" s="62" t="str">
        <f t="shared" si="404"/>
        <v/>
      </c>
      <c r="CN76" s="62" t="str">
        <f t="shared" si="404"/>
        <v/>
      </c>
      <c r="CO76" s="62" t="str">
        <f t="shared" ref="CO76" si="406">IF(SUM(CO69:CO74) &gt; 0, SUM(CO69:CO74), "")</f>
        <v/>
      </c>
      <c r="CP76" s="62"/>
      <c r="CQ76" s="63" t="str">
        <f t="shared" si="404"/>
        <v/>
      </c>
      <c r="CR76" s="62" t="str">
        <f t="shared" si="404"/>
        <v/>
      </c>
      <c r="CS76" s="62" t="str">
        <f t="shared" si="404"/>
        <v/>
      </c>
      <c r="CT76" s="62" t="str">
        <f t="shared" si="404"/>
        <v/>
      </c>
      <c r="CU76" s="62" t="str">
        <f t="shared" si="404"/>
        <v/>
      </c>
      <c r="CV76" s="62" t="str">
        <f t="shared" si="404"/>
        <v/>
      </c>
      <c r="CW76" s="62"/>
      <c r="CX76" s="62"/>
      <c r="CY76" s="62" t="str">
        <f t="shared" si="404"/>
        <v/>
      </c>
      <c r="CZ76" s="63" t="str">
        <f t="shared" si="404"/>
        <v/>
      </c>
      <c r="DA76" s="62" t="str">
        <f t="shared" si="404"/>
        <v/>
      </c>
      <c r="DB76" s="62" t="str">
        <f t="shared" si="404"/>
        <v/>
      </c>
      <c r="DC76" s="62" t="str">
        <f t="shared" si="404"/>
        <v/>
      </c>
      <c r="DD76" s="62" t="str">
        <f t="shared" si="404"/>
        <v/>
      </c>
      <c r="DE76" s="62" t="str">
        <f t="shared" si="404"/>
        <v/>
      </c>
      <c r="DF76" s="62" t="str">
        <f t="shared" si="404"/>
        <v/>
      </c>
      <c r="DG76" s="62"/>
      <c r="DH76" s="62"/>
      <c r="DI76" s="63" t="str">
        <f t="shared" si="404"/>
        <v/>
      </c>
      <c r="DJ76" s="62" t="str">
        <f t="shared" si="404"/>
        <v/>
      </c>
      <c r="DK76" s="62" t="str">
        <f t="shared" si="404"/>
        <v/>
      </c>
      <c r="DL76" s="62" t="str">
        <f t="shared" si="404"/>
        <v/>
      </c>
      <c r="DM76" s="62" t="str">
        <f t="shared" si="404"/>
        <v/>
      </c>
      <c r="DN76" s="62" t="str">
        <f t="shared" si="404"/>
        <v/>
      </c>
      <c r="DO76" s="62" t="str">
        <f t="shared" si="404"/>
        <v/>
      </c>
      <c r="DP76" s="62"/>
      <c r="DQ76" s="62"/>
      <c r="DR76" s="63" t="str">
        <f t="shared" si="404"/>
        <v/>
      </c>
      <c r="DS76" s="62" t="str">
        <f t="shared" si="404"/>
        <v/>
      </c>
      <c r="DT76" s="62">
        <f t="shared" si="404"/>
        <v>1</v>
      </c>
      <c r="DU76" s="62" t="str">
        <f t="shared" si="404"/>
        <v/>
      </c>
      <c r="DV76" s="62">
        <f t="shared" si="404"/>
        <v>2</v>
      </c>
      <c r="DW76" s="62">
        <f t="shared" si="404"/>
        <v>1</v>
      </c>
      <c r="DX76" s="62"/>
      <c r="DY76" s="62"/>
      <c r="DZ76" s="62" t="str">
        <f t="shared" si="404"/>
        <v/>
      </c>
      <c r="EA76" s="63" t="str">
        <f t="shared" si="404"/>
        <v/>
      </c>
      <c r="EB76" s="62" t="str">
        <f t="shared" si="404"/>
        <v/>
      </c>
      <c r="EC76" s="62" t="str">
        <f t="shared" si="404"/>
        <v/>
      </c>
      <c r="ED76" s="62" t="str">
        <f t="shared" si="404"/>
        <v/>
      </c>
      <c r="EE76" s="62" t="str">
        <f t="shared" ref="EE76:GP76" si="407">IF(SUM(EE69:EE74) &gt; 0, SUM(EE69:EE74), "")</f>
        <v/>
      </c>
      <c r="EF76" s="62" t="str">
        <f t="shared" si="407"/>
        <v/>
      </c>
      <c r="EG76" s="62" t="str">
        <f t="shared" si="407"/>
        <v/>
      </c>
      <c r="EH76" s="63" t="str">
        <f t="shared" si="407"/>
        <v/>
      </c>
      <c r="EI76" s="62" t="str">
        <f t="shared" si="407"/>
        <v/>
      </c>
      <c r="EJ76" s="62" t="str">
        <f t="shared" si="407"/>
        <v/>
      </c>
      <c r="EK76" s="62" t="str">
        <f t="shared" si="407"/>
        <v/>
      </c>
      <c r="EL76" s="62" t="str">
        <f t="shared" si="407"/>
        <v/>
      </c>
      <c r="EM76" s="62" t="str">
        <f t="shared" si="407"/>
        <v/>
      </c>
      <c r="EN76" s="62" t="str">
        <f t="shared" si="407"/>
        <v/>
      </c>
      <c r="EO76" s="63" t="str">
        <f t="shared" si="407"/>
        <v/>
      </c>
      <c r="EP76" s="62" t="str">
        <f t="shared" si="407"/>
        <v/>
      </c>
      <c r="EQ76" s="62" t="str">
        <f t="shared" si="407"/>
        <v/>
      </c>
      <c r="ER76" s="62" t="str">
        <f t="shared" si="407"/>
        <v/>
      </c>
      <c r="ES76" s="62" t="str">
        <f t="shared" si="407"/>
        <v/>
      </c>
      <c r="ET76" s="62" t="str">
        <f t="shared" si="407"/>
        <v/>
      </c>
      <c r="EU76" s="62" t="str">
        <f t="shared" si="407"/>
        <v/>
      </c>
      <c r="EV76" s="63" t="str">
        <f t="shared" si="407"/>
        <v/>
      </c>
      <c r="EW76" s="62" t="str">
        <f t="shared" si="407"/>
        <v/>
      </c>
      <c r="EX76" s="62" t="str">
        <f t="shared" si="407"/>
        <v/>
      </c>
      <c r="EY76" s="62" t="str">
        <f t="shared" si="407"/>
        <v/>
      </c>
      <c r="EZ76" s="62" t="str">
        <f t="shared" si="407"/>
        <v/>
      </c>
      <c r="FA76" s="62" t="str">
        <f t="shared" si="407"/>
        <v/>
      </c>
      <c r="FB76" s="62" t="str">
        <f t="shared" si="407"/>
        <v/>
      </c>
      <c r="FC76" s="63" t="str">
        <f t="shared" si="407"/>
        <v/>
      </c>
      <c r="FD76" s="62" t="str">
        <f t="shared" si="407"/>
        <v/>
      </c>
      <c r="FE76" s="62" t="str">
        <f t="shared" si="407"/>
        <v/>
      </c>
      <c r="FF76" s="62" t="str">
        <f t="shared" si="407"/>
        <v/>
      </c>
      <c r="FG76" s="62" t="str">
        <f t="shared" si="407"/>
        <v/>
      </c>
      <c r="FH76" s="62" t="str">
        <f t="shared" si="407"/>
        <v/>
      </c>
      <c r="FI76" s="62" t="str">
        <f t="shared" si="407"/>
        <v/>
      </c>
      <c r="FJ76" s="63" t="str">
        <f t="shared" si="407"/>
        <v/>
      </c>
      <c r="FK76" s="62" t="str">
        <f t="shared" si="407"/>
        <v/>
      </c>
      <c r="FL76" s="62" t="str">
        <f t="shared" si="407"/>
        <v/>
      </c>
      <c r="FM76" s="62" t="str">
        <f t="shared" si="407"/>
        <v/>
      </c>
      <c r="FN76" s="62" t="str">
        <f t="shared" si="407"/>
        <v/>
      </c>
      <c r="FO76" s="62" t="str">
        <f t="shared" si="407"/>
        <v/>
      </c>
      <c r="FP76" s="62" t="str">
        <f t="shared" si="407"/>
        <v/>
      </c>
      <c r="FQ76" s="63" t="str">
        <f t="shared" si="407"/>
        <v/>
      </c>
      <c r="FR76" s="62" t="str">
        <f t="shared" si="407"/>
        <v/>
      </c>
      <c r="FS76" s="62" t="str">
        <f t="shared" si="407"/>
        <v/>
      </c>
      <c r="FT76" s="62" t="str">
        <f t="shared" si="407"/>
        <v/>
      </c>
      <c r="FU76" s="62" t="str">
        <f t="shared" si="407"/>
        <v/>
      </c>
      <c r="FV76" s="62" t="str">
        <f t="shared" si="407"/>
        <v/>
      </c>
      <c r="FW76" s="62" t="str">
        <f t="shared" si="407"/>
        <v/>
      </c>
      <c r="FX76" s="63" t="str">
        <f t="shared" si="407"/>
        <v/>
      </c>
      <c r="FY76" s="62" t="str">
        <f t="shared" si="407"/>
        <v/>
      </c>
      <c r="FZ76" s="62" t="str">
        <f t="shared" si="407"/>
        <v/>
      </c>
      <c r="GA76" s="62" t="str">
        <f t="shared" si="407"/>
        <v/>
      </c>
      <c r="GB76" s="62" t="str">
        <f t="shared" si="407"/>
        <v/>
      </c>
      <c r="GC76" s="62" t="str">
        <f t="shared" si="407"/>
        <v/>
      </c>
      <c r="GD76" s="62" t="str">
        <f t="shared" si="407"/>
        <v/>
      </c>
      <c r="GE76" s="63" t="str">
        <f t="shared" si="407"/>
        <v/>
      </c>
      <c r="GF76" s="62" t="str">
        <f t="shared" si="407"/>
        <v/>
      </c>
      <c r="GG76" s="62" t="str">
        <f t="shared" si="407"/>
        <v/>
      </c>
      <c r="GH76" s="62" t="str">
        <f t="shared" si="407"/>
        <v/>
      </c>
      <c r="GI76" s="62" t="str">
        <f t="shared" si="407"/>
        <v/>
      </c>
      <c r="GJ76" s="62" t="str">
        <f t="shared" si="407"/>
        <v/>
      </c>
      <c r="GK76" s="62" t="str">
        <f t="shared" si="407"/>
        <v/>
      </c>
      <c r="GL76" s="63" t="str">
        <f t="shared" si="407"/>
        <v/>
      </c>
      <c r="GM76" s="62" t="str">
        <f t="shared" si="407"/>
        <v/>
      </c>
      <c r="GN76" s="62" t="str">
        <f t="shared" si="407"/>
        <v/>
      </c>
      <c r="GO76" s="62" t="str">
        <f t="shared" si="407"/>
        <v/>
      </c>
      <c r="GP76" s="62" t="str">
        <f t="shared" si="407"/>
        <v/>
      </c>
      <c r="GQ76" s="62" t="str">
        <f t="shared" ref="GQ76:JB76" si="408">IF(SUM(GQ69:GQ74) &gt; 0, SUM(GQ69:GQ74), "")</f>
        <v/>
      </c>
      <c r="GR76" s="62" t="str">
        <f t="shared" si="408"/>
        <v/>
      </c>
      <c r="GS76" s="63" t="str">
        <f t="shared" si="408"/>
        <v/>
      </c>
      <c r="GT76" s="62" t="str">
        <f t="shared" si="408"/>
        <v/>
      </c>
      <c r="GU76" s="62" t="str">
        <f t="shared" si="408"/>
        <v/>
      </c>
      <c r="GV76" s="62" t="str">
        <f t="shared" si="408"/>
        <v/>
      </c>
      <c r="GW76" s="62" t="str">
        <f t="shared" si="408"/>
        <v/>
      </c>
      <c r="GX76" s="62" t="str">
        <f t="shared" si="408"/>
        <v/>
      </c>
      <c r="GY76" s="62" t="str">
        <f t="shared" si="408"/>
        <v/>
      </c>
      <c r="GZ76" s="63" t="str">
        <f t="shared" si="408"/>
        <v/>
      </c>
      <c r="HA76" s="62" t="str">
        <f t="shared" si="408"/>
        <v/>
      </c>
      <c r="HB76" s="62" t="str">
        <f t="shared" si="408"/>
        <v/>
      </c>
      <c r="HC76" s="62" t="str">
        <f t="shared" si="408"/>
        <v/>
      </c>
      <c r="HD76" s="62" t="str">
        <f t="shared" si="408"/>
        <v/>
      </c>
      <c r="HE76" s="62" t="str">
        <f t="shared" si="408"/>
        <v/>
      </c>
      <c r="HF76" s="62" t="str">
        <f t="shared" si="408"/>
        <v/>
      </c>
      <c r="HG76" s="63" t="str">
        <f t="shared" si="408"/>
        <v/>
      </c>
      <c r="HH76" s="62" t="str">
        <f t="shared" si="408"/>
        <v/>
      </c>
      <c r="HI76" s="62" t="str">
        <f t="shared" si="408"/>
        <v/>
      </c>
      <c r="HJ76" s="62" t="str">
        <f t="shared" si="408"/>
        <v/>
      </c>
      <c r="HK76" s="62" t="str">
        <f t="shared" si="408"/>
        <v/>
      </c>
      <c r="HL76" s="62" t="str">
        <f t="shared" si="408"/>
        <v/>
      </c>
      <c r="HM76" s="62" t="str">
        <f t="shared" si="408"/>
        <v/>
      </c>
      <c r="HN76" s="63" t="str">
        <f t="shared" si="408"/>
        <v/>
      </c>
      <c r="HO76" s="62" t="str">
        <f t="shared" si="408"/>
        <v/>
      </c>
      <c r="HP76" s="62" t="str">
        <f t="shared" si="408"/>
        <v/>
      </c>
      <c r="HQ76" s="62" t="str">
        <f t="shared" si="408"/>
        <v/>
      </c>
      <c r="HR76" s="62" t="str">
        <f t="shared" si="408"/>
        <v/>
      </c>
      <c r="HS76" s="62" t="str">
        <f t="shared" si="408"/>
        <v/>
      </c>
      <c r="HT76" s="62" t="str">
        <f t="shared" si="408"/>
        <v/>
      </c>
      <c r="HU76" s="63" t="str">
        <f t="shared" si="408"/>
        <v/>
      </c>
      <c r="HV76" s="62" t="str">
        <f t="shared" si="408"/>
        <v/>
      </c>
      <c r="HW76" s="62" t="str">
        <f t="shared" si="408"/>
        <v/>
      </c>
      <c r="HX76" s="62" t="str">
        <f t="shared" si="408"/>
        <v/>
      </c>
      <c r="HY76" s="62" t="str">
        <f t="shared" si="408"/>
        <v/>
      </c>
      <c r="HZ76" s="62" t="str">
        <f t="shared" si="408"/>
        <v/>
      </c>
      <c r="IA76" s="62" t="str">
        <f t="shared" si="408"/>
        <v/>
      </c>
      <c r="IB76" s="63" t="str">
        <f t="shared" si="408"/>
        <v/>
      </c>
      <c r="IC76" s="62" t="str">
        <f t="shared" si="408"/>
        <v/>
      </c>
      <c r="ID76" s="62" t="str">
        <f t="shared" si="408"/>
        <v/>
      </c>
      <c r="IE76" s="62" t="str">
        <f t="shared" si="408"/>
        <v/>
      </c>
      <c r="IF76" s="62" t="str">
        <f t="shared" si="408"/>
        <v/>
      </c>
      <c r="IG76" s="62" t="str">
        <f t="shared" si="408"/>
        <v/>
      </c>
      <c r="IH76" s="62" t="str">
        <f t="shared" si="408"/>
        <v/>
      </c>
      <c r="II76" s="63" t="str">
        <f t="shared" si="408"/>
        <v/>
      </c>
      <c r="IJ76" s="62" t="str">
        <f t="shared" si="408"/>
        <v/>
      </c>
      <c r="IK76" s="62" t="str">
        <f t="shared" si="408"/>
        <v/>
      </c>
      <c r="IL76" s="62" t="str">
        <f t="shared" si="408"/>
        <v/>
      </c>
      <c r="IM76" s="62" t="str">
        <f t="shared" si="408"/>
        <v/>
      </c>
      <c r="IN76" s="62" t="str">
        <f t="shared" si="408"/>
        <v/>
      </c>
      <c r="IO76" s="62" t="str">
        <f t="shared" si="408"/>
        <v/>
      </c>
      <c r="IP76" s="63" t="str">
        <f t="shared" si="408"/>
        <v/>
      </c>
      <c r="IQ76" s="62" t="str">
        <f t="shared" si="408"/>
        <v/>
      </c>
      <c r="IR76" s="62" t="str">
        <f t="shared" si="408"/>
        <v/>
      </c>
      <c r="IS76" s="62" t="str">
        <f t="shared" si="408"/>
        <v/>
      </c>
      <c r="IT76" s="62" t="str">
        <f t="shared" si="408"/>
        <v/>
      </c>
      <c r="IU76" s="62" t="str">
        <f t="shared" si="408"/>
        <v/>
      </c>
      <c r="IV76" s="62" t="str">
        <f t="shared" si="408"/>
        <v/>
      </c>
      <c r="IW76" s="63" t="str">
        <f t="shared" si="408"/>
        <v/>
      </c>
      <c r="IX76" s="62" t="str">
        <f t="shared" si="408"/>
        <v/>
      </c>
      <c r="IY76" s="62" t="str">
        <f t="shared" si="408"/>
        <v/>
      </c>
      <c r="IZ76" s="62" t="str">
        <f t="shared" si="408"/>
        <v/>
      </c>
      <c r="JA76" s="62" t="str">
        <f t="shared" si="408"/>
        <v/>
      </c>
      <c r="JB76" s="62" t="str">
        <f t="shared" si="408"/>
        <v/>
      </c>
      <c r="JC76" s="62" t="str">
        <f t="shared" ref="JC76:LN76" si="409">IF(SUM(JC69:JC74) &gt; 0, SUM(JC69:JC74), "")</f>
        <v/>
      </c>
      <c r="JD76" s="63" t="str">
        <f t="shared" si="409"/>
        <v/>
      </c>
      <c r="JE76" s="62" t="str">
        <f t="shared" si="409"/>
        <v/>
      </c>
      <c r="JF76" s="62" t="str">
        <f t="shared" si="409"/>
        <v/>
      </c>
      <c r="JG76" s="62" t="str">
        <f t="shared" si="409"/>
        <v/>
      </c>
      <c r="JH76" s="62" t="str">
        <f t="shared" si="409"/>
        <v/>
      </c>
      <c r="JI76" s="62" t="str">
        <f t="shared" si="409"/>
        <v/>
      </c>
      <c r="JJ76" s="62" t="str">
        <f t="shared" si="409"/>
        <v/>
      </c>
      <c r="JK76" s="63" t="str">
        <f t="shared" si="409"/>
        <v/>
      </c>
      <c r="JL76" s="62" t="str">
        <f t="shared" si="409"/>
        <v/>
      </c>
      <c r="JM76" s="62" t="str">
        <f t="shared" si="409"/>
        <v/>
      </c>
      <c r="JN76" s="62" t="str">
        <f t="shared" si="409"/>
        <v/>
      </c>
      <c r="JO76" s="62" t="str">
        <f t="shared" si="409"/>
        <v/>
      </c>
      <c r="JP76" s="62" t="str">
        <f t="shared" si="409"/>
        <v/>
      </c>
      <c r="JQ76" s="62" t="str">
        <f t="shared" si="409"/>
        <v/>
      </c>
      <c r="JR76" s="63" t="str">
        <f t="shared" si="409"/>
        <v/>
      </c>
      <c r="JS76" s="62" t="str">
        <f t="shared" si="409"/>
        <v/>
      </c>
      <c r="JT76" s="62" t="str">
        <f t="shared" si="409"/>
        <v/>
      </c>
      <c r="JU76" s="62" t="str">
        <f t="shared" si="409"/>
        <v/>
      </c>
      <c r="JV76" s="62" t="str">
        <f t="shared" si="409"/>
        <v/>
      </c>
      <c r="JW76" s="62" t="str">
        <f t="shared" si="409"/>
        <v/>
      </c>
      <c r="JX76" s="62" t="str">
        <f t="shared" si="409"/>
        <v/>
      </c>
      <c r="JY76" s="63" t="str">
        <f t="shared" si="409"/>
        <v/>
      </c>
      <c r="JZ76" s="62" t="str">
        <f t="shared" si="409"/>
        <v/>
      </c>
      <c r="KA76" s="62" t="str">
        <f t="shared" si="409"/>
        <v/>
      </c>
      <c r="KB76" s="62" t="str">
        <f t="shared" si="409"/>
        <v/>
      </c>
      <c r="KC76" s="62" t="str">
        <f t="shared" si="409"/>
        <v/>
      </c>
      <c r="KD76" s="62" t="str">
        <f t="shared" si="409"/>
        <v/>
      </c>
      <c r="KE76" s="62" t="str">
        <f t="shared" si="409"/>
        <v/>
      </c>
      <c r="KF76" s="63" t="str">
        <f t="shared" si="409"/>
        <v/>
      </c>
      <c r="KG76" s="62" t="str">
        <f t="shared" si="409"/>
        <v/>
      </c>
      <c r="KH76" s="62" t="str">
        <f t="shared" si="409"/>
        <v/>
      </c>
      <c r="KI76" s="62" t="str">
        <f t="shared" si="409"/>
        <v/>
      </c>
      <c r="KJ76" s="62" t="str">
        <f t="shared" si="409"/>
        <v/>
      </c>
      <c r="KK76" s="62" t="str">
        <f t="shared" si="409"/>
        <v/>
      </c>
      <c r="KL76" s="62" t="str">
        <f t="shared" si="409"/>
        <v/>
      </c>
      <c r="KM76" s="63" t="str">
        <f t="shared" si="409"/>
        <v/>
      </c>
      <c r="KN76" s="62" t="str">
        <f t="shared" si="409"/>
        <v/>
      </c>
      <c r="KO76" s="62" t="str">
        <f t="shared" si="409"/>
        <v/>
      </c>
      <c r="KP76" s="62" t="str">
        <f t="shared" si="409"/>
        <v/>
      </c>
      <c r="KQ76" s="62" t="str">
        <f t="shared" si="409"/>
        <v/>
      </c>
      <c r="KR76" s="62" t="str">
        <f t="shared" si="409"/>
        <v/>
      </c>
      <c r="KS76" s="62" t="str">
        <f t="shared" si="409"/>
        <v/>
      </c>
      <c r="KT76" s="63" t="str">
        <f t="shared" si="409"/>
        <v/>
      </c>
      <c r="KU76" s="62" t="str">
        <f t="shared" si="409"/>
        <v/>
      </c>
      <c r="KV76" s="62" t="str">
        <f t="shared" si="409"/>
        <v/>
      </c>
      <c r="KW76" s="62" t="str">
        <f t="shared" si="409"/>
        <v/>
      </c>
      <c r="KX76" s="62" t="str">
        <f t="shared" si="409"/>
        <v/>
      </c>
      <c r="KY76" s="62" t="str">
        <f t="shared" si="409"/>
        <v/>
      </c>
      <c r="KZ76" s="62" t="str">
        <f t="shared" si="409"/>
        <v/>
      </c>
      <c r="LA76" s="63" t="str">
        <f t="shared" si="409"/>
        <v/>
      </c>
      <c r="LB76" s="62" t="str">
        <f t="shared" si="409"/>
        <v/>
      </c>
      <c r="LC76" s="62" t="str">
        <f t="shared" si="409"/>
        <v/>
      </c>
      <c r="LD76" s="62" t="str">
        <f t="shared" si="409"/>
        <v/>
      </c>
      <c r="LE76" s="62" t="str">
        <f t="shared" si="409"/>
        <v/>
      </c>
      <c r="LF76" s="62" t="str">
        <f t="shared" si="409"/>
        <v/>
      </c>
      <c r="LG76" s="62" t="str">
        <f t="shared" si="409"/>
        <v/>
      </c>
      <c r="LH76" s="63" t="str">
        <f t="shared" si="409"/>
        <v/>
      </c>
      <c r="LI76" s="62" t="str">
        <f t="shared" si="409"/>
        <v/>
      </c>
      <c r="LJ76" s="62" t="str">
        <f t="shared" si="409"/>
        <v/>
      </c>
      <c r="LK76" s="62" t="str">
        <f t="shared" si="409"/>
        <v/>
      </c>
      <c r="LL76" s="62" t="str">
        <f t="shared" si="409"/>
        <v/>
      </c>
      <c r="LM76" s="62" t="str">
        <f t="shared" si="409"/>
        <v/>
      </c>
      <c r="LN76" s="62" t="str">
        <f t="shared" si="409"/>
        <v/>
      </c>
      <c r="LO76" s="63" t="str">
        <f t="shared" ref="LO76:MJ76" si="410">IF(SUM(LO69:LO74) &gt; 0, SUM(LO69:LO74), "")</f>
        <v/>
      </c>
      <c r="LP76" s="62" t="str">
        <f t="shared" si="410"/>
        <v/>
      </c>
      <c r="LQ76" s="62" t="str">
        <f t="shared" si="410"/>
        <v/>
      </c>
      <c r="LR76" s="62" t="str">
        <f t="shared" si="410"/>
        <v/>
      </c>
      <c r="LS76" s="62" t="str">
        <f t="shared" si="410"/>
        <v/>
      </c>
      <c r="LT76" s="62" t="str">
        <f t="shared" si="410"/>
        <v/>
      </c>
      <c r="LU76" s="62" t="str">
        <f t="shared" si="410"/>
        <v/>
      </c>
      <c r="LV76" s="63" t="str">
        <f t="shared" si="410"/>
        <v/>
      </c>
      <c r="LW76" s="62" t="str">
        <f t="shared" si="410"/>
        <v/>
      </c>
      <c r="LX76" s="62" t="str">
        <f t="shared" si="410"/>
        <v/>
      </c>
      <c r="LY76" s="62" t="str">
        <f t="shared" si="410"/>
        <v/>
      </c>
      <c r="LZ76" s="62" t="str">
        <f t="shared" si="410"/>
        <v/>
      </c>
      <c r="MA76" s="62" t="str">
        <f t="shared" si="410"/>
        <v/>
      </c>
      <c r="MB76" s="62" t="str">
        <f t="shared" si="410"/>
        <v/>
      </c>
      <c r="MC76" s="63" t="str">
        <f t="shared" si="410"/>
        <v/>
      </c>
      <c r="MD76" s="62" t="str">
        <f t="shared" si="410"/>
        <v/>
      </c>
      <c r="ME76" s="62" t="str">
        <f t="shared" si="410"/>
        <v/>
      </c>
      <c r="MF76" s="62" t="str">
        <f t="shared" si="410"/>
        <v/>
      </c>
      <c r="MG76" s="62" t="str">
        <f t="shared" si="410"/>
        <v/>
      </c>
      <c r="MH76" s="62" t="str">
        <f t="shared" si="410"/>
        <v/>
      </c>
      <c r="MI76" s="62" t="str">
        <f t="shared" si="410"/>
        <v/>
      </c>
      <c r="MJ76" s="87" t="str">
        <f t="shared" si="410"/>
        <v/>
      </c>
    </row>
    <row r="77" spans="1:348" ht="15.75" thickBot="1" x14ac:dyDescent="0.3">
      <c r="A77" s="64" t="s">
        <v>250</v>
      </c>
      <c r="B77" s="62"/>
      <c r="C77" s="62"/>
      <c r="D77" s="62"/>
      <c r="E77" s="63"/>
      <c r="F77" s="62"/>
      <c r="G77" s="62"/>
      <c r="H77" s="62"/>
      <c r="I77" s="62"/>
      <c r="J77" s="62"/>
      <c r="K77" s="62"/>
      <c r="L77" s="62"/>
      <c r="M77" s="62"/>
      <c r="N77" s="62"/>
      <c r="O77" s="63"/>
      <c r="P77" s="62"/>
      <c r="Q77" s="62"/>
      <c r="R77" s="63"/>
      <c r="S77" s="62" t="str">
        <f>IF(SUM(S64, S76) &gt; 0, SUM(S64, S76), "")</f>
        <v/>
      </c>
      <c r="T77" s="65" t="str">
        <f t="shared" ref="T77:Z77" si="411">IF(SUM(T64, T76) &gt; 0, SUM(T64, T76), "")</f>
        <v/>
      </c>
      <c r="U77" s="62" t="str">
        <f t="shared" si="411"/>
        <v/>
      </c>
      <c r="V77" s="62" t="str">
        <f t="shared" si="411"/>
        <v/>
      </c>
      <c r="W77" s="62" t="str">
        <f t="shared" si="411"/>
        <v/>
      </c>
      <c r="X77" s="62" t="str">
        <f t="shared" si="411"/>
        <v/>
      </c>
      <c r="Y77" s="62" t="str">
        <f t="shared" si="411"/>
        <v/>
      </c>
      <c r="Z77" s="63" t="str">
        <f t="shared" si="411"/>
        <v/>
      </c>
      <c r="AA77" s="65" t="str">
        <f t="shared" ref="AA77" si="412">IF(SUM(AA64, AA76) &gt; 0, SUM(AA64, AA76), "")</f>
        <v/>
      </c>
      <c r="AB77" s="62" t="str">
        <f t="shared" ref="AB77" si="413">IF(SUM(AB64, AB76) &gt; 0, SUM(AB64, AB76), "")</f>
        <v/>
      </c>
      <c r="AC77" s="62" t="str">
        <f t="shared" ref="AC77" si="414">IF(SUM(AC64, AC76) &gt; 0, SUM(AC64, AC76), "")</f>
        <v/>
      </c>
      <c r="AD77" s="62" t="str">
        <f t="shared" ref="AD77" si="415">IF(SUM(AD64, AD76) &gt; 0, SUM(AD64, AD76), "")</f>
        <v/>
      </c>
      <c r="AE77" s="62" t="str">
        <f t="shared" ref="AE77" si="416">IF(SUM(AE64, AE76) &gt; 0, SUM(AE64, AE76), "")</f>
        <v/>
      </c>
      <c r="AF77" s="62" t="str">
        <f t="shared" ref="AF77" si="417">IF(SUM(AF64, AF76) &gt; 0, SUM(AF64, AF76), "")</f>
        <v/>
      </c>
      <c r="AG77" s="63" t="str">
        <f t="shared" ref="AG77" si="418">IF(SUM(AG64, AG76) &gt; 0, SUM(AG64, AG76), "")</f>
        <v/>
      </c>
      <c r="AH77" s="65" t="str">
        <f t="shared" ref="AH77" si="419">IF(SUM(AH64, AH76) &gt; 0, SUM(AH64, AH76), "")</f>
        <v/>
      </c>
      <c r="AI77" s="62">
        <f t="shared" ref="AI77" si="420">IF(SUM(AI64, AI76) &gt; 0, SUM(AI64, AI76), "")</f>
        <v>11</v>
      </c>
      <c r="AJ77" s="62" t="str">
        <f t="shared" ref="AJ77" si="421">IF(SUM(AJ64, AJ76) &gt; 0, SUM(AJ64, AJ76), "")</f>
        <v/>
      </c>
      <c r="AK77" s="62">
        <f t="shared" ref="AK77" si="422">IF(SUM(AK64, AK76) &gt; 0, SUM(AK64, AK76), "")</f>
        <v>10</v>
      </c>
      <c r="AL77" s="62" t="str">
        <f t="shared" ref="AL77" si="423">IF(SUM(AL64, AL76) &gt; 0, SUM(AL64, AL76), "")</f>
        <v/>
      </c>
      <c r="AM77" s="62" t="str">
        <f t="shared" ref="AM77" si="424">IF(SUM(AM64, AM76) &gt; 0, SUM(AM64, AM76), "")</f>
        <v/>
      </c>
      <c r="AN77" s="63" t="str">
        <f t="shared" ref="AN77" si="425">IF(SUM(AN64, AN76) &gt; 0, SUM(AN64, AN76), "")</f>
        <v/>
      </c>
      <c r="AO77" s="65" t="str">
        <f t="shared" ref="AO77" si="426">IF(SUM(AO64, AO76) &gt; 0, SUM(AO64, AO76), "")</f>
        <v/>
      </c>
      <c r="AP77" s="62">
        <f t="shared" ref="AP77" si="427">IF(SUM(AP64, AP76) &gt; 0, SUM(AP64, AP76), "")</f>
        <v>11</v>
      </c>
      <c r="AQ77" s="62" t="str">
        <f t="shared" ref="AQ77" si="428">IF(SUM(AQ64, AQ76) &gt; 0, SUM(AQ64, AQ76), "")</f>
        <v/>
      </c>
      <c r="AR77" s="62">
        <f t="shared" ref="AR77" si="429">IF(SUM(AR64, AR76) &gt; 0, SUM(AR64, AR76), "")</f>
        <v>10</v>
      </c>
      <c r="AS77" s="62" t="str">
        <f t="shared" ref="AS77" si="430">IF(SUM(AS64, AS76) &gt; 0, SUM(AS64, AS76), "")</f>
        <v/>
      </c>
      <c r="AT77" s="62" t="str">
        <f t="shared" ref="AT77" si="431">IF(SUM(AT64, AT76) &gt; 0, SUM(AT64, AT76), "")</f>
        <v/>
      </c>
      <c r="AU77" s="63" t="str">
        <f t="shared" ref="AU77" si="432">IF(SUM(AU64, AU76) &gt; 0, SUM(AU64, AU76), "")</f>
        <v/>
      </c>
      <c r="AV77" s="65" t="str">
        <f t="shared" ref="AV77" si="433">IF(SUM(AV64, AV76) &gt; 0, SUM(AV64, AV76), "")</f>
        <v/>
      </c>
      <c r="AW77" s="62">
        <f t="shared" ref="AW77" si="434">IF(SUM(AW64, AW76) &gt; 0, SUM(AW64, AW76), "")</f>
        <v>11</v>
      </c>
      <c r="AX77" s="62">
        <f t="shared" ref="AX77" si="435">IF(SUM(AX64, AX76) &gt; 0, SUM(AX64, AX76), "")</f>
        <v>6</v>
      </c>
      <c r="AY77" s="62">
        <f t="shared" ref="AY77" si="436">IF(SUM(AY64, AY76) &gt; 0, SUM(AY64, AY76), "")</f>
        <v>8</v>
      </c>
      <c r="AZ77" s="62" t="str">
        <f t="shared" ref="AZ77" si="437">IF(SUM(AZ64, AZ76) &gt; 0, SUM(AZ64, AZ76), "")</f>
        <v/>
      </c>
      <c r="BA77" s="62" t="str">
        <f t="shared" ref="BA77" si="438">IF(SUM(BA64, BA76) &gt; 0, SUM(BA64, BA76), "")</f>
        <v/>
      </c>
      <c r="BB77" s="63" t="str">
        <f t="shared" ref="BB77" si="439">IF(SUM(BB64, BB76) &gt; 0, SUM(BB64, BB76), "")</f>
        <v/>
      </c>
      <c r="BC77" s="65" t="str">
        <f t="shared" ref="BC77" si="440">IF(SUM(BC64, BC76) &gt; 0, SUM(BC64, BC76), "")</f>
        <v/>
      </c>
      <c r="BD77" s="62">
        <f t="shared" ref="BD77" si="441">IF(SUM(BD64, BD76) &gt; 0, SUM(BD64, BD76), "")</f>
        <v>11</v>
      </c>
      <c r="BE77" s="62" t="str">
        <f t="shared" ref="BE77" si="442">IF(SUM(BE64, BE76) &gt; 0, SUM(BE64, BE76), "")</f>
        <v/>
      </c>
      <c r="BF77" s="62">
        <f t="shared" ref="BF77" si="443">IF(SUM(BF64, BF76) &gt; 0, SUM(BF64, BF76), "")</f>
        <v>8</v>
      </c>
      <c r="BG77" s="62" t="str">
        <f t="shared" ref="BG77" si="444">IF(SUM(BG64, BG76) &gt; 0, SUM(BG64, BG76), "")</f>
        <v/>
      </c>
      <c r="BH77" s="62" t="str">
        <f t="shared" ref="BH77" si="445">IF(SUM(BH64, BH76) &gt; 0, SUM(BH64, BH76), "")</f>
        <v/>
      </c>
      <c r="BI77" s="63" t="str">
        <f t="shared" ref="BI77" si="446">IF(SUM(BI64, BI76) &gt; 0, SUM(BI64, BI76), "")</f>
        <v/>
      </c>
      <c r="BJ77" s="65" t="str">
        <f t="shared" ref="BJ77" si="447">IF(SUM(BJ64, BJ76) &gt; 0, SUM(BJ64, BJ76), "")</f>
        <v/>
      </c>
      <c r="BK77" s="62">
        <f t="shared" ref="BK77" si="448">IF(SUM(BK64, BK76) &gt; 0, SUM(BK64, BK76), "")</f>
        <v>9</v>
      </c>
      <c r="BL77" s="62" t="str">
        <f t="shared" ref="BL77" si="449">IF(SUM(BL64, BL76) &gt; 0, SUM(BL64, BL76), "")</f>
        <v/>
      </c>
      <c r="BM77" s="62">
        <f t="shared" ref="BM77" si="450">IF(SUM(BM64, BM76) &gt; 0, SUM(BM64, BM76), "")</f>
        <v>13</v>
      </c>
      <c r="BN77" s="62">
        <f t="shared" ref="BN77" si="451">IF(SUM(BN64, BN76) &gt; 0, SUM(BN64, BN76), "")</f>
        <v>12</v>
      </c>
      <c r="BO77" s="62" t="str">
        <f t="shared" ref="BO77:BP77" si="452">IF(SUM(BO64, BO76) &gt; 0, SUM(BO64, BO76), "")</f>
        <v/>
      </c>
      <c r="BP77" s="63">
        <f t="shared" si="452"/>
        <v>5</v>
      </c>
      <c r="BQ77" s="62" t="str">
        <f t="shared" ref="BQ77" si="453">IF(SUM(BQ64, BQ76) &gt; 0, SUM(BQ64, BQ76), "")</f>
        <v/>
      </c>
      <c r="BR77" s="62" t="str">
        <f t="shared" ref="BR77" si="454">IF(SUM(BR64, BR76) &gt; 0, SUM(BR64, BR76), "")</f>
        <v/>
      </c>
      <c r="BS77" s="62" t="str">
        <f t="shared" ref="BS77" si="455">IF(SUM(BS64, BS76) &gt; 0, SUM(BS64, BS76), "")</f>
        <v/>
      </c>
      <c r="BT77" s="62" t="str">
        <f t="shared" ref="BT77" si="456">IF(SUM(BT64, BT76) &gt; 0, SUM(BT64, BT76), "")</f>
        <v/>
      </c>
      <c r="BU77" s="62" t="str">
        <f t="shared" ref="BU77" si="457">IF(SUM(BU64, BU76) &gt; 0, SUM(BU64, BU76), "")</f>
        <v/>
      </c>
      <c r="BV77" s="62" t="str">
        <f t="shared" ref="BV77:BW77" si="458">IF(SUM(BV64, BV76) &gt; 0, SUM(BV64, BV76), "")</f>
        <v/>
      </c>
      <c r="BW77" s="62">
        <f t="shared" si="458"/>
        <v>2</v>
      </c>
      <c r="BX77" s="62"/>
      <c r="BY77" s="63" t="str">
        <f t="shared" ref="BY77" si="459">IF(SUM(BY64, BY76) &gt; 0, SUM(BY64, BY76), "")</f>
        <v/>
      </c>
      <c r="BZ77" s="65" t="str">
        <f t="shared" ref="BZ77" si="460">IF(SUM(BZ64, BZ76) &gt; 0, SUM(BZ64, BZ76), "")</f>
        <v/>
      </c>
      <c r="CA77" s="62" t="str">
        <f t="shared" ref="CA77" si="461">IF(SUM(CA64, CA76) &gt; 0, SUM(CA64, CA76), "")</f>
        <v/>
      </c>
      <c r="CB77" s="62" t="str">
        <f t="shared" ref="CB77" si="462">IF(SUM(CB64, CB76) &gt; 0, SUM(CB64, CB76), "")</f>
        <v/>
      </c>
      <c r="CC77" s="62" t="str">
        <f t="shared" ref="CC77" si="463">IF(SUM(CC64, CC76) &gt; 0, SUM(CC64, CC76), "")</f>
        <v/>
      </c>
      <c r="CD77" s="62" t="str">
        <f t="shared" ref="CD77" si="464">IF(SUM(CD64, CD76) &gt; 0, SUM(CD64, CD76), "")</f>
        <v/>
      </c>
      <c r="CE77" s="62" t="str">
        <f t="shared" ref="CE77" si="465">IF(SUM(CE64, CE76) &gt; 0, SUM(CE64, CE76), "")</f>
        <v/>
      </c>
      <c r="CF77" s="62"/>
      <c r="CG77" s="62"/>
      <c r="CH77" s="63" t="str">
        <f t="shared" ref="CH77" si="466">IF(SUM(CH64, CH76) &gt; 0, SUM(CH64, CH76), "")</f>
        <v/>
      </c>
      <c r="CI77" s="65" t="str">
        <f t="shared" ref="CI77" si="467">IF(SUM(CI64, CI76) &gt; 0, SUM(CI64, CI76), "")</f>
        <v/>
      </c>
      <c r="CJ77" s="62" t="str">
        <f t="shared" ref="CJ77" si="468">IF(SUM(CJ64, CJ76) &gt; 0, SUM(CJ64, CJ76), "")</f>
        <v/>
      </c>
      <c r="CK77" s="62" t="str">
        <f t="shared" ref="CK77" si="469">IF(SUM(CK64, CK76) &gt; 0, SUM(CK64, CK76), "")</f>
        <v/>
      </c>
      <c r="CL77" s="62" t="str">
        <f t="shared" ref="CL77" si="470">IF(SUM(CL64, CL76) &gt; 0, SUM(CL64, CL76), "")</f>
        <v/>
      </c>
      <c r="CM77" s="62" t="str">
        <f t="shared" ref="CM77" si="471">IF(SUM(CM64, CM76) &gt; 0, SUM(CM64, CM76), "")</f>
        <v/>
      </c>
      <c r="CN77" s="62" t="str">
        <f t="shared" ref="CN77:CO77" si="472">IF(SUM(CN64, CN76) &gt; 0, SUM(CN64, CN76), "")</f>
        <v/>
      </c>
      <c r="CO77" s="62" t="str">
        <f t="shared" si="472"/>
        <v/>
      </c>
      <c r="CP77" s="62"/>
      <c r="CQ77" s="63" t="str">
        <f t="shared" ref="CQ77" si="473">IF(SUM(CQ64, CQ76) &gt; 0, SUM(CQ64, CQ76), "")</f>
        <v/>
      </c>
      <c r="CR77" s="65" t="str">
        <f t="shared" ref="CR77" si="474">IF(SUM(CR64, CR76) &gt; 0, SUM(CR64, CR76), "")</f>
        <v/>
      </c>
      <c r="CS77" s="62" t="str">
        <f t="shared" ref="CS77" si="475">IF(SUM(CS64, CS76) &gt; 0, SUM(CS64, CS76), "")</f>
        <v/>
      </c>
      <c r="CT77" s="62" t="str">
        <f t="shared" ref="CT77" si="476">IF(SUM(CT64, CT76) &gt; 0, SUM(CT64, CT76), "")</f>
        <v/>
      </c>
      <c r="CU77" s="62" t="str">
        <f t="shared" ref="CU77" si="477">IF(SUM(CU64, CU76) &gt; 0, SUM(CU64, CU76), "")</f>
        <v/>
      </c>
      <c r="CV77" s="62" t="str">
        <f t="shared" ref="CV77" si="478">IF(SUM(CV64, CV76) &gt; 0, SUM(CV64, CV76), "")</f>
        <v/>
      </c>
      <c r="CW77" s="62"/>
      <c r="CX77" s="62"/>
      <c r="CY77" s="62" t="str">
        <f t="shared" ref="CY77" si="479">IF(SUM(CY64, CY76) &gt; 0, SUM(CY64, CY76), "")</f>
        <v/>
      </c>
      <c r="CZ77" s="63" t="str">
        <f t="shared" ref="CZ77" si="480">IF(SUM(CZ64, CZ76) &gt; 0, SUM(CZ64, CZ76), "")</f>
        <v/>
      </c>
      <c r="DA77" s="65" t="str">
        <f t="shared" ref="DA77" si="481">IF(SUM(DA64, DA76) &gt; 0, SUM(DA64, DA76), "")</f>
        <v/>
      </c>
      <c r="DB77" s="62" t="str">
        <f t="shared" ref="DB77" si="482">IF(SUM(DB64, DB76) &gt; 0, SUM(DB64, DB76), "")</f>
        <v/>
      </c>
      <c r="DC77" s="62" t="str">
        <f t="shared" ref="DC77" si="483">IF(SUM(DC64, DC76) &gt; 0, SUM(DC64, DC76), "")</f>
        <v/>
      </c>
      <c r="DD77" s="62" t="str">
        <f t="shared" ref="DD77" si="484">IF(SUM(DD64, DD76) &gt; 0, SUM(DD64, DD76), "")</f>
        <v/>
      </c>
      <c r="DE77" s="62" t="str">
        <f t="shared" ref="DE77" si="485">IF(SUM(DE64, DE76) &gt; 0, SUM(DE64, DE76), "")</f>
        <v/>
      </c>
      <c r="DF77" s="62" t="str">
        <f t="shared" ref="DF77" si="486">IF(SUM(DF64, DF76) &gt; 0, SUM(DF64, DF76), "")</f>
        <v/>
      </c>
      <c r="DG77" s="62"/>
      <c r="DH77" s="62"/>
      <c r="DI77" s="63" t="str">
        <f t="shared" ref="DI77" si="487">IF(SUM(DI64, DI76) &gt; 0, SUM(DI64, DI76), "")</f>
        <v/>
      </c>
      <c r="DJ77" s="65" t="str">
        <f t="shared" ref="DJ77" si="488">IF(SUM(DJ64, DJ76) &gt; 0, SUM(DJ64, DJ76), "")</f>
        <v/>
      </c>
      <c r="DK77" s="62" t="str">
        <f t="shared" ref="DK77" si="489">IF(SUM(DK64, DK76) &gt; 0, SUM(DK64, DK76), "")</f>
        <v/>
      </c>
      <c r="DL77" s="62" t="str">
        <f t="shared" ref="DL77" si="490">IF(SUM(DL64, DL76) &gt; 0, SUM(DL64, DL76), "")</f>
        <v/>
      </c>
      <c r="DM77" s="62" t="str">
        <f t="shared" ref="DM77" si="491">IF(SUM(DM64, DM76) &gt; 0, SUM(DM64, DM76), "")</f>
        <v/>
      </c>
      <c r="DN77" s="62" t="str">
        <f t="shared" ref="DN77" si="492">IF(SUM(DN64, DN76) &gt; 0, SUM(DN64, DN76), "")</f>
        <v/>
      </c>
      <c r="DO77" s="62" t="str">
        <f t="shared" ref="DO77" si="493">IF(SUM(DO64, DO76) &gt; 0, SUM(DO64, DO76), "")</f>
        <v/>
      </c>
      <c r="DP77" s="62"/>
      <c r="DQ77" s="62"/>
      <c r="DR77" s="63" t="str">
        <f t="shared" ref="DR77" si="494">IF(SUM(DR64, DR76) &gt; 0, SUM(DR64, DR76), "")</f>
        <v/>
      </c>
      <c r="DS77" s="65" t="str">
        <f t="shared" ref="DS77" si="495">IF(SUM(DS64, DS76) &gt; 0, SUM(DS64, DS76), "")</f>
        <v/>
      </c>
      <c r="DT77" s="62">
        <f t="shared" ref="DT77" si="496">IF(SUM(DT64, DT76) &gt; 0, SUM(DT64, DT76), "")</f>
        <v>8</v>
      </c>
      <c r="DU77" s="62" t="str">
        <f t="shared" ref="DU77" si="497">IF(SUM(DU64, DU76) &gt; 0, SUM(DU64, DU76), "")</f>
        <v/>
      </c>
      <c r="DV77" s="62">
        <f t="shared" ref="DV77" si="498">IF(SUM(DV64, DV76) &gt; 0, SUM(DV64, DV76), "")</f>
        <v>7</v>
      </c>
      <c r="DW77" s="62">
        <f t="shared" ref="DW77" si="499">IF(SUM(DW64, DW76) &gt; 0, SUM(DW64, DW76), "")</f>
        <v>5</v>
      </c>
      <c r="DX77" s="62"/>
      <c r="DY77" s="62"/>
      <c r="DZ77" s="62" t="str">
        <f t="shared" ref="DZ77" si="500">IF(SUM(DZ64, DZ76) &gt; 0, SUM(DZ64, DZ76), "")</f>
        <v/>
      </c>
      <c r="EA77" s="63" t="str">
        <f t="shared" ref="EA77" si="501">IF(SUM(EA64, EA76) &gt; 0, SUM(EA64, EA76), "")</f>
        <v/>
      </c>
      <c r="EB77" s="65" t="str">
        <f t="shared" ref="EB77" si="502">IF(SUM(EB64, EB76) &gt; 0, SUM(EB64, EB76), "")</f>
        <v/>
      </c>
      <c r="EC77" s="62" t="str">
        <f t="shared" ref="EC77" si="503">IF(SUM(EC64, EC76) &gt; 0, SUM(EC64, EC76), "")</f>
        <v/>
      </c>
      <c r="ED77" s="62" t="str">
        <f t="shared" ref="ED77" si="504">IF(SUM(ED64, ED76) &gt; 0, SUM(ED64, ED76), "")</f>
        <v/>
      </c>
      <c r="EE77" s="62" t="str">
        <f t="shared" ref="EE77" si="505">IF(SUM(EE64, EE76) &gt; 0, SUM(EE64, EE76), "")</f>
        <v/>
      </c>
      <c r="EF77" s="62" t="str">
        <f t="shared" ref="EF77" si="506">IF(SUM(EF64, EF76) &gt; 0, SUM(EF64, EF76), "")</f>
        <v/>
      </c>
      <c r="EG77" s="62" t="str">
        <f t="shared" ref="EG77" si="507">IF(SUM(EG64, EG76) &gt; 0, SUM(EG64, EG76), "")</f>
        <v/>
      </c>
      <c r="EH77" s="63" t="str">
        <f t="shared" ref="EH77" si="508">IF(SUM(EH64, EH76) &gt; 0, SUM(EH64, EH76), "")</f>
        <v/>
      </c>
      <c r="EI77" s="65" t="str">
        <f t="shared" ref="EI77" si="509">IF(SUM(EI64, EI76) &gt; 0, SUM(EI64, EI76), "")</f>
        <v/>
      </c>
      <c r="EJ77" s="62" t="str">
        <f t="shared" ref="EJ77" si="510">IF(SUM(EJ64, EJ76) &gt; 0, SUM(EJ64, EJ76), "")</f>
        <v/>
      </c>
      <c r="EK77" s="62" t="str">
        <f t="shared" ref="EK77" si="511">IF(SUM(EK64, EK76) &gt; 0, SUM(EK64, EK76), "")</f>
        <v/>
      </c>
      <c r="EL77" s="62" t="str">
        <f t="shared" ref="EL77" si="512">IF(SUM(EL64, EL76) &gt; 0, SUM(EL64, EL76), "")</f>
        <v/>
      </c>
      <c r="EM77" s="62" t="str">
        <f t="shared" ref="EM77" si="513">IF(SUM(EM64, EM76) &gt; 0, SUM(EM64, EM76), "")</f>
        <v/>
      </c>
      <c r="EN77" s="62" t="str">
        <f t="shared" ref="EN77" si="514">IF(SUM(EN64, EN76) &gt; 0, SUM(EN64, EN76), "")</f>
        <v/>
      </c>
      <c r="EO77" s="63" t="str">
        <f t="shared" ref="EO77" si="515">IF(SUM(EO64, EO76) &gt; 0, SUM(EO64, EO76), "")</f>
        <v/>
      </c>
      <c r="EP77" s="65" t="str">
        <f t="shared" ref="EP77" si="516">IF(SUM(EP64, EP76) &gt; 0, SUM(EP64, EP76), "")</f>
        <v/>
      </c>
      <c r="EQ77" s="62" t="str">
        <f t="shared" ref="EQ77" si="517">IF(SUM(EQ64, EQ76) &gt; 0, SUM(EQ64, EQ76), "")</f>
        <v/>
      </c>
      <c r="ER77" s="62" t="str">
        <f t="shared" ref="ER77" si="518">IF(SUM(ER64, ER76) &gt; 0, SUM(ER64, ER76), "")</f>
        <v/>
      </c>
      <c r="ES77" s="62" t="str">
        <f t="shared" ref="ES77" si="519">IF(SUM(ES64, ES76) &gt; 0, SUM(ES64, ES76), "")</f>
        <v/>
      </c>
      <c r="ET77" s="62" t="str">
        <f t="shared" ref="ET77" si="520">IF(SUM(ET64, ET76) &gt; 0, SUM(ET64, ET76), "")</f>
        <v/>
      </c>
      <c r="EU77" s="62" t="str">
        <f t="shared" ref="EU77" si="521">IF(SUM(EU64, EU76) &gt; 0, SUM(EU64, EU76), "")</f>
        <v/>
      </c>
      <c r="EV77" s="63" t="str">
        <f t="shared" ref="EV77" si="522">IF(SUM(EV64, EV76) &gt; 0, SUM(EV64, EV76), "")</f>
        <v/>
      </c>
      <c r="EW77" s="65" t="str">
        <f t="shared" ref="EW77" si="523">IF(SUM(EW64, EW76) &gt; 0, SUM(EW64, EW76), "")</f>
        <v/>
      </c>
      <c r="EX77" s="62" t="str">
        <f t="shared" ref="EX77" si="524">IF(SUM(EX64, EX76) &gt; 0, SUM(EX64, EX76), "")</f>
        <v/>
      </c>
      <c r="EY77" s="62" t="str">
        <f t="shared" ref="EY77" si="525">IF(SUM(EY64, EY76) &gt; 0, SUM(EY64, EY76), "")</f>
        <v/>
      </c>
      <c r="EZ77" s="62" t="str">
        <f t="shared" ref="EZ77" si="526">IF(SUM(EZ64, EZ76) &gt; 0, SUM(EZ64, EZ76), "")</f>
        <v/>
      </c>
      <c r="FA77" s="62" t="str">
        <f t="shared" ref="FA77" si="527">IF(SUM(FA64, FA76) &gt; 0, SUM(FA64, FA76), "")</f>
        <v/>
      </c>
      <c r="FB77" s="62" t="str">
        <f t="shared" ref="FB77" si="528">IF(SUM(FB64, FB76) &gt; 0, SUM(FB64, FB76), "")</f>
        <v/>
      </c>
      <c r="FC77" s="63" t="str">
        <f t="shared" ref="FC77" si="529">IF(SUM(FC64, FC76) &gt; 0, SUM(FC64, FC76), "")</f>
        <v/>
      </c>
      <c r="FD77" s="65" t="str">
        <f t="shared" ref="FD77" si="530">IF(SUM(FD64, FD76) &gt; 0, SUM(FD64, FD76), "")</f>
        <v/>
      </c>
      <c r="FE77" s="62" t="str">
        <f t="shared" ref="FE77" si="531">IF(SUM(FE64, FE76) &gt; 0, SUM(FE64, FE76), "")</f>
        <v/>
      </c>
      <c r="FF77" s="62" t="str">
        <f t="shared" ref="FF77" si="532">IF(SUM(FF64, FF76) &gt; 0, SUM(FF64, FF76), "")</f>
        <v/>
      </c>
      <c r="FG77" s="62" t="str">
        <f t="shared" ref="FG77" si="533">IF(SUM(FG64, FG76) &gt; 0, SUM(FG64, FG76), "")</f>
        <v/>
      </c>
      <c r="FH77" s="62" t="str">
        <f t="shared" ref="FH77" si="534">IF(SUM(FH64, FH76) &gt; 0, SUM(FH64, FH76), "")</f>
        <v/>
      </c>
      <c r="FI77" s="62" t="str">
        <f t="shared" ref="FI77" si="535">IF(SUM(FI64, FI76) &gt; 0, SUM(FI64, FI76), "")</f>
        <v/>
      </c>
      <c r="FJ77" s="63" t="str">
        <f t="shared" ref="FJ77" si="536">IF(SUM(FJ64, FJ76) &gt; 0, SUM(FJ64, FJ76), "")</f>
        <v/>
      </c>
      <c r="FK77" s="65" t="str">
        <f t="shared" ref="FK77" si="537">IF(SUM(FK64, FK76) &gt; 0, SUM(FK64, FK76), "")</f>
        <v/>
      </c>
      <c r="FL77" s="62" t="str">
        <f t="shared" ref="FL77" si="538">IF(SUM(FL64, FL76) &gt; 0, SUM(FL64, FL76), "")</f>
        <v/>
      </c>
      <c r="FM77" s="62" t="str">
        <f t="shared" ref="FM77" si="539">IF(SUM(FM64, FM76) &gt; 0, SUM(FM64, FM76), "")</f>
        <v/>
      </c>
      <c r="FN77" s="62" t="str">
        <f t="shared" ref="FN77" si="540">IF(SUM(FN64, FN76) &gt; 0, SUM(FN64, FN76), "")</f>
        <v/>
      </c>
      <c r="FO77" s="62" t="str">
        <f t="shared" ref="FO77" si="541">IF(SUM(FO64, FO76) &gt; 0, SUM(FO64, FO76), "")</f>
        <v/>
      </c>
      <c r="FP77" s="62" t="str">
        <f t="shared" ref="FP77" si="542">IF(SUM(FP64, FP76) &gt; 0, SUM(FP64, FP76), "")</f>
        <v/>
      </c>
      <c r="FQ77" s="63" t="str">
        <f t="shared" ref="FQ77" si="543">IF(SUM(FQ64, FQ76) &gt; 0, SUM(FQ64, FQ76), "")</f>
        <v/>
      </c>
      <c r="FR77" s="65" t="str">
        <f t="shared" ref="FR77" si="544">IF(SUM(FR64, FR76) &gt; 0, SUM(FR64, FR76), "")</f>
        <v/>
      </c>
      <c r="FS77" s="62" t="str">
        <f t="shared" ref="FS77" si="545">IF(SUM(FS64, FS76) &gt; 0, SUM(FS64, FS76), "")</f>
        <v/>
      </c>
      <c r="FT77" s="62" t="str">
        <f t="shared" ref="FT77" si="546">IF(SUM(FT64, FT76) &gt; 0, SUM(FT64, FT76), "")</f>
        <v/>
      </c>
      <c r="FU77" s="62" t="str">
        <f t="shared" ref="FU77" si="547">IF(SUM(FU64, FU76) &gt; 0, SUM(FU64, FU76), "")</f>
        <v/>
      </c>
      <c r="FV77" s="62" t="str">
        <f t="shared" ref="FV77" si="548">IF(SUM(FV64, FV76) &gt; 0, SUM(FV64, FV76), "")</f>
        <v/>
      </c>
      <c r="FW77" s="62" t="str">
        <f t="shared" ref="FW77" si="549">IF(SUM(FW64, FW76) &gt; 0, SUM(FW64, FW76), "")</f>
        <v/>
      </c>
      <c r="FX77" s="63" t="str">
        <f t="shared" ref="FX77" si="550">IF(SUM(FX64, FX76) &gt; 0, SUM(FX64, FX76), "")</f>
        <v/>
      </c>
      <c r="FY77" s="65" t="str">
        <f t="shared" ref="FY77" si="551">IF(SUM(FY64, FY76) &gt; 0, SUM(FY64, FY76), "")</f>
        <v/>
      </c>
      <c r="FZ77" s="62" t="str">
        <f t="shared" ref="FZ77" si="552">IF(SUM(FZ64, FZ76) &gt; 0, SUM(FZ64, FZ76), "")</f>
        <v/>
      </c>
      <c r="GA77" s="62" t="str">
        <f t="shared" ref="GA77" si="553">IF(SUM(GA64, GA76) &gt; 0, SUM(GA64, GA76), "")</f>
        <v/>
      </c>
      <c r="GB77" s="62" t="str">
        <f t="shared" ref="GB77" si="554">IF(SUM(GB64, GB76) &gt; 0, SUM(GB64, GB76), "")</f>
        <v/>
      </c>
      <c r="GC77" s="62" t="str">
        <f t="shared" ref="GC77" si="555">IF(SUM(GC64, GC76) &gt; 0, SUM(GC64, GC76), "")</f>
        <v/>
      </c>
      <c r="GD77" s="62" t="str">
        <f t="shared" ref="GD77" si="556">IF(SUM(GD64, GD76) &gt; 0, SUM(GD64, GD76), "")</f>
        <v/>
      </c>
      <c r="GE77" s="63" t="str">
        <f t="shared" ref="GE77" si="557">IF(SUM(GE64, GE76) &gt; 0, SUM(GE64, GE76), "")</f>
        <v/>
      </c>
      <c r="GF77" s="65" t="str">
        <f t="shared" ref="GF77" si="558">IF(SUM(GF64, GF76) &gt; 0, SUM(GF64, GF76), "")</f>
        <v/>
      </c>
      <c r="GG77" s="62" t="str">
        <f t="shared" ref="GG77" si="559">IF(SUM(GG64, GG76) &gt; 0, SUM(GG64, GG76), "")</f>
        <v/>
      </c>
      <c r="GH77" s="62" t="str">
        <f t="shared" ref="GH77" si="560">IF(SUM(GH64, GH76) &gt; 0, SUM(GH64, GH76), "")</f>
        <v/>
      </c>
      <c r="GI77" s="62" t="str">
        <f t="shared" ref="GI77" si="561">IF(SUM(GI64, GI76) &gt; 0, SUM(GI64, GI76), "")</f>
        <v/>
      </c>
      <c r="GJ77" s="62" t="str">
        <f t="shared" ref="GJ77" si="562">IF(SUM(GJ64, GJ76) &gt; 0, SUM(GJ64, GJ76), "")</f>
        <v/>
      </c>
      <c r="GK77" s="62" t="str">
        <f t="shared" ref="GK77" si="563">IF(SUM(GK64, GK76) &gt; 0, SUM(GK64, GK76), "")</f>
        <v/>
      </c>
      <c r="GL77" s="63" t="str">
        <f t="shared" ref="GL77" si="564">IF(SUM(GL64, GL76) &gt; 0, SUM(GL64, GL76), "")</f>
        <v/>
      </c>
      <c r="GM77" s="65" t="str">
        <f t="shared" ref="GM77" si="565">IF(SUM(GM64, GM76) &gt; 0, SUM(GM64, GM76), "")</f>
        <v/>
      </c>
      <c r="GN77" s="62" t="str">
        <f t="shared" ref="GN77" si="566">IF(SUM(GN64, GN76) &gt; 0, SUM(GN64, GN76), "")</f>
        <v/>
      </c>
      <c r="GO77" s="62" t="str">
        <f t="shared" ref="GO77" si="567">IF(SUM(GO64, GO76) &gt; 0, SUM(GO64, GO76), "")</f>
        <v/>
      </c>
      <c r="GP77" s="62" t="str">
        <f t="shared" ref="GP77" si="568">IF(SUM(GP64, GP76) &gt; 0, SUM(GP64, GP76), "")</f>
        <v/>
      </c>
      <c r="GQ77" s="62" t="str">
        <f t="shared" ref="GQ77" si="569">IF(SUM(GQ64, GQ76) &gt; 0, SUM(GQ64, GQ76), "")</f>
        <v/>
      </c>
      <c r="GR77" s="62" t="str">
        <f t="shared" ref="GR77" si="570">IF(SUM(GR64, GR76) &gt; 0, SUM(GR64, GR76), "")</f>
        <v/>
      </c>
      <c r="GS77" s="63" t="str">
        <f t="shared" ref="GS77" si="571">IF(SUM(GS64, GS76) &gt; 0, SUM(GS64, GS76), "")</f>
        <v/>
      </c>
      <c r="GT77" s="65" t="str">
        <f t="shared" ref="GT77" si="572">IF(SUM(GT64, GT76) &gt; 0, SUM(GT64, GT76), "")</f>
        <v/>
      </c>
      <c r="GU77" s="62" t="str">
        <f t="shared" ref="GU77" si="573">IF(SUM(GU64, GU76) &gt; 0, SUM(GU64, GU76), "")</f>
        <v/>
      </c>
      <c r="GV77" s="62" t="str">
        <f t="shared" ref="GV77" si="574">IF(SUM(GV64, GV76) &gt; 0, SUM(GV64, GV76), "")</f>
        <v/>
      </c>
      <c r="GW77" s="62" t="str">
        <f t="shared" ref="GW77" si="575">IF(SUM(GW64, GW76) &gt; 0, SUM(GW64, GW76), "")</f>
        <v/>
      </c>
      <c r="GX77" s="62" t="str">
        <f t="shared" ref="GX77" si="576">IF(SUM(GX64, GX76) &gt; 0, SUM(GX64, GX76), "")</f>
        <v/>
      </c>
      <c r="GY77" s="62" t="str">
        <f t="shared" ref="GY77" si="577">IF(SUM(GY64, GY76) &gt; 0, SUM(GY64, GY76), "")</f>
        <v/>
      </c>
      <c r="GZ77" s="63" t="str">
        <f t="shared" ref="GZ77" si="578">IF(SUM(GZ64, GZ76) &gt; 0, SUM(GZ64, GZ76), "")</f>
        <v/>
      </c>
      <c r="HA77" s="65" t="str">
        <f t="shared" ref="HA77" si="579">IF(SUM(HA64, HA76) &gt; 0, SUM(HA64, HA76), "")</f>
        <v/>
      </c>
      <c r="HB77" s="62" t="str">
        <f t="shared" ref="HB77" si="580">IF(SUM(HB64, HB76) &gt; 0, SUM(HB64, HB76), "")</f>
        <v/>
      </c>
      <c r="HC77" s="62" t="str">
        <f t="shared" ref="HC77" si="581">IF(SUM(HC64, HC76) &gt; 0, SUM(HC64, HC76), "")</f>
        <v/>
      </c>
      <c r="HD77" s="62" t="str">
        <f t="shared" ref="HD77" si="582">IF(SUM(HD64, HD76) &gt; 0, SUM(HD64, HD76), "")</f>
        <v/>
      </c>
      <c r="HE77" s="62" t="str">
        <f t="shared" ref="HE77" si="583">IF(SUM(HE64, HE76) &gt; 0, SUM(HE64, HE76), "")</f>
        <v/>
      </c>
      <c r="HF77" s="62" t="str">
        <f t="shared" ref="HF77" si="584">IF(SUM(HF64, HF76) &gt; 0, SUM(HF64, HF76), "")</f>
        <v/>
      </c>
      <c r="HG77" s="63" t="str">
        <f t="shared" ref="HG77" si="585">IF(SUM(HG64, HG76) &gt; 0, SUM(HG64, HG76), "")</f>
        <v/>
      </c>
      <c r="HH77" s="65" t="str">
        <f t="shared" ref="HH77" si="586">IF(SUM(HH64, HH76) &gt; 0, SUM(HH64, HH76), "")</f>
        <v/>
      </c>
      <c r="HI77" s="62" t="str">
        <f t="shared" ref="HI77" si="587">IF(SUM(HI64, HI76) &gt; 0, SUM(HI64, HI76), "")</f>
        <v/>
      </c>
      <c r="HJ77" s="62" t="str">
        <f t="shared" ref="HJ77" si="588">IF(SUM(HJ64, HJ76) &gt; 0, SUM(HJ64, HJ76), "")</f>
        <v/>
      </c>
      <c r="HK77" s="62" t="str">
        <f t="shared" ref="HK77" si="589">IF(SUM(HK64, HK76) &gt; 0, SUM(HK64, HK76), "")</f>
        <v/>
      </c>
      <c r="HL77" s="62" t="str">
        <f t="shared" ref="HL77" si="590">IF(SUM(HL64, HL76) &gt; 0, SUM(HL64, HL76), "")</f>
        <v/>
      </c>
      <c r="HM77" s="62" t="str">
        <f t="shared" ref="HM77" si="591">IF(SUM(HM64, HM76) &gt; 0, SUM(HM64, HM76), "")</f>
        <v/>
      </c>
      <c r="HN77" s="63" t="str">
        <f t="shared" ref="HN77" si="592">IF(SUM(HN64, HN76) &gt; 0, SUM(HN64, HN76), "")</f>
        <v/>
      </c>
      <c r="HO77" s="65" t="str">
        <f t="shared" ref="HO77" si="593">IF(SUM(HO64, HO76) &gt; 0, SUM(HO64, HO76), "")</f>
        <v/>
      </c>
      <c r="HP77" s="62" t="str">
        <f t="shared" ref="HP77" si="594">IF(SUM(HP64, HP76) &gt; 0, SUM(HP64, HP76), "")</f>
        <v/>
      </c>
      <c r="HQ77" s="62" t="str">
        <f t="shared" ref="HQ77" si="595">IF(SUM(HQ64, HQ76) &gt; 0, SUM(HQ64, HQ76), "")</f>
        <v/>
      </c>
      <c r="HR77" s="62" t="str">
        <f t="shared" ref="HR77" si="596">IF(SUM(HR64, HR76) &gt; 0, SUM(HR64, HR76), "")</f>
        <v/>
      </c>
      <c r="HS77" s="62" t="str">
        <f t="shared" ref="HS77" si="597">IF(SUM(HS64, HS76) &gt; 0, SUM(HS64, HS76), "")</f>
        <v/>
      </c>
      <c r="HT77" s="62" t="str">
        <f t="shared" ref="HT77" si="598">IF(SUM(HT64, HT76) &gt; 0, SUM(HT64, HT76), "")</f>
        <v/>
      </c>
      <c r="HU77" s="63" t="str">
        <f t="shared" ref="HU77" si="599">IF(SUM(HU64, HU76) &gt; 0, SUM(HU64, HU76), "")</f>
        <v/>
      </c>
      <c r="HV77" s="65" t="str">
        <f t="shared" ref="HV77" si="600">IF(SUM(HV64, HV76) &gt; 0, SUM(HV64, HV76), "")</f>
        <v/>
      </c>
      <c r="HW77" s="62" t="str">
        <f t="shared" ref="HW77" si="601">IF(SUM(HW64, HW76) &gt; 0, SUM(HW64, HW76), "")</f>
        <v/>
      </c>
      <c r="HX77" s="62" t="str">
        <f t="shared" ref="HX77" si="602">IF(SUM(HX64, HX76) &gt; 0, SUM(HX64, HX76), "")</f>
        <v/>
      </c>
      <c r="HY77" s="62" t="str">
        <f t="shared" ref="HY77" si="603">IF(SUM(HY64, HY76) &gt; 0, SUM(HY64, HY76), "")</f>
        <v/>
      </c>
      <c r="HZ77" s="62" t="str">
        <f t="shared" ref="HZ77" si="604">IF(SUM(HZ64, HZ76) &gt; 0, SUM(HZ64, HZ76), "")</f>
        <v/>
      </c>
      <c r="IA77" s="62" t="str">
        <f t="shared" ref="IA77" si="605">IF(SUM(IA64, IA76) &gt; 0, SUM(IA64, IA76), "")</f>
        <v/>
      </c>
      <c r="IB77" s="63" t="str">
        <f t="shared" ref="IB77" si="606">IF(SUM(IB64, IB76) &gt; 0, SUM(IB64, IB76), "")</f>
        <v/>
      </c>
      <c r="IC77" s="65" t="str">
        <f t="shared" ref="IC77" si="607">IF(SUM(IC64, IC76) &gt; 0, SUM(IC64, IC76), "")</f>
        <v/>
      </c>
      <c r="ID77" s="62" t="str">
        <f t="shared" ref="ID77" si="608">IF(SUM(ID64, ID76) &gt; 0, SUM(ID64, ID76), "")</f>
        <v/>
      </c>
      <c r="IE77" s="62" t="str">
        <f t="shared" ref="IE77" si="609">IF(SUM(IE64, IE76) &gt; 0, SUM(IE64, IE76), "")</f>
        <v/>
      </c>
      <c r="IF77" s="62" t="str">
        <f t="shared" ref="IF77" si="610">IF(SUM(IF64, IF76) &gt; 0, SUM(IF64, IF76), "")</f>
        <v/>
      </c>
      <c r="IG77" s="62" t="str">
        <f t="shared" ref="IG77" si="611">IF(SUM(IG64, IG76) &gt; 0, SUM(IG64, IG76), "")</f>
        <v/>
      </c>
      <c r="IH77" s="62" t="str">
        <f t="shared" ref="IH77" si="612">IF(SUM(IH64, IH76) &gt; 0, SUM(IH64, IH76), "")</f>
        <v/>
      </c>
      <c r="II77" s="63" t="str">
        <f t="shared" ref="II77" si="613">IF(SUM(II64, II76) &gt; 0, SUM(II64, II76), "")</f>
        <v/>
      </c>
      <c r="IJ77" s="65" t="str">
        <f t="shared" ref="IJ77" si="614">IF(SUM(IJ64, IJ76) &gt; 0, SUM(IJ64, IJ76), "")</f>
        <v/>
      </c>
      <c r="IK77" s="62" t="str">
        <f t="shared" ref="IK77" si="615">IF(SUM(IK64, IK76) &gt; 0, SUM(IK64, IK76), "")</f>
        <v/>
      </c>
      <c r="IL77" s="62" t="str">
        <f t="shared" ref="IL77" si="616">IF(SUM(IL64, IL76) &gt; 0, SUM(IL64, IL76), "")</f>
        <v/>
      </c>
      <c r="IM77" s="62" t="str">
        <f t="shared" ref="IM77" si="617">IF(SUM(IM64, IM76) &gt; 0, SUM(IM64, IM76), "")</f>
        <v/>
      </c>
      <c r="IN77" s="62" t="str">
        <f t="shared" ref="IN77" si="618">IF(SUM(IN64, IN76) &gt; 0, SUM(IN64, IN76), "")</f>
        <v/>
      </c>
      <c r="IO77" s="62" t="str">
        <f t="shared" ref="IO77" si="619">IF(SUM(IO64, IO76) &gt; 0, SUM(IO64, IO76), "")</f>
        <v/>
      </c>
      <c r="IP77" s="63" t="str">
        <f t="shared" ref="IP77" si="620">IF(SUM(IP64, IP76) &gt; 0, SUM(IP64, IP76), "")</f>
        <v/>
      </c>
      <c r="IQ77" s="65" t="str">
        <f t="shared" ref="IQ77" si="621">IF(SUM(IQ64, IQ76) &gt; 0, SUM(IQ64, IQ76), "")</f>
        <v/>
      </c>
      <c r="IR77" s="62" t="str">
        <f t="shared" ref="IR77" si="622">IF(SUM(IR64, IR76) &gt; 0, SUM(IR64, IR76), "")</f>
        <v/>
      </c>
      <c r="IS77" s="62" t="str">
        <f t="shared" ref="IS77" si="623">IF(SUM(IS64, IS76) &gt; 0, SUM(IS64, IS76), "")</f>
        <v/>
      </c>
      <c r="IT77" s="62" t="str">
        <f t="shared" ref="IT77" si="624">IF(SUM(IT64, IT76) &gt; 0, SUM(IT64, IT76), "")</f>
        <v/>
      </c>
      <c r="IU77" s="62" t="str">
        <f t="shared" ref="IU77" si="625">IF(SUM(IU64, IU76) &gt; 0, SUM(IU64, IU76), "")</f>
        <v/>
      </c>
      <c r="IV77" s="62" t="str">
        <f t="shared" ref="IV77" si="626">IF(SUM(IV64, IV76) &gt; 0, SUM(IV64, IV76), "")</f>
        <v/>
      </c>
      <c r="IW77" s="63" t="str">
        <f t="shared" ref="IW77" si="627">IF(SUM(IW64, IW76) &gt; 0, SUM(IW64, IW76), "")</f>
        <v/>
      </c>
      <c r="IX77" s="65" t="str">
        <f t="shared" ref="IX77" si="628">IF(SUM(IX64, IX76) &gt; 0, SUM(IX64, IX76), "")</f>
        <v/>
      </c>
      <c r="IY77" s="62" t="str">
        <f t="shared" ref="IY77" si="629">IF(SUM(IY64, IY76) &gt; 0, SUM(IY64, IY76), "")</f>
        <v/>
      </c>
      <c r="IZ77" s="62" t="str">
        <f t="shared" ref="IZ77" si="630">IF(SUM(IZ64, IZ76) &gt; 0, SUM(IZ64, IZ76), "")</f>
        <v/>
      </c>
      <c r="JA77" s="62" t="str">
        <f t="shared" ref="JA77" si="631">IF(SUM(JA64, JA76) &gt; 0, SUM(JA64, JA76), "")</f>
        <v/>
      </c>
      <c r="JB77" s="62" t="str">
        <f t="shared" ref="JB77" si="632">IF(SUM(JB64, JB76) &gt; 0, SUM(JB64, JB76), "")</f>
        <v/>
      </c>
      <c r="JC77" s="62" t="str">
        <f t="shared" ref="JC77" si="633">IF(SUM(JC64, JC76) &gt; 0, SUM(JC64, JC76), "")</f>
        <v/>
      </c>
      <c r="JD77" s="63" t="str">
        <f t="shared" ref="JD77" si="634">IF(SUM(JD64, JD76) &gt; 0, SUM(JD64, JD76), "")</f>
        <v/>
      </c>
      <c r="JE77" s="65" t="str">
        <f t="shared" ref="JE77" si="635">IF(SUM(JE64, JE76) &gt; 0, SUM(JE64, JE76), "")</f>
        <v/>
      </c>
      <c r="JF77" s="62" t="str">
        <f t="shared" ref="JF77" si="636">IF(SUM(JF64, JF76) &gt; 0, SUM(JF64, JF76), "")</f>
        <v/>
      </c>
      <c r="JG77" s="62" t="str">
        <f t="shared" ref="JG77" si="637">IF(SUM(JG64, JG76) &gt; 0, SUM(JG64, JG76), "")</f>
        <v/>
      </c>
      <c r="JH77" s="62" t="str">
        <f t="shared" ref="JH77" si="638">IF(SUM(JH64, JH76) &gt; 0, SUM(JH64, JH76), "")</f>
        <v/>
      </c>
      <c r="JI77" s="62" t="str">
        <f t="shared" ref="JI77" si="639">IF(SUM(JI64, JI76) &gt; 0, SUM(JI64, JI76), "")</f>
        <v/>
      </c>
      <c r="JJ77" s="62" t="str">
        <f t="shared" ref="JJ77" si="640">IF(SUM(JJ64, JJ76) &gt; 0, SUM(JJ64, JJ76), "")</f>
        <v/>
      </c>
      <c r="JK77" s="63" t="str">
        <f t="shared" ref="JK77" si="641">IF(SUM(JK64, JK76) &gt; 0, SUM(JK64, JK76), "")</f>
        <v/>
      </c>
      <c r="JL77" s="65" t="str">
        <f t="shared" ref="JL77" si="642">IF(SUM(JL64, JL76) &gt; 0, SUM(JL64, JL76), "")</f>
        <v/>
      </c>
      <c r="JM77" s="62" t="str">
        <f t="shared" ref="JM77" si="643">IF(SUM(JM64, JM76) &gt; 0, SUM(JM64, JM76), "")</f>
        <v/>
      </c>
      <c r="JN77" s="62" t="str">
        <f t="shared" ref="JN77" si="644">IF(SUM(JN64, JN76) &gt; 0, SUM(JN64, JN76), "")</f>
        <v/>
      </c>
      <c r="JO77" s="62" t="str">
        <f t="shared" ref="JO77" si="645">IF(SUM(JO64, JO76) &gt; 0, SUM(JO64, JO76), "")</f>
        <v/>
      </c>
      <c r="JP77" s="62" t="str">
        <f t="shared" ref="JP77" si="646">IF(SUM(JP64, JP76) &gt; 0, SUM(JP64, JP76), "")</f>
        <v/>
      </c>
      <c r="JQ77" s="62" t="str">
        <f t="shared" ref="JQ77" si="647">IF(SUM(JQ64, JQ76) &gt; 0, SUM(JQ64, JQ76), "")</f>
        <v/>
      </c>
      <c r="JR77" s="63" t="str">
        <f t="shared" ref="JR77" si="648">IF(SUM(JR64, JR76) &gt; 0, SUM(JR64, JR76), "")</f>
        <v/>
      </c>
      <c r="JS77" s="65" t="str">
        <f t="shared" ref="JS77" si="649">IF(SUM(JS64, JS76) &gt; 0, SUM(JS64, JS76), "")</f>
        <v/>
      </c>
      <c r="JT77" s="62" t="str">
        <f t="shared" ref="JT77" si="650">IF(SUM(JT64, JT76) &gt; 0, SUM(JT64, JT76), "")</f>
        <v/>
      </c>
      <c r="JU77" s="62" t="str">
        <f t="shared" ref="JU77" si="651">IF(SUM(JU64, JU76) &gt; 0, SUM(JU64, JU76), "")</f>
        <v/>
      </c>
      <c r="JV77" s="62" t="str">
        <f t="shared" ref="JV77" si="652">IF(SUM(JV64, JV76) &gt; 0, SUM(JV64, JV76), "")</f>
        <v/>
      </c>
      <c r="JW77" s="62" t="str">
        <f t="shared" ref="JW77" si="653">IF(SUM(JW64, JW76) &gt; 0, SUM(JW64, JW76), "")</f>
        <v/>
      </c>
      <c r="JX77" s="62" t="str">
        <f t="shared" ref="JX77" si="654">IF(SUM(JX64, JX76) &gt; 0, SUM(JX64, JX76), "")</f>
        <v/>
      </c>
      <c r="JY77" s="63" t="str">
        <f t="shared" ref="JY77" si="655">IF(SUM(JY64, JY76) &gt; 0, SUM(JY64, JY76), "")</f>
        <v/>
      </c>
      <c r="JZ77" s="65" t="str">
        <f t="shared" ref="JZ77" si="656">IF(SUM(JZ64, JZ76) &gt; 0, SUM(JZ64, JZ76), "")</f>
        <v/>
      </c>
      <c r="KA77" s="62" t="str">
        <f t="shared" ref="KA77" si="657">IF(SUM(KA64, KA76) &gt; 0, SUM(KA64, KA76), "")</f>
        <v/>
      </c>
      <c r="KB77" s="62" t="str">
        <f t="shared" ref="KB77" si="658">IF(SUM(KB64, KB76) &gt; 0, SUM(KB64, KB76), "")</f>
        <v/>
      </c>
      <c r="KC77" s="62" t="str">
        <f t="shared" ref="KC77" si="659">IF(SUM(KC64, KC76) &gt; 0, SUM(KC64, KC76), "")</f>
        <v/>
      </c>
      <c r="KD77" s="62" t="str">
        <f t="shared" ref="KD77" si="660">IF(SUM(KD64, KD76) &gt; 0, SUM(KD64, KD76), "")</f>
        <v/>
      </c>
      <c r="KE77" s="62" t="str">
        <f t="shared" ref="KE77" si="661">IF(SUM(KE64, KE76) &gt; 0, SUM(KE64, KE76), "")</f>
        <v/>
      </c>
      <c r="KF77" s="63" t="str">
        <f t="shared" ref="KF77" si="662">IF(SUM(KF64, KF76) &gt; 0, SUM(KF64, KF76), "")</f>
        <v/>
      </c>
      <c r="KG77" s="65" t="str">
        <f t="shared" ref="KG77" si="663">IF(SUM(KG64, KG76) &gt; 0, SUM(KG64, KG76), "")</f>
        <v/>
      </c>
      <c r="KH77" s="62" t="str">
        <f t="shared" ref="KH77" si="664">IF(SUM(KH64, KH76) &gt; 0, SUM(KH64, KH76), "")</f>
        <v/>
      </c>
      <c r="KI77" s="62" t="str">
        <f t="shared" ref="KI77" si="665">IF(SUM(KI64, KI76) &gt; 0, SUM(KI64, KI76), "")</f>
        <v/>
      </c>
      <c r="KJ77" s="62" t="str">
        <f t="shared" ref="KJ77" si="666">IF(SUM(KJ64, KJ76) &gt; 0, SUM(KJ64, KJ76), "")</f>
        <v/>
      </c>
      <c r="KK77" s="62" t="str">
        <f t="shared" ref="KK77" si="667">IF(SUM(KK64, KK76) &gt; 0, SUM(KK64, KK76), "")</f>
        <v/>
      </c>
      <c r="KL77" s="62" t="str">
        <f t="shared" ref="KL77" si="668">IF(SUM(KL64, KL76) &gt; 0, SUM(KL64, KL76), "")</f>
        <v/>
      </c>
      <c r="KM77" s="63" t="str">
        <f t="shared" ref="KM77" si="669">IF(SUM(KM64, KM76) &gt; 0, SUM(KM64, KM76), "")</f>
        <v/>
      </c>
      <c r="KN77" s="65" t="str">
        <f t="shared" ref="KN77" si="670">IF(SUM(KN64, KN76) &gt; 0, SUM(KN64, KN76), "")</f>
        <v/>
      </c>
      <c r="KO77" s="62" t="str">
        <f t="shared" ref="KO77" si="671">IF(SUM(KO64, KO76) &gt; 0, SUM(KO64, KO76), "")</f>
        <v/>
      </c>
      <c r="KP77" s="62" t="str">
        <f t="shared" ref="KP77" si="672">IF(SUM(KP64, KP76) &gt; 0, SUM(KP64, KP76), "")</f>
        <v/>
      </c>
      <c r="KQ77" s="62" t="str">
        <f t="shared" ref="KQ77" si="673">IF(SUM(KQ64, KQ76) &gt; 0, SUM(KQ64, KQ76), "")</f>
        <v/>
      </c>
      <c r="KR77" s="62" t="str">
        <f t="shared" ref="KR77" si="674">IF(SUM(KR64, KR76) &gt; 0, SUM(KR64, KR76), "")</f>
        <v/>
      </c>
      <c r="KS77" s="62" t="str">
        <f t="shared" ref="KS77" si="675">IF(SUM(KS64, KS76) &gt; 0, SUM(KS64, KS76), "")</f>
        <v/>
      </c>
      <c r="KT77" s="63" t="str">
        <f t="shared" ref="KT77" si="676">IF(SUM(KT64, KT76) &gt; 0, SUM(KT64, KT76), "")</f>
        <v/>
      </c>
      <c r="KU77" s="65" t="str">
        <f t="shared" ref="KU77" si="677">IF(SUM(KU64, KU76) &gt; 0, SUM(KU64, KU76), "")</f>
        <v/>
      </c>
      <c r="KV77" s="62" t="str">
        <f t="shared" ref="KV77" si="678">IF(SUM(KV64, KV76) &gt; 0, SUM(KV64, KV76), "")</f>
        <v/>
      </c>
      <c r="KW77" s="62" t="str">
        <f t="shared" ref="KW77" si="679">IF(SUM(KW64, KW76) &gt; 0, SUM(KW64, KW76), "")</f>
        <v/>
      </c>
      <c r="KX77" s="62" t="str">
        <f t="shared" ref="KX77" si="680">IF(SUM(KX64, KX76) &gt; 0, SUM(KX64, KX76), "")</f>
        <v/>
      </c>
      <c r="KY77" s="62" t="str">
        <f t="shared" ref="KY77" si="681">IF(SUM(KY64, KY76) &gt; 0, SUM(KY64, KY76), "")</f>
        <v/>
      </c>
      <c r="KZ77" s="62" t="str">
        <f t="shared" ref="KZ77" si="682">IF(SUM(KZ64, KZ76) &gt; 0, SUM(KZ64, KZ76), "")</f>
        <v/>
      </c>
      <c r="LA77" s="63" t="str">
        <f t="shared" ref="LA77" si="683">IF(SUM(LA64, LA76) &gt; 0, SUM(LA64, LA76), "")</f>
        <v/>
      </c>
      <c r="LB77" s="65" t="str">
        <f t="shared" ref="LB77" si="684">IF(SUM(LB64, LB76) &gt; 0, SUM(LB64, LB76), "")</f>
        <v/>
      </c>
      <c r="LC77" s="62" t="str">
        <f t="shared" ref="LC77" si="685">IF(SUM(LC64, LC76) &gt; 0, SUM(LC64, LC76), "")</f>
        <v/>
      </c>
      <c r="LD77" s="62" t="str">
        <f t="shared" ref="LD77" si="686">IF(SUM(LD64, LD76) &gt; 0, SUM(LD64, LD76), "")</f>
        <v/>
      </c>
      <c r="LE77" s="62" t="str">
        <f t="shared" ref="LE77" si="687">IF(SUM(LE64, LE76) &gt; 0, SUM(LE64, LE76), "")</f>
        <v/>
      </c>
      <c r="LF77" s="62" t="str">
        <f t="shared" ref="LF77" si="688">IF(SUM(LF64, LF76) &gt; 0, SUM(LF64, LF76), "")</f>
        <v/>
      </c>
      <c r="LG77" s="62" t="str">
        <f t="shared" ref="LG77" si="689">IF(SUM(LG64, LG76) &gt; 0, SUM(LG64, LG76), "")</f>
        <v/>
      </c>
      <c r="LH77" s="63" t="str">
        <f t="shared" ref="LH77" si="690">IF(SUM(LH64, LH76) &gt; 0, SUM(LH64, LH76), "")</f>
        <v/>
      </c>
      <c r="LI77" s="65" t="str">
        <f t="shared" ref="LI77" si="691">IF(SUM(LI64, LI76) &gt; 0, SUM(LI64, LI76), "")</f>
        <v/>
      </c>
      <c r="LJ77" s="62" t="str">
        <f t="shared" ref="LJ77" si="692">IF(SUM(LJ64, LJ76) &gt; 0, SUM(LJ64, LJ76), "")</f>
        <v/>
      </c>
      <c r="LK77" s="62" t="str">
        <f t="shared" ref="LK77" si="693">IF(SUM(LK64, LK76) &gt; 0, SUM(LK64, LK76), "")</f>
        <v/>
      </c>
      <c r="LL77" s="62" t="str">
        <f t="shared" ref="LL77" si="694">IF(SUM(LL64, LL76) &gt; 0, SUM(LL64, LL76), "")</f>
        <v/>
      </c>
      <c r="LM77" s="62" t="str">
        <f t="shared" ref="LM77" si="695">IF(SUM(LM64, LM76) &gt; 0, SUM(LM64, LM76), "")</f>
        <v/>
      </c>
      <c r="LN77" s="62" t="str">
        <f t="shared" ref="LN77" si="696">IF(SUM(LN64, LN76) &gt; 0, SUM(LN64, LN76), "")</f>
        <v/>
      </c>
      <c r="LO77" s="63" t="str">
        <f t="shared" ref="LO77" si="697">IF(SUM(LO64, LO76) &gt; 0, SUM(LO64, LO76), "")</f>
        <v/>
      </c>
      <c r="LP77" s="65" t="str">
        <f t="shared" ref="LP77" si="698">IF(SUM(LP64, LP76) &gt; 0, SUM(LP64, LP76), "")</f>
        <v/>
      </c>
      <c r="LQ77" s="62" t="str">
        <f t="shared" ref="LQ77" si="699">IF(SUM(LQ64, LQ76) &gt; 0, SUM(LQ64, LQ76), "")</f>
        <v/>
      </c>
      <c r="LR77" s="62" t="str">
        <f t="shared" ref="LR77" si="700">IF(SUM(LR64, LR76) &gt; 0, SUM(LR64, LR76), "")</f>
        <v/>
      </c>
      <c r="LS77" s="62" t="str">
        <f t="shared" ref="LS77" si="701">IF(SUM(LS64, LS76) &gt; 0, SUM(LS64, LS76), "")</f>
        <v/>
      </c>
      <c r="LT77" s="62" t="str">
        <f t="shared" ref="LT77" si="702">IF(SUM(LT64, LT76) &gt; 0, SUM(LT64, LT76), "")</f>
        <v/>
      </c>
      <c r="LU77" s="62" t="str">
        <f t="shared" ref="LU77" si="703">IF(SUM(LU64, LU76) &gt; 0, SUM(LU64, LU76), "")</f>
        <v/>
      </c>
      <c r="LV77" s="63" t="str">
        <f t="shared" ref="LV77" si="704">IF(SUM(LV64, LV76) &gt; 0, SUM(LV64, LV76), "")</f>
        <v/>
      </c>
      <c r="LW77" s="65" t="str">
        <f t="shared" ref="LW77" si="705">IF(SUM(LW64, LW76) &gt; 0, SUM(LW64, LW76), "")</f>
        <v/>
      </c>
      <c r="LX77" s="62" t="str">
        <f t="shared" ref="LX77" si="706">IF(SUM(LX64, LX76) &gt; 0, SUM(LX64, LX76), "")</f>
        <v/>
      </c>
      <c r="LY77" s="62" t="str">
        <f t="shared" ref="LY77" si="707">IF(SUM(LY64, LY76) &gt; 0, SUM(LY64, LY76), "")</f>
        <v/>
      </c>
      <c r="LZ77" s="62" t="str">
        <f t="shared" ref="LZ77" si="708">IF(SUM(LZ64, LZ76) &gt; 0, SUM(LZ64, LZ76), "")</f>
        <v/>
      </c>
      <c r="MA77" s="62" t="str">
        <f t="shared" ref="MA77" si="709">IF(SUM(MA64, MA76) &gt; 0, SUM(MA64, MA76), "")</f>
        <v/>
      </c>
      <c r="MB77" s="62" t="str">
        <f t="shared" ref="MB77" si="710">IF(SUM(MB64, MB76) &gt; 0, SUM(MB64, MB76), "")</f>
        <v/>
      </c>
      <c r="MC77" s="63" t="str">
        <f t="shared" ref="MC77" si="711">IF(SUM(MC64, MC76) &gt; 0, SUM(MC64, MC76), "")</f>
        <v/>
      </c>
      <c r="MD77" s="65" t="str">
        <f t="shared" ref="MD77" si="712">IF(SUM(MD64, MD76) &gt; 0, SUM(MD64, MD76), "")</f>
        <v/>
      </c>
      <c r="ME77" s="62" t="str">
        <f t="shared" ref="ME77" si="713">IF(SUM(ME64, ME76) &gt; 0, SUM(ME64, ME76), "")</f>
        <v/>
      </c>
      <c r="MF77" s="62" t="str">
        <f t="shared" ref="MF77" si="714">IF(SUM(MF64, MF76) &gt; 0, SUM(MF64, MF76), "")</f>
        <v/>
      </c>
      <c r="MG77" s="62" t="str">
        <f t="shared" ref="MG77" si="715">IF(SUM(MG64, MG76) &gt; 0, SUM(MG64, MG76), "")</f>
        <v/>
      </c>
      <c r="MH77" s="62" t="str">
        <f t="shared" ref="MH77" si="716">IF(SUM(MH64, MH76) &gt; 0, SUM(MH64, MH76), "")</f>
        <v/>
      </c>
      <c r="MI77" s="62" t="str">
        <f t="shared" ref="MI77" si="717">IF(SUM(MI64, MI76) &gt; 0, SUM(MI64, MI76), "")</f>
        <v/>
      </c>
      <c r="MJ77" s="63" t="str">
        <f t="shared" ref="MJ77" si="718">IF(SUM(MJ64, MJ76) &gt; 0, SUM(MJ64, MJ76), "")</f>
        <v/>
      </c>
    </row>
    <row r="78" spans="1:348" ht="7.5" customHeight="1" x14ac:dyDescent="0.25">
      <c r="A78" s="8"/>
      <c r="B78" s="8"/>
      <c r="C78" s="8"/>
      <c r="D78" s="8"/>
      <c r="E78" s="8"/>
      <c r="F78" s="10"/>
      <c r="G78" s="19"/>
      <c r="H78" s="19"/>
      <c r="I78" s="8"/>
      <c r="J78" s="8"/>
      <c r="K78" s="8"/>
      <c r="L78" s="8"/>
      <c r="M78" s="8"/>
      <c r="N78" s="8"/>
      <c r="O78" s="9"/>
      <c r="P78" s="8"/>
      <c r="Q78" s="8"/>
      <c r="R78" s="9"/>
      <c r="S78" s="7"/>
      <c r="Z78" s="7"/>
      <c r="AG78" s="7"/>
      <c r="AN78" s="7"/>
      <c r="AU78" s="7"/>
      <c r="BB78" s="7"/>
      <c r="BI78" s="7"/>
      <c r="BP78" s="7"/>
      <c r="BY78" s="7"/>
      <c r="CH78" s="7"/>
      <c r="CQ78" s="7"/>
      <c r="CZ78" s="7"/>
      <c r="DI78" s="7"/>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11" t="s">
        <v>24</v>
      </c>
      <c r="B79" s="11"/>
      <c r="C79" s="11"/>
      <c r="D79" s="11"/>
      <c r="E79" s="11"/>
      <c r="F79" s="13"/>
      <c r="G79" s="40"/>
      <c r="H79" s="40"/>
      <c r="I79" s="11"/>
      <c r="J79" s="11"/>
      <c r="K79" s="11"/>
      <c r="L79" s="11"/>
      <c r="M79" s="11"/>
      <c r="N79" s="11"/>
      <c r="O79" s="12"/>
      <c r="P79" s="11"/>
      <c r="Q79" s="11"/>
      <c r="R79" s="12"/>
      <c r="S79" s="12"/>
      <c r="T79" s="11"/>
      <c r="U79" s="11"/>
      <c r="V79" s="11"/>
      <c r="W79" s="11"/>
      <c r="X79" s="11"/>
      <c r="Y79" s="11"/>
      <c r="Z79" s="12"/>
      <c r="AA79" s="11"/>
      <c r="AB79" s="11"/>
      <c r="AC79" s="11"/>
      <c r="AD79" s="11"/>
      <c r="AE79" s="11"/>
      <c r="AF79" s="11"/>
      <c r="AG79" s="12"/>
      <c r="AH79" s="11"/>
      <c r="AI79" s="11"/>
      <c r="AJ79" s="11"/>
      <c r="AK79" s="11"/>
      <c r="AL79" s="11"/>
      <c r="AM79" s="11"/>
      <c r="AN79" s="12"/>
      <c r="AO79" s="11"/>
      <c r="AP79" s="11"/>
      <c r="AQ79" s="11"/>
      <c r="AR79" s="11"/>
      <c r="AS79" s="11"/>
      <c r="AT79" s="11"/>
      <c r="AU79" s="12"/>
      <c r="AV79" s="11"/>
      <c r="AW79" s="11"/>
      <c r="AX79" s="11"/>
      <c r="AY79" s="11"/>
      <c r="AZ79" s="11"/>
      <c r="BA79" s="11"/>
      <c r="BB79" s="12"/>
      <c r="BC79" s="11"/>
      <c r="BD79" s="11"/>
      <c r="BE79" s="11"/>
      <c r="BF79" s="11"/>
      <c r="BG79" s="11"/>
      <c r="BH79" s="11"/>
      <c r="BI79" s="12"/>
      <c r="BJ79" s="11"/>
      <c r="BK79" s="11"/>
      <c r="BL79" s="11"/>
      <c r="BM79" s="11"/>
      <c r="BN79" s="11"/>
      <c r="BO79" s="11"/>
      <c r="BP79" s="12"/>
      <c r="BQ79" s="11"/>
      <c r="BR79" s="11"/>
      <c r="BS79" s="11"/>
      <c r="BT79" s="11"/>
      <c r="BU79" s="11"/>
      <c r="BV79" s="11"/>
      <c r="BW79" s="11"/>
      <c r="BX79" s="11"/>
      <c r="BY79" s="12"/>
      <c r="BZ79" s="11"/>
      <c r="CA79" s="11"/>
      <c r="CB79" s="11"/>
      <c r="CC79" s="11"/>
      <c r="CD79" s="11"/>
      <c r="CE79" s="11"/>
      <c r="CF79" s="11"/>
      <c r="CG79" s="11"/>
      <c r="CH79" s="12"/>
      <c r="CI79" s="11"/>
      <c r="CJ79" s="11"/>
      <c r="CK79" s="11"/>
      <c r="CL79" s="11"/>
      <c r="CM79" s="11"/>
      <c r="CN79" s="11"/>
      <c r="CO79" s="11"/>
      <c r="CP79" s="11"/>
      <c r="CQ79" s="12"/>
      <c r="CR79" s="11"/>
      <c r="CS79" s="11"/>
      <c r="CT79" s="11"/>
      <c r="CU79" s="11"/>
      <c r="CV79" s="11"/>
      <c r="CW79" s="11"/>
      <c r="CX79" s="11"/>
      <c r="CY79" s="11"/>
      <c r="CZ79" s="12"/>
      <c r="DA79" s="11"/>
      <c r="DB79" s="11"/>
      <c r="DC79" s="11"/>
      <c r="DD79" s="11"/>
      <c r="DE79" s="11"/>
      <c r="DF79" s="11"/>
      <c r="DG79" s="11"/>
      <c r="DH79" s="11"/>
      <c r="DI79" s="12"/>
      <c r="DJ79" s="11"/>
      <c r="DK79" s="11"/>
      <c r="DL79" s="11"/>
      <c r="DM79" s="11"/>
      <c r="DN79" s="11"/>
      <c r="DO79" s="11"/>
      <c r="DP79" s="11"/>
      <c r="DQ79" s="11"/>
      <c r="DR79" s="12"/>
      <c r="DS79" s="11"/>
      <c r="DT79" s="11"/>
      <c r="DU79" s="11"/>
      <c r="DV79" s="11"/>
      <c r="DW79" s="11"/>
      <c r="DX79" s="11"/>
      <c r="DY79" s="11"/>
      <c r="DZ79" s="11"/>
      <c r="EA79" s="12"/>
      <c r="EB79" s="11"/>
      <c r="EC79" s="11"/>
      <c r="ED79" s="11"/>
      <c r="EE79" s="11"/>
      <c r="EF79" s="11"/>
      <c r="EG79" s="11"/>
      <c r="EH79" s="12"/>
      <c r="EI79" s="11"/>
      <c r="EJ79" s="11"/>
      <c r="EK79" s="11"/>
      <c r="EL79" s="11"/>
      <c r="EM79" s="11"/>
      <c r="EN79" s="11"/>
      <c r="EO79" s="12"/>
      <c r="EP79" s="11"/>
      <c r="EQ79" s="11"/>
      <c r="ER79" s="11"/>
      <c r="ES79" s="11"/>
      <c r="ET79" s="11"/>
      <c r="EU79" s="11"/>
      <c r="EV79" s="12"/>
      <c r="EW79" s="11"/>
      <c r="EX79" s="11"/>
      <c r="EY79" s="11"/>
      <c r="EZ79" s="11"/>
      <c r="FA79" s="11"/>
      <c r="FB79" s="11"/>
      <c r="FC79" s="12"/>
      <c r="FD79" s="11"/>
      <c r="FE79" s="11"/>
      <c r="FF79" s="11"/>
      <c r="FG79" s="11"/>
      <c r="FH79" s="11"/>
      <c r="FI79" s="11"/>
      <c r="FJ79" s="12"/>
      <c r="FK79" s="11"/>
      <c r="FL79" s="11"/>
      <c r="FM79" s="11"/>
      <c r="FN79" s="11"/>
      <c r="FO79" s="11"/>
      <c r="FP79" s="11"/>
      <c r="FQ79" s="12"/>
      <c r="FR79" s="11"/>
      <c r="FS79" s="11"/>
      <c r="FT79" s="11"/>
      <c r="FU79" s="11"/>
      <c r="FV79" s="11"/>
      <c r="FW79" s="11"/>
      <c r="FX79" s="12"/>
      <c r="FY79" s="11"/>
      <c r="FZ79" s="11"/>
      <c r="GA79" s="11"/>
      <c r="GB79" s="11"/>
      <c r="GC79" s="11"/>
      <c r="GD79" s="11"/>
      <c r="GE79" s="12"/>
      <c r="GF79" s="11"/>
      <c r="GG79" s="11"/>
      <c r="GH79" s="11"/>
      <c r="GI79" s="11"/>
      <c r="GJ79" s="11"/>
      <c r="GK79" s="11"/>
      <c r="GL79" s="12"/>
      <c r="GM79" s="11"/>
      <c r="GN79" s="11"/>
      <c r="GO79" s="11"/>
      <c r="GP79" s="11"/>
      <c r="GQ79" s="11"/>
      <c r="GR79" s="11"/>
      <c r="GS79" s="12"/>
      <c r="GT79" s="11"/>
      <c r="GU79" s="11"/>
      <c r="GV79" s="11"/>
      <c r="GW79" s="11"/>
      <c r="GX79" s="11"/>
      <c r="GY79" s="11"/>
      <c r="GZ79" s="12"/>
      <c r="HA79" s="11"/>
      <c r="HB79" s="11"/>
      <c r="HC79" s="11"/>
      <c r="HD79" s="11"/>
      <c r="HE79" s="11"/>
      <c r="HF79" s="11"/>
      <c r="HG79" s="12"/>
      <c r="HH79" s="11"/>
      <c r="HI79" s="11"/>
      <c r="HJ79" s="11"/>
      <c r="HK79" s="11"/>
      <c r="HL79" s="11"/>
      <c r="HM79" s="11"/>
      <c r="HN79" s="12"/>
      <c r="HO79" s="11"/>
      <c r="HP79" s="11"/>
      <c r="HQ79" s="11"/>
      <c r="HR79" s="11"/>
      <c r="HS79" s="11"/>
      <c r="HT79" s="11"/>
      <c r="HU79" s="12"/>
      <c r="HV79" s="11"/>
      <c r="HW79" s="11"/>
      <c r="HX79" s="11"/>
      <c r="HY79" s="11"/>
      <c r="HZ79" s="11"/>
      <c r="IA79" s="11"/>
      <c r="IB79" s="12"/>
      <c r="IC79" s="11"/>
      <c r="ID79" s="11"/>
      <c r="IE79" s="11"/>
      <c r="IF79" s="11"/>
      <c r="IG79" s="11"/>
      <c r="IH79" s="11"/>
      <c r="II79" s="12"/>
      <c r="IJ79" s="11"/>
      <c r="IK79" s="11"/>
      <c r="IL79" s="11"/>
      <c r="IM79" s="11"/>
      <c r="IN79" s="11"/>
      <c r="IO79" s="11"/>
      <c r="IP79" s="12"/>
      <c r="IQ79" s="11"/>
      <c r="IR79" s="11"/>
      <c r="IS79" s="11"/>
      <c r="IT79" s="11"/>
      <c r="IU79" s="11"/>
      <c r="IV79" s="11"/>
      <c r="IW79" s="12"/>
      <c r="IX79" s="11"/>
      <c r="IY79" s="11"/>
      <c r="IZ79" s="11"/>
      <c r="JA79" s="11"/>
      <c r="JB79" s="11"/>
      <c r="JC79" s="11"/>
      <c r="JD79" s="12"/>
      <c r="JE79" s="11"/>
      <c r="JF79" s="11"/>
      <c r="JG79" s="11"/>
      <c r="JH79" s="11"/>
      <c r="JI79" s="11"/>
      <c r="JJ79" s="11"/>
      <c r="JK79" s="12"/>
      <c r="JL79" s="11"/>
      <c r="JM79" s="11"/>
      <c r="JN79" s="11"/>
      <c r="JO79" s="11"/>
      <c r="JP79" s="11"/>
      <c r="JQ79" s="11"/>
      <c r="JR79" s="12"/>
      <c r="JS79" s="11"/>
      <c r="JT79" s="11"/>
      <c r="JU79" s="11"/>
      <c r="JV79" s="11"/>
      <c r="JW79" s="11"/>
      <c r="JX79" s="11"/>
      <c r="JY79" s="12"/>
      <c r="JZ79" s="11"/>
      <c r="KA79" s="11"/>
      <c r="KB79" s="11"/>
      <c r="KC79" s="11"/>
      <c r="KD79" s="11"/>
      <c r="KE79" s="11"/>
      <c r="KF79" s="12"/>
      <c r="KG79" s="11"/>
      <c r="KH79" s="11"/>
      <c r="KI79" s="11"/>
      <c r="KJ79" s="11"/>
      <c r="KK79" s="11"/>
      <c r="KL79" s="11"/>
      <c r="KM79" s="12"/>
      <c r="KN79" s="11"/>
      <c r="KO79" s="11"/>
      <c r="KP79" s="11"/>
      <c r="KQ79" s="11"/>
      <c r="KR79" s="11"/>
      <c r="KS79" s="11"/>
      <c r="KT79" s="12"/>
      <c r="KU79" s="11"/>
      <c r="KV79" s="11"/>
      <c r="KW79" s="11"/>
      <c r="KX79" s="11"/>
      <c r="KY79" s="11"/>
      <c r="KZ79" s="11"/>
      <c r="LA79" s="12"/>
      <c r="LB79" s="11"/>
      <c r="LC79" s="11"/>
      <c r="LD79" s="11"/>
      <c r="LE79" s="11"/>
      <c r="LF79" s="11"/>
      <c r="LG79" s="11"/>
      <c r="LH79" s="12"/>
      <c r="LI79" s="11"/>
      <c r="LJ79" s="11"/>
      <c r="LK79" s="11"/>
      <c r="LL79" s="11"/>
      <c r="LM79" s="11"/>
      <c r="LN79" s="11"/>
      <c r="LO79" s="12"/>
      <c r="LP79" s="11"/>
      <c r="LQ79" s="11"/>
      <c r="LR79" s="11"/>
      <c r="LS79" s="11"/>
      <c r="LT79" s="11"/>
      <c r="LU79" s="11"/>
      <c r="LV79" s="12"/>
      <c r="LW79" s="11"/>
      <c r="LX79" s="11"/>
      <c r="LY79" s="11"/>
      <c r="LZ79" s="11"/>
      <c r="MA79" s="11"/>
      <c r="MB79" s="11"/>
      <c r="MC79" s="12"/>
      <c r="MD79" s="11"/>
      <c r="ME79" s="11"/>
      <c r="MF79" s="11"/>
      <c r="MG79" s="11"/>
      <c r="MH79" s="11"/>
      <c r="MI79" s="11"/>
      <c r="MJ79" s="12"/>
    </row>
    <row r="80" spans="1:348" x14ac:dyDescent="0.25">
      <c r="A80" s="8" t="s">
        <v>23</v>
      </c>
      <c r="B80" s="8"/>
      <c r="C80" s="8"/>
      <c r="D80" s="8"/>
      <c r="E80" s="8"/>
      <c r="F80" s="10"/>
      <c r="G80" s="19"/>
      <c r="H80" s="19"/>
      <c r="I80" s="8"/>
      <c r="J80" s="8"/>
      <c r="K80" s="8"/>
      <c r="L80" s="8"/>
      <c r="M80" s="8"/>
      <c r="N80" s="8"/>
      <c r="O80" s="9"/>
      <c r="P80" s="8">
        <f>IF(SUM(S80:MJ80) &gt; 0, SUM(S80:MJ80), "")</f>
        <v>44</v>
      </c>
      <c r="Q80" s="109">
        <f t="shared" ref="Q80:Q85" si="719">IF(SUM(S80:XFD80) &gt; 0, SUM(S80:XFD80) / $P$86 * 100, "")</f>
        <v>100</v>
      </c>
      <c r="R80" s="84"/>
      <c r="S80" s="7">
        <v>1</v>
      </c>
      <c r="U80">
        <v>1</v>
      </c>
      <c r="V80">
        <v>1</v>
      </c>
      <c r="X80">
        <v>1</v>
      </c>
      <c r="Z80" s="7"/>
      <c r="AB80">
        <v>1</v>
      </c>
      <c r="AD80">
        <v>1</v>
      </c>
      <c r="AE80">
        <v>1</v>
      </c>
      <c r="AG80" s="7"/>
      <c r="AI80">
        <v>1</v>
      </c>
      <c r="AK80">
        <v>1</v>
      </c>
      <c r="AL80">
        <v>1</v>
      </c>
      <c r="AN80" s="7"/>
      <c r="AP80">
        <v>1</v>
      </c>
      <c r="AR80">
        <v>1</v>
      </c>
      <c r="AS80">
        <v>1</v>
      </c>
      <c r="AU80" s="7"/>
      <c r="AW80">
        <v>1</v>
      </c>
      <c r="AX80">
        <v>1</v>
      </c>
      <c r="AY80">
        <v>1</v>
      </c>
      <c r="AZ80">
        <v>1</v>
      </c>
      <c r="BB80" s="7"/>
      <c r="BD80">
        <v>1</v>
      </c>
      <c r="BF80">
        <v>1</v>
      </c>
      <c r="BG80">
        <v>1</v>
      </c>
      <c r="BI80" s="7"/>
      <c r="BK80">
        <v>1</v>
      </c>
      <c r="BM80">
        <v>1</v>
      </c>
      <c r="BN80">
        <v>1</v>
      </c>
      <c r="BP80" s="7">
        <v>1</v>
      </c>
      <c r="BR80">
        <v>1</v>
      </c>
      <c r="BT80">
        <v>1</v>
      </c>
      <c r="BW80">
        <v>1</v>
      </c>
      <c r="BY80" s="7"/>
      <c r="CC80">
        <v>1</v>
      </c>
      <c r="CF80">
        <v>1</v>
      </c>
      <c r="CH80" s="7"/>
      <c r="CL80">
        <v>1</v>
      </c>
      <c r="CO80">
        <v>1</v>
      </c>
      <c r="CQ80" s="7"/>
      <c r="CS80">
        <v>1</v>
      </c>
      <c r="CU80">
        <v>1</v>
      </c>
      <c r="CV80">
        <v>1</v>
      </c>
      <c r="CX80">
        <v>1</v>
      </c>
      <c r="CZ80" s="7"/>
      <c r="DB80">
        <v>1</v>
      </c>
      <c r="DE80">
        <v>1</v>
      </c>
      <c r="DG80">
        <v>1</v>
      </c>
      <c r="DI80" s="7"/>
      <c r="DK80">
        <v>1</v>
      </c>
      <c r="DM80">
        <v>1</v>
      </c>
      <c r="DN80">
        <v>1</v>
      </c>
      <c r="DR80" s="7"/>
      <c r="DT80">
        <v>1</v>
      </c>
      <c r="DV80">
        <v>1</v>
      </c>
      <c r="DW80">
        <v>1</v>
      </c>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22</v>
      </c>
      <c r="B81" s="8"/>
      <c r="C81" s="8"/>
      <c r="D81" s="8"/>
      <c r="E81" s="8"/>
      <c r="F81" s="10"/>
      <c r="G81" s="19"/>
      <c r="H81" s="19"/>
      <c r="I81" s="8"/>
      <c r="J81" s="8"/>
      <c r="K81" s="8"/>
      <c r="L81" s="8"/>
      <c r="M81" s="8"/>
      <c r="N81" s="8"/>
      <c r="O81" s="9"/>
      <c r="P81" s="8" t="str">
        <f>IF(SUM(S81:MJ81) &gt; 0, SUM(S81:MJ81), "")</f>
        <v/>
      </c>
      <c r="Q81" s="109" t="str">
        <f t="shared" si="719"/>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21</v>
      </c>
      <c r="B82" s="8"/>
      <c r="C82" s="8"/>
      <c r="D82" s="8"/>
      <c r="E82" s="8"/>
      <c r="F82" s="10"/>
      <c r="G82" s="19"/>
      <c r="H82" s="19"/>
      <c r="I82" s="8"/>
      <c r="J82" s="8"/>
      <c r="K82" s="8"/>
      <c r="L82" s="8"/>
      <c r="M82" s="8"/>
      <c r="N82" s="8"/>
      <c r="O82" s="9"/>
      <c r="P82" s="8" t="str">
        <f>IF(SUM(S82:MJ82) &gt; 0, SUM(S82:MJ82), "")</f>
        <v/>
      </c>
      <c r="Q82" s="109" t="str">
        <f t="shared" si="719"/>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20</v>
      </c>
      <c r="B83" s="8"/>
      <c r="C83" s="8"/>
      <c r="D83" s="8"/>
      <c r="E83" s="8"/>
      <c r="F83" s="10"/>
      <c r="G83" s="19"/>
      <c r="H83" s="19"/>
      <c r="I83" s="8"/>
      <c r="J83" s="8"/>
      <c r="K83" s="8"/>
      <c r="L83" s="8"/>
      <c r="M83" s="8"/>
      <c r="N83" s="8"/>
      <c r="O83" s="9"/>
      <c r="P83" s="8" t="str">
        <f>IF(SUM(S83:MJ83) &gt; 0, SUM(S83:MJ83), "")</f>
        <v/>
      </c>
      <c r="Q83" s="109" t="str">
        <f t="shared" si="719"/>
        <v/>
      </c>
      <c r="R83" s="84"/>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8" t="s">
        <v>19</v>
      </c>
      <c r="B84" s="8"/>
      <c r="C84" s="8"/>
      <c r="D84" s="8"/>
      <c r="E84" s="8"/>
      <c r="F84" s="10"/>
      <c r="G84" s="19"/>
      <c r="H84" s="19"/>
      <c r="I84" s="8"/>
      <c r="J84" s="8"/>
      <c r="K84" s="8"/>
      <c r="L84" s="8"/>
      <c r="M84" s="8"/>
      <c r="N84" s="8"/>
      <c r="O84" s="9"/>
      <c r="P84" s="8">
        <f>IF(SUM(S84:MJ84) &gt; 0, SUM(S84:MJ84), "")</f>
        <v>6</v>
      </c>
      <c r="Q84" s="109">
        <f t="shared" si="719"/>
        <v>13.636363636363635</v>
      </c>
      <c r="R84" s="84"/>
      <c r="S84" s="7"/>
      <c r="Z84" s="7"/>
      <c r="AG84" s="7"/>
      <c r="AK84">
        <v>1</v>
      </c>
      <c r="AN84" s="7"/>
      <c r="AU84" s="7"/>
      <c r="AW84">
        <v>1</v>
      </c>
      <c r="AY84">
        <v>1</v>
      </c>
      <c r="BB84" s="7"/>
      <c r="BF84">
        <v>1</v>
      </c>
      <c r="BI84" s="7"/>
      <c r="BN84">
        <v>1</v>
      </c>
      <c r="BP84" s="7"/>
      <c r="BY84" s="7"/>
      <c r="CH84" s="7"/>
      <c r="CQ84" s="7"/>
      <c r="CZ84" s="7"/>
      <c r="DI84" s="7"/>
      <c r="DR84" s="7"/>
      <c r="DT84">
        <v>1</v>
      </c>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ht="5.25" customHeight="1" x14ac:dyDescent="0.25">
      <c r="A85" s="8"/>
      <c r="B85" s="8"/>
      <c r="C85" s="8"/>
      <c r="D85" s="8"/>
      <c r="E85" s="8"/>
      <c r="F85" s="10"/>
      <c r="G85" s="19"/>
      <c r="H85" s="19"/>
      <c r="I85" s="8"/>
      <c r="J85" s="8"/>
      <c r="K85" s="8"/>
      <c r="L85" s="8"/>
      <c r="M85" s="8"/>
      <c r="N85" s="8"/>
      <c r="O85" s="9"/>
      <c r="P85" s="8" t="str">
        <f>IF(SUM(R85:MJ85) &gt; 0, SUM(R85:MJ85), "")</f>
        <v/>
      </c>
      <c r="Q85" s="109" t="str">
        <f t="shared" si="719"/>
        <v/>
      </c>
      <c r="R85" s="9"/>
      <c r="S85" s="7"/>
      <c r="Z85" s="7"/>
      <c r="AG85" s="7"/>
      <c r="AN85" s="7"/>
      <c r="AU85" s="7"/>
      <c r="BB85" s="7"/>
      <c r="BI85" s="7"/>
      <c r="BP85" s="7"/>
      <c r="BY85" s="7"/>
      <c r="CH85" s="7"/>
      <c r="CQ85" s="7"/>
      <c r="CZ85" s="7"/>
      <c r="DI85" s="7"/>
      <c r="DR85" s="7"/>
      <c r="EA85" s="7"/>
      <c r="EH85" s="7"/>
      <c r="EO85" s="7"/>
      <c r="EV85" s="7"/>
      <c r="FC85" s="7"/>
      <c r="FJ85" s="7"/>
      <c r="FQ85" s="7"/>
      <c r="FX85" s="7"/>
      <c r="GE85" s="7"/>
      <c r="GL85" s="7"/>
      <c r="GS85" s="7"/>
      <c r="GZ85" s="7"/>
      <c r="HG85" s="7"/>
      <c r="HN85" s="7"/>
      <c r="HU85" s="7"/>
      <c r="IB85" s="7"/>
      <c r="II85" s="7"/>
      <c r="IP85" s="7"/>
      <c r="IW85" s="7"/>
      <c r="JD85" s="7"/>
      <c r="JK85" s="7"/>
      <c r="JR85" s="7"/>
      <c r="JY85" s="7"/>
      <c r="KF85" s="7"/>
      <c r="KM85" s="7"/>
      <c r="KT85" s="7"/>
      <c r="LA85" s="7"/>
      <c r="LH85" s="7"/>
      <c r="LO85" s="7"/>
      <c r="LV85" s="7"/>
      <c r="MC85" s="7"/>
      <c r="MJ85" s="7"/>
    </row>
    <row r="86" spans="1:348" x14ac:dyDescent="0.25">
      <c r="A86" s="6" t="s">
        <v>18</v>
      </c>
      <c r="B86" s="3"/>
      <c r="C86" s="3"/>
      <c r="D86" s="3"/>
      <c r="E86" s="3"/>
      <c r="F86" s="5"/>
      <c r="G86" s="3"/>
      <c r="H86" s="3"/>
      <c r="I86" s="3"/>
      <c r="J86" s="3"/>
      <c r="K86" s="3"/>
      <c r="L86" s="3"/>
      <c r="M86" s="3"/>
      <c r="N86" s="3"/>
      <c r="O86" s="4"/>
      <c r="P86" s="3">
        <f>SUM(S86:MJ86)</f>
        <v>44</v>
      </c>
      <c r="Q86" s="3"/>
      <c r="R86" s="4"/>
      <c r="S86" s="4">
        <v>1</v>
      </c>
      <c r="T86" s="3"/>
      <c r="U86" s="3">
        <v>1</v>
      </c>
      <c r="V86" s="3">
        <v>1</v>
      </c>
      <c r="W86" s="3"/>
      <c r="X86" s="3">
        <v>1</v>
      </c>
      <c r="Y86" s="3"/>
      <c r="Z86" s="4"/>
      <c r="AA86" s="3"/>
      <c r="AB86" s="3">
        <v>1</v>
      </c>
      <c r="AC86" s="3"/>
      <c r="AD86" s="3">
        <v>1</v>
      </c>
      <c r="AE86" s="3">
        <v>1</v>
      </c>
      <c r="AF86" s="3"/>
      <c r="AG86" s="4"/>
      <c r="AH86" s="3"/>
      <c r="AI86" s="3">
        <v>1</v>
      </c>
      <c r="AJ86" s="3"/>
      <c r="AK86" s="3">
        <v>1</v>
      </c>
      <c r="AL86" s="3">
        <v>1</v>
      </c>
      <c r="AM86" s="3"/>
      <c r="AN86" s="4"/>
      <c r="AO86" s="3"/>
      <c r="AP86" s="3">
        <v>1</v>
      </c>
      <c r="AQ86" s="3"/>
      <c r="AR86" s="3">
        <v>1</v>
      </c>
      <c r="AS86" s="3">
        <v>1</v>
      </c>
      <c r="AT86" s="3"/>
      <c r="AU86" s="4"/>
      <c r="AV86" s="3"/>
      <c r="AW86" s="3">
        <v>1</v>
      </c>
      <c r="AX86" s="3">
        <v>1</v>
      </c>
      <c r="AY86" s="3">
        <v>1</v>
      </c>
      <c r="AZ86" s="3">
        <v>1</v>
      </c>
      <c r="BA86" s="3"/>
      <c r="BB86" s="4"/>
      <c r="BC86" s="3"/>
      <c r="BD86" s="3">
        <v>1</v>
      </c>
      <c r="BE86" s="3"/>
      <c r="BF86" s="3">
        <v>1</v>
      </c>
      <c r="BG86" s="3">
        <v>1</v>
      </c>
      <c r="BH86" s="3"/>
      <c r="BI86" s="4"/>
      <c r="BJ86" s="3"/>
      <c r="BK86" s="3">
        <v>1</v>
      </c>
      <c r="BL86" s="3"/>
      <c r="BM86" s="3">
        <v>1</v>
      </c>
      <c r="BN86" s="3">
        <v>1</v>
      </c>
      <c r="BO86" s="3"/>
      <c r="BP86" s="4">
        <v>1</v>
      </c>
      <c r="BQ86" s="3"/>
      <c r="BR86" s="3">
        <v>1</v>
      </c>
      <c r="BS86" s="3"/>
      <c r="BT86" s="3">
        <v>1</v>
      </c>
      <c r="BU86" s="3"/>
      <c r="BV86" s="3"/>
      <c r="BW86" s="3">
        <v>1</v>
      </c>
      <c r="BX86" s="3"/>
      <c r="BY86" s="4"/>
      <c r="BZ86" s="3"/>
      <c r="CA86" s="3"/>
      <c r="CB86" s="3"/>
      <c r="CC86" s="3">
        <v>1</v>
      </c>
      <c r="CD86" s="3"/>
      <c r="CE86" s="3"/>
      <c r="CF86" s="3">
        <v>1</v>
      </c>
      <c r="CG86" s="3"/>
      <c r="CH86" s="4"/>
      <c r="CI86" s="3"/>
      <c r="CJ86" s="3"/>
      <c r="CK86" s="3"/>
      <c r="CL86" s="3">
        <v>1</v>
      </c>
      <c r="CM86" s="3"/>
      <c r="CN86" s="3"/>
      <c r="CO86" s="3">
        <v>1</v>
      </c>
      <c r="CP86" s="3"/>
      <c r="CQ86" s="4"/>
      <c r="CR86" s="3"/>
      <c r="CS86" s="3">
        <v>1</v>
      </c>
      <c r="CT86" s="3"/>
      <c r="CU86" s="3">
        <v>1</v>
      </c>
      <c r="CV86" s="3">
        <v>1</v>
      </c>
      <c r="CW86" s="3"/>
      <c r="CX86" s="3">
        <v>1</v>
      </c>
      <c r="CY86" s="3"/>
      <c r="CZ86" s="4"/>
      <c r="DA86" s="3"/>
      <c r="DB86" s="3">
        <v>1</v>
      </c>
      <c r="DC86" s="3"/>
      <c r="DD86" s="3"/>
      <c r="DE86" s="3">
        <v>1</v>
      </c>
      <c r="DF86" s="3"/>
      <c r="DG86" s="3">
        <v>1</v>
      </c>
      <c r="DH86" s="3"/>
      <c r="DI86" s="4"/>
      <c r="DJ86" s="3"/>
      <c r="DK86" s="3">
        <v>1</v>
      </c>
      <c r="DL86" s="3"/>
      <c r="DM86" s="3">
        <v>1</v>
      </c>
      <c r="DN86" s="3">
        <v>1</v>
      </c>
      <c r="DO86" s="3"/>
      <c r="DP86" s="3"/>
      <c r="DQ86" s="3"/>
      <c r="DR86" s="4"/>
      <c r="DS86" s="3"/>
      <c r="DT86" s="3">
        <v>1</v>
      </c>
      <c r="DU86" s="3"/>
      <c r="DV86" s="3">
        <v>1</v>
      </c>
      <c r="DW86" s="3">
        <v>1</v>
      </c>
      <c r="DX86" s="3"/>
      <c r="DY86" s="3"/>
      <c r="DZ86" s="3"/>
      <c r="EA86" s="4"/>
      <c r="EB86" s="3"/>
      <c r="EC86" s="3"/>
      <c r="ED86" s="3"/>
      <c r="EE86" s="3"/>
      <c r="EF86" s="3"/>
      <c r="EG86" s="3"/>
      <c r="EH86" s="4"/>
      <c r="EI86" s="3"/>
      <c r="EJ86" s="3"/>
      <c r="EK86" s="3"/>
      <c r="EL86" s="3"/>
      <c r="EM86" s="3"/>
      <c r="EN86" s="3"/>
      <c r="EO86" s="4"/>
      <c r="EP86" s="3"/>
      <c r="EQ86" s="3"/>
      <c r="ER86" s="3"/>
      <c r="ES86" s="3"/>
      <c r="ET86" s="3"/>
      <c r="EU86" s="3"/>
      <c r="EV86" s="4"/>
      <c r="EW86" s="3"/>
      <c r="EX86" s="3"/>
      <c r="EY86" s="3"/>
      <c r="EZ86" s="3"/>
      <c r="FA86" s="3"/>
      <c r="FB86" s="3"/>
      <c r="FC86" s="4"/>
      <c r="FD86" s="3"/>
      <c r="FE86" s="3"/>
      <c r="FF86" s="3"/>
      <c r="FG86" s="3"/>
      <c r="FH86" s="3"/>
      <c r="FI86" s="3"/>
      <c r="FJ86" s="4"/>
      <c r="FK86" s="3"/>
      <c r="FL86" s="3"/>
      <c r="FM86" s="3"/>
      <c r="FN86" s="3"/>
      <c r="FO86" s="3"/>
      <c r="FP86" s="3"/>
      <c r="FQ86" s="4"/>
      <c r="FR86" s="3"/>
      <c r="FS86" s="3"/>
      <c r="FT86" s="3"/>
      <c r="FU86" s="3"/>
      <c r="FV86" s="3"/>
      <c r="FW86" s="3"/>
      <c r="FX86" s="4"/>
      <c r="FY86" s="3"/>
      <c r="FZ86" s="3"/>
      <c r="GA86" s="3"/>
      <c r="GB86" s="3"/>
      <c r="GC86" s="3"/>
      <c r="GD86" s="3"/>
      <c r="GE86" s="4"/>
      <c r="GF86" s="3"/>
      <c r="GG86" s="3"/>
      <c r="GH86" s="3"/>
      <c r="GI86" s="3"/>
      <c r="GJ86" s="3"/>
      <c r="GK86" s="3"/>
      <c r="GL86" s="4"/>
      <c r="GM86" s="3"/>
      <c r="GN86" s="3"/>
      <c r="GO86" s="3"/>
      <c r="GP86" s="3"/>
      <c r="GQ86" s="3"/>
      <c r="GR86" s="3"/>
      <c r="GS86" s="4"/>
      <c r="GT86" s="3"/>
      <c r="GU86" s="3"/>
      <c r="GV86" s="3"/>
      <c r="GW86" s="3"/>
      <c r="GX86" s="3"/>
      <c r="GY86" s="3"/>
      <c r="GZ86" s="4"/>
      <c r="HA86" s="3"/>
      <c r="HB86" s="3"/>
      <c r="HC86" s="3"/>
      <c r="HD86" s="3"/>
      <c r="HE86" s="3"/>
      <c r="HF86" s="3"/>
      <c r="HG86" s="4"/>
      <c r="HH86" s="3"/>
      <c r="HI86" s="3"/>
      <c r="HJ86" s="3"/>
      <c r="HK86" s="3"/>
      <c r="HL86" s="3"/>
      <c r="HM86" s="3"/>
      <c r="HN86" s="4"/>
      <c r="HO86" s="3"/>
      <c r="HP86" s="3"/>
      <c r="HQ86" s="3"/>
      <c r="HR86" s="3"/>
      <c r="HS86" s="3"/>
      <c r="HT86" s="3"/>
      <c r="HU86" s="4"/>
      <c r="HV86" s="3"/>
      <c r="HW86" s="3"/>
      <c r="HX86" s="3"/>
      <c r="HY86" s="3"/>
      <c r="HZ86" s="3"/>
      <c r="IA86" s="3"/>
      <c r="IB86" s="4"/>
      <c r="IC86" s="3"/>
      <c r="ID86" s="3"/>
      <c r="IE86" s="3"/>
      <c r="IF86" s="3"/>
      <c r="IG86" s="3"/>
      <c r="IH86" s="3"/>
      <c r="II86" s="4"/>
      <c r="IJ86" s="3"/>
      <c r="IK86" s="3"/>
      <c r="IL86" s="3"/>
      <c r="IM86" s="3"/>
      <c r="IN86" s="3"/>
      <c r="IO86" s="3"/>
      <c r="IP86" s="4"/>
      <c r="IQ86" s="3"/>
      <c r="IR86" s="3"/>
      <c r="IS86" s="3"/>
      <c r="IT86" s="3"/>
      <c r="IU86" s="3"/>
      <c r="IV86" s="3"/>
      <c r="IW86" s="4"/>
      <c r="IX86" s="3"/>
      <c r="IY86" s="3"/>
      <c r="IZ86" s="3"/>
      <c r="JA86" s="3"/>
      <c r="JB86" s="3"/>
      <c r="JC86" s="3"/>
      <c r="JD86" s="4"/>
      <c r="JE86" s="3"/>
      <c r="JF86" s="3"/>
      <c r="JG86" s="3"/>
      <c r="JH86" s="3"/>
      <c r="JI86" s="3"/>
      <c r="JJ86" s="3"/>
      <c r="JK86" s="4"/>
      <c r="JL86" s="3"/>
      <c r="JM86" s="3"/>
      <c r="JN86" s="3"/>
      <c r="JO86" s="3"/>
      <c r="JP86" s="3"/>
      <c r="JQ86" s="3"/>
      <c r="JR86" s="4"/>
      <c r="JS86" s="3"/>
      <c r="JT86" s="3"/>
      <c r="JU86" s="3"/>
      <c r="JV86" s="3"/>
      <c r="JW86" s="3"/>
      <c r="JX86" s="3"/>
      <c r="JY86" s="4"/>
      <c r="JZ86" s="3"/>
      <c r="KA86" s="3"/>
      <c r="KB86" s="3"/>
      <c r="KC86" s="3"/>
      <c r="KD86" s="3"/>
      <c r="KE86" s="3"/>
      <c r="KF86" s="4"/>
      <c r="KG86" s="3"/>
      <c r="KH86" s="3"/>
      <c r="KI86" s="3"/>
      <c r="KJ86" s="3"/>
      <c r="KK86" s="3"/>
      <c r="KL86" s="3"/>
      <c r="KM86" s="4"/>
      <c r="KN86" s="3"/>
      <c r="KO86" s="3"/>
      <c r="KP86" s="3"/>
      <c r="KQ86" s="3"/>
      <c r="KR86" s="3"/>
      <c r="KS86" s="3"/>
      <c r="KT86" s="4"/>
      <c r="KU86" s="3"/>
      <c r="KV86" s="3"/>
      <c r="KW86" s="3"/>
      <c r="KX86" s="3"/>
      <c r="KY86" s="3"/>
      <c r="KZ86" s="3"/>
      <c r="LA86" s="4"/>
      <c r="LB86" s="3"/>
      <c r="LC86" s="3"/>
      <c r="LD86" s="3"/>
      <c r="LE86" s="3"/>
      <c r="LF86" s="3"/>
      <c r="LG86" s="3"/>
      <c r="LH86" s="4"/>
      <c r="LI86" s="3"/>
      <c r="LJ86" s="3"/>
      <c r="LK86" s="3"/>
      <c r="LL86" s="3"/>
      <c r="LM86" s="3"/>
      <c r="LN86" s="3"/>
      <c r="LO86" s="4"/>
      <c r="LP86" s="3"/>
      <c r="LQ86" s="3"/>
      <c r="LR86" s="3"/>
      <c r="LS86" s="3"/>
      <c r="LT86" s="3"/>
      <c r="LU86" s="3"/>
      <c r="LV86" s="4"/>
      <c r="LW86" s="3"/>
      <c r="LX86" s="3"/>
      <c r="LY86" s="3"/>
      <c r="LZ86" s="3"/>
      <c r="MA86" s="3"/>
      <c r="MB86" s="3"/>
      <c r="MC86" s="4"/>
      <c r="MD86" s="3"/>
      <c r="ME86" s="3"/>
      <c r="MF86" s="3"/>
      <c r="MG86" s="3"/>
      <c r="MH86" s="3"/>
      <c r="MI86" s="3"/>
      <c r="MJ86" s="4"/>
    </row>
    <row r="88" spans="1:348" x14ac:dyDescent="0.25">
      <c r="B88" t="s">
        <v>200</v>
      </c>
      <c r="C88" t="s">
        <v>201</v>
      </c>
      <c r="D88" t="s">
        <v>202</v>
      </c>
      <c r="E88" t="s">
        <v>203</v>
      </c>
      <c r="F88" t="s">
        <v>208</v>
      </c>
      <c r="G88" t="s">
        <v>204</v>
      </c>
      <c r="H88" t="s">
        <v>205</v>
      </c>
      <c r="I88" t="s">
        <v>48</v>
      </c>
      <c r="J88" t="s">
        <v>408</v>
      </c>
      <c r="K88" t="s">
        <v>206</v>
      </c>
      <c r="L88" t="s">
        <v>207</v>
      </c>
    </row>
    <row r="89" spans="1:348" ht="15" customHeight="1" x14ac:dyDescent="0.25">
      <c r="A89" t="s">
        <v>17</v>
      </c>
      <c r="B89" t="s">
        <v>145</v>
      </c>
      <c r="C89">
        <v>7</v>
      </c>
      <c r="D89">
        <v>26</v>
      </c>
      <c r="E89">
        <v>34</v>
      </c>
      <c r="F89">
        <v>1</v>
      </c>
      <c r="G89" t="s">
        <v>15</v>
      </c>
      <c r="H89" t="s">
        <v>13</v>
      </c>
      <c r="I89" t="s">
        <v>188</v>
      </c>
      <c r="J89" t="s">
        <v>189</v>
      </c>
      <c r="K89" t="s">
        <v>409</v>
      </c>
      <c r="L89" s="51" t="str">
        <f>FindEnd(S35:MJ35)</f>
        <v>EA</v>
      </c>
      <c r="N89" s="101"/>
      <c r="O89" s="102"/>
      <c r="P89" s="102"/>
      <c r="Q89" s="102"/>
      <c r="R89" s="103"/>
      <c r="S89" s="102"/>
      <c r="V89" s="34"/>
    </row>
    <row r="90" spans="1:348" x14ac:dyDescent="0.25">
      <c r="B90" t="s">
        <v>148</v>
      </c>
      <c r="C90">
        <v>43</v>
      </c>
      <c r="D90">
        <v>60</v>
      </c>
      <c r="E90">
        <v>64</v>
      </c>
      <c r="F90">
        <v>37</v>
      </c>
      <c r="G90" t="s">
        <v>15</v>
      </c>
      <c r="H90" t="s">
        <v>13</v>
      </c>
      <c r="I90" t="s">
        <v>188</v>
      </c>
      <c r="K90" t="s">
        <v>105</v>
      </c>
      <c r="L90" s="51" t="str">
        <f>FindEnd(S63:MJ63)</f>
        <v>EA</v>
      </c>
    </row>
    <row r="91" spans="1:348" x14ac:dyDescent="0.25">
      <c r="B91" t="s">
        <v>16</v>
      </c>
      <c r="C91">
        <v>70</v>
      </c>
      <c r="D91">
        <v>73</v>
      </c>
      <c r="E91">
        <v>76</v>
      </c>
      <c r="F91">
        <v>65</v>
      </c>
      <c r="G91" t="s">
        <v>15</v>
      </c>
      <c r="H91" t="s">
        <v>13</v>
      </c>
      <c r="I91" t="s">
        <v>188</v>
      </c>
      <c r="K91" t="s">
        <v>105</v>
      </c>
      <c r="L91" s="51" t="str">
        <f>FindEnd(S75:MJ75)</f>
        <v>EA</v>
      </c>
    </row>
    <row r="92" spans="1:348" x14ac:dyDescent="0.25">
      <c r="F92" s="106" t="s">
        <v>404</v>
      </c>
      <c r="K92" s="51"/>
    </row>
    <row r="93" spans="1:348" x14ac:dyDescent="0.25">
      <c r="K93" s="51"/>
    </row>
    <row r="94" spans="1:348" x14ac:dyDescent="0.25">
      <c r="K94" s="51"/>
    </row>
    <row r="95" spans="1:348" x14ac:dyDescent="0.25">
      <c r="K95" s="51"/>
    </row>
    <row r="96" spans="1:348" x14ac:dyDescent="0.25">
      <c r="A96" s="138" t="s">
        <v>109</v>
      </c>
      <c r="B96" s="138" t="s">
        <v>112</v>
      </c>
      <c r="C96" s="138"/>
      <c r="D96" s="139">
        <v>40099</v>
      </c>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sheetData>
  <dataConsolidate/>
  <mergeCells count="12">
    <mergeCell ref="A66:E67"/>
    <mergeCell ref="P66:P67"/>
    <mergeCell ref="R66:R67"/>
    <mergeCell ref="R2:R3"/>
    <mergeCell ref="A2:E3"/>
    <mergeCell ref="P2:P3"/>
    <mergeCell ref="A38:E39"/>
    <mergeCell ref="P38:P39"/>
    <mergeCell ref="R38:R39"/>
    <mergeCell ref="Q2:Q3"/>
    <mergeCell ref="Q38:Q39"/>
    <mergeCell ref="Q66:Q67"/>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9 DQ12:DR12 DR8:DR9 DQ17:DR19 DR13:DR16 DR20:DR26 DQ11 DR11 DQ10:DR10 DZ7:EA26" numberStoredAsText="1"/>
    <ignoredError sqref="P29:P30 Q7 CZ34 Q34 EA34" formula="1"/>
    <ignoredError sqref="AI64:CV64 CY67 DZ64:MJ64 AI76:CV79 AI75:BL75 BN75:CV75 AI81:CV85 AI80:CR80 CT80 AI86:CR86 CT86 CY68:DF79 DA67:DF67 CY64:DF64 CY81:DF85 CY80:DA80 DC80:DD80 CY86:DA86 DC86:DD86 DI67:DO79 DI64:DO64 DZ68:MJ86 EB65:MJ65 EB66:MJ66 DS66:DW66 DS65:DW65 DR67:DS67 DR64:DW64 DI81:DO85 DI80:DJ80 DL80 DF80 DF86 DI86:DJ86 DL86 DO80 DO86 AI67:CV74 AI65:BY65 AI66:BY66 DR74:DU74 DR72:DS72 DU72 DR69:DW69 DR68:DS68 DU68 DU67 DR71:DW71 DR70:DS70 DU70 DR73:DT73 DR76:DW79 DR75:DS75 DU75 DR81:DW83 DR80:DS80 DU80 DR85:DW85 DR84:DS84 DU84:DW84 DR86:DS86 DU86 DZ67:EB67 ED67 EG67:MJ67 DW7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88</xdr:row>
                    <xdr:rowOff>28575</xdr:rowOff>
                  </from>
                  <to>
                    <xdr:col>0</xdr:col>
                    <xdr:colOff>676275</xdr:colOff>
                    <xdr:row>90</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92</xdr:row>
                    <xdr:rowOff>28575</xdr:rowOff>
                  </from>
                  <to>
                    <xdr:col>9</xdr:col>
                    <xdr:colOff>47625</xdr:colOff>
                    <xdr:row>93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workbookViewId="0">
      <selection activeCell="B11" sqref="B11"/>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2"/>
      <c r="B9" s="73"/>
      <c r="C9" s="74"/>
      <c r="D9" s="73"/>
    </row>
    <row r="10" spans="1:4" x14ac:dyDescent="0.25">
      <c r="A10" s="75">
        <v>44071</v>
      </c>
      <c r="B10" s="74" t="s">
        <v>458</v>
      </c>
      <c r="C10" s="74"/>
      <c r="D10" s="74" t="s">
        <v>459</v>
      </c>
    </row>
    <row r="11" spans="1:4" ht="105" x14ac:dyDescent="0.25">
      <c r="A11" s="72"/>
      <c r="B11" s="76" t="s">
        <v>461</v>
      </c>
      <c r="C11" s="74"/>
      <c r="D11" s="76" t="s">
        <v>460</v>
      </c>
    </row>
    <row r="12" spans="1:4" x14ac:dyDescent="0.25">
      <c r="A12" s="75">
        <v>44070</v>
      </c>
      <c r="B12" s="74" t="s">
        <v>454</v>
      </c>
      <c r="C12" s="74"/>
      <c r="D12" s="74" t="s">
        <v>455</v>
      </c>
    </row>
    <row r="13" spans="1:4" ht="90" x14ac:dyDescent="0.25">
      <c r="A13" s="72"/>
      <c r="B13" s="76" t="s">
        <v>456</v>
      </c>
      <c r="C13" s="74"/>
      <c r="D13" s="76" t="s">
        <v>457</v>
      </c>
    </row>
    <row r="14" spans="1:4" x14ac:dyDescent="0.25">
      <c r="A14" s="75">
        <v>44068</v>
      </c>
      <c r="B14" s="74" t="s">
        <v>450</v>
      </c>
      <c r="C14" s="74"/>
      <c r="D14" s="74" t="s">
        <v>451</v>
      </c>
    </row>
    <row r="15" spans="1:4" ht="75" x14ac:dyDescent="0.25">
      <c r="A15" s="72"/>
      <c r="B15" s="76" t="s">
        <v>452</v>
      </c>
      <c r="C15" s="74"/>
      <c r="D15" s="76" t="s">
        <v>453</v>
      </c>
    </row>
    <row r="16" spans="1:4" x14ac:dyDescent="0.25">
      <c r="A16" s="72"/>
      <c r="B16" s="73"/>
      <c r="C16" s="74"/>
      <c r="D16" s="73"/>
    </row>
    <row r="17" spans="1:4" x14ac:dyDescent="0.25">
      <c r="A17" s="75">
        <v>44066</v>
      </c>
      <c r="B17" s="74" t="s">
        <v>446</v>
      </c>
      <c r="C17" s="74"/>
      <c r="D17" s="73"/>
    </row>
    <row r="18" spans="1:4" ht="60" x14ac:dyDescent="0.25">
      <c r="A18" s="72"/>
      <c r="B18" s="76" t="s">
        <v>447</v>
      </c>
      <c r="C18" s="74"/>
      <c r="D18" s="73"/>
    </row>
    <row r="19" spans="1:4" x14ac:dyDescent="0.25">
      <c r="A19" s="75">
        <v>44064</v>
      </c>
      <c r="B19" s="74" t="s">
        <v>442</v>
      </c>
      <c r="C19" s="74"/>
      <c r="D19" s="73"/>
    </row>
    <row r="20" spans="1:4" ht="90" x14ac:dyDescent="0.25">
      <c r="A20" s="72"/>
      <c r="B20" s="76" t="s">
        <v>443</v>
      </c>
      <c r="C20" s="74"/>
      <c r="D20" s="73"/>
    </row>
    <row r="21" spans="1:4" x14ac:dyDescent="0.25">
      <c r="A21" s="75">
        <v>44063</v>
      </c>
      <c r="B21" s="74" t="s">
        <v>440</v>
      </c>
      <c r="C21" s="74"/>
      <c r="D21" s="73"/>
    </row>
    <row r="22" spans="1:4" ht="75" x14ac:dyDescent="0.25">
      <c r="A22" s="72"/>
      <c r="B22" s="76" t="s">
        <v>441</v>
      </c>
      <c r="C22" s="74"/>
      <c r="D22" s="73"/>
    </row>
    <row r="23" spans="1:4" x14ac:dyDescent="0.25">
      <c r="A23" s="75">
        <v>44061</v>
      </c>
      <c r="B23" s="74" t="s">
        <v>435</v>
      </c>
      <c r="C23" s="74"/>
      <c r="D23" s="73"/>
    </row>
    <row r="24" spans="1:4" ht="120" x14ac:dyDescent="0.25">
      <c r="A24" s="72"/>
      <c r="B24" s="76" t="s">
        <v>436</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422</v>
      </c>
      <c r="C27" s="74"/>
      <c r="D27" s="73"/>
    </row>
    <row r="28" spans="1:4" x14ac:dyDescent="0.25">
      <c r="A28" s="75">
        <v>44057</v>
      </c>
      <c r="B28" s="74" t="s">
        <v>425</v>
      </c>
      <c r="C28" s="74"/>
      <c r="D28" s="73"/>
    </row>
    <row r="29" spans="1:4" ht="60" x14ac:dyDescent="0.25">
      <c r="A29" s="72"/>
      <c r="B29" s="76" t="s">
        <v>420</v>
      </c>
      <c r="C29" s="74"/>
      <c r="D29" s="73"/>
    </row>
    <row r="30" spans="1:4" x14ac:dyDescent="0.25">
      <c r="A30" s="75">
        <v>44056</v>
      </c>
      <c r="B30" s="74" t="s">
        <v>418</v>
      </c>
      <c r="C30" s="74"/>
      <c r="D30" s="73"/>
    </row>
    <row r="31" spans="1:4" x14ac:dyDescent="0.25">
      <c r="A31" s="72"/>
      <c r="B31" s="73" t="s">
        <v>419</v>
      </c>
      <c r="C31" s="74"/>
      <c r="D31" s="73"/>
    </row>
    <row r="32" spans="1:4" x14ac:dyDescent="0.25">
      <c r="A32" s="75">
        <v>44054</v>
      </c>
      <c r="B32" s="74" t="s">
        <v>416</v>
      </c>
      <c r="C32" s="74"/>
      <c r="D32" s="73"/>
    </row>
    <row r="33" spans="1:4" ht="75" x14ac:dyDescent="0.25">
      <c r="A33" s="72"/>
      <c r="B33" s="76" t="s">
        <v>417</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411</v>
      </c>
      <c r="C36" s="74"/>
      <c r="D36" s="73"/>
    </row>
    <row r="37" spans="1:4" x14ac:dyDescent="0.25">
      <c r="A37" s="75">
        <v>44050</v>
      </c>
      <c r="B37" s="74" t="s">
        <v>398</v>
      </c>
      <c r="C37" s="74"/>
      <c r="D37" s="73"/>
    </row>
    <row r="38" spans="1:4" ht="90" x14ac:dyDescent="0.25">
      <c r="A38" s="72"/>
      <c r="B38" s="76" t="s">
        <v>401</v>
      </c>
      <c r="C38" s="74"/>
      <c r="D38" s="73"/>
    </row>
    <row r="39" spans="1:4" x14ac:dyDescent="0.25">
      <c r="A39" s="75">
        <v>44049</v>
      </c>
      <c r="B39" s="74" t="s">
        <v>403</v>
      </c>
      <c r="C39" s="74"/>
      <c r="D39" s="73"/>
    </row>
    <row r="40" spans="1:4" ht="75" x14ac:dyDescent="0.25">
      <c r="A40" s="72"/>
      <c r="B40" s="76" t="s">
        <v>402</v>
      </c>
      <c r="C40" s="74"/>
      <c r="D40" s="73"/>
    </row>
    <row r="41" spans="1:4" x14ac:dyDescent="0.25">
      <c r="A41" s="75">
        <v>44047</v>
      </c>
      <c r="B41" s="74" t="s">
        <v>398</v>
      </c>
      <c r="C41" s="74"/>
      <c r="D41" s="73"/>
    </row>
    <row r="42" spans="1:4" ht="90" x14ac:dyDescent="0.25">
      <c r="A42" s="72"/>
      <c r="B42" s="76" t="s">
        <v>399</v>
      </c>
      <c r="C42" s="74"/>
      <c r="D42" s="73"/>
    </row>
    <row r="43" spans="1:4" x14ac:dyDescent="0.25">
      <c r="A43" s="72"/>
      <c r="B43" s="73"/>
      <c r="C43" s="74"/>
      <c r="D43" s="73"/>
    </row>
    <row r="44" spans="1:4" x14ac:dyDescent="0.25">
      <c r="A44" s="75">
        <v>44045</v>
      </c>
      <c r="B44" s="74" t="s">
        <v>396</v>
      </c>
      <c r="C44" s="74"/>
      <c r="D44" s="73"/>
    </row>
    <row r="45" spans="1:4" ht="60" x14ac:dyDescent="0.25">
      <c r="A45" s="72"/>
      <c r="B45" s="76" t="s">
        <v>397</v>
      </c>
      <c r="C45" s="74"/>
      <c r="D45" s="73"/>
    </row>
    <row r="46" spans="1:4" x14ac:dyDescent="0.25">
      <c r="A46" s="75">
        <v>44042</v>
      </c>
      <c r="B46" s="74" t="s">
        <v>392</v>
      </c>
      <c r="C46" s="74"/>
      <c r="D46" s="73"/>
    </row>
    <row r="47" spans="1:4" ht="45" x14ac:dyDescent="0.25">
      <c r="A47" s="72"/>
      <c r="B47" s="76" t="s">
        <v>391</v>
      </c>
      <c r="C47" s="74"/>
      <c r="D47" s="73"/>
    </row>
    <row r="48" spans="1:4" x14ac:dyDescent="0.25">
      <c r="A48" s="72"/>
      <c r="B48" s="73"/>
      <c r="C48" s="74"/>
      <c r="D48" s="73"/>
    </row>
    <row r="49" spans="1:4" x14ac:dyDescent="0.25">
      <c r="A49" s="75">
        <v>44038</v>
      </c>
      <c r="B49" s="74" t="s">
        <v>387</v>
      </c>
      <c r="C49" s="74"/>
      <c r="D49" s="73"/>
    </row>
    <row r="50" spans="1:4" ht="60" x14ac:dyDescent="0.25">
      <c r="A50" s="72"/>
      <c r="B50" s="76" t="s">
        <v>388</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7" t="s">
        <v>341</v>
      </c>
      <c r="B1" s="157"/>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7" t="s">
        <v>342</v>
      </c>
      <c r="B7" s="157"/>
    </row>
    <row r="8" spans="1:2" ht="15.75" x14ac:dyDescent="0.25">
      <c r="A8" s="155" t="s">
        <v>333</v>
      </c>
      <c r="B8" s="155"/>
    </row>
    <row r="9" spans="1:2" x14ac:dyDescent="0.25">
      <c r="A9" t="s">
        <v>334</v>
      </c>
    </row>
    <row r="11" spans="1:2" ht="15.75" x14ac:dyDescent="0.25">
      <c r="A11" s="156" t="s">
        <v>330</v>
      </c>
      <c r="B11" s="156"/>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4" t="s">
        <v>343</v>
      </c>
      <c r="B23" s="154"/>
    </row>
    <row r="25" spans="1:2" ht="15.75" x14ac:dyDescent="0.25">
      <c r="A25" s="155" t="s">
        <v>335</v>
      </c>
      <c r="B25" s="155"/>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8" t="s">
        <v>298</v>
      </c>
      <c r="C5" s="161"/>
      <c r="D5" s="161"/>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row>
    <row r="6" spans="1:70" x14ac:dyDescent="0.25">
      <c r="C6" s="2" t="s">
        <v>3</v>
      </c>
    </row>
    <row r="7" spans="1:70" ht="45" customHeight="1" x14ac:dyDescent="0.25">
      <c r="C7" s="158" t="s">
        <v>282</v>
      </c>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row>
    <row r="8" spans="1:70" x14ac:dyDescent="0.25">
      <c r="C8" s="2" t="s">
        <v>4</v>
      </c>
    </row>
    <row r="9" spans="1:70" ht="75" customHeight="1" x14ac:dyDescent="0.25">
      <c r="C9" s="158" t="s">
        <v>275</v>
      </c>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row>
    <row r="10" spans="1:70" x14ac:dyDescent="0.25">
      <c r="C10" s="2" t="s">
        <v>5</v>
      </c>
    </row>
    <row r="11" spans="1:70" ht="75" customHeight="1" x14ac:dyDescent="0.25">
      <c r="C11" s="158" t="s">
        <v>299</v>
      </c>
      <c r="D11" s="161"/>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row>
    <row r="12" spans="1:70" x14ac:dyDescent="0.25">
      <c r="C12" s="2" t="s">
        <v>6</v>
      </c>
    </row>
    <row r="13" spans="1:70" ht="90.75" customHeight="1" x14ac:dyDescent="0.25">
      <c r="C13" s="158" t="s">
        <v>286</v>
      </c>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row>
    <row r="14" spans="1:70" x14ac:dyDescent="0.25">
      <c r="D14" s="2" t="s">
        <v>285</v>
      </c>
    </row>
    <row r="15" spans="1:70" ht="62.25" customHeight="1" x14ac:dyDescent="0.25">
      <c r="D15" s="158" t="s">
        <v>288</v>
      </c>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row>
    <row r="16" spans="1:70" x14ac:dyDescent="0.25">
      <c r="D16" s="2" t="s">
        <v>196</v>
      </c>
    </row>
    <row r="17" spans="1:70" ht="47.25" customHeight="1" x14ac:dyDescent="0.25">
      <c r="D17" s="158" t="s">
        <v>268</v>
      </c>
      <c r="E17" s="158"/>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row>
    <row r="18" spans="1:70" ht="15.75" customHeight="1" x14ac:dyDescent="0.25">
      <c r="D18" s="160" t="s">
        <v>267</v>
      </c>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0"/>
      <c r="AC18" s="160"/>
      <c r="AD18" s="160"/>
      <c r="AE18" s="160"/>
      <c r="AF18" s="160"/>
      <c r="AG18" s="160"/>
      <c r="AH18" s="160"/>
      <c r="AI18" s="160"/>
      <c r="AJ18" s="160"/>
      <c r="AK18" s="160"/>
      <c r="AL18" s="160"/>
      <c r="AM18" s="160"/>
      <c r="AN18" s="160"/>
      <c r="AO18" s="160"/>
      <c r="AP18" s="160"/>
      <c r="AQ18" s="160"/>
      <c r="AR18" s="160"/>
      <c r="AS18" s="160"/>
      <c r="AT18" s="160"/>
      <c r="AU18" s="160"/>
      <c r="AV18" s="160"/>
      <c r="AW18" s="160"/>
      <c r="AX18" s="160"/>
      <c r="AY18" s="160"/>
      <c r="AZ18" s="160"/>
      <c r="BA18" s="160"/>
      <c r="BB18" s="160"/>
      <c r="BC18" s="160"/>
      <c r="BD18" s="160"/>
      <c r="BE18" s="160"/>
      <c r="BF18" s="160"/>
      <c r="BG18" s="160"/>
      <c r="BH18" s="160"/>
      <c r="BI18" s="160"/>
      <c r="BJ18" s="160"/>
      <c r="BK18" s="160"/>
      <c r="BL18" s="160"/>
      <c r="BM18" s="160"/>
      <c r="BN18" s="160"/>
      <c r="BO18" s="160"/>
      <c r="BP18" s="160"/>
      <c r="BQ18" s="160"/>
      <c r="BR18" s="160"/>
    </row>
    <row r="19" spans="1:70" ht="45.75" customHeight="1" x14ac:dyDescent="0.25">
      <c r="D19" s="158" t="s">
        <v>276</v>
      </c>
      <c r="E19" s="158"/>
      <c r="F19" s="158"/>
      <c r="G19" s="158"/>
      <c r="H19" s="158"/>
      <c r="I19" s="158"/>
      <c r="J19" s="158"/>
      <c r="K19" s="158"/>
      <c r="L19" s="158"/>
      <c r="M19" s="158"/>
      <c r="N19" s="158"/>
      <c r="O19" s="158"/>
      <c r="P19" s="158"/>
      <c r="Q19" s="158"/>
      <c r="R19" s="158"/>
      <c r="S19" s="158"/>
      <c r="T19" s="158"/>
      <c r="U19" s="158"/>
      <c r="V19" s="158"/>
      <c r="W19" s="158"/>
      <c r="X19" s="158"/>
      <c r="Y19" s="158"/>
      <c r="Z19" s="158"/>
      <c r="AA19" s="158"/>
      <c r="AB19" s="158"/>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row>
    <row r="20" spans="1:70" ht="15.75" customHeight="1" x14ac:dyDescent="0.25">
      <c r="D20" s="160" t="s">
        <v>284</v>
      </c>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c r="AG20" s="160"/>
      <c r="AH20" s="160"/>
      <c r="AI20" s="160"/>
      <c r="AJ20" s="160"/>
      <c r="AK20" s="160"/>
      <c r="AL20" s="160"/>
      <c r="AM20" s="160"/>
      <c r="AN20" s="160"/>
      <c r="AO20" s="160"/>
      <c r="AP20" s="160"/>
      <c r="AQ20" s="160"/>
      <c r="AR20" s="160"/>
      <c r="AS20" s="160"/>
      <c r="AT20" s="160"/>
      <c r="AU20" s="160"/>
      <c r="AV20" s="160"/>
      <c r="AW20" s="160"/>
      <c r="AX20" s="160"/>
      <c r="AY20" s="160"/>
      <c r="AZ20" s="160"/>
      <c r="BA20" s="160"/>
      <c r="BB20" s="160"/>
      <c r="BC20" s="160"/>
      <c r="BD20" s="160"/>
      <c r="BE20" s="160"/>
      <c r="BF20" s="160"/>
      <c r="BG20" s="160"/>
      <c r="BH20" s="160"/>
      <c r="BI20" s="160"/>
      <c r="BJ20" s="160"/>
      <c r="BK20" s="160"/>
      <c r="BL20" s="160"/>
      <c r="BM20" s="160"/>
      <c r="BN20" s="160"/>
      <c r="BO20" s="160"/>
      <c r="BP20" s="160"/>
      <c r="BQ20" s="160"/>
      <c r="BR20" s="160"/>
    </row>
    <row r="21" spans="1:70" ht="44.25" customHeight="1" x14ac:dyDescent="0.25">
      <c r="D21" s="158" t="s">
        <v>277</v>
      </c>
      <c r="E21" s="158"/>
      <c r="F21" s="158"/>
      <c r="G21" s="158"/>
      <c r="H21" s="158"/>
      <c r="I21" s="158"/>
      <c r="J21" s="158"/>
      <c r="K21" s="158"/>
      <c r="L21" s="158"/>
      <c r="M21" s="158"/>
      <c r="N21" s="158"/>
      <c r="O21" s="158"/>
      <c r="P21" s="158"/>
      <c r="Q21" s="158"/>
      <c r="R21" s="158"/>
      <c r="S21" s="158"/>
      <c r="T21" s="158"/>
      <c r="U21" s="158"/>
      <c r="V21" s="158"/>
      <c r="W21" s="158"/>
      <c r="X21" s="158"/>
      <c r="Y21" s="158"/>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row>
    <row r="22" spans="1:70" x14ac:dyDescent="0.25">
      <c r="B22" s="2" t="s">
        <v>192</v>
      </c>
      <c r="C22" s="2"/>
    </row>
    <row r="23" spans="1:70" ht="69.75" customHeight="1" x14ac:dyDescent="0.25">
      <c r="B23" s="158" t="s">
        <v>269</v>
      </c>
      <c r="C23" s="158"/>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row>
    <row r="24" spans="1:70" x14ac:dyDescent="0.25">
      <c r="C24" s="2" t="s">
        <v>193</v>
      </c>
    </row>
    <row r="25" spans="1:70" ht="204.75" customHeight="1" x14ac:dyDescent="0.25">
      <c r="C25" s="159" t="s">
        <v>211</v>
      </c>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row>
    <row r="26" spans="1:70" x14ac:dyDescent="0.25">
      <c r="C26" s="2" t="s">
        <v>194</v>
      </c>
    </row>
    <row r="27" spans="1:70" ht="244.5" customHeight="1" x14ac:dyDescent="0.25">
      <c r="A27" s="1"/>
      <c r="C27" s="159" t="s">
        <v>195</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row>
    <row r="28" spans="1:70" x14ac:dyDescent="0.25">
      <c r="B28" s="2" t="s">
        <v>270</v>
      </c>
      <c r="C28" s="43"/>
    </row>
    <row r="29" spans="1:70" ht="75" customHeight="1" x14ac:dyDescent="0.25">
      <c r="A29" s="1"/>
      <c r="B29" s="158" t="s">
        <v>281</v>
      </c>
      <c r="C29" s="158"/>
      <c r="D29" s="158"/>
      <c r="E29" s="158"/>
      <c r="F29" s="158"/>
      <c r="G29" s="158"/>
      <c r="H29" s="158"/>
      <c r="I29" s="158"/>
      <c r="J29" s="158"/>
      <c r="K29" s="158"/>
      <c r="L29" s="158"/>
      <c r="M29" s="158"/>
      <c r="N29" s="158"/>
      <c r="O29" s="158"/>
      <c r="P29" s="158"/>
      <c r="Q29" s="158"/>
      <c r="R29" s="158"/>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row>
    <row r="30" spans="1:70" x14ac:dyDescent="0.25">
      <c r="C30" s="2" t="s">
        <v>274</v>
      </c>
    </row>
    <row r="31" spans="1:70" ht="46.5" customHeight="1" x14ac:dyDescent="0.25">
      <c r="A31" s="1"/>
      <c r="C31" s="159" t="s">
        <v>280</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row>
    <row r="32" spans="1:70" ht="15.75" customHeight="1" x14ac:dyDescent="0.25">
      <c r="C32" s="160" t="s">
        <v>271</v>
      </c>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c r="BH32" s="160"/>
      <c r="BI32" s="160"/>
      <c r="BJ32" s="160"/>
      <c r="BK32" s="160"/>
      <c r="BL32" s="160"/>
      <c r="BM32" s="160"/>
      <c r="BN32" s="160"/>
      <c r="BO32" s="160"/>
      <c r="BP32" s="160"/>
      <c r="BQ32" s="160"/>
      <c r="BR32" s="160"/>
    </row>
    <row r="33" spans="1:70" ht="120" customHeight="1" x14ac:dyDescent="0.25">
      <c r="A33" s="43"/>
      <c r="C33" s="158" t="s">
        <v>273</v>
      </c>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c r="BF33" s="158"/>
      <c r="BG33" s="158"/>
      <c r="BH33" s="158"/>
      <c r="BI33" s="158"/>
      <c r="BJ33" s="158"/>
      <c r="BK33" s="158"/>
      <c r="BL33" s="158"/>
      <c r="BM33" s="158"/>
      <c r="BN33" s="158"/>
      <c r="BO33" s="158"/>
      <c r="BP33" s="158"/>
      <c r="BQ33" s="158"/>
      <c r="BR33" s="158"/>
    </row>
    <row r="34" spans="1:70" ht="15.75" customHeight="1" x14ac:dyDescent="0.25">
      <c r="C34" s="160" t="s">
        <v>272</v>
      </c>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60"/>
      <c r="BF34" s="160"/>
      <c r="BG34" s="160"/>
      <c r="BH34" s="160"/>
      <c r="BI34" s="160"/>
      <c r="BJ34" s="160"/>
      <c r="BK34" s="160"/>
      <c r="BL34" s="160"/>
      <c r="BM34" s="160"/>
      <c r="BN34" s="160"/>
      <c r="BO34" s="160"/>
      <c r="BP34" s="160"/>
      <c r="BQ34" s="160"/>
      <c r="BR34" s="160"/>
    </row>
    <row r="35" spans="1:70" ht="47.25" customHeight="1" x14ac:dyDescent="0.25">
      <c r="C35" s="159" t="s">
        <v>279</v>
      </c>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row>
    <row r="36" spans="1:70" x14ac:dyDescent="0.25">
      <c r="B36" s="2" t="s">
        <v>2</v>
      </c>
    </row>
    <row r="37" spans="1:70" x14ac:dyDescent="0.25">
      <c r="B37" s="161" t="s">
        <v>12</v>
      </c>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row>
    <row r="38" spans="1:70" x14ac:dyDescent="0.25">
      <c r="C38" s="2" t="s">
        <v>7</v>
      </c>
    </row>
    <row r="39" spans="1:70" ht="45.75" customHeight="1" x14ac:dyDescent="0.25">
      <c r="C39" s="158" t="s">
        <v>8</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c r="BJ39" s="158"/>
      <c r="BK39" s="158"/>
      <c r="BL39" s="158"/>
      <c r="BM39" s="158"/>
      <c r="BN39" s="158"/>
      <c r="BO39" s="158"/>
      <c r="BP39" s="158"/>
      <c r="BQ39" s="158"/>
      <c r="BR39" s="158"/>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2020-08-30T00:18:05Z</dcterms:modified>
</cp:coreProperties>
</file>