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9CB363DF-0E33-4500-A107-38074A441C0B}" xr6:coauthVersionLast="45" xr6:coauthVersionMax="45" xr10:uidLastSave="{00000000-0000-0000-0000-000000000000}"/>
  <bookViews>
    <workbookView xWindow="-120" yWindow="-120" windowWidth="29040" windowHeight="16440" activeTab="1" xr2:uid="{C02B7525-F58C-4FF6-BB5A-AEA42BBECA1C}"/>
  </bookViews>
  <sheets>
    <sheet name="Anwesend 21" sheetId="10" r:id="rId1"/>
    <sheet name="Tagebuch 21" sheetId="11" r:id="rId2"/>
    <sheet name="Tabelle1" sheetId="12" r:id="rId3"/>
    <sheet name="Individuelle Hinweise" sheetId="5" r:id="rId4"/>
    <sheet name="Neustart 20-21" sheetId="9" r:id="rId5"/>
    <sheet name="Anwesend" sheetId="3" r:id="rId6"/>
    <sheet name="Tagebuch" sheetId="4" r:id="rId7"/>
    <sheet name="Todos" sheetId="8" r:id="rId8"/>
    <sheet name="Trainingsplan" sheetId="7" r:id="rId9"/>
    <sheet name="HerzHirn__" sheetId="6" r:id="rId10"/>
    <sheet name="HerzHirn_alt" sheetId="1" r:id="rId11"/>
  </sheets>
  <functionGroups builtInGroupCount="19"/>
  <definedNames>
    <definedName name="Export">Anwesend!$B$96:$L$98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21" i="10" l="1"/>
  <c r="E21" i="10"/>
  <c r="I21" i="10"/>
  <c r="AL23" i="10" l="1"/>
  <c r="B19" i="12" l="1"/>
  <c r="C46" i="10" l="1"/>
  <c r="D46" i="10" s="1"/>
  <c r="E46" i="10" s="1"/>
  <c r="F46" i="10" s="1"/>
  <c r="G46" i="10" s="1"/>
  <c r="H46" i="10" s="1"/>
  <c r="I46" i="10" s="1"/>
  <c r="J46" i="10" s="1"/>
  <c r="K46" i="10" s="1"/>
  <c r="L46" i="10" s="1"/>
  <c r="M46" i="10" s="1"/>
  <c r="N46" i="10" s="1"/>
  <c r="C37" i="10"/>
  <c r="I24" i="10" l="1"/>
  <c r="I23" i="10"/>
  <c r="JG24" i="10" l="1"/>
  <c r="JF24" i="10"/>
  <c r="JE24" i="10"/>
  <c r="JD24" i="10"/>
  <c r="JC24" i="10"/>
  <c r="JB24" i="10"/>
  <c r="JA24" i="10"/>
  <c r="IZ24" i="10"/>
  <c r="IY24" i="10"/>
  <c r="IX24" i="10"/>
  <c r="IW24" i="10"/>
  <c r="IV24" i="10"/>
  <c r="IU24" i="10"/>
  <c r="IT24" i="10"/>
  <c r="IS24" i="10"/>
  <c r="IR24" i="10"/>
  <c r="IQ24" i="10"/>
  <c r="IP24" i="10"/>
  <c r="IO24" i="10"/>
  <c r="IN24" i="10"/>
  <c r="IM24" i="10"/>
  <c r="IL24" i="10"/>
  <c r="IK24" i="10"/>
  <c r="IJ24" i="10"/>
  <c r="II24" i="10"/>
  <c r="IH24" i="10"/>
  <c r="IG24" i="10"/>
  <c r="IF24" i="10"/>
  <c r="IE24" i="10"/>
  <c r="ID24" i="10"/>
  <c r="IC24" i="10"/>
  <c r="IB24" i="10"/>
  <c r="IA24" i="10"/>
  <c r="HZ24" i="10"/>
  <c r="HY24" i="10"/>
  <c r="HX24" i="10"/>
  <c r="HW24" i="10"/>
  <c r="HV24" i="10"/>
  <c r="HU24" i="10"/>
  <c r="HT24" i="10"/>
  <c r="HS24" i="10"/>
  <c r="HR24" i="10"/>
  <c r="HQ24" i="10"/>
  <c r="HP24" i="10"/>
  <c r="HO24" i="10"/>
  <c r="HN24" i="10"/>
  <c r="HM24" i="10"/>
  <c r="HL24" i="10"/>
  <c r="HK24" i="10"/>
  <c r="HJ24" i="10"/>
  <c r="HI24" i="10"/>
  <c r="HH24" i="10"/>
  <c r="HG24" i="10"/>
  <c r="HF24" i="10"/>
  <c r="HE24" i="10"/>
  <c r="HD24" i="10"/>
  <c r="HC24" i="10"/>
  <c r="HB24" i="10"/>
  <c r="HA24" i="10"/>
  <c r="GZ24" i="10"/>
  <c r="GY24" i="10"/>
  <c r="GX24" i="10"/>
  <c r="GW24" i="10"/>
  <c r="GV24" i="10"/>
  <c r="GU24" i="10"/>
  <c r="GT24" i="10"/>
  <c r="GS24" i="10"/>
  <c r="GR24" i="10"/>
  <c r="GQ24" i="10"/>
  <c r="GP24" i="10"/>
  <c r="GO24" i="10"/>
  <c r="GN24" i="10"/>
  <c r="GM24" i="10"/>
  <c r="GL24" i="10"/>
  <c r="GK24" i="10"/>
  <c r="GJ24" i="10"/>
  <c r="GI24" i="10"/>
  <c r="GH24" i="10"/>
  <c r="GG24" i="10"/>
  <c r="GF24" i="10"/>
  <c r="GE24" i="10"/>
  <c r="GD24" i="10"/>
  <c r="GC24" i="10"/>
  <c r="GB24" i="10"/>
  <c r="GA24" i="10"/>
  <c r="FZ24" i="10"/>
  <c r="FY24" i="10"/>
  <c r="FX24" i="10"/>
  <c r="FW24" i="10"/>
  <c r="FV24" i="10"/>
  <c r="FU24" i="10"/>
  <c r="FT24" i="10"/>
  <c r="FS24" i="10"/>
  <c r="FR24" i="10"/>
  <c r="FQ24" i="10"/>
  <c r="FP24" i="10"/>
  <c r="FO24" i="10"/>
  <c r="FN24" i="10"/>
  <c r="FM24" i="10"/>
  <c r="FL24" i="10"/>
  <c r="FK24" i="10"/>
  <c r="FJ24" i="10"/>
  <c r="FI24" i="10"/>
  <c r="FH24" i="10"/>
  <c r="FG24" i="10"/>
  <c r="FF24" i="10"/>
  <c r="FE24" i="10"/>
  <c r="FD24" i="10"/>
  <c r="FC24" i="10"/>
  <c r="FB24" i="10"/>
  <c r="FA24" i="10"/>
  <c r="EZ24" i="10"/>
  <c r="EY24" i="10"/>
  <c r="EX24" i="10"/>
  <c r="EW24" i="10"/>
  <c r="EV24" i="10"/>
  <c r="EU24" i="10"/>
  <c r="ET24" i="10"/>
  <c r="ES24" i="10"/>
  <c r="ER24" i="10"/>
  <c r="EQ24" i="10"/>
  <c r="EP24" i="10"/>
  <c r="EO24" i="10"/>
  <c r="EN24" i="10"/>
  <c r="EM24" i="10"/>
  <c r="EL24" i="10"/>
  <c r="JG23" i="10"/>
  <c r="JF23" i="10"/>
  <c r="JE23" i="10"/>
  <c r="JD23" i="10"/>
  <c r="JC23" i="10"/>
  <c r="JB23" i="10"/>
  <c r="JA23" i="10"/>
  <c r="IZ23" i="10"/>
  <c r="IY23" i="10"/>
  <c r="IX23" i="10"/>
  <c r="IW23" i="10"/>
  <c r="IV23" i="10"/>
  <c r="IU23" i="10"/>
  <c r="IT23" i="10"/>
  <c r="IS23" i="10"/>
  <c r="IR23" i="10"/>
  <c r="IQ23" i="10"/>
  <c r="IP23" i="10"/>
  <c r="IO23" i="10"/>
  <c r="IN23" i="10"/>
  <c r="IM23" i="10"/>
  <c r="IL23" i="10"/>
  <c r="IK23" i="10"/>
  <c r="IJ23" i="10"/>
  <c r="II23" i="10"/>
  <c r="IH23" i="10"/>
  <c r="IG23" i="10"/>
  <c r="IF23" i="10"/>
  <c r="IE23" i="10"/>
  <c r="ID23" i="10"/>
  <c r="IC23" i="10"/>
  <c r="IB23" i="10"/>
  <c r="IA23" i="10"/>
  <c r="HZ23" i="10"/>
  <c r="HY23" i="10"/>
  <c r="HX23" i="10"/>
  <c r="HW23" i="10"/>
  <c r="HV23" i="10"/>
  <c r="HU23" i="10"/>
  <c r="HT23" i="10"/>
  <c r="HS23" i="10"/>
  <c r="HR23" i="10"/>
  <c r="HQ23" i="10"/>
  <c r="HP23" i="10"/>
  <c r="HO23" i="10"/>
  <c r="HN23" i="10"/>
  <c r="HM23" i="10"/>
  <c r="HL23" i="10"/>
  <c r="HK23" i="10"/>
  <c r="HJ23" i="10"/>
  <c r="HI23" i="10"/>
  <c r="HH23" i="10"/>
  <c r="HG23" i="10"/>
  <c r="HF23" i="10"/>
  <c r="HE23" i="10"/>
  <c r="HD23" i="10"/>
  <c r="HC23" i="10"/>
  <c r="HB23" i="10"/>
  <c r="HA23" i="10"/>
  <c r="GZ23" i="10"/>
  <c r="GY23" i="10"/>
  <c r="GX23" i="10"/>
  <c r="GW23" i="10"/>
  <c r="GV23" i="10"/>
  <c r="GU23" i="10"/>
  <c r="GT23" i="10"/>
  <c r="GS23" i="10"/>
  <c r="GR23" i="10"/>
  <c r="GQ23" i="10"/>
  <c r="GP23" i="10"/>
  <c r="GO23" i="10"/>
  <c r="GN23" i="10"/>
  <c r="GM23" i="10"/>
  <c r="GL23" i="10"/>
  <c r="GK23" i="10"/>
  <c r="GJ23" i="10"/>
  <c r="GI23" i="10"/>
  <c r="GH23" i="10"/>
  <c r="GG23" i="10"/>
  <c r="GF23" i="10"/>
  <c r="GE23" i="10"/>
  <c r="GD23" i="10"/>
  <c r="GC23" i="10"/>
  <c r="GB23" i="10"/>
  <c r="GA23" i="10"/>
  <c r="FZ23" i="10"/>
  <c r="FY23" i="10"/>
  <c r="FX23" i="10"/>
  <c r="FW23" i="10"/>
  <c r="FV23" i="10"/>
  <c r="FU23" i="10"/>
  <c r="FT23" i="10"/>
  <c r="FS23" i="10"/>
  <c r="FR23" i="10"/>
  <c r="FQ23" i="10"/>
  <c r="FP23" i="10"/>
  <c r="FO23" i="10"/>
  <c r="FN23" i="10"/>
  <c r="FM23" i="10"/>
  <c r="FL23" i="10"/>
  <c r="FK23" i="10"/>
  <c r="FJ23" i="10"/>
  <c r="FI23" i="10"/>
  <c r="FH23" i="10"/>
  <c r="FG23" i="10"/>
  <c r="FF23" i="10"/>
  <c r="FE23" i="10"/>
  <c r="FD23" i="10"/>
  <c r="FC23" i="10"/>
  <c r="FB23" i="10"/>
  <c r="FA23" i="10"/>
  <c r="EZ23" i="10"/>
  <c r="EY23" i="10"/>
  <c r="EX23" i="10"/>
  <c r="EW23" i="10"/>
  <c r="EV23" i="10"/>
  <c r="EU23" i="10"/>
  <c r="ET23" i="10"/>
  <c r="ES23" i="10"/>
  <c r="ER23" i="10"/>
  <c r="EQ23" i="10"/>
  <c r="EP23" i="10"/>
  <c r="EO23" i="10"/>
  <c r="EN23" i="10"/>
  <c r="EM23" i="10"/>
  <c r="EL23" i="10"/>
  <c r="EK24" i="10"/>
  <c r="EJ24" i="10"/>
  <c r="EI24" i="10"/>
  <c r="EH24" i="10"/>
  <c r="EG24" i="10"/>
  <c r="EF24" i="10"/>
  <c r="EE24" i="10"/>
  <c r="ED24" i="10"/>
  <c r="EC24" i="10"/>
  <c r="EB24" i="10"/>
  <c r="EA24" i="10"/>
  <c r="DZ24" i="10"/>
  <c r="DY24" i="10"/>
  <c r="DX24" i="10"/>
  <c r="DW24" i="10"/>
  <c r="DV24" i="10"/>
  <c r="DU24" i="10"/>
  <c r="DT24" i="10"/>
  <c r="DS24" i="10"/>
  <c r="DR24" i="10"/>
  <c r="DQ24" i="10"/>
  <c r="DP24" i="10"/>
  <c r="DO24" i="10"/>
  <c r="DN24" i="10"/>
  <c r="DM24" i="10"/>
  <c r="DL24" i="10"/>
  <c r="DK24" i="10"/>
  <c r="DJ24" i="10"/>
  <c r="DI24" i="10"/>
  <c r="DH24" i="10"/>
  <c r="DG24" i="10"/>
  <c r="DF24" i="10"/>
  <c r="DE24" i="10"/>
  <c r="DD24" i="10"/>
  <c r="DC24" i="10"/>
  <c r="DB24" i="10"/>
  <c r="DA24" i="10"/>
  <c r="CZ24" i="10"/>
  <c r="CY24" i="10"/>
  <c r="CX24" i="10"/>
  <c r="CW24" i="10"/>
  <c r="CV24" i="10"/>
  <c r="CU24" i="10"/>
  <c r="CT24" i="10"/>
  <c r="CS24" i="10"/>
  <c r="CR24" i="10"/>
  <c r="CQ24" i="10"/>
  <c r="CP24" i="10"/>
  <c r="CO24" i="10"/>
  <c r="CN24" i="10"/>
  <c r="CM24" i="10"/>
  <c r="CL24" i="10"/>
  <c r="CK24" i="10"/>
  <c r="CJ24" i="10"/>
  <c r="CI24" i="10"/>
  <c r="CH24" i="10"/>
  <c r="CG24" i="10"/>
  <c r="CF24" i="10"/>
  <c r="CE24" i="10"/>
  <c r="CD24" i="10"/>
  <c r="CC24" i="10"/>
  <c r="CB24" i="10"/>
  <c r="CA24" i="10"/>
  <c r="EK23" i="10"/>
  <c r="EJ23" i="10"/>
  <c r="EI23" i="10"/>
  <c r="EH23" i="10"/>
  <c r="EG23" i="10"/>
  <c r="EF23" i="10"/>
  <c r="EE23" i="10"/>
  <c r="ED23" i="10"/>
  <c r="EC23" i="10"/>
  <c r="EB23" i="10"/>
  <c r="EA23" i="10"/>
  <c r="DZ23" i="10"/>
  <c r="DY23" i="10"/>
  <c r="DX23" i="10"/>
  <c r="DW23" i="10"/>
  <c r="DV23" i="10"/>
  <c r="DU23" i="10"/>
  <c r="DT23" i="10"/>
  <c r="DS23" i="10"/>
  <c r="DR23" i="10"/>
  <c r="DQ23" i="10"/>
  <c r="DP23" i="10"/>
  <c r="DO23" i="10"/>
  <c r="DN23" i="10"/>
  <c r="DM23" i="10"/>
  <c r="DL23" i="10"/>
  <c r="DK23" i="10"/>
  <c r="DJ23" i="10"/>
  <c r="DI23" i="10"/>
  <c r="DH23" i="10"/>
  <c r="DG23" i="10"/>
  <c r="DF23" i="10"/>
  <c r="DE23" i="10"/>
  <c r="DD23" i="10"/>
  <c r="DC23" i="10"/>
  <c r="DB23" i="10"/>
  <c r="DA23" i="10"/>
  <c r="CZ23" i="10"/>
  <c r="CY23" i="10"/>
  <c r="CX23" i="10"/>
  <c r="CW23" i="10"/>
  <c r="CV23" i="10"/>
  <c r="CU23" i="10"/>
  <c r="CT23" i="10"/>
  <c r="CS23" i="10"/>
  <c r="CR23" i="10"/>
  <c r="CQ23" i="10"/>
  <c r="CP23" i="10"/>
  <c r="CO23" i="10"/>
  <c r="CN23" i="10"/>
  <c r="CM23" i="10"/>
  <c r="CL23" i="10"/>
  <c r="CK23" i="10"/>
  <c r="CJ23" i="10"/>
  <c r="CI23" i="10"/>
  <c r="CH23" i="10"/>
  <c r="CG23" i="10"/>
  <c r="CF23" i="10"/>
  <c r="CE23" i="10"/>
  <c r="CD23" i="10"/>
  <c r="CC23" i="10"/>
  <c r="CB23" i="10"/>
  <c r="CA23" i="10"/>
  <c r="BZ24" i="10"/>
  <c r="BY24" i="10"/>
  <c r="BX24" i="10"/>
  <c r="BW24" i="10"/>
  <c r="BV24" i="10"/>
  <c r="BU24" i="10"/>
  <c r="BT24" i="10"/>
  <c r="BS24" i="10"/>
  <c r="BR24" i="10"/>
  <c r="BQ24" i="10"/>
  <c r="BP24" i="10"/>
  <c r="BO24" i="10"/>
  <c r="BN24" i="10"/>
  <c r="BM24" i="10"/>
  <c r="BL24" i="10"/>
  <c r="BK24" i="10"/>
  <c r="BJ24" i="10"/>
  <c r="BI24" i="10"/>
  <c r="BH24" i="10"/>
  <c r="BG24" i="10"/>
  <c r="BF24" i="10"/>
  <c r="BE24" i="10"/>
  <c r="BD24" i="10"/>
  <c r="BC24" i="10"/>
  <c r="BB24" i="10"/>
  <c r="BA24" i="10"/>
  <c r="AZ24" i="10"/>
  <c r="AY24" i="10"/>
  <c r="BZ23" i="10"/>
  <c r="BY23" i="10"/>
  <c r="BX23" i="10"/>
  <c r="BW23" i="10"/>
  <c r="BV23" i="10"/>
  <c r="BU23" i="10"/>
  <c r="BT23" i="10"/>
  <c r="BS23" i="10"/>
  <c r="BR23" i="10"/>
  <c r="BQ23" i="10"/>
  <c r="BP23" i="10"/>
  <c r="BO23" i="10"/>
  <c r="BN23" i="10"/>
  <c r="BM23" i="10"/>
  <c r="BL23" i="10"/>
  <c r="BK23" i="10"/>
  <c r="BJ23" i="10"/>
  <c r="BI23" i="10"/>
  <c r="BH23" i="10"/>
  <c r="BG23" i="10"/>
  <c r="BF23" i="10"/>
  <c r="BE23" i="10"/>
  <c r="BD23" i="10"/>
  <c r="BC23" i="10"/>
  <c r="BB23" i="10"/>
  <c r="BA23" i="10"/>
  <c r="AZ23" i="10"/>
  <c r="AY23" i="10"/>
  <c r="AX24" i="10"/>
  <c r="AW24" i="10"/>
  <c r="AV24" i="10"/>
  <c r="AU24" i="10"/>
  <c r="AT24" i="10"/>
  <c r="AS24" i="10"/>
  <c r="AR24" i="10"/>
  <c r="AQ24" i="10"/>
  <c r="AP24" i="10"/>
  <c r="AO24" i="10"/>
  <c r="AN24" i="10"/>
  <c r="AM24" i="10"/>
  <c r="AL24" i="10"/>
  <c r="AK24" i="10"/>
  <c r="AX23" i="10"/>
  <c r="AW23" i="10"/>
  <c r="AV23" i="10"/>
  <c r="AU23" i="10"/>
  <c r="AT23" i="10"/>
  <c r="AS23" i="10"/>
  <c r="AR23" i="10"/>
  <c r="AQ23" i="10"/>
  <c r="AP23" i="10"/>
  <c r="AO23" i="10"/>
  <c r="AN23" i="10"/>
  <c r="AM23" i="10"/>
  <c r="AK23" i="10"/>
  <c r="V24" i="10"/>
  <c r="U24" i="10"/>
  <c r="T24" i="10"/>
  <c r="S24" i="10"/>
  <c r="R24" i="10"/>
  <c r="Q24" i="10"/>
  <c r="P24" i="10"/>
  <c r="V23" i="10"/>
  <c r="U23" i="10"/>
  <c r="T23" i="10"/>
  <c r="S23" i="10"/>
  <c r="R23" i="10"/>
  <c r="Q23" i="10"/>
  <c r="P23" i="10"/>
  <c r="AJ24" i="10"/>
  <c r="AI24" i="10"/>
  <c r="AH24" i="10"/>
  <c r="AG24" i="10"/>
  <c r="AF24" i="10"/>
  <c r="AE24" i="10"/>
  <c r="AD24" i="10"/>
  <c r="AJ23" i="10"/>
  <c r="AI23" i="10"/>
  <c r="AH23" i="10"/>
  <c r="AG23" i="10"/>
  <c r="AF23" i="10"/>
  <c r="AE23" i="10"/>
  <c r="AD23" i="10"/>
  <c r="AC24" i="10"/>
  <c r="AB24" i="10"/>
  <c r="AA24" i="10"/>
  <c r="Z24" i="10"/>
  <c r="Y24" i="10"/>
  <c r="X24" i="10"/>
  <c r="W24" i="10"/>
  <c r="AC23" i="10"/>
  <c r="AB23" i="10"/>
  <c r="AA23" i="10"/>
  <c r="Z23" i="10"/>
  <c r="Y23" i="10"/>
  <c r="X23" i="10"/>
  <c r="W23" i="10"/>
  <c r="E42" i="10"/>
  <c r="F42" i="10" s="1"/>
  <c r="G42" i="10" s="1"/>
  <c r="I42" i="10" s="1"/>
  <c r="E41" i="10"/>
  <c r="F41" i="10" s="1"/>
  <c r="G41" i="10" s="1"/>
  <c r="I41" i="10" s="1"/>
  <c r="D40" i="10"/>
  <c r="E40" i="10" s="1"/>
  <c r="F40" i="10" s="1"/>
  <c r="G40" i="10" s="1"/>
  <c r="H40" i="10" s="1"/>
  <c r="I40" i="10" s="1"/>
  <c r="J40" i="10" s="1"/>
  <c r="K40" i="10" s="1"/>
  <c r="L40" i="10" s="1"/>
  <c r="M40" i="10" s="1"/>
  <c r="N40" i="10" s="1"/>
  <c r="D38" i="10" l="1"/>
  <c r="C38" i="10"/>
  <c r="E22" i="10"/>
  <c r="E20" i="10"/>
  <c r="E19" i="10"/>
  <c r="E18" i="10"/>
  <c r="E17" i="10"/>
  <c r="E16" i="10"/>
  <c r="E15" i="10"/>
  <c r="E14" i="10"/>
  <c r="E13" i="10"/>
  <c r="E12" i="10"/>
  <c r="E11" i="10"/>
  <c r="E10" i="10"/>
  <c r="E9" i="10"/>
  <c r="E8" i="10"/>
  <c r="E7" i="10"/>
  <c r="E6" i="10"/>
  <c r="E5" i="10"/>
  <c r="E4" i="10"/>
  <c r="E3" i="10"/>
  <c r="I22" i="10"/>
  <c r="I20" i="10"/>
  <c r="I19" i="10"/>
  <c r="I18" i="10"/>
  <c r="I17" i="10"/>
  <c r="I16" i="10"/>
  <c r="I15" i="10"/>
  <c r="I14" i="10"/>
  <c r="I13" i="10"/>
  <c r="I12" i="10"/>
  <c r="I11" i="10"/>
  <c r="I10" i="10"/>
  <c r="I9" i="10"/>
  <c r="I8" i="10"/>
  <c r="I7" i="10"/>
  <c r="I6" i="10"/>
  <c r="I5" i="10"/>
  <c r="I4" i="10"/>
  <c r="I3" i="10"/>
  <c r="I1" i="10"/>
  <c r="D48" i="10"/>
  <c r="H48" i="10" s="1"/>
  <c r="J48" i="10" s="1"/>
  <c r="K48" i="10" s="1"/>
  <c r="L48" i="10" s="1"/>
  <c r="M48" i="10" s="1"/>
  <c r="N48" i="10" s="1"/>
  <c r="D47" i="10"/>
  <c r="H47" i="10" s="1"/>
  <c r="J47" i="10" s="1"/>
  <c r="K47" i="10" s="1"/>
  <c r="L47" i="10" s="1"/>
  <c r="M47" i="10" s="1"/>
  <c r="N47" i="10" s="1"/>
  <c r="C45" i="10"/>
  <c r="D45" i="10" s="1"/>
  <c r="H45" i="10" s="1"/>
  <c r="J45" i="10" s="1"/>
  <c r="K45" i="10" s="1"/>
  <c r="L45" i="10" s="1"/>
  <c r="M45" i="10" s="1"/>
  <c r="N45" i="10" s="1"/>
  <c r="C44" i="10"/>
  <c r="D44" i="10" s="1"/>
  <c r="H44" i="10" s="1"/>
  <c r="J44" i="10" s="1"/>
  <c r="K44" i="10" s="1"/>
  <c r="L44" i="10" s="1"/>
  <c r="M44" i="10" s="1"/>
  <c r="N44" i="10" s="1"/>
  <c r="D37" i="10"/>
  <c r="H37" i="10" s="1"/>
  <c r="J37" i="10" s="1"/>
  <c r="K37" i="10" s="1"/>
  <c r="L37" i="10" s="1"/>
  <c r="M37" i="10" s="1"/>
  <c r="N37" i="10" s="1"/>
  <c r="C36" i="10"/>
  <c r="D36" i="10" s="1"/>
  <c r="H36" i="10" s="1"/>
  <c r="J36" i="10" s="1"/>
  <c r="K36" i="10" s="1"/>
  <c r="L36" i="10" s="1"/>
  <c r="M36" i="10" s="1"/>
  <c r="N36" i="10" s="1"/>
  <c r="C35" i="10"/>
  <c r="D35" i="10" s="1"/>
  <c r="H35" i="10" s="1"/>
  <c r="J35" i="10" s="1"/>
  <c r="K35" i="10" s="1"/>
  <c r="L35" i="10" s="1"/>
  <c r="M35" i="10" s="1"/>
  <c r="N35" i="10" s="1"/>
  <c r="C34" i="10"/>
  <c r="D34" i="10" s="1"/>
  <c r="H34" i="10" s="1"/>
  <c r="J34" i="10" s="1"/>
  <c r="K34" i="10" s="1"/>
  <c r="L34" i="10" s="1"/>
  <c r="M34" i="10" s="1"/>
  <c r="N34" i="10" s="1"/>
  <c r="B43" i="10"/>
  <c r="H38" i="10" l="1"/>
  <c r="J38" i="10" s="1"/>
  <c r="K38" i="10" s="1"/>
  <c r="L38" i="10" s="1"/>
  <c r="M38" i="10" s="1"/>
  <c r="N38" i="10" s="1"/>
  <c r="K25" i="10"/>
  <c r="L21" i="10" s="1"/>
  <c r="K22" i="10"/>
  <c r="K20" i="10"/>
  <c r="K19" i="10"/>
  <c r="K18" i="10"/>
  <c r="K17" i="10"/>
  <c r="K16" i="10"/>
  <c r="K15" i="10"/>
  <c r="K14" i="10"/>
  <c r="K13" i="10"/>
  <c r="K12" i="10"/>
  <c r="K11" i="10"/>
  <c r="K10" i="10"/>
  <c r="K9" i="10"/>
  <c r="K8" i="10"/>
  <c r="K7" i="10"/>
  <c r="K6" i="10"/>
  <c r="K5" i="10"/>
  <c r="K4" i="10"/>
  <c r="K3" i="10"/>
  <c r="N1" i="10"/>
  <c r="O1" i="10" s="1"/>
  <c r="P1" i="10" s="1"/>
  <c r="Q1" i="10" s="1"/>
  <c r="R1" i="10" s="1"/>
  <c r="S1" i="10" s="1"/>
  <c r="T1" i="10" s="1"/>
  <c r="U1" i="10" s="1"/>
  <c r="V1" i="10" s="1"/>
  <c r="W1" i="10" s="1"/>
  <c r="X1" i="10" s="1"/>
  <c r="Y1" i="10" s="1"/>
  <c r="Z1" i="10" s="1"/>
  <c r="AA1" i="10" s="1"/>
  <c r="AB1" i="10" s="1"/>
  <c r="AC1" i="10" s="1"/>
  <c r="AD1" i="10" s="1"/>
  <c r="AE1" i="10" s="1"/>
  <c r="AF1" i="10" s="1"/>
  <c r="AG1" i="10" s="1"/>
  <c r="AH1" i="10" s="1"/>
  <c r="AI1" i="10" s="1"/>
  <c r="AJ1" i="10" s="1"/>
  <c r="AK1" i="10" s="1"/>
  <c r="AL1" i="10" s="1"/>
  <c r="AM1" i="10" s="1"/>
  <c r="AN1" i="10" s="1"/>
  <c r="AO1" i="10" s="1"/>
  <c r="AP1" i="10" s="1"/>
  <c r="AQ1" i="10" s="1"/>
  <c r="L98" i="3"/>
  <c r="K24" i="10" l="1"/>
  <c r="L24" i="10" s="1"/>
  <c r="K23" i="10"/>
  <c r="L23" i="10" s="1"/>
  <c r="L22" i="10"/>
  <c r="L10" i="10"/>
  <c r="L18" i="10"/>
  <c r="L17" i="10"/>
  <c r="L6" i="10"/>
  <c r="L3" i="10"/>
  <c r="L11" i="10"/>
  <c r="L12" i="10"/>
  <c r="L13" i="10"/>
  <c r="L5" i="10"/>
  <c r="L15" i="10"/>
  <c r="L14" i="10"/>
  <c r="L7" i="10"/>
  <c r="L19" i="10"/>
  <c r="L9" i="10"/>
  <c r="L4" i="10"/>
  <c r="L8" i="10"/>
  <c r="L16" i="10"/>
  <c r="L20" i="10"/>
  <c r="AR1" i="10"/>
  <c r="AS1" i="10" s="1"/>
  <c r="AT1" i="10" s="1"/>
  <c r="AU1" i="10" s="1"/>
  <c r="AV1" i="10" s="1"/>
  <c r="AW1" i="10" s="1"/>
  <c r="AX1" i="10" s="1"/>
  <c r="AY1" i="10" s="1"/>
  <c r="AZ1" i="10" s="1"/>
  <c r="BA1" i="10" s="1"/>
  <c r="BB1" i="10" s="1"/>
  <c r="BC1" i="10" s="1"/>
  <c r="BD1" i="10" s="1"/>
  <c r="BE1" i="10" s="1"/>
  <c r="BF1" i="10" s="1"/>
  <c r="BG1" i="10" s="1"/>
  <c r="BH1" i="10" s="1"/>
  <c r="BI1" i="10" s="1"/>
  <c r="BJ1" i="10" s="1"/>
  <c r="BK1" i="10" s="1"/>
  <c r="BL1" i="10" s="1"/>
  <c r="BM1" i="10" s="1"/>
  <c r="BN1" i="10" s="1"/>
  <c r="BO1" i="10" s="1"/>
  <c r="BP1" i="10" s="1"/>
  <c r="BQ1" i="10" s="1"/>
  <c r="BR1" i="10" s="1"/>
  <c r="BS1" i="10" s="1"/>
  <c r="BT1" i="10" s="1"/>
  <c r="BU1" i="10" s="1"/>
  <c r="BV1" i="10" s="1"/>
  <c r="BW1" i="10" s="1"/>
  <c r="BX1" i="10" s="1"/>
  <c r="BY1" i="10" s="1"/>
  <c r="BZ1" i="10" s="1"/>
  <c r="CA1" i="10" s="1"/>
  <c r="CB1" i="10" s="1"/>
  <c r="CC1" i="10" s="1"/>
  <c r="CD1" i="10" s="1"/>
  <c r="CE1" i="10" s="1"/>
  <c r="CF1" i="10" s="1"/>
  <c r="CG1" i="10" s="1"/>
  <c r="CH1" i="10" s="1"/>
  <c r="CI1" i="10" s="1"/>
  <c r="CJ1" i="10" s="1"/>
  <c r="CK1" i="10" s="1"/>
  <c r="CL1" i="10" s="1"/>
  <c r="CM1" i="10" s="1"/>
  <c r="CN1" i="10" s="1"/>
  <c r="CO1" i="10" s="1"/>
  <c r="CP1" i="10" s="1"/>
  <c r="CQ1" i="10" s="1"/>
  <c r="CR1" i="10" s="1"/>
  <c r="CS1" i="10" s="1"/>
  <c r="CT1" i="10" s="1"/>
  <c r="CU1" i="10" s="1"/>
  <c r="CV1" i="10" s="1"/>
  <c r="CW1" i="10" s="1"/>
  <c r="CX1" i="10" s="1"/>
  <c r="CY1" i="10" s="1"/>
  <c r="CZ1" i="10" s="1"/>
  <c r="DA1" i="10" s="1"/>
  <c r="DB1" i="10" s="1"/>
  <c r="DC1" i="10" s="1"/>
  <c r="DD1" i="10" s="1"/>
  <c r="DE1" i="10" s="1"/>
  <c r="DF1" i="10" s="1"/>
  <c r="DG1" i="10" s="1"/>
  <c r="DH1" i="10" s="1"/>
  <c r="DI1" i="10" s="1"/>
  <c r="DJ1" i="10" s="1"/>
  <c r="DK1" i="10" s="1"/>
  <c r="DL1" i="10" s="1"/>
  <c r="DM1" i="10" s="1"/>
  <c r="DN1" i="10" s="1"/>
  <c r="DO1" i="10" s="1"/>
  <c r="DP1" i="10" s="1"/>
  <c r="DQ1" i="10" s="1"/>
  <c r="DR1" i="10" s="1"/>
  <c r="DS1" i="10" s="1"/>
  <c r="DT1" i="10" s="1"/>
  <c r="DU1" i="10" s="1"/>
  <c r="DV1" i="10" s="1"/>
  <c r="DW1" i="10" s="1"/>
  <c r="DX1" i="10" s="1"/>
  <c r="DY1" i="10" s="1"/>
  <c r="DZ1" i="10" s="1"/>
  <c r="EA1" i="10" s="1"/>
  <c r="EB1" i="10" s="1"/>
  <c r="EC1" i="10" s="1"/>
  <c r="ED1" i="10" s="1"/>
  <c r="EE1" i="10" s="1"/>
  <c r="EF1" i="10" s="1"/>
  <c r="EG1" i="10" s="1"/>
  <c r="EH1" i="10" s="1"/>
  <c r="EI1" i="10" s="1"/>
  <c r="EJ1" i="10" s="1"/>
  <c r="EK1" i="10" s="1"/>
  <c r="EL1" i="10" s="1"/>
  <c r="EM1" i="10" s="1"/>
  <c r="EN1" i="10" s="1"/>
  <c r="EO1" i="10" s="1"/>
  <c r="EP1" i="10" s="1"/>
  <c r="EQ1" i="10" s="1"/>
  <c r="ER1" i="10" s="1"/>
  <c r="ES1" i="10" s="1"/>
  <c r="ET1" i="10" s="1"/>
  <c r="EU1" i="10" s="1"/>
  <c r="EV1" i="10" s="1"/>
  <c r="EW1" i="10" s="1"/>
  <c r="EX1" i="10" s="1"/>
  <c r="EY1" i="10" s="1"/>
  <c r="EZ1" i="10" s="1"/>
  <c r="FA1" i="10" s="1"/>
  <c r="FB1" i="10" s="1"/>
  <c r="FC1" i="10" s="1"/>
  <c r="FD1" i="10" s="1"/>
  <c r="FE1" i="10" s="1"/>
  <c r="FF1" i="10" s="1"/>
  <c r="FG1" i="10" s="1"/>
  <c r="FH1" i="10" s="1"/>
  <c r="FI1" i="10" s="1"/>
  <c r="FJ1" i="10" s="1"/>
  <c r="FK1" i="10" s="1"/>
  <c r="FL1" i="10" s="1"/>
  <c r="FM1" i="10" s="1"/>
  <c r="FN1" i="10" s="1"/>
  <c r="FO1" i="10" s="1"/>
  <c r="FP1" i="10" s="1"/>
  <c r="FQ1" i="10" s="1"/>
  <c r="FR1" i="10" s="1"/>
  <c r="FS1" i="10" s="1"/>
  <c r="FT1" i="10" s="1"/>
  <c r="FU1" i="10" s="1"/>
  <c r="FV1" i="10" s="1"/>
  <c r="FW1" i="10" s="1"/>
  <c r="FX1" i="10" s="1"/>
  <c r="FY1" i="10" s="1"/>
  <c r="FZ1" i="10" s="1"/>
  <c r="GA1" i="10" s="1"/>
  <c r="GB1" i="10" s="1"/>
  <c r="GC1" i="10" s="1"/>
  <c r="GD1" i="10" s="1"/>
  <c r="GE1" i="10" s="1"/>
  <c r="GF1" i="10" s="1"/>
  <c r="GG1" i="10" s="1"/>
  <c r="GH1" i="10" s="1"/>
  <c r="GI1" i="10" s="1"/>
  <c r="GJ1" i="10" s="1"/>
  <c r="GK1" i="10" s="1"/>
  <c r="GL1" i="10" s="1"/>
  <c r="GM1" i="10" s="1"/>
  <c r="GN1" i="10" s="1"/>
  <c r="GO1" i="10" s="1"/>
  <c r="GP1" i="10" s="1"/>
  <c r="GQ1" i="10" s="1"/>
  <c r="GR1" i="10" s="1"/>
  <c r="GS1" i="10" s="1"/>
  <c r="GT1" i="10" s="1"/>
  <c r="GU1" i="10" s="1"/>
  <c r="GV1" i="10" s="1"/>
  <c r="GW1" i="10" s="1"/>
  <c r="GX1" i="10" s="1"/>
  <c r="GY1" i="10" s="1"/>
  <c r="GZ1" i="10" s="1"/>
  <c r="HA1" i="10" s="1"/>
  <c r="HB1" i="10" s="1"/>
  <c r="HC1" i="10" s="1"/>
  <c r="HD1" i="10" s="1"/>
  <c r="HE1" i="10" s="1"/>
  <c r="HF1" i="10" s="1"/>
  <c r="HG1" i="10" s="1"/>
  <c r="HH1" i="10" s="1"/>
  <c r="HI1" i="10" s="1"/>
  <c r="HJ1" i="10" s="1"/>
  <c r="HK1" i="10" s="1"/>
  <c r="HL1" i="10" s="1"/>
  <c r="HM1" i="10" s="1"/>
  <c r="HN1" i="10" s="1"/>
  <c r="HO1" i="10" s="1"/>
  <c r="HP1" i="10" s="1"/>
  <c r="HQ1" i="10" s="1"/>
  <c r="HR1" i="10" s="1"/>
  <c r="HS1" i="10" s="1"/>
  <c r="HT1" i="10" s="1"/>
  <c r="HU1" i="10" s="1"/>
  <c r="HV1" i="10" s="1"/>
  <c r="HW1" i="10" s="1"/>
  <c r="HX1" i="10" s="1"/>
  <c r="HY1" i="10" s="1"/>
  <c r="HZ1" i="10" s="1"/>
  <c r="IA1" i="10" s="1"/>
  <c r="IB1" i="10" s="1"/>
  <c r="IC1" i="10" s="1"/>
  <c r="ID1" i="10" s="1"/>
  <c r="IE1" i="10" s="1"/>
  <c r="IF1" i="10" s="1"/>
  <c r="IG1" i="10" s="1"/>
  <c r="IH1" i="10" s="1"/>
  <c r="II1" i="10" s="1"/>
  <c r="IJ1" i="10" s="1"/>
  <c r="IK1" i="10" s="1"/>
  <c r="IL1" i="10" s="1"/>
  <c r="IM1" i="10" s="1"/>
  <c r="IN1" i="10" s="1"/>
  <c r="IO1" i="10" s="1"/>
  <c r="IP1" i="10" s="1"/>
  <c r="IQ1" i="10" s="1"/>
  <c r="IR1" i="10" s="1"/>
  <c r="IS1" i="10" s="1"/>
  <c r="IT1" i="10" s="1"/>
  <c r="IU1" i="10" s="1"/>
  <c r="E2" i="9"/>
  <c r="IL72" i="3" l="1"/>
  <c r="IL71" i="3"/>
  <c r="IC72" i="3"/>
  <c r="IC71" i="3"/>
  <c r="HT72" i="3"/>
  <c r="HT71" i="3"/>
  <c r="IL40" i="3"/>
  <c r="IL41" i="3" s="1"/>
  <c r="IC41" i="3"/>
  <c r="IC40" i="3"/>
  <c r="HT40" i="3"/>
  <c r="HT41" i="3" s="1"/>
  <c r="IO1" i="3"/>
  <c r="IL1" i="3"/>
  <c r="IL2" i="3" s="1"/>
  <c r="IF1" i="3"/>
  <c r="IC1" i="3"/>
  <c r="IC2" i="3" s="1"/>
  <c r="HW1" i="3"/>
  <c r="HT1" i="3"/>
  <c r="HT2" i="3" s="1"/>
  <c r="IN38" i="3"/>
  <c r="HV38" i="3"/>
  <c r="IE38" i="3"/>
  <c r="HJ38" i="3" l="1"/>
  <c r="HK38" i="3"/>
  <c r="F58" i="3" l="1"/>
  <c r="G58" i="3"/>
  <c r="H58" i="3"/>
  <c r="I58" i="3"/>
  <c r="J58" i="3"/>
  <c r="K58" i="3"/>
  <c r="L58" i="3"/>
  <c r="HM38" i="3"/>
  <c r="GS70" i="3" l="1"/>
  <c r="GS38" i="3"/>
  <c r="HD38" i="3"/>
  <c r="GN82" i="3" l="1"/>
  <c r="P58" i="3" l="1"/>
  <c r="GU38" i="3"/>
  <c r="P67" i="3" l="1"/>
  <c r="FT38" i="3"/>
  <c r="GL38" i="3"/>
  <c r="GC38" i="3"/>
  <c r="P62" i="3" l="1"/>
  <c r="FI38" i="3"/>
  <c r="FH38" i="3"/>
  <c r="EZ38" i="3"/>
  <c r="EY38" i="3"/>
  <c r="EX38" i="3"/>
  <c r="F62" i="3"/>
  <c r="G62" i="3"/>
  <c r="H62" i="3"/>
  <c r="I62" i="3"/>
  <c r="J62" i="3"/>
  <c r="K62" i="3"/>
  <c r="L62" i="3"/>
  <c r="FK38" i="3"/>
  <c r="P37" i="3" l="1"/>
  <c r="Q12" i="3" s="1"/>
  <c r="L96" i="3"/>
  <c r="Q28" i="3" l="1"/>
  <c r="Q30" i="3"/>
  <c r="Q13" i="3"/>
  <c r="Q8" i="3"/>
  <c r="Q9" i="3"/>
  <c r="Q16" i="3"/>
  <c r="Q20" i="3"/>
  <c r="Q21" i="3"/>
  <c r="Q24" i="3"/>
  <c r="Q14" i="3"/>
  <c r="Q22" i="3"/>
  <c r="Q7" i="3"/>
  <c r="Q15" i="3"/>
  <c r="Q23" i="3"/>
  <c r="Q17" i="3"/>
  <c r="Q25" i="3"/>
  <c r="Q10" i="3"/>
  <c r="Q18" i="3"/>
  <c r="Q26" i="3"/>
  <c r="Q11" i="3"/>
  <c r="Q19" i="3"/>
  <c r="M38" i="3"/>
  <c r="Q29" i="3" l="1"/>
  <c r="P63" i="3" l="1"/>
  <c r="P90" i="3"/>
  <c r="FB38" i="3"/>
  <c r="EQ38" i="3" l="1"/>
  <c r="L11" i="3" l="1"/>
  <c r="K11" i="3"/>
  <c r="J11" i="3"/>
  <c r="I11" i="3"/>
  <c r="H11" i="3"/>
  <c r="G11" i="3"/>
  <c r="F11" i="3"/>
  <c r="P11" i="3"/>
  <c r="P82" i="3"/>
  <c r="EI38" i="3" l="1"/>
  <c r="ES38" i="3"/>
  <c r="EJ38" i="3"/>
  <c r="P16" i="3" l="1"/>
  <c r="L16" i="3"/>
  <c r="K16" i="3"/>
  <c r="J16" i="3"/>
  <c r="I16" i="3"/>
  <c r="H16" i="3"/>
  <c r="G16" i="3"/>
  <c r="F16" i="3"/>
  <c r="P47" i="3" l="1"/>
  <c r="L47" i="3"/>
  <c r="K47" i="3"/>
  <c r="J47" i="3"/>
  <c r="I47" i="3"/>
  <c r="H47" i="3"/>
  <c r="G47" i="3"/>
  <c r="F47" i="3"/>
  <c r="P33" i="3" l="1"/>
  <c r="DP38" i="3"/>
  <c r="EA38" i="3"/>
  <c r="P31" i="3" l="1"/>
  <c r="DG38" i="3" l="1"/>
  <c r="DR38" i="3"/>
  <c r="Q92" i="3" l="1"/>
  <c r="Q89" i="3"/>
  <c r="Q88" i="3"/>
  <c r="Q87" i="3"/>
  <c r="Q80" i="3"/>
  <c r="Q75" i="3"/>
  <c r="Q68" i="3"/>
  <c r="Q66" i="3"/>
  <c r="Q65" i="3"/>
  <c r="Q64" i="3"/>
  <c r="Q27" i="3"/>
  <c r="Q36" i="3"/>
  <c r="Q6" i="3"/>
  <c r="CX38" i="3"/>
  <c r="R38" i="3"/>
  <c r="CZ38" i="3"/>
  <c r="BY38" i="3"/>
  <c r="P38" i="3"/>
  <c r="L97" i="3"/>
  <c r="CQ38" i="3"/>
  <c r="CH38" i="3"/>
  <c r="DI38" i="3"/>
  <c r="Q38" i="3" l="1"/>
  <c r="CO82" i="3"/>
  <c r="CO70" i="3"/>
  <c r="CO38" i="3"/>
  <c r="CF38" i="3"/>
  <c r="P70" i="3"/>
  <c r="CO83" i="3" l="1"/>
  <c r="BW82" i="3"/>
  <c r="BW83" i="3" s="1"/>
  <c r="BP82" i="3"/>
  <c r="BP70" i="3"/>
  <c r="BW38" i="3"/>
  <c r="BP38" i="3"/>
  <c r="BP83" i="3" l="1"/>
  <c r="P32" i="3"/>
  <c r="NJ82" i="3" l="1"/>
  <c r="NI82" i="3"/>
  <c r="NH82" i="3"/>
  <c r="NG82" i="3"/>
  <c r="NF82" i="3"/>
  <c r="NE82" i="3"/>
  <c r="ND82" i="3"/>
  <c r="NC82" i="3"/>
  <c r="NB82" i="3"/>
  <c r="NA82" i="3"/>
  <c r="MZ82" i="3"/>
  <c r="MY82" i="3"/>
  <c r="MX82" i="3"/>
  <c r="MW82" i="3"/>
  <c r="MV82" i="3"/>
  <c r="MU82" i="3"/>
  <c r="MT82" i="3"/>
  <c r="MS82" i="3"/>
  <c r="MR82" i="3"/>
  <c r="MQ82" i="3"/>
  <c r="MP82" i="3"/>
  <c r="MO82" i="3"/>
  <c r="MN82" i="3"/>
  <c r="MM82" i="3"/>
  <c r="ML82" i="3"/>
  <c r="MK82" i="3"/>
  <c r="MJ82" i="3"/>
  <c r="MI82" i="3"/>
  <c r="MH82" i="3"/>
  <c r="MG82" i="3"/>
  <c r="MF82" i="3"/>
  <c r="ME82" i="3"/>
  <c r="MD82" i="3"/>
  <c r="MC82" i="3"/>
  <c r="MB82" i="3"/>
  <c r="MA82" i="3"/>
  <c r="LZ82" i="3"/>
  <c r="LY82" i="3"/>
  <c r="LX82" i="3"/>
  <c r="LW82" i="3"/>
  <c r="LV82" i="3"/>
  <c r="LU82" i="3"/>
  <c r="LT82" i="3"/>
  <c r="LS82" i="3"/>
  <c r="LR82" i="3"/>
  <c r="LQ82" i="3"/>
  <c r="LP82" i="3"/>
  <c r="LO82" i="3"/>
  <c r="LN82" i="3"/>
  <c r="LM82" i="3"/>
  <c r="LL82" i="3"/>
  <c r="LK82" i="3"/>
  <c r="LJ82" i="3"/>
  <c r="LI82" i="3"/>
  <c r="LH82" i="3"/>
  <c r="LG82" i="3"/>
  <c r="LF82" i="3"/>
  <c r="LE82" i="3"/>
  <c r="LD82" i="3"/>
  <c r="LC82" i="3"/>
  <c r="LB82" i="3"/>
  <c r="LA82" i="3"/>
  <c r="KZ82" i="3"/>
  <c r="KY82" i="3"/>
  <c r="KX82" i="3"/>
  <c r="KW82" i="3"/>
  <c r="KV82" i="3"/>
  <c r="KU82" i="3"/>
  <c r="KT82" i="3"/>
  <c r="KS82" i="3"/>
  <c r="KR82" i="3"/>
  <c r="KQ82" i="3"/>
  <c r="KP82" i="3"/>
  <c r="KO82" i="3"/>
  <c r="KN82" i="3"/>
  <c r="KM82" i="3"/>
  <c r="KL82" i="3"/>
  <c r="KK82" i="3"/>
  <c r="KJ82" i="3"/>
  <c r="KI82" i="3"/>
  <c r="KH82" i="3"/>
  <c r="KG82" i="3"/>
  <c r="KF82" i="3"/>
  <c r="KE82" i="3"/>
  <c r="KD82" i="3"/>
  <c r="KC82" i="3"/>
  <c r="KB82" i="3"/>
  <c r="KA82" i="3"/>
  <c r="JZ82" i="3"/>
  <c r="JY82" i="3"/>
  <c r="JX82" i="3"/>
  <c r="JW82" i="3"/>
  <c r="JV82" i="3"/>
  <c r="JU82" i="3"/>
  <c r="JT82" i="3"/>
  <c r="JS82" i="3"/>
  <c r="JR82" i="3"/>
  <c r="JQ82" i="3"/>
  <c r="JP82" i="3"/>
  <c r="JO82" i="3"/>
  <c r="JN82" i="3"/>
  <c r="JM82" i="3"/>
  <c r="JL82" i="3"/>
  <c r="JK82" i="3"/>
  <c r="JJ82" i="3"/>
  <c r="JI82" i="3"/>
  <c r="JH82" i="3"/>
  <c r="JG82" i="3"/>
  <c r="JF82" i="3"/>
  <c r="JE82" i="3"/>
  <c r="JD82" i="3"/>
  <c r="JC82" i="3"/>
  <c r="JB82" i="3"/>
  <c r="JA82" i="3"/>
  <c r="IZ82" i="3"/>
  <c r="IY82" i="3"/>
  <c r="IX82" i="3"/>
  <c r="IW82" i="3"/>
  <c r="IV82" i="3"/>
  <c r="IU82" i="3"/>
  <c r="IT82" i="3"/>
  <c r="IS82" i="3"/>
  <c r="IR82" i="3"/>
  <c r="IQ82" i="3"/>
  <c r="IP82" i="3"/>
  <c r="IO82" i="3"/>
  <c r="IN82" i="3"/>
  <c r="IK82" i="3"/>
  <c r="IJ82" i="3"/>
  <c r="II82" i="3"/>
  <c r="IH82" i="3"/>
  <c r="IG82" i="3"/>
  <c r="IF82" i="3"/>
  <c r="IE82" i="3"/>
  <c r="IB82" i="3"/>
  <c r="IA82" i="3"/>
  <c r="HZ82" i="3"/>
  <c r="HY82" i="3"/>
  <c r="HX82" i="3"/>
  <c r="HW82" i="3"/>
  <c r="HV82" i="3"/>
  <c r="HS82" i="3"/>
  <c r="HR82" i="3"/>
  <c r="HQ82" i="3"/>
  <c r="HP82" i="3"/>
  <c r="HO82" i="3"/>
  <c r="HN82" i="3"/>
  <c r="HM82" i="3"/>
  <c r="HJ82" i="3"/>
  <c r="HI82" i="3"/>
  <c r="HH82" i="3"/>
  <c r="HG82" i="3"/>
  <c r="HF82" i="3"/>
  <c r="HE82" i="3"/>
  <c r="HD82" i="3"/>
  <c r="HA82" i="3"/>
  <c r="GZ82" i="3"/>
  <c r="GY82" i="3"/>
  <c r="GX82" i="3"/>
  <c r="GW82" i="3"/>
  <c r="GV82" i="3"/>
  <c r="GU82" i="3"/>
  <c r="GR82" i="3"/>
  <c r="GQ82" i="3"/>
  <c r="GP82" i="3"/>
  <c r="GO82" i="3"/>
  <c r="GM82" i="3"/>
  <c r="GL82" i="3"/>
  <c r="GI82" i="3"/>
  <c r="GH82" i="3"/>
  <c r="GG82" i="3"/>
  <c r="GF82" i="3"/>
  <c r="GE82" i="3"/>
  <c r="GD82" i="3"/>
  <c r="GC82" i="3"/>
  <c r="FZ82" i="3"/>
  <c r="FY82" i="3"/>
  <c r="FX82" i="3"/>
  <c r="FW82" i="3"/>
  <c r="FV82" i="3"/>
  <c r="FU82" i="3"/>
  <c r="FT82" i="3"/>
  <c r="FQ82" i="3"/>
  <c r="FP82" i="3"/>
  <c r="FO82" i="3"/>
  <c r="FN82" i="3"/>
  <c r="FM82" i="3"/>
  <c r="FL82" i="3"/>
  <c r="FK82" i="3"/>
  <c r="FH82" i="3"/>
  <c r="FG82" i="3"/>
  <c r="FF82" i="3"/>
  <c r="FE82" i="3"/>
  <c r="FD82" i="3"/>
  <c r="FC82" i="3"/>
  <c r="FB82" i="3"/>
  <c r="EY82" i="3"/>
  <c r="EX82" i="3"/>
  <c r="EW82" i="3"/>
  <c r="EV82" i="3"/>
  <c r="EU82" i="3"/>
  <c r="ET82" i="3"/>
  <c r="ES82" i="3"/>
  <c r="EP82" i="3"/>
  <c r="EO82" i="3"/>
  <c r="EN82" i="3"/>
  <c r="EM82" i="3"/>
  <c r="EL82" i="3"/>
  <c r="EK82" i="3"/>
  <c r="EJ82" i="3"/>
  <c r="EI82" i="3"/>
  <c r="EE82" i="3"/>
  <c r="ED82" i="3"/>
  <c r="EC82" i="3"/>
  <c r="EB82" i="3"/>
  <c r="EA82" i="3"/>
  <c r="DZ82" i="3"/>
  <c r="DW82" i="3"/>
  <c r="DV82" i="3"/>
  <c r="DU82" i="3"/>
  <c r="DT82" i="3"/>
  <c r="DS82" i="3"/>
  <c r="DR82" i="3"/>
  <c r="DO82" i="3"/>
  <c r="DN82" i="3"/>
  <c r="DM82" i="3"/>
  <c r="DL82" i="3"/>
  <c r="DK82" i="3"/>
  <c r="DJ82" i="3"/>
  <c r="DI82" i="3"/>
  <c r="DF82" i="3"/>
  <c r="DE82" i="3"/>
  <c r="DD82" i="3"/>
  <c r="DC82" i="3"/>
  <c r="DB82" i="3"/>
  <c r="DA82" i="3"/>
  <c r="CZ82" i="3"/>
  <c r="CY82" i="3"/>
  <c r="CV82" i="3"/>
  <c r="CU82" i="3"/>
  <c r="CT82" i="3"/>
  <c r="CS82" i="3"/>
  <c r="CR82" i="3"/>
  <c r="CQ82" i="3"/>
  <c r="CN82" i="3"/>
  <c r="CM82" i="3"/>
  <c r="CL82" i="3"/>
  <c r="CK82" i="3"/>
  <c r="CJ82" i="3"/>
  <c r="CI82" i="3"/>
  <c r="CH82" i="3"/>
  <c r="CE82" i="3"/>
  <c r="CD82" i="3"/>
  <c r="CC82" i="3"/>
  <c r="CB82" i="3"/>
  <c r="CA82" i="3"/>
  <c r="BZ82" i="3"/>
  <c r="BY82" i="3"/>
  <c r="BV82" i="3"/>
  <c r="BU82" i="3"/>
  <c r="BT82" i="3"/>
  <c r="BS82" i="3"/>
  <c r="BR82" i="3"/>
  <c r="BQ82" i="3"/>
  <c r="BO82" i="3"/>
  <c r="BN82" i="3"/>
  <c r="BM82" i="3"/>
  <c r="BL82" i="3"/>
  <c r="BK82" i="3"/>
  <c r="BJ82" i="3"/>
  <c r="BI82" i="3"/>
  <c r="BH82" i="3"/>
  <c r="BG82" i="3"/>
  <c r="BF82" i="3"/>
  <c r="BE82" i="3"/>
  <c r="BD82" i="3"/>
  <c r="BC82" i="3"/>
  <c r="P52" i="3" l="1"/>
  <c r="L52" i="3"/>
  <c r="K52" i="3"/>
  <c r="J52" i="3"/>
  <c r="I52" i="3"/>
  <c r="H52" i="3"/>
  <c r="G52" i="3"/>
  <c r="F52" i="3"/>
  <c r="P61" i="3" l="1"/>
  <c r="L61" i="3"/>
  <c r="K61" i="3"/>
  <c r="J61" i="3"/>
  <c r="I61" i="3"/>
  <c r="H61" i="3"/>
  <c r="G61" i="3"/>
  <c r="F61" i="3"/>
  <c r="P56" i="3"/>
  <c r="L56" i="3"/>
  <c r="K56" i="3"/>
  <c r="J56" i="3"/>
  <c r="I56" i="3"/>
  <c r="H56" i="3"/>
  <c r="G56" i="3"/>
  <c r="F56" i="3"/>
  <c r="H79" i="3" l="1"/>
  <c r="G79" i="3"/>
  <c r="H78" i="3"/>
  <c r="G78" i="3"/>
  <c r="H77" i="3"/>
  <c r="G77" i="3"/>
  <c r="H76" i="3"/>
  <c r="G76" i="3"/>
  <c r="L76" i="3"/>
  <c r="K76" i="3"/>
  <c r="J76" i="3"/>
  <c r="I76" i="3"/>
  <c r="F76" i="3"/>
  <c r="P12" i="3"/>
  <c r="L12" i="3"/>
  <c r="K12" i="3"/>
  <c r="J12" i="3"/>
  <c r="I12" i="3"/>
  <c r="H12" i="3"/>
  <c r="G12" i="3"/>
  <c r="F12" i="3"/>
  <c r="P50" i="3"/>
  <c r="L50" i="3"/>
  <c r="K50" i="3"/>
  <c r="J50" i="3"/>
  <c r="I50" i="3"/>
  <c r="H50" i="3"/>
  <c r="G50" i="3"/>
  <c r="F50" i="3"/>
  <c r="S71" i="3" l="1"/>
  <c r="P81" i="3"/>
  <c r="Q77" i="3" s="1"/>
  <c r="BB82" i="3"/>
  <c r="BA82" i="3"/>
  <c r="AZ82" i="3"/>
  <c r="AY82" i="3"/>
  <c r="AX82" i="3"/>
  <c r="AW82" i="3"/>
  <c r="AV82" i="3"/>
  <c r="AU82" i="3"/>
  <c r="AT82" i="3"/>
  <c r="AS82" i="3"/>
  <c r="AR82" i="3"/>
  <c r="AQ82" i="3"/>
  <c r="AP82" i="3"/>
  <c r="AO82" i="3"/>
  <c r="AG82" i="3"/>
  <c r="AF82" i="3"/>
  <c r="AE82" i="3"/>
  <c r="AD82" i="3"/>
  <c r="AC82" i="3"/>
  <c r="AB82" i="3"/>
  <c r="AA82" i="3"/>
  <c r="Z82" i="3"/>
  <c r="Y82" i="3"/>
  <c r="X82" i="3"/>
  <c r="W82" i="3"/>
  <c r="V82" i="3"/>
  <c r="U82" i="3"/>
  <c r="T82" i="3"/>
  <c r="AN82" i="3"/>
  <c r="AM82" i="3"/>
  <c r="AL82" i="3"/>
  <c r="AK82" i="3"/>
  <c r="AJ82" i="3"/>
  <c r="AH82" i="3"/>
  <c r="AI82" i="3"/>
  <c r="L66" i="3"/>
  <c r="K66" i="3"/>
  <c r="J66" i="3"/>
  <c r="I66" i="3"/>
  <c r="H66" i="3"/>
  <c r="G66" i="3"/>
  <c r="F66" i="3"/>
  <c r="L65" i="3"/>
  <c r="K65" i="3"/>
  <c r="J65" i="3"/>
  <c r="I65" i="3"/>
  <c r="H65" i="3"/>
  <c r="G65" i="3"/>
  <c r="F65" i="3"/>
  <c r="L64" i="3"/>
  <c r="K64" i="3"/>
  <c r="J64" i="3"/>
  <c r="I64" i="3"/>
  <c r="H64" i="3"/>
  <c r="G64" i="3"/>
  <c r="F64" i="3"/>
  <c r="L63" i="3"/>
  <c r="K63" i="3"/>
  <c r="J63" i="3"/>
  <c r="I63" i="3"/>
  <c r="H63" i="3"/>
  <c r="G63" i="3"/>
  <c r="F63" i="3"/>
  <c r="NJ70" i="3"/>
  <c r="NI70" i="3"/>
  <c r="NH70" i="3"/>
  <c r="NG70" i="3"/>
  <c r="NF70" i="3"/>
  <c r="NE70" i="3"/>
  <c r="ND70" i="3"/>
  <c r="NC70" i="3"/>
  <c r="NB70" i="3"/>
  <c r="NA70" i="3"/>
  <c r="MZ70" i="3"/>
  <c r="MY70" i="3"/>
  <c r="MX70" i="3"/>
  <c r="MW70" i="3"/>
  <c r="MV70" i="3"/>
  <c r="MU70" i="3"/>
  <c r="MT70" i="3"/>
  <c r="MS70" i="3"/>
  <c r="MR70" i="3"/>
  <c r="MQ70" i="3"/>
  <c r="MP70" i="3"/>
  <c r="MO70" i="3"/>
  <c r="MN70" i="3"/>
  <c r="MM70" i="3"/>
  <c r="ML70" i="3"/>
  <c r="MK70" i="3"/>
  <c r="MJ70" i="3"/>
  <c r="MI70" i="3"/>
  <c r="MH70" i="3"/>
  <c r="MG70" i="3"/>
  <c r="MF70" i="3"/>
  <c r="ME70" i="3"/>
  <c r="MD70" i="3"/>
  <c r="MC70" i="3"/>
  <c r="MB70" i="3"/>
  <c r="MA70" i="3"/>
  <c r="LZ70" i="3"/>
  <c r="LY70" i="3"/>
  <c r="LX70" i="3"/>
  <c r="LW70" i="3"/>
  <c r="LV70" i="3"/>
  <c r="LU70" i="3"/>
  <c r="LT70" i="3"/>
  <c r="LS70" i="3"/>
  <c r="LR70" i="3"/>
  <c r="LQ70" i="3"/>
  <c r="LP70" i="3"/>
  <c r="LO70" i="3"/>
  <c r="LN70" i="3"/>
  <c r="LM70" i="3"/>
  <c r="LL70" i="3"/>
  <c r="LK70" i="3"/>
  <c r="LJ70" i="3"/>
  <c r="LI70" i="3"/>
  <c r="LH70" i="3"/>
  <c r="LG70" i="3"/>
  <c r="LF70" i="3"/>
  <c r="LE70" i="3"/>
  <c r="LD70" i="3"/>
  <c r="LC70" i="3"/>
  <c r="LB70" i="3"/>
  <c r="LA70" i="3"/>
  <c r="KZ70" i="3"/>
  <c r="KY70" i="3"/>
  <c r="KX70" i="3"/>
  <c r="KW70" i="3"/>
  <c r="KV70" i="3"/>
  <c r="KU70" i="3"/>
  <c r="KT70" i="3"/>
  <c r="KS70" i="3"/>
  <c r="KR70" i="3"/>
  <c r="KQ70" i="3"/>
  <c r="KP70" i="3"/>
  <c r="KO70" i="3"/>
  <c r="KN70" i="3"/>
  <c r="KM70" i="3"/>
  <c r="KL70" i="3"/>
  <c r="KK70" i="3"/>
  <c r="KJ70" i="3"/>
  <c r="KI70" i="3"/>
  <c r="KH70" i="3"/>
  <c r="KG70" i="3"/>
  <c r="KF70" i="3"/>
  <c r="KE70" i="3"/>
  <c r="KD70" i="3"/>
  <c r="KC70" i="3"/>
  <c r="KB70" i="3"/>
  <c r="KA70" i="3"/>
  <c r="JZ70" i="3"/>
  <c r="JY70" i="3"/>
  <c r="JX70" i="3"/>
  <c r="JW70" i="3"/>
  <c r="JV70" i="3"/>
  <c r="JU70" i="3"/>
  <c r="JT70" i="3"/>
  <c r="JS70" i="3"/>
  <c r="JR70" i="3"/>
  <c r="JQ70" i="3"/>
  <c r="JP70" i="3"/>
  <c r="JO70" i="3"/>
  <c r="JN70" i="3"/>
  <c r="JM70" i="3"/>
  <c r="JL70" i="3"/>
  <c r="JK70" i="3"/>
  <c r="JJ70" i="3"/>
  <c r="JI70" i="3"/>
  <c r="JH70" i="3"/>
  <c r="JG70" i="3"/>
  <c r="JF70" i="3"/>
  <c r="JE70" i="3"/>
  <c r="JD70" i="3"/>
  <c r="JC70" i="3"/>
  <c r="JB70" i="3"/>
  <c r="JA70" i="3"/>
  <c r="IZ70" i="3"/>
  <c r="IY70" i="3"/>
  <c r="IX70" i="3"/>
  <c r="IW70" i="3"/>
  <c r="IV70" i="3"/>
  <c r="IU70" i="3"/>
  <c r="IT70" i="3"/>
  <c r="IS70" i="3"/>
  <c r="IR70" i="3"/>
  <c r="IQ70" i="3"/>
  <c r="IP70" i="3"/>
  <c r="IO70" i="3"/>
  <c r="IN70" i="3"/>
  <c r="IK70" i="3"/>
  <c r="IJ70" i="3"/>
  <c r="II70" i="3"/>
  <c r="IH70" i="3"/>
  <c r="IG70" i="3"/>
  <c r="IF70" i="3"/>
  <c r="IE70" i="3"/>
  <c r="IB70" i="3"/>
  <c r="IA70" i="3"/>
  <c r="HZ70" i="3"/>
  <c r="HY70" i="3"/>
  <c r="HX70" i="3"/>
  <c r="HW70" i="3"/>
  <c r="HV70" i="3"/>
  <c r="HS70" i="3"/>
  <c r="HR70" i="3"/>
  <c r="HQ70" i="3"/>
  <c r="HP70" i="3"/>
  <c r="HO70" i="3"/>
  <c r="HN70" i="3"/>
  <c r="HM70" i="3"/>
  <c r="HJ70" i="3"/>
  <c r="HI70" i="3"/>
  <c r="HH70" i="3"/>
  <c r="HG70" i="3"/>
  <c r="HF70" i="3"/>
  <c r="HE70" i="3"/>
  <c r="HD70" i="3"/>
  <c r="HA70" i="3"/>
  <c r="GZ70" i="3"/>
  <c r="GY70" i="3"/>
  <c r="GX70" i="3"/>
  <c r="GW70" i="3"/>
  <c r="GV70" i="3"/>
  <c r="GU70" i="3"/>
  <c r="GR70" i="3"/>
  <c r="GQ70" i="3"/>
  <c r="GP70" i="3"/>
  <c r="GO70" i="3"/>
  <c r="GN70" i="3"/>
  <c r="GM70" i="3"/>
  <c r="GL70" i="3"/>
  <c r="GI70" i="3"/>
  <c r="GH70" i="3"/>
  <c r="GG70" i="3"/>
  <c r="GF70" i="3"/>
  <c r="GE70" i="3"/>
  <c r="GD70" i="3"/>
  <c r="GC70" i="3"/>
  <c r="FZ70" i="3"/>
  <c r="FY70" i="3"/>
  <c r="FX70" i="3"/>
  <c r="FW70" i="3"/>
  <c r="FV70" i="3"/>
  <c r="FU70" i="3"/>
  <c r="FT70" i="3"/>
  <c r="FQ70" i="3"/>
  <c r="FP70" i="3"/>
  <c r="FO70" i="3"/>
  <c r="FN70" i="3"/>
  <c r="FM70" i="3"/>
  <c r="FL70" i="3"/>
  <c r="FK70" i="3"/>
  <c r="FH70" i="3"/>
  <c r="FG70" i="3"/>
  <c r="FF70" i="3"/>
  <c r="FE70" i="3"/>
  <c r="FD70" i="3"/>
  <c r="FC70" i="3"/>
  <c r="FB70" i="3"/>
  <c r="EY70" i="3"/>
  <c r="EX70" i="3"/>
  <c r="EW70" i="3"/>
  <c r="EV70" i="3"/>
  <c r="EU70" i="3"/>
  <c r="ET70" i="3"/>
  <c r="ES70" i="3"/>
  <c r="EP70" i="3"/>
  <c r="EO70" i="3"/>
  <c r="EN70" i="3"/>
  <c r="EM70" i="3"/>
  <c r="EL70" i="3"/>
  <c r="EK70" i="3"/>
  <c r="EJ70" i="3"/>
  <c r="EI70" i="3"/>
  <c r="EF70" i="3"/>
  <c r="EE70" i="3"/>
  <c r="ED70" i="3"/>
  <c r="EC70" i="3"/>
  <c r="EB70" i="3"/>
  <c r="EA70" i="3"/>
  <c r="DZ70" i="3"/>
  <c r="DW70" i="3"/>
  <c r="DV70" i="3"/>
  <c r="DU70" i="3"/>
  <c r="DT70" i="3"/>
  <c r="DS70" i="3"/>
  <c r="DR70" i="3"/>
  <c r="DO70" i="3"/>
  <c r="DN70" i="3"/>
  <c r="DM70" i="3"/>
  <c r="DL70" i="3"/>
  <c r="DK70" i="3"/>
  <c r="DJ70" i="3"/>
  <c r="DI70" i="3"/>
  <c r="DF70" i="3"/>
  <c r="DE70" i="3"/>
  <c r="DD70" i="3"/>
  <c r="DC70" i="3"/>
  <c r="DB70" i="3"/>
  <c r="DA70" i="3"/>
  <c r="CZ70" i="3"/>
  <c r="CY70" i="3"/>
  <c r="CV70" i="3"/>
  <c r="CU70" i="3"/>
  <c r="CT70" i="3"/>
  <c r="CS70" i="3"/>
  <c r="CR70" i="3"/>
  <c r="CQ70" i="3"/>
  <c r="CN70" i="3"/>
  <c r="CM70" i="3"/>
  <c r="CL70" i="3"/>
  <c r="CK70" i="3"/>
  <c r="CJ70" i="3"/>
  <c r="CI70" i="3"/>
  <c r="CH70" i="3"/>
  <c r="CE70" i="3"/>
  <c r="CD70" i="3"/>
  <c r="CC70" i="3"/>
  <c r="CB70" i="3"/>
  <c r="CA70" i="3"/>
  <c r="BZ70" i="3"/>
  <c r="BY70" i="3"/>
  <c r="BV70" i="3"/>
  <c r="BU70" i="3"/>
  <c r="BT70" i="3"/>
  <c r="BS70" i="3"/>
  <c r="BR70" i="3"/>
  <c r="BQ70" i="3"/>
  <c r="BO70" i="3"/>
  <c r="BN70" i="3"/>
  <c r="BM70" i="3"/>
  <c r="BL70" i="3"/>
  <c r="BK70" i="3"/>
  <c r="BJ70" i="3"/>
  <c r="BI70" i="3"/>
  <c r="BH70" i="3"/>
  <c r="BG70" i="3"/>
  <c r="BF70" i="3"/>
  <c r="BE70" i="3"/>
  <c r="BD70" i="3"/>
  <c r="BC70" i="3"/>
  <c r="BB70" i="3"/>
  <c r="BA70" i="3"/>
  <c r="AZ70" i="3"/>
  <c r="AY70" i="3"/>
  <c r="AY83" i="3" s="1"/>
  <c r="AX70" i="3"/>
  <c r="AW70" i="3"/>
  <c r="AV70" i="3"/>
  <c r="AV83" i="3" s="1"/>
  <c r="AU70" i="3"/>
  <c r="AT70" i="3"/>
  <c r="AS70" i="3"/>
  <c r="AR70" i="3"/>
  <c r="AQ70" i="3"/>
  <c r="AQ83" i="3" s="1"/>
  <c r="AP70" i="3"/>
  <c r="AO70" i="3"/>
  <c r="S70" i="3"/>
  <c r="AG70" i="3"/>
  <c r="AF70" i="3"/>
  <c r="AE70" i="3"/>
  <c r="AD70" i="3"/>
  <c r="AC70" i="3"/>
  <c r="AB70" i="3"/>
  <c r="AA70" i="3"/>
  <c r="Z70" i="3"/>
  <c r="Y70" i="3"/>
  <c r="X70" i="3"/>
  <c r="W70" i="3"/>
  <c r="V70" i="3"/>
  <c r="U70" i="3"/>
  <c r="T70" i="3"/>
  <c r="AN70" i="3"/>
  <c r="AM70" i="3"/>
  <c r="AL70" i="3"/>
  <c r="AK70" i="3"/>
  <c r="AJ70" i="3"/>
  <c r="AH70" i="3"/>
  <c r="AI70" i="3"/>
  <c r="R66" i="3"/>
  <c r="R65" i="3"/>
  <c r="P69" i="3"/>
  <c r="Q58" i="3" s="1"/>
  <c r="P49" i="3"/>
  <c r="L49" i="3"/>
  <c r="K49" i="3"/>
  <c r="J49" i="3"/>
  <c r="I49" i="3"/>
  <c r="H49" i="3"/>
  <c r="G49" i="3"/>
  <c r="F49" i="3"/>
  <c r="H68" i="3"/>
  <c r="G68" i="3"/>
  <c r="H60" i="3"/>
  <c r="G60" i="3"/>
  <c r="H59" i="3"/>
  <c r="G59" i="3"/>
  <c r="H57" i="3"/>
  <c r="G57" i="3"/>
  <c r="H55" i="3"/>
  <c r="G55" i="3"/>
  <c r="H54" i="3"/>
  <c r="G54" i="3"/>
  <c r="H53" i="3"/>
  <c r="G53" i="3"/>
  <c r="H51" i="3"/>
  <c r="G51" i="3"/>
  <c r="H48" i="3"/>
  <c r="G48" i="3"/>
  <c r="H46" i="3"/>
  <c r="G46" i="3"/>
  <c r="L60" i="3"/>
  <c r="K60" i="3"/>
  <c r="J60" i="3"/>
  <c r="I60" i="3"/>
  <c r="F60" i="3"/>
  <c r="L59" i="3"/>
  <c r="K59" i="3"/>
  <c r="J59" i="3"/>
  <c r="I59" i="3"/>
  <c r="F59" i="3"/>
  <c r="L57" i="3"/>
  <c r="K57" i="3"/>
  <c r="J57" i="3"/>
  <c r="I57" i="3"/>
  <c r="F57" i="3"/>
  <c r="L51" i="3"/>
  <c r="K51" i="3"/>
  <c r="J51" i="3"/>
  <c r="I51" i="3"/>
  <c r="F51" i="3"/>
  <c r="S40" i="3"/>
  <c r="S41" i="3" s="1"/>
  <c r="S72" i="3" s="1"/>
  <c r="T83" i="3" l="1"/>
  <c r="AB83" i="3"/>
  <c r="Q62" i="3"/>
  <c r="Q67" i="3"/>
  <c r="Q47" i="3"/>
  <c r="Q63" i="3"/>
  <c r="AN83" i="3"/>
  <c r="AA83" i="3"/>
  <c r="AG83" i="3"/>
  <c r="AM83" i="3"/>
  <c r="Z83" i="3"/>
  <c r="Q79" i="3"/>
  <c r="Q78" i="3"/>
  <c r="Q76" i="3"/>
  <c r="Q82" i="3"/>
  <c r="Q59" i="3"/>
  <c r="Q50" i="3"/>
  <c r="Q48" i="3"/>
  <c r="Q60" i="3"/>
  <c r="Q57" i="3"/>
  <c r="Q49" i="3"/>
  <c r="Q61" i="3"/>
  <c r="Q56" i="3"/>
  <c r="Q46" i="3"/>
  <c r="Q55" i="3"/>
  <c r="Q52" i="3"/>
  <c r="Q54" i="3"/>
  <c r="Q51" i="3"/>
  <c r="Q53" i="3"/>
  <c r="Q70" i="3"/>
  <c r="AE83" i="3"/>
  <c r="AT83" i="3"/>
  <c r="BB83" i="3"/>
  <c r="W83" i="3"/>
  <c r="AJ83" i="3"/>
  <c r="AH83" i="3"/>
  <c r="V83" i="3"/>
  <c r="AD83" i="3"/>
  <c r="AC83" i="3"/>
  <c r="X83" i="3"/>
  <c r="AF83" i="3"/>
  <c r="AO83" i="3"/>
  <c r="AZ83" i="3"/>
  <c r="AR83" i="3"/>
  <c r="AS83" i="3"/>
  <c r="BA83" i="3"/>
  <c r="AU83" i="3"/>
  <c r="AP83" i="3"/>
  <c r="AX83" i="3"/>
  <c r="U83" i="3"/>
  <c r="AW83" i="3"/>
  <c r="EY83" i="3"/>
  <c r="AL83" i="3"/>
  <c r="Y83" i="3"/>
  <c r="AI83" i="3"/>
  <c r="AK83" i="3"/>
  <c r="R64" i="3"/>
  <c r="S2" i="3"/>
  <c r="HA38" i="3"/>
  <c r="HA83" i="3"/>
  <c r="T1" i="3"/>
  <c r="T2" i="3" l="1"/>
  <c r="T71" i="3"/>
  <c r="U1" i="3"/>
  <c r="T40" i="3"/>
  <c r="T41" i="3" s="1"/>
  <c r="T72" i="3" s="1"/>
  <c r="P6" i="3"/>
  <c r="P8" i="3"/>
  <c r="U40" i="3" l="1"/>
  <c r="U41" i="3" s="1"/>
  <c r="U72" i="3" s="1"/>
  <c r="U71" i="3"/>
  <c r="V1" i="3"/>
  <c r="U2" i="3"/>
  <c r="N38"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8" i="3"/>
  <c r="F7" i="3"/>
  <c r="P7" i="3"/>
  <c r="P9" i="3"/>
  <c r="P10" i="3"/>
  <c r="P13" i="3"/>
  <c r="P14" i="3"/>
  <c r="P15" i="3"/>
  <c r="P17" i="3"/>
  <c r="P18" i="3"/>
  <c r="P19" i="3"/>
  <c r="P20" i="3"/>
  <c r="P21" i="3"/>
  <c r="P22" i="3"/>
  <c r="P23" i="3"/>
  <c r="P24" i="3"/>
  <c r="P25" i="3"/>
  <c r="P26" i="3"/>
  <c r="P27" i="3"/>
  <c r="P28" i="3"/>
  <c r="P29" i="3"/>
  <c r="P30" i="3"/>
  <c r="P36" i="3"/>
  <c r="O38" i="3"/>
  <c r="S38" i="3"/>
  <c r="T38" i="3"/>
  <c r="U38" i="3"/>
  <c r="V38" i="3"/>
  <c r="W38" i="3"/>
  <c r="Y38" i="3"/>
  <c r="Z38" i="3"/>
  <c r="AA38" i="3"/>
  <c r="AB38" i="3"/>
  <c r="AC38" i="3"/>
  <c r="AD38" i="3"/>
  <c r="AE38" i="3"/>
  <c r="AF38" i="3"/>
  <c r="AG38" i="3"/>
  <c r="AH38" i="3"/>
  <c r="AI38" i="3"/>
  <c r="AJ38" i="3"/>
  <c r="AK38" i="3"/>
  <c r="AL38" i="3"/>
  <c r="AM38" i="3"/>
  <c r="AN38" i="3"/>
  <c r="AO38" i="3"/>
  <c r="AP38" i="3"/>
  <c r="AQ38" i="3"/>
  <c r="AR38" i="3"/>
  <c r="AS38" i="3"/>
  <c r="AT38" i="3"/>
  <c r="AU38" i="3"/>
  <c r="AV38" i="3"/>
  <c r="AW38" i="3"/>
  <c r="AX38" i="3"/>
  <c r="AY38" i="3"/>
  <c r="AZ38" i="3"/>
  <c r="BA38" i="3"/>
  <c r="BB38" i="3"/>
  <c r="BC38" i="3"/>
  <c r="BD38" i="3"/>
  <c r="BE38" i="3"/>
  <c r="BF38" i="3"/>
  <c r="BG38" i="3"/>
  <c r="BH38" i="3"/>
  <c r="BI38" i="3"/>
  <c r="BJ38" i="3"/>
  <c r="BK38" i="3"/>
  <c r="BL38" i="3"/>
  <c r="BM38" i="3"/>
  <c r="BN38" i="3"/>
  <c r="BO38" i="3"/>
  <c r="BQ38" i="3"/>
  <c r="BR38" i="3"/>
  <c r="BS38" i="3"/>
  <c r="BT38" i="3"/>
  <c r="BU38" i="3"/>
  <c r="BV38" i="3"/>
  <c r="BZ38" i="3"/>
  <c r="CA38" i="3"/>
  <c r="CB38" i="3"/>
  <c r="CC38" i="3"/>
  <c r="CD38" i="3"/>
  <c r="CE38" i="3"/>
  <c r="CI38" i="3"/>
  <c r="CJ38" i="3"/>
  <c r="CK38" i="3"/>
  <c r="CL38" i="3"/>
  <c r="CM38" i="3"/>
  <c r="CN38" i="3"/>
  <c r="CR38" i="3"/>
  <c r="CS38" i="3"/>
  <c r="CT38" i="3"/>
  <c r="CU38" i="3"/>
  <c r="CV38" i="3"/>
  <c r="CY38" i="3"/>
  <c r="DA38" i="3"/>
  <c r="DB38" i="3"/>
  <c r="DC38" i="3"/>
  <c r="DD38" i="3"/>
  <c r="DE38" i="3"/>
  <c r="DF38" i="3"/>
  <c r="DJ38" i="3"/>
  <c r="DK38" i="3"/>
  <c r="DL38" i="3"/>
  <c r="DM38" i="3"/>
  <c r="DN38" i="3"/>
  <c r="DO38" i="3"/>
  <c r="DS38" i="3"/>
  <c r="DT38" i="3"/>
  <c r="DU38" i="3"/>
  <c r="DV38" i="3"/>
  <c r="DW38" i="3"/>
  <c r="EB38" i="3"/>
  <c r="EC38" i="3"/>
  <c r="ED38" i="3"/>
  <c r="EE38" i="3"/>
  <c r="EF38" i="3"/>
  <c r="EK38" i="3"/>
  <c r="EL38" i="3"/>
  <c r="EM38" i="3"/>
  <c r="EN38" i="3"/>
  <c r="EO38" i="3"/>
  <c r="EP38" i="3"/>
  <c r="ET38" i="3"/>
  <c r="EU38" i="3"/>
  <c r="EV38" i="3"/>
  <c r="EW38" i="3"/>
  <c r="FC38" i="3"/>
  <c r="FD38" i="3"/>
  <c r="FE38" i="3"/>
  <c r="FF38" i="3"/>
  <c r="FG38" i="3"/>
  <c r="FL38" i="3"/>
  <c r="FM38" i="3"/>
  <c r="FN38" i="3"/>
  <c r="FO38" i="3"/>
  <c r="FP38" i="3"/>
  <c r="FQ38" i="3"/>
  <c r="FU38" i="3"/>
  <c r="FV38" i="3"/>
  <c r="FW38" i="3"/>
  <c r="FX38" i="3"/>
  <c r="FY38" i="3"/>
  <c r="FZ38" i="3"/>
  <c r="GD38" i="3"/>
  <c r="GE38" i="3"/>
  <c r="GF38" i="3"/>
  <c r="GG38" i="3"/>
  <c r="GH38" i="3"/>
  <c r="GI38" i="3"/>
  <c r="GM38" i="3"/>
  <c r="GN38" i="3"/>
  <c r="GO38" i="3"/>
  <c r="GP38" i="3"/>
  <c r="GQ38" i="3"/>
  <c r="GR38" i="3"/>
  <c r="GV38" i="3"/>
  <c r="GW38" i="3"/>
  <c r="GX38" i="3"/>
  <c r="GY38" i="3"/>
  <c r="GZ38" i="3"/>
  <c r="HE38" i="3"/>
  <c r="HF38" i="3"/>
  <c r="HG38" i="3"/>
  <c r="HH38" i="3"/>
  <c r="HI38" i="3"/>
  <c r="HN38" i="3"/>
  <c r="HO38" i="3"/>
  <c r="HP38" i="3"/>
  <c r="HQ38" i="3"/>
  <c r="HR38" i="3"/>
  <c r="HS38" i="3"/>
  <c r="HW38" i="3"/>
  <c r="HX38" i="3"/>
  <c r="HY38" i="3"/>
  <c r="HZ38" i="3"/>
  <c r="IA38" i="3"/>
  <c r="IB38" i="3"/>
  <c r="IF38" i="3"/>
  <c r="IG38" i="3"/>
  <c r="IH38" i="3"/>
  <c r="II38" i="3"/>
  <c r="IJ38" i="3"/>
  <c r="IK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JO38" i="3"/>
  <c r="JP38" i="3"/>
  <c r="JQ38" i="3"/>
  <c r="JR38" i="3"/>
  <c r="JS38" i="3"/>
  <c r="JT38" i="3"/>
  <c r="JU38" i="3"/>
  <c r="JV38" i="3"/>
  <c r="JW38" i="3"/>
  <c r="JX38" i="3"/>
  <c r="JY38" i="3"/>
  <c r="JZ38" i="3"/>
  <c r="KA38" i="3"/>
  <c r="KB38" i="3"/>
  <c r="KC38" i="3"/>
  <c r="KD38" i="3"/>
  <c r="KE38" i="3"/>
  <c r="KF38" i="3"/>
  <c r="KG38" i="3"/>
  <c r="KH38" i="3"/>
  <c r="KI38" i="3"/>
  <c r="KJ38" i="3"/>
  <c r="KK38" i="3"/>
  <c r="KL38" i="3"/>
  <c r="KM38" i="3"/>
  <c r="KN38" i="3"/>
  <c r="KO38" i="3"/>
  <c r="KP38" i="3"/>
  <c r="KQ38" i="3"/>
  <c r="KR38" i="3"/>
  <c r="KS38" i="3"/>
  <c r="KT38" i="3"/>
  <c r="KU38" i="3"/>
  <c r="KV38" i="3"/>
  <c r="KW38" i="3"/>
  <c r="KX38" i="3"/>
  <c r="KY38" i="3"/>
  <c r="KZ38" i="3"/>
  <c r="LA38" i="3"/>
  <c r="LB38" i="3"/>
  <c r="LC38" i="3"/>
  <c r="LD38" i="3"/>
  <c r="LE38" i="3"/>
  <c r="LF38" i="3"/>
  <c r="LG38" i="3"/>
  <c r="LH38" i="3"/>
  <c r="LI38" i="3"/>
  <c r="LJ38" i="3"/>
  <c r="LK38" i="3"/>
  <c r="LL38" i="3"/>
  <c r="LM38" i="3"/>
  <c r="LN38" i="3"/>
  <c r="LO38" i="3"/>
  <c r="LP38" i="3"/>
  <c r="LQ38" i="3"/>
  <c r="LR38" i="3"/>
  <c r="LS38" i="3"/>
  <c r="LT38" i="3"/>
  <c r="LU38" i="3"/>
  <c r="LV38" i="3"/>
  <c r="LW38" i="3"/>
  <c r="LX38" i="3"/>
  <c r="LY38" i="3"/>
  <c r="LZ38" i="3"/>
  <c r="MA38" i="3"/>
  <c r="MB38" i="3"/>
  <c r="MC38" i="3"/>
  <c r="MD38" i="3"/>
  <c r="ME38" i="3"/>
  <c r="MF38" i="3"/>
  <c r="MG38" i="3"/>
  <c r="MH38" i="3"/>
  <c r="MI38" i="3"/>
  <c r="MJ38" i="3"/>
  <c r="MK38" i="3"/>
  <c r="ML38" i="3"/>
  <c r="MM38" i="3"/>
  <c r="MN38" i="3"/>
  <c r="MO38" i="3"/>
  <c r="MP38" i="3"/>
  <c r="MQ38" i="3"/>
  <c r="MR38" i="3"/>
  <c r="MS38" i="3"/>
  <c r="MT38" i="3"/>
  <c r="MU38" i="3"/>
  <c r="MV38" i="3"/>
  <c r="MW38" i="3"/>
  <c r="MX38" i="3"/>
  <c r="MY38" i="3"/>
  <c r="MZ38" i="3"/>
  <c r="NA38" i="3"/>
  <c r="NB38" i="3"/>
  <c r="NC38" i="3"/>
  <c r="ND38" i="3"/>
  <c r="NE38" i="3"/>
  <c r="NF38" i="3"/>
  <c r="NG38" i="3"/>
  <c r="NH38" i="3"/>
  <c r="NI38" i="3"/>
  <c r="NJ38" i="3"/>
  <c r="P45" i="3"/>
  <c r="F46" i="3"/>
  <c r="I46" i="3"/>
  <c r="J46" i="3"/>
  <c r="K46" i="3"/>
  <c r="L46" i="3"/>
  <c r="P46" i="3"/>
  <c r="F48" i="3"/>
  <c r="I48" i="3"/>
  <c r="J48" i="3"/>
  <c r="K48" i="3"/>
  <c r="L48" i="3"/>
  <c r="P48" i="3"/>
  <c r="P51" i="3"/>
  <c r="F53" i="3"/>
  <c r="I53" i="3"/>
  <c r="J53" i="3"/>
  <c r="K53" i="3"/>
  <c r="L53" i="3"/>
  <c r="P53" i="3"/>
  <c r="F54" i="3"/>
  <c r="I54" i="3"/>
  <c r="J54" i="3"/>
  <c r="K54" i="3"/>
  <c r="L54" i="3"/>
  <c r="P54" i="3"/>
  <c r="F55" i="3"/>
  <c r="I55" i="3"/>
  <c r="J55" i="3"/>
  <c r="K55" i="3"/>
  <c r="L55" i="3"/>
  <c r="P55" i="3"/>
  <c r="P57" i="3"/>
  <c r="P59" i="3"/>
  <c r="P60" i="3"/>
  <c r="P64" i="3"/>
  <c r="P65" i="3"/>
  <c r="P66" i="3"/>
  <c r="F68" i="3"/>
  <c r="I68" i="3"/>
  <c r="J68" i="3"/>
  <c r="K68" i="3"/>
  <c r="L68" i="3"/>
  <c r="P68" i="3"/>
  <c r="F74" i="3"/>
  <c r="I74" i="3"/>
  <c r="J74" i="3"/>
  <c r="K74" i="3"/>
  <c r="L74" i="3"/>
  <c r="P74" i="3"/>
  <c r="F75" i="3"/>
  <c r="I75" i="3"/>
  <c r="J75" i="3"/>
  <c r="K75" i="3"/>
  <c r="L75" i="3"/>
  <c r="P75" i="3"/>
  <c r="P76" i="3"/>
  <c r="F77" i="3"/>
  <c r="I77" i="3"/>
  <c r="J77" i="3"/>
  <c r="K77" i="3"/>
  <c r="L77" i="3"/>
  <c r="P77" i="3"/>
  <c r="F78" i="3"/>
  <c r="I78" i="3"/>
  <c r="J78" i="3"/>
  <c r="K78" i="3"/>
  <c r="L78" i="3"/>
  <c r="P78" i="3"/>
  <c r="F79" i="3"/>
  <c r="I79" i="3"/>
  <c r="J79" i="3"/>
  <c r="K79" i="3"/>
  <c r="L79" i="3"/>
  <c r="P79" i="3"/>
  <c r="P80" i="3"/>
  <c r="S82" i="3"/>
  <c r="S83" i="3" s="1"/>
  <c r="BC83" i="3"/>
  <c r="BD83" i="3"/>
  <c r="BE83" i="3"/>
  <c r="BF83" i="3"/>
  <c r="BG83" i="3"/>
  <c r="BH83" i="3"/>
  <c r="BI83" i="3"/>
  <c r="BJ83" i="3"/>
  <c r="BK83" i="3"/>
  <c r="BL83" i="3"/>
  <c r="BM83" i="3"/>
  <c r="BN83" i="3"/>
  <c r="BO83" i="3"/>
  <c r="BQ83" i="3"/>
  <c r="BR83" i="3"/>
  <c r="BS83" i="3"/>
  <c r="BT83" i="3"/>
  <c r="BU83" i="3"/>
  <c r="BV83" i="3"/>
  <c r="BY83" i="3"/>
  <c r="BZ83" i="3"/>
  <c r="CA83" i="3"/>
  <c r="CB83" i="3"/>
  <c r="CC83" i="3"/>
  <c r="CD83" i="3"/>
  <c r="CE83" i="3"/>
  <c r="CH83" i="3"/>
  <c r="CI83" i="3"/>
  <c r="CJ83" i="3"/>
  <c r="CK83" i="3"/>
  <c r="CL83" i="3"/>
  <c r="CM83" i="3"/>
  <c r="CN83" i="3"/>
  <c r="CQ83" i="3"/>
  <c r="CR83" i="3"/>
  <c r="CS83" i="3"/>
  <c r="CT83" i="3"/>
  <c r="CU83" i="3"/>
  <c r="CV83" i="3"/>
  <c r="CY83" i="3"/>
  <c r="CZ83" i="3"/>
  <c r="DA83" i="3"/>
  <c r="DB83" i="3"/>
  <c r="DC83" i="3"/>
  <c r="DD83" i="3"/>
  <c r="DE83" i="3"/>
  <c r="DF83" i="3"/>
  <c r="DI83" i="3"/>
  <c r="DJ83" i="3"/>
  <c r="DK83" i="3"/>
  <c r="DL83" i="3"/>
  <c r="DM83" i="3"/>
  <c r="DN83" i="3"/>
  <c r="DO83" i="3"/>
  <c r="DR83" i="3"/>
  <c r="DS83" i="3"/>
  <c r="DT83" i="3"/>
  <c r="DU83" i="3"/>
  <c r="DV83" i="3"/>
  <c r="DW83" i="3"/>
  <c r="DZ83" i="3"/>
  <c r="EA83" i="3"/>
  <c r="EB83" i="3"/>
  <c r="EC83" i="3"/>
  <c r="ED83" i="3"/>
  <c r="EE83" i="3"/>
  <c r="EF83" i="3"/>
  <c r="EI83" i="3"/>
  <c r="EJ83" i="3"/>
  <c r="EK83" i="3"/>
  <c r="EL83" i="3"/>
  <c r="EM83" i="3"/>
  <c r="EN83" i="3"/>
  <c r="EO83" i="3"/>
  <c r="EP83" i="3"/>
  <c r="ES83" i="3"/>
  <c r="ET83" i="3"/>
  <c r="EU83" i="3"/>
  <c r="EV83" i="3"/>
  <c r="EW83" i="3"/>
  <c r="EX83" i="3"/>
  <c r="FB83" i="3"/>
  <c r="FC83" i="3"/>
  <c r="FD83" i="3"/>
  <c r="FE83" i="3"/>
  <c r="FF83" i="3"/>
  <c r="FG83" i="3"/>
  <c r="FH83" i="3"/>
  <c r="FK83" i="3"/>
  <c r="FL83" i="3"/>
  <c r="FM83" i="3"/>
  <c r="FN83" i="3"/>
  <c r="FO83" i="3"/>
  <c r="FP83" i="3"/>
  <c r="FQ83" i="3"/>
  <c r="FT83" i="3"/>
  <c r="FU83" i="3"/>
  <c r="FV83" i="3"/>
  <c r="FW83" i="3"/>
  <c r="FX83" i="3"/>
  <c r="FY83" i="3"/>
  <c r="FZ83" i="3"/>
  <c r="GC83" i="3"/>
  <c r="GD83" i="3"/>
  <c r="GE83" i="3"/>
  <c r="GF83" i="3"/>
  <c r="GG83" i="3"/>
  <c r="GH83" i="3"/>
  <c r="GI83" i="3"/>
  <c r="GL83" i="3"/>
  <c r="GM83" i="3"/>
  <c r="GN83" i="3"/>
  <c r="GO83" i="3"/>
  <c r="GP83" i="3"/>
  <c r="GQ83" i="3"/>
  <c r="GR83" i="3"/>
  <c r="GU83" i="3"/>
  <c r="GV83" i="3"/>
  <c r="GW83" i="3"/>
  <c r="GX83" i="3"/>
  <c r="GY83" i="3"/>
  <c r="GZ83" i="3"/>
  <c r="HD83" i="3"/>
  <c r="HE83" i="3"/>
  <c r="HF83" i="3"/>
  <c r="HG83" i="3"/>
  <c r="HH83" i="3"/>
  <c r="HI83" i="3"/>
  <c r="HJ83" i="3"/>
  <c r="HM83" i="3"/>
  <c r="HN83" i="3"/>
  <c r="HO83" i="3"/>
  <c r="HP83" i="3"/>
  <c r="HQ83" i="3"/>
  <c r="HR83" i="3"/>
  <c r="HS83" i="3"/>
  <c r="HV83" i="3"/>
  <c r="HW83" i="3"/>
  <c r="HX83" i="3"/>
  <c r="HY83" i="3"/>
  <c r="HZ83" i="3"/>
  <c r="IA83" i="3"/>
  <c r="IB83" i="3"/>
  <c r="IE83" i="3"/>
  <c r="IF83" i="3"/>
  <c r="IG83" i="3"/>
  <c r="IH83" i="3"/>
  <c r="II83" i="3"/>
  <c r="IJ83" i="3"/>
  <c r="IK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JO83" i="3"/>
  <c r="JP83" i="3"/>
  <c r="JQ83" i="3"/>
  <c r="JR83" i="3"/>
  <c r="JS83" i="3"/>
  <c r="JT83" i="3"/>
  <c r="JU83" i="3"/>
  <c r="JV83" i="3"/>
  <c r="JW83" i="3"/>
  <c r="JX83" i="3"/>
  <c r="JY83" i="3"/>
  <c r="JZ83" i="3"/>
  <c r="KA83" i="3"/>
  <c r="KB83" i="3"/>
  <c r="KC83" i="3"/>
  <c r="KD83" i="3"/>
  <c r="KE83" i="3"/>
  <c r="KF83" i="3"/>
  <c r="KG83" i="3"/>
  <c r="KH83" i="3"/>
  <c r="KI83" i="3"/>
  <c r="KJ83" i="3"/>
  <c r="KK83" i="3"/>
  <c r="KL83" i="3"/>
  <c r="KM83" i="3"/>
  <c r="KN83" i="3"/>
  <c r="KO83" i="3"/>
  <c r="KP83" i="3"/>
  <c r="KQ83" i="3"/>
  <c r="KR83" i="3"/>
  <c r="KS83" i="3"/>
  <c r="KT83" i="3"/>
  <c r="KU83" i="3"/>
  <c r="KV83" i="3"/>
  <c r="KW83" i="3"/>
  <c r="KX83" i="3"/>
  <c r="KY83" i="3"/>
  <c r="KZ83" i="3"/>
  <c r="LA83" i="3"/>
  <c r="LB83" i="3"/>
  <c r="LC83" i="3"/>
  <c r="LD83" i="3"/>
  <c r="LE83" i="3"/>
  <c r="LF83" i="3"/>
  <c r="LG83" i="3"/>
  <c r="LH83" i="3"/>
  <c r="LI83" i="3"/>
  <c r="LJ83" i="3"/>
  <c r="LK83" i="3"/>
  <c r="LL83" i="3"/>
  <c r="LM83" i="3"/>
  <c r="LN83" i="3"/>
  <c r="LO83" i="3"/>
  <c r="LP83" i="3"/>
  <c r="LQ83" i="3"/>
  <c r="LR83" i="3"/>
  <c r="LS83" i="3"/>
  <c r="LT83" i="3"/>
  <c r="LU83" i="3"/>
  <c r="LV83" i="3"/>
  <c r="LW83" i="3"/>
  <c r="LX83" i="3"/>
  <c r="LY83" i="3"/>
  <c r="LZ83" i="3"/>
  <c r="MA83" i="3"/>
  <c r="MB83" i="3"/>
  <c r="MC83" i="3"/>
  <c r="MD83" i="3"/>
  <c r="ME83" i="3"/>
  <c r="MF83" i="3"/>
  <c r="MG83" i="3"/>
  <c r="MH83" i="3"/>
  <c r="MI83" i="3"/>
  <c r="MJ83" i="3"/>
  <c r="MK83" i="3"/>
  <c r="ML83" i="3"/>
  <c r="MM83" i="3"/>
  <c r="MN83" i="3"/>
  <c r="MO83" i="3"/>
  <c r="MP83" i="3"/>
  <c r="MQ83" i="3"/>
  <c r="MR83" i="3"/>
  <c r="MS83" i="3"/>
  <c r="MT83" i="3"/>
  <c r="MU83" i="3"/>
  <c r="MV83" i="3"/>
  <c r="MW83" i="3"/>
  <c r="MX83" i="3"/>
  <c r="MY83" i="3"/>
  <c r="MZ83" i="3"/>
  <c r="NA83" i="3"/>
  <c r="NB83" i="3"/>
  <c r="NC83" i="3"/>
  <c r="ND83" i="3"/>
  <c r="NE83" i="3"/>
  <c r="NF83" i="3"/>
  <c r="NG83" i="3"/>
  <c r="NH83" i="3"/>
  <c r="NI83" i="3"/>
  <c r="NJ83" i="3"/>
  <c r="P86" i="3"/>
  <c r="P87" i="3"/>
  <c r="P88" i="3"/>
  <c r="P89" i="3"/>
  <c r="P91" i="3"/>
  <c r="P92" i="3"/>
  <c r="P93" i="3"/>
  <c r="Q90" i="3" s="1"/>
  <c r="Q32" i="3" l="1"/>
  <c r="Q31" i="3"/>
  <c r="Q33" i="3"/>
  <c r="Q91" i="3"/>
  <c r="Q86" i="3"/>
  <c r="V40" i="3"/>
  <c r="V41" i="3" s="1"/>
  <c r="V72" i="3" s="1"/>
  <c r="V71" i="3"/>
  <c r="V2" i="3"/>
  <c r="W1" i="3"/>
  <c r="H38" i="3"/>
  <c r="G38" i="3"/>
  <c r="K38" i="3"/>
  <c r="L38" i="3"/>
  <c r="I38" i="3"/>
  <c r="F38" i="3"/>
  <c r="J38" i="3"/>
  <c r="W40" i="3" l="1"/>
  <c r="W41" i="3" s="1"/>
  <c r="W72" i="3" s="1"/>
  <c r="W71" i="3"/>
  <c r="W2" i="3"/>
  <c r="X1" i="3"/>
  <c r="X40" i="3" l="1"/>
  <c r="X41" i="3" s="1"/>
  <c r="X72" i="3" s="1"/>
  <c r="X71" i="3"/>
  <c r="X2" i="3"/>
  <c r="Y1" i="3"/>
  <c r="Y2" i="3" s="1"/>
  <c r="Y40" i="3" l="1"/>
  <c r="Y41" i="3" s="1"/>
  <c r="Y72" i="3" s="1"/>
  <c r="Y71" i="3"/>
  <c r="Z1" i="3"/>
  <c r="Z40" i="3" l="1"/>
  <c r="Z41" i="3" s="1"/>
  <c r="Z72" i="3" s="1"/>
  <c r="Z71" i="3"/>
  <c r="Z2" i="3"/>
  <c r="AA1" i="3"/>
  <c r="AA40" i="3" l="1"/>
  <c r="AA41" i="3" s="1"/>
  <c r="AA72" i="3" s="1"/>
  <c r="AA71" i="3"/>
  <c r="AA2" i="3"/>
  <c r="AB1" i="3"/>
  <c r="AB40" i="3" l="1"/>
  <c r="AB41" i="3" s="1"/>
  <c r="AB72" i="3" s="1"/>
  <c r="AB71" i="3"/>
  <c r="AB2" i="3"/>
  <c r="AC1" i="3"/>
  <c r="AC40" i="3" l="1"/>
  <c r="AC41" i="3" s="1"/>
  <c r="AC72" i="3" s="1"/>
  <c r="AC71" i="3"/>
  <c r="AD1" i="3"/>
  <c r="AC2" i="3"/>
  <c r="AD40" i="3" l="1"/>
  <c r="AD41" i="3" s="1"/>
  <c r="AD72" i="3" s="1"/>
  <c r="AD71" i="3"/>
  <c r="AD2" i="3"/>
  <c r="AE1" i="3"/>
  <c r="AE40" i="3" l="1"/>
  <c r="AE41" i="3" s="1"/>
  <c r="AE72" i="3" s="1"/>
  <c r="AE71" i="3"/>
  <c r="AE2" i="3"/>
  <c r="AF1" i="3"/>
  <c r="AF40" i="3" l="1"/>
  <c r="AF41" i="3" s="1"/>
  <c r="AF72" i="3" s="1"/>
  <c r="AF71" i="3"/>
  <c r="AF2" i="3"/>
  <c r="AG1" i="3"/>
  <c r="AG40" i="3" l="1"/>
  <c r="AG41" i="3" s="1"/>
  <c r="AG72" i="3" s="1"/>
  <c r="AG71" i="3"/>
  <c r="AG2" i="3"/>
  <c r="AH1" i="3"/>
  <c r="AH40" i="3" l="1"/>
  <c r="AH41" i="3" s="1"/>
  <c r="AH72" i="3" s="1"/>
  <c r="AH71" i="3"/>
  <c r="AH2" i="3"/>
  <c r="AI1" i="3"/>
  <c r="AI40" i="3" l="1"/>
  <c r="AI41" i="3" s="1"/>
  <c r="AI72" i="3" s="1"/>
  <c r="AI71" i="3"/>
  <c r="AI2" i="3"/>
  <c r="AJ1" i="3"/>
  <c r="AJ40" i="3" l="1"/>
  <c r="AJ41" i="3" s="1"/>
  <c r="AJ72" i="3" s="1"/>
  <c r="AJ71" i="3"/>
  <c r="AJ2" i="3"/>
  <c r="AK1" i="3"/>
  <c r="AK40" i="3" l="1"/>
  <c r="AK41" i="3" s="1"/>
  <c r="AK72" i="3" s="1"/>
  <c r="AK71" i="3"/>
  <c r="AK2" i="3"/>
  <c r="AL1" i="3"/>
  <c r="AL40" i="3" l="1"/>
  <c r="AL41" i="3" s="1"/>
  <c r="AL72" i="3" s="1"/>
  <c r="AL71" i="3"/>
  <c r="AL2" i="3"/>
  <c r="AM1" i="3"/>
  <c r="AM40" i="3" l="1"/>
  <c r="AM41" i="3" s="1"/>
  <c r="AM72" i="3" s="1"/>
  <c r="AM71" i="3"/>
  <c r="AM2" i="3"/>
  <c r="AN1" i="3"/>
  <c r="AN40" i="3" l="1"/>
  <c r="AN41" i="3" s="1"/>
  <c r="AN72" i="3" s="1"/>
  <c r="AN71" i="3"/>
  <c r="AN2" i="3"/>
  <c r="AO1" i="3"/>
  <c r="AO40" i="3" l="1"/>
  <c r="AO41" i="3" s="1"/>
  <c r="AO72" i="3" s="1"/>
  <c r="AO71" i="3"/>
  <c r="AO2" i="3"/>
  <c r="AP1" i="3"/>
  <c r="AQ1" i="3" s="1"/>
  <c r="AP2" i="3" l="1"/>
  <c r="AQ40" i="3"/>
  <c r="AQ41" i="3" s="1"/>
  <c r="AQ72" i="3" s="1"/>
  <c r="AQ71" i="3"/>
  <c r="AP40" i="3"/>
  <c r="AP41" i="3" s="1"/>
  <c r="AP72" i="3" s="1"/>
  <c r="AP71" i="3"/>
  <c r="AR1" i="3"/>
  <c r="AQ2" i="3"/>
  <c r="AR40" i="3" l="1"/>
  <c r="AR41" i="3" s="1"/>
  <c r="AR72" i="3" s="1"/>
  <c r="AR71" i="3"/>
  <c r="AS1" i="3"/>
  <c r="AR2" i="3"/>
  <c r="AS40" i="3" l="1"/>
  <c r="AS41" i="3" s="1"/>
  <c r="AS72" i="3" s="1"/>
  <c r="AS71" i="3"/>
  <c r="AT1" i="3"/>
  <c r="AS2" i="3"/>
  <c r="AT40" i="3" l="1"/>
  <c r="AT41" i="3" s="1"/>
  <c r="AT72" i="3" s="1"/>
  <c r="AT71" i="3"/>
  <c r="AU1" i="3"/>
  <c r="AT2" i="3"/>
  <c r="AU40" i="3" l="1"/>
  <c r="AU41" i="3" s="1"/>
  <c r="AU72" i="3" s="1"/>
  <c r="AU71" i="3"/>
  <c r="AV1" i="3"/>
  <c r="AU2" i="3"/>
  <c r="AV40" i="3" l="1"/>
  <c r="AV41" i="3" s="1"/>
  <c r="AV72" i="3" s="1"/>
  <c r="AV71" i="3"/>
  <c r="AW1" i="3"/>
  <c r="AV2" i="3"/>
  <c r="AW40" i="3" l="1"/>
  <c r="AW41" i="3" s="1"/>
  <c r="AW72" i="3" s="1"/>
  <c r="AW71" i="3"/>
  <c r="AX1" i="3"/>
  <c r="AW2" i="3"/>
  <c r="AX40" i="3" l="1"/>
  <c r="AX41" i="3" s="1"/>
  <c r="AX72" i="3" s="1"/>
  <c r="AX71" i="3"/>
  <c r="AY1" i="3"/>
  <c r="AX2" i="3"/>
  <c r="AY40" i="3" l="1"/>
  <c r="AY41" i="3" s="1"/>
  <c r="AY72" i="3" s="1"/>
  <c r="AY71" i="3"/>
  <c r="AZ1" i="3"/>
  <c r="AY2" i="3"/>
  <c r="AZ40" i="3" l="1"/>
  <c r="AZ41" i="3" s="1"/>
  <c r="AZ72" i="3" s="1"/>
  <c r="AZ71" i="3"/>
  <c r="BA1" i="3"/>
  <c r="AZ2" i="3"/>
  <c r="BA40" i="3" l="1"/>
  <c r="BA41" i="3" s="1"/>
  <c r="BA72" i="3" s="1"/>
  <c r="BA71" i="3"/>
  <c r="BB1" i="3"/>
  <c r="BA2" i="3"/>
  <c r="BB40" i="3" l="1"/>
  <c r="BB41" i="3" s="1"/>
  <c r="BB72" i="3" s="1"/>
  <c r="BB71" i="3"/>
  <c r="BC1" i="3"/>
  <c r="BB2" i="3"/>
  <c r="BC40" i="3" l="1"/>
  <c r="BC41" i="3" s="1"/>
  <c r="BC72" i="3" s="1"/>
  <c r="BC71" i="3"/>
  <c r="BD1" i="3"/>
  <c r="BC2" i="3"/>
  <c r="BD40" i="3" l="1"/>
  <c r="BD41" i="3" s="1"/>
  <c r="BD72" i="3" s="1"/>
  <c r="BD71" i="3"/>
  <c r="BE1" i="3"/>
  <c r="BD2" i="3"/>
  <c r="BE40" i="3" l="1"/>
  <c r="BE41" i="3" s="1"/>
  <c r="BE72" i="3" s="1"/>
  <c r="BE71" i="3"/>
  <c r="BF1" i="3"/>
  <c r="BE2" i="3"/>
  <c r="BF40" i="3" l="1"/>
  <c r="BF41" i="3" s="1"/>
  <c r="BF72" i="3" s="1"/>
  <c r="BF71" i="3"/>
  <c r="BG1" i="3"/>
  <c r="BF2" i="3"/>
  <c r="BG40" i="3" l="1"/>
  <c r="BG41" i="3" s="1"/>
  <c r="BG72" i="3" s="1"/>
  <c r="BG71" i="3"/>
  <c r="BH1" i="3"/>
  <c r="BG2" i="3"/>
  <c r="BH40" i="3" l="1"/>
  <c r="BH41" i="3" s="1"/>
  <c r="BH72" i="3" s="1"/>
  <c r="BH71" i="3"/>
  <c r="BI1" i="3"/>
  <c r="BH2" i="3"/>
  <c r="BI40" i="3" l="1"/>
  <c r="BI41" i="3" s="1"/>
  <c r="BI72" i="3" s="1"/>
  <c r="BI71" i="3"/>
  <c r="BJ1" i="3"/>
  <c r="BI2" i="3"/>
  <c r="BJ40" i="3" l="1"/>
  <c r="BJ41" i="3" s="1"/>
  <c r="BJ72" i="3" s="1"/>
  <c r="BJ71" i="3"/>
  <c r="BK1" i="3"/>
  <c r="BJ2" i="3"/>
  <c r="BK40" i="3" l="1"/>
  <c r="BK41" i="3" s="1"/>
  <c r="BK72" i="3" s="1"/>
  <c r="BK71" i="3"/>
  <c r="BL1" i="3"/>
  <c r="BK2" i="3"/>
  <c r="BL40" i="3" l="1"/>
  <c r="BL41" i="3" s="1"/>
  <c r="BL72" i="3" s="1"/>
  <c r="BL71" i="3"/>
  <c r="BM1" i="3"/>
  <c r="BL2" i="3"/>
  <c r="BM40" i="3" l="1"/>
  <c r="BM41" i="3" s="1"/>
  <c r="BM72" i="3" s="1"/>
  <c r="BM71" i="3"/>
  <c r="BN1" i="3"/>
  <c r="BM2" i="3"/>
  <c r="BN40" i="3" l="1"/>
  <c r="BN41" i="3" s="1"/>
  <c r="BN72" i="3" s="1"/>
  <c r="BN71" i="3"/>
  <c r="BO1" i="3"/>
  <c r="BP1" i="3" s="1"/>
  <c r="BP71" i="3" s="1"/>
  <c r="BN2" i="3"/>
  <c r="BQ1" i="3" l="1"/>
  <c r="BP40" i="3"/>
  <c r="BO40" i="3"/>
  <c r="BO41" i="3" s="1"/>
  <c r="BO72" i="3" s="1"/>
  <c r="BO71" i="3"/>
  <c r="BO2" i="3"/>
  <c r="BQ40" i="3" l="1"/>
  <c r="BQ41" i="3" s="1"/>
  <c r="BQ72" i="3" s="1"/>
  <c r="BQ71" i="3"/>
  <c r="BR1" i="3"/>
  <c r="BQ2" i="3"/>
  <c r="BR40" i="3" l="1"/>
  <c r="BR41" i="3" s="1"/>
  <c r="BR72" i="3" s="1"/>
  <c r="BR71" i="3"/>
  <c r="BS1" i="3"/>
  <c r="BR2" i="3"/>
  <c r="BS40" i="3" l="1"/>
  <c r="BS41" i="3" s="1"/>
  <c r="BS72" i="3" s="1"/>
  <c r="BS71" i="3"/>
  <c r="BT1" i="3"/>
  <c r="BS2" i="3"/>
  <c r="BT40" i="3" l="1"/>
  <c r="BT41" i="3" s="1"/>
  <c r="BT72" i="3" s="1"/>
  <c r="BT71" i="3"/>
  <c r="BU1" i="3"/>
  <c r="BT2" i="3"/>
  <c r="BU40" i="3" l="1"/>
  <c r="BU41" i="3" s="1"/>
  <c r="BU72" i="3" s="1"/>
  <c r="BU71" i="3"/>
  <c r="BV1" i="3"/>
  <c r="BW1" i="3" s="1"/>
  <c r="BU2" i="3"/>
  <c r="BW40" i="3" l="1"/>
  <c r="BW71" i="3"/>
  <c r="BZ1" i="3"/>
  <c r="BW2" i="3"/>
  <c r="BV40" i="3"/>
  <c r="BV41" i="3" s="1"/>
  <c r="BV72" i="3" s="1"/>
  <c r="BV71"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40" i="3" l="1"/>
  <c r="DS41" i="3" s="1"/>
  <c r="DS72" i="3" s="1"/>
  <c r="DS71" i="3"/>
  <c r="DT1" i="3"/>
  <c r="DS2" i="3"/>
  <c r="DT40" i="3" l="1"/>
  <c r="DT41" i="3" s="1"/>
  <c r="DT72" i="3" s="1"/>
  <c r="DT71" i="3"/>
  <c r="DU1" i="3"/>
  <c r="DT2" i="3"/>
  <c r="DU40" i="3" l="1"/>
  <c r="DU41" i="3" s="1"/>
  <c r="DU72" i="3" s="1"/>
  <c r="DU71" i="3"/>
  <c r="DV1" i="3"/>
  <c r="DU2" i="3"/>
  <c r="DV40" i="3" l="1"/>
  <c r="DV41" i="3" s="1"/>
  <c r="DV72" i="3" s="1"/>
  <c r="DV71" i="3"/>
  <c r="DW1" i="3"/>
  <c r="DX1" i="3" s="1"/>
  <c r="DV2" i="3"/>
  <c r="DX2" i="3" l="1"/>
  <c r="DX40" i="3"/>
  <c r="DX41" i="3" s="1"/>
  <c r="DX72" i="3" s="1"/>
  <c r="DX71" i="3"/>
  <c r="DY1" i="3"/>
  <c r="DW40" i="3"/>
  <c r="DW41" i="3" s="1"/>
  <c r="DW72" i="3" s="1"/>
  <c r="DW71" i="3"/>
  <c r="DW2" i="3"/>
  <c r="DY71" i="3" l="1"/>
  <c r="DY40" i="3"/>
  <c r="DY41" i="3" s="1"/>
  <c r="DY72" i="3" s="1"/>
  <c r="EB1" i="3"/>
  <c r="EB40" i="3" s="1"/>
  <c r="EB41" i="3" s="1"/>
  <c r="EB72" i="3" s="1"/>
  <c r="DY2" i="3"/>
  <c r="EB2" i="3" l="1"/>
  <c r="EC1" i="3"/>
  <c r="EC40" i="3" s="1"/>
  <c r="EC41" i="3" s="1"/>
  <c r="EC72" i="3" s="1"/>
  <c r="EB71" i="3"/>
  <c r="EC2" i="3" l="1"/>
  <c r="ED1" i="3"/>
  <c r="ED40" i="3" s="1"/>
  <c r="ED41" i="3" s="1"/>
  <c r="ED72" i="3" s="1"/>
  <c r="EC71" i="3"/>
  <c r="ED2" i="3" l="1"/>
  <c r="EE1" i="3"/>
  <c r="EE40" i="3" s="1"/>
  <c r="EE41" i="3" s="1"/>
  <c r="EE72" i="3" s="1"/>
  <c r="ED71" i="3"/>
  <c r="EE2" i="3" l="1"/>
  <c r="EF1" i="3"/>
  <c r="EG1" i="3" s="1"/>
  <c r="EG71" i="3" s="1"/>
  <c r="EE71" i="3"/>
  <c r="EG2" i="3"/>
  <c r="EF40" i="3"/>
  <c r="EF41" i="3" s="1"/>
  <c r="EF72" i="3" s="1"/>
  <c r="EF71" i="3"/>
  <c r="EF2" i="3"/>
  <c r="EG40" i="3" l="1"/>
  <c r="EG41" i="3" s="1"/>
  <c r="EG72" i="3" s="1"/>
  <c r="EH1" i="3"/>
  <c r="EH71" i="3" s="1"/>
  <c r="EH2" i="3" l="1"/>
  <c r="EK1" i="3"/>
  <c r="EH40" i="3"/>
  <c r="EH41" i="3" s="1"/>
  <c r="EH72" i="3" s="1"/>
  <c r="EK40" i="3"/>
  <c r="EK41" i="3" s="1"/>
  <c r="EK72" i="3" s="1"/>
  <c r="EK71" i="3"/>
  <c r="EL1" i="3"/>
  <c r="EK2" i="3"/>
  <c r="EL40" i="3" l="1"/>
  <c r="EL41" i="3" s="1"/>
  <c r="EL72" i="3" s="1"/>
  <c r="EL71" i="3"/>
  <c r="EM1" i="3"/>
  <c r="EL2" i="3"/>
  <c r="EM40" i="3" l="1"/>
  <c r="EM41" i="3" s="1"/>
  <c r="EM72" i="3" s="1"/>
  <c r="EM71" i="3"/>
  <c r="EN1" i="3"/>
  <c r="EM2" i="3"/>
  <c r="EN40" i="3" l="1"/>
  <c r="EN41" i="3" s="1"/>
  <c r="EN72" i="3" s="1"/>
  <c r="EN71" i="3"/>
  <c r="EO1" i="3"/>
  <c r="EN2" i="3"/>
  <c r="EO40" i="3" l="1"/>
  <c r="EO41" i="3" s="1"/>
  <c r="EO72" i="3" s="1"/>
  <c r="EO71" i="3"/>
  <c r="EP1" i="3"/>
  <c r="EQ1" i="3" s="1"/>
  <c r="EO2" i="3"/>
  <c r="ET1" i="3" l="1"/>
  <c r="EQ40" i="3"/>
  <c r="EQ41" i="3" s="1"/>
  <c r="EQ72" i="3" s="1"/>
  <c r="EQ71" i="3"/>
  <c r="EQ2" i="3"/>
  <c r="EP40" i="3"/>
  <c r="EP41" i="3" s="1"/>
  <c r="EP72" i="3" s="1"/>
  <c r="EP71" i="3"/>
  <c r="EP2" i="3"/>
  <c r="ET40" i="3" l="1"/>
  <c r="ET41" i="3" s="1"/>
  <c r="ET72" i="3" s="1"/>
  <c r="ET71" i="3"/>
  <c r="EU1" i="3"/>
  <c r="ET2" i="3"/>
  <c r="EU40" i="3" l="1"/>
  <c r="EU41" i="3" s="1"/>
  <c r="EU72" i="3" s="1"/>
  <c r="EU71" i="3"/>
  <c r="EV1" i="3"/>
  <c r="EU2" i="3"/>
  <c r="EV40" i="3" l="1"/>
  <c r="EV41" i="3" s="1"/>
  <c r="EV72" i="3" s="1"/>
  <c r="EV71" i="3"/>
  <c r="EW1" i="3"/>
  <c r="EW71" i="3" s="1"/>
  <c r="EV2" i="3"/>
  <c r="EW40" i="3" l="1"/>
  <c r="EW41" i="3" s="1"/>
  <c r="EW72" i="3" s="1"/>
  <c r="EX1" i="3"/>
  <c r="EX71" i="3" s="1"/>
  <c r="EW2" i="3"/>
  <c r="EX40" i="3" l="1"/>
  <c r="EX41" i="3" s="1"/>
  <c r="EX72" i="3" s="1"/>
  <c r="EY1" i="3"/>
  <c r="EX2" i="3"/>
  <c r="EY71" i="3" l="1"/>
  <c r="EZ1" i="3"/>
  <c r="EY2" i="3"/>
  <c r="EY40" i="3"/>
  <c r="EY41" i="3" s="1"/>
  <c r="EY72" i="3" s="1"/>
  <c r="EZ2" i="3" l="1"/>
  <c r="EZ71" i="3"/>
  <c r="EZ40" i="3"/>
  <c r="EZ41" i="3" s="1"/>
  <c r="EZ72" i="3" s="1"/>
  <c r="FC1" i="3"/>
  <c r="FC71" i="3" s="1"/>
  <c r="FC2" i="3" l="1"/>
  <c r="FD1" i="3"/>
  <c r="FD40" i="3" s="1"/>
  <c r="FD41" i="3" s="1"/>
  <c r="FD72" i="3" s="1"/>
  <c r="FC40" i="3"/>
  <c r="FC41" i="3" s="1"/>
  <c r="FC72" i="3" s="1"/>
  <c r="FD2" i="3" l="1"/>
  <c r="FE1" i="3"/>
  <c r="FE40" i="3" s="1"/>
  <c r="FE41" i="3" s="1"/>
  <c r="FE72" i="3" s="1"/>
  <c r="FD71" i="3"/>
  <c r="FE2" i="3" l="1"/>
  <c r="FF1" i="3"/>
  <c r="FF71" i="3" s="1"/>
  <c r="FE71" i="3"/>
  <c r="FF2" i="3" l="1"/>
  <c r="FF40" i="3"/>
  <c r="FF41" i="3" s="1"/>
  <c r="FF72" i="3" s="1"/>
  <c r="FG1" i="3"/>
  <c r="FG40" i="3" s="1"/>
  <c r="FG41" i="3" s="1"/>
  <c r="FG72" i="3" s="1"/>
  <c r="FG2" i="3" l="1"/>
  <c r="FH1" i="3"/>
  <c r="FI1" i="3" s="1"/>
  <c r="FI2" i="3" s="1"/>
  <c r="FG71" i="3"/>
  <c r="FH2" i="3" l="1"/>
  <c r="FH71" i="3"/>
  <c r="FI40" i="3"/>
  <c r="FI41" i="3" s="1"/>
  <c r="FI72" i="3" s="1"/>
  <c r="FH40" i="3"/>
  <c r="FH41" i="3" s="1"/>
  <c r="FH72" i="3" s="1"/>
  <c r="FI71" i="3"/>
  <c r="FL1" i="3"/>
  <c r="FM1" i="3" s="1"/>
  <c r="FL71" i="3" l="1"/>
  <c r="FL40" i="3"/>
  <c r="FL41" i="3" s="1"/>
  <c r="FL72" i="3" s="1"/>
  <c r="FL2" i="3"/>
  <c r="FM40" i="3"/>
  <c r="FM41" i="3" s="1"/>
  <c r="FM72" i="3" s="1"/>
  <c r="FM71" i="3"/>
  <c r="FN1" i="3"/>
  <c r="FM2" i="3"/>
  <c r="FN40" i="3" l="1"/>
  <c r="FN41" i="3" s="1"/>
  <c r="FN72" i="3" s="1"/>
  <c r="FN71" i="3"/>
  <c r="FO1" i="3"/>
  <c r="FN2" i="3"/>
  <c r="FO40" i="3" l="1"/>
  <c r="FO41" i="3" s="1"/>
  <c r="FO72" i="3" s="1"/>
  <c r="FO71" i="3"/>
  <c r="FP1" i="3"/>
  <c r="FO2" i="3"/>
  <c r="FP40" i="3" l="1"/>
  <c r="FP41" i="3" s="1"/>
  <c r="FP72" i="3" s="1"/>
  <c r="FP71" i="3"/>
  <c r="FQ1" i="3"/>
  <c r="FR1" i="3" s="1"/>
  <c r="FP2" i="3"/>
  <c r="FR40" i="3" l="1"/>
  <c r="FR41" i="3" s="1"/>
  <c r="FR71" i="3"/>
  <c r="FU1" i="3"/>
  <c r="FR2" i="3"/>
  <c r="FQ40" i="3"/>
  <c r="FQ41" i="3" s="1"/>
  <c r="FQ72" i="3" s="1"/>
  <c r="FQ71" i="3"/>
  <c r="FQ2" i="3"/>
  <c r="FU40" i="3" l="1"/>
  <c r="FU41" i="3" s="1"/>
  <c r="FU72" i="3" s="1"/>
  <c r="FU71" i="3"/>
  <c r="FV1" i="3"/>
  <c r="FU2" i="3"/>
  <c r="FV40" i="3" l="1"/>
  <c r="FV41" i="3" s="1"/>
  <c r="FV72" i="3" s="1"/>
  <c r="FV71" i="3"/>
  <c r="FW1" i="3"/>
  <c r="FV2" i="3"/>
  <c r="FW40" i="3" l="1"/>
  <c r="FW41" i="3" s="1"/>
  <c r="FW72" i="3" s="1"/>
  <c r="FW71" i="3"/>
  <c r="FX1" i="3"/>
  <c r="FW2" i="3"/>
  <c r="FX40" i="3" l="1"/>
  <c r="FX41" i="3" s="1"/>
  <c r="FX72" i="3" s="1"/>
  <c r="FX71" i="3"/>
  <c r="FY1" i="3"/>
  <c r="FX2" i="3"/>
  <c r="FY40" i="3" l="1"/>
  <c r="FY41" i="3" s="1"/>
  <c r="FY72" i="3" s="1"/>
  <c r="FY71" i="3"/>
  <c r="FZ1" i="3"/>
  <c r="GA1" i="3" s="1"/>
  <c r="FY2" i="3"/>
  <c r="GA2" i="3" l="1"/>
  <c r="GA71" i="3"/>
  <c r="GA40" i="3"/>
  <c r="GA41" i="3" s="1"/>
  <c r="GA72" i="3" s="1"/>
  <c r="GD1" i="3"/>
  <c r="FZ40" i="3"/>
  <c r="FZ41" i="3" s="1"/>
  <c r="FZ72" i="3" s="1"/>
  <c r="FZ71" i="3"/>
  <c r="FZ2" i="3"/>
  <c r="GD40" i="3" l="1"/>
  <c r="GD41" i="3" s="1"/>
  <c r="GD72" i="3" s="1"/>
  <c r="GD71" i="3"/>
  <c r="GE1" i="3"/>
  <c r="GD2" i="3"/>
  <c r="GE40" i="3" l="1"/>
  <c r="GE41" i="3" s="1"/>
  <c r="GE72" i="3" s="1"/>
  <c r="GE71" i="3"/>
  <c r="GF1" i="3"/>
  <c r="GE2" i="3"/>
  <c r="GF40" i="3" l="1"/>
  <c r="GF41" i="3" s="1"/>
  <c r="GF72" i="3" s="1"/>
  <c r="GF71" i="3"/>
  <c r="GG1" i="3"/>
  <c r="GF2" i="3"/>
  <c r="GG40" i="3" l="1"/>
  <c r="GG41" i="3" s="1"/>
  <c r="GG72" i="3" s="1"/>
  <c r="GG71" i="3"/>
  <c r="GH1" i="3"/>
  <c r="GG2" i="3"/>
  <c r="GH40" i="3" l="1"/>
  <c r="GH41" i="3" s="1"/>
  <c r="GH72" i="3" s="1"/>
  <c r="GH71" i="3"/>
  <c r="GI1" i="3"/>
  <c r="GJ1" i="3" s="1"/>
  <c r="GH2" i="3"/>
  <c r="GJ71" i="3" l="1"/>
  <c r="GJ2" i="3"/>
  <c r="GJ40" i="3"/>
  <c r="GJ41" i="3" s="1"/>
  <c r="GJ72" i="3" s="1"/>
  <c r="GM1" i="3"/>
  <c r="GI40" i="3"/>
  <c r="GI41" i="3" s="1"/>
  <c r="GI72" i="3" s="1"/>
  <c r="GI71" i="3"/>
  <c r="GI2" i="3"/>
  <c r="GM40" i="3" l="1"/>
  <c r="GM41" i="3" s="1"/>
  <c r="GM72" i="3" s="1"/>
  <c r="GM71" i="3"/>
  <c r="GN1" i="3"/>
  <c r="GM2" i="3"/>
  <c r="GN40" i="3" l="1"/>
  <c r="GN41" i="3" s="1"/>
  <c r="GN72" i="3" s="1"/>
  <c r="GN71" i="3"/>
  <c r="GO1" i="3"/>
  <c r="GN2" i="3"/>
  <c r="GO40" i="3" l="1"/>
  <c r="GO41" i="3" s="1"/>
  <c r="GO72" i="3" s="1"/>
  <c r="GO71" i="3"/>
  <c r="GP1" i="3"/>
  <c r="GO2" i="3"/>
  <c r="GP40" i="3" l="1"/>
  <c r="GP41" i="3" s="1"/>
  <c r="GP72" i="3" s="1"/>
  <c r="GP71" i="3"/>
  <c r="GQ1" i="3"/>
  <c r="GP2" i="3"/>
  <c r="GQ40" i="3" l="1"/>
  <c r="GQ41" i="3" s="1"/>
  <c r="GQ72" i="3" s="1"/>
  <c r="GQ71" i="3"/>
  <c r="GR1" i="3"/>
  <c r="GS1" i="3" s="1"/>
  <c r="GQ2" i="3"/>
  <c r="GS2" i="3" l="1"/>
  <c r="GS40" i="3"/>
  <c r="GS41" i="3" s="1"/>
  <c r="GS72" i="3" s="1"/>
  <c r="GV1" i="3"/>
  <c r="GS71" i="3"/>
  <c r="GR40" i="3"/>
  <c r="GR41" i="3" s="1"/>
  <c r="GR72" i="3" s="1"/>
  <c r="GR71" i="3"/>
  <c r="GR2" i="3"/>
  <c r="GV40" i="3" l="1"/>
  <c r="GV41" i="3" s="1"/>
  <c r="GV72" i="3" s="1"/>
  <c r="GV71" i="3"/>
  <c r="GW1" i="3"/>
  <c r="GV2" i="3"/>
  <c r="GW40" i="3" l="1"/>
  <c r="GW41" i="3" s="1"/>
  <c r="GW72" i="3" s="1"/>
  <c r="GW71" i="3"/>
  <c r="GX1" i="3"/>
  <c r="GW2" i="3"/>
  <c r="GX40" i="3" l="1"/>
  <c r="GX41" i="3" s="1"/>
  <c r="GX72" i="3" s="1"/>
  <c r="GX71" i="3"/>
  <c r="GY1" i="3"/>
  <c r="GX2" i="3"/>
  <c r="GY40" i="3" l="1"/>
  <c r="GY41" i="3" s="1"/>
  <c r="GY72" i="3" s="1"/>
  <c r="GY71" i="3"/>
  <c r="GZ1" i="3"/>
  <c r="GY2" i="3"/>
  <c r="GZ40" i="3" l="1"/>
  <c r="GZ41" i="3" s="1"/>
  <c r="GZ72" i="3" s="1"/>
  <c r="GZ71" i="3"/>
  <c r="HA1" i="3"/>
  <c r="HB1" i="3" s="1"/>
  <c r="GZ2" i="3"/>
  <c r="HB2" i="3" l="1"/>
  <c r="HB71" i="3"/>
  <c r="HB40" i="3"/>
  <c r="HB41" i="3" s="1"/>
  <c r="HB72" i="3" s="1"/>
  <c r="HE1" i="3"/>
  <c r="HA40" i="3"/>
  <c r="HA41" i="3" s="1"/>
  <c r="HA72" i="3" s="1"/>
  <c r="HA71" i="3"/>
  <c r="HA2" i="3"/>
  <c r="HE40" i="3" l="1"/>
  <c r="HE41" i="3" s="1"/>
  <c r="HE72" i="3" s="1"/>
  <c r="HE71" i="3"/>
  <c r="HF1" i="3"/>
  <c r="HE2" i="3"/>
  <c r="HF40" i="3" l="1"/>
  <c r="HF41" i="3" s="1"/>
  <c r="HF72" i="3" s="1"/>
  <c r="HF71" i="3"/>
  <c r="HG1" i="3"/>
  <c r="HF2" i="3"/>
  <c r="HG40" i="3" l="1"/>
  <c r="HG41" i="3" s="1"/>
  <c r="HG72" i="3" s="1"/>
  <c r="HG71" i="3"/>
  <c r="HH1" i="3"/>
  <c r="HG2" i="3"/>
  <c r="HH40" i="3" l="1"/>
  <c r="HH41" i="3" s="1"/>
  <c r="HH72" i="3" s="1"/>
  <c r="HH71" i="3"/>
  <c r="HI1" i="3"/>
  <c r="HH2" i="3"/>
  <c r="HI40" i="3" l="1"/>
  <c r="HI41" i="3" s="1"/>
  <c r="HI72" i="3" s="1"/>
  <c r="HI71" i="3"/>
  <c r="HJ1" i="3"/>
  <c r="HK1" i="3" s="1"/>
  <c r="HI2" i="3"/>
  <c r="HK2" i="3" l="1"/>
  <c r="HK71" i="3"/>
  <c r="HK40" i="3"/>
  <c r="HK41" i="3" s="1"/>
  <c r="HK72" i="3" s="1"/>
  <c r="HN1" i="3"/>
  <c r="HJ40" i="3"/>
  <c r="HJ41" i="3" s="1"/>
  <c r="HJ72" i="3" s="1"/>
  <c r="HJ71" i="3"/>
  <c r="HJ2" i="3"/>
  <c r="HN40" i="3" l="1"/>
  <c r="HN41" i="3" s="1"/>
  <c r="HN72" i="3" s="1"/>
  <c r="HN71" i="3"/>
  <c r="HO1" i="3"/>
  <c r="HN2" i="3"/>
  <c r="HO40" i="3" l="1"/>
  <c r="HO41" i="3" s="1"/>
  <c r="HO72" i="3" s="1"/>
  <c r="HO71" i="3"/>
  <c r="HP1" i="3"/>
  <c r="HO2" i="3"/>
  <c r="HP40" i="3" l="1"/>
  <c r="HP41" i="3" s="1"/>
  <c r="HP72" i="3" s="1"/>
  <c r="HP71" i="3"/>
  <c r="HQ1" i="3"/>
  <c r="HP2" i="3"/>
  <c r="HQ40" i="3" l="1"/>
  <c r="HQ41" i="3" s="1"/>
  <c r="HQ72" i="3" s="1"/>
  <c r="HQ71" i="3"/>
  <c r="HR1" i="3"/>
  <c r="HQ2" i="3"/>
  <c r="HR40" i="3" l="1"/>
  <c r="HR41" i="3" s="1"/>
  <c r="HR72" i="3" s="1"/>
  <c r="HR71" i="3"/>
  <c r="HS1" i="3"/>
  <c r="HR2" i="3"/>
  <c r="HS40" i="3" l="1"/>
  <c r="HS41" i="3" s="1"/>
  <c r="HS72" i="3" s="1"/>
  <c r="HS71" i="3"/>
  <c r="HS2" i="3"/>
  <c r="HW40" i="3" l="1"/>
  <c r="HW41" i="3" s="1"/>
  <c r="HW72" i="3" s="1"/>
  <c r="HW71" i="3"/>
  <c r="HX1" i="3"/>
  <c r="HW2" i="3"/>
  <c r="HX40" i="3" l="1"/>
  <c r="HX41" i="3" s="1"/>
  <c r="HX72" i="3" s="1"/>
  <c r="HX71" i="3"/>
  <c r="HY1" i="3"/>
  <c r="HX2" i="3"/>
  <c r="HY40" i="3" l="1"/>
  <c r="HY41" i="3" s="1"/>
  <c r="HY72" i="3" s="1"/>
  <c r="HY71" i="3"/>
  <c r="HZ1" i="3"/>
  <c r="HY2" i="3"/>
  <c r="HZ40" i="3" l="1"/>
  <c r="HZ41" i="3" s="1"/>
  <c r="HZ72" i="3" s="1"/>
  <c r="HZ71" i="3"/>
  <c r="IA1" i="3"/>
  <c r="HZ2" i="3"/>
  <c r="IA40" i="3" l="1"/>
  <c r="IA41" i="3" s="1"/>
  <c r="IA72" i="3" s="1"/>
  <c r="IA71" i="3"/>
  <c r="IB1" i="3"/>
  <c r="IA2" i="3"/>
  <c r="IB40" i="3" l="1"/>
  <c r="IB41" i="3" s="1"/>
  <c r="IB72" i="3" s="1"/>
  <c r="IB71" i="3"/>
  <c r="IB2" i="3"/>
  <c r="IF40" i="3" l="1"/>
  <c r="IF41" i="3" s="1"/>
  <c r="IF72" i="3" s="1"/>
  <c r="IF71" i="3"/>
  <c r="IG1" i="3"/>
  <c r="IF2" i="3"/>
  <c r="IG40" i="3" l="1"/>
  <c r="IG41" i="3" s="1"/>
  <c r="IG72" i="3" s="1"/>
  <c r="IG71" i="3"/>
  <c r="IH1" i="3"/>
  <c r="IG2" i="3"/>
  <c r="IH40" i="3" l="1"/>
  <c r="IH41" i="3" s="1"/>
  <c r="IH72" i="3" s="1"/>
  <c r="IH71" i="3"/>
  <c r="II1" i="3"/>
  <c r="IH2" i="3"/>
  <c r="II40" i="3" l="1"/>
  <c r="II41" i="3" s="1"/>
  <c r="II72" i="3" s="1"/>
  <c r="II71" i="3"/>
  <c r="IJ1" i="3"/>
  <c r="II2" i="3"/>
  <c r="IJ40" i="3" l="1"/>
  <c r="IJ41" i="3" s="1"/>
  <c r="IJ72" i="3" s="1"/>
  <c r="IJ71" i="3"/>
  <c r="IK1" i="3"/>
  <c r="IJ2" i="3"/>
  <c r="IK40" i="3" l="1"/>
  <c r="IK41" i="3" s="1"/>
  <c r="IK72" i="3" s="1"/>
  <c r="IK71" i="3"/>
  <c r="IK2" i="3"/>
  <c r="IO40" i="3" l="1"/>
  <c r="IO41" i="3" s="1"/>
  <c r="IO72" i="3" s="1"/>
  <c r="IO71" i="3"/>
  <c r="IP1" i="3"/>
  <c r="IO2" i="3"/>
  <c r="IP40" i="3" l="1"/>
  <c r="IP41" i="3" s="1"/>
  <c r="IP72" i="3" s="1"/>
  <c r="IP71" i="3"/>
  <c r="IQ1" i="3"/>
  <c r="IP2" i="3"/>
  <c r="IQ40" i="3" l="1"/>
  <c r="IQ41" i="3" s="1"/>
  <c r="IQ72" i="3" s="1"/>
  <c r="IQ71" i="3"/>
  <c r="IR1" i="3"/>
  <c r="IQ2" i="3"/>
  <c r="IR40" i="3" l="1"/>
  <c r="IR41" i="3" s="1"/>
  <c r="IR72" i="3" s="1"/>
  <c r="IR71" i="3"/>
  <c r="IS1" i="3"/>
  <c r="IR2" i="3"/>
  <c r="IS40" i="3" l="1"/>
  <c r="IS41" i="3" s="1"/>
  <c r="IS72" i="3" s="1"/>
  <c r="IS71" i="3"/>
  <c r="IT1" i="3"/>
  <c r="IS2" i="3"/>
  <c r="IT40" i="3" l="1"/>
  <c r="IT41" i="3" s="1"/>
  <c r="IT72" i="3" s="1"/>
  <c r="IT71" i="3"/>
  <c r="IU1" i="3"/>
  <c r="IT2" i="3"/>
  <c r="IU40" i="3" l="1"/>
  <c r="IU41" i="3" s="1"/>
  <c r="IU72" i="3" s="1"/>
  <c r="IU71" i="3"/>
  <c r="IV1" i="3"/>
  <c r="IU2" i="3"/>
  <c r="IV40" i="3" l="1"/>
  <c r="IV41" i="3" s="1"/>
  <c r="IV72" i="3" s="1"/>
  <c r="IV71" i="3"/>
  <c r="IW1" i="3"/>
  <c r="IV2" i="3"/>
  <c r="IW40" i="3" l="1"/>
  <c r="IW41" i="3" s="1"/>
  <c r="IW72" i="3" s="1"/>
  <c r="IW71" i="3"/>
  <c r="IX1" i="3"/>
  <c r="IW2" i="3"/>
  <c r="IX40" i="3" l="1"/>
  <c r="IX41" i="3" s="1"/>
  <c r="IX72" i="3" s="1"/>
  <c r="IX71" i="3"/>
  <c r="IY1" i="3"/>
  <c r="IX2" i="3"/>
  <c r="IY40" i="3" l="1"/>
  <c r="IY41" i="3" s="1"/>
  <c r="IY72" i="3" s="1"/>
  <c r="IY71" i="3"/>
  <c r="IZ1" i="3"/>
  <c r="IY2" i="3"/>
  <c r="IZ40" i="3" l="1"/>
  <c r="IZ41" i="3" s="1"/>
  <c r="IZ72" i="3" s="1"/>
  <c r="IZ71" i="3"/>
  <c r="JA1" i="3"/>
  <c r="IZ2" i="3"/>
  <c r="JA40" i="3" l="1"/>
  <c r="JA41" i="3" s="1"/>
  <c r="JA72" i="3" s="1"/>
  <c r="JA71" i="3"/>
  <c r="JB1" i="3"/>
  <c r="JA2" i="3"/>
  <c r="JB40" i="3" l="1"/>
  <c r="JB41" i="3" s="1"/>
  <c r="JB72" i="3" s="1"/>
  <c r="JB71" i="3"/>
  <c r="JC1" i="3"/>
  <c r="JB2" i="3"/>
  <c r="JC40" i="3" l="1"/>
  <c r="JC41" i="3" s="1"/>
  <c r="JC72" i="3" s="1"/>
  <c r="JC71" i="3"/>
  <c r="JD1" i="3"/>
  <c r="JC2" i="3"/>
  <c r="JD40" i="3" l="1"/>
  <c r="JD41" i="3" s="1"/>
  <c r="JD72" i="3" s="1"/>
  <c r="JD71" i="3"/>
  <c r="JE1" i="3"/>
  <c r="JD2" i="3"/>
  <c r="JE40" i="3" l="1"/>
  <c r="JE41" i="3" s="1"/>
  <c r="JE72" i="3" s="1"/>
  <c r="JE71" i="3"/>
  <c r="JF1" i="3"/>
  <c r="JE2" i="3"/>
  <c r="JF40" i="3" l="1"/>
  <c r="JF41" i="3" s="1"/>
  <c r="JF72" i="3" s="1"/>
  <c r="JF71" i="3"/>
  <c r="JG1" i="3"/>
  <c r="JF2" i="3"/>
  <c r="JG40" i="3" l="1"/>
  <c r="JG41" i="3" s="1"/>
  <c r="JG72" i="3" s="1"/>
  <c r="JG71" i="3"/>
  <c r="JH1" i="3"/>
  <c r="JG2" i="3"/>
  <c r="JH40" i="3" l="1"/>
  <c r="JH41" i="3" s="1"/>
  <c r="JH72" i="3" s="1"/>
  <c r="JH71" i="3"/>
  <c r="JI1" i="3"/>
  <c r="JH2" i="3"/>
  <c r="JI40" i="3" l="1"/>
  <c r="JI41" i="3" s="1"/>
  <c r="JI72" i="3" s="1"/>
  <c r="JI71" i="3"/>
  <c r="JJ1" i="3"/>
  <c r="JI2" i="3"/>
  <c r="JJ40" i="3" l="1"/>
  <c r="JJ41" i="3" s="1"/>
  <c r="JJ72" i="3" s="1"/>
  <c r="JJ71" i="3"/>
  <c r="JK1" i="3"/>
  <c r="JJ2" i="3"/>
  <c r="JK40" i="3" l="1"/>
  <c r="JK41" i="3" s="1"/>
  <c r="JK72" i="3" s="1"/>
  <c r="JK71" i="3"/>
  <c r="JL1" i="3"/>
  <c r="JK2" i="3"/>
  <c r="JL40" i="3" l="1"/>
  <c r="JL41" i="3" s="1"/>
  <c r="JL72" i="3" s="1"/>
  <c r="JL71" i="3"/>
  <c r="JM1" i="3"/>
  <c r="JL2" i="3"/>
  <c r="JM40" i="3" l="1"/>
  <c r="JM41" i="3" s="1"/>
  <c r="JM72" i="3" s="1"/>
  <c r="JM71" i="3"/>
  <c r="JN1" i="3"/>
  <c r="JM2" i="3"/>
  <c r="JN40" i="3" l="1"/>
  <c r="JN41" i="3" s="1"/>
  <c r="JN72" i="3" s="1"/>
  <c r="JN71" i="3"/>
  <c r="JO1" i="3"/>
  <c r="JN2" i="3"/>
  <c r="JO40" i="3" l="1"/>
  <c r="JO41" i="3" s="1"/>
  <c r="JO72" i="3" s="1"/>
  <c r="JO71" i="3"/>
  <c r="JP1" i="3"/>
  <c r="JO2" i="3"/>
  <c r="JP40" i="3" l="1"/>
  <c r="JP41" i="3" s="1"/>
  <c r="JP72" i="3" s="1"/>
  <c r="JP71" i="3"/>
  <c r="JQ1" i="3"/>
  <c r="JP2" i="3"/>
  <c r="JQ40" i="3" l="1"/>
  <c r="JQ41" i="3" s="1"/>
  <c r="JQ72" i="3" s="1"/>
  <c r="JQ71" i="3"/>
  <c r="JR1" i="3"/>
  <c r="JQ2" i="3"/>
  <c r="JR40" i="3" l="1"/>
  <c r="JR41" i="3" s="1"/>
  <c r="JR72" i="3" s="1"/>
  <c r="JR71" i="3"/>
  <c r="JS1" i="3"/>
  <c r="JR2" i="3"/>
  <c r="JS40" i="3" l="1"/>
  <c r="JS41" i="3" s="1"/>
  <c r="JS72" i="3" s="1"/>
  <c r="JS71" i="3"/>
  <c r="JT1" i="3"/>
  <c r="JS2" i="3"/>
  <c r="JT40" i="3" l="1"/>
  <c r="JT41" i="3" s="1"/>
  <c r="JT72" i="3" s="1"/>
  <c r="JT71" i="3"/>
  <c r="JU1" i="3"/>
  <c r="JT2" i="3"/>
  <c r="JU40" i="3" l="1"/>
  <c r="JU41" i="3" s="1"/>
  <c r="JU72" i="3" s="1"/>
  <c r="JU71" i="3"/>
  <c r="JV1" i="3"/>
  <c r="JU2" i="3"/>
  <c r="JV40" i="3" l="1"/>
  <c r="JV41" i="3" s="1"/>
  <c r="JV72" i="3" s="1"/>
  <c r="JV71" i="3"/>
  <c r="JW1" i="3"/>
  <c r="JV2" i="3"/>
  <c r="JW40" i="3" l="1"/>
  <c r="JW41" i="3" s="1"/>
  <c r="JW72" i="3" s="1"/>
  <c r="JW71" i="3"/>
  <c r="JX1" i="3"/>
  <c r="JW2" i="3"/>
  <c r="JX40" i="3" l="1"/>
  <c r="JX41" i="3" s="1"/>
  <c r="JX72" i="3" s="1"/>
  <c r="JX71" i="3"/>
  <c r="JY1" i="3"/>
  <c r="JX2" i="3"/>
  <c r="JY40" i="3" l="1"/>
  <c r="JY41" i="3" s="1"/>
  <c r="JY72" i="3" s="1"/>
  <c r="JY71" i="3"/>
  <c r="JZ1" i="3"/>
  <c r="JY2" i="3"/>
  <c r="JZ40" i="3" l="1"/>
  <c r="JZ41" i="3" s="1"/>
  <c r="JZ72" i="3" s="1"/>
  <c r="JZ71" i="3"/>
  <c r="KA1" i="3"/>
  <c r="JZ2" i="3"/>
  <c r="KA40" i="3" l="1"/>
  <c r="KA41" i="3" s="1"/>
  <c r="KA72" i="3" s="1"/>
  <c r="KA71" i="3"/>
  <c r="KB1" i="3"/>
  <c r="KA2" i="3"/>
  <c r="KB40" i="3" l="1"/>
  <c r="KB41" i="3" s="1"/>
  <c r="KB72" i="3" s="1"/>
  <c r="KB71" i="3"/>
  <c r="KC1" i="3"/>
  <c r="KB2" i="3"/>
  <c r="KC40" i="3" l="1"/>
  <c r="KC41" i="3" s="1"/>
  <c r="KC72" i="3" s="1"/>
  <c r="KC71" i="3"/>
  <c r="KD1" i="3"/>
  <c r="KC2" i="3"/>
  <c r="KD40" i="3" l="1"/>
  <c r="KD41" i="3" s="1"/>
  <c r="KD72" i="3" s="1"/>
  <c r="KD71" i="3"/>
  <c r="KE1" i="3"/>
  <c r="KD2" i="3"/>
  <c r="KE40" i="3" l="1"/>
  <c r="KE41" i="3" s="1"/>
  <c r="KE72" i="3" s="1"/>
  <c r="KE71" i="3"/>
  <c r="KF1" i="3"/>
  <c r="KE2" i="3"/>
  <c r="KF40" i="3" l="1"/>
  <c r="KF41" i="3" s="1"/>
  <c r="KF72" i="3" s="1"/>
  <c r="KF71" i="3"/>
  <c r="KG1" i="3"/>
  <c r="KF2" i="3"/>
  <c r="KG40" i="3" l="1"/>
  <c r="KG41" i="3" s="1"/>
  <c r="KG72" i="3" s="1"/>
  <c r="KG71" i="3"/>
  <c r="KH1" i="3"/>
  <c r="KG2" i="3"/>
  <c r="KH40" i="3" l="1"/>
  <c r="KH41" i="3" s="1"/>
  <c r="KH72" i="3" s="1"/>
  <c r="KH71" i="3"/>
  <c r="KI1" i="3"/>
  <c r="KH2" i="3"/>
  <c r="KI40" i="3" l="1"/>
  <c r="KI41" i="3" s="1"/>
  <c r="KI72" i="3" s="1"/>
  <c r="KI71" i="3"/>
  <c r="KJ1" i="3"/>
  <c r="KI2" i="3"/>
  <c r="KJ40" i="3" l="1"/>
  <c r="KJ41" i="3" s="1"/>
  <c r="KJ72" i="3" s="1"/>
  <c r="KJ71" i="3"/>
  <c r="KK1" i="3"/>
  <c r="KJ2" i="3"/>
  <c r="KK40" i="3" l="1"/>
  <c r="KK41" i="3" s="1"/>
  <c r="KK72" i="3" s="1"/>
  <c r="KK71" i="3"/>
  <c r="KL1" i="3"/>
  <c r="KK2" i="3"/>
  <c r="KL40" i="3" l="1"/>
  <c r="KL41" i="3" s="1"/>
  <c r="KL72" i="3" s="1"/>
  <c r="KL71" i="3"/>
  <c r="KM1" i="3"/>
  <c r="KL2" i="3"/>
  <c r="KM40" i="3" l="1"/>
  <c r="KM41" i="3" s="1"/>
  <c r="KM72" i="3" s="1"/>
  <c r="KM71" i="3"/>
  <c r="KN1" i="3"/>
  <c r="KM2" i="3"/>
  <c r="KN40" i="3" l="1"/>
  <c r="KN41" i="3" s="1"/>
  <c r="KN72" i="3" s="1"/>
  <c r="KN71" i="3"/>
  <c r="KO1" i="3"/>
  <c r="KN2" i="3"/>
  <c r="KO40" i="3" l="1"/>
  <c r="KO41" i="3" s="1"/>
  <c r="KO72" i="3" s="1"/>
  <c r="KO71" i="3"/>
  <c r="KP1" i="3"/>
  <c r="KO2" i="3"/>
  <c r="KP40" i="3" l="1"/>
  <c r="KP41" i="3" s="1"/>
  <c r="KP72" i="3" s="1"/>
  <c r="KP71" i="3"/>
  <c r="KQ1" i="3"/>
  <c r="KP2" i="3"/>
  <c r="KQ40" i="3" l="1"/>
  <c r="KQ41" i="3" s="1"/>
  <c r="KQ72" i="3" s="1"/>
  <c r="KQ71" i="3"/>
  <c r="KR1" i="3"/>
  <c r="KQ2" i="3"/>
  <c r="KR40" i="3" l="1"/>
  <c r="KR41" i="3" s="1"/>
  <c r="KR72" i="3" s="1"/>
  <c r="KR71" i="3"/>
  <c r="KS1" i="3"/>
  <c r="KR2" i="3"/>
  <c r="KS40" i="3" l="1"/>
  <c r="KS41" i="3" s="1"/>
  <c r="KS72" i="3" s="1"/>
  <c r="KS71" i="3"/>
  <c r="KT1" i="3"/>
  <c r="KS2" i="3"/>
  <c r="KT40" i="3" l="1"/>
  <c r="KT41" i="3" s="1"/>
  <c r="KT72" i="3" s="1"/>
  <c r="KT71" i="3"/>
  <c r="KU1" i="3"/>
  <c r="KT2" i="3"/>
  <c r="KU40" i="3" l="1"/>
  <c r="KU41" i="3" s="1"/>
  <c r="KU72" i="3" s="1"/>
  <c r="KU71" i="3"/>
  <c r="KV1" i="3"/>
  <c r="KU2" i="3"/>
  <c r="KV40" i="3" l="1"/>
  <c r="KV41" i="3" s="1"/>
  <c r="KV72" i="3" s="1"/>
  <c r="KV71" i="3"/>
  <c r="KW1" i="3"/>
  <c r="KV2" i="3"/>
  <c r="KW40" i="3" l="1"/>
  <c r="KW41" i="3" s="1"/>
  <c r="KW72" i="3" s="1"/>
  <c r="KW71" i="3"/>
  <c r="KX1" i="3"/>
  <c r="KW2" i="3"/>
  <c r="KX40" i="3" l="1"/>
  <c r="KX41" i="3" s="1"/>
  <c r="KX72" i="3" s="1"/>
  <c r="KX71" i="3"/>
  <c r="KY1" i="3"/>
  <c r="KX2" i="3"/>
  <c r="KY40" i="3" l="1"/>
  <c r="KY41" i="3" s="1"/>
  <c r="KY72" i="3" s="1"/>
  <c r="KY71" i="3"/>
  <c r="KZ1" i="3"/>
  <c r="KY2" i="3"/>
  <c r="KZ40" i="3" l="1"/>
  <c r="KZ41" i="3" s="1"/>
  <c r="KZ72" i="3" s="1"/>
  <c r="KZ71" i="3"/>
  <c r="LA1" i="3"/>
  <c r="KZ2" i="3"/>
  <c r="LA40" i="3" l="1"/>
  <c r="LA41" i="3" s="1"/>
  <c r="LA72" i="3" s="1"/>
  <c r="LA71" i="3"/>
  <c r="LB1" i="3"/>
  <c r="LA2" i="3"/>
  <c r="LB40" i="3" l="1"/>
  <c r="LB41" i="3" s="1"/>
  <c r="LB72" i="3" s="1"/>
  <c r="LB71" i="3"/>
  <c r="LC1" i="3"/>
  <c r="LB2" i="3"/>
  <c r="LC40" i="3" l="1"/>
  <c r="LC41" i="3" s="1"/>
  <c r="LC72" i="3" s="1"/>
  <c r="LC71" i="3"/>
  <c r="LD1" i="3"/>
  <c r="LC2" i="3"/>
  <c r="LD40" i="3" l="1"/>
  <c r="LD41" i="3" s="1"/>
  <c r="LD72" i="3" s="1"/>
  <c r="LD71" i="3"/>
  <c r="LE1" i="3"/>
  <c r="LD2" i="3"/>
  <c r="LE40" i="3" l="1"/>
  <c r="LE41" i="3" s="1"/>
  <c r="LE72" i="3" s="1"/>
  <c r="LE71" i="3"/>
  <c r="LF1" i="3"/>
  <c r="LE2" i="3"/>
  <c r="LF40" i="3" l="1"/>
  <c r="LF41" i="3" s="1"/>
  <c r="LF72" i="3" s="1"/>
  <c r="LF71" i="3"/>
  <c r="LG1" i="3"/>
  <c r="LF2" i="3"/>
  <c r="LG40" i="3" l="1"/>
  <c r="LG41" i="3" s="1"/>
  <c r="LG72" i="3" s="1"/>
  <c r="LG71" i="3"/>
  <c r="LH1" i="3"/>
  <c r="LG2" i="3"/>
  <c r="LH40" i="3" l="1"/>
  <c r="LH41" i="3" s="1"/>
  <c r="LH72" i="3" s="1"/>
  <c r="LH71" i="3"/>
  <c r="LI1" i="3"/>
  <c r="LH2" i="3"/>
  <c r="LI40" i="3" l="1"/>
  <c r="LI41" i="3" s="1"/>
  <c r="LI72" i="3" s="1"/>
  <c r="LI71" i="3"/>
  <c r="LJ1" i="3"/>
  <c r="LI2" i="3"/>
  <c r="LJ40" i="3" l="1"/>
  <c r="LJ41" i="3" s="1"/>
  <c r="LJ72" i="3" s="1"/>
  <c r="LJ71" i="3"/>
  <c r="LK1" i="3"/>
  <c r="LJ2" i="3"/>
  <c r="LK40" i="3" l="1"/>
  <c r="LK41" i="3" s="1"/>
  <c r="LK72" i="3" s="1"/>
  <c r="LK71" i="3"/>
  <c r="LL1" i="3"/>
  <c r="LK2" i="3"/>
  <c r="LL40" i="3" l="1"/>
  <c r="LL41" i="3" s="1"/>
  <c r="LL72" i="3" s="1"/>
  <c r="LL71" i="3"/>
  <c r="LM1" i="3"/>
  <c r="LL2" i="3"/>
  <c r="LM40" i="3" l="1"/>
  <c r="LM41" i="3" s="1"/>
  <c r="LM72" i="3" s="1"/>
  <c r="LM71" i="3"/>
  <c r="LN1" i="3"/>
  <c r="LM2" i="3"/>
  <c r="LN40" i="3" l="1"/>
  <c r="LN41" i="3" s="1"/>
  <c r="LN72" i="3" s="1"/>
  <c r="LN71" i="3"/>
  <c r="LO1" i="3"/>
  <c r="LN2" i="3"/>
  <c r="LO40" i="3" l="1"/>
  <c r="LO41" i="3" s="1"/>
  <c r="LO72" i="3" s="1"/>
  <c r="LO71" i="3"/>
  <c r="LP1" i="3"/>
  <c r="LO2" i="3"/>
  <c r="LP40" i="3" l="1"/>
  <c r="LP41" i="3" s="1"/>
  <c r="LP72" i="3" s="1"/>
  <c r="LP71" i="3"/>
  <c r="LQ1" i="3"/>
  <c r="LP2" i="3"/>
  <c r="LQ40" i="3" l="1"/>
  <c r="LQ41" i="3" s="1"/>
  <c r="LQ72" i="3" s="1"/>
  <c r="LQ71" i="3"/>
  <c r="LR1" i="3"/>
  <c r="LQ2" i="3"/>
  <c r="LR40" i="3" l="1"/>
  <c r="LR41" i="3" s="1"/>
  <c r="LR72" i="3" s="1"/>
  <c r="LR71" i="3"/>
  <c r="LS1" i="3"/>
  <c r="LR2" i="3"/>
  <c r="LS40" i="3" l="1"/>
  <c r="LS41" i="3" s="1"/>
  <c r="LS72" i="3" s="1"/>
  <c r="LS71" i="3"/>
  <c r="LT1" i="3"/>
  <c r="LS2" i="3"/>
  <c r="LT40" i="3" l="1"/>
  <c r="LT41" i="3" s="1"/>
  <c r="LT72" i="3" s="1"/>
  <c r="LT71" i="3"/>
  <c r="LU1" i="3"/>
  <c r="LT2" i="3"/>
  <c r="LU40" i="3" l="1"/>
  <c r="LU41" i="3" s="1"/>
  <c r="LU72" i="3" s="1"/>
  <c r="LU71" i="3"/>
  <c r="LV1" i="3"/>
  <c r="LU2" i="3"/>
  <c r="LV40" i="3" l="1"/>
  <c r="LV41" i="3" s="1"/>
  <c r="LV72" i="3" s="1"/>
  <c r="LV71" i="3"/>
  <c r="LW1" i="3"/>
  <c r="LV2" i="3"/>
  <c r="LW40" i="3" l="1"/>
  <c r="LW41" i="3" s="1"/>
  <c r="LW72" i="3" s="1"/>
  <c r="LW71" i="3"/>
  <c r="LX1" i="3"/>
  <c r="LW2" i="3"/>
  <c r="LX40" i="3" l="1"/>
  <c r="LX41" i="3" s="1"/>
  <c r="LX72" i="3" s="1"/>
  <c r="LX71" i="3"/>
  <c r="LY1" i="3"/>
  <c r="LX2" i="3"/>
  <c r="LY40" i="3" l="1"/>
  <c r="LY41" i="3" s="1"/>
  <c r="LY72" i="3" s="1"/>
  <c r="LY71" i="3"/>
  <c r="LZ1" i="3"/>
  <c r="LY2" i="3"/>
  <c r="LZ40" i="3" l="1"/>
  <c r="LZ41" i="3" s="1"/>
  <c r="LZ72" i="3" s="1"/>
  <c r="LZ71" i="3"/>
  <c r="MA1" i="3"/>
  <c r="LZ2" i="3"/>
  <c r="MA40" i="3" l="1"/>
  <c r="MA41" i="3" s="1"/>
  <c r="MA72" i="3" s="1"/>
  <c r="MA71" i="3"/>
  <c r="MB1" i="3"/>
  <c r="MA2" i="3"/>
  <c r="MB40" i="3" l="1"/>
  <c r="MB41" i="3" s="1"/>
  <c r="MB72" i="3" s="1"/>
  <c r="MB71" i="3"/>
  <c r="MC1" i="3"/>
  <c r="MB2" i="3"/>
  <c r="MC40" i="3" l="1"/>
  <c r="MC41" i="3" s="1"/>
  <c r="MC72" i="3" s="1"/>
  <c r="MC71" i="3"/>
  <c r="MD1" i="3"/>
  <c r="MC2" i="3"/>
  <c r="MD40" i="3" l="1"/>
  <c r="MD41" i="3" s="1"/>
  <c r="MD72" i="3" s="1"/>
  <c r="MD71" i="3"/>
  <c r="ME1" i="3"/>
  <c r="MD2" i="3"/>
  <c r="ME40" i="3" l="1"/>
  <c r="ME41" i="3" s="1"/>
  <c r="ME72" i="3" s="1"/>
  <c r="ME71" i="3"/>
  <c r="MF1" i="3"/>
  <c r="ME2" i="3"/>
  <c r="MF40" i="3" l="1"/>
  <c r="MF41" i="3" s="1"/>
  <c r="MF72" i="3" s="1"/>
  <c r="MF71" i="3"/>
  <c r="MG1" i="3"/>
  <c r="MF2" i="3"/>
  <c r="MG40" i="3" l="1"/>
  <c r="MG41" i="3" s="1"/>
  <c r="MG72" i="3" s="1"/>
  <c r="MG71" i="3"/>
  <c r="MH1" i="3"/>
  <c r="MG2" i="3"/>
  <c r="MH40" i="3" l="1"/>
  <c r="MH41" i="3" s="1"/>
  <c r="MH72" i="3" s="1"/>
  <c r="MH71" i="3"/>
  <c r="MI1" i="3"/>
  <c r="MH2" i="3"/>
  <c r="MI40" i="3" l="1"/>
  <c r="MI41" i="3" s="1"/>
  <c r="MI72" i="3" s="1"/>
  <c r="MI71" i="3"/>
  <c r="MJ1" i="3"/>
  <c r="MI2" i="3"/>
  <c r="MJ40" i="3" l="1"/>
  <c r="MJ41" i="3" s="1"/>
  <c r="MJ72" i="3" s="1"/>
  <c r="MJ71" i="3"/>
  <c r="MK1" i="3"/>
  <c r="MJ2" i="3"/>
  <c r="MK40" i="3" l="1"/>
  <c r="MK41" i="3" s="1"/>
  <c r="MK72" i="3" s="1"/>
  <c r="MK71" i="3"/>
  <c r="ML1" i="3"/>
  <c r="MK2" i="3"/>
  <c r="ML40" i="3" l="1"/>
  <c r="ML41" i="3" s="1"/>
  <c r="ML72" i="3" s="1"/>
  <c r="ML71" i="3"/>
  <c r="MM1" i="3"/>
  <c r="ML2" i="3"/>
  <c r="MM40" i="3" l="1"/>
  <c r="MM41" i="3" s="1"/>
  <c r="MM72" i="3" s="1"/>
  <c r="MM71" i="3"/>
  <c r="MN1" i="3"/>
  <c r="MM2" i="3"/>
  <c r="MN40" i="3" l="1"/>
  <c r="MN41" i="3" s="1"/>
  <c r="MN72" i="3" s="1"/>
  <c r="MN71" i="3"/>
  <c r="MO1" i="3"/>
  <c r="MN2" i="3"/>
  <c r="MO40" i="3" l="1"/>
  <c r="MO41" i="3" s="1"/>
  <c r="MO72" i="3" s="1"/>
  <c r="MO71" i="3"/>
  <c r="MP1" i="3"/>
  <c r="MO2" i="3"/>
  <c r="MP40" i="3" l="1"/>
  <c r="MP41" i="3" s="1"/>
  <c r="MP72" i="3" s="1"/>
  <c r="MP71" i="3"/>
  <c r="MQ1" i="3"/>
  <c r="MP2" i="3"/>
  <c r="MQ40" i="3" l="1"/>
  <c r="MQ41" i="3" s="1"/>
  <c r="MQ72" i="3" s="1"/>
  <c r="MQ71" i="3"/>
  <c r="MR1" i="3"/>
  <c r="MQ2" i="3"/>
  <c r="MR40" i="3" l="1"/>
  <c r="MR41" i="3" s="1"/>
  <c r="MR72" i="3" s="1"/>
  <c r="MR71" i="3"/>
  <c r="MS1" i="3"/>
  <c r="MR2" i="3"/>
  <c r="MS40" i="3" l="1"/>
  <c r="MS41" i="3" s="1"/>
  <c r="MS72" i="3" s="1"/>
  <c r="MS71" i="3"/>
  <c r="MT1" i="3"/>
  <c r="MS2" i="3"/>
  <c r="MT40" i="3" l="1"/>
  <c r="MT41" i="3" s="1"/>
  <c r="MT72" i="3" s="1"/>
  <c r="MT71" i="3"/>
  <c r="MU1" i="3"/>
  <c r="MT2" i="3"/>
  <c r="MU40" i="3" l="1"/>
  <c r="MU41" i="3" s="1"/>
  <c r="MU72" i="3" s="1"/>
  <c r="MU71" i="3"/>
  <c r="MV1" i="3"/>
  <c r="MU2" i="3"/>
  <c r="MV40" i="3" l="1"/>
  <c r="MV41" i="3" s="1"/>
  <c r="MV72" i="3" s="1"/>
  <c r="MV71" i="3"/>
  <c r="MW1" i="3"/>
  <c r="MV2" i="3"/>
  <c r="MW40" i="3" l="1"/>
  <c r="MW41" i="3" s="1"/>
  <c r="MW72" i="3" s="1"/>
  <c r="MW71" i="3"/>
  <c r="MX1" i="3"/>
  <c r="MW2" i="3"/>
  <c r="MX40" i="3" l="1"/>
  <c r="MX41" i="3" s="1"/>
  <c r="MX72" i="3" s="1"/>
  <c r="MX71" i="3"/>
  <c r="MY1" i="3"/>
  <c r="MX2" i="3"/>
  <c r="MY40" i="3" l="1"/>
  <c r="MY41" i="3" s="1"/>
  <c r="MY72" i="3" s="1"/>
  <c r="MY71" i="3"/>
  <c r="MZ1" i="3"/>
  <c r="MY2" i="3"/>
  <c r="MZ40" i="3" l="1"/>
  <c r="MZ41" i="3" s="1"/>
  <c r="MZ72" i="3" s="1"/>
  <c r="MZ71" i="3"/>
  <c r="NA1" i="3"/>
  <c r="MZ2" i="3"/>
  <c r="NA40" i="3" l="1"/>
  <c r="NA41" i="3" s="1"/>
  <c r="NA72" i="3" s="1"/>
  <c r="NA71" i="3"/>
  <c r="NB1" i="3"/>
  <c r="NA2" i="3"/>
  <c r="NB40" i="3" l="1"/>
  <c r="NB41" i="3" s="1"/>
  <c r="NB72" i="3" s="1"/>
  <c r="NB71" i="3"/>
  <c r="NC1" i="3"/>
  <c r="NB2" i="3"/>
  <c r="NC40" i="3" l="1"/>
  <c r="NC41" i="3" s="1"/>
  <c r="NC72" i="3" s="1"/>
  <c r="NC71" i="3"/>
  <c r="ND1" i="3"/>
  <c r="NC2" i="3"/>
  <c r="ND40" i="3" l="1"/>
  <c r="ND41" i="3" s="1"/>
  <c r="ND72" i="3" s="1"/>
  <c r="ND71" i="3"/>
  <c r="NE1" i="3"/>
  <c r="ND2" i="3"/>
  <c r="NE40" i="3" l="1"/>
  <c r="NE41" i="3" s="1"/>
  <c r="NE72" i="3" s="1"/>
  <c r="NE71" i="3"/>
  <c r="NF1" i="3"/>
  <c r="NE2" i="3"/>
  <c r="NF40" i="3" l="1"/>
  <c r="NF41" i="3" s="1"/>
  <c r="NF72" i="3" s="1"/>
  <c r="NF71" i="3"/>
  <c r="NG1" i="3"/>
  <c r="NF2" i="3"/>
  <c r="NG40" i="3" l="1"/>
  <c r="NG41" i="3" s="1"/>
  <c r="NG72" i="3" s="1"/>
  <c r="NG71" i="3"/>
  <c r="NH1" i="3"/>
  <c r="NG2" i="3"/>
  <c r="NH40" i="3" l="1"/>
  <c r="NH41" i="3" s="1"/>
  <c r="NH72" i="3" s="1"/>
  <c r="NH71" i="3"/>
  <c r="NI1" i="3"/>
  <c r="NH2" i="3"/>
  <c r="NI40" i="3" l="1"/>
  <c r="NI41" i="3" s="1"/>
  <c r="NI72" i="3" s="1"/>
  <c r="NI71" i="3"/>
  <c r="NJ1" i="3"/>
  <c r="NI2" i="3"/>
  <c r="R12" i="3"/>
  <c r="R28" i="3"/>
  <c r="R32" i="3"/>
  <c r="R33" i="3"/>
  <c r="R17" i="3"/>
  <c r="R16" i="3"/>
  <c r="R15" i="3"/>
  <c r="R20" i="3"/>
  <c r="R24" i="3"/>
  <c r="R27" i="3"/>
  <c r="R23" i="3"/>
  <c r="R22" i="3"/>
  <c r="R30" i="3"/>
  <c r="R14" i="3"/>
  <c r="NJ40" i="3" l="1"/>
  <c r="NJ41" i="3" s="1"/>
  <c r="NJ72" i="3" s="1"/>
  <c r="NJ71" i="3"/>
  <c r="NJ2" i="3"/>
  <c r="R25" i="3"/>
  <c r="R8" i="3"/>
  <c r="R11" i="3"/>
  <c r="R7" i="3"/>
  <c r="R18" i="3"/>
  <c r="R19" i="3"/>
  <c r="R21" i="3"/>
  <c r="R29" i="3"/>
  <c r="R10" i="3"/>
  <c r="R13" i="3"/>
  <c r="R9" i="3"/>
  <c r="R31" i="3"/>
  <c r="R26" i="3"/>
</calcChain>
</file>

<file path=xl/sharedStrings.xml><?xml version="1.0" encoding="utf-8"?>
<sst xmlns="http://schemas.openxmlformats.org/spreadsheetml/2006/main" count="2484" uniqueCount="798">
  <si>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</si>
  <si>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</si>
  <si>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</si>
  <si>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</si>
  <si>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</si>
  <si>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</si>
  <si>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</si>
  <si>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</si>
  <si>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</si>
  <si>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</si>
  <si>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</si>
  <si>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</si>
  <si>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</si>
  <si>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</si>
  <si>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</si>
  <si>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</si>
  <si>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</si>
  <si>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</si>
  <si>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</si>
  <si>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</si>
  <si>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</si>
  <si>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</si>
  <si>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</si>
  <si>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</si>
  <si>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</si>
  <si>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</si>
  <si>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</si>
  <si>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</si>
  <si>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</si>
  <si>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</si>
  <si>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</si>
  <si>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</si>
  <si>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</si>
  <si>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</si>
  <si>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</si>
  <si>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</si>
  <si>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</si>
  <si>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</si>
  <si>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</si>
  <si>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</si>
  <si>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</si>
  <si>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</si>
  <si>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</si>
  <si>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</si>
  <si>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</si>
  <si>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</si>
  <si>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</si>
  <si>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</si>
  <si>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</si>
  <si>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</si>
  <si>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</si>
  <si>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</si>
  <si>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</si>
  <si>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</si>
  <si>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</si>
  <si>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</si>
  <si>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</si>
  <si>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</si>
  <si>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</si>
  <si>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</si>
  <si>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</si>
  <si>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</si>
  <si>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</si>
  <si>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</si>
  <si>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</si>
  <si>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</si>
  <si>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</si>
  <si>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</si>
  <si>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</si>
  <si>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</si>
  <si>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</si>
  <si>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</si>
  <si>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</si>
  <si>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</si>
  <si>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</si>
  <si>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</si>
  <si>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</si>
  <si>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</si>
  <si>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</si>
  <si>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</si>
  <si>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</si>
  <si>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</si>
  <si>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</si>
  <si>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</si>
  <si>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</si>
  <si>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</si>
  <si>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</si>
  <si>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</si>
  <si>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</si>
  <si>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</si>
  <si>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</si>
  <si>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</si>
  <si>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</si>
  <si>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</si>
  <si>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</si>
  <si>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</si>
  <si>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</si>
  <si>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</si>
  <si>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</si>
  <si>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</si>
  <si>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</si>
  <si>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</si>
  <si>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</si>
  <si>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</si>
  <si>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</si>
  <si>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</si>
  <si>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</si>
  <si>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</si>
  <si>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</si>
  <si>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</si>
  <si>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</si>
  <si>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</si>
  <si>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</si>
  <si>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</si>
  <si>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</si>
  <si>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</si>
  <si>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</si>
  <si>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</si>
  <si>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</si>
  <si>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</si>
  <si>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</si>
  <si>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</si>
  <si>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</si>
  <si>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</si>
  <si>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</si>
  <si>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</si>
  <si>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</si>
  <si>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</si>
  <si>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</si>
  <si>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</si>
  <si>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</si>
  <si>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</si>
  <si>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</si>
  <si>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</si>
  <si>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</si>
  <si>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</si>
  <si>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</si>
  <si>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</si>
  <si>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</si>
  <si>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</si>
  <si>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</si>
  <si>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</si>
  <si>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</si>
  <si>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</si>
  <si>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</si>
  <si>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</si>
  <si>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</si>
  <si>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</si>
  <si>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</si>
  <si>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</si>
  <si>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</si>
  <si>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</si>
  <si>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</si>
  <si>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</si>
  <si>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</si>
  <si>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</si>
  <si>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</si>
  <si>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</si>
  <si>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</si>
  <si>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</si>
  <si>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</si>
  <si>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</si>
  <si>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</si>
  <si>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</si>
  <si>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</si>
  <si>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</si>
  <si>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</si>
  <si>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</si>
  <si>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</si>
  <si>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</si>
  <si>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</si>
  <si>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</si>
  <si>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</si>
  <si>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</si>
  <si>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</si>
  <si>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</si>
  <si>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</si>
  <si>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</si>
  <si>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</si>
  <si>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</si>
  <si>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</si>
  <si>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</si>
  <si>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</si>
  <si>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</si>
  <si>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</si>
  <si>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</si>
  <si>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</si>
  <si>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</si>
  <si>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</si>
  <si>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</si>
  <si>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</si>
  <si>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</si>
  <si>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</si>
  <si>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</si>
  <si>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</si>
  <si>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</si>
  <si>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</si>
  <si>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</si>
  <si>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</si>
  <si>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</si>
  <si>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</si>
  <si>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</si>
  <si>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</si>
  <si>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</si>
  <si>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</si>
  <si>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</si>
  <si>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</si>
  <si>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</si>
  <si>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</si>
  <si>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</si>
  <si>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</si>
  <si>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</si>
  <si>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</si>
  <si>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</si>
  <si>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</si>
  <si>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</si>
  <si>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</si>
  <si>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</si>
  <si>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</si>
  <si>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</si>
  <si>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</si>
  <si>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</si>
  <si>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</si>
  <si>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</si>
  <si>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</si>
  <si>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</si>
  <si>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</si>
  <si>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</si>
  <si>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</si>
  <si>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</si>
  <si>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</si>
  <si>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</si>
  <si>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</si>
  <si>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</si>
  <si>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</si>
  <si>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</si>
  <si>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</si>
  <si>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</si>
  <si>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</si>
  <si>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</si>
  <si>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</si>
  <si>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</si>
  <si>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</si>
  <si>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</si>
  <si>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</si>
  <si>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</si>
  <si>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</si>
  <si>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</si>
  <si>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</si>
  <si>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</si>
  <si>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</si>
  <si>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</si>
  <si>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</si>
  <si>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</si>
  <si>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</si>
  <si>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</si>
  <si>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</si>
  <si>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</si>
  <si>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</si>
  <si>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</si>
  <si>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</si>
  <si>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</si>
  <si>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</si>
  <si>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</si>
  <si>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</si>
  <si>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</si>
  <si>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</si>
  <si>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</si>
  <si>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</si>
  <si>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</si>
  <si>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</si>
  <si>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</si>
  <si>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</si>
  <si>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</si>
  <si>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</si>
  <si>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</si>
  <si>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</si>
  <si>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</si>
  <si>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</si>
  <si>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</si>
  <si>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</si>
  <si>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</si>
  <si>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</si>
  <si>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</si>
  <si>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</si>
  <si>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</si>
  <si>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</si>
  <si>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</si>
  <si>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</si>
  <si>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</si>
  <si>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</si>
  <si>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</si>
  <si>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</si>
  <si>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</si>
  <si>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</si>
  <si>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</si>
  <si>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</si>
  <si>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</si>
  <si>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</si>
  <si>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</si>
  <si>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</si>
  <si>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</si>
  <si>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</si>
  <si>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</si>
  <si>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</si>
  <si>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</si>
  <si>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</si>
  <si>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</si>
  <si>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</si>
  <si>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</si>
  <si>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</si>
  <si>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</si>
  <si>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</si>
  <si>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</si>
  <si>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</si>
  <si>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</si>
  <si>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</si>
  <si>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</si>
  <si>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</si>
  <si>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</si>
  <si>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</si>
  <si>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</si>
  <si>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</si>
  <si>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</si>
  <si>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</si>
  <si>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</si>
  <si>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</si>
  <si>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</si>
  <si>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</si>
  <si>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</si>
  <si>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</si>
  <si>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</si>
  <si>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</si>
  <si>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</si>
  <si>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</si>
  <si>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</si>
  <si>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</si>
  <si>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</si>
  <si>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</si>
  <si>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</si>
  <si>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</si>
  <si>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</si>
  <si>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</si>
  <si>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</si>
  <si>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</si>
  <si>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</si>
  <si>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</si>
  <si>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</si>
  <si>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</si>
  <si>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</si>
  <si>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</si>
  <si>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</si>
  <si>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</si>
  <si>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</si>
  <si>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</si>
  <si>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</si>
  <si>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</si>
  <si>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</si>
  <si>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</si>
  <si>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</si>
  <si>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</si>
  <si>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</si>
  <si>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</si>
  <si>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</si>
  <si>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</si>
  <si>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</si>
  <si>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</si>
  <si>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</si>
  <si>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</si>
  <si>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</si>
  <si>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</si>
  <si>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</si>
  <si>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</si>
  <si>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</si>
  <si>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</si>
  <si>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</si>
  <si>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</si>
  <si>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</si>
  <si>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</si>
  <si>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</si>
  <si>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</si>
  <si>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</si>
  <si>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</si>
  <si>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</si>
  <si>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</si>
  <si>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</si>
  <si>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</si>
  <si>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</si>
  <si>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</si>
  <si>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</si>
  <si>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</si>
  <si>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</si>
  <si>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</si>
  <si>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</si>
  <si>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</si>
  <si>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</si>
  <si>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</si>
  <si>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</si>
  <si>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</si>
  <si>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</si>
  <si>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</si>
  <si>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</si>
  <si>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</si>
  <si>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</si>
  <si>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</si>
  <si>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</si>
  <si>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</si>
  <si>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</si>
  <si>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</si>
  <si>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</si>
  <si>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</si>
  <si>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</si>
  <si>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</si>
  <si>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</si>
  <si>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</si>
  <si>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</si>
  <si>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</si>
  <si>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</si>
  <si>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</si>
  <si>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</si>
  <si>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</si>
  <si>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</si>
  <si>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</si>
  <si>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</si>
  <si>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</si>
  <si>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</si>
  <si>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</si>
  <si>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</si>
  <si>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</si>
  <si>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</si>
  <si>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</si>
  <si>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</si>
  <si>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</si>
  <si>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</si>
  <si>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</si>
  <si>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</si>
  <si>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</si>
  <si>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</si>
  <si>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</si>
  <si>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</si>
  <si>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</si>
  <si>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</si>
  <si>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</si>
  <si>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</si>
  <si>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</si>
  <si>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</si>
  <si>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</si>
  <si>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</si>
  <si>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</si>
  <si>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</si>
  <si>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</si>
  <si>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</si>
  <si>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</si>
  <si>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</si>
  <si>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</si>
  <si>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</si>
  <si>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</si>
  <si>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</si>
  <si>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</si>
  <si>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</si>
  <si>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</si>
  <si>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</si>
  <si>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</si>
  <si>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</si>
  <si>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</si>
  <si>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</si>
  <si>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</si>
  <si>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</si>
  <si>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</si>
  <si>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</si>
  <si>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</si>
  <si>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</si>
  <si>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</si>
  <si>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</si>
  <si>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</si>
  <si>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</si>
  <si>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</si>
  <si>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</si>
  <si>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</si>
  <si>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</si>
  <si>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</si>
  <si>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</si>
  <si>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</si>
  <si>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</si>
  <si>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</si>
  <si>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</si>
  <si>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</si>
  <si>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</si>
  <si>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</si>
  <si>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</si>
  <si>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</si>
  <si>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</si>
  <si>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</si>
  <si>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</si>
  <si>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</si>
  <si>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</si>
  <si>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</si>
  <si>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</si>
  <si>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</si>
  <si>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</si>
  <si>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</si>
  <si>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</si>
  <si>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</si>
  <si>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</si>
  <si>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</si>
  <si>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</si>
  <si>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</si>
  <si>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</si>
  <si>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</si>
  <si>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</si>
  <si>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</si>
  <si>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</si>
  <si>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</si>
  <si>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</si>
  <si>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</si>
  <si>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</si>
  <si>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</si>
  <si>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</si>
  <si>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</si>
  <si>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</si>
  <si>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</si>
  <si>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</si>
  <si>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</si>
  <si>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</si>
  <si>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</si>
  <si>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</si>
  <si>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</si>
  <si>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</si>
  <si>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</si>
  <si>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</si>
  <si>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</si>
  <si>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</si>
  <si>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</si>
  <si>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</si>
  <si>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</si>
  <si>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</si>
  <si>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Wandlauf
Einschlagen
Service + Geschenkte Bälle auf Grundsechs, ausspielen</t>
  </si>
  <si>
    <t>paarweise Einspielen, OZ, UZ mit Durchwechseln
paarweise Schlagübungen im Stand + Verteidigung mit Durchwechseln
einzeln selbstangeworfene Bälle schlagen
Spiel 3:3</t>
  </si>
  <si>
    <t>Friesach (14) - Spiel geg. Akadmie Graz 3:0 (25:11, 25:18, 25:23)</t>
  </si>
  <si>
    <t>Guter Beginn, gute Aktionen vor allem im 1. Satz
Start in 2.+3. Satz verschlafen -&gt; aus ist erst, wenn der Matchball verwertet(!) ist
Technik (Annahme, Schlagarm)
Probleme mit Blockbildung auf Pos 4, später auch auf Pos 2!
Konzentration!!!</t>
  </si>
  <si>
    <t>:H12</t>
  </si>
  <si>
    <t>:K12</t>
  </si>
  <si>
    <t>Baggerlafale (3m)
Einspielen in 3er Gruppe
Aufspielerviereck + Schlag geg. Mauer
Hinterfeldspiele</t>
  </si>
  <si>
    <t>Baggerlafale einzeln
paarweise einspielen mit 2 Bällen mit Durchwechseln
Angriff im Stand mit Verteidigung mit Weitergehen,
  dann Schlag mit Anlauf
Einschlagen (1er)
Winners Score paarweise</t>
  </si>
  <si>
    <t>Einspielen mit 2 Bällen
Service Annahme Aufspiel Schlagfangen im Wechsel mit Aufspielerviereck
Service Annahme Aufspiel Angriff geg. Blockreihe + 1 Verteidigerin, Ausspielen wenn möglich</t>
  </si>
  <si>
    <t>Sportpark</t>
  </si>
  <si>
    <t>Friesach (10+2)</t>
  </si>
  <si>
    <t>3er Gruppen - Einspielen mit Nachlaufen
Service + Annahme + Aufspiel + Schlagfangen mit Durchwechseln (2 Seiten)
Service + Geschenkte Bälle(T) geg. Grundsechs</t>
  </si>
  <si>
    <t>Antonia</t>
  </si>
  <si>
    <t>Cozza</t>
  </si>
  <si>
    <t>Witschnig</t>
  </si>
  <si>
    <t>Antonia Cozza</t>
  </si>
  <si>
    <t>0676 9286191</t>
  </si>
  <si>
    <t>0664 5200228</t>
  </si>
  <si>
    <t>Michael Witschnig</t>
  </si>
  <si>
    <t>Hebenstreit</t>
  </si>
  <si>
    <t>6/7</t>
  </si>
  <si>
    <t>Grundtechnik einzeln mit Ball (OZ, UZ), tw. auf Körbe
Wurf, Schlag ins Netz, sichern und drüberspielen
Anlauf + Schlag
Einschlagen
Spiel 3:3</t>
  </si>
  <si>
    <t>Grundtechnik einzeln mit Ball (OZ, UZ), tw. auf Körbe, kombiniert mit Ballgeschicklichkeit
Einschlagen
Winnerscore</t>
  </si>
  <si>
    <t>3x5 Winners Score (nur OZ + UZ)
1 Gruppe Leiter, 2 Gruppen Service + Annahme mit Durchwechseln
Einschlagen
Einschlagen mit Ausspielen geg. Grundsechs, später mit Lea als Vorderspielerin, die viel angreift</t>
  </si>
  <si>
    <t>Spiel geg. WSL
1 Satz - ich kann mich nicht mehr erinnern.
2.-4. Satz: Noch etwas wechselhaft, Schwierigkeiten mit dem Raum, manchmal zu passiv…
Wenn wir aktiv sind, dann kommen gute Aktionen.
Manchmal müssen wir noch geduldiger bleiben - ein geschenkter Ball vom Gegner nach einem taktisch klugen Angriff ist besser als zu viel Risiko.
Resumee: Geduld, taktische Diziplin, Kampfgeist, Siegeswille.</t>
  </si>
  <si>
    <t>:H13</t>
  </si>
  <si>
    <t>:K13</t>
  </si>
  <si>
    <t>Nachbesprechung Spiel
Winners Score
Kräftigung(Alter x 2 x 11)
Einschlagen
Einschlagen mit Ausspielen 6:6</t>
  </si>
  <si>
    <t>paarweise Baggerlafale + Kräftigung
paarweise Einspielen mit 2 Bällen mit Durchwechseln (OZ, UZ)
einzeln Schlag im Stand
Winners Score (paarweise)</t>
  </si>
  <si>
    <t>Winners Score (3x5, OZ, ZU)
5x3: 2x6 Spielsystem Verteidigung + 1x3 Leiter
3 mit 2 Bällen: 1x Schlag, 1x Schupfer, 1x Verteidigung von 2 Bällen (3x7)
Spiel 6 gegen 6 - Service geg. Annahme - 1 Seite wechselt durch</t>
  </si>
  <si>
    <t>Friesach (10+1)</t>
  </si>
  <si>
    <t>Winners Score
Kräftigung (Alter x 11)
Annahme + Schlag-Verteidigung beidseitig
5 : Grundsechs</t>
  </si>
  <si>
    <t>(mit Strutzi)</t>
  </si>
  <si>
    <t>Baggerlafale, einzeln, dann paarweise, mit Kräftigung
Winners Score mit unterschiedlichen Mannschaften</t>
  </si>
  <si>
    <t>5 mit 5(6) mit Weiterrotieren nach Netzüberquerung, 1 oder 5 läuft ein und spielt auf
Ballgeschicklichkeit in Kleingruppen mit vielen Bällen
Annahme mit Ball zwischen Kinn und Oberarmen -&gt; Schieben statt schlagen
5 (Service) : Grundsechs + eingeworfenen Bälle T (Geschenkt oder zur Aufspielerin)</t>
  </si>
  <si>
    <t>Friesach (10)</t>
  </si>
  <si>
    <t>Spiel geg. Jennersdorf
gute Angriffe, ausgezeichnete Verteidigung
viel taktische Disziplin + Geduld!</t>
  </si>
  <si>
    <t>Besprechung - Organisation Heimspiele
Winners Score (OZ, UZ)
Im Wechsel
  - 2 Aufspielerinnen laufen ein, 2 6er verteidgen abwechseln und sagen 6 oder 2 an, 1 Angreiferinnen auf 2+4
  - 1 Angreiferin(ZU) mit 2 Aufspielerinnen mit 2 Bällen(eine spielt, einen fängt und wirft)
  - 1 Angreiferin + 2 MB - Aufspiel Schlag Verteidigung mit Nachlaufen
  - 2 MB - abwechselnd Schlag im Stand geg. Mauer</t>
  </si>
  <si>
    <t>MS (16 + 1)</t>
  </si>
  <si>
    <t>Baggerlafale
Einzeln: Wurf ins Netz, Sichern, Drüberspielen, dann mit Schlag
Selbstangeworfenen Bälle schlagen + Verteidigung
Einschlagen + selbstangeworfenen Bälle schlagen
Spiel 2:3 mit Durchwechseln der Teams</t>
  </si>
  <si>
    <t>Winners Score (OZ, UZ)
Einspielen in 3er-Gruppen mit Nachlaufen + 1 Paar
Komplexübung Doppelblockbildung + komplette Feldverteidigung
  4 MB, 6 Auf+Dia, 7 AA
  MB springt leicht, Signal von Hinten -&gt; Angreifer rechts oder links klopft auf Ball und schlägt
  Durchwechseln nach 10 Aktionen
dazu:
  2 Aufspielerinnen + 1 Dia - Aufspiel überkopf im Dreieck mit 2 Bälle
  2 AA unterstützen mit Ballzureichen
  2 AA schlagen geg. Mauer
Winners Score (6:6:5)</t>
  </si>
  <si>
    <t>:H14</t>
  </si>
  <si>
    <t>:K14</t>
  </si>
  <si>
    <t>MS (12 + 1)</t>
  </si>
  <si>
    <t>(längsgeteiltes Feld)
2 mit 2 mit Nachlaufen mit 3 Berührungen (1 Gruppe mit Durchwechseln auf einer Seite), nur OZ + ZU
(wie zuvor) Winners Score (OZ, UZ, Service von unten, mit Angriffsdrücken)
25 Liegestütz
(wie zuvor) Service von oben + Schlag erlaubt
(wie zuvor) niederes Netz, verkürztes Feld, Ziel: Runterschlagen</t>
  </si>
  <si>
    <t>U/L</t>
  </si>
  <si>
    <t>:H15</t>
  </si>
  <si>
    <t>:K15</t>
  </si>
  <si>
    <t>:H16</t>
  </si>
  <si>
    <t>:K16</t>
  </si>
  <si>
    <t>Auswärts ist es etwas schwieriger, schlussendlich ein klares 3:0.
Konzentration behalten!</t>
  </si>
  <si>
    <t>2 mit 2 mit Nachlaufen mit 3 Berührungen
kurz Winners Score
paarweise mit Durchwechseln - UZ
2x 3 Spiele 2:2</t>
  </si>
  <si>
    <t xml:space="preserve">3er/4er Gruppen mit Nachlaufen - Konzentration OZ, UZ
Service von unten -&gt; perfekte Annahme, mit Kräftigung, dann Service von oben
Service geg. Grundsechs -&gt; Ausspielen, mit kleinen Spielen
Winners Score
</t>
  </si>
  <si>
    <t>MS Weiz (13)</t>
  </si>
  <si>
    <t>MS (11 + 1)</t>
  </si>
  <si>
    <t>Nachbesprechung Spiel
paarweise Wurf/Druck/Schlag - Annahme, dann Verteidigung
4 Gruppen: Service - Annahme - Fangen
Winners Score</t>
  </si>
  <si>
    <t>Baggerlafale, einzeln, dann paarweise
im Wechsel: Frosch(UZ), Wurf/Schlag im Stand geg. Mauer
einzeln OZ auf Korb (vw, rw, vw)
Schlag im Stand über tiefes Netz
selbstangeworfenen Bälle schlagen
Einschlagen, tw. 1er
Spiel</t>
  </si>
  <si>
    <t>MS (6, Kleinfeld)</t>
  </si>
  <si>
    <t>MS (5, Kleinfeld)</t>
  </si>
  <si>
    <t>MS (8 + 6, Kleinfeld)</t>
  </si>
  <si>
    <t>Winners Score OZ+UZ, Service von unten + Ringe zum Durchlaufen
Einspielen mit Nachlaufen
Service auf Grundsechs, dann 3 Angriffe
Winners Score (6:4:4)</t>
  </si>
  <si>
    <t>(Statusbesprechungen)
3 mit 3 mit Nachlaufen mit drei Berührungen (mit Zusatzaufgaben)
paarweise (OZ, UZ mit 2 Bällen)
paarweise Schlag-Verteidigung - 3 Serien
Spiele am längsgeteilten Feld
6:6</t>
  </si>
  <si>
    <t>Baggerlafale, einzeln, dann paarweise
Spielsystem - 2x Technik mit Strutzi
Strutzi macht fertig</t>
  </si>
  <si>
    <t>3x4 Konzentration mit 3 Berührungen - Hinterspieler spielt auf
Einspielen in 3er Gruppen mit Nachlaufen
Service geg. Grundsechs (mit und ohne Libera) + Doppelwechsel
Spiel 6:6</t>
  </si>
  <si>
    <t>Schmid</t>
  </si>
  <si>
    <t>(Strutzi)</t>
  </si>
  <si>
    <t>Friesach (12)</t>
  </si>
  <si>
    <t>Spiel geg. Hausmannstätten
1. Satz sehr gut, dann immer wieder Probleme mit der Geduld.
Manchmal ist es notwendig einen Punkt mehrfach zu machen!
Mit Kampf und viel Einsatz zurückgekommen und gewonnen - Hurra!</t>
  </si>
  <si>
    <t>Villach (7)</t>
  </si>
  <si>
    <t>Villach (7+3)</t>
  </si>
  <si>
    <t>UL: 3:2 geg. Villach</t>
  </si>
  <si>
    <t>LL: 3:2 geg. Villach</t>
  </si>
  <si>
    <t>Friesach (14)</t>
  </si>
  <si>
    <t>Wenn ein Gegner "komisch" spielt, dann wird es komisch…
Startschwierigkeiten, Probleme mit der Aktivierung, aber dann ist doch einigermaßen gegangen.</t>
  </si>
  <si>
    <t>kurze Besprechung zum Spiel
Baggerlafale, einzeln, dann paarweise
Wurf/Schlag ins Netz, retten, und drüberspielen
Einschlagen</t>
  </si>
  <si>
    <t>Baggerlafale - 2x6, mit Auf- und Abstieg
3x Leiter, 3x Wurf, 3x Block (+ Feldverteteigung), 3x Feldverteidigung
Ziele:
  - Netz: Hände hoch, Blockbildung
  - Feld: Vorbereitung - Hände vor(!), tiefe Körperposition
Spiel 6:6</t>
  </si>
  <si>
    <t>Externe/Co-Trainer</t>
  </si>
  <si>
    <t>Raunegger</t>
  </si>
  <si>
    <t>ER</t>
  </si>
  <si>
    <t>Kl. St. Paul</t>
  </si>
  <si>
    <t>:H17</t>
  </si>
  <si>
    <t>:K17</t>
  </si>
  <si>
    <t>Friesach (8 + 1)</t>
  </si>
  <si>
    <t>Baggerlafale (einzeln 2x4, dann paarweise)
paarweise einspielen mit 2 Bällen mit Durchwechseln
Spiel</t>
  </si>
  <si>
    <t>Einspielen mit T(von Netz)
Spiele (1:2 + 3:T) - 3 Serien</t>
  </si>
  <si>
    <t>Theraband mit Jenny
Winners Score (3x4 OZ/ZU, 25, dann alles erlaubt)
Service + Geschenkte Bälle geg. Grundsechs mit wechselndem MB</t>
  </si>
  <si>
    <t>Winners Score (zuerst 4x2, dann 3x3)
Kräftigung (Alter + Bonus vom Spiel+5/2/0)
Winners Score (3x3, alles erlaubt ohne Extremdiagonale zum Üben der Feldverteidigung)</t>
  </si>
  <si>
    <t>SH Lerchenfeldstr. (12)</t>
  </si>
  <si>
    <t>Spiel geg. ATSC: 0:3
Talentprobe von Celi, aber die Abstimmung mit der Mannschaft passt leider noch nicht (ist aber klar).
Alle müssen wir daraus lernen, dass immer voller Kampfgeist nötig ist, auch wenn es nicht perfekt läuft. In den Phasen, wo der Kampfgeist da war, haben wir aufgeholt!</t>
  </si>
  <si>
    <t>M</t>
  </si>
  <si>
    <t>:H18</t>
  </si>
  <si>
    <t>:K18</t>
  </si>
  <si>
    <t>:H19</t>
  </si>
  <si>
    <t>:K19</t>
  </si>
  <si>
    <t>:H20</t>
  </si>
  <si>
    <t>:K20</t>
  </si>
  <si>
    <t>irgendwie bemüh ich mich voll de schlagbewegung zu verbessern aber anscheinend wirds nicht besser wie kann ich das ändern?</t>
  </si>
  <si>
    <t xml:space="preserve">Celina </t>
  </si>
  <si>
    <t>ja</t>
  </si>
  <si>
    <t>(eher) nein</t>
  </si>
  <si>
    <t>Murnigs</t>
  </si>
  <si>
    <t>alle</t>
  </si>
  <si>
    <t>Nici</t>
  </si>
  <si>
    <t>eher nein</t>
  </si>
  <si>
    <t>nein</t>
  </si>
  <si>
    <t>???</t>
  </si>
  <si>
    <t xml:space="preserve">       +1</t>
  </si>
  <si>
    <t>Michael</t>
  </si>
  <si>
    <t>Karl</t>
  </si>
  <si>
    <t>BG</t>
  </si>
  <si>
    <t>Gorton</t>
  </si>
  <si>
    <t>Spielerinnen</t>
  </si>
  <si>
    <t xml:space="preserve"> </t>
  </si>
  <si>
    <t>Te</t>
  </si>
  <si>
    <t>Test: Plannegger</t>
  </si>
  <si>
    <t>Test: Selina(Pietsch)</t>
  </si>
  <si>
    <t>Testungen
Einspielen mit 2 Bällen
Einspielen zu dritt
Winners Score (5+5+4, 2 Liberas fix)</t>
  </si>
  <si>
    <t>Wandlauf
Annahme
Service + eingeworfene Bälle auf Grundsechs</t>
  </si>
  <si>
    <t xml:space="preserve">Winners Score (3+3+3+4)
Kräftigung
paarweise Einspielen, 3x7 Schlag + Schupfer
Einschlagen: Angriff außen gegen Blockreihe (+ Libera)
Winners Score </t>
  </si>
  <si>
    <t>Test: Sabsi(Opriessnig)</t>
  </si>
  <si>
    <t>Jennifer</t>
  </si>
  <si>
    <t>MW</t>
  </si>
  <si>
    <t>xinfo1</t>
  </si>
  <si>
    <t>xinfoLast</t>
  </si>
  <si>
    <t>Brückl (14 + 1)</t>
  </si>
  <si>
    <t>Brückl (12 + 1)</t>
  </si>
  <si>
    <t>Brückl (15 + 1)</t>
  </si>
  <si>
    <t>Brückl (15)</t>
  </si>
  <si>
    <t>Brückl (13)</t>
  </si>
  <si>
    <t>Winners Score (4+4+4+3) mit Leiter
paarweise Einspielen, 3x7 Schlag-Verteidigung
Service von 3m-Linie - ins obere Netzband (flach und scharf)
  dann von ca 6m flach und scharf übers Netz, langsam Entfernung erhöhen, Topspin
  Leiter, 1 Aufspielerin im Winkel
Außenangriff geg. Blockwand - Sicherung - Ziel: Abschluss über Mitte
Winners Score</t>
  </si>
  <si>
    <t>Winners Score (4+4+4+3) mit Leiter
Verteidigungsystem (2x 6)
  Leiter, 1 Aufspielerin im Winkel
Außenangriff geg. Blockwand - Sicherung - Ziel: Abschluss über Mitte
Winners Score</t>
  </si>
  <si>
    <t>header1</t>
  </si>
  <si>
    <t>header2</t>
  </si>
  <si>
    <t># termine</t>
  </si>
  <si>
    <t>Jänner</t>
  </si>
  <si>
    <t>I</t>
  </si>
  <si>
    <t>Feber</t>
  </si>
  <si>
    <t>März</t>
  </si>
  <si>
    <t>April</t>
  </si>
  <si>
    <t>Mai</t>
  </si>
  <si>
    <t>Juni</t>
  </si>
  <si>
    <t>FC</t>
  </si>
  <si>
    <t>Juli</t>
  </si>
  <si>
    <t>August</t>
  </si>
  <si>
    <t>-</t>
  </si>
  <si>
    <t>summe Sp</t>
  </si>
  <si>
    <t>summe Alle</t>
  </si>
  <si>
    <t>Dragana.Brcin@flex.com</t>
  </si>
  <si>
    <t>Lmmehringer@gmail.com</t>
  </si>
  <si>
    <t>bojana.desp@gmail.com</t>
  </si>
  <si>
    <t>celina.aschb@gmail.com</t>
  </si>
  <si>
    <t>jennifer-grojer@gmx.net</t>
  </si>
  <si>
    <t>jordan.alexandra@gmx.at</t>
  </si>
  <si>
    <t>karl.gorton@gmx.at</t>
  </si>
  <si>
    <t>murnig.lea@gmail.com</t>
  </si>
  <si>
    <t>nicoledreier5955@gmail.com</t>
  </si>
  <si>
    <t>ylva.voelker@gmx.at</t>
  </si>
  <si>
    <t>yassimurnig@gmail.com</t>
  </si>
  <si>
    <t>valentina.probst@aon.at</t>
  </si>
  <si>
    <t>theresa@scheitz.eu</t>
  </si>
  <si>
    <t>stefanie.rueckenbaum@outlook.com</t>
  </si>
  <si>
    <t>stefanie.marbek@gmx.at</t>
  </si>
  <si>
    <t>sabrina.grojer@gmail.com</t>
  </si>
  <si>
    <t>0676 7727846</t>
  </si>
  <si>
    <t>0650 8082512</t>
  </si>
  <si>
    <t>0650 8568955</t>
  </si>
  <si>
    <t>0664 3508928</t>
  </si>
  <si>
    <t>0699 18262345</t>
  </si>
  <si>
    <t>0664 3962130</t>
  </si>
  <si>
    <t>0680 1522255</t>
  </si>
  <si>
    <t>0650 3775646</t>
  </si>
  <si>
    <t>0676 89807448</t>
  </si>
  <si>
    <t>0676 5032414</t>
  </si>
  <si>
    <t>0676 84505059</t>
  </si>
  <si>
    <t>0650 3023045</t>
  </si>
  <si>
    <t>0660 4343295</t>
  </si>
  <si>
    <t>0690 10238425</t>
  </si>
  <si>
    <t>0650 6905456</t>
  </si>
  <si>
    <t>0650 5450205</t>
  </si>
  <si>
    <t>0650 3734103</t>
  </si>
  <si>
    <t>0664 609396134</t>
  </si>
  <si>
    <t>colName</t>
  </si>
  <si>
    <t>colMail</t>
  </si>
  <si>
    <t>colTel</t>
  </si>
  <si>
    <t>AQ</t>
  </si>
  <si>
    <t>BS</t>
  </si>
  <si>
    <t>Feb</t>
  </si>
  <si>
    <t>AR-BS</t>
  </si>
  <si>
    <t>CV-ED</t>
  </si>
  <si>
    <t>DX-FM</t>
  </si>
  <si>
    <t>FG-GO</t>
  </si>
  <si>
    <t>GI-HQ</t>
  </si>
  <si>
    <t>Alle</t>
  </si>
  <si>
    <t>Brückl (18)</t>
  </si>
  <si>
    <t>Winners Score (5+5+4+4)
6x3 Einspielen mit Nachlaufen
3 Aufspielerinnen + 5 3er Gruppen im Wechsel
2x Aufspielerviereck (1x plus Verteidigung der 2. Aufspielerin in Diagonale)
2x Leiter, 1x Schlag-Verteidigung mit Nachlaufen
Einschlagen
Winners Score 3x 6</t>
  </si>
  <si>
    <t>Anlauf von außen -&gt; Absprung
Hinter dem Ball bleiben -&gt; den Ball vor dem Körper schlagen.</t>
  </si>
  <si>
    <t>colTest</t>
  </si>
  <si>
    <t>colSum</t>
  </si>
  <si>
    <t>colPerc</t>
  </si>
  <si>
    <t>Winners Score (3x5)
1x6 (2xAuf, 2x Dia, Lib1, AA): Verteidigungssystem mit Schwerpunkt Verteidigung der Aufspielerin
3x3 (je eine MB pro Gruppe)
  6: Verteidigungssystem (MB Auf, MB 5, sonst frei)
  3: Leiter
Einschlagen nach Lösen gegen Blockmatte - 3x Sicherung(5, Auf, Mitte) - Ziel: Abschluss über Mitte
Winners Score (Hauptziel: Training der Grundsechs, Lib1 immer in Ann)
  Grundsechs auf Serviceseite ohne Libero, nur eine geht auf die Annahmeseite mit,
    die andere unterstützt die nächste Gruppe</t>
  </si>
  <si>
    <t>C:Kürzel</t>
  </si>
  <si>
    <t>E:Name</t>
  </si>
  <si>
    <t>F:Email</t>
  </si>
  <si>
    <t>G:Telefon</t>
  </si>
  <si>
    <t>BT</t>
  </si>
  <si>
    <t>BT-DB</t>
  </si>
  <si>
    <t>CV</t>
  </si>
  <si>
    <t>ED</t>
  </si>
  <si>
    <t>DX</t>
  </si>
  <si>
    <t>FM</t>
  </si>
  <si>
    <t>FG</t>
  </si>
  <si>
    <t>GO</t>
  </si>
  <si>
    <t>GI</t>
  </si>
  <si>
    <t>HQ</t>
  </si>
  <si>
    <t>Aug: HK-IU?</t>
  </si>
  <si>
    <t>IU</t>
  </si>
  <si>
    <t>colKürzel</t>
  </si>
  <si>
    <t>12 für U20</t>
  </si>
  <si>
    <t>Einspielen mit 2 Bällen
4 Gruppen, Einspielen mit Nachlaufen
Blocksicherung - Einschlagen geg. große Matten
Service + Geschenkte Bälle auf Grundsechs</t>
  </si>
  <si>
    <t>Friesach (16)</t>
  </si>
  <si>
    <t>4x4 Winners Score
4 Gruppen Annahme, je 5 gute, gerade, 2x diagonal
3x Service + 3x Einwurf AA zur Aufspielerein -&gt; Angriff, 2 Runden geg. Grundsechs
min20 Service, davon 3x3 in jedes Viertel</t>
  </si>
  <si>
    <t>+</t>
  </si>
  <si>
    <t>Do</t>
  </si>
  <si>
    <t>Li</t>
  </si>
  <si>
    <t>Test - alles ok</t>
  </si>
  <si>
    <t>Cup-Spiel geg. Linz 0:3 (-11,-6,-21)
Technische Fehler werden bestarft, auch kleine.
Aber wenn wir allen Mut zusammennehmen, und alle gemeinsam kämpfen, dann können wir sie ärgern.
2. Satz -&gt; aufgeholt auf 6:8! Das war die beste Phase.
3. Satz -&gt; wenn sie nur ein kleines bischen nachlassen, dann können wir einen ganzen Satz lang dagegen halten!</t>
  </si>
  <si>
    <t>Brückl (19)</t>
  </si>
  <si>
    <t>Brückl (17)</t>
  </si>
  <si>
    <t>Winners Score + Gespräche</t>
  </si>
  <si>
    <t>x</t>
  </si>
  <si>
    <t>Winners Score 2x4+2x5
6x3 Einspielen mit Nachlaufen
   Schlagbewegung, Vorbereitung zur Verteidigung
   nach unten schlagen - Abstand verringern
2 Aufspielerinnen - Aufspielerinnen sichern und spielen abwechseln nach Kommando(6, 2) auf, 2 "Blockerinnen" lassen abtropfen
Annahme im 3er-Riegel, Aufspielerin, 2 Fänger, alle anderen servieren
  Aufspielerin:  "Weite Wege!"
3x6 Winners Score mit System</t>
  </si>
  <si>
    <t>Brückl (geg. Abend)</t>
  </si>
  <si>
    <t>JA</t>
  </si>
  <si>
    <t>JA(M)</t>
  </si>
  <si>
    <t>box</t>
  </si>
  <si>
    <t>Brückl (16)</t>
  </si>
  <si>
    <t>Winners score (4x4)
Service + Geschenkte Bälle geg. Grundsechs - Ausspielen
Winners Score</t>
  </si>
  <si>
    <t>Winners Score(4, 4, 3, 3)
Grundtechnik
   - paarweise UZ unterm Netz im Wechsel mit zu dritt Aufspiel Schlag Verteidigung mit Nachlaufen
   - 2x Auf OZ geg. Boden und geg. Wand
2x Aufspielerviereck + Schalg einzeln geg. Mauer
  3 Durchgang: 2 Aufspielerinnen sichern; MB spielen auf
Spiel geg. Grunssechs (ohne Libero)</t>
  </si>
  <si>
    <t>Test: alles ok</t>
  </si>
  <si>
    <t>Friesach (13)</t>
  </si>
  <si>
    <t>Spiel geg. Dornbirn
Gehemmter Beginn
Mitte 2. Satz bis Mitte 4. Satz sehr gut, dann leider wieder zuwenig beweglich
  Do nimmt Risiko heraus, wir werden aber leider auch langsamer…</t>
  </si>
  <si>
    <t>WSL</t>
  </si>
  <si>
    <t>Sp</t>
  </si>
  <si>
    <t>7+6 für U18</t>
  </si>
  <si>
    <t>3+6 für U16</t>
  </si>
  <si>
    <t>###</t>
  </si>
  <si>
    <t>##</t>
  </si>
  <si>
    <t>selbständig testen(Fr/Sa)</t>
  </si>
  <si>
    <t>5x3 Baggerlafale - miteinander, gegeneinander mit Kräftigung
5x3 Aufspiel-Schlag-Verteidigung, Technikziel: Armführung nach dem Balltreffen
3x5 Winnerscore (altersmäßig - mittlere 5 = U20)</t>
  </si>
  <si>
    <t>2x8 Baggerlafale am längsgeteiltem Hinterfeld mit Auf-und Absteigern + Kräftigung - 3 Durchgänge
7x2,1x3(jetzt mit Lea) Baggerlafale am Hinterfeld + Kräftigung - 3 Durchgänge
3x Aufspielerinnen am Netz (Ziele: 2er, 6er)
2x3, 2x4 Aufspiel-Schlag-Verteidigung, Technikziel: Armführung nach dem Balltreffen
Winners Score (5x "alt", 6x U20, 6x "jung+")</t>
  </si>
  <si>
    <t>2x8/9 Baggerlafale am längsgeteiltem Hinterfeld mit Auf-und Absteigern + Kräftigung - 3 Durchgänge
7x2,1x3 Baggerlafale am Hinterfeld + Kräftigung - 3 Durchgänge
Verteidigung nach Seitwärtsbegung (6x12)
Aufspiel-Schlag-Verteidigung mit Nachlaufen
Aufspielerinnen(100 geg. Boden vom Heizkörper, Federn geg. Wand, Daumenübungen ge. Wand)
Winners Score(5 Alte, U20, Junge+)</t>
  </si>
  <si>
    <t>0660 2000211</t>
  </si>
  <si>
    <t>StefieR</t>
  </si>
  <si>
    <t>StefieM</t>
  </si>
  <si>
    <t>LeaMe</t>
  </si>
  <si>
    <t>LeaMu</t>
  </si>
  <si>
    <t>K25</t>
  </si>
  <si>
    <t>Fr</t>
  </si>
  <si>
    <t xml:space="preserve">  X</t>
  </si>
  <si>
    <t>Winners Score (3x4, 1x5)
Verteidigung nach Seitwärtsbegung (6x12)
Aufspiel-Schlag-Verteidigung mit Nachlaufen
Winners Score (6x "alt", 6x U20 mit 2 Auf, 5x "Junge+")</t>
  </si>
  <si>
    <t>Sportpark()</t>
  </si>
  <si>
    <t>Spiel geg. WSL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</si>
</sst>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4"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
      <b/>
      <sz val="24"/>
      <color theme="1"/>
      <name val="Calibri"/>
      <family val="2"/>
      <scheme val="minor"/>
    </font>
    <font>
      <sz val="24"/>
      <color theme="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40">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auto="1"/>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2">
    <xf numFmtId="0" fontId="0" fillId="0" borderId="0"/>
    <xf numFmtId="0" fontId="3" fillId="2" borderId="1" applyNumberFormat="0" applyAlignment="0" applyProtection="0"/>
  </cellStyleXfs>
  <cellXfs count="242">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0" fillId="0" borderId="0" xfId="0" quotePrefix="1"/>
    <xf numFmtId="0" fontId="1" fillId="4" borderId="0" xfId="0" applyFont="1" applyFill="1"/>
    <xf numFmtId="14" fontId="0" fillId="4" borderId="0" xfId="0" quotePrefix="1" applyNumberFormat="1" applyFill="1" applyAlignment="1">
      <alignment horizontal="right"/>
    </xf>
    <xf numFmtId="0" fontId="0" fillId="0" borderId="0" xfId="0" applyAlignment="1">
      <alignment horizontal="center"/>
    </xf>
    <xf numFmtId="0" fontId="0" fillId="0" borderId="16" xfId="0" applyBorder="1" applyAlignment="1">
      <alignment horizontal="center"/>
    </xf>
    <xf numFmtId="20" fontId="0" fillId="0" borderId="0" xfId="0" applyNumberFormat="1" applyAlignment="1">
      <alignment vertical="top"/>
    </xf>
    <xf numFmtId="0" fontId="0" fillId="0" borderId="0" xfId="0" applyFill="1"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quotePrefix="1" applyBorder="1" applyAlignment="1">
      <alignment horizontal="right"/>
    </xf>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28" xfId="0" applyBorder="1"/>
    <xf numFmtId="0" fontId="0" fillId="0" borderId="18" xfId="0" applyBorder="1"/>
    <xf numFmtId="0" fontId="0" fillId="0" borderId="29" xfId="0" applyBorder="1"/>
    <xf numFmtId="14" fontId="0" fillId="4" borderId="15" xfId="0" applyNumberFormat="1" applyFill="1" applyBorder="1"/>
    <xf numFmtId="14" fontId="0" fillId="0" borderId="0" xfId="0" applyNumberFormat="1"/>
    <xf numFmtId="0" fontId="1" fillId="4" borderId="15" xfId="0" applyFont="1" applyFill="1" applyBorder="1" applyAlignment="1">
      <alignment horizontal="center"/>
    </xf>
    <xf numFmtId="0" fontId="0" fillId="0" borderId="10" xfId="0" applyBorder="1"/>
    <xf numFmtId="0" fontId="0" fillId="0" borderId="30" xfId="0" applyBorder="1"/>
    <xf numFmtId="0" fontId="0" fillId="0" borderId="31" xfId="0" applyBorder="1"/>
    <xf numFmtId="0" fontId="0" fillId="4" borderId="18" xfId="0" applyFont="1" applyFill="1" applyBorder="1"/>
    <xf numFmtId="0" fontId="0" fillId="4" borderId="35" xfId="0" applyFill="1" applyBorder="1"/>
    <xf numFmtId="0" fontId="0" fillId="4" borderId="7" xfId="0" applyFont="1" applyFill="1" applyBorder="1"/>
    <xf numFmtId="0" fontId="0" fillId="0" borderId="18" xfId="0" applyFill="1" applyBorder="1"/>
    <xf numFmtId="0" fontId="0" fillId="4" borderId="8" xfId="0" applyFont="1" applyFill="1" applyBorder="1"/>
    <xf numFmtId="0" fontId="0" fillId="0" borderId="36" xfId="0" applyBorder="1"/>
    <xf numFmtId="14" fontId="0" fillId="0" borderId="0" xfId="0" applyNumberFormat="1" applyBorder="1"/>
    <xf numFmtId="164" fontId="0" fillId="0" borderId="0" xfId="0" applyNumberFormat="1" applyAlignment="1">
      <alignment wrapText="1"/>
    </xf>
    <xf numFmtId="14" fontId="0" fillId="4" borderId="0" xfId="0" applyNumberFormat="1" applyFill="1" applyBorder="1"/>
    <xf numFmtId="0" fontId="1" fillId="4" borderId="38" xfId="0" applyFont="1" applyFill="1" applyBorder="1"/>
    <xf numFmtId="0" fontId="1" fillId="4" borderId="35" xfId="0" applyFont="1" applyFill="1" applyBorder="1"/>
    <xf numFmtId="0" fontId="0" fillId="4" borderId="37" xfId="0" applyFill="1" applyBorder="1"/>
    <xf numFmtId="14" fontId="0" fillId="4" borderId="35" xfId="0" applyNumberFormat="1" applyFill="1" applyBorder="1"/>
    <xf numFmtId="14" fontId="0" fillId="4" borderId="38" xfId="0" applyNumberFormat="1" applyFill="1" applyBorder="1"/>
    <xf numFmtId="0" fontId="0" fillId="4" borderId="0" xfId="0" quotePrefix="1" applyFill="1" applyBorder="1"/>
    <xf numFmtId="0" fontId="0" fillId="4" borderId="16" xfId="0" quotePrefix="1" applyFill="1" applyBorder="1"/>
    <xf numFmtId="0" fontId="0" fillId="4" borderId="37" xfId="0" applyFont="1" applyFill="1" applyBorder="1"/>
    <xf numFmtId="0" fontId="0" fillId="0" borderId="36" xfId="0" applyFill="1" applyBorder="1"/>
    <xf numFmtId="0" fontId="0" fillId="0" borderId="39" xfId="0" applyBorder="1"/>
    <xf numFmtId="1" fontId="1" fillId="4" borderId="30" xfId="0" applyNumberFormat="1" applyFont="1" applyFill="1" applyBorder="1"/>
    <xf numFmtId="1" fontId="1" fillId="4" borderId="38" xfId="0" applyNumberFormat="1" applyFont="1" applyFill="1" applyBorder="1"/>
    <xf numFmtId="1" fontId="1" fillId="4" borderId="34" xfId="0" applyNumberFormat="1" applyFont="1" applyFill="1" applyBorder="1"/>
    <xf numFmtId="1" fontId="1" fillId="4" borderId="31" xfId="0" applyNumberFormat="1" applyFont="1" applyFill="1" applyBorder="1"/>
    <xf numFmtId="1" fontId="0" fillId="4" borderId="32" xfId="0" applyNumberFormat="1" applyFill="1" applyBorder="1"/>
    <xf numFmtId="1" fontId="0" fillId="4" borderId="34" xfId="0" applyNumberFormat="1" applyFill="1" applyBorder="1"/>
    <xf numFmtId="1" fontId="0" fillId="4" borderId="33" xfId="0" applyNumberFormat="1" applyFill="1" applyBorder="1"/>
    <xf numFmtId="1" fontId="0" fillId="4" borderId="35" xfId="0" applyNumberFormat="1" applyFill="1" applyBorder="1"/>
    <xf numFmtId="14" fontId="2" fillId="0" borderId="0" xfId="0" applyNumberFormat="1" applyFont="1" applyAlignment="1">
      <alignment horizontal="right" vertical="center"/>
    </xf>
    <xf numFmtId="0" fontId="0" fillId="4" borderId="0" xfId="0" applyFill="1" applyAlignment="1">
      <alignment horizontal="right"/>
    </xf>
    <xf numFmtId="14" fontId="0" fillId="4" borderId="17" xfId="0" applyNumberFormat="1" applyFill="1" applyBorder="1"/>
    <xf numFmtId="0" fontId="0" fillId="4" borderId="32" xfId="0" applyFill="1" applyBorder="1"/>
    <xf numFmtId="0" fontId="0" fillId="4" borderId="34" xfId="0" applyFill="1" applyBorder="1"/>
    <xf numFmtId="0" fontId="0" fillId="4" borderId="33" xfId="0" applyFill="1" applyBorder="1"/>
    <xf numFmtId="0" fontId="5" fillId="4" borderId="5" xfId="0" applyFont="1" applyFill="1" applyBorder="1" applyAlignment="1">
      <alignment horizontal="right" vertical="center"/>
    </xf>
    <xf numFmtId="0" fontId="4" fillId="4" borderId="15" xfId="0" applyFont="1" applyFill="1" applyBorder="1" applyAlignment="1">
      <alignment horizontal="right" vertical="center"/>
    </xf>
    <xf numFmtId="0" fontId="12" fillId="4" borderId="10" xfId="0" applyFont="1" applyFill="1" applyBorder="1" applyAlignment="1">
      <alignment horizontal="center"/>
    </xf>
    <xf numFmtId="0" fontId="12" fillId="4" borderId="5" xfId="0" applyFont="1" applyFill="1" applyBorder="1" applyAlignment="1">
      <alignment horizontal="center"/>
    </xf>
    <xf numFmtId="0" fontId="13" fillId="4" borderId="32" xfId="0" applyFont="1" applyFill="1" applyBorder="1"/>
    <xf numFmtId="0" fontId="13" fillId="4" borderId="33" xfId="0" applyFont="1" applyFill="1" applyBorder="1"/>
    <xf numFmtId="0" fontId="1" fillId="4" borderId="19" xfId="0" applyFont="1" applyFill="1" applyBorder="1"/>
    <xf numFmtId="0" fontId="1" fillId="4" borderId="20" xfId="0" applyFont="1" applyFill="1" applyBorder="1"/>
    <xf numFmtId="0" fontId="1" fillId="4" borderId="30" xfId="0" applyFont="1" applyFill="1" applyBorder="1"/>
    <xf numFmtId="0" fontId="1" fillId="4" borderId="28" xfId="0" applyFont="1" applyFill="1" applyBorder="1"/>
    <xf numFmtId="0" fontId="1" fillId="4" borderId="18" xfId="0" applyFont="1" applyFill="1" applyBorder="1"/>
    <xf numFmtId="0" fontId="1" fillId="4" borderId="31" xfId="0" applyFont="1" applyFill="1" applyBorder="1"/>
    <xf numFmtId="0" fontId="12" fillId="4" borderId="11" xfId="0" applyFont="1" applyFill="1" applyBorder="1"/>
    <xf numFmtId="0" fontId="12" fillId="4" borderId="9" xfId="0" applyFont="1" applyFill="1" applyBorder="1"/>
    <xf numFmtId="0" fontId="12" fillId="4" borderId="10" xfId="0" applyFont="1" applyFill="1" applyBorder="1"/>
    <xf numFmtId="0" fontId="12" fillId="4" borderId="17" xfId="0" applyFont="1" applyFill="1" applyBorder="1"/>
    <xf numFmtId="0" fontId="12" fillId="4" borderId="16" xfId="0" applyFont="1" applyFill="1" applyBorder="1"/>
    <xf numFmtId="0" fontId="12" fillId="4" borderId="15" xfId="0" applyFont="1" applyFill="1" applyBorder="1"/>
    <xf numFmtId="0" fontId="12" fillId="4" borderId="32" xfId="0" applyFont="1" applyFill="1" applyBorder="1" applyAlignment="1">
      <alignment horizontal="center"/>
    </xf>
    <xf numFmtId="0" fontId="12" fillId="4" borderId="34" xfId="0" applyFont="1" applyFill="1" applyBorder="1" applyAlignment="1">
      <alignment horizontal="center"/>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514350</xdr:colOff>
      <xdr:row>31</xdr:row>
      <xdr:rowOff>180974</xdr:rowOff>
    </xdr:from>
    <xdr:to>
      <xdr:col>1</xdr:col>
      <xdr:colOff>295275</xdr:colOff>
      <xdr:row>32</xdr:row>
      <xdr:rowOff>180975</xdr:rowOff>
    </xdr:to>
    <xdr:sp macro="[0]!Tabelle8.export20_bl" textlink="">
      <xdr:nvSpPr>
        <xdr:cNvPr id="2" name="Rechteck: abgerundete Ecken 1">
          <a:extLst>
            <a:ext uri="{FF2B5EF4-FFF2-40B4-BE49-F238E27FC236}">
              <a16:creationId xmlns:a16="http://schemas.microsoft.com/office/drawing/2014/main" id="{00000000-0008-0000-0000-000002000000}"/>
            </a:ext>
          </a:extLst>
        </xdr:cNvPr>
        <xdr:cNvSpPr/>
      </xdr:nvSpPr>
      <xdr:spPr>
        <a:xfrm>
          <a:off x="514350" y="5924549"/>
          <a:ext cx="542925"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a:t>
          </a:r>
        </a:p>
        <a:p>
          <a:pPr algn="l"/>
          <a:endParaRPr lang="de-AT" sz="1100"/>
        </a:p>
      </xdr:txBody>
    </xdr:sp>
    <xdr:clientData/>
  </xdr:twoCellAnchor>
  <xdr:twoCellAnchor>
    <xdr:from>
      <xdr:col>1</xdr:col>
      <xdr:colOff>342900</xdr:colOff>
      <xdr:row>48</xdr:row>
      <xdr:rowOff>0</xdr:rowOff>
    </xdr:from>
    <xdr:to>
      <xdr:col>3</xdr:col>
      <xdr:colOff>0</xdr:colOff>
      <xdr:row>49</xdr:row>
      <xdr:rowOff>0</xdr:rowOff>
    </xdr:to>
    <xdr:sp macro="[0]!Tabelle8.export20_bl_1" textlink="">
      <xdr:nvSpPr>
        <xdr:cNvPr id="13" name="Rechteck: abgerundete Ecken 12">
          <a:extLst>
            <a:ext uri="{FF2B5EF4-FFF2-40B4-BE49-F238E27FC236}">
              <a16:creationId xmlns:a16="http://schemas.microsoft.com/office/drawing/2014/main" id="{00000000-0008-0000-0000-00000D000000}"/>
            </a:ext>
          </a:extLst>
        </xdr:cNvPr>
        <xdr:cNvSpPr/>
      </xdr:nvSpPr>
      <xdr:spPr>
        <a:xfrm>
          <a:off x="1104900" y="8982075"/>
          <a:ext cx="561975"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Jänner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104775</xdr:colOff>
      <xdr:row>48</xdr:row>
      <xdr:rowOff>0</xdr:rowOff>
    </xdr:from>
    <xdr:to>
      <xdr:col>3</xdr:col>
      <xdr:colOff>771525</xdr:colOff>
      <xdr:row>49</xdr:row>
      <xdr:rowOff>0</xdr:rowOff>
    </xdr:to>
    <xdr:sp macro="[0]!Tabelle8.export20_bl_2" textlink="">
      <xdr:nvSpPr>
        <xdr:cNvPr id="14" name="Rechteck: abgerundete Ecken 13">
          <a:extLst>
            <a:ext uri="{FF2B5EF4-FFF2-40B4-BE49-F238E27FC236}">
              <a16:creationId xmlns:a16="http://schemas.microsoft.com/office/drawing/2014/main" id="{00000000-0008-0000-0000-00000E000000}"/>
            </a:ext>
          </a:extLst>
        </xdr:cNvPr>
        <xdr:cNvSpPr/>
      </xdr:nvSpPr>
      <xdr:spPr>
        <a:xfrm>
          <a:off x="1771650" y="898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Feber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19050</xdr:colOff>
      <xdr:row>50</xdr:row>
      <xdr:rowOff>0</xdr:rowOff>
    </xdr:from>
    <xdr:to>
      <xdr:col>0</xdr:col>
      <xdr:colOff>739050</xdr:colOff>
      <xdr:row>51</xdr:row>
      <xdr:rowOff>1</xdr:rowOff>
    </xdr:to>
    <xdr:sp macro="[0]!Tabelle8.export20_bl_infos" textlink="">
      <xdr:nvSpPr>
        <xdr:cNvPr id="17" name="Rechteck: abgerundete Ecken 16">
          <a:extLst>
            <a:ext uri="{FF2B5EF4-FFF2-40B4-BE49-F238E27FC236}">
              <a16:creationId xmlns:a16="http://schemas.microsoft.com/office/drawing/2014/main" id="{00000000-0008-0000-0000-000011000000}"/>
            </a:ext>
          </a:extLst>
        </xdr:cNvPr>
        <xdr:cNvSpPr/>
      </xdr:nvSpPr>
      <xdr:spPr>
        <a:xfrm>
          <a:off x="19050" y="9363075"/>
          <a:ext cx="720000"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BL-Infos</a:t>
          </a:r>
        </a:p>
        <a:p>
          <a:pPr algn="l"/>
          <a:endParaRPr lang="de-AT" sz="1100"/>
        </a:p>
      </xdr:txBody>
    </xdr:sp>
    <xdr:clientData/>
  </xdr:twoCellAnchor>
  <xdr:twoCellAnchor>
    <xdr:from>
      <xdr:col>7</xdr:col>
      <xdr:colOff>28575</xdr:colOff>
      <xdr:row>48</xdr:row>
      <xdr:rowOff>0</xdr:rowOff>
    </xdr:from>
    <xdr:to>
      <xdr:col>7</xdr:col>
      <xdr:colOff>695325</xdr:colOff>
      <xdr:row>49</xdr:row>
      <xdr:rowOff>0</xdr:rowOff>
    </xdr:to>
    <xdr:sp macro="[0]!Tabelle8.export20_bl_3" textlink="">
      <xdr:nvSpPr>
        <xdr:cNvPr id="6" name="Rechteck: abgerundete Ecken 5">
          <a:extLst>
            <a:ext uri="{FF2B5EF4-FFF2-40B4-BE49-F238E27FC236}">
              <a16:creationId xmlns:a16="http://schemas.microsoft.com/office/drawing/2014/main" id="{00000000-0008-0000-0000-000006000000}"/>
            </a:ext>
          </a:extLst>
        </xdr:cNvPr>
        <xdr:cNvSpPr/>
      </xdr:nvSpPr>
      <xdr:spPr>
        <a:xfrm>
          <a:off x="2552700" y="898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März</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8</xdr:col>
      <xdr:colOff>0</xdr:colOff>
      <xdr:row>48</xdr:row>
      <xdr:rowOff>0</xdr:rowOff>
    </xdr:from>
    <xdr:to>
      <xdr:col>11</xdr:col>
      <xdr:colOff>171450</xdr:colOff>
      <xdr:row>49</xdr:row>
      <xdr:rowOff>0</xdr:rowOff>
    </xdr:to>
    <xdr:sp macro="[0]!Tabelle8.export20_bl_4" textlink="">
      <xdr:nvSpPr>
        <xdr:cNvPr id="8" name="Rechteck: abgerundete Ecken 7">
          <a:extLst>
            <a:ext uri="{FF2B5EF4-FFF2-40B4-BE49-F238E27FC236}">
              <a16:creationId xmlns:a16="http://schemas.microsoft.com/office/drawing/2014/main" id="{00000000-0008-0000-0000-000008000000}"/>
            </a:ext>
          </a:extLst>
        </xdr:cNvPr>
        <xdr:cNvSpPr/>
      </xdr:nvSpPr>
      <xdr:spPr>
        <a:xfrm>
          <a:off x="3286125" y="898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April</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323851</xdr:colOff>
      <xdr:row>49</xdr:row>
      <xdr:rowOff>19050</xdr:rowOff>
    </xdr:from>
    <xdr:to>
      <xdr:col>3</xdr:col>
      <xdr:colOff>28576</xdr:colOff>
      <xdr:row>50</xdr:row>
      <xdr:rowOff>0</xdr:rowOff>
    </xdr:to>
    <xdr:sp macro="[0]!Tabelle8.export20_bl_5" textlink="">
      <xdr:nvSpPr>
        <xdr:cNvPr id="9" name="Rechteck: abgerundete Ecken 8">
          <a:extLst>
            <a:ext uri="{FF2B5EF4-FFF2-40B4-BE49-F238E27FC236}">
              <a16:creationId xmlns:a16="http://schemas.microsoft.com/office/drawing/2014/main" id="{00000000-0008-0000-0000-000009000000}"/>
            </a:ext>
          </a:extLst>
        </xdr:cNvPr>
        <xdr:cNvSpPr/>
      </xdr:nvSpPr>
      <xdr:spPr>
        <a:xfrm>
          <a:off x="1085851"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Mai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133350</xdr:colOff>
      <xdr:row>49</xdr:row>
      <xdr:rowOff>19050</xdr:rowOff>
    </xdr:from>
    <xdr:to>
      <xdr:col>3</xdr:col>
      <xdr:colOff>742950</xdr:colOff>
      <xdr:row>50</xdr:row>
      <xdr:rowOff>0</xdr:rowOff>
    </xdr:to>
    <xdr:sp macro="[0]!Tabelle8.export20_bl_6" textlink="">
      <xdr:nvSpPr>
        <xdr:cNvPr id="10" name="Rechteck: abgerundete Ecken 9">
          <a:extLst>
            <a:ext uri="{FF2B5EF4-FFF2-40B4-BE49-F238E27FC236}">
              <a16:creationId xmlns:a16="http://schemas.microsoft.com/office/drawing/2014/main" id="{00000000-0008-0000-0000-00000A000000}"/>
            </a:ext>
          </a:extLst>
        </xdr:cNvPr>
        <xdr:cNvSpPr/>
      </xdr:nvSpPr>
      <xdr:spPr>
        <a:xfrm>
          <a:off x="1800225"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Juni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7</xdr:col>
      <xdr:colOff>57150</xdr:colOff>
      <xdr:row>49</xdr:row>
      <xdr:rowOff>9525</xdr:rowOff>
    </xdr:from>
    <xdr:to>
      <xdr:col>7</xdr:col>
      <xdr:colOff>666750</xdr:colOff>
      <xdr:row>49</xdr:row>
      <xdr:rowOff>180975</xdr:rowOff>
    </xdr:to>
    <xdr:sp macro="[0]!Tabelle8.export20_bl_7" textlink="">
      <xdr:nvSpPr>
        <xdr:cNvPr id="11" name="Rechteck: abgerundete Ecken 10">
          <a:extLst>
            <a:ext uri="{FF2B5EF4-FFF2-40B4-BE49-F238E27FC236}">
              <a16:creationId xmlns:a16="http://schemas.microsoft.com/office/drawing/2014/main" id="{00000000-0008-0000-0000-00000B000000}"/>
            </a:ext>
          </a:extLst>
        </xdr:cNvPr>
        <xdr:cNvSpPr/>
      </xdr:nvSpPr>
      <xdr:spPr>
        <a:xfrm>
          <a:off x="2581275" y="9182100"/>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Juli</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9</xdr:col>
      <xdr:colOff>28575</xdr:colOff>
      <xdr:row>49</xdr:row>
      <xdr:rowOff>19050</xdr:rowOff>
    </xdr:from>
    <xdr:to>
      <xdr:col>11</xdr:col>
      <xdr:colOff>142875</xdr:colOff>
      <xdr:row>50</xdr:row>
      <xdr:rowOff>0</xdr:rowOff>
    </xdr:to>
    <xdr:sp macro="[0]!Tabelle8.export20_bl_8" textlink="">
      <xdr:nvSpPr>
        <xdr:cNvPr id="15" name="Rechteck: abgerundete Ecken 14">
          <a:extLst>
            <a:ext uri="{FF2B5EF4-FFF2-40B4-BE49-F238E27FC236}">
              <a16:creationId xmlns:a16="http://schemas.microsoft.com/office/drawing/2014/main" id="{00000000-0008-0000-0000-00000F000000}"/>
            </a:ext>
          </a:extLst>
        </xdr:cNvPr>
        <xdr:cNvSpPr/>
      </xdr:nvSpPr>
      <xdr:spPr>
        <a:xfrm>
          <a:off x="3314700"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August</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5248275</xdr:colOff>
          <xdr:row>0</xdr:row>
          <xdr:rowOff>0</xdr:rowOff>
        </xdr:from>
        <xdr:to>
          <xdr:col>1</xdr:col>
          <xdr:colOff>6848475</xdr:colOff>
          <xdr:row>1</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95</xdr:row>
          <xdr:rowOff>28575</xdr:rowOff>
        </xdr:from>
        <xdr:to>
          <xdr:col>0</xdr:col>
          <xdr:colOff>676275</xdr:colOff>
          <xdr:row>97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99</xdr:row>
          <xdr:rowOff>28575</xdr:rowOff>
        </xdr:from>
        <xdr:to>
          <xdr:col>9</xdr:col>
          <xdr:colOff>47625</xdr:colOff>
          <xdr:row>100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9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A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483AB-00E1-440E-9B50-C9C28BC79CDC}">
  <sheetPr codeName="Tabelle8"/>
  <dimension ref="A1:JG56"/>
  <sheetViews>
    <sheetView topLeftCell="A40" workbookViewId="0">
      <pane xSplit="12" topLeftCell="M1" activePane="topRight" state="frozen"/>
      <selection pane="topRight" activeCell="J26" sqref="J26"/>
    </sheetView>
  </sheetViews>
  <sheetFormatPr baseColWidth="10" defaultRowHeight="15" x14ac:dyDescent="0.25"/>
  <cols>
    <col min="2" max="2" width="9" customWidth="1"/>
    <col min="3" max="3" width="4.5703125" customWidth="1"/>
    <col min="4" max="4" width="12.85546875" customWidth="1"/>
    <col min="5" max="5" width="23.7109375" customWidth="1"/>
    <col min="6" max="6" width="34.28515625" customWidth="1"/>
    <col min="7" max="7" width="14.7109375" customWidth="1"/>
    <col min="9" max="9" width="11.42578125" hidden="1" customWidth="1"/>
    <col min="10" max="12" width="3.7109375" style="44" customWidth="1"/>
    <col min="13" max="255" width="3.7109375" customWidth="1"/>
  </cols>
  <sheetData>
    <row r="1" spans="1:262" ht="15" customHeight="1" x14ac:dyDescent="0.25">
      <c r="A1" s="213" t="s">
        <v>46</v>
      </c>
      <c r="B1" s="214"/>
      <c r="C1" s="214"/>
      <c r="D1" s="214"/>
      <c r="E1" s="214"/>
      <c r="F1" s="214"/>
      <c r="G1" s="214"/>
      <c r="H1" s="215"/>
      <c r="I1" s="205" t="str">
        <f>A1</f>
        <v>BL</v>
      </c>
      <c r="J1" s="219" t="s">
        <v>38</v>
      </c>
      <c r="K1" s="201" t="s">
        <v>49</v>
      </c>
      <c r="L1" s="203" t="s">
        <v>48</v>
      </c>
      <c r="M1" s="58">
        <v>44197</v>
      </c>
      <c r="N1" s="58">
        <f>M1 + 1</f>
        <v>44198</v>
      </c>
      <c r="O1" s="57">
        <f t="shared" ref="O1:BZ1" si="0">N1 + 1</f>
        <v>44199</v>
      </c>
      <c r="P1" s="58">
        <f t="shared" si="0"/>
        <v>44200</v>
      </c>
      <c r="Q1" s="58">
        <f t="shared" si="0"/>
        <v>44201</v>
      </c>
      <c r="R1" s="58">
        <f t="shared" si="0"/>
        <v>44202</v>
      </c>
      <c r="S1" s="58">
        <f t="shared" si="0"/>
        <v>44203</v>
      </c>
      <c r="T1" s="58">
        <f t="shared" si="0"/>
        <v>44204</v>
      </c>
      <c r="U1" s="58">
        <f t="shared" si="0"/>
        <v>44205</v>
      </c>
      <c r="V1" s="57">
        <f t="shared" si="0"/>
        <v>44206</v>
      </c>
      <c r="W1" s="58">
        <f t="shared" si="0"/>
        <v>44207</v>
      </c>
      <c r="X1" s="58">
        <f t="shared" si="0"/>
        <v>44208</v>
      </c>
      <c r="Y1" s="58">
        <f t="shared" si="0"/>
        <v>44209</v>
      </c>
      <c r="Z1" s="58">
        <f t="shared" si="0"/>
        <v>44210</v>
      </c>
      <c r="AA1" s="58">
        <f t="shared" si="0"/>
        <v>44211</v>
      </c>
      <c r="AB1" s="58">
        <f t="shared" si="0"/>
        <v>44212</v>
      </c>
      <c r="AC1" s="57">
        <f t="shared" si="0"/>
        <v>44213</v>
      </c>
      <c r="AD1" s="58">
        <f t="shared" si="0"/>
        <v>44214</v>
      </c>
      <c r="AE1" s="58">
        <f t="shared" si="0"/>
        <v>44215</v>
      </c>
      <c r="AF1" s="58">
        <f t="shared" si="0"/>
        <v>44216</v>
      </c>
      <c r="AG1" s="58">
        <f t="shared" si="0"/>
        <v>44217</v>
      </c>
      <c r="AH1" s="58">
        <f t="shared" si="0"/>
        <v>44218</v>
      </c>
      <c r="AI1" s="58">
        <f t="shared" si="0"/>
        <v>44219</v>
      </c>
      <c r="AJ1" s="57">
        <f t="shared" si="0"/>
        <v>44220</v>
      </c>
      <c r="AK1" s="58">
        <f t="shared" si="0"/>
        <v>44221</v>
      </c>
      <c r="AL1" s="58">
        <f t="shared" si="0"/>
        <v>44222</v>
      </c>
      <c r="AM1" s="58">
        <f t="shared" si="0"/>
        <v>44223</v>
      </c>
      <c r="AN1" s="58">
        <f t="shared" si="0"/>
        <v>44224</v>
      </c>
      <c r="AO1" s="58">
        <f t="shared" si="0"/>
        <v>44225</v>
      </c>
      <c r="AP1" s="58">
        <f t="shared" si="0"/>
        <v>44226</v>
      </c>
      <c r="AQ1" s="57">
        <f>AP1 + 1</f>
        <v>44227</v>
      </c>
      <c r="AR1" s="58">
        <f t="shared" si="0"/>
        <v>44228</v>
      </c>
      <c r="AS1" s="58">
        <f t="shared" si="0"/>
        <v>44229</v>
      </c>
      <c r="AT1" s="58">
        <f t="shared" si="0"/>
        <v>44230</v>
      </c>
      <c r="AU1" s="58">
        <f t="shared" si="0"/>
        <v>44231</v>
      </c>
      <c r="AV1" s="58">
        <f t="shared" si="0"/>
        <v>44232</v>
      </c>
      <c r="AW1" s="58">
        <f t="shared" si="0"/>
        <v>44233</v>
      </c>
      <c r="AX1" s="57">
        <f t="shared" si="0"/>
        <v>44234</v>
      </c>
      <c r="AY1" s="58">
        <f t="shared" si="0"/>
        <v>44235</v>
      </c>
      <c r="AZ1" s="58">
        <f t="shared" si="0"/>
        <v>44236</v>
      </c>
      <c r="BA1" s="58">
        <f t="shared" si="0"/>
        <v>44237</v>
      </c>
      <c r="BB1" s="58">
        <f t="shared" si="0"/>
        <v>44238</v>
      </c>
      <c r="BC1" s="58">
        <f t="shared" si="0"/>
        <v>44239</v>
      </c>
      <c r="BD1" s="58">
        <f t="shared" si="0"/>
        <v>44240</v>
      </c>
      <c r="BE1" s="57">
        <f t="shared" si="0"/>
        <v>44241</v>
      </c>
      <c r="BF1" s="58">
        <f t="shared" si="0"/>
        <v>44242</v>
      </c>
      <c r="BG1" s="58">
        <f t="shared" si="0"/>
        <v>44243</v>
      </c>
      <c r="BH1" s="58">
        <f t="shared" si="0"/>
        <v>44244</v>
      </c>
      <c r="BI1" s="58">
        <f t="shared" si="0"/>
        <v>44245</v>
      </c>
      <c r="BJ1" s="58">
        <f t="shared" si="0"/>
        <v>44246</v>
      </c>
      <c r="BK1" s="58">
        <f t="shared" si="0"/>
        <v>44247</v>
      </c>
      <c r="BL1" s="57">
        <f t="shared" si="0"/>
        <v>44248</v>
      </c>
      <c r="BM1" s="58">
        <f t="shared" si="0"/>
        <v>44249</v>
      </c>
      <c r="BN1" s="58">
        <f t="shared" si="0"/>
        <v>44250</v>
      </c>
      <c r="BO1" s="58">
        <f t="shared" si="0"/>
        <v>44251</v>
      </c>
      <c r="BP1" s="58">
        <f t="shared" si="0"/>
        <v>44252</v>
      </c>
      <c r="BQ1" s="58">
        <f t="shared" si="0"/>
        <v>44253</v>
      </c>
      <c r="BR1" s="58">
        <f t="shared" si="0"/>
        <v>44254</v>
      </c>
      <c r="BS1" s="57">
        <f t="shared" si="0"/>
        <v>44255</v>
      </c>
      <c r="BT1" s="58">
        <f t="shared" si="0"/>
        <v>44256</v>
      </c>
      <c r="BU1" s="58">
        <f t="shared" si="0"/>
        <v>44257</v>
      </c>
      <c r="BV1" s="58">
        <f t="shared" si="0"/>
        <v>44258</v>
      </c>
      <c r="BW1" s="58">
        <f t="shared" si="0"/>
        <v>44259</v>
      </c>
      <c r="BX1" s="58">
        <f t="shared" si="0"/>
        <v>44260</v>
      </c>
      <c r="BY1" s="58">
        <f t="shared" si="0"/>
        <v>44261</v>
      </c>
      <c r="BZ1" s="57">
        <f t="shared" si="0"/>
        <v>44262</v>
      </c>
      <c r="CA1" s="58">
        <f t="shared" ref="CA1:EL1" si="1">BZ1 + 1</f>
        <v>44263</v>
      </c>
      <c r="CB1" s="58">
        <f t="shared" si="1"/>
        <v>44264</v>
      </c>
      <c r="CC1" s="58">
        <f t="shared" si="1"/>
        <v>44265</v>
      </c>
      <c r="CD1" s="58">
        <f t="shared" si="1"/>
        <v>44266</v>
      </c>
      <c r="CE1" s="58">
        <f t="shared" si="1"/>
        <v>44267</v>
      </c>
      <c r="CF1" s="58">
        <f t="shared" si="1"/>
        <v>44268</v>
      </c>
      <c r="CG1" s="57">
        <f t="shared" si="1"/>
        <v>44269</v>
      </c>
      <c r="CH1" s="58">
        <f t="shared" si="1"/>
        <v>44270</v>
      </c>
      <c r="CI1" s="58">
        <f t="shared" si="1"/>
        <v>44271</v>
      </c>
      <c r="CJ1" s="58">
        <f t="shared" si="1"/>
        <v>44272</v>
      </c>
      <c r="CK1" s="58">
        <f t="shared" si="1"/>
        <v>44273</v>
      </c>
      <c r="CL1" s="58">
        <f t="shared" si="1"/>
        <v>44274</v>
      </c>
      <c r="CM1" s="58">
        <f t="shared" si="1"/>
        <v>44275</v>
      </c>
      <c r="CN1" s="57">
        <f t="shared" si="1"/>
        <v>44276</v>
      </c>
      <c r="CO1" s="58">
        <f t="shared" si="1"/>
        <v>44277</v>
      </c>
      <c r="CP1" s="58">
        <f t="shared" si="1"/>
        <v>44278</v>
      </c>
      <c r="CQ1" s="58">
        <f t="shared" si="1"/>
        <v>44279</v>
      </c>
      <c r="CR1" s="58">
        <f t="shared" si="1"/>
        <v>44280</v>
      </c>
      <c r="CS1" s="58">
        <f t="shared" si="1"/>
        <v>44281</v>
      </c>
      <c r="CT1" s="58">
        <f t="shared" si="1"/>
        <v>44282</v>
      </c>
      <c r="CU1" s="57">
        <f t="shared" si="1"/>
        <v>44283</v>
      </c>
      <c r="CV1" s="58">
        <f t="shared" si="1"/>
        <v>44284</v>
      </c>
      <c r="CW1" s="58">
        <f t="shared" si="1"/>
        <v>44285</v>
      </c>
      <c r="CX1" s="58">
        <f t="shared" si="1"/>
        <v>44286</v>
      </c>
      <c r="CY1" s="58">
        <f t="shared" si="1"/>
        <v>44287</v>
      </c>
      <c r="CZ1" s="58">
        <f t="shared" si="1"/>
        <v>44288</v>
      </c>
      <c r="DA1" s="58">
        <f t="shared" si="1"/>
        <v>44289</v>
      </c>
      <c r="DB1" s="57">
        <f t="shared" si="1"/>
        <v>44290</v>
      </c>
      <c r="DC1" s="58">
        <f t="shared" si="1"/>
        <v>44291</v>
      </c>
      <c r="DD1" s="58">
        <f t="shared" si="1"/>
        <v>44292</v>
      </c>
      <c r="DE1" s="58">
        <f t="shared" si="1"/>
        <v>44293</v>
      </c>
      <c r="DF1" s="58">
        <f t="shared" si="1"/>
        <v>44294</v>
      </c>
      <c r="DG1" s="58">
        <f t="shared" si="1"/>
        <v>44295</v>
      </c>
      <c r="DH1" s="58">
        <f t="shared" si="1"/>
        <v>44296</v>
      </c>
      <c r="DI1" s="57">
        <f t="shared" si="1"/>
        <v>44297</v>
      </c>
      <c r="DJ1" s="58">
        <f t="shared" si="1"/>
        <v>44298</v>
      </c>
      <c r="DK1" s="58">
        <f t="shared" si="1"/>
        <v>44299</v>
      </c>
      <c r="DL1" s="58">
        <f t="shared" si="1"/>
        <v>44300</v>
      </c>
      <c r="DM1" s="58">
        <f t="shared" si="1"/>
        <v>44301</v>
      </c>
      <c r="DN1" s="58">
        <f t="shared" si="1"/>
        <v>44302</v>
      </c>
      <c r="DO1" s="58">
        <f t="shared" si="1"/>
        <v>44303</v>
      </c>
      <c r="DP1" s="57">
        <f t="shared" si="1"/>
        <v>44304</v>
      </c>
      <c r="DQ1" s="58">
        <f t="shared" si="1"/>
        <v>44305</v>
      </c>
      <c r="DR1" s="58">
        <f t="shared" si="1"/>
        <v>44306</v>
      </c>
      <c r="DS1" s="58">
        <f t="shared" si="1"/>
        <v>44307</v>
      </c>
      <c r="DT1" s="58">
        <f t="shared" si="1"/>
        <v>44308</v>
      </c>
      <c r="DU1" s="58">
        <f t="shared" si="1"/>
        <v>44309</v>
      </c>
      <c r="DV1" s="58">
        <f t="shared" si="1"/>
        <v>44310</v>
      </c>
      <c r="DW1" s="57">
        <f t="shared" si="1"/>
        <v>44311</v>
      </c>
      <c r="DX1" s="58">
        <f t="shared" si="1"/>
        <v>44312</v>
      </c>
      <c r="DY1" s="58">
        <f t="shared" si="1"/>
        <v>44313</v>
      </c>
      <c r="DZ1" s="58">
        <f t="shared" si="1"/>
        <v>44314</v>
      </c>
      <c r="EA1" s="58">
        <f t="shared" si="1"/>
        <v>44315</v>
      </c>
      <c r="EB1" s="58">
        <f t="shared" si="1"/>
        <v>44316</v>
      </c>
      <c r="EC1" s="58">
        <f t="shared" si="1"/>
        <v>44317</v>
      </c>
      <c r="ED1" s="57">
        <f t="shared" si="1"/>
        <v>44318</v>
      </c>
      <c r="EE1" s="58">
        <f t="shared" si="1"/>
        <v>44319</v>
      </c>
      <c r="EF1" s="58">
        <f t="shared" si="1"/>
        <v>44320</v>
      </c>
      <c r="EG1" s="58">
        <f t="shared" si="1"/>
        <v>44321</v>
      </c>
      <c r="EH1" s="58">
        <f t="shared" si="1"/>
        <v>44322</v>
      </c>
      <c r="EI1" s="58">
        <f t="shared" si="1"/>
        <v>44323</v>
      </c>
      <c r="EJ1" s="58">
        <f t="shared" si="1"/>
        <v>44324</v>
      </c>
      <c r="EK1" s="57">
        <f t="shared" si="1"/>
        <v>44325</v>
      </c>
      <c r="EL1" s="58">
        <f t="shared" si="1"/>
        <v>44326</v>
      </c>
      <c r="EM1" s="58">
        <f t="shared" ref="EM1:GX1" si="2">EL1 + 1</f>
        <v>44327</v>
      </c>
      <c r="EN1" s="58">
        <f t="shared" si="2"/>
        <v>44328</v>
      </c>
      <c r="EO1" s="58">
        <f t="shared" si="2"/>
        <v>44329</v>
      </c>
      <c r="EP1" s="58">
        <f t="shared" si="2"/>
        <v>44330</v>
      </c>
      <c r="EQ1" s="58">
        <f t="shared" si="2"/>
        <v>44331</v>
      </c>
      <c r="ER1" s="57">
        <f t="shared" si="2"/>
        <v>44332</v>
      </c>
      <c r="ES1" s="58">
        <f t="shared" si="2"/>
        <v>44333</v>
      </c>
      <c r="ET1" s="58">
        <f t="shared" si="2"/>
        <v>44334</v>
      </c>
      <c r="EU1" s="58">
        <f t="shared" si="2"/>
        <v>44335</v>
      </c>
      <c r="EV1" s="58">
        <f t="shared" si="2"/>
        <v>44336</v>
      </c>
      <c r="EW1" s="58">
        <f t="shared" si="2"/>
        <v>44337</v>
      </c>
      <c r="EX1" s="58">
        <f t="shared" si="2"/>
        <v>44338</v>
      </c>
      <c r="EY1" s="57">
        <f t="shared" si="2"/>
        <v>44339</v>
      </c>
      <c r="EZ1" s="58">
        <f t="shared" si="2"/>
        <v>44340</v>
      </c>
      <c r="FA1" s="58">
        <f t="shared" si="2"/>
        <v>44341</v>
      </c>
      <c r="FB1" s="58">
        <f t="shared" si="2"/>
        <v>44342</v>
      </c>
      <c r="FC1" s="58">
        <f t="shared" si="2"/>
        <v>44343</v>
      </c>
      <c r="FD1" s="58">
        <f t="shared" si="2"/>
        <v>44344</v>
      </c>
      <c r="FE1" s="58">
        <f t="shared" si="2"/>
        <v>44345</v>
      </c>
      <c r="FF1" s="57">
        <f t="shared" si="2"/>
        <v>44346</v>
      </c>
      <c r="FG1" s="58">
        <f t="shared" si="2"/>
        <v>44347</v>
      </c>
      <c r="FH1" s="58">
        <f t="shared" si="2"/>
        <v>44348</v>
      </c>
      <c r="FI1" s="58">
        <f t="shared" si="2"/>
        <v>44349</v>
      </c>
      <c r="FJ1" s="58">
        <f t="shared" si="2"/>
        <v>44350</v>
      </c>
      <c r="FK1" s="58">
        <f t="shared" si="2"/>
        <v>44351</v>
      </c>
      <c r="FL1" s="58">
        <f t="shared" si="2"/>
        <v>44352</v>
      </c>
      <c r="FM1" s="57">
        <f t="shared" si="2"/>
        <v>44353</v>
      </c>
      <c r="FN1" s="58">
        <f t="shared" si="2"/>
        <v>44354</v>
      </c>
      <c r="FO1" s="58">
        <f t="shared" si="2"/>
        <v>44355</v>
      </c>
      <c r="FP1" s="58">
        <f t="shared" si="2"/>
        <v>44356</v>
      </c>
      <c r="FQ1" s="58">
        <f t="shared" si="2"/>
        <v>44357</v>
      </c>
      <c r="FR1" s="58">
        <f t="shared" si="2"/>
        <v>44358</v>
      </c>
      <c r="FS1" s="58">
        <f t="shared" si="2"/>
        <v>44359</v>
      </c>
      <c r="FT1" s="57">
        <f t="shared" si="2"/>
        <v>44360</v>
      </c>
      <c r="FU1" s="58">
        <f t="shared" si="2"/>
        <v>44361</v>
      </c>
      <c r="FV1" s="58">
        <f t="shared" si="2"/>
        <v>44362</v>
      </c>
      <c r="FW1" s="58">
        <f t="shared" si="2"/>
        <v>44363</v>
      </c>
      <c r="FX1" s="58">
        <f t="shared" si="2"/>
        <v>44364</v>
      </c>
      <c r="FY1" s="58">
        <f t="shared" si="2"/>
        <v>44365</v>
      </c>
      <c r="FZ1" s="58">
        <f t="shared" si="2"/>
        <v>44366</v>
      </c>
      <c r="GA1" s="57">
        <f t="shared" si="2"/>
        <v>44367</v>
      </c>
      <c r="GB1" s="58">
        <f t="shared" si="2"/>
        <v>44368</v>
      </c>
      <c r="GC1" s="58">
        <f t="shared" si="2"/>
        <v>44369</v>
      </c>
      <c r="GD1" s="58">
        <f t="shared" si="2"/>
        <v>44370</v>
      </c>
      <c r="GE1" s="58">
        <f t="shared" si="2"/>
        <v>44371</v>
      </c>
      <c r="GF1" s="58">
        <f t="shared" si="2"/>
        <v>44372</v>
      </c>
      <c r="GG1" s="58">
        <f t="shared" si="2"/>
        <v>44373</v>
      </c>
      <c r="GH1" s="57">
        <f t="shared" si="2"/>
        <v>44374</v>
      </c>
      <c r="GI1" s="58">
        <f t="shared" si="2"/>
        <v>44375</v>
      </c>
      <c r="GJ1" s="58">
        <f t="shared" si="2"/>
        <v>44376</v>
      </c>
      <c r="GK1" s="58">
        <f t="shared" si="2"/>
        <v>44377</v>
      </c>
      <c r="GL1" s="58">
        <f t="shared" si="2"/>
        <v>44378</v>
      </c>
      <c r="GM1" s="58">
        <f t="shared" si="2"/>
        <v>44379</v>
      </c>
      <c r="GN1" s="58">
        <f t="shared" si="2"/>
        <v>44380</v>
      </c>
      <c r="GO1" s="57">
        <f t="shared" si="2"/>
        <v>44381</v>
      </c>
      <c r="GP1" s="58">
        <f t="shared" si="2"/>
        <v>44382</v>
      </c>
      <c r="GQ1" s="58">
        <f t="shared" si="2"/>
        <v>44383</v>
      </c>
      <c r="GR1" s="58">
        <f t="shared" si="2"/>
        <v>44384</v>
      </c>
      <c r="GS1" s="58">
        <f t="shared" si="2"/>
        <v>44385</v>
      </c>
      <c r="GT1" s="58">
        <f t="shared" si="2"/>
        <v>44386</v>
      </c>
      <c r="GU1" s="58">
        <f t="shared" si="2"/>
        <v>44387</v>
      </c>
      <c r="GV1" s="57">
        <f t="shared" si="2"/>
        <v>44388</v>
      </c>
      <c r="GW1" s="58">
        <f t="shared" si="2"/>
        <v>44389</v>
      </c>
      <c r="GX1" s="58">
        <f t="shared" si="2"/>
        <v>44390</v>
      </c>
      <c r="GY1" s="58">
        <f t="shared" ref="GY1:IU1" si="3">GX1 + 1</f>
        <v>44391</v>
      </c>
      <c r="GZ1" s="58">
        <f t="shared" si="3"/>
        <v>44392</v>
      </c>
      <c r="HA1" s="58">
        <f t="shared" si="3"/>
        <v>44393</v>
      </c>
      <c r="HB1" s="58">
        <f t="shared" si="3"/>
        <v>44394</v>
      </c>
      <c r="HC1" s="57">
        <f t="shared" si="3"/>
        <v>44395</v>
      </c>
      <c r="HD1" s="58">
        <f t="shared" si="3"/>
        <v>44396</v>
      </c>
      <c r="HE1" s="58">
        <f t="shared" si="3"/>
        <v>44397</v>
      </c>
      <c r="HF1" s="58">
        <f t="shared" si="3"/>
        <v>44398</v>
      </c>
      <c r="HG1" s="58">
        <f t="shared" si="3"/>
        <v>44399</v>
      </c>
      <c r="HH1" s="58">
        <f t="shared" si="3"/>
        <v>44400</v>
      </c>
      <c r="HI1" s="58">
        <f t="shared" si="3"/>
        <v>44401</v>
      </c>
      <c r="HJ1" s="57">
        <f t="shared" si="3"/>
        <v>44402</v>
      </c>
      <c r="HK1" s="58">
        <f t="shared" si="3"/>
        <v>44403</v>
      </c>
      <c r="HL1" s="58">
        <f t="shared" si="3"/>
        <v>44404</v>
      </c>
      <c r="HM1" s="58">
        <f t="shared" si="3"/>
        <v>44405</v>
      </c>
      <c r="HN1" s="58">
        <f t="shared" si="3"/>
        <v>44406</v>
      </c>
      <c r="HO1" s="58">
        <f t="shared" si="3"/>
        <v>44407</v>
      </c>
      <c r="HP1" s="58">
        <f t="shared" si="3"/>
        <v>44408</v>
      </c>
      <c r="HQ1" s="57">
        <f t="shared" si="3"/>
        <v>44409</v>
      </c>
      <c r="HR1" s="58">
        <f t="shared" si="3"/>
        <v>44410</v>
      </c>
      <c r="HS1" s="58">
        <f t="shared" si="3"/>
        <v>44411</v>
      </c>
      <c r="HT1" s="58">
        <f t="shared" si="3"/>
        <v>44412</v>
      </c>
      <c r="HU1" s="58">
        <f t="shared" si="3"/>
        <v>44413</v>
      </c>
      <c r="HV1" s="58">
        <f t="shared" si="3"/>
        <v>44414</v>
      </c>
      <c r="HW1" s="58">
        <f t="shared" si="3"/>
        <v>44415</v>
      </c>
      <c r="HX1" s="57">
        <f t="shared" si="3"/>
        <v>44416</v>
      </c>
      <c r="HY1" s="58">
        <f t="shared" si="3"/>
        <v>44417</v>
      </c>
      <c r="HZ1" s="58">
        <f t="shared" si="3"/>
        <v>44418</v>
      </c>
      <c r="IA1" s="58">
        <f t="shared" si="3"/>
        <v>44419</v>
      </c>
      <c r="IB1" s="58">
        <f t="shared" si="3"/>
        <v>44420</v>
      </c>
      <c r="IC1" s="58">
        <f t="shared" si="3"/>
        <v>44421</v>
      </c>
      <c r="ID1" s="58">
        <f t="shared" si="3"/>
        <v>44422</v>
      </c>
      <c r="IE1" s="57">
        <f t="shared" si="3"/>
        <v>44423</v>
      </c>
      <c r="IF1" s="58">
        <f t="shared" si="3"/>
        <v>44424</v>
      </c>
      <c r="IG1" s="58">
        <f t="shared" si="3"/>
        <v>44425</v>
      </c>
      <c r="IH1" s="58">
        <f t="shared" si="3"/>
        <v>44426</v>
      </c>
      <c r="II1" s="58">
        <f t="shared" si="3"/>
        <v>44427</v>
      </c>
      <c r="IJ1" s="58">
        <f t="shared" si="3"/>
        <v>44428</v>
      </c>
      <c r="IK1" s="58">
        <f t="shared" si="3"/>
        <v>44429</v>
      </c>
      <c r="IL1" s="57">
        <f t="shared" si="3"/>
        <v>44430</v>
      </c>
      <c r="IM1" s="58">
        <f t="shared" si="3"/>
        <v>44431</v>
      </c>
      <c r="IN1" s="58">
        <f t="shared" si="3"/>
        <v>44432</v>
      </c>
      <c r="IO1" s="58">
        <f t="shared" si="3"/>
        <v>44433</v>
      </c>
      <c r="IP1" s="58">
        <f t="shared" si="3"/>
        <v>44434</v>
      </c>
      <c r="IQ1" s="58">
        <f t="shared" si="3"/>
        <v>44435</v>
      </c>
      <c r="IR1" s="58">
        <f t="shared" si="3"/>
        <v>44436</v>
      </c>
      <c r="IS1" s="57">
        <f t="shared" si="3"/>
        <v>44437</v>
      </c>
      <c r="IT1" s="58">
        <f t="shared" si="3"/>
        <v>44438</v>
      </c>
      <c r="IU1" s="58">
        <f t="shared" si="3"/>
        <v>44439</v>
      </c>
      <c r="IV1" s="174"/>
      <c r="IW1" s="163"/>
      <c r="IX1" s="163"/>
      <c r="IY1" s="163"/>
      <c r="IZ1" s="163"/>
      <c r="JA1" s="163"/>
      <c r="JB1" s="163"/>
    </row>
    <row r="2" spans="1:262" ht="15" customHeight="1" x14ac:dyDescent="0.25">
      <c r="A2" s="216"/>
      <c r="B2" s="217"/>
      <c r="C2" s="217"/>
      <c r="D2" s="217"/>
      <c r="E2" s="217"/>
      <c r="F2" s="217"/>
      <c r="G2" s="217"/>
      <c r="H2" s="218"/>
      <c r="I2" s="206"/>
      <c r="J2" s="220"/>
      <c r="K2" s="202"/>
      <c r="L2" s="204"/>
      <c r="M2" s="131"/>
      <c r="N2" s="131"/>
      <c r="O2" s="164"/>
      <c r="P2" s="131"/>
      <c r="Q2" s="131"/>
      <c r="R2" s="131"/>
      <c r="S2" s="131"/>
      <c r="T2" s="131"/>
      <c r="U2" s="131" t="s">
        <v>38</v>
      </c>
      <c r="V2" s="164"/>
      <c r="W2" s="131" t="s">
        <v>38</v>
      </c>
      <c r="X2" s="131" t="s">
        <v>38</v>
      </c>
      <c r="Y2" s="131"/>
      <c r="Z2" s="131" t="s">
        <v>38</v>
      </c>
      <c r="AA2" s="131" t="s">
        <v>38</v>
      </c>
      <c r="AB2" s="131"/>
      <c r="AC2" s="164"/>
      <c r="AD2" s="131" t="s">
        <v>38</v>
      </c>
      <c r="AE2" s="131" t="s">
        <v>38</v>
      </c>
      <c r="AF2" s="131"/>
      <c r="AG2" s="131" t="s">
        <v>38</v>
      </c>
      <c r="AH2" s="131" t="s">
        <v>38</v>
      </c>
      <c r="AI2" s="131" t="s">
        <v>649</v>
      </c>
      <c r="AJ2" s="164" t="s">
        <v>759</v>
      </c>
      <c r="AK2" s="131" t="s">
        <v>38</v>
      </c>
      <c r="AL2" s="131" t="s">
        <v>38</v>
      </c>
      <c r="AM2" s="131"/>
      <c r="AN2" s="131" t="s">
        <v>38</v>
      </c>
      <c r="AO2" s="131" t="s">
        <v>38</v>
      </c>
      <c r="AP2" s="131" t="s">
        <v>649</v>
      </c>
      <c r="AQ2" s="164" t="s">
        <v>758</v>
      </c>
      <c r="AR2" s="131" t="s">
        <v>38</v>
      </c>
      <c r="AS2" s="131" t="s">
        <v>38</v>
      </c>
      <c r="AT2" s="131"/>
      <c r="AU2" s="131" t="s">
        <v>38</v>
      </c>
      <c r="AV2" s="131" t="s">
        <v>38</v>
      </c>
      <c r="AW2" s="131" t="s">
        <v>777</v>
      </c>
      <c r="AX2" s="164"/>
      <c r="AY2" s="131" t="s">
        <v>38</v>
      </c>
      <c r="AZ2" s="131" t="s">
        <v>38</v>
      </c>
      <c r="BA2" s="131"/>
      <c r="BB2" s="131" t="s">
        <v>38</v>
      </c>
      <c r="BC2" s="131" t="s">
        <v>38</v>
      </c>
      <c r="BD2" s="131"/>
      <c r="BE2" s="164"/>
      <c r="BF2" s="131"/>
      <c r="BG2" s="131"/>
      <c r="BH2" s="131"/>
      <c r="BI2" s="131"/>
      <c r="BJ2" s="131"/>
      <c r="BK2" s="131" t="s">
        <v>778</v>
      </c>
      <c r="BL2" s="164"/>
      <c r="BM2" s="131"/>
      <c r="BN2" s="131"/>
      <c r="BO2" s="131"/>
      <c r="BP2" s="131"/>
      <c r="BQ2" s="131"/>
      <c r="BR2" s="131" t="s">
        <v>778</v>
      </c>
      <c r="BS2" s="164" t="s">
        <v>147</v>
      </c>
      <c r="BT2" s="131"/>
      <c r="BU2" s="131"/>
      <c r="BV2" s="131"/>
      <c r="BW2" s="131"/>
      <c r="BX2" s="131"/>
      <c r="BY2" s="131"/>
      <c r="BZ2" s="164"/>
      <c r="CA2" s="131"/>
      <c r="CB2" s="131"/>
      <c r="CC2" s="131"/>
      <c r="CD2" s="131"/>
      <c r="CE2" s="131"/>
      <c r="CF2" s="131"/>
      <c r="CG2" s="164"/>
      <c r="CH2" s="131"/>
      <c r="CI2" s="131"/>
      <c r="CJ2" s="131"/>
      <c r="CK2" s="131"/>
      <c r="CL2" s="131"/>
      <c r="CM2" s="131"/>
      <c r="CN2" s="164"/>
      <c r="CO2" s="131"/>
      <c r="CP2" s="131"/>
      <c r="CQ2" s="131"/>
      <c r="CR2" s="131"/>
      <c r="CS2" s="131"/>
      <c r="CT2" s="131"/>
      <c r="CU2" s="164"/>
      <c r="CV2" s="131"/>
      <c r="CW2" s="131"/>
      <c r="CX2" s="131"/>
      <c r="CY2" s="131"/>
      <c r="CZ2" s="131"/>
      <c r="DA2" s="131"/>
      <c r="DB2" s="164"/>
      <c r="DC2" s="131"/>
      <c r="DD2" s="131"/>
      <c r="DE2" s="131"/>
      <c r="DF2" s="131"/>
      <c r="DG2" s="131"/>
      <c r="DH2" s="131"/>
      <c r="DI2" s="164"/>
      <c r="DJ2" s="131"/>
      <c r="DK2" s="131"/>
      <c r="DL2" s="131"/>
      <c r="DM2" s="131"/>
      <c r="DN2" s="131"/>
      <c r="DO2" s="131"/>
      <c r="DP2" s="164"/>
      <c r="DQ2" s="131"/>
      <c r="DR2" s="131"/>
      <c r="DS2" s="131"/>
      <c r="DT2" s="131"/>
      <c r="DU2" s="131"/>
      <c r="DV2" s="131"/>
      <c r="DW2" s="164"/>
      <c r="DX2" s="131"/>
      <c r="DY2" s="131"/>
      <c r="DZ2" s="131"/>
      <c r="EA2" s="131"/>
      <c r="EB2" s="131"/>
      <c r="EC2" s="131"/>
      <c r="ED2" s="164"/>
      <c r="EE2" s="131"/>
      <c r="EF2" s="131"/>
      <c r="EG2" s="131"/>
      <c r="EH2" s="131"/>
      <c r="EI2" s="131"/>
      <c r="EJ2" s="131"/>
      <c r="EK2" s="164"/>
      <c r="EL2" s="131"/>
      <c r="EM2" s="131"/>
      <c r="EN2" s="131"/>
      <c r="EO2" s="131"/>
      <c r="EP2" s="131"/>
      <c r="EQ2" s="131"/>
      <c r="ER2" s="164"/>
      <c r="ES2" s="131"/>
      <c r="ET2" s="131"/>
      <c r="EU2" s="131"/>
      <c r="EV2" s="131"/>
      <c r="EW2" s="131"/>
      <c r="EX2" s="131"/>
      <c r="EY2" s="164"/>
      <c r="EZ2" s="131"/>
      <c r="FA2" s="131"/>
      <c r="FB2" s="131"/>
      <c r="FC2" s="131"/>
      <c r="FD2" s="131"/>
      <c r="FE2" s="131"/>
      <c r="FF2" s="164"/>
      <c r="FG2" s="131"/>
      <c r="FH2" s="131"/>
      <c r="FI2" s="131"/>
      <c r="FJ2" s="131"/>
      <c r="FK2" s="131"/>
      <c r="FL2" s="131"/>
      <c r="FM2" s="164"/>
      <c r="FN2" s="131"/>
      <c r="FO2" s="131"/>
      <c r="FP2" s="131"/>
      <c r="FQ2" s="131"/>
      <c r="FR2" s="131"/>
      <c r="FS2" s="131"/>
      <c r="FT2" s="164"/>
      <c r="FU2" s="131"/>
      <c r="FV2" s="131"/>
      <c r="FW2" s="131"/>
      <c r="FX2" s="131"/>
      <c r="FY2" s="131"/>
      <c r="FZ2" s="131"/>
      <c r="GA2" s="164"/>
      <c r="GB2" s="131"/>
      <c r="GC2" s="131"/>
      <c r="GD2" s="131"/>
      <c r="GE2" s="131"/>
      <c r="GF2" s="131"/>
      <c r="GG2" s="131"/>
      <c r="GH2" s="164"/>
      <c r="GI2" s="131"/>
      <c r="GJ2" s="131"/>
      <c r="GK2" s="131"/>
      <c r="GL2" s="131"/>
      <c r="GM2" s="131"/>
      <c r="GN2" s="131"/>
      <c r="GO2" s="164"/>
      <c r="GP2" s="131"/>
      <c r="GQ2" s="131"/>
      <c r="GR2" s="131"/>
      <c r="GS2" s="131"/>
      <c r="GT2" s="131"/>
      <c r="GU2" s="131"/>
      <c r="GV2" s="164"/>
      <c r="GW2" s="131"/>
      <c r="GX2" s="131"/>
      <c r="GY2" s="131"/>
      <c r="GZ2" s="131"/>
      <c r="HA2" s="131"/>
      <c r="HB2" s="131"/>
      <c r="HC2" s="164"/>
      <c r="HD2" s="131"/>
      <c r="HE2" s="131"/>
      <c r="HF2" s="131"/>
      <c r="HG2" s="131"/>
      <c r="HH2" s="131"/>
      <c r="HI2" s="131"/>
      <c r="HJ2" s="164"/>
      <c r="HK2" s="131"/>
      <c r="HL2" s="131"/>
      <c r="HM2" s="131"/>
      <c r="HN2" s="131"/>
      <c r="HO2" s="131"/>
      <c r="HP2" s="131"/>
      <c r="HQ2" s="164"/>
      <c r="HR2" s="131"/>
      <c r="HS2" s="131"/>
      <c r="HT2" s="131"/>
      <c r="HU2" s="131"/>
      <c r="HV2" s="131"/>
      <c r="HW2" s="131"/>
      <c r="HX2" s="164"/>
      <c r="HY2" s="131"/>
      <c r="HZ2" s="131"/>
      <c r="IA2" s="131"/>
      <c r="IB2" s="131"/>
      <c r="IC2" s="131"/>
      <c r="ID2" s="131"/>
      <c r="IE2" s="164"/>
      <c r="IF2" s="131"/>
      <c r="IG2" s="131"/>
      <c r="IH2" s="131"/>
      <c r="II2" s="131"/>
      <c r="IJ2" s="131"/>
      <c r="IK2" s="131"/>
      <c r="IL2" s="164"/>
      <c r="IM2" s="131"/>
      <c r="IN2" s="131"/>
      <c r="IO2" s="131"/>
      <c r="IP2" s="131"/>
      <c r="IQ2" s="131"/>
      <c r="IR2" s="131"/>
      <c r="IS2" s="164"/>
      <c r="IT2" s="131"/>
      <c r="IU2" s="131"/>
      <c r="IV2" s="34"/>
    </row>
    <row r="3" spans="1:262" x14ac:dyDescent="0.25">
      <c r="A3" s="10" t="s">
        <v>128</v>
      </c>
      <c r="B3" s="19" t="s">
        <v>127</v>
      </c>
      <c r="C3" s="19" t="s">
        <v>157</v>
      </c>
      <c r="D3" s="19" t="s">
        <v>126</v>
      </c>
      <c r="E3" s="19" t="str">
        <f>A3 &amp; " " &amp; D3</f>
        <v>Celina Aschbacher</v>
      </c>
      <c r="F3" s="19" t="s">
        <v>686</v>
      </c>
      <c r="G3" s="182" t="s">
        <v>705</v>
      </c>
      <c r="H3" s="56">
        <v>38532</v>
      </c>
      <c r="I3" s="176" t="str">
        <f t="shared" ref="I3:I22" si="4">C3</f>
        <v>CA</v>
      </c>
      <c r="J3" s="198" t="s">
        <v>793</v>
      </c>
      <c r="K3" s="36">
        <f>SUM(M3:IU3)</f>
        <v>21</v>
      </c>
      <c r="L3" s="191">
        <f t="shared" ref="L3:L24" si="5">K3/K$25 * 100</f>
        <v>100</v>
      </c>
      <c r="M3" s="142" t="s">
        <v>757</v>
      </c>
      <c r="N3" s="142" t="s">
        <v>757</v>
      </c>
      <c r="O3" s="7"/>
      <c r="U3">
        <v>1</v>
      </c>
      <c r="V3" s="7"/>
      <c r="W3">
        <v>1</v>
      </c>
      <c r="X3">
        <v>1</v>
      </c>
      <c r="Z3">
        <v>1</v>
      </c>
      <c r="AA3">
        <v>1</v>
      </c>
      <c r="AC3" s="7"/>
      <c r="AD3">
        <v>1</v>
      </c>
      <c r="AE3">
        <v>1</v>
      </c>
      <c r="AG3">
        <v>1</v>
      </c>
      <c r="AH3">
        <v>1</v>
      </c>
      <c r="AI3">
        <v>1</v>
      </c>
      <c r="AJ3" s="7">
        <v>1</v>
      </c>
      <c r="AK3" s="148">
        <v>1</v>
      </c>
      <c r="AL3" s="148">
        <v>1</v>
      </c>
      <c r="AN3">
        <v>1</v>
      </c>
      <c r="AO3">
        <v>1</v>
      </c>
      <c r="AP3">
        <v>1</v>
      </c>
      <c r="AQ3" s="7">
        <v>1</v>
      </c>
      <c r="AR3" s="148">
        <v>1</v>
      </c>
      <c r="AS3" s="148">
        <v>1</v>
      </c>
      <c r="AU3">
        <v>1</v>
      </c>
      <c r="AV3">
        <v>1</v>
      </c>
      <c r="AX3" s="7"/>
      <c r="BE3" s="7"/>
      <c r="BL3" s="7"/>
      <c r="BS3" s="7"/>
      <c r="BZ3" s="7"/>
      <c r="CG3" s="7"/>
      <c r="CN3" s="7"/>
      <c r="CU3" s="7"/>
      <c r="DB3" s="7"/>
      <c r="DI3" s="7"/>
      <c r="DP3" s="7"/>
      <c r="DW3" s="7"/>
      <c r="ED3" s="7"/>
      <c r="EK3" s="7"/>
      <c r="ER3" s="7"/>
      <c r="EY3" s="7"/>
      <c r="FF3" s="7"/>
      <c r="FM3" s="7"/>
      <c r="FT3" s="7"/>
      <c r="GA3" s="7"/>
      <c r="GH3" s="7"/>
      <c r="GO3" s="7"/>
      <c r="GV3" s="7"/>
      <c r="HC3" s="7"/>
      <c r="HJ3" s="7"/>
      <c r="HQ3" s="7"/>
      <c r="HX3" s="7"/>
      <c r="IE3" s="7"/>
      <c r="IL3" s="7"/>
      <c r="IS3" s="7"/>
      <c r="IV3" s="34"/>
    </row>
    <row r="4" spans="1:262" x14ac:dyDescent="0.25">
      <c r="A4" s="10" t="s">
        <v>151</v>
      </c>
      <c r="B4" s="19" t="s">
        <v>152</v>
      </c>
      <c r="C4" s="19" t="s">
        <v>153</v>
      </c>
      <c r="D4" s="19" t="s">
        <v>154</v>
      </c>
      <c r="E4" s="19" t="str">
        <f t="shared" ref="E4:E22" si="6">A4 &amp; " " &amp; D4</f>
        <v>Dragana Brcin</v>
      </c>
      <c r="F4" s="19" t="s">
        <v>683</v>
      </c>
      <c r="G4" s="182" t="s">
        <v>700</v>
      </c>
      <c r="H4" s="56">
        <v>36859</v>
      </c>
      <c r="I4" s="176" t="str">
        <f t="shared" si="4"/>
        <v>DB</v>
      </c>
      <c r="J4" s="199" t="s">
        <v>793</v>
      </c>
      <c r="K4" s="19">
        <f t="shared" ref="K4:K22" si="7">SUM(M4:IU4)</f>
        <v>21</v>
      </c>
      <c r="L4" s="192">
        <f t="shared" si="5"/>
        <v>100</v>
      </c>
      <c r="M4" s="142" t="s">
        <v>680</v>
      </c>
      <c r="N4" s="142" t="s">
        <v>680</v>
      </c>
      <c r="O4" s="7"/>
      <c r="U4">
        <v>1</v>
      </c>
      <c r="V4" s="7"/>
      <c r="W4">
        <v>1</v>
      </c>
      <c r="X4">
        <v>1</v>
      </c>
      <c r="Z4">
        <v>1</v>
      </c>
      <c r="AA4">
        <v>1</v>
      </c>
      <c r="AC4" s="7"/>
      <c r="AD4">
        <v>1</v>
      </c>
      <c r="AE4">
        <v>1</v>
      </c>
      <c r="AG4">
        <v>1</v>
      </c>
      <c r="AH4">
        <v>1</v>
      </c>
      <c r="AI4">
        <v>1</v>
      </c>
      <c r="AJ4" s="7">
        <v>1</v>
      </c>
      <c r="AK4">
        <v>1</v>
      </c>
      <c r="AL4">
        <v>1</v>
      </c>
      <c r="AN4">
        <v>1</v>
      </c>
      <c r="AO4">
        <v>1</v>
      </c>
      <c r="AP4">
        <v>1</v>
      </c>
      <c r="AQ4" s="7">
        <v>1</v>
      </c>
      <c r="AR4" s="148">
        <v>1</v>
      </c>
      <c r="AS4" s="148">
        <v>1</v>
      </c>
      <c r="AU4">
        <v>1</v>
      </c>
      <c r="AV4">
        <v>1</v>
      </c>
      <c r="AX4" s="7"/>
      <c r="BE4" s="7"/>
      <c r="BL4" s="7"/>
      <c r="BS4" s="7"/>
      <c r="BZ4" s="7"/>
      <c r="CG4" s="7"/>
      <c r="CN4" s="7"/>
      <c r="CU4" s="7"/>
      <c r="DB4" s="7"/>
      <c r="DI4" s="7"/>
      <c r="DP4" s="7"/>
      <c r="DW4" s="7"/>
      <c r="ED4" s="7"/>
      <c r="EK4" s="7"/>
      <c r="ER4" s="7"/>
      <c r="EY4" s="7"/>
      <c r="FF4" s="7"/>
      <c r="FM4" s="7"/>
      <c r="FT4" s="7"/>
      <c r="GA4" s="7"/>
      <c r="GH4" s="7"/>
      <c r="GO4" s="7"/>
      <c r="GV4" s="7"/>
      <c r="HC4" s="7"/>
      <c r="HJ4" s="7"/>
      <c r="HQ4" s="7"/>
      <c r="HX4" s="7"/>
      <c r="IE4" s="7"/>
      <c r="IL4" s="7"/>
      <c r="IS4" s="7"/>
      <c r="IV4" s="34"/>
    </row>
    <row r="5" spans="1:262" x14ac:dyDescent="0.25">
      <c r="A5" s="10" t="s">
        <v>20</v>
      </c>
      <c r="B5" s="19"/>
      <c r="C5" s="19" t="s">
        <v>149</v>
      </c>
      <c r="D5" s="19" t="s">
        <v>150</v>
      </c>
      <c r="E5" s="19" t="str">
        <f t="shared" si="6"/>
        <v>Bojana Despotovic</v>
      </c>
      <c r="F5" s="19" t="s">
        <v>685</v>
      </c>
      <c r="G5" s="182" t="s">
        <v>699</v>
      </c>
      <c r="H5" s="56">
        <v>37414</v>
      </c>
      <c r="I5" s="176" t="str">
        <f t="shared" si="4"/>
        <v>BD</v>
      </c>
      <c r="J5" s="199" t="s">
        <v>793</v>
      </c>
      <c r="K5" s="19">
        <f t="shared" si="7"/>
        <v>21</v>
      </c>
      <c r="L5" s="192">
        <f t="shared" si="5"/>
        <v>100</v>
      </c>
      <c r="M5" s="142" t="s">
        <v>757</v>
      </c>
      <c r="N5" s="142" t="s">
        <v>680</v>
      </c>
      <c r="O5" s="7"/>
      <c r="U5">
        <v>1</v>
      </c>
      <c r="V5" s="7"/>
      <c r="W5">
        <v>1</v>
      </c>
      <c r="X5">
        <v>1</v>
      </c>
      <c r="Z5">
        <v>1</v>
      </c>
      <c r="AA5">
        <v>1</v>
      </c>
      <c r="AC5" s="7"/>
      <c r="AD5">
        <v>1</v>
      </c>
      <c r="AE5">
        <v>1</v>
      </c>
      <c r="AG5">
        <v>1</v>
      </c>
      <c r="AH5">
        <v>1</v>
      </c>
      <c r="AI5">
        <v>1</v>
      </c>
      <c r="AJ5" s="7">
        <v>1</v>
      </c>
      <c r="AK5" s="148">
        <v>1</v>
      </c>
      <c r="AL5" s="148">
        <v>1</v>
      </c>
      <c r="AN5">
        <v>1</v>
      </c>
      <c r="AO5">
        <v>1</v>
      </c>
      <c r="AP5">
        <v>1</v>
      </c>
      <c r="AQ5" s="7">
        <v>1</v>
      </c>
      <c r="AR5" s="148">
        <v>1</v>
      </c>
      <c r="AS5" s="148">
        <v>1</v>
      </c>
      <c r="AU5">
        <v>1</v>
      </c>
      <c r="AV5">
        <v>1</v>
      </c>
      <c r="AX5" s="7"/>
      <c r="BE5" s="7"/>
      <c r="BL5" s="7"/>
      <c r="BS5" s="7"/>
      <c r="BZ5" s="7"/>
      <c r="CG5" s="7"/>
      <c r="CN5" s="7"/>
      <c r="CU5" s="7"/>
      <c r="DB5" s="7"/>
      <c r="DI5" s="7"/>
      <c r="DP5" s="7"/>
      <c r="DW5" s="7"/>
      <c r="ED5" s="7"/>
      <c r="EK5" s="7"/>
      <c r="ER5" s="7"/>
      <c r="EY5" s="7"/>
      <c r="FF5" s="7"/>
      <c r="FM5" s="7"/>
      <c r="FT5" s="7"/>
      <c r="GA5" s="7"/>
      <c r="GH5" s="7"/>
      <c r="GO5" s="7"/>
      <c r="GV5" s="7"/>
      <c r="HC5" s="7"/>
      <c r="HJ5" s="7"/>
      <c r="HQ5" s="7"/>
      <c r="HX5" s="7"/>
      <c r="IE5" s="7"/>
      <c r="IL5" s="7"/>
      <c r="IS5" s="7"/>
      <c r="IV5" s="34"/>
    </row>
    <row r="6" spans="1:262" x14ac:dyDescent="0.25">
      <c r="A6" s="10" t="s">
        <v>247</v>
      </c>
      <c r="B6" s="19" t="s">
        <v>638</v>
      </c>
      <c r="C6" s="19" t="s">
        <v>178</v>
      </c>
      <c r="D6" s="19" t="s">
        <v>113</v>
      </c>
      <c r="E6" s="19" t="str">
        <f t="shared" si="6"/>
        <v>Nicole Dreier</v>
      </c>
      <c r="F6" s="19" t="s">
        <v>691</v>
      </c>
      <c r="G6" s="182" t="s">
        <v>715</v>
      </c>
      <c r="H6" s="56">
        <v>37608</v>
      </c>
      <c r="I6" s="176" t="str">
        <f t="shared" si="4"/>
        <v>ND</v>
      </c>
      <c r="J6" s="199">
        <v>1</v>
      </c>
      <c r="K6" s="19">
        <f t="shared" si="7"/>
        <v>18</v>
      </c>
      <c r="L6" s="192">
        <f t="shared" si="5"/>
        <v>85.714285714285708</v>
      </c>
      <c r="M6" s="142" t="s">
        <v>757</v>
      </c>
      <c r="N6" s="142" t="s">
        <v>680</v>
      </c>
      <c r="O6" s="7"/>
      <c r="U6">
        <v>1</v>
      </c>
      <c r="V6" s="7"/>
      <c r="W6">
        <v>1</v>
      </c>
      <c r="X6">
        <v>1</v>
      </c>
      <c r="Z6">
        <v>1</v>
      </c>
      <c r="AA6">
        <v>1</v>
      </c>
      <c r="AC6" s="7"/>
      <c r="AD6">
        <v>1</v>
      </c>
      <c r="AG6">
        <v>1</v>
      </c>
      <c r="AH6">
        <v>1</v>
      </c>
      <c r="AI6">
        <v>1</v>
      </c>
      <c r="AJ6" s="7">
        <v>1</v>
      </c>
      <c r="AK6" s="148">
        <v>1</v>
      </c>
      <c r="AL6" s="148">
        <v>1</v>
      </c>
      <c r="AN6">
        <v>1</v>
      </c>
      <c r="AO6">
        <v>1</v>
      </c>
      <c r="AP6">
        <v>1</v>
      </c>
      <c r="AQ6" s="7"/>
      <c r="AS6" s="148">
        <v>1</v>
      </c>
      <c r="AU6">
        <v>1</v>
      </c>
      <c r="AV6">
        <v>1</v>
      </c>
      <c r="AX6" s="7"/>
      <c r="BE6" s="7"/>
      <c r="BL6" s="7"/>
      <c r="BS6" s="7"/>
      <c r="BZ6" s="7"/>
      <c r="CG6" s="7"/>
      <c r="CN6" s="7"/>
      <c r="CU6" s="7"/>
      <c r="DB6" s="7"/>
      <c r="DI6" s="7"/>
      <c r="DP6" s="7"/>
      <c r="DW6" s="7"/>
      <c r="ED6" s="7"/>
      <c r="EK6" s="7"/>
      <c r="ER6" s="7"/>
      <c r="EY6" s="7"/>
      <c r="FF6" s="7"/>
      <c r="FM6" s="7"/>
      <c r="FT6" s="7"/>
      <c r="GA6" s="7"/>
      <c r="GH6" s="7"/>
      <c r="GO6" s="7"/>
      <c r="GV6" s="7"/>
      <c r="HC6" s="7"/>
      <c r="HJ6" s="7"/>
      <c r="HQ6" s="7"/>
      <c r="HX6" s="7"/>
      <c r="IE6" s="7"/>
      <c r="IL6" s="7"/>
      <c r="IS6" s="7"/>
      <c r="IV6" s="34"/>
    </row>
    <row r="7" spans="1:262" x14ac:dyDescent="0.25">
      <c r="A7" s="10" t="s">
        <v>656</v>
      </c>
      <c r="B7" s="19" t="s">
        <v>385</v>
      </c>
      <c r="C7" s="19" t="s">
        <v>238</v>
      </c>
      <c r="D7" s="19" t="s">
        <v>164</v>
      </c>
      <c r="E7" s="19" t="str">
        <f t="shared" si="6"/>
        <v>Jennifer Grojer</v>
      </c>
      <c r="F7" s="19" t="s">
        <v>687</v>
      </c>
      <c r="G7" s="182" t="s">
        <v>714</v>
      </c>
      <c r="H7" s="56">
        <v>36672</v>
      </c>
      <c r="I7" s="176" t="str">
        <f t="shared" si="4"/>
        <v>JG</v>
      </c>
      <c r="J7" s="199" t="s">
        <v>793</v>
      </c>
      <c r="K7" s="19">
        <f t="shared" si="7"/>
        <v>20</v>
      </c>
      <c r="L7" s="192">
        <f t="shared" si="5"/>
        <v>95.238095238095227</v>
      </c>
      <c r="M7" s="142" t="s">
        <v>680</v>
      </c>
      <c r="N7" s="142" t="s">
        <v>680</v>
      </c>
      <c r="O7" s="7"/>
      <c r="U7">
        <v>1</v>
      </c>
      <c r="V7" s="7"/>
      <c r="W7">
        <v>1</v>
      </c>
      <c r="X7">
        <v>1</v>
      </c>
      <c r="Z7">
        <v>1</v>
      </c>
      <c r="AA7">
        <v>1</v>
      </c>
      <c r="AC7" s="7"/>
      <c r="AD7">
        <v>1</v>
      </c>
      <c r="AE7">
        <v>1</v>
      </c>
      <c r="AG7">
        <v>1</v>
      </c>
      <c r="AH7">
        <v>1</v>
      </c>
      <c r="AI7">
        <v>1</v>
      </c>
      <c r="AJ7" s="7">
        <v>1</v>
      </c>
      <c r="AK7" s="148">
        <v>1</v>
      </c>
      <c r="AL7" s="148">
        <v>1</v>
      </c>
      <c r="AN7">
        <v>1</v>
      </c>
      <c r="AP7">
        <v>1</v>
      </c>
      <c r="AQ7" s="7">
        <v>1</v>
      </c>
      <c r="AR7" s="148">
        <v>1</v>
      </c>
      <c r="AS7" s="148">
        <v>1</v>
      </c>
      <c r="AU7">
        <v>1</v>
      </c>
      <c r="AV7">
        <v>1</v>
      </c>
      <c r="AX7" s="7"/>
      <c r="BE7" s="7"/>
      <c r="BL7" s="7"/>
      <c r="BS7" s="7"/>
      <c r="BZ7" s="7"/>
      <c r="CG7" s="7"/>
      <c r="CN7" s="7"/>
      <c r="CU7" s="7"/>
      <c r="DB7" s="7"/>
      <c r="DI7" s="7"/>
      <c r="DP7" s="7"/>
      <c r="DW7" s="7"/>
      <c r="ED7" s="7"/>
      <c r="EK7" s="7"/>
      <c r="ER7" s="7"/>
      <c r="EY7" s="7"/>
      <c r="FF7" s="7"/>
      <c r="FM7" s="7"/>
      <c r="FT7" s="7"/>
      <c r="GA7" s="7"/>
      <c r="GH7" s="7"/>
      <c r="GO7" s="7"/>
      <c r="GV7" s="7"/>
      <c r="HC7" s="7"/>
      <c r="HJ7" s="7"/>
      <c r="HQ7" s="7"/>
      <c r="HX7" s="7"/>
      <c r="IE7" s="7"/>
      <c r="IL7" s="7"/>
      <c r="IS7" s="7"/>
      <c r="IV7" s="34"/>
    </row>
    <row r="8" spans="1:262" x14ac:dyDescent="0.25">
      <c r="A8" s="10" t="s">
        <v>162</v>
      </c>
      <c r="B8" s="19" t="s">
        <v>420</v>
      </c>
      <c r="C8" s="19" t="s">
        <v>163</v>
      </c>
      <c r="D8" s="19" t="s">
        <v>164</v>
      </c>
      <c r="E8" s="19" t="str">
        <f t="shared" si="6"/>
        <v>Sabrina Grojer</v>
      </c>
      <c r="F8" s="19" t="s">
        <v>698</v>
      </c>
      <c r="G8" s="182" t="s">
        <v>701</v>
      </c>
      <c r="H8" s="56">
        <v>37133</v>
      </c>
      <c r="I8" s="176" t="str">
        <f t="shared" si="4"/>
        <v>SG</v>
      </c>
      <c r="J8" s="199" t="s">
        <v>794</v>
      </c>
      <c r="K8" s="19">
        <f t="shared" si="7"/>
        <v>14</v>
      </c>
      <c r="L8" s="192">
        <f t="shared" si="5"/>
        <v>66.666666666666657</v>
      </c>
      <c r="M8" s="142" t="s">
        <v>680</v>
      </c>
      <c r="N8" s="142" t="s">
        <v>680</v>
      </c>
      <c r="O8" s="7"/>
      <c r="V8" s="7"/>
      <c r="Z8">
        <v>1</v>
      </c>
      <c r="AA8">
        <v>1</v>
      </c>
      <c r="AC8" s="7"/>
      <c r="AD8">
        <v>1</v>
      </c>
      <c r="AE8">
        <v>1</v>
      </c>
      <c r="AG8">
        <v>1</v>
      </c>
      <c r="AH8">
        <v>1</v>
      </c>
      <c r="AI8">
        <v>1</v>
      </c>
      <c r="AJ8" s="7">
        <v>1</v>
      </c>
      <c r="AK8" s="148">
        <v>1</v>
      </c>
      <c r="AL8" s="148">
        <v>1</v>
      </c>
      <c r="AN8">
        <v>1</v>
      </c>
      <c r="AO8">
        <v>1</v>
      </c>
      <c r="AP8">
        <v>1</v>
      </c>
      <c r="AQ8" s="7">
        <v>1</v>
      </c>
      <c r="AX8" s="7"/>
      <c r="BE8" s="7"/>
      <c r="BL8" s="7"/>
      <c r="BS8" s="7"/>
      <c r="BZ8" s="7"/>
      <c r="CG8" s="7"/>
      <c r="CN8" s="7"/>
      <c r="CU8" s="7"/>
      <c r="DB8" s="7"/>
      <c r="DI8" s="7"/>
      <c r="DP8" s="7"/>
      <c r="DW8" s="7"/>
      <c r="ED8" s="7"/>
      <c r="EK8" s="7"/>
      <c r="ER8" s="7"/>
      <c r="EY8" s="7"/>
      <c r="FF8" s="7"/>
      <c r="FM8" s="7"/>
      <c r="FT8" s="7"/>
      <c r="GA8" s="7"/>
      <c r="GH8" s="7"/>
      <c r="GO8" s="7"/>
      <c r="GV8" s="7"/>
      <c r="HC8" s="7"/>
      <c r="HJ8" s="7"/>
      <c r="HQ8" s="7"/>
      <c r="HX8" s="7"/>
      <c r="IE8" s="7"/>
      <c r="IL8" s="7"/>
      <c r="IS8" s="7"/>
      <c r="IV8" s="34"/>
    </row>
    <row r="9" spans="1:262" x14ac:dyDescent="0.25">
      <c r="A9" s="10" t="s">
        <v>120</v>
      </c>
      <c r="B9" s="19" t="s">
        <v>161</v>
      </c>
      <c r="C9" s="19" t="s">
        <v>175</v>
      </c>
      <c r="D9" s="19" t="s">
        <v>176</v>
      </c>
      <c r="E9" s="19" t="str">
        <f t="shared" si="6"/>
        <v>Alexandra Jordan</v>
      </c>
      <c r="F9" s="19" t="s">
        <v>688</v>
      </c>
      <c r="G9" s="182" t="s">
        <v>704</v>
      </c>
      <c r="H9" s="56">
        <v>37808</v>
      </c>
      <c r="I9" s="176" t="str">
        <f t="shared" si="4"/>
        <v>AJ</v>
      </c>
      <c r="J9" s="199" t="s">
        <v>793</v>
      </c>
      <c r="K9" s="19">
        <f t="shared" si="7"/>
        <v>21</v>
      </c>
      <c r="L9" s="192">
        <f t="shared" si="5"/>
        <v>100</v>
      </c>
      <c r="M9" s="142" t="s">
        <v>757</v>
      </c>
      <c r="N9" s="142" t="s">
        <v>680</v>
      </c>
      <c r="O9" s="7"/>
      <c r="U9">
        <v>1</v>
      </c>
      <c r="V9" s="7"/>
      <c r="W9">
        <v>1</v>
      </c>
      <c r="X9">
        <v>1</v>
      </c>
      <c r="Z9">
        <v>1</v>
      </c>
      <c r="AA9">
        <v>1</v>
      </c>
      <c r="AC9" s="7"/>
      <c r="AD9">
        <v>1</v>
      </c>
      <c r="AE9">
        <v>1</v>
      </c>
      <c r="AG9">
        <v>1</v>
      </c>
      <c r="AH9">
        <v>1</v>
      </c>
      <c r="AI9">
        <v>1</v>
      </c>
      <c r="AJ9" s="7">
        <v>1</v>
      </c>
      <c r="AK9" s="148">
        <v>1</v>
      </c>
      <c r="AL9" s="148">
        <v>1</v>
      </c>
      <c r="AN9">
        <v>1</v>
      </c>
      <c r="AO9">
        <v>1</v>
      </c>
      <c r="AP9">
        <v>1</v>
      </c>
      <c r="AQ9" s="7">
        <v>1</v>
      </c>
      <c r="AR9" s="148">
        <v>1</v>
      </c>
      <c r="AS9" s="148">
        <v>1</v>
      </c>
      <c r="AU9">
        <v>1</v>
      </c>
      <c r="AV9">
        <v>1</v>
      </c>
      <c r="AX9" s="7"/>
      <c r="BE9" s="7"/>
      <c r="BL9" s="7"/>
      <c r="BS9" s="7"/>
      <c r="BZ9" s="7"/>
      <c r="CG9" s="7"/>
      <c r="CN9" s="7"/>
      <c r="CU9" s="7"/>
      <c r="DB9" s="7"/>
      <c r="DI9" s="7"/>
      <c r="DP9" s="7"/>
      <c r="DW9" s="7"/>
      <c r="ED9" s="7"/>
      <c r="EK9" s="7"/>
      <c r="ER9" s="7"/>
      <c r="EY9" s="7"/>
      <c r="FF9" s="7"/>
      <c r="FM9" s="7"/>
      <c r="FT9" s="7"/>
      <c r="GA9" s="7"/>
      <c r="GH9" s="7"/>
      <c r="GO9" s="7"/>
      <c r="GV9" s="7"/>
      <c r="HC9" s="7"/>
      <c r="HJ9" s="7"/>
      <c r="HQ9" s="7"/>
      <c r="HX9" s="7"/>
      <c r="IE9" s="7"/>
      <c r="IL9" s="7"/>
      <c r="IS9" s="7"/>
      <c r="IV9" s="34"/>
    </row>
    <row r="10" spans="1:262" x14ac:dyDescent="0.25">
      <c r="A10" s="10" t="s">
        <v>125</v>
      </c>
      <c r="B10" s="19" t="s">
        <v>789</v>
      </c>
      <c r="C10" s="19" t="s">
        <v>158</v>
      </c>
      <c r="D10" s="19" t="s">
        <v>123</v>
      </c>
      <c r="E10" s="19" t="str">
        <f t="shared" si="6"/>
        <v>Stefanie Marbek</v>
      </c>
      <c r="F10" s="19" t="s">
        <v>697</v>
      </c>
      <c r="G10" s="182" t="s">
        <v>709</v>
      </c>
      <c r="H10" s="56">
        <v>38491</v>
      </c>
      <c r="I10" s="176" t="str">
        <f t="shared" si="4"/>
        <v>SM</v>
      </c>
      <c r="J10" s="199" t="s">
        <v>793</v>
      </c>
      <c r="K10" s="19">
        <f t="shared" si="7"/>
        <v>19</v>
      </c>
      <c r="L10" s="192">
        <f t="shared" si="5"/>
        <v>90.476190476190482</v>
      </c>
      <c r="M10" s="142" t="s">
        <v>757</v>
      </c>
      <c r="N10" s="142" t="s">
        <v>757</v>
      </c>
      <c r="O10" s="7"/>
      <c r="U10">
        <v>1</v>
      </c>
      <c r="V10" s="7"/>
      <c r="W10">
        <v>1</v>
      </c>
      <c r="X10">
        <v>1</v>
      </c>
      <c r="AA10">
        <v>1</v>
      </c>
      <c r="AC10" s="7"/>
      <c r="AD10">
        <v>1</v>
      </c>
      <c r="AE10">
        <v>1</v>
      </c>
      <c r="AG10">
        <v>1</v>
      </c>
      <c r="AH10">
        <v>1</v>
      </c>
      <c r="AI10">
        <v>1</v>
      </c>
      <c r="AJ10" s="7">
        <v>1</v>
      </c>
      <c r="AK10" s="148">
        <v>1</v>
      </c>
      <c r="AL10" s="148">
        <v>1</v>
      </c>
      <c r="AN10">
        <v>1</v>
      </c>
      <c r="AP10">
        <v>1</v>
      </c>
      <c r="AQ10" s="7">
        <v>1</v>
      </c>
      <c r="AR10" s="148">
        <v>1</v>
      </c>
      <c r="AS10" s="148">
        <v>1</v>
      </c>
      <c r="AU10">
        <v>1</v>
      </c>
      <c r="AV10">
        <v>1</v>
      </c>
      <c r="AX10" s="7"/>
      <c r="BE10" s="7"/>
      <c r="BL10" s="7"/>
      <c r="BS10" s="7"/>
      <c r="BZ10" s="7"/>
      <c r="CG10" s="7"/>
      <c r="CN10" s="7"/>
      <c r="CU10" s="7"/>
      <c r="DB10" s="7"/>
      <c r="DI10" s="7"/>
      <c r="DP10" s="7"/>
      <c r="DW10" s="7"/>
      <c r="ED10" s="7"/>
      <c r="EK10" s="7"/>
      <c r="ER10" s="7"/>
      <c r="EY10" s="7"/>
      <c r="FF10" s="7"/>
      <c r="FM10" s="7"/>
      <c r="FT10" s="7"/>
      <c r="GA10" s="7"/>
      <c r="GH10" s="7"/>
      <c r="GO10" s="7"/>
      <c r="GV10" s="7"/>
      <c r="HC10" s="7"/>
      <c r="HJ10" s="7"/>
      <c r="HQ10" s="7"/>
      <c r="HX10" s="7"/>
      <c r="IE10" s="7"/>
      <c r="IL10" s="7"/>
      <c r="IS10" s="7"/>
      <c r="IV10" s="34"/>
    </row>
    <row r="11" spans="1:262" x14ac:dyDescent="0.25">
      <c r="A11" s="10" t="s">
        <v>80</v>
      </c>
      <c r="B11" s="19" t="s">
        <v>790</v>
      </c>
      <c r="C11" s="19" t="s">
        <v>160</v>
      </c>
      <c r="D11" s="19" t="s">
        <v>122</v>
      </c>
      <c r="E11" s="19" t="str">
        <f t="shared" si="6"/>
        <v>Lea Mehringer</v>
      </c>
      <c r="F11" s="19" t="s">
        <v>684</v>
      </c>
      <c r="G11" s="182" t="s">
        <v>707</v>
      </c>
      <c r="H11" s="56">
        <v>38655</v>
      </c>
      <c r="I11" s="176" t="str">
        <f t="shared" si="4"/>
        <v>LE</v>
      </c>
      <c r="J11" s="199">
        <v>1</v>
      </c>
      <c r="K11" s="19">
        <f t="shared" si="7"/>
        <v>16</v>
      </c>
      <c r="L11" s="192">
        <f t="shared" si="5"/>
        <v>76.19047619047619</v>
      </c>
      <c r="M11" s="142" t="s">
        <v>757</v>
      </c>
      <c r="N11" s="142" t="s">
        <v>757</v>
      </c>
      <c r="O11" s="7"/>
      <c r="U11">
        <v>1</v>
      </c>
      <c r="V11" s="7"/>
      <c r="W11">
        <v>1</v>
      </c>
      <c r="AC11" s="7"/>
      <c r="AD11">
        <v>1</v>
      </c>
      <c r="AE11">
        <v>1</v>
      </c>
      <c r="AG11">
        <v>1</v>
      </c>
      <c r="AI11">
        <v>1</v>
      </c>
      <c r="AJ11" s="7">
        <v>1</v>
      </c>
      <c r="AK11" s="148">
        <v>1</v>
      </c>
      <c r="AL11" s="148">
        <v>1</v>
      </c>
      <c r="AN11">
        <v>1</v>
      </c>
      <c r="AO11">
        <v>1</v>
      </c>
      <c r="AP11">
        <v>1</v>
      </c>
      <c r="AQ11" s="7">
        <v>1</v>
      </c>
      <c r="AR11" s="148">
        <v>1</v>
      </c>
      <c r="AS11" s="148">
        <v>1</v>
      </c>
      <c r="AU11">
        <v>1</v>
      </c>
      <c r="AX11" s="7"/>
      <c r="BE11" s="7"/>
      <c r="BL11" s="7"/>
      <c r="BS11" s="7"/>
      <c r="BZ11" s="7"/>
      <c r="CG11" s="7"/>
      <c r="CN11" s="7"/>
      <c r="CU11" s="7"/>
      <c r="DB11" s="7"/>
      <c r="DI11" s="7"/>
      <c r="DP11" s="7"/>
      <c r="DW11" s="7"/>
      <c r="ED11" s="7"/>
      <c r="EK11" s="7"/>
      <c r="ER11" s="7"/>
      <c r="EY11" s="7"/>
      <c r="FF11" s="7"/>
      <c r="FM11" s="7"/>
      <c r="FT11" s="7"/>
      <c r="GA11" s="7"/>
      <c r="GH11" s="7"/>
      <c r="GO11" s="7"/>
      <c r="GV11" s="7"/>
      <c r="HC11" s="7"/>
      <c r="HJ11" s="7"/>
      <c r="HQ11" s="7"/>
      <c r="HX11" s="7"/>
      <c r="IE11" s="7"/>
      <c r="IL11" s="7"/>
      <c r="IS11" s="7"/>
      <c r="IV11" s="34"/>
    </row>
    <row r="12" spans="1:262" x14ac:dyDescent="0.25">
      <c r="A12" s="10" t="s">
        <v>155</v>
      </c>
      <c r="B12" s="19"/>
      <c r="C12" s="19" t="s">
        <v>156</v>
      </c>
      <c r="D12" s="19" t="s">
        <v>139</v>
      </c>
      <c r="E12" s="19" t="str">
        <f t="shared" si="6"/>
        <v>Celine Murnig</v>
      </c>
      <c r="F12" s="19"/>
      <c r="G12" s="182" t="s">
        <v>706</v>
      </c>
      <c r="H12" s="56">
        <v>37863</v>
      </c>
      <c r="I12" s="176" t="str">
        <f t="shared" si="4"/>
        <v>CM</v>
      </c>
      <c r="J12" s="199">
        <v>1</v>
      </c>
      <c r="K12" s="19">
        <f t="shared" si="7"/>
        <v>18</v>
      </c>
      <c r="L12" s="192">
        <f t="shared" si="5"/>
        <v>85.714285714285708</v>
      </c>
      <c r="M12" s="142" t="s">
        <v>757</v>
      </c>
      <c r="N12" s="142" t="s">
        <v>680</v>
      </c>
      <c r="O12" s="7"/>
      <c r="U12">
        <v>1</v>
      </c>
      <c r="V12" s="7"/>
      <c r="X12">
        <v>1</v>
      </c>
      <c r="Z12">
        <v>1</v>
      </c>
      <c r="AA12">
        <v>1</v>
      </c>
      <c r="AC12" s="7"/>
      <c r="AD12">
        <v>1</v>
      </c>
      <c r="AH12">
        <v>1</v>
      </c>
      <c r="AI12">
        <v>1</v>
      </c>
      <c r="AJ12" s="7">
        <v>1</v>
      </c>
      <c r="AK12" s="148">
        <v>1</v>
      </c>
      <c r="AL12" s="148">
        <v>1</v>
      </c>
      <c r="AN12">
        <v>1</v>
      </c>
      <c r="AO12">
        <v>1</v>
      </c>
      <c r="AP12">
        <v>1</v>
      </c>
      <c r="AQ12" s="7">
        <v>1</v>
      </c>
      <c r="AR12" s="148">
        <v>1</v>
      </c>
      <c r="AS12" s="148">
        <v>1</v>
      </c>
      <c r="AU12">
        <v>1</v>
      </c>
      <c r="AV12">
        <v>1</v>
      </c>
      <c r="AX12" s="7"/>
      <c r="BE12" s="7"/>
      <c r="BL12" s="7"/>
      <c r="BS12" s="7"/>
      <c r="BZ12" s="7"/>
      <c r="CG12" s="7"/>
      <c r="CN12" s="7"/>
      <c r="CU12" s="7"/>
      <c r="DB12" s="7"/>
      <c r="DI12" s="7"/>
      <c r="DP12" s="7"/>
      <c r="DW12" s="7"/>
      <c r="ED12" s="7"/>
      <c r="EK12" s="7"/>
      <c r="ER12" s="7"/>
      <c r="EY12" s="7"/>
      <c r="FF12" s="7"/>
      <c r="FM12" s="7"/>
      <c r="FT12" s="7"/>
      <c r="GA12" s="7"/>
      <c r="GH12" s="7"/>
      <c r="GO12" s="7"/>
      <c r="GV12" s="7"/>
      <c r="HC12" s="7"/>
      <c r="HJ12" s="7"/>
      <c r="HQ12" s="7"/>
      <c r="HX12" s="7"/>
      <c r="IE12" s="7"/>
      <c r="IL12" s="7"/>
      <c r="IS12" s="7"/>
      <c r="IV12" s="34"/>
    </row>
    <row r="13" spans="1:262" x14ac:dyDescent="0.25">
      <c r="A13" s="10" t="s">
        <v>80</v>
      </c>
      <c r="B13" s="19" t="s">
        <v>791</v>
      </c>
      <c r="C13" s="19" t="s">
        <v>143</v>
      </c>
      <c r="D13" s="19" t="s">
        <v>139</v>
      </c>
      <c r="E13" s="19" t="str">
        <f t="shared" si="6"/>
        <v>Lea Murnig</v>
      </c>
      <c r="F13" s="19" t="s">
        <v>690</v>
      </c>
      <c r="G13" s="182" t="s">
        <v>710</v>
      </c>
      <c r="H13" s="56">
        <v>37863</v>
      </c>
      <c r="I13" s="176" t="str">
        <f t="shared" si="4"/>
        <v>LM</v>
      </c>
      <c r="J13" s="199" t="s">
        <v>793</v>
      </c>
      <c r="K13" s="19">
        <f t="shared" si="7"/>
        <v>16</v>
      </c>
      <c r="L13" s="192">
        <f t="shared" si="5"/>
        <v>76.19047619047619</v>
      </c>
      <c r="M13" s="142" t="s">
        <v>757</v>
      </c>
      <c r="N13" s="142" t="s">
        <v>680</v>
      </c>
      <c r="O13" s="7"/>
      <c r="U13">
        <v>1</v>
      </c>
      <c r="V13" s="7"/>
      <c r="AA13">
        <v>1</v>
      </c>
      <c r="AC13" s="7"/>
      <c r="AD13">
        <v>1</v>
      </c>
      <c r="AE13">
        <v>1</v>
      </c>
      <c r="AH13">
        <v>1</v>
      </c>
      <c r="AI13">
        <v>1</v>
      </c>
      <c r="AJ13" s="7">
        <v>1</v>
      </c>
      <c r="AK13" s="148">
        <v>1</v>
      </c>
      <c r="AL13" s="148">
        <v>1</v>
      </c>
      <c r="AN13">
        <v>1</v>
      </c>
      <c r="AO13">
        <v>1</v>
      </c>
      <c r="AP13">
        <v>1</v>
      </c>
      <c r="AQ13" s="7">
        <v>1</v>
      </c>
      <c r="AR13" s="148"/>
      <c r="AS13" s="148">
        <v>1</v>
      </c>
      <c r="AU13">
        <v>1</v>
      </c>
      <c r="AV13">
        <v>1</v>
      </c>
      <c r="AX13" s="7"/>
      <c r="BE13" s="7"/>
      <c r="BL13" s="7"/>
      <c r="BS13" s="7"/>
      <c r="BZ13" s="7"/>
      <c r="CG13" s="7"/>
      <c r="CN13" s="7"/>
      <c r="CU13" s="7"/>
      <c r="DB13" s="7"/>
      <c r="DI13" s="7"/>
      <c r="DP13" s="7"/>
      <c r="DW13" s="7"/>
      <c r="ED13" s="7"/>
      <c r="EK13" s="7"/>
      <c r="ER13" s="7"/>
      <c r="EY13" s="7"/>
      <c r="FF13" s="7"/>
      <c r="FM13" s="7"/>
      <c r="FT13" s="7"/>
      <c r="GA13" s="7"/>
      <c r="GH13" s="7"/>
      <c r="GO13" s="7"/>
      <c r="GV13" s="7"/>
      <c r="HC13" s="7"/>
      <c r="HJ13" s="7"/>
      <c r="HQ13" s="7"/>
      <c r="HX13" s="7"/>
      <c r="IE13" s="7"/>
      <c r="IL13" s="7"/>
      <c r="IS13" s="7"/>
      <c r="IV13" s="34"/>
    </row>
    <row r="14" spans="1:262" x14ac:dyDescent="0.25">
      <c r="A14" s="10" t="s">
        <v>142</v>
      </c>
      <c r="B14" s="19" t="s">
        <v>141</v>
      </c>
      <c r="C14" s="19" t="s">
        <v>140</v>
      </c>
      <c r="D14" s="19" t="s">
        <v>139</v>
      </c>
      <c r="E14" s="19" t="str">
        <f t="shared" si="6"/>
        <v>Yasmin Murnig</v>
      </c>
      <c r="F14" s="19" t="s">
        <v>693</v>
      </c>
      <c r="G14" s="182" t="s">
        <v>712</v>
      </c>
      <c r="H14" s="56">
        <v>38954</v>
      </c>
      <c r="I14" s="176" t="str">
        <f t="shared" si="4"/>
        <v>YM</v>
      </c>
      <c r="J14" s="199">
        <v>1</v>
      </c>
      <c r="K14" s="19">
        <f t="shared" si="7"/>
        <v>17</v>
      </c>
      <c r="L14" s="192">
        <f t="shared" si="5"/>
        <v>80.952380952380949</v>
      </c>
      <c r="M14" s="142" t="s">
        <v>757</v>
      </c>
      <c r="N14" s="142" t="s">
        <v>757</v>
      </c>
      <c r="O14" s="7"/>
      <c r="U14">
        <v>1</v>
      </c>
      <c r="V14" s="7"/>
      <c r="X14">
        <v>1</v>
      </c>
      <c r="Z14">
        <v>1</v>
      </c>
      <c r="AA14">
        <v>1</v>
      </c>
      <c r="AC14" s="7"/>
      <c r="AD14">
        <v>1</v>
      </c>
      <c r="AE14">
        <v>1</v>
      </c>
      <c r="AH14">
        <v>1</v>
      </c>
      <c r="AI14">
        <v>1</v>
      </c>
      <c r="AJ14" s="7">
        <v>1</v>
      </c>
      <c r="AK14" s="148">
        <v>1</v>
      </c>
      <c r="AL14" s="148">
        <v>1</v>
      </c>
      <c r="AO14">
        <v>1</v>
      </c>
      <c r="AP14">
        <v>1</v>
      </c>
      <c r="AQ14" s="7"/>
      <c r="AR14" s="148">
        <v>1</v>
      </c>
      <c r="AS14" s="148">
        <v>1</v>
      </c>
      <c r="AU14">
        <v>1</v>
      </c>
      <c r="AV14">
        <v>1</v>
      </c>
      <c r="AX14" s="7"/>
      <c r="BE14" s="7"/>
      <c r="BL14" s="7"/>
      <c r="BS14" s="7"/>
      <c r="BZ14" s="7"/>
      <c r="CG14" s="7"/>
      <c r="CN14" s="7"/>
      <c r="CU14" s="7"/>
      <c r="DB14" s="7"/>
      <c r="DI14" s="7"/>
      <c r="DP14" s="7"/>
      <c r="DW14" s="7"/>
      <c r="ED14" s="7"/>
      <c r="EK14" s="7"/>
      <c r="ER14" s="7"/>
      <c r="EY14" s="7"/>
      <c r="FF14" s="7"/>
      <c r="FM14" s="7"/>
      <c r="FT14" s="7"/>
      <c r="GA14" s="7"/>
      <c r="GH14" s="7"/>
      <c r="GO14" s="7"/>
      <c r="GV14" s="7"/>
      <c r="HC14" s="7"/>
      <c r="HJ14" s="7"/>
      <c r="HQ14" s="7"/>
      <c r="HX14" s="7"/>
      <c r="IE14" s="7"/>
      <c r="IL14" s="7"/>
      <c r="IS14" s="7"/>
      <c r="IV14" s="34"/>
    </row>
    <row r="15" spans="1:262" x14ac:dyDescent="0.25">
      <c r="A15" s="10" t="s">
        <v>138</v>
      </c>
      <c r="B15" s="19" t="s">
        <v>137</v>
      </c>
      <c r="C15" s="19" t="s">
        <v>136</v>
      </c>
      <c r="D15" s="19" t="s">
        <v>135</v>
      </c>
      <c r="E15" s="19" t="str">
        <f t="shared" si="6"/>
        <v>Selina Popaj</v>
      </c>
      <c r="F15" s="19"/>
      <c r="G15" s="182" t="s">
        <v>708</v>
      </c>
      <c r="H15" s="56">
        <v>39155</v>
      </c>
      <c r="I15" s="176" t="str">
        <f t="shared" si="4"/>
        <v>SP</v>
      </c>
      <c r="J15" s="199">
        <v>1</v>
      </c>
      <c r="K15" s="19">
        <f t="shared" si="7"/>
        <v>17</v>
      </c>
      <c r="L15" s="192">
        <f t="shared" si="5"/>
        <v>80.952380952380949</v>
      </c>
      <c r="M15" s="142" t="s">
        <v>757</v>
      </c>
      <c r="N15" s="142" t="s">
        <v>757</v>
      </c>
      <c r="O15" s="7"/>
      <c r="V15" s="7"/>
      <c r="X15">
        <v>1</v>
      </c>
      <c r="Z15">
        <v>1</v>
      </c>
      <c r="AA15">
        <v>1</v>
      </c>
      <c r="AC15" s="7"/>
      <c r="AD15">
        <v>1</v>
      </c>
      <c r="AE15">
        <v>1</v>
      </c>
      <c r="AG15">
        <v>1</v>
      </c>
      <c r="AI15">
        <v>1</v>
      </c>
      <c r="AJ15" s="7">
        <v>1</v>
      </c>
      <c r="AK15" s="148">
        <v>1</v>
      </c>
      <c r="AL15" s="148">
        <v>1</v>
      </c>
      <c r="AN15">
        <v>1</v>
      </c>
      <c r="AP15">
        <v>1</v>
      </c>
      <c r="AQ15" s="7">
        <v>1</v>
      </c>
      <c r="AR15" s="148">
        <v>1</v>
      </c>
      <c r="AS15" s="148">
        <v>1</v>
      </c>
      <c r="AU15">
        <v>1</v>
      </c>
      <c r="AV15">
        <v>1</v>
      </c>
      <c r="AX15" s="7"/>
      <c r="BE15" s="7"/>
      <c r="BL15" s="7"/>
      <c r="BS15" s="7"/>
      <c r="BZ15" s="7"/>
      <c r="CG15" s="7"/>
      <c r="CN15" s="7"/>
      <c r="CU15" s="7"/>
      <c r="DB15" s="7"/>
      <c r="DI15" s="7"/>
      <c r="DP15" s="7"/>
      <c r="DW15" s="7"/>
      <c r="ED15" s="7"/>
      <c r="EK15" s="7"/>
      <c r="ER15" s="7"/>
      <c r="EY15" s="7"/>
      <c r="FF15" s="7"/>
      <c r="FM15" s="7"/>
      <c r="FT15" s="7"/>
      <c r="GA15" s="7"/>
      <c r="GH15" s="7"/>
      <c r="GO15" s="7"/>
      <c r="GV15" s="7"/>
      <c r="HC15" s="7"/>
      <c r="HJ15" s="7"/>
      <c r="HQ15" s="7"/>
      <c r="HX15" s="7"/>
      <c r="IE15" s="7"/>
      <c r="IL15" s="7"/>
      <c r="IS15" s="7"/>
      <c r="IV15" s="34"/>
    </row>
    <row r="16" spans="1:262" x14ac:dyDescent="0.25">
      <c r="A16" s="10" t="s">
        <v>134</v>
      </c>
      <c r="B16" s="19" t="s">
        <v>133</v>
      </c>
      <c r="C16" s="19" t="s">
        <v>169</v>
      </c>
      <c r="D16" s="19" t="s">
        <v>170</v>
      </c>
      <c r="E16" s="19" t="str">
        <f t="shared" si="6"/>
        <v>Valentina Probst</v>
      </c>
      <c r="F16" s="19" t="s">
        <v>694</v>
      </c>
      <c r="G16" s="182" t="s">
        <v>703</v>
      </c>
      <c r="H16" s="56">
        <v>37177</v>
      </c>
      <c r="I16" s="176" t="str">
        <f t="shared" si="4"/>
        <v>VP</v>
      </c>
      <c r="J16" s="199" t="s">
        <v>793</v>
      </c>
      <c r="K16" s="19">
        <f t="shared" si="7"/>
        <v>21</v>
      </c>
      <c r="L16" s="192">
        <f t="shared" si="5"/>
        <v>100</v>
      </c>
      <c r="M16" s="142" t="s">
        <v>680</v>
      </c>
      <c r="N16" s="142" t="s">
        <v>680</v>
      </c>
      <c r="O16" s="7"/>
      <c r="U16">
        <v>1</v>
      </c>
      <c r="V16" s="7"/>
      <c r="W16">
        <v>1</v>
      </c>
      <c r="X16">
        <v>1</v>
      </c>
      <c r="Z16">
        <v>1</v>
      </c>
      <c r="AA16">
        <v>1</v>
      </c>
      <c r="AC16" s="7"/>
      <c r="AD16">
        <v>1</v>
      </c>
      <c r="AE16">
        <v>1</v>
      </c>
      <c r="AG16">
        <v>1</v>
      </c>
      <c r="AH16">
        <v>1</v>
      </c>
      <c r="AI16">
        <v>1</v>
      </c>
      <c r="AJ16" s="7">
        <v>1</v>
      </c>
      <c r="AK16" s="148">
        <v>1</v>
      </c>
      <c r="AL16" s="148">
        <v>1</v>
      </c>
      <c r="AN16">
        <v>1</v>
      </c>
      <c r="AO16">
        <v>1</v>
      </c>
      <c r="AP16">
        <v>1</v>
      </c>
      <c r="AQ16" s="7">
        <v>1</v>
      </c>
      <c r="AR16" s="148">
        <v>1</v>
      </c>
      <c r="AS16" s="148">
        <v>1</v>
      </c>
      <c r="AU16">
        <v>1</v>
      </c>
      <c r="AV16">
        <v>1</v>
      </c>
      <c r="AX16" s="7"/>
      <c r="BE16" s="7"/>
      <c r="BL16" s="7"/>
      <c r="BS16" s="7"/>
      <c r="BZ16" s="7"/>
      <c r="CG16" s="7"/>
      <c r="CN16" s="7"/>
      <c r="CU16" s="7"/>
      <c r="DB16" s="7"/>
      <c r="DI16" s="7"/>
      <c r="DP16" s="7"/>
      <c r="DW16" s="7"/>
      <c r="ED16" s="7"/>
      <c r="EK16" s="7"/>
      <c r="ER16" s="7"/>
      <c r="EY16" s="7"/>
      <c r="FF16" s="7"/>
      <c r="FM16" s="7"/>
      <c r="FT16" s="7"/>
      <c r="GA16" s="7"/>
      <c r="GH16" s="7"/>
      <c r="GO16" s="7"/>
      <c r="GV16" s="7"/>
      <c r="HC16" s="7"/>
      <c r="HJ16" s="7"/>
      <c r="HQ16" s="7"/>
      <c r="HX16" s="7"/>
      <c r="IE16" s="7"/>
      <c r="IL16" s="7"/>
      <c r="IS16" s="7"/>
      <c r="IV16" s="34"/>
    </row>
    <row r="17" spans="1:267" x14ac:dyDescent="0.25">
      <c r="A17" s="10" t="s">
        <v>125</v>
      </c>
      <c r="B17" s="19" t="s">
        <v>788</v>
      </c>
      <c r="C17" s="19" t="s">
        <v>167</v>
      </c>
      <c r="D17" s="19" t="s">
        <v>168</v>
      </c>
      <c r="E17" s="19" t="str">
        <f t="shared" si="6"/>
        <v>Stefanie Rückenbaum</v>
      </c>
      <c r="F17" s="19" t="s">
        <v>696</v>
      </c>
      <c r="G17" s="182" t="s">
        <v>702</v>
      </c>
      <c r="H17" s="56">
        <v>36870</v>
      </c>
      <c r="I17" s="176" t="str">
        <f t="shared" si="4"/>
        <v>SR</v>
      </c>
      <c r="J17" s="199" t="s">
        <v>793</v>
      </c>
      <c r="K17" s="19">
        <f t="shared" si="7"/>
        <v>21</v>
      </c>
      <c r="L17" s="192">
        <f t="shared" si="5"/>
        <v>100</v>
      </c>
      <c r="M17" s="142" t="s">
        <v>680</v>
      </c>
      <c r="N17" s="142" t="s">
        <v>680</v>
      </c>
      <c r="O17" s="7"/>
      <c r="U17">
        <v>1</v>
      </c>
      <c r="V17" s="7"/>
      <c r="W17">
        <v>1</v>
      </c>
      <c r="X17">
        <v>1</v>
      </c>
      <c r="Z17">
        <v>1</v>
      </c>
      <c r="AA17">
        <v>1</v>
      </c>
      <c r="AC17" s="7"/>
      <c r="AD17">
        <v>1</v>
      </c>
      <c r="AE17">
        <v>1</v>
      </c>
      <c r="AG17">
        <v>1</v>
      </c>
      <c r="AH17">
        <v>1</v>
      </c>
      <c r="AI17">
        <v>1</v>
      </c>
      <c r="AJ17" s="7">
        <v>1</v>
      </c>
      <c r="AK17" s="148">
        <v>1</v>
      </c>
      <c r="AL17" s="148">
        <v>1</v>
      </c>
      <c r="AN17">
        <v>1</v>
      </c>
      <c r="AO17">
        <v>1</v>
      </c>
      <c r="AP17">
        <v>1</v>
      </c>
      <c r="AQ17" s="7">
        <v>1</v>
      </c>
      <c r="AR17" s="148">
        <v>1</v>
      </c>
      <c r="AS17" s="148">
        <v>1</v>
      </c>
      <c r="AU17">
        <v>1</v>
      </c>
      <c r="AV17">
        <v>1</v>
      </c>
      <c r="AX17" s="7"/>
      <c r="BE17" s="7"/>
      <c r="BL17" s="7"/>
      <c r="BS17" s="7"/>
      <c r="BZ17" s="7"/>
      <c r="CG17" s="7"/>
      <c r="CN17" s="7"/>
      <c r="CU17" s="7"/>
      <c r="DB17" s="7"/>
      <c r="DI17" s="7"/>
      <c r="DP17" s="7"/>
      <c r="DW17" s="7"/>
      <c r="ED17" s="7"/>
      <c r="EK17" s="7"/>
      <c r="ER17" s="7"/>
      <c r="EY17" s="7"/>
      <c r="FF17" s="7"/>
      <c r="FM17" s="7"/>
      <c r="FT17" s="7"/>
      <c r="GA17" s="7"/>
      <c r="GH17" s="7"/>
      <c r="GO17" s="7"/>
      <c r="GV17" s="7"/>
      <c r="HC17" s="7"/>
      <c r="HJ17" s="7"/>
      <c r="HQ17" s="7"/>
      <c r="HX17" s="7"/>
      <c r="IE17" s="7"/>
      <c r="IL17" s="7"/>
      <c r="IS17" s="7"/>
      <c r="IV17" s="34"/>
    </row>
    <row r="18" spans="1:267" x14ac:dyDescent="0.25">
      <c r="A18" s="10" t="s">
        <v>181</v>
      </c>
      <c r="B18" s="19" t="s">
        <v>22</v>
      </c>
      <c r="C18" s="19" t="s">
        <v>183</v>
      </c>
      <c r="D18" s="19" t="s">
        <v>81</v>
      </c>
      <c r="E18" s="19" t="str">
        <f t="shared" si="6"/>
        <v>Theresa Scheitz</v>
      </c>
      <c r="F18" s="19" t="s">
        <v>695</v>
      </c>
      <c r="G18" s="182" t="s">
        <v>711</v>
      </c>
      <c r="H18" s="56">
        <v>38054</v>
      </c>
      <c r="I18" s="176" t="str">
        <f t="shared" si="4"/>
        <v>TS</v>
      </c>
      <c r="J18" s="199" t="s">
        <v>793</v>
      </c>
      <c r="K18" s="19">
        <f t="shared" si="7"/>
        <v>21</v>
      </c>
      <c r="L18" s="192">
        <f t="shared" si="5"/>
        <v>100</v>
      </c>
      <c r="M18" s="142" t="s">
        <v>757</v>
      </c>
      <c r="N18" s="142" t="s">
        <v>757</v>
      </c>
      <c r="O18" s="7"/>
      <c r="U18">
        <v>1</v>
      </c>
      <c r="V18" s="7"/>
      <c r="W18">
        <v>1</v>
      </c>
      <c r="X18">
        <v>1</v>
      </c>
      <c r="Z18">
        <v>1</v>
      </c>
      <c r="AA18">
        <v>1</v>
      </c>
      <c r="AC18" s="7"/>
      <c r="AD18">
        <v>1</v>
      </c>
      <c r="AE18">
        <v>1</v>
      </c>
      <c r="AG18">
        <v>1</v>
      </c>
      <c r="AH18">
        <v>1</v>
      </c>
      <c r="AI18">
        <v>1</v>
      </c>
      <c r="AJ18" s="7">
        <v>1</v>
      </c>
      <c r="AK18" s="148">
        <v>1</v>
      </c>
      <c r="AL18" s="148">
        <v>1</v>
      </c>
      <c r="AN18">
        <v>1</v>
      </c>
      <c r="AO18">
        <v>1</v>
      </c>
      <c r="AP18">
        <v>1</v>
      </c>
      <c r="AQ18" s="7">
        <v>1</v>
      </c>
      <c r="AR18" s="148">
        <v>1</v>
      </c>
      <c r="AS18" s="148">
        <v>1</v>
      </c>
      <c r="AU18">
        <v>1</v>
      </c>
      <c r="AV18">
        <v>1</v>
      </c>
      <c r="AX18" s="7"/>
      <c r="BE18" s="7"/>
      <c r="BL18" s="7"/>
      <c r="BS18" s="7"/>
      <c r="BZ18" s="7"/>
      <c r="CG18" s="7"/>
      <c r="CN18" s="7"/>
      <c r="CU18" s="7"/>
      <c r="DB18" s="7"/>
      <c r="DI18" s="7"/>
      <c r="DP18" s="7"/>
      <c r="DW18" s="7"/>
      <c r="ED18" s="7"/>
      <c r="EK18" s="7"/>
      <c r="ER18" s="7"/>
      <c r="EY18" s="7"/>
      <c r="FF18" s="7"/>
      <c r="FM18" s="7"/>
      <c r="FT18" s="7"/>
      <c r="GA18" s="7"/>
      <c r="GH18" s="7"/>
      <c r="GO18" s="7"/>
      <c r="GV18" s="7"/>
      <c r="HC18" s="7"/>
      <c r="HJ18" s="7"/>
      <c r="HQ18" s="7"/>
      <c r="HX18" s="7"/>
      <c r="IE18" s="7"/>
      <c r="IL18" s="7"/>
      <c r="IS18" s="7"/>
      <c r="IV18" s="34"/>
    </row>
    <row r="19" spans="1:267" x14ac:dyDescent="0.25">
      <c r="A19" s="90" t="s">
        <v>132</v>
      </c>
      <c r="B19" s="88"/>
      <c r="C19" s="88" t="s">
        <v>131</v>
      </c>
      <c r="D19" s="88" t="s">
        <v>130</v>
      </c>
      <c r="E19" s="88" t="str">
        <f t="shared" si="6"/>
        <v>Ylva Völker</v>
      </c>
      <c r="F19" s="88" t="s">
        <v>692</v>
      </c>
      <c r="G19" s="183" t="s">
        <v>713</v>
      </c>
      <c r="H19" s="162">
        <v>39280</v>
      </c>
      <c r="I19" s="197" t="str">
        <f t="shared" si="4"/>
        <v>YV</v>
      </c>
      <c r="J19" s="200">
        <v>1</v>
      </c>
      <c r="K19" s="88">
        <f t="shared" si="7"/>
        <v>13</v>
      </c>
      <c r="L19" s="193">
        <f t="shared" si="5"/>
        <v>61.904761904761905</v>
      </c>
      <c r="M19" s="142" t="s">
        <v>757</v>
      </c>
      <c r="N19" s="142" t="s">
        <v>757</v>
      </c>
      <c r="O19" s="7"/>
      <c r="U19">
        <v>1</v>
      </c>
      <c r="V19" s="7"/>
      <c r="W19">
        <v>1</v>
      </c>
      <c r="X19">
        <v>1</v>
      </c>
      <c r="AC19" s="7"/>
      <c r="AD19">
        <v>1</v>
      </c>
      <c r="AH19">
        <v>1</v>
      </c>
      <c r="AI19">
        <v>1</v>
      </c>
      <c r="AJ19" s="7">
        <v>1</v>
      </c>
      <c r="AK19" s="148"/>
      <c r="AL19" s="148">
        <v>1</v>
      </c>
      <c r="AP19">
        <v>1</v>
      </c>
      <c r="AQ19" s="7"/>
      <c r="AR19" s="148">
        <v>1</v>
      </c>
      <c r="AS19" s="148">
        <v>1</v>
      </c>
      <c r="AU19">
        <v>1</v>
      </c>
      <c r="AV19">
        <v>1</v>
      </c>
      <c r="AX19" s="7"/>
      <c r="BE19" s="7"/>
      <c r="BL19" s="7"/>
      <c r="BS19" s="7"/>
      <c r="BZ19" s="7"/>
      <c r="CG19" s="7"/>
      <c r="CN19" s="7"/>
      <c r="CU19" s="7"/>
      <c r="DB19" s="7"/>
      <c r="DI19" s="7"/>
      <c r="DP19" s="7"/>
      <c r="DW19" s="7"/>
      <c r="ED19" s="7"/>
      <c r="EK19" s="7"/>
      <c r="ER19" s="7"/>
      <c r="EY19" s="7"/>
      <c r="FF19" s="7"/>
      <c r="FM19" s="7"/>
      <c r="FT19" s="7"/>
      <c r="GA19" s="7"/>
      <c r="GH19" s="7"/>
      <c r="GO19" s="7"/>
      <c r="GV19" s="7"/>
      <c r="HC19" s="7"/>
      <c r="HJ19" s="7"/>
      <c r="HQ19" s="7"/>
      <c r="HX19" s="7"/>
      <c r="IE19" s="7"/>
      <c r="IL19" s="7"/>
      <c r="IS19" s="7"/>
      <c r="IV19" s="34"/>
    </row>
    <row r="20" spans="1:267" x14ac:dyDescent="0.25">
      <c r="A20" s="10" t="s">
        <v>643</v>
      </c>
      <c r="B20" s="19" t="s">
        <v>512</v>
      </c>
      <c r="C20" s="19" t="s">
        <v>657</v>
      </c>
      <c r="D20" s="19" t="s">
        <v>550</v>
      </c>
      <c r="E20" s="19" t="str">
        <f t="shared" si="6"/>
        <v>Michael Witschnig</v>
      </c>
      <c r="F20" s="19"/>
      <c r="G20" s="182" t="s">
        <v>552</v>
      </c>
      <c r="H20" s="56"/>
      <c r="I20" s="176" t="str">
        <f t="shared" si="4"/>
        <v>MW</v>
      </c>
      <c r="J20" s="10" t="s">
        <v>793</v>
      </c>
      <c r="K20" s="10">
        <f t="shared" si="7"/>
        <v>18</v>
      </c>
      <c r="L20" s="192">
        <f t="shared" si="5"/>
        <v>85.714285714285708</v>
      </c>
      <c r="M20" s="140"/>
      <c r="N20" s="140"/>
      <c r="O20" s="165"/>
      <c r="P20" s="140"/>
      <c r="Q20" s="140"/>
      <c r="R20" s="140"/>
      <c r="S20" s="140"/>
      <c r="T20" s="140"/>
      <c r="U20" s="140">
        <v>1</v>
      </c>
      <c r="V20" s="165"/>
      <c r="W20" s="140">
        <v>1</v>
      </c>
      <c r="X20" s="140">
        <v>1</v>
      </c>
      <c r="Y20" s="140"/>
      <c r="Z20" s="140"/>
      <c r="AA20" s="140"/>
      <c r="AB20" s="140"/>
      <c r="AC20" s="165"/>
      <c r="AD20" s="140">
        <v>1</v>
      </c>
      <c r="AE20" s="140">
        <v>1</v>
      </c>
      <c r="AF20" s="140"/>
      <c r="AG20" s="140"/>
      <c r="AH20" s="140">
        <v>1</v>
      </c>
      <c r="AI20" s="140">
        <v>1</v>
      </c>
      <c r="AJ20" s="165">
        <v>1</v>
      </c>
      <c r="AK20" s="140">
        <v>1</v>
      </c>
      <c r="AL20" s="140">
        <v>1</v>
      </c>
      <c r="AM20" s="140"/>
      <c r="AN20" s="140">
        <v>1</v>
      </c>
      <c r="AO20" s="140">
        <v>1</v>
      </c>
      <c r="AP20" s="140">
        <v>1</v>
      </c>
      <c r="AQ20" s="165">
        <v>1</v>
      </c>
      <c r="AR20" s="140">
        <v>1</v>
      </c>
      <c r="AS20" s="140">
        <v>1</v>
      </c>
      <c r="AT20" s="140"/>
      <c r="AU20" s="140">
        <v>1</v>
      </c>
      <c r="AV20" s="140">
        <v>1</v>
      </c>
      <c r="AW20" s="140"/>
      <c r="AX20" s="165"/>
      <c r="AY20" s="140"/>
      <c r="AZ20" s="140"/>
      <c r="BA20" s="140"/>
      <c r="BB20" s="140"/>
      <c r="BC20" s="140"/>
      <c r="BD20" s="140"/>
      <c r="BE20" s="165"/>
      <c r="BF20" s="140"/>
      <c r="BG20" s="140"/>
      <c r="BH20" s="140"/>
      <c r="BI20" s="140"/>
      <c r="BJ20" s="140"/>
      <c r="BK20" s="140"/>
      <c r="BL20" s="165"/>
      <c r="BM20" s="140"/>
      <c r="BN20" s="140"/>
      <c r="BO20" s="140"/>
      <c r="BP20" s="140"/>
      <c r="BQ20" s="140"/>
      <c r="BR20" s="140"/>
      <c r="BS20" s="165"/>
      <c r="BT20" s="140"/>
      <c r="BU20" s="140"/>
      <c r="BV20" s="140"/>
      <c r="BW20" s="140"/>
      <c r="BX20" s="140"/>
      <c r="BY20" s="140"/>
      <c r="BZ20" s="165"/>
      <c r="CA20" s="140"/>
      <c r="CB20" s="140"/>
      <c r="CC20" s="140"/>
      <c r="CD20" s="140"/>
      <c r="CE20" s="140"/>
      <c r="CF20" s="140"/>
      <c r="CG20" s="165"/>
      <c r="CH20" s="140"/>
      <c r="CI20" s="140"/>
      <c r="CJ20" s="140"/>
      <c r="CK20" s="140"/>
      <c r="CL20" s="140"/>
      <c r="CM20" s="140"/>
      <c r="CN20" s="165"/>
      <c r="CO20" s="140"/>
      <c r="CP20" s="140"/>
      <c r="CQ20" s="140"/>
      <c r="CR20" s="140"/>
      <c r="CS20" s="140"/>
      <c r="CT20" s="140"/>
      <c r="CU20" s="165"/>
      <c r="CV20" s="140"/>
      <c r="CW20" s="140"/>
      <c r="CX20" s="140"/>
      <c r="CY20" s="140"/>
      <c r="CZ20" s="140"/>
      <c r="DA20" s="140"/>
      <c r="DB20" s="165"/>
      <c r="DC20" s="140"/>
      <c r="DD20" s="140"/>
      <c r="DE20" s="140"/>
      <c r="DF20" s="140"/>
      <c r="DG20" s="140"/>
      <c r="DH20" s="140"/>
      <c r="DI20" s="165"/>
      <c r="DJ20" s="140"/>
      <c r="DK20" s="140"/>
      <c r="DL20" s="140"/>
      <c r="DM20" s="140"/>
      <c r="DN20" s="140"/>
      <c r="DO20" s="140"/>
      <c r="DP20" s="165"/>
      <c r="DQ20" s="140"/>
      <c r="DR20" s="140"/>
      <c r="DS20" s="140"/>
      <c r="DT20" s="140"/>
      <c r="DU20" s="140"/>
      <c r="DV20" s="140"/>
      <c r="DW20" s="165"/>
      <c r="DX20" s="140"/>
      <c r="DY20" s="140"/>
      <c r="DZ20" s="140"/>
      <c r="EA20" s="140"/>
      <c r="EB20" s="140"/>
      <c r="EC20" s="140"/>
      <c r="ED20" s="165"/>
      <c r="EE20" s="140"/>
      <c r="EF20" s="140"/>
      <c r="EG20" s="140"/>
      <c r="EH20" s="140"/>
      <c r="EI20" s="140"/>
      <c r="EJ20" s="140"/>
      <c r="EK20" s="165"/>
      <c r="EL20" s="140"/>
      <c r="EM20" s="140"/>
      <c r="EN20" s="140"/>
      <c r="EO20" s="140"/>
      <c r="EP20" s="140"/>
      <c r="EQ20" s="140"/>
      <c r="ER20" s="165"/>
      <c r="ES20" s="140"/>
      <c r="ET20" s="140"/>
      <c r="EU20" s="140"/>
      <c r="EV20" s="140"/>
      <c r="EW20" s="140"/>
      <c r="EX20" s="140"/>
      <c r="EY20" s="165"/>
      <c r="EZ20" s="140"/>
      <c r="FA20" s="140"/>
      <c r="FB20" s="140"/>
      <c r="FC20" s="140"/>
      <c r="FD20" s="140"/>
      <c r="FE20" s="140"/>
      <c r="FF20" s="165"/>
      <c r="FG20" s="140"/>
      <c r="FH20" s="140"/>
      <c r="FI20" s="140"/>
      <c r="FJ20" s="140"/>
      <c r="FK20" s="140"/>
      <c r="FL20" s="140"/>
      <c r="FM20" s="165"/>
      <c r="FN20" s="140"/>
      <c r="FO20" s="140"/>
      <c r="FP20" s="140"/>
      <c r="FQ20" s="140"/>
      <c r="FR20" s="140"/>
      <c r="FS20" s="140"/>
      <c r="FT20" s="165"/>
      <c r="FU20" s="140"/>
      <c r="FV20" s="140"/>
      <c r="FW20" s="140"/>
      <c r="FX20" s="140"/>
      <c r="FY20" s="140"/>
      <c r="FZ20" s="140"/>
      <c r="GA20" s="165"/>
      <c r="GB20" s="140"/>
      <c r="GC20" s="140"/>
      <c r="GD20" s="140"/>
      <c r="GE20" s="140"/>
      <c r="GF20" s="140"/>
      <c r="GG20" s="140"/>
      <c r="GH20" s="165"/>
      <c r="GI20" s="140"/>
      <c r="GJ20" s="140"/>
      <c r="GK20" s="140"/>
      <c r="GL20" s="140"/>
      <c r="GM20" s="140"/>
      <c r="GN20" s="140"/>
      <c r="GO20" s="165"/>
      <c r="GP20" s="140"/>
      <c r="GQ20" s="140"/>
      <c r="GR20" s="140"/>
      <c r="GS20" s="140"/>
      <c r="GT20" s="140"/>
      <c r="GU20" s="140"/>
      <c r="GV20" s="165"/>
      <c r="GW20" s="140"/>
      <c r="GX20" s="140"/>
      <c r="GY20" s="140"/>
      <c r="GZ20" s="140"/>
      <c r="HA20" s="140"/>
      <c r="HB20" s="140"/>
      <c r="HC20" s="165"/>
      <c r="HD20" s="140"/>
      <c r="HE20" s="140"/>
      <c r="HF20" s="140"/>
      <c r="HG20" s="140"/>
      <c r="HH20" s="140"/>
      <c r="HI20" s="140"/>
      <c r="HJ20" s="165"/>
      <c r="HK20" s="140"/>
      <c r="HL20" s="140"/>
      <c r="HM20" s="140"/>
      <c r="HN20" s="140"/>
      <c r="HO20" s="140"/>
      <c r="HP20" s="140"/>
      <c r="HQ20" s="165"/>
      <c r="HR20" s="140"/>
      <c r="HS20" s="140"/>
      <c r="HT20" s="140"/>
      <c r="HU20" s="140"/>
      <c r="HV20" s="140"/>
      <c r="HW20" s="140"/>
      <c r="HX20" s="165"/>
      <c r="HY20" s="140"/>
      <c r="HZ20" s="140"/>
      <c r="IA20" s="140"/>
      <c r="IB20" s="140"/>
      <c r="IC20" s="140"/>
      <c r="ID20" s="140"/>
      <c r="IE20" s="165"/>
      <c r="IF20" s="140"/>
      <c r="IG20" s="140"/>
      <c r="IH20" s="140"/>
      <c r="II20" s="140"/>
      <c r="IJ20" s="140"/>
      <c r="IK20" s="140"/>
      <c r="IL20" s="165"/>
      <c r="IM20" s="140"/>
      <c r="IN20" s="140"/>
      <c r="IO20" s="140"/>
      <c r="IP20" s="140"/>
      <c r="IQ20" s="140"/>
      <c r="IR20" s="140"/>
      <c r="IS20" s="165"/>
      <c r="IT20" s="140"/>
      <c r="IU20" s="140"/>
      <c r="IV20" s="34"/>
    </row>
    <row r="21" spans="1:267" x14ac:dyDescent="0.25">
      <c r="A21" s="10" t="s">
        <v>116</v>
      </c>
      <c r="B21" s="19" t="s">
        <v>115</v>
      </c>
      <c r="C21" s="19" t="s">
        <v>243</v>
      </c>
      <c r="D21" s="19" t="s">
        <v>244</v>
      </c>
      <c r="E21" s="19" t="str">
        <f t="shared" si="6"/>
        <v>Melanie Götzhaber</v>
      </c>
      <c r="F21" s="19"/>
      <c r="G21" s="182" t="s">
        <v>787</v>
      </c>
      <c r="H21" s="56">
        <v>36872</v>
      </c>
      <c r="I21" s="176" t="str">
        <f t="shared" si="4"/>
        <v>MG</v>
      </c>
      <c r="J21" s="10" t="s">
        <v>793</v>
      </c>
      <c r="K21" s="10">
        <f t="shared" si="7"/>
        <v>1</v>
      </c>
      <c r="L21" s="192">
        <f t="shared" si="5"/>
        <v>4.7619047619047619</v>
      </c>
      <c r="M21" s="34"/>
      <c r="N21" s="34"/>
      <c r="O21" s="7"/>
      <c r="P21" s="34"/>
      <c r="Q21" s="34"/>
      <c r="R21" s="34"/>
      <c r="S21" s="34"/>
      <c r="T21" s="34"/>
      <c r="U21" s="34"/>
      <c r="V21" s="7"/>
      <c r="W21" s="34"/>
      <c r="X21" s="34"/>
      <c r="Y21" s="34"/>
      <c r="Z21" s="34"/>
      <c r="AA21" s="34"/>
      <c r="AB21" s="34"/>
      <c r="AC21" s="7"/>
      <c r="AD21" s="34"/>
      <c r="AE21" s="34"/>
      <c r="AF21" s="34"/>
      <c r="AG21" s="34"/>
      <c r="AH21" s="34"/>
      <c r="AI21" s="34"/>
      <c r="AJ21" s="7"/>
      <c r="AK21" s="34"/>
      <c r="AL21" s="34"/>
      <c r="AM21" s="34"/>
      <c r="AN21" s="34"/>
      <c r="AO21" s="34"/>
      <c r="AP21" s="34"/>
      <c r="AQ21" s="7"/>
      <c r="AR21" s="34"/>
      <c r="AS21" s="34"/>
      <c r="AT21" s="34"/>
      <c r="AU21" s="34"/>
      <c r="AV21" s="34">
        <v>1</v>
      </c>
      <c r="AW21" s="34"/>
      <c r="AX21" s="7"/>
      <c r="AY21" s="34"/>
      <c r="AZ21" s="34"/>
      <c r="BA21" s="34"/>
      <c r="BB21" s="34"/>
      <c r="BC21" s="34"/>
      <c r="BD21" s="34"/>
      <c r="BE21" s="7"/>
      <c r="BF21" s="34"/>
      <c r="BG21" s="34"/>
      <c r="BH21" s="34"/>
      <c r="BI21" s="34"/>
      <c r="BJ21" s="34"/>
      <c r="BK21" s="34"/>
      <c r="BL21" s="7"/>
      <c r="BM21" s="34"/>
      <c r="BN21" s="34"/>
      <c r="BO21" s="34"/>
      <c r="BP21" s="34"/>
      <c r="BQ21" s="34"/>
      <c r="BR21" s="34"/>
      <c r="BS21" s="7"/>
      <c r="BT21" s="34"/>
      <c r="BU21" s="34"/>
      <c r="BV21" s="34"/>
      <c r="BW21" s="34"/>
      <c r="BX21" s="34"/>
      <c r="BY21" s="34"/>
      <c r="BZ21" s="7"/>
      <c r="CA21" s="34"/>
      <c r="CB21" s="34"/>
      <c r="CC21" s="34"/>
      <c r="CD21" s="34"/>
      <c r="CE21" s="34"/>
      <c r="CF21" s="34"/>
      <c r="CG21" s="7"/>
      <c r="CH21" s="34"/>
      <c r="CI21" s="34"/>
      <c r="CJ21" s="34"/>
      <c r="CK21" s="34"/>
      <c r="CL21" s="34"/>
      <c r="CM21" s="34"/>
      <c r="CN21" s="7"/>
      <c r="CO21" s="34"/>
      <c r="CP21" s="34"/>
      <c r="CQ21" s="34"/>
      <c r="CR21" s="34"/>
      <c r="CS21" s="34"/>
      <c r="CT21" s="34"/>
      <c r="CU21" s="7"/>
      <c r="CV21" s="34"/>
      <c r="CW21" s="34"/>
      <c r="CX21" s="34"/>
      <c r="CY21" s="34"/>
      <c r="CZ21" s="34"/>
      <c r="DA21" s="34"/>
      <c r="DB21" s="7"/>
      <c r="DC21" s="34"/>
      <c r="DD21" s="34"/>
      <c r="DE21" s="34"/>
      <c r="DF21" s="34"/>
      <c r="DG21" s="34"/>
      <c r="DH21" s="34"/>
      <c r="DI21" s="7"/>
      <c r="DJ21" s="34"/>
      <c r="DK21" s="34"/>
      <c r="DL21" s="34"/>
      <c r="DM21" s="34"/>
      <c r="DN21" s="34"/>
      <c r="DO21" s="34"/>
      <c r="DP21" s="7"/>
      <c r="DQ21" s="34"/>
      <c r="DR21" s="34"/>
      <c r="DS21" s="34"/>
      <c r="DT21" s="34"/>
      <c r="DU21" s="34"/>
      <c r="DV21" s="34"/>
      <c r="DW21" s="7"/>
      <c r="DX21" s="34"/>
      <c r="DY21" s="34"/>
      <c r="DZ21" s="34"/>
      <c r="EA21" s="34"/>
      <c r="EB21" s="34"/>
      <c r="EC21" s="34"/>
      <c r="ED21" s="7"/>
      <c r="EE21" s="34"/>
      <c r="EF21" s="34"/>
      <c r="EG21" s="34"/>
      <c r="EH21" s="34"/>
      <c r="EI21" s="34"/>
      <c r="EJ21" s="34"/>
      <c r="EK21" s="7"/>
      <c r="EL21" s="34"/>
      <c r="EM21" s="34"/>
      <c r="EN21" s="34"/>
      <c r="EO21" s="34"/>
      <c r="EP21" s="34"/>
      <c r="EQ21" s="34"/>
      <c r="ER21" s="7"/>
      <c r="ES21" s="34"/>
      <c r="ET21" s="34"/>
      <c r="EU21" s="34"/>
      <c r="EV21" s="34"/>
      <c r="EW21" s="34"/>
      <c r="EX21" s="34"/>
      <c r="EY21" s="7"/>
      <c r="EZ21" s="34"/>
      <c r="FA21" s="34"/>
      <c r="FB21" s="34"/>
      <c r="FC21" s="34"/>
      <c r="FD21" s="34"/>
      <c r="FE21" s="34"/>
      <c r="FF21" s="7"/>
      <c r="FG21" s="34"/>
      <c r="FH21" s="34"/>
      <c r="FI21" s="34"/>
      <c r="FJ21" s="34"/>
      <c r="FK21" s="34"/>
      <c r="FL21" s="34"/>
      <c r="FM21" s="7"/>
      <c r="FN21" s="34"/>
      <c r="FO21" s="34"/>
      <c r="FP21" s="34"/>
      <c r="FQ21" s="34"/>
      <c r="FR21" s="34"/>
      <c r="FS21" s="34"/>
      <c r="FT21" s="7"/>
      <c r="FU21" s="34"/>
      <c r="FV21" s="34"/>
      <c r="FW21" s="34"/>
      <c r="FX21" s="34"/>
      <c r="FY21" s="34"/>
      <c r="FZ21" s="34"/>
      <c r="GA21" s="7"/>
      <c r="GB21" s="34"/>
      <c r="GC21" s="34"/>
      <c r="GD21" s="34"/>
      <c r="GE21" s="34"/>
      <c r="GF21" s="34"/>
      <c r="GG21" s="34"/>
      <c r="GH21" s="7"/>
      <c r="GI21" s="34"/>
      <c r="GJ21" s="34"/>
      <c r="GK21" s="34"/>
      <c r="GL21" s="34"/>
      <c r="GM21" s="34"/>
      <c r="GN21" s="34"/>
      <c r="GO21" s="7"/>
      <c r="GP21" s="34"/>
      <c r="GQ21" s="34"/>
      <c r="GR21" s="34"/>
      <c r="GS21" s="34"/>
      <c r="GT21" s="34"/>
      <c r="GU21" s="34"/>
      <c r="GV21" s="7"/>
      <c r="GW21" s="34"/>
      <c r="GX21" s="34"/>
      <c r="GY21" s="34"/>
      <c r="GZ21" s="34"/>
      <c r="HA21" s="34"/>
      <c r="HB21" s="34"/>
      <c r="HC21" s="7"/>
      <c r="HD21" s="34"/>
      <c r="HE21" s="34"/>
      <c r="HF21" s="34"/>
      <c r="HG21" s="34"/>
      <c r="HH21" s="34"/>
      <c r="HI21" s="34"/>
      <c r="HJ21" s="7"/>
      <c r="HK21" s="34"/>
      <c r="HL21" s="34"/>
      <c r="HM21" s="34"/>
      <c r="HN21" s="34"/>
      <c r="HO21" s="34"/>
      <c r="HP21" s="34"/>
      <c r="HQ21" s="7"/>
      <c r="HR21" s="34"/>
      <c r="HS21" s="34"/>
      <c r="HT21" s="34"/>
      <c r="HU21" s="34"/>
      <c r="HV21" s="34"/>
      <c r="HW21" s="34"/>
      <c r="HX21" s="7"/>
      <c r="HY21" s="34"/>
      <c r="HZ21" s="34"/>
      <c r="IA21" s="34"/>
      <c r="IB21" s="34"/>
      <c r="IC21" s="34"/>
      <c r="ID21" s="34"/>
      <c r="IE21" s="7"/>
      <c r="IF21" s="34"/>
      <c r="IG21" s="34"/>
      <c r="IH21" s="34"/>
      <c r="II21" s="34"/>
      <c r="IJ21" s="34"/>
      <c r="IK21" s="34"/>
      <c r="IL21" s="7"/>
      <c r="IM21" s="34"/>
      <c r="IN21" s="34"/>
      <c r="IO21" s="34"/>
      <c r="IP21" s="34"/>
      <c r="IQ21" s="34"/>
      <c r="IR21" s="34"/>
      <c r="IS21" s="7"/>
      <c r="IT21" s="34"/>
      <c r="IU21" s="34"/>
      <c r="IV21" s="34"/>
    </row>
    <row r="22" spans="1:267" ht="15.75" thickBot="1" x14ac:dyDescent="0.3">
      <c r="A22" s="10" t="s">
        <v>644</v>
      </c>
      <c r="B22" s="19" t="s">
        <v>23</v>
      </c>
      <c r="C22" s="19" t="s">
        <v>645</v>
      </c>
      <c r="D22" s="19" t="s">
        <v>646</v>
      </c>
      <c r="E22" s="19" t="str">
        <f t="shared" si="6"/>
        <v>Karl Gorton</v>
      </c>
      <c r="F22" s="19" t="s">
        <v>689</v>
      </c>
      <c r="G22" s="182" t="s">
        <v>716</v>
      </c>
      <c r="H22" s="56"/>
      <c r="I22" s="180" t="str">
        <f t="shared" si="4"/>
        <v>BG</v>
      </c>
      <c r="J22" s="10">
        <v>1</v>
      </c>
      <c r="K22" s="169">
        <f t="shared" si="7"/>
        <v>21</v>
      </c>
      <c r="L22" s="194">
        <f t="shared" si="5"/>
        <v>100</v>
      </c>
      <c r="M22" s="34"/>
      <c r="N22" s="34"/>
      <c r="O22" s="7"/>
      <c r="P22" s="34"/>
      <c r="Q22" s="34"/>
      <c r="R22" s="34"/>
      <c r="S22" s="34"/>
      <c r="T22" s="160"/>
      <c r="U22" s="171">
        <v>1</v>
      </c>
      <c r="V22" s="167"/>
      <c r="W22" s="171">
        <v>1</v>
      </c>
      <c r="X22" s="171">
        <v>1</v>
      </c>
      <c r="Y22" s="160"/>
      <c r="Z22" s="160">
        <v>1</v>
      </c>
      <c r="AA22" s="160">
        <v>1</v>
      </c>
      <c r="AB22" s="160"/>
      <c r="AC22" s="167"/>
      <c r="AD22" s="185">
        <v>1</v>
      </c>
      <c r="AE22" s="148">
        <v>1</v>
      </c>
      <c r="AF22" s="34"/>
      <c r="AG22" s="148">
        <v>1</v>
      </c>
      <c r="AH22" s="148">
        <v>1</v>
      </c>
      <c r="AI22" s="148">
        <v>1</v>
      </c>
      <c r="AJ22" s="7">
        <v>1</v>
      </c>
      <c r="AK22" s="148">
        <v>1</v>
      </c>
      <c r="AL22" s="148">
        <v>1</v>
      </c>
      <c r="AM22" s="34"/>
      <c r="AN22" s="148">
        <v>1</v>
      </c>
      <c r="AO22" s="148">
        <v>1</v>
      </c>
      <c r="AP22" s="148">
        <v>1</v>
      </c>
      <c r="AQ22" s="7">
        <v>1</v>
      </c>
      <c r="AR22" s="148">
        <v>1</v>
      </c>
      <c r="AS22" s="148">
        <v>1</v>
      </c>
      <c r="AT22" s="34"/>
      <c r="AU22" s="148">
        <v>1</v>
      </c>
      <c r="AV22" s="148">
        <v>1</v>
      </c>
      <c r="AW22" s="34"/>
      <c r="AX22" s="7"/>
      <c r="AY22" s="34"/>
      <c r="AZ22" s="34"/>
      <c r="BA22" s="34"/>
      <c r="BB22" s="34"/>
      <c r="BC22" s="34"/>
      <c r="BD22" s="34"/>
      <c r="BE22" s="7"/>
      <c r="BF22" s="34"/>
      <c r="BG22" s="34"/>
      <c r="BH22" s="34"/>
      <c r="BI22" s="34"/>
      <c r="BJ22" s="34"/>
      <c r="BK22" s="34"/>
      <c r="BL22" s="7"/>
      <c r="BM22" s="34"/>
      <c r="BN22" s="34"/>
      <c r="BO22" s="34"/>
      <c r="BP22" s="34"/>
      <c r="BQ22" s="34"/>
      <c r="BR22" s="34"/>
      <c r="BS22" s="7"/>
      <c r="BT22" s="34"/>
      <c r="BU22" s="34"/>
      <c r="BV22" s="34"/>
      <c r="BW22" s="34"/>
      <c r="BX22" s="34"/>
      <c r="BY22" s="34"/>
      <c r="BZ22" s="7"/>
      <c r="CA22" s="34"/>
      <c r="CB22" s="34"/>
      <c r="CC22" s="34"/>
      <c r="CD22" s="34"/>
      <c r="CE22" s="34"/>
      <c r="CF22" s="34"/>
      <c r="CG22" s="7"/>
      <c r="CH22" s="34"/>
      <c r="CI22" s="34"/>
      <c r="CJ22" s="34"/>
      <c r="CK22" s="34"/>
      <c r="CL22" s="34"/>
      <c r="CM22" s="34"/>
      <c r="CN22" s="7"/>
      <c r="CO22" s="34"/>
      <c r="CP22" s="34"/>
      <c r="CQ22" s="34"/>
      <c r="CR22" s="34"/>
      <c r="CS22" s="34"/>
      <c r="CT22" s="34"/>
      <c r="CU22" s="7"/>
      <c r="CV22" s="34"/>
      <c r="CW22" s="34"/>
      <c r="CX22" s="34"/>
      <c r="CY22" s="34"/>
      <c r="CZ22" s="34"/>
      <c r="DA22" s="34"/>
      <c r="DB22" s="7"/>
      <c r="DC22" s="34"/>
      <c r="DD22" s="34"/>
      <c r="DE22" s="34"/>
      <c r="DF22" s="34"/>
      <c r="DG22" s="34"/>
      <c r="DH22" s="34"/>
      <c r="DI22" s="7"/>
      <c r="DJ22" s="34"/>
      <c r="DK22" s="34"/>
      <c r="DL22" s="34"/>
      <c r="DM22" s="34"/>
      <c r="DN22" s="34"/>
      <c r="DO22" s="34"/>
      <c r="DP22" s="7"/>
      <c r="DQ22" s="34"/>
      <c r="DR22" s="34"/>
      <c r="DS22" s="34"/>
      <c r="DT22" s="34"/>
      <c r="DU22" s="34"/>
      <c r="DV22" s="34"/>
      <c r="DW22" s="7"/>
      <c r="DX22" s="34"/>
      <c r="DY22" s="34"/>
      <c r="DZ22" s="34"/>
      <c r="EA22" s="34"/>
      <c r="EB22" s="34"/>
      <c r="EC22" s="34"/>
      <c r="ED22" s="7"/>
      <c r="EE22" s="34"/>
      <c r="EF22" s="34"/>
      <c r="EG22" s="34"/>
      <c r="EH22" s="34"/>
      <c r="EI22" s="34"/>
      <c r="EJ22" s="34"/>
      <c r="EK22" s="7"/>
      <c r="EL22" s="34"/>
      <c r="EM22" s="34"/>
      <c r="EN22" s="34"/>
      <c r="EO22" s="34"/>
      <c r="EP22" s="34"/>
      <c r="EQ22" s="34"/>
      <c r="ER22" s="7"/>
      <c r="ES22" s="34"/>
      <c r="ET22" s="34"/>
      <c r="EU22" s="34"/>
      <c r="EV22" s="34"/>
      <c r="EW22" s="34"/>
      <c r="EX22" s="34"/>
      <c r="EY22" s="7"/>
      <c r="EZ22" s="34"/>
      <c r="FA22" s="34"/>
      <c r="FB22" s="34"/>
      <c r="FC22" s="34"/>
      <c r="FD22" s="34"/>
      <c r="FE22" s="34"/>
      <c r="FF22" s="7"/>
      <c r="FG22" s="34"/>
      <c r="FH22" s="34"/>
      <c r="FI22" s="34"/>
      <c r="FJ22" s="34"/>
      <c r="FK22" s="34"/>
      <c r="FL22" s="34"/>
      <c r="FM22" s="7"/>
      <c r="FN22" s="34"/>
      <c r="FO22" s="34"/>
      <c r="FP22" s="34"/>
      <c r="FQ22" s="34"/>
      <c r="FR22" s="34"/>
      <c r="FS22" s="34"/>
      <c r="FT22" s="7"/>
      <c r="FU22" s="34"/>
      <c r="FV22" s="34"/>
      <c r="FW22" s="34"/>
      <c r="FX22" s="34"/>
      <c r="FY22" s="34"/>
      <c r="FZ22" s="34"/>
      <c r="GA22" s="7"/>
      <c r="GB22" s="34"/>
      <c r="GC22" s="34"/>
      <c r="GD22" s="34"/>
      <c r="GE22" s="34"/>
      <c r="GF22" s="34"/>
      <c r="GG22" s="34"/>
      <c r="GH22" s="7"/>
      <c r="GI22" s="34"/>
      <c r="GJ22" s="34"/>
      <c r="GK22" s="34"/>
      <c r="GL22" s="34"/>
      <c r="GM22" s="34"/>
      <c r="GN22" s="34"/>
      <c r="GO22" s="7"/>
      <c r="GP22" s="34"/>
      <c r="GQ22" s="34"/>
      <c r="GR22" s="34"/>
      <c r="GS22" s="34"/>
      <c r="GT22" s="34"/>
      <c r="GU22" s="34"/>
      <c r="GV22" s="7"/>
      <c r="GW22" s="34"/>
      <c r="GX22" s="34"/>
      <c r="GY22" s="34"/>
      <c r="GZ22" s="34"/>
      <c r="HA22" s="34"/>
      <c r="HB22" s="34"/>
      <c r="HC22" s="7"/>
      <c r="HD22" s="34"/>
      <c r="HE22" s="34"/>
      <c r="HF22" s="34"/>
      <c r="HG22" s="34"/>
      <c r="HH22" s="34"/>
      <c r="HI22" s="34"/>
      <c r="HJ22" s="7"/>
      <c r="HK22" s="34"/>
      <c r="HL22" s="34"/>
      <c r="HM22" s="34"/>
      <c r="HN22" s="34"/>
      <c r="HO22" s="34"/>
      <c r="HP22" s="34"/>
      <c r="HQ22" s="7"/>
      <c r="HR22" s="34"/>
      <c r="HS22" s="34"/>
      <c r="HT22" s="34"/>
      <c r="HU22" s="34"/>
      <c r="HV22" s="34"/>
      <c r="HW22" s="34"/>
      <c r="HX22" s="7"/>
      <c r="HY22" s="34"/>
      <c r="HZ22" s="34"/>
      <c r="IA22" s="34"/>
      <c r="IB22" s="34"/>
      <c r="IC22" s="34"/>
      <c r="ID22" s="34"/>
      <c r="IE22" s="7"/>
      <c r="IF22" s="34"/>
      <c r="IG22" s="34"/>
      <c r="IH22" s="34"/>
      <c r="II22" s="34"/>
      <c r="IJ22" s="34"/>
      <c r="IK22" s="34"/>
      <c r="IL22" s="7"/>
      <c r="IM22" s="34"/>
      <c r="IN22" s="34"/>
      <c r="IO22" s="34"/>
      <c r="IP22" s="34"/>
      <c r="IQ22" s="34"/>
      <c r="IR22" s="34"/>
      <c r="IS22" s="7"/>
      <c r="IT22" s="34"/>
      <c r="IU22" s="34"/>
      <c r="IV22" s="34"/>
    </row>
    <row r="23" spans="1:267" x14ac:dyDescent="0.25">
      <c r="A23" s="207" t="s">
        <v>647</v>
      </c>
      <c r="B23" s="208"/>
      <c r="C23" s="208"/>
      <c r="D23" s="208"/>
      <c r="E23" s="208"/>
      <c r="F23" s="208"/>
      <c r="G23" s="208"/>
      <c r="H23" s="209"/>
      <c r="I23" s="181" t="str">
        <f>"#1|" &amp; A23</f>
        <v>#1|Spielerinnen</v>
      </c>
      <c r="J23" s="177"/>
      <c r="K23" s="188">
        <f>SUM(K3:K19) / (17)</f>
        <v>18.529411764705884</v>
      </c>
      <c r="L23" s="187">
        <f t="shared" si="5"/>
        <v>88.235294117647072</v>
      </c>
      <c r="M23" s="150">
        <v>12</v>
      </c>
      <c r="N23" s="150">
        <v>7</v>
      </c>
      <c r="O23" s="166"/>
      <c r="P23" s="186" t="str">
        <f>IF(SUM(P3:P19) &gt; 0, SUM(P3:P19), "")</f>
        <v/>
      </c>
      <c r="Q23" s="150" t="str">
        <f t="shared" ref="Q23:V23" si="8">IF(SUM(Q3:Q19) &gt; 0, SUM(Q3:Q19), "")</f>
        <v/>
      </c>
      <c r="R23" s="150" t="str">
        <f t="shared" si="8"/>
        <v/>
      </c>
      <c r="S23" s="150" t="str">
        <f t="shared" si="8"/>
        <v/>
      </c>
      <c r="T23" s="150" t="str">
        <f t="shared" si="8"/>
        <v/>
      </c>
      <c r="U23" s="150">
        <f t="shared" si="8"/>
        <v>15</v>
      </c>
      <c r="V23" s="166" t="str">
        <f t="shared" si="8"/>
        <v/>
      </c>
      <c r="W23" s="186">
        <f>IF(SUM(W3:W19) &gt; 0, SUM(W3:W19), "")</f>
        <v>12</v>
      </c>
      <c r="X23" s="150">
        <f t="shared" ref="X23:AC23" si="9">IF(SUM(X3:X19) &gt; 0, SUM(X3:X19), "")</f>
        <v>14</v>
      </c>
      <c r="Y23" s="150" t="str">
        <f t="shared" si="9"/>
        <v/>
      </c>
      <c r="Z23" s="150">
        <f t="shared" si="9"/>
        <v>13</v>
      </c>
      <c r="AA23" s="150">
        <f t="shared" si="9"/>
        <v>15</v>
      </c>
      <c r="AB23" s="150" t="str">
        <f t="shared" si="9"/>
        <v/>
      </c>
      <c r="AC23" s="166" t="str">
        <f t="shared" si="9"/>
        <v/>
      </c>
      <c r="AD23" s="186">
        <f>IF(SUM(AD3:AD19) &gt; 0, SUM(AD3:AD19), "")</f>
        <v>17</v>
      </c>
      <c r="AE23" s="150">
        <f t="shared" ref="AE23:AJ23" si="10">IF(SUM(AE3:AE19) &gt; 0, SUM(AE3:AE19), "")</f>
        <v>14</v>
      </c>
      <c r="AF23" s="150" t="str">
        <f t="shared" si="10"/>
        <v/>
      </c>
      <c r="AG23" s="150">
        <f t="shared" si="10"/>
        <v>13</v>
      </c>
      <c r="AH23" s="150">
        <f t="shared" si="10"/>
        <v>15</v>
      </c>
      <c r="AI23" s="150">
        <f t="shared" si="10"/>
        <v>17</v>
      </c>
      <c r="AJ23" s="166">
        <f t="shared" si="10"/>
        <v>17</v>
      </c>
      <c r="AK23" s="186">
        <f>IF(SUM(AK3:AK19) &gt; 0, SUM(AK3:AK19), "")</f>
        <v>16</v>
      </c>
      <c r="AL23" s="150">
        <f t="shared" ref="AL23:AQ23" si="11">IF(SUM(AL3:AL19) &gt; 0, SUM(AL3:AL19), "")</f>
        <v>17</v>
      </c>
      <c r="AM23" s="150" t="str">
        <f t="shared" si="11"/>
        <v/>
      </c>
      <c r="AN23" s="150">
        <f t="shared" si="11"/>
        <v>15</v>
      </c>
      <c r="AO23" s="150">
        <f t="shared" si="11"/>
        <v>13</v>
      </c>
      <c r="AP23" s="150">
        <f t="shared" si="11"/>
        <v>17</v>
      </c>
      <c r="AQ23" s="166">
        <f t="shared" si="11"/>
        <v>14</v>
      </c>
      <c r="AR23" s="186">
        <f>IF(SUM(AR3:AR19) &gt; 0, SUM(AR3:AR19), "")</f>
        <v>14</v>
      </c>
      <c r="AS23" s="150">
        <f t="shared" ref="AS23:AX23" si="12">IF(SUM(AS3:AS19) &gt; 0, SUM(AS3:AS19), "")</f>
        <v>16</v>
      </c>
      <c r="AT23" s="150" t="str">
        <f t="shared" si="12"/>
        <v/>
      </c>
      <c r="AU23" s="150">
        <f t="shared" si="12"/>
        <v>16</v>
      </c>
      <c r="AV23" s="150">
        <f t="shared" si="12"/>
        <v>15</v>
      </c>
      <c r="AW23" s="150" t="str">
        <f t="shared" si="12"/>
        <v/>
      </c>
      <c r="AX23" s="166" t="str">
        <f t="shared" si="12"/>
        <v/>
      </c>
      <c r="AY23" s="186" t="str">
        <f>IF(SUM(AY3:AY19) &gt; 0, SUM(AY3:AY19), "")</f>
        <v/>
      </c>
      <c r="AZ23" s="150" t="str">
        <f t="shared" ref="AZ23:BE23" si="13">IF(SUM(AZ3:AZ19) &gt; 0, SUM(AZ3:AZ19), "")</f>
        <v/>
      </c>
      <c r="BA23" s="150" t="str">
        <f t="shared" si="13"/>
        <v/>
      </c>
      <c r="BB23" s="150" t="str">
        <f t="shared" si="13"/>
        <v/>
      </c>
      <c r="BC23" s="150" t="str">
        <f t="shared" si="13"/>
        <v/>
      </c>
      <c r="BD23" s="150" t="str">
        <f t="shared" si="13"/>
        <v/>
      </c>
      <c r="BE23" s="166" t="str">
        <f t="shared" si="13"/>
        <v/>
      </c>
      <c r="BF23" s="186" t="str">
        <f>IF(SUM(BF3:BF19) &gt; 0, SUM(BF3:BF19), "")</f>
        <v/>
      </c>
      <c r="BG23" s="150" t="str">
        <f t="shared" ref="BG23:BL23" si="14">IF(SUM(BG3:BG19) &gt; 0, SUM(BG3:BG19), "")</f>
        <v/>
      </c>
      <c r="BH23" s="150" t="str">
        <f t="shared" si="14"/>
        <v/>
      </c>
      <c r="BI23" s="150" t="str">
        <f t="shared" si="14"/>
        <v/>
      </c>
      <c r="BJ23" s="150" t="str">
        <f t="shared" si="14"/>
        <v/>
      </c>
      <c r="BK23" s="150" t="str">
        <f t="shared" si="14"/>
        <v/>
      </c>
      <c r="BL23" s="166" t="str">
        <f t="shared" si="14"/>
        <v/>
      </c>
      <c r="BM23" s="186" t="str">
        <f>IF(SUM(BM3:BM19) &gt; 0, SUM(BM3:BM19), "")</f>
        <v/>
      </c>
      <c r="BN23" s="150" t="str">
        <f t="shared" ref="BN23:BS23" si="15">IF(SUM(BN3:BN19) &gt; 0, SUM(BN3:BN19), "")</f>
        <v/>
      </c>
      <c r="BO23" s="150" t="str">
        <f t="shared" si="15"/>
        <v/>
      </c>
      <c r="BP23" s="150" t="str">
        <f t="shared" si="15"/>
        <v/>
      </c>
      <c r="BQ23" s="150" t="str">
        <f t="shared" si="15"/>
        <v/>
      </c>
      <c r="BR23" s="150" t="str">
        <f t="shared" si="15"/>
        <v/>
      </c>
      <c r="BS23" s="166" t="str">
        <f t="shared" si="15"/>
        <v/>
      </c>
      <c r="BT23" s="186" t="str">
        <f>IF(SUM(BT3:BT19) &gt; 0, SUM(BT3:BT19), "")</f>
        <v/>
      </c>
      <c r="BU23" s="150" t="str">
        <f t="shared" ref="BU23:BZ23" si="16">IF(SUM(BU3:BU19) &gt; 0, SUM(BU3:BU19), "")</f>
        <v/>
      </c>
      <c r="BV23" s="150" t="str">
        <f t="shared" si="16"/>
        <v/>
      </c>
      <c r="BW23" s="150" t="str">
        <f t="shared" si="16"/>
        <v/>
      </c>
      <c r="BX23" s="150" t="str">
        <f t="shared" si="16"/>
        <v/>
      </c>
      <c r="BY23" s="150" t="str">
        <f t="shared" si="16"/>
        <v/>
      </c>
      <c r="BZ23" s="166" t="str">
        <f t="shared" si="16"/>
        <v/>
      </c>
      <c r="CA23" s="186" t="str">
        <f>IF(SUM(CA3:CA19) &gt; 0, SUM(CA3:CA19), "")</f>
        <v/>
      </c>
      <c r="CB23" s="150" t="str">
        <f t="shared" ref="CB23:CG23" si="17">IF(SUM(CB3:CB19) &gt; 0, SUM(CB3:CB19), "")</f>
        <v/>
      </c>
      <c r="CC23" s="150" t="str">
        <f t="shared" si="17"/>
        <v/>
      </c>
      <c r="CD23" s="150" t="str">
        <f t="shared" si="17"/>
        <v/>
      </c>
      <c r="CE23" s="150" t="str">
        <f t="shared" si="17"/>
        <v/>
      </c>
      <c r="CF23" s="150" t="str">
        <f t="shared" si="17"/>
        <v/>
      </c>
      <c r="CG23" s="166" t="str">
        <f t="shared" si="17"/>
        <v/>
      </c>
      <c r="CH23" s="186" t="str">
        <f>IF(SUM(CH3:CH19) &gt; 0, SUM(CH3:CH19), "")</f>
        <v/>
      </c>
      <c r="CI23" s="150" t="str">
        <f t="shared" ref="CI23:CN23" si="18">IF(SUM(CI3:CI19) &gt; 0, SUM(CI3:CI19), "")</f>
        <v/>
      </c>
      <c r="CJ23" s="150" t="str">
        <f t="shared" si="18"/>
        <v/>
      </c>
      <c r="CK23" s="150" t="str">
        <f t="shared" si="18"/>
        <v/>
      </c>
      <c r="CL23" s="150" t="str">
        <f t="shared" si="18"/>
        <v/>
      </c>
      <c r="CM23" s="150" t="str">
        <f t="shared" si="18"/>
        <v/>
      </c>
      <c r="CN23" s="166" t="str">
        <f t="shared" si="18"/>
        <v/>
      </c>
      <c r="CO23" s="186" t="str">
        <f>IF(SUM(CO3:CO19) &gt; 0, SUM(CO3:CO19), "")</f>
        <v/>
      </c>
      <c r="CP23" s="150" t="str">
        <f t="shared" ref="CP23:CU23" si="19">IF(SUM(CP3:CP19) &gt; 0, SUM(CP3:CP19), "")</f>
        <v/>
      </c>
      <c r="CQ23" s="150" t="str">
        <f t="shared" si="19"/>
        <v/>
      </c>
      <c r="CR23" s="150" t="str">
        <f t="shared" si="19"/>
        <v/>
      </c>
      <c r="CS23" s="150" t="str">
        <f t="shared" si="19"/>
        <v/>
      </c>
      <c r="CT23" s="150" t="str">
        <f t="shared" si="19"/>
        <v/>
      </c>
      <c r="CU23" s="166" t="str">
        <f t="shared" si="19"/>
        <v/>
      </c>
      <c r="CV23" s="186" t="str">
        <f>IF(SUM(CV3:CV19) &gt; 0, SUM(CV3:CV19), "")</f>
        <v/>
      </c>
      <c r="CW23" s="150" t="str">
        <f t="shared" ref="CW23:DB23" si="20">IF(SUM(CW3:CW19) &gt; 0, SUM(CW3:CW19), "")</f>
        <v/>
      </c>
      <c r="CX23" s="150" t="str">
        <f t="shared" si="20"/>
        <v/>
      </c>
      <c r="CY23" s="150" t="str">
        <f t="shared" si="20"/>
        <v/>
      </c>
      <c r="CZ23" s="150" t="str">
        <f t="shared" si="20"/>
        <v/>
      </c>
      <c r="DA23" s="150" t="str">
        <f t="shared" si="20"/>
        <v/>
      </c>
      <c r="DB23" s="166" t="str">
        <f t="shared" si="20"/>
        <v/>
      </c>
      <c r="DC23" s="186" t="str">
        <f>IF(SUM(DC3:DC19) &gt; 0, SUM(DC3:DC19), "")</f>
        <v/>
      </c>
      <c r="DD23" s="150" t="str">
        <f t="shared" ref="DD23:DI23" si="21">IF(SUM(DD3:DD19) &gt; 0, SUM(DD3:DD19), "")</f>
        <v/>
      </c>
      <c r="DE23" s="150" t="str">
        <f t="shared" si="21"/>
        <v/>
      </c>
      <c r="DF23" s="150" t="str">
        <f t="shared" si="21"/>
        <v/>
      </c>
      <c r="DG23" s="150" t="str">
        <f t="shared" si="21"/>
        <v/>
      </c>
      <c r="DH23" s="150" t="str">
        <f t="shared" si="21"/>
        <v/>
      </c>
      <c r="DI23" s="166" t="str">
        <f t="shared" si="21"/>
        <v/>
      </c>
      <c r="DJ23" s="186" t="str">
        <f>IF(SUM(DJ3:DJ19) &gt; 0, SUM(DJ3:DJ19), "")</f>
        <v/>
      </c>
      <c r="DK23" s="150" t="str">
        <f t="shared" ref="DK23:DP23" si="22">IF(SUM(DK3:DK19) &gt; 0, SUM(DK3:DK19), "")</f>
        <v/>
      </c>
      <c r="DL23" s="150" t="str">
        <f t="shared" si="22"/>
        <v/>
      </c>
      <c r="DM23" s="150" t="str">
        <f t="shared" si="22"/>
        <v/>
      </c>
      <c r="DN23" s="150" t="str">
        <f t="shared" si="22"/>
        <v/>
      </c>
      <c r="DO23" s="150" t="str">
        <f t="shared" si="22"/>
        <v/>
      </c>
      <c r="DP23" s="166" t="str">
        <f t="shared" si="22"/>
        <v/>
      </c>
      <c r="DQ23" s="186" t="str">
        <f>IF(SUM(DQ3:DQ19) &gt; 0, SUM(DQ3:DQ19), "")</f>
        <v/>
      </c>
      <c r="DR23" s="150" t="str">
        <f t="shared" ref="DR23:DW23" si="23">IF(SUM(DR3:DR19) &gt; 0, SUM(DR3:DR19), "")</f>
        <v/>
      </c>
      <c r="DS23" s="150" t="str">
        <f t="shared" si="23"/>
        <v/>
      </c>
      <c r="DT23" s="150" t="str">
        <f t="shared" si="23"/>
        <v/>
      </c>
      <c r="DU23" s="150" t="str">
        <f t="shared" si="23"/>
        <v/>
      </c>
      <c r="DV23" s="150" t="str">
        <f t="shared" si="23"/>
        <v/>
      </c>
      <c r="DW23" s="166" t="str">
        <f t="shared" si="23"/>
        <v/>
      </c>
      <c r="DX23" s="186" t="str">
        <f>IF(SUM(DX3:DX19) &gt; 0, SUM(DX3:DX19), "")</f>
        <v/>
      </c>
      <c r="DY23" s="150" t="str">
        <f t="shared" ref="DY23:ED23" si="24">IF(SUM(DY3:DY19) &gt; 0, SUM(DY3:DY19), "")</f>
        <v/>
      </c>
      <c r="DZ23" s="150" t="str">
        <f t="shared" si="24"/>
        <v/>
      </c>
      <c r="EA23" s="150" t="str">
        <f t="shared" si="24"/>
        <v/>
      </c>
      <c r="EB23" s="150" t="str">
        <f t="shared" si="24"/>
        <v/>
      </c>
      <c r="EC23" s="150" t="str">
        <f t="shared" si="24"/>
        <v/>
      </c>
      <c r="ED23" s="166" t="str">
        <f t="shared" si="24"/>
        <v/>
      </c>
      <c r="EE23" s="186" t="str">
        <f>IF(SUM(EE3:EE19) &gt; 0, SUM(EE3:EE19), "")</f>
        <v/>
      </c>
      <c r="EF23" s="150" t="str">
        <f t="shared" ref="EF23:EK23" si="25">IF(SUM(EF3:EF19) &gt; 0, SUM(EF3:EF19), "")</f>
        <v/>
      </c>
      <c r="EG23" s="150" t="str">
        <f t="shared" si="25"/>
        <v/>
      </c>
      <c r="EH23" s="150" t="str">
        <f t="shared" si="25"/>
        <v/>
      </c>
      <c r="EI23" s="150" t="str">
        <f t="shared" si="25"/>
        <v/>
      </c>
      <c r="EJ23" s="150" t="str">
        <f t="shared" si="25"/>
        <v/>
      </c>
      <c r="EK23" s="166" t="str">
        <f t="shared" si="25"/>
        <v/>
      </c>
      <c r="EL23" s="186" t="str">
        <f>IF(SUM(EL3:EL19) &gt; 0, SUM(EL3:EL19), "")</f>
        <v/>
      </c>
      <c r="EM23" s="150" t="str">
        <f t="shared" ref="EM23:ER23" si="26">IF(SUM(EM3:EM19) &gt; 0, SUM(EM3:EM19), "")</f>
        <v/>
      </c>
      <c r="EN23" s="150" t="str">
        <f t="shared" si="26"/>
        <v/>
      </c>
      <c r="EO23" s="150" t="str">
        <f t="shared" si="26"/>
        <v/>
      </c>
      <c r="EP23" s="150" t="str">
        <f t="shared" si="26"/>
        <v/>
      </c>
      <c r="EQ23" s="150" t="str">
        <f t="shared" si="26"/>
        <v/>
      </c>
      <c r="ER23" s="166" t="str">
        <f t="shared" si="26"/>
        <v/>
      </c>
      <c r="ES23" s="186" t="str">
        <f>IF(SUM(ES3:ES19) &gt; 0, SUM(ES3:ES19), "")</f>
        <v/>
      </c>
      <c r="ET23" s="150" t="str">
        <f t="shared" ref="ET23:EY23" si="27">IF(SUM(ET3:ET19) &gt; 0, SUM(ET3:ET19), "")</f>
        <v/>
      </c>
      <c r="EU23" s="150" t="str">
        <f t="shared" si="27"/>
        <v/>
      </c>
      <c r="EV23" s="150" t="str">
        <f t="shared" si="27"/>
        <v/>
      </c>
      <c r="EW23" s="150" t="str">
        <f t="shared" si="27"/>
        <v/>
      </c>
      <c r="EX23" s="150" t="str">
        <f t="shared" si="27"/>
        <v/>
      </c>
      <c r="EY23" s="166" t="str">
        <f t="shared" si="27"/>
        <v/>
      </c>
      <c r="EZ23" s="186" t="str">
        <f>IF(SUM(EZ3:EZ19) &gt; 0, SUM(EZ3:EZ19), "")</f>
        <v/>
      </c>
      <c r="FA23" s="150" t="str">
        <f t="shared" ref="FA23:FF23" si="28">IF(SUM(FA3:FA19) &gt; 0, SUM(FA3:FA19), "")</f>
        <v/>
      </c>
      <c r="FB23" s="150" t="str">
        <f t="shared" si="28"/>
        <v/>
      </c>
      <c r="FC23" s="150" t="str">
        <f t="shared" si="28"/>
        <v/>
      </c>
      <c r="FD23" s="150" t="str">
        <f t="shared" si="28"/>
        <v/>
      </c>
      <c r="FE23" s="150" t="str">
        <f t="shared" si="28"/>
        <v/>
      </c>
      <c r="FF23" s="166" t="str">
        <f t="shared" si="28"/>
        <v/>
      </c>
      <c r="FG23" s="186" t="str">
        <f>IF(SUM(FG3:FG19) &gt; 0, SUM(FG3:FG19), "")</f>
        <v/>
      </c>
      <c r="FH23" s="150" t="str">
        <f t="shared" ref="FH23:FM23" si="29">IF(SUM(FH3:FH19) &gt; 0, SUM(FH3:FH19), "")</f>
        <v/>
      </c>
      <c r="FI23" s="150" t="str">
        <f t="shared" si="29"/>
        <v/>
      </c>
      <c r="FJ23" s="150" t="str">
        <f t="shared" si="29"/>
        <v/>
      </c>
      <c r="FK23" s="150" t="str">
        <f t="shared" si="29"/>
        <v/>
      </c>
      <c r="FL23" s="150" t="str">
        <f t="shared" si="29"/>
        <v/>
      </c>
      <c r="FM23" s="166" t="str">
        <f t="shared" si="29"/>
        <v/>
      </c>
      <c r="FN23" s="186" t="str">
        <f>IF(SUM(FN3:FN19) &gt; 0, SUM(FN3:FN19), "")</f>
        <v/>
      </c>
      <c r="FO23" s="150" t="str">
        <f t="shared" ref="FO23:FT23" si="30">IF(SUM(FO3:FO19) &gt; 0, SUM(FO3:FO19), "")</f>
        <v/>
      </c>
      <c r="FP23" s="150" t="str">
        <f t="shared" si="30"/>
        <v/>
      </c>
      <c r="FQ23" s="150" t="str">
        <f t="shared" si="30"/>
        <v/>
      </c>
      <c r="FR23" s="150" t="str">
        <f t="shared" si="30"/>
        <v/>
      </c>
      <c r="FS23" s="150" t="str">
        <f t="shared" si="30"/>
        <v/>
      </c>
      <c r="FT23" s="166" t="str">
        <f t="shared" si="30"/>
        <v/>
      </c>
      <c r="FU23" s="186" t="str">
        <f>IF(SUM(FU3:FU19) &gt; 0, SUM(FU3:FU19), "")</f>
        <v/>
      </c>
      <c r="FV23" s="150" t="str">
        <f t="shared" ref="FV23:GA23" si="31">IF(SUM(FV3:FV19) &gt; 0, SUM(FV3:FV19), "")</f>
        <v/>
      </c>
      <c r="FW23" s="150" t="str">
        <f t="shared" si="31"/>
        <v/>
      </c>
      <c r="FX23" s="150" t="str">
        <f t="shared" si="31"/>
        <v/>
      </c>
      <c r="FY23" s="150" t="str">
        <f t="shared" si="31"/>
        <v/>
      </c>
      <c r="FZ23" s="150" t="str">
        <f t="shared" si="31"/>
        <v/>
      </c>
      <c r="GA23" s="166" t="str">
        <f t="shared" si="31"/>
        <v/>
      </c>
      <c r="GB23" s="186" t="str">
        <f>IF(SUM(GB3:GB19) &gt; 0, SUM(GB3:GB19), "")</f>
        <v/>
      </c>
      <c r="GC23" s="150" t="str">
        <f t="shared" ref="GC23:GH23" si="32">IF(SUM(GC3:GC19) &gt; 0, SUM(GC3:GC19), "")</f>
        <v/>
      </c>
      <c r="GD23" s="150" t="str">
        <f t="shared" si="32"/>
        <v/>
      </c>
      <c r="GE23" s="150" t="str">
        <f t="shared" si="32"/>
        <v/>
      </c>
      <c r="GF23" s="150" t="str">
        <f t="shared" si="32"/>
        <v/>
      </c>
      <c r="GG23" s="150" t="str">
        <f t="shared" si="32"/>
        <v/>
      </c>
      <c r="GH23" s="166" t="str">
        <f t="shared" si="32"/>
        <v/>
      </c>
      <c r="GI23" s="186" t="str">
        <f>IF(SUM(GI3:GI19) &gt; 0, SUM(GI3:GI19), "")</f>
        <v/>
      </c>
      <c r="GJ23" s="150" t="str">
        <f t="shared" ref="GJ23:GO23" si="33">IF(SUM(GJ3:GJ19) &gt; 0, SUM(GJ3:GJ19), "")</f>
        <v/>
      </c>
      <c r="GK23" s="150" t="str">
        <f t="shared" si="33"/>
        <v/>
      </c>
      <c r="GL23" s="150" t="str">
        <f t="shared" si="33"/>
        <v/>
      </c>
      <c r="GM23" s="150" t="str">
        <f t="shared" si="33"/>
        <v/>
      </c>
      <c r="GN23" s="150" t="str">
        <f t="shared" si="33"/>
        <v/>
      </c>
      <c r="GO23" s="166" t="str">
        <f t="shared" si="33"/>
        <v/>
      </c>
      <c r="GP23" s="186" t="str">
        <f>IF(SUM(GP3:GP19) &gt; 0, SUM(GP3:GP19), "")</f>
        <v/>
      </c>
      <c r="GQ23" s="150" t="str">
        <f t="shared" ref="GQ23:GV23" si="34">IF(SUM(GQ3:GQ19) &gt; 0, SUM(GQ3:GQ19), "")</f>
        <v/>
      </c>
      <c r="GR23" s="150" t="str">
        <f t="shared" si="34"/>
        <v/>
      </c>
      <c r="GS23" s="150" t="str">
        <f t="shared" si="34"/>
        <v/>
      </c>
      <c r="GT23" s="150" t="str">
        <f t="shared" si="34"/>
        <v/>
      </c>
      <c r="GU23" s="150" t="str">
        <f t="shared" si="34"/>
        <v/>
      </c>
      <c r="GV23" s="166" t="str">
        <f t="shared" si="34"/>
        <v/>
      </c>
      <c r="GW23" s="186" t="str">
        <f>IF(SUM(GW3:GW19) &gt; 0, SUM(GW3:GW19), "")</f>
        <v/>
      </c>
      <c r="GX23" s="150" t="str">
        <f t="shared" ref="GX23:HC23" si="35">IF(SUM(GX3:GX19) &gt; 0, SUM(GX3:GX19), "")</f>
        <v/>
      </c>
      <c r="GY23" s="150" t="str">
        <f t="shared" si="35"/>
        <v/>
      </c>
      <c r="GZ23" s="150" t="str">
        <f t="shared" si="35"/>
        <v/>
      </c>
      <c r="HA23" s="150" t="str">
        <f t="shared" si="35"/>
        <v/>
      </c>
      <c r="HB23" s="150" t="str">
        <f t="shared" si="35"/>
        <v/>
      </c>
      <c r="HC23" s="166" t="str">
        <f t="shared" si="35"/>
        <v/>
      </c>
      <c r="HD23" s="186" t="str">
        <f>IF(SUM(HD3:HD19) &gt; 0, SUM(HD3:HD19), "")</f>
        <v/>
      </c>
      <c r="HE23" s="150" t="str">
        <f t="shared" ref="HE23:HJ23" si="36">IF(SUM(HE3:HE19) &gt; 0, SUM(HE3:HE19), "")</f>
        <v/>
      </c>
      <c r="HF23" s="150" t="str">
        <f t="shared" si="36"/>
        <v/>
      </c>
      <c r="HG23" s="150" t="str">
        <f t="shared" si="36"/>
        <v/>
      </c>
      <c r="HH23" s="150" t="str">
        <f t="shared" si="36"/>
        <v/>
      </c>
      <c r="HI23" s="150" t="str">
        <f t="shared" si="36"/>
        <v/>
      </c>
      <c r="HJ23" s="166" t="str">
        <f t="shared" si="36"/>
        <v/>
      </c>
      <c r="HK23" s="186" t="str">
        <f>IF(SUM(HK3:HK19) &gt; 0, SUM(HK3:HK19), "")</f>
        <v/>
      </c>
      <c r="HL23" s="150" t="str">
        <f t="shared" ref="HL23:HQ23" si="37">IF(SUM(HL3:HL19) &gt; 0, SUM(HL3:HL19), "")</f>
        <v/>
      </c>
      <c r="HM23" s="150" t="str">
        <f t="shared" si="37"/>
        <v/>
      </c>
      <c r="HN23" s="150" t="str">
        <f t="shared" si="37"/>
        <v/>
      </c>
      <c r="HO23" s="150" t="str">
        <f t="shared" si="37"/>
        <v/>
      </c>
      <c r="HP23" s="150" t="str">
        <f t="shared" si="37"/>
        <v/>
      </c>
      <c r="HQ23" s="166" t="str">
        <f t="shared" si="37"/>
        <v/>
      </c>
      <c r="HR23" s="186" t="str">
        <f>IF(SUM(HR3:HR19) &gt; 0, SUM(HR3:HR19), "")</f>
        <v/>
      </c>
      <c r="HS23" s="150" t="str">
        <f t="shared" ref="HS23:HX23" si="38">IF(SUM(HS3:HS19) &gt; 0, SUM(HS3:HS19), "")</f>
        <v/>
      </c>
      <c r="HT23" s="150" t="str">
        <f t="shared" si="38"/>
        <v/>
      </c>
      <c r="HU23" s="150" t="str">
        <f t="shared" si="38"/>
        <v/>
      </c>
      <c r="HV23" s="150" t="str">
        <f t="shared" si="38"/>
        <v/>
      </c>
      <c r="HW23" s="150" t="str">
        <f t="shared" si="38"/>
        <v/>
      </c>
      <c r="HX23" s="166" t="str">
        <f t="shared" si="38"/>
        <v/>
      </c>
      <c r="HY23" s="186" t="str">
        <f>IF(SUM(HY3:HY19) &gt; 0, SUM(HY3:HY19), "")</f>
        <v/>
      </c>
      <c r="HZ23" s="150" t="str">
        <f t="shared" ref="HZ23:IE23" si="39">IF(SUM(HZ3:HZ19) &gt; 0, SUM(HZ3:HZ19), "")</f>
        <v/>
      </c>
      <c r="IA23" s="150" t="str">
        <f t="shared" si="39"/>
        <v/>
      </c>
      <c r="IB23" s="150" t="str">
        <f t="shared" si="39"/>
        <v/>
      </c>
      <c r="IC23" s="150" t="str">
        <f t="shared" si="39"/>
        <v/>
      </c>
      <c r="ID23" s="150" t="str">
        <f t="shared" si="39"/>
        <v/>
      </c>
      <c r="IE23" s="166" t="str">
        <f t="shared" si="39"/>
        <v/>
      </c>
      <c r="IF23" s="186" t="str">
        <f>IF(SUM(IF3:IF19) &gt; 0, SUM(IF3:IF19), "")</f>
        <v/>
      </c>
      <c r="IG23" s="150" t="str">
        <f t="shared" ref="IG23:IL23" si="40">IF(SUM(IG3:IG19) &gt; 0, SUM(IG3:IG19), "")</f>
        <v/>
      </c>
      <c r="IH23" s="150" t="str">
        <f t="shared" si="40"/>
        <v/>
      </c>
      <c r="II23" s="150" t="str">
        <f t="shared" si="40"/>
        <v/>
      </c>
      <c r="IJ23" s="150" t="str">
        <f t="shared" si="40"/>
        <v/>
      </c>
      <c r="IK23" s="150" t="str">
        <f t="shared" si="40"/>
        <v/>
      </c>
      <c r="IL23" s="166" t="str">
        <f t="shared" si="40"/>
        <v/>
      </c>
      <c r="IM23" s="186" t="str">
        <f>IF(SUM(IM3:IM19) &gt; 0, SUM(IM3:IM19), "")</f>
        <v/>
      </c>
      <c r="IN23" s="150" t="str">
        <f t="shared" ref="IN23:IS23" si="41">IF(SUM(IN3:IN19) &gt; 0, SUM(IN3:IN19), "")</f>
        <v/>
      </c>
      <c r="IO23" s="150" t="str">
        <f t="shared" si="41"/>
        <v/>
      </c>
      <c r="IP23" s="150" t="str">
        <f t="shared" si="41"/>
        <v/>
      </c>
      <c r="IQ23" s="150" t="str">
        <f t="shared" si="41"/>
        <v/>
      </c>
      <c r="IR23" s="150" t="str">
        <f t="shared" si="41"/>
        <v/>
      </c>
      <c r="IS23" s="166" t="str">
        <f t="shared" si="41"/>
        <v/>
      </c>
      <c r="IT23" s="186" t="str">
        <f>IF(SUM(IT3:IT19) &gt; 0, SUM(IT3:IT19), "")</f>
        <v/>
      </c>
      <c r="IU23" s="150" t="str">
        <f t="shared" ref="IU23:IZ23" si="42">IF(SUM(IU3:IU19) &gt; 0, SUM(IU3:IU19), "")</f>
        <v/>
      </c>
      <c r="IV23" s="150" t="str">
        <f t="shared" si="42"/>
        <v/>
      </c>
      <c r="IW23" s="150" t="str">
        <f t="shared" si="42"/>
        <v/>
      </c>
      <c r="IX23" s="150" t="str">
        <f t="shared" si="42"/>
        <v/>
      </c>
      <c r="IY23" s="150" t="str">
        <f t="shared" si="42"/>
        <v/>
      </c>
      <c r="IZ23" s="166" t="str">
        <f t="shared" si="42"/>
        <v/>
      </c>
      <c r="JA23" s="186" t="str">
        <f>IF(SUM(JA3:JA19) &gt; 0, SUM(JA3:JA19), "")</f>
        <v/>
      </c>
      <c r="JB23" s="150" t="str">
        <f t="shared" ref="JB23:JG23" si="43">IF(SUM(JB3:JB19) &gt; 0, SUM(JB3:JB19), "")</f>
        <v/>
      </c>
      <c r="JC23" s="150" t="str">
        <f t="shared" si="43"/>
        <v/>
      </c>
      <c r="JD23" s="150" t="str">
        <f t="shared" si="43"/>
        <v/>
      </c>
      <c r="JE23" s="150" t="str">
        <f t="shared" si="43"/>
        <v/>
      </c>
      <c r="JF23" s="150" t="str">
        <f t="shared" si="43"/>
        <v/>
      </c>
      <c r="JG23" s="166" t="str">
        <f t="shared" si="43"/>
        <v/>
      </c>
    </row>
    <row r="24" spans="1:267" ht="15.75" thickBot="1" x14ac:dyDescent="0.3">
      <c r="A24" s="210" t="s">
        <v>728</v>
      </c>
      <c r="B24" s="211"/>
      <c r="C24" s="211"/>
      <c r="D24" s="211"/>
      <c r="E24" s="211"/>
      <c r="F24" s="211"/>
      <c r="G24" s="211"/>
      <c r="H24" s="212"/>
      <c r="I24" s="180" t="str">
        <f>"#2|" &amp; A24</f>
        <v>#2|Alle</v>
      </c>
      <c r="J24" s="178"/>
      <c r="K24" s="189">
        <f>SUM(K3:K22) / 19</f>
        <v>18.684210526315791</v>
      </c>
      <c r="L24" s="190">
        <f t="shared" si="5"/>
        <v>88.972431077694253</v>
      </c>
      <c r="M24" s="160"/>
      <c r="N24" s="160"/>
      <c r="O24" s="167"/>
      <c r="P24" s="173" t="str">
        <f>IF(SUM(P3:P22) &gt; 0, SUM(P3:P22), "")</f>
        <v/>
      </c>
      <c r="Q24" s="160" t="str">
        <f t="shared" ref="Q24:V24" si="44">IF(SUM(Q3:Q22) &gt; 0, SUM(Q3:Q22), "")</f>
        <v/>
      </c>
      <c r="R24" s="160" t="str">
        <f t="shared" si="44"/>
        <v/>
      </c>
      <c r="S24" s="160" t="str">
        <f t="shared" si="44"/>
        <v/>
      </c>
      <c r="T24" s="160" t="str">
        <f t="shared" si="44"/>
        <v/>
      </c>
      <c r="U24" s="160">
        <f t="shared" si="44"/>
        <v>17</v>
      </c>
      <c r="V24" s="167" t="str">
        <f t="shared" si="44"/>
        <v/>
      </c>
      <c r="W24" s="173">
        <f>IF(SUM(W3:W22) &gt; 0, SUM(W3:W22), "")</f>
        <v>14</v>
      </c>
      <c r="X24" s="160">
        <f t="shared" ref="X24:AC24" si="45">IF(SUM(X3:X22) &gt; 0, SUM(X3:X22), "")</f>
        <v>16</v>
      </c>
      <c r="Y24" s="160" t="str">
        <f t="shared" si="45"/>
        <v/>
      </c>
      <c r="Z24" s="160">
        <f t="shared" si="45"/>
        <v>14</v>
      </c>
      <c r="AA24" s="160">
        <f t="shared" si="45"/>
        <v>16</v>
      </c>
      <c r="AB24" s="160" t="str">
        <f t="shared" si="45"/>
        <v/>
      </c>
      <c r="AC24" s="167" t="str">
        <f t="shared" si="45"/>
        <v/>
      </c>
      <c r="AD24" s="173">
        <f>IF(SUM(AD3:AD22) &gt; 0, SUM(AD3:AD22), "")</f>
        <v>19</v>
      </c>
      <c r="AE24" s="160">
        <f t="shared" ref="AE24:AJ24" si="46">IF(SUM(AE3:AE22) &gt; 0, SUM(AE3:AE22), "")</f>
        <v>16</v>
      </c>
      <c r="AF24" s="160" t="str">
        <f t="shared" si="46"/>
        <v/>
      </c>
      <c r="AG24" s="160">
        <f t="shared" si="46"/>
        <v>14</v>
      </c>
      <c r="AH24" s="160">
        <f t="shared" si="46"/>
        <v>17</v>
      </c>
      <c r="AI24" s="160">
        <f t="shared" si="46"/>
        <v>19</v>
      </c>
      <c r="AJ24" s="167">
        <f t="shared" si="46"/>
        <v>19</v>
      </c>
      <c r="AK24" s="173">
        <f>IF(SUM(AK3:AK22) &gt; 0, SUM(AK3:AK22), "")</f>
        <v>18</v>
      </c>
      <c r="AL24" s="160">
        <f t="shared" ref="AL24:AQ24" si="47">IF(SUM(AL3:AL22) &gt; 0, SUM(AL3:AL22), "")</f>
        <v>19</v>
      </c>
      <c r="AM24" s="160" t="str">
        <f t="shared" si="47"/>
        <v/>
      </c>
      <c r="AN24" s="160">
        <f t="shared" si="47"/>
        <v>17</v>
      </c>
      <c r="AO24" s="160">
        <f t="shared" si="47"/>
        <v>15</v>
      </c>
      <c r="AP24" s="160">
        <f t="shared" si="47"/>
        <v>19</v>
      </c>
      <c r="AQ24" s="167">
        <f t="shared" si="47"/>
        <v>16</v>
      </c>
      <c r="AR24" s="173">
        <f>IF(SUM(AR3:AR22) &gt; 0, SUM(AR3:AR22), "")</f>
        <v>16</v>
      </c>
      <c r="AS24" s="160">
        <f t="shared" ref="AS24:AX24" si="48">IF(SUM(AS3:AS22) &gt; 0, SUM(AS3:AS22), "")</f>
        <v>18</v>
      </c>
      <c r="AT24" s="160" t="str">
        <f t="shared" si="48"/>
        <v/>
      </c>
      <c r="AU24" s="160">
        <f t="shared" si="48"/>
        <v>18</v>
      </c>
      <c r="AV24" s="160">
        <f t="shared" si="48"/>
        <v>18</v>
      </c>
      <c r="AW24" s="160" t="str">
        <f t="shared" si="48"/>
        <v/>
      </c>
      <c r="AX24" s="167" t="str">
        <f t="shared" si="48"/>
        <v/>
      </c>
      <c r="AY24" s="173" t="str">
        <f>IF(SUM(AY3:AY22) &gt; 0, SUM(AY3:AY22), "")</f>
        <v/>
      </c>
      <c r="AZ24" s="160" t="str">
        <f t="shared" ref="AZ24:BE24" si="49">IF(SUM(AZ3:AZ22) &gt; 0, SUM(AZ3:AZ22), "")</f>
        <v/>
      </c>
      <c r="BA24" s="160" t="str">
        <f t="shared" si="49"/>
        <v/>
      </c>
      <c r="BB24" s="160" t="str">
        <f t="shared" si="49"/>
        <v/>
      </c>
      <c r="BC24" s="160" t="str">
        <f t="shared" si="49"/>
        <v/>
      </c>
      <c r="BD24" s="160" t="str">
        <f t="shared" si="49"/>
        <v/>
      </c>
      <c r="BE24" s="167" t="str">
        <f t="shared" si="49"/>
        <v/>
      </c>
      <c r="BF24" s="173" t="str">
        <f>IF(SUM(BF3:BF22) &gt; 0, SUM(BF3:BF22), "")</f>
        <v/>
      </c>
      <c r="BG24" s="160" t="str">
        <f t="shared" ref="BG24:BL24" si="50">IF(SUM(BG3:BG22) &gt; 0, SUM(BG3:BG22), "")</f>
        <v/>
      </c>
      <c r="BH24" s="160" t="str">
        <f t="shared" si="50"/>
        <v/>
      </c>
      <c r="BI24" s="160" t="str">
        <f t="shared" si="50"/>
        <v/>
      </c>
      <c r="BJ24" s="160" t="str">
        <f t="shared" si="50"/>
        <v/>
      </c>
      <c r="BK24" s="160" t="str">
        <f t="shared" si="50"/>
        <v/>
      </c>
      <c r="BL24" s="167" t="str">
        <f t="shared" si="50"/>
        <v/>
      </c>
      <c r="BM24" s="173" t="str">
        <f>IF(SUM(BM3:BM22) &gt; 0, SUM(BM3:BM22), "")</f>
        <v/>
      </c>
      <c r="BN24" s="160" t="str">
        <f t="shared" ref="BN24:BS24" si="51">IF(SUM(BN3:BN22) &gt; 0, SUM(BN3:BN22), "")</f>
        <v/>
      </c>
      <c r="BO24" s="160" t="str">
        <f t="shared" si="51"/>
        <v/>
      </c>
      <c r="BP24" s="160" t="str">
        <f t="shared" si="51"/>
        <v/>
      </c>
      <c r="BQ24" s="160" t="str">
        <f t="shared" si="51"/>
        <v/>
      </c>
      <c r="BR24" s="160" t="str">
        <f t="shared" si="51"/>
        <v/>
      </c>
      <c r="BS24" s="167" t="str">
        <f t="shared" si="51"/>
        <v/>
      </c>
      <c r="BT24" s="173" t="str">
        <f>IF(SUM(BT3:BT22) &gt; 0, SUM(BT3:BT22), "")</f>
        <v/>
      </c>
      <c r="BU24" s="160" t="str">
        <f t="shared" ref="BU24:BZ24" si="52">IF(SUM(BU3:BU22) &gt; 0, SUM(BU3:BU22), "")</f>
        <v/>
      </c>
      <c r="BV24" s="160" t="str">
        <f t="shared" si="52"/>
        <v/>
      </c>
      <c r="BW24" s="160" t="str">
        <f t="shared" si="52"/>
        <v/>
      </c>
      <c r="BX24" s="160" t="str">
        <f t="shared" si="52"/>
        <v/>
      </c>
      <c r="BY24" s="160" t="str">
        <f t="shared" si="52"/>
        <v/>
      </c>
      <c r="BZ24" s="167" t="str">
        <f t="shared" si="52"/>
        <v/>
      </c>
      <c r="CA24" s="173" t="str">
        <f>IF(SUM(CA3:CA22) &gt; 0, SUM(CA3:CA22), "")</f>
        <v/>
      </c>
      <c r="CB24" s="160" t="str">
        <f t="shared" ref="CB24:CG24" si="53">IF(SUM(CB3:CB22) &gt; 0, SUM(CB3:CB22), "")</f>
        <v/>
      </c>
      <c r="CC24" s="160" t="str">
        <f t="shared" si="53"/>
        <v/>
      </c>
      <c r="CD24" s="160" t="str">
        <f t="shared" si="53"/>
        <v/>
      </c>
      <c r="CE24" s="160" t="str">
        <f t="shared" si="53"/>
        <v/>
      </c>
      <c r="CF24" s="160" t="str">
        <f t="shared" si="53"/>
        <v/>
      </c>
      <c r="CG24" s="167" t="str">
        <f t="shared" si="53"/>
        <v/>
      </c>
      <c r="CH24" s="173" t="str">
        <f>IF(SUM(CH3:CH22) &gt; 0, SUM(CH3:CH22), "")</f>
        <v/>
      </c>
      <c r="CI24" s="160" t="str">
        <f t="shared" ref="CI24:CN24" si="54">IF(SUM(CI3:CI22) &gt; 0, SUM(CI3:CI22), "")</f>
        <v/>
      </c>
      <c r="CJ24" s="160" t="str">
        <f t="shared" si="54"/>
        <v/>
      </c>
      <c r="CK24" s="160" t="str">
        <f t="shared" si="54"/>
        <v/>
      </c>
      <c r="CL24" s="160" t="str">
        <f t="shared" si="54"/>
        <v/>
      </c>
      <c r="CM24" s="160" t="str">
        <f t="shared" si="54"/>
        <v/>
      </c>
      <c r="CN24" s="167" t="str">
        <f t="shared" si="54"/>
        <v/>
      </c>
      <c r="CO24" s="173" t="str">
        <f>IF(SUM(CO3:CO22) &gt; 0, SUM(CO3:CO22), "")</f>
        <v/>
      </c>
      <c r="CP24" s="160" t="str">
        <f t="shared" ref="CP24:CU24" si="55">IF(SUM(CP3:CP22) &gt; 0, SUM(CP3:CP22), "")</f>
        <v/>
      </c>
      <c r="CQ24" s="160" t="str">
        <f t="shared" si="55"/>
        <v/>
      </c>
      <c r="CR24" s="160" t="str">
        <f t="shared" si="55"/>
        <v/>
      </c>
      <c r="CS24" s="160" t="str">
        <f t="shared" si="55"/>
        <v/>
      </c>
      <c r="CT24" s="160" t="str">
        <f t="shared" si="55"/>
        <v/>
      </c>
      <c r="CU24" s="167" t="str">
        <f t="shared" si="55"/>
        <v/>
      </c>
      <c r="CV24" s="173" t="str">
        <f>IF(SUM(CV3:CV22) &gt; 0, SUM(CV3:CV22), "")</f>
        <v/>
      </c>
      <c r="CW24" s="160" t="str">
        <f t="shared" ref="CW24:DB24" si="56">IF(SUM(CW3:CW22) &gt; 0, SUM(CW3:CW22), "")</f>
        <v/>
      </c>
      <c r="CX24" s="160" t="str">
        <f t="shared" si="56"/>
        <v/>
      </c>
      <c r="CY24" s="160" t="str">
        <f t="shared" si="56"/>
        <v/>
      </c>
      <c r="CZ24" s="160" t="str">
        <f t="shared" si="56"/>
        <v/>
      </c>
      <c r="DA24" s="160" t="str">
        <f t="shared" si="56"/>
        <v/>
      </c>
      <c r="DB24" s="167" t="str">
        <f t="shared" si="56"/>
        <v/>
      </c>
      <c r="DC24" s="173" t="str">
        <f>IF(SUM(DC3:DC22) &gt; 0, SUM(DC3:DC22), "")</f>
        <v/>
      </c>
      <c r="DD24" s="160" t="str">
        <f t="shared" ref="DD24:DI24" si="57">IF(SUM(DD3:DD22) &gt; 0, SUM(DD3:DD22), "")</f>
        <v/>
      </c>
      <c r="DE24" s="160" t="str">
        <f t="shared" si="57"/>
        <v/>
      </c>
      <c r="DF24" s="160" t="str">
        <f t="shared" si="57"/>
        <v/>
      </c>
      <c r="DG24" s="160" t="str">
        <f t="shared" si="57"/>
        <v/>
      </c>
      <c r="DH24" s="160" t="str">
        <f t="shared" si="57"/>
        <v/>
      </c>
      <c r="DI24" s="167" t="str">
        <f t="shared" si="57"/>
        <v/>
      </c>
      <c r="DJ24" s="173" t="str">
        <f>IF(SUM(DJ3:DJ22) &gt; 0, SUM(DJ3:DJ22), "")</f>
        <v/>
      </c>
      <c r="DK24" s="160" t="str">
        <f t="shared" ref="DK24:DP24" si="58">IF(SUM(DK3:DK22) &gt; 0, SUM(DK3:DK22), "")</f>
        <v/>
      </c>
      <c r="DL24" s="160" t="str">
        <f t="shared" si="58"/>
        <v/>
      </c>
      <c r="DM24" s="160" t="str">
        <f t="shared" si="58"/>
        <v/>
      </c>
      <c r="DN24" s="160" t="str">
        <f t="shared" si="58"/>
        <v/>
      </c>
      <c r="DO24" s="160" t="str">
        <f t="shared" si="58"/>
        <v/>
      </c>
      <c r="DP24" s="167" t="str">
        <f t="shared" si="58"/>
        <v/>
      </c>
      <c r="DQ24" s="173" t="str">
        <f>IF(SUM(DQ3:DQ22) &gt; 0, SUM(DQ3:DQ22), "")</f>
        <v/>
      </c>
      <c r="DR24" s="160" t="str">
        <f t="shared" ref="DR24:DW24" si="59">IF(SUM(DR3:DR22) &gt; 0, SUM(DR3:DR22), "")</f>
        <v/>
      </c>
      <c r="DS24" s="160" t="str">
        <f t="shared" si="59"/>
        <v/>
      </c>
      <c r="DT24" s="160" t="str">
        <f t="shared" si="59"/>
        <v/>
      </c>
      <c r="DU24" s="160" t="str">
        <f t="shared" si="59"/>
        <v/>
      </c>
      <c r="DV24" s="160" t="str">
        <f t="shared" si="59"/>
        <v/>
      </c>
      <c r="DW24" s="167" t="str">
        <f t="shared" si="59"/>
        <v/>
      </c>
      <c r="DX24" s="173" t="str">
        <f>IF(SUM(DX3:DX22) &gt; 0, SUM(DX3:DX22), "")</f>
        <v/>
      </c>
      <c r="DY24" s="160" t="str">
        <f t="shared" ref="DY24:ED24" si="60">IF(SUM(DY3:DY22) &gt; 0, SUM(DY3:DY22), "")</f>
        <v/>
      </c>
      <c r="DZ24" s="160" t="str">
        <f t="shared" si="60"/>
        <v/>
      </c>
      <c r="EA24" s="160" t="str">
        <f t="shared" si="60"/>
        <v/>
      </c>
      <c r="EB24" s="160" t="str">
        <f t="shared" si="60"/>
        <v/>
      </c>
      <c r="EC24" s="160" t="str">
        <f t="shared" si="60"/>
        <v/>
      </c>
      <c r="ED24" s="167" t="str">
        <f t="shared" si="60"/>
        <v/>
      </c>
      <c r="EE24" s="173" t="str">
        <f>IF(SUM(EE3:EE22) &gt; 0, SUM(EE3:EE22), "")</f>
        <v/>
      </c>
      <c r="EF24" s="160" t="str">
        <f t="shared" ref="EF24:EK24" si="61">IF(SUM(EF3:EF22) &gt; 0, SUM(EF3:EF22), "")</f>
        <v/>
      </c>
      <c r="EG24" s="160" t="str">
        <f t="shared" si="61"/>
        <v/>
      </c>
      <c r="EH24" s="160" t="str">
        <f t="shared" si="61"/>
        <v/>
      </c>
      <c r="EI24" s="160" t="str">
        <f t="shared" si="61"/>
        <v/>
      </c>
      <c r="EJ24" s="160" t="str">
        <f t="shared" si="61"/>
        <v/>
      </c>
      <c r="EK24" s="167" t="str">
        <f t="shared" si="61"/>
        <v/>
      </c>
      <c r="EL24" s="173" t="str">
        <f>IF(SUM(EL3:EL22) &gt; 0, SUM(EL3:EL22), "")</f>
        <v/>
      </c>
      <c r="EM24" s="160" t="str">
        <f t="shared" ref="EM24:ER24" si="62">IF(SUM(EM3:EM22) &gt; 0, SUM(EM3:EM22), "")</f>
        <v/>
      </c>
      <c r="EN24" s="160" t="str">
        <f t="shared" si="62"/>
        <v/>
      </c>
      <c r="EO24" s="160" t="str">
        <f t="shared" si="62"/>
        <v/>
      </c>
      <c r="EP24" s="160" t="str">
        <f t="shared" si="62"/>
        <v/>
      </c>
      <c r="EQ24" s="160" t="str">
        <f t="shared" si="62"/>
        <v/>
      </c>
      <c r="ER24" s="167" t="str">
        <f t="shared" si="62"/>
        <v/>
      </c>
      <c r="ES24" s="173" t="str">
        <f>IF(SUM(ES3:ES22) &gt; 0, SUM(ES3:ES22), "")</f>
        <v/>
      </c>
      <c r="ET24" s="160" t="str">
        <f t="shared" ref="ET24:EY24" si="63">IF(SUM(ET3:ET22) &gt; 0, SUM(ET3:ET22), "")</f>
        <v/>
      </c>
      <c r="EU24" s="160" t="str">
        <f t="shared" si="63"/>
        <v/>
      </c>
      <c r="EV24" s="160" t="str">
        <f t="shared" si="63"/>
        <v/>
      </c>
      <c r="EW24" s="160" t="str">
        <f t="shared" si="63"/>
        <v/>
      </c>
      <c r="EX24" s="160" t="str">
        <f t="shared" si="63"/>
        <v/>
      </c>
      <c r="EY24" s="167" t="str">
        <f t="shared" si="63"/>
        <v/>
      </c>
      <c r="EZ24" s="173" t="str">
        <f>IF(SUM(EZ3:EZ22) &gt; 0, SUM(EZ3:EZ22), "")</f>
        <v/>
      </c>
      <c r="FA24" s="160" t="str">
        <f t="shared" ref="FA24:FF24" si="64">IF(SUM(FA3:FA22) &gt; 0, SUM(FA3:FA22), "")</f>
        <v/>
      </c>
      <c r="FB24" s="160" t="str">
        <f t="shared" si="64"/>
        <v/>
      </c>
      <c r="FC24" s="160" t="str">
        <f t="shared" si="64"/>
        <v/>
      </c>
      <c r="FD24" s="160" t="str">
        <f t="shared" si="64"/>
        <v/>
      </c>
      <c r="FE24" s="160" t="str">
        <f t="shared" si="64"/>
        <v/>
      </c>
      <c r="FF24" s="167" t="str">
        <f t="shared" si="64"/>
        <v/>
      </c>
      <c r="FG24" s="173" t="str">
        <f>IF(SUM(FG3:FG22) &gt; 0, SUM(FG3:FG22), "")</f>
        <v/>
      </c>
      <c r="FH24" s="160" t="str">
        <f t="shared" ref="FH24:FM24" si="65">IF(SUM(FH3:FH22) &gt; 0, SUM(FH3:FH22), "")</f>
        <v/>
      </c>
      <c r="FI24" s="160" t="str">
        <f t="shared" si="65"/>
        <v/>
      </c>
      <c r="FJ24" s="160" t="str">
        <f t="shared" si="65"/>
        <v/>
      </c>
      <c r="FK24" s="160" t="str">
        <f t="shared" si="65"/>
        <v/>
      </c>
      <c r="FL24" s="160" t="str">
        <f t="shared" si="65"/>
        <v/>
      </c>
      <c r="FM24" s="167" t="str">
        <f t="shared" si="65"/>
        <v/>
      </c>
      <c r="FN24" s="173" t="str">
        <f>IF(SUM(FN3:FN22) &gt; 0, SUM(FN3:FN22), "")</f>
        <v/>
      </c>
      <c r="FO24" s="160" t="str">
        <f t="shared" ref="FO24:FT24" si="66">IF(SUM(FO3:FO22) &gt; 0, SUM(FO3:FO22), "")</f>
        <v/>
      </c>
      <c r="FP24" s="160" t="str">
        <f t="shared" si="66"/>
        <v/>
      </c>
      <c r="FQ24" s="160" t="str">
        <f t="shared" si="66"/>
        <v/>
      </c>
      <c r="FR24" s="160" t="str">
        <f t="shared" si="66"/>
        <v/>
      </c>
      <c r="FS24" s="160" t="str">
        <f t="shared" si="66"/>
        <v/>
      </c>
      <c r="FT24" s="167" t="str">
        <f t="shared" si="66"/>
        <v/>
      </c>
      <c r="FU24" s="173" t="str">
        <f>IF(SUM(FU3:FU22) &gt; 0, SUM(FU3:FU22), "")</f>
        <v/>
      </c>
      <c r="FV24" s="160" t="str">
        <f t="shared" ref="FV24:GA24" si="67">IF(SUM(FV3:FV22) &gt; 0, SUM(FV3:FV22), "")</f>
        <v/>
      </c>
      <c r="FW24" s="160" t="str">
        <f t="shared" si="67"/>
        <v/>
      </c>
      <c r="FX24" s="160" t="str">
        <f t="shared" si="67"/>
        <v/>
      </c>
      <c r="FY24" s="160" t="str">
        <f t="shared" si="67"/>
        <v/>
      </c>
      <c r="FZ24" s="160" t="str">
        <f t="shared" si="67"/>
        <v/>
      </c>
      <c r="GA24" s="167" t="str">
        <f t="shared" si="67"/>
        <v/>
      </c>
      <c r="GB24" s="173" t="str">
        <f>IF(SUM(GB3:GB22) &gt; 0, SUM(GB3:GB22), "")</f>
        <v/>
      </c>
      <c r="GC24" s="160" t="str">
        <f t="shared" ref="GC24:GH24" si="68">IF(SUM(GC3:GC22) &gt; 0, SUM(GC3:GC22), "")</f>
        <v/>
      </c>
      <c r="GD24" s="160" t="str">
        <f t="shared" si="68"/>
        <v/>
      </c>
      <c r="GE24" s="160" t="str">
        <f t="shared" si="68"/>
        <v/>
      </c>
      <c r="GF24" s="160" t="str">
        <f t="shared" si="68"/>
        <v/>
      </c>
      <c r="GG24" s="160" t="str">
        <f t="shared" si="68"/>
        <v/>
      </c>
      <c r="GH24" s="167" t="str">
        <f t="shared" si="68"/>
        <v/>
      </c>
      <c r="GI24" s="173" t="str">
        <f>IF(SUM(GI3:GI22) &gt; 0, SUM(GI3:GI22), "")</f>
        <v/>
      </c>
      <c r="GJ24" s="160" t="str">
        <f t="shared" ref="GJ24:GO24" si="69">IF(SUM(GJ3:GJ22) &gt; 0, SUM(GJ3:GJ22), "")</f>
        <v/>
      </c>
      <c r="GK24" s="160" t="str">
        <f t="shared" si="69"/>
        <v/>
      </c>
      <c r="GL24" s="160" t="str">
        <f t="shared" si="69"/>
        <v/>
      </c>
      <c r="GM24" s="160" t="str">
        <f t="shared" si="69"/>
        <v/>
      </c>
      <c r="GN24" s="160" t="str">
        <f t="shared" si="69"/>
        <v/>
      </c>
      <c r="GO24" s="167" t="str">
        <f t="shared" si="69"/>
        <v/>
      </c>
      <c r="GP24" s="173" t="str">
        <f>IF(SUM(GP3:GP22) &gt; 0, SUM(GP3:GP22), "")</f>
        <v/>
      </c>
      <c r="GQ24" s="160" t="str">
        <f t="shared" ref="GQ24:GV24" si="70">IF(SUM(GQ3:GQ22) &gt; 0, SUM(GQ3:GQ22), "")</f>
        <v/>
      </c>
      <c r="GR24" s="160" t="str">
        <f t="shared" si="70"/>
        <v/>
      </c>
      <c r="GS24" s="160" t="str">
        <f t="shared" si="70"/>
        <v/>
      </c>
      <c r="GT24" s="160" t="str">
        <f t="shared" si="70"/>
        <v/>
      </c>
      <c r="GU24" s="160" t="str">
        <f t="shared" si="70"/>
        <v/>
      </c>
      <c r="GV24" s="167" t="str">
        <f t="shared" si="70"/>
        <v/>
      </c>
      <c r="GW24" s="173" t="str">
        <f>IF(SUM(GW3:GW22) &gt; 0, SUM(GW3:GW22), "")</f>
        <v/>
      </c>
      <c r="GX24" s="160" t="str">
        <f t="shared" ref="GX24:HC24" si="71">IF(SUM(GX3:GX22) &gt; 0, SUM(GX3:GX22), "")</f>
        <v/>
      </c>
      <c r="GY24" s="160" t="str">
        <f t="shared" si="71"/>
        <v/>
      </c>
      <c r="GZ24" s="160" t="str">
        <f t="shared" si="71"/>
        <v/>
      </c>
      <c r="HA24" s="160" t="str">
        <f t="shared" si="71"/>
        <v/>
      </c>
      <c r="HB24" s="160" t="str">
        <f t="shared" si="71"/>
        <v/>
      </c>
      <c r="HC24" s="167" t="str">
        <f t="shared" si="71"/>
        <v/>
      </c>
      <c r="HD24" s="173" t="str">
        <f>IF(SUM(HD3:HD22) &gt; 0, SUM(HD3:HD22), "")</f>
        <v/>
      </c>
      <c r="HE24" s="160" t="str">
        <f t="shared" ref="HE24:HJ24" si="72">IF(SUM(HE3:HE22) &gt; 0, SUM(HE3:HE22), "")</f>
        <v/>
      </c>
      <c r="HF24" s="160" t="str">
        <f t="shared" si="72"/>
        <v/>
      </c>
      <c r="HG24" s="160" t="str">
        <f t="shared" si="72"/>
        <v/>
      </c>
      <c r="HH24" s="160" t="str">
        <f t="shared" si="72"/>
        <v/>
      </c>
      <c r="HI24" s="160" t="str">
        <f t="shared" si="72"/>
        <v/>
      </c>
      <c r="HJ24" s="167" t="str">
        <f t="shared" si="72"/>
        <v/>
      </c>
      <c r="HK24" s="173" t="str">
        <f>IF(SUM(HK3:HK22) &gt; 0, SUM(HK3:HK22), "")</f>
        <v/>
      </c>
      <c r="HL24" s="160" t="str">
        <f t="shared" ref="HL24:HQ24" si="73">IF(SUM(HL3:HL22) &gt; 0, SUM(HL3:HL22), "")</f>
        <v/>
      </c>
      <c r="HM24" s="160" t="str">
        <f t="shared" si="73"/>
        <v/>
      </c>
      <c r="HN24" s="160" t="str">
        <f t="shared" si="73"/>
        <v/>
      </c>
      <c r="HO24" s="160" t="str">
        <f t="shared" si="73"/>
        <v/>
      </c>
      <c r="HP24" s="160" t="str">
        <f t="shared" si="73"/>
        <v/>
      </c>
      <c r="HQ24" s="167" t="str">
        <f t="shared" si="73"/>
        <v/>
      </c>
      <c r="HR24" s="173" t="str">
        <f>IF(SUM(HR3:HR22) &gt; 0, SUM(HR3:HR22), "")</f>
        <v/>
      </c>
      <c r="HS24" s="160" t="str">
        <f t="shared" ref="HS24:HX24" si="74">IF(SUM(HS3:HS22) &gt; 0, SUM(HS3:HS22), "")</f>
        <v/>
      </c>
      <c r="HT24" s="160" t="str">
        <f t="shared" si="74"/>
        <v/>
      </c>
      <c r="HU24" s="160" t="str">
        <f t="shared" si="74"/>
        <v/>
      </c>
      <c r="HV24" s="160" t="str">
        <f t="shared" si="74"/>
        <v/>
      </c>
      <c r="HW24" s="160" t="str">
        <f t="shared" si="74"/>
        <v/>
      </c>
      <c r="HX24" s="167" t="str">
        <f t="shared" si="74"/>
        <v/>
      </c>
      <c r="HY24" s="173" t="str">
        <f>IF(SUM(HY3:HY22) &gt; 0, SUM(HY3:HY22), "")</f>
        <v/>
      </c>
      <c r="HZ24" s="160" t="str">
        <f t="shared" ref="HZ24:IE24" si="75">IF(SUM(HZ3:HZ22) &gt; 0, SUM(HZ3:HZ22), "")</f>
        <v/>
      </c>
      <c r="IA24" s="160" t="str">
        <f t="shared" si="75"/>
        <v/>
      </c>
      <c r="IB24" s="160" t="str">
        <f t="shared" si="75"/>
        <v/>
      </c>
      <c r="IC24" s="160" t="str">
        <f t="shared" si="75"/>
        <v/>
      </c>
      <c r="ID24" s="160" t="str">
        <f t="shared" si="75"/>
        <v/>
      </c>
      <c r="IE24" s="167" t="str">
        <f t="shared" si="75"/>
        <v/>
      </c>
      <c r="IF24" s="173" t="str">
        <f>IF(SUM(IF3:IF22) &gt; 0, SUM(IF3:IF22), "")</f>
        <v/>
      </c>
      <c r="IG24" s="160" t="str">
        <f t="shared" ref="IG24:IL24" si="76">IF(SUM(IG3:IG22) &gt; 0, SUM(IG3:IG22), "")</f>
        <v/>
      </c>
      <c r="IH24" s="160" t="str">
        <f t="shared" si="76"/>
        <v/>
      </c>
      <c r="II24" s="160" t="str">
        <f t="shared" si="76"/>
        <v/>
      </c>
      <c r="IJ24" s="160" t="str">
        <f t="shared" si="76"/>
        <v/>
      </c>
      <c r="IK24" s="160" t="str">
        <f t="shared" si="76"/>
        <v/>
      </c>
      <c r="IL24" s="167" t="str">
        <f t="shared" si="76"/>
        <v/>
      </c>
      <c r="IM24" s="173" t="str">
        <f>IF(SUM(IM3:IM22) &gt; 0, SUM(IM3:IM22), "")</f>
        <v/>
      </c>
      <c r="IN24" s="160" t="str">
        <f t="shared" ref="IN24:IS24" si="77">IF(SUM(IN3:IN22) &gt; 0, SUM(IN3:IN22), "")</f>
        <v/>
      </c>
      <c r="IO24" s="160" t="str">
        <f t="shared" si="77"/>
        <v/>
      </c>
      <c r="IP24" s="160" t="str">
        <f t="shared" si="77"/>
        <v/>
      </c>
      <c r="IQ24" s="160" t="str">
        <f t="shared" si="77"/>
        <v/>
      </c>
      <c r="IR24" s="160" t="str">
        <f t="shared" si="77"/>
        <v/>
      </c>
      <c r="IS24" s="167" t="str">
        <f t="shared" si="77"/>
        <v/>
      </c>
      <c r="IT24" s="173" t="str">
        <f>IF(SUM(IT3:IT22) &gt; 0, SUM(IT3:IT22), "")</f>
        <v/>
      </c>
      <c r="IU24" s="160" t="str">
        <f t="shared" ref="IU24:IZ24" si="78">IF(SUM(IU3:IU22) &gt; 0, SUM(IU3:IU22), "")</f>
        <v/>
      </c>
      <c r="IV24" s="160" t="str">
        <f t="shared" si="78"/>
        <v/>
      </c>
      <c r="IW24" s="160" t="str">
        <f t="shared" si="78"/>
        <v/>
      </c>
      <c r="IX24" s="160" t="str">
        <f t="shared" si="78"/>
        <v/>
      </c>
      <c r="IY24" s="160" t="str">
        <f t="shared" si="78"/>
        <v/>
      </c>
      <c r="IZ24" s="167" t="str">
        <f t="shared" si="78"/>
        <v/>
      </c>
      <c r="JA24" s="173" t="str">
        <f>IF(SUM(JA3:JA22) &gt; 0, SUM(JA3:JA22), "")</f>
        <v/>
      </c>
      <c r="JB24" s="160" t="str">
        <f t="shared" ref="JB24:JG24" si="79">IF(SUM(JB3:JB22) &gt; 0, SUM(JB3:JB22), "")</f>
        <v/>
      </c>
      <c r="JC24" s="160" t="str">
        <f t="shared" si="79"/>
        <v/>
      </c>
      <c r="JD24" s="160" t="str">
        <f t="shared" si="79"/>
        <v/>
      </c>
      <c r="JE24" s="160" t="str">
        <f t="shared" si="79"/>
        <v/>
      </c>
      <c r="JF24" s="160" t="str">
        <f t="shared" si="79"/>
        <v/>
      </c>
      <c r="JG24" s="167" t="str">
        <f t="shared" si="79"/>
        <v/>
      </c>
    </row>
    <row r="25" spans="1:267" ht="15.75" thickBot="1" x14ac:dyDescent="0.3">
      <c r="A25" s="110" t="s">
        <v>18</v>
      </c>
      <c r="B25" s="16" t="s">
        <v>648</v>
      </c>
      <c r="C25" s="16" t="s">
        <v>648</v>
      </c>
      <c r="D25" s="16" t="s">
        <v>648</v>
      </c>
      <c r="E25" s="16"/>
      <c r="F25" s="16"/>
      <c r="G25" s="16"/>
      <c r="H25" s="17" t="s">
        <v>648</v>
      </c>
      <c r="I25" s="179"/>
      <c r="J25" s="184" t="s">
        <v>648</v>
      </c>
      <c r="K25" s="179">
        <f t="shared" ref="K25" si="80">SUM(M25:IU25)</f>
        <v>21</v>
      </c>
      <c r="L25" s="172" t="s">
        <v>648</v>
      </c>
      <c r="M25" s="170"/>
      <c r="N25" s="170"/>
      <c r="O25" s="172"/>
      <c r="P25" s="170"/>
      <c r="Q25" s="170"/>
      <c r="R25" s="170"/>
      <c r="S25" s="170"/>
      <c r="T25" s="168"/>
      <c r="U25" s="168">
        <v>1</v>
      </c>
      <c r="V25" s="172"/>
      <c r="W25" s="168">
        <v>1</v>
      </c>
      <c r="X25" s="168">
        <v>1</v>
      </c>
      <c r="Y25" s="168"/>
      <c r="Z25" s="168">
        <v>1</v>
      </c>
      <c r="AA25" s="168">
        <v>1</v>
      </c>
      <c r="AB25" s="168"/>
      <c r="AC25" s="172"/>
      <c r="AD25" s="170">
        <v>1</v>
      </c>
      <c r="AE25" s="170">
        <v>1</v>
      </c>
      <c r="AF25" s="170"/>
      <c r="AG25" s="170">
        <v>1</v>
      </c>
      <c r="AH25" s="170">
        <v>1</v>
      </c>
      <c r="AI25" s="170">
        <v>1</v>
      </c>
      <c r="AJ25" s="172">
        <v>1</v>
      </c>
      <c r="AK25" s="170">
        <v>1</v>
      </c>
      <c r="AL25" s="170">
        <v>1</v>
      </c>
      <c r="AM25" s="170"/>
      <c r="AN25" s="170">
        <v>1</v>
      </c>
      <c r="AO25" s="170">
        <v>1</v>
      </c>
      <c r="AP25" s="170">
        <v>1</v>
      </c>
      <c r="AQ25" s="172">
        <v>1</v>
      </c>
      <c r="AR25" s="170">
        <v>1</v>
      </c>
      <c r="AS25" s="170">
        <v>1</v>
      </c>
      <c r="AT25" s="170"/>
      <c r="AU25" s="170">
        <v>1</v>
      </c>
      <c r="AV25" s="170">
        <v>1</v>
      </c>
      <c r="AW25" s="170"/>
      <c r="AX25" s="172"/>
      <c r="AY25" s="170"/>
      <c r="AZ25" s="170"/>
      <c r="BA25" s="170"/>
      <c r="BB25" s="170"/>
      <c r="BC25" s="170"/>
      <c r="BD25" s="170"/>
      <c r="BE25" s="172"/>
      <c r="BF25" s="170"/>
      <c r="BG25" s="170"/>
      <c r="BH25" s="170"/>
      <c r="BI25" s="170"/>
      <c r="BJ25" s="170"/>
      <c r="BK25" s="170"/>
      <c r="BL25" s="172"/>
      <c r="BM25" s="170"/>
      <c r="BN25" s="170"/>
      <c r="BO25" s="170"/>
      <c r="BP25" s="170"/>
      <c r="BQ25" s="170"/>
      <c r="BR25" s="170"/>
      <c r="BS25" s="172"/>
      <c r="BT25" s="170"/>
      <c r="BU25" s="170"/>
      <c r="BV25" s="170"/>
      <c r="BW25" s="170"/>
      <c r="BX25" s="170"/>
      <c r="BY25" s="170"/>
      <c r="BZ25" s="172"/>
      <c r="CA25" s="170"/>
      <c r="CB25" s="170"/>
      <c r="CC25" s="170"/>
      <c r="CD25" s="170"/>
      <c r="CE25" s="170"/>
      <c r="CF25" s="170"/>
      <c r="CG25" s="172"/>
      <c r="CH25" s="170"/>
      <c r="CI25" s="170"/>
      <c r="CJ25" s="170"/>
      <c r="CK25" s="170"/>
      <c r="CL25" s="170"/>
      <c r="CM25" s="170"/>
      <c r="CN25" s="172"/>
      <c r="CO25" s="170"/>
      <c r="CP25" s="170"/>
      <c r="CQ25" s="170"/>
      <c r="CR25" s="170"/>
      <c r="CS25" s="170"/>
      <c r="CT25" s="170"/>
      <c r="CU25" s="172"/>
      <c r="CV25" s="170"/>
      <c r="CW25" s="170"/>
      <c r="CX25" s="170"/>
      <c r="CY25" s="170"/>
      <c r="CZ25" s="170"/>
      <c r="DA25" s="170"/>
      <c r="DB25" s="172"/>
      <c r="DC25" s="170"/>
      <c r="DD25" s="170"/>
      <c r="DE25" s="170"/>
      <c r="DF25" s="170"/>
      <c r="DG25" s="170"/>
      <c r="DH25" s="170"/>
      <c r="DI25" s="172"/>
      <c r="DJ25" s="170"/>
      <c r="DK25" s="170"/>
      <c r="DL25" s="170"/>
      <c r="DM25" s="170"/>
      <c r="DN25" s="170"/>
      <c r="DO25" s="170"/>
      <c r="DP25" s="172"/>
      <c r="DQ25" s="170"/>
      <c r="DR25" s="170"/>
      <c r="DS25" s="170"/>
      <c r="DT25" s="170"/>
      <c r="DU25" s="170"/>
      <c r="DV25" s="170"/>
      <c r="DW25" s="172"/>
      <c r="DX25" s="170"/>
      <c r="DY25" s="170"/>
      <c r="DZ25" s="170"/>
      <c r="EA25" s="170"/>
      <c r="EB25" s="170"/>
      <c r="EC25" s="170"/>
      <c r="ED25" s="172"/>
      <c r="EE25" s="170"/>
      <c r="EF25" s="170"/>
      <c r="EG25" s="170"/>
      <c r="EH25" s="170"/>
      <c r="EI25" s="170"/>
      <c r="EJ25" s="170"/>
      <c r="EK25" s="172"/>
      <c r="EL25" s="170"/>
      <c r="EM25" s="170"/>
      <c r="EN25" s="170"/>
      <c r="EO25" s="170"/>
      <c r="EP25" s="170"/>
      <c r="EQ25" s="170"/>
      <c r="ER25" s="172"/>
      <c r="ES25" s="170"/>
      <c r="ET25" s="170"/>
      <c r="EU25" s="170"/>
      <c r="EV25" s="170"/>
      <c r="EW25" s="170"/>
      <c r="EX25" s="170"/>
      <c r="EY25" s="172"/>
      <c r="EZ25" s="170"/>
      <c r="FA25" s="170"/>
      <c r="FB25" s="170"/>
      <c r="FC25" s="170"/>
      <c r="FD25" s="170"/>
      <c r="FE25" s="170"/>
      <c r="FF25" s="172"/>
      <c r="FG25" s="170"/>
      <c r="FH25" s="170"/>
      <c r="FI25" s="170"/>
      <c r="FJ25" s="170"/>
      <c r="FK25" s="170"/>
      <c r="FL25" s="170"/>
      <c r="FM25" s="172"/>
      <c r="FN25" s="170"/>
      <c r="FO25" s="170"/>
      <c r="FP25" s="170"/>
      <c r="FQ25" s="170"/>
      <c r="FR25" s="170"/>
      <c r="FS25" s="170"/>
      <c r="FT25" s="172"/>
      <c r="FU25" s="170"/>
      <c r="FV25" s="170"/>
      <c r="FW25" s="170"/>
      <c r="FX25" s="170"/>
      <c r="FY25" s="170"/>
      <c r="FZ25" s="170"/>
      <c r="GA25" s="172"/>
      <c r="GB25" s="170"/>
      <c r="GC25" s="170"/>
      <c r="GD25" s="170"/>
      <c r="GE25" s="170"/>
      <c r="GF25" s="170"/>
      <c r="GG25" s="170"/>
      <c r="GH25" s="172"/>
      <c r="GI25" s="170"/>
      <c r="GJ25" s="170"/>
      <c r="GK25" s="170"/>
      <c r="GL25" s="170"/>
      <c r="GM25" s="170"/>
      <c r="GN25" s="170"/>
      <c r="GO25" s="172"/>
      <c r="GP25" s="170"/>
      <c r="GQ25" s="170"/>
      <c r="GR25" s="170"/>
      <c r="GS25" s="170"/>
      <c r="GT25" s="170"/>
      <c r="GU25" s="170"/>
      <c r="GV25" s="172"/>
      <c r="GW25" s="170"/>
      <c r="GX25" s="170"/>
      <c r="GY25" s="170"/>
      <c r="GZ25" s="170"/>
      <c r="HA25" s="170"/>
      <c r="HB25" s="170"/>
      <c r="HC25" s="172"/>
      <c r="HD25" s="170"/>
      <c r="HE25" s="170"/>
      <c r="HF25" s="170"/>
      <c r="HG25" s="170"/>
      <c r="HH25" s="170"/>
      <c r="HI25" s="170"/>
      <c r="HJ25" s="172"/>
      <c r="HK25" s="170"/>
      <c r="HL25" s="170"/>
      <c r="HM25" s="170"/>
      <c r="HN25" s="170"/>
      <c r="HO25" s="170"/>
      <c r="HP25" s="170"/>
      <c r="HQ25" s="172"/>
      <c r="HR25" s="170"/>
      <c r="HS25" s="170"/>
      <c r="HT25" s="170"/>
      <c r="HU25" s="170"/>
      <c r="HV25" s="170"/>
      <c r="HW25" s="170"/>
      <c r="HX25" s="172"/>
      <c r="HY25" s="170"/>
      <c r="HZ25" s="170"/>
      <c r="IA25" s="170"/>
      <c r="IB25" s="170"/>
      <c r="IC25" s="170"/>
      <c r="ID25" s="170"/>
      <c r="IE25" s="172"/>
      <c r="IF25" s="170"/>
      <c r="IG25" s="170"/>
      <c r="IH25" s="170"/>
      <c r="II25" s="170"/>
      <c r="IJ25" s="170"/>
      <c r="IK25" s="170"/>
      <c r="IL25" s="172"/>
      <c r="IM25" s="170"/>
      <c r="IN25" s="170"/>
      <c r="IO25" s="170"/>
      <c r="IP25" s="170"/>
      <c r="IQ25" s="170"/>
      <c r="IR25" s="170"/>
      <c r="IS25" s="172"/>
      <c r="IT25" s="170"/>
      <c r="IU25" s="170"/>
      <c r="IV25" s="34"/>
    </row>
    <row r="27" spans="1:267" x14ac:dyDescent="0.25">
      <c r="C27" t="s">
        <v>722</v>
      </c>
      <c r="D27" t="s">
        <v>723</v>
      </c>
      <c r="H27" t="s">
        <v>750</v>
      </c>
      <c r="M27" t="s">
        <v>753</v>
      </c>
      <c r="U27" t="s">
        <v>650</v>
      </c>
      <c r="AI27" t="s">
        <v>650</v>
      </c>
      <c r="AP27" t="s">
        <v>650</v>
      </c>
      <c r="AV27" t="s">
        <v>783</v>
      </c>
    </row>
    <row r="28" spans="1:267" x14ac:dyDescent="0.25">
      <c r="C28" t="s">
        <v>673</v>
      </c>
      <c r="D28" t="s">
        <v>741</v>
      </c>
      <c r="N28" s="142" t="s">
        <v>779</v>
      </c>
      <c r="X28" t="s">
        <v>651</v>
      </c>
    </row>
    <row r="29" spans="1:267" x14ac:dyDescent="0.25">
      <c r="C29" t="s">
        <v>674</v>
      </c>
      <c r="D29" t="s">
        <v>724</v>
      </c>
      <c r="O29" t="s">
        <v>780</v>
      </c>
      <c r="Z29" t="s">
        <v>655</v>
      </c>
    </row>
    <row r="30" spans="1:267" x14ac:dyDescent="0.25">
      <c r="C30" t="s">
        <v>675</v>
      </c>
      <c r="D30" t="s">
        <v>725</v>
      </c>
      <c r="M30">
        <v>4</v>
      </c>
      <c r="N30">
        <v>3</v>
      </c>
      <c r="O30">
        <v>7</v>
      </c>
    </row>
    <row r="31" spans="1:267" x14ac:dyDescent="0.25">
      <c r="C31" t="s">
        <v>676</v>
      </c>
      <c r="D31" t="s">
        <v>726</v>
      </c>
      <c r="Q31" s="175"/>
      <c r="R31" s="45"/>
      <c r="S31" s="45"/>
      <c r="T31" s="45"/>
      <c r="U31" s="45"/>
    </row>
    <row r="32" spans="1:267" x14ac:dyDescent="0.25">
      <c r="C32" t="s">
        <v>678</v>
      </c>
      <c r="D32" t="s">
        <v>727</v>
      </c>
      <c r="Q32" s="45"/>
      <c r="R32" s="45"/>
      <c r="S32" s="45"/>
    </row>
    <row r="33" spans="1:140" x14ac:dyDescent="0.25">
      <c r="B33" t="s">
        <v>46</v>
      </c>
      <c r="C33" t="s">
        <v>670</v>
      </c>
      <c r="D33" t="s">
        <v>672</v>
      </c>
      <c r="H33" s="44" t="s">
        <v>673</v>
      </c>
      <c r="I33" s="142" t="s">
        <v>680</v>
      </c>
      <c r="J33" s="44" t="s">
        <v>674</v>
      </c>
      <c r="K33" s="44" t="s">
        <v>675</v>
      </c>
      <c r="L33" s="44" t="s">
        <v>676</v>
      </c>
      <c r="M33" s="44" t="s">
        <v>678</v>
      </c>
      <c r="N33" s="44" t="s">
        <v>679</v>
      </c>
    </row>
    <row r="34" spans="1:140" x14ac:dyDescent="0.25">
      <c r="A34" t="s">
        <v>667</v>
      </c>
      <c r="B34">
        <v>1</v>
      </c>
      <c r="C34">
        <f t="shared" ref="C34:D37" si="81">B34</f>
        <v>1</v>
      </c>
      <c r="D34">
        <f t="shared" si="81"/>
        <v>1</v>
      </c>
      <c r="H34">
        <f>D34</f>
        <v>1</v>
      </c>
      <c r="I34" s="142" t="s">
        <v>680</v>
      </c>
      <c r="J34">
        <f>H34</f>
        <v>1</v>
      </c>
      <c r="K34">
        <f t="shared" ref="K34:N38" si="82">J34</f>
        <v>1</v>
      </c>
      <c r="L34">
        <f t="shared" si="82"/>
        <v>1</v>
      </c>
      <c r="M34">
        <f t="shared" si="82"/>
        <v>1</v>
      </c>
      <c r="N34">
        <f t="shared" si="82"/>
        <v>1</v>
      </c>
      <c r="Q34" s="45"/>
    </row>
    <row r="35" spans="1:140" x14ac:dyDescent="0.25">
      <c r="A35" t="s">
        <v>668</v>
      </c>
      <c r="B35">
        <v>2</v>
      </c>
      <c r="C35">
        <f t="shared" si="81"/>
        <v>2</v>
      </c>
      <c r="D35">
        <f t="shared" si="81"/>
        <v>2</v>
      </c>
      <c r="H35">
        <f>D35</f>
        <v>2</v>
      </c>
      <c r="I35" s="142" t="s">
        <v>680</v>
      </c>
      <c r="J35">
        <f>H35</f>
        <v>2</v>
      </c>
      <c r="K35">
        <f t="shared" si="82"/>
        <v>2</v>
      </c>
      <c r="L35">
        <f t="shared" si="82"/>
        <v>2</v>
      </c>
      <c r="M35">
        <f t="shared" si="82"/>
        <v>2</v>
      </c>
      <c r="N35">
        <f t="shared" si="82"/>
        <v>2</v>
      </c>
      <c r="Q35" s="45"/>
    </row>
    <row r="36" spans="1:140" x14ac:dyDescent="0.25">
      <c r="A36" t="s">
        <v>200</v>
      </c>
      <c r="B36">
        <v>3</v>
      </c>
      <c r="C36">
        <f t="shared" si="81"/>
        <v>3</v>
      </c>
      <c r="D36">
        <f t="shared" si="81"/>
        <v>3</v>
      </c>
      <c r="H36">
        <f>D36</f>
        <v>3</v>
      </c>
      <c r="I36" s="142" t="s">
        <v>680</v>
      </c>
      <c r="J36">
        <f>H36</f>
        <v>3</v>
      </c>
      <c r="K36">
        <f t="shared" si="82"/>
        <v>3</v>
      </c>
      <c r="L36">
        <f t="shared" si="82"/>
        <v>3</v>
      </c>
      <c r="M36">
        <f t="shared" si="82"/>
        <v>3</v>
      </c>
      <c r="N36">
        <f t="shared" si="82"/>
        <v>3</v>
      </c>
    </row>
    <row r="37" spans="1:140" x14ac:dyDescent="0.25">
      <c r="A37" t="s">
        <v>201</v>
      </c>
      <c r="B37">
        <v>22</v>
      </c>
      <c r="C37">
        <f t="shared" si="81"/>
        <v>22</v>
      </c>
      <c r="D37">
        <f t="shared" si="81"/>
        <v>22</v>
      </c>
      <c r="H37">
        <f>D37</f>
        <v>22</v>
      </c>
      <c r="I37" s="142" t="s">
        <v>680</v>
      </c>
      <c r="J37">
        <f>H37</f>
        <v>22</v>
      </c>
      <c r="K37">
        <f t="shared" si="82"/>
        <v>22</v>
      </c>
      <c r="L37">
        <f t="shared" si="82"/>
        <v>22</v>
      </c>
      <c r="M37">
        <f t="shared" si="82"/>
        <v>22</v>
      </c>
      <c r="N37">
        <f t="shared" si="82"/>
        <v>22</v>
      </c>
      <c r="Q37" s="45"/>
    </row>
    <row r="38" spans="1:140" x14ac:dyDescent="0.25">
      <c r="A38" t="s">
        <v>717</v>
      </c>
      <c r="B38" t="s">
        <v>671</v>
      </c>
      <c r="C38" t="str">
        <f>$B38</f>
        <v>I</v>
      </c>
      <c r="D38" t="str">
        <f>$B38</f>
        <v>I</v>
      </c>
      <c r="H38" t="str">
        <f>D38</f>
        <v>I</v>
      </c>
      <c r="I38" s="142" t="s">
        <v>680</v>
      </c>
      <c r="J38" t="str">
        <f>H38</f>
        <v>I</v>
      </c>
      <c r="K38" t="str">
        <f t="shared" si="82"/>
        <v>I</v>
      </c>
      <c r="L38" t="str">
        <f t="shared" si="82"/>
        <v>I</v>
      </c>
      <c r="M38" t="str">
        <f t="shared" si="82"/>
        <v>I</v>
      </c>
      <c r="N38" t="str">
        <f t="shared" si="82"/>
        <v>I</v>
      </c>
    </row>
    <row r="39" spans="1:140" x14ac:dyDescent="0.25">
      <c r="A39" t="s">
        <v>205</v>
      </c>
      <c r="B39" t="s">
        <v>625</v>
      </c>
      <c r="C39" t="s">
        <v>625</v>
      </c>
      <c r="D39" t="s">
        <v>43</v>
      </c>
      <c r="H39" t="s">
        <v>740</v>
      </c>
      <c r="I39" s="142" t="s">
        <v>680</v>
      </c>
      <c r="J39" t="s">
        <v>742</v>
      </c>
      <c r="K39" s="44" t="s">
        <v>744</v>
      </c>
      <c r="L39" t="s">
        <v>746</v>
      </c>
      <c r="M39" t="s">
        <v>748</v>
      </c>
      <c r="N39" t="s">
        <v>292</v>
      </c>
      <c r="EJ39" t="s">
        <v>677</v>
      </c>
    </row>
    <row r="40" spans="1:140" x14ac:dyDescent="0.25">
      <c r="A40" t="s">
        <v>732</v>
      </c>
      <c r="C40" t="s">
        <v>57</v>
      </c>
      <c r="D40" t="str">
        <f t="shared" ref="D40:N40" si="83">C40</f>
        <v>J</v>
      </c>
      <c r="E40" t="str">
        <f t="shared" si="83"/>
        <v>J</v>
      </c>
      <c r="F40" t="str">
        <f t="shared" si="83"/>
        <v>J</v>
      </c>
      <c r="G40" t="str">
        <f t="shared" si="83"/>
        <v>J</v>
      </c>
      <c r="H40" t="str">
        <f>G40</f>
        <v>J</v>
      </c>
      <c r="I40" t="str">
        <f t="shared" si="83"/>
        <v>J</v>
      </c>
      <c r="J40" t="str">
        <f t="shared" si="83"/>
        <v>J</v>
      </c>
      <c r="K40" t="str">
        <f t="shared" si="83"/>
        <v>J</v>
      </c>
      <c r="L40" t="str">
        <f t="shared" si="83"/>
        <v>J</v>
      </c>
      <c r="M40" t="str">
        <f t="shared" si="83"/>
        <v>J</v>
      </c>
      <c r="N40" t="str">
        <f t="shared" si="83"/>
        <v>J</v>
      </c>
    </row>
    <row r="41" spans="1:140" x14ac:dyDescent="0.25">
      <c r="A41" t="s">
        <v>733</v>
      </c>
      <c r="B41" t="s">
        <v>404</v>
      </c>
      <c r="E41">
        <f t="shared" ref="E41:I41" si="84">D41</f>
        <v>0</v>
      </c>
      <c r="F41">
        <f t="shared" si="84"/>
        <v>0</v>
      </c>
      <c r="G41">
        <f t="shared" si="84"/>
        <v>0</v>
      </c>
      <c r="I41">
        <f t="shared" si="84"/>
        <v>0</v>
      </c>
      <c r="J41"/>
      <c r="K41"/>
      <c r="L41"/>
    </row>
    <row r="42" spans="1:140" x14ac:dyDescent="0.25">
      <c r="A42" t="s">
        <v>734</v>
      </c>
      <c r="B42" t="s">
        <v>52</v>
      </c>
      <c r="E42">
        <f t="shared" ref="E42:I42" si="85">D42</f>
        <v>0</v>
      </c>
      <c r="F42">
        <f t="shared" si="85"/>
        <v>0</v>
      </c>
      <c r="G42">
        <f t="shared" si="85"/>
        <v>0</v>
      </c>
      <c r="I42">
        <f t="shared" si="85"/>
        <v>0</v>
      </c>
      <c r="J42"/>
      <c r="K42"/>
      <c r="L42"/>
    </row>
    <row r="43" spans="1:140" x14ac:dyDescent="0.25">
      <c r="A43" t="s">
        <v>206</v>
      </c>
      <c r="B43" t="str">
        <f>FindEnd(M25:IU25)</f>
        <v>AX</v>
      </c>
      <c r="C43" t="s">
        <v>720</v>
      </c>
      <c r="D43" t="s">
        <v>721</v>
      </c>
      <c r="H43" t="s">
        <v>153</v>
      </c>
      <c r="I43" s="142" t="s">
        <v>680</v>
      </c>
      <c r="J43" t="s">
        <v>743</v>
      </c>
      <c r="K43" s="44" t="s">
        <v>745</v>
      </c>
      <c r="L43" t="s">
        <v>747</v>
      </c>
      <c r="M43" t="s">
        <v>749</v>
      </c>
      <c r="N43" t="s">
        <v>751</v>
      </c>
    </row>
    <row r="44" spans="1:140" x14ac:dyDescent="0.25">
      <c r="A44" t="s">
        <v>681</v>
      </c>
      <c r="B44">
        <v>23</v>
      </c>
      <c r="C44">
        <f>B44</f>
        <v>23</v>
      </c>
      <c r="D44">
        <f>C44</f>
        <v>23</v>
      </c>
      <c r="H44">
        <f>D44</f>
        <v>23</v>
      </c>
      <c r="I44" s="142" t="s">
        <v>680</v>
      </c>
      <c r="J44">
        <f>H44</f>
        <v>23</v>
      </c>
      <c r="K44">
        <f t="shared" ref="K44:N46" si="86">J44</f>
        <v>23</v>
      </c>
      <c r="L44">
        <f t="shared" si="86"/>
        <v>23</v>
      </c>
      <c r="M44">
        <f t="shared" si="86"/>
        <v>23</v>
      </c>
      <c r="N44">
        <f t="shared" si="86"/>
        <v>23</v>
      </c>
    </row>
    <row r="45" spans="1:140" x14ac:dyDescent="0.25">
      <c r="A45" t="s">
        <v>682</v>
      </c>
      <c r="B45">
        <v>24</v>
      </c>
      <c r="C45">
        <f>B45</f>
        <v>24</v>
      </c>
      <c r="D45">
        <f>C45</f>
        <v>24</v>
      </c>
      <c r="H45">
        <f>D45</f>
        <v>24</v>
      </c>
      <c r="I45" s="142" t="s">
        <v>680</v>
      </c>
      <c r="J45">
        <f>H45</f>
        <v>24</v>
      </c>
      <c r="K45">
        <f t="shared" si="86"/>
        <v>24</v>
      </c>
      <c r="L45">
        <f t="shared" si="86"/>
        <v>24</v>
      </c>
      <c r="M45">
        <f t="shared" si="86"/>
        <v>24</v>
      </c>
      <c r="N45">
        <f t="shared" si="86"/>
        <v>24</v>
      </c>
    </row>
    <row r="46" spans="1:140" x14ac:dyDescent="0.25">
      <c r="A46" t="s">
        <v>669</v>
      </c>
      <c r="B46" t="s">
        <v>792</v>
      </c>
      <c r="C46" t="str">
        <f>B46</f>
        <v>K25</v>
      </c>
      <c r="D46" t="str">
        <f t="shared" ref="D46:J46" si="87">C46</f>
        <v>K25</v>
      </c>
      <c r="E46" t="str">
        <f t="shared" si="87"/>
        <v>K25</v>
      </c>
      <c r="F46" t="str">
        <f t="shared" si="87"/>
        <v>K25</v>
      </c>
      <c r="G46" t="str">
        <f t="shared" si="87"/>
        <v>K25</v>
      </c>
      <c r="H46" t="str">
        <f t="shared" si="87"/>
        <v>K25</v>
      </c>
      <c r="I46" t="str">
        <f t="shared" si="87"/>
        <v>K25</v>
      </c>
      <c r="J46" t="str">
        <f t="shared" si="87"/>
        <v>K25</v>
      </c>
      <c r="K46" t="str">
        <f t="shared" si="86"/>
        <v>K25</v>
      </c>
      <c r="L46" t="str">
        <f t="shared" si="86"/>
        <v>K25</v>
      </c>
      <c r="M46" t="str">
        <f t="shared" ref="M46" si="88">L46</f>
        <v>K25</v>
      </c>
      <c r="N46" t="str">
        <f t="shared" ref="N46" si="89">M46</f>
        <v>K25</v>
      </c>
    </row>
    <row r="47" spans="1:140" x14ac:dyDescent="0.25">
      <c r="A47" t="s">
        <v>658</v>
      </c>
      <c r="C47">
        <v>27</v>
      </c>
      <c r="D47">
        <f>C47</f>
        <v>27</v>
      </c>
      <c r="H47">
        <f>D47</f>
        <v>27</v>
      </c>
      <c r="I47" s="142" t="s">
        <v>680</v>
      </c>
      <c r="J47">
        <f>H47</f>
        <v>27</v>
      </c>
      <c r="K47">
        <f t="shared" ref="K47:N48" si="90">J47</f>
        <v>27</v>
      </c>
      <c r="L47">
        <f t="shared" si="90"/>
        <v>27</v>
      </c>
      <c r="M47">
        <f t="shared" si="90"/>
        <v>27</v>
      </c>
      <c r="N47">
        <f t="shared" si="90"/>
        <v>27</v>
      </c>
    </row>
    <row r="48" spans="1:140" x14ac:dyDescent="0.25">
      <c r="A48" t="s">
        <v>659</v>
      </c>
      <c r="C48">
        <v>29</v>
      </c>
      <c r="D48">
        <f>C48</f>
        <v>29</v>
      </c>
      <c r="H48">
        <f>D48</f>
        <v>29</v>
      </c>
      <c r="I48" s="142" t="s">
        <v>680</v>
      </c>
      <c r="J48">
        <f>H48</f>
        <v>29</v>
      </c>
      <c r="K48">
        <f t="shared" si="90"/>
        <v>29</v>
      </c>
      <c r="L48">
        <f t="shared" si="90"/>
        <v>29</v>
      </c>
      <c r="M48">
        <f t="shared" si="90"/>
        <v>29</v>
      </c>
      <c r="N48">
        <f t="shared" si="90"/>
        <v>29</v>
      </c>
    </row>
    <row r="51" spans="1:2" x14ac:dyDescent="0.25">
      <c r="B51">
        <v>3</v>
      </c>
    </row>
    <row r="52" spans="1:2" x14ac:dyDescent="0.25">
      <c r="B52">
        <v>22</v>
      </c>
    </row>
    <row r="53" spans="1:2" x14ac:dyDescent="0.25">
      <c r="A53" t="s">
        <v>752</v>
      </c>
      <c r="B53" t="s">
        <v>736</v>
      </c>
    </row>
    <row r="54" spans="1:2" x14ac:dyDescent="0.25">
      <c r="A54" t="s">
        <v>717</v>
      </c>
      <c r="B54" t="s">
        <v>737</v>
      </c>
    </row>
    <row r="55" spans="1:2" x14ac:dyDescent="0.25">
      <c r="A55" t="s">
        <v>718</v>
      </c>
      <c r="B55" t="s">
        <v>738</v>
      </c>
    </row>
    <row r="56" spans="1:2" x14ac:dyDescent="0.25">
      <c r="A56" t="s">
        <v>719</v>
      </c>
      <c r="B56" t="s">
        <v>739</v>
      </c>
    </row>
  </sheetData>
  <dataConsolidate/>
  <mergeCells count="7">
    <mergeCell ref="K1:K2"/>
    <mergeCell ref="L1:L2"/>
    <mergeCell ref="I1:I2"/>
    <mergeCell ref="A23:H23"/>
    <mergeCell ref="A24:H24"/>
    <mergeCell ref="A1:H2"/>
    <mergeCell ref="J1:J2"/>
  </mergeCells>
  <pageMargins left="0.7" right="0.7" top="0.78740157499999996" bottom="0.78740157499999996" header="0.3" footer="0.3"/>
  <pageSetup paperSize="9" orientation="portrait" r:id="rId1"/>
  <ignoredErrors>
    <ignoredError sqref="W23:X23 AD23 U23 AE23:AR23 AS23:AV23" formulaRange="1"/>
  </ignoredError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33A849-223C-48A5-87F8-B630C13BD232}">
  <sheetPr codeName="Tabelle9"/>
  <dimension ref="A1:B52"/>
  <sheetViews>
    <sheetView tabSelected="1" workbookViewId="0">
      <selection activeCell="B4" sqref="B4"/>
    </sheetView>
  </sheetViews>
  <sheetFormatPr baseColWidth="10" defaultRowHeight="15" x14ac:dyDescent="0.25"/>
  <cols>
    <col min="1" max="1" width="9.42578125" customWidth="1"/>
    <col min="2" max="2" width="102.85546875" customWidth="1"/>
  </cols>
  <sheetData>
    <row r="1" spans="1:2" ht="21" x14ac:dyDescent="0.25">
      <c r="A1" s="70" t="s">
        <v>196</v>
      </c>
      <c r="B1" s="71" t="s">
        <v>189</v>
      </c>
    </row>
    <row r="2" spans="1:2" x14ac:dyDescent="0.25">
      <c r="A2" s="72"/>
      <c r="B2" s="73"/>
    </row>
    <row r="3" spans="1:2" x14ac:dyDescent="0.25">
      <c r="A3" s="75">
        <v>44233</v>
      </c>
      <c r="B3" s="74" t="s">
        <v>796</v>
      </c>
    </row>
    <row r="4" spans="1:2" x14ac:dyDescent="0.25">
      <c r="A4" s="72"/>
      <c r="B4" s="73" t="s">
        <v>797</v>
      </c>
    </row>
    <row r="5" spans="1:2" x14ac:dyDescent="0.25">
      <c r="A5" s="75">
        <v>44232</v>
      </c>
      <c r="B5" s="74" t="s">
        <v>763</v>
      </c>
    </row>
    <row r="6" spans="1:2" ht="60" x14ac:dyDescent="0.25">
      <c r="A6" s="72"/>
      <c r="B6" s="76" t="s">
        <v>795</v>
      </c>
    </row>
    <row r="7" spans="1:2" x14ac:dyDescent="0.25">
      <c r="A7" s="75">
        <v>44231</v>
      </c>
      <c r="B7" s="74" t="s">
        <v>763</v>
      </c>
    </row>
    <row r="8" spans="1:2" ht="90" x14ac:dyDescent="0.25">
      <c r="A8" s="72"/>
      <c r="B8" s="76" t="s">
        <v>786</v>
      </c>
    </row>
    <row r="9" spans="1:2" x14ac:dyDescent="0.25">
      <c r="A9" s="75">
        <v>44229</v>
      </c>
      <c r="B9" s="74" t="s">
        <v>763</v>
      </c>
    </row>
    <row r="10" spans="1:2" ht="75" x14ac:dyDescent="0.25">
      <c r="A10" s="72"/>
      <c r="B10" s="76" t="s">
        <v>785</v>
      </c>
    </row>
    <row r="11" spans="1:2" x14ac:dyDescent="0.25">
      <c r="A11" s="75">
        <v>44228</v>
      </c>
      <c r="B11" s="74" t="s">
        <v>663</v>
      </c>
    </row>
    <row r="12" spans="1:2" ht="45" x14ac:dyDescent="0.25">
      <c r="A12" s="72"/>
      <c r="B12" s="76" t="s">
        <v>784</v>
      </c>
    </row>
    <row r="13" spans="1:2" x14ac:dyDescent="0.25">
      <c r="A13" s="72"/>
      <c r="B13" s="73"/>
    </row>
    <row r="14" spans="1:2" x14ac:dyDescent="0.25">
      <c r="A14" s="75">
        <v>44227</v>
      </c>
      <c r="B14" s="74" t="s">
        <v>775</v>
      </c>
    </row>
    <row r="15" spans="1:2" ht="60" x14ac:dyDescent="0.25">
      <c r="A15" s="72"/>
      <c r="B15" s="76" t="s">
        <v>776</v>
      </c>
    </row>
    <row r="16" spans="1:2" x14ac:dyDescent="0.25">
      <c r="A16" s="75">
        <v>44226</v>
      </c>
      <c r="B16" s="74" t="s">
        <v>767</v>
      </c>
    </row>
    <row r="17" spans="1:2" x14ac:dyDescent="0.25">
      <c r="A17" s="72"/>
      <c r="B17" s="73" t="s">
        <v>774</v>
      </c>
    </row>
    <row r="18" spans="1:2" x14ac:dyDescent="0.25">
      <c r="A18" s="75">
        <v>44225</v>
      </c>
      <c r="B18" s="74" t="s">
        <v>608</v>
      </c>
    </row>
    <row r="19" spans="1:2" ht="105" x14ac:dyDescent="0.25">
      <c r="A19" s="72"/>
      <c r="B19" s="76" t="s">
        <v>773</v>
      </c>
    </row>
    <row r="20" spans="1:2" x14ac:dyDescent="0.25">
      <c r="A20" s="75">
        <v>44224</v>
      </c>
      <c r="B20" s="74" t="s">
        <v>771</v>
      </c>
    </row>
    <row r="21" spans="1:2" ht="45" x14ac:dyDescent="0.25">
      <c r="A21" s="72"/>
      <c r="B21" s="76" t="s">
        <v>772</v>
      </c>
    </row>
    <row r="22" spans="1:2" x14ac:dyDescent="0.25">
      <c r="A22" s="75">
        <v>44222</v>
      </c>
      <c r="B22" s="74" t="s">
        <v>729</v>
      </c>
    </row>
    <row r="23" spans="1:2" ht="135" x14ac:dyDescent="0.25">
      <c r="A23" s="72"/>
      <c r="B23" s="76" t="s">
        <v>766</v>
      </c>
    </row>
    <row r="24" spans="1:2" x14ac:dyDescent="0.25">
      <c r="A24" s="75">
        <v>44221</v>
      </c>
      <c r="B24" s="74" t="s">
        <v>763</v>
      </c>
    </row>
    <row r="25" spans="1:2" x14ac:dyDescent="0.25">
      <c r="B25" t="s">
        <v>764</v>
      </c>
    </row>
    <row r="26" spans="1:2" x14ac:dyDescent="0.25">
      <c r="A26" s="72"/>
      <c r="B26" s="73"/>
    </row>
    <row r="27" spans="1:2" x14ac:dyDescent="0.25">
      <c r="A27" s="75">
        <v>44220</v>
      </c>
      <c r="B27" s="74" t="s">
        <v>755</v>
      </c>
    </row>
    <row r="28" spans="1:2" ht="75" x14ac:dyDescent="0.25">
      <c r="A28" s="72"/>
      <c r="B28" s="76" t="s">
        <v>761</v>
      </c>
    </row>
    <row r="29" spans="1:2" x14ac:dyDescent="0.25">
      <c r="A29" s="75">
        <v>44219</v>
      </c>
      <c r="B29" s="74" t="s">
        <v>762</v>
      </c>
    </row>
    <row r="30" spans="1:2" x14ac:dyDescent="0.25">
      <c r="A30" s="72"/>
      <c r="B30" s="73" t="s">
        <v>760</v>
      </c>
    </row>
    <row r="31" spans="1:2" x14ac:dyDescent="0.25">
      <c r="A31" s="75">
        <v>44218</v>
      </c>
      <c r="B31" s="74" t="s">
        <v>755</v>
      </c>
    </row>
    <row r="32" spans="1:2" ht="60" x14ac:dyDescent="0.25">
      <c r="A32" s="72"/>
      <c r="B32" s="76" t="s">
        <v>756</v>
      </c>
    </row>
    <row r="33" spans="1:2" x14ac:dyDescent="0.25">
      <c r="A33" s="75">
        <v>44217</v>
      </c>
      <c r="B33" s="74" t="s">
        <v>664</v>
      </c>
    </row>
    <row r="34" spans="1:2" ht="60" x14ac:dyDescent="0.25">
      <c r="A34" s="72"/>
      <c r="B34" s="76" t="s">
        <v>754</v>
      </c>
    </row>
    <row r="35" spans="1:2" x14ac:dyDescent="0.25">
      <c r="A35" s="75">
        <v>44215</v>
      </c>
      <c r="B35" s="74" t="s">
        <v>663</v>
      </c>
    </row>
    <row r="36" spans="1:2" ht="135" x14ac:dyDescent="0.25">
      <c r="A36" s="72"/>
      <c r="B36" s="76" t="s">
        <v>735</v>
      </c>
    </row>
    <row r="37" spans="1:2" x14ac:dyDescent="0.25">
      <c r="A37" s="75">
        <v>44214</v>
      </c>
      <c r="B37" s="74" t="s">
        <v>729</v>
      </c>
    </row>
    <row r="38" spans="1:2" ht="105" x14ac:dyDescent="0.25">
      <c r="A38" s="72"/>
      <c r="B38" s="76" t="s">
        <v>730</v>
      </c>
    </row>
    <row r="39" spans="1:2" x14ac:dyDescent="0.25">
      <c r="A39" s="72"/>
      <c r="B39" s="73"/>
    </row>
    <row r="40" spans="1:2" x14ac:dyDescent="0.25">
      <c r="A40" s="75">
        <v>44211</v>
      </c>
      <c r="B40" s="74" t="s">
        <v>663</v>
      </c>
    </row>
    <row r="41" spans="1:2" ht="105" x14ac:dyDescent="0.25">
      <c r="A41" s="72"/>
      <c r="B41" s="76" t="s">
        <v>665</v>
      </c>
    </row>
    <row r="42" spans="1:2" x14ac:dyDescent="0.25">
      <c r="A42" s="75">
        <v>44210</v>
      </c>
      <c r="B42" s="74" t="s">
        <v>664</v>
      </c>
    </row>
    <row r="43" spans="1:2" ht="75" x14ac:dyDescent="0.25">
      <c r="A43" s="72"/>
      <c r="B43" s="76" t="s">
        <v>654</v>
      </c>
    </row>
    <row r="44" spans="1:2" x14ac:dyDescent="0.25">
      <c r="A44" s="75">
        <v>44208</v>
      </c>
      <c r="B44" s="74" t="s">
        <v>660</v>
      </c>
    </row>
    <row r="45" spans="1:2" ht="75" x14ac:dyDescent="0.25">
      <c r="A45" s="72"/>
      <c r="B45" s="76" t="s">
        <v>666</v>
      </c>
    </row>
    <row r="46" spans="1:2" x14ac:dyDescent="0.25">
      <c r="A46" s="75">
        <v>44207</v>
      </c>
      <c r="B46" s="74" t="s">
        <v>661</v>
      </c>
    </row>
    <row r="47" spans="1:2" ht="45" x14ac:dyDescent="0.25">
      <c r="A47" s="72"/>
      <c r="B47" s="76" t="s">
        <v>653</v>
      </c>
    </row>
    <row r="48" spans="1:2" x14ac:dyDescent="0.25">
      <c r="A48" s="72"/>
      <c r="B48" s="73"/>
    </row>
    <row r="49" spans="1:2" x14ac:dyDescent="0.25">
      <c r="A49" s="75">
        <v>44205</v>
      </c>
      <c r="B49" s="74" t="s">
        <v>662</v>
      </c>
    </row>
    <row r="50" spans="1:2" ht="60" x14ac:dyDescent="0.25">
      <c r="A50" s="72"/>
      <c r="B50" s="76" t="s">
        <v>652</v>
      </c>
    </row>
    <row r="51" spans="1:2" x14ac:dyDescent="0.25">
      <c r="A51" s="72"/>
      <c r="B51" s="73"/>
    </row>
    <row r="52" spans="1:2" x14ac:dyDescent="0.25">
      <c r="A52" s="72"/>
      <c r="B52" s="73"/>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ExportDiaryA_21">
                <anchor moveWithCells="1" sizeWithCells="1">
                  <from>
                    <xdr:col>1</xdr:col>
                    <xdr:colOff>5248275</xdr:colOff>
                    <xdr:row>0</xdr:row>
                    <xdr:rowOff>0</xdr:rowOff>
                  </from>
                  <to>
                    <xdr:col>1</xdr:col>
                    <xdr:colOff>6848475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EBA09-7C34-4146-BB38-445106BE330B}">
  <sheetPr codeName="Tabelle11"/>
  <dimension ref="A1:D19"/>
  <sheetViews>
    <sheetView workbookViewId="0">
      <selection activeCell="B12" sqref="B12"/>
    </sheetView>
  </sheetViews>
  <sheetFormatPr baseColWidth="10" defaultRowHeight="15" x14ac:dyDescent="0.25"/>
  <sheetData>
    <row r="1" spans="1:4" x14ac:dyDescent="0.25">
      <c r="A1" s="163">
        <v>44106</v>
      </c>
      <c r="B1">
        <v>2</v>
      </c>
    </row>
    <row r="2" spans="1:4" x14ac:dyDescent="0.25">
      <c r="A2" s="195">
        <v>44161</v>
      </c>
      <c r="B2">
        <v>1</v>
      </c>
    </row>
    <row r="3" spans="1:4" x14ac:dyDescent="0.25">
      <c r="A3" s="195">
        <v>44175</v>
      </c>
      <c r="B3">
        <v>2</v>
      </c>
    </row>
    <row r="4" spans="1:4" x14ac:dyDescent="0.25">
      <c r="A4" s="195">
        <v>44183</v>
      </c>
      <c r="B4">
        <v>1</v>
      </c>
    </row>
    <row r="5" spans="1:4" x14ac:dyDescent="0.25">
      <c r="A5" s="195">
        <v>44186</v>
      </c>
      <c r="B5">
        <v>2</v>
      </c>
    </row>
    <row r="6" spans="1:4" x14ac:dyDescent="0.25">
      <c r="A6" s="195">
        <v>44187</v>
      </c>
      <c r="B6">
        <v>2</v>
      </c>
    </row>
    <row r="7" spans="1:4" x14ac:dyDescent="0.25">
      <c r="A7" s="195">
        <v>44203</v>
      </c>
      <c r="B7">
        <v>4.5</v>
      </c>
    </row>
    <row r="8" spans="1:4" x14ac:dyDescent="0.25">
      <c r="A8" s="195">
        <v>44204</v>
      </c>
      <c r="B8">
        <v>3</v>
      </c>
    </row>
    <row r="9" spans="1:4" x14ac:dyDescent="0.25">
      <c r="A9" s="195">
        <v>44207</v>
      </c>
      <c r="B9">
        <v>6</v>
      </c>
    </row>
    <row r="10" spans="1:4" x14ac:dyDescent="0.25">
      <c r="A10" s="195">
        <v>44208</v>
      </c>
      <c r="C10" t="s">
        <v>765</v>
      </c>
      <c r="D10">
        <v>4</v>
      </c>
    </row>
    <row r="11" spans="1:4" x14ac:dyDescent="0.25">
      <c r="A11" s="195">
        <v>44209</v>
      </c>
      <c r="C11" t="s">
        <v>765</v>
      </c>
      <c r="D11">
        <v>8</v>
      </c>
    </row>
    <row r="12" spans="1:4" x14ac:dyDescent="0.25">
      <c r="A12" s="195">
        <v>44210</v>
      </c>
      <c r="C12" t="s">
        <v>765</v>
      </c>
      <c r="D12">
        <v>5</v>
      </c>
    </row>
    <row r="13" spans="1:4" x14ac:dyDescent="0.25">
      <c r="A13" s="195">
        <v>44211</v>
      </c>
      <c r="B13">
        <v>4.5</v>
      </c>
    </row>
    <row r="14" spans="1:4" x14ac:dyDescent="0.25">
      <c r="A14" s="195">
        <v>44214</v>
      </c>
      <c r="B14">
        <v>5.5</v>
      </c>
    </row>
    <row r="15" spans="1:4" x14ac:dyDescent="0.25">
      <c r="A15" s="195">
        <v>44215</v>
      </c>
      <c r="B15">
        <v>3</v>
      </c>
    </row>
    <row r="16" spans="1:4" x14ac:dyDescent="0.25">
      <c r="A16" s="195">
        <v>44217</v>
      </c>
      <c r="B16">
        <v>7.5</v>
      </c>
    </row>
    <row r="17" spans="1:2" x14ac:dyDescent="0.25">
      <c r="A17" s="195">
        <v>44218</v>
      </c>
      <c r="B17">
        <v>2</v>
      </c>
    </row>
    <row r="18" spans="1:2" x14ac:dyDescent="0.25">
      <c r="A18" s="195">
        <v>44223</v>
      </c>
      <c r="B18">
        <v>1</v>
      </c>
    </row>
    <row r="19" spans="1:2" x14ac:dyDescent="0.25">
      <c r="B19">
        <f>SUM(B1:B18)</f>
        <v>47</v>
      </c>
    </row>
  </sheetData>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D3" sqref="D3"/>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433</v>
      </c>
    </row>
    <row r="2" spans="1:5" ht="30" x14ac:dyDescent="0.25">
      <c r="A2" s="52" t="s">
        <v>151</v>
      </c>
      <c r="B2" s="52" t="s">
        <v>153</v>
      </c>
      <c r="C2" s="1" t="s">
        <v>731</v>
      </c>
    </row>
    <row r="3" spans="1:5" ht="60" x14ac:dyDescent="0.25">
      <c r="A3" s="52" t="s">
        <v>20</v>
      </c>
      <c r="B3" s="52" t="s">
        <v>149</v>
      </c>
      <c r="C3" s="1" t="s">
        <v>500</v>
      </c>
    </row>
    <row r="4" spans="1:5" ht="30" x14ac:dyDescent="0.25">
      <c r="A4" s="52" t="s">
        <v>177</v>
      </c>
      <c r="B4" s="52" t="s">
        <v>178</v>
      </c>
      <c r="C4" s="1" t="s">
        <v>313</v>
      </c>
    </row>
    <row r="5" spans="1:5" ht="30" x14ac:dyDescent="0.25">
      <c r="A5" s="52" t="s">
        <v>161</v>
      </c>
      <c r="B5" s="52" t="s">
        <v>175</v>
      </c>
      <c r="C5" s="1" t="s">
        <v>227</v>
      </c>
    </row>
    <row r="6" spans="1:5" x14ac:dyDescent="0.25">
      <c r="A6" s="52" t="s">
        <v>385</v>
      </c>
      <c r="B6" s="52" t="s">
        <v>238</v>
      </c>
      <c r="C6" s="1" t="s">
        <v>483</v>
      </c>
    </row>
    <row r="7" spans="1:5" ht="45" x14ac:dyDescent="0.25">
      <c r="A7" s="52" t="s">
        <v>420</v>
      </c>
      <c r="B7" s="52" t="s">
        <v>163</v>
      </c>
      <c r="C7" s="1" t="s">
        <v>303</v>
      </c>
    </row>
    <row r="8" spans="1:5" hidden="1" x14ac:dyDescent="0.25">
      <c r="A8" s="52" t="s">
        <v>177</v>
      </c>
      <c r="B8" s="52" t="s">
        <v>179</v>
      </c>
    </row>
    <row r="9" spans="1:5" hidden="1" x14ac:dyDescent="0.25">
      <c r="A9" s="52" t="s">
        <v>171</v>
      </c>
      <c r="B9" s="52" t="s">
        <v>173</v>
      </c>
      <c r="C9" s="1" t="s">
        <v>228</v>
      </c>
      <c r="E9" t="s">
        <v>309</v>
      </c>
    </row>
    <row r="10" spans="1:5" ht="30" hidden="1" x14ac:dyDescent="0.25">
      <c r="A10" s="52" t="s">
        <v>230</v>
      </c>
      <c r="B10" s="52" t="s">
        <v>232</v>
      </c>
      <c r="C10" s="1" t="s">
        <v>457</v>
      </c>
    </row>
    <row r="11" spans="1:5" ht="45" x14ac:dyDescent="0.25">
      <c r="A11" s="52" t="s">
        <v>502</v>
      </c>
      <c r="B11" s="52" t="s">
        <v>158</v>
      </c>
      <c r="C11" s="1" t="s">
        <v>434</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354</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419</v>
      </c>
      <c r="E18" t="s">
        <v>310</v>
      </c>
    </row>
    <row r="19" spans="1:5" ht="30" x14ac:dyDescent="0.25">
      <c r="A19" s="52" t="s">
        <v>501</v>
      </c>
      <c r="B19" s="52" t="s">
        <v>167</v>
      </c>
      <c r="C19" s="1" t="s">
        <v>301</v>
      </c>
      <c r="E19" t="s">
        <v>353</v>
      </c>
    </row>
    <row r="20" spans="1:5" ht="30" x14ac:dyDescent="0.25">
      <c r="A20" s="52" t="s">
        <v>22</v>
      </c>
      <c r="B20" s="52" t="s">
        <v>183</v>
      </c>
      <c r="C20" s="1" t="s">
        <v>355</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21FF0-2BFA-4124-95A9-5ADC87BBD846}">
  <sheetPr codeName="Tabelle10"/>
  <dimension ref="A1:G42"/>
  <sheetViews>
    <sheetView topLeftCell="A7" workbookViewId="0">
      <selection activeCell="B37" sqref="B37"/>
    </sheetView>
  </sheetViews>
  <sheetFormatPr baseColWidth="10" defaultRowHeight="15" x14ac:dyDescent="0.25"/>
  <cols>
    <col min="1" max="1" width="4" customWidth="1"/>
  </cols>
  <sheetData>
    <row r="1" spans="2:5" ht="15.75" thickBot="1" x14ac:dyDescent="0.3"/>
    <row r="2" spans="2:5" x14ac:dyDescent="0.25">
      <c r="B2" s="149" t="s">
        <v>633</v>
      </c>
      <c r="C2" s="150" t="s">
        <v>634</v>
      </c>
      <c r="D2" s="150">
        <v>1</v>
      </c>
      <c r="E2" s="151">
        <f>SUM(D2:D17)</f>
        <v>12</v>
      </c>
    </row>
    <row r="3" spans="2:5" x14ac:dyDescent="0.25">
      <c r="B3" s="152" t="s">
        <v>161</v>
      </c>
      <c r="C3" s="34" t="s">
        <v>634</v>
      </c>
      <c r="D3" s="34">
        <v>1</v>
      </c>
      <c r="E3" s="153" t="s">
        <v>642</v>
      </c>
    </row>
    <row r="4" spans="2:5" x14ac:dyDescent="0.25">
      <c r="B4" s="152" t="s">
        <v>22</v>
      </c>
      <c r="C4" s="34" t="s">
        <v>634</v>
      </c>
      <c r="D4" s="34">
        <v>1</v>
      </c>
      <c r="E4" s="154"/>
    </row>
    <row r="5" spans="2:5" x14ac:dyDescent="0.25">
      <c r="B5" s="152" t="s">
        <v>502</v>
      </c>
      <c r="C5" s="34" t="s">
        <v>634</v>
      </c>
      <c r="D5" s="34">
        <v>1</v>
      </c>
      <c r="E5" s="154"/>
    </row>
    <row r="6" spans="2:5" x14ac:dyDescent="0.25">
      <c r="B6" s="152" t="s">
        <v>155</v>
      </c>
      <c r="C6" s="34" t="s">
        <v>634</v>
      </c>
      <c r="D6" s="34">
        <v>1</v>
      </c>
      <c r="E6" s="154"/>
    </row>
    <row r="7" spans="2:5" x14ac:dyDescent="0.25">
      <c r="B7" s="152" t="s">
        <v>501</v>
      </c>
      <c r="C7" s="34" t="s">
        <v>635</v>
      </c>
      <c r="D7" s="34"/>
      <c r="E7" s="154"/>
    </row>
    <row r="8" spans="2:5" x14ac:dyDescent="0.25">
      <c r="B8" s="152" t="s">
        <v>20</v>
      </c>
      <c r="C8" s="34" t="s">
        <v>634</v>
      </c>
      <c r="D8" s="34">
        <v>1</v>
      </c>
      <c r="E8" s="154"/>
    </row>
    <row r="9" spans="2:5" x14ac:dyDescent="0.25">
      <c r="B9" s="152" t="s">
        <v>225</v>
      </c>
      <c r="C9" s="34" t="s">
        <v>634</v>
      </c>
      <c r="D9" s="34">
        <v>1</v>
      </c>
      <c r="E9" s="154"/>
    </row>
    <row r="10" spans="2:5" x14ac:dyDescent="0.25">
      <c r="B10" s="152" t="s">
        <v>636</v>
      </c>
      <c r="C10" s="34" t="s">
        <v>637</v>
      </c>
      <c r="D10" s="34">
        <v>1</v>
      </c>
      <c r="E10" s="154"/>
    </row>
    <row r="11" spans="2:5" x14ac:dyDescent="0.25">
      <c r="B11" s="152" t="s">
        <v>133</v>
      </c>
      <c r="C11" s="34" t="s">
        <v>634</v>
      </c>
      <c r="D11" s="34">
        <v>1</v>
      </c>
      <c r="E11" s="154"/>
    </row>
    <row r="12" spans="2:5" x14ac:dyDescent="0.25">
      <c r="B12" s="152" t="s">
        <v>638</v>
      </c>
      <c r="C12" s="34" t="s">
        <v>634</v>
      </c>
      <c r="D12" s="34">
        <v>1</v>
      </c>
      <c r="E12" s="154"/>
    </row>
    <row r="13" spans="2:5" x14ac:dyDescent="0.25">
      <c r="B13" s="152" t="s">
        <v>420</v>
      </c>
      <c r="C13" s="34" t="s">
        <v>639</v>
      </c>
      <c r="D13" s="34"/>
      <c r="E13" s="154"/>
    </row>
    <row r="14" spans="2:5" x14ac:dyDescent="0.25">
      <c r="B14" s="152" t="s">
        <v>152</v>
      </c>
      <c r="C14" s="34"/>
      <c r="D14" s="34">
        <v>1</v>
      </c>
      <c r="E14" s="154"/>
    </row>
    <row r="15" spans="2:5" x14ac:dyDescent="0.25">
      <c r="B15" s="152" t="s">
        <v>385</v>
      </c>
      <c r="C15" s="34"/>
      <c r="D15" s="34">
        <v>1</v>
      </c>
      <c r="E15" s="154"/>
    </row>
    <row r="16" spans="2:5" x14ac:dyDescent="0.25">
      <c r="B16" s="152"/>
      <c r="C16" s="34"/>
      <c r="D16" s="34"/>
      <c r="E16" s="154"/>
    </row>
    <row r="17" spans="1:7" x14ac:dyDescent="0.25">
      <c r="B17" s="155"/>
      <c r="C17" s="93"/>
      <c r="D17" s="93"/>
      <c r="E17" s="156"/>
    </row>
    <row r="18" spans="1:7" x14ac:dyDescent="0.25">
      <c r="B18" s="157" t="s">
        <v>230</v>
      </c>
      <c r="C18" s="140" t="s">
        <v>640</v>
      </c>
      <c r="D18" s="140"/>
      <c r="E18" s="158"/>
    </row>
    <row r="19" spans="1:7" x14ac:dyDescent="0.25">
      <c r="B19" s="152" t="s">
        <v>132</v>
      </c>
      <c r="C19" s="34"/>
      <c r="D19" s="34"/>
      <c r="E19" s="154"/>
    </row>
    <row r="20" spans="1:7" x14ac:dyDescent="0.25">
      <c r="B20" s="152" t="s">
        <v>141</v>
      </c>
      <c r="C20" s="34"/>
      <c r="D20" s="34">
        <v>1</v>
      </c>
      <c r="E20" s="154"/>
    </row>
    <row r="21" spans="1:7" ht="15.75" thickBot="1" x14ac:dyDescent="0.3">
      <c r="B21" s="159" t="s">
        <v>138</v>
      </c>
      <c r="C21" s="160" t="s">
        <v>641</v>
      </c>
      <c r="D21" s="160"/>
      <c r="E21" s="161"/>
    </row>
    <row r="28" spans="1:7" hidden="1" x14ac:dyDescent="0.25">
      <c r="A28">
        <v>2</v>
      </c>
      <c r="B28" s="8" t="s">
        <v>116</v>
      </c>
      <c r="C28" s="8" t="s">
        <v>115</v>
      </c>
      <c r="D28" s="8" t="s">
        <v>114</v>
      </c>
      <c r="E28" s="8" t="s">
        <v>113</v>
      </c>
      <c r="F28" s="56">
        <v>40073</v>
      </c>
    </row>
    <row r="29" spans="1:7" hidden="1" x14ac:dyDescent="0.25">
      <c r="A29">
        <v>3</v>
      </c>
      <c r="B29" s="8" t="s">
        <v>112</v>
      </c>
      <c r="C29" s="8" t="s">
        <v>111</v>
      </c>
      <c r="D29" s="8" t="s">
        <v>110</v>
      </c>
      <c r="E29" s="8" t="s">
        <v>109</v>
      </c>
      <c r="F29" s="56">
        <v>40099</v>
      </c>
    </row>
    <row r="30" spans="1:7" x14ac:dyDescent="0.25">
      <c r="A30">
        <v>1</v>
      </c>
      <c r="B30" s="8" t="s">
        <v>73</v>
      </c>
      <c r="C30" s="8" t="s">
        <v>108</v>
      </c>
      <c r="D30" s="8" t="s">
        <v>107</v>
      </c>
      <c r="E30" s="8" t="s">
        <v>106</v>
      </c>
      <c r="F30" s="18">
        <v>39474</v>
      </c>
      <c r="G30" s="196" t="s">
        <v>768</v>
      </c>
    </row>
    <row r="31" spans="1:7" x14ac:dyDescent="0.25">
      <c r="A31">
        <v>1</v>
      </c>
      <c r="B31" s="8" t="s">
        <v>236</v>
      </c>
      <c r="C31" s="8" t="s">
        <v>237</v>
      </c>
      <c r="D31" s="8" t="s">
        <v>238</v>
      </c>
      <c r="E31" s="8" t="s">
        <v>239</v>
      </c>
      <c r="F31" s="18">
        <v>39425</v>
      </c>
      <c r="G31" s="96" t="s">
        <v>770</v>
      </c>
    </row>
    <row r="32" spans="1:7" hidden="1" x14ac:dyDescent="0.25">
      <c r="A32">
        <v>9</v>
      </c>
      <c r="B32" s="8" t="s">
        <v>62</v>
      </c>
      <c r="C32" s="8"/>
      <c r="D32" s="8" t="s">
        <v>292</v>
      </c>
      <c r="E32" s="8" t="s">
        <v>293</v>
      </c>
      <c r="F32" s="18">
        <v>39814</v>
      </c>
      <c r="G32" s="96"/>
    </row>
    <row r="33" spans="1:7" x14ac:dyDescent="0.25">
      <c r="A33">
        <v>1</v>
      </c>
      <c r="B33" s="8" t="s">
        <v>92</v>
      </c>
      <c r="C33" s="8"/>
      <c r="D33" s="8" t="s">
        <v>91</v>
      </c>
      <c r="E33" s="8" t="s">
        <v>90</v>
      </c>
      <c r="F33" s="18">
        <v>39507</v>
      </c>
      <c r="G33" s="196" t="s">
        <v>768</v>
      </c>
    </row>
    <row r="34" spans="1:7" hidden="1" x14ac:dyDescent="0.25">
      <c r="A34">
        <v>9</v>
      </c>
      <c r="B34" s="8" t="s">
        <v>89</v>
      </c>
      <c r="C34" s="8"/>
      <c r="D34" s="8" t="s">
        <v>88</v>
      </c>
      <c r="E34" s="8" t="s">
        <v>87</v>
      </c>
      <c r="F34" s="18">
        <v>39651</v>
      </c>
      <c r="G34" s="96"/>
    </row>
    <row r="35" spans="1:7" x14ac:dyDescent="0.25">
      <c r="A35">
        <v>1</v>
      </c>
      <c r="B35" s="8" t="s">
        <v>134</v>
      </c>
      <c r="C35" s="8" t="s">
        <v>133</v>
      </c>
      <c r="D35" s="8" t="s">
        <v>235</v>
      </c>
      <c r="E35" s="8" t="s">
        <v>87</v>
      </c>
      <c r="F35" s="18">
        <v>38979</v>
      </c>
      <c r="G35" s="196" t="s">
        <v>769</v>
      </c>
    </row>
    <row r="36" spans="1:7" hidden="1" x14ac:dyDescent="0.25">
      <c r="A36">
        <v>9</v>
      </c>
      <c r="B36" s="8" t="s">
        <v>86</v>
      </c>
      <c r="C36" s="8"/>
      <c r="D36" s="8" t="s">
        <v>85</v>
      </c>
      <c r="E36" s="8" t="s">
        <v>84</v>
      </c>
      <c r="F36" s="18">
        <v>39562</v>
      </c>
      <c r="G36" s="96"/>
    </row>
    <row r="37" spans="1:7" x14ac:dyDescent="0.25">
      <c r="A37">
        <v>1</v>
      </c>
      <c r="B37" s="8" t="s">
        <v>83</v>
      </c>
      <c r="C37" s="8"/>
      <c r="D37" s="8" t="s">
        <v>82</v>
      </c>
      <c r="E37" s="8" t="s">
        <v>81</v>
      </c>
      <c r="F37" s="18">
        <v>39475</v>
      </c>
      <c r="G37" s="196" t="s">
        <v>768</v>
      </c>
    </row>
    <row r="38" spans="1:7" x14ac:dyDescent="0.25">
      <c r="A38">
        <v>1</v>
      </c>
      <c r="B38" s="8" t="s">
        <v>428</v>
      </c>
      <c r="C38" s="8"/>
      <c r="D38" s="8" t="s">
        <v>429</v>
      </c>
      <c r="E38" s="8" t="s">
        <v>600</v>
      </c>
      <c r="F38" s="18">
        <v>40003</v>
      </c>
      <c r="G38" s="96" t="s">
        <v>770</v>
      </c>
    </row>
    <row r="39" spans="1:7" hidden="1" x14ac:dyDescent="0.25">
      <c r="A39">
        <v>3</v>
      </c>
      <c r="B39" s="8" t="s">
        <v>80</v>
      </c>
      <c r="C39" s="8"/>
      <c r="D39" s="8" t="s">
        <v>79</v>
      </c>
      <c r="E39" s="8" t="s">
        <v>78</v>
      </c>
      <c r="F39" s="18">
        <v>39927</v>
      </c>
    </row>
    <row r="40" spans="1:7" hidden="1" x14ac:dyDescent="0.25">
      <c r="A40">
        <v>2</v>
      </c>
      <c r="B40" s="8" t="s">
        <v>77</v>
      </c>
      <c r="C40" s="8" t="s">
        <v>76</v>
      </c>
      <c r="D40" s="8" t="s">
        <v>75</v>
      </c>
      <c r="E40" s="8" t="s">
        <v>74</v>
      </c>
      <c r="F40" s="18">
        <v>40051</v>
      </c>
    </row>
    <row r="41" spans="1:7" hidden="1" x14ac:dyDescent="0.25">
      <c r="A41">
        <v>2</v>
      </c>
      <c r="B41" s="8" t="s">
        <v>73</v>
      </c>
      <c r="C41" s="8"/>
      <c r="D41" s="8" t="s">
        <v>27</v>
      </c>
      <c r="E41" s="8" t="s">
        <v>70</v>
      </c>
      <c r="F41" s="18">
        <v>40004</v>
      </c>
    </row>
    <row r="42" spans="1:7" hidden="1" x14ac:dyDescent="0.25">
      <c r="A42">
        <v>4</v>
      </c>
      <c r="B42" s="8" t="s">
        <v>72</v>
      </c>
      <c r="C42" s="8"/>
      <c r="D42" s="8" t="s">
        <v>71</v>
      </c>
      <c r="E42" s="8" t="s">
        <v>70</v>
      </c>
      <c r="F42" s="18">
        <v>40754</v>
      </c>
    </row>
  </sheetData>
  <pageMargins left="0.7" right="0.7" top="0.78740157499999996" bottom="0.78740157499999996" header="0.3" footer="0.3"/>
  <ignoredErrors>
    <ignoredError sqref="E2" formulaRange="1"/>
    <ignoredError sqref="E3" numberStoredAsText="1"/>
  </ignoredError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NJ121"/>
  <sheetViews>
    <sheetView zoomScaleNormal="100" workbookViewId="0">
      <pane xSplit="18" ySplit="3" topLeftCell="S46" activePane="bottomRight" state="frozen"/>
      <selection pane="topRight" activeCell="F1" sqref="F1"/>
      <selection pane="bottomLeft" activeCell="A3" sqref="A3"/>
      <selection pane="bottomRight" activeCell="V67" sqref="V67"/>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74" width="3.140625" customWidth="1"/>
  </cols>
  <sheetData>
    <row r="1" spans="1:374" ht="69.75" customHeight="1" x14ac:dyDescent="0.25">
      <c r="P1" s="114" t="s">
        <v>406</v>
      </c>
      <c r="Q1" s="115" t="s">
        <v>406</v>
      </c>
      <c r="R1" s="116" t="s">
        <v>406</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375</v>
      </c>
      <c r="BY1" s="49" t="s">
        <v>357</v>
      </c>
      <c r="BZ1" s="47">
        <f>BW1 + 1</f>
        <v>44032</v>
      </c>
      <c r="CA1" s="47">
        <f t="shared" si="0"/>
        <v>44033</v>
      </c>
      <c r="CB1" s="47">
        <f t="shared" si="0"/>
        <v>44034</v>
      </c>
      <c r="CC1" s="47">
        <f t="shared" si="0"/>
        <v>44035</v>
      </c>
      <c r="CD1" s="47">
        <f t="shared" si="0"/>
        <v>44036</v>
      </c>
      <c r="CE1" s="47">
        <f t="shared" si="0"/>
        <v>44037</v>
      </c>
      <c r="CF1" s="98">
        <f>CE1 + 1</f>
        <v>44038</v>
      </c>
      <c r="CG1" s="98" t="s">
        <v>379</v>
      </c>
      <c r="CH1" s="49" t="s">
        <v>358</v>
      </c>
      <c r="CI1" s="47">
        <f>CF1 + 1</f>
        <v>44039</v>
      </c>
      <c r="CJ1" s="47">
        <f t="shared" ref="CJ1:FI1" si="1">CI1 + 1</f>
        <v>44040</v>
      </c>
      <c r="CK1" s="47">
        <f t="shared" si="1"/>
        <v>44041</v>
      </c>
      <c r="CL1" s="47">
        <f t="shared" si="1"/>
        <v>44042</v>
      </c>
      <c r="CM1" s="47">
        <f t="shared" si="1"/>
        <v>44043</v>
      </c>
      <c r="CN1" s="47">
        <f t="shared" si="1"/>
        <v>44044</v>
      </c>
      <c r="CO1" s="47">
        <f t="shared" si="1"/>
        <v>44045</v>
      </c>
      <c r="CP1" s="47" t="s">
        <v>380</v>
      </c>
      <c r="CQ1" s="49" t="s">
        <v>373</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6" t="s">
        <v>401</v>
      </c>
      <c r="CZ1" s="107" t="s">
        <v>402</v>
      </c>
      <c r="DA1" s="47">
        <f>CX1 + 1</f>
        <v>44053</v>
      </c>
      <c r="DB1" s="47">
        <f t="shared" si="1"/>
        <v>44054</v>
      </c>
      <c r="DC1" s="47">
        <f t="shared" si="1"/>
        <v>44055</v>
      </c>
      <c r="DD1" s="47">
        <f t="shared" si="1"/>
        <v>44056</v>
      </c>
      <c r="DE1" s="47">
        <f t="shared" si="1"/>
        <v>44057</v>
      </c>
      <c r="DF1" s="47">
        <f t="shared" si="1"/>
        <v>44058</v>
      </c>
      <c r="DG1" s="47">
        <f t="shared" si="1"/>
        <v>44059</v>
      </c>
      <c r="DH1" s="47" t="s">
        <v>408</v>
      </c>
      <c r="DI1" s="49" t="s">
        <v>409</v>
      </c>
      <c r="DJ1" s="47">
        <f>DG1 + 1</f>
        <v>44060</v>
      </c>
      <c r="DK1" s="47">
        <f t="shared" si="1"/>
        <v>44061</v>
      </c>
      <c r="DL1" s="47">
        <f t="shared" si="1"/>
        <v>44062</v>
      </c>
      <c r="DM1" s="47">
        <f t="shared" si="1"/>
        <v>44063</v>
      </c>
      <c r="DN1" s="47">
        <f t="shared" si="1"/>
        <v>44064</v>
      </c>
      <c r="DO1" s="47">
        <f t="shared" si="1"/>
        <v>44065</v>
      </c>
      <c r="DP1" s="47">
        <f t="shared" si="1"/>
        <v>44066</v>
      </c>
      <c r="DQ1" s="47" t="s">
        <v>422</v>
      </c>
      <c r="DR1" s="49" t="s">
        <v>423</v>
      </c>
      <c r="DS1" s="47">
        <f>DP1 + 1</f>
        <v>44067</v>
      </c>
      <c r="DT1" s="47">
        <f t="shared" si="1"/>
        <v>44068</v>
      </c>
      <c r="DU1" s="47">
        <f t="shared" si="1"/>
        <v>44069</v>
      </c>
      <c r="DV1" s="47">
        <f t="shared" si="1"/>
        <v>44070</v>
      </c>
      <c r="DW1" s="47">
        <f t="shared" si="1"/>
        <v>44071</v>
      </c>
      <c r="DX1" s="47">
        <f t="shared" si="1"/>
        <v>44072</v>
      </c>
      <c r="DY1" s="47">
        <f t="shared" si="1"/>
        <v>44073</v>
      </c>
      <c r="DZ1" s="47" t="s">
        <v>425</v>
      </c>
      <c r="EA1" s="49" t="s">
        <v>426</v>
      </c>
      <c r="EB1" s="47">
        <f>DY1 + 1</f>
        <v>44074</v>
      </c>
      <c r="EC1" s="47">
        <f t="shared" si="1"/>
        <v>44075</v>
      </c>
      <c r="ED1" s="47">
        <f t="shared" si="1"/>
        <v>44076</v>
      </c>
      <c r="EE1" s="47">
        <f t="shared" si="1"/>
        <v>44077</v>
      </c>
      <c r="EF1" s="47">
        <f t="shared" si="1"/>
        <v>44078</v>
      </c>
      <c r="EG1" s="47">
        <f t="shared" ref="EG1:EH1" si="4">EF1 + 1</f>
        <v>44079</v>
      </c>
      <c r="EH1" s="47">
        <f t="shared" si="4"/>
        <v>44080</v>
      </c>
      <c r="EI1" s="47" t="s">
        <v>464</v>
      </c>
      <c r="EJ1" s="49" t="s">
        <v>465</v>
      </c>
      <c r="EK1" s="47">
        <f>EH1 + 1</f>
        <v>44081</v>
      </c>
      <c r="EL1" s="47">
        <f t="shared" si="1"/>
        <v>44082</v>
      </c>
      <c r="EM1" s="47">
        <f t="shared" si="1"/>
        <v>44083</v>
      </c>
      <c r="EN1" s="47">
        <f t="shared" si="1"/>
        <v>44084</v>
      </c>
      <c r="EO1" s="47">
        <f t="shared" si="1"/>
        <v>44085</v>
      </c>
      <c r="EP1" s="47">
        <f t="shared" si="1"/>
        <v>44086</v>
      </c>
      <c r="EQ1" s="47">
        <f t="shared" si="1"/>
        <v>44087</v>
      </c>
      <c r="ER1" s="47" t="s">
        <v>467</v>
      </c>
      <c r="ES1" s="49" t="s">
        <v>468</v>
      </c>
      <c r="ET1" s="47">
        <f>EQ1 + 1</f>
        <v>44088</v>
      </c>
      <c r="EU1" s="47">
        <f t="shared" si="1"/>
        <v>44089</v>
      </c>
      <c r="EV1" s="47">
        <f t="shared" si="1"/>
        <v>44090</v>
      </c>
      <c r="EW1" s="47">
        <f t="shared" si="1"/>
        <v>44091</v>
      </c>
      <c r="EX1" s="47">
        <f t="shared" si="1"/>
        <v>44092</v>
      </c>
      <c r="EY1" s="47">
        <f t="shared" si="1"/>
        <v>44093</v>
      </c>
      <c r="EZ1" s="47">
        <f t="shared" si="1"/>
        <v>44094</v>
      </c>
      <c r="FA1" s="47" t="s">
        <v>509</v>
      </c>
      <c r="FB1" s="49" t="s">
        <v>510</v>
      </c>
      <c r="FC1" s="47">
        <f>EZ1 + 1</f>
        <v>44095</v>
      </c>
      <c r="FD1" s="47">
        <f t="shared" si="1"/>
        <v>44096</v>
      </c>
      <c r="FE1" s="47">
        <f t="shared" si="1"/>
        <v>44097</v>
      </c>
      <c r="FF1" s="47">
        <f t="shared" si="1"/>
        <v>44098</v>
      </c>
      <c r="FG1" s="47">
        <f t="shared" si="1"/>
        <v>44099</v>
      </c>
      <c r="FH1" s="47">
        <f t="shared" si="1"/>
        <v>44100</v>
      </c>
      <c r="FI1" s="47">
        <f t="shared" si="1"/>
        <v>44101</v>
      </c>
      <c r="FJ1" s="47" t="s">
        <v>521</v>
      </c>
      <c r="FK1" s="49" t="s">
        <v>522</v>
      </c>
      <c r="FL1" s="47">
        <f>FI1 + 1</f>
        <v>44102</v>
      </c>
      <c r="FM1" s="47">
        <f t="shared" ref="FM1:IP1" si="5">FL1 + 1</f>
        <v>44103</v>
      </c>
      <c r="FN1" s="47">
        <f t="shared" si="5"/>
        <v>44104</v>
      </c>
      <c r="FO1" s="47">
        <f t="shared" si="5"/>
        <v>44105</v>
      </c>
      <c r="FP1" s="47">
        <f t="shared" si="5"/>
        <v>44106</v>
      </c>
      <c r="FQ1" s="47">
        <f t="shared" si="5"/>
        <v>44107</v>
      </c>
      <c r="FR1" s="47">
        <f t="shared" si="5"/>
        <v>44108</v>
      </c>
      <c r="FS1" s="47" t="s">
        <v>540</v>
      </c>
      <c r="FT1" s="49" t="s">
        <v>541</v>
      </c>
      <c r="FU1" s="47">
        <f>FR1 + 1</f>
        <v>44109</v>
      </c>
      <c r="FV1" s="47">
        <f t="shared" si="5"/>
        <v>44110</v>
      </c>
      <c r="FW1" s="47">
        <f t="shared" si="5"/>
        <v>44111</v>
      </c>
      <c r="FX1" s="47">
        <f t="shared" si="5"/>
        <v>44112</v>
      </c>
      <c r="FY1" s="47">
        <f t="shared" si="5"/>
        <v>44113</v>
      </c>
      <c r="FZ1" s="47">
        <f t="shared" si="5"/>
        <v>44114</v>
      </c>
      <c r="GA1" s="47">
        <f t="shared" si="5"/>
        <v>44115</v>
      </c>
      <c r="GB1" s="47" t="s">
        <v>561</v>
      </c>
      <c r="GC1" s="49" t="s">
        <v>562</v>
      </c>
      <c r="GD1" s="47">
        <f>GA1 + 1</f>
        <v>44116</v>
      </c>
      <c r="GE1" s="47">
        <f t="shared" si="5"/>
        <v>44117</v>
      </c>
      <c r="GF1" s="47">
        <f t="shared" si="5"/>
        <v>44118</v>
      </c>
      <c r="GG1" s="47">
        <f t="shared" si="5"/>
        <v>44119</v>
      </c>
      <c r="GH1" s="47">
        <f t="shared" si="5"/>
        <v>44120</v>
      </c>
      <c r="GI1" s="47">
        <f t="shared" si="5"/>
        <v>44121</v>
      </c>
      <c r="GJ1" s="47">
        <f t="shared" si="5"/>
        <v>44122</v>
      </c>
      <c r="GK1" s="47" t="s">
        <v>577</v>
      </c>
      <c r="GL1" s="49" t="s">
        <v>578</v>
      </c>
      <c r="GM1" s="47">
        <f>GJ1 + 1</f>
        <v>44123</v>
      </c>
      <c r="GN1" s="47">
        <f t="shared" si="5"/>
        <v>44124</v>
      </c>
      <c r="GO1" s="47">
        <f t="shared" si="5"/>
        <v>44125</v>
      </c>
      <c r="GP1" s="47">
        <f t="shared" si="5"/>
        <v>44126</v>
      </c>
      <c r="GQ1" s="47">
        <f t="shared" si="5"/>
        <v>44127</v>
      </c>
      <c r="GR1" s="47">
        <f t="shared" si="5"/>
        <v>44128</v>
      </c>
      <c r="GS1" s="47">
        <f t="shared" si="5"/>
        <v>44129</v>
      </c>
      <c r="GT1" s="47" t="s">
        <v>582</v>
      </c>
      <c r="GU1" s="49" t="s">
        <v>583</v>
      </c>
      <c r="GV1" s="47">
        <f>GS1 + 1</f>
        <v>44130</v>
      </c>
      <c r="GW1" s="47">
        <f t="shared" si="5"/>
        <v>44131</v>
      </c>
      <c r="GX1" s="47">
        <f t="shared" si="5"/>
        <v>44132</v>
      </c>
      <c r="GY1" s="47">
        <f t="shared" si="5"/>
        <v>44133</v>
      </c>
      <c r="GZ1" s="47">
        <f t="shared" si="5"/>
        <v>44134</v>
      </c>
      <c r="HA1" s="47">
        <f t="shared" si="5"/>
        <v>44135</v>
      </c>
      <c r="HB1" s="47">
        <f t="shared" si="5"/>
        <v>44136</v>
      </c>
      <c r="HC1" s="47" t="s">
        <v>584</v>
      </c>
      <c r="HD1" s="49" t="s">
        <v>585</v>
      </c>
      <c r="HE1" s="47">
        <f>HB1 + 1</f>
        <v>44137</v>
      </c>
      <c r="HF1" s="47">
        <f t="shared" si="5"/>
        <v>44138</v>
      </c>
      <c r="HG1" s="47">
        <f t="shared" si="5"/>
        <v>44139</v>
      </c>
      <c r="HH1" s="47">
        <f t="shared" si="5"/>
        <v>44140</v>
      </c>
      <c r="HI1" s="47">
        <f t="shared" si="5"/>
        <v>44141</v>
      </c>
      <c r="HJ1" s="47">
        <f t="shared" si="5"/>
        <v>44142</v>
      </c>
      <c r="HK1" s="47">
        <f t="shared" si="5"/>
        <v>44143</v>
      </c>
      <c r="HL1" s="47" t="s">
        <v>616</v>
      </c>
      <c r="HM1" s="49" t="s">
        <v>617</v>
      </c>
      <c r="HN1" s="47">
        <f>HK1 + 1</f>
        <v>44144</v>
      </c>
      <c r="HO1" s="47">
        <f t="shared" si="5"/>
        <v>44145</v>
      </c>
      <c r="HP1" s="47">
        <f t="shared" si="5"/>
        <v>44146</v>
      </c>
      <c r="HQ1" s="47">
        <f t="shared" si="5"/>
        <v>44147</v>
      </c>
      <c r="HR1" s="47">
        <f t="shared" si="5"/>
        <v>44148</v>
      </c>
      <c r="HS1" s="47">
        <f t="shared" si="5"/>
        <v>44149</v>
      </c>
      <c r="HT1" s="47">
        <f t="shared" si="5"/>
        <v>44150</v>
      </c>
      <c r="HU1" s="47" t="s">
        <v>626</v>
      </c>
      <c r="HV1" s="49" t="s">
        <v>627</v>
      </c>
      <c r="HW1" s="47">
        <f>HT1 + 1</f>
        <v>44151</v>
      </c>
      <c r="HX1" s="47">
        <f t="shared" si="5"/>
        <v>44152</v>
      </c>
      <c r="HY1" s="47">
        <f t="shared" si="5"/>
        <v>44153</v>
      </c>
      <c r="HZ1" s="47">
        <f t="shared" si="5"/>
        <v>44154</v>
      </c>
      <c r="IA1" s="47">
        <f t="shared" si="5"/>
        <v>44155</v>
      </c>
      <c r="IB1" s="47">
        <f t="shared" si="5"/>
        <v>44156</v>
      </c>
      <c r="IC1" s="47">
        <f t="shared" si="5"/>
        <v>44157</v>
      </c>
      <c r="ID1" s="47" t="s">
        <v>628</v>
      </c>
      <c r="IE1" s="49" t="s">
        <v>629</v>
      </c>
      <c r="IF1" s="47">
        <f>IC1 + 1</f>
        <v>44158</v>
      </c>
      <c r="IG1" s="47">
        <f t="shared" si="5"/>
        <v>44159</v>
      </c>
      <c r="IH1" s="47">
        <f t="shared" si="5"/>
        <v>44160</v>
      </c>
      <c r="II1" s="47">
        <f t="shared" si="5"/>
        <v>44161</v>
      </c>
      <c r="IJ1" s="47">
        <f t="shared" si="5"/>
        <v>44162</v>
      </c>
      <c r="IK1" s="47">
        <f t="shared" si="5"/>
        <v>44163</v>
      </c>
      <c r="IL1" s="47">
        <f t="shared" si="5"/>
        <v>44164</v>
      </c>
      <c r="IM1" s="47" t="s">
        <v>630</v>
      </c>
      <c r="IN1" s="49" t="s">
        <v>631</v>
      </c>
      <c r="IO1" s="47">
        <f>IL1 + 1</f>
        <v>44165</v>
      </c>
      <c r="IP1" s="47">
        <f t="shared" si="5"/>
        <v>44166</v>
      </c>
      <c r="IQ1" s="47">
        <f t="shared" ref="IQ1:LB1" si="6">IP1 + 1</f>
        <v>44167</v>
      </c>
      <c r="IR1" s="47">
        <f t="shared" si="6"/>
        <v>44168</v>
      </c>
      <c r="IS1" s="47">
        <f t="shared" si="6"/>
        <v>44169</v>
      </c>
      <c r="IT1" s="47">
        <f t="shared" si="6"/>
        <v>44170</v>
      </c>
      <c r="IU1" s="49">
        <f t="shared" si="6"/>
        <v>44171</v>
      </c>
      <c r="IV1" s="47">
        <f t="shared" si="6"/>
        <v>44172</v>
      </c>
      <c r="IW1" s="47">
        <f t="shared" si="6"/>
        <v>44173</v>
      </c>
      <c r="IX1" s="47">
        <f t="shared" si="6"/>
        <v>44174</v>
      </c>
      <c r="IY1" s="47">
        <f t="shared" si="6"/>
        <v>44175</v>
      </c>
      <c r="IZ1" s="47">
        <f t="shared" si="6"/>
        <v>44176</v>
      </c>
      <c r="JA1" s="47">
        <f t="shared" si="6"/>
        <v>44177</v>
      </c>
      <c r="JB1" s="49">
        <f t="shared" si="6"/>
        <v>44178</v>
      </c>
      <c r="JC1" s="47">
        <f t="shared" si="6"/>
        <v>44179</v>
      </c>
      <c r="JD1" s="47">
        <f t="shared" si="6"/>
        <v>44180</v>
      </c>
      <c r="JE1" s="47">
        <f t="shared" si="6"/>
        <v>44181</v>
      </c>
      <c r="JF1" s="47">
        <f t="shared" si="6"/>
        <v>44182</v>
      </c>
      <c r="JG1" s="47">
        <f t="shared" si="6"/>
        <v>44183</v>
      </c>
      <c r="JH1" s="47">
        <f t="shared" si="6"/>
        <v>44184</v>
      </c>
      <c r="JI1" s="49">
        <f t="shared" si="6"/>
        <v>44185</v>
      </c>
      <c r="JJ1" s="47">
        <f t="shared" si="6"/>
        <v>44186</v>
      </c>
      <c r="JK1" s="47">
        <f t="shared" si="6"/>
        <v>44187</v>
      </c>
      <c r="JL1" s="47">
        <f t="shared" si="6"/>
        <v>44188</v>
      </c>
      <c r="JM1" s="47">
        <f t="shared" si="6"/>
        <v>44189</v>
      </c>
      <c r="JN1" s="47">
        <f t="shared" si="6"/>
        <v>44190</v>
      </c>
      <c r="JO1" s="47">
        <f t="shared" si="6"/>
        <v>44191</v>
      </c>
      <c r="JP1" s="49">
        <f t="shared" si="6"/>
        <v>44192</v>
      </c>
      <c r="JQ1" s="47">
        <f t="shared" si="6"/>
        <v>44193</v>
      </c>
      <c r="JR1" s="47">
        <f t="shared" si="6"/>
        <v>44194</v>
      </c>
      <c r="JS1" s="47">
        <f t="shared" si="6"/>
        <v>44195</v>
      </c>
      <c r="JT1" s="47">
        <f t="shared" si="6"/>
        <v>44196</v>
      </c>
      <c r="JU1" s="47">
        <f t="shared" si="6"/>
        <v>44197</v>
      </c>
      <c r="JV1" s="47">
        <f t="shared" si="6"/>
        <v>44198</v>
      </c>
      <c r="JW1" s="49">
        <f t="shared" si="6"/>
        <v>44199</v>
      </c>
      <c r="JX1" s="47">
        <f t="shared" si="6"/>
        <v>44200</v>
      </c>
      <c r="JY1" s="47">
        <f t="shared" si="6"/>
        <v>44201</v>
      </c>
      <c r="JZ1" s="47">
        <f t="shared" si="6"/>
        <v>44202</v>
      </c>
      <c r="KA1" s="47">
        <f t="shared" si="6"/>
        <v>44203</v>
      </c>
      <c r="KB1" s="47">
        <f t="shared" si="6"/>
        <v>44204</v>
      </c>
      <c r="KC1" s="47">
        <f t="shared" si="6"/>
        <v>44205</v>
      </c>
      <c r="KD1" s="49">
        <f t="shared" si="6"/>
        <v>44206</v>
      </c>
      <c r="KE1" s="47">
        <f t="shared" si="6"/>
        <v>44207</v>
      </c>
      <c r="KF1" s="47">
        <f t="shared" si="6"/>
        <v>44208</v>
      </c>
      <c r="KG1" s="47">
        <f t="shared" si="6"/>
        <v>44209</v>
      </c>
      <c r="KH1" s="47">
        <f t="shared" si="6"/>
        <v>44210</v>
      </c>
      <c r="KI1" s="47">
        <f t="shared" si="6"/>
        <v>44211</v>
      </c>
      <c r="KJ1" s="47">
        <f t="shared" si="6"/>
        <v>44212</v>
      </c>
      <c r="KK1" s="49">
        <f t="shared" si="6"/>
        <v>44213</v>
      </c>
      <c r="KL1" s="47">
        <f t="shared" si="6"/>
        <v>44214</v>
      </c>
      <c r="KM1" s="47">
        <f t="shared" si="6"/>
        <v>44215</v>
      </c>
      <c r="KN1" s="47">
        <f t="shared" si="6"/>
        <v>44216</v>
      </c>
      <c r="KO1" s="47">
        <f t="shared" si="6"/>
        <v>44217</v>
      </c>
      <c r="KP1" s="47">
        <f t="shared" si="6"/>
        <v>44218</v>
      </c>
      <c r="KQ1" s="47">
        <f t="shared" si="6"/>
        <v>44219</v>
      </c>
      <c r="KR1" s="49">
        <f t="shared" si="6"/>
        <v>44220</v>
      </c>
      <c r="KS1" s="47">
        <f t="shared" si="6"/>
        <v>44221</v>
      </c>
      <c r="KT1" s="47">
        <f t="shared" si="6"/>
        <v>44222</v>
      </c>
      <c r="KU1" s="47">
        <f t="shared" si="6"/>
        <v>44223</v>
      </c>
      <c r="KV1" s="47">
        <f t="shared" si="6"/>
        <v>44224</v>
      </c>
      <c r="KW1" s="47">
        <f t="shared" si="6"/>
        <v>44225</v>
      </c>
      <c r="KX1" s="47">
        <f t="shared" si="6"/>
        <v>44226</v>
      </c>
      <c r="KY1" s="49">
        <f t="shared" si="6"/>
        <v>44227</v>
      </c>
      <c r="KZ1" s="47">
        <f t="shared" si="6"/>
        <v>44228</v>
      </c>
      <c r="LA1" s="47">
        <f t="shared" si="6"/>
        <v>44229</v>
      </c>
      <c r="LB1" s="47">
        <f t="shared" si="6"/>
        <v>44230</v>
      </c>
      <c r="LC1" s="47">
        <f t="shared" ref="LC1:NJ1" si="7">LB1 + 1</f>
        <v>44231</v>
      </c>
      <c r="LD1" s="47">
        <f t="shared" si="7"/>
        <v>44232</v>
      </c>
      <c r="LE1" s="47">
        <f t="shared" si="7"/>
        <v>44233</v>
      </c>
      <c r="LF1" s="49">
        <f t="shared" si="7"/>
        <v>44234</v>
      </c>
      <c r="LG1" s="47">
        <f t="shared" si="7"/>
        <v>44235</v>
      </c>
      <c r="LH1" s="47">
        <f t="shared" si="7"/>
        <v>44236</v>
      </c>
      <c r="LI1" s="47">
        <f t="shared" si="7"/>
        <v>44237</v>
      </c>
      <c r="LJ1" s="47">
        <f t="shared" si="7"/>
        <v>44238</v>
      </c>
      <c r="LK1" s="47">
        <f t="shared" si="7"/>
        <v>44239</v>
      </c>
      <c r="LL1" s="47">
        <f t="shared" si="7"/>
        <v>44240</v>
      </c>
      <c r="LM1" s="49">
        <f t="shared" si="7"/>
        <v>44241</v>
      </c>
      <c r="LN1" s="47">
        <f t="shared" si="7"/>
        <v>44242</v>
      </c>
      <c r="LO1" s="47">
        <f t="shared" si="7"/>
        <v>44243</v>
      </c>
      <c r="LP1" s="47">
        <f t="shared" si="7"/>
        <v>44244</v>
      </c>
      <c r="LQ1" s="47">
        <f t="shared" si="7"/>
        <v>44245</v>
      </c>
      <c r="LR1" s="47">
        <f t="shared" si="7"/>
        <v>44246</v>
      </c>
      <c r="LS1" s="47">
        <f t="shared" si="7"/>
        <v>44247</v>
      </c>
      <c r="LT1" s="49">
        <f t="shared" si="7"/>
        <v>44248</v>
      </c>
      <c r="LU1" s="47">
        <f t="shared" si="7"/>
        <v>44249</v>
      </c>
      <c r="LV1" s="47">
        <f t="shared" si="7"/>
        <v>44250</v>
      </c>
      <c r="LW1" s="47">
        <f t="shared" si="7"/>
        <v>44251</v>
      </c>
      <c r="LX1" s="47">
        <f t="shared" si="7"/>
        <v>44252</v>
      </c>
      <c r="LY1" s="47">
        <f t="shared" si="7"/>
        <v>44253</v>
      </c>
      <c r="LZ1" s="47">
        <f t="shared" si="7"/>
        <v>44254</v>
      </c>
      <c r="MA1" s="49">
        <f t="shared" si="7"/>
        <v>44255</v>
      </c>
      <c r="MB1" s="47">
        <f t="shared" si="7"/>
        <v>44256</v>
      </c>
      <c r="MC1" s="47">
        <f t="shared" si="7"/>
        <v>44257</v>
      </c>
      <c r="MD1" s="47">
        <f t="shared" si="7"/>
        <v>44258</v>
      </c>
      <c r="ME1" s="47">
        <f t="shared" si="7"/>
        <v>44259</v>
      </c>
      <c r="MF1" s="47">
        <f t="shared" si="7"/>
        <v>44260</v>
      </c>
      <c r="MG1" s="47">
        <f t="shared" si="7"/>
        <v>44261</v>
      </c>
      <c r="MH1" s="49">
        <f t="shared" si="7"/>
        <v>44262</v>
      </c>
      <c r="MI1" s="47">
        <f t="shared" si="7"/>
        <v>44263</v>
      </c>
      <c r="MJ1" s="47">
        <f t="shared" si="7"/>
        <v>44264</v>
      </c>
      <c r="MK1" s="47">
        <f t="shared" si="7"/>
        <v>44265</v>
      </c>
      <c r="ML1" s="47">
        <f t="shared" si="7"/>
        <v>44266</v>
      </c>
      <c r="MM1" s="47">
        <f t="shared" si="7"/>
        <v>44267</v>
      </c>
      <c r="MN1" s="47">
        <f t="shared" si="7"/>
        <v>44268</v>
      </c>
      <c r="MO1" s="49">
        <f t="shared" si="7"/>
        <v>44269</v>
      </c>
      <c r="MP1" s="47">
        <f t="shared" si="7"/>
        <v>44270</v>
      </c>
      <c r="MQ1" s="47">
        <f t="shared" si="7"/>
        <v>44271</v>
      </c>
      <c r="MR1" s="47">
        <f t="shared" si="7"/>
        <v>44272</v>
      </c>
      <c r="MS1" s="47">
        <f t="shared" si="7"/>
        <v>44273</v>
      </c>
      <c r="MT1" s="47">
        <f t="shared" si="7"/>
        <v>44274</v>
      </c>
      <c r="MU1" s="47">
        <f t="shared" si="7"/>
        <v>44275</v>
      </c>
      <c r="MV1" s="49">
        <f t="shared" si="7"/>
        <v>44276</v>
      </c>
      <c r="MW1" s="47">
        <f t="shared" si="7"/>
        <v>44277</v>
      </c>
      <c r="MX1" s="47">
        <f t="shared" si="7"/>
        <v>44278</v>
      </c>
      <c r="MY1" s="47">
        <f t="shared" si="7"/>
        <v>44279</v>
      </c>
      <c r="MZ1" s="47">
        <f t="shared" si="7"/>
        <v>44280</v>
      </c>
      <c r="NA1" s="47">
        <f t="shared" si="7"/>
        <v>44281</v>
      </c>
      <c r="NB1" s="47">
        <f t="shared" si="7"/>
        <v>44282</v>
      </c>
      <c r="NC1" s="49">
        <f t="shared" si="7"/>
        <v>44283</v>
      </c>
      <c r="ND1" s="47">
        <f t="shared" si="7"/>
        <v>44284</v>
      </c>
      <c r="NE1" s="47">
        <f t="shared" si="7"/>
        <v>44285</v>
      </c>
      <c r="NF1" s="47">
        <f t="shared" si="7"/>
        <v>44286</v>
      </c>
      <c r="NG1" s="47">
        <f t="shared" si="7"/>
        <v>44287</v>
      </c>
      <c r="NH1" s="47">
        <f t="shared" si="7"/>
        <v>44288</v>
      </c>
      <c r="NI1" s="47">
        <f t="shared" si="7"/>
        <v>44289</v>
      </c>
      <c r="NJ1" s="49">
        <f t="shared" si="7"/>
        <v>44290</v>
      </c>
    </row>
    <row r="2" spans="1:374" ht="15" customHeight="1" x14ac:dyDescent="0.25">
      <c r="A2" s="228" t="s">
        <v>144</v>
      </c>
      <c r="B2" s="228"/>
      <c r="C2" s="228"/>
      <c r="D2" s="228"/>
      <c r="E2" s="228"/>
      <c r="F2" s="39"/>
      <c r="G2" s="39"/>
      <c r="H2" s="39"/>
      <c r="I2" s="39"/>
      <c r="J2" s="39"/>
      <c r="K2" s="39"/>
      <c r="L2" s="39"/>
      <c r="M2" s="39"/>
      <c r="N2" s="39"/>
      <c r="O2" s="27"/>
      <c r="P2" s="229" t="s">
        <v>49</v>
      </c>
      <c r="Q2" s="225" t="s">
        <v>48</v>
      </c>
      <c r="R2" s="201" t="s">
        <v>404</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367</v>
      </c>
      <c r="BY2" s="50" t="s">
        <v>356</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367</v>
      </c>
      <c r="CH2" s="50" t="s">
        <v>359</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367</v>
      </c>
      <c r="CQ2" s="50" t="s">
        <v>374</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3">
        <f t="shared" ref="CX2" si="81">CX1</f>
        <v>44052</v>
      </c>
      <c r="CY2" s="41" t="s">
        <v>367</v>
      </c>
      <c r="CZ2" s="104" t="s">
        <v>403</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367</v>
      </c>
      <c r="DI2" s="50" t="s">
        <v>410</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367</v>
      </c>
      <c r="DR2" s="50" t="s">
        <v>424</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367</v>
      </c>
      <c r="EA2" s="50" t="s">
        <v>427</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367</v>
      </c>
      <c r="EJ2" s="50" t="s">
        <v>466</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367</v>
      </c>
      <c r="ES2" s="50" t="s">
        <v>469</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367</v>
      </c>
      <c r="FB2" s="50" t="s">
        <v>511</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367</v>
      </c>
      <c r="FK2" s="50" t="s">
        <v>404</v>
      </c>
      <c r="FL2" s="48">
        <f t="shared" ref="FL2" si="124">FL1</f>
        <v>44102</v>
      </c>
      <c r="FM2" s="48">
        <f t="shared" ref="FM2" si="125">FM1</f>
        <v>44103</v>
      </c>
      <c r="FN2" s="48">
        <f t="shared" ref="FN2" si="126">FN1</f>
        <v>44104</v>
      </c>
      <c r="FO2" s="48">
        <f t="shared" ref="FO2" si="127">FO1</f>
        <v>44105</v>
      </c>
      <c r="FP2" s="48">
        <f t="shared" ref="FP2" si="128">FP1</f>
        <v>44106</v>
      </c>
      <c r="FQ2" s="48">
        <f t="shared" ref="FQ2:FR2" si="129">FQ1</f>
        <v>44107</v>
      </c>
      <c r="FR2" s="48">
        <f t="shared" si="129"/>
        <v>44108</v>
      </c>
      <c r="FS2" s="48" t="s">
        <v>367</v>
      </c>
      <c r="FT2" s="50" t="s">
        <v>404</v>
      </c>
      <c r="FU2" s="48">
        <f t="shared" ref="FU2" si="130">FU1</f>
        <v>44109</v>
      </c>
      <c r="FV2" s="48">
        <f t="shared" ref="FV2" si="131">FV1</f>
        <v>44110</v>
      </c>
      <c r="FW2" s="48">
        <f t="shared" ref="FW2" si="132">FW1</f>
        <v>44111</v>
      </c>
      <c r="FX2" s="48">
        <f t="shared" ref="FX2" si="133">FX1</f>
        <v>44112</v>
      </c>
      <c r="FY2" s="48">
        <f t="shared" ref="FY2" si="134">FY1</f>
        <v>44113</v>
      </c>
      <c r="FZ2" s="48">
        <f t="shared" ref="FZ2:GA2" si="135">FZ1</f>
        <v>44114</v>
      </c>
      <c r="GA2" s="48">
        <f t="shared" si="135"/>
        <v>44115</v>
      </c>
      <c r="GB2" s="48" t="s">
        <v>367</v>
      </c>
      <c r="GC2" s="50" t="s">
        <v>404</v>
      </c>
      <c r="GD2" s="48">
        <f t="shared" ref="GD2" si="136">GD1</f>
        <v>44116</v>
      </c>
      <c r="GE2" s="48">
        <f t="shared" ref="GE2" si="137">GE1</f>
        <v>44117</v>
      </c>
      <c r="GF2" s="48">
        <f t="shared" ref="GF2" si="138">GF1</f>
        <v>44118</v>
      </c>
      <c r="GG2" s="48">
        <f t="shared" ref="GG2" si="139">GG1</f>
        <v>44119</v>
      </c>
      <c r="GH2" s="48">
        <f t="shared" ref="GH2" si="140">GH1</f>
        <v>44120</v>
      </c>
      <c r="GI2" s="48">
        <f t="shared" ref="GI2:GJ2" si="141">GI1</f>
        <v>44121</v>
      </c>
      <c r="GJ2" s="48">
        <f t="shared" si="141"/>
        <v>44122</v>
      </c>
      <c r="GK2" s="48" t="s">
        <v>367</v>
      </c>
      <c r="GL2" s="50" t="s">
        <v>404</v>
      </c>
      <c r="GM2" s="48">
        <f t="shared" ref="GM2" si="142">GM1</f>
        <v>44123</v>
      </c>
      <c r="GN2" s="48">
        <f t="shared" ref="GN2" si="143">GN1</f>
        <v>44124</v>
      </c>
      <c r="GO2" s="48">
        <f t="shared" ref="GO2" si="144">GO1</f>
        <v>44125</v>
      </c>
      <c r="GP2" s="48">
        <f t="shared" ref="GP2" si="145">GP1</f>
        <v>44126</v>
      </c>
      <c r="GQ2" s="48">
        <f t="shared" ref="GQ2" si="146">GQ1</f>
        <v>44127</v>
      </c>
      <c r="GR2" s="48">
        <f t="shared" ref="GR2:GS2" si="147">GR1</f>
        <v>44128</v>
      </c>
      <c r="GS2" s="48">
        <f t="shared" si="147"/>
        <v>44129</v>
      </c>
      <c r="GT2" s="48" t="s">
        <v>367</v>
      </c>
      <c r="GU2" s="50" t="s">
        <v>404</v>
      </c>
      <c r="GV2" s="48">
        <f t="shared" ref="GV2" si="148">GV1</f>
        <v>44130</v>
      </c>
      <c r="GW2" s="48">
        <f t="shared" ref="GW2" si="149">GW1</f>
        <v>44131</v>
      </c>
      <c r="GX2" s="48">
        <f t="shared" ref="GX2" si="150">GX1</f>
        <v>44132</v>
      </c>
      <c r="GY2" s="48">
        <f t="shared" ref="GY2" si="151">GY1</f>
        <v>44133</v>
      </c>
      <c r="GZ2" s="48">
        <f t="shared" ref="GZ2" si="152">GZ1</f>
        <v>44134</v>
      </c>
      <c r="HA2" s="48">
        <f t="shared" ref="HA2:HB2" si="153">HA1</f>
        <v>44135</v>
      </c>
      <c r="HB2" s="48">
        <f t="shared" si="153"/>
        <v>44136</v>
      </c>
      <c r="HC2" s="48" t="s">
        <v>367</v>
      </c>
      <c r="HD2" s="50" t="s">
        <v>404</v>
      </c>
      <c r="HE2" s="48">
        <f t="shared" ref="HE2" si="154">HE1</f>
        <v>44137</v>
      </c>
      <c r="HF2" s="48">
        <f t="shared" ref="HF2" si="155">HF1</f>
        <v>44138</v>
      </c>
      <c r="HG2" s="48">
        <f t="shared" ref="HG2" si="156">HG1</f>
        <v>44139</v>
      </c>
      <c r="HH2" s="48">
        <f t="shared" ref="HH2" si="157">HH1</f>
        <v>44140</v>
      </c>
      <c r="HI2" s="48">
        <f t="shared" ref="HI2" si="158">HI1</f>
        <v>44141</v>
      </c>
      <c r="HJ2" s="48">
        <f t="shared" ref="HJ2:HK2" si="159">HJ1</f>
        <v>44142</v>
      </c>
      <c r="HK2" s="48">
        <f t="shared" si="159"/>
        <v>44143</v>
      </c>
      <c r="HL2" s="48" t="s">
        <v>367</v>
      </c>
      <c r="HM2" s="50" t="s">
        <v>404</v>
      </c>
      <c r="HN2" s="48">
        <f t="shared" ref="HN2" si="160">HN1</f>
        <v>44144</v>
      </c>
      <c r="HO2" s="48">
        <f t="shared" ref="HO2" si="161">HO1</f>
        <v>44145</v>
      </c>
      <c r="HP2" s="48">
        <f t="shared" ref="HP2" si="162">HP1</f>
        <v>44146</v>
      </c>
      <c r="HQ2" s="48">
        <f t="shared" ref="HQ2" si="163">HQ1</f>
        <v>44147</v>
      </c>
      <c r="HR2" s="48">
        <f t="shared" ref="HR2" si="164">HR1</f>
        <v>44148</v>
      </c>
      <c r="HS2" s="48">
        <f t="shared" ref="HS2:HT2" si="165">HS1</f>
        <v>44149</v>
      </c>
      <c r="HT2" s="48">
        <f t="shared" si="165"/>
        <v>44150</v>
      </c>
      <c r="HU2" s="48" t="s">
        <v>367</v>
      </c>
      <c r="HV2" s="50" t="s">
        <v>404</v>
      </c>
      <c r="HW2" s="48">
        <f t="shared" ref="HW2" si="166">HW1</f>
        <v>44151</v>
      </c>
      <c r="HX2" s="48">
        <f t="shared" ref="HX2" si="167">HX1</f>
        <v>44152</v>
      </c>
      <c r="HY2" s="48">
        <f t="shared" ref="HY2" si="168">HY1</f>
        <v>44153</v>
      </c>
      <c r="HZ2" s="48">
        <f t="shared" ref="HZ2" si="169">HZ1</f>
        <v>44154</v>
      </c>
      <c r="IA2" s="48">
        <f t="shared" ref="IA2" si="170">IA1</f>
        <v>44155</v>
      </c>
      <c r="IB2" s="48">
        <f t="shared" ref="IB2:IC2" si="171">IB1</f>
        <v>44156</v>
      </c>
      <c r="IC2" s="48">
        <f t="shared" si="171"/>
        <v>44157</v>
      </c>
      <c r="ID2" s="48" t="s">
        <v>367</v>
      </c>
      <c r="IE2" s="50" t="s">
        <v>404</v>
      </c>
      <c r="IF2" s="48">
        <f t="shared" ref="IF2" si="172">IF1</f>
        <v>44158</v>
      </c>
      <c r="IG2" s="48">
        <f t="shared" ref="IG2" si="173">IG1</f>
        <v>44159</v>
      </c>
      <c r="IH2" s="48">
        <f t="shared" ref="IH2" si="174">IH1</f>
        <v>44160</v>
      </c>
      <c r="II2" s="48">
        <f t="shared" ref="II2" si="175">II1</f>
        <v>44161</v>
      </c>
      <c r="IJ2" s="48">
        <f t="shared" ref="IJ2" si="176">IJ1</f>
        <v>44162</v>
      </c>
      <c r="IK2" s="48">
        <f t="shared" ref="IK2:IL2" si="177">IK1</f>
        <v>44163</v>
      </c>
      <c r="IL2" s="48">
        <f t="shared" si="177"/>
        <v>44164</v>
      </c>
      <c r="IM2" s="48" t="s">
        <v>367</v>
      </c>
      <c r="IN2" s="50" t="s">
        <v>404</v>
      </c>
      <c r="IO2" s="48">
        <f t="shared" ref="IO2" si="178">IO1</f>
        <v>44165</v>
      </c>
      <c r="IP2" s="48">
        <f t="shared" ref="IP2" si="179">IP1</f>
        <v>44166</v>
      </c>
      <c r="IQ2" s="48">
        <f t="shared" ref="IQ2" si="180">IQ1</f>
        <v>44167</v>
      </c>
      <c r="IR2" s="48">
        <f t="shared" ref="IR2" si="181">IR1</f>
        <v>44168</v>
      </c>
      <c r="IS2" s="48">
        <f t="shared" ref="IS2" si="182">IS1</f>
        <v>44169</v>
      </c>
      <c r="IT2" s="48">
        <f t="shared" ref="IT2" si="183">IT1</f>
        <v>44170</v>
      </c>
      <c r="IU2" s="50">
        <f t="shared" ref="IU2" si="184">IU1</f>
        <v>44171</v>
      </c>
      <c r="IV2" s="48">
        <f t="shared" ref="IV2" si="185">IV1</f>
        <v>44172</v>
      </c>
      <c r="IW2" s="48">
        <f t="shared" ref="IW2" si="186">IW1</f>
        <v>44173</v>
      </c>
      <c r="IX2" s="48">
        <f t="shared" ref="IX2" si="187">IX1</f>
        <v>44174</v>
      </c>
      <c r="IY2" s="48">
        <f t="shared" ref="IY2" si="188">IY1</f>
        <v>44175</v>
      </c>
      <c r="IZ2" s="48">
        <f t="shared" ref="IZ2" si="189">IZ1</f>
        <v>44176</v>
      </c>
      <c r="JA2" s="48">
        <f t="shared" ref="JA2" si="190">JA1</f>
        <v>44177</v>
      </c>
      <c r="JB2" s="50">
        <f t="shared" ref="JB2" si="191">JB1</f>
        <v>44178</v>
      </c>
      <c r="JC2" s="48">
        <f t="shared" ref="JC2" si="192">JC1</f>
        <v>44179</v>
      </c>
      <c r="JD2" s="48">
        <f t="shared" ref="JD2" si="193">JD1</f>
        <v>44180</v>
      </c>
      <c r="JE2" s="48">
        <f t="shared" ref="JE2" si="194">JE1</f>
        <v>44181</v>
      </c>
      <c r="JF2" s="48">
        <f t="shared" ref="JF2" si="195">JF1</f>
        <v>44182</v>
      </c>
      <c r="JG2" s="48">
        <f t="shared" ref="JG2" si="196">JG1</f>
        <v>44183</v>
      </c>
      <c r="JH2" s="48">
        <f t="shared" ref="JH2" si="197">JH1</f>
        <v>44184</v>
      </c>
      <c r="JI2" s="50">
        <f t="shared" ref="JI2" si="198">JI1</f>
        <v>44185</v>
      </c>
      <c r="JJ2" s="48">
        <f t="shared" ref="JJ2" si="199">JJ1</f>
        <v>44186</v>
      </c>
      <c r="JK2" s="48">
        <f t="shared" ref="JK2" si="200">JK1</f>
        <v>44187</v>
      </c>
      <c r="JL2" s="48">
        <f t="shared" ref="JL2" si="201">JL1</f>
        <v>44188</v>
      </c>
      <c r="JM2" s="48">
        <f t="shared" ref="JM2" si="202">JM1</f>
        <v>44189</v>
      </c>
      <c r="JN2" s="48">
        <f t="shared" ref="JN2" si="203">JN1</f>
        <v>44190</v>
      </c>
      <c r="JO2" s="48">
        <f t="shared" ref="JO2" si="204">JO1</f>
        <v>44191</v>
      </c>
      <c r="JP2" s="50">
        <f t="shared" ref="JP2" si="205">JP1</f>
        <v>44192</v>
      </c>
      <c r="JQ2" s="48">
        <f t="shared" ref="JQ2" si="206">JQ1</f>
        <v>44193</v>
      </c>
      <c r="JR2" s="48">
        <f t="shared" ref="JR2" si="207">JR1</f>
        <v>44194</v>
      </c>
      <c r="JS2" s="48">
        <f t="shared" ref="JS2" si="208">JS1</f>
        <v>44195</v>
      </c>
      <c r="JT2" s="48">
        <f t="shared" ref="JT2" si="209">JT1</f>
        <v>44196</v>
      </c>
      <c r="JU2" s="48">
        <f t="shared" ref="JU2" si="210">JU1</f>
        <v>44197</v>
      </c>
      <c r="JV2" s="48">
        <f t="shared" ref="JV2" si="211">JV1</f>
        <v>44198</v>
      </c>
      <c r="JW2" s="50">
        <f t="shared" ref="JW2" si="212">JW1</f>
        <v>44199</v>
      </c>
      <c r="JX2" s="48">
        <f t="shared" ref="JX2" si="213">JX1</f>
        <v>44200</v>
      </c>
      <c r="JY2" s="48">
        <f t="shared" ref="JY2" si="214">JY1</f>
        <v>44201</v>
      </c>
      <c r="JZ2" s="48">
        <f t="shared" ref="JZ2" si="215">JZ1</f>
        <v>44202</v>
      </c>
      <c r="KA2" s="48">
        <f t="shared" ref="KA2" si="216">KA1</f>
        <v>44203</v>
      </c>
      <c r="KB2" s="48">
        <f t="shared" ref="KB2" si="217">KB1</f>
        <v>44204</v>
      </c>
      <c r="KC2" s="48">
        <f t="shared" ref="KC2" si="218">KC1</f>
        <v>44205</v>
      </c>
      <c r="KD2" s="50">
        <f t="shared" ref="KD2" si="219">KD1</f>
        <v>44206</v>
      </c>
      <c r="KE2" s="48">
        <f t="shared" ref="KE2" si="220">KE1</f>
        <v>44207</v>
      </c>
      <c r="KF2" s="48">
        <f t="shared" ref="KF2" si="221">KF1</f>
        <v>44208</v>
      </c>
      <c r="KG2" s="48">
        <f t="shared" ref="KG2" si="222">KG1</f>
        <v>44209</v>
      </c>
      <c r="KH2" s="48">
        <f t="shared" ref="KH2" si="223">KH1</f>
        <v>44210</v>
      </c>
      <c r="KI2" s="48">
        <f t="shared" ref="KI2" si="224">KI1</f>
        <v>44211</v>
      </c>
      <c r="KJ2" s="48">
        <f t="shared" ref="KJ2" si="225">KJ1</f>
        <v>44212</v>
      </c>
      <c r="KK2" s="50">
        <f t="shared" ref="KK2" si="226">KK1</f>
        <v>44213</v>
      </c>
      <c r="KL2" s="48">
        <f t="shared" ref="KL2" si="227">KL1</f>
        <v>44214</v>
      </c>
      <c r="KM2" s="48">
        <f t="shared" ref="KM2" si="228">KM1</f>
        <v>44215</v>
      </c>
      <c r="KN2" s="48">
        <f t="shared" ref="KN2" si="229">KN1</f>
        <v>44216</v>
      </c>
      <c r="KO2" s="48">
        <f t="shared" ref="KO2" si="230">KO1</f>
        <v>44217</v>
      </c>
      <c r="KP2" s="48">
        <f t="shared" ref="KP2" si="231">KP1</f>
        <v>44218</v>
      </c>
      <c r="KQ2" s="48">
        <f t="shared" ref="KQ2" si="232">KQ1</f>
        <v>44219</v>
      </c>
      <c r="KR2" s="50">
        <f t="shared" ref="KR2" si="233">KR1</f>
        <v>44220</v>
      </c>
      <c r="KS2" s="48">
        <f t="shared" ref="KS2" si="234">KS1</f>
        <v>44221</v>
      </c>
      <c r="KT2" s="48">
        <f t="shared" ref="KT2" si="235">KT1</f>
        <v>44222</v>
      </c>
      <c r="KU2" s="48">
        <f t="shared" ref="KU2" si="236">KU1</f>
        <v>44223</v>
      </c>
      <c r="KV2" s="48">
        <f t="shared" ref="KV2" si="237">KV1</f>
        <v>44224</v>
      </c>
      <c r="KW2" s="48">
        <f t="shared" ref="KW2" si="238">KW1</f>
        <v>44225</v>
      </c>
      <c r="KX2" s="48">
        <f t="shared" ref="KX2" si="239">KX1</f>
        <v>44226</v>
      </c>
      <c r="KY2" s="50">
        <f t="shared" ref="KY2" si="240">KY1</f>
        <v>44227</v>
      </c>
      <c r="KZ2" s="48">
        <f t="shared" ref="KZ2" si="241">KZ1</f>
        <v>44228</v>
      </c>
      <c r="LA2" s="48">
        <f t="shared" ref="LA2" si="242">LA1</f>
        <v>44229</v>
      </c>
      <c r="LB2" s="48">
        <f t="shared" ref="LB2" si="243">LB1</f>
        <v>44230</v>
      </c>
      <c r="LC2" s="48">
        <f t="shared" ref="LC2" si="244">LC1</f>
        <v>44231</v>
      </c>
      <c r="LD2" s="48">
        <f t="shared" ref="LD2" si="245">LD1</f>
        <v>44232</v>
      </c>
      <c r="LE2" s="48">
        <f t="shared" ref="LE2" si="246">LE1</f>
        <v>44233</v>
      </c>
      <c r="LF2" s="50">
        <f t="shared" ref="LF2" si="247">LF1</f>
        <v>44234</v>
      </c>
      <c r="LG2" s="48">
        <f t="shared" ref="LG2" si="248">LG1</f>
        <v>44235</v>
      </c>
      <c r="LH2" s="48">
        <f t="shared" ref="LH2" si="249">LH1</f>
        <v>44236</v>
      </c>
      <c r="LI2" s="48">
        <f t="shared" ref="LI2" si="250">LI1</f>
        <v>44237</v>
      </c>
      <c r="LJ2" s="48">
        <f t="shared" ref="LJ2" si="251">LJ1</f>
        <v>44238</v>
      </c>
      <c r="LK2" s="48">
        <f t="shared" ref="LK2" si="252">LK1</f>
        <v>44239</v>
      </c>
      <c r="LL2" s="48">
        <f t="shared" ref="LL2" si="253">LL1</f>
        <v>44240</v>
      </c>
      <c r="LM2" s="50">
        <f t="shared" ref="LM2" si="254">LM1</f>
        <v>44241</v>
      </c>
      <c r="LN2" s="48">
        <f t="shared" ref="LN2" si="255">LN1</f>
        <v>44242</v>
      </c>
      <c r="LO2" s="48">
        <f t="shared" ref="LO2" si="256">LO1</f>
        <v>44243</v>
      </c>
      <c r="LP2" s="48">
        <f t="shared" ref="LP2" si="257">LP1</f>
        <v>44244</v>
      </c>
      <c r="LQ2" s="48">
        <f t="shared" ref="LQ2" si="258">LQ1</f>
        <v>44245</v>
      </c>
      <c r="LR2" s="48">
        <f t="shared" ref="LR2" si="259">LR1</f>
        <v>44246</v>
      </c>
      <c r="LS2" s="48">
        <f t="shared" ref="LS2" si="260">LS1</f>
        <v>44247</v>
      </c>
      <c r="LT2" s="50">
        <f t="shared" ref="LT2" si="261">LT1</f>
        <v>44248</v>
      </c>
      <c r="LU2" s="48">
        <f t="shared" ref="LU2" si="262">LU1</f>
        <v>44249</v>
      </c>
      <c r="LV2" s="48">
        <f t="shared" ref="LV2" si="263">LV1</f>
        <v>44250</v>
      </c>
      <c r="LW2" s="48">
        <f t="shared" ref="LW2" si="264">LW1</f>
        <v>44251</v>
      </c>
      <c r="LX2" s="48">
        <f t="shared" ref="LX2" si="265">LX1</f>
        <v>44252</v>
      </c>
      <c r="LY2" s="48">
        <f t="shared" ref="LY2" si="266">LY1</f>
        <v>44253</v>
      </c>
      <c r="LZ2" s="48">
        <f t="shared" ref="LZ2" si="267">LZ1</f>
        <v>44254</v>
      </c>
      <c r="MA2" s="50">
        <f t="shared" ref="MA2" si="268">MA1</f>
        <v>44255</v>
      </c>
      <c r="MB2" s="48">
        <f t="shared" ref="MB2" si="269">MB1</f>
        <v>44256</v>
      </c>
      <c r="MC2" s="48">
        <f t="shared" ref="MC2" si="270">MC1</f>
        <v>44257</v>
      </c>
      <c r="MD2" s="48">
        <f t="shared" ref="MD2" si="271">MD1</f>
        <v>44258</v>
      </c>
      <c r="ME2" s="48">
        <f t="shared" ref="ME2" si="272">ME1</f>
        <v>44259</v>
      </c>
      <c r="MF2" s="48">
        <f t="shared" ref="MF2" si="273">MF1</f>
        <v>44260</v>
      </c>
      <c r="MG2" s="48">
        <f t="shared" ref="MG2" si="274">MG1</f>
        <v>44261</v>
      </c>
      <c r="MH2" s="50">
        <f t="shared" ref="MH2" si="275">MH1</f>
        <v>44262</v>
      </c>
      <c r="MI2" s="48">
        <f t="shared" ref="MI2" si="276">MI1</f>
        <v>44263</v>
      </c>
      <c r="MJ2" s="48">
        <f t="shared" ref="MJ2" si="277">MJ1</f>
        <v>44264</v>
      </c>
      <c r="MK2" s="48">
        <f t="shared" ref="MK2" si="278">MK1</f>
        <v>44265</v>
      </c>
      <c r="ML2" s="48">
        <f t="shared" ref="ML2" si="279">ML1</f>
        <v>44266</v>
      </c>
      <c r="MM2" s="48">
        <f t="shared" ref="MM2" si="280">MM1</f>
        <v>44267</v>
      </c>
      <c r="MN2" s="48">
        <f t="shared" ref="MN2" si="281">MN1</f>
        <v>44268</v>
      </c>
      <c r="MO2" s="50">
        <f t="shared" ref="MO2" si="282">MO1</f>
        <v>44269</v>
      </c>
      <c r="MP2" s="48">
        <f t="shared" ref="MP2" si="283">MP1</f>
        <v>44270</v>
      </c>
      <c r="MQ2" s="48">
        <f t="shared" ref="MQ2" si="284">MQ1</f>
        <v>44271</v>
      </c>
      <c r="MR2" s="48">
        <f t="shared" ref="MR2" si="285">MR1</f>
        <v>44272</v>
      </c>
      <c r="MS2" s="48">
        <f t="shared" ref="MS2" si="286">MS1</f>
        <v>44273</v>
      </c>
      <c r="MT2" s="48">
        <f t="shared" ref="MT2" si="287">MT1</f>
        <v>44274</v>
      </c>
      <c r="MU2" s="48">
        <f t="shared" ref="MU2" si="288">MU1</f>
        <v>44275</v>
      </c>
      <c r="MV2" s="50">
        <f t="shared" ref="MV2" si="289">MV1</f>
        <v>44276</v>
      </c>
      <c r="MW2" s="48">
        <f t="shared" ref="MW2" si="290">MW1</f>
        <v>44277</v>
      </c>
      <c r="MX2" s="48">
        <f t="shared" ref="MX2" si="291">MX1</f>
        <v>44278</v>
      </c>
      <c r="MY2" s="48">
        <f t="shared" ref="MY2" si="292">MY1</f>
        <v>44279</v>
      </c>
      <c r="MZ2" s="48">
        <f t="shared" ref="MZ2" si="293">MZ1</f>
        <v>44280</v>
      </c>
      <c r="NA2" s="48">
        <f t="shared" ref="NA2" si="294">NA1</f>
        <v>44281</v>
      </c>
      <c r="NB2" s="48">
        <f t="shared" ref="NB2" si="295">NB1</f>
        <v>44282</v>
      </c>
      <c r="NC2" s="50">
        <f t="shared" ref="NC2" si="296">NC1</f>
        <v>44283</v>
      </c>
      <c r="ND2" s="48">
        <f t="shared" ref="ND2" si="297">ND1</f>
        <v>44284</v>
      </c>
      <c r="NE2" s="48">
        <f t="shared" ref="NE2" si="298">NE1</f>
        <v>44285</v>
      </c>
      <c r="NF2" s="48">
        <f t="shared" ref="NF2" si="299">NF1</f>
        <v>44286</v>
      </c>
      <c r="NG2" s="48">
        <f t="shared" ref="NG2" si="300">NG1</f>
        <v>44287</v>
      </c>
      <c r="NH2" s="48">
        <f t="shared" ref="NH2" si="301">NH1</f>
        <v>44288</v>
      </c>
      <c r="NI2" s="48">
        <f t="shared" ref="NI2" si="302">NI1</f>
        <v>44289</v>
      </c>
      <c r="NJ2" s="50">
        <f t="shared" ref="NJ2" si="303">NJ1</f>
        <v>44290</v>
      </c>
    </row>
    <row r="3" spans="1:374" ht="15" customHeight="1" x14ac:dyDescent="0.25">
      <c r="A3" s="228"/>
      <c r="B3" s="228"/>
      <c r="C3" s="228"/>
      <c r="D3" s="228"/>
      <c r="E3" s="228"/>
      <c r="F3" s="39"/>
      <c r="G3" s="39"/>
      <c r="H3" s="39"/>
      <c r="I3" s="39"/>
      <c r="J3" s="39"/>
      <c r="K3" s="39"/>
      <c r="L3" s="39"/>
      <c r="M3" s="39"/>
      <c r="N3" s="39"/>
      <c r="O3" s="27"/>
      <c r="P3" s="230"/>
      <c r="Q3" s="226"/>
      <c r="R3" s="227"/>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389</v>
      </c>
      <c r="CM3" s="38"/>
      <c r="CN3" s="38"/>
      <c r="CO3" s="38" t="s">
        <v>148</v>
      </c>
      <c r="CP3" s="38"/>
      <c r="CQ3" s="24"/>
      <c r="CR3" s="25"/>
      <c r="CS3" s="25" t="s">
        <v>389</v>
      </c>
      <c r="CT3" s="25"/>
      <c r="CU3" s="38" t="s">
        <v>148</v>
      </c>
      <c r="CV3" s="38" t="s">
        <v>389</v>
      </c>
      <c r="CW3" s="38"/>
      <c r="CX3" s="25" t="s">
        <v>148</v>
      </c>
      <c r="CY3" s="41"/>
      <c r="CZ3" s="104"/>
      <c r="DA3" s="38"/>
      <c r="DB3" s="38" t="s">
        <v>389</v>
      </c>
      <c r="DC3" s="38"/>
      <c r="DD3" s="38" t="s">
        <v>148</v>
      </c>
      <c r="DE3" s="38" t="s">
        <v>389</v>
      </c>
      <c r="DF3" s="38"/>
      <c r="DG3" s="38" t="s">
        <v>148</v>
      </c>
      <c r="DH3" s="38"/>
      <c r="DI3" s="24"/>
      <c r="DJ3" s="38"/>
      <c r="DK3" s="38" t="s">
        <v>389</v>
      </c>
      <c r="DL3" s="38"/>
      <c r="DM3" s="38" t="s">
        <v>148</v>
      </c>
      <c r="DN3" s="38" t="s">
        <v>389</v>
      </c>
      <c r="DO3" s="38"/>
      <c r="DP3" s="38" t="s">
        <v>148</v>
      </c>
      <c r="DQ3" s="38"/>
      <c r="DR3" s="24"/>
      <c r="DS3" s="38"/>
      <c r="DT3" s="38" t="s">
        <v>389</v>
      </c>
      <c r="DU3" s="38"/>
      <c r="DV3" s="38" t="s">
        <v>38</v>
      </c>
      <c r="DW3" s="38" t="s">
        <v>38</v>
      </c>
      <c r="DX3" s="38"/>
      <c r="DY3" s="131"/>
      <c r="DZ3" s="38"/>
      <c r="EA3" s="24"/>
      <c r="EB3" s="38" t="s">
        <v>38</v>
      </c>
      <c r="EC3" s="38" t="s">
        <v>38</v>
      </c>
      <c r="ED3" s="38"/>
      <c r="EE3" s="38" t="s">
        <v>475</v>
      </c>
      <c r="EF3" s="38" t="s">
        <v>38</v>
      </c>
      <c r="EG3" s="38"/>
      <c r="EH3" s="38"/>
      <c r="EI3" s="38"/>
      <c r="EJ3" s="24"/>
      <c r="EK3" s="38" t="s">
        <v>38</v>
      </c>
      <c r="EL3" s="38" t="s">
        <v>38</v>
      </c>
      <c r="EM3" s="38"/>
      <c r="EN3" s="38" t="s">
        <v>479</v>
      </c>
      <c r="EO3" s="38" t="s">
        <v>475</v>
      </c>
      <c r="EP3" s="38"/>
      <c r="EQ3" s="38" t="s">
        <v>470</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38"/>
      <c r="FS3" s="38"/>
      <c r="FT3" s="24"/>
      <c r="FU3" s="38" t="s">
        <v>38</v>
      </c>
      <c r="FV3" s="38" t="s">
        <v>38</v>
      </c>
      <c r="FW3" s="38"/>
      <c r="FX3" s="38" t="s">
        <v>38</v>
      </c>
      <c r="FY3" s="38" t="s">
        <v>38</v>
      </c>
      <c r="FZ3" s="38" t="s">
        <v>46</v>
      </c>
      <c r="GA3" s="38"/>
      <c r="GB3" s="38"/>
      <c r="GC3" s="24"/>
      <c r="GD3" s="38" t="s">
        <v>38</v>
      </c>
      <c r="GE3" s="38" t="s">
        <v>38</v>
      </c>
      <c r="GF3" s="38"/>
      <c r="GG3" s="38" t="s">
        <v>38</v>
      </c>
      <c r="GH3" s="38" t="s">
        <v>38</v>
      </c>
      <c r="GI3" s="38" t="s">
        <v>46</v>
      </c>
      <c r="GJ3" s="38"/>
      <c r="GK3" s="38"/>
      <c r="GL3" s="24"/>
      <c r="GM3" s="38" t="s">
        <v>38</v>
      </c>
      <c r="GN3" s="38" t="s">
        <v>38</v>
      </c>
      <c r="GO3" s="38"/>
      <c r="GP3" s="38" t="s">
        <v>38</v>
      </c>
      <c r="GQ3" s="38" t="s">
        <v>38</v>
      </c>
      <c r="GR3" s="38" t="s">
        <v>46</v>
      </c>
      <c r="GS3" s="38" t="s">
        <v>581</v>
      </c>
      <c r="GT3" s="38"/>
      <c r="GU3" s="24"/>
      <c r="GV3" s="38" t="s">
        <v>46</v>
      </c>
      <c r="GW3" s="38" t="s">
        <v>38</v>
      </c>
      <c r="GX3" s="38"/>
      <c r="GY3" s="38" t="s">
        <v>38</v>
      </c>
      <c r="GZ3" s="38" t="s">
        <v>38</v>
      </c>
      <c r="HA3" s="38" t="s">
        <v>46</v>
      </c>
      <c r="HB3" s="38"/>
      <c r="HC3" s="38"/>
      <c r="HD3" s="24"/>
      <c r="HE3" s="38"/>
      <c r="HF3" s="38"/>
      <c r="HG3" s="38"/>
      <c r="HH3" s="38"/>
      <c r="HI3" s="38"/>
      <c r="HJ3" s="38" t="s">
        <v>625</v>
      </c>
      <c r="HK3" s="38"/>
      <c r="HL3" s="38"/>
      <c r="HM3" s="24"/>
      <c r="HN3" s="38" t="s">
        <v>367</v>
      </c>
      <c r="HO3" s="38" t="s">
        <v>367</v>
      </c>
      <c r="HP3" s="38"/>
      <c r="HQ3" s="38" t="s">
        <v>367</v>
      </c>
      <c r="HR3" s="38" t="s">
        <v>367</v>
      </c>
      <c r="HS3" s="38"/>
      <c r="HT3" s="38"/>
      <c r="HU3" s="38"/>
      <c r="HV3" s="24"/>
      <c r="HW3" s="38" t="s">
        <v>367</v>
      </c>
      <c r="HX3" s="38" t="s">
        <v>367</v>
      </c>
      <c r="HY3" s="38"/>
      <c r="HZ3" s="38" t="s">
        <v>367</v>
      </c>
      <c r="IA3" s="38" t="s">
        <v>367</v>
      </c>
      <c r="IB3" s="38"/>
      <c r="IC3" s="38"/>
      <c r="ID3" s="38"/>
      <c r="IE3" s="24"/>
      <c r="IF3" s="38" t="s">
        <v>367</v>
      </c>
      <c r="IG3" s="38" t="s">
        <v>367</v>
      </c>
      <c r="IH3" s="38"/>
      <c r="II3" s="38" t="s">
        <v>367</v>
      </c>
      <c r="IJ3" s="38" t="s">
        <v>367</v>
      </c>
      <c r="IK3" s="38"/>
      <c r="IL3" s="38"/>
      <c r="IM3" s="38"/>
      <c r="IN3" s="24"/>
      <c r="IO3" s="38"/>
      <c r="IP3" s="38" t="s">
        <v>38</v>
      </c>
      <c r="IQ3" s="38" t="s">
        <v>38</v>
      </c>
      <c r="IR3" s="38"/>
      <c r="IS3" s="38" t="s">
        <v>38</v>
      </c>
      <c r="IT3" s="38">
        <v>14</v>
      </c>
      <c r="IU3" s="24"/>
      <c r="IV3" s="38"/>
      <c r="IW3" s="38" t="s">
        <v>38</v>
      </c>
      <c r="IX3" s="38"/>
      <c r="IY3" s="38" t="s">
        <v>38</v>
      </c>
      <c r="IZ3" s="38" t="s">
        <v>38</v>
      </c>
      <c r="JA3" s="38"/>
      <c r="JB3" s="24"/>
      <c r="JC3" s="38"/>
      <c r="JD3" s="38" t="s">
        <v>38</v>
      </c>
      <c r="JE3" s="38"/>
      <c r="JF3" s="38" t="s">
        <v>38</v>
      </c>
      <c r="JG3" s="38" t="s">
        <v>38</v>
      </c>
      <c r="JH3" s="38">
        <v>10</v>
      </c>
      <c r="JI3" s="24"/>
      <c r="JJ3" s="38"/>
      <c r="JK3" s="38" t="s">
        <v>38</v>
      </c>
      <c r="JL3" s="38"/>
      <c r="JM3" s="38" t="s">
        <v>38</v>
      </c>
      <c r="JN3" s="38" t="s">
        <v>38</v>
      </c>
      <c r="JO3" s="38">
        <v>11</v>
      </c>
      <c r="JP3" s="24" t="s">
        <v>47</v>
      </c>
      <c r="JQ3" s="38"/>
      <c r="JR3" s="38" t="s">
        <v>38</v>
      </c>
      <c r="JS3" s="38" t="s">
        <v>40</v>
      </c>
      <c r="JT3" s="38" t="s">
        <v>38</v>
      </c>
      <c r="JU3" s="38" t="s">
        <v>38</v>
      </c>
      <c r="JV3" s="38">
        <v>11</v>
      </c>
      <c r="JW3" s="24">
        <v>13</v>
      </c>
      <c r="JX3" s="38"/>
      <c r="JY3" s="38" t="s">
        <v>38</v>
      </c>
      <c r="JZ3" s="38"/>
      <c r="KA3" s="38" t="s">
        <v>38</v>
      </c>
      <c r="KB3" s="38" t="s">
        <v>38</v>
      </c>
      <c r="KC3" s="38" t="s">
        <v>40</v>
      </c>
      <c r="KD3" s="24">
        <v>12</v>
      </c>
      <c r="KE3" s="38"/>
      <c r="KF3" s="38" t="s">
        <v>38</v>
      </c>
      <c r="KG3" s="38"/>
      <c r="KH3" s="38" t="s">
        <v>38</v>
      </c>
      <c r="KI3" s="38"/>
      <c r="KJ3" s="38" t="s">
        <v>45</v>
      </c>
      <c r="KK3" s="24" t="s">
        <v>45</v>
      </c>
      <c r="KL3" s="38"/>
      <c r="KM3" s="38"/>
      <c r="KN3" s="38"/>
      <c r="KO3" s="38" t="s">
        <v>38</v>
      </c>
      <c r="KP3" s="38" t="s">
        <v>44</v>
      </c>
      <c r="KQ3" s="38" t="s">
        <v>44</v>
      </c>
      <c r="KR3" s="24"/>
      <c r="KS3" s="38" t="s">
        <v>38</v>
      </c>
      <c r="KT3" s="38" t="s">
        <v>38</v>
      </c>
      <c r="KU3" s="38"/>
      <c r="KV3" s="38" t="s">
        <v>38</v>
      </c>
      <c r="KW3" s="38" t="s">
        <v>38</v>
      </c>
      <c r="KX3" s="38"/>
      <c r="KY3" s="24" t="s">
        <v>43</v>
      </c>
      <c r="KZ3" s="38"/>
      <c r="LA3" s="38" t="s">
        <v>38</v>
      </c>
      <c r="LB3" s="38" t="s">
        <v>43</v>
      </c>
      <c r="LC3" s="38" t="s">
        <v>38</v>
      </c>
      <c r="LD3" s="38" t="s">
        <v>38</v>
      </c>
      <c r="LE3" s="38" t="s">
        <v>43</v>
      </c>
      <c r="LF3" s="24" t="s">
        <v>41</v>
      </c>
      <c r="LG3" s="38" t="s">
        <v>40</v>
      </c>
      <c r="LH3" s="38" t="s">
        <v>38</v>
      </c>
      <c r="LI3" s="38"/>
      <c r="LJ3" s="38" t="s">
        <v>38</v>
      </c>
      <c r="LK3" s="38" t="s">
        <v>38</v>
      </c>
      <c r="LL3" s="38">
        <v>12</v>
      </c>
      <c r="LM3" s="24">
        <v>12</v>
      </c>
      <c r="LN3" s="38"/>
      <c r="LO3" s="38" t="s">
        <v>38</v>
      </c>
      <c r="LP3" s="38"/>
      <c r="LQ3" s="38" t="s">
        <v>38</v>
      </c>
      <c r="LR3" s="38" t="s">
        <v>38</v>
      </c>
      <c r="LS3" s="38" t="s">
        <v>38</v>
      </c>
      <c r="LT3" s="24">
        <v>11</v>
      </c>
      <c r="LU3" s="38"/>
      <c r="LV3" s="38" t="s">
        <v>38</v>
      </c>
      <c r="LW3" s="38"/>
      <c r="LX3" s="38" t="s">
        <v>38</v>
      </c>
      <c r="LY3" s="38" t="s">
        <v>38</v>
      </c>
      <c r="LZ3" s="38">
        <v>13</v>
      </c>
      <c r="MA3" s="24">
        <v>13</v>
      </c>
      <c r="MB3" s="38"/>
      <c r="MC3" s="38" t="s">
        <v>38</v>
      </c>
      <c r="MD3" s="38"/>
      <c r="ME3" s="38">
        <v>10</v>
      </c>
      <c r="MF3" s="38"/>
      <c r="MG3" s="38"/>
      <c r="MH3" s="26" t="s">
        <v>39</v>
      </c>
      <c r="MI3" s="38"/>
      <c r="MJ3" s="38" t="s">
        <v>38</v>
      </c>
      <c r="MK3" s="38"/>
      <c r="ML3" s="38" t="s">
        <v>38</v>
      </c>
      <c r="MM3" s="38" t="s">
        <v>38</v>
      </c>
      <c r="MN3" s="38"/>
      <c r="MO3" s="24"/>
      <c r="MP3" s="38"/>
      <c r="MQ3" s="38"/>
      <c r="MR3" s="38"/>
      <c r="MS3" s="38"/>
      <c r="MT3" s="38"/>
      <c r="MU3" s="38"/>
      <c r="MV3" s="24"/>
      <c r="MW3" s="38"/>
      <c r="MX3" s="38"/>
      <c r="MY3" s="38"/>
      <c r="MZ3" s="38"/>
      <c r="NA3" s="38"/>
      <c r="NB3" s="38"/>
      <c r="NC3" s="24"/>
      <c r="ND3" s="38"/>
      <c r="NE3" s="38"/>
      <c r="NF3" s="38"/>
      <c r="NG3" s="38"/>
      <c r="NH3" s="38"/>
      <c r="NI3" s="38"/>
      <c r="NJ3" s="24"/>
    </row>
    <row r="4" spans="1:374" x14ac:dyDescent="0.25">
      <c r="A4" s="11" t="s">
        <v>145</v>
      </c>
      <c r="B4" s="11"/>
      <c r="C4" s="11"/>
      <c r="D4" s="11"/>
      <c r="E4" s="11"/>
      <c r="F4" s="133" t="s">
        <v>147</v>
      </c>
      <c r="G4" s="134" t="s">
        <v>146</v>
      </c>
      <c r="H4" s="134" t="s">
        <v>119</v>
      </c>
      <c r="I4" s="135" t="s">
        <v>41</v>
      </c>
      <c r="J4" s="135" t="s">
        <v>118</v>
      </c>
      <c r="K4" s="135" t="s">
        <v>42</v>
      </c>
      <c r="L4" s="135" t="s">
        <v>117</v>
      </c>
      <c r="M4" s="135" t="s">
        <v>47</v>
      </c>
      <c r="N4" s="135" t="s">
        <v>100</v>
      </c>
      <c r="O4" s="136"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1"/>
      <c r="FS4" s="11"/>
      <c r="FT4" s="12"/>
      <c r="FU4" s="11"/>
      <c r="FV4" s="11"/>
      <c r="FW4" s="11"/>
      <c r="FX4" s="11"/>
      <c r="FY4" s="11"/>
      <c r="FZ4" s="11"/>
      <c r="GA4" s="11"/>
      <c r="GB4" s="11"/>
      <c r="GC4" s="12"/>
      <c r="GD4" s="11"/>
      <c r="GE4" s="11"/>
      <c r="GF4" s="11"/>
      <c r="GG4" s="11"/>
      <c r="GH4" s="11"/>
      <c r="GI4" s="11"/>
      <c r="GJ4" s="11"/>
      <c r="GK4" s="11"/>
      <c r="GL4" s="12"/>
      <c r="GM4" s="11"/>
      <c r="GN4" s="11"/>
      <c r="GO4" s="11"/>
      <c r="GP4" s="11"/>
      <c r="GQ4" s="11"/>
      <c r="GR4" s="11"/>
      <c r="GS4" s="11"/>
      <c r="GT4" s="11"/>
      <c r="GU4" s="12"/>
      <c r="GV4" s="11"/>
      <c r="GW4" s="11"/>
      <c r="GX4" s="11"/>
      <c r="GY4" s="11"/>
      <c r="GZ4" s="11"/>
      <c r="HA4" s="11"/>
      <c r="HB4" s="11"/>
      <c r="HC4" s="11"/>
      <c r="HD4" s="12"/>
      <c r="HE4" s="11"/>
      <c r="HF4" s="11"/>
      <c r="HG4" s="11"/>
      <c r="HH4" s="11"/>
      <c r="HI4" s="11"/>
      <c r="HJ4" s="11"/>
      <c r="HK4" s="11"/>
      <c r="HL4" s="11"/>
      <c r="HM4" s="12"/>
      <c r="HN4" s="11"/>
      <c r="HO4" s="11"/>
      <c r="HP4" s="11"/>
      <c r="HQ4" s="11"/>
      <c r="HR4" s="11"/>
      <c r="HS4" s="11"/>
      <c r="HT4" s="11"/>
      <c r="HU4" s="11"/>
      <c r="HV4" s="12"/>
      <c r="HW4" s="11"/>
      <c r="HX4" s="11"/>
      <c r="HY4" s="11"/>
      <c r="HZ4" s="11"/>
      <c r="IA4" s="11"/>
      <c r="IB4" s="11"/>
      <c r="IC4" s="11"/>
      <c r="ID4" s="11"/>
      <c r="IE4" s="12"/>
      <c r="IF4" s="11"/>
      <c r="IG4" s="11"/>
      <c r="IH4" s="11"/>
      <c r="II4" s="11"/>
      <c r="IJ4" s="11"/>
      <c r="IK4" s="11"/>
      <c r="IL4" s="11"/>
      <c r="IM4" s="11"/>
      <c r="IN4" s="12"/>
      <c r="IO4" s="11"/>
      <c r="IP4" s="11"/>
      <c r="IQ4" s="11"/>
      <c r="IR4" s="11"/>
      <c r="IS4" s="11"/>
      <c r="IT4" s="11"/>
      <c r="IU4" s="12"/>
      <c r="IV4" s="11"/>
      <c r="IW4" s="11"/>
      <c r="IX4" s="11"/>
      <c r="IY4" s="11"/>
      <c r="IZ4" s="11"/>
      <c r="JA4" s="11"/>
      <c r="JB4" s="12"/>
      <c r="JC4" s="11"/>
      <c r="JD4" s="11"/>
      <c r="JE4" s="11"/>
      <c r="JF4" s="11"/>
      <c r="JG4" s="11"/>
      <c r="JH4" s="11"/>
      <c r="JI4" s="12"/>
      <c r="JJ4" s="11"/>
      <c r="JK4" s="11"/>
      <c r="JL4" s="11"/>
      <c r="JM4" s="11"/>
      <c r="JN4" s="11"/>
      <c r="JO4" s="11"/>
      <c r="JP4" s="12"/>
      <c r="JQ4" s="11"/>
      <c r="JR4" s="11"/>
      <c r="JS4" s="11"/>
      <c r="JT4" s="11"/>
      <c r="JU4" s="11"/>
      <c r="JV4" s="11"/>
      <c r="JW4" s="12"/>
      <c r="JX4" s="11"/>
      <c r="JY4" s="11"/>
      <c r="JZ4" s="11"/>
      <c r="KA4" s="11"/>
      <c r="KB4" s="11"/>
      <c r="KC4" s="11"/>
      <c r="KD4" s="12"/>
      <c r="KE4" s="11"/>
      <c r="KF4" s="11"/>
      <c r="KG4" s="11"/>
      <c r="KH4" s="11"/>
      <c r="KI4" s="11"/>
      <c r="KJ4" s="11"/>
      <c r="KK4" s="12"/>
      <c r="KL4" s="11"/>
      <c r="KM4" s="11"/>
      <c r="KN4" s="11"/>
      <c r="KO4" s="11"/>
      <c r="KP4" s="11"/>
      <c r="KQ4" s="11"/>
      <c r="KR4" s="12"/>
      <c r="KS4" s="11"/>
      <c r="KT4" s="11"/>
      <c r="KU4" s="11"/>
      <c r="KV4" s="11"/>
      <c r="KW4" s="11"/>
      <c r="KX4" s="11"/>
      <c r="KY4" s="12"/>
      <c r="KZ4" s="11"/>
      <c r="LA4" s="11"/>
      <c r="LB4" s="11"/>
      <c r="LC4" s="11"/>
      <c r="LD4" s="11"/>
      <c r="LE4" s="11"/>
      <c r="LF4" s="12"/>
      <c r="LG4" s="11"/>
      <c r="LH4" s="11"/>
      <c r="LI4" s="11"/>
      <c r="LJ4" s="11"/>
      <c r="LK4" s="11"/>
      <c r="LL4" s="11"/>
      <c r="LM4" s="12"/>
      <c r="LN4" s="11"/>
      <c r="LO4" s="11"/>
      <c r="LP4" s="11"/>
      <c r="LQ4" s="11"/>
      <c r="LR4" s="11"/>
      <c r="LS4" s="11"/>
      <c r="LT4" s="12"/>
      <c r="LU4" s="11"/>
      <c r="LV4" s="11"/>
      <c r="LW4" s="11"/>
      <c r="LX4" s="11"/>
      <c r="LY4" s="11"/>
      <c r="LZ4" s="11"/>
      <c r="MA4" s="12"/>
      <c r="MB4" s="11"/>
      <c r="MC4" s="11"/>
      <c r="MD4" s="11"/>
      <c r="ME4" s="11"/>
      <c r="MF4" s="11"/>
      <c r="MG4" s="11"/>
      <c r="MH4" s="12"/>
      <c r="MI4" s="11"/>
      <c r="MJ4" s="11"/>
      <c r="MK4" s="11"/>
      <c r="ML4" s="11"/>
      <c r="MM4" s="11"/>
      <c r="MN4" s="11"/>
      <c r="MO4" s="12"/>
      <c r="MP4" s="11"/>
      <c r="MQ4" s="11"/>
      <c r="MR4" s="11"/>
      <c r="MS4" s="11"/>
      <c r="MT4" s="11"/>
      <c r="MU4" s="11"/>
      <c r="MV4" s="12"/>
      <c r="MW4" s="11"/>
      <c r="MX4" s="11"/>
      <c r="MY4" s="11"/>
      <c r="MZ4" s="11"/>
      <c r="NA4" s="11"/>
      <c r="NB4" s="11"/>
      <c r="NC4" s="12"/>
      <c r="ND4" s="11"/>
      <c r="NE4" s="11"/>
      <c r="NF4" s="11"/>
      <c r="NG4" s="11"/>
      <c r="NH4" s="11"/>
      <c r="NI4" s="11"/>
      <c r="NJ4" s="12"/>
    </row>
    <row r="5" spans="1:374"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1"/>
      <c r="FS5" s="11"/>
      <c r="FT5" s="12"/>
      <c r="FU5" s="11"/>
      <c r="FV5" s="11"/>
      <c r="FW5" s="11"/>
      <c r="FX5" s="11"/>
      <c r="FY5" s="11"/>
      <c r="FZ5" s="11"/>
      <c r="GA5" s="11"/>
      <c r="GB5" s="11"/>
      <c r="GC5" s="12"/>
      <c r="GD5" s="11"/>
      <c r="GE5" s="11"/>
      <c r="GF5" s="11"/>
      <c r="GG5" s="11"/>
      <c r="GH5" s="11"/>
      <c r="GI5" s="11"/>
      <c r="GJ5" s="11"/>
      <c r="GK5" s="11"/>
      <c r="GL5" s="12"/>
      <c r="GM5" s="11"/>
      <c r="GN5" s="11"/>
      <c r="GO5" s="11"/>
      <c r="GP5" s="11"/>
      <c r="GQ5" s="11"/>
      <c r="GR5" s="11"/>
      <c r="GS5" s="11"/>
      <c r="GT5" s="11"/>
      <c r="GU5" s="12"/>
      <c r="GV5" s="11"/>
      <c r="GW5" s="11"/>
      <c r="GX5" s="11"/>
      <c r="GY5" s="11"/>
      <c r="GZ5" s="11"/>
      <c r="HA5" s="11"/>
      <c r="HB5" s="11"/>
      <c r="HC5" s="11"/>
      <c r="HD5" s="12"/>
      <c r="HE5" s="11"/>
      <c r="HF5" s="11"/>
      <c r="HG5" s="11"/>
      <c r="HH5" s="11"/>
      <c r="HI5" s="11"/>
      <c r="HJ5" s="11"/>
      <c r="HK5" s="11"/>
      <c r="HL5" s="11"/>
      <c r="HM5" s="12"/>
      <c r="HN5" s="11"/>
      <c r="HO5" s="11"/>
      <c r="HP5" s="11"/>
      <c r="HQ5" s="11"/>
      <c r="HR5" s="11"/>
      <c r="HS5" s="11"/>
      <c r="HT5" s="11"/>
      <c r="HU5" s="11"/>
      <c r="HV5" s="12"/>
      <c r="HW5" s="11"/>
      <c r="HX5" s="11"/>
      <c r="HY5" s="11"/>
      <c r="HZ5" s="11"/>
      <c r="IA5" s="11"/>
      <c r="IB5" s="11"/>
      <c r="IC5" s="11"/>
      <c r="ID5" s="11"/>
      <c r="IE5" s="12"/>
      <c r="IF5" s="11"/>
      <c r="IG5" s="11"/>
      <c r="IH5" s="11"/>
      <c r="II5" s="11"/>
      <c r="IJ5" s="11"/>
      <c r="IK5" s="11"/>
      <c r="IL5" s="11"/>
      <c r="IM5" s="11"/>
      <c r="IN5" s="12"/>
      <c r="IO5" s="11"/>
      <c r="IP5" s="11"/>
      <c r="IQ5" s="11"/>
      <c r="IR5" s="11"/>
      <c r="IS5" s="11"/>
      <c r="IT5" s="11"/>
      <c r="IU5" s="12"/>
      <c r="IV5" s="11"/>
      <c r="IW5" s="11"/>
      <c r="IX5" s="11"/>
      <c r="IY5" s="11"/>
      <c r="IZ5" s="11"/>
      <c r="JA5" s="11"/>
      <c r="JB5" s="12"/>
      <c r="JC5" s="11"/>
      <c r="JD5" s="11"/>
      <c r="JE5" s="11"/>
      <c r="JF5" s="11"/>
      <c r="JG5" s="11"/>
      <c r="JH5" s="11"/>
      <c r="JI5" s="12"/>
      <c r="JJ5" s="11"/>
      <c r="JK5" s="11"/>
      <c r="JL5" s="11"/>
      <c r="JM5" s="11"/>
      <c r="JN5" s="11"/>
      <c r="JO5" s="11"/>
      <c r="JP5" s="12"/>
      <c r="JQ5" s="11"/>
      <c r="JR5" s="11"/>
      <c r="JS5" s="11"/>
      <c r="JT5" s="11"/>
      <c r="JU5" s="11"/>
      <c r="JV5" s="11"/>
      <c r="JW5" s="12"/>
      <c r="JX5" s="11"/>
      <c r="JY5" s="11"/>
      <c r="JZ5" s="11"/>
      <c r="KA5" s="11"/>
      <c r="KB5" s="11"/>
      <c r="KC5" s="11"/>
      <c r="KD5" s="12"/>
      <c r="KE5" s="11"/>
      <c r="KF5" s="11"/>
      <c r="KG5" s="11"/>
      <c r="KH5" s="11"/>
      <c r="KI5" s="11"/>
      <c r="KJ5" s="11"/>
      <c r="KK5" s="12"/>
      <c r="KL5" s="11"/>
      <c r="KM5" s="11"/>
      <c r="KN5" s="11"/>
      <c r="KO5" s="11"/>
      <c r="KP5" s="11"/>
      <c r="KQ5" s="11"/>
      <c r="KR5" s="12"/>
      <c r="KS5" s="11"/>
      <c r="KT5" s="11"/>
      <c r="KU5" s="11"/>
      <c r="KV5" s="11"/>
      <c r="KW5" s="11"/>
      <c r="KX5" s="11"/>
      <c r="KY5" s="12"/>
      <c r="KZ5" s="11"/>
      <c r="LA5" s="11"/>
      <c r="LB5" s="11"/>
      <c r="LC5" s="11"/>
      <c r="LD5" s="11"/>
      <c r="LE5" s="11"/>
      <c r="LF5" s="12"/>
      <c r="LG5" s="11"/>
      <c r="LH5" s="11"/>
      <c r="LI5" s="11"/>
      <c r="LJ5" s="11"/>
      <c r="LK5" s="11"/>
      <c r="LL5" s="11"/>
      <c r="LM5" s="12"/>
      <c r="LN5" s="11"/>
      <c r="LO5" s="11"/>
      <c r="LP5" s="11"/>
      <c r="LQ5" s="11"/>
      <c r="LR5" s="11"/>
      <c r="LS5" s="11"/>
      <c r="LT5" s="12"/>
      <c r="LU5" s="11"/>
      <c r="LV5" s="11"/>
      <c r="LW5" s="11"/>
      <c r="LX5" s="11"/>
      <c r="LY5" s="11"/>
      <c r="LZ5" s="11"/>
      <c r="MA5" s="12"/>
      <c r="MB5" s="11"/>
      <c r="MC5" s="11"/>
      <c r="MD5" s="11"/>
      <c r="ME5" s="11"/>
      <c r="MF5" s="11"/>
      <c r="MG5" s="11"/>
      <c r="MH5" s="12"/>
      <c r="MI5" s="11"/>
      <c r="MJ5" s="11"/>
      <c r="MK5" s="11"/>
      <c r="ML5" s="11"/>
      <c r="MM5" s="11"/>
      <c r="MN5" s="11"/>
      <c r="MO5" s="12"/>
      <c r="MP5" s="11"/>
      <c r="MQ5" s="11"/>
      <c r="MR5" s="11"/>
      <c r="MS5" s="11"/>
      <c r="MT5" s="11"/>
      <c r="MU5" s="11"/>
      <c r="MV5" s="12"/>
      <c r="MW5" s="11"/>
      <c r="MX5" s="11"/>
      <c r="MY5" s="11"/>
      <c r="MZ5" s="11"/>
      <c r="NA5" s="11"/>
      <c r="NB5" s="11"/>
      <c r="NC5" s="12"/>
      <c r="ND5" s="11"/>
      <c r="NE5" s="11"/>
      <c r="NF5" s="11"/>
      <c r="NG5" s="11"/>
      <c r="NH5" s="11"/>
      <c r="NI5" s="11"/>
      <c r="NJ5" s="12"/>
    </row>
    <row r="6" spans="1:374" ht="7.5" customHeight="1" x14ac:dyDescent="0.25">
      <c r="A6" s="8"/>
      <c r="B6" s="8"/>
      <c r="C6" s="8"/>
      <c r="D6" s="8"/>
      <c r="E6" s="8"/>
      <c r="F6" s="10"/>
      <c r="G6" s="19"/>
      <c r="H6" s="19"/>
      <c r="I6" s="8"/>
      <c r="J6" s="8"/>
      <c r="K6" s="8"/>
      <c r="L6" s="8"/>
      <c r="M6" s="8"/>
      <c r="N6" s="8"/>
      <c r="O6" s="9"/>
      <c r="P6" s="8" t="str">
        <f t="shared" ref="P6:P33" si="304">IF(SUM(S6:NJ6) &gt; 0, SUM(S6:NJ6), "")</f>
        <v/>
      </c>
      <c r="Q6" s="108" t="str">
        <f>IF(SUM(R6:XFD6) &gt; 0, SUM(R6:XFD6) /#REF! * 100, "")</f>
        <v/>
      </c>
      <c r="R6" s="84"/>
      <c r="S6" s="7"/>
      <c r="Z6" s="7"/>
      <c r="AG6" s="7"/>
      <c r="AN6" s="7"/>
      <c r="AU6" s="7"/>
      <c r="BB6" s="7"/>
      <c r="BI6" s="7"/>
      <c r="BP6" s="7"/>
      <c r="BY6" s="79"/>
      <c r="CH6" s="7"/>
      <c r="CQ6" s="7"/>
      <c r="CZ6" s="7"/>
      <c r="DI6" s="7"/>
      <c r="DR6" s="7"/>
      <c r="EA6" s="79"/>
      <c r="EJ6" s="7"/>
      <c r="ES6" s="7"/>
      <c r="FB6" s="7"/>
      <c r="FK6" s="7"/>
      <c r="FT6" s="7"/>
      <c r="GC6" s="7"/>
      <c r="GL6" s="7"/>
      <c r="GU6" s="7"/>
      <c r="HD6" s="7"/>
      <c r="HM6" s="7"/>
      <c r="HV6" s="7"/>
      <c r="IE6" s="7"/>
      <c r="IN6" s="7"/>
      <c r="IU6" s="7"/>
      <c r="JB6" s="7"/>
      <c r="JI6" s="7"/>
      <c r="JP6" s="7"/>
      <c r="JW6" s="7"/>
      <c r="KD6" s="7"/>
      <c r="KK6" s="7"/>
      <c r="KR6" s="7"/>
      <c r="KY6" s="7"/>
      <c r="LF6" s="7"/>
      <c r="LM6" s="7"/>
      <c r="LT6" s="7"/>
      <c r="MA6" s="7"/>
      <c r="MH6" s="7"/>
      <c r="MO6" s="7"/>
      <c r="MV6" s="7"/>
      <c r="NC6" s="7"/>
      <c r="NJ6" s="7"/>
    </row>
    <row r="7" spans="1:374" ht="15" customHeight="1" x14ac:dyDescent="0.25">
      <c r="A7" s="8" t="s">
        <v>128</v>
      </c>
      <c r="B7" s="8" t="s">
        <v>127</v>
      </c>
      <c r="C7" s="8" t="s">
        <v>157</v>
      </c>
      <c r="D7" s="8" t="s">
        <v>126</v>
      </c>
      <c r="E7" s="18">
        <v>38532</v>
      </c>
      <c r="F7" s="10">
        <f>IF($E7 &gt;= F$5, 1, "")</f>
        <v>1</v>
      </c>
      <c r="G7" s="19">
        <f>IF($E7 &gt;= G$5, 1, "")</f>
        <v>1</v>
      </c>
      <c r="H7" s="19" t="str">
        <f t="shared" ref="H7:L7" si="305">IF($E7 &gt;= H$5, 1, "")</f>
        <v/>
      </c>
      <c r="I7" s="19" t="str">
        <f t="shared" si="305"/>
        <v/>
      </c>
      <c r="J7" s="19" t="str">
        <f t="shared" si="305"/>
        <v/>
      </c>
      <c r="K7" s="19" t="str">
        <f t="shared" si="305"/>
        <v/>
      </c>
      <c r="L7" s="19" t="str">
        <f t="shared" si="305"/>
        <v/>
      </c>
      <c r="M7" s="8"/>
      <c r="N7" s="8">
        <v>1</v>
      </c>
      <c r="O7" s="9">
        <v>1</v>
      </c>
      <c r="P7" s="8">
        <f t="shared" si="304"/>
        <v>83</v>
      </c>
      <c r="Q7" s="108">
        <f t="shared" ref="Q7:Q26" si="306">IF(SUM(S7:XFD7) &gt; 0, SUM(S7:XFD7) /P$37 * 100, "")</f>
        <v>86.458333333333343</v>
      </c>
      <c r="R7" s="128" t="str">
        <f t="shared" ref="R7:R33" si="307">KStateSum(S7:NJ7, 1)</f>
        <v>10</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376</v>
      </c>
      <c r="BY7" s="80" t="s">
        <v>360</v>
      </c>
      <c r="CC7">
        <v>1</v>
      </c>
      <c r="CG7" s="95" t="s">
        <v>376</v>
      </c>
      <c r="CH7" s="80" t="s">
        <v>362</v>
      </c>
      <c r="CL7">
        <v>1</v>
      </c>
      <c r="CP7" s="99" t="s">
        <v>376</v>
      </c>
      <c r="CQ7" s="80" t="s">
        <v>362</v>
      </c>
      <c r="CS7">
        <v>1</v>
      </c>
      <c r="CV7">
        <v>1</v>
      </c>
      <c r="CY7" s="99" t="s">
        <v>377</v>
      </c>
      <c r="CZ7" s="80" t="s">
        <v>390</v>
      </c>
      <c r="DB7">
        <v>1</v>
      </c>
      <c r="DH7" s="99" t="s">
        <v>378</v>
      </c>
      <c r="DI7" s="80">
        <v>2</v>
      </c>
      <c r="DK7">
        <v>1</v>
      </c>
      <c r="DM7">
        <v>1</v>
      </c>
      <c r="DP7">
        <v>1</v>
      </c>
      <c r="DQ7" s="99" t="s">
        <v>390</v>
      </c>
      <c r="DR7" s="80">
        <v>1</v>
      </c>
      <c r="DT7">
        <v>1</v>
      </c>
      <c r="DV7">
        <v>1</v>
      </c>
      <c r="DW7">
        <v>1</v>
      </c>
      <c r="DZ7" s="95" t="s">
        <v>390</v>
      </c>
      <c r="EA7" s="80" t="s">
        <v>396</v>
      </c>
      <c r="EB7">
        <v>1</v>
      </c>
      <c r="EC7">
        <v>1</v>
      </c>
      <c r="EE7">
        <v>1</v>
      </c>
      <c r="EF7">
        <v>1</v>
      </c>
      <c r="EI7" s="99" t="s">
        <v>362</v>
      </c>
      <c r="EJ7" s="80" t="s">
        <v>362</v>
      </c>
      <c r="EK7">
        <v>1</v>
      </c>
      <c r="EL7">
        <v>1</v>
      </c>
      <c r="EN7" s="95">
        <v>1</v>
      </c>
      <c r="EO7">
        <v>1</v>
      </c>
      <c r="EQ7">
        <v>1</v>
      </c>
      <c r="ER7" s="99" t="s">
        <v>362</v>
      </c>
      <c r="ES7" s="80" t="s">
        <v>396</v>
      </c>
      <c r="ET7">
        <v>1</v>
      </c>
      <c r="EU7">
        <v>1</v>
      </c>
      <c r="EV7">
        <v>1</v>
      </c>
      <c r="EW7">
        <v>1</v>
      </c>
      <c r="FA7" s="95" t="s">
        <v>362</v>
      </c>
      <c r="FB7" s="80" t="s">
        <v>362</v>
      </c>
      <c r="FC7">
        <v>1</v>
      </c>
      <c r="FE7">
        <v>1</v>
      </c>
      <c r="FF7">
        <v>1</v>
      </c>
      <c r="FG7">
        <v>1</v>
      </c>
      <c r="FH7">
        <v>1</v>
      </c>
      <c r="FJ7" s="99" t="s">
        <v>362</v>
      </c>
      <c r="FK7" s="80" t="s">
        <v>396</v>
      </c>
      <c r="FL7">
        <v>1</v>
      </c>
      <c r="FM7">
        <v>1</v>
      </c>
      <c r="FO7">
        <v>1</v>
      </c>
      <c r="FP7">
        <v>1</v>
      </c>
      <c r="FQ7">
        <v>1</v>
      </c>
      <c r="FS7" s="95" t="s">
        <v>362</v>
      </c>
      <c r="FT7" s="80" t="s">
        <v>396</v>
      </c>
      <c r="FU7">
        <v>1</v>
      </c>
      <c r="FV7">
        <v>1</v>
      </c>
      <c r="FX7">
        <v>1</v>
      </c>
      <c r="FY7">
        <v>1</v>
      </c>
      <c r="FZ7">
        <v>1</v>
      </c>
      <c r="GB7">
        <v>0</v>
      </c>
      <c r="GC7" s="80" t="s">
        <v>396</v>
      </c>
      <c r="GD7">
        <v>1</v>
      </c>
      <c r="GE7">
        <v>1</v>
      </c>
      <c r="GG7">
        <v>1</v>
      </c>
      <c r="GH7">
        <v>1</v>
      </c>
      <c r="GI7">
        <v>1</v>
      </c>
      <c r="GK7" s="95" t="s">
        <v>362</v>
      </c>
      <c r="GL7" s="80" t="s">
        <v>396</v>
      </c>
      <c r="GM7">
        <v>1</v>
      </c>
      <c r="GN7">
        <v>1</v>
      </c>
      <c r="GP7">
        <v>1</v>
      </c>
      <c r="GQ7">
        <v>1</v>
      </c>
      <c r="GR7">
        <v>1</v>
      </c>
      <c r="GS7" s="145">
        <v>1</v>
      </c>
      <c r="GT7" s="95" t="s">
        <v>362</v>
      </c>
      <c r="GU7" s="80" t="s">
        <v>390</v>
      </c>
      <c r="GV7">
        <v>1</v>
      </c>
      <c r="GW7">
        <v>1</v>
      </c>
      <c r="GY7">
        <v>1</v>
      </c>
      <c r="GZ7">
        <v>1</v>
      </c>
      <c r="HA7">
        <v>1</v>
      </c>
      <c r="HC7" s="95" t="s">
        <v>362</v>
      </c>
      <c r="HD7" s="80" t="s">
        <v>396</v>
      </c>
      <c r="HJ7">
        <v>1</v>
      </c>
      <c r="HL7" s="95" t="s">
        <v>362</v>
      </c>
      <c r="HM7" s="80" t="s">
        <v>362</v>
      </c>
      <c r="HP7">
        <v>1</v>
      </c>
      <c r="HR7">
        <v>1</v>
      </c>
      <c r="HU7" s="95" t="s">
        <v>362</v>
      </c>
      <c r="HV7" s="80" t="s">
        <v>360</v>
      </c>
      <c r="ID7" s="95" t="s">
        <v>362</v>
      </c>
      <c r="IE7" s="80" t="s">
        <v>362</v>
      </c>
      <c r="IM7" s="95" t="s">
        <v>362</v>
      </c>
      <c r="IN7" s="80" t="s">
        <v>362</v>
      </c>
      <c r="IU7" s="7"/>
      <c r="JB7" s="7"/>
      <c r="JI7" s="7"/>
      <c r="JP7" s="7"/>
      <c r="JW7" s="7"/>
      <c r="KD7" s="7"/>
      <c r="KK7" s="7"/>
      <c r="KR7" s="7"/>
      <c r="KY7" s="7"/>
      <c r="LF7" s="7"/>
      <c r="LM7" s="7"/>
      <c r="LT7" s="7"/>
      <c r="MA7" s="7"/>
      <c r="MH7" s="7"/>
      <c r="MO7" s="7"/>
      <c r="MV7" s="7"/>
      <c r="NC7" s="7"/>
      <c r="NJ7" s="7"/>
    </row>
    <row r="8" spans="1:374" ht="15" customHeight="1" x14ac:dyDescent="0.25">
      <c r="A8" s="8" t="s">
        <v>151</v>
      </c>
      <c r="B8" s="8" t="s">
        <v>152</v>
      </c>
      <c r="C8" s="8" t="s">
        <v>153</v>
      </c>
      <c r="D8" s="8" t="s">
        <v>154</v>
      </c>
      <c r="E8" s="18">
        <v>36859</v>
      </c>
      <c r="F8" s="10" t="str">
        <f t="shared" ref="F8:L30" si="308">IF($E8 &gt;= F$5, 1, "")</f>
        <v/>
      </c>
      <c r="G8" s="19" t="str">
        <f t="shared" si="308"/>
        <v/>
      </c>
      <c r="H8" s="19" t="str">
        <f t="shared" si="308"/>
        <v/>
      </c>
      <c r="I8" s="19" t="str">
        <f t="shared" si="308"/>
        <v/>
      </c>
      <c r="J8" s="19" t="str">
        <f t="shared" si="308"/>
        <v/>
      </c>
      <c r="K8" s="19" t="str">
        <f t="shared" si="308"/>
        <v/>
      </c>
      <c r="L8" s="19" t="str">
        <f t="shared" si="308"/>
        <v/>
      </c>
      <c r="M8" s="8"/>
      <c r="N8" s="8"/>
      <c r="O8" s="9"/>
      <c r="P8" s="8">
        <f t="shared" si="304"/>
        <v>43</v>
      </c>
      <c r="Q8" s="108">
        <f t="shared" si="306"/>
        <v>44.791666666666671</v>
      </c>
      <c r="R8" s="128" t="str">
        <f t="shared" si="307"/>
        <v>-48</v>
      </c>
      <c r="S8" s="7">
        <v>1</v>
      </c>
      <c r="U8">
        <v>1</v>
      </c>
      <c r="V8">
        <v>1</v>
      </c>
      <c r="X8">
        <v>1</v>
      </c>
      <c r="Z8" s="7"/>
      <c r="AB8">
        <v>1</v>
      </c>
      <c r="AE8">
        <v>1</v>
      </c>
      <c r="AG8" s="7"/>
      <c r="AI8">
        <v>1</v>
      </c>
      <c r="AK8">
        <v>1</v>
      </c>
      <c r="AN8" s="7"/>
      <c r="AR8">
        <v>1</v>
      </c>
      <c r="AU8" s="7"/>
      <c r="AW8">
        <v>1</v>
      </c>
      <c r="BB8" s="7"/>
      <c r="BI8" s="7"/>
      <c r="BP8" s="7"/>
      <c r="BR8">
        <v>1</v>
      </c>
      <c r="BX8" s="99" t="s">
        <v>362</v>
      </c>
      <c r="BY8" s="80" t="s">
        <v>484</v>
      </c>
      <c r="CG8" s="99" t="s">
        <v>362</v>
      </c>
      <c r="CH8" s="80" t="s">
        <v>366</v>
      </c>
      <c r="CP8" s="95" t="s">
        <v>362</v>
      </c>
      <c r="CQ8" s="80" t="s">
        <v>366</v>
      </c>
      <c r="CY8" s="99" t="s">
        <v>362</v>
      </c>
      <c r="CZ8" s="80" t="s">
        <v>363</v>
      </c>
      <c r="DH8" s="99" t="s">
        <v>362</v>
      </c>
      <c r="DI8" s="80" t="s">
        <v>363</v>
      </c>
      <c r="DQ8" s="99" t="s">
        <v>362</v>
      </c>
      <c r="DR8" s="80" t="s">
        <v>363</v>
      </c>
      <c r="DZ8" s="99" t="s">
        <v>362</v>
      </c>
      <c r="EA8" s="80" t="s">
        <v>363</v>
      </c>
      <c r="EB8">
        <v>1</v>
      </c>
      <c r="EE8">
        <v>1</v>
      </c>
      <c r="EF8">
        <v>1</v>
      </c>
      <c r="EI8" s="99" t="s">
        <v>362</v>
      </c>
      <c r="EJ8" s="80" t="s">
        <v>361</v>
      </c>
      <c r="EK8">
        <v>1</v>
      </c>
      <c r="EL8">
        <v>1</v>
      </c>
      <c r="EN8" s="95">
        <v>1</v>
      </c>
      <c r="EO8">
        <v>1</v>
      </c>
      <c r="EQ8">
        <v>1</v>
      </c>
      <c r="ER8" s="99" t="s">
        <v>362</v>
      </c>
      <c r="ES8" s="80" t="s">
        <v>396</v>
      </c>
      <c r="ET8">
        <v>1</v>
      </c>
      <c r="EW8">
        <v>1</v>
      </c>
      <c r="FA8" s="95" t="s">
        <v>362</v>
      </c>
      <c r="FB8" s="80" t="s">
        <v>360</v>
      </c>
      <c r="FC8">
        <v>1</v>
      </c>
      <c r="FE8">
        <v>1</v>
      </c>
      <c r="FF8">
        <v>1</v>
      </c>
      <c r="FG8">
        <v>1</v>
      </c>
      <c r="FH8">
        <v>1</v>
      </c>
      <c r="FJ8" s="99" t="s">
        <v>362</v>
      </c>
      <c r="FK8" s="80" t="s">
        <v>396</v>
      </c>
      <c r="FL8">
        <v>1</v>
      </c>
      <c r="FP8">
        <v>1</v>
      </c>
      <c r="FQ8">
        <v>1</v>
      </c>
      <c r="FS8" s="99" t="s">
        <v>362</v>
      </c>
      <c r="FT8" s="80" t="s">
        <v>361</v>
      </c>
      <c r="FU8">
        <v>1</v>
      </c>
      <c r="FV8">
        <v>1</v>
      </c>
      <c r="FY8">
        <v>1</v>
      </c>
      <c r="GB8">
        <v>0</v>
      </c>
      <c r="GC8" s="80" t="s">
        <v>361</v>
      </c>
      <c r="GD8">
        <v>1</v>
      </c>
      <c r="GE8">
        <v>1</v>
      </c>
      <c r="GH8">
        <v>1</v>
      </c>
      <c r="GI8">
        <v>1</v>
      </c>
      <c r="GK8" s="95" t="s">
        <v>362</v>
      </c>
      <c r="GL8" s="80" t="s">
        <v>362</v>
      </c>
      <c r="GM8">
        <v>1</v>
      </c>
      <c r="GN8">
        <v>1</v>
      </c>
      <c r="GP8">
        <v>1</v>
      </c>
      <c r="GR8">
        <v>1</v>
      </c>
      <c r="GS8" s="145"/>
      <c r="GT8" s="95" t="s">
        <v>362</v>
      </c>
      <c r="GU8" s="80" t="s">
        <v>362</v>
      </c>
      <c r="GV8">
        <v>1</v>
      </c>
      <c r="GW8">
        <v>1</v>
      </c>
      <c r="HC8" s="95" t="s">
        <v>362</v>
      </c>
      <c r="HD8" s="80" t="s">
        <v>360</v>
      </c>
      <c r="HJ8">
        <v>1</v>
      </c>
      <c r="HL8" s="95" t="s">
        <v>362</v>
      </c>
      <c r="HM8" s="80" t="s">
        <v>362</v>
      </c>
      <c r="HU8" s="95" t="s">
        <v>362</v>
      </c>
      <c r="HV8" s="80" t="s">
        <v>363</v>
      </c>
      <c r="ID8" s="95" t="s">
        <v>362</v>
      </c>
      <c r="IE8" s="80" t="s">
        <v>362</v>
      </c>
      <c r="IM8" s="95" t="s">
        <v>362</v>
      </c>
      <c r="IN8" s="80" t="s">
        <v>362</v>
      </c>
      <c r="IU8" s="7"/>
      <c r="JB8" s="7"/>
      <c r="JI8" s="7"/>
      <c r="JP8" s="7"/>
      <c r="JW8" s="7"/>
      <c r="KD8" s="7"/>
      <c r="KK8" s="7"/>
      <c r="KR8" s="7"/>
      <c r="KY8" s="7"/>
      <c r="LF8" s="7"/>
      <c r="LM8" s="7"/>
      <c r="LT8" s="7"/>
      <c r="MA8" s="7"/>
      <c r="MH8" s="7"/>
      <c r="MO8" s="7"/>
      <c r="MV8" s="7"/>
      <c r="NC8" s="7"/>
      <c r="NJ8" s="7"/>
    </row>
    <row r="9" spans="1:374" ht="15" customHeight="1" x14ac:dyDescent="0.25">
      <c r="A9" s="8" t="s">
        <v>20</v>
      </c>
      <c r="B9" s="8"/>
      <c r="C9" s="8" t="s">
        <v>149</v>
      </c>
      <c r="D9" s="8" t="s">
        <v>150</v>
      </c>
      <c r="E9" s="18">
        <v>37414</v>
      </c>
      <c r="F9" s="10">
        <f t="shared" si="308"/>
        <v>1</v>
      </c>
      <c r="G9" s="19" t="str">
        <f t="shared" si="308"/>
        <v/>
      </c>
      <c r="H9" s="19" t="str">
        <f t="shared" si="308"/>
        <v/>
      </c>
      <c r="I9" s="19" t="str">
        <f t="shared" si="308"/>
        <v/>
      </c>
      <c r="J9" s="19" t="str">
        <f t="shared" si="308"/>
        <v/>
      </c>
      <c r="K9" s="19" t="str">
        <f t="shared" si="308"/>
        <v/>
      </c>
      <c r="L9" s="19" t="str">
        <f t="shared" si="308"/>
        <v/>
      </c>
      <c r="M9" s="8"/>
      <c r="N9" s="8">
        <v>1</v>
      </c>
      <c r="O9" s="9">
        <v>1</v>
      </c>
      <c r="P9" s="8">
        <f t="shared" si="304"/>
        <v>74</v>
      </c>
      <c r="Q9" s="108">
        <f t="shared" si="306"/>
        <v>77.083333333333343</v>
      </c>
      <c r="R9" s="128" t="str">
        <f t="shared" si="307"/>
        <v>-20</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362</v>
      </c>
      <c r="BY9" s="80" t="s">
        <v>363</v>
      </c>
      <c r="CC9">
        <v>1</v>
      </c>
      <c r="CF9">
        <v>1</v>
      </c>
      <c r="CG9" s="95" t="s">
        <v>362</v>
      </c>
      <c r="CH9" s="80" t="s">
        <v>363</v>
      </c>
      <c r="CL9">
        <v>1</v>
      </c>
      <c r="CO9">
        <v>1</v>
      </c>
      <c r="CP9" s="99" t="s">
        <v>362</v>
      </c>
      <c r="CQ9" s="80" t="s">
        <v>363</v>
      </c>
      <c r="CS9">
        <v>1</v>
      </c>
      <c r="CU9">
        <v>1</v>
      </c>
      <c r="CX9">
        <v>1</v>
      </c>
      <c r="CY9" s="99" t="s">
        <v>362</v>
      </c>
      <c r="CZ9" s="80" t="s">
        <v>361</v>
      </c>
      <c r="DB9">
        <v>1</v>
      </c>
      <c r="DE9">
        <v>1</v>
      </c>
      <c r="DG9">
        <v>1</v>
      </c>
      <c r="DH9" s="99" t="s">
        <v>362</v>
      </c>
      <c r="DI9" s="80" t="s">
        <v>361</v>
      </c>
      <c r="DK9">
        <v>1</v>
      </c>
      <c r="DM9">
        <v>1</v>
      </c>
      <c r="DN9">
        <v>1</v>
      </c>
      <c r="DP9">
        <v>1</v>
      </c>
      <c r="DQ9" s="99" t="s">
        <v>362</v>
      </c>
      <c r="DR9" s="80" t="s">
        <v>362</v>
      </c>
      <c r="DT9">
        <v>1</v>
      </c>
      <c r="DV9">
        <v>1</v>
      </c>
      <c r="DW9">
        <v>1</v>
      </c>
      <c r="DZ9" s="95" t="s">
        <v>362</v>
      </c>
      <c r="EA9" s="80" t="s">
        <v>361</v>
      </c>
      <c r="EB9">
        <v>1</v>
      </c>
      <c r="EC9">
        <v>1</v>
      </c>
      <c r="EE9">
        <v>1</v>
      </c>
      <c r="EF9">
        <v>1</v>
      </c>
      <c r="EI9" s="99" t="s">
        <v>362</v>
      </c>
      <c r="EJ9" s="80" t="s">
        <v>362</v>
      </c>
      <c r="EK9">
        <v>1</v>
      </c>
      <c r="EL9">
        <v>1</v>
      </c>
      <c r="EN9" s="95">
        <v>1</v>
      </c>
      <c r="EO9">
        <v>1</v>
      </c>
      <c r="EQ9">
        <v>1</v>
      </c>
      <c r="ER9" s="99" t="s">
        <v>362</v>
      </c>
      <c r="ES9" s="80" t="s">
        <v>396</v>
      </c>
      <c r="EU9">
        <v>1</v>
      </c>
      <c r="EV9">
        <v>1</v>
      </c>
      <c r="EW9">
        <v>1</v>
      </c>
      <c r="FA9" s="95" t="s">
        <v>362</v>
      </c>
      <c r="FB9" s="80" t="s">
        <v>361</v>
      </c>
      <c r="FC9">
        <v>1</v>
      </c>
      <c r="FE9">
        <v>1</v>
      </c>
      <c r="FF9">
        <v>1</v>
      </c>
      <c r="FG9">
        <v>1</v>
      </c>
      <c r="FH9">
        <v>1</v>
      </c>
      <c r="FJ9" s="99" t="s">
        <v>362</v>
      </c>
      <c r="FK9" s="80" t="s">
        <v>396</v>
      </c>
      <c r="FP9">
        <v>1</v>
      </c>
      <c r="FQ9">
        <v>1</v>
      </c>
      <c r="FS9" s="99" t="s">
        <v>362</v>
      </c>
      <c r="FT9" s="80" t="s">
        <v>360</v>
      </c>
      <c r="FU9">
        <v>1</v>
      </c>
      <c r="FV9">
        <v>1</v>
      </c>
      <c r="FX9">
        <v>1</v>
      </c>
      <c r="FY9">
        <v>1</v>
      </c>
      <c r="FZ9">
        <v>1</v>
      </c>
      <c r="GB9">
        <v>0</v>
      </c>
      <c r="GC9" s="80" t="s">
        <v>396</v>
      </c>
      <c r="GD9">
        <v>1</v>
      </c>
      <c r="GE9">
        <v>1</v>
      </c>
      <c r="GG9">
        <v>1</v>
      </c>
      <c r="GH9">
        <v>1</v>
      </c>
      <c r="GI9">
        <v>1</v>
      </c>
      <c r="GK9" s="95" t="s">
        <v>362</v>
      </c>
      <c r="GL9" s="80" t="s">
        <v>396</v>
      </c>
      <c r="GM9">
        <v>1</v>
      </c>
      <c r="GN9">
        <v>1</v>
      </c>
      <c r="GP9">
        <v>1</v>
      </c>
      <c r="GR9">
        <v>1</v>
      </c>
      <c r="GS9" s="145"/>
      <c r="GT9" s="95" t="s">
        <v>362</v>
      </c>
      <c r="GU9" s="80" t="s">
        <v>362</v>
      </c>
      <c r="GV9">
        <v>1</v>
      </c>
      <c r="GZ9">
        <v>1</v>
      </c>
      <c r="HC9" s="95" t="s">
        <v>362</v>
      </c>
      <c r="HD9" s="80" t="s">
        <v>360</v>
      </c>
      <c r="HJ9">
        <v>1</v>
      </c>
      <c r="HL9" s="95" t="s">
        <v>362</v>
      </c>
      <c r="HM9" s="80" t="s">
        <v>362</v>
      </c>
      <c r="HU9" s="95" t="s">
        <v>362</v>
      </c>
      <c r="HV9" s="80" t="s">
        <v>363</v>
      </c>
      <c r="ID9" s="95" t="s">
        <v>362</v>
      </c>
      <c r="IE9" s="80" t="s">
        <v>362</v>
      </c>
      <c r="IM9" s="95" t="s">
        <v>362</v>
      </c>
      <c r="IN9" s="80" t="s">
        <v>362</v>
      </c>
      <c r="IU9" s="7"/>
      <c r="JB9" s="7"/>
      <c r="JI9" s="7"/>
      <c r="JP9" s="7"/>
      <c r="JW9" s="7"/>
      <c r="KD9" s="7"/>
      <c r="KK9" s="7"/>
      <c r="KR9" s="7"/>
      <c r="KY9" s="7"/>
      <c r="LF9" s="7"/>
      <c r="LM9" s="7"/>
      <c r="LT9" s="7"/>
      <c r="MA9" s="7"/>
      <c r="MH9" s="7"/>
      <c r="MO9" s="7"/>
      <c r="MV9" s="7"/>
      <c r="NC9" s="7"/>
      <c r="NJ9" s="7"/>
    </row>
    <row r="10" spans="1:374" ht="15" customHeight="1" x14ac:dyDescent="0.25">
      <c r="A10" s="8" t="s">
        <v>247</v>
      </c>
      <c r="B10" s="8" t="s">
        <v>177</v>
      </c>
      <c r="C10" s="8" t="s">
        <v>178</v>
      </c>
      <c r="D10" s="8" t="s">
        <v>113</v>
      </c>
      <c r="E10" s="18">
        <v>37608</v>
      </c>
      <c r="F10" s="10">
        <f t="shared" si="308"/>
        <v>1</v>
      </c>
      <c r="G10" s="19" t="str">
        <f t="shared" si="308"/>
        <v/>
      </c>
      <c r="H10" s="19" t="str">
        <f t="shared" si="308"/>
        <v/>
      </c>
      <c r="I10" s="19" t="str">
        <f t="shared" si="308"/>
        <v/>
      </c>
      <c r="J10" s="19" t="str">
        <f t="shared" si="308"/>
        <v/>
      </c>
      <c r="K10" s="19" t="str">
        <f t="shared" si="308"/>
        <v/>
      </c>
      <c r="L10" s="19" t="str">
        <f t="shared" si="308"/>
        <v/>
      </c>
      <c r="M10" s="8"/>
      <c r="N10" s="8">
        <v>1</v>
      </c>
      <c r="O10" s="9">
        <v>1</v>
      </c>
      <c r="P10" s="8">
        <f t="shared" si="304"/>
        <v>69</v>
      </c>
      <c r="Q10" s="108">
        <f t="shared" si="306"/>
        <v>71.875</v>
      </c>
      <c r="R10" s="128" t="str">
        <f t="shared" si="307"/>
        <v>-18</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362</v>
      </c>
      <c r="BY10" s="80" t="s">
        <v>365</v>
      </c>
      <c r="CC10">
        <v>1</v>
      </c>
      <c r="CF10">
        <v>1</v>
      </c>
      <c r="CG10" s="95" t="s">
        <v>362</v>
      </c>
      <c r="CH10" s="80" t="s">
        <v>363</v>
      </c>
      <c r="CP10" s="99" t="s">
        <v>390</v>
      </c>
      <c r="CQ10" s="80" t="s">
        <v>365</v>
      </c>
      <c r="CY10" s="99" t="s">
        <v>376</v>
      </c>
      <c r="CZ10" s="80" t="s">
        <v>390</v>
      </c>
      <c r="DH10" s="99" t="s">
        <v>377</v>
      </c>
      <c r="DI10" s="80" t="s">
        <v>362</v>
      </c>
      <c r="DK10">
        <v>1</v>
      </c>
      <c r="DM10">
        <v>1</v>
      </c>
      <c r="DN10">
        <v>1</v>
      </c>
      <c r="DP10">
        <v>1</v>
      </c>
      <c r="DQ10" s="99" t="s">
        <v>396</v>
      </c>
      <c r="DR10" s="80" t="s">
        <v>396</v>
      </c>
      <c r="DT10">
        <v>1</v>
      </c>
      <c r="DV10">
        <v>1</v>
      </c>
      <c r="DZ10" s="95" t="s">
        <v>396</v>
      </c>
      <c r="EA10" s="80" t="s">
        <v>361</v>
      </c>
      <c r="EB10">
        <v>1</v>
      </c>
      <c r="EC10">
        <v>1</v>
      </c>
      <c r="EE10">
        <v>1</v>
      </c>
      <c r="EF10">
        <v>1</v>
      </c>
      <c r="EI10" s="99" t="s">
        <v>362</v>
      </c>
      <c r="EJ10" s="80" t="s">
        <v>362</v>
      </c>
      <c r="EK10">
        <v>1</v>
      </c>
      <c r="EL10">
        <v>1</v>
      </c>
      <c r="EN10" s="95">
        <v>1</v>
      </c>
      <c r="EO10">
        <v>1</v>
      </c>
      <c r="ER10" s="99" t="s">
        <v>362</v>
      </c>
      <c r="ES10" s="80" t="s">
        <v>362</v>
      </c>
      <c r="ET10">
        <v>1</v>
      </c>
      <c r="EU10">
        <v>1</v>
      </c>
      <c r="FA10" s="95" t="s">
        <v>362</v>
      </c>
      <c r="FB10" s="80" t="s">
        <v>360</v>
      </c>
      <c r="FC10">
        <v>1</v>
      </c>
      <c r="FE10">
        <v>1</v>
      </c>
      <c r="FF10">
        <v>1</v>
      </c>
      <c r="FG10">
        <v>1</v>
      </c>
      <c r="FH10">
        <v>1</v>
      </c>
      <c r="FJ10" s="99" t="s">
        <v>362</v>
      </c>
      <c r="FK10" s="80" t="s">
        <v>396</v>
      </c>
      <c r="FM10">
        <v>1</v>
      </c>
      <c r="FP10">
        <v>1</v>
      </c>
      <c r="FQ10">
        <v>1</v>
      </c>
      <c r="FS10" s="99" t="s">
        <v>362</v>
      </c>
      <c r="FT10" s="80" t="s">
        <v>361</v>
      </c>
      <c r="FU10">
        <v>1</v>
      </c>
      <c r="FV10">
        <v>1</v>
      </c>
      <c r="FX10">
        <v>1</v>
      </c>
      <c r="GB10">
        <v>0</v>
      </c>
      <c r="GC10" s="80" t="s">
        <v>361</v>
      </c>
      <c r="GG10">
        <v>1</v>
      </c>
      <c r="GH10">
        <v>1</v>
      </c>
      <c r="GK10" s="95" t="s">
        <v>362</v>
      </c>
      <c r="GL10" s="80" t="s">
        <v>360</v>
      </c>
      <c r="GN10">
        <v>1</v>
      </c>
      <c r="GQ10">
        <v>1</v>
      </c>
      <c r="GR10">
        <v>1</v>
      </c>
      <c r="GS10" s="145">
        <v>1</v>
      </c>
      <c r="GT10" s="95" t="s">
        <v>362</v>
      </c>
      <c r="GU10" s="80" t="s">
        <v>362</v>
      </c>
      <c r="GV10">
        <v>1</v>
      </c>
      <c r="GW10">
        <v>1</v>
      </c>
      <c r="GY10">
        <v>1</v>
      </c>
      <c r="GZ10">
        <v>1</v>
      </c>
      <c r="HA10">
        <v>1</v>
      </c>
      <c r="HC10" s="95" t="s">
        <v>362</v>
      </c>
      <c r="HD10" s="80" t="s">
        <v>396</v>
      </c>
      <c r="HF10">
        <v>1</v>
      </c>
      <c r="HJ10">
        <v>1</v>
      </c>
      <c r="HL10" s="95" t="s">
        <v>362</v>
      </c>
      <c r="HM10" s="80" t="s">
        <v>396</v>
      </c>
      <c r="HN10">
        <v>1</v>
      </c>
      <c r="HO10">
        <v>1</v>
      </c>
      <c r="HQ10">
        <v>1</v>
      </c>
      <c r="HU10" s="95" t="s">
        <v>362</v>
      </c>
      <c r="HV10" s="80" t="s">
        <v>361</v>
      </c>
      <c r="HW10">
        <v>1</v>
      </c>
      <c r="HZ10">
        <v>1</v>
      </c>
      <c r="ID10" s="95" t="s">
        <v>362</v>
      </c>
      <c r="IE10" s="80" t="s">
        <v>362</v>
      </c>
      <c r="IM10" s="95" t="s">
        <v>362</v>
      </c>
      <c r="IN10" s="80" t="s">
        <v>362</v>
      </c>
      <c r="IU10" s="7"/>
      <c r="JB10" s="7"/>
      <c r="JI10" s="7"/>
      <c r="JP10" s="7"/>
      <c r="JW10" s="7"/>
      <c r="KD10" s="7"/>
      <c r="KK10" s="7"/>
      <c r="KR10" s="7"/>
      <c r="KY10" s="7"/>
      <c r="LF10" s="7"/>
      <c r="LM10" s="7"/>
      <c r="LT10" s="7"/>
      <c r="MA10" s="7"/>
      <c r="MH10" s="7"/>
      <c r="MO10" s="7"/>
      <c r="MV10" s="7"/>
      <c r="NC10" s="7"/>
      <c r="NJ10" s="7"/>
    </row>
    <row r="11" spans="1:374" ht="15" customHeight="1" x14ac:dyDescent="0.25">
      <c r="A11" s="8" t="s">
        <v>385</v>
      </c>
      <c r="B11" s="8"/>
      <c r="C11" s="8" t="s">
        <v>238</v>
      </c>
      <c r="D11" s="8" t="s">
        <v>164</v>
      </c>
      <c r="E11" s="18">
        <v>36672</v>
      </c>
      <c r="F11" s="10" t="str">
        <f t="shared" si="308"/>
        <v/>
      </c>
      <c r="G11" s="19" t="str">
        <f t="shared" si="308"/>
        <v/>
      </c>
      <c r="H11" s="19" t="str">
        <f t="shared" si="308"/>
        <v/>
      </c>
      <c r="I11" s="19" t="str">
        <f t="shared" si="308"/>
        <v/>
      </c>
      <c r="J11" s="19" t="str">
        <f t="shared" si="308"/>
        <v/>
      </c>
      <c r="K11" s="19" t="str">
        <f t="shared" si="308"/>
        <v/>
      </c>
      <c r="L11" s="19" t="str">
        <f t="shared" si="308"/>
        <v/>
      </c>
      <c r="M11" s="8"/>
      <c r="N11" s="8"/>
      <c r="O11" s="9"/>
      <c r="P11" s="8">
        <f t="shared" si="304"/>
        <v>41</v>
      </c>
      <c r="Q11" s="108">
        <f t="shared" si="306"/>
        <v>42.708333333333329</v>
      </c>
      <c r="R11" s="128" t="str">
        <f t="shared" si="307"/>
        <v>-38</v>
      </c>
      <c r="S11" s="7"/>
      <c r="Z11" s="7"/>
      <c r="AG11" s="7"/>
      <c r="AN11" s="7"/>
      <c r="AU11" s="7"/>
      <c r="BB11" s="7"/>
      <c r="BI11" s="7"/>
      <c r="BP11" s="7"/>
      <c r="BX11" s="95" t="s">
        <v>362</v>
      </c>
      <c r="BY11" s="80" t="s">
        <v>366</v>
      </c>
      <c r="CG11" s="95" t="s">
        <v>362</v>
      </c>
      <c r="CH11" s="80" t="s">
        <v>366</v>
      </c>
      <c r="CL11">
        <v>1</v>
      </c>
      <c r="CP11" s="137" t="s">
        <v>396</v>
      </c>
      <c r="CQ11" s="80" t="s">
        <v>484</v>
      </c>
      <c r="CS11">
        <v>1</v>
      </c>
      <c r="CV11">
        <v>1</v>
      </c>
      <c r="CY11" s="137" t="s">
        <v>362</v>
      </c>
      <c r="CZ11" s="80" t="s">
        <v>360</v>
      </c>
      <c r="DH11" s="137" t="s">
        <v>362</v>
      </c>
      <c r="DI11" s="80" t="s">
        <v>363</v>
      </c>
      <c r="DK11">
        <v>1</v>
      </c>
      <c r="DQ11" s="137" t="s">
        <v>362</v>
      </c>
      <c r="DR11" s="80" t="s">
        <v>391</v>
      </c>
      <c r="DT11">
        <v>1</v>
      </c>
      <c r="DZ11" s="95" t="s">
        <v>362</v>
      </c>
      <c r="EA11" s="80" t="s">
        <v>391</v>
      </c>
      <c r="EC11">
        <v>1</v>
      </c>
      <c r="EI11" s="137" t="s">
        <v>362</v>
      </c>
      <c r="EJ11" s="80" t="s">
        <v>391</v>
      </c>
      <c r="EL11">
        <v>1</v>
      </c>
      <c r="EN11" s="95"/>
      <c r="ER11" s="99" t="s">
        <v>362</v>
      </c>
      <c r="ES11" s="80" t="s">
        <v>391</v>
      </c>
      <c r="EU11">
        <v>1</v>
      </c>
      <c r="EV11">
        <v>1</v>
      </c>
      <c r="EW11">
        <v>1</v>
      </c>
      <c r="FA11" s="95" t="s">
        <v>362</v>
      </c>
      <c r="FB11" s="80" t="s">
        <v>361</v>
      </c>
      <c r="FC11">
        <v>1</v>
      </c>
      <c r="FE11">
        <v>1</v>
      </c>
      <c r="FF11">
        <v>1</v>
      </c>
      <c r="FG11">
        <v>1</v>
      </c>
      <c r="FH11">
        <v>1</v>
      </c>
      <c r="FJ11" s="99" t="s">
        <v>362</v>
      </c>
      <c r="FK11" s="80" t="s">
        <v>396</v>
      </c>
      <c r="FL11">
        <v>1</v>
      </c>
      <c r="FM11">
        <v>1</v>
      </c>
      <c r="FP11">
        <v>1</v>
      </c>
      <c r="FQ11">
        <v>1</v>
      </c>
      <c r="FS11" s="99" t="s">
        <v>362</v>
      </c>
      <c r="FT11" s="80" t="s">
        <v>362</v>
      </c>
      <c r="FU11">
        <v>1</v>
      </c>
      <c r="FV11">
        <v>1</v>
      </c>
      <c r="FX11">
        <v>1</v>
      </c>
      <c r="FY11">
        <v>1</v>
      </c>
      <c r="FZ11">
        <v>1</v>
      </c>
      <c r="GB11">
        <v>0</v>
      </c>
      <c r="GC11" s="80" t="s">
        <v>396</v>
      </c>
      <c r="GD11">
        <v>1</v>
      </c>
      <c r="GE11">
        <v>1</v>
      </c>
      <c r="GG11">
        <v>1</v>
      </c>
      <c r="GH11">
        <v>1</v>
      </c>
      <c r="GI11">
        <v>1</v>
      </c>
      <c r="GK11" s="95" t="s">
        <v>362</v>
      </c>
      <c r="GL11" s="80" t="s">
        <v>396</v>
      </c>
      <c r="GM11">
        <v>1</v>
      </c>
      <c r="GN11">
        <v>1</v>
      </c>
      <c r="GP11">
        <v>1</v>
      </c>
      <c r="GQ11">
        <v>1</v>
      </c>
      <c r="GR11">
        <v>1</v>
      </c>
      <c r="GS11" s="145"/>
      <c r="GT11" s="95" t="s">
        <v>362</v>
      </c>
      <c r="GU11" s="80" t="s">
        <v>396</v>
      </c>
      <c r="GV11">
        <v>1</v>
      </c>
      <c r="GW11">
        <v>1</v>
      </c>
      <c r="GY11">
        <v>1</v>
      </c>
      <c r="GZ11">
        <v>1</v>
      </c>
      <c r="HA11">
        <v>1</v>
      </c>
      <c r="HC11" s="95" t="s">
        <v>362</v>
      </c>
      <c r="HD11" s="80" t="s">
        <v>396</v>
      </c>
      <c r="HJ11">
        <v>1</v>
      </c>
      <c r="HL11" s="95" t="s">
        <v>396</v>
      </c>
      <c r="HM11" s="80" t="s">
        <v>396</v>
      </c>
      <c r="HN11">
        <v>1</v>
      </c>
      <c r="HU11" s="95" t="s">
        <v>396</v>
      </c>
      <c r="HV11" s="80" t="s">
        <v>360</v>
      </c>
      <c r="ID11" s="95" t="s">
        <v>362</v>
      </c>
      <c r="IE11" s="80" t="s">
        <v>362</v>
      </c>
      <c r="IM11" s="95" t="s">
        <v>362</v>
      </c>
      <c r="IN11" s="80" t="s">
        <v>362</v>
      </c>
      <c r="IU11" s="7"/>
      <c r="JB11" s="7"/>
      <c r="JI11" s="7"/>
      <c r="JP11" s="7"/>
      <c r="JW11" s="7"/>
      <c r="KD11" s="7"/>
      <c r="KK11" s="7"/>
      <c r="KR11" s="7"/>
      <c r="KY11" s="7"/>
      <c r="LF11" s="7"/>
      <c r="LM11" s="7"/>
      <c r="LT11" s="7"/>
      <c r="MA11" s="7"/>
      <c r="MH11" s="7"/>
      <c r="MO11" s="7"/>
      <c r="MV11" s="7"/>
      <c r="NC11" s="7"/>
      <c r="NJ11" s="7"/>
    </row>
    <row r="12" spans="1:374" x14ac:dyDescent="0.25">
      <c r="A12" s="8" t="s">
        <v>162</v>
      </c>
      <c r="B12" s="8"/>
      <c r="C12" s="8" t="s">
        <v>163</v>
      </c>
      <c r="D12" s="8" t="s">
        <v>164</v>
      </c>
      <c r="E12" s="18">
        <v>37133</v>
      </c>
      <c r="F12" s="10" t="str">
        <f t="shared" si="308"/>
        <v/>
      </c>
      <c r="G12" s="19" t="str">
        <f t="shared" si="308"/>
        <v/>
      </c>
      <c r="H12" s="19" t="str">
        <f t="shared" si="308"/>
        <v/>
      </c>
      <c r="I12" s="19" t="str">
        <f t="shared" si="308"/>
        <v/>
      </c>
      <c r="J12" s="19" t="str">
        <f t="shared" si="308"/>
        <v/>
      </c>
      <c r="K12" s="19" t="str">
        <f t="shared" si="308"/>
        <v/>
      </c>
      <c r="L12" s="19" t="str">
        <f t="shared" si="308"/>
        <v/>
      </c>
      <c r="M12" s="8"/>
      <c r="N12" s="8"/>
      <c r="O12" s="9">
        <v>1</v>
      </c>
      <c r="P12" s="8">
        <f t="shared" si="304"/>
        <v>72</v>
      </c>
      <c r="Q12" s="108">
        <f t="shared" si="306"/>
        <v>75</v>
      </c>
      <c r="R12" s="128" t="str">
        <f t="shared" si="307"/>
        <v>-21</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362</v>
      </c>
      <c r="BY12" s="80" t="s">
        <v>363</v>
      </c>
      <c r="CC12">
        <v>1</v>
      </c>
      <c r="CF12">
        <v>1</v>
      </c>
      <c r="CG12" s="95" t="s">
        <v>362</v>
      </c>
      <c r="CH12" s="80" t="s">
        <v>363</v>
      </c>
      <c r="CL12">
        <v>1</v>
      </c>
      <c r="CP12" s="99" t="s">
        <v>362</v>
      </c>
      <c r="CQ12" s="80" t="s">
        <v>365</v>
      </c>
      <c r="CS12">
        <v>1</v>
      </c>
      <c r="CU12">
        <v>1</v>
      </c>
      <c r="CV12">
        <v>1</v>
      </c>
      <c r="CY12" s="99" t="s">
        <v>362</v>
      </c>
      <c r="CZ12" s="80" t="s">
        <v>361</v>
      </c>
      <c r="DB12">
        <v>1</v>
      </c>
      <c r="DE12">
        <v>1</v>
      </c>
      <c r="DH12" s="99" t="s">
        <v>362</v>
      </c>
      <c r="DI12" s="80" t="s">
        <v>360</v>
      </c>
      <c r="DK12">
        <v>1</v>
      </c>
      <c r="DM12">
        <v>1</v>
      </c>
      <c r="DN12">
        <v>1</v>
      </c>
      <c r="DP12">
        <v>1</v>
      </c>
      <c r="DQ12" s="99" t="s">
        <v>362</v>
      </c>
      <c r="DR12" s="80" t="s">
        <v>362</v>
      </c>
      <c r="DT12">
        <v>1</v>
      </c>
      <c r="DV12" t="s">
        <v>386</v>
      </c>
      <c r="DZ12" s="95" t="s">
        <v>362</v>
      </c>
      <c r="EA12" s="80" t="s">
        <v>391</v>
      </c>
      <c r="EB12">
        <v>1</v>
      </c>
      <c r="EC12">
        <v>1</v>
      </c>
      <c r="EE12">
        <v>1</v>
      </c>
      <c r="EF12">
        <v>1</v>
      </c>
      <c r="EI12" s="99" t="s">
        <v>362</v>
      </c>
      <c r="EJ12" s="80" t="s">
        <v>362</v>
      </c>
      <c r="EK12">
        <v>1</v>
      </c>
      <c r="EL12">
        <v>1</v>
      </c>
      <c r="EN12" s="95">
        <v>1</v>
      </c>
      <c r="EO12">
        <v>1</v>
      </c>
      <c r="EQ12">
        <v>1</v>
      </c>
      <c r="ER12" s="99" t="s">
        <v>362</v>
      </c>
      <c r="ES12" s="80" t="s">
        <v>396</v>
      </c>
      <c r="ET12">
        <v>1</v>
      </c>
      <c r="EU12">
        <v>1</v>
      </c>
      <c r="EV12">
        <v>1</v>
      </c>
      <c r="EW12">
        <v>1</v>
      </c>
      <c r="FA12" s="95" t="s">
        <v>362</v>
      </c>
      <c r="FB12" s="80" t="s">
        <v>362</v>
      </c>
      <c r="FE12">
        <v>1</v>
      </c>
      <c r="FF12">
        <v>1</v>
      </c>
      <c r="FG12">
        <v>1</v>
      </c>
      <c r="FH12">
        <v>1</v>
      </c>
      <c r="FJ12" s="99" t="s">
        <v>362</v>
      </c>
      <c r="FK12" s="80" t="s">
        <v>362</v>
      </c>
      <c r="FO12">
        <v>1</v>
      </c>
      <c r="FQ12">
        <v>1</v>
      </c>
      <c r="FS12" s="99" t="s">
        <v>362</v>
      </c>
      <c r="FT12" s="80" t="s">
        <v>360</v>
      </c>
      <c r="FU12">
        <v>1</v>
      </c>
      <c r="FV12">
        <v>1</v>
      </c>
      <c r="FX12">
        <v>1</v>
      </c>
      <c r="FY12">
        <v>1</v>
      </c>
      <c r="FZ12">
        <v>1</v>
      </c>
      <c r="GB12">
        <v>0</v>
      </c>
      <c r="GC12" s="80" t="s">
        <v>396</v>
      </c>
      <c r="GE12">
        <v>1</v>
      </c>
      <c r="GG12">
        <v>1</v>
      </c>
      <c r="GH12">
        <v>1</v>
      </c>
      <c r="GI12">
        <v>1</v>
      </c>
      <c r="GK12" s="95" t="s">
        <v>362</v>
      </c>
      <c r="GL12" s="80" t="s">
        <v>362</v>
      </c>
      <c r="GM12">
        <v>1</v>
      </c>
      <c r="GN12">
        <v>1</v>
      </c>
      <c r="GP12">
        <v>1</v>
      </c>
      <c r="GQ12">
        <v>1</v>
      </c>
      <c r="GR12">
        <v>1</v>
      </c>
      <c r="GS12" s="145"/>
      <c r="GT12" s="95" t="s">
        <v>362</v>
      </c>
      <c r="GU12" s="80" t="s">
        <v>396</v>
      </c>
      <c r="GV12">
        <v>1</v>
      </c>
      <c r="GW12">
        <v>1</v>
      </c>
      <c r="GY12">
        <v>1</v>
      </c>
      <c r="GZ12">
        <v>1</v>
      </c>
      <c r="HA12">
        <v>1</v>
      </c>
      <c r="HC12" s="95" t="s">
        <v>362</v>
      </c>
      <c r="HD12" s="80" t="s">
        <v>396</v>
      </c>
      <c r="HJ12">
        <v>1</v>
      </c>
      <c r="HL12" s="95" t="s">
        <v>362</v>
      </c>
      <c r="HM12" s="80" t="s">
        <v>362</v>
      </c>
      <c r="HU12" s="95" t="s">
        <v>396</v>
      </c>
      <c r="HV12" s="80" t="s">
        <v>391</v>
      </c>
      <c r="ID12" s="95" t="s">
        <v>362</v>
      </c>
      <c r="IE12" s="80" t="s">
        <v>362</v>
      </c>
      <c r="IM12" s="95" t="s">
        <v>362</v>
      </c>
      <c r="IN12" s="80" t="s">
        <v>362</v>
      </c>
      <c r="IU12" s="7"/>
      <c r="JB12" s="7"/>
      <c r="JI12" s="7"/>
      <c r="JP12" s="7"/>
      <c r="JW12" s="7"/>
      <c r="KD12" s="7"/>
      <c r="KK12" s="7"/>
      <c r="KR12" s="7"/>
      <c r="KY12" s="7"/>
      <c r="LF12" s="7"/>
      <c r="LM12" s="7"/>
      <c r="LT12" s="7"/>
      <c r="MA12" s="7"/>
      <c r="MH12" s="7"/>
      <c r="MO12" s="7"/>
      <c r="MV12" s="7"/>
      <c r="NC12" s="7"/>
      <c r="NJ12" s="7"/>
    </row>
    <row r="13" spans="1:374" x14ac:dyDescent="0.25">
      <c r="A13" s="8" t="s">
        <v>120</v>
      </c>
      <c r="B13" s="8" t="s">
        <v>161</v>
      </c>
      <c r="C13" s="8" t="s">
        <v>175</v>
      </c>
      <c r="D13" s="8" t="s">
        <v>176</v>
      </c>
      <c r="E13" s="18">
        <v>37808</v>
      </c>
      <c r="F13" s="10">
        <f t="shared" si="308"/>
        <v>1</v>
      </c>
      <c r="G13" s="19" t="str">
        <f t="shared" si="308"/>
        <v/>
      </c>
      <c r="H13" s="19" t="str">
        <f t="shared" si="308"/>
        <v/>
      </c>
      <c r="I13" s="19" t="str">
        <f t="shared" si="308"/>
        <v/>
      </c>
      <c r="J13" s="19" t="str">
        <f t="shared" si="308"/>
        <v/>
      </c>
      <c r="K13" s="19" t="str">
        <f t="shared" si="308"/>
        <v/>
      </c>
      <c r="L13" s="19" t="str">
        <f t="shared" si="308"/>
        <v/>
      </c>
      <c r="M13" s="8"/>
      <c r="N13" s="8">
        <v>1</v>
      </c>
      <c r="O13" s="9">
        <v>1</v>
      </c>
      <c r="P13" s="8">
        <f t="shared" si="304"/>
        <v>74</v>
      </c>
      <c r="Q13" s="108">
        <f t="shared" si="306"/>
        <v>77.083333333333343</v>
      </c>
      <c r="R13" s="128" t="str">
        <f t="shared" si="307"/>
        <v>-11</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376</v>
      </c>
      <c r="BY13" s="80" t="s">
        <v>362</v>
      </c>
      <c r="CC13">
        <v>1</v>
      </c>
      <c r="CG13" s="95" t="s">
        <v>376</v>
      </c>
      <c r="CH13" s="80" t="s">
        <v>362</v>
      </c>
      <c r="CL13">
        <v>1</v>
      </c>
      <c r="CO13">
        <v>1</v>
      </c>
      <c r="CP13" s="99" t="s">
        <v>362</v>
      </c>
      <c r="CQ13" s="80" t="s">
        <v>363</v>
      </c>
      <c r="CS13">
        <v>1</v>
      </c>
      <c r="CU13">
        <v>1</v>
      </c>
      <c r="CV13">
        <v>1</v>
      </c>
      <c r="CY13" s="99" t="s">
        <v>362</v>
      </c>
      <c r="CZ13" s="80" t="s">
        <v>361</v>
      </c>
      <c r="DB13">
        <v>1</v>
      </c>
      <c r="DG13">
        <v>1</v>
      </c>
      <c r="DH13" s="99" t="s">
        <v>396</v>
      </c>
      <c r="DI13" s="80" t="s">
        <v>361</v>
      </c>
      <c r="DK13">
        <v>1</v>
      </c>
      <c r="DM13">
        <v>1</v>
      </c>
      <c r="DQ13" s="99" t="s">
        <v>396</v>
      </c>
      <c r="DR13" s="80" t="s">
        <v>361</v>
      </c>
      <c r="DT13" t="s">
        <v>386</v>
      </c>
      <c r="DZ13" s="95" t="s">
        <v>362</v>
      </c>
      <c r="EA13" s="80" t="s">
        <v>363</v>
      </c>
      <c r="EB13">
        <v>1</v>
      </c>
      <c r="EC13">
        <v>1</v>
      </c>
      <c r="EE13">
        <v>1</v>
      </c>
      <c r="EI13" s="99" t="s">
        <v>362</v>
      </c>
      <c r="EJ13" s="80" t="s">
        <v>361</v>
      </c>
      <c r="EK13">
        <v>1</v>
      </c>
      <c r="EL13">
        <v>1</v>
      </c>
      <c r="EN13" s="95">
        <v>1</v>
      </c>
      <c r="EO13">
        <v>1</v>
      </c>
      <c r="EQ13">
        <v>1</v>
      </c>
      <c r="ER13" s="99" t="s">
        <v>362</v>
      </c>
      <c r="ES13" s="80" t="s">
        <v>396</v>
      </c>
      <c r="ET13">
        <v>1</v>
      </c>
      <c r="EU13">
        <v>1</v>
      </c>
      <c r="EV13">
        <v>1</v>
      </c>
      <c r="EW13">
        <v>1</v>
      </c>
      <c r="FA13" s="95" t="s">
        <v>362</v>
      </c>
      <c r="FB13" s="80" t="s">
        <v>362</v>
      </c>
      <c r="FC13">
        <v>1</v>
      </c>
      <c r="FE13">
        <v>1</v>
      </c>
      <c r="FF13">
        <v>1</v>
      </c>
      <c r="FG13">
        <v>1</v>
      </c>
      <c r="FH13">
        <v>1</v>
      </c>
      <c r="FJ13" s="99" t="s">
        <v>362</v>
      </c>
      <c r="FK13" s="80" t="s">
        <v>396</v>
      </c>
      <c r="FO13">
        <v>1</v>
      </c>
      <c r="FP13">
        <v>1</v>
      </c>
      <c r="FQ13">
        <v>1</v>
      </c>
      <c r="FS13" s="99" t="s">
        <v>362</v>
      </c>
      <c r="FT13" s="80" t="s">
        <v>361</v>
      </c>
      <c r="FU13">
        <v>1</v>
      </c>
      <c r="FV13">
        <v>1</v>
      </c>
      <c r="FX13">
        <v>1</v>
      </c>
      <c r="FY13">
        <v>1</v>
      </c>
      <c r="FZ13">
        <v>1</v>
      </c>
      <c r="GB13">
        <v>0</v>
      </c>
      <c r="GC13" s="80" t="s">
        <v>396</v>
      </c>
      <c r="GD13">
        <v>1</v>
      </c>
      <c r="GE13">
        <v>1</v>
      </c>
      <c r="GG13">
        <v>1</v>
      </c>
      <c r="GH13">
        <v>1</v>
      </c>
      <c r="GI13">
        <v>1</v>
      </c>
      <c r="GK13" s="95" t="s">
        <v>362</v>
      </c>
      <c r="GL13" s="80" t="s">
        <v>396</v>
      </c>
      <c r="GM13">
        <v>1</v>
      </c>
      <c r="GN13">
        <v>1</v>
      </c>
      <c r="GP13">
        <v>1</v>
      </c>
      <c r="GQ13">
        <v>1</v>
      </c>
      <c r="GR13">
        <v>1</v>
      </c>
      <c r="GS13" s="145"/>
      <c r="GT13" s="95" t="s">
        <v>362</v>
      </c>
      <c r="GU13" s="80" t="s">
        <v>396</v>
      </c>
      <c r="GV13">
        <v>1</v>
      </c>
      <c r="GW13">
        <v>1</v>
      </c>
      <c r="GY13">
        <v>1</v>
      </c>
      <c r="GZ13">
        <v>1</v>
      </c>
      <c r="HA13">
        <v>1</v>
      </c>
      <c r="HC13" s="95" t="s">
        <v>362</v>
      </c>
      <c r="HD13" s="80" t="s">
        <v>396</v>
      </c>
      <c r="HJ13">
        <v>1</v>
      </c>
      <c r="HL13" s="95" t="s">
        <v>362</v>
      </c>
      <c r="HM13" s="80" t="s">
        <v>362</v>
      </c>
      <c r="HU13" s="95" t="s">
        <v>362</v>
      </c>
      <c r="HV13" s="80" t="s">
        <v>363</v>
      </c>
      <c r="ID13" s="95" t="s">
        <v>362</v>
      </c>
      <c r="IE13" s="80" t="s">
        <v>362</v>
      </c>
      <c r="IM13" s="95" t="s">
        <v>362</v>
      </c>
      <c r="IN13" s="80" t="s">
        <v>362</v>
      </c>
      <c r="IU13" s="7"/>
      <c r="JB13" s="7"/>
      <c r="JI13" s="7"/>
      <c r="JP13" s="7"/>
      <c r="JW13" s="7"/>
      <c r="KD13" s="7"/>
      <c r="KK13" s="7"/>
      <c r="KR13" s="7"/>
      <c r="KY13" s="7"/>
      <c r="LF13" s="7"/>
      <c r="LM13" s="7"/>
      <c r="LT13" s="7"/>
      <c r="MA13" s="7"/>
      <c r="MH13" s="7"/>
      <c r="MO13" s="7"/>
      <c r="MV13" s="7"/>
      <c r="NC13" s="7"/>
      <c r="NJ13" s="7"/>
    </row>
    <row r="14" spans="1:374" hidden="1" x14ac:dyDescent="0.25">
      <c r="A14" s="8" t="s">
        <v>177</v>
      </c>
      <c r="B14" s="8"/>
      <c r="C14" s="8" t="s">
        <v>179</v>
      </c>
      <c r="D14" s="8" t="s">
        <v>180</v>
      </c>
      <c r="E14" s="18"/>
      <c r="F14" s="10" t="str">
        <f t="shared" si="308"/>
        <v/>
      </c>
      <c r="G14" s="19" t="str">
        <f t="shared" si="308"/>
        <v/>
      </c>
      <c r="H14" s="19" t="str">
        <f t="shared" si="308"/>
        <v/>
      </c>
      <c r="I14" s="19" t="str">
        <f t="shared" si="308"/>
        <v/>
      </c>
      <c r="J14" s="19" t="str">
        <f t="shared" si="308"/>
        <v/>
      </c>
      <c r="K14" s="19" t="str">
        <f t="shared" si="308"/>
        <v/>
      </c>
      <c r="L14" s="19" t="str">
        <f t="shared" si="308"/>
        <v/>
      </c>
      <c r="M14" s="8"/>
      <c r="N14" s="8">
        <v>1</v>
      </c>
      <c r="O14" s="9"/>
      <c r="P14" s="8">
        <f t="shared" si="304"/>
        <v>1</v>
      </c>
      <c r="Q14" s="108">
        <f t="shared" si="306"/>
        <v>1.0416666666666665</v>
      </c>
      <c r="R14" s="128" t="str">
        <f t="shared" si="307"/>
        <v>-6</v>
      </c>
      <c r="S14" s="7">
        <v>1</v>
      </c>
      <c r="Z14" s="7"/>
      <c r="AG14" s="7"/>
      <c r="AN14" s="7"/>
      <c r="AU14" s="7"/>
      <c r="BB14" s="7"/>
      <c r="BI14" s="7"/>
      <c r="BP14" s="7"/>
      <c r="BX14" s="96"/>
      <c r="BY14" s="79"/>
      <c r="CG14" s="95" t="s">
        <v>362</v>
      </c>
      <c r="CH14" s="80" t="s">
        <v>365</v>
      </c>
      <c r="CP14" s="99" t="s">
        <v>362</v>
      </c>
      <c r="CQ14" s="80" t="s">
        <v>364</v>
      </c>
      <c r="CY14" s="99" t="s">
        <v>362</v>
      </c>
      <c r="CZ14" s="80" t="s">
        <v>361</v>
      </c>
      <c r="DH14" s="99" t="s">
        <v>362</v>
      </c>
      <c r="DI14" s="80" t="s">
        <v>364</v>
      </c>
      <c r="DQ14" s="99" t="s">
        <v>362</v>
      </c>
      <c r="DR14" s="80" t="s">
        <v>364</v>
      </c>
      <c r="DZ14" s="95" t="s">
        <v>362</v>
      </c>
      <c r="EA14" s="80" t="s">
        <v>361</v>
      </c>
      <c r="EI14" s="99" t="s">
        <v>362</v>
      </c>
      <c r="EJ14" s="80" t="s">
        <v>362</v>
      </c>
      <c r="EN14" s="95" t="s">
        <v>396</v>
      </c>
      <c r="ER14" s="99" t="s">
        <v>362</v>
      </c>
      <c r="ES14" s="80" t="s">
        <v>396</v>
      </c>
      <c r="FA14" s="95" t="s">
        <v>362</v>
      </c>
      <c r="FB14" s="80" t="s">
        <v>362</v>
      </c>
      <c r="FJ14" s="99" t="s">
        <v>362</v>
      </c>
      <c r="FK14" s="80" t="s">
        <v>396</v>
      </c>
      <c r="FS14" s="99" t="s">
        <v>362</v>
      </c>
      <c r="FT14" s="80" t="s">
        <v>364</v>
      </c>
      <c r="GC14" s="80" t="s">
        <v>364</v>
      </c>
      <c r="GK14" s="95" t="s">
        <v>362</v>
      </c>
      <c r="GL14" s="80" t="s">
        <v>364</v>
      </c>
      <c r="GS14" s="145"/>
      <c r="GT14" s="95" t="s">
        <v>362</v>
      </c>
      <c r="GU14" s="80" t="s">
        <v>364</v>
      </c>
      <c r="HC14" s="95" t="s">
        <v>362</v>
      </c>
      <c r="HD14" s="80" t="s">
        <v>364</v>
      </c>
      <c r="HL14" s="95" t="s">
        <v>362</v>
      </c>
      <c r="HM14" s="80" t="s">
        <v>362</v>
      </c>
      <c r="HU14" s="95" t="s">
        <v>362</v>
      </c>
      <c r="HV14" s="80" t="s">
        <v>362</v>
      </c>
      <c r="ID14" s="95" t="s">
        <v>362</v>
      </c>
      <c r="IE14" s="80" t="s">
        <v>362</v>
      </c>
      <c r="IM14" s="95" t="s">
        <v>362</v>
      </c>
      <c r="IN14" s="80" t="s">
        <v>362</v>
      </c>
      <c r="IU14" s="7"/>
      <c r="JB14" s="7"/>
      <c r="JI14" s="7"/>
      <c r="JP14" s="7"/>
      <c r="JW14" s="7"/>
      <c r="KD14" s="7"/>
      <c r="KK14" s="7"/>
      <c r="KR14" s="7"/>
      <c r="KY14" s="7"/>
      <c r="LF14" s="7"/>
      <c r="LM14" s="7"/>
      <c r="LT14" s="7"/>
      <c r="MA14" s="7"/>
      <c r="MH14" s="7"/>
      <c r="MO14" s="7"/>
      <c r="MV14" s="7"/>
      <c r="NC14" s="7"/>
      <c r="NJ14" s="7"/>
    </row>
    <row r="15" spans="1:374" hidden="1" x14ac:dyDescent="0.25">
      <c r="A15" s="8" t="s">
        <v>171</v>
      </c>
      <c r="B15" s="8" t="s">
        <v>172</v>
      </c>
      <c r="C15" s="8" t="s">
        <v>173</v>
      </c>
      <c r="D15" s="8" t="s">
        <v>174</v>
      </c>
      <c r="E15" s="18">
        <v>36556</v>
      </c>
      <c r="F15" s="10" t="str">
        <f t="shared" si="308"/>
        <v/>
      </c>
      <c r="G15" s="19" t="str">
        <f t="shared" si="308"/>
        <v/>
      </c>
      <c r="H15" s="19" t="str">
        <f t="shared" si="308"/>
        <v/>
      </c>
      <c r="I15" s="19" t="str">
        <f t="shared" si="308"/>
        <v/>
      </c>
      <c r="J15" s="19" t="str">
        <f t="shared" si="308"/>
        <v/>
      </c>
      <c r="K15" s="19" t="str">
        <f t="shared" si="308"/>
        <v/>
      </c>
      <c r="L15" s="19" t="str">
        <f t="shared" si="308"/>
        <v/>
      </c>
      <c r="M15" s="8"/>
      <c r="N15" s="8"/>
      <c r="O15" s="9"/>
      <c r="P15" s="8">
        <f t="shared" si="304"/>
        <v>1</v>
      </c>
      <c r="Q15" s="108">
        <f t="shared" si="306"/>
        <v>1.0416666666666665</v>
      </c>
      <c r="R15" s="128" t="str">
        <f t="shared" si="307"/>
        <v>-6</v>
      </c>
      <c r="S15" s="7">
        <v>1</v>
      </c>
      <c r="Z15" s="7"/>
      <c r="AG15" s="7"/>
      <c r="AN15" s="7"/>
      <c r="AU15" s="7"/>
      <c r="BB15" s="7"/>
      <c r="BI15" s="7"/>
      <c r="BP15" s="7"/>
      <c r="BX15" s="96"/>
      <c r="BY15" s="79"/>
      <c r="CG15" s="95" t="s">
        <v>362</v>
      </c>
      <c r="CH15" s="80" t="s">
        <v>365</v>
      </c>
      <c r="CP15" s="99" t="s">
        <v>362</v>
      </c>
      <c r="CQ15" s="80" t="s">
        <v>364</v>
      </c>
      <c r="CY15" s="99" t="s">
        <v>362</v>
      </c>
      <c r="CZ15" s="80" t="s">
        <v>361</v>
      </c>
      <c r="DH15" s="99" t="s">
        <v>362</v>
      </c>
      <c r="DI15" s="80" t="s">
        <v>364</v>
      </c>
      <c r="DQ15" s="99" t="s">
        <v>362</v>
      </c>
      <c r="DR15" s="80" t="s">
        <v>364</v>
      </c>
      <c r="DZ15" s="95" t="s">
        <v>362</v>
      </c>
      <c r="EA15" s="80" t="s">
        <v>361</v>
      </c>
      <c r="EI15" s="99" t="s">
        <v>362</v>
      </c>
      <c r="EJ15" s="80" t="s">
        <v>362</v>
      </c>
      <c r="EN15" s="95" t="s">
        <v>396</v>
      </c>
      <c r="ER15" s="99" t="s">
        <v>362</v>
      </c>
      <c r="ES15" s="80" t="s">
        <v>396</v>
      </c>
      <c r="FA15" s="95" t="s">
        <v>362</v>
      </c>
      <c r="FB15" s="80" t="s">
        <v>362</v>
      </c>
      <c r="FJ15" s="99" t="s">
        <v>362</v>
      </c>
      <c r="FK15" s="80" t="s">
        <v>396</v>
      </c>
      <c r="FS15" s="99" t="s">
        <v>362</v>
      </c>
      <c r="FT15" s="80" t="s">
        <v>364</v>
      </c>
      <c r="GC15" s="80" t="s">
        <v>364</v>
      </c>
      <c r="GK15" s="95" t="s">
        <v>362</v>
      </c>
      <c r="GL15" s="80" t="s">
        <v>364</v>
      </c>
      <c r="GS15" s="145"/>
      <c r="GT15" s="95" t="s">
        <v>362</v>
      </c>
      <c r="GU15" s="80" t="s">
        <v>364</v>
      </c>
      <c r="HC15" s="95" t="s">
        <v>362</v>
      </c>
      <c r="HD15" s="80" t="s">
        <v>364</v>
      </c>
      <c r="HL15" s="95" t="s">
        <v>362</v>
      </c>
      <c r="HM15" s="80" t="s">
        <v>362</v>
      </c>
      <c r="HU15" s="95" t="s">
        <v>362</v>
      </c>
      <c r="HV15" s="80" t="s">
        <v>362</v>
      </c>
      <c r="ID15" s="95" t="s">
        <v>362</v>
      </c>
      <c r="IE15" s="80" t="s">
        <v>362</v>
      </c>
      <c r="IM15" s="95" t="s">
        <v>362</v>
      </c>
      <c r="IN15" s="80" t="s">
        <v>362</v>
      </c>
      <c r="IU15" s="7"/>
      <c r="JB15" s="7"/>
      <c r="JI15" s="7"/>
      <c r="JP15" s="7"/>
      <c r="JW15" s="7"/>
      <c r="KD15" s="7"/>
      <c r="KK15" s="7"/>
      <c r="KR15" s="7"/>
      <c r="KY15" s="7"/>
      <c r="LF15" s="7"/>
      <c r="LM15" s="7"/>
      <c r="LT15" s="7"/>
      <c r="MA15" s="7"/>
      <c r="MH15" s="7"/>
      <c r="MO15" s="7"/>
      <c r="MV15" s="7"/>
      <c r="NC15" s="7"/>
      <c r="NJ15" s="7"/>
    </row>
    <row r="16" spans="1:374" x14ac:dyDescent="0.25">
      <c r="A16" s="8" t="s">
        <v>455</v>
      </c>
      <c r="B16" s="8" t="s">
        <v>230</v>
      </c>
      <c r="C16" s="8" t="s">
        <v>232</v>
      </c>
      <c r="D16" s="8" t="s">
        <v>231</v>
      </c>
      <c r="E16" s="18">
        <v>38679</v>
      </c>
      <c r="F16" s="10">
        <f t="shared" si="308"/>
        <v>1</v>
      </c>
      <c r="G16" s="19">
        <f t="shared" si="308"/>
        <v>1</v>
      </c>
      <c r="H16" s="19" t="str">
        <f t="shared" si="308"/>
        <v/>
      </c>
      <c r="I16" s="19" t="str">
        <f t="shared" si="308"/>
        <v/>
      </c>
      <c r="J16" s="19" t="str">
        <f t="shared" si="308"/>
        <v/>
      </c>
      <c r="K16" s="19" t="str">
        <f t="shared" si="308"/>
        <v/>
      </c>
      <c r="L16" s="19" t="str">
        <f t="shared" si="308"/>
        <v/>
      </c>
      <c r="M16" s="8">
        <v>1</v>
      </c>
      <c r="N16" s="8">
        <v>1</v>
      </c>
      <c r="O16" s="9"/>
      <c r="P16" s="8">
        <f t="shared" si="304"/>
        <v>26</v>
      </c>
      <c r="Q16" s="108">
        <f t="shared" si="306"/>
        <v>27.083333333333332</v>
      </c>
      <c r="R16" s="128" t="str">
        <f t="shared" si="307"/>
        <v>-59</v>
      </c>
      <c r="S16" s="7"/>
      <c r="Z16" s="7"/>
      <c r="AG16" s="7"/>
      <c r="AN16" s="7"/>
      <c r="AU16" s="7"/>
      <c r="BB16" s="7"/>
      <c r="BI16" s="7"/>
      <c r="BP16" s="7"/>
      <c r="BX16" s="96">
        <v>5</v>
      </c>
      <c r="BY16" s="80" t="s">
        <v>366</v>
      </c>
      <c r="CG16" s="95" t="s">
        <v>362</v>
      </c>
      <c r="CH16" s="80" t="s">
        <v>366</v>
      </c>
      <c r="CP16" s="95" t="s">
        <v>362</v>
      </c>
      <c r="CQ16" s="80" t="s">
        <v>366</v>
      </c>
      <c r="CY16" s="99" t="s">
        <v>362</v>
      </c>
      <c r="CZ16" s="80" t="s">
        <v>363</v>
      </c>
      <c r="DH16" s="99" t="s">
        <v>362</v>
      </c>
      <c r="DI16" s="80" t="s">
        <v>363</v>
      </c>
      <c r="DQ16" s="99" t="s">
        <v>362</v>
      </c>
      <c r="DR16" s="80" t="s">
        <v>363</v>
      </c>
      <c r="DZ16" s="95">
        <v>1</v>
      </c>
      <c r="EA16" s="80" t="s">
        <v>391</v>
      </c>
      <c r="EB16">
        <v>1</v>
      </c>
      <c r="EC16">
        <v>1</v>
      </c>
      <c r="EE16">
        <v>1</v>
      </c>
      <c r="EF16">
        <v>1</v>
      </c>
      <c r="EI16" s="99" t="s">
        <v>362</v>
      </c>
      <c r="EJ16" s="80" t="s">
        <v>362</v>
      </c>
      <c r="EK16">
        <v>1</v>
      </c>
      <c r="EL16">
        <v>1</v>
      </c>
      <c r="EN16" s="95">
        <v>1</v>
      </c>
      <c r="EO16" t="s">
        <v>458</v>
      </c>
      <c r="ER16" s="99" t="s">
        <v>362</v>
      </c>
      <c r="ES16" s="80" t="s">
        <v>361</v>
      </c>
      <c r="ET16">
        <v>1</v>
      </c>
      <c r="FA16" s="95" t="s">
        <v>362</v>
      </c>
      <c r="FB16" s="80" t="s">
        <v>391</v>
      </c>
      <c r="FD16">
        <v>1</v>
      </c>
      <c r="FG16">
        <v>1</v>
      </c>
      <c r="FJ16" s="99" t="s">
        <v>362</v>
      </c>
      <c r="FK16" s="80" t="s">
        <v>360</v>
      </c>
      <c r="FL16">
        <v>1</v>
      </c>
      <c r="FM16">
        <v>1</v>
      </c>
      <c r="FP16">
        <v>1</v>
      </c>
      <c r="FS16" s="99" t="s">
        <v>362</v>
      </c>
      <c r="FT16" s="80" t="s">
        <v>361</v>
      </c>
      <c r="FU16">
        <v>1</v>
      </c>
      <c r="FV16">
        <v>1</v>
      </c>
      <c r="GB16">
        <v>0</v>
      </c>
      <c r="GC16" s="80" t="s">
        <v>360</v>
      </c>
      <c r="GD16">
        <v>1</v>
      </c>
      <c r="GE16">
        <v>1</v>
      </c>
      <c r="GK16" s="95" t="s">
        <v>362</v>
      </c>
      <c r="GL16" s="80" t="s">
        <v>360</v>
      </c>
      <c r="GM16">
        <v>1</v>
      </c>
      <c r="GN16">
        <v>1</v>
      </c>
      <c r="GS16" s="145">
        <v>1</v>
      </c>
      <c r="GT16" s="95" t="s">
        <v>362</v>
      </c>
      <c r="GU16" s="80" t="s">
        <v>361</v>
      </c>
      <c r="HC16" s="95" t="s">
        <v>362</v>
      </c>
      <c r="HD16" s="80" t="s">
        <v>363</v>
      </c>
      <c r="HL16" s="95" t="s">
        <v>362</v>
      </c>
      <c r="HM16" s="80" t="s">
        <v>362</v>
      </c>
      <c r="HU16" s="95" t="s">
        <v>362</v>
      </c>
      <c r="HV16" s="80" t="s">
        <v>363</v>
      </c>
      <c r="ID16" s="95" t="s">
        <v>362</v>
      </c>
      <c r="IE16" s="80" t="s">
        <v>362</v>
      </c>
      <c r="IM16" s="95" t="s">
        <v>362</v>
      </c>
      <c r="IN16" s="80" t="s">
        <v>362</v>
      </c>
      <c r="IU16" s="7"/>
      <c r="JB16" s="7"/>
      <c r="JI16" s="7"/>
      <c r="JP16" s="7"/>
      <c r="JW16" s="7"/>
      <c r="KD16" s="7"/>
      <c r="KK16" s="7"/>
      <c r="KR16" s="7"/>
      <c r="KY16" s="7"/>
      <c r="LF16" s="7"/>
      <c r="LM16" s="7"/>
      <c r="LT16" s="7"/>
      <c r="MA16" s="7"/>
      <c r="MH16" s="7"/>
      <c r="MO16" s="7"/>
      <c r="MV16" s="7"/>
      <c r="NC16" s="7"/>
      <c r="NJ16" s="7"/>
    </row>
    <row r="17" spans="1:374" x14ac:dyDescent="0.25">
      <c r="A17" s="8" t="s">
        <v>125</v>
      </c>
      <c r="B17" s="8" t="s">
        <v>124</v>
      </c>
      <c r="C17" s="8" t="s">
        <v>158</v>
      </c>
      <c r="D17" s="8" t="s">
        <v>123</v>
      </c>
      <c r="E17" s="18">
        <v>38491</v>
      </c>
      <c r="F17" s="10">
        <f t="shared" si="308"/>
        <v>1</v>
      </c>
      <c r="G17" s="19">
        <f t="shared" si="308"/>
        <v>1</v>
      </c>
      <c r="H17" s="19" t="str">
        <f t="shared" si="308"/>
        <v/>
      </c>
      <c r="I17" s="19" t="str">
        <f t="shared" si="308"/>
        <v/>
      </c>
      <c r="J17" s="19" t="str">
        <f t="shared" si="308"/>
        <v/>
      </c>
      <c r="K17" s="19" t="str">
        <f t="shared" si="308"/>
        <v/>
      </c>
      <c r="L17" s="19" t="str">
        <f t="shared" si="308"/>
        <v/>
      </c>
      <c r="M17" s="8"/>
      <c r="N17" s="8">
        <v>1</v>
      </c>
      <c r="O17" s="9">
        <v>1</v>
      </c>
      <c r="P17" s="8">
        <f t="shared" si="304"/>
        <v>72</v>
      </c>
      <c r="Q17" s="108">
        <f t="shared" si="306"/>
        <v>75</v>
      </c>
      <c r="R17" s="128" t="str">
        <f t="shared" si="307"/>
        <v>-15</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376</v>
      </c>
      <c r="BY17" s="80" t="s">
        <v>362</v>
      </c>
      <c r="CC17">
        <v>1</v>
      </c>
      <c r="CG17" s="95" t="s">
        <v>378</v>
      </c>
      <c r="CH17" s="80" t="s">
        <v>361</v>
      </c>
      <c r="CL17">
        <v>1</v>
      </c>
      <c r="CP17" s="99" t="s">
        <v>362</v>
      </c>
      <c r="CQ17" s="80" t="s">
        <v>365</v>
      </c>
      <c r="CS17">
        <v>1</v>
      </c>
      <c r="CU17">
        <v>1</v>
      </c>
      <c r="CV17">
        <v>1</v>
      </c>
      <c r="CY17" s="99" t="s">
        <v>362</v>
      </c>
      <c r="CZ17" s="80" t="s">
        <v>361</v>
      </c>
      <c r="DH17" s="99" t="s">
        <v>362</v>
      </c>
      <c r="DI17" s="80" t="s">
        <v>363</v>
      </c>
      <c r="DK17">
        <v>1</v>
      </c>
      <c r="DM17">
        <v>1</v>
      </c>
      <c r="DN17">
        <v>1</v>
      </c>
      <c r="DQ17" s="99" t="s">
        <v>362</v>
      </c>
      <c r="DR17" s="80" t="s">
        <v>361</v>
      </c>
      <c r="DT17">
        <v>1</v>
      </c>
      <c r="DV17">
        <v>1</v>
      </c>
      <c r="DW17">
        <v>1</v>
      </c>
      <c r="DZ17" s="95" t="s">
        <v>362</v>
      </c>
      <c r="EA17" s="80" t="s">
        <v>361</v>
      </c>
      <c r="EC17">
        <v>1</v>
      </c>
      <c r="EE17">
        <v>1</v>
      </c>
      <c r="EF17">
        <v>1</v>
      </c>
      <c r="EI17" s="99" t="s">
        <v>362</v>
      </c>
      <c r="EJ17" s="80" t="s">
        <v>361</v>
      </c>
      <c r="EK17">
        <v>1</v>
      </c>
      <c r="EL17">
        <v>1</v>
      </c>
      <c r="EN17" s="95">
        <v>1</v>
      </c>
      <c r="EO17">
        <v>1</v>
      </c>
      <c r="EQ17">
        <v>1</v>
      </c>
      <c r="ER17" s="99" t="s">
        <v>362</v>
      </c>
      <c r="ES17" s="80" t="s">
        <v>396</v>
      </c>
      <c r="EU17">
        <v>1</v>
      </c>
      <c r="EV17">
        <v>1</v>
      </c>
      <c r="EW17">
        <v>1</v>
      </c>
      <c r="FA17" s="95" t="s">
        <v>362</v>
      </c>
      <c r="FB17" s="80" t="s">
        <v>361</v>
      </c>
      <c r="FD17">
        <v>1</v>
      </c>
      <c r="FE17">
        <v>1</v>
      </c>
      <c r="FF17">
        <v>1</v>
      </c>
      <c r="FG17">
        <v>1</v>
      </c>
      <c r="FH17">
        <v>1</v>
      </c>
      <c r="FJ17" s="99" t="s">
        <v>362</v>
      </c>
      <c r="FK17" s="80" t="s">
        <v>396</v>
      </c>
      <c r="FM17">
        <v>1</v>
      </c>
      <c r="FO17">
        <v>1</v>
      </c>
      <c r="FP17">
        <v>1</v>
      </c>
      <c r="FQ17">
        <v>1</v>
      </c>
      <c r="FS17" s="99" t="s">
        <v>362</v>
      </c>
      <c r="FT17" s="80" t="s">
        <v>362</v>
      </c>
      <c r="FU17">
        <v>1</v>
      </c>
      <c r="FV17">
        <v>1</v>
      </c>
      <c r="FX17">
        <v>1</v>
      </c>
      <c r="FY17">
        <v>1</v>
      </c>
      <c r="FZ17">
        <v>1</v>
      </c>
      <c r="GB17">
        <v>0</v>
      </c>
      <c r="GC17" s="80" t="s">
        <v>396</v>
      </c>
      <c r="GD17">
        <v>1</v>
      </c>
      <c r="GE17">
        <v>1</v>
      </c>
      <c r="GH17">
        <v>1</v>
      </c>
      <c r="GI17">
        <v>1</v>
      </c>
      <c r="GK17" s="95" t="s">
        <v>362</v>
      </c>
      <c r="GL17" s="80" t="s">
        <v>362</v>
      </c>
      <c r="GM17">
        <v>1</v>
      </c>
      <c r="GP17">
        <v>1</v>
      </c>
      <c r="GQ17">
        <v>1</v>
      </c>
      <c r="GR17">
        <v>1</v>
      </c>
      <c r="GS17" s="145">
        <v>1</v>
      </c>
      <c r="GT17" s="95" t="s">
        <v>362</v>
      </c>
      <c r="GU17" s="80" t="s">
        <v>396</v>
      </c>
      <c r="GV17">
        <v>1</v>
      </c>
      <c r="GW17">
        <v>1</v>
      </c>
      <c r="GY17">
        <v>1</v>
      </c>
      <c r="GZ17">
        <v>1</v>
      </c>
      <c r="HA17">
        <v>1</v>
      </c>
      <c r="HC17" s="95" t="s">
        <v>362</v>
      </c>
      <c r="HD17" s="80" t="s">
        <v>396</v>
      </c>
      <c r="HJ17">
        <v>1</v>
      </c>
      <c r="HL17" s="95" t="s">
        <v>362</v>
      </c>
      <c r="HM17" s="80" t="s">
        <v>362</v>
      </c>
      <c r="HU17" s="95" t="s">
        <v>362</v>
      </c>
      <c r="HV17" s="80" t="s">
        <v>363</v>
      </c>
      <c r="ID17" s="95" t="s">
        <v>362</v>
      </c>
      <c r="IE17" s="80" t="s">
        <v>362</v>
      </c>
      <c r="IM17" s="95" t="s">
        <v>362</v>
      </c>
      <c r="IN17" s="80" t="s">
        <v>362</v>
      </c>
      <c r="IU17" s="7"/>
      <c r="JB17" s="7"/>
      <c r="JI17" s="7"/>
      <c r="JP17" s="7"/>
      <c r="JW17" s="7"/>
      <c r="KD17" s="7"/>
      <c r="KK17" s="7"/>
      <c r="KR17" s="7"/>
      <c r="KY17" s="7"/>
      <c r="LF17" s="7"/>
      <c r="LM17" s="7"/>
      <c r="LT17" s="7"/>
      <c r="MA17" s="7"/>
      <c r="MH17" s="7"/>
      <c r="MO17" s="7"/>
      <c r="MV17" s="7"/>
      <c r="NC17" s="7"/>
      <c r="NJ17" s="7"/>
    </row>
    <row r="18" spans="1:374" x14ac:dyDescent="0.25">
      <c r="A18" s="8" t="s">
        <v>80</v>
      </c>
      <c r="B18" s="8"/>
      <c r="C18" s="8" t="s">
        <v>160</v>
      </c>
      <c r="D18" s="8" t="s">
        <v>122</v>
      </c>
      <c r="E18" s="18">
        <v>38655</v>
      </c>
      <c r="F18" s="10">
        <f t="shared" si="308"/>
        <v>1</v>
      </c>
      <c r="G18" s="19">
        <f t="shared" si="308"/>
        <v>1</v>
      </c>
      <c r="H18" s="19" t="str">
        <f t="shared" si="308"/>
        <v/>
      </c>
      <c r="I18" s="19" t="str">
        <f t="shared" si="308"/>
        <v/>
      </c>
      <c r="J18" s="19" t="str">
        <f t="shared" si="308"/>
        <v/>
      </c>
      <c r="K18" s="19" t="str">
        <f t="shared" si="308"/>
        <v/>
      </c>
      <c r="L18" s="19" t="str">
        <f t="shared" si="308"/>
        <v/>
      </c>
      <c r="M18" s="8"/>
      <c r="N18" s="8">
        <v>1</v>
      </c>
      <c r="O18" s="9">
        <v>1</v>
      </c>
      <c r="P18" s="8">
        <f t="shared" si="304"/>
        <v>63</v>
      </c>
      <c r="Q18" s="108">
        <f t="shared" si="306"/>
        <v>65.625</v>
      </c>
      <c r="R18" s="128" t="str">
        <f t="shared" si="307"/>
        <v>-18</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378</v>
      </c>
      <c r="BY18" s="80" t="s">
        <v>361</v>
      </c>
      <c r="CC18">
        <v>1</v>
      </c>
      <c r="CG18" s="95" t="s">
        <v>377</v>
      </c>
      <c r="CH18" s="80" t="s">
        <v>360</v>
      </c>
      <c r="CL18">
        <v>1</v>
      </c>
      <c r="CP18" s="99" t="s">
        <v>377</v>
      </c>
      <c r="CQ18" s="80" t="s">
        <v>360</v>
      </c>
      <c r="CV18">
        <v>1</v>
      </c>
      <c r="CY18" s="99" t="s">
        <v>362</v>
      </c>
      <c r="CZ18" s="80" t="s">
        <v>391</v>
      </c>
      <c r="DB18">
        <v>1</v>
      </c>
      <c r="DH18" s="99" t="s">
        <v>362</v>
      </c>
      <c r="DI18" s="80" t="s">
        <v>391</v>
      </c>
      <c r="DK18">
        <v>1</v>
      </c>
      <c r="DM18">
        <v>1</v>
      </c>
      <c r="DN18">
        <v>1</v>
      </c>
      <c r="DQ18" s="99" t="s">
        <v>362</v>
      </c>
      <c r="DR18" s="80" t="s">
        <v>361</v>
      </c>
      <c r="DT18" t="s">
        <v>411</v>
      </c>
      <c r="DW18">
        <v>1</v>
      </c>
      <c r="DZ18" s="95">
        <v>8</v>
      </c>
      <c r="EA18" s="80" t="s">
        <v>378</v>
      </c>
      <c r="EB18">
        <v>1</v>
      </c>
      <c r="EC18">
        <v>1</v>
      </c>
      <c r="EE18">
        <v>1</v>
      </c>
      <c r="EI18" s="99" t="s">
        <v>362</v>
      </c>
      <c r="EJ18" s="80" t="s">
        <v>361</v>
      </c>
      <c r="EK18">
        <v>1</v>
      </c>
      <c r="EL18">
        <v>1</v>
      </c>
      <c r="EN18" s="95">
        <v>1</v>
      </c>
      <c r="EQ18">
        <v>1</v>
      </c>
      <c r="ER18" s="99" t="s">
        <v>362</v>
      </c>
      <c r="ES18" s="80" t="s">
        <v>362</v>
      </c>
      <c r="ET18">
        <v>1</v>
      </c>
      <c r="EV18">
        <v>1</v>
      </c>
      <c r="EW18">
        <v>1</v>
      </c>
      <c r="FA18" s="95" t="s">
        <v>362</v>
      </c>
      <c r="FB18" s="80" t="s">
        <v>361</v>
      </c>
      <c r="FC18">
        <v>1</v>
      </c>
      <c r="FF18">
        <v>1</v>
      </c>
      <c r="FH18">
        <v>1</v>
      </c>
      <c r="FJ18" s="99" t="s">
        <v>362</v>
      </c>
      <c r="FK18" s="80" t="s">
        <v>361</v>
      </c>
      <c r="FM18">
        <v>1</v>
      </c>
      <c r="FP18">
        <v>1</v>
      </c>
      <c r="FQ18">
        <v>1</v>
      </c>
      <c r="FS18" s="99" t="s">
        <v>362</v>
      </c>
      <c r="FT18" s="80" t="s">
        <v>361</v>
      </c>
      <c r="FU18">
        <v>1</v>
      </c>
      <c r="FV18">
        <v>1</v>
      </c>
      <c r="FY18">
        <v>1</v>
      </c>
      <c r="FZ18">
        <v>1</v>
      </c>
      <c r="GB18">
        <v>0</v>
      </c>
      <c r="GC18" s="80" t="s">
        <v>362</v>
      </c>
      <c r="GD18">
        <v>1</v>
      </c>
      <c r="GE18">
        <v>1</v>
      </c>
      <c r="GH18">
        <v>1</v>
      </c>
      <c r="GI18">
        <v>1</v>
      </c>
      <c r="GK18" s="95" t="s">
        <v>362</v>
      </c>
      <c r="GL18" s="80" t="s">
        <v>362</v>
      </c>
      <c r="GM18">
        <v>1</v>
      </c>
      <c r="GQ18">
        <v>1</v>
      </c>
      <c r="GS18" s="145">
        <v>1</v>
      </c>
      <c r="GT18" s="95" t="s">
        <v>362</v>
      </c>
      <c r="GU18" s="80" t="s">
        <v>361</v>
      </c>
      <c r="GV18">
        <v>1</v>
      </c>
      <c r="GW18">
        <v>1</v>
      </c>
      <c r="HC18" s="95" t="s">
        <v>362</v>
      </c>
      <c r="HD18" s="80" t="s">
        <v>360</v>
      </c>
      <c r="HJ18">
        <v>1</v>
      </c>
      <c r="HL18" s="95" t="s">
        <v>362</v>
      </c>
      <c r="HM18" s="80" t="s">
        <v>362</v>
      </c>
      <c r="HU18" s="95" t="s">
        <v>362</v>
      </c>
      <c r="HV18" s="80" t="s">
        <v>363</v>
      </c>
      <c r="ID18" s="95" t="s">
        <v>362</v>
      </c>
      <c r="IE18" s="80" t="s">
        <v>362</v>
      </c>
      <c r="IM18" s="95" t="s">
        <v>362</v>
      </c>
      <c r="IN18" s="80" t="s">
        <v>362</v>
      </c>
      <c r="IU18" s="7"/>
      <c r="JB18" s="7"/>
      <c r="JI18" s="7"/>
      <c r="JP18" s="7"/>
      <c r="JW18" s="7"/>
      <c r="KD18" s="7"/>
      <c r="KK18" s="7"/>
      <c r="KR18" s="7"/>
      <c r="KY18" s="7"/>
      <c r="LF18" s="7"/>
      <c r="LM18" s="7"/>
      <c r="LT18" s="7"/>
      <c r="MA18" s="7"/>
      <c r="MH18" s="7"/>
      <c r="MO18" s="7"/>
      <c r="MV18" s="7"/>
      <c r="NC18" s="7"/>
      <c r="NJ18" s="7"/>
    </row>
    <row r="19" spans="1:374" x14ac:dyDescent="0.25">
      <c r="A19" s="8" t="s">
        <v>155</v>
      </c>
      <c r="B19" s="8"/>
      <c r="C19" s="8" t="s">
        <v>156</v>
      </c>
      <c r="D19" s="8" t="s">
        <v>139</v>
      </c>
      <c r="E19" s="18">
        <v>37863</v>
      </c>
      <c r="F19" s="10">
        <f t="shared" si="308"/>
        <v>1</v>
      </c>
      <c r="G19" s="19" t="str">
        <f t="shared" si="308"/>
        <v/>
      </c>
      <c r="H19" s="19" t="str">
        <f t="shared" si="308"/>
        <v/>
      </c>
      <c r="I19" s="19" t="str">
        <f t="shared" si="308"/>
        <v/>
      </c>
      <c r="J19" s="19" t="str">
        <f t="shared" si="308"/>
        <v/>
      </c>
      <c r="K19" s="19" t="str">
        <f t="shared" si="308"/>
        <v/>
      </c>
      <c r="L19" s="19" t="str">
        <f t="shared" si="308"/>
        <v/>
      </c>
      <c r="M19" s="8"/>
      <c r="N19" s="8">
        <v>1</v>
      </c>
      <c r="O19" s="9">
        <v>1</v>
      </c>
      <c r="P19" s="8">
        <f t="shared" si="304"/>
        <v>66</v>
      </c>
      <c r="Q19" s="108">
        <f t="shared" si="306"/>
        <v>68.75</v>
      </c>
      <c r="R19" s="128" t="str">
        <f t="shared" si="307"/>
        <v>-11</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376</v>
      </c>
      <c r="BY19" s="80" t="s">
        <v>362</v>
      </c>
      <c r="CG19" s="95" t="s">
        <v>382</v>
      </c>
      <c r="CH19" s="80" t="s">
        <v>381</v>
      </c>
      <c r="CO19">
        <v>1</v>
      </c>
      <c r="CP19" s="99" t="s">
        <v>377</v>
      </c>
      <c r="CQ19" s="80" t="s">
        <v>360</v>
      </c>
      <c r="CS19">
        <v>1</v>
      </c>
      <c r="CU19">
        <v>1</v>
      </c>
      <c r="CV19">
        <v>1</v>
      </c>
      <c r="CX19">
        <v>1</v>
      </c>
      <c r="CY19" s="99" t="s">
        <v>378</v>
      </c>
      <c r="CZ19" s="80" t="s">
        <v>378</v>
      </c>
      <c r="DB19">
        <v>1</v>
      </c>
      <c r="DE19">
        <v>1</v>
      </c>
      <c r="DH19" s="99" t="s">
        <v>378</v>
      </c>
      <c r="DI19" s="80" t="s">
        <v>382</v>
      </c>
      <c r="DK19">
        <v>1</v>
      </c>
      <c r="DM19">
        <v>1</v>
      </c>
      <c r="DN19">
        <v>1</v>
      </c>
      <c r="DQ19" s="99" t="s">
        <v>396</v>
      </c>
      <c r="DR19" s="80" t="s">
        <v>362</v>
      </c>
      <c r="DT19" t="s">
        <v>386</v>
      </c>
      <c r="DW19">
        <v>1</v>
      </c>
      <c r="DZ19" s="95" t="s">
        <v>362</v>
      </c>
      <c r="EA19" s="80" t="s">
        <v>391</v>
      </c>
      <c r="EB19" t="s">
        <v>386</v>
      </c>
      <c r="EE19">
        <v>1</v>
      </c>
      <c r="EI19" s="99" t="s">
        <v>362</v>
      </c>
      <c r="EJ19" s="80" t="s">
        <v>391</v>
      </c>
      <c r="EK19">
        <v>1</v>
      </c>
      <c r="EL19">
        <v>1</v>
      </c>
      <c r="EN19" s="95">
        <v>1</v>
      </c>
      <c r="EO19">
        <v>1</v>
      </c>
      <c r="EQ19">
        <v>1</v>
      </c>
      <c r="ER19" s="99" t="s">
        <v>362</v>
      </c>
      <c r="ES19" s="80" t="s">
        <v>396</v>
      </c>
      <c r="ET19">
        <v>1</v>
      </c>
      <c r="EU19">
        <v>1</v>
      </c>
      <c r="EV19">
        <v>1</v>
      </c>
      <c r="EW19">
        <v>1</v>
      </c>
      <c r="FA19" s="95" t="s">
        <v>362</v>
      </c>
      <c r="FB19" s="80" t="s">
        <v>362</v>
      </c>
      <c r="FC19">
        <v>1</v>
      </c>
      <c r="FE19">
        <v>1</v>
      </c>
      <c r="FF19">
        <v>1</v>
      </c>
      <c r="FH19">
        <v>1</v>
      </c>
      <c r="FJ19" s="99" t="s">
        <v>362</v>
      </c>
      <c r="FK19" s="80" t="s">
        <v>362</v>
      </c>
      <c r="FM19">
        <v>1</v>
      </c>
      <c r="FO19">
        <v>1</v>
      </c>
      <c r="FP19">
        <v>1</v>
      </c>
      <c r="FQ19">
        <v>1</v>
      </c>
      <c r="FS19" s="99" t="s">
        <v>362</v>
      </c>
      <c r="FT19" s="80" t="s">
        <v>362</v>
      </c>
      <c r="FV19">
        <v>1</v>
      </c>
      <c r="GB19">
        <v>0</v>
      </c>
      <c r="GC19" s="80" t="s">
        <v>391</v>
      </c>
      <c r="GD19">
        <v>1</v>
      </c>
      <c r="GE19">
        <v>1</v>
      </c>
      <c r="GH19">
        <v>1</v>
      </c>
      <c r="GI19">
        <v>1</v>
      </c>
      <c r="GK19" s="95" t="s">
        <v>362</v>
      </c>
      <c r="GL19" s="80" t="s">
        <v>362</v>
      </c>
      <c r="GM19">
        <v>1</v>
      </c>
      <c r="GQ19">
        <v>1</v>
      </c>
      <c r="GR19">
        <v>1</v>
      </c>
      <c r="GS19" s="145">
        <v>1</v>
      </c>
      <c r="GT19" s="95" t="s">
        <v>362</v>
      </c>
      <c r="GU19" s="80" t="s">
        <v>362</v>
      </c>
      <c r="GV19">
        <v>1</v>
      </c>
      <c r="GW19">
        <v>1</v>
      </c>
      <c r="GZ19">
        <v>1</v>
      </c>
      <c r="HA19">
        <v>1</v>
      </c>
      <c r="HC19" s="95" t="s">
        <v>362</v>
      </c>
      <c r="HD19" s="80" t="s">
        <v>362</v>
      </c>
      <c r="HJ19">
        <v>1</v>
      </c>
      <c r="HL19" s="95" t="s">
        <v>362</v>
      </c>
      <c r="HM19" s="80" t="s">
        <v>362</v>
      </c>
      <c r="HU19" s="95" t="s">
        <v>362</v>
      </c>
      <c r="HV19" s="80" t="s">
        <v>363</v>
      </c>
      <c r="ID19" s="95" t="s">
        <v>362</v>
      </c>
      <c r="IE19" s="80" t="s">
        <v>362</v>
      </c>
      <c r="IM19" s="95" t="s">
        <v>362</v>
      </c>
      <c r="IN19" s="80" t="s">
        <v>362</v>
      </c>
      <c r="IU19" s="7"/>
      <c r="JB19" s="7"/>
      <c r="JI19" s="7"/>
      <c r="JP19" s="7"/>
      <c r="JW19" s="7"/>
      <c r="KD19" s="7"/>
      <c r="KK19" s="7"/>
      <c r="KR19" s="7"/>
      <c r="KY19" s="7"/>
      <c r="LF19" s="7"/>
      <c r="LM19" s="7"/>
      <c r="LT19" s="7"/>
      <c r="MA19" s="7"/>
      <c r="MH19" s="7"/>
      <c r="MO19" s="7"/>
      <c r="MV19" s="7"/>
      <c r="NC19" s="7"/>
      <c r="NJ19" s="7"/>
    </row>
    <row r="20" spans="1:374" x14ac:dyDescent="0.25">
      <c r="A20" s="8" t="s">
        <v>80</v>
      </c>
      <c r="B20" s="8"/>
      <c r="C20" s="8" t="s">
        <v>143</v>
      </c>
      <c r="D20" s="8" t="s">
        <v>139</v>
      </c>
      <c r="E20" s="18">
        <v>37863</v>
      </c>
      <c r="F20" s="10">
        <f t="shared" si="308"/>
        <v>1</v>
      </c>
      <c r="G20" s="19" t="str">
        <f t="shared" si="308"/>
        <v/>
      </c>
      <c r="H20" s="19" t="str">
        <f t="shared" si="308"/>
        <v/>
      </c>
      <c r="I20" s="19" t="str">
        <f t="shared" si="308"/>
        <v/>
      </c>
      <c r="J20" s="19" t="str">
        <f t="shared" si="308"/>
        <v/>
      </c>
      <c r="K20" s="19" t="str">
        <f t="shared" si="308"/>
        <v/>
      </c>
      <c r="L20" s="19" t="str">
        <f t="shared" si="308"/>
        <v/>
      </c>
      <c r="M20" s="8"/>
      <c r="N20" s="8">
        <v>1</v>
      </c>
      <c r="O20" s="9">
        <v>1</v>
      </c>
      <c r="P20" s="8">
        <f t="shared" si="304"/>
        <v>60</v>
      </c>
      <c r="Q20" s="108">
        <f t="shared" si="306"/>
        <v>62.5</v>
      </c>
      <c r="R20" s="128" t="str">
        <f t="shared" si="307"/>
        <v>-32</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376</v>
      </c>
      <c r="BY20" s="80" t="s">
        <v>362</v>
      </c>
      <c r="CG20" s="95" t="s">
        <v>362</v>
      </c>
      <c r="CH20" s="80" t="s">
        <v>366</v>
      </c>
      <c r="CO20">
        <v>1</v>
      </c>
      <c r="CP20" s="99" t="s">
        <v>362</v>
      </c>
      <c r="CQ20" s="80" t="s">
        <v>365</v>
      </c>
      <c r="CS20">
        <v>1</v>
      </c>
      <c r="CU20">
        <v>1</v>
      </c>
      <c r="CV20">
        <v>1</v>
      </c>
      <c r="CX20">
        <v>1</v>
      </c>
      <c r="CY20" s="99" t="s">
        <v>362</v>
      </c>
      <c r="CZ20" s="80" t="s">
        <v>362</v>
      </c>
      <c r="DB20">
        <v>1</v>
      </c>
      <c r="DE20">
        <v>1</v>
      </c>
      <c r="DH20" s="99" t="s">
        <v>362</v>
      </c>
      <c r="DI20" s="80" t="s">
        <v>360</v>
      </c>
      <c r="DK20">
        <v>1</v>
      </c>
      <c r="DM20">
        <v>1</v>
      </c>
      <c r="DN20">
        <v>1</v>
      </c>
      <c r="DQ20" s="99" t="s">
        <v>396</v>
      </c>
      <c r="DR20" s="80" t="s">
        <v>362</v>
      </c>
      <c r="DT20" t="s">
        <v>386</v>
      </c>
      <c r="DW20">
        <v>1</v>
      </c>
      <c r="DZ20" s="95" t="s">
        <v>362</v>
      </c>
      <c r="EA20" s="80" t="s">
        <v>391</v>
      </c>
      <c r="EB20" t="s">
        <v>386</v>
      </c>
      <c r="EE20">
        <v>1</v>
      </c>
      <c r="EI20" s="99" t="s">
        <v>362</v>
      </c>
      <c r="EJ20" s="80" t="s">
        <v>391</v>
      </c>
      <c r="EK20">
        <v>1</v>
      </c>
      <c r="EL20">
        <v>1</v>
      </c>
      <c r="EN20" s="95">
        <v>1</v>
      </c>
      <c r="EO20">
        <v>1</v>
      </c>
      <c r="EQ20">
        <v>1</v>
      </c>
      <c r="ER20" s="99" t="s">
        <v>362</v>
      </c>
      <c r="ES20" s="80" t="s">
        <v>396</v>
      </c>
      <c r="ET20">
        <v>1</v>
      </c>
      <c r="EU20">
        <v>1</v>
      </c>
      <c r="EW20">
        <v>1</v>
      </c>
      <c r="FA20" s="95" t="s">
        <v>362</v>
      </c>
      <c r="FB20" s="80" t="s">
        <v>361</v>
      </c>
      <c r="FE20">
        <v>1</v>
      </c>
      <c r="FH20">
        <v>1</v>
      </c>
      <c r="FJ20" s="99" t="s">
        <v>362</v>
      </c>
      <c r="FK20" s="80" t="s">
        <v>360</v>
      </c>
      <c r="FM20">
        <v>1</v>
      </c>
      <c r="FO20">
        <v>1</v>
      </c>
      <c r="FP20">
        <v>1</v>
      </c>
      <c r="FQ20">
        <v>1</v>
      </c>
      <c r="FS20" s="99" t="s">
        <v>362</v>
      </c>
      <c r="FT20" s="80" t="s">
        <v>362</v>
      </c>
      <c r="FV20">
        <v>1</v>
      </c>
      <c r="GB20">
        <v>0</v>
      </c>
      <c r="GC20" s="80" t="s">
        <v>391</v>
      </c>
      <c r="GD20">
        <v>1</v>
      </c>
      <c r="GE20">
        <v>1</v>
      </c>
      <c r="GG20">
        <v>1</v>
      </c>
      <c r="GH20">
        <v>1</v>
      </c>
      <c r="GI20">
        <v>1</v>
      </c>
      <c r="GK20" s="95" t="s">
        <v>362</v>
      </c>
      <c r="GL20" s="80" t="s">
        <v>396</v>
      </c>
      <c r="GM20">
        <v>1</v>
      </c>
      <c r="GS20" s="145">
        <v>1</v>
      </c>
      <c r="GT20" s="95" t="s">
        <v>362</v>
      </c>
      <c r="GU20" s="80" t="s">
        <v>360</v>
      </c>
      <c r="GV20">
        <v>1</v>
      </c>
      <c r="GW20">
        <v>1</v>
      </c>
      <c r="GZ20">
        <v>1</v>
      </c>
      <c r="HA20">
        <v>1</v>
      </c>
      <c r="HC20" s="95" t="s">
        <v>362</v>
      </c>
      <c r="HD20" s="80" t="s">
        <v>362</v>
      </c>
      <c r="HJ20">
        <v>1</v>
      </c>
      <c r="HL20" s="95" t="s">
        <v>362</v>
      </c>
      <c r="HM20" s="80" t="s">
        <v>362</v>
      </c>
      <c r="HU20" s="95" t="s">
        <v>362</v>
      </c>
      <c r="HV20" s="80" t="s">
        <v>363</v>
      </c>
      <c r="ID20" s="95" t="s">
        <v>362</v>
      </c>
      <c r="IE20" s="80" t="s">
        <v>362</v>
      </c>
      <c r="IM20" s="95" t="s">
        <v>362</v>
      </c>
      <c r="IN20" s="80" t="s">
        <v>362</v>
      </c>
      <c r="IU20" s="7"/>
      <c r="JB20" s="7"/>
      <c r="JI20" s="7"/>
      <c r="JP20" s="7"/>
      <c r="JW20" s="7"/>
      <c r="KD20" s="7"/>
      <c r="KK20" s="7"/>
      <c r="KR20" s="7"/>
      <c r="KY20" s="7"/>
      <c r="LF20" s="7"/>
      <c r="LM20" s="7"/>
      <c r="LT20" s="7"/>
      <c r="MA20" s="7"/>
      <c r="MH20" s="7"/>
      <c r="MO20" s="7"/>
      <c r="MV20" s="7"/>
      <c r="NC20" s="7"/>
      <c r="NJ20" s="7"/>
    </row>
    <row r="21" spans="1:374" x14ac:dyDescent="0.25">
      <c r="A21" s="8" t="s">
        <v>142</v>
      </c>
      <c r="B21" s="8" t="s">
        <v>141</v>
      </c>
      <c r="C21" s="8" t="s">
        <v>140</v>
      </c>
      <c r="D21" s="8" t="s">
        <v>139</v>
      </c>
      <c r="E21" s="18">
        <v>38954</v>
      </c>
      <c r="F21" s="10">
        <f t="shared" si="308"/>
        <v>1</v>
      </c>
      <c r="G21" s="19">
        <f t="shared" si="308"/>
        <v>1</v>
      </c>
      <c r="H21" s="19">
        <f t="shared" si="308"/>
        <v>1</v>
      </c>
      <c r="I21" s="19" t="str">
        <f t="shared" si="308"/>
        <v/>
      </c>
      <c r="J21" s="19" t="str">
        <f t="shared" si="308"/>
        <v/>
      </c>
      <c r="K21" s="19" t="str">
        <f t="shared" si="308"/>
        <v/>
      </c>
      <c r="L21" s="19" t="str">
        <f t="shared" si="308"/>
        <v/>
      </c>
      <c r="M21" s="8">
        <v>1</v>
      </c>
      <c r="N21" s="8">
        <v>1</v>
      </c>
      <c r="O21" s="9"/>
      <c r="P21" s="8">
        <f t="shared" si="304"/>
        <v>53</v>
      </c>
      <c r="Q21" s="108">
        <f t="shared" si="306"/>
        <v>55.208333333333336</v>
      </c>
      <c r="R21" s="128" t="str">
        <f t="shared" si="307"/>
        <v>-28</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376</v>
      </c>
      <c r="BY21" s="80" t="s">
        <v>362</v>
      </c>
      <c r="CG21" s="95" t="s">
        <v>362</v>
      </c>
      <c r="CH21" s="80" t="s">
        <v>366</v>
      </c>
      <c r="CO21">
        <v>1</v>
      </c>
      <c r="CP21" s="99" t="s">
        <v>362</v>
      </c>
      <c r="CQ21" s="80" t="s">
        <v>365</v>
      </c>
      <c r="CS21">
        <v>1</v>
      </c>
      <c r="CU21">
        <v>1</v>
      </c>
      <c r="CV21">
        <v>1</v>
      </c>
      <c r="CX21">
        <v>1</v>
      </c>
      <c r="CY21" s="99" t="s">
        <v>378</v>
      </c>
      <c r="CZ21" s="80" t="s">
        <v>378</v>
      </c>
      <c r="DB21">
        <v>1</v>
      </c>
      <c r="DE21">
        <v>1</v>
      </c>
      <c r="DH21" s="99" t="s">
        <v>417</v>
      </c>
      <c r="DI21" s="80" t="s">
        <v>382</v>
      </c>
      <c r="DK21">
        <v>1</v>
      </c>
      <c r="DM21">
        <v>1</v>
      </c>
      <c r="DN21">
        <v>1</v>
      </c>
      <c r="DQ21" s="99" t="s">
        <v>396</v>
      </c>
      <c r="DR21" s="80" t="s">
        <v>362</v>
      </c>
      <c r="DT21" t="s">
        <v>386</v>
      </c>
      <c r="DW21">
        <v>1</v>
      </c>
      <c r="DZ21" s="95" t="s">
        <v>362</v>
      </c>
      <c r="EA21" s="80" t="s">
        <v>391</v>
      </c>
      <c r="EB21" t="s">
        <v>386</v>
      </c>
      <c r="EE21">
        <v>1</v>
      </c>
      <c r="EI21" s="99" t="s">
        <v>362</v>
      </c>
      <c r="EJ21" s="80" t="s">
        <v>391</v>
      </c>
      <c r="EK21">
        <v>1</v>
      </c>
      <c r="EL21">
        <v>1</v>
      </c>
      <c r="EN21" s="96"/>
      <c r="EO21">
        <v>1</v>
      </c>
      <c r="EQ21">
        <v>1</v>
      </c>
      <c r="ER21" s="99">
        <v>4</v>
      </c>
      <c r="ES21" s="80" t="s">
        <v>377</v>
      </c>
      <c r="ET21">
        <v>1</v>
      </c>
      <c r="EU21">
        <v>1</v>
      </c>
      <c r="EW21">
        <v>1</v>
      </c>
      <c r="FA21" s="95" t="s">
        <v>362</v>
      </c>
      <c r="FB21" s="80" t="s">
        <v>361</v>
      </c>
      <c r="FC21">
        <v>1</v>
      </c>
      <c r="FJ21" s="99" t="s">
        <v>396</v>
      </c>
      <c r="FK21" s="80" t="s">
        <v>360</v>
      </c>
      <c r="FP21">
        <v>1</v>
      </c>
      <c r="FS21" s="99">
        <v>0</v>
      </c>
      <c r="FT21" s="80" t="s">
        <v>391</v>
      </c>
      <c r="GB21">
        <v>0</v>
      </c>
      <c r="GC21" s="80" t="s">
        <v>363</v>
      </c>
      <c r="GE21">
        <v>1</v>
      </c>
      <c r="GG21">
        <v>1</v>
      </c>
      <c r="GH21">
        <v>1</v>
      </c>
      <c r="GK21" s="95" t="s">
        <v>362</v>
      </c>
      <c r="GL21" s="80" t="s">
        <v>361</v>
      </c>
      <c r="GQ21">
        <v>1</v>
      </c>
      <c r="GS21" s="145">
        <v>1</v>
      </c>
      <c r="GT21" s="95" t="s">
        <v>362</v>
      </c>
      <c r="GU21" s="80" t="s">
        <v>360</v>
      </c>
      <c r="GZ21">
        <v>1</v>
      </c>
      <c r="HC21" s="95" t="s">
        <v>362</v>
      </c>
      <c r="HD21" s="80" t="s">
        <v>391</v>
      </c>
      <c r="HL21" s="95" t="s">
        <v>362</v>
      </c>
      <c r="HM21" s="80" t="s">
        <v>362</v>
      </c>
      <c r="HU21" s="95" t="s">
        <v>362</v>
      </c>
      <c r="HV21" s="80" t="s">
        <v>363</v>
      </c>
      <c r="ID21" s="95" t="s">
        <v>362</v>
      </c>
      <c r="IE21" s="80" t="s">
        <v>362</v>
      </c>
      <c r="IM21" s="95" t="s">
        <v>362</v>
      </c>
      <c r="IN21" s="80" t="s">
        <v>362</v>
      </c>
      <c r="IU21" s="7"/>
      <c r="JB21" s="7"/>
      <c r="JI21" s="7"/>
      <c r="JP21" s="7"/>
      <c r="JW21" s="7"/>
      <c r="KD21" s="7"/>
      <c r="KK21" s="7"/>
      <c r="KR21" s="7"/>
      <c r="KY21" s="7"/>
      <c r="LF21" s="7"/>
      <c r="LM21" s="7"/>
      <c r="LT21" s="7"/>
      <c r="MA21" s="7"/>
      <c r="MH21" s="7"/>
      <c r="MO21" s="7"/>
      <c r="MV21" s="7"/>
      <c r="NC21" s="7"/>
      <c r="NJ21" s="7"/>
    </row>
    <row r="22" spans="1:374" hidden="1" x14ac:dyDescent="0.25">
      <c r="A22" s="8" t="s">
        <v>162</v>
      </c>
      <c r="B22" s="8" t="s">
        <v>184</v>
      </c>
      <c r="C22" s="8" t="s">
        <v>186</v>
      </c>
      <c r="D22" s="8" t="s">
        <v>185</v>
      </c>
      <c r="E22" s="18"/>
      <c r="F22" s="10" t="str">
        <f t="shared" si="308"/>
        <v/>
      </c>
      <c r="G22" s="19" t="str">
        <f t="shared" si="308"/>
        <v/>
      </c>
      <c r="H22" s="19" t="str">
        <f t="shared" si="308"/>
        <v/>
      </c>
      <c r="I22" s="19" t="str">
        <f t="shared" si="308"/>
        <v/>
      </c>
      <c r="J22" s="19" t="str">
        <f t="shared" si="308"/>
        <v/>
      </c>
      <c r="K22" s="19" t="str">
        <f t="shared" si="308"/>
        <v/>
      </c>
      <c r="L22" s="19" t="str">
        <f t="shared" si="308"/>
        <v/>
      </c>
      <c r="M22" s="8"/>
      <c r="N22" s="8">
        <v>1</v>
      </c>
      <c r="O22" s="9"/>
      <c r="P22" s="8">
        <f t="shared" si="304"/>
        <v>1</v>
      </c>
      <c r="Q22" s="108">
        <f t="shared" si="306"/>
        <v>1.0416666666666665</v>
      </c>
      <c r="R22" s="128" t="str">
        <f t="shared" si="307"/>
        <v>-17</v>
      </c>
      <c r="S22" s="7">
        <v>1</v>
      </c>
      <c r="Z22" s="7"/>
      <c r="AG22" s="7"/>
      <c r="AN22" s="7"/>
      <c r="AU22" s="7"/>
      <c r="BB22" s="7"/>
      <c r="BI22" s="7"/>
      <c r="BP22" s="7"/>
      <c r="BX22" s="95" t="s">
        <v>362</v>
      </c>
      <c r="BY22" s="80" t="s">
        <v>365</v>
      </c>
      <c r="CG22" s="95" t="s">
        <v>362</v>
      </c>
      <c r="CH22" s="80" t="s">
        <v>366</v>
      </c>
      <c r="CP22" s="99" t="s">
        <v>362</v>
      </c>
      <c r="CQ22" s="80" t="s">
        <v>364</v>
      </c>
      <c r="CY22" s="99" t="s">
        <v>362</v>
      </c>
      <c r="CZ22" s="80" t="s">
        <v>364</v>
      </c>
      <c r="DH22" s="99" t="s">
        <v>362</v>
      </c>
      <c r="DI22" s="80" t="s">
        <v>364</v>
      </c>
      <c r="DQ22" s="99" t="s">
        <v>362</v>
      </c>
      <c r="DR22" s="80" t="s">
        <v>364</v>
      </c>
      <c r="DZ22" s="95" t="s">
        <v>362</v>
      </c>
      <c r="EA22" s="80" t="s">
        <v>361</v>
      </c>
      <c r="EI22" s="99" t="s">
        <v>362</v>
      </c>
      <c r="EJ22" s="80" t="s">
        <v>362</v>
      </c>
      <c r="EN22" s="96"/>
      <c r="ER22" s="99" t="s">
        <v>362</v>
      </c>
      <c r="ES22" s="80" t="s">
        <v>396</v>
      </c>
      <c r="FA22" s="95" t="s">
        <v>362</v>
      </c>
      <c r="FB22" s="80" t="s">
        <v>362</v>
      </c>
      <c r="FJ22" s="99" t="s">
        <v>362</v>
      </c>
      <c r="FK22" s="80" t="s">
        <v>396</v>
      </c>
      <c r="FS22" s="99" t="s">
        <v>362</v>
      </c>
      <c r="FT22" s="80" t="s">
        <v>364</v>
      </c>
      <c r="GC22" s="80" t="s">
        <v>364</v>
      </c>
      <c r="GK22" s="95" t="s">
        <v>362</v>
      </c>
      <c r="GL22" s="80" t="s">
        <v>364</v>
      </c>
      <c r="GS22" s="145"/>
      <c r="GT22" s="95" t="s">
        <v>362</v>
      </c>
      <c r="GU22" s="80" t="s">
        <v>364</v>
      </c>
      <c r="HC22" s="95" t="s">
        <v>362</v>
      </c>
      <c r="HD22" s="80" t="s">
        <v>364</v>
      </c>
      <c r="HL22" s="95" t="s">
        <v>362</v>
      </c>
      <c r="HM22" s="80" t="s">
        <v>362</v>
      </c>
      <c r="HU22" s="95" t="s">
        <v>362</v>
      </c>
      <c r="HV22" s="80" t="s">
        <v>363</v>
      </c>
      <c r="ID22" s="95" t="s">
        <v>362</v>
      </c>
      <c r="IE22" s="80" t="s">
        <v>362</v>
      </c>
      <c r="IM22" s="95" t="s">
        <v>362</v>
      </c>
      <c r="IN22" s="80" t="s">
        <v>362</v>
      </c>
      <c r="IU22" s="7"/>
      <c r="JB22" s="7"/>
      <c r="JI22" s="7"/>
      <c r="JP22" s="7"/>
      <c r="JW22" s="7"/>
      <c r="KD22" s="7"/>
      <c r="KK22" s="7"/>
      <c r="KR22" s="7"/>
      <c r="KY22" s="7"/>
      <c r="LF22" s="7"/>
      <c r="LM22" s="7"/>
      <c r="LT22" s="7"/>
      <c r="MA22" s="7"/>
      <c r="MH22" s="7"/>
      <c r="MO22" s="7"/>
      <c r="MV22" s="7"/>
      <c r="NC22" s="7"/>
      <c r="NJ22" s="7"/>
    </row>
    <row r="23" spans="1:374" x14ac:dyDescent="0.25">
      <c r="A23" s="8" t="s">
        <v>138</v>
      </c>
      <c r="B23" s="8" t="s">
        <v>137</v>
      </c>
      <c r="C23" s="8" t="s">
        <v>136</v>
      </c>
      <c r="D23" s="8" t="s">
        <v>135</v>
      </c>
      <c r="E23" s="18">
        <v>39155</v>
      </c>
      <c r="F23" s="10">
        <f t="shared" si="308"/>
        <v>1</v>
      </c>
      <c r="G23" s="19">
        <f t="shared" si="308"/>
        <v>1</v>
      </c>
      <c r="H23" s="19">
        <f t="shared" si="308"/>
        <v>1</v>
      </c>
      <c r="I23" s="19">
        <f t="shared" si="308"/>
        <v>1</v>
      </c>
      <c r="J23" s="19" t="str">
        <f t="shared" si="308"/>
        <v/>
      </c>
      <c r="K23" s="19" t="str">
        <f t="shared" si="308"/>
        <v/>
      </c>
      <c r="L23" s="19" t="str">
        <f t="shared" si="308"/>
        <v/>
      </c>
      <c r="M23" s="8">
        <v>1</v>
      </c>
      <c r="N23" s="8">
        <v>1</v>
      </c>
      <c r="O23" s="9"/>
      <c r="P23" s="8">
        <f t="shared" si="304"/>
        <v>55</v>
      </c>
      <c r="Q23" s="108">
        <f t="shared" si="306"/>
        <v>57.291666666666664</v>
      </c>
      <c r="R23" s="128" t="str">
        <f t="shared" si="307"/>
        <v>-38</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376</v>
      </c>
      <c r="BY23" s="80" t="s">
        <v>362</v>
      </c>
      <c r="CG23" s="95" t="s">
        <v>362</v>
      </c>
      <c r="CH23" s="80" t="s">
        <v>366</v>
      </c>
      <c r="CP23" s="99" t="s">
        <v>362</v>
      </c>
      <c r="CQ23" s="80" t="s">
        <v>366</v>
      </c>
      <c r="CY23" s="99" t="s">
        <v>362</v>
      </c>
      <c r="CZ23" s="80" t="s">
        <v>363</v>
      </c>
      <c r="DH23" s="99" t="s">
        <v>362</v>
      </c>
      <c r="DI23" s="80" t="s">
        <v>363</v>
      </c>
      <c r="DN23">
        <v>1</v>
      </c>
      <c r="DQ23" s="99" t="s">
        <v>362</v>
      </c>
      <c r="DR23" s="80" t="s">
        <v>391</v>
      </c>
      <c r="DV23">
        <v>1</v>
      </c>
      <c r="DW23">
        <v>1</v>
      </c>
      <c r="DZ23" s="95" t="s">
        <v>362</v>
      </c>
      <c r="EA23" s="80" t="s">
        <v>360</v>
      </c>
      <c r="EB23">
        <v>1</v>
      </c>
      <c r="EC23">
        <v>1</v>
      </c>
      <c r="EE23">
        <v>1</v>
      </c>
      <c r="EF23">
        <v>1</v>
      </c>
      <c r="EI23" s="99" t="s">
        <v>362</v>
      </c>
      <c r="EJ23" s="80" t="s">
        <v>362</v>
      </c>
      <c r="EN23" s="96"/>
      <c r="EO23">
        <v>1</v>
      </c>
      <c r="EQ23">
        <v>1</v>
      </c>
      <c r="ER23" s="99">
        <v>4</v>
      </c>
      <c r="ES23" s="80" t="s">
        <v>390</v>
      </c>
      <c r="ET23">
        <v>1</v>
      </c>
      <c r="EU23">
        <v>1</v>
      </c>
      <c r="EV23">
        <v>1</v>
      </c>
      <c r="EW23">
        <v>1</v>
      </c>
      <c r="FA23" s="95" t="s">
        <v>362</v>
      </c>
      <c r="FB23" s="80" t="s">
        <v>362</v>
      </c>
      <c r="FD23">
        <v>1</v>
      </c>
      <c r="FE23">
        <v>1</v>
      </c>
      <c r="FF23">
        <v>1</v>
      </c>
      <c r="FJ23" s="99" t="s">
        <v>390</v>
      </c>
      <c r="FK23" s="80" t="s">
        <v>396</v>
      </c>
      <c r="FL23">
        <v>1</v>
      </c>
      <c r="FM23">
        <v>1</v>
      </c>
      <c r="FO23">
        <v>1</v>
      </c>
      <c r="FS23" s="99">
        <v>0</v>
      </c>
      <c r="FT23" s="80" t="s">
        <v>361</v>
      </c>
      <c r="FU23">
        <v>1</v>
      </c>
      <c r="FX23">
        <v>1</v>
      </c>
      <c r="GB23">
        <v>0</v>
      </c>
      <c r="GC23" s="80" t="s">
        <v>360</v>
      </c>
      <c r="GD23">
        <v>1</v>
      </c>
      <c r="GG23">
        <v>1</v>
      </c>
      <c r="GK23" s="95" t="s">
        <v>362</v>
      </c>
      <c r="GL23" s="80" t="s">
        <v>360</v>
      </c>
      <c r="GM23">
        <v>1</v>
      </c>
      <c r="GP23">
        <v>1</v>
      </c>
      <c r="GQ23">
        <v>1</v>
      </c>
      <c r="GS23" s="145">
        <v>1</v>
      </c>
      <c r="GT23" s="95" t="s">
        <v>362</v>
      </c>
      <c r="GU23" s="80" t="s">
        <v>362</v>
      </c>
      <c r="GY23">
        <v>1</v>
      </c>
      <c r="HC23" s="95" t="s">
        <v>362</v>
      </c>
      <c r="HD23" s="80" t="s">
        <v>391</v>
      </c>
      <c r="HL23" s="95" t="s">
        <v>362</v>
      </c>
      <c r="HM23" s="80" t="s">
        <v>362</v>
      </c>
      <c r="HU23" s="95" t="s">
        <v>362</v>
      </c>
      <c r="HV23" s="80" t="s">
        <v>363</v>
      </c>
      <c r="ID23" s="95" t="s">
        <v>362</v>
      </c>
      <c r="IE23" s="80" t="s">
        <v>362</v>
      </c>
      <c r="IM23" s="95" t="s">
        <v>362</v>
      </c>
      <c r="IN23" s="80" t="s">
        <v>362</v>
      </c>
      <c r="IU23" s="7"/>
      <c r="JB23" s="7"/>
      <c r="JI23" s="7"/>
      <c r="JP23" s="7"/>
      <c r="JW23" s="7"/>
      <c r="KD23" s="7"/>
      <c r="KK23" s="7"/>
      <c r="KR23" s="7"/>
      <c r="KY23" s="7"/>
      <c r="LF23" s="7"/>
      <c r="LM23" s="7"/>
      <c r="LT23" s="7"/>
      <c r="MA23" s="7"/>
      <c r="MH23" s="7"/>
      <c r="MO23" s="7"/>
      <c r="MV23" s="7"/>
      <c r="NC23" s="7"/>
      <c r="NJ23" s="7"/>
    </row>
    <row r="24" spans="1:374" x14ac:dyDescent="0.25">
      <c r="A24" s="8" t="s">
        <v>134</v>
      </c>
      <c r="B24" s="8" t="s">
        <v>133</v>
      </c>
      <c r="C24" s="8" t="s">
        <v>169</v>
      </c>
      <c r="D24" s="8" t="s">
        <v>170</v>
      </c>
      <c r="E24" s="18">
        <v>37177</v>
      </c>
      <c r="F24" s="10" t="str">
        <f t="shared" si="308"/>
        <v/>
      </c>
      <c r="G24" s="19" t="str">
        <f t="shared" si="308"/>
        <v/>
      </c>
      <c r="H24" s="19" t="str">
        <f t="shared" si="308"/>
        <v/>
      </c>
      <c r="I24" s="19" t="str">
        <f t="shared" si="308"/>
        <v/>
      </c>
      <c r="J24" s="19" t="str">
        <f t="shared" si="308"/>
        <v/>
      </c>
      <c r="K24" s="19" t="str">
        <f t="shared" si="308"/>
        <v/>
      </c>
      <c r="L24" s="19" t="str">
        <f t="shared" si="308"/>
        <v/>
      </c>
      <c r="M24" s="8"/>
      <c r="N24" s="8"/>
      <c r="O24" s="9">
        <v>1</v>
      </c>
      <c r="P24" s="8">
        <f t="shared" si="304"/>
        <v>67</v>
      </c>
      <c r="Q24" s="108">
        <f t="shared" si="306"/>
        <v>69.791666666666657</v>
      </c>
      <c r="R24" s="128" t="str">
        <f t="shared" si="307"/>
        <v>-9</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390</v>
      </c>
      <c r="BY24" s="80" t="s">
        <v>360</v>
      </c>
      <c r="CC24">
        <v>1</v>
      </c>
      <c r="CF24">
        <v>1</v>
      </c>
      <c r="CG24" s="95" t="s">
        <v>382</v>
      </c>
      <c r="CH24" s="80" t="s">
        <v>361</v>
      </c>
      <c r="CL24">
        <v>1</v>
      </c>
      <c r="CO24">
        <v>1</v>
      </c>
      <c r="CP24" s="99" t="s">
        <v>378</v>
      </c>
      <c r="CQ24" s="80" t="s">
        <v>396</v>
      </c>
      <c r="CS24">
        <v>1</v>
      </c>
      <c r="CU24">
        <v>1</v>
      </c>
      <c r="CV24">
        <v>1</v>
      </c>
      <c r="CX24">
        <v>1</v>
      </c>
      <c r="CY24" s="99" t="s">
        <v>362</v>
      </c>
      <c r="CZ24" s="80" t="s">
        <v>362</v>
      </c>
      <c r="DB24">
        <v>1</v>
      </c>
      <c r="DE24">
        <v>1</v>
      </c>
      <c r="DH24" s="99" t="s">
        <v>362</v>
      </c>
      <c r="DI24" s="80" t="s">
        <v>360</v>
      </c>
      <c r="DK24">
        <v>1</v>
      </c>
      <c r="DN24">
        <v>1</v>
      </c>
      <c r="DQ24" s="99" t="s">
        <v>362</v>
      </c>
      <c r="DR24" s="80" t="s">
        <v>360</v>
      </c>
      <c r="DT24">
        <v>1</v>
      </c>
      <c r="DV24">
        <v>1</v>
      </c>
      <c r="DW24">
        <v>1</v>
      </c>
      <c r="DZ24" s="95" t="s">
        <v>362</v>
      </c>
      <c r="EA24" s="80" t="s">
        <v>361</v>
      </c>
      <c r="EB24">
        <v>1</v>
      </c>
      <c r="EC24">
        <v>1</v>
      </c>
      <c r="EE24">
        <v>1</v>
      </c>
      <c r="EF24">
        <v>1</v>
      </c>
      <c r="EI24" s="99" t="s">
        <v>362</v>
      </c>
      <c r="EJ24" s="80" t="s">
        <v>362</v>
      </c>
      <c r="EK24">
        <v>1</v>
      </c>
      <c r="EL24">
        <v>1</v>
      </c>
      <c r="EN24" s="95">
        <v>1</v>
      </c>
      <c r="EO24">
        <v>1</v>
      </c>
      <c r="EQ24">
        <v>1</v>
      </c>
      <c r="ER24" s="99" t="s">
        <v>362</v>
      </c>
      <c r="ES24" s="80" t="s">
        <v>396</v>
      </c>
      <c r="ET24">
        <v>1</v>
      </c>
      <c r="EU24">
        <v>1</v>
      </c>
      <c r="EV24">
        <v>1</v>
      </c>
      <c r="EW24">
        <v>1</v>
      </c>
      <c r="FA24" s="95" t="s">
        <v>362</v>
      </c>
      <c r="FB24" s="80" t="s">
        <v>362</v>
      </c>
      <c r="FF24">
        <v>1</v>
      </c>
      <c r="FG24">
        <v>1</v>
      </c>
      <c r="FH24">
        <v>1</v>
      </c>
      <c r="FJ24" s="99" t="s">
        <v>362</v>
      </c>
      <c r="FK24" s="80" t="s">
        <v>361</v>
      </c>
      <c r="FM24">
        <v>1</v>
      </c>
      <c r="FO24">
        <v>1</v>
      </c>
      <c r="FP24">
        <v>1</v>
      </c>
      <c r="FQ24">
        <v>1</v>
      </c>
      <c r="FS24" s="99" t="s">
        <v>362</v>
      </c>
      <c r="FT24" s="80" t="s">
        <v>362</v>
      </c>
      <c r="FU24">
        <v>1</v>
      </c>
      <c r="FV24">
        <v>1</v>
      </c>
      <c r="FX24">
        <v>1</v>
      </c>
      <c r="FY24">
        <v>1</v>
      </c>
      <c r="FZ24">
        <v>1</v>
      </c>
      <c r="GB24">
        <v>0</v>
      </c>
      <c r="GC24" s="80" t="s">
        <v>396</v>
      </c>
      <c r="GD24">
        <v>1</v>
      </c>
      <c r="GE24">
        <v>1</v>
      </c>
      <c r="GG24">
        <v>1</v>
      </c>
      <c r="GH24">
        <v>1</v>
      </c>
      <c r="GI24">
        <v>1</v>
      </c>
      <c r="GK24" s="95" t="s">
        <v>362</v>
      </c>
      <c r="GL24" s="80" t="s">
        <v>396</v>
      </c>
      <c r="GM24">
        <v>1</v>
      </c>
      <c r="GN24">
        <v>1</v>
      </c>
      <c r="GP24">
        <v>1</v>
      </c>
      <c r="GQ24">
        <v>1</v>
      </c>
      <c r="GR24">
        <v>1</v>
      </c>
      <c r="GS24" s="145"/>
      <c r="GT24" s="95" t="s">
        <v>362</v>
      </c>
      <c r="GU24" s="80" t="s">
        <v>396</v>
      </c>
      <c r="GV24">
        <v>1</v>
      </c>
      <c r="GY24">
        <v>1</v>
      </c>
      <c r="HA24">
        <v>1</v>
      </c>
      <c r="HC24" s="95" t="s">
        <v>362</v>
      </c>
      <c r="HD24" s="80" t="s">
        <v>361</v>
      </c>
      <c r="HJ24">
        <v>1</v>
      </c>
      <c r="HL24" s="95" t="s">
        <v>362</v>
      </c>
      <c r="HM24" s="80" t="s">
        <v>362</v>
      </c>
      <c r="HU24" s="95" t="s">
        <v>362</v>
      </c>
      <c r="HV24" s="80" t="s">
        <v>363</v>
      </c>
      <c r="ID24" s="95" t="s">
        <v>362</v>
      </c>
      <c r="IE24" s="80" t="s">
        <v>362</v>
      </c>
      <c r="IM24" s="95" t="s">
        <v>362</v>
      </c>
      <c r="IN24" s="80" t="s">
        <v>362</v>
      </c>
      <c r="IU24" s="7"/>
      <c r="JB24" s="7"/>
      <c r="JI24" s="7"/>
      <c r="JP24" s="7"/>
      <c r="JW24" s="7"/>
      <c r="KD24" s="7"/>
      <c r="KK24" s="7"/>
      <c r="KR24" s="7"/>
      <c r="KY24" s="7"/>
      <c r="LF24" s="7"/>
      <c r="LM24" s="7"/>
      <c r="LT24" s="7"/>
      <c r="MA24" s="7"/>
      <c r="MH24" s="7"/>
      <c r="MO24" s="7"/>
      <c r="MV24" s="7"/>
      <c r="NC24" s="7"/>
      <c r="NJ24" s="7"/>
    </row>
    <row r="25" spans="1:374" x14ac:dyDescent="0.25">
      <c r="A25" s="8" t="s">
        <v>125</v>
      </c>
      <c r="B25" s="8" t="s">
        <v>124</v>
      </c>
      <c r="C25" s="8" t="s">
        <v>167</v>
      </c>
      <c r="D25" s="8" t="s">
        <v>168</v>
      </c>
      <c r="E25" s="18">
        <v>36870</v>
      </c>
      <c r="F25" s="10" t="str">
        <f t="shared" si="308"/>
        <v/>
      </c>
      <c r="G25" s="19" t="str">
        <f t="shared" si="308"/>
        <v/>
      </c>
      <c r="H25" s="19" t="str">
        <f t="shared" si="308"/>
        <v/>
      </c>
      <c r="I25" s="19" t="str">
        <f t="shared" si="308"/>
        <v/>
      </c>
      <c r="J25" s="19" t="str">
        <f t="shared" si="308"/>
        <v/>
      </c>
      <c r="K25" s="19" t="str">
        <f t="shared" si="308"/>
        <v/>
      </c>
      <c r="L25" s="19" t="str">
        <f t="shared" si="308"/>
        <v/>
      </c>
      <c r="M25" s="8"/>
      <c r="N25" s="8"/>
      <c r="O25" s="9">
        <v>1</v>
      </c>
      <c r="P25" s="8">
        <f t="shared" si="304"/>
        <v>72</v>
      </c>
      <c r="Q25" s="108">
        <f t="shared" si="306"/>
        <v>75</v>
      </c>
      <c r="R25" s="128" t="str">
        <f t="shared" si="307"/>
        <v>-15</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362</v>
      </c>
      <c r="BY25" s="80" t="s">
        <v>366</v>
      </c>
      <c r="CC25">
        <v>1</v>
      </c>
      <c r="CF25">
        <v>1</v>
      </c>
      <c r="CG25" s="95" t="s">
        <v>390</v>
      </c>
      <c r="CH25" s="80" t="s">
        <v>360</v>
      </c>
      <c r="CJ25" s="34"/>
      <c r="CL25">
        <v>1</v>
      </c>
      <c r="CO25">
        <v>1</v>
      </c>
      <c r="CP25" s="99" t="s">
        <v>377</v>
      </c>
      <c r="CQ25" s="80" t="s">
        <v>362</v>
      </c>
      <c r="CS25">
        <v>1</v>
      </c>
      <c r="CU25">
        <v>1</v>
      </c>
      <c r="CV25">
        <v>1</v>
      </c>
      <c r="CX25">
        <v>1</v>
      </c>
      <c r="CY25" s="99" t="s">
        <v>362</v>
      </c>
      <c r="CZ25" s="80" t="s">
        <v>362</v>
      </c>
      <c r="DB25">
        <v>1</v>
      </c>
      <c r="DE25">
        <v>1</v>
      </c>
      <c r="DG25">
        <v>1</v>
      </c>
      <c r="DH25" s="99" t="s">
        <v>362</v>
      </c>
      <c r="DI25" s="80" t="s">
        <v>361</v>
      </c>
      <c r="DK25">
        <v>1</v>
      </c>
      <c r="DM25">
        <v>1</v>
      </c>
      <c r="DN25">
        <v>1</v>
      </c>
      <c r="DQ25" s="99" t="s">
        <v>362</v>
      </c>
      <c r="DR25" s="80" t="s">
        <v>361</v>
      </c>
      <c r="DT25">
        <v>1</v>
      </c>
      <c r="DV25">
        <v>1</v>
      </c>
      <c r="DW25">
        <v>1</v>
      </c>
      <c r="DZ25" s="95" t="s">
        <v>362</v>
      </c>
      <c r="EA25" s="80" t="s">
        <v>361</v>
      </c>
      <c r="EB25">
        <v>1</v>
      </c>
      <c r="EC25">
        <v>1</v>
      </c>
      <c r="EE25">
        <v>1</v>
      </c>
      <c r="EF25">
        <v>1</v>
      </c>
      <c r="EI25" s="99" t="s">
        <v>362</v>
      </c>
      <c r="EJ25" s="80" t="s">
        <v>362</v>
      </c>
      <c r="EK25">
        <v>1</v>
      </c>
      <c r="EL25">
        <v>1</v>
      </c>
      <c r="EN25" s="95">
        <v>1</v>
      </c>
      <c r="EO25">
        <v>1</v>
      </c>
      <c r="EQ25">
        <v>1</v>
      </c>
      <c r="ER25" s="99" t="s">
        <v>362</v>
      </c>
      <c r="ES25" s="80" t="s">
        <v>396</v>
      </c>
      <c r="ET25">
        <v>1</v>
      </c>
      <c r="EU25">
        <v>1</v>
      </c>
      <c r="EV25">
        <v>1</v>
      </c>
      <c r="EW25">
        <v>1</v>
      </c>
      <c r="FA25" s="95" t="s">
        <v>362</v>
      </c>
      <c r="FB25" s="80" t="s">
        <v>362</v>
      </c>
      <c r="FC25">
        <v>1</v>
      </c>
      <c r="FE25">
        <v>1</v>
      </c>
      <c r="FG25">
        <v>1</v>
      </c>
      <c r="FH25">
        <v>1</v>
      </c>
      <c r="FJ25" s="99" t="s">
        <v>362</v>
      </c>
      <c r="FK25" s="80" t="s">
        <v>362</v>
      </c>
      <c r="FL25">
        <v>1</v>
      </c>
      <c r="FO25">
        <v>1</v>
      </c>
      <c r="FP25">
        <v>1</v>
      </c>
      <c r="FQ25">
        <v>1</v>
      </c>
      <c r="FS25" s="99" t="s">
        <v>362</v>
      </c>
      <c r="FT25" s="80" t="s">
        <v>362</v>
      </c>
      <c r="FU25">
        <v>1</v>
      </c>
      <c r="FV25">
        <v>1</v>
      </c>
      <c r="FY25">
        <v>1</v>
      </c>
      <c r="FZ25">
        <v>1</v>
      </c>
      <c r="GB25">
        <v>0</v>
      </c>
      <c r="GC25" s="80" t="s">
        <v>362</v>
      </c>
      <c r="GE25">
        <v>1</v>
      </c>
      <c r="GG25">
        <v>1</v>
      </c>
      <c r="GH25">
        <v>1</v>
      </c>
      <c r="GI25">
        <v>1</v>
      </c>
      <c r="GK25" s="95" t="s">
        <v>362</v>
      </c>
      <c r="GL25" s="80" t="s">
        <v>362</v>
      </c>
      <c r="GN25">
        <v>1</v>
      </c>
      <c r="GP25">
        <v>1</v>
      </c>
      <c r="GQ25">
        <v>1</v>
      </c>
      <c r="GR25">
        <v>1</v>
      </c>
      <c r="GS25" s="145"/>
      <c r="GT25" s="95" t="s">
        <v>362</v>
      </c>
      <c r="GU25" s="80" t="s">
        <v>362</v>
      </c>
      <c r="GV25">
        <v>1</v>
      </c>
      <c r="GW25">
        <v>1</v>
      </c>
      <c r="GZ25">
        <v>1</v>
      </c>
      <c r="HA25">
        <v>1</v>
      </c>
      <c r="HC25" s="95" t="s">
        <v>362</v>
      </c>
      <c r="HD25" s="80" t="s">
        <v>396</v>
      </c>
      <c r="HJ25">
        <v>1</v>
      </c>
      <c r="HL25" s="95" t="s">
        <v>362</v>
      </c>
      <c r="HM25" s="80" t="s">
        <v>362</v>
      </c>
      <c r="HU25" s="95" t="s">
        <v>362</v>
      </c>
      <c r="HV25" s="80" t="s">
        <v>363</v>
      </c>
      <c r="ID25" s="95" t="s">
        <v>362</v>
      </c>
      <c r="IE25" s="80" t="s">
        <v>362</v>
      </c>
      <c r="IM25" s="95" t="s">
        <v>362</v>
      </c>
      <c r="IN25" s="80" t="s">
        <v>362</v>
      </c>
      <c r="IU25" s="7"/>
      <c r="JB25" s="7"/>
      <c r="JI25" s="7"/>
      <c r="JP25" s="7"/>
      <c r="JW25" s="7"/>
      <c r="KD25" s="7"/>
      <c r="KK25" s="7"/>
      <c r="KR25" s="7"/>
      <c r="KY25" s="7"/>
      <c r="LF25" s="7"/>
      <c r="LM25" s="7"/>
      <c r="LT25" s="7"/>
      <c r="MA25" s="7"/>
      <c r="MH25" s="7"/>
      <c r="MO25" s="7"/>
      <c r="MV25" s="7"/>
      <c r="NC25" s="7"/>
      <c r="NJ25" s="7"/>
    </row>
    <row r="26" spans="1:374" x14ac:dyDescent="0.25">
      <c r="A26" s="8" t="s">
        <v>181</v>
      </c>
      <c r="B26" s="8" t="s">
        <v>182</v>
      </c>
      <c r="C26" s="8" t="s">
        <v>183</v>
      </c>
      <c r="D26" s="8" t="s">
        <v>81</v>
      </c>
      <c r="E26" s="18">
        <v>38054</v>
      </c>
      <c r="F26" s="10">
        <f t="shared" si="308"/>
        <v>1</v>
      </c>
      <c r="G26" s="19">
        <f t="shared" si="308"/>
        <v>1</v>
      </c>
      <c r="H26" s="19" t="str">
        <f t="shared" si="308"/>
        <v/>
      </c>
      <c r="I26" s="19" t="str">
        <f t="shared" si="308"/>
        <v/>
      </c>
      <c r="J26" s="19" t="str">
        <f t="shared" si="308"/>
        <v/>
      </c>
      <c r="K26" s="19" t="str">
        <f t="shared" si="308"/>
        <v/>
      </c>
      <c r="L26" s="19" t="str">
        <f t="shared" si="308"/>
        <v/>
      </c>
      <c r="M26" s="8"/>
      <c r="N26" s="8">
        <v>1</v>
      </c>
      <c r="O26" s="9">
        <v>1</v>
      </c>
      <c r="P26" s="8">
        <f t="shared" si="304"/>
        <v>78</v>
      </c>
      <c r="Q26" s="108">
        <f t="shared" si="306"/>
        <v>81.25</v>
      </c>
      <c r="R26" s="128" t="str">
        <f t="shared" si="307"/>
        <v>-8</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390</v>
      </c>
      <c r="BY26" s="80" t="s">
        <v>365</v>
      </c>
      <c r="CF26">
        <v>1</v>
      </c>
      <c r="CG26" s="95" t="s">
        <v>382</v>
      </c>
      <c r="CH26" s="80" t="s">
        <v>391</v>
      </c>
      <c r="CL26">
        <v>1</v>
      </c>
      <c r="CO26">
        <v>1</v>
      </c>
      <c r="CP26" s="99" t="s">
        <v>362</v>
      </c>
      <c r="CQ26" s="80" t="s">
        <v>363</v>
      </c>
      <c r="CS26">
        <v>1</v>
      </c>
      <c r="CU26">
        <v>1</v>
      </c>
      <c r="CV26">
        <v>1</v>
      </c>
      <c r="CX26">
        <v>1</v>
      </c>
      <c r="CY26" s="99" t="s">
        <v>362</v>
      </c>
      <c r="CZ26" s="80" t="s">
        <v>362</v>
      </c>
      <c r="DB26">
        <v>1</v>
      </c>
      <c r="DE26">
        <v>1</v>
      </c>
      <c r="DG26">
        <v>1</v>
      </c>
      <c r="DH26" s="99" t="s">
        <v>362</v>
      </c>
      <c r="DI26" s="80" t="s">
        <v>361</v>
      </c>
      <c r="DK26">
        <v>1</v>
      </c>
      <c r="DP26">
        <v>1</v>
      </c>
      <c r="DQ26" s="99" t="s">
        <v>362</v>
      </c>
      <c r="DR26" s="80" t="s">
        <v>360</v>
      </c>
      <c r="DT26" t="s">
        <v>411</v>
      </c>
      <c r="DW26">
        <v>1</v>
      </c>
      <c r="DZ26" s="95">
        <v>8</v>
      </c>
      <c r="EA26" s="80" t="s">
        <v>378</v>
      </c>
      <c r="EB26">
        <v>1</v>
      </c>
      <c r="EC26">
        <v>1</v>
      </c>
      <c r="EE26">
        <v>1</v>
      </c>
      <c r="EI26" s="99" t="s">
        <v>362</v>
      </c>
      <c r="EJ26" s="80" t="s">
        <v>361</v>
      </c>
      <c r="EK26">
        <v>1</v>
      </c>
      <c r="EL26">
        <v>1</v>
      </c>
      <c r="EN26" s="95">
        <v>1</v>
      </c>
      <c r="EO26">
        <v>1</v>
      </c>
      <c r="EQ26">
        <v>1</v>
      </c>
      <c r="ER26" s="99" t="s">
        <v>362</v>
      </c>
      <c r="ES26" s="80" t="s">
        <v>396</v>
      </c>
      <c r="EU26">
        <v>1</v>
      </c>
      <c r="EV26">
        <v>1</v>
      </c>
      <c r="EW26">
        <v>1</v>
      </c>
      <c r="FA26" s="95" t="s">
        <v>362</v>
      </c>
      <c r="FB26" s="80" t="s">
        <v>361</v>
      </c>
      <c r="FC26">
        <v>1</v>
      </c>
      <c r="FE26">
        <v>1</v>
      </c>
      <c r="FF26">
        <v>1</v>
      </c>
      <c r="FH26">
        <v>1</v>
      </c>
      <c r="FJ26" s="99" t="s">
        <v>362</v>
      </c>
      <c r="FK26" s="80" t="s">
        <v>362</v>
      </c>
      <c r="FM26">
        <v>1</v>
      </c>
      <c r="FO26">
        <v>1</v>
      </c>
      <c r="FP26">
        <v>1</v>
      </c>
      <c r="FQ26">
        <v>1</v>
      </c>
      <c r="FS26" s="99" t="s">
        <v>362</v>
      </c>
      <c r="FT26" s="80" t="s">
        <v>362</v>
      </c>
      <c r="FU26">
        <v>1</v>
      </c>
      <c r="FV26">
        <v>1</v>
      </c>
      <c r="FX26">
        <v>1</v>
      </c>
      <c r="FY26">
        <v>1</v>
      </c>
      <c r="FZ26">
        <v>1</v>
      </c>
      <c r="GB26">
        <v>0</v>
      </c>
      <c r="GC26" s="80" t="s">
        <v>396</v>
      </c>
      <c r="GD26">
        <v>1</v>
      </c>
      <c r="GE26">
        <v>1</v>
      </c>
      <c r="GG26">
        <v>1</v>
      </c>
      <c r="GH26">
        <v>1</v>
      </c>
      <c r="GI26">
        <v>1</v>
      </c>
      <c r="GK26" s="95" t="s">
        <v>362</v>
      </c>
      <c r="GL26" s="80" t="s">
        <v>396</v>
      </c>
      <c r="GM26">
        <v>1</v>
      </c>
      <c r="GN26">
        <v>1</v>
      </c>
      <c r="GP26">
        <v>1</v>
      </c>
      <c r="GQ26">
        <v>1</v>
      </c>
      <c r="GR26">
        <v>1</v>
      </c>
      <c r="GS26" s="145"/>
      <c r="GT26" s="95" t="s">
        <v>362</v>
      </c>
      <c r="GU26" s="80" t="s">
        <v>396</v>
      </c>
      <c r="GV26">
        <v>1</v>
      </c>
      <c r="GZ26">
        <v>1</v>
      </c>
      <c r="HA26">
        <v>1</v>
      </c>
      <c r="HC26" s="95" t="s">
        <v>376</v>
      </c>
      <c r="HD26" s="80" t="s">
        <v>378</v>
      </c>
      <c r="HL26" s="95" t="s">
        <v>362</v>
      </c>
      <c r="HM26" s="80" t="s">
        <v>362</v>
      </c>
      <c r="HU26" s="95" t="s">
        <v>362</v>
      </c>
      <c r="HV26" s="80" t="s">
        <v>363</v>
      </c>
      <c r="ID26" s="95" t="s">
        <v>362</v>
      </c>
      <c r="IE26" s="80" t="s">
        <v>362</v>
      </c>
      <c r="IM26" s="95" t="s">
        <v>362</v>
      </c>
      <c r="IN26" s="80" t="s">
        <v>362</v>
      </c>
      <c r="IU26" s="7"/>
      <c r="JB26" s="7"/>
      <c r="JI26" s="7"/>
      <c r="JP26" s="7"/>
      <c r="JW26" s="7"/>
      <c r="KD26" s="7"/>
      <c r="KK26" s="7"/>
      <c r="KR26" s="7"/>
      <c r="KY26" s="7"/>
      <c r="LF26" s="7"/>
      <c r="LM26" s="7"/>
      <c r="LT26" s="7"/>
      <c r="MA26" s="7"/>
      <c r="MH26" s="7"/>
      <c r="MO26" s="7"/>
      <c r="MV26" s="7"/>
      <c r="NC26" s="7"/>
      <c r="NJ26" s="7"/>
    </row>
    <row r="27" spans="1:374" hidden="1" x14ac:dyDescent="0.25">
      <c r="A27" s="8" t="s">
        <v>129</v>
      </c>
      <c r="B27" s="8"/>
      <c r="C27" s="8" t="s">
        <v>165</v>
      </c>
      <c r="D27" s="8" t="s">
        <v>166</v>
      </c>
      <c r="E27" s="18">
        <v>36892</v>
      </c>
      <c r="F27" s="10" t="str">
        <f t="shared" si="308"/>
        <v/>
      </c>
      <c r="G27" s="19" t="str">
        <f t="shared" si="308"/>
        <v/>
      </c>
      <c r="H27" s="19" t="str">
        <f t="shared" si="308"/>
        <v/>
      </c>
      <c r="I27" s="19" t="str">
        <f t="shared" si="308"/>
        <v/>
      </c>
      <c r="J27" s="19" t="str">
        <f t="shared" si="308"/>
        <v/>
      </c>
      <c r="K27" s="19" t="str">
        <f t="shared" si="308"/>
        <v/>
      </c>
      <c r="L27" s="19" t="str">
        <f t="shared" si="308"/>
        <v/>
      </c>
      <c r="M27" s="8"/>
      <c r="N27" s="8"/>
      <c r="O27" s="9"/>
      <c r="P27" s="8" t="str">
        <f t="shared" si="304"/>
        <v/>
      </c>
      <c r="Q27" s="108" t="str">
        <f>IF(SUM(S27:XFD27) &gt; 0, SUM(S27:XFD27) /#REF! * 100, "")</f>
        <v/>
      </c>
      <c r="R27" s="128" t="str">
        <f t="shared" si="307"/>
        <v>-3</v>
      </c>
      <c r="S27" s="7"/>
      <c r="Z27" s="7"/>
      <c r="AG27" s="7"/>
      <c r="AN27" s="7"/>
      <c r="AU27" s="7"/>
      <c r="BB27" s="7"/>
      <c r="BI27" s="7"/>
      <c r="BP27" s="7"/>
      <c r="BX27" s="95" t="s">
        <v>362</v>
      </c>
      <c r="BY27" s="79"/>
      <c r="CG27" s="95" t="s">
        <v>362</v>
      </c>
      <c r="CH27" s="80" t="s">
        <v>364</v>
      </c>
      <c r="CP27" s="99" t="s">
        <v>362</v>
      </c>
      <c r="CQ27" s="80" t="s">
        <v>364</v>
      </c>
      <c r="CY27" s="99" t="s">
        <v>362</v>
      </c>
      <c r="CZ27" s="80" t="s">
        <v>364</v>
      </c>
      <c r="DH27" s="99" t="s">
        <v>362</v>
      </c>
      <c r="DI27" s="80" t="s">
        <v>364</v>
      </c>
      <c r="DQ27" s="96"/>
      <c r="DR27" s="80" t="s">
        <v>364</v>
      </c>
      <c r="DZ27" s="95" t="s">
        <v>362</v>
      </c>
      <c r="EA27" s="80" t="s">
        <v>361</v>
      </c>
      <c r="EI27" s="99" t="s">
        <v>362</v>
      </c>
      <c r="EJ27" s="80" t="s">
        <v>362</v>
      </c>
      <c r="EN27" s="96"/>
      <c r="ER27" s="99" t="s">
        <v>362</v>
      </c>
      <c r="ES27" s="80" t="s">
        <v>396</v>
      </c>
      <c r="FA27" s="95" t="s">
        <v>362</v>
      </c>
      <c r="FB27" s="80" t="s">
        <v>362</v>
      </c>
      <c r="FJ27" s="99" t="s">
        <v>362</v>
      </c>
      <c r="FK27" s="80" t="s">
        <v>396</v>
      </c>
      <c r="FS27" s="99" t="s">
        <v>362</v>
      </c>
      <c r="FT27" s="80" t="s">
        <v>364</v>
      </c>
      <c r="GC27" s="80" t="s">
        <v>364</v>
      </c>
      <c r="GK27" s="96"/>
      <c r="GL27" s="80" t="s">
        <v>364</v>
      </c>
      <c r="GS27" s="145"/>
      <c r="GT27" s="96"/>
      <c r="GU27" s="80" t="s">
        <v>364</v>
      </c>
      <c r="HC27" s="95" t="s">
        <v>362</v>
      </c>
      <c r="HD27" s="80" t="s">
        <v>364</v>
      </c>
      <c r="HL27" s="95" t="s">
        <v>362</v>
      </c>
      <c r="HM27" s="80" t="s">
        <v>362</v>
      </c>
      <c r="HU27" s="95" t="s">
        <v>362</v>
      </c>
      <c r="HV27" s="80" t="s">
        <v>363</v>
      </c>
      <c r="ID27" s="95" t="s">
        <v>362</v>
      </c>
      <c r="IE27" s="80" t="s">
        <v>362</v>
      </c>
      <c r="IM27" s="95" t="s">
        <v>362</v>
      </c>
      <c r="IN27" s="80" t="s">
        <v>362</v>
      </c>
      <c r="IU27" s="7"/>
      <c r="JB27" s="7"/>
      <c r="JI27" s="7"/>
      <c r="JP27" s="7"/>
      <c r="JW27" s="7"/>
      <c r="KD27" s="7"/>
      <c r="KK27" s="7"/>
      <c r="KR27" s="7"/>
      <c r="KY27" s="7"/>
      <c r="LF27" s="7"/>
      <c r="LM27" s="7"/>
      <c r="LT27" s="7"/>
      <c r="MA27" s="7"/>
      <c r="MH27" s="7"/>
      <c r="MO27" s="7"/>
      <c r="MV27" s="7"/>
      <c r="NC27" s="7"/>
      <c r="NJ27" s="7"/>
    </row>
    <row r="28" spans="1:374" x14ac:dyDescent="0.25">
      <c r="A28" s="88" t="s">
        <v>132</v>
      </c>
      <c r="B28" s="88"/>
      <c r="C28" s="88" t="s">
        <v>131</v>
      </c>
      <c r="D28" s="88" t="s">
        <v>130</v>
      </c>
      <c r="E28" s="89">
        <v>39280</v>
      </c>
      <c r="F28" s="90">
        <f t="shared" si="308"/>
        <v>1</v>
      </c>
      <c r="G28" s="88">
        <f t="shared" si="308"/>
        <v>1</v>
      </c>
      <c r="H28" s="88">
        <f t="shared" si="308"/>
        <v>1</v>
      </c>
      <c r="I28" s="88">
        <f t="shared" si="308"/>
        <v>1</v>
      </c>
      <c r="J28" s="88" t="str">
        <f t="shared" si="308"/>
        <v/>
      </c>
      <c r="K28" s="88" t="str">
        <f t="shared" si="308"/>
        <v/>
      </c>
      <c r="L28" s="88" t="str">
        <f t="shared" si="308"/>
        <v/>
      </c>
      <c r="M28" s="88">
        <v>1</v>
      </c>
      <c r="N28" s="88">
        <v>1</v>
      </c>
      <c r="O28" s="91"/>
      <c r="P28" s="88">
        <f t="shared" si="304"/>
        <v>35</v>
      </c>
      <c r="Q28" s="109">
        <f>IF(SUM(S28:XFD28) &gt; 0, SUM(S28:XFD28) /P$37 * 100, "")</f>
        <v>36.458333333333329</v>
      </c>
      <c r="R28" s="129" t="str">
        <f t="shared" si="307"/>
        <v>-63</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362</v>
      </c>
      <c r="BY28" s="94" t="s">
        <v>366</v>
      </c>
      <c r="BZ28" s="93"/>
      <c r="CA28" s="93"/>
      <c r="CB28" s="93"/>
      <c r="CC28" s="93"/>
      <c r="CD28" s="93"/>
      <c r="CE28" s="93"/>
      <c r="CF28" s="93"/>
      <c r="CG28" s="97" t="s">
        <v>362</v>
      </c>
      <c r="CH28" s="94" t="s">
        <v>366</v>
      </c>
      <c r="CI28" s="93"/>
      <c r="CJ28" s="93"/>
      <c r="CK28" s="93"/>
      <c r="CL28" s="93"/>
      <c r="CM28" s="93"/>
      <c r="CN28" s="93"/>
      <c r="CO28" s="93"/>
      <c r="CP28" s="97" t="s">
        <v>362</v>
      </c>
      <c r="CQ28" s="94" t="s">
        <v>366</v>
      </c>
      <c r="CR28" s="93"/>
      <c r="CS28" s="93">
        <v>1</v>
      </c>
      <c r="CT28" s="93"/>
      <c r="CU28" s="93"/>
      <c r="CV28" s="93">
        <v>1</v>
      </c>
      <c r="CW28" s="93"/>
      <c r="CX28" s="93"/>
      <c r="CY28" s="97" t="s">
        <v>362</v>
      </c>
      <c r="CZ28" s="94" t="s">
        <v>360</v>
      </c>
      <c r="DA28" s="93"/>
      <c r="DB28" s="93"/>
      <c r="DC28" s="93"/>
      <c r="DD28" s="93"/>
      <c r="DE28" s="93"/>
      <c r="DF28" s="93"/>
      <c r="DG28" s="93"/>
      <c r="DH28" s="97" t="s">
        <v>362</v>
      </c>
      <c r="DI28" s="94" t="s">
        <v>363</v>
      </c>
      <c r="DJ28" s="93"/>
      <c r="DK28" s="93"/>
      <c r="DL28" s="93"/>
      <c r="DM28" s="93"/>
      <c r="DN28" s="93"/>
      <c r="DO28" s="93"/>
      <c r="DP28" s="93"/>
      <c r="DQ28" s="97" t="s">
        <v>362</v>
      </c>
      <c r="DR28" s="94" t="s">
        <v>363</v>
      </c>
      <c r="DS28" s="93"/>
      <c r="DT28" s="93"/>
      <c r="DU28" s="93"/>
      <c r="DV28" s="93">
        <v>1</v>
      </c>
      <c r="DW28" s="93">
        <v>1</v>
      </c>
      <c r="DX28" s="93"/>
      <c r="DY28" s="93"/>
      <c r="DZ28" s="97" t="s">
        <v>362</v>
      </c>
      <c r="EA28" s="94" t="s">
        <v>360</v>
      </c>
      <c r="EB28" s="93"/>
      <c r="EC28" s="93">
        <v>1</v>
      </c>
      <c r="ED28" s="93"/>
      <c r="EE28" s="93">
        <v>1</v>
      </c>
      <c r="EF28" s="93"/>
      <c r="EG28" s="93"/>
      <c r="EH28" s="93"/>
      <c r="EI28" s="97" t="s">
        <v>362</v>
      </c>
      <c r="EJ28" s="94" t="s">
        <v>360</v>
      </c>
      <c r="EK28" s="93"/>
      <c r="EL28" s="93">
        <v>1</v>
      </c>
      <c r="EM28" s="93"/>
      <c r="EN28" s="138"/>
      <c r="EO28" s="93">
        <v>1</v>
      </c>
      <c r="EP28" s="93"/>
      <c r="EQ28" s="93">
        <v>1</v>
      </c>
      <c r="ER28" s="97">
        <v>4</v>
      </c>
      <c r="ES28" s="94" t="s">
        <v>382</v>
      </c>
      <c r="ET28" s="93"/>
      <c r="EU28" s="93"/>
      <c r="EV28" s="93"/>
      <c r="EW28" s="93"/>
      <c r="EX28" s="93"/>
      <c r="EY28" s="93"/>
      <c r="EZ28" s="93"/>
      <c r="FA28" s="97" t="s">
        <v>362</v>
      </c>
      <c r="FB28" s="94" t="s">
        <v>363</v>
      </c>
      <c r="FC28" s="93"/>
      <c r="FD28" s="93"/>
      <c r="FE28" s="93"/>
      <c r="FF28" s="93"/>
      <c r="FG28" s="93"/>
      <c r="FH28" s="93"/>
      <c r="FI28" s="93"/>
      <c r="FJ28" s="97" t="s">
        <v>362</v>
      </c>
      <c r="FK28" s="94" t="s">
        <v>363</v>
      </c>
      <c r="FL28" s="93"/>
      <c r="FM28" s="93"/>
      <c r="FN28" s="93"/>
      <c r="FO28" s="93"/>
      <c r="FP28" s="93"/>
      <c r="FQ28" s="93"/>
      <c r="FR28" s="93"/>
      <c r="FS28" s="97">
        <v>0</v>
      </c>
      <c r="FT28" s="94" t="s">
        <v>363</v>
      </c>
      <c r="FU28" s="93"/>
      <c r="FV28" s="93"/>
      <c r="FW28" s="93"/>
      <c r="FX28" s="93"/>
      <c r="FY28" s="93"/>
      <c r="FZ28" s="93"/>
      <c r="GA28" s="93"/>
      <c r="GB28" s="93">
        <v>0</v>
      </c>
      <c r="GC28" s="94" t="s">
        <v>363</v>
      </c>
      <c r="GD28" s="93">
        <v>1</v>
      </c>
      <c r="GE28" s="93">
        <v>1</v>
      </c>
      <c r="GF28" s="93"/>
      <c r="GG28" s="93"/>
      <c r="GH28" s="93"/>
      <c r="GI28" s="93"/>
      <c r="GJ28" s="93"/>
      <c r="GK28" s="97" t="s">
        <v>362</v>
      </c>
      <c r="GL28" s="94" t="s">
        <v>360</v>
      </c>
      <c r="GM28" s="93"/>
      <c r="GN28" s="93"/>
      <c r="GO28" s="93"/>
      <c r="GP28" s="93"/>
      <c r="GQ28" s="93">
        <v>1</v>
      </c>
      <c r="GR28" s="93"/>
      <c r="GS28" s="146">
        <v>1</v>
      </c>
      <c r="GT28" s="97" t="s">
        <v>362</v>
      </c>
      <c r="GU28" s="94" t="s">
        <v>360</v>
      </c>
      <c r="GV28" s="93"/>
      <c r="GW28" s="93"/>
      <c r="GX28" s="93"/>
      <c r="GY28" s="93"/>
      <c r="GZ28" s="93"/>
      <c r="HA28" s="93"/>
      <c r="HB28" s="93"/>
      <c r="HC28" s="97" t="s">
        <v>362</v>
      </c>
      <c r="HD28" s="94" t="s">
        <v>363</v>
      </c>
      <c r="HE28" s="93"/>
      <c r="HF28" s="93"/>
      <c r="HG28" s="93"/>
      <c r="HH28" s="93"/>
      <c r="HI28" s="93"/>
      <c r="HJ28" s="93">
        <v>1</v>
      </c>
      <c r="HK28" s="93"/>
      <c r="HL28" s="97" t="s">
        <v>362</v>
      </c>
      <c r="HM28" s="94" t="s">
        <v>362</v>
      </c>
      <c r="HN28" s="93"/>
      <c r="HO28" s="93"/>
      <c r="HP28" s="93"/>
      <c r="HQ28" s="93"/>
      <c r="HR28" s="93"/>
      <c r="HS28" s="93"/>
      <c r="HT28" s="93"/>
      <c r="HU28" s="97" t="s">
        <v>362</v>
      </c>
      <c r="HV28" s="94" t="s">
        <v>363</v>
      </c>
      <c r="HW28" s="93"/>
      <c r="HX28" s="93"/>
      <c r="HY28" s="93"/>
      <c r="HZ28" s="93"/>
      <c r="IA28" s="93"/>
      <c r="IB28" s="93"/>
      <c r="IC28" s="93"/>
      <c r="ID28" s="97" t="s">
        <v>362</v>
      </c>
      <c r="IE28" s="94" t="s">
        <v>362</v>
      </c>
      <c r="IF28" s="93"/>
      <c r="IG28" s="93"/>
      <c r="IH28" s="93"/>
      <c r="II28" s="93"/>
      <c r="IJ28" s="93"/>
      <c r="IK28" s="93"/>
      <c r="IL28" s="93"/>
      <c r="IM28" s="97" t="s">
        <v>362</v>
      </c>
      <c r="IN28" s="94" t="s">
        <v>362</v>
      </c>
      <c r="IO28" s="93"/>
      <c r="IP28" s="93"/>
      <c r="IQ28" s="93"/>
      <c r="IR28" s="93"/>
      <c r="IS28" s="93"/>
      <c r="IT28" s="93"/>
      <c r="IU28" s="92"/>
      <c r="IV28" s="93"/>
      <c r="IW28" s="93"/>
      <c r="IX28" s="93"/>
      <c r="IY28" s="93"/>
      <c r="IZ28" s="93"/>
      <c r="JA28" s="93"/>
      <c r="JB28" s="92"/>
      <c r="JC28" s="93"/>
      <c r="JD28" s="93"/>
      <c r="JE28" s="93"/>
      <c r="JF28" s="93"/>
      <c r="JG28" s="93"/>
      <c r="JH28" s="93"/>
      <c r="JI28" s="92"/>
      <c r="JJ28" s="93"/>
      <c r="JK28" s="93"/>
      <c r="JL28" s="93"/>
      <c r="JM28" s="93"/>
      <c r="JN28" s="93"/>
      <c r="JO28" s="93"/>
      <c r="JP28" s="92"/>
      <c r="JQ28" s="93"/>
      <c r="JR28" s="93"/>
      <c r="JS28" s="93"/>
      <c r="JT28" s="93"/>
      <c r="JU28" s="93"/>
      <c r="JV28" s="93"/>
      <c r="JW28" s="92"/>
      <c r="JX28" s="93"/>
      <c r="JY28" s="93"/>
      <c r="JZ28" s="93"/>
      <c r="KA28" s="93"/>
      <c r="KB28" s="93"/>
      <c r="KC28" s="93"/>
      <c r="KD28" s="92"/>
      <c r="KE28" s="93"/>
      <c r="KF28" s="93"/>
      <c r="KG28" s="93"/>
      <c r="KH28" s="93"/>
      <c r="KI28" s="93"/>
      <c r="KJ28" s="93"/>
      <c r="KK28" s="92"/>
      <c r="KL28" s="93"/>
      <c r="KM28" s="93"/>
      <c r="KN28" s="93"/>
      <c r="KO28" s="93"/>
      <c r="KP28" s="93"/>
      <c r="KQ28" s="93"/>
      <c r="KR28" s="92"/>
      <c r="KS28" s="93"/>
      <c r="KT28" s="93"/>
      <c r="KU28" s="93"/>
      <c r="KV28" s="93"/>
      <c r="KW28" s="93"/>
      <c r="KX28" s="93"/>
      <c r="KY28" s="92"/>
      <c r="KZ28" s="93"/>
      <c r="LA28" s="93"/>
      <c r="LB28" s="93"/>
      <c r="LC28" s="93"/>
      <c r="LD28" s="93"/>
      <c r="LE28" s="93"/>
      <c r="LF28" s="92"/>
      <c r="LG28" s="93"/>
      <c r="LH28" s="93"/>
      <c r="LI28" s="93"/>
      <c r="LJ28" s="93"/>
      <c r="LK28" s="93"/>
      <c r="LL28" s="93"/>
      <c r="LM28" s="92"/>
      <c r="LN28" s="93"/>
      <c r="LO28" s="93"/>
      <c r="LP28" s="93"/>
      <c r="LQ28" s="93"/>
      <c r="LR28" s="93"/>
      <c r="LS28" s="93"/>
      <c r="LT28" s="92"/>
      <c r="LU28" s="93"/>
      <c r="LV28" s="93"/>
      <c r="LW28" s="93"/>
      <c r="LX28" s="93"/>
      <c r="LY28" s="93"/>
      <c r="LZ28" s="93"/>
      <c r="MA28" s="92"/>
      <c r="MB28" s="93"/>
      <c r="MC28" s="93"/>
      <c r="MD28" s="93"/>
      <c r="ME28" s="93"/>
      <c r="MF28" s="93"/>
      <c r="MG28" s="93"/>
      <c r="MH28" s="92"/>
      <c r="MI28" s="93"/>
      <c r="MJ28" s="93"/>
      <c r="MK28" s="93"/>
      <c r="ML28" s="93"/>
      <c r="MM28" s="93"/>
      <c r="MN28" s="93"/>
      <c r="MO28" s="92"/>
      <c r="MP28" s="93"/>
      <c r="MQ28" s="93"/>
      <c r="MR28" s="93"/>
      <c r="MS28" s="93"/>
      <c r="MT28" s="93"/>
      <c r="MU28" s="93"/>
      <c r="MV28" s="92"/>
      <c r="MW28" s="93"/>
      <c r="MX28" s="93"/>
      <c r="MY28" s="93"/>
      <c r="MZ28" s="93"/>
      <c r="NA28" s="93"/>
      <c r="NB28" s="93"/>
      <c r="NC28" s="92"/>
      <c r="ND28" s="93"/>
      <c r="NE28" s="93"/>
      <c r="NF28" s="93"/>
      <c r="NG28" s="93"/>
      <c r="NH28" s="93"/>
      <c r="NI28" s="93"/>
      <c r="NJ28" s="92"/>
    </row>
    <row r="29" spans="1:374" hidden="1" x14ac:dyDescent="0.25">
      <c r="A29" s="19" t="s">
        <v>92</v>
      </c>
      <c r="B29" s="19"/>
      <c r="C29" s="19" t="s">
        <v>159</v>
      </c>
      <c r="D29" s="19" t="s">
        <v>121</v>
      </c>
      <c r="E29" s="56">
        <v>38544</v>
      </c>
      <c r="F29" s="10">
        <f t="shared" si="308"/>
        <v>1</v>
      </c>
      <c r="G29" s="19">
        <f t="shared" si="308"/>
        <v>1</v>
      </c>
      <c r="H29" s="19" t="str">
        <f t="shared" si="308"/>
        <v/>
      </c>
      <c r="I29" s="19" t="str">
        <f t="shared" si="308"/>
        <v/>
      </c>
      <c r="J29" s="19" t="str">
        <f t="shared" si="308"/>
        <v/>
      </c>
      <c r="K29" s="19" t="str">
        <f t="shared" si="308"/>
        <v/>
      </c>
      <c r="L29" s="19" t="str">
        <f t="shared" si="308"/>
        <v/>
      </c>
      <c r="M29" s="8"/>
      <c r="N29" s="8">
        <v>1</v>
      </c>
      <c r="O29" s="9"/>
      <c r="P29" s="8" t="str">
        <f t="shared" si="304"/>
        <v/>
      </c>
      <c r="Q29" s="108" t="str">
        <f>IF(SUM(S29:XFD29) &gt; 0, SUM(S29:XFD29) /#REF! * 100, "")</f>
        <v/>
      </c>
      <c r="R29" s="128" t="str">
        <f t="shared" si="307"/>
        <v>?</v>
      </c>
      <c r="S29" s="7"/>
      <c r="Z29" s="7"/>
      <c r="AG29" s="7"/>
      <c r="AN29" s="7"/>
      <c r="AU29" s="7"/>
      <c r="BB29" s="7"/>
      <c r="BI29" s="7"/>
      <c r="BP29" s="7"/>
      <c r="BX29" s="96"/>
      <c r="BY29" s="79"/>
      <c r="CG29" s="96"/>
      <c r="CH29" s="80"/>
      <c r="CQ29" s="7"/>
      <c r="CZ29" s="7"/>
      <c r="DI29" s="7"/>
      <c r="DR29" s="7"/>
      <c r="DZ29" s="96"/>
      <c r="EA29" s="79"/>
      <c r="EJ29" s="7"/>
      <c r="EN29" s="96"/>
      <c r="ES29" s="7"/>
      <c r="FB29" s="7"/>
      <c r="FK29" s="7"/>
      <c r="FT29" s="7"/>
      <c r="GC29" s="7"/>
      <c r="GL29" s="7"/>
      <c r="GU29" s="7"/>
      <c r="HD29" s="7"/>
      <c r="HM29" s="7"/>
      <c r="HV29" s="7"/>
      <c r="IE29" s="7"/>
      <c r="IN29" s="7"/>
      <c r="IU29" s="7"/>
      <c r="JB29" s="7"/>
      <c r="JI29" s="7"/>
      <c r="JP29" s="7"/>
      <c r="JW29" s="7"/>
      <c r="KD29" s="7"/>
      <c r="KK29" s="7"/>
      <c r="KR29" s="7"/>
      <c r="KY29" s="7"/>
      <c r="LF29" s="7"/>
      <c r="LM29" s="7"/>
      <c r="LT29" s="7"/>
      <c r="MA29" s="7"/>
      <c r="MH29" s="7"/>
      <c r="MO29" s="7"/>
      <c r="MV29" s="7"/>
      <c r="NC29" s="7"/>
      <c r="NJ29" s="7"/>
    </row>
    <row r="30" spans="1:374" x14ac:dyDescent="0.25">
      <c r="A30" s="8" t="s">
        <v>115</v>
      </c>
      <c r="B30" s="8"/>
      <c r="C30" s="8" t="s">
        <v>243</v>
      </c>
      <c r="D30" s="8" t="s">
        <v>244</v>
      </c>
      <c r="E30" s="18">
        <v>36526</v>
      </c>
      <c r="F30" s="10" t="str">
        <f t="shared" si="308"/>
        <v/>
      </c>
      <c r="G30" s="19" t="str">
        <f t="shared" ref="G30:L30" si="309">IF($E30 &gt;= G$5, 1, "")</f>
        <v/>
      </c>
      <c r="H30" s="19" t="str">
        <f t="shared" si="309"/>
        <v/>
      </c>
      <c r="I30" s="19" t="str">
        <f t="shared" si="309"/>
        <v/>
      </c>
      <c r="J30" s="19" t="str">
        <f t="shared" si="309"/>
        <v/>
      </c>
      <c r="K30" s="19" t="str">
        <f t="shared" si="309"/>
        <v/>
      </c>
      <c r="L30" s="19" t="str">
        <f t="shared" si="309"/>
        <v/>
      </c>
      <c r="M30" s="8"/>
      <c r="N30" s="8"/>
      <c r="O30" s="9"/>
      <c r="P30" s="8">
        <f t="shared" si="304"/>
        <v>15</v>
      </c>
      <c r="Q30" s="108">
        <f>IF(SUM(S30:XFD30) &gt; 0, SUM(S30:XFD30) /P$37 * 100, "")</f>
        <v>15.625</v>
      </c>
      <c r="R30" s="141" t="str">
        <f t="shared" si="307"/>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T30" s="7"/>
      <c r="GC30" s="7"/>
      <c r="GL30" s="7"/>
      <c r="GU30" s="7"/>
      <c r="HD30" s="7"/>
      <c r="HM30" s="7"/>
      <c r="HV30" s="7"/>
      <c r="IE30" s="7"/>
      <c r="IN30" s="7"/>
      <c r="IU30" s="7"/>
      <c r="JB30" s="7"/>
      <c r="JI30" s="7"/>
      <c r="JP30" s="7"/>
      <c r="JW30" s="7"/>
      <c r="KD30" s="7"/>
      <c r="KK30" s="7"/>
      <c r="KR30" s="7"/>
      <c r="KY30" s="7"/>
      <c r="LF30" s="7"/>
      <c r="LM30" s="7"/>
      <c r="LT30" s="7"/>
      <c r="MA30" s="7"/>
      <c r="MH30" s="7"/>
      <c r="MO30" s="7"/>
      <c r="MV30" s="7"/>
      <c r="NC30" s="7"/>
      <c r="NJ30" s="7"/>
    </row>
    <row r="31" spans="1:374" hidden="1" x14ac:dyDescent="0.25">
      <c r="A31" s="8" t="s">
        <v>428</v>
      </c>
      <c r="B31" s="8"/>
      <c r="C31" s="8" t="s">
        <v>429</v>
      </c>
      <c r="D31" s="8" t="s">
        <v>430</v>
      </c>
      <c r="E31" s="18"/>
      <c r="F31" s="10"/>
      <c r="G31" s="19"/>
      <c r="H31" s="19"/>
      <c r="I31" s="19"/>
      <c r="J31" s="19"/>
      <c r="K31" s="19"/>
      <c r="L31" s="19"/>
      <c r="M31" s="8"/>
      <c r="N31" s="8"/>
      <c r="O31" s="9"/>
      <c r="P31" s="8">
        <f t="shared" si="304"/>
        <v>2</v>
      </c>
      <c r="Q31" s="108" t="e">
        <f>IF(SUM(S31:XFD31) &gt; 0, SUM(S31:XFD31) /#REF! * 100, "")</f>
        <v>#REF!</v>
      </c>
      <c r="R31" s="128" t="str">
        <f t="shared" si="307"/>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T31" s="7"/>
      <c r="GC31" s="7"/>
      <c r="GL31" s="7"/>
      <c r="GU31" s="7"/>
      <c r="HD31" s="7"/>
      <c r="HM31" s="7"/>
      <c r="HV31" s="7"/>
      <c r="IE31" s="7"/>
      <c r="IN31" s="7"/>
      <c r="IU31" s="7"/>
      <c r="JB31" s="7"/>
      <c r="JI31" s="7"/>
      <c r="JP31" s="7"/>
      <c r="JW31" s="7"/>
      <c r="KD31" s="7"/>
      <c r="KK31" s="7"/>
      <c r="KR31" s="7"/>
      <c r="KY31" s="7"/>
      <c r="LF31" s="7"/>
      <c r="LM31" s="7"/>
      <c r="LT31" s="7"/>
      <c r="MA31" s="7"/>
      <c r="MH31" s="7"/>
      <c r="MO31" s="7"/>
      <c r="MV31" s="7"/>
      <c r="NC31" s="7"/>
      <c r="NJ31" s="7"/>
    </row>
    <row r="32" spans="1:374" hidden="1" x14ac:dyDescent="0.25">
      <c r="A32" s="8" t="s">
        <v>346</v>
      </c>
      <c r="B32" s="8"/>
      <c r="C32" s="8"/>
      <c r="D32" s="8" t="s">
        <v>520</v>
      </c>
      <c r="E32" s="18"/>
      <c r="F32" s="10"/>
      <c r="G32" s="19"/>
      <c r="H32" s="19"/>
      <c r="I32" s="19"/>
      <c r="J32" s="19"/>
      <c r="K32" s="19"/>
      <c r="L32" s="19"/>
      <c r="M32" s="8"/>
      <c r="N32" s="8"/>
      <c r="O32" s="9"/>
      <c r="P32" s="8">
        <f t="shared" si="304"/>
        <v>2</v>
      </c>
      <c r="Q32" s="108" t="e">
        <f>IF(SUM(S32:XFD32) &gt; 0, SUM(S32:XFD32) /#REF! * 100, "")</f>
        <v>#REF!</v>
      </c>
      <c r="R32" s="128" t="str">
        <f t="shared" si="307"/>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T32" s="7"/>
      <c r="GC32" s="7"/>
      <c r="GL32" s="7"/>
      <c r="GU32" s="7"/>
      <c r="HD32" s="7"/>
      <c r="HM32" s="7"/>
      <c r="HV32" s="7"/>
      <c r="IE32" s="7"/>
      <c r="IN32" s="7"/>
      <c r="IU32" s="7"/>
      <c r="JB32" s="7"/>
      <c r="JI32" s="7"/>
      <c r="JP32" s="7"/>
      <c r="JW32" s="7"/>
      <c r="KD32" s="7"/>
      <c r="KK32" s="7"/>
      <c r="KR32" s="7"/>
      <c r="KY32" s="7"/>
      <c r="LF32" s="7"/>
      <c r="LM32" s="7"/>
      <c r="LT32" s="7"/>
      <c r="MA32" s="7"/>
      <c r="MH32" s="7"/>
      <c r="MO32" s="7"/>
      <c r="MV32" s="7"/>
      <c r="NC32" s="7"/>
      <c r="NJ32" s="7"/>
    </row>
    <row r="33" spans="1:374" hidden="1" x14ac:dyDescent="0.25">
      <c r="A33" s="8" t="s">
        <v>485</v>
      </c>
      <c r="B33" s="8"/>
      <c r="C33" s="8"/>
      <c r="D33" s="8" t="s">
        <v>439</v>
      </c>
      <c r="E33" s="18"/>
      <c r="F33" s="10"/>
      <c r="G33" s="19"/>
      <c r="H33" s="19"/>
      <c r="I33" s="19"/>
      <c r="J33" s="19"/>
      <c r="K33" s="19"/>
      <c r="L33" s="19"/>
      <c r="M33" s="8"/>
      <c r="N33" s="8"/>
      <c r="O33" s="9"/>
      <c r="P33" s="8">
        <f t="shared" si="304"/>
        <v>2</v>
      </c>
      <c r="Q33" s="108" t="e">
        <f>IF(SUM(S33:XFD33) &gt; 0, SUM(S33:XFD33) /#REF! * 100, "")</f>
        <v>#REF!</v>
      </c>
      <c r="R33" s="128" t="str">
        <f t="shared" si="307"/>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T33" s="7"/>
      <c r="GC33" s="7"/>
      <c r="GL33" s="7"/>
      <c r="GU33" s="7"/>
      <c r="HD33" s="7"/>
      <c r="HM33" s="7"/>
      <c r="HV33" s="7"/>
      <c r="IE33" s="7"/>
      <c r="IN33" s="7"/>
      <c r="IU33" s="7"/>
      <c r="JB33" s="7"/>
      <c r="JI33" s="7"/>
      <c r="JP33" s="7"/>
      <c r="JW33" s="7"/>
      <c r="KD33" s="7"/>
      <c r="KK33" s="7"/>
      <c r="KR33" s="7"/>
      <c r="KY33" s="7"/>
      <c r="LF33" s="7"/>
      <c r="LM33" s="7"/>
      <c r="LT33" s="7"/>
      <c r="MA33" s="7"/>
      <c r="MH33" s="7"/>
      <c r="MO33" s="7"/>
      <c r="MV33" s="7"/>
      <c r="NC33" s="7"/>
      <c r="NJ33" s="7"/>
    </row>
    <row r="34" spans="1:374" x14ac:dyDescent="0.25">
      <c r="A34" s="8" t="s">
        <v>512</v>
      </c>
      <c r="B34" s="8"/>
      <c r="C34" s="8"/>
      <c r="D34" s="8" t="s">
        <v>550</v>
      </c>
      <c r="E34" s="18"/>
      <c r="F34" s="10"/>
      <c r="G34" s="19"/>
      <c r="H34" s="19"/>
      <c r="I34" s="19"/>
      <c r="J34" s="19"/>
      <c r="K34" s="19"/>
      <c r="L34" s="19"/>
      <c r="M34" s="8"/>
      <c r="N34" s="8"/>
      <c r="O34" s="9"/>
      <c r="P34" s="8"/>
      <c r="Q34" s="108"/>
      <c r="R34" s="128"/>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O34">
        <v>1</v>
      </c>
      <c r="FT34" s="7"/>
      <c r="FX34">
        <v>1</v>
      </c>
      <c r="GC34" s="7"/>
      <c r="GE34">
        <v>1</v>
      </c>
      <c r="GG34">
        <v>1</v>
      </c>
      <c r="GL34" s="7"/>
      <c r="GN34">
        <v>1</v>
      </c>
      <c r="GP34">
        <v>1</v>
      </c>
      <c r="GU34" s="7"/>
      <c r="GW34">
        <v>1</v>
      </c>
      <c r="GY34">
        <v>1</v>
      </c>
      <c r="HD34" s="7"/>
      <c r="HM34" s="7"/>
      <c r="HV34" s="7"/>
      <c r="IE34" s="7"/>
      <c r="IN34" s="7"/>
      <c r="IU34" s="7"/>
      <c r="JB34" s="7"/>
      <c r="JI34" s="7"/>
      <c r="JP34" s="7"/>
      <c r="JW34" s="7"/>
      <c r="KD34" s="7"/>
      <c r="KK34" s="7"/>
      <c r="KR34" s="7"/>
      <c r="KY34" s="7"/>
      <c r="LF34" s="7"/>
      <c r="LM34" s="7"/>
      <c r="LT34" s="7"/>
      <c r="MA34" s="7"/>
      <c r="MH34" s="7"/>
      <c r="MO34" s="7"/>
      <c r="MV34" s="7"/>
      <c r="NC34" s="7"/>
      <c r="NJ34" s="7"/>
    </row>
    <row r="35" spans="1:374" x14ac:dyDescent="0.25">
      <c r="A35" s="8" t="s">
        <v>548</v>
      </c>
      <c r="B35" s="8"/>
      <c r="C35" s="8"/>
      <c r="D35" s="8" t="s">
        <v>549</v>
      </c>
      <c r="E35" s="18"/>
      <c r="F35" s="10"/>
      <c r="G35" s="19"/>
      <c r="H35" s="19"/>
      <c r="I35" s="19"/>
      <c r="J35" s="19"/>
      <c r="K35" s="19"/>
      <c r="L35" s="19"/>
      <c r="M35" s="8"/>
      <c r="N35" s="8"/>
      <c r="O35" s="9"/>
      <c r="P35" s="8"/>
      <c r="Q35" s="108"/>
      <c r="R35" s="128"/>
      <c r="S35" s="7"/>
      <c r="Z35" s="7"/>
      <c r="AG35" s="7"/>
      <c r="AN35" s="7"/>
      <c r="AU35" s="7"/>
      <c r="BB35" s="7"/>
      <c r="BI35" s="7"/>
      <c r="BP35" s="7"/>
      <c r="BX35" s="96"/>
      <c r="BY35" s="79"/>
      <c r="CG35" s="96"/>
      <c r="CH35" s="80"/>
      <c r="CQ35" s="7"/>
      <c r="CZ35" s="7"/>
      <c r="DI35" s="7"/>
      <c r="DR35" s="7"/>
      <c r="DZ35" s="96"/>
      <c r="EA35" s="79"/>
      <c r="EJ35" s="7"/>
      <c r="ES35" s="7"/>
      <c r="FB35" s="7"/>
      <c r="FK35" s="7"/>
      <c r="FO35">
        <v>1</v>
      </c>
      <c r="FT35" s="7"/>
      <c r="GC35" s="7"/>
      <c r="GL35" s="7"/>
      <c r="GU35" s="7"/>
      <c r="HD35" s="7"/>
      <c r="HM35" s="7"/>
      <c r="HV35" s="7"/>
      <c r="IE35" s="7"/>
      <c r="IN35" s="7"/>
      <c r="IU35" s="7"/>
      <c r="JB35" s="7"/>
      <c r="JI35" s="7"/>
      <c r="JP35" s="7"/>
      <c r="JW35" s="7"/>
      <c r="KD35" s="7"/>
      <c r="KK35" s="7"/>
      <c r="KR35" s="7"/>
      <c r="KY35" s="7"/>
      <c r="LF35" s="7"/>
      <c r="LM35" s="7"/>
      <c r="LT35" s="7"/>
      <c r="MA35" s="7"/>
      <c r="MH35" s="7"/>
      <c r="MO35" s="7"/>
      <c r="MV35" s="7"/>
      <c r="NC35" s="7"/>
      <c r="NJ35" s="7"/>
    </row>
    <row r="36" spans="1:374" ht="7.5" customHeight="1" x14ac:dyDescent="0.25">
      <c r="A36" s="8"/>
      <c r="B36" s="8"/>
      <c r="C36" s="8"/>
      <c r="D36" s="8"/>
      <c r="E36" s="8"/>
      <c r="F36" s="10"/>
      <c r="G36" s="19"/>
      <c r="H36" s="19"/>
      <c r="I36" s="8"/>
      <c r="J36" s="8"/>
      <c r="K36" s="8"/>
      <c r="L36" s="8"/>
      <c r="M36" s="8"/>
      <c r="N36" s="8"/>
      <c r="O36" s="9"/>
      <c r="P36" s="8" t="str">
        <f>IF(SUM(R36:NJ36) &gt; 0, SUM(R36:NJ36), "")</f>
        <v/>
      </c>
      <c r="Q36" s="19" t="str">
        <f>IF(SUM(R36:XFD36) &gt; 0, SUM(R36:XFD36), "")</f>
        <v/>
      </c>
      <c r="R36" s="9"/>
      <c r="S36" s="7"/>
      <c r="Z36" s="7"/>
      <c r="AG36" s="7"/>
      <c r="AN36" s="7"/>
      <c r="AU36" s="7"/>
      <c r="BB36" s="7"/>
      <c r="BI36" s="7"/>
      <c r="BP36" s="7"/>
      <c r="BX36" s="96"/>
      <c r="BY36" s="79"/>
      <c r="CG36" s="96"/>
      <c r="CH36" s="7"/>
      <c r="CQ36" s="7"/>
      <c r="CZ36" s="7"/>
      <c r="DI36" s="7"/>
      <c r="DR36" s="7"/>
      <c r="DZ36" s="96"/>
      <c r="EA36" s="79"/>
      <c r="EJ36" s="7"/>
      <c r="ES36" s="7"/>
      <c r="FB36" s="7"/>
      <c r="FK36" s="7"/>
      <c r="FT36" s="7"/>
      <c r="GC36" s="7"/>
      <c r="GL36" s="7"/>
      <c r="GU36" s="7"/>
      <c r="HD36" s="7"/>
      <c r="HM36" s="7"/>
      <c r="HV36" s="7"/>
      <c r="IE36" s="7"/>
      <c r="IN36" s="7"/>
      <c r="IU36" s="7"/>
      <c r="JB36" s="7"/>
      <c r="JI36" s="7"/>
      <c r="JP36" s="7"/>
      <c r="JW36" s="7"/>
      <c r="KD36" s="7"/>
      <c r="KK36" s="7"/>
      <c r="KR36" s="7"/>
      <c r="KY36" s="7"/>
      <c r="LF36" s="7"/>
      <c r="LM36" s="7"/>
      <c r="LT36" s="7"/>
      <c r="MA36" s="7"/>
      <c r="MH36" s="7"/>
      <c r="MO36" s="7"/>
      <c r="MV36" s="7"/>
      <c r="NC36" s="7"/>
      <c r="NJ36" s="7"/>
    </row>
    <row r="37" spans="1:374" s="140" customFormat="1" ht="15.75" thickBot="1" x14ac:dyDescent="0.3">
      <c r="A37" s="6" t="s">
        <v>18</v>
      </c>
      <c r="B37" s="3"/>
      <c r="C37" s="3"/>
      <c r="D37" s="3"/>
      <c r="E37" s="3"/>
      <c r="F37" s="5"/>
      <c r="G37" s="3"/>
      <c r="H37" s="3"/>
      <c r="I37" s="3"/>
      <c r="J37" s="3"/>
      <c r="K37" s="3"/>
      <c r="L37" s="3"/>
      <c r="M37" s="3"/>
      <c r="N37" s="3"/>
      <c r="O37" s="4"/>
      <c r="P37" s="3">
        <f>SUM(S37:NJ37)</f>
        <v>96</v>
      </c>
      <c r="Q37" s="3"/>
      <c r="R37" s="4"/>
      <c r="S37" s="4">
        <v>1</v>
      </c>
      <c r="T37" s="3"/>
      <c r="U37" s="3">
        <v>1</v>
      </c>
      <c r="V37" s="3">
        <v>1</v>
      </c>
      <c r="W37" s="3"/>
      <c r="X37" s="3">
        <v>1</v>
      </c>
      <c r="Y37" s="3"/>
      <c r="Z37" s="4"/>
      <c r="AA37" s="3"/>
      <c r="AB37" s="3">
        <v>1</v>
      </c>
      <c r="AC37" s="3"/>
      <c r="AD37" s="3">
        <v>1</v>
      </c>
      <c r="AE37" s="3">
        <v>1</v>
      </c>
      <c r="AF37" s="3"/>
      <c r="AG37" s="4"/>
      <c r="AH37" s="3"/>
      <c r="AI37" s="3">
        <v>1</v>
      </c>
      <c r="AJ37" s="3"/>
      <c r="AK37" s="3">
        <v>1</v>
      </c>
      <c r="AL37" s="3">
        <v>1</v>
      </c>
      <c r="AM37" s="3"/>
      <c r="AN37" s="4"/>
      <c r="AO37" s="3"/>
      <c r="AP37" s="3">
        <v>1</v>
      </c>
      <c r="AQ37" s="3"/>
      <c r="AR37" s="3">
        <v>1</v>
      </c>
      <c r="AS37" s="3">
        <v>1</v>
      </c>
      <c r="AT37" s="3"/>
      <c r="AU37" s="4"/>
      <c r="AV37" s="3"/>
      <c r="AW37" s="3">
        <v>1</v>
      </c>
      <c r="AX37" s="3"/>
      <c r="AY37" s="3">
        <v>1</v>
      </c>
      <c r="AZ37" s="3">
        <v>1</v>
      </c>
      <c r="BA37" s="3"/>
      <c r="BB37" s="4"/>
      <c r="BC37" s="3"/>
      <c r="BD37" s="3">
        <v>1</v>
      </c>
      <c r="BE37" s="3"/>
      <c r="BF37" s="3">
        <v>1</v>
      </c>
      <c r="BG37" s="3">
        <v>1</v>
      </c>
      <c r="BH37" s="3"/>
      <c r="BI37" s="4"/>
      <c r="BJ37" s="3"/>
      <c r="BK37" s="3">
        <v>1</v>
      </c>
      <c r="BL37" s="3"/>
      <c r="BM37" s="3">
        <v>1</v>
      </c>
      <c r="BN37" s="3"/>
      <c r="BO37" s="3"/>
      <c r="BP37" s="4">
        <v>1</v>
      </c>
      <c r="BQ37" s="3"/>
      <c r="BR37" s="3">
        <v>1</v>
      </c>
      <c r="BS37" s="3"/>
      <c r="BT37" s="3">
        <v>1</v>
      </c>
      <c r="BU37" s="3"/>
      <c r="BV37" s="3"/>
      <c r="BW37" s="3">
        <v>1</v>
      </c>
      <c r="BX37" s="3"/>
      <c r="BY37" s="4"/>
      <c r="BZ37" s="3"/>
      <c r="CA37" s="3"/>
      <c r="CB37" s="3"/>
      <c r="CC37" s="3">
        <v>1</v>
      </c>
      <c r="CD37" s="3"/>
      <c r="CE37" s="3"/>
      <c r="CF37" s="3">
        <v>1</v>
      </c>
      <c r="CG37" s="3"/>
      <c r="CH37" s="4"/>
      <c r="CI37" s="3"/>
      <c r="CJ37" s="3"/>
      <c r="CK37" s="3"/>
      <c r="CL37" s="3">
        <v>1</v>
      </c>
      <c r="CM37" s="3"/>
      <c r="CN37" s="3"/>
      <c r="CO37" s="3">
        <v>1</v>
      </c>
      <c r="CP37" s="3"/>
      <c r="CQ37" s="4"/>
      <c r="CR37" s="3"/>
      <c r="CS37" s="3">
        <v>1</v>
      </c>
      <c r="CT37" s="3"/>
      <c r="CU37" s="3">
        <v>1</v>
      </c>
      <c r="CV37" s="3">
        <v>1</v>
      </c>
      <c r="CW37" s="3"/>
      <c r="CX37" s="3">
        <v>1</v>
      </c>
      <c r="CY37" s="3"/>
      <c r="CZ37" s="4"/>
      <c r="DA37" s="3"/>
      <c r="DB37" s="3">
        <v>1</v>
      </c>
      <c r="DC37" s="3"/>
      <c r="DD37" s="3"/>
      <c r="DE37" s="3">
        <v>1</v>
      </c>
      <c r="DF37" s="3"/>
      <c r="DG37" s="3">
        <v>1</v>
      </c>
      <c r="DH37" s="3"/>
      <c r="DI37" s="4"/>
      <c r="DJ37" s="3"/>
      <c r="DK37" s="3">
        <v>1</v>
      </c>
      <c r="DL37" s="3"/>
      <c r="DM37" s="3">
        <v>1</v>
      </c>
      <c r="DN37" s="3">
        <v>1</v>
      </c>
      <c r="DO37" s="3"/>
      <c r="DP37" s="3">
        <v>1</v>
      </c>
      <c r="DQ37" s="3"/>
      <c r="DR37" s="4"/>
      <c r="DS37" s="3"/>
      <c r="DT37" s="3">
        <v>1</v>
      </c>
      <c r="DU37" s="3"/>
      <c r="DV37" s="3">
        <v>1</v>
      </c>
      <c r="DW37" s="3">
        <v>1</v>
      </c>
      <c r="DX37" s="3"/>
      <c r="DY37" s="3"/>
      <c r="DZ37" s="3"/>
      <c r="EA37" s="4"/>
      <c r="EB37" s="3">
        <v>1</v>
      </c>
      <c r="EC37" s="3">
        <v>1</v>
      </c>
      <c r="ED37" s="3"/>
      <c r="EE37" s="3">
        <v>1</v>
      </c>
      <c r="EF37" s="3">
        <v>1</v>
      </c>
      <c r="EG37" s="3"/>
      <c r="EH37" s="3"/>
      <c r="EI37" s="3"/>
      <c r="EJ37" s="4"/>
      <c r="EK37" s="3">
        <v>1</v>
      </c>
      <c r="EL37" s="3">
        <v>1</v>
      </c>
      <c r="EM37" s="3"/>
      <c r="EN37" s="3">
        <v>1</v>
      </c>
      <c r="EO37" s="3">
        <v>1</v>
      </c>
      <c r="EP37" s="3"/>
      <c r="EQ37" s="3">
        <v>1</v>
      </c>
      <c r="ER37" s="3"/>
      <c r="ES37" s="4"/>
      <c r="ET37" s="3">
        <v>1</v>
      </c>
      <c r="EU37" s="3">
        <v>1</v>
      </c>
      <c r="EV37" s="3">
        <v>1</v>
      </c>
      <c r="EW37" s="3">
        <v>1</v>
      </c>
      <c r="EX37" s="3"/>
      <c r="EY37" s="3"/>
      <c r="EZ37" s="3"/>
      <c r="FA37" s="3"/>
      <c r="FB37" s="4"/>
      <c r="FC37" s="3">
        <v>1</v>
      </c>
      <c r="FD37" s="3"/>
      <c r="FE37" s="3">
        <v>1</v>
      </c>
      <c r="FF37" s="3">
        <v>1</v>
      </c>
      <c r="FG37" s="3">
        <v>1</v>
      </c>
      <c r="FH37" s="3">
        <v>1</v>
      </c>
      <c r="FI37" s="3"/>
      <c r="FJ37" s="3"/>
      <c r="FK37" s="4"/>
      <c r="FL37" s="3">
        <v>1</v>
      </c>
      <c r="FM37" s="3">
        <v>1</v>
      </c>
      <c r="FN37" s="3"/>
      <c r="FO37" s="3">
        <v>1</v>
      </c>
      <c r="FP37" s="3">
        <v>1</v>
      </c>
      <c r="FQ37" s="3">
        <v>1</v>
      </c>
      <c r="FR37" s="3"/>
      <c r="FS37" s="3"/>
      <c r="FT37" s="4"/>
      <c r="FU37" s="3">
        <v>1</v>
      </c>
      <c r="FV37" s="3">
        <v>1</v>
      </c>
      <c r="FW37" s="3"/>
      <c r="FX37" s="3">
        <v>1</v>
      </c>
      <c r="FY37" s="3">
        <v>1</v>
      </c>
      <c r="FZ37" s="3">
        <v>1</v>
      </c>
      <c r="GA37" s="3"/>
      <c r="GB37" s="3"/>
      <c r="GC37" s="4"/>
      <c r="GD37" s="3">
        <v>1</v>
      </c>
      <c r="GE37" s="3">
        <v>1</v>
      </c>
      <c r="GF37" s="3"/>
      <c r="GG37" s="3">
        <v>1</v>
      </c>
      <c r="GH37" s="3">
        <v>1</v>
      </c>
      <c r="GI37" s="3">
        <v>1</v>
      </c>
      <c r="GJ37" s="3"/>
      <c r="GK37" s="3"/>
      <c r="GL37" s="4"/>
      <c r="GM37" s="3">
        <v>1</v>
      </c>
      <c r="GN37" s="3">
        <v>1</v>
      </c>
      <c r="GO37" s="3"/>
      <c r="GP37" s="3">
        <v>1</v>
      </c>
      <c r="GQ37" s="3">
        <v>1</v>
      </c>
      <c r="GR37" s="3">
        <v>1</v>
      </c>
      <c r="GS37" s="3">
        <v>1</v>
      </c>
      <c r="GT37" s="3"/>
      <c r="GU37" s="4"/>
      <c r="GV37" s="3">
        <v>1</v>
      </c>
      <c r="GW37" s="3">
        <v>1</v>
      </c>
      <c r="GX37" s="3"/>
      <c r="GY37" s="3">
        <v>1</v>
      </c>
      <c r="GZ37" s="3">
        <v>1</v>
      </c>
      <c r="HA37" s="3">
        <v>1</v>
      </c>
      <c r="HB37" s="3"/>
      <c r="HC37" s="3"/>
      <c r="HD37" s="4"/>
      <c r="HE37" s="3"/>
      <c r="HF37" s="3"/>
      <c r="HG37" s="3"/>
      <c r="HH37" s="3"/>
      <c r="HI37" s="3"/>
      <c r="HJ37" s="3">
        <v>1</v>
      </c>
      <c r="HK37" s="3"/>
      <c r="HL37" s="3"/>
      <c r="HM37" s="4"/>
      <c r="HN37" s="3">
        <v>1</v>
      </c>
      <c r="HO37" s="3">
        <v>1</v>
      </c>
      <c r="HP37" s="3"/>
      <c r="HQ37" s="3">
        <v>1</v>
      </c>
      <c r="HR37" s="3">
        <v>1</v>
      </c>
      <c r="HS37" s="3"/>
      <c r="HT37" s="3"/>
      <c r="HU37" s="3"/>
      <c r="HV37" s="4"/>
      <c r="HW37" s="3">
        <v>1</v>
      </c>
      <c r="HX37" s="3">
        <v>1</v>
      </c>
      <c r="HY37" s="3"/>
      <c r="HZ37" s="3">
        <v>1</v>
      </c>
      <c r="IA37" s="3">
        <v>1</v>
      </c>
      <c r="IB37" s="3"/>
      <c r="IC37" s="3"/>
      <c r="ID37" s="3"/>
      <c r="IE37" s="4"/>
      <c r="IF37" s="3"/>
      <c r="IG37" s="3"/>
      <c r="IH37" s="3"/>
      <c r="II37" s="3"/>
      <c r="IJ37" s="3"/>
      <c r="IK37" s="3"/>
      <c r="IL37" s="3"/>
      <c r="IM37" s="3"/>
      <c r="IN37" s="4"/>
      <c r="IO37" s="3"/>
      <c r="IP37" s="3"/>
      <c r="IQ37" s="3"/>
      <c r="IR37" s="3"/>
      <c r="IS37" s="3"/>
      <c r="IT37" s="3"/>
      <c r="IU37" s="4"/>
      <c r="IV37" s="3"/>
      <c r="IW37" s="3"/>
      <c r="IX37" s="3"/>
      <c r="IY37" s="3"/>
      <c r="IZ37" s="3"/>
      <c r="JA37" s="3"/>
      <c r="JB37" s="4"/>
      <c r="JC37" s="3"/>
      <c r="JD37" s="3"/>
      <c r="JE37" s="3"/>
      <c r="JF37" s="3"/>
      <c r="JG37" s="3"/>
      <c r="JH37" s="3"/>
      <c r="JI37" s="4"/>
      <c r="JJ37" s="3"/>
      <c r="JK37" s="3"/>
      <c r="JL37" s="3"/>
      <c r="JM37" s="3"/>
      <c r="JN37" s="3"/>
      <c r="JO37" s="3"/>
      <c r="JP37" s="4"/>
      <c r="JQ37" s="3"/>
      <c r="JR37" s="3"/>
      <c r="JS37" s="3"/>
      <c r="JT37" s="3"/>
      <c r="JU37" s="3"/>
      <c r="JV37" s="3"/>
      <c r="JW37" s="4"/>
      <c r="JX37" s="3"/>
      <c r="JY37" s="3"/>
      <c r="JZ37" s="3"/>
      <c r="KA37" s="3"/>
      <c r="KB37" s="3"/>
      <c r="KC37" s="3"/>
      <c r="KD37" s="4"/>
      <c r="KE37" s="3"/>
      <c r="KF37" s="3"/>
      <c r="KG37" s="3"/>
      <c r="KH37" s="3"/>
      <c r="KI37" s="3"/>
      <c r="KJ37" s="3"/>
      <c r="KK37" s="4"/>
      <c r="KL37" s="3"/>
      <c r="KM37" s="3"/>
      <c r="KN37" s="3"/>
      <c r="KO37" s="3"/>
      <c r="KP37" s="3"/>
      <c r="KQ37" s="3"/>
      <c r="KR37" s="4"/>
      <c r="KS37" s="3"/>
      <c r="KT37" s="3"/>
      <c r="KU37" s="3"/>
      <c r="KV37" s="3"/>
      <c r="KW37" s="3"/>
      <c r="KX37" s="3"/>
      <c r="KY37" s="4"/>
      <c r="KZ37" s="3"/>
      <c r="LA37" s="3"/>
      <c r="LB37" s="3"/>
      <c r="LC37" s="3"/>
      <c r="LD37" s="3"/>
      <c r="LE37" s="3"/>
      <c r="LF37" s="4"/>
      <c r="LG37" s="3"/>
      <c r="LH37" s="3"/>
      <c r="LI37" s="3"/>
      <c r="LJ37" s="3"/>
      <c r="LK37" s="3"/>
      <c r="LL37" s="3"/>
      <c r="LM37" s="4"/>
      <c r="LN37" s="3"/>
      <c r="LO37" s="3"/>
      <c r="LP37" s="3"/>
      <c r="LQ37" s="3"/>
      <c r="LR37" s="3"/>
      <c r="LS37" s="3"/>
      <c r="LT37" s="4"/>
      <c r="LU37" s="3"/>
      <c r="LV37" s="3"/>
      <c r="LW37" s="3"/>
      <c r="LX37" s="3"/>
      <c r="LY37" s="3"/>
      <c r="LZ37" s="3"/>
      <c r="MA37" s="4"/>
      <c r="MB37" s="3"/>
      <c r="MC37" s="3"/>
      <c r="MD37" s="3"/>
      <c r="ME37" s="3"/>
      <c r="MF37" s="3"/>
      <c r="MG37" s="3"/>
      <c r="MH37" s="4"/>
      <c r="MI37" s="3"/>
      <c r="MJ37" s="3"/>
      <c r="MK37" s="3"/>
      <c r="ML37" s="3"/>
      <c r="MM37" s="3"/>
      <c r="MN37" s="3"/>
      <c r="MO37" s="4"/>
      <c r="MP37" s="3"/>
      <c r="MQ37" s="3"/>
      <c r="MR37" s="3"/>
      <c r="MS37" s="3"/>
      <c r="MT37" s="3"/>
      <c r="MU37" s="3"/>
      <c r="MV37" s="4"/>
      <c r="MW37" s="3"/>
      <c r="MX37" s="3"/>
      <c r="MY37" s="3"/>
      <c r="MZ37" s="3"/>
      <c r="NA37" s="3"/>
      <c r="NB37" s="3"/>
      <c r="NC37" s="4"/>
      <c r="ND37" s="3"/>
      <c r="NE37" s="3"/>
      <c r="NF37" s="3"/>
      <c r="NG37" s="3"/>
      <c r="NH37" s="3"/>
      <c r="NI37" s="3"/>
      <c r="NJ37" s="4"/>
    </row>
    <row r="38" spans="1:374" ht="15.75" thickBot="1" x14ac:dyDescent="0.3">
      <c r="A38" s="110" t="s">
        <v>25</v>
      </c>
      <c r="B38" s="16"/>
      <c r="C38" s="16"/>
      <c r="D38" s="16"/>
      <c r="E38" s="17"/>
      <c r="F38" s="16">
        <f t="shared" ref="F38:N38" si="310">SUM(F6:F36)</f>
        <v>14</v>
      </c>
      <c r="G38" s="16">
        <f t="shared" si="310"/>
        <v>9</v>
      </c>
      <c r="H38" s="16">
        <f t="shared" si="310"/>
        <v>3</v>
      </c>
      <c r="I38" s="16">
        <f t="shared" si="310"/>
        <v>2</v>
      </c>
      <c r="J38" s="16">
        <f t="shared" si="310"/>
        <v>0</v>
      </c>
      <c r="K38" s="16">
        <f t="shared" si="310"/>
        <v>0</v>
      </c>
      <c r="L38" s="16">
        <f t="shared" si="310"/>
        <v>0</v>
      </c>
      <c r="M38" s="16">
        <f t="shared" si="310"/>
        <v>4</v>
      </c>
      <c r="N38" s="16">
        <f t="shared" si="310"/>
        <v>16</v>
      </c>
      <c r="O38" s="17">
        <f>SUM(O6:O36)+ SUM(O45:O80)</f>
        <v>12</v>
      </c>
      <c r="P38" s="16">
        <f>VisibleSum(P6:P28)</f>
        <v>61.277777777777779</v>
      </c>
      <c r="Q38" s="16">
        <f>P38 / P37 * 100</f>
        <v>63.831018518518526</v>
      </c>
      <c r="R38" s="17">
        <f>VisibleSum(R6:R28)</f>
        <v>-24.555555555555557</v>
      </c>
      <c r="S38" s="15">
        <f t="shared" ref="S38:AX38" si="311">IF(SUM(S6:S36) &gt; 0, SUM(S6:S36), "")</f>
        <v>15</v>
      </c>
      <c r="T38" s="14" t="str">
        <f t="shared" si="311"/>
        <v/>
      </c>
      <c r="U38" s="14">
        <f t="shared" si="311"/>
        <v>12</v>
      </c>
      <c r="V38" s="14">
        <f t="shared" si="311"/>
        <v>13</v>
      </c>
      <c r="W38" s="14" t="str">
        <f t="shared" si="311"/>
        <v/>
      </c>
      <c r="X38" s="14">
        <f t="shared" si="311"/>
        <v>12</v>
      </c>
      <c r="Y38" s="14" t="str">
        <f t="shared" si="311"/>
        <v/>
      </c>
      <c r="Z38" s="15" t="str">
        <f t="shared" si="311"/>
        <v/>
      </c>
      <c r="AA38" s="14" t="str">
        <f t="shared" si="311"/>
        <v/>
      </c>
      <c r="AB38" s="14">
        <f t="shared" si="311"/>
        <v>15</v>
      </c>
      <c r="AC38" s="14" t="str">
        <f t="shared" si="311"/>
        <v/>
      </c>
      <c r="AD38" s="14">
        <f t="shared" si="311"/>
        <v>12</v>
      </c>
      <c r="AE38" s="14">
        <f t="shared" si="311"/>
        <v>15</v>
      </c>
      <c r="AF38" s="14" t="str">
        <f t="shared" si="311"/>
        <v/>
      </c>
      <c r="AG38" s="15" t="str">
        <f t="shared" si="311"/>
        <v/>
      </c>
      <c r="AH38" s="14" t="str">
        <f t="shared" si="311"/>
        <v/>
      </c>
      <c r="AI38" s="14">
        <f t="shared" si="311"/>
        <v>16</v>
      </c>
      <c r="AJ38" s="14" t="str">
        <f t="shared" si="311"/>
        <v/>
      </c>
      <c r="AK38" s="14">
        <f t="shared" si="311"/>
        <v>15</v>
      </c>
      <c r="AL38" s="14">
        <f t="shared" si="311"/>
        <v>10</v>
      </c>
      <c r="AM38" s="14" t="str">
        <f t="shared" si="311"/>
        <v/>
      </c>
      <c r="AN38" s="15" t="str">
        <f t="shared" si="311"/>
        <v/>
      </c>
      <c r="AO38" s="14" t="str">
        <f t="shared" si="311"/>
        <v/>
      </c>
      <c r="AP38" s="14">
        <f t="shared" si="311"/>
        <v>15</v>
      </c>
      <c r="AQ38" s="14" t="str">
        <f t="shared" si="311"/>
        <v/>
      </c>
      <c r="AR38" s="14">
        <f t="shared" si="311"/>
        <v>16</v>
      </c>
      <c r="AS38" s="14">
        <f t="shared" si="311"/>
        <v>11</v>
      </c>
      <c r="AT38" s="14" t="str">
        <f t="shared" si="311"/>
        <v/>
      </c>
      <c r="AU38" s="15" t="str">
        <f t="shared" si="311"/>
        <v/>
      </c>
      <c r="AV38" s="14" t="str">
        <f t="shared" si="311"/>
        <v/>
      </c>
      <c r="AW38" s="14">
        <f t="shared" si="311"/>
        <v>14</v>
      </c>
      <c r="AX38" s="14">
        <f t="shared" si="311"/>
        <v>2</v>
      </c>
      <c r="AY38" s="14">
        <f t="shared" ref="AY38:BW38" si="312">IF(SUM(AY6:AY36) &gt; 0, SUM(AY6:AY36), "")</f>
        <v>13</v>
      </c>
      <c r="AZ38" s="14">
        <f t="shared" si="312"/>
        <v>12</v>
      </c>
      <c r="BA38" s="14" t="str">
        <f t="shared" si="312"/>
        <v/>
      </c>
      <c r="BB38" s="15" t="str">
        <f t="shared" si="312"/>
        <v/>
      </c>
      <c r="BC38" s="14" t="str">
        <f t="shared" si="312"/>
        <v/>
      </c>
      <c r="BD38" s="14">
        <f t="shared" si="312"/>
        <v>14</v>
      </c>
      <c r="BE38" s="14" t="str">
        <f t="shared" si="312"/>
        <v/>
      </c>
      <c r="BF38" s="14">
        <f t="shared" si="312"/>
        <v>14</v>
      </c>
      <c r="BG38" s="14">
        <f t="shared" si="312"/>
        <v>11</v>
      </c>
      <c r="BH38" s="14" t="str">
        <f t="shared" si="312"/>
        <v/>
      </c>
      <c r="BI38" s="15" t="str">
        <f t="shared" si="312"/>
        <v/>
      </c>
      <c r="BJ38" s="14" t="str">
        <f t="shared" si="312"/>
        <v/>
      </c>
      <c r="BK38" s="14">
        <f t="shared" si="312"/>
        <v>16</v>
      </c>
      <c r="BL38" s="14" t="str">
        <f t="shared" si="312"/>
        <v/>
      </c>
      <c r="BM38" s="14">
        <f t="shared" si="312"/>
        <v>16</v>
      </c>
      <c r="BN38" s="14" t="str">
        <f t="shared" si="312"/>
        <v/>
      </c>
      <c r="BO38" s="14" t="str">
        <f t="shared" si="312"/>
        <v/>
      </c>
      <c r="BP38" s="15">
        <f t="shared" si="312"/>
        <v>8</v>
      </c>
      <c r="BQ38" s="14" t="str">
        <f t="shared" si="312"/>
        <v/>
      </c>
      <c r="BR38" s="14">
        <f t="shared" si="312"/>
        <v>17</v>
      </c>
      <c r="BS38" s="14" t="str">
        <f t="shared" si="312"/>
        <v/>
      </c>
      <c r="BT38" s="14">
        <f t="shared" si="312"/>
        <v>14</v>
      </c>
      <c r="BU38" s="14" t="str">
        <f t="shared" si="312"/>
        <v/>
      </c>
      <c r="BV38" s="14" t="str">
        <f t="shared" si="312"/>
        <v/>
      </c>
      <c r="BW38" s="14">
        <f t="shared" si="312"/>
        <v>3</v>
      </c>
      <c r="BX38" s="14"/>
      <c r="BY38" s="15">
        <f>VisibleSum(BY6:BY28)</f>
        <v>-3.5555555555555554</v>
      </c>
      <c r="BZ38" s="14" t="str">
        <f t="shared" ref="BZ38:CF38" si="313">IF(SUM(BZ6:BZ36) &gt; 0, SUM(BZ6:BZ36), "")</f>
        <v/>
      </c>
      <c r="CA38" s="14" t="str">
        <f t="shared" si="313"/>
        <v/>
      </c>
      <c r="CB38" s="14" t="str">
        <f t="shared" si="313"/>
        <v/>
      </c>
      <c r="CC38" s="14">
        <f t="shared" si="313"/>
        <v>9</v>
      </c>
      <c r="CD38" s="14" t="str">
        <f t="shared" si="313"/>
        <v/>
      </c>
      <c r="CE38" s="14" t="str">
        <f t="shared" si="313"/>
        <v/>
      </c>
      <c r="CF38" s="14">
        <f t="shared" si="313"/>
        <v>6</v>
      </c>
      <c r="CG38" s="14"/>
      <c r="CH38" s="15">
        <f>VisibleSum(CH6:CH28)</f>
        <v>-4.5555555555555554</v>
      </c>
      <c r="CI38" s="14" t="str">
        <f t="shared" ref="CI38:CO38" si="314">IF(SUM(CI6:CI36) &gt; 0, SUM(CI6:CI36), "")</f>
        <v/>
      </c>
      <c r="CJ38" s="14" t="str">
        <f t="shared" si="314"/>
        <v/>
      </c>
      <c r="CK38" s="14" t="str">
        <f t="shared" si="314"/>
        <v/>
      </c>
      <c r="CL38" s="14">
        <f t="shared" si="314"/>
        <v>10</v>
      </c>
      <c r="CM38" s="14" t="str">
        <f t="shared" si="314"/>
        <v/>
      </c>
      <c r="CN38" s="14" t="str">
        <f t="shared" si="314"/>
        <v/>
      </c>
      <c r="CO38" s="14">
        <f t="shared" si="314"/>
        <v>8</v>
      </c>
      <c r="CP38" s="14"/>
      <c r="CQ38" s="15">
        <f>VisibleSum(CQ6:CQ28)</f>
        <v>-4.666666666666667</v>
      </c>
      <c r="CR38" s="14" t="str">
        <f>IF(SUM(CR6:CR36) &gt; 0, SUM(CR6:CR36), "")</f>
        <v/>
      </c>
      <c r="CS38" s="14">
        <f>IF(SUM(CS6:CS36) &gt; 0, SUM(CS6:CS36), "")</f>
        <v>13</v>
      </c>
      <c r="CT38" s="14" t="str">
        <f>IF(SUM(CT6:CT36) &gt; 0, SUM(CT6:CT36), "")</f>
        <v/>
      </c>
      <c r="CU38" s="14">
        <f>IF(SUM(CU6:CU36) &gt; 0, SUM(CU6:CU36), "")</f>
        <v>10</v>
      </c>
      <c r="CV38" s="14">
        <f>IF(SUM(CV6:CV36) &gt; 0, SUM(CV6:CV36), "")</f>
        <v>13</v>
      </c>
      <c r="CW38" s="14"/>
      <c r="CX38" s="14">
        <f>IF(SUM(CX6:CX36) &gt; 0, SUM(CX6:CX36), "")</f>
        <v>7</v>
      </c>
      <c r="CY38" s="14" t="str">
        <f>IF(SUM(CY6:CY36) &gt; 0, SUM(CY6:CY36), "")</f>
        <v/>
      </c>
      <c r="CZ38" s="15">
        <f>VisibleSum(CZ6:CZ28)</f>
        <v>-0.5</v>
      </c>
      <c r="DA38" s="14" t="str">
        <f t="shared" ref="DA38:DG38" si="315">IF(SUM(DA6:DA36) &gt; 0, SUM(DA6:DA36), "")</f>
        <v/>
      </c>
      <c r="DB38" s="14">
        <f t="shared" si="315"/>
        <v>11</v>
      </c>
      <c r="DC38" s="14" t="str">
        <f t="shared" si="315"/>
        <v/>
      </c>
      <c r="DD38" s="14" t="str">
        <f t="shared" si="315"/>
        <v/>
      </c>
      <c r="DE38" s="14">
        <f t="shared" si="315"/>
        <v>8</v>
      </c>
      <c r="DF38" s="14" t="str">
        <f t="shared" si="315"/>
        <v/>
      </c>
      <c r="DG38" s="14">
        <f t="shared" si="315"/>
        <v>4</v>
      </c>
      <c r="DH38" s="14"/>
      <c r="DI38" s="130">
        <f>IF(VisibleSum(DI6:DI28) = "", "??", VisibleSum(DI6:DI28))</f>
        <v>-1.6111111111111112</v>
      </c>
      <c r="DJ38" s="14" t="str">
        <f t="shared" ref="DJ38:DP38" si="316">IF(SUM(DJ6:DJ36) &gt; 0, SUM(DJ6:DJ36), "")</f>
        <v/>
      </c>
      <c r="DK38" s="14">
        <f t="shared" si="316"/>
        <v>15</v>
      </c>
      <c r="DL38" s="14" t="str">
        <f t="shared" si="316"/>
        <v/>
      </c>
      <c r="DM38" s="14">
        <f t="shared" si="316"/>
        <v>12</v>
      </c>
      <c r="DN38" s="14">
        <f t="shared" si="316"/>
        <v>11</v>
      </c>
      <c r="DO38" s="14" t="str">
        <f t="shared" si="316"/>
        <v/>
      </c>
      <c r="DP38" s="14">
        <f t="shared" si="316"/>
        <v>7</v>
      </c>
      <c r="DQ38" s="14"/>
      <c r="DR38" s="130">
        <f>IF(VisibleSum(DR6:DR28) = "", "??", VisibleSum(DR6:DR28))</f>
        <v>-1.3333333333333333</v>
      </c>
      <c r="DS38" s="14" t="str">
        <f>IF(SUM(DS6:DS36) &gt; 0, SUM(DS6:DS36), "")</f>
        <v/>
      </c>
      <c r="DT38" s="14">
        <f>IF(SUM(DT6:DT36) &gt; 0, SUM(DT6:DT36), "")</f>
        <v>8</v>
      </c>
      <c r="DU38" s="14" t="str">
        <f>IF(SUM(DU6:DU36) &gt; 0, SUM(DU6:DU36), "")</f>
        <v/>
      </c>
      <c r="DV38" s="14">
        <f>IF(SUM(DV6:DV36) &gt; 0, SUM(DV6:DV36), "")</f>
        <v>8</v>
      </c>
      <c r="DW38" s="14">
        <f>IF(SUM(DW6:DW36) &gt; 0, SUM(DW6:DW36), "")</f>
        <v>12</v>
      </c>
      <c r="DX38" s="14"/>
      <c r="DY38" s="14"/>
      <c r="DZ38" s="132"/>
      <c r="EA38" s="130">
        <f>IF(VisibleSum(EA6:EA28) = "", "??", VisibleSum(EA6:EA28))</f>
        <v>-1.3333333333333333</v>
      </c>
      <c r="EB38" s="14">
        <f>IF(SUM(EB6:EB36) &gt; 0, SUM(EB6:EB36), "")</f>
        <v>12</v>
      </c>
      <c r="EC38" s="14">
        <f>IF(SUM(EC6:EC36) &gt; 0, SUM(EC6:EC36), "")</f>
        <v>14</v>
      </c>
      <c r="ED38" s="14" t="str">
        <f>IF(SUM(ED6:ED36) &gt; 0, SUM(ED6:ED36), "")</f>
        <v/>
      </c>
      <c r="EE38" s="14">
        <f>IF(SUM(EE6:EE36) &gt; 0, SUM(EE6:EE36), "")</f>
        <v>17</v>
      </c>
      <c r="EF38" s="14">
        <f>IF(SUM(EF6:EF36) &gt; 0, SUM(EF6:EF36), "")</f>
        <v>10</v>
      </c>
      <c r="EG38" s="14"/>
      <c r="EH38" s="14"/>
      <c r="EI38" s="132" t="str">
        <f>IF(SUM(EI6:EI36) &gt; 0, SUM(EI6:EI36), "")</f>
        <v/>
      </c>
      <c r="EJ38" s="130">
        <f>IF(VisibleSum(EJ6:EJ28) = "", "??", VisibleSum(EJ6:EJ28))</f>
        <v>-1.0555555555555556</v>
      </c>
      <c r="EK38" s="14">
        <f t="shared" ref="EK38:EQ38" si="317">IF(SUM(EK6:EK36) &gt; 0, SUM(EK6:EK36), "")</f>
        <v>15</v>
      </c>
      <c r="EL38" s="14">
        <f t="shared" si="317"/>
        <v>17</v>
      </c>
      <c r="EM38" s="14" t="str">
        <f t="shared" si="317"/>
        <v/>
      </c>
      <c r="EN38" s="14">
        <f t="shared" si="317"/>
        <v>14</v>
      </c>
      <c r="EO38" s="14">
        <f t="shared" si="317"/>
        <v>16</v>
      </c>
      <c r="EP38" s="14" t="str">
        <f t="shared" si="317"/>
        <v/>
      </c>
      <c r="EQ38" s="14">
        <f t="shared" si="317"/>
        <v>15</v>
      </c>
      <c r="ER38" s="14"/>
      <c r="ES38" s="130">
        <f>IF(VisibleSum(ES6:ES28) = "", "??", VisibleSum(ES6:ES28))</f>
        <v>0.88888888888888884</v>
      </c>
      <c r="ET38" s="14">
        <f t="shared" ref="ET38:EZ38" si="318">IF(SUM(ET6:ET36) &gt; 0, SUM(ET6:ET36), "")</f>
        <v>13</v>
      </c>
      <c r="EU38" s="14">
        <f t="shared" si="318"/>
        <v>14</v>
      </c>
      <c r="EV38" s="14">
        <f t="shared" si="318"/>
        <v>13</v>
      </c>
      <c r="EW38" s="14">
        <f t="shared" si="318"/>
        <v>16</v>
      </c>
      <c r="EX38" s="14" t="str">
        <f t="shared" si="318"/>
        <v/>
      </c>
      <c r="EY38" s="14" t="str">
        <f t="shared" si="318"/>
        <v/>
      </c>
      <c r="EZ38" s="14" t="str">
        <f t="shared" si="318"/>
        <v/>
      </c>
      <c r="FA38" s="14"/>
      <c r="FB38" s="130">
        <f>IF(VisibleSum(FB6:FB28) = "", "??", VisibleSum(FB6:FB28))</f>
        <v>-1</v>
      </c>
      <c r="FC38" s="14">
        <f t="shared" ref="FC38:FI38" si="319">IF(SUM(FC6:FC36) &gt; 0, SUM(FC6:FC36), "")</f>
        <v>11</v>
      </c>
      <c r="FD38" s="14">
        <f t="shared" si="319"/>
        <v>3</v>
      </c>
      <c r="FE38" s="14">
        <f t="shared" si="319"/>
        <v>14</v>
      </c>
      <c r="FF38" s="14">
        <f t="shared" si="319"/>
        <v>15</v>
      </c>
      <c r="FG38" s="14">
        <f t="shared" si="319"/>
        <v>11</v>
      </c>
      <c r="FH38" s="14">
        <f t="shared" si="319"/>
        <v>14</v>
      </c>
      <c r="FI38" s="14" t="str">
        <f t="shared" si="319"/>
        <v/>
      </c>
      <c r="FJ38" s="14"/>
      <c r="FK38" s="130">
        <f>IF(VisibleSum(FK6:FK28) = "", "??", VisibleSum(FK6:FK28))</f>
        <v>-0.22222222222222221</v>
      </c>
      <c r="FL38" s="14">
        <f t="shared" ref="FL38:HK38" si="320">IF(SUM(FL6:FL36) &gt; 0, SUM(FL6:FL36), "")</f>
        <v>6</v>
      </c>
      <c r="FM38" s="14">
        <f t="shared" si="320"/>
        <v>11</v>
      </c>
      <c r="FN38" s="14" t="str">
        <f t="shared" si="320"/>
        <v/>
      </c>
      <c r="FO38" s="14">
        <f t="shared" si="320"/>
        <v>12</v>
      </c>
      <c r="FP38" s="14">
        <f t="shared" si="320"/>
        <v>15</v>
      </c>
      <c r="FQ38" s="14">
        <f t="shared" si="320"/>
        <v>14</v>
      </c>
      <c r="FR38" s="14"/>
      <c r="FS38" s="14"/>
      <c r="FT38" s="130">
        <f>IF(VisibleSum(FT6:FT28) = "", "??", VisibleSum(FT6:FT28))</f>
        <v>-0.88888888888888884</v>
      </c>
      <c r="FU38" s="14">
        <f t="shared" si="320"/>
        <v>14</v>
      </c>
      <c r="FV38" s="14">
        <f t="shared" si="320"/>
        <v>15</v>
      </c>
      <c r="FW38" s="14" t="str">
        <f t="shared" si="320"/>
        <v/>
      </c>
      <c r="FX38" s="14">
        <f t="shared" si="320"/>
        <v>11</v>
      </c>
      <c r="FY38" s="14">
        <f t="shared" si="320"/>
        <v>11</v>
      </c>
      <c r="FZ38" s="14">
        <f t="shared" si="320"/>
        <v>10</v>
      </c>
      <c r="GA38" s="14"/>
      <c r="GB38" s="14"/>
      <c r="GC38" s="130">
        <f>IF(VisibleSum(GC6:GC28) = "", "??", VisibleSum(GC6:GC28))</f>
        <v>-0.66666666666666663</v>
      </c>
      <c r="GD38" s="14">
        <f t="shared" si="320"/>
        <v>14</v>
      </c>
      <c r="GE38" s="14">
        <f t="shared" si="320"/>
        <v>17</v>
      </c>
      <c r="GF38" s="14" t="str">
        <f t="shared" si="320"/>
        <v/>
      </c>
      <c r="GG38" s="14">
        <f t="shared" si="320"/>
        <v>13</v>
      </c>
      <c r="GH38" s="14">
        <f t="shared" si="320"/>
        <v>15</v>
      </c>
      <c r="GI38" s="14">
        <f t="shared" si="320"/>
        <v>13</v>
      </c>
      <c r="GJ38" s="14"/>
      <c r="GK38" s="14"/>
      <c r="GL38" s="130">
        <f>IF(VisibleSum(GL6:GL28) = "", "??", VisibleSum(GL6:GL28))</f>
        <v>-0.1111111111111111</v>
      </c>
      <c r="GM38" s="14">
        <f t="shared" si="320"/>
        <v>14</v>
      </c>
      <c r="GN38" s="14">
        <f t="shared" si="320"/>
        <v>12</v>
      </c>
      <c r="GO38" s="14" t="str">
        <f t="shared" si="320"/>
        <v/>
      </c>
      <c r="GP38" s="14">
        <f t="shared" si="320"/>
        <v>12</v>
      </c>
      <c r="GQ38" s="14">
        <f t="shared" si="320"/>
        <v>14</v>
      </c>
      <c r="GR38" s="14">
        <f t="shared" si="320"/>
        <v>12</v>
      </c>
      <c r="GS38" s="14">
        <f t="shared" si="320"/>
        <v>10</v>
      </c>
      <c r="GT38" s="14"/>
      <c r="GU38" s="130">
        <f>IF(VisibleSum(GU6:GU28) = "", "??", VisibleSum(GU6:GU28))</f>
        <v>0</v>
      </c>
      <c r="GV38" s="14">
        <f t="shared" si="320"/>
        <v>14</v>
      </c>
      <c r="GW38" s="14">
        <f t="shared" si="320"/>
        <v>12</v>
      </c>
      <c r="GX38" s="14" t="str">
        <f t="shared" si="320"/>
        <v/>
      </c>
      <c r="GY38" s="14">
        <f t="shared" si="320"/>
        <v>9</v>
      </c>
      <c r="GZ38" s="14">
        <f t="shared" si="320"/>
        <v>12</v>
      </c>
      <c r="HA38" s="14">
        <f t="shared" si="320"/>
        <v>11</v>
      </c>
      <c r="HB38" s="14"/>
      <c r="HC38" s="14"/>
      <c r="HD38" s="130">
        <f>IF(VisibleSum(HD6:HD28) = "", "??", VisibleSum(HD6:HD28))</f>
        <v>-0.5</v>
      </c>
      <c r="HE38" s="14" t="str">
        <f t="shared" si="320"/>
        <v/>
      </c>
      <c r="HF38" s="14">
        <f t="shared" si="320"/>
        <v>1</v>
      </c>
      <c r="HG38" s="14" t="str">
        <f t="shared" si="320"/>
        <v/>
      </c>
      <c r="HH38" s="14" t="str">
        <f t="shared" si="320"/>
        <v/>
      </c>
      <c r="HI38" s="14" t="str">
        <f t="shared" si="320"/>
        <v/>
      </c>
      <c r="HJ38" s="14">
        <f t="shared" si="320"/>
        <v>14</v>
      </c>
      <c r="HK38" s="14" t="str">
        <f t="shared" si="320"/>
        <v/>
      </c>
      <c r="HL38" s="14"/>
      <c r="HM38" s="130">
        <f>IF(VisibleSum(HM6:HM28) = "", "??", VisibleSum(HM6:HM28))</f>
        <v>0.1111111111111111</v>
      </c>
      <c r="HN38" s="14">
        <f t="shared" ref="HN38:IX38" si="321">IF(SUM(HN6:HN36) &gt; 0, SUM(HN6:HN36), "")</f>
        <v>2</v>
      </c>
      <c r="HO38" s="14">
        <f t="shared" si="321"/>
        <v>1</v>
      </c>
      <c r="HP38" s="14">
        <f t="shared" si="321"/>
        <v>1</v>
      </c>
      <c r="HQ38" s="14">
        <f t="shared" si="321"/>
        <v>1</v>
      </c>
      <c r="HR38" s="14">
        <f t="shared" si="321"/>
        <v>1</v>
      </c>
      <c r="HS38" s="14" t="str">
        <f t="shared" si="321"/>
        <v/>
      </c>
      <c r="HT38" s="14"/>
      <c r="HU38" s="14"/>
      <c r="HV38" s="130">
        <f>IF(VisibleSum(HV6:HV28) = "", "??", VisibleSum(HV6:HV28))</f>
        <v>-3.5555555555555554</v>
      </c>
      <c r="HW38" s="14">
        <f t="shared" si="321"/>
        <v>1</v>
      </c>
      <c r="HX38" s="14" t="str">
        <f t="shared" si="321"/>
        <v/>
      </c>
      <c r="HY38" s="14" t="str">
        <f t="shared" si="321"/>
        <v/>
      </c>
      <c r="HZ38" s="14">
        <f t="shared" si="321"/>
        <v>1</v>
      </c>
      <c r="IA38" s="14" t="str">
        <f t="shared" si="321"/>
        <v/>
      </c>
      <c r="IB38" s="14" t="str">
        <f t="shared" si="321"/>
        <v/>
      </c>
      <c r="IC38" s="14"/>
      <c r="ID38" s="14"/>
      <c r="IE38" s="130">
        <f>IF(VisibleSum(IE6:IE28) = "", "??", VisibleSum(IE6:IE28))</f>
        <v>0</v>
      </c>
      <c r="IF38" s="14" t="str">
        <f t="shared" si="321"/>
        <v/>
      </c>
      <c r="IG38" s="14" t="str">
        <f t="shared" si="321"/>
        <v/>
      </c>
      <c r="IH38" s="14" t="str">
        <f t="shared" si="321"/>
        <v/>
      </c>
      <c r="II38" s="14" t="str">
        <f t="shared" si="321"/>
        <v/>
      </c>
      <c r="IJ38" s="14" t="str">
        <f t="shared" si="321"/>
        <v/>
      </c>
      <c r="IK38" s="14" t="str">
        <f t="shared" si="321"/>
        <v/>
      </c>
      <c r="IL38" s="14"/>
      <c r="IM38" s="14"/>
      <c r="IN38" s="130">
        <f>IF(VisibleSum(IN6:IN28) = "", "??", VisibleSum(IN6:IN28))</f>
        <v>0</v>
      </c>
      <c r="IO38" s="14" t="str">
        <f t="shared" si="321"/>
        <v/>
      </c>
      <c r="IP38" s="14" t="str">
        <f t="shared" si="321"/>
        <v/>
      </c>
      <c r="IQ38" s="14" t="str">
        <f t="shared" si="321"/>
        <v/>
      </c>
      <c r="IR38" s="14" t="str">
        <f t="shared" si="321"/>
        <v/>
      </c>
      <c r="IS38" s="14" t="str">
        <f t="shared" si="321"/>
        <v/>
      </c>
      <c r="IT38" s="14" t="str">
        <f t="shared" si="321"/>
        <v/>
      </c>
      <c r="IU38" s="15" t="str">
        <f t="shared" si="321"/>
        <v/>
      </c>
      <c r="IV38" s="14" t="str">
        <f t="shared" si="321"/>
        <v/>
      </c>
      <c r="IW38" s="14" t="str">
        <f t="shared" si="321"/>
        <v/>
      </c>
      <c r="IX38" s="14" t="str">
        <f t="shared" si="321"/>
        <v/>
      </c>
      <c r="IY38" s="14" t="str">
        <f t="shared" ref="IY38:KD38" si="322">IF(SUM(IY6:IY36) &gt; 0, SUM(IY6:IY36), "")</f>
        <v/>
      </c>
      <c r="IZ38" s="14" t="str">
        <f t="shared" si="322"/>
        <v/>
      </c>
      <c r="JA38" s="14" t="str">
        <f t="shared" si="322"/>
        <v/>
      </c>
      <c r="JB38" s="15" t="str">
        <f t="shared" si="322"/>
        <v/>
      </c>
      <c r="JC38" s="14" t="str">
        <f t="shared" si="322"/>
        <v/>
      </c>
      <c r="JD38" s="14" t="str">
        <f t="shared" si="322"/>
        <v/>
      </c>
      <c r="JE38" s="14" t="str">
        <f t="shared" si="322"/>
        <v/>
      </c>
      <c r="JF38" s="14" t="str">
        <f t="shared" si="322"/>
        <v/>
      </c>
      <c r="JG38" s="14" t="str">
        <f t="shared" si="322"/>
        <v/>
      </c>
      <c r="JH38" s="14" t="str">
        <f t="shared" si="322"/>
        <v/>
      </c>
      <c r="JI38" s="15" t="str">
        <f t="shared" si="322"/>
        <v/>
      </c>
      <c r="JJ38" s="14" t="str">
        <f t="shared" si="322"/>
        <v/>
      </c>
      <c r="JK38" s="14" t="str">
        <f t="shared" si="322"/>
        <v/>
      </c>
      <c r="JL38" s="14" t="str">
        <f t="shared" si="322"/>
        <v/>
      </c>
      <c r="JM38" s="14" t="str">
        <f t="shared" si="322"/>
        <v/>
      </c>
      <c r="JN38" s="14" t="str">
        <f t="shared" si="322"/>
        <v/>
      </c>
      <c r="JO38" s="14" t="str">
        <f t="shared" si="322"/>
        <v/>
      </c>
      <c r="JP38" s="15" t="str">
        <f t="shared" si="322"/>
        <v/>
      </c>
      <c r="JQ38" s="14" t="str">
        <f t="shared" si="322"/>
        <v/>
      </c>
      <c r="JR38" s="14" t="str">
        <f t="shared" si="322"/>
        <v/>
      </c>
      <c r="JS38" s="14" t="str">
        <f t="shared" si="322"/>
        <v/>
      </c>
      <c r="JT38" s="14" t="str">
        <f t="shared" si="322"/>
        <v/>
      </c>
      <c r="JU38" s="14" t="str">
        <f t="shared" si="322"/>
        <v/>
      </c>
      <c r="JV38" s="14" t="str">
        <f t="shared" si="322"/>
        <v/>
      </c>
      <c r="JW38" s="15" t="str">
        <f t="shared" si="322"/>
        <v/>
      </c>
      <c r="JX38" s="14" t="str">
        <f t="shared" si="322"/>
        <v/>
      </c>
      <c r="JY38" s="14" t="str">
        <f t="shared" si="322"/>
        <v/>
      </c>
      <c r="JZ38" s="14" t="str">
        <f t="shared" si="322"/>
        <v/>
      </c>
      <c r="KA38" s="14" t="str">
        <f t="shared" si="322"/>
        <v/>
      </c>
      <c r="KB38" s="14" t="str">
        <f t="shared" si="322"/>
        <v/>
      </c>
      <c r="KC38" s="14" t="str">
        <f t="shared" si="322"/>
        <v/>
      </c>
      <c r="KD38" s="15" t="str">
        <f t="shared" si="322"/>
        <v/>
      </c>
      <c r="KE38" s="14" t="str">
        <f t="shared" ref="KE38:LJ38" si="323">IF(SUM(KE6:KE36) &gt; 0, SUM(KE6:KE36), "")</f>
        <v/>
      </c>
      <c r="KF38" s="14" t="str">
        <f t="shared" si="323"/>
        <v/>
      </c>
      <c r="KG38" s="14" t="str">
        <f t="shared" si="323"/>
        <v/>
      </c>
      <c r="KH38" s="14" t="str">
        <f t="shared" si="323"/>
        <v/>
      </c>
      <c r="KI38" s="14" t="str">
        <f t="shared" si="323"/>
        <v/>
      </c>
      <c r="KJ38" s="14" t="str">
        <f t="shared" si="323"/>
        <v/>
      </c>
      <c r="KK38" s="15" t="str">
        <f t="shared" si="323"/>
        <v/>
      </c>
      <c r="KL38" s="14" t="str">
        <f t="shared" si="323"/>
        <v/>
      </c>
      <c r="KM38" s="14" t="str">
        <f t="shared" si="323"/>
        <v/>
      </c>
      <c r="KN38" s="14" t="str">
        <f t="shared" si="323"/>
        <v/>
      </c>
      <c r="KO38" s="14" t="str">
        <f t="shared" si="323"/>
        <v/>
      </c>
      <c r="KP38" s="14" t="str">
        <f t="shared" si="323"/>
        <v/>
      </c>
      <c r="KQ38" s="14" t="str">
        <f t="shared" si="323"/>
        <v/>
      </c>
      <c r="KR38" s="15" t="str">
        <f t="shared" si="323"/>
        <v/>
      </c>
      <c r="KS38" s="14" t="str">
        <f t="shared" si="323"/>
        <v/>
      </c>
      <c r="KT38" s="14" t="str">
        <f t="shared" si="323"/>
        <v/>
      </c>
      <c r="KU38" s="14" t="str">
        <f t="shared" si="323"/>
        <v/>
      </c>
      <c r="KV38" s="14" t="str">
        <f t="shared" si="323"/>
        <v/>
      </c>
      <c r="KW38" s="14" t="str">
        <f t="shared" si="323"/>
        <v/>
      </c>
      <c r="KX38" s="14" t="str">
        <f t="shared" si="323"/>
        <v/>
      </c>
      <c r="KY38" s="15" t="str">
        <f t="shared" si="323"/>
        <v/>
      </c>
      <c r="KZ38" s="14" t="str">
        <f t="shared" si="323"/>
        <v/>
      </c>
      <c r="LA38" s="14" t="str">
        <f t="shared" si="323"/>
        <v/>
      </c>
      <c r="LB38" s="14" t="str">
        <f t="shared" si="323"/>
        <v/>
      </c>
      <c r="LC38" s="14" t="str">
        <f t="shared" si="323"/>
        <v/>
      </c>
      <c r="LD38" s="14" t="str">
        <f t="shared" si="323"/>
        <v/>
      </c>
      <c r="LE38" s="14" t="str">
        <f t="shared" si="323"/>
        <v/>
      </c>
      <c r="LF38" s="15" t="str">
        <f t="shared" si="323"/>
        <v/>
      </c>
      <c r="LG38" s="14" t="str">
        <f t="shared" si="323"/>
        <v/>
      </c>
      <c r="LH38" s="14" t="str">
        <f t="shared" si="323"/>
        <v/>
      </c>
      <c r="LI38" s="14" t="str">
        <f t="shared" si="323"/>
        <v/>
      </c>
      <c r="LJ38" s="14" t="str">
        <f t="shared" si="323"/>
        <v/>
      </c>
      <c r="LK38" s="14" t="str">
        <f t="shared" ref="LK38:MP38" si="324">IF(SUM(LK6:LK36) &gt; 0, SUM(LK6:LK36), "")</f>
        <v/>
      </c>
      <c r="LL38" s="14" t="str">
        <f t="shared" si="324"/>
        <v/>
      </c>
      <c r="LM38" s="15" t="str">
        <f t="shared" si="324"/>
        <v/>
      </c>
      <c r="LN38" s="14" t="str">
        <f t="shared" si="324"/>
        <v/>
      </c>
      <c r="LO38" s="14" t="str">
        <f t="shared" si="324"/>
        <v/>
      </c>
      <c r="LP38" s="14" t="str">
        <f t="shared" si="324"/>
        <v/>
      </c>
      <c r="LQ38" s="14" t="str">
        <f t="shared" si="324"/>
        <v/>
      </c>
      <c r="LR38" s="14" t="str">
        <f t="shared" si="324"/>
        <v/>
      </c>
      <c r="LS38" s="14" t="str">
        <f t="shared" si="324"/>
        <v/>
      </c>
      <c r="LT38" s="15" t="str">
        <f t="shared" si="324"/>
        <v/>
      </c>
      <c r="LU38" s="14" t="str">
        <f t="shared" si="324"/>
        <v/>
      </c>
      <c r="LV38" s="14" t="str">
        <f t="shared" si="324"/>
        <v/>
      </c>
      <c r="LW38" s="14" t="str">
        <f t="shared" si="324"/>
        <v/>
      </c>
      <c r="LX38" s="14" t="str">
        <f t="shared" si="324"/>
        <v/>
      </c>
      <c r="LY38" s="14" t="str">
        <f t="shared" si="324"/>
        <v/>
      </c>
      <c r="LZ38" s="14" t="str">
        <f t="shared" si="324"/>
        <v/>
      </c>
      <c r="MA38" s="15" t="str">
        <f t="shared" si="324"/>
        <v/>
      </c>
      <c r="MB38" s="14" t="str">
        <f t="shared" si="324"/>
        <v/>
      </c>
      <c r="MC38" s="14" t="str">
        <f t="shared" si="324"/>
        <v/>
      </c>
      <c r="MD38" s="14" t="str">
        <f t="shared" si="324"/>
        <v/>
      </c>
      <c r="ME38" s="14" t="str">
        <f t="shared" si="324"/>
        <v/>
      </c>
      <c r="MF38" s="14" t="str">
        <f t="shared" si="324"/>
        <v/>
      </c>
      <c r="MG38" s="14" t="str">
        <f t="shared" si="324"/>
        <v/>
      </c>
      <c r="MH38" s="15" t="str">
        <f t="shared" si="324"/>
        <v/>
      </c>
      <c r="MI38" s="14" t="str">
        <f t="shared" si="324"/>
        <v/>
      </c>
      <c r="MJ38" s="14" t="str">
        <f t="shared" si="324"/>
        <v/>
      </c>
      <c r="MK38" s="14" t="str">
        <f t="shared" si="324"/>
        <v/>
      </c>
      <c r="ML38" s="14" t="str">
        <f t="shared" si="324"/>
        <v/>
      </c>
      <c r="MM38" s="14" t="str">
        <f t="shared" si="324"/>
        <v/>
      </c>
      <c r="MN38" s="14" t="str">
        <f t="shared" si="324"/>
        <v/>
      </c>
      <c r="MO38" s="15" t="str">
        <f t="shared" si="324"/>
        <v/>
      </c>
      <c r="MP38" s="14" t="str">
        <f t="shared" si="324"/>
        <v/>
      </c>
      <c r="MQ38" s="14" t="str">
        <f t="shared" ref="MQ38:NJ38" si="325">IF(SUM(MQ6:MQ36) &gt; 0, SUM(MQ6:MQ36), "")</f>
        <v/>
      </c>
      <c r="MR38" s="14" t="str">
        <f t="shared" si="325"/>
        <v/>
      </c>
      <c r="MS38" s="14" t="str">
        <f t="shared" si="325"/>
        <v/>
      </c>
      <c r="MT38" s="14" t="str">
        <f t="shared" si="325"/>
        <v/>
      </c>
      <c r="MU38" s="14" t="str">
        <f t="shared" si="325"/>
        <v/>
      </c>
      <c r="MV38" s="15" t="str">
        <f t="shared" si="325"/>
        <v/>
      </c>
      <c r="MW38" s="14" t="str">
        <f t="shared" si="325"/>
        <v/>
      </c>
      <c r="MX38" s="14" t="str">
        <f t="shared" si="325"/>
        <v/>
      </c>
      <c r="MY38" s="14" t="str">
        <f t="shared" si="325"/>
        <v/>
      </c>
      <c r="MZ38" s="14" t="str">
        <f t="shared" si="325"/>
        <v/>
      </c>
      <c r="NA38" s="14" t="str">
        <f t="shared" si="325"/>
        <v/>
      </c>
      <c r="NB38" s="14" t="str">
        <f t="shared" si="325"/>
        <v/>
      </c>
      <c r="NC38" s="15" t="str">
        <f t="shared" si="325"/>
        <v/>
      </c>
      <c r="ND38" s="14" t="str">
        <f t="shared" si="325"/>
        <v/>
      </c>
      <c r="NE38" s="14" t="str">
        <f t="shared" si="325"/>
        <v/>
      </c>
      <c r="NF38" s="14" t="str">
        <f t="shared" si="325"/>
        <v/>
      </c>
      <c r="NG38" s="14" t="str">
        <f t="shared" si="325"/>
        <v/>
      </c>
      <c r="NH38" s="14" t="str">
        <f t="shared" si="325"/>
        <v/>
      </c>
      <c r="NI38" s="14" t="str">
        <f t="shared" si="325"/>
        <v/>
      </c>
      <c r="NJ38" s="111" t="str">
        <f t="shared" si="325"/>
        <v/>
      </c>
    </row>
    <row r="39" spans="1:374" ht="7.5" customHeight="1" x14ac:dyDescent="0.25">
      <c r="A39" s="124"/>
      <c r="B39" s="125"/>
      <c r="C39" s="125"/>
      <c r="D39" s="125"/>
      <c r="E39" s="126"/>
      <c r="F39" s="125"/>
      <c r="G39" s="125"/>
      <c r="H39" s="125"/>
      <c r="I39" s="125"/>
      <c r="J39" s="125"/>
      <c r="K39" s="125"/>
      <c r="L39" s="125"/>
      <c r="M39" s="125"/>
      <c r="N39" s="125"/>
      <c r="O39" s="126"/>
      <c r="P39" s="125"/>
      <c r="Q39" s="125"/>
      <c r="R39" s="126"/>
      <c r="S39" s="37"/>
      <c r="T39" s="127"/>
      <c r="U39" s="127"/>
      <c r="V39" s="127"/>
      <c r="W39" s="127"/>
      <c r="X39" s="127"/>
      <c r="Y39" s="127"/>
      <c r="Z39" s="37"/>
      <c r="AA39" s="127"/>
      <c r="AB39" s="127"/>
      <c r="AC39" s="127"/>
      <c r="AD39" s="127"/>
      <c r="AE39" s="127"/>
      <c r="AF39" s="127"/>
      <c r="AG39" s="37"/>
      <c r="AH39" s="127"/>
      <c r="AI39" s="127"/>
      <c r="AJ39" s="127"/>
      <c r="AK39" s="127"/>
      <c r="AL39" s="127"/>
      <c r="AM39" s="127"/>
      <c r="AN39" s="37"/>
      <c r="AO39" s="127"/>
      <c r="AP39" s="127"/>
      <c r="AQ39" s="127"/>
      <c r="AR39" s="127"/>
      <c r="AS39" s="127"/>
      <c r="AT39" s="127"/>
      <c r="AU39" s="37"/>
      <c r="AV39" s="127"/>
      <c r="AW39" s="127"/>
      <c r="AX39" s="127"/>
      <c r="AY39" s="127"/>
      <c r="AZ39" s="127"/>
      <c r="BA39" s="127"/>
      <c r="BB39" s="37"/>
      <c r="BC39" s="127"/>
      <c r="BD39" s="127"/>
      <c r="BE39" s="127"/>
      <c r="BF39" s="127"/>
      <c r="BG39" s="127"/>
      <c r="BH39" s="127"/>
      <c r="BI39" s="37"/>
      <c r="BJ39" s="127"/>
      <c r="BK39" s="127"/>
      <c r="BL39" s="127"/>
      <c r="BM39" s="127"/>
      <c r="BN39" s="127"/>
      <c r="BO39" s="127"/>
      <c r="BP39" s="37"/>
      <c r="BQ39" s="127"/>
      <c r="BR39" s="127"/>
      <c r="BS39" s="127"/>
      <c r="BT39" s="127"/>
      <c r="BU39" s="127"/>
      <c r="BV39" s="127"/>
      <c r="BW39" s="127"/>
      <c r="BX39" s="127"/>
      <c r="BY39" s="37"/>
      <c r="BZ39" s="127"/>
      <c r="CA39" s="127"/>
      <c r="CB39" s="127"/>
      <c r="CC39" s="127"/>
      <c r="CD39" s="127"/>
      <c r="CE39" s="127"/>
      <c r="CF39" s="127"/>
      <c r="CG39" s="127"/>
      <c r="CH39" s="37"/>
      <c r="CI39" s="127"/>
      <c r="CJ39" s="127"/>
      <c r="CK39" s="127"/>
      <c r="CL39" s="127"/>
      <c r="CM39" s="127"/>
      <c r="CN39" s="127"/>
      <c r="CO39" s="127"/>
      <c r="CP39" s="127"/>
      <c r="CQ39" s="37"/>
      <c r="CR39" s="127"/>
      <c r="CS39" s="127"/>
      <c r="CT39" s="127"/>
      <c r="CU39" s="127"/>
      <c r="CV39" s="127"/>
      <c r="CW39" s="127"/>
      <c r="CX39" s="127"/>
      <c r="CY39" s="127"/>
      <c r="CZ39" s="37"/>
      <c r="DA39" s="127"/>
      <c r="DB39" s="127"/>
      <c r="DC39" s="127"/>
      <c r="DD39" s="127"/>
      <c r="DE39" s="127"/>
      <c r="DF39" s="127"/>
      <c r="DG39" s="127"/>
      <c r="DH39" s="127"/>
      <c r="DI39" s="37"/>
      <c r="DJ39" s="127"/>
      <c r="DK39" s="127"/>
      <c r="DL39" s="127"/>
      <c r="DM39" s="127"/>
      <c r="DN39" s="127"/>
      <c r="DO39" s="127"/>
      <c r="DP39" s="127"/>
      <c r="DQ39" s="127"/>
      <c r="DR39" s="37"/>
      <c r="DS39" s="127"/>
      <c r="DT39" s="127"/>
      <c r="DU39" s="127"/>
      <c r="DV39" s="127"/>
      <c r="DW39" s="127"/>
      <c r="DX39" s="127"/>
      <c r="DY39" s="127"/>
      <c r="DZ39" s="127"/>
      <c r="EA39" s="37"/>
      <c r="EB39" s="127"/>
      <c r="EC39" s="127"/>
      <c r="ED39" s="127"/>
      <c r="EE39" s="127"/>
      <c r="EF39" s="127"/>
      <c r="EG39" s="127"/>
      <c r="EH39" s="127"/>
      <c r="EI39" s="127"/>
      <c r="EJ39" s="37"/>
      <c r="EK39" s="127"/>
      <c r="EL39" s="127"/>
      <c r="EM39" s="127"/>
      <c r="EN39" s="127"/>
      <c r="EO39" s="127"/>
      <c r="EP39" s="127"/>
      <c r="EQ39" s="127"/>
      <c r="ER39" s="127"/>
      <c r="ES39" s="37"/>
      <c r="ET39" s="127"/>
      <c r="EU39" s="127"/>
      <c r="EV39" s="127"/>
      <c r="EW39" s="127"/>
      <c r="EX39" s="127"/>
      <c r="EY39" s="127"/>
      <c r="EZ39" s="127"/>
      <c r="FA39" s="127"/>
      <c r="FB39" s="37"/>
      <c r="FC39" s="127"/>
      <c r="FD39" s="127"/>
      <c r="FE39" s="127"/>
      <c r="FF39" s="127"/>
      <c r="FG39" s="127"/>
      <c r="FH39" s="127"/>
      <c r="FI39" s="127"/>
      <c r="FJ39" s="127"/>
      <c r="FK39" s="37"/>
      <c r="FL39" s="127"/>
      <c r="FM39" s="127"/>
      <c r="FN39" s="127"/>
      <c r="FO39" s="127"/>
      <c r="FP39" s="127"/>
      <c r="FQ39" s="127"/>
      <c r="FR39" s="127"/>
      <c r="FS39" s="127"/>
      <c r="FT39" s="37"/>
      <c r="FU39" s="127"/>
      <c r="FV39" s="127"/>
      <c r="FW39" s="127"/>
      <c r="FX39" s="127"/>
      <c r="FY39" s="127"/>
      <c r="FZ39" s="127"/>
      <c r="GA39" s="127"/>
      <c r="GB39" s="127"/>
      <c r="GC39" s="37"/>
      <c r="GD39" s="127"/>
      <c r="GE39" s="127"/>
      <c r="GF39" s="127"/>
      <c r="GG39" s="127"/>
      <c r="GH39" s="127"/>
      <c r="GI39" s="127"/>
      <c r="GJ39" s="127"/>
      <c r="GK39" s="127"/>
      <c r="GL39" s="37"/>
      <c r="GM39" s="127"/>
      <c r="GN39" s="127"/>
      <c r="GO39" s="127"/>
      <c r="GP39" s="127"/>
      <c r="GQ39" s="127"/>
      <c r="GR39" s="127"/>
      <c r="GS39" s="127"/>
      <c r="GT39" s="127"/>
      <c r="GU39" s="37"/>
      <c r="GV39" s="127"/>
      <c r="GW39" s="127"/>
      <c r="GX39" s="127"/>
      <c r="GY39" s="127"/>
      <c r="GZ39" s="127"/>
      <c r="HA39" s="127"/>
      <c r="HB39" s="127"/>
      <c r="HC39" s="127"/>
      <c r="HD39" s="37"/>
      <c r="HE39" s="127"/>
      <c r="HF39" s="127"/>
      <c r="HG39" s="127"/>
      <c r="HH39" s="127"/>
      <c r="HI39" s="127"/>
      <c r="HJ39" s="127"/>
      <c r="HK39" s="127"/>
      <c r="HL39" s="127"/>
      <c r="HM39" s="37"/>
      <c r="HN39" s="127"/>
      <c r="HO39" s="127"/>
      <c r="HP39" s="127"/>
      <c r="HQ39" s="127"/>
      <c r="HR39" s="127"/>
      <c r="HS39" s="127"/>
      <c r="HT39" s="127"/>
      <c r="HU39" s="127"/>
      <c r="HV39" s="37"/>
      <c r="HW39" s="127"/>
      <c r="HX39" s="127"/>
      <c r="HY39" s="127"/>
      <c r="HZ39" s="127"/>
      <c r="IA39" s="127"/>
      <c r="IB39" s="127"/>
      <c r="IC39" s="127"/>
      <c r="ID39" s="127"/>
      <c r="IE39" s="37"/>
      <c r="IF39" s="127"/>
      <c r="IG39" s="127"/>
      <c r="IH39" s="127"/>
      <c r="II39" s="127"/>
      <c r="IJ39" s="127"/>
      <c r="IK39" s="127"/>
      <c r="IL39" s="127"/>
      <c r="IM39" s="127"/>
      <c r="IN39" s="37"/>
      <c r="IO39" s="127"/>
      <c r="IP39" s="127"/>
      <c r="IQ39" s="127"/>
      <c r="IR39" s="127"/>
      <c r="IS39" s="127"/>
      <c r="IT39" s="127"/>
      <c r="IU39" s="37"/>
      <c r="IV39" s="127"/>
      <c r="IW39" s="127"/>
      <c r="IX39" s="127"/>
      <c r="IY39" s="127"/>
      <c r="IZ39" s="127"/>
      <c r="JA39" s="127"/>
      <c r="JB39" s="37"/>
      <c r="JC39" s="127"/>
      <c r="JD39" s="127"/>
      <c r="JE39" s="127"/>
      <c r="JF39" s="127"/>
      <c r="JG39" s="127"/>
      <c r="JH39" s="127"/>
      <c r="JI39" s="37"/>
      <c r="JJ39" s="127"/>
      <c r="JK39" s="127"/>
      <c r="JL39" s="127"/>
      <c r="JM39" s="127"/>
      <c r="JN39" s="127"/>
      <c r="JO39" s="127"/>
      <c r="JP39" s="37"/>
      <c r="JQ39" s="127"/>
      <c r="JR39" s="127"/>
      <c r="JS39" s="127"/>
      <c r="JT39" s="127"/>
      <c r="JU39" s="127"/>
      <c r="JV39" s="127"/>
      <c r="JW39" s="37"/>
      <c r="JX39" s="127"/>
      <c r="JY39" s="127"/>
      <c r="JZ39" s="127"/>
      <c r="KA39" s="127"/>
      <c r="KB39" s="127"/>
      <c r="KC39" s="127"/>
      <c r="KD39" s="37"/>
      <c r="KE39" s="127"/>
      <c r="KF39" s="127"/>
      <c r="KG39" s="127"/>
      <c r="KH39" s="127"/>
      <c r="KI39" s="127"/>
      <c r="KJ39" s="127"/>
      <c r="KK39" s="37"/>
      <c r="KL39" s="127"/>
      <c r="KM39" s="127"/>
      <c r="KN39" s="127"/>
      <c r="KO39" s="127"/>
      <c r="KP39" s="127"/>
      <c r="KQ39" s="127"/>
      <c r="KR39" s="37"/>
      <c r="KS39" s="127"/>
      <c r="KT39" s="127"/>
      <c r="KU39" s="127"/>
      <c r="KV39" s="127"/>
      <c r="KW39" s="127"/>
      <c r="KX39" s="127"/>
      <c r="KY39" s="37"/>
      <c r="KZ39" s="127"/>
      <c r="LA39" s="127"/>
      <c r="LB39" s="127"/>
      <c r="LC39" s="127"/>
      <c r="LD39" s="127"/>
      <c r="LE39" s="127"/>
      <c r="LF39" s="37"/>
      <c r="LG39" s="127"/>
      <c r="LH39" s="127"/>
      <c r="LI39" s="127"/>
      <c r="LJ39" s="127"/>
      <c r="LK39" s="127"/>
      <c r="LL39" s="127"/>
      <c r="LM39" s="37"/>
      <c r="LN39" s="127"/>
      <c r="LO39" s="127"/>
      <c r="LP39" s="127"/>
      <c r="LQ39" s="127"/>
      <c r="LR39" s="127"/>
      <c r="LS39" s="127"/>
      <c r="LT39" s="37"/>
      <c r="LU39" s="127"/>
      <c r="LV39" s="127"/>
      <c r="LW39" s="127"/>
      <c r="LX39" s="127"/>
      <c r="LY39" s="127"/>
      <c r="LZ39" s="127"/>
      <c r="MA39" s="37"/>
      <c r="MB39" s="127"/>
      <c r="MC39" s="127"/>
      <c r="MD39" s="127"/>
      <c r="ME39" s="127"/>
      <c r="MF39" s="127"/>
      <c r="MG39" s="127"/>
      <c r="MH39" s="37"/>
      <c r="MI39" s="127"/>
      <c r="MJ39" s="127"/>
      <c r="MK39" s="127"/>
      <c r="ML39" s="127"/>
      <c r="MM39" s="127"/>
      <c r="MN39" s="127"/>
      <c r="MO39" s="37"/>
      <c r="MP39" s="127"/>
      <c r="MQ39" s="127"/>
      <c r="MR39" s="127"/>
      <c r="MS39" s="127"/>
      <c r="MT39" s="127"/>
      <c r="MU39" s="127"/>
      <c r="MV39" s="37"/>
      <c r="MW39" s="127"/>
      <c r="MX39" s="127"/>
      <c r="MY39" s="127"/>
      <c r="MZ39" s="127"/>
      <c r="NA39" s="127"/>
      <c r="NB39" s="127"/>
      <c r="NC39" s="37"/>
      <c r="ND39" s="127"/>
      <c r="NE39" s="127"/>
      <c r="NF39" s="127"/>
      <c r="NG39" s="127"/>
      <c r="NH39" s="127"/>
      <c r="NI39" s="127"/>
      <c r="NJ39" s="37"/>
    </row>
    <row r="40" spans="1:374" ht="66" customHeight="1" x14ac:dyDescent="0.25">
      <c r="A40" s="19"/>
      <c r="B40" s="19"/>
      <c r="C40" s="19"/>
      <c r="D40" s="19"/>
      <c r="E40" s="9"/>
      <c r="F40" s="19"/>
      <c r="G40" s="19"/>
      <c r="H40" s="19"/>
      <c r="I40" s="19"/>
      <c r="J40" s="19"/>
      <c r="K40" s="19"/>
      <c r="L40" s="19"/>
      <c r="M40" s="19"/>
      <c r="N40" s="19"/>
      <c r="O40" s="9"/>
      <c r="P40" s="119" t="s">
        <v>406</v>
      </c>
      <c r="Q40" s="120" t="s">
        <v>406</v>
      </c>
      <c r="R40" s="121"/>
      <c r="S40" s="49">
        <f t="shared" ref="S40:AX40" si="326">S1</f>
        <v>43975</v>
      </c>
      <c r="T40" s="49">
        <f t="shared" si="326"/>
        <v>43976</v>
      </c>
      <c r="U40" s="49">
        <f t="shared" si="326"/>
        <v>43977</v>
      </c>
      <c r="V40" s="49">
        <f t="shared" si="326"/>
        <v>43978</v>
      </c>
      <c r="W40" s="49">
        <f t="shared" si="326"/>
        <v>43979</v>
      </c>
      <c r="X40" s="49">
        <f t="shared" si="326"/>
        <v>43980</v>
      </c>
      <c r="Y40" s="49">
        <f t="shared" si="326"/>
        <v>43981</v>
      </c>
      <c r="Z40" s="49">
        <f t="shared" si="326"/>
        <v>43982</v>
      </c>
      <c r="AA40" s="49">
        <f t="shared" si="326"/>
        <v>43983</v>
      </c>
      <c r="AB40" s="49">
        <f t="shared" si="326"/>
        <v>43984</v>
      </c>
      <c r="AC40" s="49">
        <f t="shared" si="326"/>
        <v>43985</v>
      </c>
      <c r="AD40" s="49">
        <f t="shared" si="326"/>
        <v>43986</v>
      </c>
      <c r="AE40" s="49">
        <f t="shared" si="326"/>
        <v>43987</v>
      </c>
      <c r="AF40" s="49">
        <f t="shared" si="326"/>
        <v>43988</v>
      </c>
      <c r="AG40" s="49">
        <f t="shared" si="326"/>
        <v>43989</v>
      </c>
      <c r="AH40" s="49">
        <f t="shared" si="326"/>
        <v>43990</v>
      </c>
      <c r="AI40" s="49">
        <f t="shared" si="326"/>
        <v>43991</v>
      </c>
      <c r="AJ40" s="49">
        <f t="shared" si="326"/>
        <v>43992</v>
      </c>
      <c r="AK40" s="49">
        <f t="shared" si="326"/>
        <v>43993</v>
      </c>
      <c r="AL40" s="49">
        <f t="shared" si="326"/>
        <v>43994</v>
      </c>
      <c r="AM40" s="49">
        <f t="shared" si="326"/>
        <v>43995</v>
      </c>
      <c r="AN40" s="49">
        <f t="shared" si="326"/>
        <v>43996</v>
      </c>
      <c r="AO40" s="49">
        <f t="shared" si="326"/>
        <v>43997</v>
      </c>
      <c r="AP40" s="49">
        <f t="shared" si="326"/>
        <v>43998</v>
      </c>
      <c r="AQ40" s="49">
        <f t="shared" si="326"/>
        <v>43999</v>
      </c>
      <c r="AR40" s="49">
        <f t="shared" si="326"/>
        <v>44000</v>
      </c>
      <c r="AS40" s="49">
        <f t="shared" si="326"/>
        <v>44001</v>
      </c>
      <c r="AT40" s="49">
        <f t="shared" si="326"/>
        <v>44002</v>
      </c>
      <c r="AU40" s="49">
        <f t="shared" si="326"/>
        <v>44003</v>
      </c>
      <c r="AV40" s="49">
        <f t="shared" si="326"/>
        <v>44004</v>
      </c>
      <c r="AW40" s="49">
        <f t="shared" si="326"/>
        <v>44005</v>
      </c>
      <c r="AX40" s="49">
        <f t="shared" si="326"/>
        <v>44006</v>
      </c>
      <c r="AY40" s="49">
        <f t="shared" ref="AY40:BW40" si="327">AY1</f>
        <v>44007</v>
      </c>
      <c r="AZ40" s="49">
        <f t="shared" si="327"/>
        <v>44008</v>
      </c>
      <c r="BA40" s="49">
        <f t="shared" si="327"/>
        <v>44009</v>
      </c>
      <c r="BB40" s="49">
        <f t="shared" si="327"/>
        <v>44010</v>
      </c>
      <c r="BC40" s="49">
        <f t="shared" si="327"/>
        <v>44011</v>
      </c>
      <c r="BD40" s="49">
        <f t="shared" si="327"/>
        <v>44012</v>
      </c>
      <c r="BE40" s="49">
        <f t="shared" si="327"/>
        <v>44013</v>
      </c>
      <c r="BF40" s="49">
        <f t="shared" si="327"/>
        <v>44014</v>
      </c>
      <c r="BG40" s="49">
        <f t="shared" si="327"/>
        <v>44015</v>
      </c>
      <c r="BH40" s="49">
        <f t="shared" si="327"/>
        <v>44016</v>
      </c>
      <c r="BI40" s="49">
        <f t="shared" si="327"/>
        <v>44017</v>
      </c>
      <c r="BJ40" s="49">
        <f t="shared" si="327"/>
        <v>44018</v>
      </c>
      <c r="BK40" s="49">
        <f t="shared" si="327"/>
        <v>44019</v>
      </c>
      <c r="BL40" s="49">
        <f t="shared" si="327"/>
        <v>44020</v>
      </c>
      <c r="BM40" s="49">
        <f t="shared" si="327"/>
        <v>44021</v>
      </c>
      <c r="BN40" s="49">
        <f t="shared" si="327"/>
        <v>44022</v>
      </c>
      <c r="BO40" s="49">
        <f t="shared" si="327"/>
        <v>44023</v>
      </c>
      <c r="BP40" s="49">
        <f t="shared" si="327"/>
        <v>44024</v>
      </c>
      <c r="BQ40" s="49">
        <f t="shared" si="327"/>
        <v>44025</v>
      </c>
      <c r="BR40" s="49">
        <f t="shared" si="327"/>
        <v>44026</v>
      </c>
      <c r="BS40" s="49">
        <f t="shared" si="327"/>
        <v>44027</v>
      </c>
      <c r="BT40" s="49">
        <f t="shared" si="327"/>
        <v>44028</v>
      </c>
      <c r="BU40" s="49">
        <f t="shared" si="327"/>
        <v>44029</v>
      </c>
      <c r="BV40" s="49">
        <f t="shared" si="327"/>
        <v>44030</v>
      </c>
      <c r="BW40" s="49">
        <f t="shared" si="327"/>
        <v>44031</v>
      </c>
      <c r="BX40" s="49"/>
      <c r="BY40" s="49"/>
      <c r="BZ40" s="49"/>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f t="shared" ref="DS40:DY40" si="328">DS1</f>
        <v>44067</v>
      </c>
      <c r="DT40" s="49">
        <f t="shared" si="328"/>
        <v>44068</v>
      </c>
      <c r="DU40" s="49">
        <f t="shared" si="328"/>
        <v>44069</v>
      </c>
      <c r="DV40" s="49">
        <f t="shared" si="328"/>
        <v>44070</v>
      </c>
      <c r="DW40" s="49">
        <f t="shared" si="328"/>
        <v>44071</v>
      </c>
      <c r="DX40" s="49">
        <f t="shared" si="328"/>
        <v>44072</v>
      </c>
      <c r="DY40" s="49">
        <f t="shared" si="328"/>
        <v>44073</v>
      </c>
      <c r="DZ40" s="49"/>
      <c r="EA40" s="49"/>
      <c r="EB40" s="49">
        <f t="shared" ref="EB40:EH40" si="329">EB1</f>
        <v>44074</v>
      </c>
      <c r="EC40" s="49">
        <f t="shared" si="329"/>
        <v>44075</v>
      </c>
      <c r="ED40" s="49">
        <f t="shared" si="329"/>
        <v>44076</v>
      </c>
      <c r="EE40" s="49">
        <f t="shared" si="329"/>
        <v>44077</v>
      </c>
      <c r="EF40" s="49">
        <f t="shared" si="329"/>
        <v>44078</v>
      </c>
      <c r="EG40" s="49">
        <f t="shared" si="329"/>
        <v>44079</v>
      </c>
      <c r="EH40" s="49">
        <f t="shared" si="329"/>
        <v>44080</v>
      </c>
      <c r="EI40" s="49"/>
      <c r="EJ40" s="49"/>
      <c r="EK40" s="49">
        <f t="shared" ref="EK40:EQ40" si="330">EK1</f>
        <v>44081</v>
      </c>
      <c r="EL40" s="49">
        <f t="shared" si="330"/>
        <v>44082</v>
      </c>
      <c r="EM40" s="49">
        <f t="shared" si="330"/>
        <v>44083</v>
      </c>
      <c r="EN40" s="49">
        <f t="shared" si="330"/>
        <v>44084</v>
      </c>
      <c r="EO40" s="49">
        <f t="shared" si="330"/>
        <v>44085</v>
      </c>
      <c r="EP40" s="49">
        <f t="shared" si="330"/>
        <v>44086</v>
      </c>
      <c r="EQ40" s="49">
        <f t="shared" si="330"/>
        <v>44087</v>
      </c>
      <c r="ER40" s="49"/>
      <c r="ES40" s="49"/>
      <c r="ET40" s="49">
        <f t="shared" ref="ET40:EZ40" si="331">ET1</f>
        <v>44088</v>
      </c>
      <c r="EU40" s="49">
        <f t="shared" si="331"/>
        <v>44089</v>
      </c>
      <c r="EV40" s="49">
        <f t="shared" si="331"/>
        <v>44090</v>
      </c>
      <c r="EW40" s="49">
        <f t="shared" si="331"/>
        <v>44091</v>
      </c>
      <c r="EX40" s="49">
        <f t="shared" si="331"/>
        <v>44092</v>
      </c>
      <c r="EY40" s="49">
        <f t="shared" si="331"/>
        <v>44093</v>
      </c>
      <c r="EZ40" s="49">
        <f t="shared" si="331"/>
        <v>44094</v>
      </c>
      <c r="FA40" s="49"/>
      <c r="FB40" s="49"/>
      <c r="FC40" s="49">
        <f t="shared" ref="FC40:FI40" si="332">FC1</f>
        <v>44095</v>
      </c>
      <c r="FD40" s="49">
        <f t="shared" si="332"/>
        <v>44096</v>
      </c>
      <c r="FE40" s="49">
        <f t="shared" si="332"/>
        <v>44097</v>
      </c>
      <c r="FF40" s="49">
        <f t="shared" si="332"/>
        <v>44098</v>
      </c>
      <c r="FG40" s="49">
        <f t="shared" si="332"/>
        <v>44099</v>
      </c>
      <c r="FH40" s="49">
        <f t="shared" si="332"/>
        <v>44100</v>
      </c>
      <c r="FI40" s="49">
        <f t="shared" si="332"/>
        <v>44101</v>
      </c>
      <c r="FJ40" s="49"/>
      <c r="FK40" s="49"/>
      <c r="FL40" s="49">
        <f t="shared" ref="FL40:GY40" si="333">FL1</f>
        <v>44102</v>
      </c>
      <c r="FM40" s="49">
        <f t="shared" si="333"/>
        <v>44103</v>
      </c>
      <c r="FN40" s="49">
        <f t="shared" si="333"/>
        <v>44104</v>
      </c>
      <c r="FO40" s="49">
        <f t="shared" si="333"/>
        <v>44105</v>
      </c>
      <c r="FP40" s="49">
        <f t="shared" si="333"/>
        <v>44106</v>
      </c>
      <c r="FQ40" s="49">
        <f t="shared" si="333"/>
        <v>44107</v>
      </c>
      <c r="FR40" s="49">
        <f t="shared" si="333"/>
        <v>44108</v>
      </c>
      <c r="FS40" s="49"/>
      <c r="FT40" s="49"/>
      <c r="FU40" s="49">
        <f t="shared" si="333"/>
        <v>44109</v>
      </c>
      <c r="FV40" s="49">
        <f t="shared" si="333"/>
        <v>44110</v>
      </c>
      <c r="FW40" s="49">
        <f t="shared" si="333"/>
        <v>44111</v>
      </c>
      <c r="FX40" s="49">
        <f t="shared" si="333"/>
        <v>44112</v>
      </c>
      <c r="FY40" s="49">
        <f t="shared" si="333"/>
        <v>44113</v>
      </c>
      <c r="FZ40" s="49">
        <f t="shared" si="333"/>
        <v>44114</v>
      </c>
      <c r="GA40" s="49">
        <f t="shared" ref="GA40" si="334">GA1</f>
        <v>44115</v>
      </c>
      <c r="GB40" s="49"/>
      <c r="GC40" s="49"/>
      <c r="GD40" s="49">
        <f t="shared" si="333"/>
        <v>44116</v>
      </c>
      <c r="GE40" s="49">
        <f t="shared" si="333"/>
        <v>44117</v>
      </c>
      <c r="GF40" s="49">
        <f t="shared" si="333"/>
        <v>44118</v>
      </c>
      <c r="GG40" s="49">
        <f t="shared" si="333"/>
        <v>44119</v>
      </c>
      <c r="GH40" s="49">
        <f t="shared" si="333"/>
        <v>44120</v>
      </c>
      <c r="GI40" s="49">
        <f t="shared" si="333"/>
        <v>44121</v>
      </c>
      <c r="GJ40" s="49">
        <f t="shared" si="333"/>
        <v>44122</v>
      </c>
      <c r="GK40" s="49"/>
      <c r="GL40" s="49"/>
      <c r="GM40" s="49">
        <f t="shared" si="333"/>
        <v>44123</v>
      </c>
      <c r="GN40" s="49">
        <f t="shared" si="333"/>
        <v>44124</v>
      </c>
      <c r="GO40" s="49">
        <f t="shared" si="333"/>
        <v>44125</v>
      </c>
      <c r="GP40" s="49">
        <f t="shared" si="333"/>
        <v>44126</v>
      </c>
      <c r="GQ40" s="49">
        <f t="shared" si="333"/>
        <v>44127</v>
      </c>
      <c r="GR40" s="49">
        <f t="shared" si="333"/>
        <v>44128</v>
      </c>
      <c r="GS40" s="49">
        <f t="shared" si="333"/>
        <v>44129</v>
      </c>
      <c r="GT40" s="49"/>
      <c r="GU40" s="49"/>
      <c r="GV40" s="49">
        <f t="shared" si="333"/>
        <v>44130</v>
      </c>
      <c r="GW40" s="49">
        <f t="shared" si="333"/>
        <v>44131</v>
      </c>
      <c r="GX40" s="49">
        <f t="shared" si="333"/>
        <v>44132</v>
      </c>
      <c r="GY40" s="49">
        <f t="shared" si="333"/>
        <v>44133</v>
      </c>
      <c r="GZ40" s="49">
        <f t="shared" ref="GZ40:IO40" si="335">GZ1</f>
        <v>44134</v>
      </c>
      <c r="HA40" s="49">
        <f t="shared" si="335"/>
        <v>44135</v>
      </c>
      <c r="HB40" s="49">
        <f t="shared" ref="HB40" si="336">HB1</f>
        <v>44136</v>
      </c>
      <c r="HC40" s="49"/>
      <c r="HD40" s="49"/>
      <c r="HE40" s="49">
        <f t="shared" si="335"/>
        <v>44137</v>
      </c>
      <c r="HF40" s="49">
        <f t="shared" si="335"/>
        <v>44138</v>
      </c>
      <c r="HG40" s="49">
        <f t="shared" si="335"/>
        <v>44139</v>
      </c>
      <c r="HH40" s="49">
        <f t="shared" si="335"/>
        <v>44140</v>
      </c>
      <c r="HI40" s="49">
        <f t="shared" si="335"/>
        <v>44141</v>
      </c>
      <c r="HJ40" s="49">
        <f t="shared" si="335"/>
        <v>44142</v>
      </c>
      <c r="HK40" s="49">
        <f t="shared" ref="HK40" si="337">HK1</f>
        <v>44143</v>
      </c>
      <c r="HL40" s="49"/>
      <c r="HM40" s="49"/>
      <c r="HN40" s="49">
        <f t="shared" si="335"/>
        <v>44144</v>
      </c>
      <c r="HO40" s="49">
        <f t="shared" si="335"/>
        <v>44145</v>
      </c>
      <c r="HP40" s="49">
        <f t="shared" si="335"/>
        <v>44146</v>
      </c>
      <c r="HQ40" s="49">
        <f t="shared" si="335"/>
        <v>44147</v>
      </c>
      <c r="HR40" s="49">
        <f t="shared" si="335"/>
        <v>44148</v>
      </c>
      <c r="HS40" s="49">
        <f t="shared" si="335"/>
        <v>44149</v>
      </c>
      <c r="HT40" s="49">
        <f t="shared" ref="HT40" si="338">HT1</f>
        <v>44150</v>
      </c>
      <c r="HU40" s="49"/>
      <c r="HV40" s="49"/>
      <c r="HW40" s="49">
        <f t="shared" si="335"/>
        <v>44151</v>
      </c>
      <c r="HX40" s="49">
        <f t="shared" si="335"/>
        <v>44152</v>
      </c>
      <c r="HY40" s="49">
        <f t="shared" si="335"/>
        <v>44153</v>
      </c>
      <c r="HZ40" s="49">
        <f t="shared" si="335"/>
        <v>44154</v>
      </c>
      <c r="IA40" s="49">
        <f t="shared" si="335"/>
        <v>44155</v>
      </c>
      <c r="IB40" s="49">
        <f t="shared" si="335"/>
        <v>44156</v>
      </c>
      <c r="IC40" s="49">
        <f t="shared" ref="IC40" si="339">IC1</f>
        <v>44157</v>
      </c>
      <c r="ID40" s="49"/>
      <c r="IE40" s="49"/>
      <c r="IF40" s="49">
        <f t="shared" si="335"/>
        <v>44158</v>
      </c>
      <c r="IG40" s="49">
        <f t="shared" si="335"/>
        <v>44159</v>
      </c>
      <c r="IH40" s="49">
        <f t="shared" si="335"/>
        <v>44160</v>
      </c>
      <c r="II40" s="49">
        <f t="shared" si="335"/>
        <v>44161</v>
      </c>
      <c r="IJ40" s="49">
        <f t="shared" si="335"/>
        <v>44162</v>
      </c>
      <c r="IK40" s="49">
        <f t="shared" si="335"/>
        <v>44163</v>
      </c>
      <c r="IL40" s="49">
        <f t="shared" ref="IL40" si="340">IL1</f>
        <v>44164</v>
      </c>
      <c r="IM40" s="49"/>
      <c r="IN40" s="49"/>
      <c r="IO40" s="49">
        <f t="shared" si="335"/>
        <v>44165</v>
      </c>
      <c r="IP40" s="49">
        <f t="shared" ref="IP40:JU40" si="341">IP1</f>
        <v>44166</v>
      </c>
      <c r="IQ40" s="49">
        <f t="shared" si="341"/>
        <v>44167</v>
      </c>
      <c r="IR40" s="49">
        <f t="shared" si="341"/>
        <v>44168</v>
      </c>
      <c r="IS40" s="49">
        <f t="shared" si="341"/>
        <v>44169</v>
      </c>
      <c r="IT40" s="49">
        <f t="shared" si="341"/>
        <v>44170</v>
      </c>
      <c r="IU40" s="49">
        <f t="shared" si="341"/>
        <v>44171</v>
      </c>
      <c r="IV40" s="49">
        <f t="shared" si="341"/>
        <v>44172</v>
      </c>
      <c r="IW40" s="49">
        <f t="shared" si="341"/>
        <v>44173</v>
      </c>
      <c r="IX40" s="49">
        <f t="shared" si="341"/>
        <v>44174</v>
      </c>
      <c r="IY40" s="49">
        <f t="shared" si="341"/>
        <v>44175</v>
      </c>
      <c r="IZ40" s="49">
        <f t="shared" si="341"/>
        <v>44176</v>
      </c>
      <c r="JA40" s="49">
        <f t="shared" si="341"/>
        <v>44177</v>
      </c>
      <c r="JB40" s="49">
        <f t="shared" si="341"/>
        <v>44178</v>
      </c>
      <c r="JC40" s="49">
        <f t="shared" si="341"/>
        <v>44179</v>
      </c>
      <c r="JD40" s="49">
        <f t="shared" si="341"/>
        <v>44180</v>
      </c>
      <c r="JE40" s="49">
        <f t="shared" si="341"/>
        <v>44181</v>
      </c>
      <c r="JF40" s="49">
        <f t="shared" si="341"/>
        <v>44182</v>
      </c>
      <c r="JG40" s="49">
        <f t="shared" si="341"/>
        <v>44183</v>
      </c>
      <c r="JH40" s="49">
        <f t="shared" si="341"/>
        <v>44184</v>
      </c>
      <c r="JI40" s="49">
        <f t="shared" si="341"/>
        <v>44185</v>
      </c>
      <c r="JJ40" s="49">
        <f t="shared" si="341"/>
        <v>44186</v>
      </c>
      <c r="JK40" s="49">
        <f t="shared" si="341"/>
        <v>44187</v>
      </c>
      <c r="JL40" s="49">
        <f t="shared" si="341"/>
        <v>44188</v>
      </c>
      <c r="JM40" s="49">
        <f t="shared" si="341"/>
        <v>44189</v>
      </c>
      <c r="JN40" s="49">
        <f t="shared" si="341"/>
        <v>44190</v>
      </c>
      <c r="JO40" s="49">
        <f t="shared" si="341"/>
        <v>44191</v>
      </c>
      <c r="JP40" s="49">
        <f t="shared" si="341"/>
        <v>44192</v>
      </c>
      <c r="JQ40" s="49">
        <f t="shared" si="341"/>
        <v>44193</v>
      </c>
      <c r="JR40" s="49">
        <f t="shared" si="341"/>
        <v>44194</v>
      </c>
      <c r="JS40" s="49">
        <f t="shared" si="341"/>
        <v>44195</v>
      </c>
      <c r="JT40" s="49">
        <f t="shared" si="341"/>
        <v>44196</v>
      </c>
      <c r="JU40" s="49">
        <f t="shared" si="341"/>
        <v>44197</v>
      </c>
      <c r="JV40" s="49">
        <f t="shared" ref="JV40:LA40" si="342">JV1</f>
        <v>44198</v>
      </c>
      <c r="JW40" s="49">
        <f t="shared" si="342"/>
        <v>44199</v>
      </c>
      <c r="JX40" s="49">
        <f t="shared" si="342"/>
        <v>44200</v>
      </c>
      <c r="JY40" s="49">
        <f t="shared" si="342"/>
        <v>44201</v>
      </c>
      <c r="JZ40" s="49">
        <f t="shared" si="342"/>
        <v>44202</v>
      </c>
      <c r="KA40" s="49">
        <f t="shared" si="342"/>
        <v>44203</v>
      </c>
      <c r="KB40" s="49">
        <f t="shared" si="342"/>
        <v>44204</v>
      </c>
      <c r="KC40" s="49">
        <f t="shared" si="342"/>
        <v>44205</v>
      </c>
      <c r="KD40" s="49">
        <f t="shared" si="342"/>
        <v>44206</v>
      </c>
      <c r="KE40" s="49">
        <f t="shared" si="342"/>
        <v>44207</v>
      </c>
      <c r="KF40" s="49">
        <f t="shared" si="342"/>
        <v>44208</v>
      </c>
      <c r="KG40" s="49">
        <f t="shared" si="342"/>
        <v>44209</v>
      </c>
      <c r="KH40" s="49">
        <f t="shared" si="342"/>
        <v>44210</v>
      </c>
      <c r="KI40" s="49">
        <f t="shared" si="342"/>
        <v>44211</v>
      </c>
      <c r="KJ40" s="49">
        <f t="shared" si="342"/>
        <v>44212</v>
      </c>
      <c r="KK40" s="49">
        <f t="shared" si="342"/>
        <v>44213</v>
      </c>
      <c r="KL40" s="49">
        <f t="shared" si="342"/>
        <v>44214</v>
      </c>
      <c r="KM40" s="49">
        <f t="shared" si="342"/>
        <v>44215</v>
      </c>
      <c r="KN40" s="49">
        <f t="shared" si="342"/>
        <v>44216</v>
      </c>
      <c r="KO40" s="49">
        <f t="shared" si="342"/>
        <v>44217</v>
      </c>
      <c r="KP40" s="49">
        <f t="shared" si="342"/>
        <v>44218</v>
      </c>
      <c r="KQ40" s="49">
        <f t="shared" si="342"/>
        <v>44219</v>
      </c>
      <c r="KR40" s="49">
        <f t="shared" si="342"/>
        <v>44220</v>
      </c>
      <c r="KS40" s="49">
        <f t="shared" si="342"/>
        <v>44221</v>
      </c>
      <c r="KT40" s="49">
        <f t="shared" si="342"/>
        <v>44222</v>
      </c>
      <c r="KU40" s="49">
        <f t="shared" si="342"/>
        <v>44223</v>
      </c>
      <c r="KV40" s="49">
        <f t="shared" si="342"/>
        <v>44224</v>
      </c>
      <c r="KW40" s="49">
        <f t="shared" si="342"/>
        <v>44225</v>
      </c>
      <c r="KX40" s="49">
        <f t="shared" si="342"/>
        <v>44226</v>
      </c>
      <c r="KY40" s="49">
        <f t="shared" si="342"/>
        <v>44227</v>
      </c>
      <c r="KZ40" s="49">
        <f t="shared" si="342"/>
        <v>44228</v>
      </c>
      <c r="LA40" s="49">
        <f t="shared" si="342"/>
        <v>44229</v>
      </c>
      <c r="LB40" s="49">
        <f t="shared" ref="LB40:MG40" si="343">LB1</f>
        <v>44230</v>
      </c>
      <c r="LC40" s="49">
        <f t="shared" si="343"/>
        <v>44231</v>
      </c>
      <c r="LD40" s="49">
        <f t="shared" si="343"/>
        <v>44232</v>
      </c>
      <c r="LE40" s="49">
        <f t="shared" si="343"/>
        <v>44233</v>
      </c>
      <c r="LF40" s="49">
        <f t="shared" si="343"/>
        <v>44234</v>
      </c>
      <c r="LG40" s="49">
        <f t="shared" si="343"/>
        <v>44235</v>
      </c>
      <c r="LH40" s="49">
        <f t="shared" si="343"/>
        <v>44236</v>
      </c>
      <c r="LI40" s="49">
        <f t="shared" si="343"/>
        <v>44237</v>
      </c>
      <c r="LJ40" s="49">
        <f t="shared" si="343"/>
        <v>44238</v>
      </c>
      <c r="LK40" s="49">
        <f t="shared" si="343"/>
        <v>44239</v>
      </c>
      <c r="LL40" s="49">
        <f t="shared" si="343"/>
        <v>44240</v>
      </c>
      <c r="LM40" s="49">
        <f t="shared" si="343"/>
        <v>44241</v>
      </c>
      <c r="LN40" s="49">
        <f t="shared" si="343"/>
        <v>44242</v>
      </c>
      <c r="LO40" s="49">
        <f t="shared" si="343"/>
        <v>44243</v>
      </c>
      <c r="LP40" s="49">
        <f t="shared" si="343"/>
        <v>44244</v>
      </c>
      <c r="LQ40" s="49">
        <f t="shared" si="343"/>
        <v>44245</v>
      </c>
      <c r="LR40" s="49">
        <f t="shared" si="343"/>
        <v>44246</v>
      </c>
      <c r="LS40" s="49">
        <f t="shared" si="343"/>
        <v>44247</v>
      </c>
      <c r="LT40" s="49">
        <f t="shared" si="343"/>
        <v>44248</v>
      </c>
      <c r="LU40" s="49">
        <f t="shared" si="343"/>
        <v>44249</v>
      </c>
      <c r="LV40" s="49">
        <f t="shared" si="343"/>
        <v>44250</v>
      </c>
      <c r="LW40" s="49">
        <f t="shared" si="343"/>
        <v>44251</v>
      </c>
      <c r="LX40" s="49">
        <f t="shared" si="343"/>
        <v>44252</v>
      </c>
      <c r="LY40" s="49">
        <f t="shared" si="343"/>
        <v>44253</v>
      </c>
      <c r="LZ40" s="49">
        <f t="shared" si="343"/>
        <v>44254</v>
      </c>
      <c r="MA40" s="49">
        <f t="shared" si="343"/>
        <v>44255</v>
      </c>
      <c r="MB40" s="49">
        <f t="shared" si="343"/>
        <v>44256</v>
      </c>
      <c r="MC40" s="49">
        <f t="shared" si="343"/>
        <v>44257</v>
      </c>
      <c r="MD40" s="49">
        <f t="shared" si="343"/>
        <v>44258</v>
      </c>
      <c r="ME40" s="49">
        <f t="shared" si="343"/>
        <v>44259</v>
      </c>
      <c r="MF40" s="49">
        <f t="shared" si="343"/>
        <v>44260</v>
      </c>
      <c r="MG40" s="49">
        <f t="shared" si="343"/>
        <v>44261</v>
      </c>
      <c r="MH40" s="49">
        <f t="shared" ref="MH40:NJ40" si="344">MH1</f>
        <v>44262</v>
      </c>
      <c r="MI40" s="49">
        <f t="shared" si="344"/>
        <v>44263</v>
      </c>
      <c r="MJ40" s="49">
        <f t="shared" si="344"/>
        <v>44264</v>
      </c>
      <c r="MK40" s="49">
        <f t="shared" si="344"/>
        <v>44265</v>
      </c>
      <c r="ML40" s="49">
        <f t="shared" si="344"/>
        <v>44266</v>
      </c>
      <c r="MM40" s="49">
        <f t="shared" si="344"/>
        <v>44267</v>
      </c>
      <c r="MN40" s="49">
        <f t="shared" si="344"/>
        <v>44268</v>
      </c>
      <c r="MO40" s="49">
        <f t="shared" si="344"/>
        <v>44269</v>
      </c>
      <c r="MP40" s="49">
        <f t="shared" si="344"/>
        <v>44270</v>
      </c>
      <c r="MQ40" s="49">
        <f t="shared" si="344"/>
        <v>44271</v>
      </c>
      <c r="MR40" s="49">
        <f t="shared" si="344"/>
        <v>44272</v>
      </c>
      <c r="MS40" s="49">
        <f t="shared" si="344"/>
        <v>44273</v>
      </c>
      <c r="MT40" s="49">
        <f t="shared" si="344"/>
        <v>44274</v>
      </c>
      <c r="MU40" s="49">
        <f t="shared" si="344"/>
        <v>44275</v>
      </c>
      <c r="MV40" s="49">
        <f t="shared" si="344"/>
        <v>44276</v>
      </c>
      <c r="MW40" s="49">
        <f t="shared" si="344"/>
        <v>44277</v>
      </c>
      <c r="MX40" s="49">
        <f t="shared" si="344"/>
        <v>44278</v>
      </c>
      <c r="MY40" s="49">
        <f t="shared" si="344"/>
        <v>44279</v>
      </c>
      <c r="MZ40" s="49">
        <f t="shared" si="344"/>
        <v>44280</v>
      </c>
      <c r="NA40" s="49">
        <f t="shared" si="344"/>
        <v>44281</v>
      </c>
      <c r="NB40" s="49">
        <f t="shared" si="344"/>
        <v>44282</v>
      </c>
      <c r="NC40" s="49">
        <f t="shared" si="344"/>
        <v>44283</v>
      </c>
      <c r="ND40" s="49">
        <f t="shared" si="344"/>
        <v>44284</v>
      </c>
      <c r="NE40" s="49">
        <f t="shared" si="344"/>
        <v>44285</v>
      </c>
      <c r="NF40" s="49">
        <f t="shared" si="344"/>
        <v>44286</v>
      </c>
      <c r="NG40" s="49">
        <f t="shared" si="344"/>
        <v>44287</v>
      </c>
      <c r="NH40" s="49">
        <f t="shared" si="344"/>
        <v>44288</v>
      </c>
      <c r="NI40" s="49">
        <f t="shared" si="344"/>
        <v>44289</v>
      </c>
      <c r="NJ40" s="49">
        <f t="shared" si="344"/>
        <v>44290</v>
      </c>
    </row>
    <row r="41" spans="1:374" ht="15" customHeight="1" x14ac:dyDescent="0.25">
      <c r="A41" s="221" t="s">
        <v>144</v>
      </c>
      <c r="B41" s="221"/>
      <c r="C41" s="221"/>
      <c r="D41" s="221"/>
      <c r="E41" s="222"/>
      <c r="F41" s="36"/>
      <c r="G41" s="36"/>
      <c r="H41" s="36"/>
      <c r="I41" s="36"/>
      <c r="J41" s="36"/>
      <c r="K41" s="36"/>
      <c r="L41" s="36"/>
      <c r="M41" s="36"/>
      <c r="N41" s="36"/>
      <c r="O41" s="35"/>
      <c r="P41" s="231" t="s">
        <v>49</v>
      </c>
      <c r="Q41" s="231" t="s">
        <v>48</v>
      </c>
      <c r="R41" s="232"/>
      <c r="S41" s="54">
        <f>S40</f>
        <v>43975</v>
      </c>
      <c r="T41" s="55">
        <f t="shared" ref="T41:BV41" si="345">T40</f>
        <v>43976</v>
      </c>
      <c r="U41" s="54">
        <f t="shared" si="345"/>
        <v>43977</v>
      </c>
      <c r="V41" s="54">
        <f t="shared" si="345"/>
        <v>43978</v>
      </c>
      <c r="W41" s="54">
        <f t="shared" si="345"/>
        <v>43979</v>
      </c>
      <c r="X41" s="54">
        <f t="shared" si="345"/>
        <v>43980</v>
      </c>
      <c r="Y41" s="54">
        <f t="shared" si="345"/>
        <v>43981</v>
      </c>
      <c r="Z41" s="53">
        <f t="shared" si="345"/>
        <v>43982</v>
      </c>
      <c r="AA41" s="54">
        <f t="shared" si="345"/>
        <v>43983</v>
      </c>
      <c r="AB41" s="54">
        <f t="shared" si="345"/>
        <v>43984</v>
      </c>
      <c r="AC41" s="54">
        <f t="shared" si="345"/>
        <v>43985</v>
      </c>
      <c r="AD41" s="54">
        <f t="shared" si="345"/>
        <v>43986</v>
      </c>
      <c r="AE41" s="54">
        <f t="shared" si="345"/>
        <v>43987</v>
      </c>
      <c r="AF41" s="54">
        <f t="shared" si="345"/>
        <v>43988</v>
      </c>
      <c r="AG41" s="53">
        <f t="shared" si="345"/>
        <v>43989</v>
      </c>
      <c r="AH41" s="54">
        <f t="shared" si="345"/>
        <v>43990</v>
      </c>
      <c r="AI41" s="54">
        <f t="shared" si="345"/>
        <v>43991</v>
      </c>
      <c r="AJ41" s="54">
        <f t="shared" si="345"/>
        <v>43992</v>
      </c>
      <c r="AK41" s="54">
        <f t="shared" si="345"/>
        <v>43993</v>
      </c>
      <c r="AL41" s="54">
        <f t="shared" si="345"/>
        <v>43994</v>
      </c>
      <c r="AM41" s="54">
        <f t="shared" si="345"/>
        <v>43995</v>
      </c>
      <c r="AN41" s="53">
        <f t="shared" si="345"/>
        <v>43996</v>
      </c>
      <c r="AO41" s="54">
        <f t="shared" si="345"/>
        <v>43997</v>
      </c>
      <c r="AP41" s="54">
        <f t="shared" si="345"/>
        <v>43998</v>
      </c>
      <c r="AQ41" s="54">
        <f t="shared" si="345"/>
        <v>43999</v>
      </c>
      <c r="AR41" s="54">
        <f t="shared" si="345"/>
        <v>44000</v>
      </c>
      <c r="AS41" s="54">
        <f t="shared" si="345"/>
        <v>44001</v>
      </c>
      <c r="AT41" s="54">
        <f t="shared" si="345"/>
        <v>44002</v>
      </c>
      <c r="AU41" s="53">
        <f t="shared" si="345"/>
        <v>44003</v>
      </c>
      <c r="AV41" s="54">
        <f t="shared" si="345"/>
        <v>44004</v>
      </c>
      <c r="AW41" s="54">
        <f t="shared" si="345"/>
        <v>44005</v>
      </c>
      <c r="AX41" s="54">
        <f t="shared" si="345"/>
        <v>44006</v>
      </c>
      <c r="AY41" s="54">
        <f t="shared" si="345"/>
        <v>44007</v>
      </c>
      <c r="AZ41" s="54">
        <f t="shared" si="345"/>
        <v>44008</v>
      </c>
      <c r="BA41" s="54">
        <f t="shared" si="345"/>
        <v>44009</v>
      </c>
      <c r="BB41" s="53">
        <f t="shared" si="345"/>
        <v>44010</v>
      </c>
      <c r="BC41" s="54">
        <f t="shared" si="345"/>
        <v>44011</v>
      </c>
      <c r="BD41" s="54">
        <f t="shared" si="345"/>
        <v>44012</v>
      </c>
      <c r="BE41" s="54">
        <f t="shared" si="345"/>
        <v>44013</v>
      </c>
      <c r="BF41" s="54">
        <f t="shared" si="345"/>
        <v>44014</v>
      </c>
      <c r="BG41" s="54">
        <f t="shared" si="345"/>
        <v>44015</v>
      </c>
      <c r="BH41" s="54">
        <f t="shared" si="345"/>
        <v>44016</v>
      </c>
      <c r="BI41" s="53">
        <f t="shared" si="345"/>
        <v>44017</v>
      </c>
      <c r="BJ41" s="54">
        <f t="shared" si="345"/>
        <v>44018</v>
      </c>
      <c r="BK41" s="54">
        <f t="shared" si="345"/>
        <v>44019</v>
      </c>
      <c r="BL41" s="54">
        <f t="shared" si="345"/>
        <v>44020</v>
      </c>
      <c r="BM41" s="54">
        <f t="shared" si="345"/>
        <v>44021</v>
      </c>
      <c r="BN41" s="54">
        <f t="shared" si="345"/>
        <v>44022</v>
      </c>
      <c r="BO41" s="54">
        <f t="shared" si="345"/>
        <v>44023</v>
      </c>
      <c r="BP41" s="53">
        <v>12</v>
      </c>
      <c r="BQ41" s="54">
        <f t="shared" si="345"/>
        <v>44025</v>
      </c>
      <c r="BR41" s="54">
        <f t="shared" si="345"/>
        <v>44026</v>
      </c>
      <c r="BS41" s="54">
        <f t="shared" si="345"/>
        <v>44027</v>
      </c>
      <c r="BT41" s="54">
        <f t="shared" si="345"/>
        <v>44028</v>
      </c>
      <c r="BU41" s="54">
        <f t="shared" si="345"/>
        <v>44029</v>
      </c>
      <c r="BV41" s="54">
        <f t="shared" si="345"/>
        <v>44030</v>
      </c>
      <c r="BW41" s="54">
        <v>19</v>
      </c>
      <c r="BX41" s="54"/>
      <c r="BY41" s="53"/>
      <c r="BZ41" s="54"/>
      <c r="CA41" s="54"/>
      <c r="CB41" s="54"/>
      <c r="CC41" s="54"/>
      <c r="CD41" s="54"/>
      <c r="CE41" s="54"/>
      <c r="CF41" s="54"/>
      <c r="CG41" s="54"/>
      <c r="CH41" s="53"/>
      <c r="CI41" s="54"/>
      <c r="CJ41" s="54"/>
      <c r="CK41" s="54"/>
      <c r="CL41" s="54"/>
      <c r="CM41" s="54"/>
      <c r="CN41" s="54"/>
      <c r="CO41" s="54"/>
      <c r="CP41" s="54"/>
      <c r="CQ41" s="53"/>
      <c r="CR41" s="54"/>
      <c r="CS41" s="54"/>
      <c r="CT41" s="54"/>
      <c r="CU41" s="54"/>
      <c r="CV41" s="54"/>
      <c r="CW41" s="54"/>
      <c r="CX41" s="54"/>
      <c r="CY41" s="54"/>
      <c r="CZ41" s="53"/>
      <c r="DA41" s="54"/>
      <c r="DB41" s="54"/>
      <c r="DC41" s="54"/>
      <c r="DD41" s="54"/>
      <c r="DE41" s="54"/>
      <c r="DF41" s="54"/>
      <c r="DG41" s="54"/>
      <c r="DH41" s="54"/>
      <c r="DI41" s="53"/>
      <c r="DJ41" s="54"/>
      <c r="DK41" s="54"/>
      <c r="DL41" s="54"/>
      <c r="DM41" s="54"/>
      <c r="DN41" s="54"/>
      <c r="DO41" s="54"/>
      <c r="DP41" s="54"/>
      <c r="DQ41" s="54"/>
      <c r="DR41" s="53"/>
      <c r="DS41" s="54">
        <f t="shared" ref="DS41:FL41" si="346">DS40</f>
        <v>44067</v>
      </c>
      <c r="DT41" s="54">
        <f t="shared" si="346"/>
        <v>44068</v>
      </c>
      <c r="DU41" s="54">
        <f t="shared" si="346"/>
        <v>44069</v>
      </c>
      <c r="DV41" s="54">
        <f t="shared" si="346"/>
        <v>44070</v>
      </c>
      <c r="DW41" s="54">
        <f t="shared" si="346"/>
        <v>44071</v>
      </c>
      <c r="DX41" s="54">
        <f t="shared" ref="DX41:DY41" si="347">DX40</f>
        <v>44072</v>
      </c>
      <c r="DY41" s="54">
        <f t="shared" si="347"/>
        <v>44073</v>
      </c>
      <c r="DZ41" s="54"/>
      <c r="EA41" s="53"/>
      <c r="EB41" s="54">
        <f t="shared" si="346"/>
        <v>44074</v>
      </c>
      <c r="EC41" s="54">
        <f t="shared" si="346"/>
        <v>44075</v>
      </c>
      <c r="ED41" s="54">
        <f t="shared" si="346"/>
        <v>44076</v>
      </c>
      <c r="EE41" s="54">
        <f t="shared" si="346"/>
        <v>44077</v>
      </c>
      <c r="EF41" s="54">
        <f t="shared" si="346"/>
        <v>44078</v>
      </c>
      <c r="EG41" s="54">
        <f t="shared" si="346"/>
        <v>44079</v>
      </c>
      <c r="EH41" s="54">
        <f t="shared" si="346"/>
        <v>44080</v>
      </c>
      <c r="EI41" s="54"/>
      <c r="EJ41" s="53"/>
      <c r="EK41" s="54">
        <f t="shared" si="346"/>
        <v>44081</v>
      </c>
      <c r="EL41" s="54">
        <f t="shared" si="346"/>
        <v>44082</v>
      </c>
      <c r="EM41" s="54">
        <f t="shared" si="346"/>
        <v>44083</v>
      </c>
      <c r="EN41" s="54">
        <f t="shared" si="346"/>
        <v>44084</v>
      </c>
      <c r="EO41" s="54">
        <f t="shared" si="346"/>
        <v>44085</v>
      </c>
      <c r="EP41" s="54">
        <f t="shared" si="346"/>
        <v>44086</v>
      </c>
      <c r="EQ41" s="54">
        <f t="shared" si="346"/>
        <v>44087</v>
      </c>
      <c r="ER41" s="54"/>
      <c r="ES41" s="53"/>
      <c r="ET41" s="54">
        <f t="shared" si="346"/>
        <v>44088</v>
      </c>
      <c r="EU41" s="54">
        <f t="shared" si="346"/>
        <v>44089</v>
      </c>
      <c r="EV41" s="54">
        <f t="shared" si="346"/>
        <v>44090</v>
      </c>
      <c r="EW41" s="54">
        <f t="shared" si="346"/>
        <v>44091</v>
      </c>
      <c r="EX41" s="54">
        <f t="shared" si="346"/>
        <v>44092</v>
      </c>
      <c r="EY41" s="54">
        <f t="shared" si="346"/>
        <v>44093</v>
      </c>
      <c r="EZ41" s="54">
        <f t="shared" si="346"/>
        <v>44094</v>
      </c>
      <c r="FA41" s="54"/>
      <c r="FB41" s="53"/>
      <c r="FC41" s="54">
        <f t="shared" si="346"/>
        <v>44095</v>
      </c>
      <c r="FD41" s="54">
        <f t="shared" si="346"/>
        <v>44096</v>
      </c>
      <c r="FE41" s="54">
        <f t="shared" si="346"/>
        <v>44097</v>
      </c>
      <c r="FF41" s="54">
        <f t="shared" si="346"/>
        <v>44098</v>
      </c>
      <c r="FG41" s="54">
        <f t="shared" si="346"/>
        <v>44099</v>
      </c>
      <c r="FH41" s="54">
        <f t="shared" si="346"/>
        <v>44100</v>
      </c>
      <c r="FI41" s="54">
        <f t="shared" si="346"/>
        <v>44101</v>
      </c>
      <c r="FJ41" s="54"/>
      <c r="FK41" s="53"/>
      <c r="FL41" s="54">
        <f t="shared" si="346"/>
        <v>44102</v>
      </c>
      <c r="FM41" s="54">
        <f t="shared" ref="FM41:IP41" si="348">FM40</f>
        <v>44103</v>
      </c>
      <c r="FN41" s="54">
        <f t="shared" si="348"/>
        <v>44104</v>
      </c>
      <c r="FO41" s="54">
        <f t="shared" si="348"/>
        <v>44105</v>
      </c>
      <c r="FP41" s="54">
        <f t="shared" si="348"/>
        <v>44106</v>
      </c>
      <c r="FQ41" s="54">
        <f t="shared" si="348"/>
        <v>44107</v>
      </c>
      <c r="FR41" s="54">
        <f t="shared" si="348"/>
        <v>44108</v>
      </c>
      <c r="FS41" s="54"/>
      <c r="FT41" s="53"/>
      <c r="FU41" s="54">
        <f t="shared" si="348"/>
        <v>44109</v>
      </c>
      <c r="FV41" s="54">
        <f t="shared" si="348"/>
        <v>44110</v>
      </c>
      <c r="FW41" s="54">
        <f t="shared" si="348"/>
        <v>44111</v>
      </c>
      <c r="FX41" s="54">
        <f t="shared" si="348"/>
        <v>44112</v>
      </c>
      <c r="FY41" s="54">
        <f t="shared" si="348"/>
        <v>44113</v>
      </c>
      <c r="FZ41" s="54">
        <f t="shared" si="348"/>
        <v>44114</v>
      </c>
      <c r="GA41" s="54">
        <f t="shared" ref="GA41" si="349">GA40</f>
        <v>44115</v>
      </c>
      <c r="GB41" s="54"/>
      <c r="GC41" s="53"/>
      <c r="GD41" s="54">
        <f t="shared" si="348"/>
        <v>44116</v>
      </c>
      <c r="GE41" s="54">
        <f t="shared" si="348"/>
        <v>44117</v>
      </c>
      <c r="GF41" s="54">
        <f t="shared" si="348"/>
        <v>44118</v>
      </c>
      <c r="GG41" s="54">
        <f t="shared" si="348"/>
        <v>44119</v>
      </c>
      <c r="GH41" s="54">
        <f t="shared" si="348"/>
        <v>44120</v>
      </c>
      <c r="GI41" s="54">
        <f t="shared" si="348"/>
        <v>44121</v>
      </c>
      <c r="GJ41" s="54">
        <f t="shared" si="348"/>
        <v>44122</v>
      </c>
      <c r="GK41" s="54"/>
      <c r="GL41" s="53"/>
      <c r="GM41" s="54">
        <f t="shared" si="348"/>
        <v>44123</v>
      </c>
      <c r="GN41" s="54">
        <f t="shared" si="348"/>
        <v>44124</v>
      </c>
      <c r="GO41" s="54">
        <f t="shared" si="348"/>
        <v>44125</v>
      </c>
      <c r="GP41" s="54">
        <f t="shared" si="348"/>
        <v>44126</v>
      </c>
      <c r="GQ41" s="54">
        <f t="shared" si="348"/>
        <v>44127</v>
      </c>
      <c r="GR41" s="54">
        <f t="shared" si="348"/>
        <v>44128</v>
      </c>
      <c r="GS41" s="54">
        <f t="shared" si="348"/>
        <v>44129</v>
      </c>
      <c r="GT41" s="54"/>
      <c r="GU41" s="53"/>
      <c r="GV41" s="54">
        <f t="shared" si="348"/>
        <v>44130</v>
      </c>
      <c r="GW41" s="54">
        <f t="shared" si="348"/>
        <v>44131</v>
      </c>
      <c r="GX41" s="54">
        <f t="shared" si="348"/>
        <v>44132</v>
      </c>
      <c r="GY41" s="54">
        <f t="shared" si="348"/>
        <v>44133</v>
      </c>
      <c r="GZ41" s="54">
        <f t="shared" si="348"/>
        <v>44134</v>
      </c>
      <c r="HA41" s="54">
        <f t="shared" si="348"/>
        <v>44135</v>
      </c>
      <c r="HB41" s="54">
        <f t="shared" ref="HB41" si="350">HB40</f>
        <v>44136</v>
      </c>
      <c r="HC41" s="54"/>
      <c r="HD41" s="53"/>
      <c r="HE41" s="54">
        <f t="shared" si="348"/>
        <v>44137</v>
      </c>
      <c r="HF41" s="54">
        <f t="shared" si="348"/>
        <v>44138</v>
      </c>
      <c r="HG41" s="54">
        <f t="shared" si="348"/>
        <v>44139</v>
      </c>
      <c r="HH41" s="54">
        <f t="shared" si="348"/>
        <v>44140</v>
      </c>
      <c r="HI41" s="54">
        <f t="shared" si="348"/>
        <v>44141</v>
      </c>
      <c r="HJ41" s="54">
        <f t="shared" si="348"/>
        <v>44142</v>
      </c>
      <c r="HK41" s="54">
        <f t="shared" ref="HK41" si="351">HK40</f>
        <v>44143</v>
      </c>
      <c r="HL41" s="54"/>
      <c r="HM41" s="53"/>
      <c r="HN41" s="54">
        <f t="shared" si="348"/>
        <v>44144</v>
      </c>
      <c r="HO41" s="54">
        <f t="shared" si="348"/>
        <v>44145</v>
      </c>
      <c r="HP41" s="54">
        <f t="shared" si="348"/>
        <v>44146</v>
      </c>
      <c r="HQ41" s="54">
        <f t="shared" si="348"/>
        <v>44147</v>
      </c>
      <c r="HR41" s="54">
        <f t="shared" si="348"/>
        <v>44148</v>
      </c>
      <c r="HS41" s="54">
        <f t="shared" si="348"/>
        <v>44149</v>
      </c>
      <c r="HT41" s="54">
        <f t="shared" ref="HT41" si="352">HT40</f>
        <v>44150</v>
      </c>
      <c r="HU41" s="54"/>
      <c r="HV41" s="53"/>
      <c r="HW41" s="54">
        <f t="shared" si="348"/>
        <v>44151</v>
      </c>
      <c r="HX41" s="54">
        <f t="shared" si="348"/>
        <v>44152</v>
      </c>
      <c r="HY41" s="54">
        <f t="shared" si="348"/>
        <v>44153</v>
      </c>
      <c r="HZ41" s="54">
        <f t="shared" si="348"/>
        <v>44154</v>
      </c>
      <c r="IA41" s="54">
        <f t="shared" si="348"/>
        <v>44155</v>
      </c>
      <c r="IB41" s="54">
        <f t="shared" si="348"/>
        <v>44156</v>
      </c>
      <c r="IC41" s="54">
        <f t="shared" ref="IC41" si="353">IC40</f>
        <v>44157</v>
      </c>
      <c r="ID41" s="54"/>
      <c r="IE41" s="53"/>
      <c r="IF41" s="54">
        <f t="shared" si="348"/>
        <v>44158</v>
      </c>
      <c r="IG41" s="54">
        <f t="shared" si="348"/>
        <v>44159</v>
      </c>
      <c r="IH41" s="54">
        <f t="shared" si="348"/>
        <v>44160</v>
      </c>
      <c r="II41" s="54">
        <f t="shared" si="348"/>
        <v>44161</v>
      </c>
      <c r="IJ41" s="54">
        <f t="shared" si="348"/>
        <v>44162</v>
      </c>
      <c r="IK41" s="54">
        <f t="shared" si="348"/>
        <v>44163</v>
      </c>
      <c r="IL41" s="54">
        <f t="shared" ref="IL41" si="354">IL40</f>
        <v>44164</v>
      </c>
      <c r="IM41" s="54"/>
      <c r="IN41" s="53"/>
      <c r="IO41" s="54">
        <f t="shared" si="348"/>
        <v>44165</v>
      </c>
      <c r="IP41" s="54">
        <f t="shared" si="348"/>
        <v>44166</v>
      </c>
      <c r="IQ41" s="54">
        <f t="shared" ref="IQ41:LB41" si="355">IQ40</f>
        <v>44167</v>
      </c>
      <c r="IR41" s="54">
        <f t="shared" si="355"/>
        <v>44168</v>
      </c>
      <c r="IS41" s="54">
        <f t="shared" si="355"/>
        <v>44169</v>
      </c>
      <c r="IT41" s="54">
        <f t="shared" si="355"/>
        <v>44170</v>
      </c>
      <c r="IU41" s="53">
        <f t="shared" si="355"/>
        <v>44171</v>
      </c>
      <c r="IV41" s="54">
        <f t="shared" si="355"/>
        <v>44172</v>
      </c>
      <c r="IW41" s="54">
        <f t="shared" si="355"/>
        <v>44173</v>
      </c>
      <c r="IX41" s="54">
        <f t="shared" si="355"/>
        <v>44174</v>
      </c>
      <c r="IY41" s="54">
        <f t="shared" si="355"/>
        <v>44175</v>
      </c>
      <c r="IZ41" s="54">
        <f t="shared" si="355"/>
        <v>44176</v>
      </c>
      <c r="JA41" s="54">
        <f t="shared" si="355"/>
        <v>44177</v>
      </c>
      <c r="JB41" s="53">
        <f t="shared" si="355"/>
        <v>44178</v>
      </c>
      <c r="JC41" s="54">
        <f t="shared" si="355"/>
        <v>44179</v>
      </c>
      <c r="JD41" s="54">
        <f t="shared" si="355"/>
        <v>44180</v>
      </c>
      <c r="JE41" s="54">
        <f t="shared" si="355"/>
        <v>44181</v>
      </c>
      <c r="JF41" s="54">
        <f t="shared" si="355"/>
        <v>44182</v>
      </c>
      <c r="JG41" s="54">
        <f t="shared" si="355"/>
        <v>44183</v>
      </c>
      <c r="JH41" s="54">
        <f t="shared" si="355"/>
        <v>44184</v>
      </c>
      <c r="JI41" s="53">
        <f t="shared" si="355"/>
        <v>44185</v>
      </c>
      <c r="JJ41" s="54">
        <f t="shared" si="355"/>
        <v>44186</v>
      </c>
      <c r="JK41" s="54">
        <f t="shared" si="355"/>
        <v>44187</v>
      </c>
      <c r="JL41" s="54">
        <f t="shared" si="355"/>
        <v>44188</v>
      </c>
      <c r="JM41" s="54">
        <f t="shared" si="355"/>
        <v>44189</v>
      </c>
      <c r="JN41" s="54">
        <f t="shared" si="355"/>
        <v>44190</v>
      </c>
      <c r="JO41" s="54">
        <f t="shared" si="355"/>
        <v>44191</v>
      </c>
      <c r="JP41" s="53">
        <f t="shared" si="355"/>
        <v>44192</v>
      </c>
      <c r="JQ41" s="54">
        <f t="shared" si="355"/>
        <v>44193</v>
      </c>
      <c r="JR41" s="54">
        <f t="shared" si="355"/>
        <v>44194</v>
      </c>
      <c r="JS41" s="54">
        <f t="shared" si="355"/>
        <v>44195</v>
      </c>
      <c r="JT41" s="54">
        <f t="shared" si="355"/>
        <v>44196</v>
      </c>
      <c r="JU41" s="54">
        <f t="shared" si="355"/>
        <v>44197</v>
      </c>
      <c r="JV41" s="54">
        <f t="shared" si="355"/>
        <v>44198</v>
      </c>
      <c r="JW41" s="53">
        <f t="shared" si="355"/>
        <v>44199</v>
      </c>
      <c r="JX41" s="54">
        <f t="shared" si="355"/>
        <v>44200</v>
      </c>
      <c r="JY41" s="54">
        <f t="shared" si="355"/>
        <v>44201</v>
      </c>
      <c r="JZ41" s="54">
        <f t="shared" si="355"/>
        <v>44202</v>
      </c>
      <c r="KA41" s="54">
        <f t="shared" si="355"/>
        <v>44203</v>
      </c>
      <c r="KB41" s="54">
        <f t="shared" si="355"/>
        <v>44204</v>
      </c>
      <c r="KC41" s="54">
        <f t="shared" si="355"/>
        <v>44205</v>
      </c>
      <c r="KD41" s="53">
        <f t="shared" si="355"/>
        <v>44206</v>
      </c>
      <c r="KE41" s="54">
        <f t="shared" si="355"/>
        <v>44207</v>
      </c>
      <c r="KF41" s="54">
        <f t="shared" si="355"/>
        <v>44208</v>
      </c>
      <c r="KG41" s="54">
        <f t="shared" si="355"/>
        <v>44209</v>
      </c>
      <c r="KH41" s="54">
        <f t="shared" si="355"/>
        <v>44210</v>
      </c>
      <c r="KI41" s="54">
        <f t="shared" si="355"/>
        <v>44211</v>
      </c>
      <c r="KJ41" s="54">
        <f t="shared" si="355"/>
        <v>44212</v>
      </c>
      <c r="KK41" s="53">
        <f t="shared" si="355"/>
        <v>44213</v>
      </c>
      <c r="KL41" s="54">
        <f t="shared" si="355"/>
        <v>44214</v>
      </c>
      <c r="KM41" s="54">
        <f t="shared" si="355"/>
        <v>44215</v>
      </c>
      <c r="KN41" s="54">
        <f t="shared" si="355"/>
        <v>44216</v>
      </c>
      <c r="KO41" s="54">
        <f t="shared" si="355"/>
        <v>44217</v>
      </c>
      <c r="KP41" s="54">
        <f t="shared" si="355"/>
        <v>44218</v>
      </c>
      <c r="KQ41" s="54">
        <f t="shared" si="355"/>
        <v>44219</v>
      </c>
      <c r="KR41" s="53">
        <f t="shared" si="355"/>
        <v>44220</v>
      </c>
      <c r="KS41" s="54">
        <f t="shared" si="355"/>
        <v>44221</v>
      </c>
      <c r="KT41" s="54">
        <f t="shared" si="355"/>
        <v>44222</v>
      </c>
      <c r="KU41" s="54">
        <f t="shared" si="355"/>
        <v>44223</v>
      </c>
      <c r="KV41" s="54">
        <f t="shared" si="355"/>
        <v>44224</v>
      </c>
      <c r="KW41" s="54">
        <f t="shared" si="355"/>
        <v>44225</v>
      </c>
      <c r="KX41" s="54">
        <f t="shared" si="355"/>
        <v>44226</v>
      </c>
      <c r="KY41" s="53">
        <f t="shared" si="355"/>
        <v>44227</v>
      </c>
      <c r="KZ41" s="54">
        <f t="shared" si="355"/>
        <v>44228</v>
      </c>
      <c r="LA41" s="54">
        <f t="shared" si="355"/>
        <v>44229</v>
      </c>
      <c r="LB41" s="54">
        <f t="shared" si="355"/>
        <v>44230</v>
      </c>
      <c r="LC41" s="54">
        <f t="shared" ref="LC41:NJ41" si="356">LC40</f>
        <v>44231</v>
      </c>
      <c r="LD41" s="54">
        <f t="shared" si="356"/>
        <v>44232</v>
      </c>
      <c r="LE41" s="54">
        <f t="shared" si="356"/>
        <v>44233</v>
      </c>
      <c r="LF41" s="53">
        <f t="shared" si="356"/>
        <v>44234</v>
      </c>
      <c r="LG41" s="54">
        <f t="shared" si="356"/>
        <v>44235</v>
      </c>
      <c r="LH41" s="54">
        <f t="shared" si="356"/>
        <v>44236</v>
      </c>
      <c r="LI41" s="54">
        <f t="shared" si="356"/>
        <v>44237</v>
      </c>
      <c r="LJ41" s="54">
        <f t="shared" si="356"/>
        <v>44238</v>
      </c>
      <c r="LK41" s="54">
        <f t="shared" si="356"/>
        <v>44239</v>
      </c>
      <c r="LL41" s="54">
        <f t="shared" si="356"/>
        <v>44240</v>
      </c>
      <c r="LM41" s="53">
        <f t="shared" si="356"/>
        <v>44241</v>
      </c>
      <c r="LN41" s="54">
        <f t="shared" si="356"/>
        <v>44242</v>
      </c>
      <c r="LO41" s="54">
        <f t="shared" si="356"/>
        <v>44243</v>
      </c>
      <c r="LP41" s="54">
        <f t="shared" si="356"/>
        <v>44244</v>
      </c>
      <c r="LQ41" s="54">
        <f t="shared" si="356"/>
        <v>44245</v>
      </c>
      <c r="LR41" s="54">
        <f t="shared" si="356"/>
        <v>44246</v>
      </c>
      <c r="LS41" s="54">
        <f t="shared" si="356"/>
        <v>44247</v>
      </c>
      <c r="LT41" s="53">
        <f t="shared" si="356"/>
        <v>44248</v>
      </c>
      <c r="LU41" s="54">
        <f t="shared" si="356"/>
        <v>44249</v>
      </c>
      <c r="LV41" s="54">
        <f t="shared" si="356"/>
        <v>44250</v>
      </c>
      <c r="LW41" s="54">
        <f t="shared" si="356"/>
        <v>44251</v>
      </c>
      <c r="LX41" s="54">
        <f t="shared" si="356"/>
        <v>44252</v>
      </c>
      <c r="LY41" s="54">
        <f t="shared" si="356"/>
        <v>44253</v>
      </c>
      <c r="LZ41" s="54">
        <f t="shared" si="356"/>
        <v>44254</v>
      </c>
      <c r="MA41" s="53">
        <f t="shared" si="356"/>
        <v>44255</v>
      </c>
      <c r="MB41" s="54">
        <f t="shared" si="356"/>
        <v>44256</v>
      </c>
      <c r="MC41" s="54">
        <f t="shared" si="356"/>
        <v>44257</v>
      </c>
      <c r="MD41" s="54">
        <f t="shared" si="356"/>
        <v>44258</v>
      </c>
      <c r="ME41" s="54">
        <f t="shared" si="356"/>
        <v>44259</v>
      </c>
      <c r="MF41" s="54">
        <f t="shared" si="356"/>
        <v>44260</v>
      </c>
      <c r="MG41" s="54">
        <f t="shared" si="356"/>
        <v>44261</v>
      </c>
      <c r="MH41" s="53">
        <f t="shared" si="356"/>
        <v>44262</v>
      </c>
      <c r="MI41" s="54">
        <f t="shared" si="356"/>
        <v>44263</v>
      </c>
      <c r="MJ41" s="54">
        <f t="shared" si="356"/>
        <v>44264</v>
      </c>
      <c r="MK41" s="54">
        <f t="shared" si="356"/>
        <v>44265</v>
      </c>
      <c r="ML41" s="54">
        <f t="shared" si="356"/>
        <v>44266</v>
      </c>
      <c r="MM41" s="54">
        <f t="shared" si="356"/>
        <v>44267</v>
      </c>
      <c r="MN41" s="54">
        <f t="shared" si="356"/>
        <v>44268</v>
      </c>
      <c r="MO41" s="53">
        <f t="shared" si="356"/>
        <v>44269</v>
      </c>
      <c r="MP41" s="54">
        <f t="shared" si="356"/>
        <v>44270</v>
      </c>
      <c r="MQ41" s="54">
        <f t="shared" si="356"/>
        <v>44271</v>
      </c>
      <c r="MR41" s="54">
        <f t="shared" si="356"/>
        <v>44272</v>
      </c>
      <c r="MS41" s="54">
        <f t="shared" si="356"/>
        <v>44273</v>
      </c>
      <c r="MT41" s="54">
        <f t="shared" si="356"/>
        <v>44274</v>
      </c>
      <c r="MU41" s="54">
        <f t="shared" si="356"/>
        <v>44275</v>
      </c>
      <c r="MV41" s="53">
        <f t="shared" si="356"/>
        <v>44276</v>
      </c>
      <c r="MW41" s="54">
        <f t="shared" si="356"/>
        <v>44277</v>
      </c>
      <c r="MX41" s="54">
        <f t="shared" si="356"/>
        <v>44278</v>
      </c>
      <c r="MY41" s="54">
        <f t="shared" si="356"/>
        <v>44279</v>
      </c>
      <c r="MZ41" s="54">
        <f t="shared" si="356"/>
        <v>44280</v>
      </c>
      <c r="NA41" s="54">
        <f t="shared" si="356"/>
        <v>44281</v>
      </c>
      <c r="NB41" s="54">
        <f t="shared" si="356"/>
        <v>44282</v>
      </c>
      <c r="NC41" s="53">
        <f t="shared" si="356"/>
        <v>44283</v>
      </c>
      <c r="ND41" s="54">
        <f t="shared" si="356"/>
        <v>44284</v>
      </c>
      <c r="NE41" s="54">
        <f t="shared" si="356"/>
        <v>44285</v>
      </c>
      <c r="NF41" s="54">
        <f t="shared" si="356"/>
        <v>44286</v>
      </c>
      <c r="NG41" s="54">
        <f t="shared" si="356"/>
        <v>44287</v>
      </c>
      <c r="NH41" s="54">
        <f t="shared" si="356"/>
        <v>44288</v>
      </c>
      <c r="NI41" s="54">
        <f t="shared" si="356"/>
        <v>44289</v>
      </c>
      <c r="NJ41" s="53">
        <f t="shared" si="356"/>
        <v>44290</v>
      </c>
    </row>
    <row r="42" spans="1:374" ht="15" customHeight="1" x14ac:dyDescent="0.25">
      <c r="A42" s="223"/>
      <c r="B42" s="223"/>
      <c r="C42" s="223"/>
      <c r="D42" s="223"/>
      <c r="E42" s="224"/>
      <c r="F42" s="19"/>
      <c r="G42" s="19"/>
      <c r="H42" s="19"/>
      <c r="I42" s="19"/>
      <c r="J42" s="19"/>
      <c r="K42" s="19"/>
      <c r="L42" s="19"/>
      <c r="M42" s="19"/>
      <c r="N42" s="19"/>
      <c r="O42" s="9"/>
      <c r="P42" s="226"/>
      <c r="Q42" s="226"/>
      <c r="R42" s="227"/>
      <c r="S42" s="24"/>
      <c r="T42" s="25"/>
      <c r="U42" s="25"/>
      <c r="V42" s="25"/>
      <c r="W42" s="25"/>
      <c r="X42" s="25"/>
      <c r="Y42" s="25"/>
      <c r="Z42" s="24"/>
      <c r="AA42" s="25"/>
      <c r="AB42" s="25"/>
      <c r="AC42" s="25"/>
      <c r="AD42" s="25"/>
      <c r="AE42" s="25"/>
      <c r="AF42" s="25"/>
      <c r="AG42" s="24"/>
      <c r="AH42" s="25"/>
      <c r="AI42" s="25" t="s">
        <v>38</v>
      </c>
      <c r="AJ42" s="25"/>
      <c r="AK42" s="25" t="s">
        <v>38</v>
      </c>
      <c r="AL42" s="25"/>
      <c r="AM42" s="25"/>
      <c r="AN42" s="24"/>
      <c r="AO42" s="25"/>
      <c r="AP42" s="25" t="s">
        <v>38</v>
      </c>
      <c r="AQ42" s="25"/>
      <c r="AR42" s="25" t="s">
        <v>38</v>
      </c>
      <c r="AS42" s="25"/>
      <c r="AT42" s="25"/>
      <c r="AU42" s="24"/>
      <c r="AV42" s="25"/>
      <c r="AW42" s="25" t="s">
        <v>38</v>
      </c>
      <c r="AX42" s="25" t="s">
        <v>262</v>
      </c>
      <c r="AY42" s="25" t="s">
        <v>38</v>
      </c>
      <c r="AZ42" s="25"/>
      <c r="BA42" s="25"/>
      <c r="BB42" s="24"/>
      <c r="BC42" s="25"/>
      <c r="BD42" s="25" t="s">
        <v>38</v>
      </c>
      <c r="BE42" s="25"/>
      <c r="BF42" s="25" t="s">
        <v>38</v>
      </c>
      <c r="BG42" s="25"/>
      <c r="BH42" s="25"/>
      <c r="BI42" s="24"/>
      <c r="BJ42" s="25"/>
      <c r="BK42" s="25" t="s">
        <v>38</v>
      </c>
      <c r="BL42" s="25"/>
      <c r="BM42" s="25" t="s">
        <v>38</v>
      </c>
      <c r="BN42" s="25" t="s">
        <v>54</v>
      </c>
      <c r="BO42" s="25"/>
      <c r="BP42" s="24" t="s">
        <v>148</v>
      </c>
      <c r="BQ42" s="25"/>
      <c r="BR42" s="25"/>
      <c r="BS42" s="25"/>
      <c r="BT42" s="25"/>
      <c r="BU42" s="25"/>
      <c r="BV42" s="25"/>
      <c r="BW42" s="25" t="s">
        <v>148</v>
      </c>
      <c r="BX42" s="25"/>
      <c r="BY42" s="24"/>
      <c r="BZ42" s="25"/>
      <c r="CA42" s="25"/>
      <c r="CB42" s="25"/>
      <c r="CC42" s="25"/>
      <c r="CD42" s="25"/>
      <c r="CE42" s="25"/>
      <c r="CF42" s="25"/>
      <c r="CG42" s="25"/>
      <c r="CH42" s="24"/>
      <c r="CI42" s="25"/>
      <c r="CJ42" s="25"/>
      <c r="CK42" s="25"/>
      <c r="CL42" s="25"/>
      <c r="CM42" s="25"/>
      <c r="CN42" s="25"/>
      <c r="CO42" s="25"/>
      <c r="CP42" s="25"/>
      <c r="CQ42" s="24"/>
      <c r="CR42" s="25"/>
      <c r="CS42" s="25"/>
      <c r="CT42" s="25"/>
      <c r="CU42" s="25"/>
      <c r="CV42" s="25"/>
      <c r="CW42" s="25"/>
      <c r="CX42" s="25"/>
      <c r="CY42" s="25"/>
      <c r="CZ42" s="24"/>
      <c r="DA42" s="25"/>
      <c r="DB42" s="25"/>
      <c r="DC42" s="25"/>
      <c r="DD42" s="25"/>
      <c r="DE42" s="25"/>
      <c r="DF42" s="25"/>
      <c r="DG42" s="25"/>
      <c r="DH42" s="25"/>
      <c r="DI42" s="24"/>
      <c r="DJ42" s="25"/>
      <c r="DK42" s="25"/>
      <c r="DL42" s="25"/>
      <c r="DM42" s="25"/>
      <c r="DN42" s="25"/>
      <c r="DO42" s="25"/>
      <c r="DP42" s="25"/>
      <c r="DQ42" s="25"/>
      <c r="DR42" s="24"/>
      <c r="DS42" s="25"/>
      <c r="DT42" s="25" t="s">
        <v>389</v>
      </c>
      <c r="DU42" s="25"/>
      <c r="DV42" s="25" t="s">
        <v>38</v>
      </c>
      <c r="DW42" s="25" t="s">
        <v>38</v>
      </c>
      <c r="DX42" s="25"/>
      <c r="DY42" s="25"/>
      <c r="DZ42" s="25"/>
      <c r="EA42" s="24"/>
      <c r="EB42" s="25"/>
      <c r="EC42" s="25" t="s">
        <v>38</v>
      </c>
      <c r="ED42" s="25"/>
      <c r="EE42" s="25" t="s">
        <v>475</v>
      </c>
      <c r="EF42" s="25" t="s">
        <v>38</v>
      </c>
      <c r="EG42" s="25"/>
      <c r="EH42" s="25"/>
      <c r="EI42" s="25"/>
      <c r="EJ42" s="24"/>
      <c r="EK42" s="25"/>
      <c r="EL42" s="25" t="s">
        <v>38</v>
      </c>
      <c r="EM42" s="25"/>
      <c r="EN42" s="25" t="s">
        <v>38</v>
      </c>
      <c r="EO42" s="25" t="s">
        <v>475</v>
      </c>
      <c r="EP42" s="25"/>
      <c r="EQ42" s="25"/>
      <c r="ER42" s="25"/>
      <c r="ES42" s="24"/>
      <c r="ET42" s="25"/>
      <c r="EU42" s="25" t="s">
        <v>38</v>
      </c>
      <c r="EV42" s="25"/>
      <c r="EW42" s="25" t="s">
        <v>38</v>
      </c>
      <c r="EX42" s="25" t="s">
        <v>38</v>
      </c>
      <c r="EY42" s="25"/>
      <c r="EZ42" s="25"/>
      <c r="FA42" s="25"/>
      <c r="FB42" s="24"/>
      <c r="FC42" s="25"/>
      <c r="FD42" s="25" t="s">
        <v>38</v>
      </c>
      <c r="FE42" s="25"/>
      <c r="FF42" s="25" t="s">
        <v>38</v>
      </c>
      <c r="FG42" s="25" t="s">
        <v>38</v>
      </c>
      <c r="FH42" s="25"/>
      <c r="FI42" s="25"/>
      <c r="FJ42" s="25"/>
      <c r="FK42" s="24"/>
      <c r="FL42" s="25"/>
      <c r="FM42" s="25" t="s">
        <v>38</v>
      </c>
      <c r="FN42" s="25"/>
      <c r="FO42" s="25" t="s">
        <v>38</v>
      </c>
      <c r="FP42" s="25" t="s">
        <v>38</v>
      </c>
      <c r="FQ42" s="25"/>
      <c r="FR42" s="25"/>
      <c r="FS42" s="25"/>
      <c r="FT42" s="24"/>
      <c r="FU42" s="25"/>
      <c r="FV42" s="25" t="s">
        <v>38</v>
      </c>
      <c r="FW42" s="25"/>
      <c r="FX42" s="25" t="s">
        <v>38</v>
      </c>
      <c r="FY42" s="25" t="s">
        <v>38</v>
      </c>
      <c r="FZ42" s="25"/>
      <c r="GA42" s="25"/>
      <c r="GB42" s="25"/>
      <c r="GC42" s="24"/>
      <c r="GD42" s="25"/>
      <c r="GE42" s="25" t="s">
        <v>38</v>
      </c>
      <c r="GF42" s="25"/>
      <c r="GG42" s="25" t="s">
        <v>38</v>
      </c>
      <c r="GH42" s="25" t="s">
        <v>38</v>
      </c>
      <c r="GI42" s="25"/>
      <c r="GJ42" s="25"/>
      <c r="GK42" s="25"/>
      <c r="GL42" s="24"/>
      <c r="GM42" s="25"/>
      <c r="GN42" s="25" t="s">
        <v>38</v>
      </c>
      <c r="GO42" s="25"/>
      <c r="GP42" s="25" t="s">
        <v>38</v>
      </c>
      <c r="GQ42" s="25" t="s">
        <v>38</v>
      </c>
      <c r="GR42" s="25"/>
      <c r="GS42" s="25" t="s">
        <v>47</v>
      </c>
      <c r="GT42" s="25"/>
      <c r="GU42" s="24"/>
      <c r="GV42" s="25"/>
      <c r="GW42" s="25" t="s">
        <v>38</v>
      </c>
      <c r="GX42" s="25"/>
      <c r="GY42" s="25" t="s">
        <v>38</v>
      </c>
      <c r="GZ42" s="25" t="s">
        <v>38</v>
      </c>
      <c r="HA42" s="25"/>
      <c r="HB42" s="25"/>
      <c r="HC42" s="25"/>
      <c r="HD42" s="24"/>
      <c r="HE42" s="25"/>
      <c r="HF42" s="25"/>
      <c r="HG42" s="25"/>
      <c r="HH42" s="25"/>
      <c r="HI42" s="25"/>
      <c r="HJ42" s="25"/>
      <c r="HK42" s="25"/>
      <c r="HL42" s="25"/>
      <c r="HM42" s="24"/>
      <c r="HN42" s="25"/>
      <c r="HO42" s="25"/>
      <c r="HP42" s="25"/>
      <c r="HQ42" s="25"/>
      <c r="HR42" s="25"/>
      <c r="HS42" s="25"/>
      <c r="HT42" s="25"/>
      <c r="HU42" s="25"/>
      <c r="HV42" s="24"/>
      <c r="HW42" s="25"/>
      <c r="HX42" s="25"/>
      <c r="HY42" s="25"/>
      <c r="HZ42" s="25" t="s">
        <v>367</v>
      </c>
      <c r="IA42" s="25" t="s">
        <v>367</v>
      </c>
      <c r="IB42" s="25"/>
      <c r="IC42" s="25"/>
      <c r="ID42" s="25"/>
      <c r="IE42" s="24"/>
      <c r="IF42" s="25"/>
      <c r="IG42" s="25" t="s">
        <v>367</v>
      </c>
      <c r="IH42" s="25"/>
      <c r="II42" s="25" t="s">
        <v>367</v>
      </c>
      <c r="IJ42" s="25" t="s">
        <v>367</v>
      </c>
      <c r="IK42" s="25"/>
      <c r="IL42" s="25"/>
      <c r="IM42" s="25"/>
      <c r="IN42" s="24"/>
      <c r="IO42" s="25"/>
      <c r="IP42" s="25" t="s">
        <v>38</v>
      </c>
      <c r="IQ42" s="25" t="s">
        <v>38</v>
      </c>
      <c r="IR42" s="25"/>
      <c r="IS42" s="25" t="s">
        <v>38</v>
      </c>
      <c r="IT42" s="25"/>
      <c r="IU42" s="24"/>
      <c r="IV42" s="25"/>
      <c r="IW42" s="25" t="s">
        <v>38</v>
      </c>
      <c r="IX42" s="25"/>
      <c r="IY42" s="25" t="s">
        <v>38</v>
      </c>
      <c r="IZ42" s="25" t="s">
        <v>38</v>
      </c>
      <c r="JA42" s="25"/>
      <c r="JB42" s="24"/>
      <c r="JC42" s="25"/>
      <c r="JD42" s="25" t="s">
        <v>38</v>
      </c>
      <c r="JE42" s="25"/>
      <c r="JF42" s="25" t="s">
        <v>38</v>
      </c>
      <c r="JG42" s="25" t="s">
        <v>38</v>
      </c>
      <c r="JH42" s="25"/>
      <c r="JI42" s="24"/>
      <c r="JJ42" s="25"/>
      <c r="JK42" s="25" t="s">
        <v>38</v>
      </c>
      <c r="JL42" s="25"/>
      <c r="JM42" s="25" t="s">
        <v>38</v>
      </c>
      <c r="JN42" s="25" t="s">
        <v>38</v>
      </c>
      <c r="JO42" s="25"/>
      <c r="JP42" s="24"/>
      <c r="JQ42" s="25"/>
      <c r="JR42" s="25" t="s">
        <v>38</v>
      </c>
      <c r="JS42" s="25"/>
      <c r="JT42" s="25" t="s">
        <v>38</v>
      </c>
      <c r="JU42" s="25" t="s">
        <v>38</v>
      </c>
      <c r="JV42" s="25"/>
      <c r="JW42" s="24"/>
      <c r="JX42" s="25"/>
      <c r="JY42" s="25" t="s">
        <v>38</v>
      </c>
      <c r="JZ42" s="25"/>
      <c r="KA42" s="25" t="s">
        <v>38</v>
      </c>
      <c r="KB42" s="25" t="s">
        <v>38</v>
      </c>
      <c r="KC42" s="25"/>
      <c r="KD42" s="24"/>
      <c r="KE42" s="25"/>
      <c r="KF42" s="25" t="s">
        <v>38</v>
      </c>
      <c r="KG42" s="25"/>
      <c r="KH42" s="25" t="s">
        <v>38</v>
      </c>
      <c r="KI42" s="25" t="s">
        <v>38</v>
      </c>
      <c r="KJ42" s="25"/>
      <c r="KK42" s="24"/>
      <c r="KL42" s="25"/>
      <c r="KM42" s="25" t="s">
        <v>38</v>
      </c>
      <c r="KN42" s="25"/>
      <c r="KO42" s="25" t="s">
        <v>38</v>
      </c>
      <c r="KP42" s="25" t="s">
        <v>38</v>
      </c>
      <c r="KQ42" s="25"/>
      <c r="KR42" s="24"/>
      <c r="KS42" s="25"/>
      <c r="KT42" s="25" t="s">
        <v>38</v>
      </c>
      <c r="KU42" s="25"/>
      <c r="KV42" s="25" t="s">
        <v>38</v>
      </c>
      <c r="KW42" s="25" t="s">
        <v>38</v>
      </c>
      <c r="KX42" s="25"/>
      <c r="KY42" s="24"/>
      <c r="KZ42" s="25"/>
      <c r="LA42" s="25" t="s">
        <v>38</v>
      </c>
      <c r="LB42" s="25"/>
      <c r="LC42" s="25" t="s">
        <v>38</v>
      </c>
      <c r="LD42" s="25" t="s">
        <v>38</v>
      </c>
      <c r="LE42" s="25"/>
      <c r="LF42" s="24"/>
      <c r="LG42" s="25"/>
      <c r="LH42" s="25" t="s">
        <v>38</v>
      </c>
      <c r="LI42" s="25"/>
      <c r="LJ42" s="25" t="s">
        <v>38</v>
      </c>
      <c r="LK42" s="25" t="s">
        <v>38</v>
      </c>
      <c r="LL42" s="25"/>
      <c r="LM42" s="24"/>
      <c r="LN42" s="25"/>
      <c r="LO42" s="25" t="s">
        <v>38</v>
      </c>
      <c r="LP42" s="25"/>
      <c r="LQ42" s="25" t="s">
        <v>38</v>
      </c>
      <c r="LR42" s="25" t="s">
        <v>38</v>
      </c>
      <c r="LS42" s="25"/>
      <c r="LT42" s="24"/>
      <c r="LU42" s="25"/>
      <c r="LV42" s="25" t="s">
        <v>38</v>
      </c>
      <c r="LW42" s="25"/>
      <c r="LX42" s="25" t="s">
        <v>38</v>
      </c>
      <c r="LY42" s="25" t="s">
        <v>38</v>
      </c>
      <c r="LZ42" s="25"/>
      <c r="MA42" s="24"/>
      <c r="MB42" s="25"/>
      <c r="MC42" s="25" t="s">
        <v>38</v>
      </c>
      <c r="MD42" s="25"/>
      <c r="ME42" s="25" t="s">
        <v>38</v>
      </c>
      <c r="MF42" s="25"/>
      <c r="MG42" s="25"/>
      <c r="MH42" s="26"/>
      <c r="MI42" s="25"/>
      <c r="MJ42" s="25" t="s">
        <v>38</v>
      </c>
      <c r="MK42" s="25"/>
      <c r="ML42" s="25" t="s">
        <v>38</v>
      </c>
      <c r="MM42" s="25"/>
      <c r="MN42" s="25"/>
      <c r="MO42" s="24"/>
      <c r="MP42" s="25"/>
      <c r="MQ42" s="25"/>
      <c r="MR42" s="25"/>
      <c r="MS42" s="25"/>
      <c r="MT42" s="25"/>
      <c r="MU42" s="25"/>
      <c r="MV42" s="24"/>
      <c r="MW42" s="25"/>
      <c r="MX42" s="25"/>
      <c r="MY42" s="25"/>
      <c r="MZ42" s="25"/>
      <c r="NA42" s="25"/>
      <c r="NB42" s="25"/>
      <c r="NC42" s="24"/>
      <c r="ND42" s="25"/>
      <c r="NE42" s="25"/>
      <c r="NF42" s="25"/>
      <c r="NG42" s="25"/>
      <c r="NH42" s="25"/>
      <c r="NI42" s="25"/>
      <c r="NJ42" s="24"/>
    </row>
    <row r="43" spans="1:374" x14ac:dyDescent="0.25">
      <c r="A43" s="11" t="s">
        <v>148</v>
      </c>
      <c r="B43" s="11"/>
      <c r="C43" s="11"/>
      <c r="D43" s="11"/>
      <c r="E43" s="11"/>
      <c r="F43" s="133" t="s">
        <v>147</v>
      </c>
      <c r="G43" s="134" t="s">
        <v>146</v>
      </c>
      <c r="H43" s="134" t="s">
        <v>119</v>
      </c>
      <c r="I43" s="135" t="s">
        <v>41</v>
      </c>
      <c r="J43" s="135" t="s">
        <v>118</v>
      </c>
      <c r="K43" s="135" t="s">
        <v>42</v>
      </c>
      <c r="L43" s="135" t="s">
        <v>117</v>
      </c>
      <c r="M43" s="135" t="s">
        <v>47</v>
      </c>
      <c r="N43" s="135" t="s">
        <v>100</v>
      </c>
      <c r="O43" s="136" t="s">
        <v>46</v>
      </c>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1"/>
      <c r="FS43" s="11"/>
      <c r="FT43" s="12"/>
      <c r="FU43" s="11"/>
      <c r="FV43" s="11"/>
      <c r="FW43" s="11"/>
      <c r="FX43" s="11"/>
      <c r="FY43" s="11"/>
      <c r="FZ43" s="11"/>
      <c r="GA43" s="11"/>
      <c r="GB43" s="11"/>
      <c r="GC43" s="12"/>
      <c r="GD43" s="11"/>
      <c r="GE43" s="11"/>
      <c r="GF43" s="11"/>
      <c r="GG43" s="11"/>
      <c r="GH43" s="11"/>
      <c r="GI43" s="11"/>
      <c r="GJ43" s="11"/>
      <c r="GK43" s="11"/>
      <c r="GL43" s="12"/>
      <c r="GM43" s="11"/>
      <c r="GN43" s="11"/>
      <c r="GO43" s="11"/>
      <c r="GP43" s="11"/>
      <c r="GQ43" s="11"/>
      <c r="GR43" s="11"/>
      <c r="GS43" s="11"/>
      <c r="GT43" s="11"/>
      <c r="GU43" s="12"/>
      <c r="GV43" s="11"/>
      <c r="GW43" s="11"/>
      <c r="GX43" s="11"/>
      <c r="GY43" s="11"/>
      <c r="GZ43" s="11"/>
      <c r="HA43" s="11"/>
      <c r="HB43" s="11"/>
      <c r="HC43" s="11"/>
      <c r="HD43" s="12"/>
      <c r="HE43" s="11"/>
      <c r="HF43" s="11"/>
      <c r="HG43" s="11"/>
      <c r="HH43" s="11"/>
      <c r="HI43" s="11"/>
      <c r="HJ43" s="11"/>
      <c r="HK43" s="11"/>
      <c r="HL43" s="11"/>
      <c r="HM43" s="12"/>
      <c r="HN43" s="11"/>
      <c r="HO43" s="11"/>
      <c r="HP43" s="11"/>
      <c r="HQ43" s="11"/>
      <c r="HR43" s="11"/>
      <c r="HS43" s="11"/>
      <c r="HT43" s="11"/>
      <c r="HU43" s="11"/>
      <c r="HV43" s="12"/>
      <c r="HW43" s="11"/>
      <c r="HX43" s="11"/>
      <c r="HY43" s="11"/>
      <c r="HZ43" s="11"/>
      <c r="IA43" s="11"/>
      <c r="IB43" s="11"/>
      <c r="IC43" s="11"/>
      <c r="ID43" s="11"/>
      <c r="IE43" s="12"/>
      <c r="IF43" s="11"/>
      <c r="IG43" s="11"/>
      <c r="IH43" s="11"/>
      <c r="II43" s="11"/>
      <c r="IJ43" s="11"/>
      <c r="IK43" s="11"/>
      <c r="IL43" s="11"/>
      <c r="IM43" s="11"/>
      <c r="IN43" s="12"/>
      <c r="IO43" s="11"/>
      <c r="IP43" s="11"/>
      <c r="IQ43" s="11"/>
      <c r="IR43" s="11"/>
      <c r="IS43" s="11"/>
      <c r="IT43" s="11"/>
      <c r="IU43" s="12"/>
      <c r="IV43" s="11"/>
      <c r="IW43" s="11"/>
      <c r="IX43" s="11"/>
      <c r="IY43" s="11"/>
      <c r="IZ43" s="11"/>
      <c r="JA43" s="11"/>
      <c r="JB43" s="12"/>
      <c r="JC43" s="11"/>
      <c r="JD43" s="11"/>
      <c r="JE43" s="11"/>
      <c r="JF43" s="11"/>
      <c r="JG43" s="11"/>
      <c r="JH43" s="11"/>
      <c r="JI43" s="12"/>
      <c r="JJ43" s="11"/>
      <c r="JK43" s="11"/>
      <c r="JL43" s="11"/>
      <c r="JM43" s="11"/>
      <c r="JN43" s="11"/>
      <c r="JO43" s="11"/>
      <c r="JP43" s="12"/>
      <c r="JQ43" s="11"/>
      <c r="JR43" s="11"/>
      <c r="JS43" s="11"/>
      <c r="JT43" s="11"/>
      <c r="JU43" s="11"/>
      <c r="JV43" s="11"/>
      <c r="JW43" s="12"/>
      <c r="JX43" s="11"/>
      <c r="JY43" s="11"/>
      <c r="JZ43" s="11"/>
      <c r="KA43" s="11"/>
      <c r="KB43" s="11"/>
      <c r="KC43" s="11"/>
      <c r="KD43" s="12"/>
      <c r="KE43" s="11"/>
      <c r="KF43" s="11"/>
      <c r="KG43" s="11"/>
      <c r="KH43" s="11"/>
      <c r="KI43" s="11"/>
      <c r="KJ43" s="11"/>
      <c r="KK43" s="12"/>
      <c r="KL43" s="11"/>
      <c r="KM43" s="11"/>
      <c r="KN43" s="11"/>
      <c r="KO43" s="11"/>
      <c r="KP43" s="11"/>
      <c r="KQ43" s="11"/>
      <c r="KR43" s="12"/>
      <c r="KS43" s="11"/>
      <c r="KT43" s="11"/>
      <c r="KU43" s="11"/>
      <c r="KV43" s="11"/>
      <c r="KW43" s="11"/>
      <c r="KX43" s="11"/>
      <c r="KY43" s="12"/>
      <c r="KZ43" s="11"/>
      <c r="LA43" s="11"/>
      <c r="LB43" s="11"/>
      <c r="LC43" s="11"/>
      <c r="LD43" s="11"/>
      <c r="LE43" s="11"/>
      <c r="LF43" s="12"/>
      <c r="LG43" s="11"/>
      <c r="LH43" s="11"/>
      <c r="LI43" s="11"/>
      <c r="LJ43" s="11"/>
      <c r="LK43" s="11"/>
      <c r="LL43" s="11"/>
      <c r="LM43" s="12"/>
      <c r="LN43" s="11"/>
      <c r="LO43" s="11"/>
      <c r="LP43" s="11"/>
      <c r="LQ43" s="11"/>
      <c r="LR43" s="11"/>
      <c r="LS43" s="11"/>
      <c r="LT43" s="12"/>
      <c r="LU43" s="11"/>
      <c r="LV43" s="11"/>
      <c r="LW43" s="11"/>
      <c r="LX43" s="11"/>
      <c r="LY43" s="11"/>
      <c r="LZ43" s="11"/>
      <c r="MA43" s="12"/>
      <c r="MB43" s="11"/>
      <c r="MC43" s="11"/>
      <c r="MD43" s="11"/>
      <c r="ME43" s="11"/>
      <c r="MF43" s="11"/>
      <c r="MG43" s="11"/>
      <c r="MH43" s="12"/>
      <c r="MI43" s="11"/>
      <c r="MJ43" s="11"/>
      <c r="MK43" s="11"/>
      <c r="ML43" s="11"/>
      <c r="MM43" s="11"/>
      <c r="MN43" s="11"/>
      <c r="MO43" s="12"/>
      <c r="MP43" s="11"/>
      <c r="MQ43" s="11"/>
      <c r="MR43" s="11"/>
      <c r="MS43" s="11"/>
      <c r="MT43" s="11"/>
      <c r="MU43" s="11"/>
      <c r="MV43" s="12"/>
      <c r="MW43" s="11"/>
      <c r="MX43" s="11"/>
      <c r="MY43" s="11"/>
      <c r="MZ43" s="11"/>
      <c r="NA43" s="11"/>
      <c r="NB43" s="11"/>
      <c r="NC43" s="12"/>
      <c r="ND43" s="11"/>
      <c r="NE43" s="11"/>
      <c r="NF43" s="11"/>
      <c r="NG43" s="11"/>
      <c r="NH43" s="11"/>
      <c r="NI43" s="11"/>
      <c r="NJ43" s="12"/>
    </row>
    <row r="44" spans="1:374" hidden="1" x14ac:dyDescent="0.25">
      <c r="A44" s="11"/>
      <c r="B44" s="11"/>
      <c r="C44" s="11"/>
      <c r="D44" s="11"/>
      <c r="E44" s="11"/>
      <c r="F44" s="33">
        <v>37257</v>
      </c>
      <c r="G44" s="32">
        <v>37987</v>
      </c>
      <c r="H44" s="32">
        <v>38718</v>
      </c>
      <c r="I44" s="32">
        <v>39083</v>
      </c>
      <c r="J44" s="32">
        <v>39448</v>
      </c>
      <c r="K44" s="32">
        <v>39814</v>
      </c>
      <c r="L44" s="32">
        <v>40179</v>
      </c>
      <c r="M44" s="11"/>
      <c r="N44" s="11"/>
      <c r="O44" s="12"/>
      <c r="P44" s="11"/>
      <c r="Q44" s="11"/>
      <c r="R44" s="12"/>
      <c r="S44" s="12"/>
      <c r="T44" s="11"/>
      <c r="U44" s="11"/>
      <c r="V44" s="11"/>
      <c r="W44" s="11"/>
      <c r="X44" s="11"/>
      <c r="Y44" s="11"/>
      <c r="Z44" s="12"/>
      <c r="AA44" s="11"/>
      <c r="AB44" s="11"/>
      <c r="AC44" s="11"/>
      <c r="AD44" s="11"/>
      <c r="AE44" s="11"/>
      <c r="AF44" s="11"/>
      <c r="AG44" s="12"/>
      <c r="AH44" s="11"/>
      <c r="AI44" s="11"/>
      <c r="AJ44" s="11"/>
      <c r="AK44" s="11"/>
      <c r="AL44" s="11"/>
      <c r="AM44" s="11"/>
      <c r="AN44" s="12"/>
      <c r="AO44" s="11"/>
      <c r="AP44" s="11"/>
      <c r="AQ44" s="11"/>
      <c r="AR44" s="11"/>
      <c r="AS44" s="11"/>
      <c r="AT44" s="11"/>
      <c r="AU44" s="12"/>
      <c r="AV44" s="11"/>
      <c r="AW44" s="11"/>
      <c r="AX44" s="11"/>
      <c r="AY44" s="11"/>
      <c r="AZ44" s="11"/>
      <c r="BA44" s="11"/>
      <c r="BB44" s="12"/>
      <c r="BC44" s="11"/>
      <c r="BD44" s="11"/>
      <c r="BE44" s="11"/>
      <c r="BF44" s="11"/>
      <c r="BG44" s="11"/>
      <c r="BH44" s="11"/>
      <c r="BI44" s="12"/>
      <c r="BJ44" s="11"/>
      <c r="BK44" s="11"/>
      <c r="BL44" s="11"/>
      <c r="BM44" s="11"/>
      <c r="BN44" s="11"/>
      <c r="BO44" s="11"/>
      <c r="BP44" s="12"/>
      <c r="BQ44" s="11"/>
      <c r="BR44" s="11"/>
      <c r="BS44" s="11"/>
      <c r="BT44" s="11"/>
      <c r="BU44" s="11"/>
      <c r="BV44" s="11"/>
      <c r="BW44" s="11"/>
      <c r="BX44" s="11"/>
      <c r="BY44" s="12"/>
      <c r="BZ44" s="11"/>
      <c r="CA44" s="11"/>
      <c r="CB44" s="11"/>
      <c r="CC44" s="11"/>
      <c r="CD44" s="11"/>
      <c r="CE44" s="11"/>
      <c r="CF44" s="11"/>
      <c r="CG44" s="11"/>
      <c r="CH44" s="12"/>
      <c r="CI44" s="11"/>
      <c r="CJ44" s="11"/>
      <c r="CK44" s="11"/>
      <c r="CL44" s="11"/>
      <c r="CM44" s="11"/>
      <c r="CN44" s="11"/>
      <c r="CO44" s="11"/>
      <c r="CP44" s="11"/>
      <c r="CQ44" s="12"/>
      <c r="CR44" s="11"/>
      <c r="CS44" s="11"/>
      <c r="CT44" s="11"/>
      <c r="CU44" s="11"/>
      <c r="CV44" s="11"/>
      <c r="CW44" s="11"/>
      <c r="CX44" s="11"/>
      <c r="CY44" s="11"/>
      <c r="CZ44" s="12"/>
      <c r="DA44" s="11"/>
      <c r="DB44" s="11"/>
      <c r="DC44" s="11"/>
      <c r="DD44" s="11"/>
      <c r="DE44" s="11"/>
      <c r="DF44" s="11"/>
      <c r="DG44" s="11"/>
      <c r="DH44" s="11"/>
      <c r="DI44" s="12"/>
      <c r="DJ44" s="11"/>
      <c r="DK44" s="11"/>
      <c r="DL44" s="11"/>
      <c r="DM44" s="11"/>
      <c r="DN44" s="11"/>
      <c r="DO44" s="11"/>
      <c r="DP44" s="11"/>
      <c r="DQ44" s="11"/>
      <c r="DR44" s="12"/>
      <c r="DS44" s="11"/>
      <c r="DT44" s="11"/>
      <c r="DU44" s="11"/>
      <c r="DV44" s="11"/>
      <c r="DW44" s="11"/>
      <c r="DX44" s="11"/>
      <c r="DY44" s="11"/>
      <c r="DZ44" s="11"/>
      <c r="EA44" s="12"/>
      <c r="EB44" s="11"/>
      <c r="EC44" s="11"/>
      <c r="ED44" s="11"/>
      <c r="EE44" s="11"/>
      <c r="EF44" s="11"/>
      <c r="EG44" s="11"/>
      <c r="EH44" s="11"/>
      <c r="EI44" s="11"/>
      <c r="EJ44" s="12"/>
      <c r="EK44" s="11"/>
      <c r="EL44" s="11"/>
      <c r="EM44" s="11"/>
      <c r="EN44" s="11"/>
      <c r="EO44" s="11"/>
      <c r="EP44" s="11"/>
      <c r="EQ44" s="11"/>
      <c r="ER44" s="11"/>
      <c r="ES44" s="12"/>
      <c r="ET44" s="11"/>
      <c r="EU44" s="11"/>
      <c r="EV44" s="11"/>
      <c r="EW44" s="11"/>
      <c r="EX44" s="11"/>
      <c r="EY44" s="11"/>
      <c r="EZ44" s="11"/>
      <c r="FA44" s="11"/>
      <c r="FB44" s="12"/>
      <c r="FC44" s="11"/>
      <c r="FD44" s="11"/>
      <c r="FE44" s="11"/>
      <c r="FF44" s="11"/>
      <c r="FG44" s="11"/>
      <c r="FH44" s="11"/>
      <c r="FI44" s="11"/>
      <c r="FJ44" s="11"/>
      <c r="FK44" s="12"/>
      <c r="FL44" s="11"/>
      <c r="FM44" s="11"/>
      <c r="FN44" s="11"/>
      <c r="FO44" s="11"/>
      <c r="FP44" s="11"/>
      <c r="FQ44" s="11"/>
      <c r="FR44" s="11"/>
      <c r="FS44" s="11"/>
      <c r="FT44" s="12"/>
      <c r="FU44" s="11"/>
      <c r="FV44" s="11"/>
      <c r="FW44" s="11"/>
      <c r="FX44" s="11"/>
      <c r="FY44" s="11"/>
      <c r="FZ44" s="11"/>
      <c r="GA44" s="11"/>
      <c r="GB44" s="11"/>
      <c r="GC44" s="12"/>
      <c r="GD44" s="11"/>
      <c r="GE44" s="11"/>
      <c r="GF44" s="11"/>
      <c r="GG44" s="11"/>
      <c r="GH44" s="11"/>
      <c r="GI44" s="11"/>
      <c r="GJ44" s="11"/>
      <c r="GK44" s="11"/>
      <c r="GL44" s="12"/>
      <c r="GM44" s="11"/>
      <c r="GN44" s="11"/>
      <c r="GO44" s="11"/>
      <c r="GP44" s="11"/>
      <c r="GQ44" s="11"/>
      <c r="GR44" s="11"/>
      <c r="GS44" s="11"/>
      <c r="GT44" s="11"/>
      <c r="GU44" s="12"/>
      <c r="GV44" s="11"/>
      <c r="GW44" s="11"/>
      <c r="GX44" s="11"/>
      <c r="GY44" s="11"/>
      <c r="GZ44" s="11"/>
      <c r="HA44" s="11"/>
      <c r="HB44" s="11"/>
      <c r="HC44" s="11"/>
      <c r="HD44" s="12"/>
      <c r="HE44" s="11"/>
      <c r="HF44" s="11"/>
      <c r="HG44" s="11"/>
      <c r="HH44" s="11"/>
      <c r="HI44" s="11"/>
      <c r="HJ44" s="11"/>
      <c r="HK44" s="11"/>
      <c r="HL44" s="11"/>
      <c r="HM44" s="12"/>
      <c r="HN44" s="11"/>
      <c r="HO44" s="11"/>
      <c r="HP44" s="11"/>
      <c r="HQ44" s="11"/>
      <c r="HR44" s="11"/>
      <c r="HS44" s="11"/>
      <c r="HT44" s="11"/>
      <c r="HU44" s="11"/>
      <c r="HV44" s="12"/>
      <c r="HW44" s="11"/>
      <c r="HX44" s="11"/>
      <c r="HY44" s="11"/>
      <c r="HZ44" s="11"/>
      <c r="IA44" s="11"/>
      <c r="IB44" s="11"/>
      <c r="IC44" s="11"/>
      <c r="ID44" s="11"/>
      <c r="IE44" s="12"/>
      <c r="IF44" s="11"/>
      <c r="IG44" s="11"/>
      <c r="IH44" s="11"/>
      <c r="II44" s="11"/>
      <c r="IJ44" s="11"/>
      <c r="IK44" s="11"/>
      <c r="IL44" s="11"/>
      <c r="IM44" s="11"/>
      <c r="IN44" s="12"/>
      <c r="IO44" s="11"/>
      <c r="IP44" s="11"/>
      <c r="IQ44" s="11"/>
      <c r="IR44" s="11"/>
      <c r="IS44" s="11"/>
      <c r="IT44" s="11"/>
      <c r="IU44" s="12"/>
      <c r="IV44" s="11"/>
      <c r="IW44" s="11"/>
      <c r="IX44" s="11"/>
      <c r="IY44" s="11"/>
      <c r="IZ44" s="11"/>
      <c r="JA44" s="11"/>
      <c r="JB44" s="12"/>
      <c r="JC44" s="11"/>
      <c r="JD44" s="11"/>
      <c r="JE44" s="11"/>
      <c r="JF44" s="11"/>
      <c r="JG44" s="11"/>
      <c r="JH44" s="11"/>
      <c r="JI44" s="12"/>
      <c r="JJ44" s="11"/>
      <c r="JK44" s="11"/>
      <c r="JL44" s="11"/>
      <c r="JM44" s="11"/>
      <c r="JN44" s="11"/>
      <c r="JO44" s="11"/>
      <c r="JP44" s="12"/>
      <c r="JQ44" s="11"/>
      <c r="JR44" s="11"/>
      <c r="JS44" s="11"/>
      <c r="JT44" s="11"/>
      <c r="JU44" s="11"/>
      <c r="JV44" s="11"/>
      <c r="JW44" s="12"/>
      <c r="JX44" s="11"/>
      <c r="JY44" s="11"/>
      <c r="JZ44" s="11"/>
      <c r="KA44" s="11"/>
      <c r="KB44" s="11"/>
      <c r="KC44" s="11"/>
      <c r="KD44" s="12"/>
      <c r="KE44" s="11"/>
      <c r="KF44" s="11"/>
      <c r="KG44" s="11"/>
      <c r="KH44" s="11"/>
      <c r="KI44" s="11"/>
      <c r="KJ44" s="11"/>
      <c r="KK44" s="12"/>
      <c r="KL44" s="11"/>
      <c r="KM44" s="11"/>
      <c r="KN44" s="11"/>
      <c r="KO44" s="11"/>
      <c r="KP44" s="11"/>
      <c r="KQ44" s="11"/>
      <c r="KR44" s="12"/>
      <c r="KS44" s="11"/>
      <c r="KT44" s="11"/>
      <c r="KU44" s="11"/>
      <c r="KV44" s="11"/>
      <c r="KW44" s="11"/>
      <c r="KX44" s="11"/>
      <c r="KY44" s="12"/>
      <c r="KZ44" s="11"/>
      <c r="LA44" s="11"/>
      <c r="LB44" s="11"/>
      <c r="LC44" s="11"/>
      <c r="LD44" s="11"/>
      <c r="LE44" s="11"/>
      <c r="LF44" s="12"/>
      <c r="LG44" s="11"/>
      <c r="LH44" s="11"/>
      <c r="LI44" s="11"/>
      <c r="LJ44" s="11"/>
      <c r="LK44" s="11"/>
      <c r="LL44" s="11"/>
      <c r="LM44" s="12"/>
      <c r="LN44" s="11"/>
      <c r="LO44" s="11"/>
      <c r="LP44" s="11"/>
      <c r="LQ44" s="11"/>
      <c r="LR44" s="11"/>
      <c r="LS44" s="11"/>
      <c r="LT44" s="12"/>
      <c r="LU44" s="11"/>
      <c r="LV44" s="11"/>
      <c r="LW44" s="11"/>
      <c r="LX44" s="11"/>
      <c r="LY44" s="11"/>
      <c r="LZ44" s="11"/>
      <c r="MA44" s="12"/>
      <c r="MB44" s="11"/>
      <c r="MC44" s="11"/>
      <c r="MD44" s="11"/>
      <c r="ME44" s="11"/>
      <c r="MF44" s="11"/>
      <c r="MG44" s="11"/>
      <c r="MH44" s="12"/>
      <c r="MI44" s="11"/>
      <c r="MJ44" s="11"/>
      <c r="MK44" s="11"/>
      <c r="ML44" s="11"/>
      <c r="MM44" s="11"/>
      <c r="MN44" s="11"/>
      <c r="MO44" s="12"/>
      <c r="MP44" s="11"/>
      <c r="MQ44" s="11"/>
      <c r="MR44" s="11"/>
      <c r="MS44" s="11"/>
      <c r="MT44" s="11"/>
      <c r="MU44" s="11"/>
      <c r="MV44" s="12"/>
      <c r="MW44" s="11"/>
      <c r="MX44" s="11"/>
      <c r="MY44" s="11"/>
      <c r="MZ44" s="11"/>
      <c r="NA44" s="11"/>
      <c r="NB44" s="11"/>
      <c r="NC44" s="12"/>
      <c r="ND44" s="11"/>
      <c r="NE44" s="11"/>
      <c r="NF44" s="11"/>
      <c r="NG44" s="11"/>
      <c r="NH44" s="11"/>
      <c r="NI44" s="11"/>
      <c r="NJ44" s="12"/>
    </row>
    <row r="45" spans="1:374" ht="7.5" customHeight="1" x14ac:dyDescent="0.25">
      <c r="A45" s="8"/>
      <c r="B45" s="8"/>
      <c r="C45" s="8"/>
      <c r="D45" s="8"/>
      <c r="E45" s="8"/>
      <c r="F45" s="10"/>
      <c r="G45" s="19"/>
      <c r="H45" s="19"/>
      <c r="I45" s="8"/>
      <c r="J45" s="8"/>
      <c r="K45" s="8"/>
      <c r="L45" s="8"/>
      <c r="M45" s="8"/>
      <c r="N45" s="8"/>
      <c r="O45" s="9"/>
      <c r="P45" s="8" t="str">
        <f>IF(SUM(R45:NJ45) &gt; 0, SUM(R45:NJ45), "")</f>
        <v/>
      </c>
      <c r="Q45" s="8"/>
      <c r="R45" s="84"/>
      <c r="S45" s="7"/>
      <c r="Z45" s="7"/>
      <c r="AG45" s="7"/>
      <c r="AN45" s="7"/>
      <c r="AU45" s="7"/>
      <c r="BB45" s="7"/>
      <c r="BI45" s="7"/>
      <c r="BP45" s="7"/>
      <c r="BY45" s="7"/>
      <c r="CH45" s="7"/>
      <c r="CQ45" s="7"/>
      <c r="CZ45" s="7"/>
      <c r="DI45" s="7"/>
      <c r="DR45" s="7"/>
      <c r="EA45" s="7"/>
      <c r="EJ45" s="7"/>
      <c r="ES45" s="7"/>
      <c r="FB45" s="7"/>
      <c r="FK45" s="7"/>
      <c r="FT45" s="7"/>
      <c r="GC45" s="7"/>
      <c r="GL45" s="7"/>
      <c r="GU45" s="7"/>
      <c r="HD45" s="7"/>
      <c r="HM45" s="7"/>
      <c r="HV45" s="7"/>
      <c r="IE45" s="7"/>
      <c r="IN45" s="7"/>
      <c r="IU45" s="7"/>
      <c r="JB45" s="7"/>
      <c r="JI45" s="7"/>
      <c r="JP45" s="7"/>
      <c r="JW45" s="7"/>
      <c r="KD45" s="7"/>
      <c r="KK45" s="7"/>
      <c r="KR45" s="7"/>
      <c r="KY45" s="7"/>
      <c r="LF45" s="7"/>
      <c r="LM45" s="7"/>
      <c r="LT45" s="7"/>
      <c r="MA45" s="7"/>
      <c r="MH45" s="7"/>
      <c r="MO45" s="7"/>
      <c r="MV45" s="7"/>
      <c r="NC45" s="7"/>
      <c r="NJ45" s="7"/>
    </row>
    <row r="46" spans="1:374" ht="15" customHeight="1" x14ac:dyDescent="0.25">
      <c r="A46" s="8" t="s">
        <v>116</v>
      </c>
      <c r="B46" s="8" t="s">
        <v>115</v>
      </c>
      <c r="C46" s="8" t="s">
        <v>114</v>
      </c>
      <c r="D46" s="8" t="s">
        <v>113</v>
      </c>
      <c r="E46" s="56">
        <v>40073</v>
      </c>
      <c r="F46" s="19">
        <f t="shared" ref="F46:L59" si="357">IF($E46 &gt;= F$44, 1, "")</f>
        <v>1</v>
      </c>
      <c r="G46" s="19">
        <f t="shared" si="357"/>
        <v>1</v>
      </c>
      <c r="H46" s="19">
        <f t="shared" si="357"/>
        <v>1</v>
      </c>
      <c r="I46" s="19">
        <f t="shared" si="357"/>
        <v>1</v>
      </c>
      <c r="J46" s="19">
        <f t="shared" si="357"/>
        <v>1</v>
      </c>
      <c r="K46" s="19">
        <f t="shared" si="357"/>
        <v>1</v>
      </c>
      <c r="L46" s="19" t="str">
        <f t="shared" si="357"/>
        <v/>
      </c>
      <c r="M46" s="8">
        <v>1</v>
      </c>
      <c r="N46" s="8"/>
      <c r="O46" s="9"/>
      <c r="P46" s="8">
        <f t="shared" ref="P46:P68" si="358">IF(SUM(S46:NJ46) &gt; 0, SUM(S46:NJ46), "")</f>
        <v>28</v>
      </c>
      <c r="Q46" s="108">
        <f t="shared" ref="Q46:Q68" si="359">IF(SUM(S46:XFD46) &gt; 0, SUM(S46:XFD46) / $P$69 * 100, "")</f>
        <v>62.222222222222221</v>
      </c>
      <c r="R46" s="84"/>
      <c r="S46" s="7"/>
      <c r="V46" t="s">
        <v>781</v>
      </c>
      <c r="Z46" s="7"/>
      <c r="AG46" s="7"/>
      <c r="AK46">
        <v>1</v>
      </c>
      <c r="AN46" s="7"/>
      <c r="AR46">
        <v>1</v>
      </c>
      <c r="AU46" s="7"/>
      <c r="AX46">
        <v>1</v>
      </c>
      <c r="AY46">
        <v>1</v>
      </c>
      <c r="BB46" s="7"/>
      <c r="BF46">
        <v>1</v>
      </c>
      <c r="BI46" s="7"/>
      <c r="BM46">
        <v>1</v>
      </c>
      <c r="BN46">
        <v>1</v>
      </c>
      <c r="BP46" s="7">
        <v>1</v>
      </c>
      <c r="BW46">
        <v>1</v>
      </c>
      <c r="BY46" s="7"/>
      <c r="CH46" s="7"/>
      <c r="CQ46" s="7"/>
      <c r="CZ46" s="7"/>
      <c r="DI46" s="7"/>
      <c r="DR46" s="7"/>
      <c r="DT46">
        <v>1</v>
      </c>
      <c r="DV46">
        <v>1</v>
      </c>
      <c r="DW46">
        <v>1</v>
      </c>
      <c r="EA46" s="7"/>
      <c r="EC46">
        <v>1</v>
      </c>
      <c r="EF46">
        <v>1</v>
      </c>
      <c r="EJ46" s="7"/>
      <c r="EL46">
        <v>1</v>
      </c>
      <c r="EN46">
        <v>1</v>
      </c>
      <c r="ES46" s="7"/>
      <c r="EU46">
        <v>1</v>
      </c>
      <c r="EX46">
        <v>1</v>
      </c>
      <c r="FB46" s="7"/>
      <c r="FD46">
        <v>1</v>
      </c>
      <c r="FF46">
        <v>1</v>
      </c>
      <c r="FK46" s="7"/>
      <c r="FO46">
        <v>1</v>
      </c>
      <c r="FP46">
        <v>1</v>
      </c>
      <c r="FT46" s="7"/>
      <c r="FX46">
        <v>1</v>
      </c>
      <c r="GC46" s="7"/>
      <c r="GL46" s="7"/>
      <c r="GP46">
        <v>1</v>
      </c>
      <c r="GQ46">
        <v>1</v>
      </c>
      <c r="GS46" s="145">
        <v>1</v>
      </c>
      <c r="GU46" s="7"/>
      <c r="GW46">
        <v>1</v>
      </c>
      <c r="GY46">
        <v>1</v>
      </c>
      <c r="HD46" s="7"/>
      <c r="HM46" s="7"/>
      <c r="HV46" s="7"/>
      <c r="IE46" s="7"/>
      <c r="IN46" s="7"/>
      <c r="IU46" s="7"/>
      <c r="JB46" s="7"/>
      <c r="JI46" s="7"/>
      <c r="JP46" s="7"/>
      <c r="JW46" s="7"/>
      <c r="KD46" s="7"/>
      <c r="KK46" s="7"/>
      <c r="KR46" s="7"/>
      <c r="KY46" s="7"/>
      <c r="LF46" s="7"/>
      <c r="LM46" s="7"/>
      <c r="LT46" s="7"/>
      <c r="MA46" s="7"/>
      <c r="MH46" s="7"/>
      <c r="MO46" s="7"/>
      <c r="MV46" s="7"/>
      <c r="NC46" s="7"/>
      <c r="NJ46" s="7"/>
    </row>
    <row r="47" spans="1:374" ht="15" customHeight="1" x14ac:dyDescent="0.25">
      <c r="A47" s="8" t="s">
        <v>112</v>
      </c>
      <c r="B47" s="8" t="s">
        <v>111</v>
      </c>
      <c r="C47" s="8" t="s">
        <v>110</v>
      </c>
      <c r="D47" s="8" t="s">
        <v>109</v>
      </c>
      <c r="E47" s="56">
        <v>40099</v>
      </c>
      <c r="F47" s="19">
        <f t="shared" si="357"/>
        <v>1</v>
      </c>
      <c r="G47" s="19">
        <f t="shared" si="357"/>
        <v>1</v>
      </c>
      <c r="H47" s="19">
        <f t="shared" si="357"/>
        <v>1</v>
      </c>
      <c r="I47" s="19">
        <f t="shared" si="357"/>
        <v>1</v>
      </c>
      <c r="J47" s="19">
        <f t="shared" si="357"/>
        <v>1</v>
      </c>
      <c r="K47" s="19">
        <f t="shared" si="357"/>
        <v>1</v>
      </c>
      <c r="L47" s="19" t="str">
        <f t="shared" si="357"/>
        <v/>
      </c>
      <c r="M47" s="8">
        <v>1</v>
      </c>
      <c r="N47" s="8"/>
      <c r="O47" s="9"/>
      <c r="P47" s="8">
        <f t="shared" si="358"/>
        <v>15</v>
      </c>
      <c r="Q47" s="108">
        <f t="shared" si="359"/>
        <v>33.333333333333329</v>
      </c>
      <c r="R47" s="84"/>
      <c r="S47" s="7"/>
      <c r="V47" t="s">
        <v>442</v>
      </c>
      <c r="Z47" s="7"/>
      <c r="AG47" s="7"/>
      <c r="AN47" s="7"/>
      <c r="AU47" s="7"/>
      <c r="BB47" s="7"/>
      <c r="BI47" s="7"/>
      <c r="BP47" s="7"/>
      <c r="BY47" s="7"/>
      <c r="CH47" s="7"/>
      <c r="CQ47" s="7"/>
      <c r="CZ47" s="7"/>
      <c r="DI47" s="7"/>
      <c r="DR47" s="7"/>
      <c r="DT47">
        <v>1</v>
      </c>
      <c r="DW47">
        <v>1</v>
      </c>
      <c r="EA47" s="7"/>
      <c r="EC47" t="s">
        <v>458</v>
      </c>
      <c r="EJ47" s="7"/>
      <c r="EL47">
        <v>1</v>
      </c>
      <c r="EN47">
        <v>1</v>
      </c>
      <c r="EO47">
        <v>1</v>
      </c>
      <c r="ES47" s="7"/>
      <c r="EU47">
        <v>1</v>
      </c>
      <c r="EX47">
        <v>1</v>
      </c>
      <c r="FB47" s="7"/>
      <c r="FG47">
        <v>1</v>
      </c>
      <c r="FK47" s="7"/>
      <c r="FP47">
        <v>1</v>
      </c>
      <c r="FT47" s="7"/>
      <c r="FY47">
        <v>1</v>
      </c>
      <c r="GC47" s="7"/>
      <c r="GH47">
        <v>1</v>
      </c>
      <c r="GL47" s="7"/>
      <c r="GP47">
        <v>1</v>
      </c>
      <c r="GQ47">
        <v>1</v>
      </c>
      <c r="GS47" s="145"/>
      <c r="GU47" s="7"/>
      <c r="GY47">
        <v>1</v>
      </c>
      <c r="GZ47">
        <v>1</v>
      </c>
      <c r="HD47" s="7"/>
      <c r="HM47" s="7"/>
      <c r="HV47" s="7"/>
      <c r="IE47" s="7"/>
      <c r="IN47" s="7"/>
      <c r="IU47" s="7"/>
      <c r="JB47" s="7"/>
      <c r="JI47" s="7"/>
      <c r="JP47" s="7"/>
      <c r="JW47" s="7"/>
      <c r="KD47" s="7"/>
      <c r="KK47" s="7"/>
      <c r="KR47" s="7"/>
      <c r="KY47" s="7"/>
      <c r="LF47" s="7"/>
      <c r="LM47" s="7"/>
      <c r="LT47" s="7"/>
      <c r="MA47" s="7"/>
      <c r="MH47" s="7"/>
      <c r="MO47" s="7"/>
      <c r="MV47" s="7"/>
      <c r="NC47" s="7"/>
      <c r="NJ47" s="7"/>
    </row>
    <row r="48" spans="1:374" ht="15" customHeight="1" x14ac:dyDescent="0.25">
      <c r="A48" s="8" t="s">
        <v>73</v>
      </c>
      <c r="B48" s="8" t="s">
        <v>108</v>
      </c>
      <c r="C48" s="8" t="s">
        <v>107</v>
      </c>
      <c r="D48" s="8" t="s">
        <v>106</v>
      </c>
      <c r="E48" s="18">
        <v>39474</v>
      </c>
      <c r="F48" s="10">
        <f t="shared" si="357"/>
        <v>1</v>
      </c>
      <c r="G48" s="19">
        <f t="shared" si="357"/>
        <v>1</v>
      </c>
      <c r="H48" s="19">
        <f t="shared" si="357"/>
        <v>1</v>
      </c>
      <c r="I48" s="19">
        <f t="shared" si="357"/>
        <v>1</v>
      </c>
      <c r="J48" s="19">
        <f t="shared" si="357"/>
        <v>1</v>
      </c>
      <c r="K48" s="19" t="str">
        <f t="shared" si="357"/>
        <v/>
      </c>
      <c r="L48" s="19" t="str">
        <f t="shared" si="357"/>
        <v/>
      </c>
      <c r="M48" s="8">
        <v>1</v>
      </c>
      <c r="N48" s="8">
        <v>1</v>
      </c>
      <c r="O48" s="9"/>
      <c r="P48" s="8">
        <f t="shared" si="358"/>
        <v>41</v>
      </c>
      <c r="Q48" s="108">
        <f t="shared" si="359"/>
        <v>91.111111111111114</v>
      </c>
      <c r="R48" s="84"/>
      <c r="S48" s="7"/>
      <c r="Z48" s="7"/>
      <c r="AG48" s="7"/>
      <c r="AI48">
        <v>1</v>
      </c>
      <c r="AK48">
        <v>1</v>
      </c>
      <c r="AN48" s="7"/>
      <c r="AP48">
        <v>1</v>
      </c>
      <c r="AR48">
        <v>1</v>
      </c>
      <c r="AU48" s="7"/>
      <c r="AW48">
        <v>1</v>
      </c>
      <c r="AX48">
        <v>1</v>
      </c>
      <c r="AY48">
        <v>1</v>
      </c>
      <c r="BB48" s="7"/>
      <c r="BD48">
        <v>1</v>
      </c>
      <c r="BF48">
        <v>1</v>
      </c>
      <c r="BI48" s="7"/>
      <c r="BK48">
        <v>1</v>
      </c>
      <c r="BM48">
        <v>1</v>
      </c>
      <c r="BN48">
        <v>1</v>
      </c>
      <c r="BP48" s="7">
        <v>1</v>
      </c>
      <c r="BW48">
        <v>1</v>
      </c>
      <c r="BY48" s="7"/>
      <c r="CH48" s="7"/>
      <c r="CQ48" s="7"/>
      <c r="CZ48" s="7"/>
      <c r="DI48" s="7"/>
      <c r="DR48" s="7"/>
      <c r="DT48">
        <v>1</v>
      </c>
      <c r="DV48">
        <v>1</v>
      </c>
      <c r="EA48" s="7"/>
      <c r="EC48">
        <v>1</v>
      </c>
      <c r="EE48">
        <v>1</v>
      </c>
      <c r="EF48">
        <v>1</v>
      </c>
      <c r="EJ48" s="7"/>
      <c r="EL48">
        <v>1</v>
      </c>
      <c r="EN48">
        <v>1</v>
      </c>
      <c r="EO48">
        <v>1</v>
      </c>
      <c r="ES48" s="7"/>
      <c r="EU48">
        <v>1</v>
      </c>
      <c r="EW48">
        <v>1</v>
      </c>
      <c r="FB48" s="7"/>
      <c r="FD48">
        <v>1</v>
      </c>
      <c r="FF48">
        <v>1</v>
      </c>
      <c r="FG48">
        <v>1</v>
      </c>
      <c r="FK48" s="7"/>
      <c r="FM48">
        <v>1</v>
      </c>
      <c r="FO48">
        <v>1</v>
      </c>
      <c r="FP48">
        <v>1</v>
      </c>
      <c r="FT48" s="7"/>
      <c r="FV48">
        <v>1</v>
      </c>
      <c r="FX48">
        <v>1</v>
      </c>
      <c r="FY48">
        <v>1</v>
      </c>
      <c r="GC48" s="7"/>
      <c r="GE48">
        <v>1</v>
      </c>
      <c r="GG48">
        <v>1</v>
      </c>
      <c r="GH48">
        <v>1</v>
      </c>
      <c r="GL48" s="7"/>
      <c r="GN48">
        <v>1</v>
      </c>
      <c r="GQ48">
        <v>1</v>
      </c>
      <c r="GS48" s="145">
        <v>1</v>
      </c>
      <c r="GU48" s="7"/>
      <c r="GW48">
        <v>1</v>
      </c>
      <c r="GY48">
        <v>1</v>
      </c>
      <c r="HD48" s="7"/>
      <c r="HM48" s="7"/>
      <c r="HV48" s="7"/>
      <c r="IE48" s="7"/>
      <c r="IN48" s="7"/>
      <c r="IU48" s="7"/>
      <c r="JB48" s="7"/>
      <c r="JI48" s="7"/>
      <c r="JP48" s="7"/>
      <c r="JW48" s="7"/>
      <c r="KD48" s="7"/>
      <c r="KK48" s="7"/>
      <c r="KR48" s="7"/>
      <c r="KY48" s="7"/>
      <c r="LF48" s="7"/>
      <c r="LM48" s="7"/>
      <c r="LT48" s="7"/>
      <c r="MA48" s="7"/>
      <c r="MH48" s="7"/>
      <c r="MO48" s="7"/>
      <c r="MV48" s="7"/>
      <c r="NC48" s="7"/>
      <c r="NJ48" s="7"/>
    </row>
    <row r="49" spans="1:374" ht="15" customHeight="1" x14ac:dyDescent="0.25">
      <c r="A49" s="8" t="s">
        <v>236</v>
      </c>
      <c r="B49" s="8" t="s">
        <v>237</v>
      </c>
      <c r="C49" s="8" t="s">
        <v>238</v>
      </c>
      <c r="D49" s="8" t="s">
        <v>239</v>
      </c>
      <c r="E49" s="18">
        <v>39425</v>
      </c>
      <c r="F49" s="10">
        <f t="shared" si="357"/>
        <v>1</v>
      </c>
      <c r="G49" s="19">
        <f t="shared" si="357"/>
        <v>1</v>
      </c>
      <c r="H49" s="19">
        <f t="shared" si="357"/>
        <v>1</v>
      </c>
      <c r="I49" s="19">
        <f t="shared" si="357"/>
        <v>1</v>
      </c>
      <c r="J49" s="19" t="str">
        <f t="shared" si="357"/>
        <v/>
      </c>
      <c r="K49" s="19" t="str">
        <f t="shared" si="357"/>
        <v/>
      </c>
      <c r="L49" s="19" t="str">
        <f t="shared" si="357"/>
        <v/>
      </c>
      <c r="M49" s="8">
        <v>1</v>
      </c>
      <c r="N49" s="8">
        <v>1</v>
      </c>
      <c r="O49" s="9"/>
      <c r="P49" s="8">
        <f t="shared" si="358"/>
        <v>33</v>
      </c>
      <c r="Q49" s="108">
        <f t="shared" si="359"/>
        <v>73.333333333333329</v>
      </c>
      <c r="R49" s="84"/>
      <c r="S49" s="7"/>
      <c r="Z49" s="7"/>
      <c r="AG49" s="7"/>
      <c r="AI49">
        <v>1</v>
      </c>
      <c r="AK49">
        <v>1</v>
      </c>
      <c r="AN49" s="7"/>
      <c r="AP49">
        <v>1</v>
      </c>
      <c r="AR49">
        <v>1</v>
      </c>
      <c r="AU49" s="7"/>
      <c r="AW49">
        <v>1</v>
      </c>
      <c r="AX49">
        <v>1</v>
      </c>
      <c r="AY49">
        <v>1</v>
      </c>
      <c r="BB49" s="7"/>
      <c r="BD49">
        <v>1</v>
      </c>
      <c r="BF49">
        <v>1</v>
      </c>
      <c r="BI49" s="7"/>
      <c r="BK49">
        <v>1</v>
      </c>
      <c r="BM49">
        <v>1</v>
      </c>
      <c r="BN49">
        <v>1</v>
      </c>
      <c r="BP49" s="7"/>
      <c r="BY49" s="7"/>
      <c r="CH49" s="7"/>
      <c r="CQ49" s="7"/>
      <c r="CZ49" s="7"/>
      <c r="DI49" s="7"/>
      <c r="DR49" s="7"/>
      <c r="DT49">
        <v>1</v>
      </c>
      <c r="DV49">
        <v>1</v>
      </c>
      <c r="DW49">
        <v>1</v>
      </c>
      <c r="EA49" s="7"/>
      <c r="EC49">
        <v>1</v>
      </c>
      <c r="EE49">
        <v>1</v>
      </c>
      <c r="EF49">
        <v>1</v>
      </c>
      <c r="EJ49" s="7"/>
      <c r="EN49">
        <v>1</v>
      </c>
      <c r="EO49">
        <v>1</v>
      </c>
      <c r="ES49" s="7"/>
      <c r="EU49">
        <v>1</v>
      </c>
      <c r="FB49" s="7"/>
      <c r="FD49">
        <v>1</v>
      </c>
      <c r="FK49" s="7"/>
      <c r="FP49">
        <v>1</v>
      </c>
      <c r="FT49" s="7"/>
      <c r="FV49">
        <v>1</v>
      </c>
      <c r="FX49">
        <v>1</v>
      </c>
      <c r="FY49">
        <v>1</v>
      </c>
      <c r="GC49" s="7"/>
      <c r="GG49">
        <v>1</v>
      </c>
      <c r="GH49">
        <v>1</v>
      </c>
      <c r="GL49" s="7"/>
      <c r="GP49">
        <v>1</v>
      </c>
      <c r="GQ49">
        <v>1</v>
      </c>
      <c r="GS49" s="145">
        <v>1</v>
      </c>
      <c r="GU49" s="7"/>
      <c r="GW49">
        <v>1</v>
      </c>
      <c r="GY49">
        <v>1</v>
      </c>
      <c r="HD49" s="7"/>
      <c r="HM49" s="7"/>
      <c r="HV49" s="7"/>
      <c r="IE49" s="7"/>
      <c r="IN49" s="7"/>
      <c r="IU49" s="7"/>
      <c r="JB49" s="7"/>
      <c r="JI49" s="7"/>
      <c r="JP49" s="7"/>
      <c r="JW49" s="7"/>
      <c r="KD49" s="7"/>
      <c r="KK49" s="7"/>
      <c r="KR49" s="7"/>
      <c r="KY49" s="7"/>
      <c r="LF49" s="7"/>
      <c r="LM49" s="7"/>
      <c r="LT49" s="7"/>
      <c r="MA49" s="7"/>
      <c r="MH49" s="7"/>
      <c r="MO49" s="7"/>
      <c r="MV49" s="7"/>
      <c r="NC49" s="7"/>
      <c r="NJ49" s="7"/>
    </row>
    <row r="50" spans="1:374" ht="15" hidden="1" customHeight="1" x14ac:dyDescent="0.25">
      <c r="A50" s="8" t="s">
        <v>233</v>
      </c>
      <c r="B50" s="8"/>
      <c r="C50" s="8" t="s">
        <v>36</v>
      </c>
      <c r="D50" s="8" t="s">
        <v>234</v>
      </c>
      <c r="E50" s="18">
        <v>38536</v>
      </c>
      <c r="F50" s="10">
        <f t="shared" si="357"/>
        <v>1</v>
      </c>
      <c r="G50" s="19">
        <f t="shared" si="357"/>
        <v>1</v>
      </c>
      <c r="H50" s="19" t="str">
        <f t="shared" si="357"/>
        <v/>
      </c>
      <c r="I50" s="19" t="str">
        <f t="shared" si="357"/>
        <v/>
      </c>
      <c r="J50" s="19" t="str">
        <f t="shared" si="357"/>
        <v/>
      </c>
      <c r="K50" s="19" t="str">
        <f t="shared" si="357"/>
        <v/>
      </c>
      <c r="L50" s="19" t="str">
        <f t="shared" si="357"/>
        <v/>
      </c>
      <c r="M50" s="8">
        <v>1</v>
      </c>
      <c r="N50" s="8"/>
      <c r="O50" s="9"/>
      <c r="P50" s="8">
        <f t="shared" si="358"/>
        <v>5</v>
      </c>
      <c r="Q50" s="108">
        <f t="shared" si="359"/>
        <v>11.111111111111111</v>
      </c>
      <c r="R50" s="84"/>
      <c r="S50" s="7"/>
      <c r="Z50" s="7"/>
      <c r="AG50" s="7"/>
      <c r="AI50">
        <v>1</v>
      </c>
      <c r="AN50" s="7"/>
      <c r="AR50">
        <v>1</v>
      </c>
      <c r="AU50" s="7"/>
      <c r="BB50" s="7"/>
      <c r="BD50">
        <v>1</v>
      </c>
      <c r="BI50" s="7"/>
      <c r="BM50">
        <v>1</v>
      </c>
      <c r="BN50">
        <v>1</v>
      </c>
      <c r="BP50" s="7"/>
      <c r="BY50" s="7"/>
      <c r="CH50" s="7"/>
      <c r="CQ50" s="7"/>
      <c r="CZ50" s="7"/>
      <c r="DI50" s="7"/>
      <c r="DR50" s="7"/>
      <c r="DT50" t="s">
        <v>442</v>
      </c>
      <c r="EA50" s="7"/>
      <c r="EJ50" s="7"/>
      <c r="ES50" s="7"/>
      <c r="FB50" s="7"/>
      <c r="FK50" s="7"/>
      <c r="FT50" s="7"/>
      <c r="GC50" s="7"/>
      <c r="GL50" s="7"/>
      <c r="GS50" s="145"/>
      <c r="GU50" s="7"/>
      <c r="HD50" s="7"/>
      <c r="HM50" s="7"/>
      <c r="HV50" s="7"/>
      <c r="IE50" s="7"/>
      <c r="IN50" s="7"/>
      <c r="IU50" s="7"/>
      <c r="JB50" s="7"/>
      <c r="JI50" s="7"/>
      <c r="JP50" s="7"/>
      <c r="JW50" s="7"/>
      <c r="KD50" s="7"/>
      <c r="KK50" s="7"/>
      <c r="KR50" s="7"/>
      <c r="KY50" s="7"/>
      <c r="LF50" s="7"/>
      <c r="LM50" s="7"/>
      <c r="LT50" s="7"/>
      <c r="MA50" s="7"/>
      <c r="MH50" s="7"/>
      <c r="MO50" s="7"/>
      <c r="MV50" s="7"/>
      <c r="NC50" s="7"/>
      <c r="NJ50" s="7"/>
    </row>
    <row r="51" spans="1:374" hidden="1" x14ac:dyDescent="0.25">
      <c r="A51" s="8" t="s">
        <v>229</v>
      </c>
      <c r="B51" s="8" t="s">
        <v>230</v>
      </c>
      <c r="C51" s="8" t="s">
        <v>232</v>
      </c>
      <c r="D51" s="8" t="s">
        <v>231</v>
      </c>
      <c r="E51" s="18">
        <v>38679</v>
      </c>
      <c r="F51" s="10">
        <f t="shared" si="357"/>
        <v>1</v>
      </c>
      <c r="G51" s="19">
        <f t="shared" si="357"/>
        <v>1</v>
      </c>
      <c r="H51" s="19" t="str">
        <f t="shared" si="357"/>
        <v/>
      </c>
      <c r="I51" s="19" t="str">
        <f t="shared" si="357"/>
        <v/>
      </c>
      <c r="J51" s="19" t="str">
        <f t="shared" si="357"/>
        <v/>
      </c>
      <c r="K51" s="19" t="str">
        <f t="shared" si="357"/>
        <v/>
      </c>
      <c r="L51" s="19" t="str">
        <f t="shared" si="357"/>
        <v/>
      </c>
      <c r="M51" s="8">
        <v>1</v>
      </c>
      <c r="N51" s="8"/>
      <c r="O51" s="9"/>
      <c r="P51" s="8">
        <f t="shared" si="358"/>
        <v>6</v>
      </c>
      <c r="Q51" s="108">
        <f t="shared" si="359"/>
        <v>13.333333333333334</v>
      </c>
      <c r="R51" s="84"/>
      <c r="S51" s="7"/>
      <c r="Z51" s="7"/>
      <c r="AG51" s="7"/>
      <c r="AI51">
        <v>1</v>
      </c>
      <c r="AN51" s="7"/>
      <c r="AR51">
        <v>1</v>
      </c>
      <c r="AU51" s="7"/>
      <c r="BB51" s="7"/>
      <c r="BD51">
        <v>1</v>
      </c>
      <c r="BI51" s="7"/>
      <c r="BM51">
        <v>1</v>
      </c>
      <c r="BN51">
        <v>1</v>
      </c>
      <c r="BP51" s="7"/>
      <c r="BY51" s="7"/>
      <c r="CH51" s="7"/>
      <c r="CQ51" s="7"/>
      <c r="CZ51" s="7"/>
      <c r="DI51" s="7"/>
      <c r="DR51" s="7"/>
      <c r="DT51" t="s">
        <v>442</v>
      </c>
      <c r="DW51">
        <v>1</v>
      </c>
      <c r="EA51" s="7"/>
      <c r="EJ51" s="7"/>
      <c r="ES51" s="7"/>
      <c r="FB51" s="7"/>
      <c r="FK51" s="7"/>
      <c r="FT51" s="7"/>
      <c r="GC51" s="7"/>
      <c r="GL51" s="7"/>
      <c r="GS51" s="145"/>
      <c r="GU51" s="7"/>
      <c r="HD51" s="7"/>
      <c r="HM51" s="7"/>
      <c r="HV51" s="7"/>
      <c r="IE51" s="7"/>
      <c r="IN51" s="7"/>
      <c r="IU51" s="7"/>
      <c r="JB51" s="7"/>
      <c r="JI51" s="7"/>
      <c r="JP51" s="7"/>
      <c r="JW51" s="7"/>
      <c r="KD51" s="7"/>
      <c r="KK51" s="7"/>
      <c r="KR51" s="7"/>
      <c r="KY51" s="7"/>
      <c r="LF51" s="7"/>
      <c r="LM51" s="7"/>
      <c r="LT51" s="7"/>
      <c r="MA51" s="7"/>
      <c r="MH51" s="7"/>
      <c r="MO51" s="7"/>
      <c r="MV51" s="7"/>
      <c r="NC51" s="7"/>
      <c r="NJ51" s="7"/>
    </row>
    <row r="52" spans="1:374" hidden="1" x14ac:dyDescent="0.25">
      <c r="A52" s="8" t="s">
        <v>62</v>
      </c>
      <c r="B52" s="8"/>
      <c r="C52" s="8" t="s">
        <v>292</v>
      </c>
      <c r="D52" s="8" t="s">
        <v>293</v>
      </c>
      <c r="E52" s="18">
        <v>39814</v>
      </c>
      <c r="F52" s="10">
        <f t="shared" si="357"/>
        <v>1</v>
      </c>
      <c r="G52" s="19">
        <f t="shared" si="357"/>
        <v>1</v>
      </c>
      <c r="H52" s="19">
        <f t="shared" si="357"/>
        <v>1</v>
      </c>
      <c r="I52" s="8">
        <f t="shared" si="357"/>
        <v>1</v>
      </c>
      <c r="J52" s="8">
        <f t="shared" si="357"/>
        <v>1</v>
      </c>
      <c r="K52" s="8">
        <f t="shared" si="357"/>
        <v>1</v>
      </c>
      <c r="L52" s="8" t="str">
        <f t="shared" si="357"/>
        <v/>
      </c>
      <c r="M52" s="8">
        <v>1</v>
      </c>
      <c r="N52" s="8"/>
      <c r="O52" s="9"/>
      <c r="P52" s="8">
        <f t="shared" si="358"/>
        <v>3</v>
      </c>
      <c r="Q52" s="108">
        <f t="shared" si="359"/>
        <v>6.666666666666667</v>
      </c>
      <c r="R52" s="84"/>
      <c r="S52" s="7"/>
      <c r="Z52" s="7"/>
      <c r="AG52" s="7"/>
      <c r="AN52" s="7"/>
      <c r="AP52">
        <v>1</v>
      </c>
      <c r="AU52" s="7"/>
      <c r="AY52">
        <v>1</v>
      </c>
      <c r="BB52" s="7"/>
      <c r="BF52">
        <v>1</v>
      </c>
      <c r="BI52" s="7"/>
      <c r="BP52" s="7"/>
      <c r="BY52" s="7"/>
      <c r="CH52" s="7"/>
      <c r="CQ52" s="7"/>
      <c r="CZ52" s="7"/>
      <c r="DI52" s="7"/>
      <c r="DR52" s="7"/>
      <c r="EA52" s="7"/>
      <c r="EJ52" s="7"/>
      <c r="ES52" s="7"/>
      <c r="FB52" s="7"/>
      <c r="FK52" s="7"/>
      <c r="FT52" s="7"/>
      <c r="GC52" s="7"/>
      <c r="GL52" s="7"/>
      <c r="GS52" s="145"/>
      <c r="GU52" s="7"/>
      <c r="HD52" s="7"/>
      <c r="HM52" s="7"/>
      <c r="HV52" s="7"/>
      <c r="IE52" s="7"/>
      <c r="IN52" s="7"/>
      <c r="IU52" s="7"/>
      <c r="JB52" s="7"/>
      <c r="JI52" s="7"/>
      <c r="JP52" s="7"/>
      <c r="JW52" s="7"/>
      <c r="KD52" s="7"/>
      <c r="KK52" s="7"/>
      <c r="KR52" s="7"/>
      <c r="KY52" s="7"/>
      <c r="LF52" s="7"/>
      <c r="LM52" s="7"/>
      <c r="LT52" s="7"/>
      <c r="MA52" s="7"/>
      <c r="MH52" s="7"/>
      <c r="MO52" s="7"/>
      <c r="MV52" s="7"/>
      <c r="NC52" s="7"/>
      <c r="NJ52" s="7"/>
    </row>
    <row r="53" spans="1:374" x14ac:dyDescent="0.25">
      <c r="A53" s="8" t="s">
        <v>92</v>
      </c>
      <c r="B53" s="8"/>
      <c r="C53" s="8" t="s">
        <v>91</v>
      </c>
      <c r="D53" s="8" t="s">
        <v>90</v>
      </c>
      <c r="E53" s="18">
        <v>39507</v>
      </c>
      <c r="F53" s="10">
        <f t="shared" si="357"/>
        <v>1</v>
      </c>
      <c r="G53" s="19">
        <f t="shared" si="357"/>
        <v>1</v>
      </c>
      <c r="H53" s="19">
        <f t="shared" si="357"/>
        <v>1</v>
      </c>
      <c r="I53" s="19">
        <f t="shared" si="357"/>
        <v>1</v>
      </c>
      <c r="J53" s="19">
        <f t="shared" si="357"/>
        <v>1</v>
      </c>
      <c r="K53" s="19" t="str">
        <f t="shared" si="357"/>
        <v/>
      </c>
      <c r="L53" s="19" t="str">
        <f t="shared" si="357"/>
        <v/>
      </c>
      <c r="M53" s="8">
        <v>1</v>
      </c>
      <c r="N53" s="8">
        <v>1</v>
      </c>
      <c r="O53" s="9"/>
      <c r="P53" s="8">
        <f t="shared" si="358"/>
        <v>31</v>
      </c>
      <c r="Q53" s="108">
        <f t="shared" si="359"/>
        <v>68.888888888888886</v>
      </c>
      <c r="R53" s="84"/>
      <c r="S53" s="7"/>
      <c r="Z53" s="7"/>
      <c r="AG53" s="7"/>
      <c r="AI53">
        <v>1</v>
      </c>
      <c r="AN53" s="7"/>
      <c r="AP53">
        <v>1</v>
      </c>
      <c r="AR53">
        <v>1</v>
      </c>
      <c r="AU53" s="7"/>
      <c r="AW53">
        <v>1</v>
      </c>
      <c r="AX53">
        <v>1</v>
      </c>
      <c r="AY53">
        <v>1</v>
      </c>
      <c r="BB53" s="7"/>
      <c r="BD53">
        <v>1</v>
      </c>
      <c r="BF53">
        <v>1</v>
      </c>
      <c r="BI53" s="7"/>
      <c r="BK53">
        <v>1</v>
      </c>
      <c r="BM53">
        <v>1</v>
      </c>
      <c r="BN53">
        <v>1</v>
      </c>
      <c r="BP53" s="7">
        <v>1</v>
      </c>
      <c r="BY53" s="7"/>
      <c r="CH53" s="7"/>
      <c r="CQ53" s="7"/>
      <c r="CZ53" s="7"/>
      <c r="DI53" s="7"/>
      <c r="DR53" s="7"/>
      <c r="DT53">
        <v>1</v>
      </c>
      <c r="EA53" s="7"/>
      <c r="EC53">
        <v>1</v>
      </c>
      <c r="EE53">
        <v>1</v>
      </c>
      <c r="EF53">
        <v>1</v>
      </c>
      <c r="EJ53" s="7"/>
      <c r="EL53">
        <v>1</v>
      </c>
      <c r="EN53">
        <v>1</v>
      </c>
      <c r="ES53" s="7"/>
      <c r="EU53">
        <v>1</v>
      </c>
      <c r="EX53">
        <v>1</v>
      </c>
      <c r="FB53" s="7"/>
      <c r="FD53">
        <v>1</v>
      </c>
      <c r="FF53">
        <v>1</v>
      </c>
      <c r="FG53">
        <v>1</v>
      </c>
      <c r="FK53" s="7"/>
      <c r="FM53">
        <v>1</v>
      </c>
      <c r="FO53">
        <v>1</v>
      </c>
      <c r="FP53">
        <v>1</v>
      </c>
      <c r="FT53" s="7"/>
      <c r="FV53">
        <v>1</v>
      </c>
      <c r="GC53" s="7"/>
      <c r="GL53" s="7"/>
      <c r="GN53">
        <v>1</v>
      </c>
      <c r="GP53">
        <v>1</v>
      </c>
      <c r="GS53" s="145">
        <v>1</v>
      </c>
      <c r="GU53" s="7"/>
      <c r="GY53">
        <v>1</v>
      </c>
      <c r="HD53" s="7"/>
      <c r="HM53" s="7"/>
      <c r="HV53" s="7"/>
      <c r="IE53" s="7"/>
      <c r="IN53" s="7"/>
      <c r="IU53" s="7"/>
      <c r="JB53" s="7"/>
      <c r="JI53" s="7"/>
      <c r="JP53" s="7"/>
      <c r="JW53" s="7"/>
      <c r="KD53" s="7"/>
      <c r="KK53" s="7"/>
      <c r="KR53" s="7"/>
      <c r="KY53" s="7"/>
      <c r="LF53" s="7"/>
      <c r="LM53" s="7"/>
      <c r="LT53" s="7"/>
      <c r="MA53" s="7"/>
      <c r="MH53" s="7"/>
      <c r="MO53" s="7"/>
      <c r="MV53" s="7"/>
      <c r="NC53" s="7"/>
      <c r="NJ53" s="7"/>
    </row>
    <row r="54" spans="1:374" hidden="1" x14ac:dyDescent="0.25">
      <c r="A54" s="8" t="s">
        <v>89</v>
      </c>
      <c r="B54" s="8"/>
      <c r="C54" s="8" t="s">
        <v>88</v>
      </c>
      <c r="D54" s="8" t="s">
        <v>87</v>
      </c>
      <c r="E54" s="18">
        <v>39651</v>
      </c>
      <c r="F54" s="10">
        <f t="shared" si="357"/>
        <v>1</v>
      </c>
      <c r="G54" s="19">
        <f t="shared" si="357"/>
        <v>1</v>
      </c>
      <c r="H54" s="19">
        <f t="shared" si="357"/>
        <v>1</v>
      </c>
      <c r="I54" s="8">
        <f t="shared" si="357"/>
        <v>1</v>
      </c>
      <c r="J54" s="8">
        <f t="shared" si="357"/>
        <v>1</v>
      </c>
      <c r="K54" s="8" t="str">
        <f t="shared" si="357"/>
        <v/>
      </c>
      <c r="L54" s="8" t="str">
        <f t="shared" si="357"/>
        <v/>
      </c>
      <c r="M54" s="8">
        <v>1</v>
      </c>
      <c r="N54" s="8"/>
      <c r="O54" s="9"/>
      <c r="P54" s="8">
        <f t="shared" si="358"/>
        <v>3</v>
      </c>
      <c r="Q54" s="108">
        <f t="shared" si="359"/>
        <v>6.666666666666667</v>
      </c>
      <c r="R54" s="84"/>
      <c r="S54" s="7"/>
      <c r="Z54" s="7"/>
      <c r="AG54" s="7"/>
      <c r="AI54">
        <v>1</v>
      </c>
      <c r="AK54">
        <v>1</v>
      </c>
      <c r="AN54" s="7"/>
      <c r="AU54" s="7"/>
      <c r="AW54">
        <v>1</v>
      </c>
      <c r="BB54" s="7"/>
      <c r="BI54" s="7"/>
      <c r="BP54" s="7"/>
      <c r="BY54" s="7"/>
      <c r="CH54" s="7"/>
      <c r="CQ54" s="7"/>
      <c r="CZ54" s="7"/>
      <c r="DI54" s="7"/>
      <c r="DR54" s="7"/>
      <c r="EA54" s="7"/>
      <c r="EJ54" s="7"/>
      <c r="ES54" s="7"/>
      <c r="FB54" s="7"/>
      <c r="FK54" s="7"/>
      <c r="FT54" s="7"/>
      <c r="GC54" s="7"/>
      <c r="GL54" s="7"/>
      <c r="GS54" s="145"/>
      <c r="GU54" s="7"/>
      <c r="HD54" s="7"/>
      <c r="HM54" s="7"/>
      <c r="HV54" s="7"/>
      <c r="IE54" s="7"/>
      <c r="IN54" s="7"/>
      <c r="IU54" s="7"/>
      <c r="JB54" s="7"/>
      <c r="JI54" s="7"/>
      <c r="JP54" s="7"/>
      <c r="JW54" s="7"/>
      <c r="KD54" s="7"/>
      <c r="KK54" s="7"/>
      <c r="KR54" s="7"/>
      <c r="KY54" s="7"/>
      <c r="LF54" s="7"/>
      <c r="LM54" s="7"/>
      <c r="LT54" s="7"/>
      <c r="MA54" s="7"/>
      <c r="MH54" s="7"/>
      <c r="MO54" s="7"/>
      <c r="MV54" s="7"/>
      <c r="NC54" s="7"/>
      <c r="NJ54" s="7"/>
    </row>
    <row r="55" spans="1:374" x14ac:dyDescent="0.25">
      <c r="A55" s="8" t="s">
        <v>134</v>
      </c>
      <c r="B55" s="8" t="s">
        <v>133</v>
      </c>
      <c r="C55" s="8" t="s">
        <v>235</v>
      </c>
      <c r="D55" s="8" t="s">
        <v>87</v>
      </c>
      <c r="E55" s="18">
        <v>38979</v>
      </c>
      <c r="F55" s="10">
        <f t="shared" si="357"/>
        <v>1</v>
      </c>
      <c r="G55" s="19">
        <f t="shared" si="357"/>
        <v>1</v>
      </c>
      <c r="H55" s="19">
        <f t="shared" si="357"/>
        <v>1</v>
      </c>
      <c r="I55" s="8" t="str">
        <f t="shared" si="357"/>
        <v/>
      </c>
      <c r="J55" s="8" t="str">
        <f t="shared" si="357"/>
        <v/>
      </c>
      <c r="K55" s="8" t="str">
        <f t="shared" si="357"/>
        <v/>
      </c>
      <c r="L55" s="8" t="str">
        <f t="shared" si="357"/>
        <v/>
      </c>
      <c r="M55" s="8">
        <v>1</v>
      </c>
      <c r="N55" s="8">
        <v>1</v>
      </c>
      <c r="O55" s="9"/>
      <c r="P55" s="8">
        <f t="shared" si="358"/>
        <v>28</v>
      </c>
      <c r="Q55" s="108">
        <f t="shared" si="359"/>
        <v>62.222222222222221</v>
      </c>
      <c r="R55" s="84"/>
      <c r="S55" s="7"/>
      <c r="Z55" s="7"/>
      <c r="AG55" s="7"/>
      <c r="AI55">
        <v>1</v>
      </c>
      <c r="AK55">
        <v>1</v>
      </c>
      <c r="AN55" s="7"/>
      <c r="AU55" s="7"/>
      <c r="AW55">
        <v>1</v>
      </c>
      <c r="AX55">
        <v>1</v>
      </c>
      <c r="BB55" s="7"/>
      <c r="BI55" s="7"/>
      <c r="BK55">
        <v>1</v>
      </c>
      <c r="BM55">
        <v>1</v>
      </c>
      <c r="BN55">
        <v>1</v>
      </c>
      <c r="BP55" s="7">
        <v>1</v>
      </c>
      <c r="BY55" s="7"/>
      <c r="CH55" s="7"/>
      <c r="CQ55" s="7"/>
      <c r="CZ55" s="7"/>
      <c r="DI55" s="7"/>
      <c r="DR55" s="7"/>
      <c r="DT55">
        <v>1</v>
      </c>
      <c r="DV55">
        <v>1</v>
      </c>
      <c r="EA55" s="7"/>
      <c r="EC55">
        <v>1</v>
      </c>
      <c r="EE55">
        <v>1</v>
      </c>
      <c r="EJ55" s="7"/>
      <c r="EL55">
        <v>1</v>
      </c>
      <c r="EN55">
        <v>1</v>
      </c>
      <c r="EO55">
        <v>1</v>
      </c>
      <c r="ES55" s="7"/>
      <c r="EU55">
        <v>1</v>
      </c>
      <c r="EW55">
        <v>1</v>
      </c>
      <c r="FB55" s="7"/>
      <c r="FD55">
        <v>1</v>
      </c>
      <c r="FF55">
        <v>1</v>
      </c>
      <c r="FG55">
        <v>1</v>
      </c>
      <c r="FK55" s="7"/>
      <c r="FM55">
        <v>1</v>
      </c>
      <c r="FO55">
        <v>1</v>
      </c>
      <c r="FT55" s="7"/>
      <c r="GC55" s="7"/>
      <c r="GE55">
        <v>1</v>
      </c>
      <c r="GG55">
        <v>1</v>
      </c>
      <c r="GH55">
        <v>1</v>
      </c>
      <c r="GL55" s="7"/>
      <c r="GS55" s="145"/>
      <c r="GU55" s="7"/>
      <c r="GW55">
        <v>1</v>
      </c>
      <c r="GY55">
        <v>1</v>
      </c>
      <c r="GZ55">
        <v>1</v>
      </c>
      <c r="HD55" s="7"/>
      <c r="HM55" s="7"/>
      <c r="HV55" s="7"/>
      <c r="IE55" s="7"/>
      <c r="IN55" s="7"/>
      <c r="IU55" s="7"/>
      <c r="JB55" s="7"/>
      <c r="JI55" s="7"/>
      <c r="JP55" s="7"/>
      <c r="JW55" s="7"/>
      <c r="KD55" s="7"/>
      <c r="KK55" s="7"/>
      <c r="KR55" s="7"/>
      <c r="KY55" s="7"/>
      <c r="LF55" s="7"/>
      <c r="LM55" s="7"/>
      <c r="LT55" s="7"/>
      <c r="MA55" s="7"/>
      <c r="MH55" s="7"/>
      <c r="MO55" s="7"/>
      <c r="MV55" s="7"/>
      <c r="NC55" s="7"/>
      <c r="NJ55" s="7"/>
    </row>
    <row r="56" spans="1:374" hidden="1" x14ac:dyDescent="0.25">
      <c r="A56" s="8" t="s">
        <v>86</v>
      </c>
      <c r="B56" s="8"/>
      <c r="C56" s="8" t="s">
        <v>85</v>
      </c>
      <c r="D56" s="8" t="s">
        <v>84</v>
      </c>
      <c r="E56" s="18">
        <v>39562</v>
      </c>
      <c r="F56" s="10">
        <f t="shared" si="357"/>
        <v>1</v>
      </c>
      <c r="G56" s="19">
        <f t="shared" si="357"/>
        <v>1</v>
      </c>
      <c r="H56" s="19">
        <f t="shared" si="357"/>
        <v>1</v>
      </c>
      <c r="I56" s="8">
        <f t="shared" si="357"/>
        <v>1</v>
      </c>
      <c r="J56" s="8">
        <f t="shared" si="357"/>
        <v>1</v>
      </c>
      <c r="K56" s="8" t="str">
        <f t="shared" si="357"/>
        <v/>
      </c>
      <c r="L56" s="8" t="str">
        <f t="shared" si="357"/>
        <v/>
      </c>
      <c r="M56" s="8">
        <v>1</v>
      </c>
      <c r="N56" s="8"/>
      <c r="O56" s="9"/>
      <c r="P56" s="8">
        <f t="shared" si="358"/>
        <v>5</v>
      </c>
      <c r="Q56" s="108">
        <f t="shared" si="359"/>
        <v>11.111111111111111</v>
      </c>
      <c r="R56" s="84"/>
      <c r="S56" s="7"/>
      <c r="Z56" s="7"/>
      <c r="AG56" s="7"/>
      <c r="AN56" s="7"/>
      <c r="AP56">
        <v>1</v>
      </c>
      <c r="AR56">
        <v>1</v>
      </c>
      <c r="AU56" s="7"/>
      <c r="AW56">
        <v>1</v>
      </c>
      <c r="BB56" s="7"/>
      <c r="BI56" s="7"/>
      <c r="BM56">
        <v>1</v>
      </c>
      <c r="BN56">
        <v>1</v>
      </c>
      <c r="BP56" s="7"/>
      <c r="BY56" s="7"/>
      <c r="CH56" s="7"/>
      <c r="CQ56" s="7"/>
      <c r="CZ56" s="7"/>
      <c r="DI56" s="7"/>
      <c r="DR56" s="7"/>
      <c r="EA56" s="7"/>
      <c r="EJ56" s="7"/>
      <c r="ES56" s="7"/>
      <c r="FB56" s="7"/>
      <c r="FD56" t="s">
        <v>476</v>
      </c>
      <c r="FK56" s="7"/>
      <c r="FT56" s="7"/>
      <c r="GC56" s="7"/>
      <c r="GL56" s="7"/>
      <c r="GS56" s="145"/>
      <c r="GU56" s="7"/>
      <c r="HD56" s="7"/>
      <c r="HM56" s="7"/>
      <c r="HV56" s="7"/>
      <c r="IE56" s="7"/>
      <c r="IN56" s="7"/>
      <c r="IU56" s="7"/>
      <c r="JB56" s="7"/>
      <c r="JI56" s="7"/>
      <c r="JP56" s="7"/>
      <c r="JW56" s="7"/>
      <c r="KD56" s="7"/>
      <c r="KK56" s="7"/>
      <c r="KR56" s="7"/>
      <c r="KY56" s="7"/>
      <c r="LF56" s="7"/>
      <c r="LM56" s="7"/>
      <c r="LT56" s="7"/>
      <c r="MA56" s="7"/>
      <c r="MH56" s="7"/>
      <c r="MO56" s="7"/>
      <c r="MV56" s="7"/>
      <c r="NC56" s="7"/>
      <c r="NJ56" s="7"/>
    </row>
    <row r="57" spans="1:374" x14ac:dyDescent="0.25">
      <c r="A57" s="8" t="s">
        <v>83</v>
      </c>
      <c r="B57" s="8"/>
      <c r="C57" s="8" t="s">
        <v>82</v>
      </c>
      <c r="D57" s="8" t="s">
        <v>81</v>
      </c>
      <c r="E57" s="18">
        <v>39475</v>
      </c>
      <c r="F57" s="10">
        <f t="shared" si="357"/>
        <v>1</v>
      </c>
      <c r="G57" s="19">
        <f t="shared" si="357"/>
        <v>1</v>
      </c>
      <c r="H57" s="19">
        <f t="shared" si="357"/>
        <v>1</v>
      </c>
      <c r="I57" s="8">
        <f t="shared" si="357"/>
        <v>1</v>
      </c>
      <c r="J57" s="8">
        <f t="shared" si="357"/>
        <v>1</v>
      </c>
      <c r="K57" s="8" t="str">
        <f t="shared" si="357"/>
        <v/>
      </c>
      <c r="L57" s="8" t="str">
        <f t="shared" si="357"/>
        <v/>
      </c>
      <c r="M57" s="8">
        <v>1</v>
      </c>
      <c r="N57" s="8">
        <v>1</v>
      </c>
      <c r="O57" s="9"/>
      <c r="P57" s="8">
        <f t="shared" si="358"/>
        <v>36</v>
      </c>
      <c r="Q57" s="108">
        <f t="shared" si="359"/>
        <v>80</v>
      </c>
      <c r="R57" s="84"/>
      <c r="S57" s="7"/>
      <c r="Z57" s="7"/>
      <c r="AG57" s="7"/>
      <c r="AI57">
        <v>1</v>
      </c>
      <c r="AK57">
        <v>1</v>
      </c>
      <c r="AN57" s="7"/>
      <c r="AP57">
        <v>1</v>
      </c>
      <c r="AR57">
        <v>1</v>
      </c>
      <c r="AU57" s="7"/>
      <c r="AY57">
        <v>1</v>
      </c>
      <c r="BB57" s="7"/>
      <c r="BD57">
        <v>1</v>
      </c>
      <c r="BF57">
        <v>1</v>
      </c>
      <c r="BI57" s="7"/>
      <c r="BK57">
        <v>1</v>
      </c>
      <c r="BM57">
        <v>1</v>
      </c>
      <c r="BN57">
        <v>1</v>
      </c>
      <c r="BP57" s="7"/>
      <c r="BY57" s="7"/>
      <c r="CH57" s="7"/>
      <c r="CQ57" s="7"/>
      <c r="CZ57" s="7"/>
      <c r="DI57" s="7"/>
      <c r="DR57" s="7"/>
      <c r="DT57">
        <v>1</v>
      </c>
      <c r="DV57">
        <v>1</v>
      </c>
      <c r="DW57">
        <v>1</v>
      </c>
      <c r="EA57" s="7"/>
      <c r="EC57">
        <v>1</v>
      </c>
      <c r="EE57">
        <v>1</v>
      </c>
      <c r="EJ57" s="7"/>
      <c r="EL57">
        <v>1</v>
      </c>
      <c r="EN57">
        <v>1</v>
      </c>
      <c r="EO57">
        <v>1</v>
      </c>
      <c r="ES57" s="7"/>
      <c r="EU57">
        <v>1</v>
      </c>
      <c r="EW57">
        <v>1</v>
      </c>
      <c r="EX57">
        <v>1</v>
      </c>
      <c r="FB57" s="7"/>
      <c r="FD57">
        <v>1</v>
      </c>
      <c r="FF57">
        <v>1</v>
      </c>
      <c r="FG57">
        <v>1</v>
      </c>
      <c r="FK57" s="7"/>
      <c r="FM57">
        <v>1</v>
      </c>
      <c r="FO57">
        <v>1</v>
      </c>
      <c r="FP57">
        <v>1</v>
      </c>
      <c r="FT57" s="7"/>
      <c r="FV57">
        <v>1</v>
      </c>
      <c r="FX57">
        <v>1</v>
      </c>
      <c r="FY57">
        <v>1</v>
      </c>
      <c r="GC57" s="7"/>
      <c r="GG57">
        <v>1</v>
      </c>
      <c r="GH57">
        <v>1</v>
      </c>
      <c r="GL57" s="7"/>
      <c r="GN57">
        <v>1</v>
      </c>
      <c r="GQ57">
        <v>1</v>
      </c>
      <c r="GS57" s="145">
        <v>1</v>
      </c>
      <c r="GU57" s="7"/>
      <c r="GW57">
        <v>1</v>
      </c>
      <c r="HD57" s="7"/>
      <c r="HM57" s="7"/>
      <c r="HV57" s="7"/>
      <c r="IE57" s="7"/>
      <c r="IN57" s="7"/>
      <c r="IU57" s="7"/>
      <c r="JB57" s="7"/>
      <c r="JI57" s="7"/>
      <c r="JP57" s="7"/>
      <c r="JW57" s="7"/>
      <c r="KD57" s="7"/>
      <c r="KK57" s="7"/>
      <c r="KR57" s="7"/>
      <c r="KY57" s="7"/>
      <c r="LF57" s="7"/>
      <c r="LM57" s="7"/>
      <c r="LT57" s="7"/>
      <c r="MA57" s="7"/>
      <c r="MH57" s="7"/>
      <c r="MO57" s="7"/>
      <c r="MV57" s="7"/>
      <c r="NC57" s="7"/>
      <c r="NJ57" s="7"/>
    </row>
    <row r="58" spans="1:374" x14ac:dyDescent="0.25">
      <c r="A58" s="8" t="s">
        <v>428</v>
      </c>
      <c r="B58" s="8"/>
      <c r="C58" s="8" t="s">
        <v>429</v>
      </c>
      <c r="D58" s="8" t="s">
        <v>600</v>
      </c>
      <c r="E58" s="18">
        <v>40003</v>
      </c>
      <c r="F58" s="10">
        <f t="shared" si="357"/>
        <v>1</v>
      </c>
      <c r="G58" s="19">
        <f t="shared" si="357"/>
        <v>1</v>
      </c>
      <c r="H58" s="19">
        <f t="shared" si="357"/>
        <v>1</v>
      </c>
      <c r="I58" s="8">
        <f t="shared" si="357"/>
        <v>1</v>
      </c>
      <c r="J58" s="8">
        <f t="shared" si="357"/>
        <v>1</v>
      </c>
      <c r="K58" s="8">
        <f t="shared" si="357"/>
        <v>1</v>
      </c>
      <c r="L58" s="8" t="str">
        <f t="shared" si="357"/>
        <v/>
      </c>
      <c r="M58" s="8"/>
      <c r="N58" s="8"/>
      <c r="O58" s="9"/>
      <c r="P58" s="8">
        <f t="shared" si="358"/>
        <v>10</v>
      </c>
      <c r="Q58" s="108">
        <f t="shared" si="359"/>
        <v>22.222222222222221</v>
      </c>
      <c r="R58" s="84"/>
      <c r="S58" s="7"/>
      <c r="Z58" s="7"/>
      <c r="AG58" s="7"/>
      <c r="AN58" s="7"/>
      <c r="AU58" s="7"/>
      <c r="BB58" s="7"/>
      <c r="BI58" s="7"/>
      <c r="BP58" s="7"/>
      <c r="BY58" s="7"/>
      <c r="CH58" s="7"/>
      <c r="CQ58" s="7"/>
      <c r="CZ58" s="7"/>
      <c r="DI58" s="7"/>
      <c r="DR58" s="7"/>
      <c r="EA58" s="7"/>
      <c r="EJ58" s="7"/>
      <c r="ES58" s="7"/>
      <c r="FB58" s="7"/>
      <c r="FK58" s="7"/>
      <c r="FT58" s="7"/>
      <c r="FV58">
        <v>1</v>
      </c>
      <c r="FX58">
        <v>1</v>
      </c>
      <c r="FY58">
        <v>1</v>
      </c>
      <c r="GC58" s="7"/>
      <c r="GE58">
        <v>1</v>
      </c>
      <c r="GH58">
        <v>1</v>
      </c>
      <c r="GL58" s="7"/>
      <c r="GQ58">
        <v>1</v>
      </c>
      <c r="GS58" s="145">
        <v>1</v>
      </c>
      <c r="GU58" s="7"/>
      <c r="GW58">
        <v>1</v>
      </c>
      <c r="GY58">
        <v>1</v>
      </c>
      <c r="GZ58">
        <v>1</v>
      </c>
      <c r="HD58" s="7"/>
      <c r="HM58" s="7"/>
      <c r="HV58" s="7"/>
      <c r="IE58" s="7"/>
      <c r="IN58" s="7"/>
      <c r="IU58" s="7"/>
      <c r="JB58" s="7"/>
      <c r="JI58" s="7"/>
      <c r="JP58" s="7"/>
      <c r="JW58" s="7"/>
      <c r="KD58" s="7"/>
      <c r="KK58" s="7"/>
      <c r="KR58" s="7"/>
      <c r="KY58" s="7"/>
      <c r="LF58" s="7"/>
      <c r="LM58" s="7"/>
      <c r="LT58" s="7"/>
      <c r="MA58" s="7"/>
      <c r="MH58" s="7"/>
      <c r="MO58" s="7"/>
      <c r="MV58" s="7"/>
      <c r="NC58" s="7"/>
      <c r="NJ58" s="7"/>
    </row>
    <row r="59" spans="1:374" x14ac:dyDescent="0.25">
      <c r="A59" s="8" t="s">
        <v>80</v>
      </c>
      <c r="B59" s="8"/>
      <c r="C59" s="8" t="s">
        <v>79</v>
      </c>
      <c r="D59" s="8" t="s">
        <v>78</v>
      </c>
      <c r="E59" s="18">
        <v>39927</v>
      </c>
      <c r="F59" s="10">
        <f t="shared" si="357"/>
        <v>1</v>
      </c>
      <c r="G59" s="19">
        <f t="shared" si="357"/>
        <v>1</v>
      </c>
      <c r="H59" s="19">
        <f t="shared" si="357"/>
        <v>1</v>
      </c>
      <c r="I59" s="8">
        <f t="shared" si="357"/>
        <v>1</v>
      </c>
      <c r="J59" s="8">
        <f t="shared" si="357"/>
        <v>1</v>
      </c>
      <c r="K59" s="8">
        <f t="shared" si="357"/>
        <v>1</v>
      </c>
      <c r="L59" s="8" t="str">
        <f t="shared" si="357"/>
        <v/>
      </c>
      <c r="M59" s="8">
        <v>1</v>
      </c>
      <c r="N59" s="8"/>
      <c r="O59" s="9"/>
      <c r="P59" s="8">
        <f t="shared" si="358"/>
        <v>8</v>
      </c>
      <c r="Q59" s="108">
        <f t="shared" si="359"/>
        <v>17.777777777777779</v>
      </c>
      <c r="R59" s="84"/>
      <c r="S59" s="7"/>
      <c r="V59" t="s">
        <v>442</v>
      </c>
      <c r="Z59" s="7"/>
      <c r="AG59" s="7"/>
      <c r="AI59">
        <v>1</v>
      </c>
      <c r="AK59">
        <v>1</v>
      </c>
      <c r="AN59" s="7"/>
      <c r="AP59">
        <v>1</v>
      </c>
      <c r="AU59" s="7"/>
      <c r="AW59">
        <v>1</v>
      </c>
      <c r="BB59" s="7"/>
      <c r="BI59" s="7"/>
      <c r="BP59" s="7"/>
      <c r="BY59" s="7"/>
      <c r="CH59" s="7"/>
      <c r="CQ59" s="7"/>
      <c r="CZ59" s="7"/>
      <c r="DI59" s="7"/>
      <c r="DR59" s="7"/>
      <c r="EA59" s="7"/>
      <c r="EJ59" s="7"/>
      <c r="ES59" s="7"/>
      <c r="EW59">
        <v>1</v>
      </c>
      <c r="FB59" s="7"/>
      <c r="FD59">
        <v>1</v>
      </c>
      <c r="FK59" s="7"/>
      <c r="FT59" s="7"/>
      <c r="GC59" s="7"/>
      <c r="GL59" s="7"/>
      <c r="GN59">
        <v>1</v>
      </c>
      <c r="GS59" s="145"/>
      <c r="GU59" s="7"/>
      <c r="GY59">
        <v>1</v>
      </c>
      <c r="HD59" s="7"/>
      <c r="HM59" s="7"/>
      <c r="HV59" s="7"/>
      <c r="IE59" s="7"/>
      <c r="IN59" s="7"/>
      <c r="IU59" s="7"/>
      <c r="JB59" s="7"/>
      <c r="JI59" s="7"/>
      <c r="JP59" s="7"/>
      <c r="JW59" s="7"/>
      <c r="KD59" s="7"/>
      <c r="KK59" s="7"/>
      <c r="KR59" s="7"/>
      <c r="KY59" s="7"/>
      <c r="LF59" s="7"/>
      <c r="LM59" s="7"/>
      <c r="LT59" s="7"/>
      <c r="MA59" s="7"/>
      <c r="MH59" s="7"/>
      <c r="MO59" s="7"/>
      <c r="MV59" s="7"/>
      <c r="NC59" s="7"/>
      <c r="NJ59" s="7"/>
    </row>
    <row r="60" spans="1:374" x14ac:dyDescent="0.25">
      <c r="A60" s="8" t="s">
        <v>77</v>
      </c>
      <c r="B60" s="8" t="s">
        <v>76</v>
      </c>
      <c r="C60" s="8" t="s">
        <v>75</v>
      </c>
      <c r="D60" s="8" t="s">
        <v>74</v>
      </c>
      <c r="E60" s="18">
        <v>40051</v>
      </c>
      <c r="F60" s="10">
        <f t="shared" ref="F60:L68" si="360">IF($E60 &gt;= F$44, 1, "")</f>
        <v>1</v>
      </c>
      <c r="G60" s="19">
        <f t="shared" si="360"/>
        <v>1</v>
      </c>
      <c r="H60" s="19">
        <f t="shared" si="360"/>
        <v>1</v>
      </c>
      <c r="I60" s="8">
        <f t="shared" si="360"/>
        <v>1</v>
      </c>
      <c r="J60" s="8">
        <f t="shared" si="360"/>
        <v>1</v>
      </c>
      <c r="K60" s="8">
        <f t="shared" si="360"/>
        <v>1</v>
      </c>
      <c r="L60" s="8" t="str">
        <f t="shared" si="360"/>
        <v/>
      </c>
      <c r="M60" s="8">
        <v>1</v>
      </c>
      <c r="N60" s="8"/>
      <c r="O60" s="9"/>
      <c r="P60" s="8">
        <f t="shared" si="358"/>
        <v>13</v>
      </c>
      <c r="Q60" s="108">
        <f t="shared" si="359"/>
        <v>28.888888888888886</v>
      </c>
      <c r="R60" s="84"/>
      <c r="S60" s="7"/>
      <c r="V60" t="s">
        <v>782</v>
      </c>
      <c r="Z60" s="7"/>
      <c r="AG60" s="7"/>
      <c r="AI60">
        <v>1</v>
      </c>
      <c r="AN60" s="7"/>
      <c r="AP60">
        <v>1</v>
      </c>
      <c r="AU60" s="7"/>
      <c r="AW60">
        <v>1</v>
      </c>
      <c r="AX60">
        <v>1</v>
      </c>
      <c r="BB60" s="7"/>
      <c r="BD60">
        <v>1</v>
      </c>
      <c r="BI60" s="7"/>
      <c r="BK60">
        <v>1</v>
      </c>
      <c r="BN60">
        <v>1</v>
      </c>
      <c r="BP60" s="7"/>
      <c r="BY60" s="7"/>
      <c r="CH60" s="7"/>
      <c r="CQ60" s="7"/>
      <c r="CZ60" s="7"/>
      <c r="DI60" s="7"/>
      <c r="DR60" s="7"/>
      <c r="EA60" s="7"/>
      <c r="EJ60" s="7"/>
      <c r="ES60" s="7"/>
      <c r="EU60">
        <v>1</v>
      </c>
      <c r="EX60">
        <v>1</v>
      </c>
      <c r="FB60" s="7"/>
      <c r="FK60" s="7"/>
      <c r="FM60">
        <v>1</v>
      </c>
      <c r="FT60" s="7"/>
      <c r="FV60">
        <v>1</v>
      </c>
      <c r="GC60" s="7"/>
      <c r="GH60">
        <v>1</v>
      </c>
      <c r="GL60" s="7"/>
      <c r="GN60">
        <v>1</v>
      </c>
      <c r="GS60" s="145"/>
      <c r="GU60" s="7"/>
      <c r="HD60" s="7"/>
      <c r="HM60" s="7"/>
      <c r="HV60" s="7"/>
      <c r="IE60" s="7"/>
      <c r="IN60" s="7"/>
      <c r="IU60" s="7"/>
      <c r="JB60" s="7"/>
      <c r="JI60" s="7"/>
      <c r="JP60" s="7"/>
      <c r="JW60" s="7"/>
      <c r="KD60" s="7"/>
      <c r="KK60" s="7"/>
      <c r="KR60" s="7"/>
      <c r="KY60" s="7"/>
      <c r="LF60" s="7"/>
      <c r="LM60" s="7"/>
      <c r="LT60" s="7"/>
      <c r="MA60" s="7"/>
      <c r="MH60" s="7"/>
      <c r="MO60" s="7"/>
      <c r="MV60" s="7"/>
      <c r="NC60" s="7"/>
      <c r="NJ60" s="7"/>
    </row>
    <row r="61" spans="1:374" x14ac:dyDescent="0.25">
      <c r="A61" s="8" t="s">
        <v>73</v>
      </c>
      <c r="B61" s="8"/>
      <c r="C61" s="8" t="s">
        <v>27</v>
      </c>
      <c r="D61" s="8" t="s">
        <v>70</v>
      </c>
      <c r="E61" s="18">
        <v>40004</v>
      </c>
      <c r="F61" s="10">
        <f t="shared" si="360"/>
        <v>1</v>
      </c>
      <c r="G61" s="19">
        <f t="shared" si="360"/>
        <v>1</v>
      </c>
      <c r="H61" s="19">
        <f t="shared" si="360"/>
        <v>1</v>
      </c>
      <c r="I61" s="8">
        <f t="shared" si="360"/>
        <v>1</v>
      </c>
      <c r="J61" s="8">
        <f t="shared" si="360"/>
        <v>1</v>
      </c>
      <c r="K61" s="8">
        <f t="shared" si="360"/>
        <v>1</v>
      </c>
      <c r="L61" s="8" t="str">
        <f t="shared" si="360"/>
        <v/>
      </c>
      <c r="M61" s="8">
        <v>1</v>
      </c>
      <c r="N61" s="8"/>
      <c r="O61" s="9"/>
      <c r="P61" s="8">
        <f t="shared" si="358"/>
        <v>13</v>
      </c>
      <c r="Q61" s="108">
        <f t="shared" si="359"/>
        <v>28.888888888888886</v>
      </c>
      <c r="R61" s="84"/>
      <c r="S61" s="7"/>
      <c r="V61" t="s">
        <v>782</v>
      </c>
      <c r="Z61" s="7"/>
      <c r="AG61" s="7"/>
      <c r="AI61">
        <v>1</v>
      </c>
      <c r="AN61" s="7"/>
      <c r="AP61">
        <v>1</v>
      </c>
      <c r="AR61">
        <v>1</v>
      </c>
      <c r="AU61" s="7"/>
      <c r="AW61">
        <v>1</v>
      </c>
      <c r="AY61">
        <v>1</v>
      </c>
      <c r="BB61" s="7"/>
      <c r="BD61">
        <v>1</v>
      </c>
      <c r="BI61" s="7"/>
      <c r="BK61">
        <v>1</v>
      </c>
      <c r="BM61">
        <v>1</v>
      </c>
      <c r="BP61" s="7"/>
      <c r="BY61" s="7"/>
      <c r="CH61" s="7"/>
      <c r="CQ61" s="7"/>
      <c r="CZ61" s="7"/>
      <c r="DI61" s="7"/>
      <c r="DR61" s="7"/>
      <c r="EA61" s="7"/>
      <c r="EJ61" s="7"/>
      <c r="ES61" s="7"/>
      <c r="FB61" s="7"/>
      <c r="FF61">
        <v>1</v>
      </c>
      <c r="FK61" s="7"/>
      <c r="FT61" s="7"/>
      <c r="FV61">
        <v>1</v>
      </c>
      <c r="FX61">
        <v>1</v>
      </c>
      <c r="GC61" s="7"/>
      <c r="GE61">
        <v>1</v>
      </c>
      <c r="GL61" s="7"/>
      <c r="GP61">
        <v>1</v>
      </c>
      <c r="GS61" s="145"/>
      <c r="GU61" s="7"/>
      <c r="HD61" s="7"/>
      <c r="HM61" s="7"/>
      <c r="HV61" s="7"/>
      <c r="IE61" s="7"/>
      <c r="IN61" s="7"/>
      <c r="IU61" s="7"/>
      <c r="JB61" s="7"/>
      <c r="JI61" s="7"/>
      <c r="JP61" s="7"/>
      <c r="JW61" s="7"/>
      <c r="KD61" s="7"/>
      <c r="KK61" s="7"/>
      <c r="KR61" s="7"/>
      <c r="KY61" s="7"/>
      <c r="LF61" s="7"/>
      <c r="LM61" s="7"/>
      <c r="LT61" s="7"/>
      <c r="MA61" s="7"/>
      <c r="MH61" s="7"/>
      <c r="MO61" s="7"/>
      <c r="MV61" s="7"/>
      <c r="NC61" s="7"/>
      <c r="NJ61" s="7"/>
    </row>
    <row r="62" spans="1:374" x14ac:dyDescent="0.25">
      <c r="A62" s="8" t="s">
        <v>72</v>
      </c>
      <c r="B62" s="8"/>
      <c r="C62" s="8" t="s">
        <v>71</v>
      </c>
      <c r="D62" s="8" t="s">
        <v>70</v>
      </c>
      <c r="E62" s="18">
        <v>40754</v>
      </c>
      <c r="F62" s="10">
        <f t="shared" si="360"/>
        <v>1</v>
      </c>
      <c r="G62" s="19">
        <f t="shared" si="360"/>
        <v>1</v>
      </c>
      <c r="H62" s="19">
        <f t="shared" si="360"/>
        <v>1</v>
      </c>
      <c r="I62" s="8">
        <f t="shared" si="360"/>
        <v>1</v>
      </c>
      <c r="J62" s="8">
        <f t="shared" si="360"/>
        <v>1</v>
      </c>
      <c r="K62" s="8">
        <f t="shared" si="360"/>
        <v>1</v>
      </c>
      <c r="L62" s="8">
        <f t="shared" si="360"/>
        <v>1</v>
      </c>
      <c r="M62" s="8"/>
      <c r="N62" s="8"/>
      <c r="O62" s="9"/>
      <c r="P62" s="8">
        <f t="shared" si="358"/>
        <v>7</v>
      </c>
      <c r="Q62" s="108">
        <f t="shared" si="359"/>
        <v>15.555555555555555</v>
      </c>
      <c r="R62" s="84"/>
      <c r="S62" s="7"/>
      <c r="Z62" s="7"/>
      <c r="AG62" s="7"/>
      <c r="AN62" s="7"/>
      <c r="AU62" s="7"/>
      <c r="BB62" s="7"/>
      <c r="BI62" s="7"/>
      <c r="BP62" s="7"/>
      <c r="BY62" s="7"/>
      <c r="CH62" s="7"/>
      <c r="CQ62" s="7"/>
      <c r="CZ62" s="7"/>
      <c r="DI62" s="7"/>
      <c r="DR62" s="7"/>
      <c r="EA62" s="7"/>
      <c r="EJ62" s="7"/>
      <c r="ES62" s="7"/>
      <c r="FB62" s="7"/>
      <c r="FD62">
        <v>1</v>
      </c>
      <c r="FF62">
        <v>1</v>
      </c>
      <c r="FK62" s="7"/>
      <c r="FO62">
        <v>1</v>
      </c>
      <c r="FT62" s="7"/>
      <c r="FV62">
        <v>1</v>
      </c>
      <c r="FX62">
        <v>1</v>
      </c>
      <c r="GC62" s="7"/>
      <c r="GG62">
        <v>1</v>
      </c>
      <c r="GL62" s="7"/>
      <c r="GP62">
        <v>1</v>
      </c>
      <c r="GS62" s="145"/>
      <c r="GU62" s="7"/>
      <c r="HD62" s="7"/>
      <c r="HM62" s="7"/>
      <c r="HV62" s="7"/>
      <c r="IE62" s="7"/>
      <c r="IN62" s="7"/>
      <c r="IU62" s="7"/>
      <c r="JB62" s="7"/>
      <c r="JI62" s="7"/>
      <c r="JP62" s="7"/>
      <c r="JW62" s="7"/>
      <c r="KD62" s="7"/>
      <c r="KK62" s="7"/>
      <c r="KR62" s="7"/>
      <c r="KY62" s="7"/>
      <c r="LF62" s="7"/>
      <c r="LM62" s="7"/>
      <c r="LT62" s="7"/>
      <c r="MA62" s="7"/>
      <c r="MH62" s="7"/>
      <c r="MO62" s="7"/>
      <c r="MV62" s="7"/>
      <c r="NC62" s="7"/>
      <c r="NJ62" s="7"/>
    </row>
    <row r="63" spans="1:374" hidden="1" x14ac:dyDescent="0.25">
      <c r="A63" s="8" t="s">
        <v>58</v>
      </c>
      <c r="B63" s="8"/>
      <c r="C63" s="8" t="s">
        <v>527</v>
      </c>
      <c r="D63" s="8" t="s">
        <v>523</v>
      </c>
      <c r="E63" s="18">
        <v>39448</v>
      </c>
      <c r="F63" s="10">
        <f t="shared" si="360"/>
        <v>1</v>
      </c>
      <c r="G63" s="19">
        <f t="shared" si="360"/>
        <v>1</v>
      </c>
      <c r="H63" s="19">
        <f t="shared" si="360"/>
        <v>1</v>
      </c>
      <c r="I63" s="8">
        <f t="shared" si="360"/>
        <v>1</v>
      </c>
      <c r="J63" s="8">
        <f t="shared" si="360"/>
        <v>1</v>
      </c>
      <c r="K63" s="8" t="str">
        <f t="shared" si="360"/>
        <v/>
      </c>
      <c r="L63" s="8" t="str">
        <f t="shared" si="360"/>
        <v/>
      </c>
      <c r="M63" s="8">
        <v>1</v>
      </c>
      <c r="N63" s="8"/>
      <c r="O63" s="9"/>
      <c r="P63" s="8">
        <f t="shared" si="358"/>
        <v>1</v>
      </c>
      <c r="Q63" s="108">
        <f t="shared" si="359"/>
        <v>2.2222222222222223</v>
      </c>
      <c r="R63" s="84"/>
      <c r="S63" s="7"/>
      <c r="Z63" s="7"/>
      <c r="AG63" s="7"/>
      <c r="AN63" s="7"/>
      <c r="AU63" s="7"/>
      <c r="BB63" s="7"/>
      <c r="BI63" s="7"/>
      <c r="BP63" s="7"/>
      <c r="BY63" s="7"/>
      <c r="CH63" s="7"/>
      <c r="CQ63" s="7"/>
      <c r="CZ63" s="7"/>
      <c r="DI63" s="7"/>
      <c r="DR63" s="7"/>
      <c r="EA63" s="7"/>
      <c r="EJ63" s="7"/>
      <c r="ES63" s="7"/>
      <c r="EU63">
        <v>1</v>
      </c>
      <c r="FB63" s="7"/>
      <c r="FK63" s="7"/>
      <c r="FT63" s="7"/>
      <c r="GC63" s="7"/>
      <c r="GL63" s="7"/>
      <c r="GS63" s="145"/>
      <c r="GU63" s="7"/>
      <c r="HD63" s="7"/>
      <c r="HM63" s="7"/>
      <c r="HV63" s="7"/>
      <c r="IE63" s="7"/>
      <c r="IN63" s="7"/>
      <c r="IU63" s="7"/>
      <c r="JB63" s="7"/>
      <c r="JI63" s="7"/>
      <c r="JP63" s="7"/>
      <c r="JW63" s="7"/>
      <c r="KD63" s="7"/>
      <c r="KK63" s="7"/>
      <c r="KR63" s="7"/>
      <c r="KY63" s="7"/>
      <c r="LF63" s="7"/>
      <c r="LM63" s="7"/>
      <c r="LT63" s="7"/>
      <c r="MA63" s="7"/>
      <c r="MH63" s="7"/>
      <c r="MO63" s="7"/>
      <c r="MV63" s="7"/>
      <c r="NC63" s="7"/>
      <c r="NJ63" s="7"/>
    </row>
    <row r="64" spans="1:374" hidden="1" x14ac:dyDescent="0.25">
      <c r="A64" s="8"/>
      <c r="B64" s="8"/>
      <c r="C64" s="8"/>
      <c r="D64" s="8"/>
      <c r="E64" s="18"/>
      <c r="F64" s="10" t="str">
        <f t="shared" si="360"/>
        <v/>
      </c>
      <c r="G64" s="19" t="str">
        <f t="shared" si="360"/>
        <v/>
      </c>
      <c r="H64" s="19" t="str">
        <f t="shared" si="360"/>
        <v/>
      </c>
      <c r="I64" s="8" t="str">
        <f t="shared" si="360"/>
        <v/>
      </c>
      <c r="J64" s="8" t="str">
        <f t="shared" si="360"/>
        <v/>
      </c>
      <c r="K64" s="8" t="str">
        <f t="shared" si="360"/>
        <v/>
      </c>
      <c r="L64" s="8" t="str">
        <f t="shared" si="360"/>
        <v/>
      </c>
      <c r="M64" s="8"/>
      <c r="N64" s="8"/>
      <c r="O64" s="9"/>
      <c r="P64" s="8" t="str">
        <f t="shared" si="358"/>
        <v/>
      </c>
      <c r="Q64" s="108" t="str">
        <f t="shared" si="359"/>
        <v/>
      </c>
      <c r="R64" s="84" t="str">
        <f>IF(SUM(S64:XFD64) &gt; 0, SUM(S64:XFD64) / $P$69 * 100, "")</f>
        <v/>
      </c>
      <c r="S64" s="7"/>
      <c r="Z64" s="7"/>
      <c r="AG64" s="7"/>
      <c r="AN64" s="7"/>
      <c r="AU64" s="7"/>
      <c r="BB64" s="7"/>
      <c r="BI64" s="7"/>
      <c r="BP64" s="7"/>
      <c r="BY64" s="7"/>
      <c r="CH64" s="7"/>
      <c r="CQ64" s="7"/>
      <c r="CZ64" s="7"/>
      <c r="DI64" s="7"/>
      <c r="DR64" s="7"/>
      <c r="EA64" s="7"/>
      <c r="EJ64" s="7"/>
      <c r="ES64" s="7"/>
      <c r="FB64" s="7"/>
      <c r="FK64" s="7"/>
      <c r="FT64" s="7"/>
      <c r="GC64" s="7"/>
      <c r="GL64" s="7"/>
      <c r="GS64" s="145"/>
      <c r="GU64" s="7"/>
      <c r="HD64" s="7"/>
      <c r="HM64" s="7"/>
      <c r="HV64" s="7"/>
      <c r="IE64" s="7"/>
      <c r="IN64" s="7"/>
      <c r="IU64" s="7"/>
      <c r="JB64" s="7"/>
      <c r="JI64" s="7"/>
      <c r="JP64" s="7"/>
      <c r="JW64" s="7"/>
      <c r="KD64" s="7"/>
      <c r="KK64" s="7"/>
      <c r="KR64" s="7"/>
      <c r="KY64" s="7"/>
      <c r="LF64" s="7"/>
      <c r="LM64" s="7"/>
      <c r="LT64" s="7"/>
      <c r="MA64" s="7"/>
      <c r="MH64" s="7"/>
      <c r="MO64" s="7"/>
      <c r="MV64" s="7"/>
      <c r="NC64" s="7"/>
      <c r="NJ64" s="7"/>
    </row>
    <row r="65" spans="1:374" hidden="1" x14ac:dyDescent="0.25">
      <c r="A65" s="8"/>
      <c r="B65" s="8"/>
      <c r="C65" s="8"/>
      <c r="D65" s="8"/>
      <c r="E65" s="18"/>
      <c r="F65" s="10" t="str">
        <f t="shared" si="360"/>
        <v/>
      </c>
      <c r="G65" s="19" t="str">
        <f t="shared" si="360"/>
        <v/>
      </c>
      <c r="H65" s="19" t="str">
        <f t="shared" si="360"/>
        <v/>
      </c>
      <c r="I65" s="8" t="str">
        <f t="shared" si="360"/>
        <v/>
      </c>
      <c r="J65" s="8" t="str">
        <f t="shared" si="360"/>
        <v/>
      </c>
      <c r="K65" s="8" t="str">
        <f t="shared" si="360"/>
        <v/>
      </c>
      <c r="L65" s="8" t="str">
        <f t="shared" si="360"/>
        <v/>
      </c>
      <c r="M65" s="8"/>
      <c r="N65" s="8"/>
      <c r="O65" s="9"/>
      <c r="P65" s="8" t="str">
        <f t="shared" si="358"/>
        <v/>
      </c>
      <c r="Q65" s="108" t="str">
        <f t="shared" si="359"/>
        <v/>
      </c>
      <c r="R65" s="84" t="str">
        <f>IF(SUM(S65:XFD65) &gt; 0, SUM(S65:XFD65) / $P$69 * 100, "")</f>
        <v/>
      </c>
      <c r="S65" s="7"/>
      <c r="Z65" s="7"/>
      <c r="AG65" s="7"/>
      <c r="AN65" s="7"/>
      <c r="AU65" s="7"/>
      <c r="BB65" s="7"/>
      <c r="BI65" s="7"/>
      <c r="BP65" s="7"/>
      <c r="BY65" s="7"/>
      <c r="CH65" s="7"/>
      <c r="CQ65" s="7"/>
      <c r="CZ65" s="7"/>
      <c r="DI65" s="7"/>
      <c r="DR65" s="7"/>
      <c r="EA65" s="7"/>
      <c r="EJ65" s="7"/>
      <c r="ES65" s="7"/>
      <c r="FB65" s="7"/>
      <c r="FK65" s="7"/>
      <c r="FT65" s="7"/>
      <c r="GC65" s="7"/>
      <c r="GL65" s="7"/>
      <c r="GS65" s="145"/>
      <c r="GU65" s="7"/>
      <c r="HD65" s="7"/>
      <c r="HM65" s="7"/>
      <c r="HV65" s="7"/>
      <c r="IE65" s="7"/>
      <c r="IN65" s="7"/>
      <c r="IU65" s="7"/>
      <c r="JB65" s="7"/>
      <c r="JI65" s="7"/>
      <c r="JP65" s="7"/>
      <c r="JW65" s="7"/>
      <c r="KD65" s="7"/>
      <c r="KK65" s="7"/>
      <c r="KR65" s="7"/>
      <c r="KY65" s="7"/>
      <c r="LF65" s="7"/>
      <c r="LM65" s="7"/>
      <c r="LT65" s="7"/>
      <c r="MA65" s="7"/>
      <c r="MH65" s="7"/>
      <c r="MO65" s="7"/>
      <c r="MV65" s="7"/>
      <c r="NC65" s="7"/>
      <c r="NJ65" s="7"/>
    </row>
    <row r="66" spans="1:374" hidden="1" x14ac:dyDescent="0.25">
      <c r="A66" s="8"/>
      <c r="B66" s="8"/>
      <c r="C66" s="8"/>
      <c r="D66" s="8"/>
      <c r="E66" s="18"/>
      <c r="F66" s="10" t="str">
        <f t="shared" si="360"/>
        <v/>
      </c>
      <c r="G66" s="19" t="str">
        <f t="shared" si="360"/>
        <v/>
      </c>
      <c r="H66" s="19" t="str">
        <f t="shared" si="360"/>
        <v/>
      </c>
      <c r="I66" s="8" t="str">
        <f t="shared" si="360"/>
        <v/>
      </c>
      <c r="J66" s="8" t="str">
        <f t="shared" si="360"/>
        <v/>
      </c>
      <c r="K66" s="8" t="str">
        <f t="shared" si="360"/>
        <v/>
      </c>
      <c r="L66" s="8" t="str">
        <f t="shared" si="360"/>
        <v/>
      </c>
      <c r="M66" s="8"/>
      <c r="N66" s="8"/>
      <c r="O66" s="9"/>
      <c r="P66" s="8" t="str">
        <f t="shared" si="358"/>
        <v/>
      </c>
      <c r="Q66" s="108" t="str">
        <f t="shared" si="359"/>
        <v/>
      </c>
      <c r="R66" s="84" t="str">
        <f>IF(SUM(S66:XFD66) &gt; 0, SUM(S66:XFD66) / $P$69 * 100, "")</f>
        <v/>
      </c>
      <c r="S66" s="7"/>
      <c r="Z66" s="7"/>
      <c r="AG66" s="7"/>
      <c r="AN66" s="7"/>
      <c r="AU66" s="7"/>
      <c r="BB66" s="7"/>
      <c r="BI66" s="7"/>
      <c r="BP66" s="7"/>
      <c r="BY66" s="7"/>
      <c r="CH66" s="7"/>
      <c r="CQ66" s="7"/>
      <c r="CZ66" s="7"/>
      <c r="DI66" s="7"/>
      <c r="DR66" s="7"/>
      <c r="EA66" s="7"/>
      <c r="EJ66" s="7"/>
      <c r="ES66" s="7"/>
      <c r="FB66" s="7"/>
      <c r="FK66" s="7"/>
      <c r="FT66" s="7"/>
      <c r="GC66" s="7"/>
      <c r="GL66" s="7"/>
      <c r="GS66" s="145"/>
      <c r="GU66" s="7"/>
      <c r="HD66" s="7"/>
      <c r="HM66" s="7"/>
      <c r="HV66" s="7"/>
      <c r="IE66" s="7"/>
      <c r="IN66" s="7"/>
      <c r="IU66" s="7"/>
      <c r="JB66" s="7"/>
      <c r="JI66" s="7"/>
      <c r="JP66" s="7"/>
      <c r="JW66" s="7"/>
      <c r="KD66" s="7"/>
      <c r="KK66" s="7"/>
      <c r="KR66" s="7"/>
      <c r="KY66" s="7"/>
      <c r="LF66" s="7"/>
      <c r="LM66" s="7"/>
      <c r="LT66" s="7"/>
      <c r="MA66" s="7"/>
      <c r="MH66" s="7"/>
      <c r="MO66" s="7"/>
      <c r="MV66" s="7"/>
      <c r="NC66" s="7"/>
      <c r="NJ66" s="7"/>
    </row>
    <row r="67" spans="1:374" x14ac:dyDescent="0.25">
      <c r="A67" s="8" t="s">
        <v>80</v>
      </c>
      <c r="B67" s="8"/>
      <c r="C67" s="8"/>
      <c r="D67" s="8" t="s">
        <v>555</v>
      </c>
      <c r="E67" s="144" t="s">
        <v>556</v>
      </c>
      <c r="F67" s="10"/>
      <c r="G67" s="19"/>
      <c r="H67" s="19"/>
      <c r="I67" s="8"/>
      <c r="J67" s="8"/>
      <c r="K67" s="8"/>
      <c r="L67" s="8"/>
      <c r="M67" s="8"/>
      <c r="N67" s="8"/>
      <c r="O67" s="9"/>
      <c r="P67" s="8">
        <f t="shared" si="358"/>
        <v>1</v>
      </c>
      <c r="Q67" s="108">
        <f t="shared" si="359"/>
        <v>2.2222222222222223</v>
      </c>
      <c r="R67" s="84"/>
      <c r="S67" s="7"/>
      <c r="Z67" s="7"/>
      <c r="AG67" s="7"/>
      <c r="AN67" s="7"/>
      <c r="AU67" s="7"/>
      <c r="BB67" s="7"/>
      <c r="BI67" s="7"/>
      <c r="BP67" s="7"/>
      <c r="BY67" s="7"/>
      <c r="CH67" s="7"/>
      <c r="CQ67" s="7"/>
      <c r="CZ67" s="7"/>
      <c r="DI67" s="7"/>
      <c r="DR67" s="7"/>
      <c r="EA67" s="7"/>
      <c r="EJ67" s="7"/>
      <c r="ES67" s="7"/>
      <c r="FB67" s="7"/>
      <c r="FK67" s="7"/>
      <c r="FP67">
        <v>1</v>
      </c>
      <c r="FT67" s="7"/>
      <c r="GC67" s="7"/>
      <c r="GL67" s="7"/>
      <c r="GS67" s="145"/>
      <c r="GU67" s="7"/>
      <c r="HD67" s="7"/>
      <c r="HM67" s="7"/>
      <c r="HV67" s="7"/>
      <c r="IE67" s="7"/>
      <c r="IN67" s="7"/>
      <c r="IU67" s="7"/>
      <c r="JB67" s="7"/>
      <c r="JI67" s="7"/>
      <c r="JP67" s="7"/>
      <c r="JW67" s="7"/>
      <c r="KD67" s="7"/>
      <c r="KK67" s="7"/>
      <c r="KR67" s="7"/>
      <c r="KY67" s="7"/>
      <c r="LF67" s="7"/>
      <c r="LM67" s="7"/>
      <c r="LT67" s="7"/>
      <c r="MA67" s="7"/>
      <c r="MH67" s="7"/>
      <c r="MO67" s="7"/>
      <c r="MV67" s="7"/>
      <c r="NC67" s="7"/>
      <c r="NJ67" s="7"/>
    </row>
    <row r="68" spans="1:374" ht="7.5" customHeight="1" x14ac:dyDescent="0.25">
      <c r="A68" s="8"/>
      <c r="B68" s="8"/>
      <c r="C68" s="8"/>
      <c r="D68" s="8"/>
      <c r="E68" s="18"/>
      <c r="F68" s="10" t="str">
        <f t="shared" si="360"/>
        <v/>
      </c>
      <c r="G68" s="19" t="str">
        <f t="shared" si="360"/>
        <v/>
      </c>
      <c r="H68" s="19" t="str">
        <f t="shared" si="360"/>
        <v/>
      </c>
      <c r="I68" s="19" t="str">
        <f t="shared" si="360"/>
        <v/>
      </c>
      <c r="J68" s="19" t="str">
        <f t="shared" si="360"/>
        <v/>
      </c>
      <c r="K68" s="19" t="str">
        <f t="shared" si="360"/>
        <v/>
      </c>
      <c r="L68" s="19" t="str">
        <f t="shared" si="360"/>
        <v/>
      </c>
      <c r="M68" s="8"/>
      <c r="N68" s="8"/>
      <c r="O68" s="9"/>
      <c r="P68" s="8" t="str">
        <f t="shared" si="358"/>
        <v/>
      </c>
      <c r="Q68" s="108" t="str">
        <f t="shared" si="359"/>
        <v/>
      </c>
      <c r="R68" s="84"/>
      <c r="S68" s="7"/>
      <c r="Z68" s="7"/>
      <c r="AG68" s="7"/>
      <c r="AN68" s="7"/>
      <c r="AU68" s="7"/>
      <c r="BB68" s="7"/>
      <c r="BI68" s="7"/>
      <c r="BP68" s="7"/>
      <c r="BY68" s="7"/>
      <c r="CH68" s="7"/>
      <c r="CQ68" s="7"/>
      <c r="CZ68" s="7"/>
      <c r="DI68" s="7"/>
      <c r="DR68" s="7"/>
      <c r="EA68" s="7"/>
      <c r="EJ68" s="7"/>
      <c r="ES68" s="7"/>
      <c r="FB68" s="7"/>
      <c r="FK68" s="7"/>
      <c r="FT68" s="7"/>
      <c r="GC68" s="7"/>
      <c r="GL68" s="7"/>
      <c r="GU68" s="7"/>
      <c r="HD68" s="7"/>
      <c r="HM68" s="7"/>
      <c r="HV68" s="7"/>
      <c r="IE68" s="7"/>
      <c r="IN68" s="7"/>
      <c r="IU68" s="7"/>
      <c r="JB68" s="7"/>
      <c r="JI68" s="7"/>
      <c r="JP68" s="7"/>
      <c r="JW68" s="7"/>
      <c r="KD68" s="7"/>
      <c r="KK68" s="7"/>
      <c r="KR68" s="7"/>
      <c r="KY68" s="7"/>
      <c r="LF68" s="7"/>
      <c r="LM68" s="7"/>
      <c r="LT68" s="7"/>
      <c r="MA68" s="7"/>
      <c r="MH68" s="7"/>
      <c r="MO68" s="7"/>
      <c r="MV68" s="7"/>
      <c r="NC68" s="7"/>
      <c r="NJ68" s="7"/>
    </row>
    <row r="69" spans="1:374" ht="15" customHeight="1" x14ac:dyDescent="0.25">
      <c r="A69" s="23" t="s">
        <v>18</v>
      </c>
      <c r="B69" s="20"/>
      <c r="C69" s="20"/>
      <c r="D69" s="20"/>
      <c r="E69" s="59"/>
      <c r="F69" s="20"/>
      <c r="G69" s="20"/>
      <c r="H69" s="20"/>
      <c r="I69" s="20"/>
      <c r="J69" s="20"/>
      <c r="K69" s="20"/>
      <c r="L69" s="20"/>
      <c r="M69" s="20"/>
      <c r="N69" s="20"/>
      <c r="O69" s="21"/>
      <c r="P69" s="3">
        <f>SUM(S69:NJ69)</f>
        <v>45</v>
      </c>
      <c r="Q69" s="60"/>
      <c r="R69" s="82"/>
      <c r="S69" s="21"/>
      <c r="T69" s="20"/>
      <c r="U69" s="20"/>
      <c r="V69" s="20"/>
      <c r="W69" s="20"/>
      <c r="X69" s="20"/>
      <c r="Y69" s="20"/>
      <c r="Z69" s="21"/>
      <c r="AA69" s="20"/>
      <c r="AB69" s="20"/>
      <c r="AC69" s="20"/>
      <c r="AD69" s="20"/>
      <c r="AE69" s="20"/>
      <c r="AF69" s="20"/>
      <c r="AG69" s="21"/>
      <c r="AH69" s="20"/>
      <c r="AI69" s="20">
        <v>1</v>
      </c>
      <c r="AJ69" s="20"/>
      <c r="AK69" s="20">
        <v>1</v>
      </c>
      <c r="AL69" s="20"/>
      <c r="AM69" s="20"/>
      <c r="AN69" s="21"/>
      <c r="AO69" s="20"/>
      <c r="AP69" s="20">
        <v>1</v>
      </c>
      <c r="AQ69" s="20"/>
      <c r="AR69" s="20">
        <v>1</v>
      </c>
      <c r="AS69" s="20"/>
      <c r="AT69" s="20"/>
      <c r="AU69" s="21"/>
      <c r="AV69" s="20"/>
      <c r="AW69" s="20">
        <v>1</v>
      </c>
      <c r="AX69" s="20">
        <v>1</v>
      </c>
      <c r="AY69" s="20">
        <v>1</v>
      </c>
      <c r="AZ69" s="20"/>
      <c r="BA69" s="20"/>
      <c r="BB69" s="21"/>
      <c r="BC69" s="20"/>
      <c r="BD69" s="20">
        <v>1</v>
      </c>
      <c r="BE69" s="20"/>
      <c r="BF69" s="20">
        <v>1</v>
      </c>
      <c r="BG69" s="20"/>
      <c r="BH69" s="20"/>
      <c r="BI69" s="21"/>
      <c r="BJ69" s="20"/>
      <c r="BK69" s="20">
        <v>1</v>
      </c>
      <c r="BL69" s="20"/>
      <c r="BM69" s="20">
        <v>1</v>
      </c>
      <c r="BN69" s="20">
        <v>1</v>
      </c>
      <c r="BO69" s="20"/>
      <c r="BP69" s="21">
        <v>1</v>
      </c>
      <c r="BQ69" s="20"/>
      <c r="BR69" s="20"/>
      <c r="BS69" s="20"/>
      <c r="BT69" s="20"/>
      <c r="BU69" s="20"/>
      <c r="BV69" s="20"/>
      <c r="BW69" s="20">
        <v>1</v>
      </c>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v>1</v>
      </c>
      <c r="DU69" s="20"/>
      <c r="DV69" s="20">
        <v>1</v>
      </c>
      <c r="DW69" s="20">
        <v>1</v>
      </c>
      <c r="DX69" s="20"/>
      <c r="DY69" s="20"/>
      <c r="DZ69" s="20"/>
      <c r="EA69" s="21"/>
      <c r="EB69" s="20"/>
      <c r="EC69" s="20">
        <v>1</v>
      </c>
      <c r="ED69" s="20"/>
      <c r="EE69" s="20">
        <v>1</v>
      </c>
      <c r="EF69" s="20">
        <v>1</v>
      </c>
      <c r="EG69" s="20"/>
      <c r="EH69" s="20"/>
      <c r="EI69" s="20"/>
      <c r="EJ69" s="21"/>
      <c r="EK69" s="20"/>
      <c r="EL69" s="20">
        <v>1</v>
      </c>
      <c r="EM69" s="20"/>
      <c r="EN69" s="20">
        <v>1</v>
      </c>
      <c r="EO69" s="20">
        <v>1</v>
      </c>
      <c r="EP69" s="20"/>
      <c r="EQ69" s="20"/>
      <c r="ER69" s="20"/>
      <c r="ES69" s="21"/>
      <c r="ET69" s="20"/>
      <c r="EU69" s="20">
        <v>1</v>
      </c>
      <c r="EV69" s="20"/>
      <c r="EW69" s="20">
        <v>1</v>
      </c>
      <c r="EX69" s="20">
        <v>1</v>
      </c>
      <c r="EY69" s="20"/>
      <c r="EZ69" s="20"/>
      <c r="FA69" s="20"/>
      <c r="FB69" s="21"/>
      <c r="FC69" s="20"/>
      <c r="FD69" s="20">
        <v>1</v>
      </c>
      <c r="FE69" s="20"/>
      <c r="FF69" s="20">
        <v>1</v>
      </c>
      <c r="FG69" s="20">
        <v>1</v>
      </c>
      <c r="FH69" s="20"/>
      <c r="FI69" s="20"/>
      <c r="FJ69" s="20"/>
      <c r="FK69" s="21"/>
      <c r="FL69" s="20"/>
      <c r="FM69" s="20">
        <v>1</v>
      </c>
      <c r="FN69" s="20"/>
      <c r="FO69" s="20">
        <v>1</v>
      </c>
      <c r="FP69" s="20">
        <v>1</v>
      </c>
      <c r="FQ69" s="20"/>
      <c r="FR69" s="20"/>
      <c r="FS69" s="20"/>
      <c r="FT69" s="21"/>
      <c r="FU69" s="20"/>
      <c r="FV69" s="20">
        <v>1</v>
      </c>
      <c r="FW69" s="20"/>
      <c r="FX69" s="20">
        <v>1</v>
      </c>
      <c r="FY69" s="20">
        <v>1</v>
      </c>
      <c r="FZ69" s="20"/>
      <c r="GA69" s="20"/>
      <c r="GB69" s="20"/>
      <c r="GC69" s="21"/>
      <c r="GD69" s="20"/>
      <c r="GE69" s="20">
        <v>1</v>
      </c>
      <c r="GF69" s="20"/>
      <c r="GG69" s="20">
        <v>1</v>
      </c>
      <c r="GH69" s="20">
        <v>1</v>
      </c>
      <c r="GI69" s="20"/>
      <c r="GJ69" s="20"/>
      <c r="GK69" s="20"/>
      <c r="GL69" s="21"/>
      <c r="GM69" s="20"/>
      <c r="GN69" s="20">
        <v>1</v>
      </c>
      <c r="GO69" s="20"/>
      <c r="GP69" s="20">
        <v>1</v>
      </c>
      <c r="GQ69" s="20">
        <v>1</v>
      </c>
      <c r="GR69" s="20"/>
      <c r="GS69" s="20">
        <v>1</v>
      </c>
      <c r="GT69" s="20"/>
      <c r="GU69" s="21"/>
      <c r="GV69" s="20"/>
      <c r="GW69" s="20">
        <v>1</v>
      </c>
      <c r="GX69" s="20"/>
      <c r="GY69" s="20">
        <v>1</v>
      </c>
      <c r="GZ69" s="20">
        <v>1</v>
      </c>
      <c r="HA69" s="20"/>
      <c r="HB69" s="20"/>
      <c r="HC69" s="20"/>
      <c r="HD69" s="21"/>
      <c r="HE69" s="20"/>
      <c r="HF69" s="20"/>
      <c r="HG69" s="20"/>
      <c r="HH69" s="20"/>
      <c r="HI69" s="20"/>
      <c r="HJ69" s="20"/>
      <c r="HK69" s="20"/>
      <c r="HL69" s="20"/>
      <c r="HM69" s="21"/>
      <c r="HN69" s="20"/>
      <c r="HO69" s="20"/>
      <c r="HP69" s="20"/>
      <c r="HQ69" s="20"/>
      <c r="HR69" s="20"/>
      <c r="HS69" s="20"/>
      <c r="HT69" s="20"/>
      <c r="HU69" s="20"/>
      <c r="HV69" s="21"/>
      <c r="HW69" s="20"/>
      <c r="HX69" s="20"/>
      <c r="HY69" s="20"/>
      <c r="HZ69" s="20"/>
      <c r="IA69" s="20"/>
      <c r="IB69" s="20"/>
      <c r="IC69" s="20"/>
      <c r="ID69" s="20"/>
      <c r="IE69" s="21"/>
      <c r="IF69" s="20"/>
      <c r="IG69" s="20"/>
      <c r="IH69" s="20"/>
      <c r="II69" s="20"/>
      <c r="IJ69" s="20"/>
      <c r="IK69" s="20"/>
      <c r="IL69" s="20"/>
      <c r="IM69" s="20"/>
      <c r="IN69" s="21"/>
      <c r="IO69" s="20"/>
      <c r="IP69" s="20"/>
      <c r="IQ69" s="20"/>
      <c r="IR69" s="20"/>
      <c r="IS69" s="20"/>
      <c r="IT69" s="20"/>
      <c r="IU69" s="21"/>
      <c r="IV69" s="20"/>
      <c r="IW69" s="20"/>
      <c r="IX69" s="20"/>
      <c r="IY69" s="20"/>
      <c r="IZ69" s="20"/>
      <c r="JA69" s="20"/>
      <c r="JB69" s="21"/>
      <c r="JC69" s="20"/>
      <c r="JD69" s="20"/>
      <c r="JE69" s="20"/>
      <c r="JF69" s="20"/>
      <c r="JG69" s="20"/>
      <c r="JH69" s="20"/>
      <c r="JI69" s="21"/>
      <c r="JJ69" s="20"/>
      <c r="JK69" s="20"/>
      <c r="JL69" s="20"/>
      <c r="JM69" s="20"/>
      <c r="JN69" s="20"/>
      <c r="JO69" s="20"/>
      <c r="JP69" s="21"/>
      <c r="JQ69" s="20"/>
      <c r="JR69" s="20"/>
      <c r="JS69" s="20"/>
      <c r="JT69" s="20"/>
      <c r="JU69" s="20"/>
      <c r="JV69" s="20"/>
      <c r="JW69" s="21"/>
      <c r="JX69" s="20"/>
      <c r="JY69" s="20"/>
      <c r="JZ69" s="20"/>
      <c r="KA69" s="20"/>
      <c r="KB69" s="20"/>
      <c r="KC69" s="20"/>
      <c r="KD69" s="21"/>
      <c r="KE69" s="20"/>
      <c r="KF69" s="20"/>
      <c r="KG69" s="20"/>
      <c r="KH69" s="20"/>
      <c r="KI69" s="20"/>
      <c r="KJ69" s="20"/>
      <c r="KK69" s="21"/>
      <c r="KL69" s="20"/>
      <c r="KM69" s="20"/>
      <c r="KN69" s="20"/>
      <c r="KO69" s="20"/>
      <c r="KP69" s="20"/>
      <c r="KQ69" s="20"/>
      <c r="KR69" s="21"/>
      <c r="KS69" s="20"/>
      <c r="KT69" s="20"/>
      <c r="KU69" s="20"/>
      <c r="KV69" s="20"/>
      <c r="KW69" s="20"/>
      <c r="KX69" s="20"/>
      <c r="KY69" s="21"/>
      <c r="KZ69" s="20"/>
      <c r="LA69" s="20"/>
      <c r="LB69" s="20"/>
      <c r="LC69" s="20"/>
      <c r="LD69" s="20"/>
      <c r="LE69" s="20"/>
      <c r="LF69" s="21"/>
      <c r="LG69" s="20"/>
      <c r="LH69" s="20"/>
      <c r="LI69" s="20"/>
      <c r="LJ69" s="20"/>
      <c r="LK69" s="20"/>
      <c r="LL69" s="20"/>
      <c r="LM69" s="21"/>
      <c r="LN69" s="20"/>
      <c r="LO69" s="20"/>
      <c r="LP69" s="20"/>
      <c r="LQ69" s="20"/>
      <c r="LR69" s="20"/>
      <c r="LS69" s="20"/>
      <c r="LT69" s="21"/>
      <c r="LU69" s="20"/>
      <c r="LV69" s="20"/>
      <c r="LW69" s="20"/>
      <c r="LX69" s="20"/>
      <c r="LY69" s="20"/>
      <c r="LZ69" s="20"/>
      <c r="MA69" s="21"/>
      <c r="MB69" s="20"/>
      <c r="MC69" s="20"/>
      <c r="MD69" s="20"/>
      <c r="ME69" s="20"/>
      <c r="MF69" s="20"/>
      <c r="MG69" s="20"/>
      <c r="MH69" s="21"/>
      <c r="MI69" s="20"/>
      <c r="MJ69" s="20"/>
      <c r="MK69" s="20"/>
      <c r="ML69" s="20"/>
      <c r="MM69" s="20"/>
      <c r="MN69" s="20"/>
      <c r="MO69" s="21"/>
      <c r="MP69" s="20"/>
      <c r="MQ69" s="20"/>
      <c r="MR69" s="20"/>
      <c r="MS69" s="20"/>
      <c r="MT69" s="20"/>
      <c r="MU69" s="20"/>
      <c r="MV69" s="21"/>
      <c r="MW69" s="20"/>
      <c r="MX69" s="20"/>
      <c r="MY69" s="20"/>
      <c r="MZ69" s="20"/>
      <c r="NA69" s="20"/>
      <c r="NB69" s="20"/>
      <c r="NC69" s="21"/>
      <c r="ND69" s="20"/>
      <c r="NE69" s="20"/>
      <c r="NF69" s="20"/>
      <c r="NG69" s="20"/>
      <c r="NH69" s="20"/>
      <c r="NI69" s="20"/>
      <c r="NJ69" s="21"/>
    </row>
    <row r="70" spans="1:374" ht="15" customHeight="1" x14ac:dyDescent="0.25">
      <c r="A70" s="122" t="s">
        <v>240</v>
      </c>
      <c r="B70" s="123"/>
      <c r="C70" s="123"/>
      <c r="D70" s="123"/>
      <c r="E70" s="59"/>
      <c r="F70" s="123"/>
      <c r="G70" s="123"/>
      <c r="H70" s="123"/>
      <c r="I70" s="123"/>
      <c r="J70" s="123"/>
      <c r="K70" s="123"/>
      <c r="L70" s="123"/>
      <c r="M70" s="123"/>
      <c r="N70" s="123"/>
      <c r="O70" s="61"/>
      <c r="P70" s="81">
        <f>VisibleSum(P45:P68)</f>
        <v>20.307692307692307</v>
      </c>
      <c r="Q70" s="112">
        <f>P70 / P69 * 100</f>
        <v>45.128205128205124</v>
      </c>
      <c r="R70" s="83"/>
      <c r="S70" s="61" t="str">
        <f t="shared" ref="S70:AX70" si="361">IF(SUM(S44:S68) &gt; 0, SUM(S44:S68), "")</f>
        <v/>
      </c>
      <c r="T70" s="123" t="str">
        <f t="shared" si="361"/>
        <v/>
      </c>
      <c r="U70" s="123" t="str">
        <f t="shared" si="361"/>
        <v/>
      </c>
      <c r="V70" s="123" t="str">
        <f t="shared" si="361"/>
        <v/>
      </c>
      <c r="W70" s="123" t="str">
        <f t="shared" si="361"/>
        <v/>
      </c>
      <c r="X70" s="123" t="str">
        <f t="shared" si="361"/>
        <v/>
      </c>
      <c r="Y70" s="123" t="str">
        <f t="shared" si="361"/>
        <v/>
      </c>
      <c r="Z70" s="61" t="str">
        <f t="shared" si="361"/>
        <v/>
      </c>
      <c r="AA70" s="123" t="str">
        <f t="shared" si="361"/>
        <v/>
      </c>
      <c r="AB70" s="123" t="str">
        <f t="shared" si="361"/>
        <v/>
      </c>
      <c r="AC70" s="123" t="str">
        <f t="shared" si="361"/>
        <v/>
      </c>
      <c r="AD70" s="123" t="str">
        <f t="shared" si="361"/>
        <v/>
      </c>
      <c r="AE70" s="123" t="str">
        <f t="shared" si="361"/>
        <v/>
      </c>
      <c r="AF70" s="123" t="str">
        <f t="shared" si="361"/>
        <v/>
      </c>
      <c r="AG70" s="61" t="str">
        <f t="shared" si="361"/>
        <v/>
      </c>
      <c r="AH70" s="123" t="str">
        <f t="shared" si="361"/>
        <v/>
      </c>
      <c r="AI70" s="123">
        <f t="shared" si="361"/>
        <v>11</v>
      </c>
      <c r="AJ70" s="123" t="str">
        <f t="shared" si="361"/>
        <v/>
      </c>
      <c r="AK70" s="123">
        <f t="shared" si="361"/>
        <v>7</v>
      </c>
      <c r="AL70" s="123" t="str">
        <f t="shared" si="361"/>
        <v/>
      </c>
      <c r="AM70" s="123" t="str">
        <f t="shared" si="361"/>
        <v/>
      </c>
      <c r="AN70" s="61" t="str">
        <f t="shared" si="361"/>
        <v/>
      </c>
      <c r="AO70" s="123" t="str">
        <f t="shared" si="361"/>
        <v/>
      </c>
      <c r="AP70" s="123">
        <f t="shared" si="361"/>
        <v>9</v>
      </c>
      <c r="AQ70" s="123" t="str">
        <f t="shared" si="361"/>
        <v/>
      </c>
      <c r="AR70" s="123">
        <f t="shared" si="361"/>
        <v>9</v>
      </c>
      <c r="AS70" s="123" t="str">
        <f t="shared" si="361"/>
        <v/>
      </c>
      <c r="AT70" s="123" t="str">
        <f t="shared" si="361"/>
        <v/>
      </c>
      <c r="AU70" s="61" t="str">
        <f t="shared" si="361"/>
        <v/>
      </c>
      <c r="AV70" s="123" t="str">
        <f t="shared" si="361"/>
        <v/>
      </c>
      <c r="AW70" s="123">
        <f t="shared" si="361"/>
        <v>9</v>
      </c>
      <c r="AX70" s="123">
        <f t="shared" si="361"/>
        <v>6</v>
      </c>
      <c r="AY70" s="123">
        <f t="shared" ref="AY70:BV70" si="362">IF(SUM(AY44:AY68) &gt; 0, SUM(AY44:AY68), "")</f>
        <v>7</v>
      </c>
      <c r="AZ70" s="123" t="str">
        <f t="shared" si="362"/>
        <v/>
      </c>
      <c r="BA70" s="123" t="str">
        <f t="shared" si="362"/>
        <v/>
      </c>
      <c r="BB70" s="61" t="str">
        <f t="shared" si="362"/>
        <v/>
      </c>
      <c r="BC70" s="123" t="str">
        <f t="shared" si="362"/>
        <v/>
      </c>
      <c r="BD70" s="123">
        <f t="shared" si="362"/>
        <v>8</v>
      </c>
      <c r="BE70" s="123" t="str">
        <f t="shared" si="362"/>
        <v/>
      </c>
      <c r="BF70" s="123">
        <f t="shared" si="362"/>
        <v>6</v>
      </c>
      <c r="BG70" s="123" t="str">
        <f t="shared" si="362"/>
        <v/>
      </c>
      <c r="BH70" s="123" t="str">
        <f t="shared" si="362"/>
        <v/>
      </c>
      <c r="BI70" s="61" t="str">
        <f t="shared" si="362"/>
        <v/>
      </c>
      <c r="BJ70" s="123" t="str">
        <f t="shared" si="362"/>
        <v/>
      </c>
      <c r="BK70" s="123">
        <f t="shared" si="362"/>
        <v>7</v>
      </c>
      <c r="BL70" s="123" t="str">
        <f t="shared" si="362"/>
        <v/>
      </c>
      <c r="BM70" s="123">
        <f t="shared" si="362"/>
        <v>10</v>
      </c>
      <c r="BN70" s="123">
        <f t="shared" si="362"/>
        <v>10</v>
      </c>
      <c r="BO70" s="123" t="str">
        <f t="shared" si="362"/>
        <v/>
      </c>
      <c r="BP70" s="61">
        <f t="shared" si="362"/>
        <v>4</v>
      </c>
      <c r="BQ70" s="123" t="str">
        <f t="shared" si="362"/>
        <v/>
      </c>
      <c r="BR70" s="123" t="str">
        <f t="shared" si="362"/>
        <v/>
      </c>
      <c r="BS70" s="123" t="str">
        <f t="shared" si="362"/>
        <v/>
      </c>
      <c r="BT70" s="123" t="str">
        <f t="shared" si="362"/>
        <v/>
      </c>
      <c r="BU70" s="123" t="str">
        <f t="shared" si="362"/>
        <v/>
      </c>
      <c r="BV70" s="123" t="str">
        <f t="shared" si="362"/>
        <v/>
      </c>
      <c r="BW70" s="123"/>
      <c r="BX70" s="123"/>
      <c r="BY70" s="61" t="str">
        <f t="shared" ref="BY70:CE70" si="363">IF(SUM(BY44:BY68) &gt; 0, SUM(BY44:BY68), "")</f>
        <v/>
      </c>
      <c r="BZ70" s="123" t="str">
        <f t="shared" si="363"/>
        <v/>
      </c>
      <c r="CA70" s="123" t="str">
        <f t="shared" si="363"/>
        <v/>
      </c>
      <c r="CB70" s="123" t="str">
        <f t="shared" si="363"/>
        <v/>
      </c>
      <c r="CC70" s="123" t="str">
        <f t="shared" si="363"/>
        <v/>
      </c>
      <c r="CD70" s="123" t="str">
        <f t="shared" si="363"/>
        <v/>
      </c>
      <c r="CE70" s="123" t="str">
        <f t="shared" si="363"/>
        <v/>
      </c>
      <c r="CF70" s="123"/>
      <c r="CG70" s="123"/>
      <c r="CH70" s="61" t="str">
        <f t="shared" ref="CH70:CO70" si="364">IF(SUM(CH44:CH68) &gt; 0, SUM(CH44:CH68), "")</f>
        <v/>
      </c>
      <c r="CI70" s="123" t="str">
        <f t="shared" si="364"/>
        <v/>
      </c>
      <c r="CJ70" s="123" t="str">
        <f t="shared" si="364"/>
        <v/>
      </c>
      <c r="CK70" s="123" t="str">
        <f t="shared" si="364"/>
        <v/>
      </c>
      <c r="CL70" s="123" t="str">
        <f t="shared" si="364"/>
        <v/>
      </c>
      <c r="CM70" s="123" t="str">
        <f t="shared" si="364"/>
        <v/>
      </c>
      <c r="CN70" s="123" t="str">
        <f t="shared" si="364"/>
        <v/>
      </c>
      <c r="CO70" s="123" t="str">
        <f t="shared" si="364"/>
        <v/>
      </c>
      <c r="CP70" s="123"/>
      <c r="CQ70" s="61" t="str">
        <f t="shared" ref="CQ70:CV70" si="365">IF(SUM(CQ44:CQ68) &gt; 0, SUM(CQ44:CQ68), "")</f>
        <v/>
      </c>
      <c r="CR70" s="123" t="str">
        <f t="shared" si="365"/>
        <v/>
      </c>
      <c r="CS70" s="123" t="str">
        <f t="shared" si="365"/>
        <v/>
      </c>
      <c r="CT70" s="123" t="str">
        <f t="shared" si="365"/>
        <v/>
      </c>
      <c r="CU70" s="123" t="str">
        <f t="shared" si="365"/>
        <v/>
      </c>
      <c r="CV70" s="123" t="str">
        <f t="shared" si="365"/>
        <v/>
      </c>
      <c r="CW70" s="123"/>
      <c r="CX70" s="123"/>
      <c r="CY70" s="123" t="str">
        <f t="shared" ref="CY70:DF70" si="366">IF(SUM(CY44:CY68) &gt; 0, SUM(CY44:CY68), "")</f>
        <v/>
      </c>
      <c r="CZ70" s="61" t="str">
        <f t="shared" si="366"/>
        <v/>
      </c>
      <c r="DA70" s="123" t="str">
        <f t="shared" si="366"/>
        <v/>
      </c>
      <c r="DB70" s="123" t="str">
        <f t="shared" si="366"/>
        <v/>
      </c>
      <c r="DC70" s="123" t="str">
        <f t="shared" si="366"/>
        <v/>
      </c>
      <c r="DD70" s="123" t="str">
        <f t="shared" si="366"/>
        <v/>
      </c>
      <c r="DE70" s="123" t="str">
        <f t="shared" si="366"/>
        <v/>
      </c>
      <c r="DF70" s="123" t="str">
        <f t="shared" si="366"/>
        <v/>
      </c>
      <c r="DG70" s="123"/>
      <c r="DH70" s="123"/>
      <c r="DI70" s="61" t="str">
        <f t="shared" ref="DI70:DO70" si="367">IF(SUM(DI44:DI68) &gt; 0, SUM(DI44:DI68), "")</f>
        <v/>
      </c>
      <c r="DJ70" s="123" t="str">
        <f t="shared" si="367"/>
        <v/>
      </c>
      <c r="DK70" s="123" t="str">
        <f t="shared" si="367"/>
        <v/>
      </c>
      <c r="DL70" s="123" t="str">
        <f t="shared" si="367"/>
        <v/>
      </c>
      <c r="DM70" s="123" t="str">
        <f t="shared" si="367"/>
        <v/>
      </c>
      <c r="DN70" s="123" t="str">
        <f t="shared" si="367"/>
        <v/>
      </c>
      <c r="DO70" s="123" t="str">
        <f t="shared" si="367"/>
        <v/>
      </c>
      <c r="DP70" s="123"/>
      <c r="DQ70" s="123"/>
      <c r="DR70" s="61" t="str">
        <f t="shared" ref="DR70:DW70" si="368">IF(SUM(DR44:DR68) &gt; 0, SUM(DR44:DR68), "")</f>
        <v/>
      </c>
      <c r="DS70" s="123" t="str">
        <f t="shared" si="368"/>
        <v/>
      </c>
      <c r="DT70" s="123">
        <f t="shared" si="368"/>
        <v>7</v>
      </c>
      <c r="DU70" s="123" t="str">
        <f t="shared" si="368"/>
        <v/>
      </c>
      <c r="DV70" s="123">
        <f t="shared" si="368"/>
        <v>5</v>
      </c>
      <c r="DW70" s="123">
        <f t="shared" si="368"/>
        <v>5</v>
      </c>
      <c r="DX70" s="123"/>
      <c r="DY70" s="123"/>
      <c r="DZ70" s="123" t="str">
        <f t="shared" ref="DZ70:EF70" si="369">IF(SUM(DZ44:DZ68) &gt; 0, SUM(DZ44:DZ68), "")</f>
        <v/>
      </c>
      <c r="EA70" s="61" t="str">
        <f t="shared" si="369"/>
        <v/>
      </c>
      <c r="EB70" s="123" t="str">
        <f t="shared" si="369"/>
        <v/>
      </c>
      <c r="EC70" s="123">
        <f t="shared" si="369"/>
        <v>6</v>
      </c>
      <c r="ED70" s="123" t="str">
        <f t="shared" si="369"/>
        <v/>
      </c>
      <c r="EE70" s="123">
        <f t="shared" si="369"/>
        <v>5</v>
      </c>
      <c r="EF70" s="123">
        <f t="shared" si="369"/>
        <v>4</v>
      </c>
      <c r="EG70" s="123"/>
      <c r="EH70" s="123"/>
      <c r="EI70" s="123" t="str">
        <f t="shared" ref="EI70:EP70" si="370">IF(SUM(EI44:EI68) &gt; 0, SUM(EI44:EI68), "")</f>
        <v/>
      </c>
      <c r="EJ70" s="61" t="str">
        <f t="shared" si="370"/>
        <v/>
      </c>
      <c r="EK70" s="123" t="str">
        <f t="shared" si="370"/>
        <v/>
      </c>
      <c r="EL70" s="123">
        <f t="shared" si="370"/>
        <v>6</v>
      </c>
      <c r="EM70" s="123" t="str">
        <f t="shared" si="370"/>
        <v/>
      </c>
      <c r="EN70" s="123">
        <f t="shared" si="370"/>
        <v>7</v>
      </c>
      <c r="EO70" s="123">
        <f t="shared" si="370"/>
        <v>5</v>
      </c>
      <c r="EP70" s="123" t="str">
        <f t="shared" si="370"/>
        <v/>
      </c>
      <c r="EQ70" s="123"/>
      <c r="ER70" s="123"/>
      <c r="ES70" s="61" t="str">
        <f t="shared" ref="ES70:EY70" si="371">IF(SUM(ES44:ES68) &gt; 0, SUM(ES44:ES68), "")</f>
        <v/>
      </c>
      <c r="ET70" s="123" t="str">
        <f t="shared" si="371"/>
        <v/>
      </c>
      <c r="EU70" s="123">
        <f t="shared" si="371"/>
        <v>9</v>
      </c>
      <c r="EV70" s="123" t="str">
        <f t="shared" si="371"/>
        <v/>
      </c>
      <c r="EW70" s="123">
        <f t="shared" si="371"/>
        <v>4</v>
      </c>
      <c r="EX70" s="123">
        <f t="shared" si="371"/>
        <v>5</v>
      </c>
      <c r="EY70" s="123" t="str">
        <f t="shared" si="371"/>
        <v/>
      </c>
      <c r="EZ70" s="123"/>
      <c r="FA70" s="123"/>
      <c r="FB70" s="61" t="str">
        <f t="shared" ref="FB70:FH70" si="372">IF(SUM(FB44:FB68) &gt; 0, SUM(FB44:FB68), "")</f>
        <v/>
      </c>
      <c r="FC70" s="123" t="str">
        <f t="shared" si="372"/>
        <v/>
      </c>
      <c r="FD70" s="123">
        <f t="shared" si="372"/>
        <v>8</v>
      </c>
      <c r="FE70" s="123" t="str">
        <f t="shared" si="372"/>
        <v/>
      </c>
      <c r="FF70" s="123">
        <f t="shared" si="372"/>
        <v>7</v>
      </c>
      <c r="FG70" s="123">
        <f t="shared" si="372"/>
        <v>5</v>
      </c>
      <c r="FH70" s="123" t="str">
        <f t="shared" si="372"/>
        <v/>
      </c>
      <c r="FI70" s="123"/>
      <c r="FJ70" s="123"/>
      <c r="FK70" s="61" t="str">
        <f t="shared" ref="FK70:FQ70" si="373">IF(SUM(FK44:FK68) &gt; 0, SUM(FK44:FK68), "")</f>
        <v/>
      </c>
      <c r="FL70" s="123" t="str">
        <f t="shared" si="373"/>
        <v/>
      </c>
      <c r="FM70" s="123">
        <f t="shared" si="373"/>
        <v>5</v>
      </c>
      <c r="FN70" s="123" t="str">
        <f t="shared" si="373"/>
        <v/>
      </c>
      <c r="FO70" s="123">
        <f t="shared" si="373"/>
        <v>6</v>
      </c>
      <c r="FP70" s="123">
        <f t="shared" si="373"/>
        <v>7</v>
      </c>
      <c r="FQ70" s="123" t="str">
        <f t="shared" si="373"/>
        <v/>
      </c>
      <c r="FR70" s="123"/>
      <c r="FS70" s="123"/>
      <c r="FT70" s="61" t="str">
        <f t="shared" ref="FT70:FZ70" si="374">IF(SUM(FT44:FT68) &gt; 0, SUM(FT44:FT68), "")</f>
        <v/>
      </c>
      <c r="FU70" s="123" t="str">
        <f t="shared" si="374"/>
        <v/>
      </c>
      <c r="FV70" s="123">
        <f t="shared" si="374"/>
        <v>8</v>
      </c>
      <c r="FW70" s="123" t="str">
        <f t="shared" si="374"/>
        <v/>
      </c>
      <c r="FX70" s="123">
        <f t="shared" si="374"/>
        <v>7</v>
      </c>
      <c r="FY70" s="123">
        <f t="shared" si="374"/>
        <v>5</v>
      </c>
      <c r="FZ70" s="123" t="str">
        <f t="shared" si="374"/>
        <v/>
      </c>
      <c r="GA70" s="123"/>
      <c r="GB70" s="123"/>
      <c r="GC70" s="61" t="str">
        <f t="shared" ref="GC70:GI70" si="375">IF(SUM(GC44:GC68) &gt; 0, SUM(GC44:GC68), "")</f>
        <v/>
      </c>
      <c r="GD70" s="123" t="str">
        <f t="shared" si="375"/>
        <v/>
      </c>
      <c r="GE70" s="123">
        <f t="shared" si="375"/>
        <v>4</v>
      </c>
      <c r="GF70" s="123" t="str">
        <f t="shared" si="375"/>
        <v/>
      </c>
      <c r="GG70" s="123">
        <f t="shared" si="375"/>
        <v>5</v>
      </c>
      <c r="GH70" s="123">
        <f t="shared" si="375"/>
        <v>7</v>
      </c>
      <c r="GI70" s="123" t="str">
        <f t="shared" si="375"/>
        <v/>
      </c>
      <c r="GJ70" s="123"/>
      <c r="GK70" s="123"/>
      <c r="GL70" s="61" t="str">
        <f t="shared" ref="GL70:GS70" si="376">IF(SUM(GL44:GL68) &gt; 0, SUM(GL44:GL68), "")</f>
        <v/>
      </c>
      <c r="GM70" s="123" t="str">
        <f t="shared" si="376"/>
        <v/>
      </c>
      <c r="GN70" s="123">
        <f t="shared" si="376"/>
        <v>5</v>
      </c>
      <c r="GO70" s="123" t="str">
        <f t="shared" si="376"/>
        <v/>
      </c>
      <c r="GP70" s="123">
        <f t="shared" si="376"/>
        <v>6</v>
      </c>
      <c r="GQ70" s="123">
        <f t="shared" si="376"/>
        <v>6</v>
      </c>
      <c r="GR70" s="123" t="str">
        <f t="shared" si="376"/>
        <v/>
      </c>
      <c r="GS70" s="123">
        <f t="shared" si="376"/>
        <v>6</v>
      </c>
      <c r="GT70" s="123"/>
      <c r="GU70" s="61" t="str">
        <f t="shared" ref="GU70:HA70" si="377">IF(SUM(GU44:GU68) &gt; 0, SUM(GU44:GU68), "")</f>
        <v/>
      </c>
      <c r="GV70" s="123" t="str">
        <f t="shared" si="377"/>
        <v/>
      </c>
      <c r="GW70" s="123">
        <f t="shared" si="377"/>
        <v>6</v>
      </c>
      <c r="GX70" s="123" t="str">
        <f t="shared" si="377"/>
        <v/>
      </c>
      <c r="GY70" s="123">
        <f t="shared" si="377"/>
        <v>8</v>
      </c>
      <c r="GZ70" s="123">
        <f t="shared" si="377"/>
        <v>3</v>
      </c>
      <c r="HA70" s="123" t="str">
        <f t="shared" si="377"/>
        <v/>
      </c>
      <c r="HB70" s="123"/>
      <c r="HC70" s="123"/>
      <c r="HD70" s="61" t="str">
        <f t="shared" ref="HD70:IQ70" si="378">IF(SUM(HD44:HD68) &gt; 0, SUM(HD44:HD68), "")</f>
        <v/>
      </c>
      <c r="HE70" s="123" t="str">
        <f t="shared" si="378"/>
        <v/>
      </c>
      <c r="HF70" s="123" t="str">
        <f t="shared" si="378"/>
        <v/>
      </c>
      <c r="HG70" s="123" t="str">
        <f t="shared" si="378"/>
        <v/>
      </c>
      <c r="HH70" s="123" t="str">
        <f t="shared" si="378"/>
        <v/>
      </c>
      <c r="HI70" s="123" t="str">
        <f t="shared" si="378"/>
        <v/>
      </c>
      <c r="HJ70" s="123" t="str">
        <f t="shared" si="378"/>
        <v/>
      </c>
      <c r="HK70" s="123"/>
      <c r="HL70" s="123"/>
      <c r="HM70" s="61" t="str">
        <f t="shared" si="378"/>
        <v/>
      </c>
      <c r="HN70" s="123" t="str">
        <f t="shared" si="378"/>
        <v/>
      </c>
      <c r="HO70" s="123" t="str">
        <f t="shared" si="378"/>
        <v/>
      </c>
      <c r="HP70" s="123" t="str">
        <f t="shared" si="378"/>
        <v/>
      </c>
      <c r="HQ70" s="123" t="str">
        <f t="shared" si="378"/>
        <v/>
      </c>
      <c r="HR70" s="123" t="str">
        <f t="shared" si="378"/>
        <v/>
      </c>
      <c r="HS70" s="123" t="str">
        <f t="shared" si="378"/>
        <v/>
      </c>
      <c r="HT70" s="123"/>
      <c r="HU70" s="123"/>
      <c r="HV70" s="61" t="str">
        <f t="shared" si="378"/>
        <v/>
      </c>
      <c r="HW70" s="123" t="str">
        <f t="shared" si="378"/>
        <v/>
      </c>
      <c r="HX70" s="123" t="str">
        <f t="shared" si="378"/>
        <v/>
      </c>
      <c r="HY70" s="123" t="str">
        <f t="shared" si="378"/>
        <v/>
      </c>
      <c r="HZ70" s="123" t="str">
        <f t="shared" si="378"/>
        <v/>
      </c>
      <c r="IA70" s="123" t="str">
        <f t="shared" si="378"/>
        <v/>
      </c>
      <c r="IB70" s="123" t="str">
        <f t="shared" si="378"/>
        <v/>
      </c>
      <c r="IC70" s="123"/>
      <c r="ID70" s="123"/>
      <c r="IE70" s="61" t="str">
        <f t="shared" si="378"/>
        <v/>
      </c>
      <c r="IF70" s="123" t="str">
        <f t="shared" si="378"/>
        <v/>
      </c>
      <c r="IG70" s="123" t="str">
        <f t="shared" si="378"/>
        <v/>
      </c>
      <c r="IH70" s="123" t="str">
        <f t="shared" si="378"/>
        <v/>
      </c>
      <c r="II70" s="123" t="str">
        <f t="shared" si="378"/>
        <v/>
      </c>
      <c r="IJ70" s="123" t="str">
        <f t="shared" si="378"/>
        <v/>
      </c>
      <c r="IK70" s="123" t="str">
        <f t="shared" si="378"/>
        <v/>
      </c>
      <c r="IL70" s="123"/>
      <c r="IM70" s="123"/>
      <c r="IN70" s="61" t="str">
        <f t="shared" si="378"/>
        <v/>
      </c>
      <c r="IO70" s="123" t="str">
        <f t="shared" si="378"/>
        <v/>
      </c>
      <c r="IP70" s="123" t="str">
        <f t="shared" si="378"/>
        <v/>
      </c>
      <c r="IQ70" s="123" t="str">
        <f t="shared" si="378"/>
        <v/>
      </c>
      <c r="IR70" s="123" t="str">
        <f t="shared" ref="IR70:JW70" si="379">IF(SUM(IR44:IR68) &gt; 0, SUM(IR44:IR68), "")</f>
        <v/>
      </c>
      <c r="IS70" s="123" t="str">
        <f t="shared" si="379"/>
        <v/>
      </c>
      <c r="IT70" s="123" t="str">
        <f t="shared" si="379"/>
        <v/>
      </c>
      <c r="IU70" s="61" t="str">
        <f t="shared" si="379"/>
        <v/>
      </c>
      <c r="IV70" s="123" t="str">
        <f t="shared" si="379"/>
        <v/>
      </c>
      <c r="IW70" s="123" t="str">
        <f t="shared" si="379"/>
        <v/>
      </c>
      <c r="IX70" s="123" t="str">
        <f t="shared" si="379"/>
        <v/>
      </c>
      <c r="IY70" s="123" t="str">
        <f t="shared" si="379"/>
        <v/>
      </c>
      <c r="IZ70" s="123" t="str">
        <f t="shared" si="379"/>
        <v/>
      </c>
      <c r="JA70" s="123" t="str">
        <f t="shared" si="379"/>
        <v/>
      </c>
      <c r="JB70" s="61" t="str">
        <f t="shared" si="379"/>
        <v/>
      </c>
      <c r="JC70" s="123" t="str">
        <f t="shared" si="379"/>
        <v/>
      </c>
      <c r="JD70" s="123" t="str">
        <f t="shared" si="379"/>
        <v/>
      </c>
      <c r="JE70" s="123" t="str">
        <f t="shared" si="379"/>
        <v/>
      </c>
      <c r="JF70" s="123" t="str">
        <f t="shared" si="379"/>
        <v/>
      </c>
      <c r="JG70" s="123" t="str">
        <f t="shared" si="379"/>
        <v/>
      </c>
      <c r="JH70" s="123" t="str">
        <f t="shared" si="379"/>
        <v/>
      </c>
      <c r="JI70" s="61" t="str">
        <f t="shared" si="379"/>
        <v/>
      </c>
      <c r="JJ70" s="123" t="str">
        <f t="shared" si="379"/>
        <v/>
      </c>
      <c r="JK70" s="123" t="str">
        <f t="shared" si="379"/>
        <v/>
      </c>
      <c r="JL70" s="123" t="str">
        <f t="shared" si="379"/>
        <v/>
      </c>
      <c r="JM70" s="123" t="str">
        <f t="shared" si="379"/>
        <v/>
      </c>
      <c r="JN70" s="123" t="str">
        <f t="shared" si="379"/>
        <v/>
      </c>
      <c r="JO70" s="123" t="str">
        <f t="shared" si="379"/>
        <v/>
      </c>
      <c r="JP70" s="61" t="str">
        <f t="shared" si="379"/>
        <v/>
      </c>
      <c r="JQ70" s="123" t="str">
        <f t="shared" si="379"/>
        <v/>
      </c>
      <c r="JR70" s="123" t="str">
        <f t="shared" si="379"/>
        <v/>
      </c>
      <c r="JS70" s="123" t="str">
        <f t="shared" si="379"/>
        <v/>
      </c>
      <c r="JT70" s="123" t="str">
        <f t="shared" si="379"/>
        <v/>
      </c>
      <c r="JU70" s="123" t="str">
        <f t="shared" si="379"/>
        <v/>
      </c>
      <c r="JV70" s="123" t="str">
        <f t="shared" si="379"/>
        <v/>
      </c>
      <c r="JW70" s="61" t="str">
        <f t="shared" si="379"/>
        <v/>
      </c>
      <c r="JX70" s="123" t="str">
        <f t="shared" ref="JX70:LC70" si="380">IF(SUM(JX44:JX68) &gt; 0, SUM(JX44:JX68), "")</f>
        <v/>
      </c>
      <c r="JY70" s="123" t="str">
        <f t="shared" si="380"/>
        <v/>
      </c>
      <c r="JZ70" s="123" t="str">
        <f t="shared" si="380"/>
        <v/>
      </c>
      <c r="KA70" s="123" t="str">
        <f t="shared" si="380"/>
        <v/>
      </c>
      <c r="KB70" s="123" t="str">
        <f t="shared" si="380"/>
        <v/>
      </c>
      <c r="KC70" s="123" t="str">
        <f t="shared" si="380"/>
        <v/>
      </c>
      <c r="KD70" s="61" t="str">
        <f t="shared" si="380"/>
        <v/>
      </c>
      <c r="KE70" s="123" t="str">
        <f t="shared" si="380"/>
        <v/>
      </c>
      <c r="KF70" s="123" t="str">
        <f t="shared" si="380"/>
        <v/>
      </c>
      <c r="KG70" s="123" t="str">
        <f t="shared" si="380"/>
        <v/>
      </c>
      <c r="KH70" s="123" t="str">
        <f t="shared" si="380"/>
        <v/>
      </c>
      <c r="KI70" s="123" t="str">
        <f t="shared" si="380"/>
        <v/>
      </c>
      <c r="KJ70" s="123" t="str">
        <f t="shared" si="380"/>
        <v/>
      </c>
      <c r="KK70" s="61" t="str">
        <f t="shared" si="380"/>
        <v/>
      </c>
      <c r="KL70" s="123" t="str">
        <f t="shared" si="380"/>
        <v/>
      </c>
      <c r="KM70" s="123" t="str">
        <f t="shared" si="380"/>
        <v/>
      </c>
      <c r="KN70" s="123" t="str">
        <f t="shared" si="380"/>
        <v/>
      </c>
      <c r="KO70" s="123" t="str">
        <f t="shared" si="380"/>
        <v/>
      </c>
      <c r="KP70" s="123" t="str">
        <f t="shared" si="380"/>
        <v/>
      </c>
      <c r="KQ70" s="123" t="str">
        <f t="shared" si="380"/>
        <v/>
      </c>
      <c r="KR70" s="61" t="str">
        <f t="shared" si="380"/>
        <v/>
      </c>
      <c r="KS70" s="123" t="str">
        <f t="shared" si="380"/>
        <v/>
      </c>
      <c r="KT70" s="123" t="str">
        <f t="shared" si="380"/>
        <v/>
      </c>
      <c r="KU70" s="123" t="str">
        <f t="shared" si="380"/>
        <v/>
      </c>
      <c r="KV70" s="123" t="str">
        <f t="shared" si="380"/>
        <v/>
      </c>
      <c r="KW70" s="123" t="str">
        <f t="shared" si="380"/>
        <v/>
      </c>
      <c r="KX70" s="123" t="str">
        <f t="shared" si="380"/>
        <v/>
      </c>
      <c r="KY70" s="61" t="str">
        <f t="shared" si="380"/>
        <v/>
      </c>
      <c r="KZ70" s="123" t="str">
        <f t="shared" si="380"/>
        <v/>
      </c>
      <c r="LA70" s="123" t="str">
        <f t="shared" si="380"/>
        <v/>
      </c>
      <c r="LB70" s="123" t="str">
        <f t="shared" si="380"/>
        <v/>
      </c>
      <c r="LC70" s="123" t="str">
        <f t="shared" si="380"/>
        <v/>
      </c>
      <c r="LD70" s="123" t="str">
        <f t="shared" ref="LD70:MI70" si="381">IF(SUM(LD44:LD68) &gt; 0, SUM(LD44:LD68), "")</f>
        <v/>
      </c>
      <c r="LE70" s="123" t="str">
        <f t="shared" si="381"/>
        <v/>
      </c>
      <c r="LF70" s="61" t="str">
        <f t="shared" si="381"/>
        <v/>
      </c>
      <c r="LG70" s="123" t="str">
        <f t="shared" si="381"/>
        <v/>
      </c>
      <c r="LH70" s="123" t="str">
        <f t="shared" si="381"/>
        <v/>
      </c>
      <c r="LI70" s="123" t="str">
        <f t="shared" si="381"/>
        <v/>
      </c>
      <c r="LJ70" s="123" t="str">
        <f t="shared" si="381"/>
        <v/>
      </c>
      <c r="LK70" s="123" t="str">
        <f t="shared" si="381"/>
        <v/>
      </c>
      <c r="LL70" s="123" t="str">
        <f t="shared" si="381"/>
        <v/>
      </c>
      <c r="LM70" s="61" t="str">
        <f t="shared" si="381"/>
        <v/>
      </c>
      <c r="LN70" s="123" t="str">
        <f t="shared" si="381"/>
        <v/>
      </c>
      <c r="LO70" s="123" t="str">
        <f t="shared" si="381"/>
        <v/>
      </c>
      <c r="LP70" s="123" t="str">
        <f t="shared" si="381"/>
        <v/>
      </c>
      <c r="LQ70" s="123" t="str">
        <f t="shared" si="381"/>
        <v/>
      </c>
      <c r="LR70" s="123" t="str">
        <f t="shared" si="381"/>
        <v/>
      </c>
      <c r="LS70" s="123" t="str">
        <f t="shared" si="381"/>
        <v/>
      </c>
      <c r="LT70" s="61" t="str">
        <f t="shared" si="381"/>
        <v/>
      </c>
      <c r="LU70" s="123" t="str">
        <f t="shared" si="381"/>
        <v/>
      </c>
      <c r="LV70" s="123" t="str">
        <f t="shared" si="381"/>
        <v/>
      </c>
      <c r="LW70" s="123" t="str">
        <f t="shared" si="381"/>
        <v/>
      </c>
      <c r="LX70" s="123" t="str">
        <f t="shared" si="381"/>
        <v/>
      </c>
      <c r="LY70" s="123" t="str">
        <f t="shared" si="381"/>
        <v/>
      </c>
      <c r="LZ70" s="123" t="str">
        <f t="shared" si="381"/>
        <v/>
      </c>
      <c r="MA70" s="61" t="str">
        <f t="shared" si="381"/>
        <v/>
      </c>
      <c r="MB70" s="123" t="str">
        <f t="shared" si="381"/>
        <v/>
      </c>
      <c r="MC70" s="123" t="str">
        <f t="shared" si="381"/>
        <v/>
      </c>
      <c r="MD70" s="123" t="str">
        <f t="shared" si="381"/>
        <v/>
      </c>
      <c r="ME70" s="123" t="str">
        <f t="shared" si="381"/>
        <v/>
      </c>
      <c r="MF70" s="123" t="str">
        <f t="shared" si="381"/>
        <v/>
      </c>
      <c r="MG70" s="123" t="str">
        <f t="shared" si="381"/>
        <v/>
      </c>
      <c r="MH70" s="61" t="str">
        <f t="shared" si="381"/>
        <v/>
      </c>
      <c r="MI70" s="123" t="str">
        <f t="shared" si="381"/>
        <v/>
      </c>
      <c r="MJ70" s="123" t="str">
        <f t="shared" ref="MJ70:NJ70" si="382">IF(SUM(MJ44:MJ68) &gt; 0, SUM(MJ44:MJ68), "")</f>
        <v/>
      </c>
      <c r="MK70" s="123" t="str">
        <f t="shared" si="382"/>
        <v/>
      </c>
      <c r="ML70" s="123" t="str">
        <f t="shared" si="382"/>
        <v/>
      </c>
      <c r="MM70" s="123" t="str">
        <f t="shared" si="382"/>
        <v/>
      </c>
      <c r="MN70" s="123" t="str">
        <f t="shared" si="382"/>
        <v/>
      </c>
      <c r="MO70" s="61" t="str">
        <f t="shared" si="382"/>
        <v/>
      </c>
      <c r="MP70" s="123" t="str">
        <f t="shared" si="382"/>
        <v/>
      </c>
      <c r="MQ70" s="123" t="str">
        <f t="shared" si="382"/>
        <v/>
      </c>
      <c r="MR70" s="123" t="str">
        <f t="shared" si="382"/>
        <v/>
      </c>
      <c r="MS70" s="123" t="str">
        <f t="shared" si="382"/>
        <v/>
      </c>
      <c r="MT70" s="123" t="str">
        <f t="shared" si="382"/>
        <v/>
      </c>
      <c r="MU70" s="123" t="str">
        <f t="shared" si="382"/>
        <v/>
      </c>
      <c r="MV70" s="61" t="str">
        <f t="shared" si="382"/>
        <v/>
      </c>
      <c r="MW70" s="123" t="str">
        <f t="shared" si="382"/>
        <v/>
      </c>
      <c r="MX70" s="123" t="str">
        <f t="shared" si="382"/>
        <v/>
      </c>
      <c r="MY70" s="123" t="str">
        <f t="shared" si="382"/>
        <v/>
      </c>
      <c r="MZ70" s="123" t="str">
        <f t="shared" si="382"/>
        <v/>
      </c>
      <c r="NA70" s="123" t="str">
        <f t="shared" si="382"/>
        <v/>
      </c>
      <c r="NB70" s="123" t="str">
        <f t="shared" si="382"/>
        <v/>
      </c>
      <c r="NC70" s="61" t="str">
        <f t="shared" si="382"/>
        <v/>
      </c>
      <c r="ND70" s="123" t="str">
        <f t="shared" si="382"/>
        <v/>
      </c>
      <c r="NE70" s="123" t="str">
        <f t="shared" si="382"/>
        <v/>
      </c>
      <c r="NF70" s="123" t="str">
        <f t="shared" si="382"/>
        <v/>
      </c>
      <c r="NG70" s="123" t="str">
        <f t="shared" si="382"/>
        <v/>
      </c>
      <c r="NH70" s="123" t="str">
        <f t="shared" si="382"/>
        <v/>
      </c>
      <c r="NI70" s="123" t="str">
        <f t="shared" si="382"/>
        <v/>
      </c>
      <c r="NJ70" s="61" t="str">
        <f t="shared" si="382"/>
        <v/>
      </c>
    </row>
    <row r="71" spans="1:374" ht="72.75" customHeight="1" x14ac:dyDescent="0.25">
      <c r="A71" s="117"/>
      <c r="B71" s="113"/>
      <c r="C71" s="113"/>
      <c r="D71" s="113"/>
      <c r="E71" s="118"/>
      <c r="F71" s="113"/>
      <c r="G71" s="113"/>
      <c r="H71" s="113"/>
      <c r="I71" s="113"/>
      <c r="J71" s="113"/>
      <c r="K71" s="113"/>
      <c r="L71" s="113"/>
      <c r="M71" s="113"/>
      <c r="N71" s="113"/>
      <c r="O71" s="113"/>
      <c r="P71" s="119" t="s">
        <v>406</v>
      </c>
      <c r="Q71" s="120" t="s">
        <v>406</v>
      </c>
      <c r="R71" s="121"/>
      <c r="S71" s="49">
        <f t="shared" ref="S71:AX71" si="383">S1</f>
        <v>43975</v>
      </c>
      <c r="T71" s="49">
        <f t="shared" si="383"/>
        <v>43976</v>
      </c>
      <c r="U71" s="49">
        <f t="shared" si="383"/>
        <v>43977</v>
      </c>
      <c r="V71" s="49">
        <f t="shared" si="383"/>
        <v>43978</v>
      </c>
      <c r="W71" s="49">
        <f t="shared" si="383"/>
        <v>43979</v>
      </c>
      <c r="X71" s="49">
        <f t="shared" si="383"/>
        <v>43980</v>
      </c>
      <c r="Y71" s="49">
        <f t="shared" si="383"/>
        <v>43981</v>
      </c>
      <c r="Z71" s="49">
        <f t="shared" si="383"/>
        <v>43982</v>
      </c>
      <c r="AA71" s="49">
        <f t="shared" si="383"/>
        <v>43983</v>
      </c>
      <c r="AB71" s="49">
        <f t="shared" si="383"/>
        <v>43984</v>
      </c>
      <c r="AC71" s="49">
        <f t="shared" si="383"/>
        <v>43985</v>
      </c>
      <c r="AD71" s="49">
        <f t="shared" si="383"/>
        <v>43986</v>
      </c>
      <c r="AE71" s="49">
        <f t="shared" si="383"/>
        <v>43987</v>
      </c>
      <c r="AF71" s="49">
        <f t="shared" si="383"/>
        <v>43988</v>
      </c>
      <c r="AG71" s="49">
        <f t="shared" si="383"/>
        <v>43989</v>
      </c>
      <c r="AH71" s="49">
        <f t="shared" si="383"/>
        <v>43990</v>
      </c>
      <c r="AI71" s="49">
        <f t="shared" si="383"/>
        <v>43991</v>
      </c>
      <c r="AJ71" s="49">
        <f t="shared" si="383"/>
        <v>43992</v>
      </c>
      <c r="AK71" s="49">
        <f t="shared" si="383"/>
        <v>43993</v>
      </c>
      <c r="AL71" s="49">
        <f t="shared" si="383"/>
        <v>43994</v>
      </c>
      <c r="AM71" s="49">
        <f t="shared" si="383"/>
        <v>43995</v>
      </c>
      <c r="AN71" s="49">
        <f t="shared" si="383"/>
        <v>43996</v>
      </c>
      <c r="AO71" s="49">
        <f t="shared" si="383"/>
        <v>43997</v>
      </c>
      <c r="AP71" s="49">
        <f t="shared" si="383"/>
        <v>43998</v>
      </c>
      <c r="AQ71" s="49">
        <f t="shared" si="383"/>
        <v>43999</v>
      </c>
      <c r="AR71" s="49">
        <f t="shared" si="383"/>
        <v>44000</v>
      </c>
      <c r="AS71" s="49">
        <f t="shared" si="383"/>
        <v>44001</v>
      </c>
      <c r="AT71" s="49">
        <f t="shared" si="383"/>
        <v>44002</v>
      </c>
      <c r="AU71" s="49">
        <f t="shared" si="383"/>
        <v>44003</v>
      </c>
      <c r="AV71" s="49">
        <f t="shared" si="383"/>
        <v>44004</v>
      </c>
      <c r="AW71" s="49">
        <f t="shared" si="383"/>
        <v>44005</v>
      </c>
      <c r="AX71" s="49">
        <f t="shared" si="383"/>
        <v>44006</v>
      </c>
      <c r="AY71" s="49">
        <f t="shared" ref="AY71:BW71" si="384">AY1</f>
        <v>44007</v>
      </c>
      <c r="AZ71" s="49">
        <f t="shared" si="384"/>
        <v>44008</v>
      </c>
      <c r="BA71" s="49">
        <f t="shared" si="384"/>
        <v>44009</v>
      </c>
      <c r="BB71" s="49">
        <f t="shared" si="384"/>
        <v>44010</v>
      </c>
      <c r="BC71" s="49">
        <f t="shared" si="384"/>
        <v>44011</v>
      </c>
      <c r="BD71" s="49">
        <f t="shared" si="384"/>
        <v>44012</v>
      </c>
      <c r="BE71" s="49">
        <f t="shared" si="384"/>
        <v>44013</v>
      </c>
      <c r="BF71" s="49">
        <f t="shared" si="384"/>
        <v>44014</v>
      </c>
      <c r="BG71" s="49">
        <f t="shared" si="384"/>
        <v>44015</v>
      </c>
      <c r="BH71" s="49">
        <f t="shared" si="384"/>
        <v>44016</v>
      </c>
      <c r="BI71" s="49">
        <f t="shared" si="384"/>
        <v>44017</v>
      </c>
      <c r="BJ71" s="49">
        <f t="shared" si="384"/>
        <v>44018</v>
      </c>
      <c r="BK71" s="49">
        <f t="shared" si="384"/>
        <v>44019</v>
      </c>
      <c r="BL71" s="49">
        <f t="shared" si="384"/>
        <v>44020</v>
      </c>
      <c r="BM71" s="49">
        <f t="shared" si="384"/>
        <v>44021</v>
      </c>
      <c r="BN71" s="49">
        <f t="shared" si="384"/>
        <v>44022</v>
      </c>
      <c r="BO71" s="49">
        <f t="shared" si="384"/>
        <v>44023</v>
      </c>
      <c r="BP71" s="49">
        <f t="shared" si="384"/>
        <v>44024</v>
      </c>
      <c r="BQ71" s="49">
        <f t="shared" si="384"/>
        <v>44025</v>
      </c>
      <c r="BR71" s="49">
        <f t="shared" si="384"/>
        <v>44026</v>
      </c>
      <c r="BS71" s="49">
        <f t="shared" si="384"/>
        <v>44027</v>
      </c>
      <c r="BT71" s="49">
        <f t="shared" si="384"/>
        <v>44028</v>
      </c>
      <c r="BU71" s="49">
        <f t="shared" si="384"/>
        <v>44029</v>
      </c>
      <c r="BV71" s="49">
        <f t="shared" si="384"/>
        <v>44030</v>
      </c>
      <c r="BW71" s="49">
        <f t="shared" si="384"/>
        <v>44031</v>
      </c>
      <c r="BX71" s="49"/>
      <c r="BY71" s="49"/>
      <c r="BZ71" s="49"/>
      <c r="CA71" s="49"/>
      <c r="CB71" s="49"/>
      <c r="CC71" s="49"/>
      <c r="CD71" s="49"/>
      <c r="CE71" s="49"/>
      <c r="CF71" s="49"/>
      <c r="CG71" s="49"/>
      <c r="CH71" s="49"/>
      <c r="CI71" s="49"/>
      <c r="CJ71" s="49"/>
      <c r="CK71" s="49"/>
      <c r="CL71" s="49"/>
      <c r="CM71" s="49"/>
      <c r="CN71" s="49"/>
      <c r="CO71" s="49"/>
      <c r="CP71" s="49"/>
      <c r="CQ71" s="49"/>
      <c r="CR71" s="49"/>
      <c r="CS71" s="49"/>
      <c r="CT71" s="49"/>
      <c r="CU71" s="49"/>
      <c r="CV71" s="49"/>
      <c r="CW71" s="49"/>
      <c r="CX71" s="49"/>
      <c r="CY71" s="49"/>
      <c r="CZ71" s="49"/>
      <c r="DA71" s="49"/>
      <c r="DB71" s="49"/>
      <c r="DC71" s="49"/>
      <c r="DD71" s="49"/>
      <c r="DE71" s="49"/>
      <c r="DF71" s="49"/>
      <c r="DG71" s="49"/>
      <c r="DH71" s="49"/>
      <c r="DI71" s="49"/>
      <c r="DJ71" s="49"/>
      <c r="DK71" s="49"/>
      <c r="DL71" s="49"/>
      <c r="DM71" s="49"/>
      <c r="DN71" s="49"/>
      <c r="DO71" s="49"/>
      <c r="DP71" s="49"/>
      <c r="DQ71" s="49"/>
      <c r="DR71" s="49"/>
      <c r="DS71" s="49">
        <f t="shared" ref="DS71:DY71" si="385">DS1</f>
        <v>44067</v>
      </c>
      <c r="DT71" s="49">
        <f t="shared" si="385"/>
        <v>44068</v>
      </c>
      <c r="DU71" s="49">
        <f t="shared" si="385"/>
        <v>44069</v>
      </c>
      <c r="DV71" s="49">
        <f t="shared" si="385"/>
        <v>44070</v>
      </c>
      <c r="DW71" s="49">
        <f t="shared" si="385"/>
        <v>44071</v>
      </c>
      <c r="DX71" s="49">
        <f t="shared" si="385"/>
        <v>44072</v>
      </c>
      <c r="DY71" s="49">
        <f t="shared" si="385"/>
        <v>44073</v>
      </c>
      <c r="DZ71" s="49"/>
      <c r="EA71" s="49"/>
      <c r="EB71" s="49">
        <f t="shared" ref="EB71:EH71" si="386">EB1</f>
        <v>44074</v>
      </c>
      <c r="EC71" s="49">
        <f t="shared" si="386"/>
        <v>44075</v>
      </c>
      <c r="ED71" s="49">
        <f t="shared" si="386"/>
        <v>44076</v>
      </c>
      <c r="EE71" s="49">
        <f t="shared" si="386"/>
        <v>44077</v>
      </c>
      <c r="EF71" s="49">
        <f t="shared" si="386"/>
        <v>44078</v>
      </c>
      <c r="EG71" s="49">
        <f t="shared" si="386"/>
        <v>44079</v>
      </c>
      <c r="EH71" s="49">
        <f t="shared" si="386"/>
        <v>44080</v>
      </c>
      <c r="EI71" s="49"/>
      <c r="EJ71" s="49"/>
      <c r="EK71" s="49">
        <f t="shared" ref="EK71:EQ71" si="387">EK1</f>
        <v>44081</v>
      </c>
      <c r="EL71" s="49">
        <f t="shared" si="387"/>
        <v>44082</v>
      </c>
      <c r="EM71" s="49">
        <f t="shared" si="387"/>
        <v>44083</v>
      </c>
      <c r="EN71" s="49">
        <f t="shared" si="387"/>
        <v>44084</v>
      </c>
      <c r="EO71" s="49">
        <f t="shared" si="387"/>
        <v>44085</v>
      </c>
      <c r="EP71" s="49">
        <f t="shared" si="387"/>
        <v>44086</v>
      </c>
      <c r="EQ71" s="49">
        <f t="shared" si="387"/>
        <v>44087</v>
      </c>
      <c r="ER71" s="49"/>
      <c r="ES71" s="49"/>
      <c r="ET71" s="49">
        <f t="shared" ref="ET71:EZ71" si="388">ET1</f>
        <v>44088</v>
      </c>
      <c r="EU71" s="49">
        <f t="shared" si="388"/>
        <v>44089</v>
      </c>
      <c r="EV71" s="49">
        <f t="shared" si="388"/>
        <v>44090</v>
      </c>
      <c r="EW71" s="49">
        <f t="shared" si="388"/>
        <v>44091</v>
      </c>
      <c r="EX71" s="49">
        <f t="shared" si="388"/>
        <v>44092</v>
      </c>
      <c r="EY71" s="49">
        <f t="shared" si="388"/>
        <v>44093</v>
      </c>
      <c r="EZ71" s="49">
        <f t="shared" si="388"/>
        <v>44094</v>
      </c>
      <c r="FA71" s="49"/>
      <c r="FB71" s="49"/>
      <c r="FC71" s="49">
        <f t="shared" ref="FC71:FI71" si="389">FC1</f>
        <v>44095</v>
      </c>
      <c r="FD71" s="49">
        <f t="shared" si="389"/>
        <v>44096</v>
      </c>
      <c r="FE71" s="49">
        <f t="shared" si="389"/>
        <v>44097</v>
      </c>
      <c r="FF71" s="49">
        <f t="shared" si="389"/>
        <v>44098</v>
      </c>
      <c r="FG71" s="49">
        <f t="shared" si="389"/>
        <v>44099</v>
      </c>
      <c r="FH71" s="49">
        <f t="shared" si="389"/>
        <v>44100</v>
      </c>
      <c r="FI71" s="49">
        <f t="shared" si="389"/>
        <v>44101</v>
      </c>
      <c r="FJ71" s="49"/>
      <c r="FK71" s="49"/>
      <c r="FL71" s="49">
        <f t="shared" ref="FL71:FR71" si="390">FL1</f>
        <v>44102</v>
      </c>
      <c r="FM71" s="49">
        <f t="shared" si="390"/>
        <v>44103</v>
      </c>
      <c r="FN71" s="49">
        <f t="shared" si="390"/>
        <v>44104</v>
      </c>
      <c r="FO71" s="49">
        <f t="shared" si="390"/>
        <v>44105</v>
      </c>
      <c r="FP71" s="49">
        <f t="shared" si="390"/>
        <v>44106</v>
      </c>
      <c r="FQ71" s="49">
        <f t="shared" si="390"/>
        <v>44107</v>
      </c>
      <c r="FR71" s="49">
        <f t="shared" si="390"/>
        <v>44108</v>
      </c>
      <c r="FS71" s="49"/>
      <c r="FT71" s="49"/>
      <c r="FU71" s="49">
        <f t="shared" ref="FU71:GA71" si="391">FU1</f>
        <v>44109</v>
      </c>
      <c r="FV71" s="49">
        <f t="shared" si="391"/>
        <v>44110</v>
      </c>
      <c r="FW71" s="49">
        <f t="shared" si="391"/>
        <v>44111</v>
      </c>
      <c r="FX71" s="49">
        <f t="shared" si="391"/>
        <v>44112</v>
      </c>
      <c r="FY71" s="49">
        <f t="shared" si="391"/>
        <v>44113</v>
      </c>
      <c r="FZ71" s="49">
        <f t="shared" si="391"/>
        <v>44114</v>
      </c>
      <c r="GA71" s="49">
        <f t="shared" si="391"/>
        <v>44115</v>
      </c>
      <c r="GB71" s="49"/>
      <c r="GC71" s="49"/>
      <c r="GD71" s="49">
        <f t="shared" ref="GD71:GJ71" si="392">GD1</f>
        <v>44116</v>
      </c>
      <c r="GE71" s="49">
        <f t="shared" si="392"/>
        <v>44117</v>
      </c>
      <c r="GF71" s="49">
        <f t="shared" si="392"/>
        <v>44118</v>
      </c>
      <c r="GG71" s="49">
        <f t="shared" si="392"/>
        <v>44119</v>
      </c>
      <c r="GH71" s="49">
        <f t="shared" si="392"/>
        <v>44120</v>
      </c>
      <c r="GI71" s="49">
        <f t="shared" si="392"/>
        <v>44121</v>
      </c>
      <c r="GJ71" s="49">
        <f t="shared" si="392"/>
        <v>44122</v>
      </c>
      <c r="GK71" s="49"/>
      <c r="GL71" s="49"/>
      <c r="GM71" s="49">
        <f t="shared" ref="GM71:GS71" si="393">GM1</f>
        <v>44123</v>
      </c>
      <c r="GN71" s="49">
        <f t="shared" si="393"/>
        <v>44124</v>
      </c>
      <c r="GO71" s="49">
        <f t="shared" si="393"/>
        <v>44125</v>
      </c>
      <c r="GP71" s="49">
        <f t="shared" si="393"/>
        <v>44126</v>
      </c>
      <c r="GQ71" s="49">
        <f t="shared" si="393"/>
        <v>44127</v>
      </c>
      <c r="GR71" s="49">
        <f t="shared" si="393"/>
        <v>44128</v>
      </c>
      <c r="GS71" s="49">
        <f t="shared" si="393"/>
        <v>44129</v>
      </c>
      <c r="GT71" s="49"/>
      <c r="GU71" s="49"/>
      <c r="GV71" s="49">
        <f t="shared" ref="GV71:HB71" si="394">GV1</f>
        <v>44130</v>
      </c>
      <c r="GW71" s="49">
        <f t="shared" si="394"/>
        <v>44131</v>
      </c>
      <c r="GX71" s="49">
        <f t="shared" si="394"/>
        <v>44132</v>
      </c>
      <c r="GY71" s="49">
        <f t="shared" si="394"/>
        <v>44133</v>
      </c>
      <c r="GZ71" s="49">
        <f t="shared" si="394"/>
        <v>44134</v>
      </c>
      <c r="HA71" s="49">
        <f t="shared" si="394"/>
        <v>44135</v>
      </c>
      <c r="HB71" s="49">
        <f t="shared" si="394"/>
        <v>44136</v>
      </c>
      <c r="HC71" s="49"/>
      <c r="HD71" s="49"/>
      <c r="HE71" s="49">
        <f t="shared" ref="HE71:IR71" si="395">HE1</f>
        <v>44137</v>
      </c>
      <c r="HF71" s="49">
        <f t="shared" si="395"/>
        <v>44138</v>
      </c>
      <c r="HG71" s="49">
        <f t="shared" si="395"/>
        <v>44139</v>
      </c>
      <c r="HH71" s="49">
        <f t="shared" si="395"/>
        <v>44140</v>
      </c>
      <c r="HI71" s="49">
        <f t="shared" si="395"/>
        <v>44141</v>
      </c>
      <c r="HJ71" s="49">
        <f t="shared" si="395"/>
        <v>44142</v>
      </c>
      <c r="HK71" s="49">
        <f t="shared" ref="HK71" si="396">HK1</f>
        <v>44143</v>
      </c>
      <c r="HL71" s="49"/>
      <c r="HM71" s="49"/>
      <c r="HN71" s="49">
        <f t="shared" si="395"/>
        <v>44144</v>
      </c>
      <c r="HO71" s="49">
        <f t="shared" si="395"/>
        <v>44145</v>
      </c>
      <c r="HP71" s="49">
        <f t="shared" si="395"/>
        <v>44146</v>
      </c>
      <c r="HQ71" s="49">
        <f t="shared" si="395"/>
        <v>44147</v>
      </c>
      <c r="HR71" s="49">
        <f t="shared" si="395"/>
        <v>44148</v>
      </c>
      <c r="HS71" s="49">
        <f t="shared" si="395"/>
        <v>44149</v>
      </c>
      <c r="HT71" s="49">
        <f t="shared" ref="HT71" si="397">HT1</f>
        <v>44150</v>
      </c>
      <c r="HU71" s="49"/>
      <c r="HV71" s="49"/>
      <c r="HW71" s="49">
        <f t="shared" si="395"/>
        <v>44151</v>
      </c>
      <c r="HX71" s="49">
        <f t="shared" si="395"/>
        <v>44152</v>
      </c>
      <c r="HY71" s="49">
        <f t="shared" si="395"/>
        <v>44153</v>
      </c>
      <c r="HZ71" s="49">
        <f t="shared" si="395"/>
        <v>44154</v>
      </c>
      <c r="IA71" s="49">
        <f t="shared" si="395"/>
        <v>44155</v>
      </c>
      <c r="IB71" s="49">
        <f t="shared" si="395"/>
        <v>44156</v>
      </c>
      <c r="IC71" s="49">
        <f t="shared" ref="IC71" si="398">IC1</f>
        <v>44157</v>
      </c>
      <c r="ID71" s="49"/>
      <c r="IE71" s="49"/>
      <c r="IF71" s="49">
        <f t="shared" si="395"/>
        <v>44158</v>
      </c>
      <c r="IG71" s="49">
        <f t="shared" si="395"/>
        <v>44159</v>
      </c>
      <c r="IH71" s="49">
        <f t="shared" si="395"/>
        <v>44160</v>
      </c>
      <c r="II71" s="49">
        <f t="shared" si="395"/>
        <v>44161</v>
      </c>
      <c r="IJ71" s="49">
        <f t="shared" si="395"/>
        <v>44162</v>
      </c>
      <c r="IK71" s="49">
        <f t="shared" si="395"/>
        <v>44163</v>
      </c>
      <c r="IL71" s="49">
        <f t="shared" ref="IL71" si="399">IL1</f>
        <v>44164</v>
      </c>
      <c r="IM71" s="49"/>
      <c r="IN71" s="49"/>
      <c r="IO71" s="49">
        <f t="shared" si="395"/>
        <v>44165</v>
      </c>
      <c r="IP71" s="49">
        <f t="shared" si="395"/>
        <v>44166</v>
      </c>
      <c r="IQ71" s="49">
        <f t="shared" si="395"/>
        <v>44167</v>
      </c>
      <c r="IR71" s="49">
        <f t="shared" si="395"/>
        <v>44168</v>
      </c>
      <c r="IS71" s="49">
        <f t="shared" ref="IS71:JX71" si="400">IS1</f>
        <v>44169</v>
      </c>
      <c r="IT71" s="49">
        <f t="shared" si="400"/>
        <v>44170</v>
      </c>
      <c r="IU71" s="49">
        <f t="shared" si="400"/>
        <v>44171</v>
      </c>
      <c r="IV71" s="49">
        <f t="shared" si="400"/>
        <v>44172</v>
      </c>
      <c r="IW71" s="49">
        <f t="shared" si="400"/>
        <v>44173</v>
      </c>
      <c r="IX71" s="49">
        <f t="shared" si="400"/>
        <v>44174</v>
      </c>
      <c r="IY71" s="49">
        <f t="shared" si="400"/>
        <v>44175</v>
      </c>
      <c r="IZ71" s="49">
        <f t="shared" si="400"/>
        <v>44176</v>
      </c>
      <c r="JA71" s="49">
        <f t="shared" si="400"/>
        <v>44177</v>
      </c>
      <c r="JB71" s="49">
        <f t="shared" si="400"/>
        <v>44178</v>
      </c>
      <c r="JC71" s="49">
        <f t="shared" si="400"/>
        <v>44179</v>
      </c>
      <c r="JD71" s="49">
        <f t="shared" si="400"/>
        <v>44180</v>
      </c>
      <c r="JE71" s="49">
        <f t="shared" si="400"/>
        <v>44181</v>
      </c>
      <c r="JF71" s="49">
        <f t="shared" si="400"/>
        <v>44182</v>
      </c>
      <c r="JG71" s="49">
        <f t="shared" si="400"/>
        <v>44183</v>
      </c>
      <c r="JH71" s="49">
        <f t="shared" si="400"/>
        <v>44184</v>
      </c>
      <c r="JI71" s="49">
        <f t="shared" si="400"/>
        <v>44185</v>
      </c>
      <c r="JJ71" s="49">
        <f t="shared" si="400"/>
        <v>44186</v>
      </c>
      <c r="JK71" s="49">
        <f t="shared" si="400"/>
        <v>44187</v>
      </c>
      <c r="JL71" s="49">
        <f t="shared" si="400"/>
        <v>44188</v>
      </c>
      <c r="JM71" s="49">
        <f t="shared" si="400"/>
        <v>44189</v>
      </c>
      <c r="JN71" s="49">
        <f t="shared" si="400"/>
        <v>44190</v>
      </c>
      <c r="JO71" s="49">
        <f t="shared" si="400"/>
        <v>44191</v>
      </c>
      <c r="JP71" s="49">
        <f t="shared" si="400"/>
        <v>44192</v>
      </c>
      <c r="JQ71" s="49">
        <f t="shared" si="400"/>
        <v>44193</v>
      </c>
      <c r="JR71" s="49">
        <f t="shared" si="400"/>
        <v>44194</v>
      </c>
      <c r="JS71" s="49">
        <f t="shared" si="400"/>
        <v>44195</v>
      </c>
      <c r="JT71" s="49">
        <f t="shared" si="400"/>
        <v>44196</v>
      </c>
      <c r="JU71" s="49">
        <f t="shared" si="400"/>
        <v>44197</v>
      </c>
      <c r="JV71" s="49">
        <f t="shared" si="400"/>
        <v>44198</v>
      </c>
      <c r="JW71" s="49">
        <f t="shared" si="400"/>
        <v>44199</v>
      </c>
      <c r="JX71" s="49">
        <f t="shared" si="400"/>
        <v>44200</v>
      </c>
      <c r="JY71" s="49">
        <f t="shared" ref="JY71:LD71" si="401">JY1</f>
        <v>44201</v>
      </c>
      <c r="JZ71" s="49">
        <f t="shared" si="401"/>
        <v>44202</v>
      </c>
      <c r="KA71" s="49">
        <f t="shared" si="401"/>
        <v>44203</v>
      </c>
      <c r="KB71" s="49">
        <f t="shared" si="401"/>
        <v>44204</v>
      </c>
      <c r="KC71" s="49">
        <f t="shared" si="401"/>
        <v>44205</v>
      </c>
      <c r="KD71" s="49">
        <f t="shared" si="401"/>
        <v>44206</v>
      </c>
      <c r="KE71" s="49">
        <f t="shared" si="401"/>
        <v>44207</v>
      </c>
      <c r="KF71" s="49">
        <f t="shared" si="401"/>
        <v>44208</v>
      </c>
      <c r="KG71" s="49">
        <f t="shared" si="401"/>
        <v>44209</v>
      </c>
      <c r="KH71" s="49">
        <f t="shared" si="401"/>
        <v>44210</v>
      </c>
      <c r="KI71" s="49">
        <f t="shared" si="401"/>
        <v>44211</v>
      </c>
      <c r="KJ71" s="49">
        <f t="shared" si="401"/>
        <v>44212</v>
      </c>
      <c r="KK71" s="49">
        <f t="shared" si="401"/>
        <v>44213</v>
      </c>
      <c r="KL71" s="49">
        <f t="shared" si="401"/>
        <v>44214</v>
      </c>
      <c r="KM71" s="49">
        <f t="shared" si="401"/>
        <v>44215</v>
      </c>
      <c r="KN71" s="49">
        <f t="shared" si="401"/>
        <v>44216</v>
      </c>
      <c r="KO71" s="49">
        <f t="shared" si="401"/>
        <v>44217</v>
      </c>
      <c r="KP71" s="49">
        <f t="shared" si="401"/>
        <v>44218</v>
      </c>
      <c r="KQ71" s="49">
        <f t="shared" si="401"/>
        <v>44219</v>
      </c>
      <c r="KR71" s="49">
        <f t="shared" si="401"/>
        <v>44220</v>
      </c>
      <c r="KS71" s="49">
        <f t="shared" si="401"/>
        <v>44221</v>
      </c>
      <c r="KT71" s="49">
        <f t="shared" si="401"/>
        <v>44222</v>
      </c>
      <c r="KU71" s="49">
        <f t="shared" si="401"/>
        <v>44223</v>
      </c>
      <c r="KV71" s="49">
        <f t="shared" si="401"/>
        <v>44224</v>
      </c>
      <c r="KW71" s="49">
        <f t="shared" si="401"/>
        <v>44225</v>
      </c>
      <c r="KX71" s="49">
        <f t="shared" si="401"/>
        <v>44226</v>
      </c>
      <c r="KY71" s="49">
        <f t="shared" si="401"/>
        <v>44227</v>
      </c>
      <c r="KZ71" s="49">
        <f t="shared" si="401"/>
        <v>44228</v>
      </c>
      <c r="LA71" s="49">
        <f t="shared" si="401"/>
        <v>44229</v>
      </c>
      <c r="LB71" s="49">
        <f t="shared" si="401"/>
        <v>44230</v>
      </c>
      <c r="LC71" s="49">
        <f t="shared" si="401"/>
        <v>44231</v>
      </c>
      <c r="LD71" s="49">
        <f t="shared" si="401"/>
        <v>44232</v>
      </c>
      <c r="LE71" s="49">
        <f t="shared" ref="LE71:MJ71" si="402">LE1</f>
        <v>44233</v>
      </c>
      <c r="LF71" s="49">
        <f t="shared" si="402"/>
        <v>44234</v>
      </c>
      <c r="LG71" s="49">
        <f t="shared" si="402"/>
        <v>44235</v>
      </c>
      <c r="LH71" s="49">
        <f t="shared" si="402"/>
        <v>44236</v>
      </c>
      <c r="LI71" s="49">
        <f t="shared" si="402"/>
        <v>44237</v>
      </c>
      <c r="LJ71" s="49">
        <f t="shared" si="402"/>
        <v>44238</v>
      </c>
      <c r="LK71" s="49">
        <f t="shared" si="402"/>
        <v>44239</v>
      </c>
      <c r="LL71" s="49">
        <f t="shared" si="402"/>
        <v>44240</v>
      </c>
      <c r="LM71" s="49">
        <f t="shared" si="402"/>
        <v>44241</v>
      </c>
      <c r="LN71" s="49">
        <f t="shared" si="402"/>
        <v>44242</v>
      </c>
      <c r="LO71" s="49">
        <f t="shared" si="402"/>
        <v>44243</v>
      </c>
      <c r="LP71" s="49">
        <f t="shared" si="402"/>
        <v>44244</v>
      </c>
      <c r="LQ71" s="49">
        <f t="shared" si="402"/>
        <v>44245</v>
      </c>
      <c r="LR71" s="49">
        <f t="shared" si="402"/>
        <v>44246</v>
      </c>
      <c r="LS71" s="49">
        <f t="shared" si="402"/>
        <v>44247</v>
      </c>
      <c r="LT71" s="49">
        <f t="shared" si="402"/>
        <v>44248</v>
      </c>
      <c r="LU71" s="49">
        <f t="shared" si="402"/>
        <v>44249</v>
      </c>
      <c r="LV71" s="49">
        <f t="shared" si="402"/>
        <v>44250</v>
      </c>
      <c r="LW71" s="49">
        <f t="shared" si="402"/>
        <v>44251</v>
      </c>
      <c r="LX71" s="49">
        <f t="shared" si="402"/>
        <v>44252</v>
      </c>
      <c r="LY71" s="49">
        <f t="shared" si="402"/>
        <v>44253</v>
      </c>
      <c r="LZ71" s="49">
        <f t="shared" si="402"/>
        <v>44254</v>
      </c>
      <c r="MA71" s="49">
        <f t="shared" si="402"/>
        <v>44255</v>
      </c>
      <c r="MB71" s="49">
        <f t="shared" si="402"/>
        <v>44256</v>
      </c>
      <c r="MC71" s="49">
        <f t="shared" si="402"/>
        <v>44257</v>
      </c>
      <c r="MD71" s="49">
        <f t="shared" si="402"/>
        <v>44258</v>
      </c>
      <c r="ME71" s="49">
        <f t="shared" si="402"/>
        <v>44259</v>
      </c>
      <c r="MF71" s="49">
        <f t="shared" si="402"/>
        <v>44260</v>
      </c>
      <c r="MG71" s="49">
        <f t="shared" si="402"/>
        <v>44261</v>
      </c>
      <c r="MH71" s="49">
        <f t="shared" si="402"/>
        <v>44262</v>
      </c>
      <c r="MI71" s="49">
        <f t="shared" si="402"/>
        <v>44263</v>
      </c>
      <c r="MJ71" s="49">
        <f t="shared" si="402"/>
        <v>44264</v>
      </c>
      <c r="MK71" s="49">
        <f t="shared" ref="MK71:NJ71" si="403">MK1</f>
        <v>44265</v>
      </c>
      <c r="ML71" s="49">
        <f t="shared" si="403"/>
        <v>44266</v>
      </c>
      <c r="MM71" s="49">
        <f t="shared" si="403"/>
        <v>44267</v>
      </c>
      <c r="MN71" s="49">
        <f t="shared" si="403"/>
        <v>44268</v>
      </c>
      <c r="MO71" s="49">
        <f t="shared" si="403"/>
        <v>44269</v>
      </c>
      <c r="MP71" s="49">
        <f t="shared" si="403"/>
        <v>44270</v>
      </c>
      <c r="MQ71" s="49">
        <f t="shared" si="403"/>
        <v>44271</v>
      </c>
      <c r="MR71" s="49">
        <f t="shared" si="403"/>
        <v>44272</v>
      </c>
      <c r="MS71" s="49">
        <f t="shared" si="403"/>
        <v>44273</v>
      </c>
      <c r="MT71" s="49">
        <f t="shared" si="403"/>
        <v>44274</v>
      </c>
      <c r="MU71" s="49">
        <f t="shared" si="403"/>
        <v>44275</v>
      </c>
      <c r="MV71" s="49">
        <f t="shared" si="403"/>
        <v>44276</v>
      </c>
      <c r="MW71" s="49">
        <f t="shared" si="403"/>
        <v>44277</v>
      </c>
      <c r="MX71" s="49">
        <f t="shared" si="403"/>
        <v>44278</v>
      </c>
      <c r="MY71" s="49">
        <f t="shared" si="403"/>
        <v>44279</v>
      </c>
      <c r="MZ71" s="49">
        <f t="shared" si="403"/>
        <v>44280</v>
      </c>
      <c r="NA71" s="49">
        <f t="shared" si="403"/>
        <v>44281</v>
      </c>
      <c r="NB71" s="49">
        <f t="shared" si="403"/>
        <v>44282</v>
      </c>
      <c r="NC71" s="49">
        <f t="shared" si="403"/>
        <v>44283</v>
      </c>
      <c r="ND71" s="49">
        <f t="shared" si="403"/>
        <v>44284</v>
      </c>
      <c r="NE71" s="49">
        <f t="shared" si="403"/>
        <v>44285</v>
      </c>
      <c r="NF71" s="49">
        <f t="shared" si="403"/>
        <v>44286</v>
      </c>
      <c r="NG71" s="49">
        <f t="shared" si="403"/>
        <v>44287</v>
      </c>
      <c r="NH71" s="49">
        <f t="shared" si="403"/>
        <v>44288</v>
      </c>
      <c r="NI71" s="49">
        <f t="shared" si="403"/>
        <v>44289</v>
      </c>
      <c r="NJ71" s="49">
        <f t="shared" si="403"/>
        <v>44290</v>
      </c>
    </row>
    <row r="72" spans="1:374" ht="15" customHeight="1" x14ac:dyDescent="0.25">
      <c r="A72" s="221" t="s">
        <v>144</v>
      </c>
      <c r="B72" s="221"/>
      <c r="C72" s="221"/>
      <c r="D72" s="221"/>
      <c r="E72" s="222"/>
      <c r="F72" s="30"/>
      <c r="G72" s="30"/>
      <c r="H72" s="30"/>
      <c r="I72" s="30"/>
      <c r="J72" s="30"/>
      <c r="K72" s="30"/>
      <c r="L72" s="30"/>
      <c r="M72" s="30"/>
      <c r="N72" s="30"/>
      <c r="O72" s="29"/>
      <c r="P72" s="225" t="s">
        <v>49</v>
      </c>
      <c r="Q72" s="225" t="s">
        <v>48</v>
      </c>
      <c r="R72" s="201"/>
      <c r="S72" s="57">
        <f t="shared" ref="S72:AX72" si="404">S41</f>
        <v>43975</v>
      </c>
      <c r="T72" s="58">
        <f t="shared" si="404"/>
        <v>43976</v>
      </c>
      <c r="U72" s="58">
        <f t="shared" si="404"/>
        <v>43977</v>
      </c>
      <c r="V72" s="58">
        <f t="shared" si="404"/>
        <v>43978</v>
      </c>
      <c r="W72" s="58">
        <f t="shared" si="404"/>
        <v>43979</v>
      </c>
      <c r="X72" s="58">
        <f t="shared" si="404"/>
        <v>43980</v>
      </c>
      <c r="Y72" s="58">
        <f t="shared" si="404"/>
        <v>43981</v>
      </c>
      <c r="Z72" s="57">
        <f t="shared" si="404"/>
        <v>43982</v>
      </c>
      <c r="AA72" s="58">
        <f t="shared" si="404"/>
        <v>43983</v>
      </c>
      <c r="AB72" s="58">
        <f t="shared" si="404"/>
        <v>43984</v>
      </c>
      <c r="AC72" s="58">
        <f t="shared" si="404"/>
        <v>43985</v>
      </c>
      <c r="AD72" s="58">
        <f t="shared" si="404"/>
        <v>43986</v>
      </c>
      <c r="AE72" s="58">
        <f t="shared" si="404"/>
        <v>43987</v>
      </c>
      <c r="AF72" s="58">
        <f t="shared" si="404"/>
        <v>43988</v>
      </c>
      <c r="AG72" s="57">
        <f t="shared" si="404"/>
        <v>43989</v>
      </c>
      <c r="AH72" s="58">
        <f t="shared" si="404"/>
        <v>43990</v>
      </c>
      <c r="AI72" s="58">
        <f t="shared" si="404"/>
        <v>43991</v>
      </c>
      <c r="AJ72" s="58">
        <f t="shared" si="404"/>
        <v>43992</v>
      </c>
      <c r="AK72" s="58">
        <f t="shared" si="404"/>
        <v>43993</v>
      </c>
      <c r="AL72" s="58">
        <f t="shared" si="404"/>
        <v>43994</v>
      </c>
      <c r="AM72" s="58">
        <f t="shared" si="404"/>
        <v>43995</v>
      </c>
      <c r="AN72" s="57">
        <f t="shared" si="404"/>
        <v>43996</v>
      </c>
      <c r="AO72" s="58">
        <f t="shared" si="404"/>
        <v>43997</v>
      </c>
      <c r="AP72" s="58">
        <f t="shared" si="404"/>
        <v>43998</v>
      </c>
      <c r="AQ72" s="58">
        <f t="shared" si="404"/>
        <v>43999</v>
      </c>
      <c r="AR72" s="58">
        <f t="shared" si="404"/>
        <v>44000</v>
      </c>
      <c r="AS72" s="58">
        <f t="shared" si="404"/>
        <v>44001</v>
      </c>
      <c r="AT72" s="58">
        <f t="shared" si="404"/>
        <v>44002</v>
      </c>
      <c r="AU72" s="57">
        <f t="shared" si="404"/>
        <v>44003</v>
      </c>
      <c r="AV72" s="58">
        <f t="shared" si="404"/>
        <v>44004</v>
      </c>
      <c r="AW72" s="58">
        <f t="shared" si="404"/>
        <v>44005</v>
      </c>
      <c r="AX72" s="58">
        <f t="shared" si="404"/>
        <v>44006</v>
      </c>
      <c r="AY72" s="58">
        <f t="shared" ref="AY72:BO72" si="405">AY41</f>
        <v>44007</v>
      </c>
      <c r="AZ72" s="58">
        <f t="shared" si="405"/>
        <v>44008</v>
      </c>
      <c r="BA72" s="58">
        <f t="shared" si="405"/>
        <v>44009</v>
      </c>
      <c r="BB72" s="57">
        <f t="shared" si="405"/>
        <v>44010</v>
      </c>
      <c r="BC72" s="58">
        <f t="shared" si="405"/>
        <v>44011</v>
      </c>
      <c r="BD72" s="58">
        <f t="shared" si="405"/>
        <v>44012</v>
      </c>
      <c r="BE72" s="58">
        <f t="shared" si="405"/>
        <v>44013</v>
      </c>
      <c r="BF72" s="58">
        <f t="shared" si="405"/>
        <v>44014</v>
      </c>
      <c r="BG72" s="58">
        <f t="shared" si="405"/>
        <v>44015</v>
      </c>
      <c r="BH72" s="58">
        <f t="shared" si="405"/>
        <v>44016</v>
      </c>
      <c r="BI72" s="57">
        <f t="shared" si="405"/>
        <v>44017</v>
      </c>
      <c r="BJ72" s="58">
        <f t="shared" si="405"/>
        <v>44018</v>
      </c>
      <c r="BK72" s="58">
        <f t="shared" si="405"/>
        <v>44019</v>
      </c>
      <c r="BL72" s="58">
        <f t="shared" si="405"/>
        <v>44020</v>
      </c>
      <c r="BM72" s="58">
        <f t="shared" si="405"/>
        <v>44021</v>
      </c>
      <c r="BN72" s="58">
        <f t="shared" si="405"/>
        <v>44022</v>
      </c>
      <c r="BO72" s="58">
        <f t="shared" si="405"/>
        <v>44023</v>
      </c>
      <c r="BP72" s="57">
        <v>12</v>
      </c>
      <c r="BQ72" s="58">
        <f t="shared" ref="BQ72:BV72" si="406">BQ41</f>
        <v>44025</v>
      </c>
      <c r="BR72" s="58">
        <f t="shared" si="406"/>
        <v>44026</v>
      </c>
      <c r="BS72" s="58">
        <f t="shared" si="406"/>
        <v>44027</v>
      </c>
      <c r="BT72" s="58">
        <f t="shared" si="406"/>
        <v>44028</v>
      </c>
      <c r="BU72" s="58">
        <f t="shared" si="406"/>
        <v>44029</v>
      </c>
      <c r="BV72" s="58">
        <f t="shared" si="406"/>
        <v>44030</v>
      </c>
      <c r="BW72" s="58">
        <v>19</v>
      </c>
      <c r="BX72" s="58"/>
      <c r="BY72" s="57"/>
      <c r="BZ72" s="58"/>
      <c r="CA72" s="58"/>
      <c r="CB72" s="58"/>
      <c r="CC72" s="58"/>
      <c r="CD72" s="58"/>
      <c r="CE72" s="58"/>
      <c r="CF72" s="58"/>
      <c r="CG72" s="58"/>
      <c r="CH72" s="57"/>
      <c r="CI72" s="58"/>
      <c r="CJ72" s="58"/>
      <c r="CK72" s="58"/>
      <c r="CL72" s="58"/>
      <c r="CM72" s="58"/>
      <c r="CN72" s="58"/>
      <c r="CO72" s="58"/>
      <c r="CP72" s="58"/>
      <c r="CQ72" s="57"/>
      <c r="CR72" s="58"/>
      <c r="CS72" s="58"/>
      <c r="CT72" s="58"/>
      <c r="CU72" s="58"/>
      <c r="CV72" s="58"/>
      <c r="CW72" s="58"/>
      <c r="CX72" s="58"/>
      <c r="CY72" s="58"/>
      <c r="CZ72" s="57"/>
      <c r="DA72" s="58"/>
      <c r="DB72" s="58"/>
      <c r="DC72" s="58"/>
      <c r="DD72" s="58"/>
      <c r="DE72" s="58"/>
      <c r="DF72" s="58"/>
      <c r="DG72" s="58"/>
      <c r="DH72" s="58"/>
      <c r="DI72" s="57"/>
      <c r="DJ72" s="58"/>
      <c r="DK72" s="58"/>
      <c r="DL72" s="58"/>
      <c r="DM72" s="58"/>
      <c r="DN72" s="58"/>
      <c r="DO72" s="58"/>
      <c r="DP72" s="58"/>
      <c r="DQ72" s="58"/>
      <c r="DR72" s="57"/>
      <c r="DS72" s="58">
        <f t="shared" ref="DS72:DY72" si="407">DS41</f>
        <v>44067</v>
      </c>
      <c r="DT72" s="58">
        <f t="shared" si="407"/>
        <v>44068</v>
      </c>
      <c r="DU72" s="58">
        <f t="shared" si="407"/>
        <v>44069</v>
      </c>
      <c r="DV72" s="58">
        <f t="shared" si="407"/>
        <v>44070</v>
      </c>
      <c r="DW72" s="58">
        <f t="shared" si="407"/>
        <v>44071</v>
      </c>
      <c r="DX72" s="58">
        <f t="shared" si="407"/>
        <v>44072</v>
      </c>
      <c r="DY72" s="58">
        <f t="shared" si="407"/>
        <v>44073</v>
      </c>
      <c r="DZ72" s="58"/>
      <c r="EA72" s="57"/>
      <c r="EB72" s="58">
        <f t="shared" ref="EB72:EH72" si="408">EB41</f>
        <v>44074</v>
      </c>
      <c r="EC72" s="58">
        <f t="shared" si="408"/>
        <v>44075</v>
      </c>
      <c r="ED72" s="58">
        <f t="shared" si="408"/>
        <v>44076</v>
      </c>
      <c r="EE72" s="58">
        <f t="shared" si="408"/>
        <v>44077</v>
      </c>
      <c r="EF72" s="58">
        <f t="shared" si="408"/>
        <v>44078</v>
      </c>
      <c r="EG72" s="58">
        <f t="shared" si="408"/>
        <v>44079</v>
      </c>
      <c r="EH72" s="58">
        <f t="shared" si="408"/>
        <v>44080</v>
      </c>
      <c r="EI72" s="58"/>
      <c r="EJ72" s="57"/>
      <c r="EK72" s="58">
        <f t="shared" ref="EK72:EQ72" si="409">EK41</f>
        <v>44081</v>
      </c>
      <c r="EL72" s="58">
        <f t="shared" si="409"/>
        <v>44082</v>
      </c>
      <c r="EM72" s="58">
        <f t="shared" si="409"/>
        <v>44083</v>
      </c>
      <c r="EN72" s="58">
        <f t="shared" si="409"/>
        <v>44084</v>
      </c>
      <c r="EO72" s="58">
        <f t="shared" si="409"/>
        <v>44085</v>
      </c>
      <c r="EP72" s="58">
        <f t="shared" si="409"/>
        <v>44086</v>
      </c>
      <c r="EQ72" s="58">
        <f t="shared" si="409"/>
        <v>44087</v>
      </c>
      <c r="ER72" s="58"/>
      <c r="ES72" s="57"/>
      <c r="ET72" s="58">
        <f t="shared" ref="ET72:EZ72" si="410">ET41</f>
        <v>44088</v>
      </c>
      <c r="EU72" s="58">
        <f t="shared" si="410"/>
        <v>44089</v>
      </c>
      <c r="EV72" s="58">
        <f t="shared" si="410"/>
        <v>44090</v>
      </c>
      <c r="EW72" s="58">
        <f t="shared" si="410"/>
        <v>44091</v>
      </c>
      <c r="EX72" s="58">
        <f t="shared" si="410"/>
        <v>44092</v>
      </c>
      <c r="EY72" s="58">
        <f t="shared" si="410"/>
        <v>44093</v>
      </c>
      <c r="EZ72" s="58">
        <f t="shared" si="410"/>
        <v>44094</v>
      </c>
      <c r="FA72" s="58"/>
      <c r="FB72" s="57"/>
      <c r="FC72" s="58">
        <f t="shared" ref="FC72:FI72" si="411">FC41</f>
        <v>44095</v>
      </c>
      <c r="FD72" s="58">
        <f t="shared" si="411"/>
        <v>44096</v>
      </c>
      <c r="FE72" s="58">
        <f t="shared" si="411"/>
        <v>44097</v>
      </c>
      <c r="FF72" s="58">
        <f t="shared" si="411"/>
        <v>44098</v>
      </c>
      <c r="FG72" s="58">
        <f t="shared" si="411"/>
        <v>44099</v>
      </c>
      <c r="FH72" s="58">
        <f t="shared" si="411"/>
        <v>44100</v>
      </c>
      <c r="FI72" s="58">
        <f t="shared" si="411"/>
        <v>44101</v>
      </c>
      <c r="FJ72" s="58"/>
      <c r="FK72" s="57"/>
      <c r="FL72" s="58">
        <f t="shared" ref="FL72:FQ72" si="412">FL41</f>
        <v>44102</v>
      </c>
      <c r="FM72" s="58">
        <f t="shared" si="412"/>
        <v>44103</v>
      </c>
      <c r="FN72" s="58">
        <f t="shared" si="412"/>
        <v>44104</v>
      </c>
      <c r="FO72" s="58">
        <f t="shared" si="412"/>
        <v>44105</v>
      </c>
      <c r="FP72" s="58">
        <f t="shared" si="412"/>
        <v>44106</v>
      </c>
      <c r="FQ72" s="58">
        <f t="shared" si="412"/>
        <v>44107</v>
      </c>
      <c r="FR72" s="58"/>
      <c r="FS72" s="58"/>
      <c r="FT72" s="57"/>
      <c r="FU72" s="58">
        <f t="shared" ref="FU72:GA72" si="413">FU41</f>
        <v>44109</v>
      </c>
      <c r="FV72" s="58">
        <f t="shared" si="413"/>
        <v>44110</v>
      </c>
      <c r="FW72" s="58">
        <f t="shared" si="413"/>
        <v>44111</v>
      </c>
      <c r="FX72" s="58">
        <f t="shared" si="413"/>
        <v>44112</v>
      </c>
      <c r="FY72" s="58">
        <f t="shared" si="413"/>
        <v>44113</v>
      </c>
      <c r="FZ72" s="58">
        <f t="shared" si="413"/>
        <v>44114</v>
      </c>
      <c r="GA72" s="58">
        <f t="shared" si="413"/>
        <v>44115</v>
      </c>
      <c r="GB72" s="58"/>
      <c r="GC72" s="57"/>
      <c r="GD72" s="58">
        <f t="shared" ref="GD72:GJ72" si="414">GD41</f>
        <v>44116</v>
      </c>
      <c r="GE72" s="58">
        <f t="shared" si="414"/>
        <v>44117</v>
      </c>
      <c r="GF72" s="58">
        <f t="shared" si="414"/>
        <v>44118</v>
      </c>
      <c r="GG72" s="58">
        <f t="shared" si="414"/>
        <v>44119</v>
      </c>
      <c r="GH72" s="58">
        <f t="shared" si="414"/>
        <v>44120</v>
      </c>
      <c r="GI72" s="58">
        <f t="shared" si="414"/>
        <v>44121</v>
      </c>
      <c r="GJ72" s="58">
        <f t="shared" si="414"/>
        <v>44122</v>
      </c>
      <c r="GK72" s="58"/>
      <c r="GL72" s="57"/>
      <c r="GM72" s="58">
        <f t="shared" ref="GM72:GS72" si="415">GM41</f>
        <v>44123</v>
      </c>
      <c r="GN72" s="58">
        <f t="shared" si="415"/>
        <v>44124</v>
      </c>
      <c r="GO72" s="58">
        <f t="shared" si="415"/>
        <v>44125</v>
      </c>
      <c r="GP72" s="58">
        <f t="shared" si="415"/>
        <v>44126</v>
      </c>
      <c r="GQ72" s="58">
        <f t="shared" si="415"/>
        <v>44127</v>
      </c>
      <c r="GR72" s="58">
        <f t="shared" si="415"/>
        <v>44128</v>
      </c>
      <c r="GS72" s="58">
        <f t="shared" si="415"/>
        <v>44129</v>
      </c>
      <c r="GT72" s="58"/>
      <c r="GU72" s="57"/>
      <c r="GV72" s="58">
        <f t="shared" ref="GV72:HB72" si="416">GV41</f>
        <v>44130</v>
      </c>
      <c r="GW72" s="58">
        <f t="shared" si="416"/>
        <v>44131</v>
      </c>
      <c r="GX72" s="58">
        <f t="shared" si="416"/>
        <v>44132</v>
      </c>
      <c r="GY72" s="58">
        <f t="shared" si="416"/>
        <v>44133</v>
      </c>
      <c r="GZ72" s="58">
        <f t="shared" si="416"/>
        <v>44134</v>
      </c>
      <c r="HA72" s="58">
        <f t="shared" si="416"/>
        <v>44135</v>
      </c>
      <c r="HB72" s="58">
        <f t="shared" si="416"/>
        <v>44136</v>
      </c>
      <c r="HC72" s="58"/>
      <c r="HD72" s="57"/>
      <c r="HE72" s="58">
        <f t="shared" ref="HE72:IR72" si="417">HE41</f>
        <v>44137</v>
      </c>
      <c r="HF72" s="58">
        <f t="shared" si="417"/>
        <v>44138</v>
      </c>
      <c r="HG72" s="58">
        <f t="shared" si="417"/>
        <v>44139</v>
      </c>
      <c r="HH72" s="58">
        <f t="shared" si="417"/>
        <v>44140</v>
      </c>
      <c r="HI72" s="58">
        <f t="shared" si="417"/>
        <v>44141</v>
      </c>
      <c r="HJ72" s="58">
        <f t="shared" si="417"/>
        <v>44142</v>
      </c>
      <c r="HK72" s="58">
        <f t="shared" ref="HK72" si="418">HK41</f>
        <v>44143</v>
      </c>
      <c r="HL72" s="58"/>
      <c r="HM72" s="57"/>
      <c r="HN72" s="58">
        <f t="shared" si="417"/>
        <v>44144</v>
      </c>
      <c r="HO72" s="58">
        <f t="shared" si="417"/>
        <v>44145</v>
      </c>
      <c r="HP72" s="58">
        <f t="shared" si="417"/>
        <v>44146</v>
      </c>
      <c r="HQ72" s="58">
        <f t="shared" si="417"/>
        <v>44147</v>
      </c>
      <c r="HR72" s="58">
        <f t="shared" si="417"/>
        <v>44148</v>
      </c>
      <c r="HS72" s="58">
        <f t="shared" si="417"/>
        <v>44149</v>
      </c>
      <c r="HT72" s="58">
        <f t="shared" ref="HT72" si="419">HT41</f>
        <v>44150</v>
      </c>
      <c r="HU72" s="58"/>
      <c r="HV72" s="57"/>
      <c r="HW72" s="58">
        <f t="shared" si="417"/>
        <v>44151</v>
      </c>
      <c r="HX72" s="58">
        <f t="shared" si="417"/>
        <v>44152</v>
      </c>
      <c r="HY72" s="58">
        <f t="shared" si="417"/>
        <v>44153</v>
      </c>
      <c r="HZ72" s="58">
        <f t="shared" si="417"/>
        <v>44154</v>
      </c>
      <c r="IA72" s="58">
        <f t="shared" si="417"/>
        <v>44155</v>
      </c>
      <c r="IB72" s="58">
        <f t="shared" si="417"/>
        <v>44156</v>
      </c>
      <c r="IC72" s="58">
        <f t="shared" ref="IC72" si="420">IC41</f>
        <v>44157</v>
      </c>
      <c r="ID72" s="58"/>
      <c r="IE72" s="57"/>
      <c r="IF72" s="58">
        <f t="shared" si="417"/>
        <v>44158</v>
      </c>
      <c r="IG72" s="58">
        <f t="shared" si="417"/>
        <v>44159</v>
      </c>
      <c r="IH72" s="58">
        <f t="shared" si="417"/>
        <v>44160</v>
      </c>
      <c r="II72" s="58">
        <f t="shared" si="417"/>
        <v>44161</v>
      </c>
      <c r="IJ72" s="58">
        <f t="shared" si="417"/>
        <v>44162</v>
      </c>
      <c r="IK72" s="58">
        <f t="shared" si="417"/>
        <v>44163</v>
      </c>
      <c r="IL72" s="58">
        <f t="shared" ref="IL72" si="421">IL41</f>
        <v>44164</v>
      </c>
      <c r="IM72" s="58"/>
      <c r="IN72" s="57"/>
      <c r="IO72" s="58">
        <f t="shared" si="417"/>
        <v>44165</v>
      </c>
      <c r="IP72" s="58">
        <f t="shared" si="417"/>
        <v>44166</v>
      </c>
      <c r="IQ72" s="58">
        <f t="shared" si="417"/>
        <v>44167</v>
      </c>
      <c r="IR72" s="58">
        <f t="shared" si="417"/>
        <v>44168</v>
      </c>
      <c r="IS72" s="58">
        <f t="shared" ref="IS72:JX72" si="422">IS41</f>
        <v>44169</v>
      </c>
      <c r="IT72" s="58">
        <f t="shared" si="422"/>
        <v>44170</v>
      </c>
      <c r="IU72" s="57">
        <f t="shared" si="422"/>
        <v>44171</v>
      </c>
      <c r="IV72" s="58">
        <f t="shared" si="422"/>
        <v>44172</v>
      </c>
      <c r="IW72" s="58">
        <f t="shared" si="422"/>
        <v>44173</v>
      </c>
      <c r="IX72" s="58">
        <f t="shared" si="422"/>
        <v>44174</v>
      </c>
      <c r="IY72" s="58">
        <f t="shared" si="422"/>
        <v>44175</v>
      </c>
      <c r="IZ72" s="58">
        <f t="shared" si="422"/>
        <v>44176</v>
      </c>
      <c r="JA72" s="58">
        <f t="shared" si="422"/>
        <v>44177</v>
      </c>
      <c r="JB72" s="57">
        <f t="shared" si="422"/>
        <v>44178</v>
      </c>
      <c r="JC72" s="58">
        <f t="shared" si="422"/>
        <v>44179</v>
      </c>
      <c r="JD72" s="58">
        <f t="shared" si="422"/>
        <v>44180</v>
      </c>
      <c r="JE72" s="58">
        <f t="shared" si="422"/>
        <v>44181</v>
      </c>
      <c r="JF72" s="58">
        <f t="shared" si="422"/>
        <v>44182</v>
      </c>
      <c r="JG72" s="58">
        <f t="shared" si="422"/>
        <v>44183</v>
      </c>
      <c r="JH72" s="58">
        <f t="shared" si="422"/>
        <v>44184</v>
      </c>
      <c r="JI72" s="57">
        <f t="shared" si="422"/>
        <v>44185</v>
      </c>
      <c r="JJ72" s="58">
        <f t="shared" si="422"/>
        <v>44186</v>
      </c>
      <c r="JK72" s="58">
        <f t="shared" si="422"/>
        <v>44187</v>
      </c>
      <c r="JL72" s="58">
        <f t="shared" si="422"/>
        <v>44188</v>
      </c>
      <c r="JM72" s="58">
        <f t="shared" si="422"/>
        <v>44189</v>
      </c>
      <c r="JN72" s="58">
        <f t="shared" si="422"/>
        <v>44190</v>
      </c>
      <c r="JO72" s="58">
        <f t="shared" si="422"/>
        <v>44191</v>
      </c>
      <c r="JP72" s="57">
        <f t="shared" si="422"/>
        <v>44192</v>
      </c>
      <c r="JQ72" s="58">
        <f t="shared" si="422"/>
        <v>44193</v>
      </c>
      <c r="JR72" s="58">
        <f t="shared" si="422"/>
        <v>44194</v>
      </c>
      <c r="JS72" s="58">
        <f t="shared" si="422"/>
        <v>44195</v>
      </c>
      <c r="JT72" s="58">
        <f t="shared" si="422"/>
        <v>44196</v>
      </c>
      <c r="JU72" s="58">
        <f t="shared" si="422"/>
        <v>44197</v>
      </c>
      <c r="JV72" s="58">
        <f t="shared" si="422"/>
        <v>44198</v>
      </c>
      <c r="JW72" s="57">
        <f t="shared" si="422"/>
        <v>44199</v>
      </c>
      <c r="JX72" s="58">
        <f t="shared" si="422"/>
        <v>44200</v>
      </c>
      <c r="JY72" s="58">
        <f t="shared" ref="JY72:LD72" si="423">JY41</f>
        <v>44201</v>
      </c>
      <c r="JZ72" s="58">
        <f t="shared" si="423"/>
        <v>44202</v>
      </c>
      <c r="KA72" s="58">
        <f t="shared" si="423"/>
        <v>44203</v>
      </c>
      <c r="KB72" s="58">
        <f t="shared" si="423"/>
        <v>44204</v>
      </c>
      <c r="KC72" s="58">
        <f t="shared" si="423"/>
        <v>44205</v>
      </c>
      <c r="KD72" s="57">
        <f t="shared" si="423"/>
        <v>44206</v>
      </c>
      <c r="KE72" s="58">
        <f t="shared" si="423"/>
        <v>44207</v>
      </c>
      <c r="KF72" s="58">
        <f t="shared" si="423"/>
        <v>44208</v>
      </c>
      <c r="KG72" s="58">
        <f t="shared" si="423"/>
        <v>44209</v>
      </c>
      <c r="KH72" s="58">
        <f t="shared" si="423"/>
        <v>44210</v>
      </c>
      <c r="KI72" s="58">
        <f t="shared" si="423"/>
        <v>44211</v>
      </c>
      <c r="KJ72" s="58">
        <f t="shared" si="423"/>
        <v>44212</v>
      </c>
      <c r="KK72" s="57">
        <f t="shared" si="423"/>
        <v>44213</v>
      </c>
      <c r="KL72" s="58">
        <f t="shared" si="423"/>
        <v>44214</v>
      </c>
      <c r="KM72" s="58">
        <f t="shared" si="423"/>
        <v>44215</v>
      </c>
      <c r="KN72" s="58">
        <f t="shared" si="423"/>
        <v>44216</v>
      </c>
      <c r="KO72" s="58">
        <f t="shared" si="423"/>
        <v>44217</v>
      </c>
      <c r="KP72" s="58">
        <f t="shared" si="423"/>
        <v>44218</v>
      </c>
      <c r="KQ72" s="58">
        <f t="shared" si="423"/>
        <v>44219</v>
      </c>
      <c r="KR72" s="57">
        <f t="shared" si="423"/>
        <v>44220</v>
      </c>
      <c r="KS72" s="58">
        <f t="shared" si="423"/>
        <v>44221</v>
      </c>
      <c r="KT72" s="58">
        <f t="shared" si="423"/>
        <v>44222</v>
      </c>
      <c r="KU72" s="58">
        <f t="shared" si="423"/>
        <v>44223</v>
      </c>
      <c r="KV72" s="58">
        <f t="shared" si="423"/>
        <v>44224</v>
      </c>
      <c r="KW72" s="58">
        <f t="shared" si="423"/>
        <v>44225</v>
      </c>
      <c r="KX72" s="58">
        <f t="shared" si="423"/>
        <v>44226</v>
      </c>
      <c r="KY72" s="57">
        <f t="shared" si="423"/>
        <v>44227</v>
      </c>
      <c r="KZ72" s="58">
        <f t="shared" si="423"/>
        <v>44228</v>
      </c>
      <c r="LA72" s="58">
        <f t="shared" si="423"/>
        <v>44229</v>
      </c>
      <c r="LB72" s="58">
        <f t="shared" si="423"/>
        <v>44230</v>
      </c>
      <c r="LC72" s="58">
        <f t="shared" si="423"/>
        <v>44231</v>
      </c>
      <c r="LD72" s="58">
        <f t="shared" si="423"/>
        <v>44232</v>
      </c>
      <c r="LE72" s="58">
        <f t="shared" ref="LE72:MJ72" si="424">LE41</f>
        <v>44233</v>
      </c>
      <c r="LF72" s="57">
        <f t="shared" si="424"/>
        <v>44234</v>
      </c>
      <c r="LG72" s="58">
        <f t="shared" si="424"/>
        <v>44235</v>
      </c>
      <c r="LH72" s="58">
        <f t="shared" si="424"/>
        <v>44236</v>
      </c>
      <c r="LI72" s="58">
        <f t="shared" si="424"/>
        <v>44237</v>
      </c>
      <c r="LJ72" s="58">
        <f t="shared" si="424"/>
        <v>44238</v>
      </c>
      <c r="LK72" s="58">
        <f t="shared" si="424"/>
        <v>44239</v>
      </c>
      <c r="LL72" s="58">
        <f t="shared" si="424"/>
        <v>44240</v>
      </c>
      <c r="LM72" s="57">
        <f t="shared" si="424"/>
        <v>44241</v>
      </c>
      <c r="LN72" s="58">
        <f t="shared" si="424"/>
        <v>44242</v>
      </c>
      <c r="LO72" s="58">
        <f t="shared" si="424"/>
        <v>44243</v>
      </c>
      <c r="LP72" s="58">
        <f t="shared" si="424"/>
        <v>44244</v>
      </c>
      <c r="LQ72" s="58">
        <f t="shared" si="424"/>
        <v>44245</v>
      </c>
      <c r="LR72" s="58">
        <f t="shared" si="424"/>
        <v>44246</v>
      </c>
      <c r="LS72" s="58">
        <f t="shared" si="424"/>
        <v>44247</v>
      </c>
      <c r="LT72" s="57">
        <f t="shared" si="424"/>
        <v>44248</v>
      </c>
      <c r="LU72" s="58">
        <f t="shared" si="424"/>
        <v>44249</v>
      </c>
      <c r="LV72" s="58">
        <f t="shared" si="424"/>
        <v>44250</v>
      </c>
      <c r="LW72" s="58">
        <f t="shared" si="424"/>
        <v>44251</v>
      </c>
      <c r="LX72" s="58">
        <f t="shared" si="424"/>
        <v>44252</v>
      </c>
      <c r="LY72" s="58">
        <f t="shared" si="424"/>
        <v>44253</v>
      </c>
      <c r="LZ72" s="58">
        <f t="shared" si="424"/>
        <v>44254</v>
      </c>
      <c r="MA72" s="57">
        <f t="shared" si="424"/>
        <v>44255</v>
      </c>
      <c r="MB72" s="58">
        <f t="shared" si="424"/>
        <v>44256</v>
      </c>
      <c r="MC72" s="58">
        <f t="shared" si="424"/>
        <v>44257</v>
      </c>
      <c r="MD72" s="58">
        <f t="shared" si="424"/>
        <v>44258</v>
      </c>
      <c r="ME72" s="58">
        <f t="shared" si="424"/>
        <v>44259</v>
      </c>
      <c r="MF72" s="58">
        <f t="shared" si="424"/>
        <v>44260</v>
      </c>
      <c r="MG72" s="58">
        <f t="shared" si="424"/>
        <v>44261</v>
      </c>
      <c r="MH72" s="57">
        <f t="shared" si="424"/>
        <v>44262</v>
      </c>
      <c r="MI72" s="58">
        <f t="shared" si="424"/>
        <v>44263</v>
      </c>
      <c r="MJ72" s="58">
        <f t="shared" si="424"/>
        <v>44264</v>
      </c>
      <c r="MK72" s="58">
        <f t="shared" ref="MK72:NJ72" si="425">MK41</f>
        <v>44265</v>
      </c>
      <c r="ML72" s="58">
        <f t="shared" si="425"/>
        <v>44266</v>
      </c>
      <c r="MM72" s="58">
        <f t="shared" si="425"/>
        <v>44267</v>
      </c>
      <c r="MN72" s="58">
        <f t="shared" si="425"/>
        <v>44268</v>
      </c>
      <c r="MO72" s="57">
        <f t="shared" si="425"/>
        <v>44269</v>
      </c>
      <c r="MP72" s="58">
        <f t="shared" si="425"/>
        <v>44270</v>
      </c>
      <c r="MQ72" s="58">
        <f t="shared" si="425"/>
        <v>44271</v>
      </c>
      <c r="MR72" s="58">
        <f t="shared" si="425"/>
        <v>44272</v>
      </c>
      <c r="MS72" s="58">
        <f t="shared" si="425"/>
        <v>44273</v>
      </c>
      <c r="MT72" s="58">
        <f t="shared" si="425"/>
        <v>44274</v>
      </c>
      <c r="MU72" s="58">
        <f t="shared" si="425"/>
        <v>44275</v>
      </c>
      <c r="MV72" s="57">
        <f t="shared" si="425"/>
        <v>44276</v>
      </c>
      <c r="MW72" s="58">
        <f t="shared" si="425"/>
        <v>44277</v>
      </c>
      <c r="MX72" s="58">
        <f t="shared" si="425"/>
        <v>44278</v>
      </c>
      <c r="MY72" s="58">
        <f t="shared" si="425"/>
        <v>44279</v>
      </c>
      <c r="MZ72" s="58">
        <f t="shared" si="425"/>
        <v>44280</v>
      </c>
      <c r="NA72" s="58">
        <f t="shared" si="425"/>
        <v>44281</v>
      </c>
      <c r="NB72" s="58">
        <f t="shared" si="425"/>
        <v>44282</v>
      </c>
      <c r="NC72" s="57">
        <f t="shared" si="425"/>
        <v>44283</v>
      </c>
      <c r="ND72" s="58">
        <f t="shared" si="425"/>
        <v>44284</v>
      </c>
      <c r="NE72" s="58">
        <f t="shared" si="425"/>
        <v>44285</v>
      </c>
      <c r="NF72" s="58">
        <f t="shared" si="425"/>
        <v>44286</v>
      </c>
      <c r="NG72" s="58">
        <f t="shared" si="425"/>
        <v>44287</v>
      </c>
      <c r="NH72" s="58">
        <f t="shared" si="425"/>
        <v>44288</v>
      </c>
      <c r="NI72" s="58">
        <f t="shared" si="425"/>
        <v>44289</v>
      </c>
      <c r="NJ72" s="57">
        <f t="shared" si="425"/>
        <v>44290</v>
      </c>
    </row>
    <row r="73" spans="1:374" ht="15" customHeight="1" x14ac:dyDescent="0.25">
      <c r="A73" s="223"/>
      <c r="B73" s="223"/>
      <c r="C73" s="223"/>
      <c r="D73" s="223"/>
      <c r="E73" s="224"/>
      <c r="F73" s="28"/>
      <c r="G73" s="28"/>
      <c r="H73" s="28"/>
      <c r="I73" s="28"/>
      <c r="J73" s="28"/>
      <c r="K73" s="28"/>
      <c r="L73" s="28"/>
      <c r="M73" s="28"/>
      <c r="N73" s="28"/>
      <c r="O73" s="27"/>
      <c r="P73" s="226"/>
      <c r="Q73" s="233"/>
      <c r="R73" s="227"/>
      <c r="S73" s="24"/>
      <c r="T73" s="25"/>
      <c r="U73" s="25"/>
      <c r="V73" s="25"/>
      <c r="W73" s="25"/>
      <c r="X73" s="25"/>
      <c r="Y73" s="25"/>
      <c r="Z73" s="24"/>
      <c r="AA73" s="25"/>
      <c r="AB73" s="25"/>
      <c r="AC73" s="25"/>
      <c r="AD73" s="25"/>
      <c r="AE73" s="25"/>
      <c r="AF73" s="25"/>
      <c r="AG73" s="24"/>
      <c r="AH73" s="25"/>
      <c r="AI73" s="25" t="s">
        <v>38</v>
      </c>
      <c r="AJ73" s="25"/>
      <c r="AK73" s="25" t="s">
        <v>38</v>
      </c>
      <c r="AL73" s="25"/>
      <c r="AM73" s="25"/>
      <c r="AN73" s="24"/>
      <c r="AO73" s="25"/>
      <c r="AP73" s="25" t="s">
        <v>38</v>
      </c>
      <c r="AQ73" s="25"/>
      <c r="AR73" s="25" t="s">
        <v>38</v>
      </c>
      <c r="AS73" s="25"/>
      <c r="AT73" s="25"/>
      <c r="AU73" s="24"/>
      <c r="AV73" s="25"/>
      <c r="AW73" s="25" t="s">
        <v>38</v>
      </c>
      <c r="AX73" s="25" t="s">
        <v>262</v>
      </c>
      <c r="AY73" s="25" t="s">
        <v>38</v>
      </c>
      <c r="AZ73" s="25"/>
      <c r="BA73" s="25"/>
      <c r="BB73" s="24"/>
      <c r="BC73" s="25"/>
      <c r="BD73" s="25" t="s">
        <v>38</v>
      </c>
      <c r="BE73" s="25"/>
      <c r="BF73" s="25" t="s">
        <v>38</v>
      </c>
      <c r="BG73" s="25"/>
      <c r="BH73" s="25"/>
      <c r="BI73" s="24"/>
      <c r="BJ73" s="25"/>
      <c r="BK73" s="25" t="s">
        <v>38</v>
      </c>
      <c r="BL73" s="25"/>
      <c r="BM73" s="25" t="s">
        <v>38</v>
      </c>
      <c r="BN73" s="25"/>
      <c r="BO73" s="25"/>
      <c r="BP73" s="24" t="s">
        <v>148</v>
      </c>
      <c r="BQ73" s="25"/>
      <c r="BR73" s="25"/>
      <c r="BS73" s="25"/>
      <c r="BT73" s="25"/>
      <c r="BU73" s="25"/>
      <c r="BV73" s="25"/>
      <c r="BW73" s="25" t="s">
        <v>148</v>
      </c>
      <c r="BX73" s="25"/>
      <c r="BY73" s="24"/>
      <c r="BZ73" s="25"/>
      <c r="CA73" s="25"/>
      <c r="CB73" s="25"/>
      <c r="CC73" s="25"/>
      <c r="CD73" s="25"/>
      <c r="CE73" s="25"/>
      <c r="CF73" s="25"/>
      <c r="CG73" s="25"/>
      <c r="CH73" s="24"/>
      <c r="CI73" s="25"/>
      <c r="CJ73" s="25"/>
      <c r="CK73" s="25"/>
      <c r="CL73" s="25"/>
      <c r="CM73" s="25"/>
      <c r="CN73" s="25"/>
      <c r="CO73" s="25"/>
      <c r="CP73" s="25"/>
      <c r="CQ73" s="24"/>
      <c r="CR73" s="25"/>
      <c r="CS73" s="25"/>
      <c r="CT73" s="25"/>
      <c r="CU73" s="25"/>
      <c r="CV73" s="25"/>
      <c r="CW73" s="25"/>
      <c r="CX73" s="25"/>
      <c r="CY73" s="25"/>
      <c r="CZ73" s="24"/>
      <c r="DA73" s="25"/>
      <c r="DB73" s="25"/>
      <c r="DC73" s="25"/>
      <c r="DD73" s="25"/>
      <c r="DE73" s="25"/>
      <c r="DF73" s="25"/>
      <c r="DG73" s="25"/>
      <c r="DH73" s="25"/>
      <c r="DI73" s="24"/>
      <c r="DJ73" s="25"/>
      <c r="DK73" s="25"/>
      <c r="DL73" s="25"/>
      <c r="DM73" s="25"/>
      <c r="DN73" s="25"/>
      <c r="DO73" s="25"/>
      <c r="DP73" s="25"/>
      <c r="DQ73" s="25"/>
      <c r="DR73" s="24"/>
      <c r="DS73" s="25"/>
      <c r="DT73" s="25" t="s">
        <v>389</v>
      </c>
      <c r="DU73" s="25"/>
      <c r="DV73" s="25" t="s">
        <v>38</v>
      </c>
      <c r="DW73" s="25" t="s">
        <v>38</v>
      </c>
      <c r="DX73" s="25"/>
      <c r="DY73" s="25"/>
      <c r="DZ73" s="25"/>
      <c r="EA73" s="24"/>
      <c r="EB73" s="25"/>
      <c r="EC73" s="25" t="s">
        <v>38</v>
      </c>
      <c r="ED73" s="25"/>
      <c r="EE73" s="25" t="s">
        <v>38</v>
      </c>
      <c r="EF73" s="25" t="s">
        <v>38</v>
      </c>
      <c r="EG73" s="25"/>
      <c r="EH73" s="25"/>
      <c r="EI73" s="25"/>
      <c r="EJ73" s="24"/>
      <c r="EK73" s="25"/>
      <c r="EL73" s="25" t="s">
        <v>38</v>
      </c>
      <c r="EM73" s="25"/>
      <c r="EN73" s="25" t="s">
        <v>38</v>
      </c>
      <c r="EO73" s="25" t="s">
        <v>38</v>
      </c>
      <c r="EP73" s="25"/>
      <c r="EQ73" s="25"/>
      <c r="ER73" s="25"/>
      <c r="ES73" s="24"/>
      <c r="ET73" s="25"/>
      <c r="EU73" s="25" t="s">
        <v>38</v>
      </c>
      <c r="EV73" s="25"/>
      <c r="EW73" s="25" t="s">
        <v>38</v>
      </c>
      <c r="EX73" s="25" t="s">
        <v>38</v>
      </c>
      <c r="EY73" s="25"/>
      <c r="EZ73" s="25"/>
      <c r="FA73" s="25"/>
      <c r="FB73" s="24"/>
      <c r="FC73" s="25"/>
      <c r="FD73" s="25" t="s">
        <v>38</v>
      </c>
      <c r="FE73" s="25"/>
      <c r="FF73" s="25" t="s">
        <v>38</v>
      </c>
      <c r="FG73" s="25" t="s">
        <v>38</v>
      </c>
      <c r="FH73" s="25"/>
      <c r="FI73" s="25"/>
      <c r="FJ73" s="25"/>
      <c r="FK73" s="24"/>
      <c r="FL73" s="25"/>
      <c r="FM73" s="25" t="s">
        <v>38</v>
      </c>
      <c r="FN73" s="25"/>
      <c r="FO73" s="25" t="s">
        <v>38</v>
      </c>
      <c r="FP73" s="25" t="s">
        <v>38</v>
      </c>
      <c r="FQ73" s="25"/>
      <c r="FR73" s="25"/>
      <c r="FS73" s="25"/>
      <c r="FT73" s="24"/>
      <c r="FU73" s="25"/>
      <c r="FV73" s="25" t="s">
        <v>38</v>
      </c>
      <c r="FW73" s="25"/>
      <c r="FX73" s="25" t="s">
        <v>38</v>
      </c>
      <c r="FY73" s="25" t="s">
        <v>38</v>
      </c>
      <c r="FZ73" s="25"/>
      <c r="GA73" s="25"/>
      <c r="GB73" s="25"/>
      <c r="GC73" s="24"/>
      <c r="GD73" s="25"/>
      <c r="GE73" s="25" t="s">
        <v>38</v>
      </c>
      <c r="GF73" s="25"/>
      <c r="GG73" s="25" t="s">
        <v>38</v>
      </c>
      <c r="GH73" s="25" t="s">
        <v>38</v>
      </c>
      <c r="GI73" s="25"/>
      <c r="GJ73" s="25"/>
      <c r="GK73" s="25"/>
      <c r="GL73" s="24"/>
      <c r="GM73" s="25"/>
      <c r="GN73" s="25" t="s">
        <v>38</v>
      </c>
      <c r="GO73" s="25"/>
      <c r="GP73" s="25" t="s">
        <v>38</v>
      </c>
      <c r="GQ73" s="25" t="s">
        <v>38</v>
      </c>
      <c r="GR73" s="25"/>
      <c r="GS73" s="25"/>
      <c r="GT73" s="25"/>
      <c r="GU73" s="24"/>
      <c r="GV73" s="25"/>
      <c r="GW73" s="25" t="s">
        <v>38</v>
      </c>
      <c r="GX73" s="25"/>
      <c r="GY73" s="25" t="s">
        <v>38</v>
      </c>
      <c r="GZ73" s="25" t="s">
        <v>38</v>
      </c>
      <c r="HA73" s="25"/>
      <c r="HB73" s="25"/>
      <c r="HC73" s="25"/>
      <c r="HD73" s="24"/>
      <c r="HE73" s="25"/>
      <c r="HF73" s="25"/>
      <c r="HG73" s="25"/>
      <c r="HH73" s="25"/>
      <c r="HI73" s="25"/>
      <c r="HJ73" s="25"/>
      <c r="HK73" s="25"/>
      <c r="HL73" s="25"/>
      <c r="HM73" s="24"/>
      <c r="HN73" s="25"/>
      <c r="HO73" s="25" t="s">
        <v>38</v>
      </c>
      <c r="HP73" s="25"/>
      <c r="HQ73" s="25" t="s">
        <v>38</v>
      </c>
      <c r="HR73" s="25" t="s">
        <v>38</v>
      </c>
      <c r="HS73" s="25"/>
      <c r="HT73" s="25"/>
      <c r="HU73" s="25"/>
      <c r="HV73" s="24"/>
      <c r="HW73" s="25"/>
      <c r="HX73" s="25" t="s">
        <v>38</v>
      </c>
      <c r="HY73" s="25"/>
      <c r="HZ73" s="25" t="s">
        <v>38</v>
      </c>
      <c r="IA73" s="25" t="s">
        <v>38</v>
      </c>
      <c r="IB73" s="25"/>
      <c r="IC73" s="25"/>
      <c r="ID73" s="25"/>
      <c r="IE73" s="24"/>
      <c r="IF73" s="25"/>
      <c r="IG73" s="25" t="s">
        <v>38</v>
      </c>
      <c r="IH73" s="25"/>
      <c r="II73" s="25" t="s">
        <v>38</v>
      </c>
      <c r="IJ73" s="25" t="s">
        <v>38</v>
      </c>
      <c r="IK73" s="25"/>
      <c r="IL73" s="25"/>
      <c r="IM73" s="25"/>
      <c r="IN73" s="24"/>
      <c r="IO73" s="25"/>
      <c r="IP73" s="25" t="s">
        <v>38</v>
      </c>
      <c r="IQ73" s="25" t="s">
        <v>38</v>
      </c>
      <c r="IR73" s="25"/>
      <c r="IS73" s="25" t="s">
        <v>38</v>
      </c>
      <c r="IT73" s="25"/>
      <c r="IU73" s="24"/>
      <c r="IV73" s="25"/>
      <c r="IW73" s="25" t="s">
        <v>38</v>
      </c>
      <c r="IX73" s="25"/>
      <c r="IY73" s="25" t="s">
        <v>38</v>
      </c>
      <c r="IZ73" s="25" t="s">
        <v>38</v>
      </c>
      <c r="JA73" s="25"/>
      <c r="JB73" s="24"/>
      <c r="JC73" s="25"/>
      <c r="JD73" s="25" t="s">
        <v>38</v>
      </c>
      <c r="JE73" s="25"/>
      <c r="JF73" s="25" t="s">
        <v>38</v>
      </c>
      <c r="JG73" s="25" t="s">
        <v>38</v>
      </c>
      <c r="JH73" s="25"/>
      <c r="JI73" s="24"/>
      <c r="JJ73" s="25"/>
      <c r="JK73" s="25" t="s">
        <v>38</v>
      </c>
      <c r="JL73" s="25"/>
      <c r="JM73" s="25" t="s">
        <v>38</v>
      </c>
      <c r="JN73" s="25" t="s">
        <v>38</v>
      </c>
      <c r="JO73" s="25"/>
      <c r="JP73" s="24"/>
      <c r="JQ73" s="25"/>
      <c r="JR73" s="25" t="s">
        <v>38</v>
      </c>
      <c r="JS73" s="25"/>
      <c r="JT73" s="25" t="s">
        <v>38</v>
      </c>
      <c r="JU73" s="25"/>
      <c r="JV73" s="25"/>
      <c r="JW73" s="24"/>
      <c r="JX73" s="25"/>
      <c r="JY73" s="25" t="s">
        <v>38</v>
      </c>
      <c r="JZ73" s="25"/>
      <c r="KA73" s="25" t="s">
        <v>38</v>
      </c>
      <c r="KB73" s="25" t="s">
        <v>38</v>
      </c>
      <c r="KC73" s="25"/>
      <c r="KD73" s="24"/>
      <c r="KE73" s="25"/>
      <c r="KF73" s="25" t="s">
        <v>38</v>
      </c>
      <c r="KG73" s="25"/>
      <c r="KH73" s="25" t="s">
        <v>38</v>
      </c>
      <c r="KI73" s="25" t="s">
        <v>38</v>
      </c>
      <c r="KJ73" s="25"/>
      <c r="KK73" s="24"/>
      <c r="KL73" s="25"/>
      <c r="KM73" s="25" t="s">
        <v>38</v>
      </c>
      <c r="KN73" s="25"/>
      <c r="KO73" s="25" t="s">
        <v>38</v>
      </c>
      <c r="KP73" s="25"/>
      <c r="KQ73" s="25"/>
      <c r="KR73" s="24"/>
      <c r="KS73" s="25"/>
      <c r="KT73" s="25" t="s">
        <v>38</v>
      </c>
      <c r="KU73" s="25"/>
      <c r="KV73" s="25" t="s">
        <v>38</v>
      </c>
      <c r="KW73" s="25" t="s">
        <v>38</v>
      </c>
      <c r="KX73" s="25"/>
      <c r="KY73" s="24"/>
      <c r="KZ73" s="25"/>
      <c r="LA73" s="25" t="s">
        <v>38</v>
      </c>
      <c r="LB73" s="25"/>
      <c r="LC73" s="25" t="s">
        <v>38</v>
      </c>
      <c r="LD73" s="25"/>
      <c r="LE73" s="25"/>
      <c r="LF73" s="24"/>
      <c r="LG73" s="25"/>
      <c r="LH73" s="25" t="s">
        <v>38</v>
      </c>
      <c r="LI73" s="25"/>
      <c r="LJ73" s="25" t="s">
        <v>38</v>
      </c>
      <c r="LK73" s="25" t="s">
        <v>38</v>
      </c>
      <c r="LL73" s="25"/>
      <c r="LM73" s="24"/>
      <c r="LN73" s="25"/>
      <c r="LO73" s="25" t="s">
        <v>38</v>
      </c>
      <c r="LP73" s="25"/>
      <c r="LQ73" s="25" t="s">
        <v>38</v>
      </c>
      <c r="LR73" s="25" t="s">
        <v>38</v>
      </c>
      <c r="LS73" s="25"/>
      <c r="LT73" s="24"/>
      <c r="LU73" s="25"/>
      <c r="LV73" s="25" t="s">
        <v>38</v>
      </c>
      <c r="LW73" s="25"/>
      <c r="LX73" s="25" t="s">
        <v>38</v>
      </c>
      <c r="LY73" s="25" t="s">
        <v>38</v>
      </c>
      <c r="LZ73" s="25"/>
      <c r="MA73" s="24"/>
      <c r="MB73" s="25"/>
      <c r="MC73" s="25" t="s">
        <v>38</v>
      </c>
      <c r="MD73" s="25"/>
      <c r="ME73" s="25" t="s">
        <v>38</v>
      </c>
      <c r="MF73" s="25" t="s">
        <v>38</v>
      </c>
      <c r="MG73" s="25"/>
      <c r="MH73" s="26"/>
      <c r="MI73" s="25"/>
      <c r="MJ73" s="25" t="s">
        <v>38</v>
      </c>
      <c r="MK73" s="25"/>
      <c r="ML73" s="25" t="s">
        <v>38</v>
      </c>
      <c r="MM73" s="25" t="s">
        <v>38</v>
      </c>
      <c r="MN73" s="25"/>
      <c r="MO73" s="24"/>
      <c r="MP73" s="25"/>
      <c r="MQ73" s="25"/>
      <c r="MR73" s="25"/>
      <c r="MS73" s="25"/>
      <c r="MT73" s="25"/>
      <c r="MU73" s="25"/>
      <c r="MV73" s="24"/>
      <c r="MW73" s="25"/>
      <c r="MX73" s="25"/>
      <c r="MY73" s="25"/>
      <c r="MZ73" s="25"/>
      <c r="NA73" s="25"/>
      <c r="NB73" s="25"/>
      <c r="NC73" s="24"/>
      <c r="ND73" s="25"/>
      <c r="NE73" s="25"/>
      <c r="NF73" s="25"/>
      <c r="NG73" s="25"/>
      <c r="NH73" s="25"/>
      <c r="NI73" s="25"/>
      <c r="NJ73" s="24"/>
    </row>
    <row r="74" spans="1:374" x14ac:dyDescent="0.25">
      <c r="A74" s="23" t="s">
        <v>16</v>
      </c>
      <c r="B74" s="20"/>
      <c r="C74" s="20"/>
      <c r="D74" s="20"/>
      <c r="E74" s="20"/>
      <c r="F74" s="22" t="str">
        <f t="shared" ref="F74:F79" si="426">IF($E74 &gt;= F$44, 1, "")</f>
        <v/>
      </c>
      <c r="G74" s="20"/>
      <c r="H74" s="20"/>
      <c r="I74" s="20" t="str">
        <f t="shared" ref="I74:L75" si="427">IF($E74 &gt;= I$44, 1, "")</f>
        <v/>
      </c>
      <c r="J74" s="20" t="str">
        <f t="shared" si="427"/>
        <v/>
      </c>
      <c r="K74" s="20" t="str">
        <f t="shared" si="427"/>
        <v/>
      </c>
      <c r="L74" s="20" t="str">
        <f t="shared" si="427"/>
        <v/>
      </c>
      <c r="M74" s="20"/>
      <c r="N74" s="20"/>
      <c r="O74" s="21"/>
      <c r="P74" s="20" t="str">
        <f t="shared" ref="P74:P79" si="428">IF(SUM(S74:NJ74) &gt; 0, SUM(S74:NJ74), "")</f>
        <v/>
      </c>
      <c r="Q74" s="113"/>
      <c r="R74" s="82"/>
      <c r="S74" s="21"/>
      <c r="T74" s="20"/>
      <c r="U74" s="20"/>
      <c r="V74" s="20"/>
      <c r="W74" s="20"/>
      <c r="X74" s="20"/>
      <c r="Y74" s="20"/>
      <c r="Z74" s="21"/>
      <c r="AA74" s="20"/>
      <c r="AB74" s="20"/>
      <c r="AC74" s="20"/>
      <c r="AD74" s="20"/>
      <c r="AE74" s="20"/>
      <c r="AF74" s="20"/>
      <c r="AG74" s="21"/>
      <c r="AH74" s="20"/>
      <c r="AI74" s="20"/>
      <c r="AJ74" s="20"/>
      <c r="AK74" s="20"/>
      <c r="AL74" s="20"/>
      <c r="AM74" s="20"/>
      <c r="AN74" s="21"/>
      <c r="AO74" s="20"/>
      <c r="AP74" s="20"/>
      <c r="AQ74" s="20"/>
      <c r="AR74" s="20"/>
      <c r="AS74" s="20"/>
      <c r="AT74" s="20"/>
      <c r="AU74" s="21"/>
      <c r="AV74" s="20"/>
      <c r="AW74" s="20"/>
      <c r="AX74" s="20"/>
      <c r="AY74" s="20"/>
      <c r="AZ74" s="20"/>
      <c r="BA74" s="20"/>
      <c r="BB74" s="21"/>
      <c r="BC74" s="20"/>
      <c r="BD74" s="20"/>
      <c r="BE74" s="20"/>
      <c r="BF74" s="20"/>
      <c r="BG74" s="20"/>
      <c r="BH74" s="20"/>
      <c r="BI74" s="21"/>
      <c r="BJ74" s="20"/>
      <c r="BK74" s="20"/>
      <c r="BL74" s="20"/>
      <c r="BM74" s="20"/>
      <c r="BN74" s="20"/>
      <c r="BO74" s="20"/>
      <c r="BP74" s="21"/>
      <c r="BQ74" s="20"/>
      <c r="BR74" s="20"/>
      <c r="BS74" s="20"/>
      <c r="BT74" s="20"/>
      <c r="BU74" s="20"/>
      <c r="BV74" s="20"/>
      <c r="BW74" s="20"/>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c r="DU74" s="20"/>
      <c r="DV74" s="20"/>
      <c r="DW74" s="20"/>
      <c r="DX74" s="20"/>
      <c r="DY74" s="20"/>
      <c r="DZ74" s="20"/>
      <c r="EA74" s="21"/>
      <c r="EB74" s="20"/>
      <c r="EC74" s="20"/>
      <c r="ED74" s="20"/>
      <c r="EE74" s="20"/>
      <c r="EF74" s="20"/>
      <c r="EG74" s="20"/>
      <c r="EH74" s="20"/>
      <c r="EI74" s="20"/>
      <c r="EJ74" s="21"/>
      <c r="EK74" s="20"/>
      <c r="EL74" s="20"/>
      <c r="EM74" s="20"/>
      <c r="EN74" s="20"/>
      <c r="EO74" s="20"/>
      <c r="EP74" s="20"/>
      <c r="EQ74" s="20"/>
      <c r="ER74" s="20"/>
      <c r="ES74" s="21"/>
      <c r="ET74" s="20"/>
      <c r="EU74" s="20"/>
      <c r="EV74" s="20"/>
      <c r="EW74" s="20"/>
      <c r="EX74" s="20"/>
      <c r="EY74" s="20"/>
      <c r="EZ74" s="20"/>
      <c r="FA74" s="20"/>
      <c r="FB74" s="21"/>
      <c r="FC74" s="20"/>
      <c r="FD74" s="20"/>
      <c r="FE74" s="20"/>
      <c r="FF74" s="20"/>
      <c r="FG74" s="20"/>
      <c r="FH74" s="20"/>
      <c r="FI74" s="20"/>
      <c r="FJ74" s="20"/>
      <c r="FK74" s="21"/>
      <c r="FL74" s="20"/>
      <c r="FM74" s="20"/>
      <c r="FN74" s="20"/>
      <c r="FO74" s="20"/>
      <c r="FP74" s="20"/>
      <c r="FQ74" s="20"/>
      <c r="FR74" s="20"/>
      <c r="FS74" s="20"/>
      <c r="FT74" s="21"/>
      <c r="FU74" s="20"/>
      <c r="FV74" s="20"/>
      <c r="FW74" s="20"/>
      <c r="FX74" s="20"/>
      <c r="FY74" s="20"/>
      <c r="FZ74" s="20"/>
      <c r="GA74" s="20"/>
      <c r="GB74" s="20"/>
      <c r="GC74" s="21"/>
      <c r="GD74" s="20"/>
      <c r="GE74" s="20"/>
      <c r="GF74" s="20"/>
      <c r="GG74" s="20"/>
      <c r="GH74" s="20"/>
      <c r="GI74" s="20"/>
      <c r="GJ74" s="20"/>
      <c r="GK74" s="20"/>
      <c r="GL74" s="21"/>
      <c r="GM74" s="20"/>
      <c r="GN74" s="20"/>
      <c r="GO74" s="20"/>
      <c r="GP74" s="20"/>
      <c r="GQ74" s="20"/>
      <c r="GR74" s="20"/>
      <c r="GS74" s="20"/>
      <c r="GT74" s="20"/>
      <c r="GU74" s="21"/>
      <c r="GV74" s="20"/>
      <c r="GW74" s="20"/>
      <c r="GX74" s="20"/>
      <c r="GY74" s="20"/>
      <c r="GZ74" s="20"/>
      <c r="HA74" s="20"/>
      <c r="HB74" s="20"/>
      <c r="HC74" s="20"/>
      <c r="HD74" s="21"/>
      <c r="HE74" s="20"/>
      <c r="HF74" s="20"/>
      <c r="HG74" s="20"/>
      <c r="HH74" s="20"/>
      <c r="HI74" s="20"/>
      <c r="HJ74" s="20"/>
      <c r="HK74" s="20"/>
      <c r="HL74" s="20"/>
      <c r="HM74" s="21"/>
      <c r="HN74" s="20"/>
      <c r="HO74" s="20"/>
      <c r="HP74" s="20"/>
      <c r="HQ74" s="20"/>
      <c r="HR74" s="20"/>
      <c r="HS74" s="20"/>
      <c r="HT74" s="20"/>
      <c r="HU74" s="20"/>
      <c r="HV74" s="21"/>
      <c r="HW74" s="20"/>
      <c r="HX74" s="20"/>
      <c r="HY74" s="20"/>
      <c r="HZ74" s="20"/>
      <c r="IA74" s="20"/>
      <c r="IB74" s="20"/>
      <c r="IC74" s="20"/>
      <c r="ID74" s="20"/>
      <c r="IE74" s="21"/>
      <c r="IF74" s="20"/>
      <c r="IG74" s="20"/>
      <c r="IH74" s="20"/>
      <c r="II74" s="20"/>
      <c r="IJ74" s="20"/>
      <c r="IK74" s="20"/>
      <c r="IL74" s="20"/>
      <c r="IM74" s="20"/>
      <c r="IN74" s="21"/>
      <c r="IO74" s="20"/>
      <c r="IP74" s="20"/>
      <c r="IQ74" s="20"/>
      <c r="IR74" s="20"/>
      <c r="IS74" s="20"/>
      <c r="IT74" s="20"/>
      <c r="IU74" s="21"/>
      <c r="IV74" s="20"/>
      <c r="IW74" s="20"/>
      <c r="IX74" s="20"/>
      <c r="IY74" s="20"/>
      <c r="IZ74" s="20"/>
      <c r="JA74" s="20"/>
      <c r="JB74" s="21"/>
      <c r="JC74" s="20"/>
      <c r="JD74" s="20"/>
      <c r="JE74" s="20"/>
      <c r="JF74" s="20"/>
      <c r="JG74" s="20"/>
      <c r="JH74" s="20"/>
      <c r="JI74" s="21"/>
      <c r="JJ74" s="20"/>
      <c r="JK74" s="20"/>
      <c r="JL74" s="20"/>
      <c r="JM74" s="20"/>
      <c r="JN74" s="20"/>
      <c r="JO74" s="20"/>
      <c r="JP74" s="21"/>
      <c r="JQ74" s="20"/>
      <c r="JR74" s="20"/>
      <c r="JS74" s="20"/>
      <c r="JT74" s="20"/>
      <c r="JU74" s="20"/>
      <c r="JV74" s="20"/>
      <c r="JW74" s="21"/>
      <c r="JX74" s="20"/>
      <c r="JY74" s="20"/>
      <c r="JZ74" s="20"/>
      <c r="KA74" s="20"/>
      <c r="KB74" s="20"/>
      <c r="KC74" s="20"/>
      <c r="KD74" s="21"/>
      <c r="KE74" s="20"/>
      <c r="KF74" s="20"/>
      <c r="KG74" s="20"/>
      <c r="KH74" s="20"/>
      <c r="KI74" s="20"/>
      <c r="KJ74" s="20"/>
      <c r="KK74" s="21"/>
      <c r="KL74" s="20"/>
      <c r="KM74" s="20"/>
      <c r="KN74" s="20"/>
      <c r="KO74" s="20"/>
      <c r="KP74" s="20"/>
      <c r="KQ74" s="20"/>
      <c r="KR74" s="21"/>
      <c r="KS74" s="20"/>
      <c r="KT74" s="20"/>
      <c r="KU74" s="20"/>
      <c r="KV74" s="20"/>
      <c r="KW74" s="20"/>
      <c r="KX74" s="20"/>
      <c r="KY74" s="21"/>
      <c r="KZ74" s="20"/>
      <c r="LA74" s="20"/>
      <c r="LB74" s="20"/>
      <c r="LC74" s="20"/>
      <c r="LD74" s="20"/>
      <c r="LE74" s="20"/>
      <c r="LF74" s="21"/>
      <c r="LG74" s="20"/>
      <c r="LH74" s="20"/>
      <c r="LI74" s="20"/>
      <c r="LJ74" s="20"/>
      <c r="LK74" s="20"/>
      <c r="LL74" s="20"/>
      <c r="LM74" s="21"/>
      <c r="LN74" s="20"/>
      <c r="LO74" s="20"/>
      <c r="LP74" s="20"/>
      <c r="LQ74" s="20"/>
      <c r="LR74" s="20"/>
      <c r="LS74" s="20"/>
      <c r="LT74" s="21"/>
      <c r="LU74" s="20"/>
      <c r="LV74" s="20"/>
      <c r="LW74" s="20"/>
      <c r="LX74" s="20"/>
      <c r="LY74" s="20"/>
      <c r="LZ74" s="20"/>
      <c r="MA74" s="21"/>
      <c r="MB74" s="20"/>
      <c r="MC74" s="20"/>
      <c r="MD74" s="20"/>
      <c r="ME74" s="20"/>
      <c r="MF74" s="20"/>
      <c r="MG74" s="20"/>
      <c r="MH74" s="21"/>
      <c r="MI74" s="20"/>
      <c r="MJ74" s="20"/>
      <c r="MK74" s="20"/>
      <c r="ML74" s="20"/>
      <c r="MM74" s="20"/>
      <c r="MN74" s="20"/>
      <c r="MO74" s="21"/>
      <c r="MP74" s="20"/>
      <c r="MQ74" s="20"/>
      <c r="MR74" s="20"/>
      <c r="MS74" s="20"/>
      <c r="MT74" s="20"/>
      <c r="MU74" s="20"/>
      <c r="MV74" s="21"/>
      <c r="MW74" s="20"/>
      <c r="MX74" s="20"/>
      <c r="MY74" s="20"/>
      <c r="MZ74" s="20"/>
      <c r="NA74" s="20"/>
      <c r="NB74" s="20"/>
      <c r="NC74" s="21"/>
      <c r="ND74" s="20"/>
      <c r="NE74" s="20"/>
      <c r="NF74" s="20"/>
      <c r="NG74" s="20"/>
      <c r="NH74" s="20"/>
      <c r="NI74" s="20"/>
      <c r="NJ74" s="21"/>
    </row>
    <row r="75" spans="1:374" ht="7.5" customHeight="1" x14ac:dyDescent="0.25">
      <c r="A75" s="8"/>
      <c r="B75" s="8"/>
      <c r="C75" s="8"/>
      <c r="D75" s="8"/>
      <c r="E75" s="8"/>
      <c r="F75" s="10" t="str">
        <f t="shared" si="426"/>
        <v/>
      </c>
      <c r="G75" s="19"/>
      <c r="H75" s="19"/>
      <c r="I75" s="19" t="str">
        <f t="shared" si="427"/>
        <v/>
      </c>
      <c r="J75" s="19" t="str">
        <f t="shared" si="427"/>
        <v/>
      </c>
      <c r="K75" s="19" t="str">
        <f t="shared" si="427"/>
        <v/>
      </c>
      <c r="L75" s="19" t="str">
        <f t="shared" si="427"/>
        <v/>
      </c>
      <c r="M75" s="8"/>
      <c r="N75" s="8"/>
      <c r="O75" s="9"/>
      <c r="P75" s="8" t="str">
        <f t="shared" si="428"/>
        <v/>
      </c>
      <c r="Q75" s="108" t="str">
        <f t="shared" ref="Q75:Q80" si="429">IF(SUM(S75:XFD75) &gt; 0, SUM(S75:XFD75) / $P$81 * 100, "")</f>
        <v/>
      </c>
      <c r="R75" s="84"/>
      <c r="S75" s="7"/>
      <c r="Z75" s="7"/>
      <c r="AG75" s="7"/>
      <c r="AN75" s="7"/>
      <c r="AU75" s="7"/>
      <c r="BB75" s="7"/>
      <c r="BI75" s="7"/>
      <c r="BP75" s="7"/>
      <c r="BY75" s="7"/>
      <c r="CH75" s="7"/>
      <c r="CQ75" s="7"/>
      <c r="CZ75" s="7"/>
      <c r="DI75" s="7"/>
      <c r="DR75" s="7"/>
      <c r="EA75" s="7"/>
      <c r="EJ75" s="7"/>
      <c r="ES75" s="7"/>
      <c r="FB75" s="7"/>
      <c r="FK75" s="7"/>
      <c r="FT75" s="7"/>
      <c r="GC75" s="7"/>
      <c r="GL75" s="7"/>
      <c r="GU75" s="7"/>
      <c r="HD75" s="7"/>
      <c r="HM75" s="7"/>
      <c r="HV75" s="7"/>
      <c r="IE75" s="7"/>
      <c r="IN75" s="7"/>
      <c r="IU75" s="7"/>
      <c r="JB75" s="7"/>
      <c r="JI75" s="7"/>
      <c r="JP75" s="7"/>
      <c r="JW75" s="7"/>
      <c r="KD75" s="7"/>
      <c r="KK75" s="7"/>
      <c r="KR75" s="7"/>
      <c r="KY75" s="7"/>
      <c r="LF75" s="7"/>
      <c r="LM75" s="7"/>
      <c r="LT75" s="7"/>
      <c r="MA75" s="7"/>
      <c r="MH75" s="7"/>
      <c r="MO75" s="7"/>
      <c r="MV75" s="7"/>
      <c r="NC75" s="7"/>
      <c r="NJ75" s="7"/>
    </row>
    <row r="76" spans="1:374" hidden="1" x14ac:dyDescent="0.25">
      <c r="A76" s="8" t="s">
        <v>37</v>
      </c>
      <c r="B76" s="8"/>
      <c r="C76" s="8" t="s">
        <v>36</v>
      </c>
      <c r="D76" s="8" t="s">
        <v>35</v>
      </c>
      <c r="E76" s="18">
        <v>39448</v>
      </c>
      <c r="F76" s="10">
        <f t="shared" si="426"/>
        <v>1</v>
      </c>
      <c r="G76" s="19">
        <f t="shared" ref="G76:H79" si="430">IF($E76 &gt;= G$44, 1, "")</f>
        <v>1</v>
      </c>
      <c r="H76" s="19">
        <f t="shared" si="430"/>
        <v>1</v>
      </c>
      <c r="I76" s="8">
        <f t="shared" ref="I76:L79" si="431">IF($E76 &gt;= I$44, 1, "")</f>
        <v>1</v>
      </c>
      <c r="J76" s="8">
        <f t="shared" si="431"/>
        <v>1</v>
      </c>
      <c r="K76" s="8" t="str">
        <f t="shared" si="431"/>
        <v/>
      </c>
      <c r="L76" s="8" t="str">
        <f t="shared" si="431"/>
        <v/>
      </c>
      <c r="M76" s="8"/>
      <c r="N76" s="8"/>
      <c r="O76" s="9"/>
      <c r="P76" s="8">
        <f t="shared" si="428"/>
        <v>8</v>
      </c>
      <c r="Q76" s="108">
        <f t="shared" si="429"/>
        <v>18.181818181818183</v>
      </c>
      <c r="R76" s="84"/>
      <c r="S76" s="7"/>
      <c r="Z76" s="7"/>
      <c r="AG76" s="7"/>
      <c r="AK76">
        <v>1</v>
      </c>
      <c r="AN76" s="7"/>
      <c r="AP76">
        <v>1</v>
      </c>
      <c r="AU76" s="7"/>
      <c r="AW76">
        <v>1</v>
      </c>
      <c r="BB76" s="7"/>
      <c r="BD76">
        <v>1</v>
      </c>
      <c r="BI76" s="7"/>
      <c r="BK76">
        <v>1</v>
      </c>
      <c r="BM76">
        <v>1</v>
      </c>
      <c r="BN76">
        <v>1</v>
      </c>
      <c r="BP76" s="7"/>
      <c r="BW76">
        <v>1</v>
      </c>
      <c r="BY76" s="7"/>
      <c r="CH76" s="7"/>
      <c r="CQ76" s="7"/>
      <c r="CZ76" s="7"/>
      <c r="DI76" s="7"/>
      <c r="DR76" s="7"/>
      <c r="EA76" s="7"/>
      <c r="EJ76" s="7"/>
      <c r="ES76" s="7"/>
      <c r="FB76" s="7"/>
      <c r="FK76" s="7"/>
      <c r="FT76" s="7"/>
      <c r="GC76" s="7"/>
      <c r="GL76" s="7"/>
      <c r="GU76" s="7"/>
      <c r="HD76" s="7"/>
      <c r="HM76" s="7"/>
      <c r="HV76" s="7"/>
      <c r="IE76" s="7"/>
      <c r="IN76" s="7"/>
      <c r="IU76" s="7"/>
      <c r="JB76" s="7"/>
      <c r="JI76" s="7"/>
      <c r="JP76" s="7"/>
      <c r="JW76" s="7"/>
      <c r="KD76" s="7"/>
      <c r="KK76" s="7"/>
      <c r="KR76" s="7"/>
      <c r="KY76" s="7"/>
      <c r="LF76" s="7"/>
      <c r="LM76" s="7"/>
      <c r="LT76" s="7"/>
      <c r="MA76" s="7"/>
      <c r="MH76" s="7"/>
      <c r="MO76" s="7"/>
      <c r="MV76" s="7"/>
      <c r="NC76" s="7"/>
      <c r="NJ76" s="7"/>
    </row>
    <row r="77" spans="1:374" x14ac:dyDescent="0.25">
      <c r="A77" s="8" t="s">
        <v>34</v>
      </c>
      <c r="B77" s="8"/>
      <c r="C77" s="8" t="s">
        <v>33</v>
      </c>
      <c r="D77" s="8" t="s">
        <v>32</v>
      </c>
      <c r="E77" s="18">
        <v>39649</v>
      </c>
      <c r="F77" s="10">
        <f t="shared" si="426"/>
        <v>1</v>
      </c>
      <c r="G77" s="19">
        <f t="shared" si="430"/>
        <v>1</v>
      </c>
      <c r="H77" s="19">
        <f t="shared" si="430"/>
        <v>1</v>
      </c>
      <c r="I77" s="8">
        <f t="shared" si="431"/>
        <v>1</v>
      </c>
      <c r="J77" s="8">
        <f t="shared" si="431"/>
        <v>1</v>
      </c>
      <c r="K77" s="8" t="str">
        <f t="shared" si="431"/>
        <v/>
      </c>
      <c r="L77" s="8" t="str">
        <f t="shared" si="431"/>
        <v/>
      </c>
      <c r="M77" s="8"/>
      <c r="N77" s="8"/>
      <c r="O77" s="9"/>
      <c r="P77" s="8">
        <f t="shared" si="428"/>
        <v>1</v>
      </c>
      <c r="Q77" s="108">
        <f t="shared" si="429"/>
        <v>2.2727272727272729</v>
      </c>
      <c r="R77" s="84"/>
      <c r="S77" s="7"/>
      <c r="Z77" s="7"/>
      <c r="AG77" s="7"/>
      <c r="AN77" s="7"/>
      <c r="AU77" s="7"/>
      <c r="BB77" s="7"/>
      <c r="BI77" s="7"/>
      <c r="BP77" s="7"/>
      <c r="BY77" s="7"/>
      <c r="CH77" s="7"/>
      <c r="CQ77" s="7"/>
      <c r="CZ77" s="7"/>
      <c r="DI77" s="7"/>
      <c r="DR77" s="7"/>
      <c r="EA77" s="7"/>
      <c r="EE77">
        <v>1</v>
      </c>
      <c r="EJ77" s="7"/>
      <c r="ES77" s="7"/>
      <c r="FB77" s="7"/>
      <c r="FK77" s="7"/>
      <c r="FT77" s="7"/>
      <c r="GC77" s="7"/>
      <c r="GL77" s="7"/>
      <c r="GU77" s="7"/>
      <c r="HD77" s="7"/>
      <c r="HM77" s="7"/>
      <c r="HV77" s="7"/>
      <c r="IE77" s="7"/>
      <c r="IN77" s="7"/>
      <c r="IU77" s="7"/>
      <c r="JB77" s="7"/>
      <c r="JI77" s="7"/>
      <c r="JP77" s="7"/>
      <c r="JW77" s="7"/>
      <c r="KD77" s="7"/>
      <c r="KK77" s="7"/>
      <c r="KR77" s="7"/>
      <c r="KY77" s="7"/>
      <c r="LF77" s="7"/>
      <c r="LM77" s="7"/>
      <c r="LT77" s="7"/>
      <c r="MA77" s="7"/>
      <c r="MH77" s="7"/>
      <c r="MO77" s="7"/>
      <c r="MV77" s="7"/>
      <c r="NC77" s="7"/>
      <c r="NJ77" s="7"/>
    </row>
    <row r="78" spans="1:374" x14ac:dyDescent="0.25">
      <c r="A78" s="8" t="s">
        <v>31</v>
      </c>
      <c r="B78" s="8"/>
      <c r="C78" s="8" t="s">
        <v>30</v>
      </c>
      <c r="D78" s="8" t="s">
        <v>29</v>
      </c>
      <c r="E78" s="18">
        <v>39453</v>
      </c>
      <c r="F78" s="10">
        <f t="shared" si="426"/>
        <v>1</v>
      </c>
      <c r="G78" s="19">
        <f t="shared" si="430"/>
        <v>1</v>
      </c>
      <c r="H78" s="19">
        <f t="shared" si="430"/>
        <v>1</v>
      </c>
      <c r="I78" s="8">
        <f t="shared" si="431"/>
        <v>1</v>
      </c>
      <c r="J78" s="8">
        <f t="shared" si="431"/>
        <v>1</v>
      </c>
      <c r="K78" s="8" t="str">
        <f t="shared" si="431"/>
        <v/>
      </c>
      <c r="L78" s="8" t="str">
        <f t="shared" si="431"/>
        <v/>
      </c>
      <c r="M78" s="8"/>
      <c r="N78" s="8"/>
      <c r="O78" s="9"/>
      <c r="P78" s="8">
        <f t="shared" si="428"/>
        <v>33</v>
      </c>
      <c r="Q78" s="108">
        <f t="shared" si="429"/>
        <v>75</v>
      </c>
      <c r="R78" s="84"/>
      <c r="S78" s="7"/>
      <c r="Z78" s="7"/>
      <c r="AG78" s="7"/>
      <c r="AK78">
        <v>1</v>
      </c>
      <c r="AN78" s="7"/>
      <c r="AR78">
        <v>1</v>
      </c>
      <c r="AU78" s="7"/>
      <c r="BB78" s="7"/>
      <c r="BD78">
        <v>1</v>
      </c>
      <c r="BF78">
        <v>1</v>
      </c>
      <c r="BI78" s="7"/>
      <c r="BK78">
        <v>1</v>
      </c>
      <c r="BM78">
        <v>1</v>
      </c>
      <c r="BN78">
        <v>1</v>
      </c>
      <c r="BP78" s="7">
        <v>1</v>
      </c>
      <c r="BW78">
        <v>1</v>
      </c>
      <c r="BY78" s="7"/>
      <c r="CH78" s="7"/>
      <c r="CQ78" s="7"/>
      <c r="CZ78" s="7"/>
      <c r="DI78" s="7"/>
      <c r="DR78" s="7"/>
      <c r="DT78">
        <v>1</v>
      </c>
      <c r="DV78">
        <v>1</v>
      </c>
      <c r="EA78" s="7"/>
      <c r="EC78">
        <v>1</v>
      </c>
      <c r="EJ78" s="7"/>
      <c r="EL78">
        <v>1</v>
      </c>
      <c r="EN78">
        <v>1</v>
      </c>
      <c r="EO78">
        <v>1</v>
      </c>
      <c r="ES78" s="7"/>
      <c r="EU78">
        <v>1</v>
      </c>
      <c r="EW78">
        <v>1</v>
      </c>
      <c r="EX78">
        <v>1</v>
      </c>
      <c r="FB78" s="7"/>
      <c r="FD78">
        <v>1</v>
      </c>
      <c r="FF78">
        <v>1</v>
      </c>
      <c r="FG78">
        <v>1</v>
      </c>
      <c r="FK78" s="7"/>
      <c r="FM78">
        <v>1</v>
      </c>
      <c r="FO78">
        <v>1</v>
      </c>
      <c r="FP78">
        <v>1</v>
      </c>
      <c r="FT78" s="7"/>
      <c r="FV78">
        <v>1</v>
      </c>
      <c r="FX78">
        <v>1</v>
      </c>
      <c r="FY78">
        <v>1</v>
      </c>
      <c r="GC78" s="7"/>
      <c r="GE78">
        <v>1</v>
      </c>
      <c r="GG78">
        <v>1</v>
      </c>
      <c r="GH78">
        <v>1</v>
      </c>
      <c r="GL78" s="7"/>
      <c r="GN78">
        <v>1</v>
      </c>
      <c r="GP78">
        <v>1</v>
      </c>
      <c r="GQ78">
        <v>1</v>
      </c>
      <c r="GU78" s="7"/>
      <c r="HD78" s="7"/>
      <c r="HM78" s="7"/>
      <c r="HV78" s="7"/>
      <c r="IE78" s="7"/>
      <c r="IN78" s="7"/>
      <c r="IU78" s="7"/>
      <c r="JB78" s="7"/>
      <c r="JI78" s="7"/>
      <c r="JP78" s="7"/>
      <c r="JW78" s="7"/>
      <c r="KD78" s="7"/>
      <c r="KK78" s="7"/>
      <c r="KR78" s="7"/>
      <c r="KY78" s="7"/>
      <c r="LF78" s="7"/>
      <c r="LM78" s="7"/>
      <c r="LT78" s="7"/>
      <c r="MA78" s="7"/>
      <c r="MH78" s="7"/>
      <c r="MO78" s="7"/>
      <c r="MV78" s="7"/>
      <c r="NC78" s="7"/>
      <c r="NJ78" s="7"/>
    </row>
    <row r="79" spans="1:374" x14ac:dyDescent="0.25">
      <c r="A79" s="8" t="s">
        <v>28</v>
      </c>
      <c r="B79" s="8"/>
      <c r="C79" s="8" t="s">
        <v>27</v>
      </c>
      <c r="D79" s="8" t="s">
        <v>26</v>
      </c>
      <c r="E79" s="18">
        <v>39802</v>
      </c>
      <c r="F79" s="10">
        <f t="shared" si="426"/>
        <v>1</v>
      </c>
      <c r="G79" s="19">
        <f t="shared" si="430"/>
        <v>1</v>
      </c>
      <c r="H79" s="19">
        <f t="shared" si="430"/>
        <v>1</v>
      </c>
      <c r="I79" s="8">
        <f t="shared" si="431"/>
        <v>1</v>
      </c>
      <c r="J79" s="8">
        <f t="shared" si="431"/>
        <v>1</v>
      </c>
      <c r="K79" s="8" t="str">
        <f t="shared" si="431"/>
        <v/>
      </c>
      <c r="L79" s="8" t="str">
        <f t="shared" si="431"/>
        <v/>
      </c>
      <c r="M79" s="8"/>
      <c r="N79" s="8"/>
      <c r="O79" s="9"/>
      <c r="P79" s="8">
        <f t="shared" si="428"/>
        <v>12</v>
      </c>
      <c r="Q79" s="108">
        <f t="shared" si="429"/>
        <v>27.27272727272727</v>
      </c>
      <c r="R79" s="84"/>
      <c r="S79" s="7"/>
      <c r="Z79" s="7"/>
      <c r="AG79" s="7"/>
      <c r="AK79">
        <v>1</v>
      </c>
      <c r="AN79" s="7"/>
      <c r="AP79">
        <v>1</v>
      </c>
      <c r="AU79" s="7"/>
      <c r="AW79">
        <v>1</v>
      </c>
      <c r="AY79">
        <v>1</v>
      </c>
      <c r="BB79" s="7"/>
      <c r="BD79">
        <v>1</v>
      </c>
      <c r="BF79">
        <v>1</v>
      </c>
      <c r="BI79" s="7"/>
      <c r="BM79">
        <v>1</v>
      </c>
      <c r="BP79" s="7"/>
      <c r="BY79" s="7"/>
      <c r="CH79" s="7"/>
      <c r="CQ79" s="7"/>
      <c r="CZ79" s="7"/>
      <c r="DI79" s="7"/>
      <c r="DR79" s="7"/>
      <c r="DV79">
        <v>1</v>
      </c>
      <c r="DW79">
        <v>1</v>
      </c>
      <c r="EA79" s="7"/>
      <c r="EJ79" s="7"/>
      <c r="EO79">
        <v>1</v>
      </c>
      <c r="ES79" s="7"/>
      <c r="FB79" s="7"/>
      <c r="FK79" s="7"/>
      <c r="FT79" s="7"/>
      <c r="FY79">
        <v>1</v>
      </c>
      <c r="GC79" s="7"/>
      <c r="GL79" s="7"/>
      <c r="GP79">
        <v>1</v>
      </c>
      <c r="GU79" s="7"/>
      <c r="HD79" s="7"/>
      <c r="HM79" s="7"/>
      <c r="HV79" s="7"/>
      <c r="IE79" s="7"/>
      <c r="IN79" s="7"/>
      <c r="IU79" s="7"/>
      <c r="JB79" s="7"/>
      <c r="JI79" s="7"/>
      <c r="JP79" s="7"/>
      <c r="JW79" s="7"/>
      <c r="KD79" s="7"/>
      <c r="KK79" s="7"/>
      <c r="KR79" s="7"/>
      <c r="KY79" s="7"/>
      <c r="LF79" s="7"/>
      <c r="LM79" s="7"/>
      <c r="LT79" s="7"/>
      <c r="MA79" s="7"/>
      <c r="MH79" s="7"/>
      <c r="MO79" s="7"/>
      <c r="MV79" s="7"/>
      <c r="NC79" s="7"/>
      <c r="NJ79" s="7"/>
    </row>
    <row r="80" spans="1:374" ht="7.5" customHeight="1" x14ac:dyDescent="0.25">
      <c r="A80" s="8"/>
      <c r="B80" s="8"/>
      <c r="C80" s="8"/>
      <c r="D80" s="8"/>
      <c r="E80" s="8"/>
      <c r="F80" s="10"/>
      <c r="G80" s="19"/>
      <c r="H80" s="19"/>
      <c r="I80" s="8"/>
      <c r="J80" s="8"/>
      <c r="K80" s="8"/>
      <c r="L80" s="8"/>
      <c r="M80" s="8"/>
      <c r="N80" s="8"/>
      <c r="O80" s="9"/>
      <c r="P80" s="8" t="str">
        <f>IF(SUM(R80:NJ80) &gt; 0, SUM(R80:NJ80), "")</f>
        <v/>
      </c>
      <c r="Q80" s="108" t="str">
        <f t="shared" si="429"/>
        <v/>
      </c>
      <c r="R80" s="84"/>
      <c r="S80" s="7"/>
      <c r="Z80" s="7"/>
      <c r="AG80" s="7"/>
      <c r="AN80" s="7"/>
      <c r="AU80" s="7"/>
      <c r="BB80" s="7"/>
      <c r="BI80" s="7"/>
      <c r="BP80" s="7"/>
      <c r="BY80" s="7"/>
      <c r="CH80" s="7"/>
      <c r="CQ80" s="7"/>
      <c r="CZ80" s="7"/>
      <c r="DI80" s="7"/>
      <c r="DR80" s="7"/>
      <c r="EA80" s="7"/>
      <c r="EJ80" s="7"/>
      <c r="ES80" s="7"/>
      <c r="FB80" s="7"/>
      <c r="FK80" s="7"/>
      <c r="FT80" s="7"/>
      <c r="GC80" s="7"/>
      <c r="GL80" s="7"/>
      <c r="GU80" s="7"/>
      <c r="HD80" s="7"/>
      <c r="HM80" s="7"/>
      <c r="HV80" s="7"/>
      <c r="IE80" s="7"/>
      <c r="IN80" s="7"/>
      <c r="IU80" s="7"/>
      <c r="JB80" s="7"/>
      <c r="JI80" s="7"/>
      <c r="JP80" s="7"/>
      <c r="JW80" s="7"/>
      <c r="KD80" s="7"/>
      <c r="KK80" s="7"/>
      <c r="KR80" s="7"/>
      <c r="KY80" s="7"/>
      <c r="LF80" s="7"/>
      <c r="LM80" s="7"/>
      <c r="LT80" s="7"/>
      <c r="MA80" s="7"/>
      <c r="MH80" s="7"/>
      <c r="MO80" s="7"/>
      <c r="MV80" s="7"/>
      <c r="NC80" s="7"/>
      <c r="NJ80" s="7"/>
    </row>
    <row r="81" spans="1:374" ht="15" customHeight="1" thickBot="1" x14ac:dyDescent="0.3">
      <c r="A81" s="20" t="s">
        <v>18</v>
      </c>
      <c r="B81" s="20"/>
      <c r="C81" s="20"/>
      <c r="D81" s="20"/>
      <c r="E81" s="21"/>
      <c r="F81" s="20"/>
      <c r="G81" s="20"/>
      <c r="H81" s="20"/>
      <c r="I81" s="20"/>
      <c r="J81" s="20"/>
      <c r="K81" s="20"/>
      <c r="L81" s="20"/>
      <c r="M81" s="20"/>
      <c r="N81" s="20"/>
      <c r="O81" s="21"/>
      <c r="P81" s="60">
        <f>SUM(S81:NJ81)</f>
        <v>44</v>
      </c>
      <c r="Q81" s="60"/>
      <c r="R81" s="21"/>
      <c r="S81" s="21"/>
      <c r="T81" s="20"/>
      <c r="U81" s="20"/>
      <c r="V81" s="20"/>
      <c r="W81" s="20"/>
      <c r="X81" s="20"/>
      <c r="Y81" s="20"/>
      <c r="Z81" s="21"/>
      <c r="AA81" s="20"/>
      <c r="AB81" s="20"/>
      <c r="AC81" s="20"/>
      <c r="AD81" s="20"/>
      <c r="AE81" s="20"/>
      <c r="AF81" s="20"/>
      <c r="AG81" s="21"/>
      <c r="AH81" s="20"/>
      <c r="AI81" s="20">
        <v>1</v>
      </c>
      <c r="AJ81" s="20"/>
      <c r="AK81" s="20">
        <v>1</v>
      </c>
      <c r="AL81" s="20"/>
      <c r="AM81" s="20"/>
      <c r="AN81" s="21"/>
      <c r="AO81" s="20"/>
      <c r="AP81" s="20">
        <v>1</v>
      </c>
      <c r="AQ81" s="20"/>
      <c r="AR81" s="20">
        <v>1</v>
      </c>
      <c r="AS81" s="20"/>
      <c r="AT81" s="20"/>
      <c r="AU81" s="21"/>
      <c r="AV81" s="20"/>
      <c r="AW81" s="20">
        <v>1</v>
      </c>
      <c r="AX81" s="20">
        <v>1</v>
      </c>
      <c r="AY81" s="20">
        <v>1</v>
      </c>
      <c r="AZ81" s="20"/>
      <c r="BA81" s="20"/>
      <c r="BB81" s="21"/>
      <c r="BC81" s="20"/>
      <c r="BD81" s="20">
        <v>1</v>
      </c>
      <c r="BE81" s="20"/>
      <c r="BF81" s="20">
        <v>1</v>
      </c>
      <c r="BG81" s="20"/>
      <c r="BH81" s="20"/>
      <c r="BI81" s="21"/>
      <c r="BJ81" s="20"/>
      <c r="BK81" s="20">
        <v>1</v>
      </c>
      <c r="BL81" s="20"/>
      <c r="BM81" s="20">
        <v>1</v>
      </c>
      <c r="BN81" s="20">
        <v>1</v>
      </c>
      <c r="BO81" s="20"/>
      <c r="BP81" s="21">
        <v>1</v>
      </c>
      <c r="BQ81" s="20"/>
      <c r="BR81" s="20"/>
      <c r="BS81" s="20"/>
      <c r="BT81" s="20"/>
      <c r="BU81" s="20"/>
      <c r="BV81" s="20"/>
      <c r="BW81" s="20">
        <v>1</v>
      </c>
      <c r="BX81" s="20"/>
      <c r="BY81" s="21"/>
      <c r="BZ81" s="20"/>
      <c r="CA81" s="20"/>
      <c r="CB81" s="20"/>
      <c r="CC81" s="20"/>
      <c r="CD81" s="20"/>
      <c r="CE81" s="20"/>
      <c r="CF81" s="20"/>
      <c r="CG81" s="20"/>
      <c r="CH81" s="21"/>
      <c r="CI81" s="20"/>
      <c r="CJ81" s="20"/>
      <c r="CK81" s="20"/>
      <c r="CL81" s="20"/>
      <c r="CM81" s="20"/>
      <c r="CN81" s="20"/>
      <c r="CO81" s="20"/>
      <c r="CP81" s="20"/>
      <c r="CQ81" s="21"/>
      <c r="CR81" s="20"/>
      <c r="CS81" s="20"/>
      <c r="CT81" s="20"/>
      <c r="CU81" s="20"/>
      <c r="CV81" s="20"/>
      <c r="CW81" s="20"/>
      <c r="CX81" s="20"/>
      <c r="CY81" s="20"/>
      <c r="CZ81" s="21"/>
      <c r="DA81" s="20"/>
      <c r="DB81" s="20"/>
      <c r="DC81" s="20"/>
      <c r="DD81" s="20"/>
      <c r="DE81" s="20"/>
      <c r="DF81" s="20"/>
      <c r="DG81" s="20"/>
      <c r="DH81" s="20"/>
      <c r="DI81" s="21"/>
      <c r="DJ81" s="20"/>
      <c r="DK81" s="20"/>
      <c r="DL81" s="20"/>
      <c r="DM81" s="20"/>
      <c r="DN81" s="20"/>
      <c r="DO81" s="20"/>
      <c r="DP81" s="20"/>
      <c r="DQ81" s="20"/>
      <c r="DR81" s="21"/>
      <c r="DS81" s="20"/>
      <c r="DT81" s="20">
        <v>1</v>
      </c>
      <c r="DU81" s="20"/>
      <c r="DV81" s="20">
        <v>1</v>
      </c>
      <c r="DW81" s="20">
        <v>1</v>
      </c>
      <c r="DX81" s="20"/>
      <c r="DY81" s="20"/>
      <c r="DZ81" s="20"/>
      <c r="EA81" s="21"/>
      <c r="EB81" s="20"/>
      <c r="EC81" s="20">
        <v>1</v>
      </c>
      <c r="ED81" s="20"/>
      <c r="EE81" s="20">
        <v>1</v>
      </c>
      <c r="EF81" s="20">
        <v>1</v>
      </c>
      <c r="EG81" s="20"/>
      <c r="EH81" s="20"/>
      <c r="EI81" s="20"/>
      <c r="EJ81" s="21"/>
      <c r="EK81" s="20"/>
      <c r="EL81" s="20">
        <v>1</v>
      </c>
      <c r="EM81" s="20"/>
      <c r="EN81" s="20">
        <v>1</v>
      </c>
      <c r="EO81" s="20">
        <v>1</v>
      </c>
      <c r="EP81" s="20"/>
      <c r="EQ81" s="20"/>
      <c r="ER81" s="20"/>
      <c r="ES81" s="21"/>
      <c r="ET81" s="20"/>
      <c r="EU81" s="20">
        <v>1</v>
      </c>
      <c r="EV81" s="20"/>
      <c r="EW81" s="20">
        <v>1</v>
      </c>
      <c r="EX81" s="20">
        <v>1</v>
      </c>
      <c r="EY81" s="20"/>
      <c r="EZ81" s="20"/>
      <c r="FA81" s="20"/>
      <c r="FB81" s="21"/>
      <c r="FC81" s="20"/>
      <c r="FD81" s="20">
        <v>1</v>
      </c>
      <c r="FE81" s="20"/>
      <c r="FF81" s="20">
        <v>1</v>
      </c>
      <c r="FG81" s="20">
        <v>1</v>
      </c>
      <c r="FH81" s="20"/>
      <c r="FI81" s="20"/>
      <c r="FJ81" s="20"/>
      <c r="FK81" s="21"/>
      <c r="FL81" s="20"/>
      <c r="FM81" s="20">
        <v>1</v>
      </c>
      <c r="FN81" s="20"/>
      <c r="FO81" s="20">
        <v>1</v>
      </c>
      <c r="FP81" s="20">
        <v>1</v>
      </c>
      <c r="FQ81" s="20"/>
      <c r="FR81" s="20"/>
      <c r="FS81" s="20"/>
      <c r="FT81" s="21"/>
      <c r="FU81" s="20"/>
      <c r="FV81" s="20">
        <v>1</v>
      </c>
      <c r="FW81" s="20"/>
      <c r="FX81" s="20">
        <v>1</v>
      </c>
      <c r="FY81" s="20">
        <v>1</v>
      </c>
      <c r="FZ81" s="20"/>
      <c r="GA81" s="20"/>
      <c r="GB81" s="20"/>
      <c r="GC81" s="21"/>
      <c r="GD81" s="20"/>
      <c r="GE81" s="20">
        <v>1</v>
      </c>
      <c r="GF81" s="20"/>
      <c r="GG81" s="20">
        <v>1</v>
      </c>
      <c r="GH81" s="20">
        <v>1</v>
      </c>
      <c r="GI81" s="20"/>
      <c r="GJ81" s="20"/>
      <c r="GK81" s="20"/>
      <c r="GL81" s="21"/>
      <c r="GM81" s="20"/>
      <c r="GN81" s="20">
        <v>1</v>
      </c>
      <c r="GO81" s="20"/>
      <c r="GP81" s="20">
        <v>1</v>
      </c>
      <c r="GQ81" s="20">
        <v>1</v>
      </c>
      <c r="GR81" s="20"/>
      <c r="GS81" s="20"/>
      <c r="GT81" s="20"/>
      <c r="GU81" s="21"/>
      <c r="GV81" s="20"/>
      <c r="GW81" s="20">
        <v>1</v>
      </c>
      <c r="GX81" s="20"/>
      <c r="GY81" s="20">
        <v>1</v>
      </c>
      <c r="GZ81" s="20">
        <v>1</v>
      </c>
      <c r="HA81" s="20"/>
      <c r="HB81" s="20"/>
      <c r="HC81" s="20"/>
      <c r="HD81" s="21"/>
      <c r="HE81" s="20"/>
      <c r="HF81" s="20"/>
      <c r="HG81" s="20"/>
      <c r="HH81" s="20"/>
      <c r="HI81" s="20"/>
      <c r="HJ81" s="20"/>
      <c r="HK81" s="20"/>
      <c r="HL81" s="20"/>
      <c r="HM81" s="21"/>
      <c r="HN81" s="20"/>
      <c r="HO81" s="20"/>
      <c r="HP81" s="20"/>
      <c r="HQ81" s="20"/>
      <c r="HR81" s="20"/>
      <c r="HS81" s="20"/>
      <c r="HT81" s="20"/>
      <c r="HU81" s="20"/>
      <c r="HV81" s="21"/>
      <c r="HW81" s="20"/>
      <c r="HX81" s="20"/>
      <c r="HY81" s="20"/>
      <c r="HZ81" s="20"/>
      <c r="IA81" s="20"/>
      <c r="IB81" s="20"/>
      <c r="IC81" s="20"/>
      <c r="ID81" s="20"/>
      <c r="IE81" s="21"/>
      <c r="IF81" s="20"/>
      <c r="IG81" s="20"/>
      <c r="IH81" s="20"/>
      <c r="II81" s="20"/>
      <c r="IJ81" s="20"/>
      <c r="IK81" s="20"/>
      <c r="IL81" s="20"/>
      <c r="IM81" s="20"/>
      <c r="IN81" s="21"/>
      <c r="IO81" s="20"/>
      <c r="IP81" s="20"/>
      <c r="IQ81" s="20"/>
      <c r="IR81" s="20"/>
      <c r="IS81" s="20"/>
      <c r="IT81" s="20"/>
      <c r="IU81" s="21"/>
      <c r="IV81" s="20"/>
      <c r="IW81" s="20"/>
      <c r="IX81" s="20"/>
      <c r="IY81" s="20"/>
      <c r="IZ81" s="20"/>
      <c r="JA81" s="20"/>
      <c r="JB81" s="21"/>
      <c r="JC81" s="20"/>
      <c r="JD81" s="20"/>
      <c r="JE81" s="20"/>
      <c r="JF81" s="20"/>
      <c r="JG81" s="20"/>
      <c r="JH81" s="20"/>
      <c r="JI81" s="21"/>
      <c r="JJ81" s="20"/>
      <c r="JK81" s="20"/>
      <c r="JL81" s="20"/>
      <c r="JM81" s="20"/>
      <c r="JN81" s="20"/>
      <c r="JO81" s="20"/>
      <c r="JP81" s="21"/>
      <c r="JQ81" s="20"/>
      <c r="JR81" s="20"/>
      <c r="JS81" s="20"/>
      <c r="JT81" s="20"/>
      <c r="JU81" s="20"/>
      <c r="JV81" s="20"/>
      <c r="JW81" s="21"/>
      <c r="JX81" s="20"/>
      <c r="JY81" s="20"/>
      <c r="JZ81" s="20"/>
      <c r="KA81" s="20"/>
      <c r="KB81" s="20"/>
      <c r="KC81" s="20"/>
      <c r="KD81" s="21"/>
      <c r="KE81" s="20"/>
      <c r="KF81" s="20"/>
      <c r="KG81" s="20"/>
      <c r="KH81" s="20"/>
      <c r="KI81" s="20"/>
      <c r="KJ81" s="20"/>
      <c r="KK81" s="21"/>
      <c r="KL81" s="20"/>
      <c r="KM81" s="20"/>
      <c r="KN81" s="20"/>
      <c r="KO81" s="20"/>
      <c r="KP81" s="20"/>
      <c r="KQ81" s="20"/>
      <c r="KR81" s="21"/>
      <c r="KS81" s="20"/>
      <c r="KT81" s="20"/>
      <c r="KU81" s="20"/>
      <c r="KV81" s="20"/>
      <c r="KW81" s="20"/>
      <c r="KX81" s="20"/>
      <c r="KY81" s="21"/>
      <c r="KZ81" s="20"/>
      <c r="LA81" s="20"/>
      <c r="LB81" s="20"/>
      <c r="LC81" s="20"/>
      <c r="LD81" s="20"/>
      <c r="LE81" s="20"/>
      <c r="LF81" s="21"/>
      <c r="LG81" s="20"/>
      <c r="LH81" s="20"/>
      <c r="LI81" s="20"/>
      <c r="LJ81" s="20"/>
      <c r="LK81" s="20"/>
      <c r="LL81" s="20"/>
      <c r="LM81" s="21"/>
      <c r="LN81" s="20"/>
      <c r="LO81" s="20"/>
      <c r="LP81" s="20"/>
      <c r="LQ81" s="20"/>
      <c r="LR81" s="20"/>
      <c r="LS81" s="20"/>
      <c r="LT81" s="21"/>
      <c r="LU81" s="20"/>
      <c r="LV81" s="20"/>
      <c r="LW81" s="20"/>
      <c r="LX81" s="20"/>
      <c r="LY81" s="20"/>
      <c r="LZ81" s="20"/>
      <c r="MA81" s="21"/>
      <c r="MB81" s="20"/>
      <c r="MC81" s="20"/>
      <c r="MD81" s="20"/>
      <c r="ME81" s="20"/>
      <c r="MF81" s="20"/>
      <c r="MG81" s="20"/>
      <c r="MH81" s="21"/>
      <c r="MI81" s="20"/>
      <c r="MJ81" s="20"/>
      <c r="MK81" s="20"/>
      <c r="ML81" s="20"/>
      <c r="MM81" s="20"/>
      <c r="MN81" s="20"/>
      <c r="MO81" s="21"/>
      <c r="MP81" s="20"/>
      <c r="MQ81" s="20"/>
      <c r="MR81" s="20"/>
      <c r="MS81" s="20"/>
      <c r="MT81" s="20"/>
      <c r="MU81" s="20"/>
      <c r="MV81" s="21"/>
      <c r="MW81" s="20"/>
      <c r="MX81" s="20"/>
      <c r="MY81" s="20"/>
      <c r="MZ81" s="20"/>
      <c r="NA81" s="20"/>
      <c r="NB81" s="20"/>
      <c r="NC81" s="21"/>
      <c r="ND81" s="20"/>
      <c r="NE81" s="20"/>
      <c r="NF81" s="20"/>
      <c r="NG81" s="20"/>
      <c r="NH81" s="20"/>
      <c r="NI81" s="20"/>
      <c r="NJ81" s="21"/>
    </row>
    <row r="82" spans="1:374" ht="15.75" thickBot="1" x14ac:dyDescent="0.3">
      <c r="A82" s="64" t="s">
        <v>248</v>
      </c>
      <c r="B82" s="62"/>
      <c r="C82" s="62"/>
      <c r="D82" s="62"/>
      <c r="E82" s="63"/>
      <c r="F82" s="62"/>
      <c r="G82" s="62"/>
      <c r="H82" s="62"/>
      <c r="I82" s="62"/>
      <c r="J82" s="62"/>
      <c r="K82" s="62"/>
      <c r="L82" s="62"/>
      <c r="M82" s="62"/>
      <c r="N82" s="62"/>
      <c r="O82" s="63"/>
      <c r="P82" s="85">
        <f>VisibleSum(P76:P79)</f>
        <v>15.333333333333334</v>
      </c>
      <c r="Q82" s="62">
        <f>P82 / P81 * 100</f>
        <v>34.848484848484851</v>
      </c>
      <c r="R82" s="86"/>
      <c r="S82" s="63" t="str">
        <f>IF(SUM(S45:S68, S76:S79) &gt; 0, SUM(S45:S68, S76:S79), "")</f>
        <v/>
      </c>
      <c r="T82" s="62" t="str">
        <f t="shared" ref="T82:U82" si="432">IF(SUM(T75:T80) &gt; 0, SUM(T75:T80), "")</f>
        <v/>
      </c>
      <c r="U82" s="62" t="str">
        <f t="shared" si="432"/>
        <v/>
      </c>
      <c r="V82" s="62" t="str">
        <f t="shared" ref="V82" si="433">IF(SUM(V75:V80) &gt; 0, SUM(V75:V80), "")</f>
        <v/>
      </c>
      <c r="W82" s="62" t="str">
        <f t="shared" ref="W82" si="434">IF(SUM(W75:W80) &gt; 0, SUM(W75:W80), "")</f>
        <v/>
      </c>
      <c r="X82" s="62" t="str">
        <f t="shared" ref="X82" si="435">IF(SUM(X75:X80) &gt; 0, SUM(X75:X80), "")</f>
        <v/>
      </c>
      <c r="Y82" s="62" t="str">
        <f t="shared" ref="Y82" si="436">IF(SUM(Y75:Y80) &gt; 0, SUM(Y75:Y80), "")</f>
        <v/>
      </c>
      <c r="Z82" s="63" t="str">
        <f t="shared" ref="Z82:AB82" si="437">IF(SUM(Z75:Z80) &gt; 0, SUM(Z75:Z80), "")</f>
        <v/>
      </c>
      <c r="AA82" s="62" t="str">
        <f t="shared" si="437"/>
        <v/>
      </c>
      <c r="AB82" s="62" t="str">
        <f t="shared" si="437"/>
        <v/>
      </c>
      <c r="AC82" s="62" t="str">
        <f t="shared" ref="AC82" si="438">IF(SUM(AC75:AC80) &gt; 0, SUM(AC75:AC80), "")</f>
        <v/>
      </c>
      <c r="AD82" s="62" t="str">
        <f t="shared" ref="AD82" si="439">IF(SUM(AD75:AD80) &gt; 0, SUM(AD75:AD80), "")</f>
        <v/>
      </c>
      <c r="AE82" s="62" t="str">
        <f t="shared" ref="AE82" si="440">IF(SUM(AE75:AE80) &gt; 0, SUM(AE75:AE80), "")</f>
        <v/>
      </c>
      <c r="AF82" s="62" t="str">
        <f t="shared" ref="AF82" si="441">IF(SUM(AF75:AF80) &gt; 0, SUM(AF75:AF80), "")</f>
        <v/>
      </c>
      <c r="AG82" s="63" t="str">
        <f t="shared" ref="AG82" si="442">IF(SUM(AG75:AG80) &gt; 0, SUM(AG75:AG80), "")</f>
        <v/>
      </c>
      <c r="AH82" s="62" t="str">
        <f>IF(SUM(AH75:AH80) &gt; 0, SUM(AH75:AH80), "")</f>
        <v/>
      </c>
      <c r="AI82" s="62" t="str">
        <f>IF(SUM(AI75:AI80) &gt; 0, SUM(AI75:AI80), "")</f>
        <v/>
      </c>
      <c r="AJ82" s="62" t="str">
        <f t="shared" ref="AJ82:AN82" si="443">IF(SUM(AJ75:AJ80) &gt; 0, SUM(AJ75:AJ80), "")</f>
        <v/>
      </c>
      <c r="AK82" s="62">
        <f t="shared" si="443"/>
        <v>3</v>
      </c>
      <c r="AL82" s="62" t="str">
        <f t="shared" si="443"/>
        <v/>
      </c>
      <c r="AM82" s="62" t="str">
        <f t="shared" si="443"/>
        <v/>
      </c>
      <c r="AN82" s="63" t="str">
        <f t="shared" si="443"/>
        <v/>
      </c>
      <c r="AO82" s="62" t="str">
        <f>IF(SUM(AO75:AO80) &gt; 0, SUM(AO75:AO80), "")</f>
        <v/>
      </c>
      <c r="AP82" s="62">
        <f>IF(SUM(AP75:AP80) &gt; 0, SUM(AP75:AP80), "")</f>
        <v>2</v>
      </c>
      <c r="AQ82" s="62" t="str">
        <f t="shared" ref="AQ82" si="444">IF(SUM(AQ75:AQ80) &gt; 0, SUM(AQ75:AQ80), "")</f>
        <v/>
      </c>
      <c r="AR82" s="62">
        <f t="shared" ref="AR82" si="445">IF(SUM(AR75:AR80) &gt; 0, SUM(AR75:AR80), "")</f>
        <v>1</v>
      </c>
      <c r="AS82" s="62" t="str">
        <f t="shared" ref="AS82" si="446">IF(SUM(AS75:AS80) &gt; 0, SUM(AS75:AS80), "")</f>
        <v/>
      </c>
      <c r="AT82" s="62" t="str">
        <f t="shared" ref="AT82" si="447">IF(SUM(AT75:AT80) &gt; 0, SUM(AT75:AT80), "")</f>
        <v/>
      </c>
      <c r="AU82" s="63" t="str">
        <f t="shared" ref="AU82" si="448">IF(SUM(AU75:AU80) &gt; 0, SUM(AU75:AU80), "")</f>
        <v/>
      </c>
      <c r="AV82" s="62" t="str">
        <f>IF(SUM(AV75:AV80) &gt; 0, SUM(AV75:AV80), "")</f>
        <v/>
      </c>
      <c r="AW82" s="62">
        <f>IF(SUM(AW75:AW80) &gt; 0, SUM(AW75:AW80), "")</f>
        <v>2</v>
      </c>
      <c r="AX82" s="62" t="str">
        <f t="shared" ref="AX82" si="449">IF(SUM(AX75:AX80) &gt; 0, SUM(AX75:AX80), "")</f>
        <v/>
      </c>
      <c r="AY82" s="62">
        <f t="shared" ref="AY82" si="450">IF(SUM(AY75:AY80) &gt; 0, SUM(AY75:AY80), "")</f>
        <v>1</v>
      </c>
      <c r="AZ82" s="62" t="str">
        <f t="shared" ref="AZ82" si="451">IF(SUM(AZ75:AZ80) &gt; 0, SUM(AZ75:AZ80), "")</f>
        <v/>
      </c>
      <c r="BA82" s="62" t="str">
        <f t="shared" ref="BA82" si="452">IF(SUM(BA75:BA80) &gt; 0, SUM(BA75:BA80), "")</f>
        <v/>
      </c>
      <c r="BB82" s="63" t="str">
        <f t="shared" ref="BB82" si="453">IF(SUM(BB75:BB80) &gt; 0, SUM(BB75:BB80), "")</f>
        <v/>
      </c>
      <c r="BC82" s="62" t="str">
        <f>IF(SUM(BC75:BC80) &gt; 0, SUM(BC75:BC80), "")</f>
        <v/>
      </c>
      <c r="BD82" s="62">
        <f>IF(SUM(BD75:BD80) &gt; 0, SUM(BD75:BD80), "")</f>
        <v>3</v>
      </c>
      <c r="BE82" s="62" t="str">
        <f t="shared" ref="BE82:ED82" si="454">IF(SUM(BE75:BE80) &gt; 0, SUM(BE75:BE80), "")</f>
        <v/>
      </c>
      <c r="BF82" s="62">
        <f t="shared" si="454"/>
        <v>2</v>
      </c>
      <c r="BG82" s="62" t="str">
        <f t="shared" si="454"/>
        <v/>
      </c>
      <c r="BH82" s="62" t="str">
        <f t="shared" si="454"/>
        <v/>
      </c>
      <c r="BI82" s="63" t="str">
        <f t="shared" si="454"/>
        <v/>
      </c>
      <c r="BJ82" s="62" t="str">
        <f t="shared" si="454"/>
        <v/>
      </c>
      <c r="BK82" s="62">
        <f t="shared" si="454"/>
        <v>2</v>
      </c>
      <c r="BL82" s="62" t="str">
        <f t="shared" si="454"/>
        <v/>
      </c>
      <c r="BM82" s="62">
        <f t="shared" si="454"/>
        <v>3</v>
      </c>
      <c r="BN82" s="62">
        <f t="shared" si="454"/>
        <v>2</v>
      </c>
      <c r="BO82" s="62" t="str">
        <f t="shared" si="454"/>
        <v/>
      </c>
      <c r="BP82" s="63">
        <f t="shared" si="454"/>
        <v>1</v>
      </c>
      <c r="BQ82" s="62" t="str">
        <f t="shared" si="454"/>
        <v/>
      </c>
      <c r="BR82" s="62" t="str">
        <f t="shared" si="454"/>
        <v/>
      </c>
      <c r="BS82" s="62" t="str">
        <f t="shared" si="454"/>
        <v/>
      </c>
      <c r="BT82" s="62" t="str">
        <f t="shared" si="454"/>
        <v/>
      </c>
      <c r="BU82" s="62" t="str">
        <f t="shared" si="454"/>
        <v/>
      </c>
      <c r="BV82" s="62" t="str">
        <f t="shared" si="454"/>
        <v/>
      </c>
      <c r="BW82" s="62">
        <f t="shared" ref="BW82" si="455">IF(SUM(BW75:BW80) &gt; 0, SUM(BW75:BW80), "")</f>
        <v>2</v>
      </c>
      <c r="BX82" s="62"/>
      <c r="BY82" s="63" t="str">
        <f t="shared" si="454"/>
        <v/>
      </c>
      <c r="BZ82" s="62" t="str">
        <f t="shared" si="454"/>
        <v/>
      </c>
      <c r="CA82" s="62" t="str">
        <f t="shared" si="454"/>
        <v/>
      </c>
      <c r="CB82" s="62" t="str">
        <f t="shared" si="454"/>
        <v/>
      </c>
      <c r="CC82" s="62" t="str">
        <f t="shared" si="454"/>
        <v/>
      </c>
      <c r="CD82" s="62" t="str">
        <f t="shared" si="454"/>
        <v/>
      </c>
      <c r="CE82" s="62" t="str">
        <f t="shared" si="454"/>
        <v/>
      </c>
      <c r="CF82" s="62"/>
      <c r="CG82" s="62"/>
      <c r="CH82" s="63" t="str">
        <f t="shared" si="454"/>
        <v/>
      </c>
      <c r="CI82" s="62" t="str">
        <f t="shared" si="454"/>
        <v/>
      </c>
      <c r="CJ82" s="62" t="str">
        <f t="shared" si="454"/>
        <v/>
      </c>
      <c r="CK82" s="62" t="str">
        <f t="shared" si="454"/>
        <v/>
      </c>
      <c r="CL82" s="62" t="str">
        <f t="shared" si="454"/>
        <v/>
      </c>
      <c r="CM82" s="62" t="str">
        <f t="shared" si="454"/>
        <v/>
      </c>
      <c r="CN82" s="62" t="str">
        <f t="shared" si="454"/>
        <v/>
      </c>
      <c r="CO82" s="62" t="str">
        <f t="shared" ref="CO82" si="456">IF(SUM(CO75:CO80) &gt; 0, SUM(CO75:CO80), "")</f>
        <v/>
      </c>
      <c r="CP82" s="62"/>
      <c r="CQ82" s="63" t="str">
        <f t="shared" si="454"/>
        <v/>
      </c>
      <c r="CR82" s="62" t="str">
        <f t="shared" si="454"/>
        <v/>
      </c>
      <c r="CS82" s="62" t="str">
        <f t="shared" si="454"/>
        <v/>
      </c>
      <c r="CT82" s="62" t="str">
        <f t="shared" si="454"/>
        <v/>
      </c>
      <c r="CU82" s="62" t="str">
        <f t="shared" si="454"/>
        <v/>
      </c>
      <c r="CV82" s="62" t="str">
        <f t="shared" si="454"/>
        <v/>
      </c>
      <c r="CW82" s="62"/>
      <c r="CX82" s="62"/>
      <c r="CY82" s="62" t="str">
        <f t="shared" si="454"/>
        <v/>
      </c>
      <c r="CZ82" s="63" t="str">
        <f t="shared" si="454"/>
        <v/>
      </c>
      <c r="DA82" s="62" t="str">
        <f t="shared" si="454"/>
        <v/>
      </c>
      <c r="DB82" s="62" t="str">
        <f t="shared" si="454"/>
        <v/>
      </c>
      <c r="DC82" s="62" t="str">
        <f t="shared" si="454"/>
        <v/>
      </c>
      <c r="DD82" s="62" t="str">
        <f t="shared" si="454"/>
        <v/>
      </c>
      <c r="DE82" s="62" t="str">
        <f t="shared" si="454"/>
        <v/>
      </c>
      <c r="DF82" s="62" t="str">
        <f t="shared" si="454"/>
        <v/>
      </c>
      <c r="DG82" s="62"/>
      <c r="DH82" s="62"/>
      <c r="DI82" s="63" t="str">
        <f t="shared" si="454"/>
        <v/>
      </c>
      <c r="DJ82" s="62" t="str">
        <f t="shared" si="454"/>
        <v/>
      </c>
      <c r="DK82" s="62" t="str">
        <f t="shared" si="454"/>
        <v/>
      </c>
      <c r="DL82" s="62" t="str">
        <f t="shared" si="454"/>
        <v/>
      </c>
      <c r="DM82" s="62" t="str">
        <f t="shared" si="454"/>
        <v/>
      </c>
      <c r="DN82" s="62" t="str">
        <f t="shared" si="454"/>
        <v/>
      </c>
      <c r="DO82" s="62" t="str">
        <f t="shared" si="454"/>
        <v/>
      </c>
      <c r="DP82" s="62"/>
      <c r="DQ82" s="62"/>
      <c r="DR82" s="63" t="str">
        <f t="shared" si="454"/>
        <v/>
      </c>
      <c r="DS82" s="62" t="str">
        <f t="shared" si="454"/>
        <v/>
      </c>
      <c r="DT82" s="62">
        <f t="shared" si="454"/>
        <v>1</v>
      </c>
      <c r="DU82" s="62" t="str">
        <f t="shared" si="454"/>
        <v/>
      </c>
      <c r="DV82" s="62">
        <f t="shared" si="454"/>
        <v>2</v>
      </c>
      <c r="DW82" s="62">
        <f t="shared" si="454"/>
        <v>1</v>
      </c>
      <c r="DX82" s="62"/>
      <c r="DY82" s="62"/>
      <c r="DZ82" s="62" t="str">
        <f t="shared" si="454"/>
        <v/>
      </c>
      <c r="EA82" s="63" t="str">
        <f t="shared" si="454"/>
        <v/>
      </c>
      <c r="EB82" s="62" t="str">
        <f t="shared" si="454"/>
        <v/>
      </c>
      <c r="EC82" s="62">
        <f t="shared" si="454"/>
        <v>1</v>
      </c>
      <c r="ED82" s="62" t="str">
        <f t="shared" si="454"/>
        <v/>
      </c>
      <c r="EE82" s="62">
        <f t="shared" ref="EE82:HH82" si="457">IF(SUM(EE75:EE80) &gt; 0, SUM(EE75:EE80), "")</f>
        <v>1</v>
      </c>
      <c r="EF82" s="62">
        <v>0</v>
      </c>
      <c r="EG82" s="62"/>
      <c r="EH82" s="62"/>
      <c r="EI82" s="62" t="str">
        <f t="shared" si="457"/>
        <v/>
      </c>
      <c r="EJ82" s="63" t="str">
        <f t="shared" si="457"/>
        <v/>
      </c>
      <c r="EK82" s="62" t="str">
        <f t="shared" si="457"/>
        <v/>
      </c>
      <c r="EL82" s="62">
        <f t="shared" si="457"/>
        <v>1</v>
      </c>
      <c r="EM82" s="62" t="str">
        <f t="shared" si="457"/>
        <v/>
      </c>
      <c r="EN82" s="62">
        <f t="shared" si="457"/>
        <v>1</v>
      </c>
      <c r="EO82" s="62">
        <f t="shared" si="457"/>
        <v>2</v>
      </c>
      <c r="EP82" s="62" t="str">
        <f t="shared" si="457"/>
        <v/>
      </c>
      <c r="EQ82" s="62"/>
      <c r="ER82" s="62"/>
      <c r="ES82" s="63" t="str">
        <f t="shared" si="457"/>
        <v/>
      </c>
      <c r="ET82" s="62" t="str">
        <f t="shared" si="457"/>
        <v/>
      </c>
      <c r="EU82" s="62">
        <f t="shared" si="457"/>
        <v>1</v>
      </c>
      <c r="EV82" s="62" t="str">
        <f t="shared" si="457"/>
        <v/>
      </c>
      <c r="EW82" s="62">
        <f t="shared" si="457"/>
        <v>1</v>
      </c>
      <c r="EX82" s="62">
        <f t="shared" si="457"/>
        <v>1</v>
      </c>
      <c r="EY82" s="62" t="str">
        <f t="shared" si="457"/>
        <v/>
      </c>
      <c r="EZ82" s="62"/>
      <c r="FA82" s="62"/>
      <c r="FB82" s="63" t="str">
        <f t="shared" si="457"/>
        <v/>
      </c>
      <c r="FC82" s="62" t="str">
        <f t="shared" si="457"/>
        <v/>
      </c>
      <c r="FD82" s="62">
        <f t="shared" si="457"/>
        <v>1</v>
      </c>
      <c r="FE82" s="62" t="str">
        <f t="shared" si="457"/>
        <v/>
      </c>
      <c r="FF82" s="62">
        <f t="shared" si="457"/>
        <v>1</v>
      </c>
      <c r="FG82" s="62">
        <f t="shared" si="457"/>
        <v>1</v>
      </c>
      <c r="FH82" s="62" t="str">
        <f t="shared" si="457"/>
        <v/>
      </c>
      <c r="FI82" s="62"/>
      <c r="FJ82" s="62"/>
      <c r="FK82" s="63" t="str">
        <f t="shared" si="457"/>
        <v/>
      </c>
      <c r="FL82" s="62" t="str">
        <f t="shared" si="457"/>
        <v/>
      </c>
      <c r="FM82" s="62">
        <f t="shared" si="457"/>
        <v>1</v>
      </c>
      <c r="FN82" s="62" t="str">
        <f t="shared" si="457"/>
        <v/>
      </c>
      <c r="FO82" s="62">
        <f t="shared" si="457"/>
        <v>1</v>
      </c>
      <c r="FP82" s="62">
        <f t="shared" si="457"/>
        <v>1</v>
      </c>
      <c r="FQ82" s="62" t="str">
        <f t="shared" si="457"/>
        <v/>
      </c>
      <c r="FR82" s="62"/>
      <c r="FS82" s="62"/>
      <c r="FT82" s="63" t="str">
        <f t="shared" si="457"/>
        <v/>
      </c>
      <c r="FU82" s="62" t="str">
        <f t="shared" si="457"/>
        <v/>
      </c>
      <c r="FV82" s="62">
        <f t="shared" si="457"/>
        <v>1</v>
      </c>
      <c r="FW82" s="62" t="str">
        <f t="shared" si="457"/>
        <v/>
      </c>
      <c r="FX82" s="62">
        <f t="shared" si="457"/>
        <v>1</v>
      </c>
      <c r="FY82" s="62">
        <f t="shared" si="457"/>
        <v>2</v>
      </c>
      <c r="FZ82" s="62" t="str">
        <f t="shared" si="457"/>
        <v/>
      </c>
      <c r="GA82" s="62"/>
      <c r="GB82" s="62"/>
      <c r="GC82" s="63" t="str">
        <f t="shared" si="457"/>
        <v/>
      </c>
      <c r="GD82" s="62" t="str">
        <f t="shared" si="457"/>
        <v/>
      </c>
      <c r="GE82" s="62">
        <f t="shared" si="457"/>
        <v>1</v>
      </c>
      <c r="GF82" s="62" t="str">
        <f t="shared" si="457"/>
        <v/>
      </c>
      <c r="GG82" s="62">
        <f t="shared" si="457"/>
        <v>1</v>
      </c>
      <c r="GH82" s="62">
        <f t="shared" si="457"/>
        <v>1</v>
      </c>
      <c r="GI82" s="62" t="str">
        <f t="shared" si="457"/>
        <v/>
      </c>
      <c r="GJ82" s="62"/>
      <c r="GK82" s="62"/>
      <c r="GL82" s="63" t="str">
        <f t="shared" si="457"/>
        <v/>
      </c>
      <c r="GM82" s="62" t="str">
        <f t="shared" si="457"/>
        <v/>
      </c>
      <c r="GN82" s="62">
        <f t="shared" si="457"/>
        <v>1</v>
      </c>
      <c r="GO82" s="62" t="str">
        <f t="shared" si="457"/>
        <v/>
      </c>
      <c r="GP82" s="62">
        <f t="shared" si="457"/>
        <v>2</v>
      </c>
      <c r="GQ82" s="62">
        <f t="shared" si="457"/>
        <v>1</v>
      </c>
      <c r="GR82" s="62" t="str">
        <f t="shared" si="457"/>
        <v/>
      </c>
      <c r="GS82" s="62"/>
      <c r="GT82" s="62"/>
      <c r="GU82" s="63" t="str">
        <f t="shared" si="457"/>
        <v/>
      </c>
      <c r="GV82" s="62" t="str">
        <f t="shared" si="457"/>
        <v/>
      </c>
      <c r="GW82" s="62" t="str">
        <f t="shared" si="457"/>
        <v/>
      </c>
      <c r="GX82" s="62" t="str">
        <f t="shared" si="457"/>
        <v/>
      </c>
      <c r="GY82" s="62" t="str">
        <f t="shared" si="457"/>
        <v/>
      </c>
      <c r="GZ82" s="62" t="str">
        <f t="shared" si="457"/>
        <v/>
      </c>
      <c r="HA82" s="62" t="str">
        <f t="shared" si="457"/>
        <v/>
      </c>
      <c r="HB82" s="62"/>
      <c r="HC82" s="62"/>
      <c r="HD82" s="63" t="str">
        <f t="shared" si="457"/>
        <v/>
      </c>
      <c r="HE82" s="62" t="str">
        <f t="shared" si="457"/>
        <v/>
      </c>
      <c r="HF82" s="62" t="str">
        <f t="shared" si="457"/>
        <v/>
      </c>
      <c r="HG82" s="62" t="str">
        <f t="shared" si="457"/>
        <v/>
      </c>
      <c r="HH82" s="62" t="str">
        <f t="shared" si="457"/>
        <v/>
      </c>
      <c r="HI82" s="62" t="str">
        <f t="shared" ref="HI82:KB82" si="458">IF(SUM(HI75:HI80) &gt; 0, SUM(HI75:HI80), "")</f>
        <v/>
      </c>
      <c r="HJ82" s="62" t="str">
        <f t="shared" si="458"/>
        <v/>
      </c>
      <c r="HK82" s="62"/>
      <c r="HL82" s="62"/>
      <c r="HM82" s="63" t="str">
        <f t="shared" si="458"/>
        <v/>
      </c>
      <c r="HN82" s="62" t="str">
        <f t="shared" si="458"/>
        <v/>
      </c>
      <c r="HO82" s="62" t="str">
        <f t="shared" si="458"/>
        <v/>
      </c>
      <c r="HP82" s="62" t="str">
        <f t="shared" si="458"/>
        <v/>
      </c>
      <c r="HQ82" s="62" t="str">
        <f t="shared" si="458"/>
        <v/>
      </c>
      <c r="HR82" s="62" t="str">
        <f t="shared" si="458"/>
        <v/>
      </c>
      <c r="HS82" s="62" t="str">
        <f t="shared" si="458"/>
        <v/>
      </c>
      <c r="HT82" s="62"/>
      <c r="HU82" s="62"/>
      <c r="HV82" s="63" t="str">
        <f t="shared" si="458"/>
        <v/>
      </c>
      <c r="HW82" s="62" t="str">
        <f t="shared" si="458"/>
        <v/>
      </c>
      <c r="HX82" s="62" t="str">
        <f t="shared" si="458"/>
        <v/>
      </c>
      <c r="HY82" s="62" t="str">
        <f t="shared" si="458"/>
        <v/>
      </c>
      <c r="HZ82" s="62" t="str">
        <f t="shared" si="458"/>
        <v/>
      </c>
      <c r="IA82" s="62" t="str">
        <f t="shared" si="458"/>
        <v/>
      </c>
      <c r="IB82" s="62" t="str">
        <f t="shared" si="458"/>
        <v/>
      </c>
      <c r="IC82" s="62"/>
      <c r="ID82" s="62"/>
      <c r="IE82" s="63" t="str">
        <f t="shared" si="458"/>
        <v/>
      </c>
      <c r="IF82" s="62" t="str">
        <f t="shared" si="458"/>
        <v/>
      </c>
      <c r="IG82" s="62" t="str">
        <f t="shared" si="458"/>
        <v/>
      </c>
      <c r="IH82" s="62" t="str">
        <f t="shared" si="458"/>
        <v/>
      </c>
      <c r="II82" s="62" t="str">
        <f t="shared" si="458"/>
        <v/>
      </c>
      <c r="IJ82" s="62" t="str">
        <f t="shared" si="458"/>
        <v/>
      </c>
      <c r="IK82" s="62" t="str">
        <f t="shared" si="458"/>
        <v/>
      </c>
      <c r="IL82" s="62"/>
      <c r="IM82" s="62"/>
      <c r="IN82" s="63" t="str">
        <f t="shared" si="458"/>
        <v/>
      </c>
      <c r="IO82" s="62" t="str">
        <f t="shared" si="458"/>
        <v/>
      </c>
      <c r="IP82" s="62" t="str">
        <f t="shared" si="458"/>
        <v/>
      </c>
      <c r="IQ82" s="62" t="str">
        <f t="shared" si="458"/>
        <v/>
      </c>
      <c r="IR82" s="62" t="str">
        <f t="shared" si="458"/>
        <v/>
      </c>
      <c r="IS82" s="62" t="str">
        <f t="shared" si="458"/>
        <v/>
      </c>
      <c r="IT82" s="62" t="str">
        <f t="shared" si="458"/>
        <v/>
      </c>
      <c r="IU82" s="63" t="str">
        <f t="shared" si="458"/>
        <v/>
      </c>
      <c r="IV82" s="62" t="str">
        <f t="shared" si="458"/>
        <v/>
      </c>
      <c r="IW82" s="62" t="str">
        <f t="shared" si="458"/>
        <v/>
      </c>
      <c r="IX82" s="62" t="str">
        <f t="shared" si="458"/>
        <v/>
      </c>
      <c r="IY82" s="62" t="str">
        <f t="shared" si="458"/>
        <v/>
      </c>
      <c r="IZ82" s="62" t="str">
        <f t="shared" si="458"/>
        <v/>
      </c>
      <c r="JA82" s="62" t="str">
        <f t="shared" si="458"/>
        <v/>
      </c>
      <c r="JB82" s="63" t="str">
        <f t="shared" si="458"/>
        <v/>
      </c>
      <c r="JC82" s="62" t="str">
        <f t="shared" si="458"/>
        <v/>
      </c>
      <c r="JD82" s="62" t="str">
        <f t="shared" si="458"/>
        <v/>
      </c>
      <c r="JE82" s="62" t="str">
        <f t="shared" si="458"/>
        <v/>
      </c>
      <c r="JF82" s="62" t="str">
        <f t="shared" si="458"/>
        <v/>
      </c>
      <c r="JG82" s="62" t="str">
        <f t="shared" si="458"/>
        <v/>
      </c>
      <c r="JH82" s="62" t="str">
        <f t="shared" si="458"/>
        <v/>
      </c>
      <c r="JI82" s="63" t="str">
        <f t="shared" si="458"/>
        <v/>
      </c>
      <c r="JJ82" s="62" t="str">
        <f t="shared" si="458"/>
        <v/>
      </c>
      <c r="JK82" s="62" t="str">
        <f t="shared" si="458"/>
        <v/>
      </c>
      <c r="JL82" s="62" t="str">
        <f t="shared" si="458"/>
        <v/>
      </c>
      <c r="JM82" s="62" t="str">
        <f t="shared" si="458"/>
        <v/>
      </c>
      <c r="JN82" s="62" t="str">
        <f t="shared" si="458"/>
        <v/>
      </c>
      <c r="JO82" s="62" t="str">
        <f t="shared" si="458"/>
        <v/>
      </c>
      <c r="JP82" s="63" t="str">
        <f t="shared" si="458"/>
        <v/>
      </c>
      <c r="JQ82" s="62" t="str">
        <f t="shared" si="458"/>
        <v/>
      </c>
      <c r="JR82" s="62" t="str">
        <f t="shared" si="458"/>
        <v/>
      </c>
      <c r="JS82" s="62" t="str">
        <f t="shared" si="458"/>
        <v/>
      </c>
      <c r="JT82" s="62" t="str">
        <f t="shared" si="458"/>
        <v/>
      </c>
      <c r="JU82" s="62" t="str">
        <f t="shared" si="458"/>
        <v/>
      </c>
      <c r="JV82" s="62" t="str">
        <f t="shared" si="458"/>
        <v/>
      </c>
      <c r="JW82" s="63" t="str">
        <f t="shared" si="458"/>
        <v/>
      </c>
      <c r="JX82" s="62" t="str">
        <f t="shared" si="458"/>
        <v/>
      </c>
      <c r="JY82" s="62" t="str">
        <f t="shared" si="458"/>
        <v/>
      </c>
      <c r="JZ82" s="62" t="str">
        <f t="shared" si="458"/>
        <v/>
      </c>
      <c r="KA82" s="62" t="str">
        <f t="shared" si="458"/>
        <v/>
      </c>
      <c r="KB82" s="62" t="str">
        <f t="shared" si="458"/>
        <v/>
      </c>
      <c r="KC82" s="62" t="str">
        <f t="shared" ref="KC82:MN82" si="459">IF(SUM(KC75:KC80) &gt; 0, SUM(KC75:KC80), "")</f>
        <v/>
      </c>
      <c r="KD82" s="63" t="str">
        <f t="shared" si="459"/>
        <v/>
      </c>
      <c r="KE82" s="62" t="str">
        <f t="shared" si="459"/>
        <v/>
      </c>
      <c r="KF82" s="62" t="str">
        <f t="shared" si="459"/>
        <v/>
      </c>
      <c r="KG82" s="62" t="str">
        <f t="shared" si="459"/>
        <v/>
      </c>
      <c r="KH82" s="62" t="str">
        <f t="shared" si="459"/>
        <v/>
      </c>
      <c r="KI82" s="62" t="str">
        <f t="shared" si="459"/>
        <v/>
      </c>
      <c r="KJ82" s="62" t="str">
        <f t="shared" si="459"/>
        <v/>
      </c>
      <c r="KK82" s="63" t="str">
        <f t="shared" si="459"/>
        <v/>
      </c>
      <c r="KL82" s="62" t="str">
        <f t="shared" si="459"/>
        <v/>
      </c>
      <c r="KM82" s="62" t="str">
        <f t="shared" si="459"/>
        <v/>
      </c>
      <c r="KN82" s="62" t="str">
        <f t="shared" si="459"/>
        <v/>
      </c>
      <c r="KO82" s="62" t="str">
        <f t="shared" si="459"/>
        <v/>
      </c>
      <c r="KP82" s="62" t="str">
        <f t="shared" si="459"/>
        <v/>
      </c>
      <c r="KQ82" s="62" t="str">
        <f t="shared" si="459"/>
        <v/>
      </c>
      <c r="KR82" s="63" t="str">
        <f t="shared" si="459"/>
        <v/>
      </c>
      <c r="KS82" s="62" t="str">
        <f t="shared" si="459"/>
        <v/>
      </c>
      <c r="KT82" s="62" t="str">
        <f t="shared" si="459"/>
        <v/>
      </c>
      <c r="KU82" s="62" t="str">
        <f t="shared" si="459"/>
        <v/>
      </c>
      <c r="KV82" s="62" t="str">
        <f t="shared" si="459"/>
        <v/>
      </c>
      <c r="KW82" s="62" t="str">
        <f t="shared" si="459"/>
        <v/>
      </c>
      <c r="KX82" s="62" t="str">
        <f t="shared" si="459"/>
        <v/>
      </c>
      <c r="KY82" s="63" t="str">
        <f t="shared" si="459"/>
        <v/>
      </c>
      <c r="KZ82" s="62" t="str">
        <f t="shared" si="459"/>
        <v/>
      </c>
      <c r="LA82" s="62" t="str">
        <f t="shared" si="459"/>
        <v/>
      </c>
      <c r="LB82" s="62" t="str">
        <f t="shared" si="459"/>
        <v/>
      </c>
      <c r="LC82" s="62" t="str">
        <f t="shared" si="459"/>
        <v/>
      </c>
      <c r="LD82" s="62" t="str">
        <f t="shared" si="459"/>
        <v/>
      </c>
      <c r="LE82" s="62" t="str">
        <f t="shared" si="459"/>
        <v/>
      </c>
      <c r="LF82" s="63" t="str">
        <f t="shared" si="459"/>
        <v/>
      </c>
      <c r="LG82" s="62" t="str">
        <f t="shared" si="459"/>
        <v/>
      </c>
      <c r="LH82" s="62" t="str">
        <f t="shared" si="459"/>
        <v/>
      </c>
      <c r="LI82" s="62" t="str">
        <f t="shared" si="459"/>
        <v/>
      </c>
      <c r="LJ82" s="62" t="str">
        <f t="shared" si="459"/>
        <v/>
      </c>
      <c r="LK82" s="62" t="str">
        <f t="shared" si="459"/>
        <v/>
      </c>
      <c r="LL82" s="62" t="str">
        <f t="shared" si="459"/>
        <v/>
      </c>
      <c r="LM82" s="63" t="str">
        <f t="shared" si="459"/>
        <v/>
      </c>
      <c r="LN82" s="62" t="str">
        <f t="shared" si="459"/>
        <v/>
      </c>
      <c r="LO82" s="62" t="str">
        <f t="shared" si="459"/>
        <v/>
      </c>
      <c r="LP82" s="62" t="str">
        <f t="shared" si="459"/>
        <v/>
      </c>
      <c r="LQ82" s="62" t="str">
        <f t="shared" si="459"/>
        <v/>
      </c>
      <c r="LR82" s="62" t="str">
        <f t="shared" si="459"/>
        <v/>
      </c>
      <c r="LS82" s="62" t="str">
        <f t="shared" si="459"/>
        <v/>
      </c>
      <c r="LT82" s="63" t="str">
        <f t="shared" si="459"/>
        <v/>
      </c>
      <c r="LU82" s="62" t="str">
        <f t="shared" si="459"/>
        <v/>
      </c>
      <c r="LV82" s="62" t="str">
        <f t="shared" si="459"/>
        <v/>
      </c>
      <c r="LW82" s="62" t="str">
        <f t="shared" si="459"/>
        <v/>
      </c>
      <c r="LX82" s="62" t="str">
        <f t="shared" si="459"/>
        <v/>
      </c>
      <c r="LY82" s="62" t="str">
        <f t="shared" si="459"/>
        <v/>
      </c>
      <c r="LZ82" s="62" t="str">
        <f t="shared" si="459"/>
        <v/>
      </c>
      <c r="MA82" s="63" t="str">
        <f t="shared" si="459"/>
        <v/>
      </c>
      <c r="MB82" s="62" t="str">
        <f t="shared" si="459"/>
        <v/>
      </c>
      <c r="MC82" s="62" t="str">
        <f t="shared" si="459"/>
        <v/>
      </c>
      <c r="MD82" s="62" t="str">
        <f t="shared" si="459"/>
        <v/>
      </c>
      <c r="ME82" s="62" t="str">
        <f t="shared" si="459"/>
        <v/>
      </c>
      <c r="MF82" s="62" t="str">
        <f t="shared" si="459"/>
        <v/>
      </c>
      <c r="MG82" s="62" t="str">
        <f t="shared" si="459"/>
        <v/>
      </c>
      <c r="MH82" s="63" t="str">
        <f t="shared" si="459"/>
        <v/>
      </c>
      <c r="MI82" s="62" t="str">
        <f t="shared" si="459"/>
        <v/>
      </c>
      <c r="MJ82" s="62" t="str">
        <f t="shared" si="459"/>
        <v/>
      </c>
      <c r="MK82" s="62" t="str">
        <f t="shared" si="459"/>
        <v/>
      </c>
      <c r="ML82" s="62" t="str">
        <f t="shared" si="459"/>
        <v/>
      </c>
      <c r="MM82" s="62" t="str">
        <f t="shared" si="459"/>
        <v/>
      </c>
      <c r="MN82" s="62" t="str">
        <f t="shared" si="459"/>
        <v/>
      </c>
      <c r="MO82" s="63" t="str">
        <f t="shared" ref="MO82:NJ82" si="460">IF(SUM(MO75:MO80) &gt; 0, SUM(MO75:MO80), "")</f>
        <v/>
      </c>
      <c r="MP82" s="62" t="str">
        <f t="shared" si="460"/>
        <v/>
      </c>
      <c r="MQ82" s="62" t="str">
        <f t="shared" si="460"/>
        <v/>
      </c>
      <c r="MR82" s="62" t="str">
        <f t="shared" si="460"/>
        <v/>
      </c>
      <c r="MS82" s="62" t="str">
        <f t="shared" si="460"/>
        <v/>
      </c>
      <c r="MT82" s="62" t="str">
        <f t="shared" si="460"/>
        <v/>
      </c>
      <c r="MU82" s="62" t="str">
        <f t="shared" si="460"/>
        <v/>
      </c>
      <c r="MV82" s="63" t="str">
        <f t="shared" si="460"/>
        <v/>
      </c>
      <c r="MW82" s="62" t="str">
        <f t="shared" si="460"/>
        <v/>
      </c>
      <c r="MX82" s="62" t="str">
        <f t="shared" si="460"/>
        <v/>
      </c>
      <c r="MY82" s="62" t="str">
        <f t="shared" si="460"/>
        <v/>
      </c>
      <c r="MZ82" s="62" t="str">
        <f t="shared" si="460"/>
        <v/>
      </c>
      <c r="NA82" s="62" t="str">
        <f t="shared" si="460"/>
        <v/>
      </c>
      <c r="NB82" s="62" t="str">
        <f t="shared" si="460"/>
        <v/>
      </c>
      <c r="NC82" s="63" t="str">
        <f t="shared" si="460"/>
        <v/>
      </c>
      <c r="ND82" s="62" t="str">
        <f t="shared" si="460"/>
        <v/>
      </c>
      <c r="NE82" s="62" t="str">
        <f t="shared" si="460"/>
        <v/>
      </c>
      <c r="NF82" s="62" t="str">
        <f t="shared" si="460"/>
        <v/>
      </c>
      <c r="NG82" s="62" t="str">
        <f t="shared" si="460"/>
        <v/>
      </c>
      <c r="NH82" s="62" t="str">
        <f t="shared" si="460"/>
        <v/>
      </c>
      <c r="NI82" s="62" t="str">
        <f t="shared" si="460"/>
        <v/>
      </c>
      <c r="NJ82" s="87" t="str">
        <f t="shared" si="460"/>
        <v/>
      </c>
    </row>
    <row r="83" spans="1:374" ht="15.75" thickBot="1" x14ac:dyDescent="0.3">
      <c r="A83" s="64" t="s">
        <v>249</v>
      </c>
      <c r="B83" s="62"/>
      <c r="C83" s="62"/>
      <c r="D83" s="62"/>
      <c r="E83" s="63"/>
      <c r="F83" s="62"/>
      <c r="G83" s="62"/>
      <c r="H83" s="62"/>
      <c r="I83" s="62"/>
      <c r="J83" s="62"/>
      <c r="K83" s="62"/>
      <c r="L83" s="62"/>
      <c r="M83" s="62"/>
      <c r="N83" s="62"/>
      <c r="O83" s="63"/>
      <c r="P83" s="62"/>
      <c r="Q83" s="62"/>
      <c r="R83" s="63"/>
      <c r="S83" s="62" t="str">
        <f>IF(SUM(S70, S82) &gt; 0, SUM(S70, S82), "")</f>
        <v/>
      </c>
      <c r="T83" s="65" t="str">
        <f t="shared" ref="T83:Z83" si="461">IF(SUM(T70, T82) &gt; 0, SUM(T70, T82), "")</f>
        <v/>
      </c>
      <c r="U83" s="62" t="str">
        <f t="shared" si="461"/>
        <v/>
      </c>
      <c r="V83" s="62" t="str">
        <f t="shared" si="461"/>
        <v/>
      </c>
      <c r="W83" s="62" t="str">
        <f t="shared" si="461"/>
        <v/>
      </c>
      <c r="X83" s="62" t="str">
        <f t="shared" si="461"/>
        <v/>
      </c>
      <c r="Y83" s="62" t="str">
        <f t="shared" si="461"/>
        <v/>
      </c>
      <c r="Z83" s="63" t="str">
        <f t="shared" si="461"/>
        <v/>
      </c>
      <c r="AA83" s="65" t="str">
        <f t="shared" ref="AA83" si="462">IF(SUM(AA70, AA82) &gt; 0, SUM(AA70, AA82), "")</f>
        <v/>
      </c>
      <c r="AB83" s="62" t="str">
        <f t="shared" ref="AB83" si="463">IF(SUM(AB70, AB82) &gt; 0, SUM(AB70, AB82), "")</f>
        <v/>
      </c>
      <c r="AC83" s="62" t="str">
        <f t="shared" ref="AC83" si="464">IF(SUM(AC70, AC82) &gt; 0, SUM(AC70, AC82), "")</f>
        <v/>
      </c>
      <c r="AD83" s="62" t="str">
        <f t="shared" ref="AD83" si="465">IF(SUM(AD70, AD82) &gt; 0, SUM(AD70, AD82), "")</f>
        <v/>
      </c>
      <c r="AE83" s="62" t="str">
        <f t="shared" ref="AE83" si="466">IF(SUM(AE70, AE82) &gt; 0, SUM(AE70, AE82), "")</f>
        <v/>
      </c>
      <c r="AF83" s="62" t="str">
        <f t="shared" ref="AF83" si="467">IF(SUM(AF70, AF82) &gt; 0, SUM(AF70, AF82), "")</f>
        <v/>
      </c>
      <c r="AG83" s="63" t="str">
        <f t="shared" ref="AG83" si="468">IF(SUM(AG70, AG82) &gt; 0, SUM(AG70, AG82), "")</f>
        <v/>
      </c>
      <c r="AH83" s="65" t="str">
        <f t="shared" ref="AH83" si="469">IF(SUM(AH70, AH82) &gt; 0, SUM(AH70, AH82), "")</f>
        <v/>
      </c>
      <c r="AI83" s="62">
        <f t="shared" ref="AI83" si="470">IF(SUM(AI70, AI82) &gt; 0, SUM(AI70, AI82), "")</f>
        <v>11</v>
      </c>
      <c r="AJ83" s="62" t="str">
        <f t="shared" ref="AJ83" si="471">IF(SUM(AJ70, AJ82) &gt; 0, SUM(AJ70, AJ82), "")</f>
        <v/>
      </c>
      <c r="AK83" s="62">
        <f t="shared" ref="AK83" si="472">IF(SUM(AK70, AK82) &gt; 0, SUM(AK70, AK82), "")</f>
        <v>10</v>
      </c>
      <c r="AL83" s="62" t="str">
        <f t="shared" ref="AL83" si="473">IF(SUM(AL70, AL82) &gt; 0, SUM(AL70, AL82), "")</f>
        <v/>
      </c>
      <c r="AM83" s="62" t="str">
        <f t="shared" ref="AM83" si="474">IF(SUM(AM70, AM82) &gt; 0, SUM(AM70, AM82), "")</f>
        <v/>
      </c>
      <c r="AN83" s="63" t="str">
        <f t="shared" ref="AN83" si="475">IF(SUM(AN70, AN82) &gt; 0, SUM(AN70, AN82), "")</f>
        <v/>
      </c>
      <c r="AO83" s="65" t="str">
        <f t="shared" ref="AO83" si="476">IF(SUM(AO70, AO82) &gt; 0, SUM(AO70, AO82), "")</f>
        <v/>
      </c>
      <c r="AP83" s="62">
        <f t="shared" ref="AP83" si="477">IF(SUM(AP70, AP82) &gt; 0, SUM(AP70, AP82), "")</f>
        <v>11</v>
      </c>
      <c r="AQ83" s="62" t="str">
        <f t="shared" ref="AQ83" si="478">IF(SUM(AQ70, AQ82) &gt; 0, SUM(AQ70, AQ82), "")</f>
        <v/>
      </c>
      <c r="AR83" s="62">
        <f t="shared" ref="AR83" si="479">IF(SUM(AR70, AR82) &gt; 0, SUM(AR70, AR82), "")</f>
        <v>10</v>
      </c>
      <c r="AS83" s="62" t="str">
        <f t="shared" ref="AS83" si="480">IF(SUM(AS70, AS82) &gt; 0, SUM(AS70, AS82), "")</f>
        <v/>
      </c>
      <c r="AT83" s="62" t="str">
        <f t="shared" ref="AT83" si="481">IF(SUM(AT70, AT82) &gt; 0, SUM(AT70, AT82), "")</f>
        <v/>
      </c>
      <c r="AU83" s="63" t="str">
        <f t="shared" ref="AU83" si="482">IF(SUM(AU70, AU82) &gt; 0, SUM(AU70, AU82), "")</f>
        <v/>
      </c>
      <c r="AV83" s="65" t="str">
        <f t="shared" ref="AV83" si="483">IF(SUM(AV70, AV82) &gt; 0, SUM(AV70, AV82), "")</f>
        <v/>
      </c>
      <c r="AW83" s="62">
        <f t="shared" ref="AW83" si="484">IF(SUM(AW70, AW82) &gt; 0, SUM(AW70, AW82), "")</f>
        <v>11</v>
      </c>
      <c r="AX83" s="62">
        <f t="shared" ref="AX83" si="485">IF(SUM(AX70, AX82) &gt; 0, SUM(AX70, AX82), "")</f>
        <v>6</v>
      </c>
      <c r="AY83" s="62">
        <f t="shared" ref="AY83" si="486">IF(SUM(AY70, AY82) &gt; 0, SUM(AY70, AY82), "")</f>
        <v>8</v>
      </c>
      <c r="AZ83" s="62" t="str">
        <f t="shared" ref="AZ83" si="487">IF(SUM(AZ70, AZ82) &gt; 0, SUM(AZ70, AZ82), "")</f>
        <v/>
      </c>
      <c r="BA83" s="62" t="str">
        <f t="shared" ref="BA83" si="488">IF(SUM(BA70, BA82) &gt; 0, SUM(BA70, BA82), "")</f>
        <v/>
      </c>
      <c r="BB83" s="63" t="str">
        <f t="shared" ref="BB83" si="489">IF(SUM(BB70, BB82) &gt; 0, SUM(BB70, BB82), "")</f>
        <v/>
      </c>
      <c r="BC83" s="65" t="str">
        <f t="shared" ref="BC83" si="490">IF(SUM(BC70, BC82) &gt; 0, SUM(BC70, BC82), "")</f>
        <v/>
      </c>
      <c r="BD83" s="62">
        <f t="shared" ref="BD83" si="491">IF(SUM(BD70, BD82) &gt; 0, SUM(BD70, BD82), "")</f>
        <v>11</v>
      </c>
      <c r="BE83" s="62" t="str">
        <f t="shared" ref="BE83" si="492">IF(SUM(BE70, BE82) &gt; 0, SUM(BE70, BE82), "")</f>
        <v/>
      </c>
      <c r="BF83" s="62">
        <f t="shared" ref="BF83" si="493">IF(SUM(BF70, BF82) &gt; 0, SUM(BF70, BF82), "")</f>
        <v>8</v>
      </c>
      <c r="BG83" s="62" t="str">
        <f t="shared" ref="BG83" si="494">IF(SUM(BG70, BG82) &gt; 0, SUM(BG70, BG82), "")</f>
        <v/>
      </c>
      <c r="BH83" s="62" t="str">
        <f t="shared" ref="BH83" si="495">IF(SUM(BH70, BH82) &gt; 0, SUM(BH70, BH82), "")</f>
        <v/>
      </c>
      <c r="BI83" s="63" t="str">
        <f t="shared" ref="BI83" si="496">IF(SUM(BI70, BI82) &gt; 0, SUM(BI70, BI82), "")</f>
        <v/>
      </c>
      <c r="BJ83" s="65" t="str">
        <f t="shared" ref="BJ83" si="497">IF(SUM(BJ70, BJ82) &gt; 0, SUM(BJ70, BJ82), "")</f>
        <v/>
      </c>
      <c r="BK83" s="62">
        <f t="shared" ref="BK83" si="498">IF(SUM(BK70, BK82) &gt; 0, SUM(BK70, BK82), "")</f>
        <v>9</v>
      </c>
      <c r="BL83" s="62" t="str">
        <f t="shared" ref="BL83" si="499">IF(SUM(BL70, BL82) &gt; 0, SUM(BL70, BL82), "")</f>
        <v/>
      </c>
      <c r="BM83" s="62">
        <f t="shared" ref="BM83" si="500">IF(SUM(BM70, BM82) &gt; 0, SUM(BM70, BM82), "")</f>
        <v>13</v>
      </c>
      <c r="BN83" s="62">
        <f t="shared" ref="BN83" si="501">IF(SUM(BN70, BN82) &gt; 0, SUM(BN70, BN82), "")</f>
        <v>12</v>
      </c>
      <c r="BO83" s="62" t="str">
        <f t="shared" ref="BO83:BP83" si="502">IF(SUM(BO70, BO82) &gt; 0, SUM(BO70, BO82), "")</f>
        <v/>
      </c>
      <c r="BP83" s="63">
        <f t="shared" si="502"/>
        <v>5</v>
      </c>
      <c r="BQ83" s="62" t="str">
        <f t="shared" ref="BQ83" si="503">IF(SUM(BQ70, BQ82) &gt; 0, SUM(BQ70, BQ82), "")</f>
        <v/>
      </c>
      <c r="BR83" s="62" t="str">
        <f t="shared" ref="BR83" si="504">IF(SUM(BR70, BR82) &gt; 0, SUM(BR70, BR82), "")</f>
        <v/>
      </c>
      <c r="BS83" s="62" t="str">
        <f t="shared" ref="BS83" si="505">IF(SUM(BS70, BS82) &gt; 0, SUM(BS70, BS82), "")</f>
        <v/>
      </c>
      <c r="BT83" s="62" t="str">
        <f t="shared" ref="BT83" si="506">IF(SUM(BT70, BT82) &gt; 0, SUM(BT70, BT82), "")</f>
        <v/>
      </c>
      <c r="BU83" s="62" t="str">
        <f t="shared" ref="BU83" si="507">IF(SUM(BU70, BU82) &gt; 0, SUM(BU70, BU82), "")</f>
        <v/>
      </c>
      <c r="BV83" s="62" t="str">
        <f t="shared" ref="BV83:BW83" si="508">IF(SUM(BV70, BV82) &gt; 0, SUM(BV70, BV82), "")</f>
        <v/>
      </c>
      <c r="BW83" s="62">
        <f t="shared" si="508"/>
        <v>2</v>
      </c>
      <c r="BX83" s="62"/>
      <c r="BY83" s="63" t="str">
        <f t="shared" ref="BY83" si="509">IF(SUM(BY70, BY82) &gt; 0, SUM(BY70, BY82), "")</f>
        <v/>
      </c>
      <c r="BZ83" s="65" t="str">
        <f t="shared" ref="BZ83" si="510">IF(SUM(BZ70, BZ82) &gt; 0, SUM(BZ70, BZ82), "")</f>
        <v/>
      </c>
      <c r="CA83" s="62" t="str">
        <f t="shared" ref="CA83" si="511">IF(SUM(CA70, CA82) &gt; 0, SUM(CA70, CA82), "")</f>
        <v/>
      </c>
      <c r="CB83" s="62" t="str">
        <f t="shared" ref="CB83" si="512">IF(SUM(CB70, CB82) &gt; 0, SUM(CB70, CB82), "")</f>
        <v/>
      </c>
      <c r="CC83" s="62" t="str">
        <f t="shared" ref="CC83" si="513">IF(SUM(CC70, CC82) &gt; 0, SUM(CC70, CC82), "")</f>
        <v/>
      </c>
      <c r="CD83" s="62" t="str">
        <f t="shared" ref="CD83" si="514">IF(SUM(CD70, CD82) &gt; 0, SUM(CD70, CD82), "")</f>
        <v/>
      </c>
      <c r="CE83" s="62" t="str">
        <f t="shared" ref="CE83" si="515">IF(SUM(CE70, CE82) &gt; 0, SUM(CE70, CE82), "")</f>
        <v/>
      </c>
      <c r="CF83" s="62"/>
      <c r="CG83" s="62"/>
      <c r="CH83" s="63" t="str">
        <f t="shared" ref="CH83" si="516">IF(SUM(CH70, CH82) &gt; 0, SUM(CH70, CH82), "")</f>
        <v/>
      </c>
      <c r="CI83" s="65" t="str">
        <f t="shared" ref="CI83" si="517">IF(SUM(CI70, CI82) &gt; 0, SUM(CI70, CI82), "")</f>
        <v/>
      </c>
      <c r="CJ83" s="62" t="str">
        <f t="shared" ref="CJ83" si="518">IF(SUM(CJ70, CJ82) &gt; 0, SUM(CJ70, CJ82), "")</f>
        <v/>
      </c>
      <c r="CK83" s="62" t="str">
        <f t="shared" ref="CK83" si="519">IF(SUM(CK70, CK82) &gt; 0, SUM(CK70, CK82), "")</f>
        <v/>
      </c>
      <c r="CL83" s="62" t="str">
        <f t="shared" ref="CL83" si="520">IF(SUM(CL70, CL82) &gt; 0, SUM(CL70, CL82), "")</f>
        <v/>
      </c>
      <c r="CM83" s="62" t="str">
        <f t="shared" ref="CM83" si="521">IF(SUM(CM70, CM82) &gt; 0, SUM(CM70, CM82), "")</f>
        <v/>
      </c>
      <c r="CN83" s="62" t="str">
        <f t="shared" ref="CN83:CO83" si="522">IF(SUM(CN70, CN82) &gt; 0, SUM(CN70, CN82), "")</f>
        <v/>
      </c>
      <c r="CO83" s="62" t="str">
        <f t="shared" si="522"/>
        <v/>
      </c>
      <c r="CP83" s="62"/>
      <c r="CQ83" s="63" t="str">
        <f t="shared" ref="CQ83" si="523">IF(SUM(CQ70, CQ82) &gt; 0, SUM(CQ70, CQ82), "")</f>
        <v/>
      </c>
      <c r="CR83" s="65" t="str">
        <f t="shared" ref="CR83" si="524">IF(SUM(CR70, CR82) &gt; 0, SUM(CR70, CR82), "")</f>
        <v/>
      </c>
      <c r="CS83" s="62" t="str">
        <f t="shared" ref="CS83" si="525">IF(SUM(CS70, CS82) &gt; 0, SUM(CS70, CS82), "")</f>
        <v/>
      </c>
      <c r="CT83" s="62" t="str">
        <f t="shared" ref="CT83" si="526">IF(SUM(CT70, CT82) &gt; 0, SUM(CT70, CT82), "")</f>
        <v/>
      </c>
      <c r="CU83" s="62" t="str">
        <f t="shared" ref="CU83" si="527">IF(SUM(CU70, CU82) &gt; 0, SUM(CU70, CU82), "")</f>
        <v/>
      </c>
      <c r="CV83" s="62" t="str">
        <f t="shared" ref="CV83" si="528">IF(SUM(CV70, CV82) &gt; 0, SUM(CV70, CV82), "")</f>
        <v/>
      </c>
      <c r="CW83" s="62"/>
      <c r="CX83" s="62"/>
      <c r="CY83" s="62" t="str">
        <f t="shared" ref="CY83" si="529">IF(SUM(CY70, CY82) &gt; 0, SUM(CY70, CY82), "")</f>
        <v/>
      </c>
      <c r="CZ83" s="63" t="str">
        <f t="shared" ref="CZ83" si="530">IF(SUM(CZ70, CZ82) &gt; 0, SUM(CZ70, CZ82), "")</f>
        <v/>
      </c>
      <c r="DA83" s="65" t="str">
        <f t="shared" ref="DA83" si="531">IF(SUM(DA70, DA82) &gt; 0, SUM(DA70, DA82), "")</f>
        <v/>
      </c>
      <c r="DB83" s="62" t="str">
        <f t="shared" ref="DB83" si="532">IF(SUM(DB70, DB82) &gt; 0, SUM(DB70, DB82), "")</f>
        <v/>
      </c>
      <c r="DC83" s="62" t="str">
        <f t="shared" ref="DC83" si="533">IF(SUM(DC70, DC82) &gt; 0, SUM(DC70, DC82), "")</f>
        <v/>
      </c>
      <c r="DD83" s="62" t="str">
        <f t="shared" ref="DD83" si="534">IF(SUM(DD70, DD82) &gt; 0, SUM(DD70, DD82), "")</f>
        <v/>
      </c>
      <c r="DE83" s="62" t="str">
        <f t="shared" ref="DE83" si="535">IF(SUM(DE70, DE82) &gt; 0, SUM(DE70, DE82), "")</f>
        <v/>
      </c>
      <c r="DF83" s="62" t="str">
        <f t="shared" ref="DF83" si="536">IF(SUM(DF70, DF82) &gt; 0, SUM(DF70, DF82), "")</f>
        <v/>
      </c>
      <c r="DG83" s="62"/>
      <c r="DH83" s="62"/>
      <c r="DI83" s="63" t="str">
        <f t="shared" ref="DI83" si="537">IF(SUM(DI70, DI82) &gt; 0, SUM(DI70, DI82), "")</f>
        <v/>
      </c>
      <c r="DJ83" s="65" t="str">
        <f t="shared" ref="DJ83" si="538">IF(SUM(DJ70, DJ82) &gt; 0, SUM(DJ70, DJ82), "")</f>
        <v/>
      </c>
      <c r="DK83" s="62" t="str">
        <f t="shared" ref="DK83" si="539">IF(SUM(DK70, DK82) &gt; 0, SUM(DK70, DK82), "")</f>
        <v/>
      </c>
      <c r="DL83" s="62" t="str">
        <f t="shared" ref="DL83" si="540">IF(SUM(DL70, DL82) &gt; 0, SUM(DL70, DL82), "")</f>
        <v/>
      </c>
      <c r="DM83" s="62" t="str">
        <f t="shared" ref="DM83" si="541">IF(SUM(DM70, DM82) &gt; 0, SUM(DM70, DM82), "")</f>
        <v/>
      </c>
      <c r="DN83" s="62" t="str">
        <f t="shared" ref="DN83" si="542">IF(SUM(DN70, DN82) &gt; 0, SUM(DN70, DN82), "")</f>
        <v/>
      </c>
      <c r="DO83" s="62" t="str">
        <f t="shared" ref="DO83" si="543">IF(SUM(DO70, DO82) &gt; 0, SUM(DO70, DO82), "")</f>
        <v/>
      </c>
      <c r="DP83" s="62"/>
      <c r="DQ83" s="62"/>
      <c r="DR83" s="63" t="str">
        <f t="shared" ref="DR83" si="544">IF(SUM(DR70, DR82) &gt; 0, SUM(DR70, DR82), "")</f>
        <v/>
      </c>
      <c r="DS83" s="65" t="str">
        <f t="shared" ref="DS83" si="545">IF(SUM(DS70, DS82) &gt; 0, SUM(DS70, DS82), "")</f>
        <v/>
      </c>
      <c r="DT83" s="62">
        <f t="shared" ref="DT83" si="546">IF(SUM(DT70, DT82) &gt; 0, SUM(DT70, DT82), "")</f>
        <v>8</v>
      </c>
      <c r="DU83" s="62" t="str">
        <f t="shared" ref="DU83" si="547">IF(SUM(DU70, DU82) &gt; 0, SUM(DU70, DU82), "")</f>
        <v/>
      </c>
      <c r="DV83" s="62">
        <f t="shared" ref="DV83" si="548">IF(SUM(DV70, DV82) &gt; 0, SUM(DV70, DV82), "")</f>
        <v>7</v>
      </c>
      <c r="DW83" s="62">
        <f t="shared" ref="DW83" si="549">IF(SUM(DW70, DW82) &gt; 0, SUM(DW70, DW82), "")</f>
        <v>6</v>
      </c>
      <c r="DX83" s="62"/>
      <c r="DY83" s="62"/>
      <c r="DZ83" s="62" t="str">
        <f t="shared" ref="DZ83" si="550">IF(SUM(DZ70, DZ82) &gt; 0, SUM(DZ70, DZ82), "")</f>
        <v/>
      </c>
      <c r="EA83" s="63" t="str">
        <f t="shared" ref="EA83" si="551">IF(SUM(EA70, EA82) &gt; 0, SUM(EA70, EA82), "")</f>
        <v/>
      </c>
      <c r="EB83" s="65" t="str">
        <f t="shared" ref="EB83" si="552">IF(SUM(EB70, EB82) &gt; 0, SUM(EB70, EB82), "")</f>
        <v/>
      </c>
      <c r="EC83" s="62">
        <f t="shared" ref="EC83" si="553">IF(SUM(EC70, EC82) &gt; 0, SUM(EC70, EC82), "")</f>
        <v>7</v>
      </c>
      <c r="ED83" s="62" t="str">
        <f t="shared" ref="ED83" si="554">IF(SUM(ED70, ED82) &gt; 0, SUM(ED70, ED82), "")</f>
        <v/>
      </c>
      <c r="EE83" s="62">
        <f t="shared" ref="EE83" si="555">IF(SUM(EE70, EE82) &gt; 0, SUM(EE70, EE82), "")</f>
        <v>6</v>
      </c>
      <c r="EF83" s="62">
        <f t="shared" ref="EF83" si="556">IF(SUM(EF70, EF82) &gt; 0, SUM(EF70, EF82), "")</f>
        <v>4</v>
      </c>
      <c r="EG83" s="62"/>
      <c r="EH83" s="62"/>
      <c r="EI83" s="62" t="str">
        <f t="shared" ref="EI83" si="557">IF(SUM(EI70, EI82) &gt; 0, SUM(EI70, EI82), "")</f>
        <v/>
      </c>
      <c r="EJ83" s="63" t="str">
        <f t="shared" ref="EJ83" si="558">IF(SUM(EJ70, EJ82) &gt; 0, SUM(EJ70, EJ82), "")</f>
        <v/>
      </c>
      <c r="EK83" s="65" t="str">
        <f t="shared" ref="EK83" si="559">IF(SUM(EK70, EK82) &gt; 0, SUM(EK70, EK82), "")</f>
        <v/>
      </c>
      <c r="EL83" s="62">
        <f t="shared" ref="EL83" si="560">IF(SUM(EL70, EL82) &gt; 0, SUM(EL70, EL82), "")</f>
        <v>7</v>
      </c>
      <c r="EM83" s="62" t="str">
        <f t="shared" ref="EM83" si="561">IF(SUM(EM70, EM82) &gt; 0, SUM(EM70, EM82), "")</f>
        <v/>
      </c>
      <c r="EN83" s="62">
        <f t="shared" ref="EN83" si="562">IF(SUM(EN70, EN82) &gt; 0, SUM(EN70, EN82), "")</f>
        <v>8</v>
      </c>
      <c r="EO83" s="62">
        <f t="shared" ref="EO83" si="563">IF(SUM(EO70, EO82) &gt; 0, SUM(EO70, EO82), "")</f>
        <v>7</v>
      </c>
      <c r="EP83" s="62" t="str">
        <f t="shared" ref="EP83" si="564">IF(SUM(EP70, EP82) &gt; 0, SUM(EP70, EP82), "")</f>
        <v/>
      </c>
      <c r="EQ83" s="62"/>
      <c r="ER83" s="62"/>
      <c r="ES83" s="63" t="str">
        <f t="shared" ref="ES83" si="565">IF(SUM(ES70, ES82) &gt; 0, SUM(ES70, ES82), "")</f>
        <v/>
      </c>
      <c r="ET83" s="65" t="str">
        <f t="shared" ref="ET83" si="566">IF(SUM(ET70, ET82) &gt; 0, SUM(ET70, ET82), "")</f>
        <v/>
      </c>
      <c r="EU83" s="62">
        <f t="shared" ref="EU83" si="567">IF(SUM(EU70, EU82) &gt; 0, SUM(EU70, EU82), "")</f>
        <v>10</v>
      </c>
      <c r="EV83" s="62" t="str">
        <f t="shared" ref="EV83" si="568">IF(SUM(EV70, EV82) &gt; 0, SUM(EV70, EV82), "")</f>
        <v/>
      </c>
      <c r="EW83" s="62">
        <f t="shared" ref="EW83" si="569">IF(SUM(EW70, EW82) &gt; 0, SUM(EW70, EW82), "")</f>
        <v>5</v>
      </c>
      <c r="EX83" s="62">
        <f t="shared" ref="EX83" si="570">IF(SUM(EX70, EX82) &gt; 0, SUM(EX70, EX82), "")</f>
        <v>6</v>
      </c>
      <c r="EY83" s="62" t="str">
        <f t="shared" ref="EY83" si="571">IF(SUM(EY70, EY82) &gt; 0, SUM(EY70, EY82), "")</f>
        <v/>
      </c>
      <c r="EZ83" s="62"/>
      <c r="FA83" s="62"/>
      <c r="FB83" s="63" t="str">
        <f t="shared" ref="FB83" si="572">IF(SUM(FB70, FB82) &gt; 0, SUM(FB70, FB82), "")</f>
        <v/>
      </c>
      <c r="FC83" s="65" t="str">
        <f t="shared" ref="FC83" si="573">IF(SUM(FC70, FC82) &gt; 0, SUM(FC70, FC82), "")</f>
        <v/>
      </c>
      <c r="FD83" s="62">
        <f t="shared" ref="FD83" si="574">IF(SUM(FD70, FD82) &gt; 0, SUM(FD70, FD82), "")</f>
        <v>9</v>
      </c>
      <c r="FE83" s="62" t="str">
        <f t="shared" ref="FE83" si="575">IF(SUM(FE70, FE82) &gt; 0, SUM(FE70, FE82), "")</f>
        <v/>
      </c>
      <c r="FF83" s="62">
        <f t="shared" ref="FF83" si="576">IF(SUM(FF70, FF82) &gt; 0, SUM(FF70, FF82), "")</f>
        <v>8</v>
      </c>
      <c r="FG83" s="62">
        <f t="shared" ref="FG83" si="577">IF(SUM(FG70, FG82) &gt; 0, SUM(FG70, FG82), "")</f>
        <v>6</v>
      </c>
      <c r="FH83" s="62" t="str">
        <f t="shared" ref="FH83" si="578">IF(SUM(FH70, FH82) &gt; 0, SUM(FH70, FH82), "")</f>
        <v/>
      </c>
      <c r="FI83" s="62"/>
      <c r="FJ83" s="62"/>
      <c r="FK83" s="63" t="str">
        <f t="shared" ref="FK83" si="579">IF(SUM(FK70, FK82) &gt; 0, SUM(FK70, FK82), "")</f>
        <v/>
      </c>
      <c r="FL83" s="65" t="str">
        <f t="shared" ref="FL83" si="580">IF(SUM(FL70, FL82) &gt; 0, SUM(FL70, FL82), "")</f>
        <v/>
      </c>
      <c r="FM83" s="62">
        <f t="shared" ref="FM83" si="581">IF(SUM(FM70, FM82) &gt; 0, SUM(FM70, FM82), "")</f>
        <v>6</v>
      </c>
      <c r="FN83" s="62" t="str">
        <f t="shared" ref="FN83" si="582">IF(SUM(FN70, FN82) &gt; 0, SUM(FN70, FN82), "")</f>
        <v/>
      </c>
      <c r="FO83" s="62">
        <f t="shared" ref="FO83" si="583">IF(SUM(FO70, FO82) &gt; 0, SUM(FO70, FO82), "")</f>
        <v>7</v>
      </c>
      <c r="FP83" s="62">
        <f t="shared" ref="FP83" si="584">IF(SUM(FP70, FP82) &gt; 0, SUM(FP70, FP82), "")</f>
        <v>8</v>
      </c>
      <c r="FQ83" s="62" t="str">
        <f t="shared" ref="FQ83" si="585">IF(SUM(FQ70, FQ82) &gt; 0, SUM(FQ70, FQ82), "")</f>
        <v/>
      </c>
      <c r="FR83" s="62"/>
      <c r="FS83" s="62"/>
      <c r="FT83" s="63" t="str">
        <f t="shared" ref="FT83" si="586">IF(SUM(FT70, FT82) &gt; 0, SUM(FT70, FT82), "")</f>
        <v/>
      </c>
      <c r="FU83" s="65" t="str">
        <f t="shared" ref="FU83" si="587">IF(SUM(FU70, FU82) &gt; 0, SUM(FU70, FU82), "")</f>
        <v/>
      </c>
      <c r="FV83" s="62">
        <f t="shared" ref="FV83" si="588">IF(SUM(FV70, FV82) &gt; 0, SUM(FV70, FV82), "")</f>
        <v>9</v>
      </c>
      <c r="FW83" s="62" t="str">
        <f t="shared" ref="FW83" si="589">IF(SUM(FW70, FW82) &gt; 0, SUM(FW70, FW82), "")</f>
        <v/>
      </c>
      <c r="FX83" s="62">
        <f t="shared" ref="FX83" si="590">IF(SUM(FX70, FX82) &gt; 0, SUM(FX70, FX82), "")</f>
        <v>8</v>
      </c>
      <c r="FY83" s="62">
        <f t="shared" ref="FY83" si="591">IF(SUM(FY70, FY82) &gt; 0, SUM(FY70, FY82), "")</f>
        <v>7</v>
      </c>
      <c r="FZ83" s="62" t="str">
        <f t="shared" ref="FZ83" si="592">IF(SUM(FZ70, FZ82) &gt; 0, SUM(FZ70, FZ82), "")</f>
        <v/>
      </c>
      <c r="GA83" s="62"/>
      <c r="GB83" s="62"/>
      <c r="GC83" s="63" t="str">
        <f t="shared" ref="GC83" si="593">IF(SUM(GC70, GC82) &gt; 0, SUM(GC70, GC82), "")</f>
        <v/>
      </c>
      <c r="GD83" s="65" t="str">
        <f t="shared" ref="GD83" si="594">IF(SUM(GD70, GD82) &gt; 0, SUM(GD70, GD82), "")</f>
        <v/>
      </c>
      <c r="GE83" s="62">
        <f t="shared" ref="GE83" si="595">IF(SUM(GE70, GE82) &gt; 0, SUM(GE70, GE82), "")</f>
        <v>5</v>
      </c>
      <c r="GF83" s="62" t="str">
        <f t="shared" ref="GF83" si="596">IF(SUM(GF70, GF82) &gt; 0, SUM(GF70, GF82), "")</f>
        <v/>
      </c>
      <c r="GG83" s="62">
        <f t="shared" ref="GG83" si="597">IF(SUM(GG70, GG82) &gt; 0, SUM(GG70, GG82), "")</f>
        <v>6</v>
      </c>
      <c r="GH83" s="62">
        <f t="shared" ref="GH83" si="598">IF(SUM(GH70, GH82) &gt; 0, SUM(GH70, GH82), "")</f>
        <v>8</v>
      </c>
      <c r="GI83" s="62" t="str">
        <f t="shared" ref="GI83" si="599">IF(SUM(GI70, GI82) &gt; 0, SUM(GI70, GI82), "")</f>
        <v/>
      </c>
      <c r="GJ83" s="62"/>
      <c r="GK83" s="62"/>
      <c r="GL83" s="63" t="str">
        <f t="shared" ref="GL83" si="600">IF(SUM(GL70, GL82) &gt; 0, SUM(GL70, GL82), "")</f>
        <v/>
      </c>
      <c r="GM83" s="65" t="str">
        <f t="shared" ref="GM83" si="601">IF(SUM(GM70, GM82) &gt; 0, SUM(GM70, GM82), "")</f>
        <v/>
      </c>
      <c r="GN83" s="62">
        <f t="shared" ref="GN83" si="602">IF(SUM(GN70, GN82) &gt; 0, SUM(GN70, GN82), "")</f>
        <v>6</v>
      </c>
      <c r="GO83" s="62" t="str">
        <f t="shared" ref="GO83" si="603">IF(SUM(GO70, GO82) &gt; 0, SUM(GO70, GO82), "")</f>
        <v/>
      </c>
      <c r="GP83" s="62">
        <f t="shared" ref="GP83" si="604">IF(SUM(GP70, GP82) &gt; 0, SUM(GP70, GP82), "")</f>
        <v>8</v>
      </c>
      <c r="GQ83" s="62">
        <f t="shared" ref="GQ83" si="605">IF(SUM(GQ70, GQ82) &gt; 0, SUM(GQ70, GQ82), "")</f>
        <v>7</v>
      </c>
      <c r="GR83" s="62" t="str">
        <f t="shared" ref="GR83" si="606">IF(SUM(GR70, GR82) &gt; 0, SUM(GR70, GR82), "")</f>
        <v/>
      </c>
      <c r="GS83" s="62"/>
      <c r="GT83" s="62"/>
      <c r="GU83" s="63" t="str">
        <f t="shared" ref="GU83" si="607">IF(SUM(GU70, GU82) &gt; 0, SUM(GU70, GU82), "")</f>
        <v/>
      </c>
      <c r="GV83" s="65" t="str">
        <f t="shared" ref="GV83" si="608">IF(SUM(GV70, GV82) &gt; 0, SUM(GV70, GV82), "")</f>
        <v/>
      </c>
      <c r="GW83" s="62">
        <f t="shared" ref="GW83" si="609">IF(SUM(GW70, GW82) &gt; 0, SUM(GW70, GW82), "")</f>
        <v>6</v>
      </c>
      <c r="GX83" s="62" t="str">
        <f t="shared" ref="GX83" si="610">IF(SUM(GX70, GX82) &gt; 0, SUM(GX70, GX82), "")</f>
        <v/>
      </c>
      <c r="GY83" s="62">
        <f t="shared" ref="GY83" si="611">IF(SUM(GY70, GY82) &gt; 0, SUM(GY70, GY82), "")</f>
        <v>8</v>
      </c>
      <c r="GZ83" s="62">
        <f t="shared" ref="GZ83" si="612">IF(SUM(GZ70, GZ82) &gt; 0, SUM(GZ70, GZ82), "")</f>
        <v>3</v>
      </c>
      <c r="HA83" s="62" t="str">
        <f t="shared" ref="HA83" si="613">IF(SUM(HA70, HA82) &gt; 0, SUM(HA70, HA82), "")</f>
        <v/>
      </c>
      <c r="HB83" s="62"/>
      <c r="HC83" s="62"/>
      <c r="HD83" s="63" t="str">
        <f t="shared" ref="HD83" si="614">IF(SUM(HD70, HD82) &gt; 0, SUM(HD70, HD82), "")</f>
        <v/>
      </c>
      <c r="HE83" s="65" t="str">
        <f t="shared" ref="HE83" si="615">IF(SUM(HE70, HE82) &gt; 0, SUM(HE70, HE82), "")</f>
        <v/>
      </c>
      <c r="HF83" s="62" t="str">
        <f t="shared" ref="HF83" si="616">IF(SUM(HF70, HF82) &gt; 0, SUM(HF70, HF82), "")</f>
        <v/>
      </c>
      <c r="HG83" s="62" t="str">
        <f t="shared" ref="HG83" si="617">IF(SUM(HG70, HG82) &gt; 0, SUM(HG70, HG82), "")</f>
        <v/>
      </c>
      <c r="HH83" s="62" t="str">
        <f t="shared" ref="HH83" si="618">IF(SUM(HH70, HH82) &gt; 0, SUM(HH70, HH82), "")</f>
        <v/>
      </c>
      <c r="HI83" s="62" t="str">
        <f t="shared" ref="HI83" si="619">IF(SUM(HI70, HI82) &gt; 0, SUM(HI70, HI82), "")</f>
        <v/>
      </c>
      <c r="HJ83" s="62" t="str">
        <f t="shared" ref="HJ83" si="620">IF(SUM(HJ70, HJ82) &gt; 0, SUM(HJ70, HJ82), "")</f>
        <v/>
      </c>
      <c r="HK83" s="62"/>
      <c r="HL83" s="62"/>
      <c r="HM83" s="63" t="str">
        <f t="shared" ref="HM83" si="621">IF(SUM(HM70, HM82) &gt; 0, SUM(HM70, HM82), "")</f>
        <v/>
      </c>
      <c r="HN83" s="65" t="str">
        <f t="shared" ref="HN83" si="622">IF(SUM(HN70, HN82) &gt; 0, SUM(HN70, HN82), "")</f>
        <v/>
      </c>
      <c r="HO83" s="62" t="str">
        <f t="shared" ref="HO83" si="623">IF(SUM(HO70, HO82) &gt; 0, SUM(HO70, HO82), "")</f>
        <v/>
      </c>
      <c r="HP83" s="62" t="str">
        <f t="shared" ref="HP83" si="624">IF(SUM(HP70, HP82) &gt; 0, SUM(HP70, HP82), "")</f>
        <v/>
      </c>
      <c r="HQ83" s="62" t="str">
        <f t="shared" ref="HQ83" si="625">IF(SUM(HQ70, HQ82) &gt; 0, SUM(HQ70, HQ82), "")</f>
        <v/>
      </c>
      <c r="HR83" s="62" t="str">
        <f t="shared" ref="HR83" si="626">IF(SUM(HR70, HR82) &gt; 0, SUM(HR70, HR82), "")</f>
        <v/>
      </c>
      <c r="HS83" s="62" t="str">
        <f t="shared" ref="HS83" si="627">IF(SUM(HS70, HS82) &gt; 0, SUM(HS70, HS82), "")</f>
        <v/>
      </c>
      <c r="HT83" s="62"/>
      <c r="HU83" s="62"/>
      <c r="HV83" s="63" t="str">
        <f t="shared" ref="HV83" si="628">IF(SUM(HV70, HV82) &gt; 0, SUM(HV70, HV82), "")</f>
        <v/>
      </c>
      <c r="HW83" s="65" t="str">
        <f t="shared" ref="HW83" si="629">IF(SUM(HW70, HW82) &gt; 0, SUM(HW70, HW82), "")</f>
        <v/>
      </c>
      <c r="HX83" s="62" t="str">
        <f t="shared" ref="HX83" si="630">IF(SUM(HX70, HX82) &gt; 0, SUM(HX70, HX82), "")</f>
        <v/>
      </c>
      <c r="HY83" s="62" t="str">
        <f t="shared" ref="HY83" si="631">IF(SUM(HY70, HY82) &gt; 0, SUM(HY70, HY82), "")</f>
        <v/>
      </c>
      <c r="HZ83" s="62" t="str">
        <f t="shared" ref="HZ83" si="632">IF(SUM(HZ70, HZ82) &gt; 0, SUM(HZ70, HZ82), "")</f>
        <v/>
      </c>
      <c r="IA83" s="62" t="str">
        <f t="shared" ref="IA83" si="633">IF(SUM(IA70, IA82) &gt; 0, SUM(IA70, IA82), "")</f>
        <v/>
      </c>
      <c r="IB83" s="62" t="str">
        <f t="shared" ref="IB83" si="634">IF(SUM(IB70, IB82) &gt; 0, SUM(IB70, IB82), "")</f>
        <v/>
      </c>
      <c r="IC83" s="62"/>
      <c r="ID83" s="62"/>
      <c r="IE83" s="63" t="str">
        <f t="shared" ref="IE83" si="635">IF(SUM(IE70, IE82) &gt; 0, SUM(IE70, IE82), "")</f>
        <v/>
      </c>
      <c r="IF83" s="65" t="str">
        <f t="shared" ref="IF83" si="636">IF(SUM(IF70, IF82) &gt; 0, SUM(IF70, IF82), "")</f>
        <v/>
      </c>
      <c r="IG83" s="62" t="str">
        <f t="shared" ref="IG83" si="637">IF(SUM(IG70, IG82) &gt; 0, SUM(IG70, IG82), "")</f>
        <v/>
      </c>
      <c r="IH83" s="62" t="str">
        <f t="shared" ref="IH83" si="638">IF(SUM(IH70, IH82) &gt; 0, SUM(IH70, IH82), "")</f>
        <v/>
      </c>
      <c r="II83" s="62" t="str">
        <f t="shared" ref="II83" si="639">IF(SUM(II70, II82) &gt; 0, SUM(II70, II82), "")</f>
        <v/>
      </c>
      <c r="IJ83" s="62" t="str">
        <f t="shared" ref="IJ83" si="640">IF(SUM(IJ70, IJ82) &gt; 0, SUM(IJ70, IJ82), "")</f>
        <v/>
      </c>
      <c r="IK83" s="62" t="str">
        <f t="shared" ref="IK83" si="641">IF(SUM(IK70, IK82) &gt; 0, SUM(IK70, IK82), "")</f>
        <v/>
      </c>
      <c r="IL83" s="62"/>
      <c r="IM83" s="62"/>
      <c r="IN83" s="63" t="str">
        <f t="shared" ref="IN83" si="642">IF(SUM(IN70, IN82) &gt; 0, SUM(IN70, IN82), "")</f>
        <v/>
      </c>
      <c r="IO83" s="65" t="str">
        <f t="shared" ref="IO83" si="643">IF(SUM(IO70, IO82) &gt; 0, SUM(IO70, IO82), "")</f>
        <v/>
      </c>
      <c r="IP83" s="62" t="str">
        <f t="shared" ref="IP83" si="644">IF(SUM(IP70, IP82) &gt; 0, SUM(IP70, IP82), "")</f>
        <v/>
      </c>
      <c r="IQ83" s="62" t="str">
        <f t="shared" ref="IQ83" si="645">IF(SUM(IQ70, IQ82) &gt; 0, SUM(IQ70, IQ82), "")</f>
        <v/>
      </c>
      <c r="IR83" s="62" t="str">
        <f t="shared" ref="IR83" si="646">IF(SUM(IR70, IR82) &gt; 0, SUM(IR70, IR82), "")</f>
        <v/>
      </c>
      <c r="IS83" s="62" t="str">
        <f t="shared" ref="IS83" si="647">IF(SUM(IS70, IS82) &gt; 0, SUM(IS70, IS82), "")</f>
        <v/>
      </c>
      <c r="IT83" s="62" t="str">
        <f t="shared" ref="IT83" si="648">IF(SUM(IT70, IT82) &gt; 0, SUM(IT70, IT82), "")</f>
        <v/>
      </c>
      <c r="IU83" s="63" t="str">
        <f t="shared" ref="IU83" si="649">IF(SUM(IU70, IU82) &gt; 0, SUM(IU70, IU82), "")</f>
        <v/>
      </c>
      <c r="IV83" s="65" t="str">
        <f t="shared" ref="IV83" si="650">IF(SUM(IV70, IV82) &gt; 0, SUM(IV70, IV82), "")</f>
        <v/>
      </c>
      <c r="IW83" s="62" t="str">
        <f t="shared" ref="IW83" si="651">IF(SUM(IW70, IW82) &gt; 0, SUM(IW70, IW82), "")</f>
        <v/>
      </c>
      <c r="IX83" s="62" t="str">
        <f t="shared" ref="IX83" si="652">IF(SUM(IX70, IX82) &gt; 0, SUM(IX70, IX82), "")</f>
        <v/>
      </c>
      <c r="IY83" s="62" t="str">
        <f t="shared" ref="IY83" si="653">IF(SUM(IY70, IY82) &gt; 0, SUM(IY70, IY82), "")</f>
        <v/>
      </c>
      <c r="IZ83" s="62" t="str">
        <f t="shared" ref="IZ83" si="654">IF(SUM(IZ70, IZ82) &gt; 0, SUM(IZ70, IZ82), "")</f>
        <v/>
      </c>
      <c r="JA83" s="62" t="str">
        <f t="shared" ref="JA83" si="655">IF(SUM(JA70, JA82) &gt; 0, SUM(JA70, JA82), "")</f>
        <v/>
      </c>
      <c r="JB83" s="63" t="str">
        <f t="shared" ref="JB83" si="656">IF(SUM(JB70, JB82) &gt; 0, SUM(JB70, JB82), "")</f>
        <v/>
      </c>
      <c r="JC83" s="65" t="str">
        <f t="shared" ref="JC83" si="657">IF(SUM(JC70, JC82) &gt; 0, SUM(JC70, JC82), "")</f>
        <v/>
      </c>
      <c r="JD83" s="62" t="str">
        <f t="shared" ref="JD83" si="658">IF(SUM(JD70, JD82) &gt; 0, SUM(JD70, JD82), "")</f>
        <v/>
      </c>
      <c r="JE83" s="62" t="str">
        <f t="shared" ref="JE83" si="659">IF(SUM(JE70, JE82) &gt; 0, SUM(JE70, JE82), "")</f>
        <v/>
      </c>
      <c r="JF83" s="62" t="str">
        <f t="shared" ref="JF83" si="660">IF(SUM(JF70, JF82) &gt; 0, SUM(JF70, JF82), "")</f>
        <v/>
      </c>
      <c r="JG83" s="62" t="str">
        <f t="shared" ref="JG83" si="661">IF(SUM(JG70, JG82) &gt; 0, SUM(JG70, JG82), "")</f>
        <v/>
      </c>
      <c r="JH83" s="62" t="str">
        <f t="shared" ref="JH83" si="662">IF(SUM(JH70, JH82) &gt; 0, SUM(JH70, JH82), "")</f>
        <v/>
      </c>
      <c r="JI83" s="63" t="str">
        <f t="shared" ref="JI83" si="663">IF(SUM(JI70, JI82) &gt; 0, SUM(JI70, JI82), "")</f>
        <v/>
      </c>
      <c r="JJ83" s="65" t="str">
        <f t="shared" ref="JJ83" si="664">IF(SUM(JJ70, JJ82) &gt; 0, SUM(JJ70, JJ82), "")</f>
        <v/>
      </c>
      <c r="JK83" s="62" t="str">
        <f t="shared" ref="JK83" si="665">IF(SUM(JK70, JK82) &gt; 0, SUM(JK70, JK82), "")</f>
        <v/>
      </c>
      <c r="JL83" s="62" t="str">
        <f t="shared" ref="JL83" si="666">IF(SUM(JL70, JL82) &gt; 0, SUM(JL70, JL82), "")</f>
        <v/>
      </c>
      <c r="JM83" s="62" t="str">
        <f t="shared" ref="JM83" si="667">IF(SUM(JM70, JM82) &gt; 0, SUM(JM70, JM82), "")</f>
        <v/>
      </c>
      <c r="JN83" s="62" t="str">
        <f t="shared" ref="JN83" si="668">IF(SUM(JN70, JN82) &gt; 0, SUM(JN70, JN82), "")</f>
        <v/>
      </c>
      <c r="JO83" s="62" t="str">
        <f t="shared" ref="JO83" si="669">IF(SUM(JO70, JO82) &gt; 0, SUM(JO70, JO82), "")</f>
        <v/>
      </c>
      <c r="JP83" s="63" t="str">
        <f t="shared" ref="JP83" si="670">IF(SUM(JP70, JP82) &gt; 0, SUM(JP70, JP82), "")</f>
        <v/>
      </c>
      <c r="JQ83" s="65" t="str">
        <f t="shared" ref="JQ83" si="671">IF(SUM(JQ70, JQ82) &gt; 0, SUM(JQ70, JQ82), "")</f>
        <v/>
      </c>
      <c r="JR83" s="62" t="str">
        <f t="shared" ref="JR83" si="672">IF(SUM(JR70, JR82) &gt; 0, SUM(JR70, JR82), "")</f>
        <v/>
      </c>
      <c r="JS83" s="62" t="str">
        <f t="shared" ref="JS83" si="673">IF(SUM(JS70, JS82) &gt; 0, SUM(JS70, JS82), "")</f>
        <v/>
      </c>
      <c r="JT83" s="62" t="str">
        <f t="shared" ref="JT83" si="674">IF(SUM(JT70, JT82) &gt; 0, SUM(JT70, JT82), "")</f>
        <v/>
      </c>
      <c r="JU83" s="62" t="str">
        <f t="shared" ref="JU83" si="675">IF(SUM(JU70, JU82) &gt; 0, SUM(JU70, JU82), "")</f>
        <v/>
      </c>
      <c r="JV83" s="62" t="str">
        <f t="shared" ref="JV83" si="676">IF(SUM(JV70, JV82) &gt; 0, SUM(JV70, JV82), "")</f>
        <v/>
      </c>
      <c r="JW83" s="63" t="str">
        <f t="shared" ref="JW83" si="677">IF(SUM(JW70, JW82) &gt; 0, SUM(JW70, JW82), "")</f>
        <v/>
      </c>
      <c r="JX83" s="65" t="str">
        <f t="shared" ref="JX83" si="678">IF(SUM(JX70, JX82) &gt; 0, SUM(JX70, JX82), "")</f>
        <v/>
      </c>
      <c r="JY83" s="62" t="str">
        <f t="shared" ref="JY83" si="679">IF(SUM(JY70, JY82) &gt; 0, SUM(JY70, JY82), "")</f>
        <v/>
      </c>
      <c r="JZ83" s="62" t="str">
        <f t="shared" ref="JZ83" si="680">IF(SUM(JZ70, JZ82) &gt; 0, SUM(JZ70, JZ82), "")</f>
        <v/>
      </c>
      <c r="KA83" s="62" t="str">
        <f t="shared" ref="KA83" si="681">IF(SUM(KA70, KA82) &gt; 0, SUM(KA70, KA82), "")</f>
        <v/>
      </c>
      <c r="KB83" s="62" t="str">
        <f t="shared" ref="KB83" si="682">IF(SUM(KB70, KB82) &gt; 0, SUM(KB70, KB82), "")</f>
        <v/>
      </c>
      <c r="KC83" s="62" t="str">
        <f t="shared" ref="KC83" si="683">IF(SUM(KC70, KC82) &gt; 0, SUM(KC70, KC82), "")</f>
        <v/>
      </c>
      <c r="KD83" s="63" t="str">
        <f t="shared" ref="KD83" si="684">IF(SUM(KD70, KD82) &gt; 0, SUM(KD70, KD82), "")</f>
        <v/>
      </c>
      <c r="KE83" s="65" t="str">
        <f t="shared" ref="KE83" si="685">IF(SUM(KE70, KE82) &gt; 0, SUM(KE70, KE82), "")</f>
        <v/>
      </c>
      <c r="KF83" s="62" t="str">
        <f t="shared" ref="KF83" si="686">IF(SUM(KF70, KF82) &gt; 0, SUM(KF70, KF82), "")</f>
        <v/>
      </c>
      <c r="KG83" s="62" t="str">
        <f t="shared" ref="KG83" si="687">IF(SUM(KG70, KG82) &gt; 0, SUM(KG70, KG82), "")</f>
        <v/>
      </c>
      <c r="KH83" s="62" t="str">
        <f t="shared" ref="KH83" si="688">IF(SUM(KH70, KH82) &gt; 0, SUM(KH70, KH82), "")</f>
        <v/>
      </c>
      <c r="KI83" s="62" t="str">
        <f t="shared" ref="KI83" si="689">IF(SUM(KI70, KI82) &gt; 0, SUM(KI70, KI82), "")</f>
        <v/>
      </c>
      <c r="KJ83" s="62" t="str">
        <f t="shared" ref="KJ83" si="690">IF(SUM(KJ70, KJ82) &gt; 0, SUM(KJ70, KJ82), "")</f>
        <v/>
      </c>
      <c r="KK83" s="63" t="str">
        <f t="shared" ref="KK83" si="691">IF(SUM(KK70, KK82) &gt; 0, SUM(KK70, KK82), "")</f>
        <v/>
      </c>
      <c r="KL83" s="65" t="str">
        <f t="shared" ref="KL83" si="692">IF(SUM(KL70, KL82) &gt; 0, SUM(KL70, KL82), "")</f>
        <v/>
      </c>
      <c r="KM83" s="62" t="str">
        <f t="shared" ref="KM83" si="693">IF(SUM(KM70, KM82) &gt; 0, SUM(KM70, KM82), "")</f>
        <v/>
      </c>
      <c r="KN83" s="62" t="str">
        <f t="shared" ref="KN83" si="694">IF(SUM(KN70, KN82) &gt; 0, SUM(KN70, KN82), "")</f>
        <v/>
      </c>
      <c r="KO83" s="62" t="str">
        <f t="shared" ref="KO83" si="695">IF(SUM(KO70, KO82) &gt; 0, SUM(KO70, KO82), "")</f>
        <v/>
      </c>
      <c r="KP83" s="62" t="str">
        <f t="shared" ref="KP83" si="696">IF(SUM(KP70, KP82) &gt; 0, SUM(KP70, KP82), "")</f>
        <v/>
      </c>
      <c r="KQ83" s="62" t="str">
        <f t="shared" ref="KQ83" si="697">IF(SUM(KQ70, KQ82) &gt; 0, SUM(KQ70, KQ82), "")</f>
        <v/>
      </c>
      <c r="KR83" s="63" t="str">
        <f t="shared" ref="KR83" si="698">IF(SUM(KR70, KR82) &gt; 0, SUM(KR70, KR82), "")</f>
        <v/>
      </c>
      <c r="KS83" s="65" t="str">
        <f t="shared" ref="KS83" si="699">IF(SUM(KS70, KS82) &gt; 0, SUM(KS70, KS82), "")</f>
        <v/>
      </c>
      <c r="KT83" s="62" t="str">
        <f t="shared" ref="KT83" si="700">IF(SUM(KT70, KT82) &gt; 0, SUM(KT70, KT82), "")</f>
        <v/>
      </c>
      <c r="KU83" s="62" t="str">
        <f t="shared" ref="KU83" si="701">IF(SUM(KU70, KU82) &gt; 0, SUM(KU70, KU82), "")</f>
        <v/>
      </c>
      <c r="KV83" s="62" t="str">
        <f t="shared" ref="KV83" si="702">IF(SUM(KV70, KV82) &gt; 0, SUM(KV70, KV82), "")</f>
        <v/>
      </c>
      <c r="KW83" s="62" t="str">
        <f t="shared" ref="KW83" si="703">IF(SUM(KW70, KW82) &gt; 0, SUM(KW70, KW82), "")</f>
        <v/>
      </c>
      <c r="KX83" s="62" t="str">
        <f t="shared" ref="KX83" si="704">IF(SUM(KX70, KX82) &gt; 0, SUM(KX70, KX82), "")</f>
        <v/>
      </c>
      <c r="KY83" s="63" t="str">
        <f t="shared" ref="KY83" si="705">IF(SUM(KY70, KY82) &gt; 0, SUM(KY70, KY82), "")</f>
        <v/>
      </c>
      <c r="KZ83" s="65" t="str">
        <f t="shared" ref="KZ83" si="706">IF(SUM(KZ70, KZ82) &gt; 0, SUM(KZ70, KZ82), "")</f>
        <v/>
      </c>
      <c r="LA83" s="62" t="str">
        <f t="shared" ref="LA83" si="707">IF(SUM(LA70, LA82) &gt; 0, SUM(LA70, LA82), "")</f>
        <v/>
      </c>
      <c r="LB83" s="62" t="str">
        <f t="shared" ref="LB83" si="708">IF(SUM(LB70, LB82) &gt; 0, SUM(LB70, LB82), "")</f>
        <v/>
      </c>
      <c r="LC83" s="62" t="str">
        <f t="shared" ref="LC83" si="709">IF(SUM(LC70, LC82) &gt; 0, SUM(LC70, LC82), "")</f>
        <v/>
      </c>
      <c r="LD83" s="62" t="str">
        <f t="shared" ref="LD83" si="710">IF(SUM(LD70, LD82) &gt; 0, SUM(LD70, LD82), "")</f>
        <v/>
      </c>
      <c r="LE83" s="62" t="str">
        <f t="shared" ref="LE83" si="711">IF(SUM(LE70, LE82) &gt; 0, SUM(LE70, LE82), "")</f>
        <v/>
      </c>
      <c r="LF83" s="63" t="str">
        <f t="shared" ref="LF83" si="712">IF(SUM(LF70, LF82) &gt; 0, SUM(LF70, LF82), "")</f>
        <v/>
      </c>
      <c r="LG83" s="65" t="str">
        <f t="shared" ref="LG83" si="713">IF(SUM(LG70, LG82) &gt; 0, SUM(LG70, LG82), "")</f>
        <v/>
      </c>
      <c r="LH83" s="62" t="str">
        <f t="shared" ref="LH83" si="714">IF(SUM(LH70, LH82) &gt; 0, SUM(LH70, LH82), "")</f>
        <v/>
      </c>
      <c r="LI83" s="62" t="str">
        <f t="shared" ref="LI83" si="715">IF(SUM(LI70, LI82) &gt; 0, SUM(LI70, LI82), "")</f>
        <v/>
      </c>
      <c r="LJ83" s="62" t="str">
        <f t="shared" ref="LJ83" si="716">IF(SUM(LJ70, LJ82) &gt; 0, SUM(LJ70, LJ82), "")</f>
        <v/>
      </c>
      <c r="LK83" s="62" t="str">
        <f t="shared" ref="LK83" si="717">IF(SUM(LK70, LK82) &gt; 0, SUM(LK70, LK82), "")</f>
        <v/>
      </c>
      <c r="LL83" s="62" t="str">
        <f t="shared" ref="LL83" si="718">IF(SUM(LL70, LL82) &gt; 0, SUM(LL70, LL82), "")</f>
        <v/>
      </c>
      <c r="LM83" s="63" t="str">
        <f t="shared" ref="LM83" si="719">IF(SUM(LM70, LM82) &gt; 0, SUM(LM70, LM82), "")</f>
        <v/>
      </c>
      <c r="LN83" s="65" t="str">
        <f t="shared" ref="LN83" si="720">IF(SUM(LN70, LN82) &gt; 0, SUM(LN70, LN82), "")</f>
        <v/>
      </c>
      <c r="LO83" s="62" t="str">
        <f t="shared" ref="LO83" si="721">IF(SUM(LO70, LO82) &gt; 0, SUM(LO70, LO82), "")</f>
        <v/>
      </c>
      <c r="LP83" s="62" t="str">
        <f t="shared" ref="LP83" si="722">IF(SUM(LP70, LP82) &gt; 0, SUM(LP70, LP82), "")</f>
        <v/>
      </c>
      <c r="LQ83" s="62" t="str">
        <f t="shared" ref="LQ83" si="723">IF(SUM(LQ70, LQ82) &gt; 0, SUM(LQ70, LQ82), "")</f>
        <v/>
      </c>
      <c r="LR83" s="62" t="str">
        <f t="shared" ref="LR83" si="724">IF(SUM(LR70, LR82) &gt; 0, SUM(LR70, LR82), "")</f>
        <v/>
      </c>
      <c r="LS83" s="62" t="str">
        <f t="shared" ref="LS83" si="725">IF(SUM(LS70, LS82) &gt; 0, SUM(LS70, LS82), "")</f>
        <v/>
      </c>
      <c r="LT83" s="63" t="str">
        <f t="shared" ref="LT83" si="726">IF(SUM(LT70, LT82) &gt; 0, SUM(LT70, LT82), "")</f>
        <v/>
      </c>
      <c r="LU83" s="65" t="str">
        <f t="shared" ref="LU83" si="727">IF(SUM(LU70, LU82) &gt; 0, SUM(LU70, LU82), "")</f>
        <v/>
      </c>
      <c r="LV83" s="62" t="str">
        <f t="shared" ref="LV83" si="728">IF(SUM(LV70, LV82) &gt; 0, SUM(LV70, LV82), "")</f>
        <v/>
      </c>
      <c r="LW83" s="62" t="str">
        <f t="shared" ref="LW83" si="729">IF(SUM(LW70, LW82) &gt; 0, SUM(LW70, LW82), "")</f>
        <v/>
      </c>
      <c r="LX83" s="62" t="str">
        <f t="shared" ref="LX83" si="730">IF(SUM(LX70, LX82) &gt; 0, SUM(LX70, LX82), "")</f>
        <v/>
      </c>
      <c r="LY83" s="62" t="str">
        <f t="shared" ref="LY83" si="731">IF(SUM(LY70, LY82) &gt; 0, SUM(LY70, LY82), "")</f>
        <v/>
      </c>
      <c r="LZ83" s="62" t="str">
        <f t="shared" ref="LZ83" si="732">IF(SUM(LZ70, LZ82) &gt; 0, SUM(LZ70, LZ82), "")</f>
        <v/>
      </c>
      <c r="MA83" s="63" t="str">
        <f t="shared" ref="MA83" si="733">IF(SUM(MA70, MA82) &gt; 0, SUM(MA70, MA82), "")</f>
        <v/>
      </c>
      <c r="MB83" s="65" t="str">
        <f t="shared" ref="MB83" si="734">IF(SUM(MB70, MB82) &gt; 0, SUM(MB70, MB82), "")</f>
        <v/>
      </c>
      <c r="MC83" s="62" t="str">
        <f t="shared" ref="MC83" si="735">IF(SUM(MC70, MC82) &gt; 0, SUM(MC70, MC82), "")</f>
        <v/>
      </c>
      <c r="MD83" s="62" t="str">
        <f t="shared" ref="MD83" si="736">IF(SUM(MD70, MD82) &gt; 0, SUM(MD70, MD82), "")</f>
        <v/>
      </c>
      <c r="ME83" s="62" t="str">
        <f t="shared" ref="ME83" si="737">IF(SUM(ME70, ME82) &gt; 0, SUM(ME70, ME82), "")</f>
        <v/>
      </c>
      <c r="MF83" s="62" t="str">
        <f t="shared" ref="MF83" si="738">IF(SUM(MF70, MF82) &gt; 0, SUM(MF70, MF82), "")</f>
        <v/>
      </c>
      <c r="MG83" s="62" t="str">
        <f t="shared" ref="MG83" si="739">IF(SUM(MG70, MG82) &gt; 0, SUM(MG70, MG82), "")</f>
        <v/>
      </c>
      <c r="MH83" s="63" t="str">
        <f t="shared" ref="MH83" si="740">IF(SUM(MH70, MH82) &gt; 0, SUM(MH70, MH82), "")</f>
        <v/>
      </c>
      <c r="MI83" s="65" t="str">
        <f t="shared" ref="MI83" si="741">IF(SUM(MI70, MI82) &gt; 0, SUM(MI70, MI82), "")</f>
        <v/>
      </c>
      <c r="MJ83" s="62" t="str">
        <f t="shared" ref="MJ83" si="742">IF(SUM(MJ70, MJ82) &gt; 0, SUM(MJ70, MJ82), "")</f>
        <v/>
      </c>
      <c r="MK83" s="62" t="str">
        <f t="shared" ref="MK83" si="743">IF(SUM(MK70, MK82) &gt; 0, SUM(MK70, MK82), "")</f>
        <v/>
      </c>
      <c r="ML83" s="62" t="str">
        <f t="shared" ref="ML83" si="744">IF(SUM(ML70, ML82) &gt; 0, SUM(ML70, ML82), "")</f>
        <v/>
      </c>
      <c r="MM83" s="62" t="str">
        <f t="shared" ref="MM83" si="745">IF(SUM(MM70, MM82) &gt; 0, SUM(MM70, MM82), "")</f>
        <v/>
      </c>
      <c r="MN83" s="62" t="str">
        <f t="shared" ref="MN83" si="746">IF(SUM(MN70, MN82) &gt; 0, SUM(MN70, MN82), "")</f>
        <v/>
      </c>
      <c r="MO83" s="63" t="str">
        <f t="shared" ref="MO83" si="747">IF(SUM(MO70, MO82) &gt; 0, SUM(MO70, MO82), "")</f>
        <v/>
      </c>
      <c r="MP83" s="65" t="str">
        <f t="shared" ref="MP83" si="748">IF(SUM(MP70, MP82) &gt; 0, SUM(MP70, MP82), "")</f>
        <v/>
      </c>
      <c r="MQ83" s="62" t="str">
        <f t="shared" ref="MQ83" si="749">IF(SUM(MQ70, MQ82) &gt; 0, SUM(MQ70, MQ82), "")</f>
        <v/>
      </c>
      <c r="MR83" s="62" t="str">
        <f t="shared" ref="MR83" si="750">IF(SUM(MR70, MR82) &gt; 0, SUM(MR70, MR82), "")</f>
        <v/>
      </c>
      <c r="MS83" s="62" t="str">
        <f t="shared" ref="MS83" si="751">IF(SUM(MS70, MS82) &gt; 0, SUM(MS70, MS82), "")</f>
        <v/>
      </c>
      <c r="MT83" s="62" t="str">
        <f t="shared" ref="MT83" si="752">IF(SUM(MT70, MT82) &gt; 0, SUM(MT70, MT82), "")</f>
        <v/>
      </c>
      <c r="MU83" s="62" t="str">
        <f t="shared" ref="MU83" si="753">IF(SUM(MU70, MU82) &gt; 0, SUM(MU70, MU82), "")</f>
        <v/>
      </c>
      <c r="MV83" s="63" t="str">
        <f t="shared" ref="MV83" si="754">IF(SUM(MV70, MV82) &gt; 0, SUM(MV70, MV82), "")</f>
        <v/>
      </c>
      <c r="MW83" s="65" t="str">
        <f t="shared" ref="MW83" si="755">IF(SUM(MW70, MW82) &gt; 0, SUM(MW70, MW82), "")</f>
        <v/>
      </c>
      <c r="MX83" s="62" t="str">
        <f t="shared" ref="MX83" si="756">IF(SUM(MX70, MX82) &gt; 0, SUM(MX70, MX82), "")</f>
        <v/>
      </c>
      <c r="MY83" s="62" t="str">
        <f t="shared" ref="MY83" si="757">IF(SUM(MY70, MY82) &gt; 0, SUM(MY70, MY82), "")</f>
        <v/>
      </c>
      <c r="MZ83" s="62" t="str">
        <f t="shared" ref="MZ83" si="758">IF(SUM(MZ70, MZ82) &gt; 0, SUM(MZ70, MZ82), "")</f>
        <v/>
      </c>
      <c r="NA83" s="62" t="str">
        <f t="shared" ref="NA83" si="759">IF(SUM(NA70, NA82) &gt; 0, SUM(NA70, NA82), "")</f>
        <v/>
      </c>
      <c r="NB83" s="62" t="str">
        <f t="shared" ref="NB83" si="760">IF(SUM(NB70, NB82) &gt; 0, SUM(NB70, NB82), "")</f>
        <v/>
      </c>
      <c r="NC83" s="63" t="str">
        <f t="shared" ref="NC83" si="761">IF(SUM(NC70, NC82) &gt; 0, SUM(NC70, NC82), "")</f>
        <v/>
      </c>
      <c r="ND83" s="65" t="str">
        <f t="shared" ref="ND83" si="762">IF(SUM(ND70, ND82) &gt; 0, SUM(ND70, ND82), "")</f>
        <v/>
      </c>
      <c r="NE83" s="62" t="str">
        <f t="shared" ref="NE83" si="763">IF(SUM(NE70, NE82) &gt; 0, SUM(NE70, NE82), "")</f>
        <v/>
      </c>
      <c r="NF83" s="62" t="str">
        <f t="shared" ref="NF83" si="764">IF(SUM(NF70, NF82) &gt; 0, SUM(NF70, NF82), "")</f>
        <v/>
      </c>
      <c r="NG83" s="62" t="str">
        <f t="shared" ref="NG83" si="765">IF(SUM(NG70, NG82) &gt; 0, SUM(NG70, NG82), "")</f>
        <v/>
      </c>
      <c r="NH83" s="62" t="str">
        <f t="shared" ref="NH83" si="766">IF(SUM(NH70, NH82) &gt; 0, SUM(NH70, NH82), "")</f>
        <v/>
      </c>
      <c r="NI83" s="62" t="str">
        <f t="shared" ref="NI83" si="767">IF(SUM(NI70, NI82) &gt; 0, SUM(NI70, NI82), "")</f>
        <v/>
      </c>
      <c r="NJ83" s="63" t="str">
        <f t="shared" ref="NJ83" si="768">IF(SUM(NJ70, NJ82) &gt; 0, SUM(NJ70, NJ82), "")</f>
        <v/>
      </c>
    </row>
    <row r="84" spans="1:374" ht="7.5" customHeight="1" x14ac:dyDescent="0.25">
      <c r="A84" s="8"/>
      <c r="B84" s="8"/>
      <c r="C84" s="8"/>
      <c r="D84" s="8"/>
      <c r="E84" s="8"/>
      <c r="F84" s="10"/>
      <c r="G84" s="19"/>
      <c r="H84" s="19"/>
      <c r="I84" s="8"/>
      <c r="J84" s="8"/>
      <c r="K84" s="8"/>
      <c r="L84" s="8"/>
      <c r="M84" s="8"/>
      <c r="N84" s="8"/>
      <c r="O84" s="9"/>
      <c r="P84" s="8"/>
      <c r="Q84" s="8"/>
      <c r="R84" s="9"/>
      <c r="S84" s="7"/>
      <c r="Z84" s="7"/>
      <c r="AG84" s="7"/>
      <c r="AN84" s="7"/>
      <c r="AU84" s="7"/>
      <c r="BB84" s="7"/>
      <c r="BI84" s="7"/>
      <c r="BP84" s="7"/>
      <c r="BY84" s="7"/>
      <c r="CH84" s="7"/>
      <c r="CQ84" s="7"/>
      <c r="CZ84" s="7"/>
      <c r="DI84" s="7"/>
      <c r="DR84" s="7"/>
      <c r="EA84" s="7"/>
      <c r="EJ84" s="7"/>
      <c r="ES84" s="7"/>
      <c r="FB84" s="7"/>
      <c r="FK84" s="7"/>
      <c r="FT84" s="7"/>
      <c r="GC84" s="7"/>
      <c r="GL84" s="7"/>
      <c r="GU84" s="7"/>
      <c r="HD84" s="7"/>
      <c r="HM84" s="7"/>
      <c r="HV84" s="7"/>
      <c r="IE84" s="7"/>
      <c r="IN84" s="7"/>
      <c r="IU84" s="7"/>
      <c r="JB84" s="7"/>
      <c r="JI84" s="7"/>
      <c r="JP84" s="7"/>
      <c r="JW84" s="7"/>
      <c r="KD84" s="7"/>
      <c r="KK84" s="7"/>
      <c r="KR84" s="7"/>
      <c r="KY84" s="7"/>
      <c r="LF84" s="7"/>
      <c r="LM84" s="7"/>
      <c r="LT84" s="7"/>
      <c r="MA84" s="7"/>
      <c r="MH84" s="7"/>
      <c r="MO84" s="7"/>
      <c r="MV84" s="7"/>
      <c r="NC84" s="7"/>
      <c r="NJ84" s="7"/>
    </row>
    <row r="85" spans="1:374" x14ac:dyDescent="0.25">
      <c r="A85" s="11" t="s">
        <v>24</v>
      </c>
      <c r="B85" s="11"/>
      <c r="C85" s="11"/>
      <c r="D85" s="11"/>
      <c r="E85" s="11"/>
      <c r="F85" s="13"/>
      <c r="G85" s="40"/>
      <c r="H85" s="40"/>
      <c r="I85" s="11"/>
      <c r="J85" s="11"/>
      <c r="K85" s="11"/>
      <c r="L85" s="11"/>
      <c r="M85" s="11"/>
      <c r="N85" s="11"/>
      <c r="O85" s="12"/>
      <c r="P85" s="11"/>
      <c r="Q85" s="11"/>
      <c r="R85" s="12"/>
      <c r="S85" s="12"/>
      <c r="T85" s="11"/>
      <c r="U85" s="11"/>
      <c r="V85" s="11"/>
      <c r="W85" s="11"/>
      <c r="X85" s="11"/>
      <c r="Y85" s="11"/>
      <c r="Z85" s="12"/>
      <c r="AA85" s="11"/>
      <c r="AB85" s="11"/>
      <c r="AC85" s="11"/>
      <c r="AD85" s="11"/>
      <c r="AE85" s="11"/>
      <c r="AF85" s="11"/>
      <c r="AG85" s="12"/>
      <c r="AH85" s="11"/>
      <c r="AI85" s="11"/>
      <c r="AJ85" s="11"/>
      <c r="AK85" s="11"/>
      <c r="AL85" s="11"/>
      <c r="AM85" s="11"/>
      <c r="AN85" s="12"/>
      <c r="AO85" s="11"/>
      <c r="AP85" s="11"/>
      <c r="AQ85" s="11"/>
      <c r="AR85" s="11"/>
      <c r="AS85" s="11"/>
      <c r="AT85" s="11"/>
      <c r="AU85" s="12"/>
      <c r="AV85" s="11"/>
      <c r="AW85" s="11"/>
      <c r="AX85" s="11"/>
      <c r="AY85" s="11"/>
      <c r="AZ85" s="11"/>
      <c r="BA85" s="11"/>
      <c r="BB85" s="12"/>
      <c r="BC85" s="11"/>
      <c r="BD85" s="11"/>
      <c r="BE85" s="11"/>
      <c r="BF85" s="11"/>
      <c r="BG85" s="11"/>
      <c r="BH85" s="11"/>
      <c r="BI85" s="12"/>
      <c r="BJ85" s="11"/>
      <c r="BK85" s="11"/>
      <c r="BL85" s="11"/>
      <c r="BM85" s="11"/>
      <c r="BN85" s="11"/>
      <c r="BO85" s="11"/>
      <c r="BP85" s="12"/>
      <c r="BQ85" s="11"/>
      <c r="BR85" s="11"/>
      <c r="BS85" s="11"/>
      <c r="BT85" s="11"/>
      <c r="BU85" s="11"/>
      <c r="BV85" s="11"/>
      <c r="BW85" s="11"/>
      <c r="BX85" s="11"/>
      <c r="BY85" s="12"/>
      <c r="BZ85" s="11"/>
      <c r="CA85" s="11"/>
      <c r="CB85" s="11"/>
      <c r="CC85" s="11"/>
      <c r="CD85" s="11"/>
      <c r="CE85" s="11"/>
      <c r="CF85" s="11"/>
      <c r="CG85" s="11"/>
      <c r="CH85" s="12"/>
      <c r="CI85" s="11"/>
      <c r="CJ85" s="11"/>
      <c r="CK85" s="11"/>
      <c r="CL85" s="11"/>
      <c r="CM85" s="11"/>
      <c r="CN85" s="11"/>
      <c r="CO85" s="11"/>
      <c r="CP85" s="11"/>
      <c r="CQ85" s="12"/>
      <c r="CR85" s="11"/>
      <c r="CS85" s="11"/>
      <c r="CT85" s="11"/>
      <c r="CU85" s="11"/>
      <c r="CV85" s="11"/>
      <c r="CW85" s="11"/>
      <c r="CX85" s="11"/>
      <c r="CY85" s="11"/>
      <c r="CZ85" s="12"/>
      <c r="DA85" s="11"/>
      <c r="DB85" s="11"/>
      <c r="DC85" s="11"/>
      <c r="DD85" s="11"/>
      <c r="DE85" s="11"/>
      <c r="DF85" s="11"/>
      <c r="DG85" s="11"/>
      <c r="DH85" s="11"/>
      <c r="DI85" s="12"/>
      <c r="DJ85" s="11"/>
      <c r="DK85" s="11"/>
      <c r="DL85" s="11"/>
      <c r="DM85" s="11"/>
      <c r="DN85" s="11"/>
      <c r="DO85" s="11"/>
      <c r="DP85" s="11"/>
      <c r="DQ85" s="11"/>
      <c r="DR85" s="12"/>
      <c r="DS85" s="11"/>
      <c r="DT85" s="11"/>
      <c r="DU85" s="11"/>
      <c r="DV85" s="11"/>
      <c r="DW85" s="11"/>
      <c r="DX85" s="11"/>
      <c r="DY85" s="11"/>
      <c r="DZ85" s="11"/>
      <c r="EA85" s="12"/>
      <c r="EB85" s="11"/>
      <c r="EC85" s="11"/>
      <c r="ED85" s="11"/>
      <c r="EE85" s="11"/>
      <c r="EF85" s="11"/>
      <c r="EG85" s="11"/>
      <c r="EH85" s="11"/>
      <c r="EI85" s="11"/>
      <c r="EJ85" s="12"/>
      <c r="EK85" s="11"/>
      <c r="EL85" s="11"/>
      <c r="EM85" s="11"/>
      <c r="EN85" s="11"/>
      <c r="EO85" s="11"/>
      <c r="EP85" s="11"/>
      <c r="EQ85" s="11"/>
      <c r="ER85" s="11"/>
      <c r="ES85" s="12"/>
      <c r="ET85" s="11"/>
      <c r="EU85" s="11"/>
      <c r="EV85" s="11"/>
      <c r="EW85" s="11"/>
      <c r="EX85" s="11"/>
      <c r="EY85" s="11"/>
      <c r="EZ85" s="11"/>
      <c r="FA85" s="11"/>
      <c r="FB85" s="12"/>
      <c r="FC85" s="11"/>
      <c r="FD85" s="11"/>
      <c r="FE85" s="11"/>
      <c r="FF85" s="11"/>
      <c r="FG85" s="11"/>
      <c r="FH85" s="11"/>
      <c r="FI85" s="11"/>
      <c r="FJ85" s="11"/>
      <c r="FK85" s="12"/>
      <c r="FL85" s="11"/>
      <c r="FM85" s="11"/>
      <c r="FN85" s="11"/>
      <c r="FO85" s="11"/>
      <c r="FP85" s="11"/>
      <c r="FQ85" s="11"/>
      <c r="FR85" s="11"/>
      <c r="FS85" s="11"/>
      <c r="FT85" s="12"/>
      <c r="FU85" s="11"/>
      <c r="FV85" s="11"/>
      <c r="FW85" s="11"/>
      <c r="FX85" s="11"/>
      <c r="FY85" s="11"/>
      <c r="FZ85" s="11"/>
      <c r="GA85" s="11"/>
      <c r="GB85" s="11"/>
      <c r="GC85" s="12"/>
      <c r="GD85" s="11"/>
      <c r="GE85" s="11"/>
      <c r="GF85" s="11"/>
      <c r="GG85" s="11"/>
      <c r="GH85" s="11"/>
      <c r="GI85" s="11"/>
      <c r="GJ85" s="11"/>
      <c r="GK85" s="11"/>
      <c r="GL85" s="12"/>
      <c r="GM85" s="11"/>
      <c r="GN85" s="11"/>
      <c r="GO85" s="11"/>
      <c r="GP85" s="11"/>
      <c r="GQ85" s="11"/>
      <c r="GR85" s="11"/>
      <c r="GS85" s="11"/>
      <c r="GT85" s="11"/>
      <c r="GU85" s="12"/>
      <c r="GV85" s="11"/>
      <c r="GW85" s="11"/>
      <c r="GX85" s="11"/>
      <c r="GY85" s="11"/>
      <c r="GZ85" s="11"/>
      <c r="HA85" s="11"/>
      <c r="HB85" s="11"/>
      <c r="HC85" s="11"/>
      <c r="HD85" s="12"/>
      <c r="HE85" s="11"/>
      <c r="HF85" s="11"/>
      <c r="HG85" s="11"/>
      <c r="HH85" s="11"/>
      <c r="HI85" s="11"/>
      <c r="HJ85" s="11"/>
      <c r="HK85" s="11"/>
      <c r="HL85" s="11"/>
      <c r="HM85" s="12"/>
      <c r="HN85" s="11"/>
      <c r="HO85" s="11"/>
      <c r="HP85" s="11"/>
      <c r="HQ85" s="11"/>
      <c r="HR85" s="11"/>
      <c r="HS85" s="11"/>
      <c r="HT85" s="11"/>
      <c r="HU85" s="11"/>
      <c r="HV85" s="12"/>
      <c r="HW85" s="11"/>
      <c r="HX85" s="11"/>
      <c r="HY85" s="11"/>
      <c r="HZ85" s="11"/>
      <c r="IA85" s="11"/>
      <c r="IB85" s="11"/>
      <c r="IC85" s="11"/>
      <c r="ID85" s="11"/>
      <c r="IE85" s="12"/>
      <c r="IF85" s="11"/>
      <c r="IG85" s="11"/>
      <c r="IH85" s="11"/>
      <c r="II85" s="11"/>
      <c r="IJ85" s="11"/>
      <c r="IK85" s="11"/>
      <c r="IL85" s="11"/>
      <c r="IM85" s="11"/>
      <c r="IN85" s="12"/>
      <c r="IO85" s="11"/>
      <c r="IP85" s="11"/>
      <c r="IQ85" s="11"/>
      <c r="IR85" s="11"/>
      <c r="IS85" s="11"/>
      <c r="IT85" s="11"/>
      <c r="IU85" s="12"/>
      <c r="IV85" s="11"/>
      <c r="IW85" s="11"/>
      <c r="IX85" s="11"/>
      <c r="IY85" s="11"/>
      <c r="IZ85" s="11"/>
      <c r="JA85" s="11"/>
      <c r="JB85" s="12"/>
      <c r="JC85" s="11"/>
      <c r="JD85" s="11"/>
      <c r="JE85" s="11"/>
      <c r="JF85" s="11"/>
      <c r="JG85" s="11"/>
      <c r="JH85" s="11"/>
      <c r="JI85" s="12"/>
      <c r="JJ85" s="11"/>
      <c r="JK85" s="11"/>
      <c r="JL85" s="11"/>
      <c r="JM85" s="11"/>
      <c r="JN85" s="11"/>
      <c r="JO85" s="11"/>
      <c r="JP85" s="12"/>
      <c r="JQ85" s="11"/>
      <c r="JR85" s="11"/>
      <c r="JS85" s="11"/>
      <c r="JT85" s="11"/>
      <c r="JU85" s="11"/>
      <c r="JV85" s="11"/>
      <c r="JW85" s="12"/>
      <c r="JX85" s="11"/>
      <c r="JY85" s="11"/>
      <c r="JZ85" s="11"/>
      <c r="KA85" s="11"/>
      <c r="KB85" s="11"/>
      <c r="KC85" s="11"/>
      <c r="KD85" s="12"/>
      <c r="KE85" s="11"/>
      <c r="KF85" s="11"/>
      <c r="KG85" s="11"/>
      <c r="KH85" s="11"/>
      <c r="KI85" s="11"/>
      <c r="KJ85" s="11"/>
      <c r="KK85" s="12"/>
      <c r="KL85" s="11"/>
      <c r="KM85" s="11"/>
      <c r="KN85" s="11"/>
      <c r="KO85" s="11"/>
      <c r="KP85" s="11"/>
      <c r="KQ85" s="11"/>
      <c r="KR85" s="12"/>
      <c r="KS85" s="11"/>
      <c r="KT85" s="11"/>
      <c r="KU85" s="11"/>
      <c r="KV85" s="11"/>
      <c r="KW85" s="11"/>
      <c r="KX85" s="11"/>
      <c r="KY85" s="12"/>
      <c r="KZ85" s="11"/>
      <c r="LA85" s="11"/>
      <c r="LB85" s="11"/>
      <c r="LC85" s="11"/>
      <c r="LD85" s="11"/>
      <c r="LE85" s="11"/>
      <c r="LF85" s="12"/>
      <c r="LG85" s="11"/>
      <c r="LH85" s="11"/>
      <c r="LI85" s="11"/>
      <c r="LJ85" s="11"/>
      <c r="LK85" s="11"/>
      <c r="LL85" s="11"/>
      <c r="LM85" s="12"/>
      <c r="LN85" s="11"/>
      <c r="LO85" s="11"/>
      <c r="LP85" s="11"/>
      <c r="LQ85" s="11"/>
      <c r="LR85" s="11"/>
      <c r="LS85" s="11"/>
      <c r="LT85" s="12"/>
      <c r="LU85" s="11"/>
      <c r="LV85" s="11"/>
      <c r="LW85" s="11"/>
      <c r="LX85" s="11"/>
      <c r="LY85" s="11"/>
      <c r="LZ85" s="11"/>
      <c r="MA85" s="12"/>
      <c r="MB85" s="11"/>
      <c r="MC85" s="11"/>
      <c r="MD85" s="11"/>
      <c r="ME85" s="11"/>
      <c r="MF85" s="11"/>
      <c r="MG85" s="11"/>
      <c r="MH85" s="12"/>
      <c r="MI85" s="11"/>
      <c r="MJ85" s="11"/>
      <c r="MK85" s="11"/>
      <c r="ML85" s="11"/>
      <c r="MM85" s="11"/>
      <c r="MN85" s="11"/>
      <c r="MO85" s="12"/>
      <c r="MP85" s="11"/>
      <c r="MQ85" s="11"/>
      <c r="MR85" s="11"/>
      <c r="MS85" s="11"/>
      <c r="MT85" s="11"/>
      <c r="MU85" s="11"/>
      <c r="MV85" s="12"/>
      <c r="MW85" s="11"/>
      <c r="MX85" s="11"/>
      <c r="MY85" s="11"/>
      <c r="MZ85" s="11"/>
      <c r="NA85" s="11"/>
      <c r="NB85" s="11"/>
      <c r="NC85" s="12"/>
      <c r="ND85" s="11"/>
      <c r="NE85" s="11"/>
      <c r="NF85" s="11"/>
      <c r="NG85" s="11"/>
      <c r="NH85" s="11"/>
      <c r="NI85" s="11"/>
      <c r="NJ85" s="12"/>
    </row>
    <row r="86" spans="1:374" x14ac:dyDescent="0.25">
      <c r="A86" s="8" t="s">
        <v>23</v>
      </c>
      <c r="B86" s="8"/>
      <c r="C86" s="8"/>
      <c r="D86" s="8"/>
      <c r="E86" s="8"/>
      <c r="F86" s="10"/>
      <c r="G86" s="19"/>
      <c r="H86" s="19"/>
      <c r="I86" s="8"/>
      <c r="J86" s="8"/>
      <c r="K86" s="8"/>
      <c r="L86" s="8"/>
      <c r="M86" s="8"/>
      <c r="N86" s="8"/>
      <c r="O86" s="9"/>
      <c r="P86" s="8">
        <f t="shared" ref="P86:P91" si="769">IF(SUM(S86:NJ86) &gt; 0, SUM(S86:NJ86), "")</f>
        <v>91</v>
      </c>
      <c r="Q86" s="108">
        <f t="shared" ref="Q86:Q92" si="770">IF(SUM(S86:XFD86) &gt; 0, SUM(S86:XFD86) / $P$93 * 100, "")</f>
        <v>100</v>
      </c>
      <c r="R86" s="84"/>
      <c r="S86" s="7">
        <v>1</v>
      </c>
      <c r="U86">
        <v>1</v>
      </c>
      <c r="V86">
        <v>1</v>
      </c>
      <c r="X86">
        <v>1</v>
      </c>
      <c r="Z86" s="7"/>
      <c r="AB86">
        <v>1</v>
      </c>
      <c r="AD86">
        <v>1</v>
      </c>
      <c r="AE86">
        <v>1</v>
      </c>
      <c r="AG86" s="7"/>
      <c r="AI86">
        <v>1</v>
      </c>
      <c r="AK86">
        <v>1</v>
      </c>
      <c r="AL86">
        <v>1</v>
      </c>
      <c r="AN86" s="7"/>
      <c r="AP86">
        <v>1</v>
      </c>
      <c r="AR86">
        <v>1</v>
      </c>
      <c r="AS86">
        <v>1</v>
      </c>
      <c r="AU86" s="7"/>
      <c r="AW86">
        <v>1</v>
      </c>
      <c r="AX86">
        <v>1</v>
      </c>
      <c r="AY86">
        <v>1</v>
      </c>
      <c r="AZ86">
        <v>1</v>
      </c>
      <c r="BB86" s="7"/>
      <c r="BD86">
        <v>1</v>
      </c>
      <c r="BF86">
        <v>1</v>
      </c>
      <c r="BG86">
        <v>1</v>
      </c>
      <c r="BI86" s="7"/>
      <c r="BK86">
        <v>1</v>
      </c>
      <c r="BM86">
        <v>1</v>
      </c>
      <c r="BN86">
        <v>1</v>
      </c>
      <c r="BP86" s="7">
        <v>1</v>
      </c>
      <c r="BR86">
        <v>1</v>
      </c>
      <c r="BT86">
        <v>1</v>
      </c>
      <c r="BW86">
        <v>1</v>
      </c>
      <c r="BY86" s="7"/>
      <c r="CC86">
        <v>1</v>
      </c>
      <c r="CF86">
        <v>1</v>
      </c>
      <c r="CH86" s="7"/>
      <c r="CL86">
        <v>1</v>
      </c>
      <c r="CO86">
        <v>1</v>
      </c>
      <c r="CQ86" s="7"/>
      <c r="CS86">
        <v>1</v>
      </c>
      <c r="CU86">
        <v>1</v>
      </c>
      <c r="CV86">
        <v>1</v>
      </c>
      <c r="CX86">
        <v>1</v>
      </c>
      <c r="CZ86" s="7"/>
      <c r="DB86">
        <v>1</v>
      </c>
      <c r="DE86">
        <v>1</v>
      </c>
      <c r="DG86">
        <v>1</v>
      </c>
      <c r="DI86" s="7"/>
      <c r="DK86">
        <v>1</v>
      </c>
      <c r="DM86">
        <v>1</v>
      </c>
      <c r="DN86">
        <v>1</v>
      </c>
      <c r="DR86" s="7"/>
      <c r="DT86">
        <v>1</v>
      </c>
      <c r="DV86">
        <v>1</v>
      </c>
      <c r="DW86">
        <v>1</v>
      </c>
      <c r="EA86" s="7"/>
      <c r="EB86">
        <v>1</v>
      </c>
      <c r="EC86">
        <v>1</v>
      </c>
      <c r="EE86">
        <v>1</v>
      </c>
      <c r="EF86">
        <v>1</v>
      </c>
      <c r="EJ86" s="7"/>
      <c r="EK86">
        <v>1</v>
      </c>
      <c r="EL86">
        <v>1</v>
      </c>
      <c r="EN86">
        <v>1</v>
      </c>
      <c r="EO86">
        <v>1</v>
      </c>
      <c r="EQ86">
        <v>1</v>
      </c>
      <c r="ES86" s="7"/>
      <c r="ET86">
        <v>1</v>
      </c>
      <c r="EU86">
        <v>1</v>
      </c>
      <c r="EV86">
        <v>1</v>
      </c>
      <c r="EW86">
        <v>1</v>
      </c>
      <c r="EX86">
        <v>1</v>
      </c>
      <c r="FB86" s="7"/>
      <c r="FC86">
        <v>1</v>
      </c>
      <c r="FD86">
        <v>1</v>
      </c>
      <c r="FE86">
        <v>1</v>
      </c>
      <c r="FF86">
        <v>1</v>
      </c>
      <c r="FG86">
        <v>1</v>
      </c>
      <c r="FH86">
        <v>1</v>
      </c>
      <c r="FK86" s="7"/>
      <c r="FL86">
        <v>1</v>
      </c>
      <c r="FM86">
        <v>1</v>
      </c>
      <c r="FO86">
        <v>1</v>
      </c>
      <c r="FP86">
        <v>1</v>
      </c>
      <c r="FQ86">
        <v>1</v>
      </c>
      <c r="FT86" s="7"/>
      <c r="FU86">
        <v>1</v>
      </c>
      <c r="FV86">
        <v>1</v>
      </c>
      <c r="FX86">
        <v>1</v>
      </c>
      <c r="FY86">
        <v>1</v>
      </c>
      <c r="FZ86">
        <v>1</v>
      </c>
      <c r="GC86" s="7"/>
      <c r="GD86">
        <v>1</v>
      </c>
      <c r="GE86">
        <v>1</v>
      </c>
      <c r="GG86">
        <v>1</v>
      </c>
      <c r="GH86">
        <v>1</v>
      </c>
      <c r="GI86">
        <v>1</v>
      </c>
      <c r="GL86" s="7"/>
      <c r="GM86">
        <v>1</v>
      </c>
      <c r="GN86">
        <v>1</v>
      </c>
      <c r="GP86">
        <v>1</v>
      </c>
      <c r="GQ86">
        <v>1</v>
      </c>
      <c r="GR86">
        <v>1</v>
      </c>
      <c r="GS86">
        <v>1</v>
      </c>
      <c r="GU86" s="7"/>
      <c r="GV86" s="148">
        <v>1</v>
      </c>
      <c r="GW86" s="148">
        <v>1</v>
      </c>
      <c r="GY86">
        <v>1</v>
      </c>
      <c r="GZ86">
        <v>1</v>
      </c>
      <c r="HA86">
        <v>1</v>
      </c>
      <c r="HD86" s="7"/>
      <c r="HJ86">
        <v>1</v>
      </c>
      <c r="HM86" s="7"/>
      <c r="HV86" s="7"/>
      <c r="IE86" s="7"/>
      <c r="IN86" s="7"/>
      <c r="IU86" s="7"/>
      <c r="JB86" s="7"/>
      <c r="JI86" s="7"/>
      <c r="JP86" s="7"/>
      <c r="JW86" s="7"/>
      <c r="KD86" s="7"/>
      <c r="KK86" s="7"/>
      <c r="KR86" s="7"/>
      <c r="KY86" s="7"/>
      <c r="LF86" s="7"/>
      <c r="LM86" s="7"/>
      <c r="LT86" s="7"/>
      <c r="MA86" s="7"/>
      <c r="MH86" s="7"/>
      <c r="MO86" s="7"/>
      <c r="MV86" s="7"/>
      <c r="NC86" s="7"/>
      <c r="NJ86" s="7"/>
    </row>
    <row r="87" spans="1:374" x14ac:dyDescent="0.25">
      <c r="A87" s="8" t="s">
        <v>22</v>
      </c>
      <c r="B87" s="8"/>
      <c r="C87" s="8"/>
      <c r="D87" s="8"/>
      <c r="E87" s="8"/>
      <c r="F87" s="10"/>
      <c r="G87" s="19"/>
      <c r="H87" s="19"/>
      <c r="I87" s="8"/>
      <c r="J87" s="8"/>
      <c r="K87" s="8"/>
      <c r="L87" s="8"/>
      <c r="M87" s="8"/>
      <c r="N87" s="8"/>
      <c r="O87" s="9"/>
      <c r="P87" s="8" t="str">
        <f t="shared" si="769"/>
        <v/>
      </c>
      <c r="Q87" s="108" t="str">
        <f t="shared" si="770"/>
        <v/>
      </c>
      <c r="R87" s="84"/>
      <c r="S87" s="7"/>
      <c r="Z87" s="7"/>
      <c r="AG87" s="7"/>
      <c r="AN87" s="7"/>
      <c r="AU87" s="7"/>
      <c r="BB87" s="7"/>
      <c r="BI87" s="7"/>
      <c r="BP87" s="7"/>
      <c r="BY87" s="7"/>
      <c r="CH87" s="7"/>
      <c r="CQ87" s="7"/>
      <c r="CZ87" s="7"/>
      <c r="DI87" s="7"/>
      <c r="DR87" s="7"/>
      <c r="EA87" s="7"/>
      <c r="EJ87" s="7"/>
      <c r="ES87" s="7"/>
      <c r="FB87" s="7"/>
      <c r="FK87" s="7"/>
      <c r="FT87" s="7"/>
      <c r="GC87" s="7"/>
      <c r="GL87" s="7"/>
      <c r="GU87" s="7"/>
      <c r="HD87" s="7"/>
      <c r="HM87" s="7"/>
      <c r="HV87" s="7"/>
      <c r="IE87" s="7"/>
      <c r="IN87" s="7"/>
      <c r="IU87" s="7"/>
      <c r="JB87" s="7"/>
      <c r="JI87" s="7"/>
      <c r="JP87" s="7"/>
      <c r="JW87" s="7"/>
      <c r="KD87" s="7"/>
      <c r="KK87" s="7"/>
      <c r="KR87" s="7"/>
      <c r="KY87" s="7"/>
      <c r="LF87" s="7"/>
      <c r="LM87" s="7"/>
      <c r="LT87" s="7"/>
      <c r="MA87" s="7"/>
      <c r="MH87" s="7"/>
      <c r="MO87" s="7"/>
      <c r="MV87" s="7"/>
      <c r="NC87" s="7"/>
      <c r="NJ87" s="7"/>
    </row>
    <row r="88" spans="1:374" x14ac:dyDescent="0.25">
      <c r="A88" s="8" t="s">
        <v>21</v>
      </c>
      <c r="B88" s="8"/>
      <c r="C88" s="8"/>
      <c r="D88" s="8"/>
      <c r="E88" s="8"/>
      <c r="F88" s="10"/>
      <c r="G88" s="19"/>
      <c r="H88" s="19"/>
      <c r="I88" s="8"/>
      <c r="J88" s="8"/>
      <c r="K88" s="8"/>
      <c r="L88" s="8"/>
      <c r="M88" s="8"/>
      <c r="N88" s="8"/>
      <c r="O88" s="9"/>
      <c r="P88" s="8" t="str">
        <f t="shared" si="769"/>
        <v/>
      </c>
      <c r="Q88" s="108" t="str">
        <f t="shared" si="770"/>
        <v/>
      </c>
      <c r="R88" s="84"/>
      <c r="S88" s="7"/>
      <c r="Z88" s="7"/>
      <c r="AG88" s="7"/>
      <c r="AN88" s="7"/>
      <c r="AU88" s="7"/>
      <c r="BB88" s="7"/>
      <c r="BI88" s="7"/>
      <c r="BP88" s="7"/>
      <c r="BY88" s="7"/>
      <c r="CH88" s="7"/>
      <c r="CQ88" s="7"/>
      <c r="CZ88" s="7"/>
      <c r="DI88" s="7"/>
      <c r="DR88" s="7"/>
      <c r="EA88" s="7"/>
      <c r="EJ88" s="7"/>
      <c r="ES88" s="7"/>
      <c r="FB88" s="7"/>
      <c r="FK88" s="7"/>
      <c r="FT88" s="7"/>
      <c r="GC88" s="7"/>
      <c r="GL88" s="7"/>
      <c r="GU88" s="7"/>
      <c r="HD88" s="7"/>
      <c r="HM88" s="7"/>
      <c r="HV88" s="7"/>
      <c r="IE88" s="7"/>
      <c r="IN88" s="7"/>
      <c r="IU88" s="7"/>
      <c r="JB88" s="7"/>
      <c r="JI88" s="7"/>
      <c r="JP88" s="7"/>
      <c r="JW88" s="7"/>
      <c r="KD88" s="7"/>
      <c r="KK88" s="7"/>
      <c r="KR88" s="7"/>
      <c r="KY88" s="7"/>
      <c r="LF88" s="7"/>
      <c r="LM88" s="7"/>
      <c r="LT88" s="7"/>
      <c r="MA88" s="7"/>
      <c r="MH88" s="7"/>
      <c r="MO88" s="7"/>
      <c r="MV88" s="7"/>
      <c r="NC88" s="7"/>
      <c r="NJ88" s="7"/>
    </row>
    <row r="89" spans="1:374" x14ac:dyDescent="0.25">
      <c r="A89" s="8" t="s">
        <v>20</v>
      </c>
      <c r="B89" s="8"/>
      <c r="C89" s="8"/>
      <c r="D89" s="8"/>
      <c r="E89" s="8"/>
      <c r="F89" s="10"/>
      <c r="G89" s="19"/>
      <c r="H89" s="19"/>
      <c r="I89" s="8"/>
      <c r="J89" s="8"/>
      <c r="K89" s="8"/>
      <c r="L89" s="8"/>
      <c r="M89" s="8"/>
      <c r="N89" s="8"/>
      <c r="O89" s="9"/>
      <c r="P89" s="8" t="str">
        <f t="shared" si="769"/>
        <v/>
      </c>
      <c r="Q89" s="108" t="str">
        <f t="shared" si="770"/>
        <v/>
      </c>
      <c r="R89" s="84"/>
      <c r="S89" s="7"/>
      <c r="Z89" s="7"/>
      <c r="AG89" s="7"/>
      <c r="AN89" s="7"/>
      <c r="AU89" s="7"/>
      <c r="BB89" s="7"/>
      <c r="BI89" s="7"/>
      <c r="BP89" s="7"/>
      <c r="BY89" s="7"/>
      <c r="CH89" s="7"/>
      <c r="CQ89" s="7"/>
      <c r="CZ89" s="7"/>
      <c r="DI89" s="7"/>
      <c r="DR89" s="7"/>
      <c r="EA89" s="7"/>
      <c r="EJ89" s="7"/>
      <c r="ES89" s="7"/>
      <c r="FB89" s="7"/>
      <c r="FK89" s="7"/>
      <c r="FT89" s="7"/>
      <c r="GC89" s="7"/>
      <c r="GL89" s="7"/>
      <c r="GU89" s="7"/>
      <c r="HD89" s="7"/>
      <c r="HM89" s="7"/>
      <c r="HV89" s="7"/>
      <c r="IE89" s="7"/>
      <c r="IN89" s="7"/>
      <c r="IU89" s="7"/>
      <c r="JB89" s="7"/>
      <c r="JI89" s="7"/>
      <c r="JP89" s="7"/>
      <c r="JW89" s="7"/>
      <c r="KD89" s="7"/>
      <c r="KK89" s="7"/>
      <c r="KR89" s="7"/>
      <c r="KY89" s="7"/>
      <c r="LF89" s="7"/>
      <c r="LM89" s="7"/>
      <c r="LT89" s="7"/>
      <c r="MA89" s="7"/>
      <c r="MH89" s="7"/>
      <c r="MO89" s="7"/>
      <c r="MV89" s="7"/>
      <c r="NC89" s="7"/>
      <c r="NJ89" s="7"/>
    </row>
    <row r="90" spans="1:374" x14ac:dyDescent="0.25">
      <c r="A90" s="8" t="s">
        <v>152</v>
      </c>
      <c r="B90" s="8"/>
      <c r="C90" s="8"/>
      <c r="D90" s="8"/>
      <c r="E90" s="8"/>
      <c r="F90" s="10"/>
      <c r="G90" s="19"/>
      <c r="H90" s="19"/>
      <c r="I90" s="8"/>
      <c r="J90" s="8"/>
      <c r="K90" s="8"/>
      <c r="L90" s="8"/>
      <c r="M90" s="8"/>
      <c r="N90" s="8"/>
      <c r="O90" s="9"/>
      <c r="P90" s="8">
        <f t="shared" si="769"/>
        <v>1</v>
      </c>
      <c r="Q90" s="108">
        <f t="shared" si="770"/>
        <v>1.098901098901099</v>
      </c>
      <c r="R90" s="84"/>
      <c r="S90" s="7"/>
      <c r="Z90" s="7"/>
      <c r="AG90" s="7"/>
      <c r="AN90" s="7"/>
      <c r="AU90" s="7"/>
      <c r="BB90" s="7"/>
      <c r="BI90" s="7"/>
      <c r="BP90" s="7"/>
      <c r="BY90" s="7"/>
      <c r="CH90" s="7"/>
      <c r="CQ90" s="7"/>
      <c r="CZ90" s="7"/>
      <c r="DI90" s="7"/>
      <c r="DR90" s="7"/>
      <c r="EA90" s="7"/>
      <c r="EJ90" s="7"/>
      <c r="ES90" s="7"/>
      <c r="EU90">
        <v>1</v>
      </c>
      <c r="FB90" s="7"/>
      <c r="FK90" s="7"/>
      <c r="FT90" s="7"/>
      <c r="GC90" s="7"/>
      <c r="GL90" s="7"/>
      <c r="GU90" s="7"/>
      <c r="HD90" s="7"/>
      <c r="HM90" s="7"/>
      <c r="HV90" s="7"/>
      <c r="IE90" s="7"/>
      <c r="IN90" s="7"/>
      <c r="IU90" s="7"/>
      <c r="JB90" s="7"/>
      <c r="JI90" s="7"/>
      <c r="JP90" s="7"/>
      <c r="JW90" s="7"/>
      <c r="KD90" s="7"/>
      <c r="KK90" s="7"/>
      <c r="KR90" s="7"/>
      <c r="KY90" s="7"/>
      <c r="LF90" s="7"/>
      <c r="LM90" s="7"/>
      <c r="LT90" s="7"/>
      <c r="MA90" s="7"/>
      <c r="MH90" s="7"/>
      <c r="MO90" s="7"/>
      <c r="MV90" s="7"/>
      <c r="NC90" s="7"/>
      <c r="NJ90" s="7"/>
    </row>
    <row r="91" spans="1:374" x14ac:dyDescent="0.25">
      <c r="A91" s="8" t="s">
        <v>19</v>
      </c>
      <c r="B91" s="8"/>
      <c r="C91" s="8"/>
      <c r="D91" s="8"/>
      <c r="E91" s="8"/>
      <c r="F91" s="10"/>
      <c r="G91" s="19"/>
      <c r="H91" s="19"/>
      <c r="I91" s="8"/>
      <c r="J91" s="8"/>
      <c r="K91" s="8"/>
      <c r="L91" s="8"/>
      <c r="M91" s="8"/>
      <c r="N91" s="8"/>
      <c r="O91" s="9"/>
      <c r="P91" s="8">
        <f t="shared" si="769"/>
        <v>28</v>
      </c>
      <c r="Q91" s="108">
        <f t="shared" si="770"/>
        <v>30.76923076923077</v>
      </c>
      <c r="R91" s="84"/>
      <c r="S91" s="7"/>
      <c r="Z91" s="7"/>
      <c r="AG91" s="7"/>
      <c r="AK91">
        <v>1</v>
      </c>
      <c r="AN91" s="7"/>
      <c r="AU91" s="7"/>
      <c r="AW91">
        <v>1</v>
      </c>
      <c r="AY91">
        <v>1</v>
      </c>
      <c r="BB91" s="7"/>
      <c r="BF91">
        <v>1</v>
      </c>
      <c r="BI91" s="7"/>
      <c r="BN91">
        <v>1</v>
      </c>
      <c r="BP91" s="7"/>
      <c r="BY91" s="7"/>
      <c r="CH91" s="7"/>
      <c r="CQ91" s="7"/>
      <c r="CZ91" s="7"/>
      <c r="DI91" s="7"/>
      <c r="DR91" s="7"/>
      <c r="DT91">
        <v>1</v>
      </c>
      <c r="EA91" s="7"/>
      <c r="EC91">
        <v>1</v>
      </c>
      <c r="EE91">
        <v>1</v>
      </c>
      <c r="EJ91" s="7"/>
      <c r="EL91">
        <v>1</v>
      </c>
      <c r="EN91">
        <v>1</v>
      </c>
      <c r="EO91">
        <v>1</v>
      </c>
      <c r="ES91" s="7"/>
      <c r="EW91">
        <v>1</v>
      </c>
      <c r="EX91">
        <v>1</v>
      </c>
      <c r="FB91" s="7"/>
      <c r="FD91">
        <v>1</v>
      </c>
      <c r="FH91">
        <v>1</v>
      </c>
      <c r="FK91" s="7"/>
      <c r="FM91">
        <v>1</v>
      </c>
      <c r="FO91">
        <v>1</v>
      </c>
      <c r="FT91" s="7"/>
      <c r="FV91">
        <v>1</v>
      </c>
      <c r="FX91">
        <v>1</v>
      </c>
      <c r="FZ91">
        <v>1</v>
      </c>
      <c r="GC91" s="7"/>
      <c r="GE91">
        <v>1</v>
      </c>
      <c r="GG91">
        <v>1</v>
      </c>
      <c r="GL91" s="7"/>
      <c r="GN91">
        <v>1</v>
      </c>
      <c r="GP91">
        <v>1</v>
      </c>
      <c r="GQ91">
        <v>1</v>
      </c>
      <c r="GR91">
        <v>1</v>
      </c>
      <c r="GS91">
        <v>1</v>
      </c>
      <c r="GU91" s="7"/>
      <c r="GV91" s="148">
        <v>1</v>
      </c>
      <c r="HD91" s="7"/>
      <c r="HM91" s="7"/>
      <c r="HV91" s="7"/>
      <c r="IE91" s="7"/>
      <c r="IN91" s="7"/>
      <c r="IU91" s="7"/>
      <c r="JB91" s="7"/>
      <c r="JI91" s="7"/>
      <c r="JP91" s="7"/>
      <c r="JW91" s="7"/>
      <c r="KD91" s="7"/>
      <c r="KK91" s="7"/>
      <c r="KR91" s="7"/>
      <c r="KY91" s="7"/>
      <c r="LF91" s="7"/>
      <c r="LM91" s="7"/>
      <c r="LT91" s="7"/>
      <c r="MA91" s="7"/>
      <c r="MH91" s="7"/>
      <c r="MO91" s="7"/>
      <c r="MV91" s="7"/>
      <c r="NC91" s="7"/>
      <c r="NJ91" s="7"/>
    </row>
    <row r="92" spans="1:374" ht="5.25" customHeight="1" x14ac:dyDescent="0.25">
      <c r="A92" s="8"/>
      <c r="B92" s="8"/>
      <c r="C92" s="8"/>
      <c r="D92" s="8"/>
      <c r="E92" s="8"/>
      <c r="F92" s="10"/>
      <c r="G92" s="19"/>
      <c r="H92" s="19"/>
      <c r="I92" s="8"/>
      <c r="J92" s="8"/>
      <c r="K92" s="8"/>
      <c r="L92" s="8"/>
      <c r="M92" s="8"/>
      <c r="N92" s="8"/>
      <c r="O92" s="9"/>
      <c r="P92" s="8" t="str">
        <f>IF(SUM(R92:NJ92) &gt; 0, SUM(R92:NJ92), "")</f>
        <v/>
      </c>
      <c r="Q92" s="108" t="str">
        <f t="shared" si="770"/>
        <v/>
      </c>
      <c r="R92" s="9"/>
      <c r="S92" s="7"/>
      <c r="Z92" s="7"/>
      <c r="AG92" s="7"/>
      <c r="AN92" s="7"/>
      <c r="AU92" s="7"/>
      <c r="BB92" s="7"/>
      <c r="BI92" s="7"/>
      <c r="BP92" s="7"/>
      <c r="BY92" s="7"/>
      <c r="CH92" s="7"/>
      <c r="CQ92" s="7"/>
      <c r="CZ92" s="7"/>
      <c r="DI92" s="7"/>
      <c r="DR92" s="7"/>
      <c r="EA92" s="7"/>
      <c r="EJ92" s="7"/>
      <c r="ES92" s="7"/>
      <c r="FB92" s="7"/>
      <c r="FK92" s="7"/>
      <c r="FT92" s="7"/>
      <c r="GC92" s="7"/>
      <c r="GL92" s="7"/>
      <c r="GU92" s="7"/>
      <c r="HD92" s="7"/>
      <c r="HM92" s="7"/>
      <c r="HV92" s="7"/>
      <c r="IE92" s="7"/>
      <c r="IN92" s="7"/>
      <c r="IU92" s="7"/>
      <c r="JB92" s="7"/>
      <c r="JI92" s="7"/>
      <c r="JP92" s="7"/>
      <c r="JW92" s="7"/>
      <c r="KD92" s="7"/>
      <c r="KK92" s="7"/>
      <c r="KR92" s="7"/>
      <c r="KY92" s="7"/>
      <c r="LF92" s="7"/>
      <c r="LM92" s="7"/>
      <c r="LT92" s="7"/>
      <c r="MA92" s="7"/>
      <c r="MH92" s="7"/>
      <c r="MO92" s="7"/>
      <c r="MV92" s="7"/>
      <c r="NC92" s="7"/>
      <c r="NJ92" s="7"/>
    </row>
    <row r="93" spans="1:374" x14ac:dyDescent="0.25">
      <c r="A93" s="6" t="s">
        <v>18</v>
      </c>
      <c r="B93" s="3"/>
      <c r="C93" s="3"/>
      <c r="D93" s="3"/>
      <c r="E93" s="3"/>
      <c r="F93" s="5"/>
      <c r="G93" s="3"/>
      <c r="H93" s="3"/>
      <c r="I93" s="3"/>
      <c r="J93" s="3"/>
      <c r="K93" s="3"/>
      <c r="L93" s="3"/>
      <c r="M93" s="3"/>
      <c r="N93" s="3"/>
      <c r="O93" s="4"/>
      <c r="P93" s="3">
        <f>SUM(S93:NJ93)</f>
        <v>91</v>
      </c>
      <c r="Q93" s="3"/>
      <c r="R93" s="4"/>
      <c r="S93" s="4">
        <v>1</v>
      </c>
      <c r="T93" s="3"/>
      <c r="U93" s="3">
        <v>1</v>
      </c>
      <c r="V93" s="3">
        <v>1</v>
      </c>
      <c r="W93" s="3"/>
      <c r="X93" s="3">
        <v>1</v>
      </c>
      <c r="Y93" s="3"/>
      <c r="Z93" s="4"/>
      <c r="AA93" s="3"/>
      <c r="AB93" s="3">
        <v>1</v>
      </c>
      <c r="AC93" s="3"/>
      <c r="AD93" s="3">
        <v>1</v>
      </c>
      <c r="AE93" s="3">
        <v>1</v>
      </c>
      <c r="AF93" s="3"/>
      <c r="AG93" s="4"/>
      <c r="AH93" s="3"/>
      <c r="AI93" s="3">
        <v>1</v>
      </c>
      <c r="AJ93" s="3"/>
      <c r="AK93" s="3">
        <v>1</v>
      </c>
      <c r="AL93" s="3">
        <v>1</v>
      </c>
      <c r="AM93" s="3"/>
      <c r="AN93" s="4"/>
      <c r="AO93" s="3"/>
      <c r="AP93" s="3">
        <v>1</v>
      </c>
      <c r="AQ93" s="3"/>
      <c r="AR93" s="3">
        <v>1</v>
      </c>
      <c r="AS93" s="3">
        <v>1</v>
      </c>
      <c r="AT93" s="3"/>
      <c r="AU93" s="4"/>
      <c r="AV93" s="3"/>
      <c r="AW93" s="3">
        <v>1</v>
      </c>
      <c r="AX93" s="3">
        <v>1</v>
      </c>
      <c r="AY93" s="3">
        <v>1</v>
      </c>
      <c r="AZ93" s="3">
        <v>1</v>
      </c>
      <c r="BA93" s="3"/>
      <c r="BB93" s="4"/>
      <c r="BC93" s="3"/>
      <c r="BD93" s="3">
        <v>1</v>
      </c>
      <c r="BE93" s="3"/>
      <c r="BF93" s="3">
        <v>1</v>
      </c>
      <c r="BG93" s="3">
        <v>1</v>
      </c>
      <c r="BH93" s="3"/>
      <c r="BI93" s="4"/>
      <c r="BJ93" s="3"/>
      <c r="BK93" s="3">
        <v>1</v>
      </c>
      <c r="BL93" s="3"/>
      <c r="BM93" s="3">
        <v>1</v>
      </c>
      <c r="BN93" s="3">
        <v>1</v>
      </c>
      <c r="BO93" s="3"/>
      <c r="BP93" s="4">
        <v>1</v>
      </c>
      <c r="BQ93" s="3"/>
      <c r="BR93" s="3">
        <v>1</v>
      </c>
      <c r="BS93" s="3"/>
      <c r="BT93" s="3">
        <v>1</v>
      </c>
      <c r="BU93" s="3"/>
      <c r="BV93" s="3"/>
      <c r="BW93" s="3">
        <v>1</v>
      </c>
      <c r="BX93" s="3"/>
      <c r="BY93" s="4"/>
      <c r="BZ93" s="3"/>
      <c r="CA93" s="3"/>
      <c r="CB93" s="3"/>
      <c r="CC93" s="3">
        <v>1</v>
      </c>
      <c r="CD93" s="3"/>
      <c r="CE93" s="3"/>
      <c r="CF93" s="3">
        <v>1</v>
      </c>
      <c r="CG93" s="3"/>
      <c r="CH93" s="4"/>
      <c r="CI93" s="3"/>
      <c r="CJ93" s="3"/>
      <c r="CK93" s="3"/>
      <c r="CL93" s="3">
        <v>1</v>
      </c>
      <c r="CM93" s="3"/>
      <c r="CN93" s="3"/>
      <c r="CO93" s="3">
        <v>1</v>
      </c>
      <c r="CP93" s="3"/>
      <c r="CQ93" s="4"/>
      <c r="CR93" s="3"/>
      <c r="CS93" s="3">
        <v>1</v>
      </c>
      <c r="CT93" s="3"/>
      <c r="CU93" s="3">
        <v>1</v>
      </c>
      <c r="CV93" s="3">
        <v>1</v>
      </c>
      <c r="CW93" s="3"/>
      <c r="CX93" s="3">
        <v>1</v>
      </c>
      <c r="CY93" s="3"/>
      <c r="CZ93" s="4"/>
      <c r="DA93" s="3"/>
      <c r="DB93" s="3">
        <v>1</v>
      </c>
      <c r="DC93" s="3"/>
      <c r="DD93" s="3"/>
      <c r="DE93" s="3">
        <v>1</v>
      </c>
      <c r="DF93" s="3"/>
      <c r="DG93" s="3">
        <v>1</v>
      </c>
      <c r="DH93" s="3"/>
      <c r="DI93" s="4"/>
      <c r="DJ93" s="3"/>
      <c r="DK93" s="3">
        <v>1</v>
      </c>
      <c r="DL93" s="3"/>
      <c r="DM93" s="3">
        <v>1</v>
      </c>
      <c r="DN93" s="3">
        <v>1</v>
      </c>
      <c r="DO93" s="3"/>
      <c r="DP93" s="3"/>
      <c r="DQ93" s="3"/>
      <c r="DR93" s="4"/>
      <c r="DS93" s="3"/>
      <c r="DT93" s="3">
        <v>1</v>
      </c>
      <c r="DU93" s="3"/>
      <c r="DV93" s="3">
        <v>1</v>
      </c>
      <c r="DW93" s="3">
        <v>1</v>
      </c>
      <c r="DX93" s="3"/>
      <c r="DY93" s="3"/>
      <c r="DZ93" s="3"/>
      <c r="EA93" s="4"/>
      <c r="EB93" s="3">
        <v>1</v>
      </c>
      <c r="EC93" s="3">
        <v>1</v>
      </c>
      <c r="ED93" s="3"/>
      <c r="EE93" s="3">
        <v>1</v>
      </c>
      <c r="EF93" s="3">
        <v>1</v>
      </c>
      <c r="EG93" s="3"/>
      <c r="EH93" s="3"/>
      <c r="EI93" s="3"/>
      <c r="EJ93" s="4"/>
      <c r="EK93" s="3">
        <v>1</v>
      </c>
      <c r="EL93" s="3">
        <v>1</v>
      </c>
      <c r="EM93" s="3"/>
      <c r="EN93" s="3">
        <v>1</v>
      </c>
      <c r="EO93" s="3">
        <v>1</v>
      </c>
      <c r="EP93" s="3"/>
      <c r="EQ93" s="3">
        <v>1</v>
      </c>
      <c r="ER93" s="3"/>
      <c r="ES93" s="4"/>
      <c r="ET93" s="3">
        <v>1</v>
      </c>
      <c r="EU93" s="3">
        <v>1</v>
      </c>
      <c r="EV93" s="3">
        <v>1</v>
      </c>
      <c r="EW93" s="3">
        <v>1</v>
      </c>
      <c r="EX93" s="3">
        <v>1</v>
      </c>
      <c r="EY93" s="3"/>
      <c r="EZ93" s="3"/>
      <c r="FA93" s="3"/>
      <c r="FB93" s="4"/>
      <c r="FC93" s="3">
        <v>1</v>
      </c>
      <c r="FD93" s="3">
        <v>1</v>
      </c>
      <c r="FE93" s="3">
        <v>1</v>
      </c>
      <c r="FF93" s="3">
        <v>1</v>
      </c>
      <c r="FG93" s="3">
        <v>1</v>
      </c>
      <c r="FH93" s="3">
        <v>1</v>
      </c>
      <c r="FI93" s="3"/>
      <c r="FJ93" s="3"/>
      <c r="FK93" s="4"/>
      <c r="FL93" s="3">
        <v>1</v>
      </c>
      <c r="FM93" s="3">
        <v>1</v>
      </c>
      <c r="FN93" s="3"/>
      <c r="FO93" s="3">
        <v>1</v>
      </c>
      <c r="FP93" s="3">
        <v>1</v>
      </c>
      <c r="FQ93" s="3">
        <v>1</v>
      </c>
      <c r="FR93" s="3"/>
      <c r="FS93" s="3"/>
      <c r="FT93" s="4"/>
      <c r="FU93" s="3">
        <v>1</v>
      </c>
      <c r="FV93" s="3">
        <v>1</v>
      </c>
      <c r="FW93" s="3"/>
      <c r="FX93" s="3">
        <v>1</v>
      </c>
      <c r="FY93" s="3">
        <v>1</v>
      </c>
      <c r="FZ93" s="3">
        <v>1</v>
      </c>
      <c r="GA93" s="3"/>
      <c r="GB93" s="3"/>
      <c r="GC93" s="4"/>
      <c r="GD93" s="3">
        <v>1</v>
      </c>
      <c r="GE93" s="3">
        <v>1</v>
      </c>
      <c r="GF93" s="3"/>
      <c r="GG93" s="3">
        <v>1</v>
      </c>
      <c r="GH93" s="3">
        <v>1</v>
      </c>
      <c r="GI93" s="3">
        <v>1</v>
      </c>
      <c r="GJ93" s="3"/>
      <c r="GK93" s="3"/>
      <c r="GL93" s="4"/>
      <c r="GM93" s="3">
        <v>1</v>
      </c>
      <c r="GN93" s="3">
        <v>1</v>
      </c>
      <c r="GO93" s="3"/>
      <c r="GP93" s="3">
        <v>1</v>
      </c>
      <c r="GQ93" s="3">
        <v>1</v>
      </c>
      <c r="GR93" s="3">
        <v>1</v>
      </c>
      <c r="GS93" s="3">
        <v>1</v>
      </c>
      <c r="GT93" s="3"/>
      <c r="GU93" s="4"/>
      <c r="GV93" s="3">
        <v>1</v>
      </c>
      <c r="GW93" s="3">
        <v>1</v>
      </c>
      <c r="GX93" s="3"/>
      <c r="GY93" s="3">
        <v>1</v>
      </c>
      <c r="GZ93" s="3">
        <v>1</v>
      </c>
      <c r="HA93" s="3">
        <v>1</v>
      </c>
      <c r="HB93" s="3"/>
      <c r="HC93" s="3"/>
      <c r="HD93" s="4"/>
      <c r="HE93" s="3"/>
      <c r="HF93" s="3"/>
      <c r="HG93" s="3"/>
      <c r="HH93" s="3"/>
      <c r="HI93" s="3"/>
      <c r="HJ93" s="3">
        <v>1</v>
      </c>
      <c r="HK93" s="3"/>
      <c r="HL93" s="3"/>
      <c r="HM93" s="4"/>
      <c r="HN93" s="3"/>
      <c r="HO93" s="3"/>
      <c r="HP93" s="3"/>
      <c r="HQ93" s="3"/>
      <c r="HR93" s="3"/>
      <c r="HS93" s="3"/>
      <c r="HT93" s="3"/>
      <c r="HU93" s="3"/>
      <c r="HV93" s="4"/>
      <c r="HW93" s="3"/>
      <c r="HX93" s="3"/>
      <c r="HY93" s="3"/>
      <c r="HZ93" s="3"/>
      <c r="IA93" s="3"/>
      <c r="IB93" s="3"/>
      <c r="IC93" s="3"/>
      <c r="ID93" s="3"/>
      <c r="IE93" s="4"/>
      <c r="IF93" s="3"/>
      <c r="IG93" s="3"/>
      <c r="IH93" s="3"/>
      <c r="II93" s="3"/>
      <c r="IJ93" s="3"/>
      <c r="IK93" s="3"/>
      <c r="IL93" s="3"/>
      <c r="IM93" s="3"/>
      <c r="IN93" s="4"/>
      <c r="IO93" s="3"/>
      <c r="IP93" s="3"/>
      <c r="IQ93" s="3"/>
      <c r="IR93" s="3"/>
      <c r="IS93" s="3"/>
      <c r="IT93" s="3"/>
      <c r="IU93" s="4"/>
      <c r="IV93" s="3"/>
      <c r="IW93" s="3"/>
      <c r="IX93" s="3"/>
      <c r="IY93" s="3"/>
      <c r="IZ93" s="3"/>
      <c r="JA93" s="3"/>
      <c r="JB93" s="4"/>
      <c r="JC93" s="3"/>
      <c r="JD93" s="3"/>
      <c r="JE93" s="3"/>
      <c r="JF93" s="3"/>
      <c r="JG93" s="3"/>
      <c r="JH93" s="3"/>
      <c r="JI93" s="4"/>
      <c r="JJ93" s="3"/>
      <c r="JK93" s="3"/>
      <c r="JL93" s="3"/>
      <c r="JM93" s="3"/>
      <c r="JN93" s="3"/>
      <c r="JO93" s="3"/>
      <c r="JP93" s="4"/>
      <c r="JQ93" s="3"/>
      <c r="JR93" s="3"/>
      <c r="JS93" s="3"/>
      <c r="JT93" s="3"/>
      <c r="JU93" s="3"/>
      <c r="JV93" s="3"/>
      <c r="JW93" s="4"/>
      <c r="JX93" s="3"/>
      <c r="JY93" s="3"/>
      <c r="JZ93" s="3"/>
      <c r="KA93" s="3"/>
      <c r="KB93" s="3"/>
      <c r="KC93" s="3"/>
      <c r="KD93" s="4"/>
      <c r="KE93" s="3"/>
      <c r="KF93" s="3"/>
      <c r="KG93" s="3"/>
      <c r="KH93" s="3"/>
      <c r="KI93" s="3"/>
      <c r="KJ93" s="3"/>
      <c r="KK93" s="4"/>
      <c r="KL93" s="3"/>
      <c r="KM93" s="3"/>
      <c r="KN93" s="3"/>
      <c r="KO93" s="3"/>
      <c r="KP93" s="3"/>
      <c r="KQ93" s="3"/>
      <c r="KR93" s="4"/>
      <c r="KS93" s="3"/>
      <c r="KT93" s="3"/>
      <c r="KU93" s="3"/>
      <c r="KV93" s="3"/>
      <c r="KW93" s="3"/>
      <c r="KX93" s="3"/>
      <c r="KY93" s="4"/>
      <c r="KZ93" s="3"/>
      <c r="LA93" s="3"/>
      <c r="LB93" s="3"/>
      <c r="LC93" s="3"/>
      <c r="LD93" s="3"/>
      <c r="LE93" s="3"/>
      <c r="LF93" s="4"/>
      <c r="LG93" s="3"/>
      <c r="LH93" s="3"/>
      <c r="LI93" s="3"/>
      <c r="LJ93" s="3"/>
      <c r="LK93" s="3"/>
      <c r="LL93" s="3"/>
      <c r="LM93" s="4"/>
      <c r="LN93" s="3"/>
      <c r="LO93" s="3"/>
      <c r="LP93" s="3"/>
      <c r="LQ93" s="3"/>
      <c r="LR93" s="3"/>
      <c r="LS93" s="3"/>
      <c r="LT93" s="4"/>
      <c r="LU93" s="3"/>
      <c r="LV93" s="3"/>
      <c r="LW93" s="3"/>
      <c r="LX93" s="3"/>
      <c r="LY93" s="3"/>
      <c r="LZ93" s="3"/>
      <c r="MA93" s="4"/>
      <c r="MB93" s="3"/>
      <c r="MC93" s="3"/>
      <c r="MD93" s="3"/>
      <c r="ME93" s="3"/>
      <c r="MF93" s="3"/>
      <c r="MG93" s="3"/>
      <c r="MH93" s="4"/>
      <c r="MI93" s="3"/>
      <c r="MJ93" s="3"/>
      <c r="MK93" s="3"/>
      <c r="ML93" s="3"/>
      <c r="MM93" s="3"/>
      <c r="MN93" s="3"/>
      <c r="MO93" s="4"/>
      <c r="MP93" s="3"/>
      <c r="MQ93" s="3"/>
      <c r="MR93" s="3"/>
      <c r="MS93" s="3"/>
      <c r="MT93" s="3"/>
      <c r="MU93" s="3"/>
      <c r="MV93" s="4"/>
      <c r="MW93" s="3"/>
      <c r="MX93" s="3"/>
      <c r="MY93" s="3"/>
      <c r="MZ93" s="3"/>
      <c r="NA93" s="3"/>
      <c r="NB93" s="3"/>
      <c r="NC93" s="4"/>
      <c r="ND93" s="3"/>
      <c r="NE93" s="3"/>
      <c r="NF93" s="3"/>
      <c r="NG93" s="3"/>
      <c r="NH93" s="3"/>
      <c r="NI93" s="3"/>
      <c r="NJ93" s="4"/>
    </row>
    <row r="95" spans="1:374" x14ac:dyDescent="0.25">
      <c r="B95" t="s">
        <v>199</v>
      </c>
      <c r="C95" t="s">
        <v>200</v>
      </c>
      <c r="D95" t="s">
        <v>201</v>
      </c>
      <c r="E95" t="s">
        <v>202</v>
      </c>
      <c r="F95" t="s">
        <v>207</v>
      </c>
      <c r="G95" t="s">
        <v>203</v>
      </c>
      <c r="H95" t="s">
        <v>204</v>
      </c>
      <c r="I95" t="s">
        <v>48</v>
      </c>
      <c r="J95" t="s">
        <v>404</v>
      </c>
      <c r="K95" t="s">
        <v>205</v>
      </c>
      <c r="L95" t="s">
        <v>206</v>
      </c>
    </row>
    <row r="96" spans="1:374" ht="15" customHeight="1" x14ac:dyDescent="0.25">
      <c r="A96" t="s">
        <v>17</v>
      </c>
      <c r="B96" t="s">
        <v>145</v>
      </c>
      <c r="C96">
        <v>7</v>
      </c>
      <c r="D96">
        <v>28</v>
      </c>
      <c r="E96">
        <v>38</v>
      </c>
      <c r="F96">
        <v>1</v>
      </c>
      <c r="G96" t="s">
        <v>15</v>
      </c>
      <c r="H96" t="s">
        <v>13</v>
      </c>
      <c r="I96" t="s">
        <v>187</v>
      </c>
      <c r="J96" t="s">
        <v>188</v>
      </c>
      <c r="K96" t="s">
        <v>405</v>
      </c>
      <c r="L96" s="51" t="str">
        <f>FindEnd(S37:NJ37)</f>
        <v>IE</v>
      </c>
      <c r="N96" s="100"/>
      <c r="O96" s="101"/>
      <c r="P96" s="101"/>
      <c r="Q96" s="101"/>
      <c r="R96" s="102"/>
      <c r="S96" s="101"/>
      <c r="V96" s="34"/>
    </row>
    <row r="97" spans="1:12" x14ac:dyDescent="0.25">
      <c r="B97" t="s">
        <v>148</v>
      </c>
      <c r="C97">
        <v>46</v>
      </c>
      <c r="D97">
        <v>63</v>
      </c>
      <c r="E97">
        <v>70</v>
      </c>
      <c r="F97">
        <v>40</v>
      </c>
      <c r="G97" t="s">
        <v>15</v>
      </c>
      <c r="H97" t="s">
        <v>13</v>
      </c>
      <c r="I97" t="s">
        <v>187</v>
      </c>
      <c r="K97" t="s">
        <v>105</v>
      </c>
      <c r="L97" s="51" t="str">
        <f>FindEnd(S69:NJ69)</f>
        <v>HD</v>
      </c>
    </row>
    <row r="98" spans="1:12" x14ac:dyDescent="0.25">
      <c r="B98" t="s">
        <v>16</v>
      </c>
      <c r="C98">
        <v>76</v>
      </c>
      <c r="D98">
        <v>79</v>
      </c>
      <c r="E98">
        <v>82</v>
      </c>
      <c r="F98">
        <v>71</v>
      </c>
      <c r="G98" t="s">
        <v>15</v>
      </c>
      <c r="H98" t="s">
        <v>13</v>
      </c>
      <c r="I98" t="s">
        <v>187</v>
      </c>
      <c r="K98" t="s">
        <v>105</v>
      </c>
      <c r="L98" s="51" t="str">
        <f>FindEnd(S81:NJ81)</f>
        <v>HD</v>
      </c>
    </row>
    <row r="99" spans="1:12" x14ac:dyDescent="0.25">
      <c r="F99" s="105" t="s">
        <v>400</v>
      </c>
      <c r="K99" s="51"/>
    </row>
    <row r="100" spans="1:12" x14ac:dyDescent="0.25">
      <c r="K100" s="51"/>
    </row>
    <row r="101" spans="1:12" x14ac:dyDescent="0.25">
      <c r="K101" s="51"/>
    </row>
    <row r="102" spans="1:12" x14ac:dyDescent="0.25">
      <c r="K102" s="51"/>
    </row>
    <row r="103" spans="1:12" hidden="1" x14ac:dyDescent="0.25">
      <c r="A103" s="8" t="s">
        <v>83</v>
      </c>
      <c r="B103" s="8"/>
      <c r="C103" s="8" t="s">
        <v>105</v>
      </c>
      <c r="D103" s="8" t="s">
        <v>104</v>
      </c>
      <c r="E103" s="18">
        <v>39365</v>
      </c>
    </row>
    <row r="104" spans="1:12" hidden="1" x14ac:dyDescent="0.25">
      <c r="A104" s="8" t="s">
        <v>103</v>
      </c>
      <c r="B104" s="8"/>
      <c r="C104" s="8" t="s">
        <v>102</v>
      </c>
      <c r="D104" s="8" t="s">
        <v>101</v>
      </c>
      <c r="E104" s="18">
        <v>39705</v>
      </c>
    </row>
    <row r="105" spans="1:12" hidden="1" x14ac:dyDescent="0.25">
      <c r="A105" s="8" t="s">
        <v>86</v>
      </c>
      <c r="B105" s="8"/>
      <c r="C105" s="8" t="s">
        <v>100</v>
      </c>
      <c r="D105" s="8" t="s">
        <v>97</v>
      </c>
      <c r="E105" s="18">
        <v>39386</v>
      </c>
    </row>
    <row r="106" spans="1:12" hidden="1" x14ac:dyDescent="0.25">
      <c r="A106" s="8" t="s">
        <v>99</v>
      </c>
      <c r="B106" s="8"/>
      <c r="C106" s="8" t="s">
        <v>98</v>
      </c>
      <c r="D106" s="8" t="s">
        <v>97</v>
      </c>
      <c r="E106" s="18">
        <v>39386</v>
      </c>
    </row>
    <row r="107" spans="1:12" hidden="1" x14ac:dyDescent="0.25">
      <c r="A107" s="8" t="s">
        <v>96</v>
      </c>
      <c r="B107" s="8" t="s">
        <v>95</v>
      </c>
      <c r="C107" s="8" t="s">
        <v>94</v>
      </c>
      <c r="D107" s="8" t="s">
        <v>93</v>
      </c>
      <c r="E107" s="18">
        <v>39590</v>
      </c>
    </row>
    <row r="108" spans="1:12" hidden="1" x14ac:dyDescent="0.25">
      <c r="A108" s="8" t="s">
        <v>69</v>
      </c>
      <c r="B108" s="8"/>
      <c r="C108" s="8" t="s">
        <v>68</v>
      </c>
      <c r="D108" s="8" t="s">
        <v>67</v>
      </c>
      <c r="E108" s="18"/>
    </row>
    <row r="109" spans="1:12" hidden="1" x14ac:dyDescent="0.25">
      <c r="A109" s="8" t="s">
        <v>66</v>
      </c>
      <c r="B109" s="8" t="s">
        <v>65</v>
      </c>
      <c r="C109" s="8" t="s">
        <v>64</v>
      </c>
      <c r="D109" s="8" t="s">
        <v>63</v>
      </c>
      <c r="E109" s="18">
        <v>39713</v>
      </c>
    </row>
    <row r="110" spans="1:12" hidden="1" x14ac:dyDescent="0.25">
      <c r="A110" s="8" t="s">
        <v>58</v>
      </c>
      <c r="B110" s="8"/>
      <c r="C110" s="8" t="s">
        <v>57</v>
      </c>
      <c r="D110" s="8"/>
      <c r="E110" s="18"/>
    </row>
    <row r="111" spans="1:12" hidden="1" x14ac:dyDescent="0.25">
      <c r="A111" s="8" t="s">
        <v>56</v>
      </c>
      <c r="B111" s="8"/>
      <c r="C111" s="8" t="s">
        <v>14</v>
      </c>
      <c r="D111" s="8"/>
      <c r="E111" s="18"/>
    </row>
    <row r="112" spans="1:12" hidden="1" x14ac:dyDescent="0.25">
      <c r="A112" s="8" t="s">
        <v>55</v>
      </c>
      <c r="B112" s="8"/>
      <c r="C112" s="31" t="s">
        <v>614</v>
      </c>
      <c r="D112" s="8" t="s">
        <v>613</v>
      </c>
      <c r="E112" s="18"/>
    </row>
    <row r="113" spans="1:5" hidden="1" x14ac:dyDescent="0.25">
      <c r="A113" s="8" t="s">
        <v>53</v>
      </c>
      <c r="B113" s="8"/>
      <c r="C113" s="31" t="s">
        <v>52</v>
      </c>
      <c r="D113" s="8"/>
      <c r="E113" s="18"/>
    </row>
    <row r="114" spans="1:5" hidden="1" x14ac:dyDescent="0.25">
      <c r="A114" s="8" t="s">
        <v>51</v>
      </c>
      <c r="B114" s="8"/>
      <c r="C114" s="31" t="s">
        <v>50</v>
      </c>
      <c r="D114" s="8"/>
      <c r="E114" s="18"/>
    </row>
    <row r="115" spans="1:5" x14ac:dyDescent="0.25">
      <c r="A115" s="143" t="s">
        <v>615</v>
      </c>
      <c r="B115" s="8"/>
      <c r="C115" s="8"/>
      <c r="D115" s="8"/>
    </row>
    <row r="116" spans="1:5" x14ac:dyDescent="0.25">
      <c r="A116" s="8" t="s">
        <v>62</v>
      </c>
      <c r="B116" s="8"/>
      <c r="C116" s="31" t="s">
        <v>292</v>
      </c>
      <c r="D116" s="8" t="s">
        <v>293</v>
      </c>
    </row>
    <row r="117" spans="1:5" x14ac:dyDescent="0.25">
      <c r="A117" s="8" t="s">
        <v>61</v>
      </c>
      <c r="B117" s="8"/>
      <c r="C117" s="8" t="s">
        <v>60</v>
      </c>
      <c r="D117" s="8" t="s">
        <v>59</v>
      </c>
    </row>
    <row r="119" spans="1:5" x14ac:dyDescent="0.25">
      <c r="A119" s="143" t="s">
        <v>612</v>
      </c>
      <c r="B119" s="41"/>
      <c r="C119" s="41"/>
      <c r="D119" s="41"/>
      <c r="E119" s="41"/>
    </row>
    <row r="120" spans="1:5" x14ac:dyDescent="0.25">
      <c r="A120" t="s">
        <v>551</v>
      </c>
      <c r="D120" s="142" t="s">
        <v>553</v>
      </c>
    </row>
    <row r="121" spans="1:5" x14ac:dyDescent="0.25">
      <c r="A121" t="s">
        <v>554</v>
      </c>
      <c r="D121" s="142" t="s">
        <v>552</v>
      </c>
    </row>
  </sheetData>
  <dataConsolidate/>
  <mergeCells count="12">
    <mergeCell ref="A72:E73"/>
    <mergeCell ref="P72:P73"/>
    <mergeCell ref="R72:R73"/>
    <mergeCell ref="R2:R3"/>
    <mergeCell ref="A2:E3"/>
    <mergeCell ref="P2:P3"/>
    <mergeCell ref="A41:E42"/>
    <mergeCell ref="P41:P42"/>
    <mergeCell ref="R41:R42"/>
    <mergeCell ref="Q2:Q3"/>
    <mergeCell ref="Q41:Q42"/>
    <mergeCell ref="Q72:Q73"/>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CP12:CZ15 CG12:CH15 DZ19:EA25 EA18 DZ27:EA28 EA26 DZ7:EA7 EI12:EJ28 EN22 EN14:EN15 EN27 EI7:EJ7 CG9:CH10 DZ9:EA10 DQ9:DR10 DH9:DI10 BX7 BY9:BY10 EI11:EJ11 BX11:EH11 EK11:EN11 CG16:EA16 BY16 ER7:ER20 EN29:EN30 ER22 ER24:ER27 ES7:ES10 ES24:ES28 ES19:ES20 ES22 ES18 ES23 ES21 ES11:ES17 FA7:FB28 FJ7:FK20 FJ24:FK28 FJ21 FJ22:FK22 FK21 FJ23:FK23 FS7 FS8:FS20 D120:D121 FS24:FS27 FS22 FT7:FT28 GC7:GC28 GK7:GK28 EI9:EJ10 BX9:BX10 CR8:CX8 BX8:CH8 EB8:EN8 CY8:DY8 CI8:CO8 CP8:CQ8 DZ8:EA8 GT7:GT28 GL7:GL28 GU7:GU28 HC7:HC25 HL7:HL10 HD7:HD25 HC27:HC28 HD27:HD28 HC26:HD26 HL12:HL28 HM7:HM10 ID7:IE9 IM7:IN9 IM11:IN28 ID11:IE28 IA10:IN10 HX10:HY10 HM12:HM28 HL11:HM11 HU16:HU28 HU13 HU8 HU14:HV15 HU7 HU10 HU9 HV8 HU12:HV12 HV9:HV11 HV7 HV16:HV28 HV13 HU11" numberStoredAsText="1"/>
    <ignoredError sqref="P31 Q28 IO38:NJ38 GF38 Q30 P58 IB38 IF38:IK38" formula="1"/>
    <ignoredError sqref="AI70:CV70 CY73 AI82:CV85 AI81:BL81 BN81:CV81 AI91:CV92 AI86:CR86 CT86 AI93:CR93 CT93 CY74:DF85 DA73:DF73 CY70:DF70 CY91:DF92 CY86:DA86 DC86:DD86 CY93:DA93 DC93:DD93 DI73:DO85 DI70:DO70 DS71:DW72 DR70:DW70 DI91:DO92 DI86:DJ86 DL86 DF86 DF93 DI93:DJ93 DL93 DO86 DO93 AI73:CV80 AI71:BY72 DR80:DU80 DR78:DS78 DU78 DR75:DW75 DR73:DS74 DU73:DU74 DR77:DW77 DR76:DS76 DU76 DR79:DT79 DR82:DW85 DR81:DS81 DU81 DR87:DW89 DR86:DS86 DU86 DR92:DW92 DR91:DS91 DU91:DW91 DR93:DS93 DU93 DZ73:EB73 ED73 DW80 DZ78:EB78 DZ81:EB81 ED81 DZ86:EA86 ED86 DZ91:EB91 ED91 DZ93:EA93 ED93 EF91 EF77 DZ92:EF92 DZ87:EF89 DZ83:EF85 ED78:EF78 DZ79:EF80 EB71:EF72 DZ74:EF75 DZ70:EF70 EI70:EP70 EI74:EP75 EK71:EP72 IN91:NJ93 DZ82:EE82 ES73:EW73 FB73:FF73 FK73:FL73 FN73 EI80:EP80 EI78:EK78 EM78 EI82:EP85 EI81:EK81 EM81 EI87:EP89 EI86:EJ86 EM86 EI92:EP92 EI91:EK91 EM91 EI93:EJ93 EM93 EI73:EK73 EM73 EP73 EI79:EN79 EP78:EP79 EP81 EP86 EP91 EP93 EI77:EP77 EI76:EK76 DZ76:ED77 EY73 ET71:EY72 ES74:EY77 ES70:EY70 ES92:EY92 ES86 ES93 ES87:EY89 DI87:DO89 CY87:DF89 AI87:CV89 ES82:EY85 ES81:ET81 EV81 ES79:EY80 ES78:ET78 EV78 EY78 EY81 EY86 ES91:EV91 EY91 EY93 FB74:FH77 FC71:FH72 FH73 FB70:FH70 FB92:FG92 FB79:FH80 FB78:FC78 FE78 FB82:FH85 FB81:FC81 FE81 FB87:FH89 FB86 FB91:FC91 FE91:FG91 FB93 FH78 FH81 FL71:FQ72 FK74:FQ77 FK70:FQ70 FP73:FQ73 FK92:FQ92 FK87:FQ89 FK86 FN86 FK93 FN93 FK82:FQ85 FK81:FL81 FN81 FK79:FQ80 FK78:FL78 FN78 FQ78 A38:P38 EX38:EZ38 FH38:FI38 FK38 FK91:FL91 FN91 FP91:FQ91 FU71:FZ72 FT70:FZ70 FT74:FZ77 FT92:FZ92 FT73:FX73 FZ73 GC73:GG73 GA38:GC38 FT87:FZ89 FT86 FW86 FT93 FW93 FT80:FZ80 FT78:FU78 FW78 FT82:FZ85 FT81:FU81 FW81 FQ81 FT91:FU91 FW91 FZ81 FY91 FT79:FX79 FZ78:FZ79 GI73 GD71:GI72 GC74:GI77 GC70:GI70 GC92:GI92 GC79:GI80 GC78:GD78 GF78 GC82:GI85 GC81:GD81 GF81 GC87:GI89 GC86 GF86 GC91:GD91 GF91 GC93 GF93 GI78 GI81 GH91:GI91 GM71:GR72 GL74:GR77 GL70:GR70 GL92:GR92 IN74:NJ89 GL73:GP73 GR73 GU73:GY73 HD73:HE73 HM73:HQ73 HV73:HZ73 IE73:II73 IN73:IP73 JA73:JF73 JH73:JM73 JO73:KA73 IT73:IY73 KC73:KH73 KJ73:KV73 KX73:LJ73 LL73:LQ73 LS73:LX73 LZ73:ME73 MG73:ML73 MN73:NJ73 HA73 GV71:HA72 GU74:HA80 GU70:HA70 GU92:HA92 GL80:GR80 GL78:GM79 GO78:GO79 GL82:GR85 GL81:GM81 GO81 GL87:GR89 GL86 GO86 GL91:GM91 GO91 GL93 GO93 GR78 GQ79:GR79 GR81 GJ38:GL38 GS38 GU87:HA89 GU86 GX86 GU91 GW91:HA91 GU93 GX93 GU82:HA85 GU81:GV81 GX81 HA81 HE71:HJ72 HJ73 HD70:HJ70 HD74:HJ85 HD91:HJ92 IN70:NJ70 HD87:HJ89 HD86:HI86 HD93:HI93 HG73 HN71:HS72 HM70:HS70 HS73 HM74:HS89 HM91:HS93 HV70:IB70 IB73 HV74:IB89 HV91:IB93 IE70:IK70 IK73 IE74:IK89 IE91:IK93 HW72:IB72 HW71:IB71 IF72:IK72 IF71:IK71 IO72:NJ72 IO71:NJ71 HB38:HD38 HJ38:HM38 HT38:HV38" formulaRange="1"/>
    <ignoredError sqref="FL38:FQ38 FJ38 FA38:FG38 Q38:EW38 FU38:FZ38 GD38:GE38 GG38:GI38 GM38:GR38 GV38 HW38:IA38 HN38:HS38 HE38:HI38 GW38:HA38" formula="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95</xdr:row>
                    <xdr:rowOff>28575</xdr:rowOff>
                  </from>
                  <to>
                    <xdr:col>0</xdr:col>
                    <xdr:colOff>676275</xdr:colOff>
                    <xdr:row>97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99</xdr:row>
                    <xdr:rowOff>28575</xdr:rowOff>
                  </from>
                  <to>
                    <xdr:col>9</xdr:col>
                    <xdr:colOff>47625</xdr:colOff>
                    <xdr:row>100</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215"/>
  <sheetViews>
    <sheetView topLeftCell="A67" workbookViewId="0">
      <selection activeCell="B75" sqref="B75"/>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2"/>
      <c r="B7" s="73"/>
      <c r="C7" s="74"/>
      <c r="D7" s="73"/>
    </row>
    <row r="8" spans="1:4" x14ac:dyDescent="0.25">
      <c r="A8" s="72"/>
      <c r="B8" s="73"/>
      <c r="C8" s="74"/>
      <c r="D8" s="73"/>
    </row>
    <row r="9" spans="1:4" x14ac:dyDescent="0.25">
      <c r="A9" s="75">
        <v>44135</v>
      </c>
      <c r="B9" s="74" t="s">
        <v>623</v>
      </c>
      <c r="C9" s="74"/>
      <c r="D9" s="73"/>
    </row>
    <row r="10" spans="1:4" ht="90" x14ac:dyDescent="0.25">
      <c r="A10" s="72"/>
      <c r="B10" s="76" t="s">
        <v>624</v>
      </c>
      <c r="C10" s="74"/>
      <c r="D10" s="73"/>
    </row>
    <row r="11" spans="1:4" x14ac:dyDescent="0.25">
      <c r="A11" s="75">
        <v>44134</v>
      </c>
      <c r="B11" s="74" t="s">
        <v>451</v>
      </c>
      <c r="C11" s="74"/>
      <c r="D11" s="74" t="s">
        <v>528</v>
      </c>
    </row>
    <row r="12" spans="1:4" ht="45" x14ac:dyDescent="0.25">
      <c r="A12" s="72"/>
      <c r="B12" s="76" t="s">
        <v>621</v>
      </c>
      <c r="C12" s="74"/>
      <c r="D12" s="76" t="s">
        <v>620</v>
      </c>
    </row>
    <row r="13" spans="1:4" x14ac:dyDescent="0.25">
      <c r="A13" s="75">
        <v>44133</v>
      </c>
      <c r="B13" s="74" t="s">
        <v>618</v>
      </c>
      <c r="C13" s="74"/>
      <c r="D13" s="74" t="s">
        <v>447</v>
      </c>
    </row>
    <row r="14" spans="1:4" ht="60" x14ac:dyDescent="0.25">
      <c r="A14" s="72"/>
      <c r="B14" s="76" t="s">
        <v>622</v>
      </c>
      <c r="C14" s="74"/>
      <c r="D14" s="76" t="s">
        <v>619</v>
      </c>
    </row>
    <row r="15" spans="1:4" x14ac:dyDescent="0.25">
      <c r="A15" s="75">
        <v>44131</v>
      </c>
      <c r="B15" s="74" t="s">
        <v>590</v>
      </c>
      <c r="C15" s="74"/>
      <c r="D15" s="74" t="s">
        <v>452</v>
      </c>
    </row>
    <row r="16" spans="1:4" ht="90" x14ac:dyDescent="0.25">
      <c r="A16" s="72"/>
      <c r="B16" s="76" t="s">
        <v>611</v>
      </c>
      <c r="C16" s="74"/>
      <c r="D16" s="76" t="s">
        <v>610</v>
      </c>
    </row>
    <row r="17" spans="1:4" x14ac:dyDescent="0.25">
      <c r="A17" s="75">
        <v>44130</v>
      </c>
      <c r="B17" s="74" t="s">
        <v>608</v>
      </c>
      <c r="C17" s="74"/>
      <c r="D17" s="73"/>
    </row>
    <row r="18" spans="1:4" ht="45" x14ac:dyDescent="0.25">
      <c r="A18" s="72"/>
      <c r="B18" s="76" t="s">
        <v>609</v>
      </c>
      <c r="C18" s="74"/>
      <c r="D18" s="73"/>
    </row>
    <row r="19" spans="1:4" x14ac:dyDescent="0.25">
      <c r="A19" s="72"/>
      <c r="B19" s="73"/>
      <c r="C19" s="74"/>
      <c r="D19" s="73"/>
    </row>
    <row r="20" spans="1:4" x14ac:dyDescent="0.25">
      <c r="A20" s="75">
        <v>44129</v>
      </c>
      <c r="B20" s="74" t="s">
        <v>604</v>
      </c>
      <c r="C20" s="74"/>
      <c r="D20" s="74" t="s">
        <v>605</v>
      </c>
    </row>
    <row r="21" spans="1:4" x14ac:dyDescent="0.25">
      <c r="A21" s="72"/>
      <c r="B21" s="73" t="s">
        <v>607</v>
      </c>
      <c r="C21" s="74"/>
      <c r="D21" s="147" t="s">
        <v>606</v>
      </c>
    </row>
    <row r="22" spans="1:4" x14ac:dyDescent="0.25">
      <c r="A22" s="75">
        <v>44128</v>
      </c>
      <c r="B22" s="74" t="s">
        <v>602</v>
      </c>
      <c r="C22" s="74"/>
      <c r="D22" s="73"/>
    </row>
    <row r="23" spans="1:4" ht="60" x14ac:dyDescent="0.25">
      <c r="A23" s="72"/>
      <c r="B23" s="76" t="s">
        <v>603</v>
      </c>
      <c r="C23" s="74"/>
      <c r="D23" s="73"/>
    </row>
    <row r="24" spans="1:4" x14ac:dyDescent="0.25">
      <c r="A24" s="75">
        <v>44127</v>
      </c>
      <c r="B24" s="74" t="s">
        <v>459</v>
      </c>
      <c r="C24" s="74"/>
      <c r="D24" s="74" t="s">
        <v>448</v>
      </c>
    </row>
    <row r="25" spans="1:4" x14ac:dyDescent="0.25">
      <c r="A25" s="72"/>
      <c r="B25" s="73"/>
      <c r="C25" s="74"/>
      <c r="D25" s="73" t="s">
        <v>601</v>
      </c>
    </row>
    <row r="26" spans="1:4" x14ac:dyDescent="0.25">
      <c r="A26" s="75">
        <v>44126</v>
      </c>
      <c r="B26" s="74" t="s">
        <v>590</v>
      </c>
      <c r="C26" s="74"/>
      <c r="D26" s="74" t="s">
        <v>447</v>
      </c>
    </row>
    <row r="27" spans="1:4" ht="60" x14ac:dyDescent="0.25">
      <c r="A27" s="72"/>
      <c r="B27" s="76" t="s">
        <v>599</v>
      </c>
      <c r="C27" s="74"/>
      <c r="D27" s="76" t="s">
        <v>598</v>
      </c>
    </row>
    <row r="28" spans="1:4" x14ac:dyDescent="0.25">
      <c r="A28" s="75">
        <v>44124</v>
      </c>
      <c r="B28" s="74" t="s">
        <v>590</v>
      </c>
      <c r="C28" s="74"/>
      <c r="D28" s="74" t="s">
        <v>593</v>
      </c>
    </row>
    <row r="29" spans="1:4" ht="105" x14ac:dyDescent="0.25">
      <c r="A29" s="72"/>
      <c r="B29" s="76" t="s">
        <v>597</v>
      </c>
      <c r="C29" s="74"/>
      <c r="D29" s="76" t="s">
        <v>592</v>
      </c>
    </row>
    <row r="30" spans="1:4" x14ac:dyDescent="0.25">
      <c r="A30" s="75">
        <v>44123</v>
      </c>
      <c r="B30" s="74" t="s">
        <v>459</v>
      </c>
      <c r="C30" s="74"/>
      <c r="D30" s="73"/>
    </row>
    <row r="31" spans="1:4" ht="60" x14ac:dyDescent="0.25">
      <c r="A31" s="72"/>
      <c r="B31" s="76" t="s">
        <v>591</v>
      </c>
      <c r="C31" s="74"/>
      <c r="D31" s="73"/>
    </row>
    <row r="32" spans="1:4" x14ac:dyDescent="0.25">
      <c r="A32" s="72"/>
      <c r="B32" s="73"/>
      <c r="C32" s="74"/>
      <c r="D32" s="73"/>
    </row>
    <row r="33" spans="1:4" x14ac:dyDescent="0.25">
      <c r="A33" s="75">
        <v>44121</v>
      </c>
      <c r="B33" s="74" t="s">
        <v>589</v>
      </c>
      <c r="C33" s="74"/>
      <c r="D33" s="73"/>
    </row>
    <row r="34" spans="1:4" ht="30" x14ac:dyDescent="0.25">
      <c r="A34" s="72"/>
      <c r="B34" s="76" t="s">
        <v>586</v>
      </c>
      <c r="C34" s="74"/>
      <c r="D34" s="73"/>
    </row>
    <row r="35" spans="1:4" x14ac:dyDescent="0.25">
      <c r="A35" s="75">
        <v>44120</v>
      </c>
      <c r="B35" s="74" t="s">
        <v>478</v>
      </c>
      <c r="C35" s="74"/>
      <c r="D35" s="74" t="s">
        <v>447</v>
      </c>
    </row>
    <row r="36" spans="1:4" ht="75" x14ac:dyDescent="0.25">
      <c r="A36" s="72"/>
      <c r="B36" s="76" t="s">
        <v>588</v>
      </c>
      <c r="C36" s="74"/>
      <c r="D36" s="76" t="s">
        <v>587</v>
      </c>
    </row>
    <row r="37" spans="1:4" x14ac:dyDescent="0.25">
      <c r="A37" s="75">
        <v>44119</v>
      </c>
      <c r="B37" s="74" t="s">
        <v>579</v>
      </c>
      <c r="C37" s="74"/>
      <c r="D37" s="74" t="s">
        <v>452</v>
      </c>
    </row>
    <row r="38" spans="1:4" ht="105" x14ac:dyDescent="0.25">
      <c r="A38" s="72"/>
      <c r="B38" s="76" t="s">
        <v>580</v>
      </c>
      <c r="C38" s="74"/>
      <c r="D38" s="73" t="s">
        <v>568</v>
      </c>
    </row>
    <row r="39" spans="1:4" x14ac:dyDescent="0.25">
      <c r="A39" s="75">
        <v>44117</v>
      </c>
      <c r="B39" s="74" t="s">
        <v>574</v>
      </c>
      <c r="C39" s="74"/>
      <c r="D39" s="74" t="s">
        <v>594</v>
      </c>
    </row>
    <row r="40" spans="1:4" ht="180" x14ac:dyDescent="0.25">
      <c r="A40" s="72"/>
      <c r="B40" s="76" t="s">
        <v>576</v>
      </c>
      <c r="C40" s="74"/>
      <c r="D40" s="76" t="s">
        <v>575</v>
      </c>
    </row>
    <row r="41" spans="1:4" x14ac:dyDescent="0.25">
      <c r="A41" s="75">
        <v>44116</v>
      </c>
      <c r="B41" s="74" t="s">
        <v>459</v>
      </c>
      <c r="C41" s="74"/>
      <c r="D41" s="73"/>
    </row>
    <row r="42" spans="1:4" ht="135" x14ac:dyDescent="0.25">
      <c r="A42" s="72"/>
      <c r="B42" s="76" t="s">
        <v>573</v>
      </c>
      <c r="C42" s="74"/>
      <c r="D42" s="73"/>
    </row>
    <row r="43" spans="1:4" x14ac:dyDescent="0.25">
      <c r="A43" s="72"/>
      <c r="B43" s="73"/>
      <c r="C43" s="74"/>
      <c r="D43" s="73"/>
    </row>
    <row r="44" spans="1:4" x14ac:dyDescent="0.25">
      <c r="A44" s="75">
        <v>44114</v>
      </c>
      <c r="B44" s="74" t="s">
        <v>571</v>
      </c>
      <c r="C44" s="74"/>
      <c r="D44" s="73"/>
    </row>
    <row r="45" spans="1:4" ht="45" x14ac:dyDescent="0.25">
      <c r="A45" s="72"/>
      <c r="B45" s="76" t="s">
        <v>572</v>
      </c>
      <c r="C45" s="74"/>
      <c r="D45" s="73"/>
    </row>
    <row r="46" spans="1:4" x14ac:dyDescent="0.25">
      <c r="A46" s="75">
        <v>44113</v>
      </c>
      <c r="B46" s="74" t="s">
        <v>525</v>
      </c>
      <c r="C46" s="74"/>
      <c r="D46" s="74" t="s">
        <v>448</v>
      </c>
    </row>
    <row r="47" spans="1:4" ht="90" x14ac:dyDescent="0.25">
      <c r="A47" s="72"/>
      <c r="B47" s="76" t="s">
        <v>570</v>
      </c>
      <c r="C47" s="74"/>
      <c r="D47" s="76" t="s">
        <v>569</v>
      </c>
    </row>
    <row r="48" spans="1:4" x14ac:dyDescent="0.25">
      <c r="A48" s="75">
        <v>44112</v>
      </c>
      <c r="B48" s="74" t="s">
        <v>566</v>
      </c>
      <c r="C48" s="74"/>
      <c r="D48" s="74" t="s">
        <v>447</v>
      </c>
    </row>
    <row r="49" spans="1:4" ht="60" x14ac:dyDescent="0.25">
      <c r="A49" s="72"/>
      <c r="B49" s="76" t="s">
        <v>567</v>
      </c>
      <c r="C49" s="74"/>
      <c r="D49" s="73" t="s">
        <v>568</v>
      </c>
    </row>
    <row r="50" spans="1:4" x14ac:dyDescent="0.25">
      <c r="A50" s="75">
        <v>44110</v>
      </c>
      <c r="B50" s="74" t="s">
        <v>478</v>
      </c>
      <c r="C50" s="74"/>
      <c r="D50" s="74" t="s">
        <v>595</v>
      </c>
    </row>
    <row r="51" spans="1:4" ht="60" x14ac:dyDescent="0.25">
      <c r="A51" s="72"/>
      <c r="B51" s="76" t="s">
        <v>565</v>
      </c>
      <c r="C51" s="74"/>
      <c r="D51" s="76" t="s">
        <v>564</v>
      </c>
    </row>
    <row r="52" spans="1:4" x14ac:dyDescent="0.25">
      <c r="A52" s="75">
        <v>44109</v>
      </c>
      <c r="B52" s="74" t="s">
        <v>459</v>
      </c>
      <c r="C52" s="74"/>
      <c r="D52" s="73"/>
    </row>
    <row r="53" spans="1:4" ht="75" x14ac:dyDescent="0.25">
      <c r="A53" s="72"/>
      <c r="B53" s="76" t="s">
        <v>563</v>
      </c>
      <c r="C53" s="74"/>
      <c r="D53" s="73"/>
    </row>
    <row r="54" spans="1:4" x14ac:dyDescent="0.25">
      <c r="A54" s="72"/>
      <c r="B54" s="73"/>
      <c r="C54" s="74"/>
      <c r="D54" s="73"/>
    </row>
    <row r="55" spans="1:4" x14ac:dyDescent="0.25">
      <c r="A55" s="75">
        <v>44107</v>
      </c>
      <c r="B55" s="74" t="s">
        <v>545</v>
      </c>
      <c r="C55" s="74"/>
      <c r="D55" s="73"/>
    </row>
    <row r="56" spans="1:4" ht="120" x14ac:dyDescent="0.25">
      <c r="A56" s="72"/>
      <c r="B56" s="76" t="s">
        <v>560</v>
      </c>
      <c r="C56" s="74"/>
      <c r="D56" s="73"/>
    </row>
    <row r="57" spans="1:4" x14ac:dyDescent="0.25">
      <c r="A57" s="75">
        <v>44106</v>
      </c>
      <c r="B57" s="74" t="s">
        <v>478</v>
      </c>
      <c r="C57" s="74"/>
      <c r="D57" s="74" t="s">
        <v>447</v>
      </c>
    </row>
    <row r="58" spans="1:4" ht="75" x14ac:dyDescent="0.25">
      <c r="A58" s="72"/>
      <c r="B58" s="76" t="s">
        <v>559</v>
      </c>
      <c r="C58" s="74"/>
      <c r="D58" s="76" t="s">
        <v>558</v>
      </c>
    </row>
    <row r="59" spans="1:4" x14ac:dyDescent="0.25">
      <c r="A59" s="75">
        <v>44105</v>
      </c>
      <c r="B59" s="74" t="s">
        <v>546</v>
      </c>
      <c r="C59" s="74"/>
      <c r="D59" s="74" t="s">
        <v>452</v>
      </c>
    </row>
    <row r="60" spans="1:4" ht="75" x14ac:dyDescent="0.25">
      <c r="A60" s="72"/>
      <c r="B60" s="76" t="s">
        <v>547</v>
      </c>
      <c r="C60" s="74"/>
      <c r="D60" s="76" t="s">
        <v>557</v>
      </c>
    </row>
    <row r="61" spans="1:4" x14ac:dyDescent="0.25">
      <c r="A61" s="75">
        <v>44103</v>
      </c>
      <c r="B61" s="74" t="s">
        <v>525</v>
      </c>
      <c r="C61" s="74"/>
      <c r="D61" s="74" t="s">
        <v>593</v>
      </c>
    </row>
    <row r="62" spans="1:4" ht="90" x14ac:dyDescent="0.25">
      <c r="A62" s="72"/>
      <c r="B62" s="76" t="s">
        <v>544</v>
      </c>
      <c r="C62" s="74"/>
      <c r="D62" s="76" t="s">
        <v>543</v>
      </c>
    </row>
    <row r="63" spans="1:4" x14ac:dyDescent="0.25">
      <c r="A63" s="75">
        <v>44102</v>
      </c>
      <c r="B63" s="74" t="s">
        <v>452</v>
      </c>
      <c r="C63" s="74"/>
      <c r="D63" s="73"/>
    </row>
    <row r="64" spans="1:4" ht="60" x14ac:dyDescent="0.25">
      <c r="A64" s="72"/>
      <c r="B64" s="76" t="s">
        <v>542</v>
      </c>
      <c r="C64" s="74"/>
      <c r="D64" s="73"/>
    </row>
    <row r="65" spans="1:4" x14ac:dyDescent="0.25">
      <c r="A65" s="72"/>
      <c r="B65" s="73"/>
      <c r="C65" s="74"/>
      <c r="D65" s="73"/>
    </row>
    <row r="66" spans="1:4" x14ac:dyDescent="0.25">
      <c r="A66" s="75">
        <v>44100</v>
      </c>
      <c r="B66" s="74" t="s">
        <v>538</v>
      </c>
      <c r="C66" s="74"/>
      <c r="D66" s="73"/>
    </row>
    <row r="67" spans="1:4" ht="75" x14ac:dyDescent="0.25">
      <c r="A67" s="72"/>
      <c r="B67" s="76" t="s">
        <v>539</v>
      </c>
      <c r="C67" s="74"/>
      <c r="D67" s="73"/>
    </row>
    <row r="68" spans="1:4" x14ac:dyDescent="0.25">
      <c r="A68" s="75">
        <v>44099</v>
      </c>
      <c r="B68" s="74" t="s">
        <v>525</v>
      </c>
      <c r="C68" s="74"/>
      <c r="D68" s="74" t="s">
        <v>452</v>
      </c>
    </row>
    <row r="69" spans="1:4" ht="60" x14ac:dyDescent="0.25">
      <c r="A69" s="72"/>
      <c r="B69" s="76" t="s">
        <v>536</v>
      </c>
      <c r="C69" s="74"/>
      <c r="D69" s="76" t="s">
        <v>537</v>
      </c>
    </row>
    <row r="70" spans="1:4" x14ac:dyDescent="0.25">
      <c r="A70" s="75">
        <v>44098</v>
      </c>
      <c r="B70" s="74" t="s">
        <v>533</v>
      </c>
      <c r="C70" s="74"/>
      <c r="D70" s="74" t="s">
        <v>447</v>
      </c>
    </row>
    <row r="71" spans="1:4" ht="105" x14ac:dyDescent="0.25">
      <c r="A71" s="72"/>
      <c r="B71" s="76" t="s">
        <v>535</v>
      </c>
      <c r="C71" s="74"/>
      <c r="D71" s="76" t="s">
        <v>534</v>
      </c>
    </row>
    <row r="72" spans="1:4" x14ac:dyDescent="0.25">
      <c r="A72" s="75">
        <v>44097</v>
      </c>
      <c r="B72" s="74" t="s">
        <v>532</v>
      </c>
      <c r="C72" s="74"/>
      <c r="D72" s="76"/>
    </row>
    <row r="73" spans="1:4" ht="60" x14ac:dyDescent="0.25">
      <c r="A73" s="72"/>
      <c r="B73" s="76" t="s">
        <v>596</v>
      </c>
      <c r="C73" s="74"/>
      <c r="D73" s="73"/>
    </row>
    <row r="74" spans="1:4" x14ac:dyDescent="0.25">
      <c r="A74" s="75">
        <v>44096</v>
      </c>
      <c r="B74" s="74" t="s">
        <v>528</v>
      </c>
      <c r="C74" s="74"/>
      <c r="D74" s="74" t="s">
        <v>530</v>
      </c>
    </row>
    <row r="75" spans="1:4" ht="105" x14ac:dyDescent="0.25">
      <c r="A75" s="72"/>
      <c r="B75" s="76" t="s">
        <v>529</v>
      </c>
      <c r="C75" s="74"/>
      <c r="D75" s="76" t="s">
        <v>531</v>
      </c>
    </row>
    <row r="76" spans="1:4" x14ac:dyDescent="0.25">
      <c r="A76" s="75">
        <v>44095</v>
      </c>
      <c r="B76" s="74" t="s">
        <v>525</v>
      </c>
      <c r="C76" s="74"/>
      <c r="D76" s="73"/>
    </row>
    <row r="77" spans="1:4" ht="90" x14ac:dyDescent="0.25">
      <c r="A77" s="72"/>
      <c r="B77" s="76" t="s">
        <v>526</v>
      </c>
      <c r="C77" s="74"/>
      <c r="D77" s="73"/>
    </row>
    <row r="78" spans="1:4" x14ac:dyDescent="0.25">
      <c r="A78" s="72"/>
      <c r="B78" s="73"/>
      <c r="C78" s="74"/>
      <c r="D78" s="73"/>
    </row>
    <row r="79" spans="1:4" x14ac:dyDescent="0.25">
      <c r="A79" s="75">
        <v>44092</v>
      </c>
      <c r="B79" s="73"/>
      <c r="C79" s="74"/>
      <c r="D79" s="74" t="s">
        <v>452</v>
      </c>
    </row>
    <row r="80" spans="1:4" ht="45" x14ac:dyDescent="0.25">
      <c r="A80" s="72"/>
      <c r="B80" s="73"/>
      <c r="C80" s="74"/>
      <c r="D80" s="76" t="s">
        <v>524</v>
      </c>
    </row>
    <row r="81" spans="1:4" x14ac:dyDescent="0.25">
      <c r="A81" s="75">
        <v>44091</v>
      </c>
      <c r="B81" s="74" t="s">
        <v>517</v>
      </c>
      <c r="C81" s="74"/>
      <c r="D81" s="74" t="s">
        <v>514</v>
      </c>
    </row>
    <row r="82" spans="1:4" ht="105" x14ac:dyDescent="0.25">
      <c r="A82" s="72"/>
      <c r="B82" s="76" t="s">
        <v>516</v>
      </c>
      <c r="C82" s="74"/>
      <c r="D82" s="76" t="s">
        <v>515</v>
      </c>
    </row>
    <row r="83" spans="1:4" x14ac:dyDescent="0.25">
      <c r="A83" s="75">
        <v>44090</v>
      </c>
      <c r="B83" s="74" t="s">
        <v>518</v>
      </c>
      <c r="C83" s="74"/>
      <c r="D83" s="73"/>
    </row>
    <row r="84" spans="1:4" ht="180" x14ac:dyDescent="0.25">
      <c r="A84" s="72"/>
      <c r="B84" s="76" t="s">
        <v>513</v>
      </c>
      <c r="C84" s="74"/>
      <c r="D84" s="73"/>
    </row>
    <row r="85" spans="1:4" x14ac:dyDescent="0.25">
      <c r="A85" s="75">
        <v>44089</v>
      </c>
      <c r="B85" s="74" t="s">
        <v>459</v>
      </c>
      <c r="C85" s="74"/>
      <c r="D85" s="74" t="s">
        <v>471</v>
      </c>
    </row>
    <row r="86" spans="1:4" ht="75" x14ac:dyDescent="0.25">
      <c r="A86" s="72"/>
      <c r="B86" s="76" t="s">
        <v>508</v>
      </c>
      <c r="C86" s="74"/>
      <c r="D86" s="76" t="s">
        <v>507</v>
      </c>
    </row>
    <row r="87" spans="1:4" x14ac:dyDescent="0.25">
      <c r="A87" s="75">
        <v>44088</v>
      </c>
      <c r="B87" s="74" t="s">
        <v>519</v>
      </c>
      <c r="C87" s="74"/>
      <c r="D87" s="73"/>
    </row>
    <row r="88" spans="1:4" ht="45" x14ac:dyDescent="0.25">
      <c r="A88" s="72"/>
      <c r="B88" s="76" t="s">
        <v>506</v>
      </c>
      <c r="C88" s="74"/>
      <c r="D88" s="73"/>
    </row>
    <row r="89" spans="1:4" x14ac:dyDescent="0.25">
      <c r="A89" s="72"/>
      <c r="B89" s="73"/>
      <c r="C89" s="74"/>
      <c r="D89" s="73"/>
    </row>
    <row r="90" spans="1:4" x14ac:dyDescent="0.25">
      <c r="A90" s="75">
        <v>44087</v>
      </c>
      <c r="B90" s="74" t="s">
        <v>504</v>
      </c>
      <c r="C90" s="74"/>
    </row>
    <row r="91" spans="1:4" ht="120" x14ac:dyDescent="0.25">
      <c r="A91" s="72"/>
      <c r="B91" s="76" t="s">
        <v>503</v>
      </c>
      <c r="C91" s="74"/>
      <c r="D91" s="73"/>
    </row>
    <row r="92" spans="1:4" x14ac:dyDescent="0.25">
      <c r="A92" s="75">
        <v>44085</v>
      </c>
      <c r="B92" s="74" t="s">
        <v>489</v>
      </c>
      <c r="C92" s="74"/>
      <c r="D92" s="74" t="s">
        <v>448</v>
      </c>
    </row>
    <row r="93" spans="1:4" ht="210" x14ac:dyDescent="0.25">
      <c r="A93" s="72"/>
      <c r="B93" s="76" t="s">
        <v>491</v>
      </c>
      <c r="C93" s="74"/>
      <c r="D93" s="76" t="s">
        <v>490</v>
      </c>
    </row>
    <row r="94" spans="1:4" x14ac:dyDescent="0.25">
      <c r="A94" s="75">
        <v>44084</v>
      </c>
      <c r="B94" s="74" t="s">
        <v>486</v>
      </c>
      <c r="C94" s="74"/>
      <c r="D94" s="74" t="s">
        <v>447</v>
      </c>
    </row>
    <row r="95" spans="1:4" ht="45" x14ac:dyDescent="0.25">
      <c r="A95" s="72"/>
      <c r="B95" s="76" t="s">
        <v>487</v>
      </c>
      <c r="C95" s="74"/>
      <c r="D95" s="76" t="s">
        <v>488</v>
      </c>
    </row>
    <row r="96" spans="1:4" x14ac:dyDescent="0.25">
      <c r="A96" s="75">
        <v>44082</v>
      </c>
      <c r="B96" s="74" t="s">
        <v>462</v>
      </c>
      <c r="C96" s="74"/>
      <c r="D96" s="74" t="s">
        <v>448</v>
      </c>
    </row>
    <row r="97" spans="1:4" ht="90" x14ac:dyDescent="0.25">
      <c r="A97" s="72"/>
      <c r="B97" s="76" t="s">
        <v>482</v>
      </c>
      <c r="C97" s="74"/>
      <c r="D97" s="76" t="s">
        <v>480</v>
      </c>
    </row>
    <row r="98" spans="1:4" x14ac:dyDescent="0.25">
      <c r="A98" s="75">
        <v>44081</v>
      </c>
      <c r="B98" s="74" t="s">
        <v>478</v>
      </c>
      <c r="C98" s="74"/>
      <c r="D98" s="73"/>
    </row>
    <row r="99" spans="1:4" ht="120" x14ac:dyDescent="0.25">
      <c r="A99" s="72"/>
      <c r="B99" s="76" t="s">
        <v>481</v>
      </c>
      <c r="C99" s="74"/>
      <c r="D99" s="73"/>
    </row>
    <row r="100" spans="1:4" x14ac:dyDescent="0.25">
      <c r="A100" s="72"/>
      <c r="B100" s="73"/>
      <c r="C100" s="74"/>
      <c r="D100" s="73"/>
    </row>
    <row r="101" spans="1:4" x14ac:dyDescent="0.25">
      <c r="A101" s="75">
        <v>44078</v>
      </c>
      <c r="B101" s="74" t="s">
        <v>471</v>
      </c>
      <c r="C101" s="74"/>
      <c r="D101" s="74" t="s">
        <v>472</v>
      </c>
    </row>
    <row r="102" spans="1:4" ht="75" x14ac:dyDescent="0.25">
      <c r="A102" s="72"/>
      <c r="B102" s="76" t="s">
        <v>474</v>
      </c>
      <c r="C102" s="74"/>
      <c r="D102" s="76" t="s">
        <v>473</v>
      </c>
    </row>
    <row r="103" spans="1:4" x14ac:dyDescent="0.25">
      <c r="A103" s="75">
        <v>44077</v>
      </c>
      <c r="B103" s="74" t="s">
        <v>462</v>
      </c>
      <c r="C103" s="74"/>
      <c r="D103" s="74" t="s">
        <v>452</v>
      </c>
    </row>
    <row r="104" spans="1:4" ht="75" x14ac:dyDescent="0.25">
      <c r="A104" s="72"/>
      <c r="B104" s="76" t="s">
        <v>477</v>
      </c>
      <c r="C104" s="74"/>
      <c r="D104" s="76" t="s">
        <v>463</v>
      </c>
    </row>
    <row r="105" spans="1:4" x14ac:dyDescent="0.25">
      <c r="A105" s="75">
        <v>44075</v>
      </c>
      <c r="B105" s="74" t="s">
        <v>459</v>
      </c>
      <c r="C105" s="74"/>
      <c r="D105" s="74" t="s">
        <v>448</v>
      </c>
    </row>
    <row r="106" spans="1:4" ht="60" x14ac:dyDescent="0.25">
      <c r="A106" s="72"/>
      <c r="B106" s="76" t="s">
        <v>461</v>
      </c>
      <c r="C106" s="74"/>
      <c r="D106" s="76" t="s">
        <v>460</v>
      </c>
    </row>
    <row r="107" spans="1:4" x14ac:dyDescent="0.25">
      <c r="A107" s="75">
        <v>44074</v>
      </c>
      <c r="B107" s="74" t="s">
        <v>451</v>
      </c>
      <c r="C107" s="74"/>
      <c r="D107" s="73"/>
    </row>
    <row r="108" spans="1:4" ht="74.25" customHeight="1" x14ac:dyDescent="0.25">
      <c r="A108" s="72"/>
      <c r="B108" s="76" t="s">
        <v>456</v>
      </c>
      <c r="C108" s="74"/>
      <c r="D108" s="73"/>
    </row>
    <row r="109" spans="1:4" x14ac:dyDescent="0.25">
      <c r="A109" s="72"/>
      <c r="B109" s="73"/>
      <c r="C109" s="74"/>
      <c r="D109" s="73"/>
    </row>
    <row r="110" spans="1:4" x14ac:dyDescent="0.25">
      <c r="A110" s="75">
        <v>44071</v>
      </c>
      <c r="B110" s="74" t="s">
        <v>451</v>
      </c>
      <c r="C110" s="74"/>
      <c r="D110" s="74" t="s">
        <v>452</v>
      </c>
    </row>
    <row r="111" spans="1:4" ht="105" x14ac:dyDescent="0.25">
      <c r="A111" s="72"/>
      <c r="B111" s="76" t="s">
        <v>454</v>
      </c>
      <c r="C111" s="74"/>
      <c r="D111" s="76" t="s">
        <v>453</v>
      </c>
    </row>
    <row r="112" spans="1:4" x14ac:dyDescent="0.25">
      <c r="A112" s="75">
        <v>44070</v>
      </c>
      <c r="B112" s="74" t="s">
        <v>447</v>
      </c>
      <c r="C112" s="74"/>
      <c r="D112" s="74" t="s">
        <v>448</v>
      </c>
    </row>
    <row r="113" spans="1:4" ht="90" x14ac:dyDescent="0.25">
      <c r="A113" s="72"/>
      <c r="B113" s="76" t="s">
        <v>449</v>
      </c>
      <c r="C113" s="74"/>
      <c r="D113" s="76" t="s">
        <v>450</v>
      </c>
    </row>
    <row r="114" spans="1:4" x14ac:dyDescent="0.25">
      <c r="A114" s="75">
        <v>44068</v>
      </c>
      <c r="B114" s="74" t="s">
        <v>443</v>
      </c>
      <c r="C114" s="74"/>
      <c r="D114" s="74" t="s">
        <v>444</v>
      </c>
    </row>
    <row r="115" spans="1:4" ht="75" x14ac:dyDescent="0.25">
      <c r="A115" s="72"/>
      <c r="B115" s="76" t="s">
        <v>445</v>
      </c>
      <c r="C115" s="74"/>
      <c r="D115" s="76" t="s">
        <v>446</v>
      </c>
    </row>
    <row r="116" spans="1:4" x14ac:dyDescent="0.25">
      <c r="A116" s="72"/>
      <c r="B116" s="73"/>
      <c r="C116" s="74"/>
      <c r="D116" s="73"/>
    </row>
    <row r="117" spans="1:4" x14ac:dyDescent="0.25">
      <c r="A117" s="75">
        <v>44066</v>
      </c>
      <c r="B117" s="74" t="s">
        <v>440</v>
      </c>
      <c r="C117" s="74"/>
      <c r="D117" s="73"/>
    </row>
    <row r="118" spans="1:4" ht="60" x14ac:dyDescent="0.25">
      <c r="A118" s="72"/>
      <c r="B118" s="76" t="s">
        <v>441</v>
      </c>
      <c r="C118" s="74"/>
      <c r="D118" s="73"/>
    </row>
    <row r="119" spans="1:4" x14ac:dyDescent="0.25">
      <c r="A119" s="75">
        <v>44064</v>
      </c>
      <c r="B119" s="74" t="s">
        <v>437</v>
      </c>
      <c r="C119" s="74"/>
      <c r="D119" s="73"/>
    </row>
    <row r="120" spans="1:4" ht="90" x14ac:dyDescent="0.25">
      <c r="A120" s="72"/>
      <c r="B120" s="76" t="s">
        <v>438</v>
      </c>
      <c r="C120" s="74"/>
      <c r="D120" s="73"/>
    </row>
    <row r="121" spans="1:4" x14ac:dyDescent="0.25">
      <c r="A121" s="75">
        <v>44063</v>
      </c>
      <c r="B121" s="74" t="s">
        <v>435</v>
      </c>
      <c r="C121" s="74"/>
      <c r="D121" s="73"/>
    </row>
    <row r="122" spans="1:4" ht="75" x14ac:dyDescent="0.25">
      <c r="A122" s="72"/>
      <c r="B122" s="76" t="s">
        <v>436</v>
      </c>
      <c r="C122" s="74"/>
      <c r="D122" s="73"/>
    </row>
    <row r="123" spans="1:4" x14ac:dyDescent="0.25">
      <c r="A123" s="75">
        <v>44061</v>
      </c>
      <c r="B123" s="74" t="s">
        <v>431</v>
      </c>
      <c r="C123" s="74"/>
      <c r="D123" s="73"/>
    </row>
    <row r="124" spans="1:4" ht="120" x14ac:dyDescent="0.25">
      <c r="A124" s="72"/>
      <c r="B124" s="76" t="s">
        <v>432</v>
      </c>
      <c r="C124" s="74"/>
      <c r="D124" s="73"/>
    </row>
    <row r="125" spans="1:4" x14ac:dyDescent="0.25">
      <c r="A125" s="72"/>
      <c r="B125" s="76"/>
      <c r="C125" s="74"/>
      <c r="D125" s="73"/>
    </row>
    <row r="126" spans="1:4" x14ac:dyDescent="0.25">
      <c r="A126" s="75">
        <v>44059</v>
      </c>
      <c r="B126" s="74" t="s">
        <v>370</v>
      </c>
      <c r="C126" s="74"/>
      <c r="D126" s="73"/>
    </row>
    <row r="127" spans="1:4" ht="45" x14ac:dyDescent="0.25">
      <c r="A127" s="72"/>
      <c r="B127" s="76" t="s">
        <v>418</v>
      </c>
      <c r="C127" s="74"/>
      <c r="D127" s="73"/>
    </row>
    <row r="128" spans="1:4" x14ac:dyDescent="0.25">
      <c r="A128" s="75">
        <v>44057</v>
      </c>
      <c r="B128" s="74" t="s">
        <v>421</v>
      </c>
      <c r="C128" s="74"/>
      <c r="D128" s="73"/>
    </row>
    <row r="129" spans="1:4" ht="60" x14ac:dyDescent="0.25">
      <c r="A129" s="72"/>
      <c r="B129" s="76" t="s">
        <v>416</v>
      </c>
      <c r="C129" s="74"/>
      <c r="D129" s="73"/>
    </row>
    <row r="130" spans="1:4" x14ac:dyDescent="0.25">
      <c r="A130" s="75">
        <v>44056</v>
      </c>
      <c r="B130" s="74" t="s">
        <v>414</v>
      </c>
      <c r="C130" s="74"/>
      <c r="D130" s="73"/>
    </row>
    <row r="131" spans="1:4" x14ac:dyDescent="0.25">
      <c r="A131" s="72"/>
      <c r="B131" s="73" t="s">
        <v>415</v>
      </c>
      <c r="C131" s="74"/>
      <c r="D131" s="73"/>
    </row>
    <row r="132" spans="1:4" x14ac:dyDescent="0.25">
      <c r="A132" s="75">
        <v>44054</v>
      </c>
      <c r="B132" s="74" t="s">
        <v>412</v>
      </c>
      <c r="C132" s="74"/>
      <c r="D132" s="73"/>
    </row>
    <row r="133" spans="1:4" ht="75" x14ac:dyDescent="0.25">
      <c r="A133" s="72"/>
      <c r="B133" s="76" t="s">
        <v>413</v>
      </c>
      <c r="C133" s="74"/>
      <c r="D133" s="73"/>
    </row>
    <row r="134" spans="1:4" x14ac:dyDescent="0.25">
      <c r="A134" s="72"/>
      <c r="B134" s="73"/>
      <c r="C134" s="74"/>
      <c r="D134" s="73"/>
    </row>
    <row r="135" spans="1:4" x14ac:dyDescent="0.25">
      <c r="A135" s="75">
        <v>44052</v>
      </c>
      <c r="B135" s="74" t="s">
        <v>344</v>
      </c>
      <c r="C135" s="74"/>
      <c r="D135" s="73"/>
    </row>
    <row r="136" spans="1:4" ht="90" x14ac:dyDescent="0.25">
      <c r="A136" s="72"/>
      <c r="B136" s="76" t="s">
        <v>407</v>
      </c>
      <c r="C136" s="74"/>
      <c r="D136" s="73"/>
    </row>
    <row r="137" spans="1:4" x14ac:dyDescent="0.25">
      <c r="A137" s="75">
        <v>44050</v>
      </c>
      <c r="B137" s="74" t="s">
        <v>394</v>
      </c>
      <c r="C137" s="74"/>
      <c r="D137" s="73"/>
    </row>
    <row r="138" spans="1:4" ht="90" x14ac:dyDescent="0.25">
      <c r="A138" s="72"/>
      <c r="B138" s="76" t="s">
        <v>397</v>
      </c>
      <c r="C138" s="74"/>
      <c r="D138" s="73"/>
    </row>
    <row r="139" spans="1:4" x14ac:dyDescent="0.25">
      <c r="A139" s="75">
        <v>44049</v>
      </c>
      <c r="B139" s="74" t="s">
        <v>399</v>
      </c>
      <c r="C139" s="74"/>
      <c r="D139" s="73"/>
    </row>
    <row r="140" spans="1:4" ht="75" x14ac:dyDescent="0.25">
      <c r="A140" s="72"/>
      <c r="B140" s="76" t="s">
        <v>398</v>
      </c>
      <c r="C140" s="74"/>
      <c r="D140" s="73"/>
    </row>
    <row r="141" spans="1:4" x14ac:dyDescent="0.25">
      <c r="A141" s="75">
        <v>44047</v>
      </c>
      <c r="B141" s="74" t="s">
        <v>394</v>
      </c>
      <c r="C141" s="74"/>
      <c r="D141" s="73"/>
    </row>
    <row r="142" spans="1:4" ht="90" x14ac:dyDescent="0.25">
      <c r="A142" s="72"/>
      <c r="B142" s="76" t="s">
        <v>395</v>
      </c>
      <c r="C142" s="74"/>
      <c r="D142" s="73"/>
    </row>
    <row r="143" spans="1:4" x14ac:dyDescent="0.25">
      <c r="A143" s="72"/>
      <c r="B143" s="73"/>
      <c r="C143" s="74"/>
      <c r="D143" s="73"/>
    </row>
    <row r="144" spans="1:4" x14ac:dyDescent="0.25">
      <c r="A144" s="75">
        <v>44045</v>
      </c>
      <c r="B144" s="74" t="s">
        <v>392</v>
      </c>
      <c r="C144" s="74"/>
      <c r="D144" s="73"/>
    </row>
    <row r="145" spans="1:4" ht="60" x14ac:dyDescent="0.25">
      <c r="A145" s="72"/>
      <c r="B145" s="76" t="s">
        <v>393</v>
      </c>
      <c r="C145" s="74"/>
      <c r="D145" s="73"/>
    </row>
    <row r="146" spans="1:4" x14ac:dyDescent="0.25">
      <c r="A146" s="75">
        <v>44042</v>
      </c>
      <c r="B146" s="74" t="s">
        <v>388</v>
      </c>
      <c r="C146" s="74"/>
      <c r="D146" s="73"/>
    </row>
    <row r="147" spans="1:4" ht="45" x14ac:dyDescent="0.25">
      <c r="A147" s="72"/>
      <c r="B147" s="76" t="s">
        <v>387</v>
      </c>
      <c r="C147" s="74"/>
      <c r="D147" s="73"/>
    </row>
    <row r="148" spans="1:4" x14ac:dyDescent="0.25">
      <c r="A148" s="72"/>
      <c r="B148" s="73"/>
      <c r="C148" s="74"/>
      <c r="D148" s="73"/>
    </row>
    <row r="149" spans="1:4" x14ac:dyDescent="0.25">
      <c r="A149" s="75">
        <v>44038</v>
      </c>
      <c r="B149" s="74" t="s">
        <v>383</v>
      </c>
      <c r="C149" s="74"/>
      <c r="D149" s="73"/>
    </row>
    <row r="150" spans="1:4" ht="60" x14ac:dyDescent="0.25">
      <c r="A150" s="72"/>
      <c r="B150" s="76" t="s">
        <v>384</v>
      </c>
      <c r="C150" s="74"/>
      <c r="D150" s="73"/>
    </row>
    <row r="151" spans="1:4" x14ac:dyDescent="0.25">
      <c r="A151" s="75">
        <v>44035</v>
      </c>
      <c r="B151" s="74" t="s">
        <v>372</v>
      </c>
      <c r="C151" s="74"/>
      <c r="D151" s="73"/>
    </row>
    <row r="152" spans="1:4" ht="45" x14ac:dyDescent="0.25">
      <c r="A152" s="72"/>
      <c r="B152" s="76" t="s">
        <v>371</v>
      </c>
      <c r="C152" s="74"/>
      <c r="D152" s="73"/>
    </row>
    <row r="153" spans="1:4" x14ac:dyDescent="0.25">
      <c r="A153" s="72"/>
      <c r="B153" s="73"/>
      <c r="C153" s="74"/>
      <c r="D153" s="73"/>
    </row>
    <row r="154" spans="1:4" x14ac:dyDescent="0.25">
      <c r="A154" s="75">
        <v>44031</v>
      </c>
      <c r="B154" s="74" t="s">
        <v>368</v>
      </c>
      <c r="C154" s="74"/>
      <c r="D154" s="74" t="s">
        <v>370</v>
      </c>
    </row>
    <row r="155" spans="1:4" ht="30" x14ac:dyDescent="0.25">
      <c r="A155" s="72"/>
      <c r="B155" s="76" t="s">
        <v>369</v>
      </c>
      <c r="C155" s="74"/>
      <c r="D155" s="73" t="s">
        <v>345</v>
      </c>
    </row>
    <row r="156" spans="1:4" x14ac:dyDescent="0.25">
      <c r="A156" s="75">
        <v>44028</v>
      </c>
      <c r="B156" s="74" t="s">
        <v>350</v>
      </c>
      <c r="C156" s="74"/>
      <c r="D156" s="73"/>
    </row>
    <row r="157" spans="1:4" x14ac:dyDescent="0.25">
      <c r="A157" s="72"/>
      <c r="B157" s="73" t="s">
        <v>351</v>
      </c>
      <c r="C157" s="74"/>
      <c r="D157" s="73"/>
    </row>
    <row r="158" spans="1:4" x14ac:dyDescent="0.25">
      <c r="A158" s="75">
        <v>44026</v>
      </c>
      <c r="B158" s="74" t="s">
        <v>348</v>
      </c>
      <c r="C158" s="74"/>
      <c r="D158" s="73"/>
    </row>
    <row r="159" spans="1:4" x14ac:dyDescent="0.25">
      <c r="A159" s="72"/>
      <c r="B159" s="73" t="s">
        <v>7</v>
      </c>
      <c r="C159" s="74"/>
      <c r="D159" s="73"/>
    </row>
    <row r="160" spans="1:4" x14ac:dyDescent="0.25">
      <c r="A160" s="72"/>
      <c r="B160" s="73"/>
      <c r="C160" s="74"/>
      <c r="D160" s="73"/>
    </row>
    <row r="161" spans="1:4" x14ac:dyDescent="0.25">
      <c r="A161" s="75">
        <v>44024</v>
      </c>
      <c r="B161" s="74" t="s">
        <v>344</v>
      </c>
      <c r="C161" s="74"/>
      <c r="D161" s="74" t="s">
        <v>347</v>
      </c>
    </row>
    <row r="162" spans="1:4" ht="30" x14ac:dyDescent="0.25">
      <c r="A162" s="72"/>
      <c r="B162" s="76" t="s">
        <v>352</v>
      </c>
      <c r="C162" s="74"/>
      <c r="D162" s="73" t="s">
        <v>345</v>
      </c>
    </row>
    <row r="163" spans="1:4" x14ac:dyDescent="0.25">
      <c r="A163" s="75">
        <v>44022</v>
      </c>
      <c r="B163" s="76"/>
      <c r="C163" s="74"/>
      <c r="D163" s="74" t="s">
        <v>348</v>
      </c>
    </row>
    <row r="164" spans="1:4" x14ac:dyDescent="0.25">
      <c r="A164" s="72"/>
      <c r="B164" s="76"/>
      <c r="C164" s="74"/>
      <c r="D164" s="73" t="s">
        <v>349</v>
      </c>
    </row>
    <row r="165" spans="1:4" x14ac:dyDescent="0.25">
      <c r="A165" s="75">
        <v>44021</v>
      </c>
      <c r="B165" s="74" t="s">
        <v>241</v>
      </c>
      <c r="C165" s="74"/>
      <c r="D165" s="74" t="s">
        <v>295</v>
      </c>
    </row>
    <row r="166" spans="1:4" x14ac:dyDescent="0.25">
      <c r="A166" s="72"/>
      <c r="B166" s="73" t="s">
        <v>343</v>
      </c>
      <c r="C166" s="74"/>
      <c r="D166" s="73" t="s">
        <v>342</v>
      </c>
    </row>
    <row r="167" spans="1:4" x14ac:dyDescent="0.25">
      <c r="A167" s="75">
        <v>44019</v>
      </c>
      <c r="B167" s="74" t="s">
        <v>241</v>
      </c>
      <c r="C167" s="74"/>
      <c r="D167" s="74" t="s">
        <v>295</v>
      </c>
    </row>
    <row r="168" spans="1:4" x14ac:dyDescent="0.25">
      <c r="A168" s="72"/>
      <c r="B168" s="73" t="s">
        <v>299</v>
      </c>
      <c r="C168" s="74"/>
      <c r="D168" s="73" t="s">
        <v>312</v>
      </c>
    </row>
    <row r="169" spans="1:4" x14ac:dyDescent="0.25">
      <c r="A169" s="72"/>
      <c r="B169" s="73"/>
      <c r="C169" s="74"/>
      <c r="D169" s="73"/>
    </row>
    <row r="170" spans="1:4" x14ac:dyDescent="0.25">
      <c r="A170" s="75">
        <v>44015</v>
      </c>
      <c r="B170" s="74" t="s">
        <v>245</v>
      </c>
      <c r="C170" s="74"/>
      <c r="D170" s="73"/>
    </row>
    <row r="171" spans="1:4" ht="75.75" customHeight="1" x14ac:dyDescent="0.25">
      <c r="A171" s="72"/>
      <c r="B171" s="76" t="s">
        <v>311</v>
      </c>
      <c r="C171" s="74"/>
      <c r="D171" s="73"/>
    </row>
    <row r="172" spans="1:4" x14ac:dyDescent="0.25">
      <c r="A172" s="75">
        <v>44014</v>
      </c>
      <c r="B172" s="74" t="s">
        <v>263</v>
      </c>
      <c r="C172" s="74"/>
      <c r="D172" s="74" t="s">
        <v>306</v>
      </c>
    </row>
    <row r="173" spans="1:4" ht="75" x14ac:dyDescent="0.25">
      <c r="A173" s="72"/>
      <c r="B173" s="76" t="s">
        <v>308</v>
      </c>
      <c r="C173" s="74"/>
      <c r="D173" s="76" t="s">
        <v>307</v>
      </c>
    </row>
    <row r="174" spans="1:4" x14ac:dyDescent="0.25">
      <c r="A174" s="75">
        <v>44012</v>
      </c>
      <c r="B174" s="74" t="s">
        <v>263</v>
      </c>
      <c r="C174" s="74"/>
      <c r="D174" s="74" t="s">
        <v>245</v>
      </c>
    </row>
    <row r="175" spans="1:4" ht="45" x14ac:dyDescent="0.25">
      <c r="A175" s="72"/>
      <c r="B175" s="76" t="s">
        <v>300</v>
      </c>
      <c r="C175" s="74"/>
      <c r="D175" s="73" t="s">
        <v>299</v>
      </c>
    </row>
    <row r="176" spans="1:4" x14ac:dyDescent="0.25">
      <c r="A176" s="72"/>
      <c r="B176" s="73"/>
      <c r="C176" s="74"/>
      <c r="D176" s="73"/>
    </row>
    <row r="177" spans="1:4" x14ac:dyDescent="0.25">
      <c r="A177" s="75">
        <v>44008</v>
      </c>
      <c r="B177" s="74" t="s">
        <v>215</v>
      </c>
      <c r="C177" s="74"/>
      <c r="D177" s="73"/>
    </row>
    <row r="178" spans="1:4" ht="105" x14ac:dyDescent="0.25">
      <c r="A178" s="72"/>
      <c r="B178" s="76" t="s">
        <v>296</v>
      </c>
      <c r="C178" s="74"/>
      <c r="D178" s="73"/>
    </row>
    <row r="179" spans="1:4" x14ac:dyDescent="0.25">
      <c r="A179" s="75">
        <v>44007</v>
      </c>
      <c r="B179" s="74" t="s">
        <v>294</v>
      </c>
      <c r="C179" s="74"/>
      <c r="D179" s="74" t="s">
        <v>295</v>
      </c>
    </row>
    <row r="180" spans="1:4" ht="60" x14ac:dyDescent="0.25">
      <c r="A180" s="72"/>
      <c r="B180" s="76" t="s">
        <v>291</v>
      </c>
      <c r="C180" s="74"/>
      <c r="D180" s="76" t="s">
        <v>265</v>
      </c>
    </row>
    <row r="181" spans="1:4" x14ac:dyDescent="0.25">
      <c r="A181" s="75">
        <v>44006</v>
      </c>
      <c r="B181" s="74" t="s">
        <v>289</v>
      </c>
      <c r="C181" s="74"/>
      <c r="D181" s="74" t="s">
        <v>290</v>
      </c>
    </row>
    <row r="182" spans="1:4" x14ac:dyDescent="0.25">
      <c r="A182" s="72"/>
      <c r="B182" s="73" t="s">
        <v>288</v>
      </c>
      <c r="C182" s="74"/>
      <c r="D182" s="73" t="s">
        <v>288</v>
      </c>
    </row>
    <row r="183" spans="1:4" x14ac:dyDescent="0.25">
      <c r="A183" s="75">
        <v>44005</v>
      </c>
      <c r="B183" s="74" t="s">
        <v>263</v>
      </c>
      <c r="C183" s="74"/>
      <c r="D183" s="74" t="s">
        <v>245</v>
      </c>
    </row>
    <row r="184" spans="1:4" ht="45" x14ac:dyDescent="0.25">
      <c r="A184" s="72"/>
      <c r="B184" s="73" t="s">
        <v>264</v>
      </c>
      <c r="C184" s="74"/>
      <c r="D184" s="76" t="s">
        <v>265</v>
      </c>
    </row>
    <row r="185" spans="1:4" x14ac:dyDescent="0.25">
      <c r="A185" s="72"/>
      <c r="B185" s="73"/>
      <c r="C185" s="74"/>
      <c r="D185" s="73"/>
    </row>
    <row r="186" spans="1:4" x14ac:dyDescent="0.25">
      <c r="A186" s="75">
        <v>44001</v>
      </c>
      <c r="B186" s="74" t="s">
        <v>245</v>
      </c>
      <c r="C186" s="74"/>
      <c r="D186" s="73"/>
    </row>
    <row r="187" spans="1:4" ht="135" x14ac:dyDescent="0.25">
      <c r="A187" s="72"/>
      <c r="B187" s="76" t="s">
        <v>261</v>
      </c>
      <c r="C187" s="74"/>
      <c r="D187" s="73"/>
    </row>
    <row r="188" spans="1:4" x14ac:dyDescent="0.25">
      <c r="A188" s="75">
        <v>44000</v>
      </c>
      <c r="B188" s="74" t="s">
        <v>241</v>
      </c>
      <c r="C188" s="74"/>
      <c r="D188" s="74" t="s">
        <v>258</v>
      </c>
    </row>
    <row r="189" spans="1:4" ht="105" x14ac:dyDescent="0.25">
      <c r="A189" s="72"/>
      <c r="B189" s="76" t="s">
        <v>260</v>
      </c>
      <c r="C189" s="74"/>
      <c r="D189" s="76" t="s">
        <v>259</v>
      </c>
    </row>
    <row r="190" spans="1:4" x14ac:dyDescent="0.25">
      <c r="A190" s="75">
        <v>43998</v>
      </c>
      <c r="B190" s="74" t="s">
        <v>212</v>
      </c>
      <c r="C190" s="74"/>
      <c r="D190" s="74" t="s">
        <v>255</v>
      </c>
    </row>
    <row r="191" spans="1:4" ht="120" x14ac:dyDescent="0.25">
      <c r="A191" s="72"/>
      <c r="B191" s="76" t="s">
        <v>256</v>
      </c>
      <c r="C191" s="74"/>
      <c r="D191" s="1" t="s">
        <v>257</v>
      </c>
    </row>
    <row r="192" spans="1:4" x14ac:dyDescent="0.25">
      <c r="A192" s="72"/>
      <c r="B192" s="73"/>
      <c r="C192" s="74"/>
      <c r="D192" s="73"/>
    </row>
    <row r="193" spans="1:4" x14ac:dyDescent="0.25">
      <c r="A193" s="75">
        <v>43994</v>
      </c>
      <c r="B193" s="74" t="s">
        <v>253</v>
      </c>
      <c r="C193" s="74"/>
      <c r="D193" s="73"/>
    </row>
    <row r="194" spans="1:4" ht="75" x14ac:dyDescent="0.25">
      <c r="A194" s="72"/>
      <c r="B194" s="76" t="s">
        <v>254</v>
      </c>
      <c r="C194" s="74"/>
      <c r="D194" s="73"/>
    </row>
    <row r="195" spans="1:4" x14ac:dyDescent="0.25">
      <c r="A195" s="75">
        <v>43993</v>
      </c>
      <c r="B195" s="74" t="s">
        <v>212</v>
      </c>
      <c r="C195" s="74"/>
      <c r="D195" s="74" t="s">
        <v>250</v>
      </c>
    </row>
    <row r="196" spans="1:4" ht="120" x14ac:dyDescent="0.25">
      <c r="A196" s="72"/>
      <c r="B196" s="69" t="s">
        <v>251</v>
      </c>
      <c r="C196" s="74"/>
      <c r="D196" s="76" t="s">
        <v>252</v>
      </c>
    </row>
    <row r="197" spans="1:4" x14ac:dyDescent="0.25">
      <c r="A197" s="75">
        <v>43991</v>
      </c>
      <c r="B197" s="74" t="s">
        <v>241</v>
      </c>
      <c r="C197" s="74"/>
      <c r="D197" s="74" t="s">
        <v>245</v>
      </c>
    </row>
    <row r="198" spans="1:4" ht="105" x14ac:dyDescent="0.25">
      <c r="A198" s="66"/>
      <c r="B198" s="67" t="s">
        <v>242</v>
      </c>
      <c r="C198" s="68"/>
      <c r="D198" s="69" t="s">
        <v>246</v>
      </c>
    </row>
    <row r="199" spans="1:4" x14ac:dyDescent="0.25">
      <c r="A199" s="66"/>
      <c r="B199" s="67"/>
      <c r="C199" s="68"/>
      <c r="D199" s="69"/>
    </row>
    <row r="200" spans="1:4" x14ac:dyDescent="0.25">
      <c r="A200" s="46">
        <v>43987</v>
      </c>
      <c r="B200" s="41" t="s">
        <v>212</v>
      </c>
    </row>
    <row r="201" spans="1:4" ht="195.75" customHeight="1" x14ac:dyDescent="0.25">
      <c r="B201" s="1" t="s">
        <v>214</v>
      </c>
    </row>
    <row r="202" spans="1:4" x14ac:dyDescent="0.25">
      <c r="A202" s="46">
        <v>43986</v>
      </c>
      <c r="B202" s="41" t="s">
        <v>215</v>
      </c>
    </row>
    <row r="203" spans="1:4" ht="165" customHeight="1" x14ac:dyDescent="0.25">
      <c r="B203" s="1" t="s">
        <v>213</v>
      </c>
    </row>
    <row r="204" spans="1:4" x14ac:dyDescent="0.25">
      <c r="A204" s="46">
        <v>43984</v>
      </c>
      <c r="B204" s="41" t="s">
        <v>222</v>
      </c>
    </row>
    <row r="205" spans="1:4" ht="120" x14ac:dyDescent="0.25">
      <c r="B205" s="1" t="s">
        <v>221</v>
      </c>
    </row>
    <row r="207" spans="1:4" x14ac:dyDescent="0.25">
      <c r="A207" s="46">
        <v>43980</v>
      </c>
      <c r="B207" s="41" t="s">
        <v>216</v>
      </c>
    </row>
    <row r="208" spans="1:4" ht="165" x14ac:dyDescent="0.25">
      <c r="B208" s="1" t="s">
        <v>220</v>
      </c>
    </row>
    <row r="209" spans="1:2" x14ac:dyDescent="0.25">
      <c r="A209" s="46">
        <v>43978</v>
      </c>
      <c r="B209" s="41" t="s">
        <v>219</v>
      </c>
    </row>
    <row r="210" spans="1:2" ht="120" x14ac:dyDescent="0.25">
      <c r="B210" s="1" t="s">
        <v>218</v>
      </c>
    </row>
    <row r="211" spans="1:2" x14ac:dyDescent="0.25">
      <c r="A211" s="46">
        <v>43977</v>
      </c>
      <c r="B211" s="41" t="s">
        <v>216</v>
      </c>
    </row>
    <row r="212" spans="1:2" ht="90" x14ac:dyDescent="0.25">
      <c r="B212" s="1" t="s">
        <v>217</v>
      </c>
    </row>
    <row r="214" spans="1:2" x14ac:dyDescent="0.25">
      <c r="A214" s="46">
        <v>43975</v>
      </c>
      <c r="B214" s="41" t="s">
        <v>197</v>
      </c>
    </row>
    <row r="215" spans="1:2" ht="60" x14ac:dyDescent="0.25">
      <c r="B215"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8"/>
  <sheetViews>
    <sheetView workbookViewId="0">
      <selection activeCell="A7" sqref="A7"/>
    </sheetView>
  </sheetViews>
  <sheetFormatPr baseColWidth="10" defaultRowHeight="15" x14ac:dyDescent="0.25"/>
  <cols>
    <col min="1" max="1" width="72.85546875" customWidth="1"/>
    <col min="2" max="2" width="73.28515625" customWidth="1"/>
    <col min="3" max="3" width="73" customWidth="1"/>
  </cols>
  <sheetData>
    <row r="1" spans="1:3" ht="27" thickBot="1" x14ac:dyDescent="0.45">
      <c r="A1" s="139" t="s">
        <v>492</v>
      </c>
      <c r="B1" s="139" t="s">
        <v>493</v>
      </c>
      <c r="C1" s="139" t="s">
        <v>494</v>
      </c>
    </row>
    <row r="2" spans="1:3" hidden="1" x14ac:dyDescent="0.25">
      <c r="A2" t="s">
        <v>495</v>
      </c>
      <c r="B2" t="s">
        <v>496</v>
      </c>
      <c r="C2" t="s">
        <v>499</v>
      </c>
    </row>
    <row r="3" spans="1:3" ht="285" x14ac:dyDescent="0.25">
      <c r="A3" s="76" t="s">
        <v>505</v>
      </c>
      <c r="B3" s="76" t="s">
        <v>497</v>
      </c>
      <c r="C3" s="76" t="s">
        <v>498</v>
      </c>
    </row>
    <row r="4" spans="1:3" x14ac:dyDescent="0.25">
      <c r="A4" s="1"/>
    </row>
    <row r="5" spans="1:3" x14ac:dyDescent="0.25">
      <c r="A5" s="1"/>
    </row>
    <row r="7" spans="1:3" x14ac:dyDescent="0.25">
      <c r="A7" t="s">
        <v>420</v>
      </c>
    </row>
    <row r="8" spans="1:3" x14ac:dyDescent="0.25">
      <c r="A8" t="s">
        <v>632</v>
      </c>
    </row>
  </sheetData>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237" t="s">
        <v>338</v>
      </c>
      <c r="B1" s="237"/>
    </row>
    <row r="2" spans="1:2" x14ac:dyDescent="0.25">
      <c r="A2" t="s">
        <v>337</v>
      </c>
    </row>
    <row r="3" spans="1:2" x14ac:dyDescent="0.25">
      <c r="A3" t="s">
        <v>341</v>
      </c>
    </row>
    <row r="4" spans="1:2" x14ac:dyDescent="0.25">
      <c r="A4" t="s">
        <v>335</v>
      </c>
    </row>
    <row r="5" spans="1:2" x14ac:dyDescent="0.25">
      <c r="A5" t="s">
        <v>336</v>
      </c>
    </row>
    <row r="7" spans="1:2" s="78" customFormat="1" ht="21" x14ac:dyDescent="0.35">
      <c r="A7" s="237" t="s">
        <v>339</v>
      </c>
      <c r="B7" s="237"/>
    </row>
    <row r="8" spans="1:2" ht="15.75" x14ac:dyDescent="0.25">
      <c r="A8" s="235" t="s">
        <v>330</v>
      </c>
      <c r="B8" s="235"/>
    </row>
    <row r="9" spans="1:2" x14ac:dyDescent="0.25">
      <c r="A9" t="s">
        <v>331</v>
      </c>
    </row>
    <row r="11" spans="1:2" ht="15.75" x14ac:dyDescent="0.25">
      <c r="A11" s="236" t="s">
        <v>327</v>
      </c>
      <c r="B11" s="236"/>
    </row>
    <row r="12" spans="1:2" ht="30" x14ac:dyDescent="0.25">
      <c r="A12" s="73" t="s">
        <v>314</v>
      </c>
      <c r="B12" s="76" t="s">
        <v>328</v>
      </c>
    </row>
    <row r="13" spans="1:2" ht="30" x14ac:dyDescent="0.25">
      <c r="A13" s="73" t="s">
        <v>315</v>
      </c>
      <c r="B13" s="76" t="s">
        <v>316</v>
      </c>
    </row>
    <row r="14" spans="1:2" ht="30" x14ac:dyDescent="0.25">
      <c r="A14" s="76" t="s">
        <v>334</v>
      </c>
      <c r="B14" s="73" t="s">
        <v>317</v>
      </c>
    </row>
    <row r="15" spans="1:2" x14ac:dyDescent="0.25">
      <c r="A15" s="73" t="s">
        <v>318</v>
      </c>
      <c r="B15" s="73" t="s">
        <v>319</v>
      </c>
    </row>
    <row r="16" spans="1:2" x14ac:dyDescent="0.25">
      <c r="A16" s="73"/>
      <c r="B16" s="73"/>
    </row>
    <row r="17" spans="1:2" x14ac:dyDescent="0.25">
      <c r="A17" s="73" t="s">
        <v>320</v>
      </c>
      <c r="B17" s="73" t="s">
        <v>321</v>
      </c>
    </row>
    <row r="18" spans="1:2" ht="30" x14ac:dyDescent="0.25">
      <c r="A18" s="76" t="s">
        <v>322</v>
      </c>
      <c r="B18" s="76" t="s">
        <v>323</v>
      </c>
    </row>
    <row r="19" spans="1:2" ht="30" x14ac:dyDescent="0.25">
      <c r="A19" s="76" t="s">
        <v>324</v>
      </c>
      <c r="B19" s="73" t="s">
        <v>325</v>
      </c>
    </row>
    <row r="20" spans="1:2" x14ac:dyDescent="0.25">
      <c r="A20" s="73"/>
      <c r="B20" s="73"/>
    </row>
    <row r="21" spans="1:2" ht="45" x14ac:dyDescent="0.25">
      <c r="A21" s="73" t="s">
        <v>326</v>
      </c>
      <c r="B21" s="76" t="s">
        <v>329</v>
      </c>
    </row>
    <row r="23" spans="1:2" ht="36" customHeight="1" x14ac:dyDescent="0.25">
      <c r="A23" s="234" t="s">
        <v>340</v>
      </c>
      <c r="B23" s="234"/>
    </row>
    <row r="25" spans="1:2" ht="15.75" x14ac:dyDescent="0.25">
      <c r="A25" s="235" t="s">
        <v>332</v>
      </c>
      <c r="B25" s="235"/>
    </row>
    <row r="26" spans="1:2" x14ac:dyDescent="0.25">
      <c r="A26" t="s">
        <v>333</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238" t="s">
        <v>297</v>
      </c>
      <c r="C5" s="241"/>
      <c r="D5" s="241"/>
      <c r="E5" s="241"/>
      <c r="F5" s="241"/>
      <c r="G5" s="241"/>
      <c r="H5" s="241"/>
      <c r="I5" s="241"/>
      <c r="J5" s="241"/>
      <c r="K5" s="241"/>
      <c r="L5" s="241"/>
      <c r="M5" s="241"/>
      <c r="N5" s="241"/>
      <c r="O5" s="241"/>
      <c r="P5" s="241"/>
      <c r="Q5" s="241"/>
      <c r="R5" s="241"/>
      <c r="S5" s="241"/>
      <c r="T5" s="241"/>
      <c r="U5" s="241"/>
      <c r="V5" s="241"/>
      <c r="W5" s="241"/>
      <c r="X5" s="241"/>
      <c r="Y5" s="241"/>
      <c r="Z5" s="241"/>
      <c r="AA5" s="241"/>
      <c r="AB5" s="241"/>
      <c r="AC5" s="241"/>
      <c r="AD5" s="241"/>
      <c r="AE5" s="241"/>
      <c r="AF5" s="241"/>
      <c r="AG5" s="241"/>
      <c r="AH5" s="241"/>
      <c r="AI5" s="241"/>
      <c r="AJ5" s="241"/>
      <c r="AK5" s="241"/>
      <c r="AL5" s="241"/>
      <c r="AM5" s="241"/>
      <c r="AN5" s="241"/>
      <c r="AO5" s="241"/>
      <c r="AP5" s="241"/>
      <c r="AQ5" s="241"/>
      <c r="AR5" s="241"/>
      <c r="AS5" s="241"/>
      <c r="AT5" s="241"/>
      <c r="AU5" s="241"/>
      <c r="AV5" s="241"/>
      <c r="AW5" s="241"/>
      <c r="AX5" s="241"/>
      <c r="AY5" s="241"/>
      <c r="AZ5" s="241"/>
      <c r="BA5" s="241"/>
      <c r="BB5" s="241"/>
      <c r="BC5" s="241"/>
      <c r="BD5" s="241"/>
      <c r="BE5" s="241"/>
      <c r="BF5" s="241"/>
      <c r="BG5" s="241"/>
      <c r="BH5" s="241"/>
      <c r="BI5" s="241"/>
      <c r="BJ5" s="241"/>
      <c r="BK5" s="241"/>
      <c r="BL5" s="241"/>
      <c r="BM5" s="241"/>
      <c r="BN5" s="241"/>
      <c r="BO5" s="241"/>
      <c r="BP5" s="241"/>
      <c r="BQ5" s="241"/>
      <c r="BR5" s="241"/>
    </row>
    <row r="6" spans="1:70" x14ac:dyDescent="0.25">
      <c r="C6" s="2" t="s">
        <v>3</v>
      </c>
    </row>
    <row r="7" spans="1:70" ht="45" customHeight="1" x14ac:dyDescent="0.25">
      <c r="C7" s="238" t="s">
        <v>281</v>
      </c>
      <c r="D7" s="241"/>
      <c r="E7" s="241"/>
      <c r="F7" s="241"/>
      <c r="G7" s="241"/>
      <c r="H7" s="241"/>
      <c r="I7" s="241"/>
      <c r="J7" s="241"/>
      <c r="K7" s="241"/>
      <c r="L7" s="241"/>
      <c r="M7" s="241"/>
      <c r="N7" s="241"/>
      <c r="O7" s="241"/>
      <c r="P7" s="241"/>
      <c r="Q7" s="241"/>
      <c r="R7" s="241"/>
      <c r="S7" s="241"/>
      <c r="T7" s="241"/>
      <c r="U7" s="241"/>
      <c r="V7" s="241"/>
      <c r="W7" s="241"/>
      <c r="X7" s="241"/>
      <c r="Y7" s="241"/>
      <c r="Z7" s="241"/>
      <c r="AA7" s="241"/>
      <c r="AB7" s="241"/>
      <c r="AC7" s="241"/>
      <c r="AD7" s="241"/>
      <c r="AE7" s="241"/>
      <c r="AF7" s="241"/>
      <c r="AG7" s="241"/>
      <c r="AH7" s="241"/>
      <c r="AI7" s="241"/>
      <c r="AJ7" s="241"/>
      <c r="AK7" s="241"/>
      <c r="AL7" s="241"/>
      <c r="AM7" s="241"/>
      <c r="AN7" s="241"/>
      <c r="AO7" s="241"/>
      <c r="AP7" s="241"/>
      <c r="AQ7" s="241"/>
      <c r="AR7" s="241"/>
      <c r="AS7" s="241"/>
      <c r="AT7" s="241"/>
      <c r="AU7" s="241"/>
      <c r="AV7" s="241"/>
      <c r="AW7" s="241"/>
      <c r="AX7" s="241"/>
      <c r="AY7" s="241"/>
      <c r="AZ7" s="241"/>
      <c r="BA7" s="241"/>
      <c r="BB7" s="241"/>
      <c r="BC7" s="241"/>
      <c r="BD7" s="241"/>
      <c r="BE7" s="241"/>
      <c r="BF7" s="241"/>
      <c r="BG7" s="241"/>
      <c r="BH7" s="241"/>
      <c r="BI7" s="241"/>
      <c r="BJ7" s="241"/>
      <c r="BK7" s="241"/>
      <c r="BL7" s="241"/>
      <c r="BM7" s="241"/>
      <c r="BN7" s="241"/>
      <c r="BO7" s="241"/>
      <c r="BP7" s="241"/>
      <c r="BQ7" s="241"/>
      <c r="BR7" s="241"/>
    </row>
    <row r="8" spans="1:70" x14ac:dyDescent="0.25">
      <c r="C8" s="2" t="s">
        <v>4</v>
      </c>
    </row>
    <row r="9" spans="1:70" ht="75" customHeight="1" x14ac:dyDescent="0.25">
      <c r="C9" s="238" t="s">
        <v>274</v>
      </c>
      <c r="D9" s="241"/>
      <c r="E9" s="241"/>
      <c r="F9" s="241"/>
      <c r="G9" s="241"/>
      <c r="H9" s="241"/>
      <c r="I9" s="241"/>
      <c r="J9" s="241"/>
      <c r="K9" s="241"/>
      <c r="L9" s="241"/>
      <c r="M9" s="241"/>
      <c r="N9" s="241"/>
      <c r="O9" s="241"/>
      <c r="P9" s="241"/>
      <c r="Q9" s="241"/>
      <c r="R9" s="241"/>
      <c r="S9" s="241"/>
      <c r="T9" s="241"/>
      <c r="U9" s="241"/>
      <c r="V9" s="241"/>
      <c r="W9" s="241"/>
      <c r="X9" s="241"/>
      <c r="Y9" s="241"/>
      <c r="Z9" s="241"/>
      <c r="AA9" s="241"/>
      <c r="AB9" s="241"/>
      <c r="AC9" s="241"/>
      <c r="AD9" s="241"/>
      <c r="AE9" s="241"/>
      <c r="AF9" s="241"/>
      <c r="AG9" s="241"/>
      <c r="AH9" s="241"/>
      <c r="AI9" s="241"/>
      <c r="AJ9" s="241"/>
      <c r="AK9" s="241"/>
      <c r="AL9" s="241"/>
      <c r="AM9" s="241"/>
      <c r="AN9" s="241"/>
      <c r="AO9" s="241"/>
      <c r="AP9" s="241"/>
      <c r="AQ9" s="241"/>
      <c r="AR9" s="241"/>
      <c r="AS9" s="241"/>
      <c r="AT9" s="241"/>
      <c r="AU9" s="241"/>
      <c r="AV9" s="241"/>
      <c r="AW9" s="241"/>
      <c r="AX9" s="241"/>
      <c r="AY9" s="241"/>
      <c r="AZ9" s="241"/>
      <c r="BA9" s="241"/>
      <c r="BB9" s="241"/>
      <c r="BC9" s="241"/>
      <c r="BD9" s="241"/>
      <c r="BE9" s="241"/>
      <c r="BF9" s="241"/>
      <c r="BG9" s="241"/>
      <c r="BH9" s="241"/>
      <c r="BI9" s="241"/>
      <c r="BJ9" s="241"/>
      <c r="BK9" s="241"/>
      <c r="BL9" s="241"/>
      <c r="BM9" s="241"/>
      <c r="BN9" s="241"/>
      <c r="BO9" s="241"/>
      <c r="BP9" s="241"/>
      <c r="BQ9" s="241"/>
      <c r="BR9" s="241"/>
    </row>
    <row r="10" spans="1:70" x14ac:dyDescent="0.25">
      <c r="C10" s="2" t="s">
        <v>5</v>
      </c>
    </row>
    <row r="11" spans="1:70" ht="75" customHeight="1" x14ac:dyDescent="0.25">
      <c r="C11" s="238" t="s">
        <v>298</v>
      </c>
      <c r="D11" s="241"/>
      <c r="E11" s="241"/>
      <c r="F11" s="241"/>
      <c r="G11" s="241"/>
      <c r="H11" s="241"/>
      <c r="I11" s="241"/>
      <c r="J11" s="241"/>
      <c r="K11" s="241"/>
      <c r="L11" s="241"/>
      <c r="M11" s="241"/>
      <c r="N11" s="241"/>
      <c r="O11" s="241"/>
      <c r="P11" s="241"/>
      <c r="Q11" s="241"/>
      <c r="R11" s="241"/>
      <c r="S11" s="241"/>
      <c r="T11" s="241"/>
      <c r="U11" s="241"/>
      <c r="V11" s="241"/>
      <c r="W11" s="241"/>
      <c r="X11" s="241"/>
      <c r="Y11" s="241"/>
      <c r="Z11" s="241"/>
      <c r="AA11" s="241"/>
      <c r="AB11" s="241"/>
      <c r="AC11" s="241"/>
      <c r="AD11" s="241"/>
      <c r="AE11" s="241"/>
      <c r="AF11" s="241"/>
      <c r="AG11" s="241"/>
      <c r="AH11" s="241"/>
      <c r="AI11" s="241"/>
      <c r="AJ11" s="241"/>
      <c r="AK11" s="241"/>
      <c r="AL11" s="241"/>
      <c r="AM11" s="241"/>
      <c r="AN11" s="241"/>
      <c r="AO11" s="241"/>
      <c r="AP11" s="241"/>
      <c r="AQ11" s="241"/>
      <c r="AR11" s="241"/>
      <c r="AS11" s="241"/>
      <c r="AT11" s="241"/>
      <c r="AU11" s="241"/>
      <c r="AV11" s="241"/>
      <c r="AW11" s="241"/>
      <c r="AX11" s="241"/>
      <c r="AY11" s="241"/>
      <c r="AZ11" s="241"/>
      <c r="BA11" s="241"/>
      <c r="BB11" s="241"/>
      <c r="BC11" s="241"/>
      <c r="BD11" s="241"/>
      <c r="BE11" s="241"/>
      <c r="BF11" s="241"/>
      <c r="BG11" s="241"/>
      <c r="BH11" s="241"/>
      <c r="BI11" s="241"/>
      <c r="BJ11" s="241"/>
      <c r="BK11" s="241"/>
      <c r="BL11" s="241"/>
      <c r="BM11" s="241"/>
      <c r="BN11" s="241"/>
      <c r="BO11" s="241"/>
      <c r="BP11" s="241"/>
      <c r="BQ11" s="241"/>
      <c r="BR11" s="241"/>
    </row>
    <row r="12" spans="1:70" x14ac:dyDescent="0.25">
      <c r="C12" s="2" t="s">
        <v>6</v>
      </c>
    </row>
    <row r="13" spans="1:70" ht="90.75" customHeight="1" x14ac:dyDescent="0.25">
      <c r="C13" s="238" t="s">
        <v>285</v>
      </c>
      <c r="D13" s="241"/>
      <c r="E13" s="241"/>
      <c r="F13" s="241"/>
      <c r="G13" s="241"/>
      <c r="H13" s="241"/>
      <c r="I13" s="241"/>
      <c r="J13" s="241"/>
      <c r="K13" s="241"/>
      <c r="L13" s="241"/>
      <c r="M13" s="241"/>
      <c r="N13" s="241"/>
      <c r="O13" s="241"/>
      <c r="P13" s="241"/>
      <c r="Q13" s="241"/>
      <c r="R13" s="241"/>
      <c r="S13" s="241"/>
      <c r="T13" s="241"/>
      <c r="U13" s="241"/>
      <c r="V13" s="241"/>
      <c r="W13" s="241"/>
      <c r="X13" s="241"/>
      <c r="Y13" s="241"/>
      <c r="Z13" s="241"/>
      <c r="AA13" s="241"/>
      <c r="AB13" s="241"/>
      <c r="AC13" s="241"/>
      <c r="AD13" s="241"/>
      <c r="AE13" s="241"/>
      <c r="AF13" s="241"/>
      <c r="AG13" s="241"/>
      <c r="AH13" s="241"/>
      <c r="AI13" s="241"/>
      <c r="AJ13" s="241"/>
      <c r="AK13" s="241"/>
      <c r="AL13" s="241"/>
      <c r="AM13" s="241"/>
      <c r="AN13" s="241"/>
      <c r="AO13" s="241"/>
      <c r="AP13" s="241"/>
      <c r="AQ13" s="241"/>
      <c r="AR13" s="241"/>
      <c r="AS13" s="241"/>
      <c r="AT13" s="241"/>
      <c r="AU13" s="241"/>
      <c r="AV13" s="241"/>
      <c r="AW13" s="241"/>
      <c r="AX13" s="241"/>
      <c r="AY13" s="241"/>
      <c r="AZ13" s="241"/>
      <c r="BA13" s="241"/>
      <c r="BB13" s="241"/>
      <c r="BC13" s="241"/>
      <c r="BD13" s="241"/>
      <c r="BE13" s="241"/>
      <c r="BF13" s="241"/>
      <c r="BG13" s="241"/>
      <c r="BH13" s="241"/>
      <c r="BI13" s="241"/>
      <c r="BJ13" s="241"/>
      <c r="BK13" s="241"/>
      <c r="BL13" s="241"/>
      <c r="BM13" s="241"/>
      <c r="BN13" s="241"/>
      <c r="BO13" s="241"/>
      <c r="BP13" s="241"/>
      <c r="BQ13" s="241"/>
      <c r="BR13" s="241"/>
    </row>
    <row r="14" spans="1:70" x14ac:dyDescent="0.25">
      <c r="D14" s="2" t="s">
        <v>284</v>
      </c>
    </row>
    <row r="15" spans="1:70" ht="62.25" customHeight="1" x14ac:dyDescent="0.25">
      <c r="D15" s="238" t="s">
        <v>287</v>
      </c>
      <c r="E15" s="238"/>
      <c r="F15" s="238"/>
      <c r="G15" s="238"/>
      <c r="H15" s="238"/>
      <c r="I15" s="238"/>
      <c r="J15" s="238"/>
      <c r="K15" s="238"/>
      <c r="L15" s="238"/>
      <c r="M15" s="238"/>
      <c r="N15" s="238"/>
      <c r="O15" s="238"/>
      <c r="P15" s="238"/>
      <c r="Q15" s="238"/>
      <c r="R15" s="238"/>
      <c r="S15" s="238"/>
      <c r="T15" s="238"/>
      <c r="U15" s="238"/>
      <c r="V15" s="238"/>
      <c r="W15" s="238"/>
      <c r="X15" s="238"/>
      <c r="Y15" s="238"/>
      <c r="Z15" s="238"/>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238"/>
      <c r="AZ15" s="238"/>
      <c r="BA15" s="238"/>
      <c r="BB15" s="238"/>
      <c r="BC15" s="238"/>
      <c r="BD15" s="238"/>
      <c r="BE15" s="238"/>
      <c r="BF15" s="238"/>
      <c r="BG15" s="238"/>
      <c r="BH15" s="238"/>
      <c r="BI15" s="238"/>
      <c r="BJ15" s="238"/>
      <c r="BK15" s="238"/>
      <c r="BL15" s="238"/>
      <c r="BM15" s="238"/>
      <c r="BN15" s="238"/>
      <c r="BO15" s="238"/>
      <c r="BP15" s="238"/>
      <c r="BQ15" s="238"/>
      <c r="BR15" s="238"/>
    </row>
    <row r="16" spans="1:70" x14ac:dyDescent="0.25">
      <c r="D16" s="2" t="s">
        <v>195</v>
      </c>
    </row>
    <row r="17" spans="1:70" ht="47.25" customHeight="1" x14ac:dyDescent="0.25">
      <c r="D17" s="238" t="s">
        <v>267</v>
      </c>
      <c r="E17" s="238"/>
      <c r="F17" s="238"/>
      <c r="G17" s="238"/>
      <c r="H17" s="238"/>
      <c r="I17" s="238"/>
      <c r="J17" s="238"/>
      <c r="K17" s="238"/>
      <c r="L17" s="238"/>
      <c r="M17" s="238"/>
      <c r="N17" s="238"/>
      <c r="O17" s="238"/>
      <c r="P17" s="238"/>
      <c r="Q17" s="238"/>
      <c r="R17" s="238"/>
      <c r="S17" s="238"/>
      <c r="T17" s="238"/>
      <c r="U17" s="238"/>
      <c r="V17" s="238"/>
      <c r="W17" s="238"/>
      <c r="X17" s="238"/>
      <c r="Y17" s="238"/>
      <c r="Z17" s="238"/>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238"/>
      <c r="BA17" s="238"/>
      <c r="BB17" s="238"/>
      <c r="BC17" s="238"/>
      <c r="BD17" s="238"/>
      <c r="BE17" s="238"/>
      <c r="BF17" s="238"/>
      <c r="BG17" s="238"/>
      <c r="BH17" s="238"/>
      <c r="BI17" s="238"/>
      <c r="BJ17" s="238"/>
      <c r="BK17" s="238"/>
      <c r="BL17" s="238"/>
      <c r="BM17" s="238"/>
      <c r="BN17" s="238"/>
      <c r="BO17" s="238"/>
      <c r="BP17" s="238"/>
      <c r="BQ17" s="238"/>
      <c r="BR17" s="238"/>
    </row>
    <row r="18" spans="1:70" ht="15.75" customHeight="1" x14ac:dyDescent="0.25">
      <c r="D18" s="240" t="s">
        <v>266</v>
      </c>
      <c r="E18" s="240"/>
      <c r="F18" s="240"/>
      <c r="G18" s="240"/>
      <c r="H18" s="240"/>
      <c r="I18" s="240"/>
      <c r="J18" s="240"/>
      <c r="K18" s="240"/>
      <c r="L18" s="240"/>
      <c r="M18" s="240"/>
      <c r="N18" s="240"/>
      <c r="O18" s="240"/>
      <c r="P18" s="240"/>
      <c r="Q18" s="240"/>
      <c r="R18" s="240"/>
      <c r="S18" s="240"/>
      <c r="T18" s="240"/>
      <c r="U18" s="240"/>
      <c r="V18" s="240"/>
      <c r="W18" s="240"/>
      <c r="X18" s="240"/>
      <c r="Y18" s="240"/>
      <c r="Z18" s="240"/>
      <c r="AA18" s="240"/>
      <c r="AB18" s="240"/>
      <c r="AC18" s="240"/>
      <c r="AD18" s="240"/>
      <c r="AE18" s="240"/>
      <c r="AF18" s="240"/>
      <c r="AG18" s="240"/>
      <c r="AH18" s="240"/>
      <c r="AI18" s="240"/>
      <c r="AJ18" s="240"/>
      <c r="AK18" s="240"/>
      <c r="AL18" s="240"/>
      <c r="AM18" s="240"/>
      <c r="AN18" s="240"/>
      <c r="AO18" s="240"/>
      <c r="AP18" s="240"/>
      <c r="AQ18" s="240"/>
      <c r="AR18" s="240"/>
      <c r="AS18" s="240"/>
      <c r="AT18" s="240"/>
      <c r="AU18" s="240"/>
      <c r="AV18" s="240"/>
      <c r="AW18" s="240"/>
      <c r="AX18" s="240"/>
      <c r="AY18" s="240"/>
      <c r="AZ18" s="240"/>
      <c r="BA18" s="240"/>
      <c r="BB18" s="240"/>
      <c r="BC18" s="240"/>
      <c r="BD18" s="240"/>
      <c r="BE18" s="240"/>
      <c r="BF18" s="240"/>
      <c r="BG18" s="240"/>
      <c r="BH18" s="240"/>
      <c r="BI18" s="240"/>
      <c r="BJ18" s="240"/>
      <c r="BK18" s="240"/>
      <c r="BL18" s="240"/>
      <c r="BM18" s="240"/>
      <c r="BN18" s="240"/>
      <c r="BO18" s="240"/>
      <c r="BP18" s="240"/>
      <c r="BQ18" s="240"/>
      <c r="BR18" s="240"/>
    </row>
    <row r="19" spans="1:70" ht="45.75" customHeight="1" x14ac:dyDescent="0.25">
      <c r="D19" s="238" t="s">
        <v>275</v>
      </c>
      <c r="E19" s="238"/>
      <c r="F19" s="238"/>
      <c r="G19" s="238"/>
      <c r="H19" s="238"/>
      <c r="I19" s="238"/>
      <c r="J19" s="238"/>
      <c r="K19" s="238"/>
      <c r="L19" s="238"/>
      <c r="M19" s="238"/>
      <c r="N19" s="238"/>
      <c r="O19" s="238"/>
      <c r="P19" s="238"/>
      <c r="Q19" s="238"/>
      <c r="R19" s="238"/>
      <c r="S19" s="238"/>
      <c r="T19" s="238"/>
      <c r="U19" s="238"/>
      <c r="V19" s="238"/>
      <c r="W19" s="238"/>
      <c r="X19" s="238"/>
      <c r="Y19" s="238"/>
      <c r="Z19" s="238"/>
      <c r="AA19" s="238"/>
      <c r="AB19" s="238"/>
      <c r="AC19" s="238"/>
      <c r="AD19" s="238"/>
      <c r="AE19" s="238"/>
      <c r="AF19" s="238"/>
      <c r="AG19" s="238"/>
      <c r="AH19" s="238"/>
      <c r="AI19" s="238"/>
      <c r="AJ19" s="238"/>
      <c r="AK19" s="238"/>
      <c r="AL19" s="238"/>
      <c r="AM19" s="238"/>
      <c r="AN19" s="238"/>
      <c r="AO19" s="238"/>
      <c r="AP19" s="238"/>
      <c r="AQ19" s="238"/>
      <c r="AR19" s="238"/>
      <c r="AS19" s="238"/>
      <c r="AT19" s="238"/>
      <c r="AU19" s="238"/>
      <c r="AV19" s="238"/>
      <c r="AW19" s="238"/>
      <c r="AX19" s="238"/>
      <c r="AY19" s="238"/>
      <c r="AZ19" s="238"/>
      <c r="BA19" s="238"/>
      <c r="BB19" s="238"/>
      <c r="BC19" s="238"/>
      <c r="BD19" s="238"/>
      <c r="BE19" s="238"/>
      <c r="BF19" s="238"/>
      <c r="BG19" s="238"/>
      <c r="BH19" s="238"/>
      <c r="BI19" s="238"/>
      <c r="BJ19" s="238"/>
      <c r="BK19" s="238"/>
      <c r="BL19" s="238"/>
      <c r="BM19" s="238"/>
      <c r="BN19" s="238"/>
      <c r="BO19" s="238"/>
      <c r="BP19" s="238"/>
      <c r="BQ19" s="238"/>
      <c r="BR19" s="238"/>
    </row>
    <row r="20" spans="1:70" ht="15.75" customHeight="1" x14ac:dyDescent="0.25">
      <c r="D20" s="240" t="s">
        <v>283</v>
      </c>
      <c r="E20" s="240"/>
      <c r="F20" s="240"/>
      <c r="G20" s="240"/>
      <c r="H20" s="240"/>
      <c r="I20" s="240"/>
      <c r="J20" s="240"/>
      <c r="K20" s="240"/>
      <c r="L20" s="240"/>
      <c r="M20" s="240"/>
      <c r="N20" s="240"/>
      <c r="O20" s="240"/>
      <c r="P20" s="240"/>
      <c r="Q20" s="240"/>
      <c r="R20" s="240"/>
      <c r="S20" s="240"/>
      <c r="T20" s="240"/>
      <c r="U20" s="240"/>
      <c r="V20" s="240"/>
      <c r="W20" s="240"/>
      <c r="X20" s="240"/>
      <c r="Y20" s="240"/>
      <c r="Z20" s="240"/>
      <c r="AA20" s="240"/>
      <c r="AB20" s="240"/>
      <c r="AC20" s="240"/>
      <c r="AD20" s="240"/>
      <c r="AE20" s="240"/>
      <c r="AF20" s="240"/>
      <c r="AG20" s="240"/>
      <c r="AH20" s="240"/>
      <c r="AI20" s="240"/>
      <c r="AJ20" s="240"/>
      <c r="AK20" s="240"/>
      <c r="AL20" s="240"/>
      <c r="AM20" s="240"/>
      <c r="AN20" s="240"/>
      <c r="AO20" s="240"/>
      <c r="AP20" s="240"/>
      <c r="AQ20" s="240"/>
      <c r="AR20" s="240"/>
      <c r="AS20" s="240"/>
      <c r="AT20" s="240"/>
      <c r="AU20" s="240"/>
      <c r="AV20" s="240"/>
      <c r="AW20" s="240"/>
      <c r="AX20" s="240"/>
      <c r="AY20" s="240"/>
      <c r="AZ20" s="240"/>
      <c r="BA20" s="240"/>
      <c r="BB20" s="240"/>
      <c r="BC20" s="240"/>
      <c r="BD20" s="240"/>
      <c r="BE20" s="240"/>
      <c r="BF20" s="240"/>
      <c r="BG20" s="240"/>
      <c r="BH20" s="240"/>
      <c r="BI20" s="240"/>
      <c r="BJ20" s="240"/>
      <c r="BK20" s="240"/>
      <c r="BL20" s="240"/>
      <c r="BM20" s="240"/>
      <c r="BN20" s="240"/>
      <c r="BO20" s="240"/>
      <c r="BP20" s="240"/>
      <c r="BQ20" s="240"/>
      <c r="BR20" s="240"/>
    </row>
    <row r="21" spans="1:70" ht="44.25" customHeight="1" x14ac:dyDescent="0.25">
      <c r="D21" s="238" t="s">
        <v>276</v>
      </c>
      <c r="E21" s="238"/>
      <c r="F21" s="238"/>
      <c r="G21" s="238"/>
      <c r="H21" s="238"/>
      <c r="I21" s="238"/>
      <c r="J21" s="238"/>
      <c r="K21" s="238"/>
      <c r="L21" s="238"/>
      <c r="M21" s="238"/>
      <c r="N21" s="238"/>
      <c r="O21" s="238"/>
      <c r="P21" s="238"/>
      <c r="Q21" s="238"/>
      <c r="R21" s="238"/>
      <c r="S21" s="238"/>
      <c r="T21" s="238"/>
      <c r="U21" s="238"/>
      <c r="V21" s="238"/>
      <c r="W21" s="238"/>
      <c r="X21" s="238"/>
      <c r="Y21" s="238"/>
      <c r="Z21" s="238"/>
      <c r="AA21" s="238"/>
      <c r="AB21" s="238"/>
      <c r="AC21" s="238"/>
      <c r="AD21" s="238"/>
      <c r="AE21" s="238"/>
      <c r="AF21" s="238"/>
      <c r="AG21" s="238"/>
      <c r="AH21" s="238"/>
      <c r="AI21" s="238"/>
      <c r="AJ21" s="238"/>
      <c r="AK21" s="238"/>
      <c r="AL21" s="238"/>
      <c r="AM21" s="238"/>
      <c r="AN21" s="238"/>
      <c r="AO21" s="238"/>
      <c r="AP21" s="238"/>
      <c r="AQ21" s="238"/>
      <c r="AR21" s="238"/>
      <c r="AS21" s="238"/>
      <c r="AT21" s="238"/>
      <c r="AU21" s="238"/>
      <c r="AV21" s="238"/>
      <c r="AW21" s="238"/>
      <c r="AX21" s="238"/>
      <c r="AY21" s="238"/>
      <c r="AZ21" s="238"/>
      <c r="BA21" s="238"/>
      <c r="BB21" s="238"/>
      <c r="BC21" s="238"/>
      <c r="BD21" s="238"/>
      <c r="BE21" s="238"/>
      <c r="BF21" s="238"/>
      <c r="BG21" s="238"/>
      <c r="BH21" s="238"/>
      <c r="BI21" s="238"/>
      <c r="BJ21" s="238"/>
      <c r="BK21" s="238"/>
      <c r="BL21" s="238"/>
      <c r="BM21" s="238"/>
      <c r="BN21" s="238"/>
      <c r="BO21" s="238"/>
      <c r="BP21" s="238"/>
      <c r="BQ21" s="238"/>
      <c r="BR21" s="238"/>
    </row>
    <row r="22" spans="1:70" x14ac:dyDescent="0.25">
      <c r="B22" s="2" t="s">
        <v>191</v>
      </c>
      <c r="C22" s="2"/>
    </row>
    <row r="23" spans="1:70" ht="69.75" customHeight="1" x14ac:dyDescent="0.25">
      <c r="B23" s="238" t="s">
        <v>268</v>
      </c>
      <c r="C23" s="238"/>
      <c r="D23" s="238"/>
      <c r="E23" s="238"/>
      <c r="F23" s="238"/>
      <c r="G23" s="238"/>
      <c r="H23" s="238"/>
      <c r="I23" s="238"/>
      <c r="J23" s="238"/>
      <c r="K23" s="238"/>
      <c r="L23" s="238"/>
      <c r="M23" s="238"/>
      <c r="N23" s="238"/>
      <c r="O23" s="238"/>
      <c r="P23" s="238"/>
      <c r="Q23" s="238"/>
      <c r="R23" s="238"/>
      <c r="S23" s="238"/>
      <c r="T23" s="238"/>
      <c r="U23" s="238"/>
      <c r="V23" s="238"/>
      <c r="W23" s="238"/>
      <c r="X23" s="238"/>
      <c r="Y23" s="238"/>
      <c r="Z23" s="238"/>
      <c r="AA23" s="238"/>
      <c r="AB23" s="238"/>
      <c r="AC23" s="238"/>
      <c r="AD23" s="238"/>
      <c r="AE23" s="238"/>
      <c r="AF23" s="238"/>
      <c r="AG23" s="238"/>
      <c r="AH23" s="238"/>
      <c r="AI23" s="238"/>
      <c r="AJ23" s="238"/>
      <c r="AK23" s="238"/>
      <c r="AL23" s="238"/>
      <c r="AM23" s="238"/>
      <c r="AN23" s="238"/>
      <c r="AO23" s="238"/>
      <c r="AP23" s="238"/>
      <c r="AQ23" s="238"/>
      <c r="AR23" s="238"/>
      <c r="AS23" s="238"/>
      <c r="AT23" s="238"/>
      <c r="AU23" s="238"/>
      <c r="AV23" s="238"/>
      <c r="AW23" s="238"/>
      <c r="AX23" s="238"/>
      <c r="AY23" s="238"/>
      <c r="AZ23" s="238"/>
      <c r="BA23" s="238"/>
      <c r="BB23" s="238"/>
      <c r="BC23" s="238"/>
      <c r="BD23" s="238"/>
      <c r="BE23" s="238"/>
      <c r="BF23" s="238"/>
      <c r="BG23" s="238"/>
      <c r="BH23" s="238"/>
      <c r="BI23" s="238"/>
      <c r="BJ23" s="238"/>
      <c r="BK23" s="238"/>
      <c r="BL23" s="238"/>
      <c r="BM23" s="238"/>
      <c r="BN23" s="238"/>
      <c r="BO23" s="238"/>
      <c r="BP23" s="238"/>
      <c r="BQ23" s="238"/>
      <c r="BR23" s="238"/>
    </row>
    <row r="24" spans="1:70" x14ac:dyDescent="0.25">
      <c r="C24" s="2" t="s">
        <v>192</v>
      </c>
    </row>
    <row r="25" spans="1:70" ht="204.75" customHeight="1" x14ac:dyDescent="0.25">
      <c r="C25" s="239" t="s">
        <v>210</v>
      </c>
      <c r="D25" s="239"/>
      <c r="E25" s="239"/>
      <c r="F25" s="239"/>
      <c r="G25" s="239"/>
      <c r="H25" s="239"/>
      <c r="I25" s="239"/>
      <c r="J25" s="239"/>
      <c r="K25" s="239"/>
      <c r="L25" s="239"/>
      <c r="M25" s="239"/>
      <c r="N25" s="239"/>
      <c r="O25" s="239"/>
      <c r="P25" s="239"/>
      <c r="Q25" s="239"/>
      <c r="R25" s="239"/>
      <c r="S25" s="239"/>
      <c r="T25" s="239"/>
      <c r="U25" s="239"/>
      <c r="V25" s="239"/>
      <c r="W25" s="239"/>
      <c r="X25" s="239"/>
      <c r="Y25" s="239"/>
      <c r="Z25" s="239"/>
      <c r="AA25" s="239"/>
      <c r="AB25" s="239"/>
      <c r="AC25" s="239"/>
      <c r="AD25" s="239"/>
      <c r="AE25" s="239"/>
      <c r="AF25" s="239"/>
      <c r="AG25" s="239"/>
      <c r="AH25" s="239"/>
      <c r="AI25" s="239"/>
      <c r="AJ25" s="239"/>
      <c r="AK25" s="239"/>
      <c r="AL25" s="239"/>
      <c r="AM25" s="239"/>
      <c r="AN25" s="239"/>
      <c r="AO25" s="239"/>
      <c r="AP25" s="239"/>
      <c r="AQ25" s="239"/>
      <c r="AR25" s="239"/>
      <c r="AS25" s="239"/>
      <c r="AT25" s="239"/>
      <c r="AU25" s="239"/>
      <c r="AV25" s="239"/>
      <c r="AW25" s="239"/>
      <c r="AX25" s="239"/>
      <c r="AY25" s="239"/>
      <c r="AZ25" s="239"/>
      <c r="BA25" s="239"/>
      <c r="BB25" s="239"/>
      <c r="BC25" s="239"/>
      <c r="BD25" s="239"/>
      <c r="BE25" s="239"/>
      <c r="BF25" s="239"/>
      <c r="BG25" s="239"/>
      <c r="BH25" s="239"/>
      <c r="BI25" s="239"/>
      <c r="BJ25" s="239"/>
      <c r="BK25" s="239"/>
      <c r="BL25" s="239"/>
      <c r="BM25" s="239"/>
      <c r="BN25" s="239"/>
      <c r="BO25" s="239"/>
      <c r="BP25" s="239"/>
      <c r="BQ25" s="239"/>
      <c r="BR25" s="239"/>
    </row>
    <row r="26" spans="1:70" x14ac:dyDescent="0.25">
      <c r="C26" s="2" t="s">
        <v>193</v>
      </c>
    </row>
    <row r="27" spans="1:70" ht="244.5" customHeight="1" x14ac:dyDescent="0.25">
      <c r="A27" s="1"/>
      <c r="C27" s="239" t="s">
        <v>194</v>
      </c>
      <c r="D27" s="239"/>
      <c r="E27" s="239"/>
      <c r="F27" s="239"/>
      <c r="G27" s="239"/>
      <c r="H27" s="239"/>
      <c r="I27" s="239"/>
      <c r="J27" s="239"/>
      <c r="K27" s="239"/>
      <c r="L27" s="239"/>
      <c r="M27" s="239"/>
      <c r="N27" s="239"/>
      <c r="O27" s="239"/>
      <c r="P27" s="239"/>
      <c r="Q27" s="239"/>
      <c r="R27" s="239"/>
      <c r="S27" s="239"/>
      <c r="T27" s="239"/>
      <c r="U27" s="239"/>
      <c r="V27" s="239"/>
      <c r="W27" s="239"/>
      <c r="X27" s="239"/>
      <c r="Y27" s="239"/>
      <c r="Z27" s="239"/>
      <c r="AA27" s="239"/>
      <c r="AB27" s="239"/>
      <c r="AC27" s="239"/>
      <c r="AD27" s="239"/>
      <c r="AE27" s="239"/>
      <c r="AF27" s="239"/>
      <c r="AG27" s="239"/>
      <c r="AH27" s="239"/>
      <c r="AI27" s="239"/>
      <c r="AJ27" s="239"/>
      <c r="AK27" s="239"/>
      <c r="AL27" s="239"/>
      <c r="AM27" s="239"/>
      <c r="AN27" s="239"/>
      <c r="AO27" s="239"/>
      <c r="AP27" s="239"/>
      <c r="AQ27" s="239"/>
      <c r="AR27" s="239"/>
      <c r="AS27" s="239"/>
      <c r="AT27" s="239"/>
      <c r="AU27" s="239"/>
      <c r="AV27" s="239"/>
      <c r="AW27" s="239"/>
      <c r="AX27" s="239"/>
      <c r="AY27" s="239"/>
      <c r="AZ27" s="239"/>
      <c r="BA27" s="239"/>
      <c r="BB27" s="239"/>
      <c r="BC27" s="239"/>
      <c r="BD27" s="239"/>
      <c r="BE27" s="239"/>
      <c r="BF27" s="239"/>
      <c r="BG27" s="239"/>
      <c r="BH27" s="239"/>
      <c r="BI27" s="239"/>
      <c r="BJ27" s="239"/>
      <c r="BK27" s="239"/>
      <c r="BL27" s="239"/>
      <c r="BM27" s="239"/>
      <c r="BN27" s="239"/>
      <c r="BO27" s="239"/>
      <c r="BP27" s="239"/>
      <c r="BQ27" s="239"/>
      <c r="BR27" s="239"/>
    </row>
    <row r="28" spans="1:70" x14ac:dyDescent="0.25">
      <c r="B28" s="2" t="s">
        <v>269</v>
      </c>
      <c r="C28" s="43"/>
    </row>
    <row r="29" spans="1:70" ht="75" customHeight="1" x14ac:dyDescent="0.25">
      <c r="A29" s="1"/>
      <c r="B29" s="238" t="s">
        <v>280</v>
      </c>
      <c r="C29" s="238"/>
      <c r="D29" s="238"/>
      <c r="E29" s="238"/>
      <c r="F29" s="238"/>
      <c r="G29" s="238"/>
      <c r="H29" s="238"/>
      <c r="I29" s="238"/>
      <c r="J29" s="238"/>
      <c r="K29" s="238"/>
      <c r="L29" s="238"/>
      <c r="M29" s="238"/>
      <c r="N29" s="238"/>
      <c r="O29" s="238"/>
      <c r="P29" s="238"/>
      <c r="Q29" s="238"/>
      <c r="R29" s="238"/>
      <c r="S29" s="238"/>
      <c r="T29" s="238"/>
      <c r="U29" s="238"/>
      <c r="V29" s="238"/>
      <c r="W29" s="238"/>
      <c r="X29" s="238"/>
      <c r="Y29" s="238"/>
      <c r="Z29" s="238"/>
      <c r="AA29" s="238"/>
      <c r="AB29" s="238"/>
      <c r="AC29" s="238"/>
      <c r="AD29" s="238"/>
      <c r="AE29" s="238"/>
      <c r="AF29" s="238"/>
      <c r="AG29" s="238"/>
      <c r="AH29" s="238"/>
      <c r="AI29" s="238"/>
      <c r="AJ29" s="238"/>
      <c r="AK29" s="238"/>
      <c r="AL29" s="238"/>
      <c r="AM29" s="238"/>
      <c r="AN29" s="238"/>
      <c r="AO29" s="238"/>
      <c r="AP29" s="238"/>
      <c r="AQ29" s="238"/>
      <c r="AR29" s="238"/>
      <c r="AS29" s="238"/>
      <c r="AT29" s="238"/>
      <c r="AU29" s="238"/>
      <c r="AV29" s="238"/>
      <c r="AW29" s="238"/>
      <c r="AX29" s="238"/>
      <c r="AY29" s="238"/>
      <c r="AZ29" s="238"/>
      <c r="BA29" s="238"/>
      <c r="BB29" s="238"/>
      <c r="BC29" s="238"/>
      <c r="BD29" s="238"/>
      <c r="BE29" s="238"/>
      <c r="BF29" s="238"/>
      <c r="BG29" s="238"/>
      <c r="BH29" s="238"/>
      <c r="BI29" s="238"/>
      <c r="BJ29" s="238"/>
      <c r="BK29" s="238"/>
      <c r="BL29" s="238"/>
      <c r="BM29" s="238"/>
      <c r="BN29" s="238"/>
      <c r="BO29" s="238"/>
      <c r="BP29" s="238"/>
      <c r="BQ29" s="238"/>
      <c r="BR29" s="238"/>
    </row>
    <row r="30" spans="1:70" x14ac:dyDescent="0.25">
      <c r="C30" s="2" t="s">
        <v>273</v>
      </c>
    </row>
    <row r="31" spans="1:70" ht="46.5" customHeight="1" x14ac:dyDescent="0.25">
      <c r="A31" s="1"/>
      <c r="C31" s="239" t="s">
        <v>279</v>
      </c>
      <c r="D31" s="239"/>
      <c r="E31" s="239"/>
      <c r="F31" s="239"/>
      <c r="G31" s="239"/>
      <c r="H31" s="239"/>
      <c r="I31" s="239"/>
      <c r="J31" s="239"/>
      <c r="K31" s="239"/>
      <c r="L31" s="239"/>
      <c r="M31" s="239"/>
      <c r="N31" s="239"/>
      <c r="O31" s="239"/>
      <c r="P31" s="239"/>
      <c r="Q31" s="239"/>
      <c r="R31" s="239"/>
      <c r="S31" s="239"/>
      <c r="T31" s="239"/>
      <c r="U31" s="239"/>
      <c r="V31" s="239"/>
      <c r="W31" s="239"/>
      <c r="X31" s="239"/>
      <c r="Y31" s="239"/>
      <c r="Z31" s="239"/>
      <c r="AA31" s="239"/>
      <c r="AB31" s="239"/>
      <c r="AC31" s="239"/>
      <c r="AD31" s="239"/>
      <c r="AE31" s="239"/>
      <c r="AF31" s="239"/>
      <c r="AG31" s="239"/>
      <c r="AH31" s="239"/>
      <c r="AI31" s="239"/>
      <c r="AJ31" s="239"/>
      <c r="AK31" s="239"/>
      <c r="AL31" s="239"/>
      <c r="AM31" s="239"/>
      <c r="AN31" s="239"/>
      <c r="AO31" s="239"/>
      <c r="AP31" s="239"/>
      <c r="AQ31" s="239"/>
      <c r="AR31" s="239"/>
      <c r="AS31" s="239"/>
      <c r="AT31" s="239"/>
      <c r="AU31" s="239"/>
      <c r="AV31" s="239"/>
      <c r="AW31" s="239"/>
      <c r="AX31" s="239"/>
      <c r="AY31" s="239"/>
      <c r="AZ31" s="239"/>
      <c r="BA31" s="239"/>
      <c r="BB31" s="239"/>
      <c r="BC31" s="239"/>
      <c r="BD31" s="239"/>
      <c r="BE31" s="239"/>
      <c r="BF31" s="239"/>
      <c r="BG31" s="239"/>
      <c r="BH31" s="239"/>
      <c r="BI31" s="239"/>
      <c r="BJ31" s="239"/>
      <c r="BK31" s="239"/>
      <c r="BL31" s="239"/>
      <c r="BM31" s="239"/>
      <c r="BN31" s="239"/>
      <c r="BO31" s="239"/>
      <c r="BP31" s="239"/>
      <c r="BQ31" s="239"/>
      <c r="BR31" s="239"/>
    </row>
    <row r="32" spans="1:70" ht="15.75" customHeight="1" x14ac:dyDescent="0.25">
      <c r="C32" s="240" t="s">
        <v>270</v>
      </c>
      <c r="D32" s="240"/>
      <c r="E32" s="240"/>
      <c r="F32" s="240"/>
      <c r="G32" s="240"/>
      <c r="H32" s="240"/>
      <c r="I32" s="240"/>
      <c r="J32" s="240"/>
      <c r="K32" s="240"/>
      <c r="L32" s="240"/>
      <c r="M32" s="240"/>
      <c r="N32" s="240"/>
      <c r="O32" s="240"/>
      <c r="P32" s="240"/>
      <c r="Q32" s="240"/>
      <c r="R32" s="240"/>
      <c r="S32" s="240"/>
      <c r="T32" s="240"/>
      <c r="U32" s="240"/>
      <c r="V32" s="240"/>
      <c r="W32" s="240"/>
      <c r="X32" s="240"/>
      <c r="Y32" s="240"/>
      <c r="Z32" s="240"/>
      <c r="AA32" s="240"/>
      <c r="AB32" s="240"/>
      <c r="AC32" s="240"/>
      <c r="AD32" s="240"/>
      <c r="AE32" s="240"/>
      <c r="AF32" s="240"/>
      <c r="AG32" s="240"/>
      <c r="AH32" s="240"/>
      <c r="AI32" s="240"/>
      <c r="AJ32" s="240"/>
      <c r="AK32" s="240"/>
      <c r="AL32" s="240"/>
      <c r="AM32" s="240"/>
      <c r="AN32" s="240"/>
      <c r="AO32" s="240"/>
      <c r="AP32" s="240"/>
      <c r="AQ32" s="240"/>
      <c r="AR32" s="240"/>
      <c r="AS32" s="240"/>
      <c r="AT32" s="240"/>
      <c r="AU32" s="240"/>
      <c r="AV32" s="240"/>
      <c r="AW32" s="240"/>
      <c r="AX32" s="240"/>
      <c r="AY32" s="240"/>
      <c r="AZ32" s="240"/>
      <c r="BA32" s="240"/>
      <c r="BB32" s="240"/>
      <c r="BC32" s="240"/>
      <c r="BD32" s="240"/>
      <c r="BE32" s="240"/>
      <c r="BF32" s="240"/>
      <c r="BG32" s="240"/>
      <c r="BH32" s="240"/>
      <c r="BI32" s="240"/>
      <c r="BJ32" s="240"/>
      <c r="BK32" s="240"/>
      <c r="BL32" s="240"/>
      <c r="BM32" s="240"/>
      <c r="BN32" s="240"/>
      <c r="BO32" s="240"/>
      <c r="BP32" s="240"/>
      <c r="BQ32" s="240"/>
      <c r="BR32" s="240"/>
    </row>
    <row r="33" spans="1:70" ht="120" customHeight="1" x14ac:dyDescent="0.25">
      <c r="A33" s="43"/>
      <c r="C33" s="238" t="s">
        <v>272</v>
      </c>
      <c r="D33" s="238"/>
      <c r="E33" s="238"/>
      <c r="F33" s="238"/>
      <c r="G33" s="238"/>
      <c r="H33" s="238"/>
      <c r="I33" s="238"/>
      <c r="J33" s="238"/>
      <c r="K33" s="238"/>
      <c r="L33" s="238"/>
      <c r="M33" s="238"/>
      <c r="N33" s="238"/>
      <c r="O33" s="238"/>
      <c r="P33" s="238"/>
      <c r="Q33" s="238"/>
      <c r="R33" s="238"/>
      <c r="S33" s="238"/>
      <c r="T33" s="238"/>
      <c r="U33" s="238"/>
      <c r="V33" s="238"/>
      <c r="W33" s="238"/>
      <c r="X33" s="238"/>
      <c r="Y33" s="238"/>
      <c r="Z33" s="238"/>
      <c r="AA33" s="238"/>
      <c r="AB33" s="238"/>
      <c r="AC33" s="238"/>
      <c r="AD33" s="238"/>
      <c r="AE33" s="238"/>
      <c r="AF33" s="238"/>
      <c r="AG33" s="238"/>
      <c r="AH33" s="238"/>
      <c r="AI33" s="238"/>
      <c r="AJ33" s="238"/>
      <c r="AK33" s="238"/>
      <c r="AL33" s="238"/>
      <c r="AM33" s="238"/>
      <c r="AN33" s="238"/>
      <c r="AO33" s="238"/>
      <c r="AP33" s="238"/>
      <c r="AQ33" s="238"/>
      <c r="AR33" s="238"/>
      <c r="AS33" s="238"/>
      <c r="AT33" s="238"/>
      <c r="AU33" s="238"/>
      <c r="AV33" s="238"/>
      <c r="AW33" s="238"/>
      <c r="AX33" s="238"/>
      <c r="AY33" s="238"/>
      <c r="AZ33" s="238"/>
      <c r="BA33" s="238"/>
      <c r="BB33" s="238"/>
      <c r="BC33" s="238"/>
      <c r="BD33" s="238"/>
      <c r="BE33" s="238"/>
      <c r="BF33" s="238"/>
      <c r="BG33" s="238"/>
      <c r="BH33" s="238"/>
      <c r="BI33" s="238"/>
      <c r="BJ33" s="238"/>
      <c r="BK33" s="238"/>
      <c r="BL33" s="238"/>
      <c r="BM33" s="238"/>
      <c r="BN33" s="238"/>
      <c r="BO33" s="238"/>
      <c r="BP33" s="238"/>
      <c r="BQ33" s="238"/>
      <c r="BR33" s="238"/>
    </row>
    <row r="34" spans="1:70" ht="15.75" customHeight="1" x14ac:dyDescent="0.25">
      <c r="C34" s="240" t="s">
        <v>271</v>
      </c>
      <c r="D34" s="240"/>
      <c r="E34" s="240"/>
      <c r="F34" s="240"/>
      <c r="G34" s="240"/>
      <c r="H34" s="240"/>
      <c r="I34" s="240"/>
      <c r="J34" s="240"/>
      <c r="K34" s="240"/>
      <c r="L34" s="240"/>
      <c r="M34" s="240"/>
      <c r="N34" s="240"/>
      <c r="O34" s="240"/>
      <c r="P34" s="240"/>
      <c r="Q34" s="240"/>
      <c r="R34" s="240"/>
      <c r="S34" s="240"/>
      <c r="T34" s="240"/>
      <c r="U34" s="240"/>
      <c r="V34" s="240"/>
      <c r="W34" s="240"/>
      <c r="X34" s="240"/>
      <c r="Y34" s="240"/>
      <c r="Z34" s="240"/>
      <c r="AA34" s="240"/>
      <c r="AB34" s="240"/>
      <c r="AC34" s="240"/>
      <c r="AD34" s="240"/>
      <c r="AE34" s="240"/>
      <c r="AF34" s="240"/>
      <c r="AG34" s="240"/>
      <c r="AH34" s="240"/>
      <c r="AI34" s="240"/>
      <c r="AJ34" s="240"/>
      <c r="AK34" s="240"/>
      <c r="AL34" s="240"/>
      <c r="AM34" s="240"/>
      <c r="AN34" s="240"/>
      <c r="AO34" s="240"/>
      <c r="AP34" s="240"/>
      <c r="AQ34" s="240"/>
      <c r="AR34" s="240"/>
      <c r="AS34" s="240"/>
      <c r="AT34" s="240"/>
      <c r="AU34" s="240"/>
      <c r="AV34" s="240"/>
      <c r="AW34" s="240"/>
      <c r="AX34" s="240"/>
      <c r="AY34" s="240"/>
      <c r="AZ34" s="240"/>
      <c r="BA34" s="240"/>
      <c r="BB34" s="240"/>
      <c r="BC34" s="240"/>
      <c r="BD34" s="240"/>
      <c r="BE34" s="240"/>
      <c r="BF34" s="240"/>
      <c r="BG34" s="240"/>
      <c r="BH34" s="240"/>
      <c r="BI34" s="240"/>
      <c r="BJ34" s="240"/>
      <c r="BK34" s="240"/>
      <c r="BL34" s="240"/>
      <c r="BM34" s="240"/>
      <c r="BN34" s="240"/>
      <c r="BO34" s="240"/>
      <c r="BP34" s="240"/>
      <c r="BQ34" s="240"/>
      <c r="BR34" s="240"/>
    </row>
    <row r="35" spans="1:70" ht="47.25" customHeight="1" x14ac:dyDescent="0.25">
      <c r="C35" s="239" t="s">
        <v>278</v>
      </c>
      <c r="D35" s="239"/>
      <c r="E35" s="239"/>
      <c r="F35" s="239"/>
      <c r="G35" s="239"/>
      <c r="H35" s="239"/>
      <c r="I35" s="239"/>
      <c r="J35" s="239"/>
      <c r="K35" s="239"/>
      <c r="L35" s="239"/>
      <c r="M35" s="239"/>
      <c r="N35" s="239"/>
      <c r="O35" s="239"/>
      <c r="P35" s="239"/>
      <c r="Q35" s="239"/>
      <c r="R35" s="239"/>
      <c r="S35" s="239"/>
      <c r="T35" s="239"/>
      <c r="U35" s="239"/>
      <c r="V35" s="239"/>
      <c r="W35" s="239"/>
      <c r="X35" s="239"/>
      <c r="Y35" s="239"/>
      <c r="Z35" s="239"/>
      <c r="AA35" s="239"/>
      <c r="AB35" s="239"/>
      <c r="AC35" s="239"/>
      <c r="AD35" s="239"/>
      <c r="AE35" s="239"/>
      <c r="AF35" s="239"/>
      <c r="AG35" s="239"/>
      <c r="AH35" s="239"/>
      <c r="AI35" s="239"/>
      <c r="AJ35" s="239"/>
      <c r="AK35" s="239"/>
      <c r="AL35" s="239"/>
      <c r="AM35" s="239"/>
      <c r="AN35" s="239"/>
      <c r="AO35" s="239"/>
      <c r="AP35" s="239"/>
      <c r="AQ35" s="239"/>
      <c r="AR35" s="239"/>
      <c r="AS35" s="239"/>
      <c r="AT35" s="239"/>
      <c r="AU35" s="239"/>
      <c r="AV35" s="239"/>
      <c r="AW35" s="239"/>
      <c r="AX35" s="239"/>
      <c r="AY35" s="239"/>
      <c r="AZ35" s="239"/>
      <c r="BA35" s="239"/>
      <c r="BB35" s="239"/>
      <c r="BC35" s="239"/>
      <c r="BD35" s="239"/>
      <c r="BE35" s="239"/>
      <c r="BF35" s="239"/>
      <c r="BG35" s="239"/>
      <c r="BH35" s="239"/>
      <c r="BI35" s="239"/>
      <c r="BJ35" s="239"/>
      <c r="BK35" s="239"/>
      <c r="BL35" s="239"/>
      <c r="BM35" s="239"/>
      <c r="BN35" s="239"/>
      <c r="BO35" s="239"/>
      <c r="BP35" s="239"/>
      <c r="BQ35" s="239"/>
      <c r="BR35" s="239"/>
    </row>
    <row r="36" spans="1:70" x14ac:dyDescent="0.25">
      <c r="B36" s="2" t="s">
        <v>2</v>
      </c>
    </row>
    <row r="37" spans="1:70" x14ac:dyDescent="0.25">
      <c r="B37" s="241" t="s">
        <v>12</v>
      </c>
      <c r="C37" s="241"/>
      <c r="D37" s="241"/>
      <c r="E37" s="241"/>
      <c r="F37" s="241"/>
      <c r="G37" s="241"/>
      <c r="H37" s="241"/>
      <c r="I37" s="241"/>
      <c r="J37" s="241"/>
      <c r="K37" s="241"/>
      <c r="L37" s="241"/>
      <c r="M37" s="241"/>
      <c r="N37" s="241"/>
      <c r="O37" s="241"/>
      <c r="P37" s="241"/>
      <c r="Q37" s="241"/>
      <c r="R37" s="241"/>
      <c r="S37" s="241"/>
      <c r="T37" s="241"/>
      <c r="U37" s="241"/>
      <c r="V37" s="241"/>
      <c r="W37" s="241"/>
      <c r="X37" s="241"/>
      <c r="Y37" s="241"/>
      <c r="Z37" s="241"/>
      <c r="AA37" s="241"/>
      <c r="AB37" s="241"/>
      <c r="AC37" s="241"/>
      <c r="AD37" s="241"/>
      <c r="AE37" s="241"/>
      <c r="AF37" s="241"/>
      <c r="AG37" s="241"/>
      <c r="AH37" s="241"/>
      <c r="AI37" s="241"/>
      <c r="AJ37" s="241"/>
      <c r="AK37" s="241"/>
      <c r="AL37" s="241"/>
      <c r="AM37" s="241"/>
      <c r="AN37" s="241"/>
      <c r="AO37" s="241"/>
      <c r="AP37" s="241"/>
      <c r="AQ37" s="241"/>
      <c r="AR37" s="241"/>
      <c r="AS37" s="241"/>
      <c r="AT37" s="241"/>
      <c r="AU37" s="241"/>
      <c r="AV37" s="241"/>
      <c r="AW37" s="241"/>
      <c r="AX37" s="241"/>
      <c r="AY37" s="241"/>
      <c r="AZ37" s="241"/>
      <c r="BA37" s="241"/>
      <c r="BB37" s="241"/>
      <c r="BC37" s="241"/>
      <c r="BD37" s="241"/>
      <c r="BE37" s="241"/>
      <c r="BF37" s="241"/>
      <c r="BG37" s="241"/>
      <c r="BH37" s="241"/>
      <c r="BI37" s="241"/>
      <c r="BJ37" s="241"/>
      <c r="BK37" s="241"/>
      <c r="BL37" s="241"/>
      <c r="BM37" s="241"/>
      <c r="BN37" s="241"/>
      <c r="BO37" s="241"/>
      <c r="BP37" s="241"/>
      <c r="BQ37" s="241"/>
      <c r="BR37" s="241"/>
    </row>
    <row r="38" spans="1:70" x14ac:dyDescent="0.25">
      <c r="C38" s="2" t="s">
        <v>7</v>
      </c>
    </row>
    <row r="39" spans="1:70" ht="45.75" customHeight="1" x14ac:dyDescent="0.25">
      <c r="C39" s="238" t="s">
        <v>8</v>
      </c>
      <c r="D39" s="238"/>
      <c r="E39" s="238"/>
      <c r="F39" s="238"/>
      <c r="G39" s="238"/>
      <c r="H39" s="238"/>
      <c r="I39" s="238"/>
      <c r="J39" s="238"/>
      <c r="K39" s="238"/>
      <c r="L39" s="238"/>
      <c r="M39" s="238"/>
      <c r="N39" s="238"/>
      <c r="O39" s="238"/>
      <c r="P39" s="238"/>
      <c r="Q39" s="238"/>
      <c r="R39" s="238"/>
      <c r="S39" s="238"/>
      <c r="T39" s="238"/>
      <c r="U39" s="238"/>
      <c r="V39" s="238"/>
      <c r="W39" s="238"/>
      <c r="X39" s="238"/>
      <c r="Y39" s="238"/>
      <c r="Z39" s="238"/>
      <c r="AA39" s="238"/>
      <c r="AB39" s="238"/>
      <c r="AC39" s="238"/>
      <c r="AD39" s="238"/>
      <c r="AE39" s="238"/>
      <c r="AF39" s="238"/>
      <c r="AG39" s="238"/>
      <c r="AH39" s="238"/>
      <c r="AI39" s="238"/>
      <c r="AJ39" s="238"/>
      <c r="AK39" s="238"/>
      <c r="AL39" s="238"/>
      <c r="AM39" s="238"/>
      <c r="AN39" s="238"/>
      <c r="AO39" s="238"/>
      <c r="AP39" s="238"/>
      <c r="AQ39" s="238"/>
      <c r="AR39" s="238"/>
      <c r="AS39" s="238"/>
      <c r="AT39" s="238"/>
      <c r="AU39" s="238"/>
      <c r="AV39" s="238"/>
      <c r="AW39" s="238"/>
      <c r="AX39" s="238"/>
      <c r="AY39" s="238"/>
      <c r="AZ39" s="238"/>
      <c r="BA39" s="238"/>
      <c r="BB39" s="238"/>
      <c r="BC39" s="238"/>
      <c r="BD39" s="238"/>
      <c r="BE39" s="238"/>
      <c r="BF39" s="238"/>
      <c r="BG39" s="238"/>
      <c r="BH39" s="238"/>
      <c r="BI39" s="238"/>
      <c r="BJ39" s="238"/>
      <c r="BK39" s="238"/>
      <c r="BL39" s="238"/>
      <c r="BM39" s="238"/>
      <c r="BN39" s="238"/>
      <c r="BO39" s="238"/>
      <c r="BP39" s="238"/>
      <c r="BQ39" s="238"/>
      <c r="BR39" s="238"/>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11</vt:i4>
      </vt:variant>
      <vt:variant>
        <vt:lpstr>Benannte Bereiche</vt:lpstr>
      </vt:variant>
      <vt:variant>
        <vt:i4>1</vt:i4>
      </vt:variant>
    </vt:vector>
  </HeadingPairs>
  <TitlesOfParts>
    <vt:vector size="12" baseType="lpstr">
      <vt:lpstr>Anwesend 21</vt:lpstr>
      <vt:lpstr>Tagebuch 21</vt:lpstr>
      <vt:lpstr>Tabelle1</vt:lpstr>
      <vt:lpstr>Individuelle Hinweise</vt:lpstr>
      <vt:lpstr>Neustart 20-21</vt:lpstr>
      <vt:lpstr>Anwesend</vt:lpstr>
      <vt:lpstr>Tagebuch</vt:lpstr>
      <vt:lpstr>Todos</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2021-02-05T22:40:24Z</dcterms:modified>
</cp:coreProperties>
</file>