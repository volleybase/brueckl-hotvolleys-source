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A7FF3830-7DC1-47F8-918A-E933F9942CC0}" xr6:coauthVersionLast="45" xr6:coauthVersionMax="45" xr10:uidLastSave="{00000000-0000-0000-0000-000000000000}"/>
  <bookViews>
    <workbookView xWindow="-120" yWindow="-120" windowWidth="29040" windowHeight="16440"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<sst xmlns="http://schemas.openxmlformats.org/spreadsheetml/2006/main" count="3085" uniqueCount="959">
  <si>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</si>
  <si>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</si>
  <si>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</si>
  <si>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</si>
  <si>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</si>
  <si>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</si>
  <si>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</si>
  <si>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</si>
  <si>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</si>
  <si>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</si>
  <si>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</si>
  <si>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</si>
  <si>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</si>
  <si>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</si>
  <si>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</si>
  <si>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</si>
  <si>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</si>
  <si>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</si>
  <si>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</si>
  <si>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</si>
  <si>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</si>
  <si>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</si>
  <si>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</si>
  <si>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</si>
  <si>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</si>
  <si>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</si>
  <si>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</si>
  <si>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</si>
  <si>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</si>
  <si>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</si>
  <si>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</si>
  <si>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</si>
  <si>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</si>
  <si>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</si>
  <si>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</si>
  <si>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</si>
  <si>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</si>
  <si>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</si>
  <si>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</si>
  <si>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</si>
  <si>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</si>
  <si>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</si>
  <si>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</si>
  <si>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</si>
  <si>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</si>
  <si>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</si>
  <si>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</si>
  <si>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</si>
  <si>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</si>
  <si>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</si>
  <si>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</si>
  <si>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</si>
  <si>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</si>
  <si>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</si>
  <si>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</si>
  <si>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</si>
  <si>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</si>
  <si>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</si>
  <si>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</si>
  <si>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</si>
  <si>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</si>
  <si>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</si>
  <si>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</si>
  <si>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</si>
  <si>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</si>
  <si>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</si>
  <si>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</si>
  <si>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</si>
  <si>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</si>
  <si>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</si>
  <si>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</si>
  <si>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</si>
  <si>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</si>
  <si>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</si>
  <si>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</si>
  <si>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</si>
  <si>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</si>
  <si>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</si>
  <si>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</si>
  <si>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</si>
  <si>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</si>
  <si>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</si>
  <si>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</si>
  <si>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</si>
  <si>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</si>
  <si>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</si>
  <si>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</si>
  <si>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</si>
  <si>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</si>
  <si>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</si>
  <si>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</si>
  <si>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</si>
  <si>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</si>
  <si>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</si>
  <si>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</si>
  <si>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</si>
  <si>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</si>
  <si>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</si>
  <si>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</si>
  <si>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</si>
  <si>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</si>
  <si>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</si>
  <si>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</si>
  <si>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</si>
  <si>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</si>
  <si>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</si>
  <si>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</si>
  <si>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</si>
  <si>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</si>
  <si>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</si>
  <si>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</si>
  <si>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</si>
  <si>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</si>
  <si>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</si>
  <si>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</si>
  <si>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</si>
  <si>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</si>
  <si>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</si>
  <si>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</si>
  <si>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</si>
  <si>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</si>
  <si>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</si>
  <si>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</si>
  <si>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</si>
  <si>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</si>
  <si>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</si>
  <si>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</si>
  <si>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</si>
  <si>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</si>
  <si>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</si>
  <si>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</si>
  <si>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</si>
  <si>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</si>
  <si>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</si>
  <si>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</si>
  <si>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</si>
  <si>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</si>
  <si>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</si>
  <si>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</si>
  <si>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</si>
  <si>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</si>
  <si>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</si>
  <si>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</si>
  <si>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</si>
  <si>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</si>
  <si>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</si>
  <si>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</si>
  <si>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</si>
  <si>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</si>
  <si>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</si>
  <si>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</si>
  <si>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</si>
  <si>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</si>
  <si>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</si>
  <si>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</si>
  <si>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</si>
  <si>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</si>
  <si>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</si>
  <si>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</si>
  <si>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</si>
  <si>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</si>
  <si>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</si>
  <si>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</si>
  <si>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</si>
  <si>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</si>
  <si>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</si>
  <si>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</si>
  <si>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</si>
  <si>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</si>
  <si>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</si>
  <si>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</si>
  <si>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</si>
  <si>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</si>
  <si>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</si>
  <si>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</si>
  <si>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</si>
  <si>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</si>
  <si>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</si>
  <si>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</si>
  <si>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</si>
  <si>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</si>
  <si>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</si>
  <si>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</si>
  <si>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</si>
  <si>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</si>
  <si>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</si>
  <si>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</si>
  <si>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</si>
  <si>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</si>
  <si>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</si>
  <si>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</si>
  <si>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</si>
  <si>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</si>
  <si>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</si>
  <si>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</si>
  <si>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</si>
  <si>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</si>
  <si>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</si>
  <si>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</si>
  <si>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</si>
  <si>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</si>
  <si>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</si>
  <si>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</si>
  <si>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</si>
  <si>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</si>
  <si>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</si>
  <si>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</si>
  <si>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</si>
  <si>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</si>
  <si>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</si>
  <si>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</si>
  <si>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</si>
  <si>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</si>
  <si>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</si>
  <si>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</si>
  <si>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</si>
  <si>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</si>
  <si>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</si>
  <si>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</si>
  <si>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</si>
  <si>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</si>
  <si>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</si>
  <si>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</si>
  <si>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</si>
  <si>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</si>
  <si>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</si>
  <si>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</si>
  <si>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</si>
  <si>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</si>
  <si>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</si>
  <si>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</si>
  <si>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</si>
  <si>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</si>
  <si>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</si>
  <si>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</si>
  <si>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</si>
  <si>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</si>
  <si>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</si>
  <si>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</si>
  <si>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</si>
  <si>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</si>
  <si>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</si>
  <si>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</si>
  <si>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</si>
  <si>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</si>
  <si>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</si>
  <si>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</si>
  <si>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</si>
  <si>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</si>
  <si>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</si>
  <si>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</si>
  <si>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</si>
  <si>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</si>
  <si>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</si>
  <si>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</si>
  <si>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</si>
  <si>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</si>
  <si>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</si>
  <si>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</si>
  <si>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</si>
  <si>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</si>
  <si>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</si>
  <si>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</si>
  <si>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</si>
  <si>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</si>
  <si>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</si>
  <si>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</si>
  <si>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</si>
  <si>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</si>
  <si>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</si>
  <si>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</si>
  <si>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</si>
  <si>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</si>
  <si>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</si>
  <si>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</si>
  <si>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</si>
  <si>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</si>
  <si>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</si>
  <si>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</si>
  <si>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</si>
  <si>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</si>
  <si>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</si>
  <si>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</si>
  <si>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</si>
  <si>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</si>
  <si>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</si>
  <si>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</si>
  <si>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</si>
  <si>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</si>
  <si>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</si>
  <si>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</si>
  <si>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</si>
  <si>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</si>
  <si>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</si>
  <si>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</si>
  <si>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</si>
  <si>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</si>
  <si>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</si>
  <si>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</si>
  <si>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</si>
  <si>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</si>
  <si>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</si>
  <si>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</si>
  <si>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</si>
  <si>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</si>
  <si>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</si>
  <si>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</si>
  <si>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</si>
  <si>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</si>
  <si>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</si>
  <si>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</si>
  <si>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</si>
  <si>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</si>
  <si>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</si>
  <si>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</si>
  <si>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</si>
  <si>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</si>
  <si>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</si>
  <si>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</si>
  <si>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</si>
  <si>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</si>
  <si>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</si>
  <si>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</si>
  <si>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</si>
  <si>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</si>
  <si>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</si>
  <si>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</si>
  <si>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</si>
  <si>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</si>
  <si>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</si>
  <si>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</si>
  <si>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</si>
  <si>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</si>
  <si>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</si>
  <si>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</si>
  <si>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</si>
  <si>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</si>
  <si>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</si>
  <si>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</si>
  <si>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</si>
  <si>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</si>
  <si>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</si>
  <si>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</si>
  <si>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</si>
  <si>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</si>
  <si>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</si>
  <si>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</si>
  <si>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</si>
  <si>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</si>
  <si>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</si>
  <si>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</si>
  <si>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</si>
  <si>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</si>
  <si>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</si>
  <si>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</si>
  <si>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</si>
  <si>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</si>
  <si>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</si>
  <si>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</si>
  <si>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</si>
  <si>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</si>
  <si>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</si>
  <si>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</si>
  <si>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</si>
  <si>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</si>
  <si>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</si>
  <si>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</si>
  <si>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</si>
  <si>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</si>
  <si>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</si>
  <si>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</si>
  <si>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</si>
  <si>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</si>
  <si>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</si>
  <si>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</si>
  <si>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</si>
  <si>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</si>
  <si>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</si>
  <si>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</si>
  <si>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</si>
  <si>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</si>
  <si>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</si>
  <si>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</si>
  <si>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</si>
  <si>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</si>
  <si>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</si>
  <si>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</si>
  <si>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</si>
  <si>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</si>
  <si>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</si>
  <si>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</si>
  <si>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</si>
  <si>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</si>
  <si>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</si>
  <si>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</si>
  <si>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</si>
  <si>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</si>
  <si>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</si>
  <si>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</si>
  <si>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</si>
  <si>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</si>
  <si>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</si>
  <si>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</si>
  <si>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</si>
  <si>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</si>
  <si>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</si>
  <si>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</si>
  <si>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</si>
  <si>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</si>
  <si>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</si>
  <si>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</si>
  <si>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</si>
  <si>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</si>
  <si>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</si>
  <si>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</si>
  <si>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</si>
  <si>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</si>
  <si>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</si>
  <si>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</si>
  <si>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</si>
  <si>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</si>
  <si>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</si>
  <si>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</si>
  <si>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</si>
  <si>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</si>
  <si>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</si>
  <si>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</si>
  <si>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</si>
  <si>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</si>
  <si>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</si>
  <si>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</si>
  <si>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</si>
  <si>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</si>
  <si>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</si>
  <si>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</si>
  <si>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</si>
  <si>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</si>
  <si>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</si>
  <si>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</si>
  <si>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</si>
  <si>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</si>
  <si>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</si>
  <si>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</si>
  <si>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</si>
  <si>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</si>
  <si>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</si>
  <si>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</si>
  <si>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</si>
  <si>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</si>
  <si>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</si>
  <si>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</si>
  <si>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</si>
  <si>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</si>
  <si>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</si>
  <si>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</si>
  <si>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</si>
  <si>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</si>
  <si>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</si>
  <si>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</si>
  <si>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</si>
  <si>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</si>
  <si>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</si>
  <si>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</si>
  <si>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</si>
  <si>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</si>
  <si>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</si>
  <si>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</si>
  <si>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</si>
  <si>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</si>
  <si>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</si>
  <si>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</si>
  <si>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</si>
  <si>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</si>
  <si>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</si>
  <si>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</si>
  <si>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</si>
  <si>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</si>
  <si>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</si>
  <si>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</si>
  <si>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</si>
  <si>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</si>
  <si>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</si>
  <si>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</si>
  <si>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</si>
  <si>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</si>
  <si>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</si>
  <si>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</si>
  <si>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</si>
  <si>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</si>
  <si>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</si>
  <si>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</si>
  <si>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</si>
  <si>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</si>
  <si>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</si>
  <si>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</si>
  <si>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</si>
  <si>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</si>
  <si>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</si>
  <si>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</si>
  <si>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</si>
  <si>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</si>
  <si>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</si>
  <si>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</si>
  <si>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</si>
  <si>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</si>
  <si>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</si>
  <si>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</si>
  <si>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</si>
  <si>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</si>
  <si>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</si>
  <si>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</si>
  <si>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</si>
  <si>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</si>
  <si>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</si>
  <si>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</si>
  <si>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</si>
  <si>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</si>
  <si>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</si>
  <si>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</si>
  <si>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</si>
  <si>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</si>
  <si>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</si>
  <si>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</si>
  <si>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</si>
  <si>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</si>
  <si>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</si>
  <si>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</si>
  <si>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</si>
  <si>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</si>
  <si>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</si>
  <si>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</si>
  <si>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</si>
  <si>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</si>
  <si>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</si>
  <si>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</si>
  <si>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</si>
  <si>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</si>
  <si>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</si>
  <si>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</si>
  <si>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</si>
  <si>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</si>
  <si>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</si>
  <si>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</si>
  <si>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</si>
  <si>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</si>
  <si>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</si>
  <si>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</si>
  <si>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</si>
  <si>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</si>
  <si>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</si>
  <si>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</si>
  <si>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</si>
  <si>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</si>
  <si>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</si>
  <si>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</si>
  <si>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</si>
  <si>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</si>
  <si>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</si>
  <si>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</si>
  <si>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</si>
  <si>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</si>
  <si>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</si>
  <si>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</si>
  <si>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</si>
  <si>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</si>
  <si>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</si>
  <si>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</si>
  <si>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</si>
  <si>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</si>
  <si>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</si>
  <si>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</si>
  <si>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</si>
  <si>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</si>
  <si>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</si>
  <si>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</si>
  <si>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</si>
  <si>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</si>
  <si>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</si>
  <si>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</si>
  <si>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</si>
  <si>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</si>
  <si>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</si>
  <si>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</si>
  <si>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</si>
  <si>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</si>
  <si>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</si>
  <si>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</si>
  <si>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</si>
  <si>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</si>
  <si>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</si>
  <si>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</si>
  <si>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</si>
  <si>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</si>
  <si>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</si>
  <si>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</si>
  <si>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</si>
  <si>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</si>
  <si>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</si>
  <si>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</si>
  <si>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</si>
  <si>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</si>
  <si>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</si>
  <si>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</si>
  <si>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</si>
  <si>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</si>
  <si>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</si>
  <si>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</si>
  <si>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</si>
  <si>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</si>
  <si>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</si>
  <si>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</si>
  <si>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</si>
  <si>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</si>
  <si>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</si>
  <si>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</si>
  <si>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</si>
  <si>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</si>
  <si>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</si>
  <si>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</si>
  <si>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</si>
  <si>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</si>
  <si>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</si>
  <si>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</si>
  <si>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</si>
  <si>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</si>
  <si>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</si>
  <si>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</si>
  <si>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</si>
  <si>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</si>
  <si>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</si>
  <si>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</si>
  <si>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</si>
  <si>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</si>
  <si>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</si>
  <si>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</si>
  <si>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</si>
  <si>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</si>
  <si>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</si>
  <si>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</si>
  <si>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</si>
  <si>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</si>
  <si>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</si>
  <si>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</si>
  <si>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</si>
  <si>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</si>
  <si>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</si>
  <si>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</si>
  <si>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</si>
  <si>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</si>
  <si>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</si>
  <si>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</si>
  <si>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</si>
  <si>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</si>
  <si>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</si>
  <si>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</si>
  <si>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</si>
  <si>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</si>
  <si>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</si>
  <si>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</si>
  <si>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</si>
  <si>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</si>
  <si>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</si>
  <si>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</si>
  <si>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</si>
  <si>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</si>
  <si>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</si>
  <si>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</si>
  <si>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</si>
  <si>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</si>
  <si>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</si>
  <si>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</si>
  <si>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</si>
  <si>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</si>
  <si>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</si>
  <si>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</si>
  <si>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</si>
  <si>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</si>
  <si>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</si>
  <si>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</si>
  <si>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</si>
  <si>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</si>
  <si>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</si>
  <si>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</si>
  <si>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</si>
  <si>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</si>
  <si>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</si>
  <si>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</si>
  <si>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</si>
  <si>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</si>
  <si>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</si>
  <si>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</si>
  <si>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</si>
  <si>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</si>
  <si>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</si>
  <si>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</si>
  <si>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</si>
  <si>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</si>
  <si>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</si>
  <si>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</si>
  <si>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</si>
  <si>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</si>
  <si>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</si>
  <si>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</si>
  <si>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</si>
  <si>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</si>
  <si>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</si>
  <si>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</si>
  <si>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</si>
  <si>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</si>
  <si>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</si>
  <si>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</si>
  <si>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</si>
  <si>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</si>
  <si>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</si>
  <si>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</si>
  <si>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</si>
  <si>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</si>
  <si>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</si>
  <si>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</si>
  <si>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</si>
  <si>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</si>
  <si>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</si>
  <si>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</si>
  <si>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</si>
  <si>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</si>
  <si>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</si>
  <si>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</si>
  <si>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</si>
  <si>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</si>
  <si>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</si>
  <si>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</si>
  <si>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</si>
  <si>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</si>
  <si>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</si>
  <si>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</si>
  <si>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</si>
  <si>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</si>
  <si>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</si>
  <si>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</si>
  <si>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</si>
  <si>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</si>
  <si>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</si>
  <si>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</si>
  <si>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</si>
  <si>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</si>
  <si>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</si>
  <si>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</si>
  <si>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</si>
  <si>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</si>
  <si>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</si>
  <si>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</si>
  <si>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</si>
  <si>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</si>
  <si>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</si>
  <si>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</si>
  <si>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</si>
  <si>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</si>
  <si>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</si>
  <si>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</si>
  <si>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</si>
  <si>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</si>
  <si>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</si>
  <si>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</si>
  <si>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</si>
  <si>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</si>
  <si>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</si>
  <si>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</si>
  <si>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</si>
  <si>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</si>
  <si>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</si>
  <si>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</si>
  <si>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</si>
  <si>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</si>
  <si>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</si>
  <si>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</si>
  <si>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</si>
  <si>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</si>
  <si>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</si>
  <si>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</si>
  <si>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</si>
  <si>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</si>
  <si>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</si>
  <si>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</si>
  <si>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</si>
  <si>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</si>
  <si>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</si>
  <si>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</si>
  <si>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</si>
  <si>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</si>
  <si>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</si>
  <si>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</si>
  <si>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</si>
  <si>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</si>
  <si>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</si>
  <si>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</si>
  <si>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</si>
  <si>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</si>
  <si>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</si>
  <si>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</si>
  <si>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</si>
  <si>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</si>
  <si>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</si>
  <si>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</si>
  <si>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</si>
  <si>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</si>
  <si>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</si>
  <si>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</si>
  <si>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</si>
  <si>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</si>
  <si>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</si>
  <si>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</si>
  <si>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</si>
  <si>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</si>
  <si>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</si>
  <si>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</si>
  <si>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</si>
  <si>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</si>
  <si>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</si>
  <si>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</si>
  <si>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</si>
  <si>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</si>
  <si>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</si>
  <si>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</si>
  <si>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</si>
  <si>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</si>
  <si>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</si>
  <si>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</si>
  <si>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</si>
  <si>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</si>
  <si>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</si>
  <si>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</si>
  <si>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</si>
  <si>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</si>
  <si>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</si>
  <si>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</si>
  <si>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</si>
  <si>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</si>
  <si>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</si>
  <si>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</si>
  <si>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</si>
  <si>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</si>
  <si>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</si>
  <si>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</si>
  <si>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</si>
  <si>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</si>
  <si>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</si>
  <si>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</si>
  <si>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</si>
  <si>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</si>
  <si>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</si>
  <si>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</si>
  <si>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</si>
  <si>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</si>
  <si>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</si>
  <si>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</si>
  <si>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</si>
  <si>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</si>
  <si>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</si>
  <si>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</si>
  <si>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</si>
  <si>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</si>
  <si>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</si>
  <si>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</si>
  <si>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</si>
  <si>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</si>
  <si>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</si>
  <si>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</si>
  <si>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</si>
  <si>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</si>
  <si>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</si>
  <si>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</si>
  <si>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</si>
  <si>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</si>
  <si>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</si>
  <si>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</si>
  <si>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</si>
  <si>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</si>
  <si>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</si>
  <si>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</si>
  <si>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</si>
  <si>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</si>
  <si>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</si>
  <si>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</si>
  <si>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</si>
  <si>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</si>
  <si>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</si>
  <si>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</si>
  <si>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</si>
  <si>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</si>
  <si>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</si>
  <si>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</si>
  <si>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</si>
  <si>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</si>
  <si>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</si>
  <si>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</si>
  <si>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</si>
  <si>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</si>
  <si>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</si>
  <si>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</si>
  <si>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</si>
  <si>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</si>
  <si>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</si>
  <si>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</si>
  <si>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</si>
  <si>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</si>
  <si>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</si>
  <si>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</si>
  <si>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</si>
  <si>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</si>
  <si>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</si>
  <si>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</si>
  <si>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</si>
  <si>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</si>
  <si>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</si>
  <si>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</si>
  <si>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</si>
  <si>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</si>
  <si>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</si>
  <si>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</si>
  <si>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</si>
  <si>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</si>
  <si>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</si>
  <si>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</si>
  <si>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</si>
  <si>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</si>
  <si>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</si>
  <si>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</si>
  <si>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</si>
  <si>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</si>
  <si>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</si>
  <si>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</si>
  <si>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</si>
  <si>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</si>
  <si>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</si>
  <si>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</si>
  <si>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</si>
  <si>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</si>
  <si>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</si>
  <si>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</si>
  <si>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</si>
  <si>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</si>
  <si>
    <t>Brückl(2+2)</t>
  </si>
  <si>
    <t>Miteinander spielen 2:2 - mit Zusatzaufgaben
Leiter
paarweise Einspielen mit 2 Bällen
Spiele mit wechselnden Partner
einzeln Angriff
gehaltene Bälle schlagen nach Anlauf über Matte
Spiel</t>
  </si>
  <si>
    <t>Wandlauf
Winners Score</t>
  </si>
  <si>
    <t>3 Schritte
3 mit 3 mit Nachlaufen
  2 Berührungen
  3 Berührungen
  Spiel im System (Verteidigung Hinterfeld Auf 1, AA 6, MM 5 -&gt; MB läuft auf 1, AA auf 9, eine Gruppe 0er statt 1er)
einzeln Schlagtechnik + UZ ( 3 Gruppen)
   - Frosch, Schlag im Stand geg. Mauer, einspielen mit Nachlaufen
   - Frosch, Schlag im Stand geg. Mauer, Zuwurf übers Netz -&gt; Annahme, 2. Ball schlagen
   - 2 Gruppen Zuwurf, Annahme, 2. Ball schlagen im Dreieck mit durchwechseln, 1x Schlag im Stand geg. Mauer
Einschlagen</t>
  </si>
  <si>
    <t>Wandlauf
2 Gruppen
   am Netz erhöht stehen, Partner wirf Tennisball, Blockspielerin greift übers Netz und fängt Ball
      (3x 10 im Wechsel)
      2x Zuwurf rechts oder links senkrecht nahe am Netz, Blockerin greift über das Netz und fängt mit der gegenüberliegender Hand
      1x beide Bälle gleichzeitig werfen(rechts und links)
      1x die beiden Bälle leicht zeitversetz aufwerfen (selten auch gleichzeitig)
   die übrigen spielen parrweise ein
Winnerscore (4 Gruppen)</t>
  </si>
  <si>
    <t>Mi</t>
  </si>
  <si>
    <t>Di</t>
  </si>
  <si>
    <t>(Sa)</t>
  </si>
  <si>
    <t>Friesach(10)</t>
  </si>
  <si>
    <t>2 mit 2 mit Nachlaufen mit 2 Berührungen (nur UZ), 25 Netzüberquerungen
paarweise einspielen mit 2 Bällen
paarweise einspielen - 1 Ball - Schlag-Verteidigung
Einschlagen
Grundsechs - Annahme-Aufbau, Verteidigung-Aufbau</t>
  </si>
  <si>
    <t>Brückl(12)</t>
  </si>
  <si>
    <t>Brückl(10)</t>
  </si>
  <si>
    <t>Friesach(12)</t>
  </si>
  <si>
    <t>Friesach(10 + 3)</t>
  </si>
  <si>
    <t>Spiel geg. WSL - 1:3
Grant verhindert den Erfolg!</t>
  </si>
  <si>
    <t>Einspielen mit 2 Bällen
Spiel 6:6</t>
  </si>
  <si>
    <t>Einspielen mit 2 Bällen
Spiel 6:6 (Grundsechs)</t>
  </si>
  <si>
    <t>2 mit 2 mit Nachlaufen mit 2 Berührungen
paarweise am Netz, einzeln/paarweise die andere Station
   2x abwechseln Spiel aufs Brett mit Zwischenspiel/Baggen unterm Netz
   gehaltenen Ball abwechseln geg. Mauer schlagen/Baggern unterm Netz
   Schlag im Stand geg. Mauer/Baggern unterm Netz
Einschlagen
Service + Angriff geg. Grundsechs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</si>
</sst>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DN3" activePane="bottomRight" state="frozen"/>
      <selection pane="topRight" activeCell="M1" sqref="M1"/>
      <selection pane="bottomLeft" activeCell="A3" sqref="A3"/>
      <selection pane="bottomRight" activeCell="FM3" sqref="FM3"/>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t="s">
        <v>38</v>
      </c>
      <c r="CA2" s="131" t="s">
        <v>38</v>
      </c>
      <c r="CB2" s="131" t="s">
        <v>886</v>
      </c>
      <c r="CC2" s="131"/>
      <c r="CD2" s="164"/>
      <c r="CE2" s="131"/>
      <c r="CF2" s="131" t="s">
        <v>38</v>
      </c>
      <c r="CG2" s="131"/>
      <c r="CH2" s="131" t="s">
        <v>38</v>
      </c>
      <c r="CI2" s="131" t="s">
        <v>38</v>
      </c>
      <c r="CJ2" s="131"/>
      <c r="CK2" s="164"/>
      <c r="CL2" s="131"/>
      <c r="CM2" s="131" t="s">
        <v>38</v>
      </c>
      <c r="CN2" s="131"/>
      <c r="CO2" s="131" t="s">
        <v>38</v>
      </c>
      <c r="CP2" s="131" t="s">
        <v>38</v>
      </c>
      <c r="CQ2" s="131"/>
      <c r="CR2" s="164"/>
      <c r="CS2" s="131"/>
      <c r="CT2" s="131" t="s">
        <v>38</v>
      </c>
      <c r="CU2" s="131"/>
      <c r="CV2" s="131" t="s">
        <v>38</v>
      </c>
      <c r="CW2" s="131" t="s">
        <v>38</v>
      </c>
      <c r="CX2" s="131"/>
      <c r="CY2" s="164"/>
      <c r="CZ2" s="131"/>
      <c r="DA2" s="131" t="s">
        <v>38</v>
      </c>
      <c r="DB2" s="131"/>
      <c r="DC2" s="131" t="s">
        <v>38</v>
      </c>
      <c r="DD2" s="131" t="s">
        <v>38</v>
      </c>
      <c r="DE2" s="131"/>
      <c r="DF2" s="164"/>
      <c r="DG2" s="131"/>
      <c r="DH2" s="131" t="s">
        <v>38</v>
      </c>
      <c r="DI2" s="131"/>
      <c r="DJ2" s="131" t="s">
        <v>38</v>
      </c>
      <c r="DK2" s="131" t="s">
        <v>38</v>
      </c>
      <c r="DL2" s="131"/>
      <c r="DM2" s="164"/>
      <c r="DN2" s="131"/>
      <c r="DO2" s="131" t="s">
        <v>38</v>
      </c>
      <c r="DP2" s="131"/>
      <c r="DQ2" s="131" t="s">
        <v>38</v>
      </c>
      <c r="DR2" s="131" t="s">
        <v>38</v>
      </c>
      <c r="DS2" s="131"/>
      <c r="DT2" s="164"/>
      <c r="DU2" s="131"/>
      <c r="DV2" s="131" t="s">
        <v>38</v>
      </c>
      <c r="DW2" s="131"/>
      <c r="DX2" s="131" t="s">
        <v>38</v>
      </c>
      <c r="DY2" s="131" t="s">
        <v>38</v>
      </c>
      <c r="DZ2" s="131"/>
      <c r="EA2" s="164"/>
      <c r="EB2" s="131"/>
      <c r="EC2" s="131" t="s">
        <v>38</v>
      </c>
      <c r="ED2" s="131"/>
      <c r="EE2" s="131" t="s">
        <v>38</v>
      </c>
      <c r="EF2" s="131" t="s">
        <v>38</v>
      </c>
      <c r="EG2" s="131"/>
      <c r="EH2" s="164"/>
      <c r="EI2" s="131"/>
      <c r="EJ2" s="131" t="s">
        <v>38</v>
      </c>
      <c r="EK2" s="131"/>
      <c r="EL2" s="131" t="s">
        <v>38</v>
      </c>
      <c r="EM2" s="131" t="s">
        <v>38</v>
      </c>
      <c r="EN2" s="131"/>
      <c r="EO2" s="164"/>
      <c r="EP2" s="131"/>
      <c r="EQ2" s="131" t="s">
        <v>38</v>
      </c>
      <c r="ER2" s="131"/>
      <c r="ES2" s="131" t="s">
        <v>38</v>
      </c>
      <c r="ET2" s="131" t="s">
        <v>38</v>
      </c>
      <c r="EU2" s="131"/>
      <c r="EV2" s="164"/>
      <c r="EW2" s="131"/>
      <c r="EX2" s="131" t="s">
        <v>38</v>
      </c>
      <c r="EY2" s="131"/>
      <c r="EZ2" s="131" t="s">
        <v>38</v>
      </c>
      <c r="FA2" s="131" t="s">
        <v>38</v>
      </c>
      <c r="FB2" s="131"/>
      <c r="FC2" s="164"/>
      <c r="FD2" s="131"/>
      <c r="FE2" s="131" t="s">
        <v>38</v>
      </c>
      <c r="FF2" s="131"/>
      <c r="FG2" s="131" t="s">
        <v>38</v>
      </c>
      <c r="FH2" s="131" t="s">
        <v>38</v>
      </c>
      <c r="FI2" s="131"/>
      <c r="FJ2" s="164"/>
      <c r="FK2" s="131"/>
      <c r="FL2" s="131" t="s">
        <v>38</v>
      </c>
      <c r="FM2" s="131"/>
      <c r="FN2" s="131" t="s">
        <v>38</v>
      </c>
      <c r="FO2" s="131" t="s">
        <v>38</v>
      </c>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27</v>
      </c>
      <c r="L3" s="191">
        <f t="shared" ref="L3:L16" si="6">K3/(K$20 - COUNTIF(M3:HP3, "x")) * 100</f>
        <v>90</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v>1</v>
      </c>
      <c r="BZ3" s="34">
        <v>1</v>
      </c>
      <c r="CA3" s="34">
        <v>1</v>
      </c>
      <c r="CB3" s="148">
        <v>1</v>
      </c>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758</v>
      </c>
      <c r="K4" s="19">
        <f t="shared" ref="K4" si="7">SUM(M4:HP4)</f>
        <v>4</v>
      </c>
      <c r="L4" s="192">
        <f t="shared" si="6"/>
        <v>13.333333333333334</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v>1</v>
      </c>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27</v>
      </c>
      <c r="L5" s="192">
        <f t="shared" si="6"/>
        <v>90</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148">
        <v>1</v>
      </c>
      <c r="BV5" s="34"/>
      <c r="BW5" s="7"/>
      <c r="BX5" s="34"/>
      <c r="BY5" s="34">
        <v>1</v>
      </c>
      <c r="BZ5" s="34">
        <v>1</v>
      </c>
      <c r="CA5" s="34">
        <v>1</v>
      </c>
      <c r="CB5" s="34">
        <v>1</v>
      </c>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758</v>
      </c>
      <c r="K6" s="19">
        <f t="shared" si="5"/>
        <v>18</v>
      </c>
      <c r="L6" s="192">
        <f t="shared" si="6"/>
        <v>60</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v>1</v>
      </c>
      <c r="CA6" s="34">
        <v>1</v>
      </c>
      <c r="CB6" s="148">
        <v>1</v>
      </c>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946</v>
      </c>
      <c r="K7" s="19">
        <f t="shared" ref="K7" si="9">SUM(M7:HP7)</f>
        <v>17</v>
      </c>
      <c r="L7" s="192">
        <f t="shared" si="6"/>
        <v>80.952380952380949</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v>1</v>
      </c>
      <c r="BZ7" s="148">
        <v>1</v>
      </c>
      <c r="CA7" s="148">
        <v>1</v>
      </c>
      <c r="CB7" s="148">
        <v>1</v>
      </c>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947</v>
      </c>
      <c r="K8" s="19">
        <f t="shared" si="5"/>
        <v>17</v>
      </c>
      <c r="L8" s="192">
        <f t="shared" si="6"/>
        <v>56.666666666666664</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148">
        <v>1</v>
      </c>
      <c r="BZ8" s="148">
        <v>1</v>
      </c>
      <c r="CA8" s="148">
        <v>1</v>
      </c>
      <c r="CB8" s="148">
        <v>1</v>
      </c>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788</v>
      </c>
      <c r="K9" s="19">
        <f t="shared" ref="K9" si="10">SUM(M9:HP9)</f>
        <v>4</v>
      </c>
      <c r="L9" s="192">
        <f t="shared" si="6"/>
        <v>13.333333333333334</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v>1</v>
      </c>
      <c r="BV9" s="34"/>
      <c r="BW9" s="7"/>
      <c r="BX9" s="34"/>
      <c r="BY9" s="34"/>
      <c r="BZ9" s="34"/>
      <c r="CA9" s="34"/>
      <c r="CB9" s="148">
        <v>1</v>
      </c>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849</v>
      </c>
      <c r="K10" s="19">
        <f t="shared" ref="K10" si="11">SUM(M10:HP10)</f>
        <v>16</v>
      </c>
      <c r="L10" s="192">
        <f t="shared" si="6"/>
        <v>72.727272727272734</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148">
        <v>1</v>
      </c>
      <c r="BZ10" s="148">
        <v>1</v>
      </c>
      <c r="CA10" s="148">
        <v>1</v>
      </c>
      <c r="CB10" s="148">
        <v>1</v>
      </c>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947</v>
      </c>
      <c r="K11" s="19">
        <f t="shared" si="5"/>
        <v>28</v>
      </c>
      <c r="L11" s="192">
        <f t="shared" si="6"/>
        <v>93.333333333333329</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148">
        <v>1</v>
      </c>
      <c r="BZ11" s="148">
        <v>1</v>
      </c>
      <c r="CA11" s="148">
        <v>1</v>
      </c>
      <c r="CB11" s="148">
        <v>1</v>
      </c>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27</v>
      </c>
      <c r="L12" s="192">
        <f t="shared" si="6"/>
        <v>90</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148">
        <v>1</v>
      </c>
      <c r="BV12" s="34"/>
      <c r="BW12" s="7"/>
      <c r="BX12" s="34"/>
      <c r="BY12" s="148">
        <v>1</v>
      </c>
      <c r="BZ12" s="148">
        <v>1</v>
      </c>
      <c r="CA12" s="148">
        <v>1</v>
      </c>
      <c r="CB12" s="148">
        <v>1</v>
      </c>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26</v>
      </c>
      <c r="L13" s="192">
        <f t="shared" si="6"/>
        <v>86.666666666666671</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148">
        <v>1</v>
      </c>
      <c r="BZ13" s="148">
        <v>1</v>
      </c>
      <c r="CA13" s="148">
        <v>1</v>
      </c>
      <c r="CB13" s="148">
        <v>1</v>
      </c>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931</v>
      </c>
      <c r="K14" s="19">
        <f t="shared" ref="K14" si="13">SUM(M14:HP14)</f>
        <v>15</v>
      </c>
      <c r="L14" s="192">
        <f t="shared" si="6"/>
        <v>68.181818181818173</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148">
        <v>1</v>
      </c>
      <c r="BZ14" s="148">
        <v>1</v>
      </c>
      <c r="CA14" s="148">
        <v>1</v>
      </c>
      <c r="CB14" s="148">
        <v>1</v>
      </c>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932</v>
      </c>
      <c r="K15" s="200">
        <f t="shared" si="5"/>
        <v>5</v>
      </c>
      <c r="L15" s="193">
        <f t="shared" si="6"/>
        <v>16.666666666666664</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v>1</v>
      </c>
      <c r="BV15" s="93"/>
      <c r="BW15" s="92"/>
      <c r="BX15" s="93"/>
      <c r="BY15" s="93"/>
      <c r="BZ15" s="93"/>
      <c r="CA15" s="93"/>
      <c r="CB15" s="93">
        <v>1</v>
      </c>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849</v>
      </c>
      <c r="K16" s="198">
        <f t="shared" si="5"/>
        <v>30</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148">
        <v>1</v>
      </c>
      <c r="BV16" s="34"/>
      <c r="BW16" s="7"/>
      <c r="BX16" s="34"/>
      <c r="BY16" s="148">
        <v>1</v>
      </c>
      <c r="BZ16" s="148">
        <v>1</v>
      </c>
      <c r="CA16" s="148">
        <v>1</v>
      </c>
      <c r="CB16" s="148">
        <v>1</v>
      </c>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948</v>
      </c>
      <c r="K17" s="199">
        <f>SUM(M17:HP17)</f>
        <v>2</v>
      </c>
      <c r="L17" s="84">
        <f>K17/(K$20 - COUNTIF(M17:HP17, "x")) * 100</f>
        <v>6.666666666666667</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148">
        <v>1</v>
      </c>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21</v>
      </c>
      <c r="L18" s="187">
        <f t="shared" ref="L18:L19" si="14">K18/K$20 * 100</f>
        <v>70</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f t="shared" si="15"/>
        <v>8</v>
      </c>
      <c r="BU18" s="150">
        <f t="shared" si="15"/>
        <v>4</v>
      </c>
      <c r="BV18" s="150" t="str">
        <f t="shared" si="15"/>
        <v/>
      </c>
      <c r="BW18" s="166" t="str">
        <f t="shared" si="15"/>
        <v/>
      </c>
      <c r="BX18" s="186" t="str">
        <f t="shared" si="15"/>
        <v/>
      </c>
      <c r="BY18" s="150">
        <f t="shared" ref="BY18:EJ18" si="16">IF(SUM(BY3:BY15) &gt; 0, SUM(BY3:BY15), "")</f>
        <v>9</v>
      </c>
      <c r="BZ18" s="150">
        <f t="shared" si="16"/>
        <v>10</v>
      </c>
      <c r="CA18" s="150">
        <f t="shared" si="16"/>
        <v>10</v>
      </c>
      <c r="CB18" s="150">
        <f t="shared" si="16"/>
        <v>13</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20.23076923076923</v>
      </c>
      <c r="L19" s="212">
        <f t="shared" si="14"/>
        <v>67.435897435897431</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f t="shared" si="19"/>
        <v>9</v>
      </c>
      <c r="BU19" s="160">
        <f t="shared" si="19"/>
        <v>5</v>
      </c>
      <c r="BV19" s="160" t="str">
        <f t="shared" si="19"/>
        <v/>
      </c>
      <c r="BW19" s="167" t="str">
        <f t="shared" si="19"/>
        <v/>
      </c>
      <c r="BX19" s="160" t="str">
        <f t="shared" si="19"/>
        <v/>
      </c>
      <c r="BY19" s="160">
        <f t="shared" si="19"/>
        <v>10</v>
      </c>
      <c r="BZ19" s="160">
        <f t="shared" ref="BZ19:EK19" si="20">IF(SUM(BZ3:BZ17) &gt; 0, SUM(BZ3:BZ17), "")</f>
        <v>11</v>
      </c>
      <c r="CA19" s="160">
        <f t="shared" si="20"/>
        <v>11</v>
      </c>
      <c r="CB19" s="160">
        <f t="shared" si="20"/>
        <v>15</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30</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v>1</v>
      </c>
      <c r="BU20" s="168">
        <v>1</v>
      </c>
      <c r="BV20" s="168"/>
      <c r="BW20" s="213"/>
      <c r="BX20" s="168"/>
      <c r="BY20" s="168">
        <v>1</v>
      </c>
      <c r="BZ20" s="168">
        <v>1</v>
      </c>
      <c r="CA20" s="168">
        <v>1</v>
      </c>
      <c r="CB20" s="168">
        <v>1</v>
      </c>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872</v>
      </c>
      <c r="I39" s="142" t="s">
        <v>680</v>
      </c>
      <c r="J39" t="s">
        <v>869</v>
      </c>
      <c r="K39" s="44" t="s">
        <v>873</v>
      </c>
      <c r="L39" t="s">
        <v>874</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CD</v>
      </c>
      <c r="D43" t="s">
        <v>875</v>
      </c>
      <c r="H43" t="s">
        <v>876</v>
      </c>
      <c r="I43" s="142" t="s">
        <v>680</v>
      </c>
      <c r="J43" t="s">
        <v>877</v>
      </c>
      <c r="K43" s="44" t="s">
        <v>878</v>
      </c>
      <c r="L43" t="s">
        <v>879</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BO18:BP18 BL18:BN18 BF18:BK18 AY18:BD18 AV18:AX18 BE18 BQ18:CB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workbookViewId="0">
      <pane xSplit="12" topLeftCell="AQ1" activePane="topRight" state="frozen"/>
      <selection pane="topRight" activeCell="CT25" sqref="CT25"/>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t="s">
        <v>38</v>
      </c>
      <c r="DY2" s="131" t="s">
        <v>38</v>
      </c>
      <c r="DZ2" s="131"/>
      <c r="EA2" s="131" t="s">
        <v>38</v>
      </c>
      <c r="EB2" s="131" t="s">
        <v>38</v>
      </c>
      <c r="EC2" s="131"/>
      <c r="ED2" s="164"/>
      <c r="EE2" s="131" t="s">
        <v>38</v>
      </c>
      <c r="EF2" s="131" t="s">
        <v>38</v>
      </c>
      <c r="EG2" s="131"/>
      <c r="EH2" s="131" t="s">
        <v>38</v>
      </c>
      <c r="EI2" s="131" t="s">
        <v>38</v>
      </c>
      <c r="EJ2" s="131"/>
      <c r="EK2" s="164"/>
      <c r="EL2" s="131" t="s">
        <v>38</v>
      </c>
      <c r="EM2" s="131" t="s">
        <v>38</v>
      </c>
      <c r="EN2" s="131"/>
      <c r="EO2" s="131" t="s">
        <v>38</v>
      </c>
      <c r="EP2" s="131" t="s">
        <v>38</v>
      </c>
      <c r="EQ2" s="131"/>
      <c r="ER2" s="164"/>
      <c r="ES2" s="131" t="s">
        <v>38</v>
      </c>
      <c r="ET2" s="131" t="s">
        <v>38</v>
      </c>
      <c r="EU2" s="131"/>
      <c r="EV2" s="131" t="s">
        <v>38</v>
      </c>
      <c r="EW2" s="131" t="s">
        <v>38</v>
      </c>
      <c r="EX2" s="131"/>
      <c r="EY2" s="164"/>
      <c r="EZ2" s="131" t="s">
        <v>38</v>
      </c>
      <c r="FA2" s="131" t="s">
        <v>38</v>
      </c>
      <c r="FB2" s="131"/>
      <c r="FC2" s="131" t="s">
        <v>38</v>
      </c>
      <c r="FD2" s="131" t="s">
        <v>38</v>
      </c>
      <c r="FE2" s="131"/>
      <c r="FF2" s="164"/>
      <c r="FG2" s="131" t="s">
        <v>38</v>
      </c>
      <c r="FH2" s="131" t="s">
        <v>38</v>
      </c>
      <c r="FI2" s="131"/>
      <c r="FJ2" s="131" t="s">
        <v>38</v>
      </c>
      <c r="FK2" s="131" t="s">
        <v>38</v>
      </c>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758</v>
      </c>
      <c r="K3" s="36">
        <f>SUM(M3:IU3)</f>
        <v>63</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CZ3">
        <v>1</v>
      </c>
      <c r="DB3" s="7"/>
      <c r="DD3">
        <v>1</v>
      </c>
      <c r="DF3">
        <v>1</v>
      </c>
      <c r="DG3">
        <v>1</v>
      </c>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826</v>
      </c>
      <c r="K4" s="19">
        <f t="shared" ref="K4:K22" si="7">SUM(M4:IU4)</f>
        <v>38</v>
      </c>
      <c r="L4" s="192">
        <f t="shared" si="5"/>
        <v>61.29032258064516</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CZ4">
        <v>1</v>
      </c>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758</v>
      </c>
      <c r="K5" s="19">
        <f t="shared" si="7"/>
        <v>59</v>
      </c>
      <c r="L5" s="192">
        <f t="shared" si="5"/>
        <v>93.650793650793645</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CZ5">
        <v>1</v>
      </c>
      <c r="DB5" s="7"/>
      <c r="DD5">
        <v>1</v>
      </c>
      <c r="DF5">
        <v>1</v>
      </c>
      <c r="DG5">
        <v>1</v>
      </c>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849</v>
      </c>
      <c r="K6" s="19">
        <f t="shared" si="7"/>
        <v>51</v>
      </c>
      <c r="L6" s="192">
        <f t="shared" si="5"/>
        <v>80.952380952380949</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CZ6">
        <v>1</v>
      </c>
      <c r="DB6" s="7"/>
      <c r="DD6">
        <v>1</v>
      </c>
      <c r="DF6">
        <v>1</v>
      </c>
      <c r="DG6">
        <v>1</v>
      </c>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849</v>
      </c>
      <c r="K7" s="19">
        <f t="shared" si="7"/>
        <v>54</v>
      </c>
      <c r="L7" s="192">
        <f t="shared" si="5"/>
        <v>87.096774193548384</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CZ7">
        <v>1</v>
      </c>
      <c r="DB7" s="7"/>
      <c r="DD7">
        <v>1</v>
      </c>
      <c r="DF7">
        <v>1</v>
      </c>
      <c r="DG7">
        <v>1</v>
      </c>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947</v>
      </c>
      <c r="K8" s="19">
        <f t="shared" si="7"/>
        <v>44</v>
      </c>
      <c r="L8" s="192">
        <f t="shared" si="5"/>
        <v>70.967741935483872</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G8">
        <v>1</v>
      </c>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758</v>
      </c>
      <c r="K9" s="19">
        <f t="shared" si="7"/>
        <v>58</v>
      </c>
      <c r="L9" s="192">
        <f t="shared" si="5"/>
        <v>92.063492063492063</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CZ9">
        <v>1</v>
      </c>
      <c r="DB9" s="7"/>
      <c r="DD9">
        <v>1</v>
      </c>
      <c r="DF9">
        <v>1</v>
      </c>
      <c r="DG9">
        <v>1</v>
      </c>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947</v>
      </c>
      <c r="K10" s="19">
        <f t="shared" si="7"/>
        <v>58</v>
      </c>
      <c r="L10" s="192">
        <f t="shared" si="5"/>
        <v>92.063492063492063</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CZ10">
        <v>1</v>
      </c>
      <c r="DB10" s="7"/>
      <c r="DD10">
        <v>1</v>
      </c>
      <c r="DF10">
        <v>1</v>
      </c>
      <c r="DG10">
        <v>1</v>
      </c>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947</v>
      </c>
      <c r="K11" s="19">
        <f t="shared" si="7"/>
        <v>44</v>
      </c>
      <c r="L11" s="192">
        <f t="shared" si="5"/>
        <v>69.841269841269835</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D11">
        <v>1</v>
      </c>
      <c r="DF11">
        <v>1</v>
      </c>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947</v>
      </c>
      <c r="K12" s="19">
        <f t="shared" si="7"/>
        <v>59</v>
      </c>
      <c r="L12" s="192">
        <f t="shared" si="5"/>
        <v>93.650793650793645</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CZ12">
        <v>1</v>
      </c>
      <c r="DB12" s="7"/>
      <c r="DD12">
        <v>1</v>
      </c>
      <c r="DF12">
        <v>1</v>
      </c>
      <c r="DG12">
        <v>1</v>
      </c>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947</v>
      </c>
      <c r="K13" s="19">
        <f t="shared" si="7"/>
        <v>54</v>
      </c>
      <c r="L13" s="192">
        <f t="shared" si="5"/>
        <v>85.714285714285708</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CZ13">
        <v>1</v>
      </c>
      <c r="DB13" s="7"/>
      <c r="DD13">
        <v>1</v>
      </c>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CZ14" t="s">
        <v>765</v>
      </c>
      <c r="DB14" s="7"/>
      <c r="DD14" t="s">
        <v>765</v>
      </c>
      <c r="DF14" t="s">
        <v>765</v>
      </c>
      <c r="DG14" t="s">
        <v>765</v>
      </c>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CZ15" t="s">
        <v>765</v>
      </c>
      <c r="DB15" s="7"/>
      <c r="DD15" t="s">
        <v>765</v>
      </c>
      <c r="DF15" t="s">
        <v>765</v>
      </c>
      <c r="DG15" t="s">
        <v>765</v>
      </c>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758</v>
      </c>
      <c r="K16" s="19">
        <f t="shared" si="7"/>
        <v>61</v>
      </c>
      <c r="L16" s="192">
        <f t="shared" si="8"/>
        <v>96.825396825396822</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D16">
        <v>1</v>
      </c>
      <c r="DF16">
        <v>1</v>
      </c>
      <c r="DG16">
        <v>1</v>
      </c>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758</v>
      </c>
      <c r="K17" s="19">
        <f t="shared" si="7"/>
        <v>57</v>
      </c>
      <c r="L17" s="192">
        <f t="shared" si="8"/>
        <v>91.935483870967744</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CZ17">
        <v>1</v>
      </c>
      <c r="DB17" s="7"/>
      <c r="DD17">
        <v>1</v>
      </c>
      <c r="DF17">
        <v>1</v>
      </c>
      <c r="DG17">
        <v>1</v>
      </c>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57</v>
      </c>
      <c r="L18" s="192">
        <f t="shared" si="8"/>
        <v>90.476190476190482</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CZ18">
        <v>1</v>
      </c>
      <c r="DB18" s="7"/>
      <c r="DD18">
        <v>1</v>
      </c>
      <c r="DF18">
        <v>1</v>
      </c>
      <c r="DG18">
        <v>1</v>
      </c>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CZ19" t="s">
        <v>765</v>
      </c>
      <c r="DB19" s="7"/>
      <c r="DD19" t="s">
        <v>765</v>
      </c>
      <c r="DF19" t="s">
        <v>765</v>
      </c>
      <c r="DG19" t="s">
        <v>765</v>
      </c>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758</v>
      </c>
      <c r="K20" s="10">
        <f t="shared" si="7"/>
        <v>52</v>
      </c>
      <c r="L20" s="192">
        <f t="shared" ref="L20:L24" si="9">K20/K$25 * 100</f>
        <v>82.539682539682531</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v>1</v>
      </c>
      <c r="DA20" s="140"/>
      <c r="DB20" s="165"/>
      <c r="DC20" s="140"/>
      <c r="DD20" s="140">
        <v>1</v>
      </c>
      <c r="DE20" s="140"/>
      <c r="DF20" s="140">
        <v>1</v>
      </c>
      <c r="DG20" s="140">
        <v>1</v>
      </c>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29</v>
      </c>
      <c r="L21" s="192">
        <f t="shared" si="9"/>
        <v>46.031746031746032</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148">
        <v>1</v>
      </c>
      <c r="DA21" s="34"/>
      <c r="DB21" s="7"/>
      <c r="DC21" s="34"/>
      <c r="DD21" s="148"/>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849</v>
      </c>
      <c r="K22" s="169">
        <f t="shared" si="7"/>
        <v>57</v>
      </c>
      <c r="L22" s="194">
        <f t="shared" si="9"/>
        <v>90.476190476190482</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148">
        <v>1</v>
      </c>
      <c r="CZ22" s="34"/>
      <c r="DA22" s="34"/>
      <c r="DB22" s="7"/>
      <c r="DC22" s="34"/>
      <c r="DD22" s="148">
        <v>1</v>
      </c>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49.117647058823529</v>
      </c>
      <c r="L23" s="187">
        <f t="shared" si="9"/>
        <v>77.964519140989736</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f t="shared" si="22"/>
        <v>8</v>
      </c>
      <c r="CZ23" s="150">
        <f t="shared" si="22"/>
        <v>11</v>
      </c>
      <c r="DA23" s="150" t="str">
        <f t="shared" si="22"/>
        <v/>
      </c>
      <c r="DB23" s="166" t="str">
        <f t="shared" si="22"/>
        <v/>
      </c>
      <c r="DC23" s="186" t="str">
        <f>IF(SUM(DC3:DC19) &gt; 0, SUM(DC3:DC19), "")</f>
        <v/>
      </c>
      <c r="DD23" s="150">
        <f t="shared" ref="DD23:DI23" si="23">IF(SUM(DD3:DD19) &gt; 0, SUM(DD3:DD19), "")</f>
        <v>12</v>
      </c>
      <c r="DE23" s="150" t="str">
        <f t="shared" si="23"/>
        <v/>
      </c>
      <c r="DF23" s="150">
        <f t="shared" si="23"/>
        <v>11</v>
      </c>
      <c r="DG23" s="150">
        <f t="shared" si="23"/>
        <v>11</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51.210526315789473</v>
      </c>
      <c r="L24" s="190">
        <f t="shared" si="9"/>
        <v>81.286549707602347</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f t="shared" si="58"/>
        <v>10</v>
      </c>
      <c r="CZ24" s="160">
        <f t="shared" si="58"/>
        <v>13</v>
      </c>
      <c r="DA24" s="160" t="str">
        <f t="shared" si="58"/>
        <v/>
      </c>
      <c r="DB24" s="167" t="str">
        <f t="shared" si="58"/>
        <v/>
      </c>
      <c r="DC24" s="173" t="str">
        <f>IF(SUM(DC3:DC22) &gt; 0, SUM(DC3:DC22), "")</f>
        <v/>
      </c>
      <c r="DD24" s="160">
        <f t="shared" ref="DD24:DI24" si="59">IF(SUM(DD3:DD22) &gt; 0, SUM(DD3:DD22), "")</f>
        <v>14</v>
      </c>
      <c r="DE24" s="160" t="str">
        <f t="shared" si="59"/>
        <v/>
      </c>
      <c r="DF24" s="160">
        <f t="shared" si="59"/>
        <v>12</v>
      </c>
      <c r="DG24" s="160">
        <f t="shared" si="59"/>
        <v>12</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63</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v>1</v>
      </c>
      <c r="CZ25" s="170">
        <v>1</v>
      </c>
      <c r="DA25" s="170"/>
      <c r="DB25" s="172"/>
      <c r="DC25" s="170"/>
      <c r="DD25" s="170">
        <v>1</v>
      </c>
      <c r="DE25" s="170"/>
      <c r="DF25" s="170">
        <v>1</v>
      </c>
      <c r="DG25" s="170">
        <v>1</v>
      </c>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DI</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50"/>
  <sheetViews>
    <sheetView workbookViewId="0">
      <selection activeCell="B2" sqref="B2"/>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2"/>
      <c r="B5" s="73"/>
    </row>
    <row r="6" spans="1:4" x14ac:dyDescent="0.25">
      <c r="A6" s="75">
        <v>44295</v>
      </c>
      <c r="B6" s="74" t="s">
        <v>953</v>
      </c>
      <c r="C6" s="74"/>
      <c r="D6" s="74" t="s">
        <v>954</v>
      </c>
    </row>
    <row r="7" spans="1:4" ht="30" x14ac:dyDescent="0.25">
      <c r="A7" s="72"/>
      <c r="B7" s="76" t="s">
        <v>956</v>
      </c>
      <c r="D7" s="1" t="s">
        <v>955</v>
      </c>
    </row>
    <row r="8" spans="1:4" x14ac:dyDescent="0.25">
      <c r="A8" s="75">
        <v>44294</v>
      </c>
      <c r="B8" s="74" t="s">
        <v>951</v>
      </c>
      <c r="C8" s="74"/>
      <c r="D8" s="74" t="s">
        <v>952</v>
      </c>
    </row>
    <row r="9" spans="1:4" ht="105" x14ac:dyDescent="0.25">
      <c r="A9" s="72"/>
      <c r="B9" s="76" t="s">
        <v>957</v>
      </c>
      <c r="D9" s="1" t="s">
        <v>958</v>
      </c>
    </row>
    <row r="10" spans="1:4" x14ac:dyDescent="0.25">
      <c r="A10" s="75">
        <v>37353</v>
      </c>
      <c r="B10" s="73"/>
      <c r="D10" s="74" t="s">
        <v>949</v>
      </c>
    </row>
    <row r="11" spans="1:4" ht="75" x14ac:dyDescent="0.25">
      <c r="A11" s="72"/>
      <c r="B11" s="73"/>
      <c r="D11" s="1" t="s">
        <v>950</v>
      </c>
    </row>
    <row r="12" spans="1:4" x14ac:dyDescent="0.25">
      <c r="A12" s="75">
        <v>44292</v>
      </c>
      <c r="B12" s="74" t="s">
        <v>935</v>
      </c>
      <c r="C12" s="74"/>
      <c r="D12" s="74" t="s">
        <v>937</v>
      </c>
    </row>
    <row r="13" spans="1:4" ht="165" x14ac:dyDescent="0.25">
      <c r="A13" s="72"/>
      <c r="B13" s="76" t="s">
        <v>945</v>
      </c>
      <c r="D13" s="1" t="s">
        <v>944</v>
      </c>
    </row>
    <row r="14" spans="1:4" x14ac:dyDescent="0.25">
      <c r="A14" s="72"/>
      <c r="B14" s="73"/>
    </row>
    <row r="15" spans="1:4" x14ac:dyDescent="0.25">
      <c r="A15" s="75">
        <v>44288</v>
      </c>
      <c r="B15" s="74" t="s">
        <v>935</v>
      </c>
      <c r="C15" s="74"/>
      <c r="D15" s="74" t="s">
        <v>941</v>
      </c>
    </row>
    <row r="16" spans="1:4" ht="105" x14ac:dyDescent="0.25">
      <c r="A16" s="72"/>
      <c r="B16" s="76" t="s">
        <v>943</v>
      </c>
      <c r="D16" s="1" t="s">
        <v>942</v>
      </c>
    </row>
    <row r="17" spans="1:4" x14ac:dyDescent="0.25">
      <c r="A17" s="75">
        <v>44287</v>
      </c>
      <c r="B17" s="74" t="s">
        <v>937</v>
      </c>
      <c r="C17" s="74"/>
      <c r="D17" s="74" t="s">
        <v>938</v>
      </c>
    </row>
    <row r="18" spans="1:4" ht="105" x14ac:dyDescent="0.25">
      <c r="A18" s="72"/>
      <c r="B18" s="76" t="s">
        <v>940</v>
      </c>
      <c r="D18" s="1" t="s">
        <v>939</v>
      </c>
    </row>
    <row r="19" spans="1:4" x14ac:dyDescent="0.25">
      <c r="A19" s="75">
        <v>44285</v>
      </c>
      <c r="B19" s="74" t="s">
        <v>935</v>
      </c>
      <c r="C19" s="74"/>
      <c r="D19" s="74" t="s">
        <v>933</v>
      </c>
    </row>
    <row r="20" spans="1:4" ht="60" x14ac:dyDescent="0.25">
      <c r="A20" s="72"/>
      <c r="B20" s="76" t="s">
        <v>936</v>
      </c>
      <c r="D20" s="1" t="s">
        <v>934</v>
      </c>
    </row>
    <row r="21" spans="1:4" x14ac:dyDescent="0.25">
      <c r="A21" s="75">
        <v>44284</v>
      </c>
      <c r="B21" s="74" t="s">
        <v>929</v>
      </c>
    </row>
    <row r="22" spans="1:4" ht="105" x14ac:dyDescent="0.25">
      <c r="A22" s="72"/>
      <c r="B22" s="76" t="s">
        <v>930</v>
      </c>
    </row>
    <row r="23" spans="1:4" x14ac:dyDescent="0.25">
      <c r="A23" s="72"/>
      <c r="B23" s="73"/>
    </row>
    <row r="24" spans="1:4" x14ac:dyDescent="0.25">
      <c r="A24" s="75">
        <v>44283</v>
      </c>
      <c r="B24" s="74"/>
      <c r="C24" s="74"/>
      <c r="D24" s="74" t="s">
        <v>772</v>
      </c>
    </row>
    <row r="25" spans="1:4" ht="45" x14ac:dyDescent="0.25">
      <c r="A25" s="72"/>
      <c r="B25" s="73"/>
      <c r="D25" s="1" t="s">
        <v>928</v>
      </c>
    </row>
    <row r="26" spans="1:4" x14ac:dyDescent="0.25">
      <c r="A26" s="75">
        <v>44282</v>
      </c>
      <c r="B26" s="74" t="s">
        <v>602</v>
      </c>
      <c r="C26" s="74"/>
      <c r="D26" s="74" t="s">
        <v>571</v>
      </c>
    </row>
    <row r="27" spans="1:4" ht="75" x14ac:dyDescent="0.25">
      <c r="A27" s="72"/>
      <c r="B27" s="76" t="s">
        <v>926</v>
      </c>
      <c r="D27" s="1" t="s">
        <v>927</v>
      </c>
    </row>
    <row r="28" spans="1:4" x14ac:dyDescent="0.25">
      <c r="A28" s="75">
        <v>44281</v>
      </c>
      <c r="B28" s="74" t="s">
        <v>892</v>
      </c>
      <c r="C28" s="74"/>
      <c r="D28" s="74" t="s">
        <v>893</v>
      </c>
    </row>
    <row r="29" spans="1:4" ht="60" x14ac:dyDescent="0.25">
      <c r="A29" s="72"/>
      <c r="B29" s="76" t="s">
        <v>894</v>
      </c>
      <c r="D29" s="1" t="s">
        <v>891</v>
      </c>
    </row>
    <row r="30" spans="1:4" x14ac:dyDescent="0.25">
      <c r="A30" s="75">
        <v>44280</v>
      </c>
      <c r="B30" s="74" t="s">
        <v>882</v>
      </c>
      <c r="C30" s="74"/>
      <c r="D30" s="74" t="s">
        <v>808</v>
      </c>
    </row>
    <row r="31" spans="1:4" ht="60" x14ac:dyDescent="0.25">
      <c r="A31" s="72"/>
      <c r="B31" s="76" t="s">
        <v>895</v>
      </c>
      <c r="D31" s="1" t="s">
        <v>890</v>
      </c>
    </row>
    <row r="32" spans="1:4" x14ac:dyDescent="0.25">
      <c r="A32" s="75">
        <v>44279</v>
      </c>
      <c r="B32" s="74" t="s">
        <v>834</v>
      </c>
      <c r="C32" s="74"/>
      <c r="D32" s="74" t="s">
        <v>889</v>
      </c>
    </row>
    <row r="33" spans="1:4" x14ac:dyDescent="0.25">
      <c r="A33" s="72"/>
      <c r="B33" s="73" t="s">
        <v>887</v>
      </c>
      <c r="D33" t="s">
        <v>888</v>
      </c>
    </row>
    <row r="34" spans="1:4" x14ac:dyDescent="0.25">
      <c r="A34" s="75">
        <v>44278</v>
      </c>
      <c r="B34" s="74" t="s">
        <v>882</v>
      </c>
      <c r="C34" s="74"/>
      <c r="D34" s="74" t="s">
        <v>884</v>
      </c>
    </row>
    <row r="35" spans="1:4" ht="135" x14ac:dyDescent="0.25">
      <c r="A35" s="72"/>
      <c r="B35" s="76" t="s">
        <v>883</v>
      </c>
      <c r="D35" s="1" t="s">
        <v>885</v>
      </c>
    </row>
    <row r="36" spans="1:4" x14ac:dyDescent="0.25">
      <c r="A36" s="75">
        <v>44277</v>
      </c>
      <c r="B36" s="74" t="s">
        <v>843</v>
      </c>
    </row>
    <row r="37" spans="1:4" ht="90" x14ac:dyDescent="0.25">
      <c r="A37" s="72"/>
      <c r="B37" s="76" t="s">
        <v>881</v>
      </c>
    </row>
    <row r="38" spans="1:4" x14ac:dyDescent="0.25">
      <c r="A38" s="72"/>
      <c r="B38" s="73"/>
    </row>
    <row r="39" spans="1:4" x14ac:dyDescent="0.25">
      <c r="A39" s="75">
        <v>44275</v>
      </c>
      <c r="B39" s="75" t="s">
        <v>865</v>
      </c>
    </row>
    <row r="40" spans="1:4" ht="30" x14ac:dyDescent="0.25">
      <c r="A40" s="72"/>
      <c r="B40" s="76" t="s">
        <v>866</v>
      </c>
    </row>
    <row r="41" spans="1:4" x14ac:dyDescent="0.25">
      <c r="A41" s="75">
        <v>44274</v>
      </c>
      <c r="B41" s="73"/>
      <c r="C41" s="74"/>
      <c r="D41" s="74" t="s">
        <v>808</v>
      </c>
    </row>
    <row r="42" spans="1:4" ht="90" x14ac:dyDescent="0.25">
      <c r="A42" s="72"/>
      <c r="B42" s="73"/>
      <c r="D42" s="1" t="s">
        <v>864</v>
      </c>
    </row>
    <row r="43" spans="1:4" x14ac:dyDescent="0.25">
      <c r="A43" s="75">
        <v>44273</v>
      </c>
      <c r="B43" s="74" t="s">
        <v>663</v>
      </c>
      <c r="C43" s="74"/>
      <c r="D43" s="74" t="s">
        <v>838</v>
      </c>
    </row>
    <row r="44" spans="1:4" ht="90" x14ac:dyDescent="0.25">
      <c r="A44" s="72"/>
      <c r="B44" s="76" t="s">
        <v>860</v>
      </c>
      <c r="D44" s="1" t="s">
        <v>859</v>
      </c>
    </row>
    <row r="45" spans="1:4" x14ac:dyDescent="0.25">
      <c r="A45" s="75">
        <v>44271</v>
      </c>
      <c r="B45" s="74" t="s">
        <v>843</v>
      </c>
      <c r="C45" s="74"/>
      <c r="D45" s="74" t="s">
        <v>834</v>
      </c>
    </row>
    <row r="46" spans="1:4" ht="60" x14ac:dyDescent="0.25">
      <c r="A46" s="72"/>
      <c r="B46" s="76" t="s">
        <v>862</v>
      </c>
      <c r="D46" s="1" t="s">
        <v>858</v>
      </c>
    </row>
    <row r="47" spans="1:4" x14ac:dyDescent="0.25">
      <c r="A47" s="75">
        <v>44270</v>
      </c>
      <c r="B47" s="74" t="s">
        <v>850</v>
      </c>
      <c r="C47" s="74"/>
      <c r="D47" s="74" t="s">
        <v>852</v>
      </c>
    </row>
    <row r="48" spans="1:4" ht="60" x14ac:dyDescent="0.25">
      <c r="A48" s="72"/>
      <c r="B48" s="76" t="s">
        <v>861</v>
      </c>
      <c r="D48" s="76" t="s">
        <v>853</v>
      </c>
    </row>
    <row r="49" spans="1:4" x14ac:dyDescent="0.25">
      <c r="A49" s="72"/>
      <c r="B49" s="73"/>
    </row>
    <row r="50" spans="1:4" x14ac:dyDescent="0.25">
      <c r="A50" s="75">
        <v>44268</v>
      </c>
      <c r="B50" s="74" t="s">
        <v>602</v>
      </c>
    </row>
    <row r="51" spans="1:4" ht="45" x14ac:dyDescent="0.25">
      <c r="A51" s="72"/>
      <c r="B51" s="76" t="s">
        <v>851</v>
      </c>
    </row>
    <row r="52" spans="1:4" x14ac:dyDescent="0.25">
      <c r="A52" s="75">
        <v>44267</v>
      </c>
      <c r="B52" s="74" t="s">
        <v>602</v>
      </c>
      <c r="C52" s="74"/>
      <c r="D52" s="74" t="s">
        <v>808</v>
      </c>
    </row>
    <row r="53" spans="1:4" ht="60" x14ac:dyDescent="0.25">
      <c r="A53" s="72"/>
      <c r="B53" s="76" t="s">
        <v>855</v>
      </c>
      <c r="D53" s="1" t="s">
        <v>854</v>
      </c>
    </row>
    <row r="54" spans="1:4" x14ac:dyDescent="0.25">
      <c r="A54" s="75">
        <v>44266</v>
      </c>
      <c r="B54" s="74" t="s">
        <v>850</v>
      </c>
      <c r="C54" s="74"/>
      <c r="D54" s="74" t="s">
        <v>838</v>
      </c>
    </row>
    <row r="55" spans="1:4" ht="60" x14ac:dyDescent="0.25">
      <c r="A55" s="72"/>
      <c r="B55" s="76" t="s">
        <v>856</v>
      </c>
      <c r="D55" s="76" t="s">
        <v>857</v>
      </c>
    </row>
    <row r="56" spans="1:4" x14ac:dyDescent="0.25">
      <c r="A56" s="75">
        <v>44264</v>
      </c>
      <c r="B56" s="74" t="s">
        <v>845</v>
      </c>
      <c r="C56" s="74"/>
      <c r="D56" s="74" t="s">
        <v>813</v>
      </c>
    </row>
    <row r="57" spans="1:4" ht="60" x14ac:dyDescent="0.25">
      <c r="A57" s="72"/>
      <c r="B57" s="73" t="s">
        <v>847</v>
      </c>
      <c r="D57" s="1" t="s">
        <v>846</v>
      </c>
    </row>
    <row r="58" spans="1:4" x14ac:dyDescent="0.25">
      <c r="A58" s="75">
        <v>44263</v>
      </c>
      <c r="B58" s="74" t="s">
        <v>843</v>
      </c>
    </row>
    <row r="59" spans="1:4" ht="45" x14ac:dyDescent="0.25">
      <c r="A59" s="72"/>
      <c r="B59" s="76" t="s">
        <v>844</v>
      </c>
    </row>
    <row r="60" spans="1:4" x14ac:dyDescent="0.25">
      <c r="A60" s="72"/>
      <c r="B60" s="73"/>
    </row>
    <row r="61" spans="1:4" x14ac:dyDescent="0.25">
      <c r="A61" s="75">
        <v>44260</v>
      </c>
      <c r="B61" s="74" t="s">
        <v>772</v>
      </c>
      <c r="C61" s="74"/>
      <c r="D61" s="74" t="s">
        <v>838</v>
      </c>
    </row>
    <row r="62" spans="1:4" ht="75" x14ac:dyDescent="0.25">
      <c r="A62" s="72"/>
      <c r="B62" s="76" t="s">
        <v>840</v>
      </c>
      <c r="D62" s="1" t="s">
        <v>839</v>
      </c>
    </row>
    <row r="63" spans="1:4" x14ac:dyDescent="0.25">
      <c r="A63" s="75">
        <v>44259</v>
      </c>
      <c r="B63" s="74" t="s">
        <v>664</v>
      </c>
      <c r="C63" s="74"/>
      <c r="D63" s="74" t="s">
        <v>834</v>
      </c>
    </row>
    <row r="64" spans="1:4" ht="60" x14ac:dyDescent="0.25">
      <c r="A64" s="72"/>
      <c r="B64" s="76" t="s">
        <v>837</v>
      </c>
      <c r="D64" s="1" t="s">
        <v>836</v>
      </c>
    </row>
    <row r="65" spans="1:4" x14ac:dyDescent="0.25">
      <c r="A65" s="75">
        <v>44257</v>
      </c>
      <c r="B65" s="74" t="s">
        <v>768</v>
      </c>
      <c r="C65" s="74"/>
      <c r="D65" s="74" t="s">
        <v>834</v>
      </c>
    </row>
    <row r="66" spans="1:4" ht="105" x14ac:dyDescent="0.25">
      <c r="A66" s="72"/>
      <c r="B66" s="76" t="s">
        <v>832</v>
      </c>
      <c r="D66" s="1" t="s">
        <v>835</v>
      </c>
    </row>
    <row r="67" spans="1:4" x14ac:dyDescent="0.25">
      <c r="A67" s="75">
        <v>44256</v>
      </c>
      <c r="B67" s="74" t="s">
        <v>664</v>
      </c>
    </row>
    <row r="68" spans="1:4" ht="45" x14ac:dyDescent="0.25">
      <c r="A68" s="72"/>
      <c r="B68" s="76" t="s">
        <v>833</v>
      </c>
    </row>
    <row r="69" spans="1:4" x14ac:dyDescent="0.25">
      <c r="A69" s="75">
        <v>44255</v>
      </c>
      <c r="B69" s="74" t="s">
        <v>830</v>
      </c>
    </row>
    <row r="70" spans="1:4" ht="60" x14ac:dyDescent="0.25">
      <c r="A70" s="72"/>
      <c r="B70" s="76" t="s">
        <v>831</v>
      </c>
    </row>
    <row r="71" spans="1:4" x14ac:dyDescent="0.25">
      <c r="A71" s="75">
        <v>44254</v>
      </c>
      <c r="B71" s="74" t="s">
        <v>829</v>
      </c>
    </row>
    <row r="72" spans="1:4" ht="75" x14ac:dyDescent="0.25">
      <c r="A72" s="72"/>
      <c r="B72" s="76" t="s">
        <v>828</v>
      </c>
    </row>
    <row r="73" spans="1:4" x14ac:dyDescent="0.25">
      <c r="A73" s="75">
        <v>44253</v>
      </c>
      <c r="B73" s="74" t="s">
        <v>608</v>
      </c>
      <c r="C73" s="74"/>
      <c r="D73" s="74" t="s">
        <v>813</v>
      </c>
    </row>
    <row r="74" spans="1:4" ht="60" x14ac:dyDescent="0.25">
      <c r="A74" s="72"/>
      <c r="B74" s="76" t="s">
        <v>825</v>
      </c>
      <c r="D74" s="1" t="s">
        <v>821</v>
      </c>
    </row>
    <row r="75" spans="1:4" x14ac:dyDescent="0.25">
      <c r="A75" s="75">
        <v>44252</v>
      </c>
      <c r="B75" s="74" t="s">
        <v>663</v>
      </c>
      <c r="C75" s="74"/>
      <c r="D75" s="74" t="s">
        <v>813</v>
      </c>
    </row>
    <row r="76" spans="1:4" ht="75" x14ac:dyDescent="0.25">
      <c r="A76" s="72"/>
      <c r="B76" s="76" t="s">
        <v>823</v>
      </c>
      <c r="D76" s="1" t="s">
        <v>822</v>
      </c>
    </row>
    <row r="77" spans="1:4" x14ac:dyDescent="0.25">
      <c r="A77" s="75">
        <v>44250</v>
      </c>
      <c r="B77" s="74" t="s">
        <v>729</v>
      </c>
      <c r="C77" s="74"/>
      <c r="D77" s="74" t="s">
        <v>813</v>
      </c>
    </row>
    <row r="78" spans="1:4" ht="90" x14ac:dyDescent="0.25">
      <c r="A78" s="72"/>
      <c r="B78" s="76" t="s">
        <v>818</v>
      </c>
      <c r="D78" s="1" t="s">
        <v>820</v>
      </c>
    </row>
    <row r="79" spans="1:4" x14ac:dyDescent="0.25">
      <c r="A79" s="75">
        <v>44249</v>
      </c>
      <c r="B79" s="74" t="s">
        <v>816</v>
      </c>
    </row>
    <row r="80" spans="1:4" ht="60" x14ac:dyDescent="0.25">
      <c r="A80" s="72"/>
      <c r="B80" s="76" t="s">
        <v>817</v>
      </c>
    </row>
    <row r="81" spans="1:4" x14ac:dyDescent="0.25">
      <c r="A81" s="75">
        <v>44247</v>
      </c>
      <c r="B81" s="74" t="s">
        <v>608</v>
      </c>
      <c r="C81" s="74"/>
      <c r="D81" s="74" t="s">
        <v>813</v>
      </c>
    </row>
    <row r="82" spans="1:4" ht="105" x14ac:dyDescent="0.25">
      <c r="A82" s="72"/>
      <c r="B82" s="76" t="s">
        <v>815</v>
      </c>
      <c r="D82" s="1" t="s">
        <v>819</v>
      </c>
    </row>
    <row r="83" spans="1:4" x14ac:dyDescent="0.25">
      <c r="A83" s="75">
        <v>44246</v>
      </c>
      <c r="B83" s="74" t="s">
        <v>811</v>
      </c>
      <c r="C83" s="74"/>
      <c r="D83" s="74" t="s">
        <v>813</v>
      </c>
    </row>
    <row r="84" spans="1:4" ht="90" x14ac:dyDescent="0.25">
      <c r="A84" s="72"/>
      <c r="B84" s="76" t="s">
        <v>812</v>
      </c>
      <c r="D84" s="1" t="s">
        <v>814</v>
      </c>
    </row>
    <row r="85" spans="1:4" x14ac:dyDescent="0.25">
      <c r="A85" s="75">
        <v>44245</v>
      </c>
      <c r="B85" s="74" t="s">
        <v>768</v>
      </c>
      <c r="C85" s="74"/>
      <c r="D85" s="74" t="s">
        <v>808</v>
      </c>
    </row>
    <row r="86" spans="1:4" ht="120" x14ac:dyDescent="0.25">
      <c r="A86" s="72"/>
      <c r="B86" s="76" t="s">
        <v>809</v>
      </c>
      <c r="D86" s="76" t="s">
        <v>810</v>
      </c>
    </row>
    <row r="87" spans="1:4" x14ac:dyDescent="0.25">
      <c r="A87" s="75">
        <v>44243</v>
      </c>
      <c r="B87" s="74" t="s">
        <v>763</v>
      </c>
    </row>
    <row r="88" spans="1:4" ht="150" x14ac:dyDescent="0.25">
      <c r="A88" s="72"/>
      <c r="B88" s="76" t="s">
        <v>803</v>
      </c>
    </row>
    <row r="89" spans="1:4" x14ac:dyDescent="0.25">
      <c r="A89" s="75">
        <v>44242</v>
      </c>
      <c r="B89" s="74" t="s">
        <v>663</v>
      </c>
    </row>
    <row r="90" spans="1:4" ht="105" x14ac:dyDescent="0.25">
      <c r="A90" s="72"/>
      <c r="B90" s="76" t="s">
        <v>802</v>
      </c>
    </row>
    <row r="91" spans="1:4" x14ac:dyDescent="0.25">
      <c r="A91" s="72"/>
      <c r="B91" s="76"/>
    </row>
    <row r="92" spans="1:4" x14ac:dyDescent="0.25">
      <c r="A92" s="75">
        <v>44239</v>
      </c>
      <c r="B92" s="74" t="s">
        <v>664</v>
      </c>
    </row>
    <row r="93" spans="1:4" ht="90" x14ac:dyDescent="0.25">
      <c r="A93" s="72"/>
      <c r="B93" s="76" t="s">
        <v>797</v>
      </c>
    </row>
    <row r="94" spans="1:4" x14ac:dyDescent="0.25">
      <c r="A94" s="75">
        <v>44238</v>
      </c>
      <c r="B94" s="74" t="s">
        <v>663</v>
      </c>
    </row>
    <row r="95" spans="1:4" ht="75" x14ac:dyDescent="0.25">
      <c r="A95" s="72"/>
      <c r="B95" s="76" t="s">
        <v>796</v>
      </c>
    </row>
    <row r="96" spans="1:4" x14ac:dyDescent="0.25">
      <c r="A96" s="75">
        <v>44236</v>
      </c>
      <c r="B96" s="74" t="s">
        <v>663</v>
      </c>
    </row>
    <row r="97" spans="1:2" ht="75" x14ac:dyDescent="0.25">
      <c r="A97" s="72"/>
      <c r="B97" s="76" t="s">
        <v>793</v>
      </c>
    </row>
    <row r="98" spans="1:2" x14ac:dyDescent="0.25">
      <c r="A98" s="75">
        <v>44235</v>
      </c>
      <c r="B98" s="74" t="s">
        <v>763</v>
      </c>
    </row>
    <row r="99" spans="1:2" ht="60" x14ac:dyDescent="0.25">
      <c r="A99" s="72"/>
      <c r="B99" s="76" t="s">
        <v>792</v>
      </c>
    </row>
    <row r="100" spans="1:2" x14ac:dyDescent="0.25">
      <c r="A100" s="72"/>
      <c r="B100" s="73"/>
    </row>
    <row r="101" spans="1:2" x14ac:dyDescent="0.25">
      <c r="A101" s="75">
        <v>44233</v>
      </c>
      <c r="B101" s="74" t="s">
        <v>790</v>
      </c>
    </row>
    <row r="102" spans="1:2" x14ac:dyDescent="0.25">
      <c r="A102" s="72"/>
      <c r="B102" s="73" t="s">
        <v>791</v>
      </c>
    </row>
    <row r="103" spans="1:2" x14ac:dyDescent="0.25">
      <c r="A103" s="75">
        <v>44232</v>
      </c>
      <c r="B103" s="74" t="s">
        <v>763</v>
      </c>
    </row>
    <row r="104" spans="1:2" ht="60" x14ac:dyDescent="0.25">
      <c r="A104" s="72"/>
      <c r="B104" s="76" t="s">
        <v>789</v>
      </c>
    </row>
    <row r="105" spans="1:2" x14ac:dyDescent="0.25">
      <c r="A105" s="75">
        <v>44231</v>
      </c>
      <c r="B105" s="74" t="s">
        <v>763</v>
      </c>
    </row>
    <row r="106" spans="1:2" ht="90" x14ac:dyDescent="0.25">
      <c r="A106" s="72"/>
      <c r="B106" s="76" t="s">
        <v>781</v>
      </c>
    </row>
    <row r="107" spans="1:2" x14ac:dyDescent="0.25">
      <c r="A107" s="75">
        <v>44229</v>
      </c>
      <c r="B107" s="74" t="s">
        <v>763</v>
      </c>
    </row>
    <row r="108" spans="1:2" ht="75" x14ac:dyDescent="0.25">
      <c r="A108" s="72"/>
      <c r="B108" s="76" t="s">
        <v>780</v>
      </c>
    </row>
    <row r="109" spans="1:2" x14ac:dyDescent="0.25">
      <c r="A109" s="75">
        <v>44228</v>
      </c>
      <c r="B109" s="74" t="s">
        <v>663</v>
      </c>
    </row>
    <row r="110" spans="1:2" ht="45" x14ac:dyDescent="0.25">
      <c r="A110" s="72"/>
      <c r="B110" s="76" t="s">
        <v>779</v>
      </c>
    </row>
    <row r="111" spans="1:2" x14ac:dyDescent="0.25">
      <c r="A111" s="72"/>
      <c r="B111" s="73"/>
    </row>
    <row r="112" spans="1:2" x14ac:dyDescent="0.25">
      <c r="A112" s="75">
        <v>44227</v>
      </c>
      <c r="B112" s="74" t="s">
        <v>772</v>
      </c>
    </row>
    <row r="113" spans="1:2" ht="60" x14ac:dyDescent="0.25">
      <c r="A113" s="72"/>
      <c r="B113" s="76" t="s">
        <v>773</v>
      </c>
    </row>
    <row r="114" spans="1:2" x14ac:dyDescent="0.25">
      <c r="A114" s="75">
        <v>44226</v>
      </c>
      <c r="B114" s="74" t="s">
        <v>767</v>
      </c>
    </row>
    <row r="115" spans="1:2" x14ac:dyDescent="0.25">
      <c r="A115" s="72"/>
      <c r="B115" s="73" t="s">
        <v>771</v>
      </c>
    </row>
    <row r="116" spans="1:2" x14ac:dyDescent="0.25">
      <c r="A116" s="75">
        <v>44225</v>
      </c>
      <c r="B116" s="74" t="s">
        <v>608</v>
      </c>
    </row>
    <row r="117" spans="1:2" ht="105" x14ac:dyDescent="0.25">
      <c r="A117" s="72"/>
      <c r="B117" s="76" t="s">
        <v>770</v>
      </c>
    </row>
    <row r="118" spans="1:2" x14ac:dyDescent="0.25">
      <c r="A118" s="75">
        <v>44224</v>
      </c>
      <c r="B118" s="74" t="s">
        <v>768</v>
      </c>
    </row>
    <row r="119" spans="1:2" ht="45" x14ac:dyDescent="0.25">
      <c r="A119" s="72"/>
      <c r="B119" s="76" t="s">
        <v>769</v>
      </c>
    </row>
    <row r="120" spans="1:2" x14ac:dyDescent="0.25">
      <c r="A120" s="75">
        <v>44222</v>
      </c>
      <c r="B120" s="74" t="s">
        <v>729</v>
      </c>
    </row>
    <row r="121" spans="1:2" ht="135" x14ac:dyDescent="0.25">
      <c r="A121" s="72"/>
      <c r="B121" s="76" t="s">
        <v>766</v>
      </c>
    </row>
    <row r="122" spans="1:2" x14ac:dyDescent="0.25">
      <c r="A122" s="75">
        <v>44221</v>
      </c>
      <c r="B122" s="74" t="s">
        <v>763</v>
      </c>
    </row>
    <row r="123" spans="1:2" x14ac:dyDescent="0.25">
      <c r="B123" t="s">
        <v>764</v>
      </c>
    </row>
    <row r="124" spans="1:2" x14ac:dyDescent="0.25">
      <c r="A124" s="72"/>
      <c r="B124" s="73"/>
    </row>
    <row r="125" spans="1:2" x14ac:dyDescent="0.25">
      <c r="A125" s="75">
        <v>44220</v>
      </c>
      <c r="B125" s="74" t="s">
        <v>755</v>
      </c>
    </row>
    <row r="126" spans="1:2" ht="75" x14ac:dyDescent="0.25">
      <c r="A126" s="72"/>
      <c r="B126" s="76" t="s">
        <v>761</v>
      </c>
    </row>
    <row r="127" spans="1:2" x14ac:dyDescent="0.25">
      <c r="A127" s="75">
        <v>44219</v>
      </c>
      <c r="B127" s="74" t="s">
        <v>762</v>
      </c>
    </row>
    <row r="128" spans="1:2" x14ac:dyDescent="0.25">
      <c r="A128" s="72"/>
      <c r="B128" s="73" t="s">
        <v>760</v>
      </c>
    </row>
    <row r="129" spans="1:2" x14ac:dyDescent="0.25">
      <c r="A129" s="75">
        <v>44218</v>
      </c>
      <c r="B129" s="74" t="s">
        <v>755</v>
      </c>
    </row>
    <row r="130" spans="1:2" ht="60" x14ac:dyDescent="0.25">
      <c r="A130" s="72"/>
      <c r="B130" s="76" t="s">
        <v>756</v>
      </c>
    </row>
    <row r="131" spans="1:2" x14ac:dyDescent="0.25">
      <c r="A131" s="75">
        <v>44217</v>
      </c>
      <c r="B131" s="74" t="s">
        <v>664</v>
      </c>
    </row>
    <row r="132" spans="1:2" ht="60" x14ac:dyDescent="0.25">
      <c r="A132" s="72"/>
      <c r="B132" s="76" t="s">
        <v>754</v>
      </c>
    </row>
    <row r="133" spans="1:2" x14ac:dyDescent="0.25">
      <c r="A133" s="75">
        <v>44215</v>
      </c>
      <c r="B133" s="74" t="s">
        <v>663</v>
      </c>
    </row>
    <row r="134" spans="1:2" ht="135" x14ac:dyDescent="0.25">
      <c r="A134" s="72"/>
      <c r="B134" s="76" t="s">
        <v>735</v>
      </c>
    </row>
    <row r="135" spans="1:2" x14ac:dyDescent="0.25">
      <c r="A135" s="75">
        <v>44214</v>
      </c>
      <c r="B135" s="74" t="s">
        <v>729</v>
      </c>
    </row>
    <row r="136" spans="1:2" ht="105" x14ac:dyDescent="0.25">
      <c r="A136" s="72"/>
      <c r="B136" s="76" t="s">
        <v>730</v>
      </c>
    </row>
    <row r="137" spans="1:2" x14ac:dyDescent="0.25">
      <c r="A137" s="72"/>
      <c r="B137" s="73"/>
    </row>
    <row r="138" spans="1:2" x14ac:dyDescent="0.25">
      <c r="A138" s="75">
        <v>44211</v>
      </c>
      <c r="B138" s="74" t="s">
        <v>663</v>
      </c>
    </row>
    <row r="139" spans="1:2" ht="105" x14ac:dyDescent="0.25">
      <c r="A139" s="72"/>
      <c r="B139" s="76" t="s">
        <v>665</v>
      </c>
    </row>
    <row r="140" spans="1:2" x14ac:dyDescent="0.25">
      <c r="A140" s="75">
        <v>44210</v>
      </c>
      <c r="B140" s="74" t="s">
        <v>664</v>
      </c>
    </row>
    <row r="141" spans="1:2" ht="75" x14ac:dyDescent="0.25">
      <c r="A141" s="72"/>
      <c r="B141" s="76" t="s">
        <v>654</v>
      </c>
    </row>
    <row r="142" spans="1:2" x14ac:dyDescent="0.25">
      <c r="A142" s="75">
        <v>44208</v>
      </c>
      <c r="B142" s="74" t="s">
        <v>660</v>
      </c>
    </row>
    <row r="143" spans="1:2" ht="75" x14ac:dyDescent="0.25">
      <c r="A143" s="72"/>
      <c r="B143" s="76" t="s">
        <v>666</v>
      </c>
    </row>
    <row r="144" spans="1:2" x14ac:dyDescent="0.25">
      <c r="A144" s="75">
        <v>44207</v>
      </c>
      <c r="B144" s="74" t="s">
        <v>661</v>
      </c>
    </row>
    <row r="145" spans="1:2" ht="45" x14ac:dyDescent="0.25">
      <c r="A145" s="72"/>
      <c r="B145" s="76" t="s">
        <v>653</v>
      </c>
    </row>
    <row r="146" spans="1:2" x14ac:dyDescent="0.25">
      <c r="A146" s="72"/>
      <c r="B146" s="73"/>
    </row>
    <row r="147" spans="1:2" x14ac:dyDescent="0.25">
      <c r="A147" s="75">
        <v>44205</v>
      </c>
      <c r="B147" s="74" t="s">
        <v>662</v>
      </c>
    </row>
    <row r="148" spans="1:2" ht="60" x14ac:dyDescent="0.25">
      <c r="A148" s="72"/>
      <c r="B148" s="76" t="s">
        <v>652</v>
      </c>
    </row>
    <row r="149" spans="1:2" x14ac:dyDescent="0.25">
      <c r="A149" s="72"/>
      <c r="B149" s="73"/>
    </row>
    <row r="150" spans="1:2" x14ac:dyDescent="0.25">
      <c r="A150" s="72"/>
      <c r="B150"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row>
    <row r="6" spans="1:70" x14ac:dyDescent="0.25">
      <c r="C6" s="2" t="s">
        <v>3</v>
      </c>
    </row>
    <row r="7" spans="1:70" ht="45" customHeight="1" x14ac:dyDescent="0.25">
      <c r="C7" s="256" t="s">
        <v>281</v>
      </c>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row>
    <row r="8" spans="1:70" x14ac:dyDescent="0.25">
      <c r="C8" s="2" t="s">
        <v>4</v>
      </c>
    </row>
    <row r="9" spans="1:70" ht="75" customHeight="1" x14ac:dyDescent="0.25">
      <c r="C9" s="256" t="s">
        <v>274</v>
      </c>
      <c r="D9" s="257"/>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row>
    <row r="10" spans="1:70" x14ac:dyDescent="0.25">
      <c r="C10" s="2" t="s">
        <v>5</v>
      </c>
    </row>
    <row r="11" spans="1:70" ht="75" customHeight="1" x14ac:dyDescent="0.25">
      <c r="C11" s="256" t="s">
        <v>298</v>
      </c>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257"/>
      <c r="BP11" s="257"/>
      <c r="BQ11" s="257"/>
      <c r="BR11" s="257"/>
    </row>
    <row r="12" spans="1:70" x14ac:dyDescent="0.25">
      <c r="C12" s="2" t="s">
        <v>6</v>
      </c>
    </row>
    <row r="13" spans="1:70" ht="90.75" customHeight="1" x14ac:dyDescent="0.25">
      <c r="C13" s="256" t="s">
        <v>285</v>
      </c>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7"/>
      <c r="BI13" s="257"/>
      <c r="BJ13" s="257"/>
      <c r="BK13" s="257"/>
      <c r="BL13" s="257"/>
      <c r="BM13" s="257"/>
      <c r="BN13" s="257"/>
      <c r="BO13" s="257"/>
      <c r="BP13" s="257"/>
      <c r="BQ13" s="257"/>
      <c r="BR13" s="257"/>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9" t="s">
        <v>210</v>
      </c>
      <c r="D25" s="259"/>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59"/>
      <c r="BJ25" s="259"/>
      <c r="BK25" s="259"/>
      <c r="BL25" s="259"/>
      <c r="BM25" s="259"/>
      <c r="BN25" s="259"/>
      <c r="BO25" s="259"/>
      <c r="BP25" s="259"/>
      <c r="BQ25" s="259"/>
      <c r="BR25" s="259"/>
    </row>
    <row r="26" spans="1:70" x14ac:dyDescent="0.25">
      <c r="C26" s="2" t="s">
        <v>193</v>
      </c>
    </row>
    <row r="27" spans="1:70" ht="244.5" customHeight="1" x14ac:dyDescent="0.25">
      <c r="A27" s="1"/>
      <c r="C27" s="259" t="s">
        <v>194</v>
      </c>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c r="BQ27" s="259"/>
      <c r="BR27" s="259"/>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9" t="s">
        <v>279</v>
      </c>
      <c r="D31" s="259"/>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259"/>
      <c r="BM31" s="259"/>
      <c r="BN31" s="259"/>
      <c r="BO31" s="259"/>
      <c r="BP31" s="259"/>
      <c r="BQ31" s="259"/>
      <c r="BR31" s="259"/>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9" t="s">
        <v>278</v>
      </c>
      <c r="D35" s="259"/>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259"/>
      <c r="BM35" s="259"/>
      <c r="BN35" s="259"/>
      <c r="BO35" s="259"/>
      <c r="BP35" s="259"/>
      <c r="BQ35" s="259"/>
      <c r="BR35" s="259"/>
    </row>
    <row r="36" spans="1:70" x14ac:dyDescent="0.25">
      <c r="B36" s="2" t="s">
        <v>2</v>
      </c>
    </row>
    <row r="37" spans="1:70" x14ac:dyDescent="0.25">
      <c r="B37" s="257" t="s">
        <v>12</v>
      </c>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2021-04-10T17:39:56Z</dcterms:modified>
</cp:coreProperties>
</file>