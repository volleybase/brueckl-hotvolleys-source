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A33275B7-3E9E-46E0-89CA-051DDA06030D}" xr6:coauthVersionLast="45" xr6:coauthVersionMax="45" xr10:uidLastSave="{00000000-0000-0000-0000-000000000000}"/>
  <bookViews>
    <workbookView xWindow="-120" yWindow="-120" windowWidth="29040" windowHeight="16440"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8" i="3" l="1"/>
  <c r="G58" i="3"/>
  <c r="H58" i="3"/>
  <c r="I58" i="3"/>
  <c r="J58" i="3"/>
  <c r="K58" i="3"/>
  <c r="L58" i="3"/>
  <c r="GS70" i="3" l="1"/>
  <c r="GS38" i="3"/>
  <c r="HD38" i="3"/>
  <c r="GN82" i="3" l="1"/>
  <c r="P58" i="3" l="1"/>
  <c r="GU38" i="3"/>
  <c r="P67" i="3" l="1"/>
  <c r="GC38" i="3"/>
  <c r="FT38" i="3"/>
  <c r="GL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Q38" i="3"/>
  <c r="CZ38" i="3"/>
  <c r="BY38" i="3"/>
  <c r="DI38" i="3"/>
  <c r="CH38" i="3"/>
  <c r="L98" i="3"/>
  <c r="L97" i="3"/>
  <c r="P38" i="3"/>
  <c r="R38" i="3"/>
  <c r="Q38" i="3" l="1"/>
  <c r="CO82" i="3"/>
  <c r="CO70" i="3"/>
  <c r="CO38" i="3"/>
  <c r="CF38" i="3"/>
  <c r="P70" i="3"/>
  <c r="CO83" i="3" l="1"/>
  <c r="BW82" i="3"/>
  <c r="BW83" i="3" s="1"/>
  <c r="BP82" i="3"/>
  <c r="BP70" i="3"/>
  <c r="BW38" i="3"/>
  <c r="BP38" i="3"/>
  <c r="BP83" i="3" l="1"/>
  <c r="P32" i="3"/>
  <c r="ND82" i="3" l="1"/>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M82" i="3"/>
  <c r="IL82" i="3"/>
  <c r="IK82" i="3"/>
  <c r="IJ82" i="3"/>
  <c r="II82" i="3"/>
  <c r="IH82" i="3"/>
  <c r="IG82" i="3"/>
  <c r="IF82" i="3"/>
  <c r="IE82" i="3"/>
  <c r="ID82" i="3"/>
  <c r="IC82" i="3"/>
  <c r="IB82" i="3"/>
  <c r="IA82" i="3"/>
  <c r="HZ82" i="3"/>
  <c r="HY82" i="3"/>
  <c r="HX82" i="3"/>
  <c r="HW82" i="3"/>
  <c r="HV82" i="3"/>
  <c r="HU82" i="3"/>
  <c r="HT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M70" i="3"/>
  <c r="IL70" i="3"/>
  <c r="IK70" i="3"/>
  <c r="IJ70" i="3"/>
  <c r="II70" i="3"/>
  <c r="IH70" i="3"/>
  <c r="IG70" i="3"/>
  <c r="IF70" i="3"/>
  <c r="IE70" i="3"/>
  <c r="ID70" i="3"/>
  <c r="IC70" i="3"/>
  <c r="IB70" i="3"/>
  <c r="IA70" i="3"/>
  <c r="HZ70" i="3"/>
  <c r="HY70" i="3"/>
  <c r="HX70" i="3"/>
  <c r="HW70" i="3"/>
  <c r="HV70" i="3"/>
  <c r="HU70" i="3"/>
  <c r="HT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M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T83" i="3"/>
  <c r="HU83" i="3"/>
  <c r="HV83" i="3"/>
  <c r="HW83" i="3"/>
  <c r="HX83" i="3"/>
  <c r="HY83" i="3"/>
  <c r="HZ83" i="3"/>
  <c r="IA83" i="3"/>
  <c r="IB83" i="3"/>
  <c r="IC83" i="3"/>
  <c r="ID83" i="3"/>
  <c r="IE83" i="3"/>
  <c r="IF83" i="3"/>
  <c r="IG83" i="3"/>
  <c r="IH83" i="3"/>
  <c r="II83" i="3"/>
  <c r="IJ83" i="3"/>
  <c r="IK83" i="3"/>
  <c r="IL83" i="3"/>
  <c r="IM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E1" i="3"/>
  <c r="ED2" i="3"/>
  <c r="ED71" i="3" l="1"/>
  <c r="EE40" i="3"/>
  <c r="EE41" i="3" s="1"/>
  <c r="EE72" i="3" s="1"/>
  <c r="EE71" i="3"/>
  <c r="EF1" i="3"/>
  <c r="EG1" i="3" s="1"/>
  <c r="EG71" i="3" s="1"/>
  <c r="EE2" i="3"/>
  <c r="EG40" i="3" l="1"/>
  <c r="EG41" i="3" s="1"/>
  <c r="EG72" i="3" s="1"/>
  <c r="EH1" i="3"/>
  <c r="EH71" i="3" s="1"/>
  <c r="EG2" i="3"/>
  <c r="EF40" i="3"/>
  <c r="EF41" i="3" s="1"/>
  <c r="EF72" i="3" s="1"/>
  <c r="EF71" i="3"/>
  <c r="EF2" i="3"/>
  <c r="EH40" i="3" l="1"/>
  <c r="EH41" i="3" s="1"/>
  <c r="EH72" i="3" s="1"/>
  <c r="EK1" i="3"/>
  <c r="EH2" i="3"/>
  <c r="EK40" i="3" l="1"/>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c r="FF1" i="3" l="1"/>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40" i="3"/>
  <c r="FL41" i="3" s="1"/>
  <c r="FL72" i="3" s="1"/>
  <c r="FL71" i="3"/>
  <c r="FL2" i="3" l="1"/>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T1" i="3"/>
  <c r="HS2" i="3"/>
  <c r="HT40" i="3" l="1"/>
  <c r="HT41" i="3" s="1"/>
  <c r="HT72" i="3" s="1"/>
  <c r="HT71" i="3"/>
  <c r="HU1" i="3"/>
  <c r="HT2" i="3"/>
  <c r="HU40" i="3" l="1"/>
  <c r="HU41" i="3" s="1"/>
  <c r="HU72" i="3" s="1"/>
  <c r="HU71" i="3"/>
  <c r="HV1" i="3"/>
  <c r="HU2" i="3"/>
  <c r="HV40" i="3" l="1"/>
  <c r="HV41" i="3" s="1"/>
  <c r="HV72" i="3" s="1"/>
  <c r="HV71" i="3"/>
  <c r="HW1" i="3"/>
  <c r="HV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C1" i="3"/>
  <c r="IB2" i="3"/>
  <c r="IC40" i="3" l="1"/>
  <c r="IC41" i="3" s="1"/>
  <c r="IC72" i="3" s="1"/>
  <c r="IC71" i="3"/>
  <c r="ID1" i="3"/>
  <c r="IC2" i="3"/>
  <c r="ID40" i="3" l="1"/>
  <c r="ID41" i="3" s="1"/>
  <c r="ID72" i="3" s="1"/>
  <c r="ID71" i="3"/>
  <c r="IE1" i="3"/>
  <c r="ID2" i="3"/>
  <c r="IE40" i="3" l="1"/>
  <c r="IE41" i="3" s="1"/>
  <c r="IE72" i="3" s="1"/>
  <c r="IE71" i="3"/>
  <c r="IF1" i="3"/>
  <c r="IE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L1" i="3"/>
  <c r="IK2" i="3"/>
  <c r="IL40" i="3" l="1"/>
  <c r="IL41" i="3" s="1"/>
  <c r="IL72" i="3" s="1"/>
  <c r="IL71" i="3"/>
  <c r="IM1" i="3"/>
  <c r="IL2" i="3"/>
  <c r="IM40" i="3" l="1"/>
  <c r="IM41" i="3" s="1"/>
  <c r="IM72" i="3" s="1"/>
  <c r="IM71" i="3"/>
  <c r="IN1" i="3"/>
  <c r="IM2" i="3"/>
  <c r="IN40" i="3" l="1"/>
  <c r="IN41" i="3" s="1"/>
  <c r="IN72" i="3" s="1"/>
  <c r="IN71" i="3"/>
  <c r="IO1" i="3"/>
  <c r="IN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R30" i="3"/>
  <c r="R17" i="3"/>
  <c r="R28" i="3"/>
  <c r="R12" i="3"/>
  <c r="R16" i="3"/>
  <c r="R32" i="3"/>
  <c r="R20" i="3"/>
  <c r="R15" i="3"/>
  <c r="R27" i="3"/>
  <c r="R22" i="3"/>
  <c r="R33" i="3"/>
  <c r="R24" i="3"/>
  <c r="R23" i="3"/>
  <c r="R14" i="3"/>
  <c r="ND40" i="3" l="1"/>
  <c r="ND41" i="3" s="1"/>
  <c r="ND72" i="3" s="1"/>
  <c r="ND71" i="3"/>
  <c r="ND2" i="3"/>
  <c r="R25" i="3"/>
  <c r="R21" i="3"/>
  <c r="R10" i="3"/>
  <c r="R19" i="3"/>
  <c r="R8" i="3"/>
  <c r="R29" i="3"/>
  <c r="R13" i="3"/>
  <c r="R9" i="3"/>
  <c r="R7" i="3"/>
  <c r="R18" i="3"/>
  <c r="R11" i="3"/>
  <c r="R31" i="3"/>
  <c r="R26" i="3"/>
</calcChain>
</file>

<file path=xl/sharedStrings.xml><?xml version="1.0" encoding="utf-8"?>
<sst xmlns="http://schemas.openxmlformats.org/spreadsheetml/2006/main" count="1911" uniqueCount="626">
  <si>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</si>
  <si>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</si>
  <si>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</si>
  <si>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</si>
  <si>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</si>
  <si>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</si>
  <si>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</si>
  <si>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</si>
  <si>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</si>
  <si>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</si>
  <si>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</si>
  <si>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</si>
  <si>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</si>
  <si>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</si>
  <si>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</si>
  <si>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</si>
  <si>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</si>
  <si>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</si>
  <si>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</si>
  <si>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</si>
  <si>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</si>
  <si>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</si>
  <si>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</si>
  <si>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</si>
  <si>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</si>
  <si>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</si>
  <si>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</si>
  <si>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</si>
  <si>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</si>
  <si>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</si>
  <si>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</si>
  <si>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</si>
  <si>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</si>
  <si>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</si>
  <si>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</si>
  <si>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</si>
  <si>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</si>
  <si>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</si>
  <si>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</si>
  <si>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</si>
  <si>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</si>
  <si>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</si>
  <si>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</si>
  <si>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</si>
  <si>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</si>
  <si>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</si>
  <si>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</si>
  <si>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</si>
  <si>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</si>
  <si>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</si>
  <si>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</si>
  <si>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</si>
  <si>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</si>
  <si>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</si>
  <si>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</si>
  <si>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</si>
  <si>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</si>
  <si>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</si>
  <si>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</si>
  <si>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</si>
  <si>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</si>
  <si>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</si>
  <si>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</si>
  <si>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</si>
  <si>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</si>
  <si>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</si>
  <si>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</si>
  <si>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</si>
  <si>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</si>
  <si>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</si>
  <si>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</si>
  <si>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</si>
  <si>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</si>
  <si>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</si>
  <si>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</si>
  <si>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</si>
  <si>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</si>
  <si>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</si>
  <si>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</si>
  <si>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</si>
  <si>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</si>
  <si>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</si>
  <si>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</si>
  <si>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</si>
  <si>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</si>
  <si>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</si>
  <si>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</si>
  <si>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</si>
  <si>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</si>
  <si>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</si>
  <si>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</si>
  <si>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</si>
  <si>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</si>
  <si>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</si>
  <si>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</si>
  <si>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</si>
  <si>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</si>
  <si>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</si>
  <si>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</si>
  <si>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</si>
  <si>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</si>
  <si>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</si>
  <si>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</si>
  <si>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</si>
  <si>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</si>
  <si>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</si>
  <si>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</si>
  <si>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</si>
  <si>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</si>
  <si>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</si>
  <si>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</si>
  <si>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</si>
  <si>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</si>
  <si>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</si>
  <si>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</si>
  <si>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</si>
  <si>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</si>
  <si>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</si>
  <si>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</si>
  <si>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</si>
  <si>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</si>
  <si>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</si>
  <si>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</si>
  <si>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</si>
  <si>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</si>
  <si>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</si>
  <si>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</si>
  <si>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</si>
  <si>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</si>
  <si>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</si>
  <si>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</si>
  <si>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</si>
  <si>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</si>
  <si>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</si>
  <si>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</si>
  <si>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</si>
  <si>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</si>
  <si>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</si>
  <si>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</si>
  <si>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</si>
  <si>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</si>
  <si>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</si>
  <si>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</si>
  <si>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</si>
  <si>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</si>
  <si>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</si>
  <si>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</si>
  <si>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</si>
  <si>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</si>
  <si>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</si>
  <si>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</si>
  <si>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</si>
  <si>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</si>
  <si>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</si>
  <si>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</si>
  <si>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</si>
  <si>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</si>
  <si>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</si>
  <si>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</si>
  <si>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</si>
  <si>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</si>
  <si>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</si>
  <si>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</si>
  <si>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</si>
  <si>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</si>
  <si>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</si>
  <si>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</si>
  <si>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</si>
  <si>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</si>
  <si>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</si>
  <si>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</si>
  <si>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</si>
  <si>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</si>
  <si>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</si>
  <si>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</si>
  <si>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</si>
  <si>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</si>
  <si>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</si>
  <si>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</si>
  <si>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</si>
  <si>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</si>
  <si>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</si>
  <si>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</si>
  <si>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</si>
  <si>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</si>
  <si>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</si>
  <si>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</si>
  <si>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</si>
  <si>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</si>
  <si>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</si>
  <si>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</si>
  <si>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</si>
  <si>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</si>
  <si>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</si>
  <si>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</si>
  <si>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</si>
  <si>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</si>
  <si>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</si>
  <si>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</si>
  <si>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</si>
  <si>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</si>
  <si>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</si>
  <si>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</si>
  <si>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</si>
  <si>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</si>
  <si>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</si>
  <si>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</si>
  <si>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</si>
  <si>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</si>
  <si>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</si>
  <si>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</si>
  <si>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</si>
  <si>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</si>
  <si>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</si>
  <si>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</si>
  <si>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</si>
  <si>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</si>
  <si>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</si>
  <si>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</si>
  <si>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</si>
  <si>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</si>
  <si>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</si>
  <si>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</si>
  <si>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</si>
  <si>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</si>
  <si>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</si>
  <si>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</si>
  <si>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</si>
  <si>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</si>
  <si>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</si>
  <si>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</si>
  <si>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</si>
  <si>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</si>
  <si>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</si>
  <si>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</si>
  <si>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</si>
  <si>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</si>
  <si>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</si>
  <si>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</si>
  <si>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</si>
  <si>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</si>
  <si>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</si>
  <si>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</si>
  <si>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</si>
  <si>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</si>
  <si>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</si>
  <si>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</si>
  <si>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</si>
  <si>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</si>
  <si>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</si>
  <si>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</si>
  <si>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</si>
  <si>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</si>
  <si>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</si>
  <si>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</si>
  <si>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</si>
  <si>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</si>
  <si>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</si>
  <si>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</si>
  <si>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</si>
  <si>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</si>
  <si>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</si>
  <si>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</si>
  <si>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</si>
  <si>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</si>
  <si>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</si>
  <si>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</si>
  <si>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</si>
  <si>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</si>
  <si>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</si>
  <si>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</si>
  <si>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</si>
  <si>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</si>
  <si>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</si>
  <si>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</si>
  <si>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</si>
  <si>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</si>
  <si>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</si>
  <si>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</si>
  <si>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</si>
  <si>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</si>
  <si>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</si>
  <si>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</si>
  <si>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</si>
  <si>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</si>
  <si>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</si>
  <si>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</si>
  <si>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</si>
  <si>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</si>
  <si>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</si>
  <si>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</si>
  <si>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</si>
  <si>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</si>
  <si>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</si>
  <si>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</si>
  <si>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</si>
  <si>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</si>
  <si>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</si>
  <si>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</si>
  <si>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</si>
  <si>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</si>
  <si>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</si>
  <si>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</si>
  <si>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</si>
  <si>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</si>
  <si>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</si>
  <si>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</si>
  <si>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</si>
  <si>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</si>
  <si>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</si>
  <si>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</si>
  <si>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</si>
  <si>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</si>
  <si>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</si>
  <si>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</si>
  <si>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</si>
  <si>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</si>
  <si>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</si>
  <si>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</si>
  <si>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</si>
  <si>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</si>
  <si>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</si>
  <si>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</si>
  <si>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</si>
  <si>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</si>
  <si>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</si>
  <si>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</si>
  <si>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</si>
  <si>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</si>
  <si>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</si>
  <si>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</si>
  <si>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</si>
  <si>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</si>
  <si>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</si>
  <si>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</si>
  <si>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</si>
  <si>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</si>
  <si>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</si>
  <si>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</si>
  <si>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</si>
  <si>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</si>
  <si>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</si>
  <si>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</si>
  <si>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</si>
  <si>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</si>
  <si>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</si>
  <si>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</si>
  <si>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</si>
  <si>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</si>
  <si>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</si>
  <si>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</si>
  <si>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</si>
  <si>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</si>
  <si>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</si>
  <si>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</si>
  <si>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</si>
  <si>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</si>
  <si>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</si>
  <si>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</si>
  <si>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</si>
  <si>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</si>
  <si>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</si>
  <si>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</si>
  <si>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</si>
  <si>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</si>
  <si>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</si>
  <si>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</si>
  <si>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</si>
  <si>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</si>
  <si>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</si>
  <si>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</si>
  <si>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</si>
  <si>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</si>
  <si>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</si>
  <si>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</si>
  <si>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</si>
  <si>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</si>
  <si>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</si>
  <si>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</si>
  <si>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</si>
  <si>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</si>
  <si>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</si>
  <si>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</si>
  <si>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</si>
  <si>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</si>
  <si>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</si>
  <si>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</si>
  <si>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</si>
  <si>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</si>
  <si>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</si>
  <si>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</si>
  <si>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</si>
  <si>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</si>
  <si>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</si>
  <si>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</si>
  <si>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</si>
  <si>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</si>
  <si>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</si>
  <si>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</si>
  <si>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</si>
  <si>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</si>
  <si>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</si>
  <si>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</si>
  <si>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</si>
  <si>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</si>
  <si>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</si>
  <si>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</si>
  <si>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</si>
  <si>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</si>
  <si>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</si>
  <si>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</si>
  <si>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</si>
  <si>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</si>
  <si>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</si>
  <si>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</si>
  <si>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</si>
  <si>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</si>
  <si>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</si>
  <si>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</si>
  <si>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</si>
  <si>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</si>
  <si>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</si>
  <si>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</si>
  <si>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</si>
  <si>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</si>
  <si>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</si>
  <si>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</si>
  <si>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</si>
  <si>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</si>
  <si>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</si>
  <si>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</si>
  <si>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</si>
  <si>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</si>
  <si>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</si>
  <si>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</si>
  <si>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</si>
  <si>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</si>
  <si>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</si>
  <si>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</si>
  <si>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</si>
  <si>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</si>
  <si>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</si>
  <si>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</si>
  <si>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</si>
  <si>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</si>
  <si>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</si>
  <si>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</si>
  <si>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</si>
  <si>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</si>
  <si>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</si>
  <si>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</si>
  <si>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</si>
  <si>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</si>
  <si>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</si>
  <si>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</si>
  <si>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</si>
  <si>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</si>
  <si>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</si>
  <si>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</si>
  <si>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</si>
  <si>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</si>
  <si>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</si>
  <si>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</si>
  <si>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</si>
  <si>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</si>
  <si>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</si>
  <si>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</si>
  <si>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</si>
  <si>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</si>
  <si>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</si>
  <si>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</si>
  <si>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</si>
  <si>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</si>
  <si>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</si>
  <si>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</si>
  <si>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</si>
  <si>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</si>
  <si>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</si>
  <si>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</si>
  <si>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</si>
  <si>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</si>
  <si>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</si>
  <si>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</si>
  <si>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</si>
  <si>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</si>
  <si>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</si>
  <si>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</si>
  <si>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</si>
  <si>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</si>
  <si>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</si>
  <si>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</si>
  <si>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</si>
  <si>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</si>
  <si>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</si>
  <si>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</si>
  <si>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</si>
  <si>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</si>
  <si>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</si>
  <si>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</si>
  <si>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</si>
  <si>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</si>
  <si>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</si>
  <si>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</si>
  <si>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</si>
  <si>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</si>
  <si>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</si>
  <si>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</si>
  <si>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</si>
  <si>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</si>
  <si>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</si>
  <si>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</si>
  <si>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</si>
  <si>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</si>
  <si>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</si>
  <si>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</si>
  <si>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</si>
  <si>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</si>
  <si>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</si>
  <si>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</si>
  <si>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</si>
  <si>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</si>
  <si>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</si>
  <si>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</si>
  <si>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</si>
  <si>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</si>
  <si>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</si>
  <si>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</si>
  <si>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</si>
  <si>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</si>
  <si>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</si>
  <si>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</si>
  <si>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</si>
  <si>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</si>
  <si>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</si>
  <si>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</si>
  <si>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</si>
  <si>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</si>
  <si>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</si>
  <si>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</si>
  <si>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</si>
  <si>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</si>
  <si>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</si>
  <si>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</si>
  <si>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</si>
  <si>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</si>
  <si>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</si>
  <si>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</si>
  <si>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</si>
  <si>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</si>
  <si>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</si>
  <si>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</si>
  <si>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</si>
  <si>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</si>
  <si>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</si>
  <si>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</si>
  <si>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</si>
  <si>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</si>
  <si>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</si>
  <si>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</si>
  <si>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</si>
  <si>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</si>
  <si>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</si>
  <si>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</si>
  <si>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</si>
  <si>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</si>
  <si>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</si>
  <si>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</si>
  <si>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</si>
  <si>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</si>
  <si>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</si>
  <si>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</si>
  <si>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</si>
  <si>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</si>
  <si>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</si>
  <si>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</si>
  <si>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</si>
  <si>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</si>
  <si>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</si>
  <si>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</si>
  <si>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</si>
  <si>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</si>
  <si>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</si>
  <si>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</si>
  <si>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</si>
  <si>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</si>
  <si>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</si>
  <si>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</si>
  <si>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</si>
  <si>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</si>
  <si>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</si>
  <si>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</si>
  <si>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</si>
  <si>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</si>
  <si>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</si>
  <si>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</si>
  <si>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</si>
  <si>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</si>
  <si>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</si>
  <si>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</si>
  <si>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</si>
  <si>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</si>
  <si>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</si>
  <si>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</si>
  <si>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</si>
  <si>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</si>
  <si>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</si>
  <si>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</si>
  <si>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</si>
  <si>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</si>
  <si>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</si>
  <si>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</si>
  <si>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</si>
  <si>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</si>
  <si>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</si>
  <si>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</si>
  <si>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</si>
  <si>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</si>
  <si>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</si>
  <si>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</si>
  <si>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</si>
  <si>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Cup</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</si>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</sst>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71">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D121"/>
  <sheetViews>
    <sheetView tabSelected="1" zoomScaleNormal="100" workbookViewId="0">
      <pane xSplit="18" ySplit="3" topLeftCell="FS4" activePane="bottomRight" state="frozen"/>
      <selection pane="topRight" activeCell="F1" sqref="F1"/>
      <selection pane="bottomLeft" activeCell="A3" sqref="A3"/>
      <selection pane="bottomRight" activeCell="GZ35" sqref="GZ35"/>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68" width="3.140625" customWidth="1"/>
  </cols>
  <sheetData>
    <row r="1" spans="1:368" ht="69.75" hidden="1" customHeight="1" x14ac:dyDescent="0.25">
      <c r="P1" s="114" t="s">
        <v>408</v>
      </c>
      <c r="Q1" s="115" t="s">
        <v>408</v>
      </c>
      <c r="R1" s="116"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403</v>
      </c>
      <c r="CZ1" s="107"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466</v>
      </c>
      <c r="EJ1" s="49" t="s">
        <v>467</v>
      </c>
      <c r="EK1" s="47">
        <f>EH1 + 1</f>
        <v>44081</v>
      </c>
      <c r="EL1" s="47">
        <f t="shared" si="1"/>
        <v>44082</v>
      </c>
      <c r="EM1" s="47">
        <f t="shared" si="1"/>
        <v>44083</v>
      </c>
      <c r="EN1" s="47">
        <f t="shared" si="1"/>
        <v>44084</v>
      </c>
      <c r="EO1" s="47">
        <f t="shared" si="1"/>
        <v>44085</v>
      </c>
      <c r="EP1" s="47">
        <f t="shared" si="1"/>
        <v>44086</v>
      </c>
      <c r="EQ1" s="47">
        <f t="shared" si="1"/>
        <v>44087</v>
      </c>
      <c r="ER1" s="47" t="s">
        <v>469</v>
      </c>
      <c r="ES1" s="49" t="s">
        <v>470</v>
      </c>
      <c r="ET1" s="47">
        <f>EQ1 + 1</f>
        <v>44088</v>
      </c>
      <c r="EU1" s="47">
        <f t="shared" si="1"/>
        <v>44089</v>
      </c>
      <c r="EV1" s="47">
        <f t="shared" si="1"/>
        <v>44090</v>
      </c>
      <c r="EW1" s="47">
        <f t="shared" si="1"/>
        <v>44091</v>
      </c>
      <c r="EX1" s="47">
        <f t="shared" si="1"/>
        <v>44092</v>
      </c>
      <c r="EY1" s="47">
        <f t="shared" si="1"/>
        <v>44093</v>
      </c>
      <c r="EZ1" s="47">
        <f t="shared" si="1"/>
        <v>44094</v>
      </c>
      <c r="FA1" s="47" t="s">
        <v>511</v>
      </c>
      <c r="FB1" s="49" t="s">
        <v>512</v>
      </c>
      <c r="FC1" s="47">
        <f>EZ1 + 1</f>
        <v>44095</v>
      </c>
      <c r="FD1" s="47">
        <f t="shared" si="1"/>
        <v>44096</v>
      </c>
      <c r="FE1" s="47">
        <f t="shared" si="1"/>
        <v>44097</v>
      </c>
      <c r="FF1" s="47">
        <f t="shared" si="1"/>
        <v>44098</v>
      </c>
      <c r="FG1" s="47">
        <f t="shared" si="1"/>
        <v>44099</v>
      </c>
      <c r="FH1" s="47">
        <f t="shared" si="1"/>
        <v>44100</v>
      </c>
      <c r="FI1" s="47">
        <f t="shared" si="1"/>
        <v>44101</v>
      </c>
      <c r="FJ1" s="47" t="s">
        <v>523</v>
      </c>
      <c r="FK1" s="49" t="s">
        <v>524</v>
      </c>
      <c r="FL1" s="47">
        <f>FI1 + 1</f>
        <v>44102</v>
      </c>
      <c r="FM1" s="47">
        <f t="shared" ref="FM1:IJ1" si="5">FL1 + 1</f>
        <v>44103</v>
      </c>
      <c r="FN1" s="47">
        <f t="shared" si="5"/>
        <v>44104</v>
      </c>
      <c r="FO1" s="47">
        <f t="shared" si="5"/>
        <v>44105</v>
      </c>
      <c r="FP1" s="47">
        <f t="shared" si="5"/>
        <v>44106</v>
      </c>
      <c r="FQ1" s="47">
        <f t="shared" si="5"/>
        <v>44107</v>
      </c>
      <c r="FR1" s="47">
        <f t="shared" si="5"/>
        <v>44108</v>
      </c>
      <c r="FS1" s="47" t="s">
        <v>542</v>
      </c>
      <c r="FT1" s="49" t="s">
        <v>543</v>
      </c>
      <c r="FU1" s="47">
        <f>FR1 + 1</f>
        <v>44109</v>
      </c>
      <c r="FV1" s="47">
        <f t="shared" si="5"/>
        <v>44110</v>
      </c>
      <c r="FW1" s="47">
        <f t="shared" si="5"/>
        <v>44111</v>
      </c>
      <c r="FX1" s="47">
        <f t="shared" si="5"/>
        <v>44112</v>
      </c>
      <c r="FY1" s="47">
        <f t="shared" si="5"/>
        <v>44113</v>
      </c>
      <c r="FZ1" s="47">
        <f t="shared" si="5"/>
        <v>44114</v>
      </c>
      <c r="GA1" s="47">
        <f t="shared" si="5"/>
        <v>44115</v>
      </c>
      <c r="GB1" s="47" t="s">
        <v>563</v>
      </c>
      <c r="GC1" s="49" t="s">
        <v>564</v>
      </c>
      <c r="GD1" s="47">
        <f>GA1 + 1</f>
        <v>44116</v>
      </c>
      <c r="GE1" s="47">
        <f t="shared" si="5"/>
        <v>44117</v>
      </c>
      <c r="GF1" s="47">
        <f t="shared" si="5"/>
        <v>44118</v>
      </c>
      <c r="GG1" s="47">
        <f t="shared" si="5"/>
        <v>44119</v>
      </c>
      <c r="GH1" s="47">
        <f t="shared" si="5"/>
        <v>44120</v>
      </c>
      <c r="GI1" s="47">
        <f t="shared" si="5"/>
        <v>44121</v>
      </c>
      <c r="GJ1" s="47">
        <f t="shared" si="5"/>
        <v>44122</v>
      </c>
      <c r="GK1" s="47" t="s">
        <v>579</v>
      </c>
      <c r="GL1" s="49" t="s">
        <v>580</v>
      </c>
      <c r="GM1" s="47">
        <f>GJ1 + 1</f>
        <v>44123</v>
      </c>
      <c r="GN1" s="47">
        <f t="shared" si="5"/>
        <v>44124</v>
      </c>
      <c r="GO1" s="47">
        <f t="shared" si="5"/>
        <v>44125</v>
      </c>
      <c r="GP1" s="47">
        <f t="shared" si="5"/>
        <v>44126</v>
      </c>
      <c r="GQ1" s="47">
        <f t="shared" si="5"/>
        <v>44127</v>
      </c>
      <c r="GR1" s="47">
        <f t="shared" si="5"/>
        <v>44128</v>
      </c>
      <c r="GS1" s="47">
        <f t="shared" si="5"/>
        <v>44129</v>
      </c>
      <c r="GT1" s="47" t="s">
        <v>584</v>
      </c>
      <c r="GU1" s="49" t="s">
        <v>585</v>
      </c>
      <c r="GV1" s="47">
        <f>GS1 + 1</f>
        <v>44130</v>
      </c>
      <c r="GW1" s="47">
        <f t="shared" si="5"/>
        <v>44131</v>
      </c>
      <c r="GX1" s="47">
        <f t="shared" si="5"/>
        <v>44132</v>
      </c>
      <c r="GY1" s="47">
        <f t="shared" si="5"/>
        <v>44133</v>
      </c>
      <c r="GZ1" s="47">
        <f t="shared" si="5"/>
        <v>44134</v>
      </c>
      <c r="HA1" s="47">
        <f t="shared" si="5"/>
        <v>44135</v>
      </c>
      <c r="HB1" s="47">
        <f t="shared" si="5"/>
        <v>44136</v>
      </c>
      <c r="HC1" s="47" t="s">
        <v>586</v>
      </c>
      <c r="HD1" s="49" t="s">
        <v>587</v>
      </c>
      <c r="HE1" s="47">
        <f>HB1 + 1</f>
        <v>44137</v>
      </c>
      <c r="HF1" s="47">
        <f t="shared" si="5"/>
        <v>44138</v>
      </c>
      <c r="HG1" s="47">
        <f t="shared" si="5"/>
        <v>44139</v>
      </c>
      <c r="HH1" s="47">
        <f t="shared" si="5"/>
        <v>44140</v>
      </c>
      <c r="HI1" s="47">
        <f t="shared" si="5"/>
        <v>44141</v>
      </c>
      <c r="HJ1" s="47">
        <f t="shared" si="5"/>
        <v>44142</v>
      </c>
      <c r="HK1" s="47">
        <f t="shared" si="5"/>
        <v>44143</v>
      </c>
      <c r="HL1" s="47" t="s">
        <v>618</v>
      </c>
      <c r="HM1" s="49" t="s">
        <v>619</v>
      </c>
      <c r="HN1" s="47">
        <f>HK1 + 1</f>
        <v>44144</v>
      </c>
      <c r="HO1" s="47">
        <f t="shared" si="5"/>
        <v>44145</v>
      </c>
      <c r="HP1" s="47">
        <f t="shared" si="5"/>
        <v>44146</v>
      </c>
      <c r="HQ1" s="47">
        <f t="shared" si="5"/>
        <v>44147</v>
      </c>
      <c r="HR1" s="47">
        <f t="shared" si="5"/>
        <v>44148</v>
      </c>
      <c r="HS1" s="47">
        <f t="shared" si="5"/>
        <v>44149</v>
      </c>
      <c r="HT1" s="49">
        <f t="shared" si="5"/>
        <v>44150</v>
      </c>
      <c r="HU1" s="47">
        <f t="shared" si="5"/>
        <v>44151</v>
      </c>
      <c r="HV1" s="47">
        <f t="shared" si="5"/>
        <v>44152</v>
      </c>
      <c r="HW1" s="47">
        <f t="shared" si="5"/>
        <v>44153</v>
      </c>
      <c r="HX1" s="47">
        <f t="shared" si="5"/>
        <v>44154</v>
      </c>
      <c r="HY1" s="47">
        <f t="shared" si="5"/>
        <v>44155</v>
      </c>
      <c r="HZ1" s="47">
        <f t="shared" si="5"/>
        <v>44156</v>
      </c>
      <c r="IA1" s="49">
        <f t="shared" si="5"/>
        <v>44157</v>
      </c>
      <c r="IB1" s="47">
        <f t="shared" si="5"/>
        <v>44158</v>
      </c>
      <c r="IC1" s="47">
        <f t="shared" si="5"/>
        <v>44159</v>
      </c>
      <c r="ID1" s="47">
        <f t="shared" si="5"/>
        <v>44160</v>
      </c>
      <c r="IE1" s="47">
        <f t="shared" si="5"/>
        <v>44161</v>
      </c>
      <c r="IF1" s="47">
        <f t="shared" si="5"/>
        <v>44162</v>
      </c>
      <c r="IG1" s="47">
        <f t="shared" si="5"/>
        <v>44163</v>
      </c>
      <c r="IH1" s="49">
        <f t="shared" si="5"/>
        <v>44164</v>
      </c>
      <c r="II1" s="47">
        <f t="shared" si="5"/>
        <v>44165</v>
      </c>
      <c r="IJ1" s="47">
        <f t="shared" si="5"/>
        <v>44166</v>
      </c>
      <c r="IK1" s="47">
        <f t="shared" ref="IK1:KV1" si="6">IJ1 + 1</f>
        <v>44167</v>
      </c>
      <c r="IL1" s="47">
        <f t="shared" si="6"/>
        <v>44168</v>
      </c>
      <c r="IM1" s="47">
        <f t="shared" si="6"/>
        <v>44169</v>
      </c>
      <c r="IN1" s="47">
        <f t="shared" si="6"/>
        <v>44170</v>
      </c>
      <c r="IO1" s="49">
        <f t="shared" si="6"/>
        <v>44171</v>
      </c>
      <c r="IP1" s="47">
        <f t="shared" si="6"/>
        <v>44172</v>
      </c>
      <c r="IQ1" s="47">
        <f t="shared" si="6"/>
        <v>44173</v>
      </c>
      <c r="IR1" s="47">
        <f t="shared" si="6"/>
        <v>44174</v>
      </c>
      <c r="IS1" s="47">
        <f t="shared" si="6"/>
        <v>44175</v>
      </c>
      <c r="IT1" s="47">
        <f t="shared" si="6"/>
        <v>44176</v>
      </c>
      <c r="IU1" s="47">
        <f t="shared" si="6"/>
        <v>44177</v>
      </c>
      <c r="IV1" s="49">
        <f t="shared" si="6"/>
        <v>44178</v>
      </c>
      <c r="IW1" s="47">
        <f t="shared" si="6"/>
        <v>44179</v>
      </c>
      <c r="IX1" s="47">
        <f t="shared" si="6"/>
        <v>44180</v>
      </c>
      <c r="IY1" s="47">
        <f t="shared" si="6"/>
        <v>44181</v>
      </c>
      <c r="IZ1" s="47">
        <f t="shared" si="6"/>
        <v>44182</v>
      </c>
      <c r="JA1" s="47">
        <f t="shared" si="6"/>
        <v>44183</v>
      </c>
      <c r="JB1" s="47">
        <f t="shared" si="6"/>
        <v>44184</v>
      </c>
      <c r="JC1" s="49">
        <f t="shared" si="6"/>
        <v>44185</v>
      </c>
      <c r="JD1" s="47">
        <f t="shared" si="6"/>
        <v>44186</v>
      </c>
      <c r="JE1" s="47">
        <f t="shared" si="6"/>
        <v>44187</v>
      </c>
      <c r="JF1" s="47">
        <f t="shared" si="6"/>
        <v>44188</v>
      </c>
      <c r="JG1" s="47">
        <f t="shared" si="6"/>
        <v>44189</v>
      </c>
      <c r="JH1" s="47">
        <f t="shared" si="6"/>
        <v>44190</v>
      </c>
      <c r="JI1" s="47">
        <f t="shared" si="6"/>
        <v>44191</v>
      </c>
      <c r="JJ1" s="49">
        <f t="shared" si="6"/>
        <v>44192</v>
      </c>
      <c r="JK1" s="47">
        <f t="shared" si="6"/>
        <v>44193</v>
      </c>
      <c r="JL1" s="47">
        <f t="shared" si="6"/>
        <v>44194</v>
      </c>
      <c r="JM1" s="47">
        <f t="shared" si="6"/>
        <v>44195</v>
      </c>
      <c r="JN1" s="47">
        <f t="shared" si="6"/>
        <v>44196</v>
      </c>
      <c r="JO1" s="47">
        <f t="shared" si="6"/>
        <v>44197</v>
      </c>
      <c r="JP1" s="47">
        <f t="shared" si="6"/>
        <v>44198</v>
      </c>
      <c r="JQ1" s="49">
        <f t="shared" si="6"/>
        <v>44199</v>
      </c>
      <c r="JR1" s="47">
        <f t="shared" si="6"/>
        <v>44200</v>
      </c>
      <c r="JS1" s="47">
        <f t="shared" si="6"/>
        <v>44201</v>
      </c>
      <c r="JT1" s="47">
        <f t="shared" si="6"/>
        <v>44202</v>
      </c>
      <c r="JU1" s="47">
        <f t="shared" si="6"/>
        <v>44203</v>
      </c>
      <c r="JV1" s="47">
        <f t="shared" si="6"/>
        <v>44204</v>
      </c>
      <c r="JW1" s="47">
        <f t="shared" si="6"/>
        <v>44205</v>
      </c>
      <c r="JX1" s="49">
        <f t="shared" si="6"/>
        <v>44206</v>
      </c>
      <c r="JY1" s="47">
        <f t="shared" si="6"/>
        <v>44207</v>
      </c>
      <c r="JZ1" s="47">
        <f t="shared" si="6"/>
        <v>44208</v>
      </c>
      <c r="KA1" s="47">
        <f t="shared" si="6"/>
        <v>44209</v>
      </c>
      <c r="KB1" s="47">
        <f t="shared" si="6"/>
        <v>44210</v>
      </c>
      <c r="KC1" s="47">
        <f t="shared" si="6"/>
        <v>44211</v>
      </c>
      <c r="KD1" s="47">
        <f t="shared" si="6"/>
        <v>44212</v>
      </c>
      <c r="KE1" s="49">
        <f t="shared" si="6"/>
        <v>44213</v>
      </c>
      <c r="KF1" s="47">
        <f t="shared" si="6"/>
        <v>44214</v>
      </c>
      <c r="KG1" s="47">
        <f t="shared" si="6"/>
        <v>44215</v>
      </c>
      <c r="KH1" s="47">
        <f t="shared" si="6"/>
        <v>44216</v>
      </c>
      <c r="KI1" s="47">
        <f t="shared" si="6"/>
        <v>44217</v>
      </c>
      <c r="KJ1" s="47">
        <f t="shared" si="6"/>
        <v>44218</v>
      </c>
      <c r="KK1" s="47">
        <f t="shared" si="6"/>
        <v>44219</v>
      </c>
      <c r="KL1" s="49">
        <f t="shared" si="6"/>
        <v>44220</v>
      </c>
      <c r="KM1" s="47">
        <f t="shared" si="6"/>
        <v>44221</v>
      </c>
      <c r="KN1" s="47">
        <f t="shared" si="6"/>
        <v>44222</v>
      </c>
      <c r="KO1" s="47">
        <f t="shared" si="6"/>
        <v>44223</v>
      </c>
      <c r="KP1" s="47">
        <f t="shared" si="6"/>
        <v>44224</v>
      </c>
      <c r="KQ1" s="47">
        <f t="shared" si="6"/>
        <v>44225</v>
      </c>
      <c r="KR1" s="47">
        <f t="shared" si="6"/>
        <v>44226</v>
      </c>
      <c r="KS1" s="49">
        <f t="shared" si="6"/>
        <v>44227</v>
      </c>
      <c r="KT1" s="47">
        <f t="shared" si="6"/>
        <v>44228</v>
      </c>
      <c r="KU1" s="47">
        <f t="shared" si="6"/>
        <v>44229</v>
      </c>
      <c r="KV1" s="47">
        <f t="shared" si="6"/>
        <v>44230</v>
      </c>
      <c r="KW1" s="47">
        <f t="shared" ref="KW1:ND1" si="7">KV1 + 1</f>
        <v>44231</v>
      </c>
      <c r="KX1" s="47">
        <f t="shared" si="7"/>
        <v>44232</v>
      </c>
      <c r="KY1" s="47">
        <f t="shared" si="7"/>
        <v>44233</v>
      </c>
      <c r="KZ1" s="49">
        <f t="shared" si="7"/>
        <v>44234</v>
      </c>
      <c r="LA1" s="47">
        <f t="shared" si="7"/>
        <v>44235</v>
      </c>
      <c r="LB1" s="47">
        <f t="shared" si="7"/>
        <v>44236</v>
      </c>
      <c r="LC1" s="47">
        <f t="shared" si="7"/>
        <v>44237</v>
      </c>
      <c r="LD1" s="47">
        <f t="shared" si="7"/>
        <v>44238</v>
      </c>
      <c r="LE1" s="47">
        <f t="shared" si="7"/>
        <v>44239</v>
      </c>
      <c r="LF1" s="47">
        <f t="shared" si="7"/>
        <v>44240</v>
      </c>
      <c r="LG1" s="49">
        <f t="shared" si="7"/>
        <v>44241</v>
      </c>
      <c r="LH1" s="47">
        <f t="shared" si="7"/>
        <v>44242</v>
      </c>
      <c r="LI1" s="47">
        <f t="shared" si="7"/>
        <v>44243</v>
      </c>
      <c r="LJ1" s="47">
        <f t="shared" si="7"/>
        <v>44244</v>
      </c>
      <c r="LK1" s="47">
        <f t="shared" si="7"/>
        <v>44245</v>
      </c>
      <c r="LL1" s="47">
        <f t="shared" si="7"/>
        <v>44246</v>
      </c>
      <c r="LM1" s="47">
        <f t="shared" si="7"/>
        <v>44247</v>
      </c>
      <c r="LN1" s="49">
        <f t="shared" si="7"/>
        <v>44248</v>
      </c>
      <c r="LO1" s="47">
        <f t="shared" si="7"/>
        <v>44249</v>
      </c>
      <c r="LP1" s="47">
        <f t="shared" si="7"/>
        <v>44250</v>
      </c>
      <c r="LQ1" s="47">
        <f t="shared" si="7"/>
        <v>44251</v>
      </c>
      <c r="LR1" s="47">
        <f t="shared" si="7"/>
        <v>44252</v>
      </c>
      <c r="LS1" s="47">
        <f t="shared" si="7"/>
        <v>44253</v>
      </c>
      <c r="LT1" s="47">
        <f t="shared" si="7"/>
        <v>44254</v>
      </c>
      <c r="LU1" s="49">
        <f t="shared" si="7"/>
        <v>44255</v>
      </c>
      <c r="LV1" s="47">
        <f t="shared" si="7"/>
        <v>44256</v>
      </c>
      <c r="LW1" s="47">
        <f t="shared" si="7"/>
        <v>44257</v>
      </c>
      <c r="LX1" s="47">
        <f t="shared" si="7"/>
        <v>44258</v>
      </c>
      <c r="LY1" s="47">
        <f t="shared" si="7"/>
        <v>44259</v>
      </c>
      <c r="LZ1" s="47">
        <f t="shared" si="7"/>
        <v>44260</v>
      </c>
      <c r="MA1" s="47">
        <f t="shared" si="7"/>
        <v>44261</v>
      </c>
      <c r="MB1" s="49">
        <f t="shared" si="7"/>
        <v>44262</v>
      </c>
      <c r="MC1" s="47">
        <f t="shared" si="7"/>
        <v>44263</v>
      </c>
      <c r="MD1" s="47">
        <f t="shared" si="7"/>
        <v>44264</v>
      </c>
      <c r="ME1" s="47">
        <f t="shared" si="7"/>
        <v>44265</v>
      </c>
      <c r="MF1" s="47">
        <f t="shared" si="7"/>
        <v>44266</v>
      </c>
      <c r="MG1" s="47">
        <f t="shared" si="7"/>
        <v>44267</v>
      </c>
      <c r="MH1" s="47">
        <f t="shared" si="7"/>
        <v>44268</v>
      </c>
      <c r="MI1" s="49">
        <f t="shared" si="7"/>
        <v>44269</v>
      </c>
      <c r="MJ1" s="47">
        <f t="shared" si="7"/>
        <v>44270</v>
      </c>
      <c r="MK1" s="47">
        <f t="shared" si="7"/>
        <v>44271</v>
      </c>
      <c r="ML1" s="47">
        <f t="shared" si="7"/>
        <v>44272</v>
      </c>
      <c r="MM1" s="47">
        <f t="shared" si="7"/>
        <v>44273</v>
      </c>
      <c r="MN1" s="47">
        <f t="shared" si="7"/>
        <v>44274</v>
      </c>
      <c r="MO1" s="47">
        <f t="shared" si="7"/>
        <v>44275</v>
      </c>
      <c r="MP1" s="49">
        <f t="shared" si="7"/>
        <v>44276</v>
      </c>
      <c r="MQ1" s="47">
        <f t="shared" si="7"/>
        <v>44277</v>
      </c>
      <c r="MR1" s="47">
        <f t="shared" si="7"/>
        <v>44278</v>
      </c>
      <c r="MS1" s="47">
        <f t="shared" si="7"/>
        <v>44279</v>
      </c>
      <c r="MT1" s="47">
        <f t="shared" si="7"/>
        <v>44280</v>
      </c>
      <c r="MU1" s="47">
        <f t="shared" si="7"/>
        <v>44281</v>
      </c>
      <c r="MV1" s="47">
        <f t="shared" si="7"/>
        <v>44282</v>
      </c>
      <c r="MW1" s="49">
        <f t="shared" si="7"/>
        <v>44283</v>
      </c>
      <c r="MX1" s="47">
        <f t="shared" si="7"/>
        <v>44284</v>
      </c>
      <c r="MY1" s="47">
        <f t="shared" si="7"/>
        <v>44285</v>
      </c>
      <c r="MZ1" s="47">
        <f t="shared" si="7"/>
        <v>44286</v>
      </c>
      <c r="NA1" s="47">
        <f t="shared" si="7"/>
        <v>44287</v>
      </c>
      <c r="NB1" s="47">
        <f t="shared" si="7"/>
        <v>44288</v>
      </c>
      <c r="NC1" s="47">
        <f t="shared" si="7"/>
        <v>44289</v>
      </c>
      <c r="ND1" s="49">
        <f t="shared" si="7"/>
        <v>44290</v>
      </c>
    </row>
    <row r="2" spans="1:368" ht="15" customHeight="1" x14ac:dyDescent="0.25">
      <c r="A2" s="157" t="s">
        <v>144</v>
      </c>
      <c r="B2" s="157"/>
      <c r="C2" s="157"/>
      <c r="D2" s="157"/>
      <c r="E2" s="157"/>
      <c r="F2" s="39"/>
      <c r="G2" s="39"/>
      <c r="H2" s="39"/>
      <c r="I2" s="39"/>
      <c r="J2" s="39"/>
      <c r="K2" s="39"/>
      <c r="L2" s="39"/>
      <c r="M2" s="39"/>
      <c r="N2" s="39"/>
      <c r="O2" s="27"/>
      <c r="P2" s="158" t="s">
        <v>49</v>
      </c>
      <c r="Q2" s="153" t="s">
        <v>48</v>
      </c>
      <c r="R2" s="155"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369</v>
      </c>
      <c r="CZ2" s="104"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468</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471</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513</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369</v>
      </c>
      <c r="FT2" s="50" t="s">
        <v>406</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369</v>
      </c>
      <c r="GC2" s="50" t="s">
        <v>406</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369</v>
      </c>
      <c r="GL2" s="50" t="s">
        <v>406</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369</v>
      </c>
      <c r="GU2" s="50" t="s">
        <v>406</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369</v>
      </c>
      <c r="HD2" s="50" t="s">
        <v>406</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c r="HM2" s="50"/>
      <c r="HN2" s="48">
        <f t="shared" ref="HN2" si="160">HN1</f>
        <v>44144</v>
      </c>
      <c r="HO2" s="48">
        <f t="shared" ref="HO2" si="161">HO1</f>
        <v>44145</v>
      </c>
      <c r="HP2" s="48">
        <f t="shared" ref="HP2" si="162">HP1</f>
        <v>44146</v>
      </c>
      <c r="HQ2" s="48">
        <f t="shared" ref="HQ2" si="163">HQ1</f>
        <v>44147</v>
      </c>
      <c r="HR2" s="48">
        <f t="shared" ref="HR2" si="164">HR1</f>
        <v>44148</v>
      </c>
      <c r="HS2" s="48">
        <f t="shared" ref="HS2" si="165">HS1</f>
        <v>44149</v>
      </c>
      <c r="HT2" s="50">
        <f t="shared" ref="HT2" si="166">HT1</f>
        <v>44150</v>
      </c>
      <c r="HU2" s="48">
        <f t="shared" ref="HU2" si="167">HU1</f>
        <v>44151</v>
      </c>
      <c r="HV2" s="48">
        <f t="shared" ref="HV2" si="168">HV1</f>
        <v>44152</v>
      </c>
      <c r="HW2" s="48">
        <f t="shared" ref="HW2" si="169">HW1</f>
        <v>44153</v>
      </c>
      <c r="HX2" s="48">
        <f t="shared" ref="HX2" si="170">HX1</f>
        <v>44154</v>
      </c>
      <c r="HY2" s="48">
        <f t="shared" ref="HY2" si="171">HY1</f>
        <v>44155</v>
      </c>
      <c r="HZ2" s="48">
        <f t="shared" ref="HZ2" si="172">HZ1</f>
        <v>44156</v>
      </c>
      <c r="IA2" s="50">
        <f t="shared" ref="IA2" si="173">IA1</f>
        <v>44157</v>
      </c>
      <c r="IB2" s="48">
        <f t="shared" ref="IB2" si="174">IB1</f>
        <v>44158</v>
      </c>
      <c r="IC2" s="48">
        <f t="shared" ref="IC2" si="175">IC1</f>
        <v>44159</v>
      </c>
      <c r="ID2" s="48">
        <f t="shared" ref="ID2" si="176">ID1</f>
        <v>44160</v>
      </c>
      <c r="IE2" s="48">
        <f t="shared" ref="IE2" si="177">IE1</f>
        <v>44161</v>
      </c>
      <c r="IF2" s="48">
        <f t="shared" ref="IF2" si="178">IF1</f>
        <v>44162</v>
      </c>
      <c r="IG2" s="48">
        <f t="shared" ref="IG2" si="179">IG1</f>
        <v>44163</v>
      </c>
      <c r="IH2" s="50">
        <f t="shared" ref="IH2" si="180">IH1</f>
        <v>44164</v>
      </c>
      <c r="II2" s="48">
        <f t="shared" ref="II2" si="181">II1</f>
        <v>44165</v>
      </c>
      <c r="IJ2" s="48">
        <f t="shared" ref="IJ2" si="182">IJ1</f>
        <v>44166</v>
      </c>
      <c r="IK2" s="48">
        <f t="shared" ref="IK2" si="183">IK1</f>
        <v>44167</v>
      </c>
      <c r="IL2" s="48">
        <f t="shared" ref="IL2" si="184">IL1</f>
        <v>44168</v>
      </c>
      <c r="IM2" s="48">
        <f t="shared" ref="IM2" si="185">IM1</f>
        <v>44169</v>
      </c>
      <c r="IN2" s="48">
        <f t="shared" ref="IN2" si="186">IN1</f>
        <v>44170</v>
      </c>
      <c r="IO2" s="50">
        <f t="shared" ref="IO2" si="187">IO1</f>
        <v>44171</v>
      </c>
      <c r="IP2" s="48">
        <f t="shared" ref="IP2" si="188">IP1</f>
        <v>44172</v>
      </c>
      <c r="IQ2" s="48">
        <f t="shared" ref="IQ2" si="189">IQ1</f>
        <v>44173</v>
      </c>
      <c r="IR2" s="48">
        <f t="shared" ref="IR2" si="190">IR1</f>
        <v>44174</v>
      </c>
      <c r="IS2" s="48">
        <f t="shared" ref="IS2" si="191">IS1</f>
        <v>44175</v>
      </c>
      <c r="IT2" s="48">
        <f t="shared" ref="IT2" si="192">IT1</f>
        <v>44176</v>
      </c>
      <c r="IU2" s="48">
        <f t="shared" ref="IU2" si="193">IU1</f>
        <v>44177</v>
      </c>
      <c r="IV2" s="50">
        <f t="shared" ref="IV2" si="194">IV1</f>
        <v>44178</v>
      </c>
      <c r="IW2" s="48">
        <f t="shared" ref="IW2" si="195">IW1</f>
        <v>44179</v>
      </c>
      <c r="IX2" s="48">
        <f t="shared" ref="IX2" si="196">IX1</f>
        <v>44180</v>
      </c>
      <c r="IY2" s="48">
        <f t="shared" ref="IY2" si="197">IY1</f>
        <v>44181</v>
      </c>
      <c r="IZ2" s="48">
        <f t="shared" ref="IZ2" si="198">IZ1</f>
        <v>44182</v>
      </c>
      <c r="JA2" s="48">
        <f t="shared" ref="JA2" si="199">JA1</f>
        <v>44183</v>
      </c>
      <c r="JB2" s="48">
        <f t="shared" ref="JB2" si="200">JB1</f>
        <v>44184</v>
      </c>
      <c r="JC2" s="50">
        <f t="shared" ref="JC2" si="201">JC1</f>
        <v>44185</v>
      </c>
      <c r="JD2" s="48">
        <f t="shared" ref="JD2" si="202">JD1</f>
        <v>44186</v>
      </c>
      <c r="JE2" s="48">
        <f t="shared" ref="JE2" si="203">JE1</f>
        <v>44187</v>
      </c>
      <c r="JF2" s="48">
        <f t="shared" ref="JF2" si="204">JF1</f>
        <v>44188</v>
      </c>
      <c r="JG2" s="48">
        <f t="shared" ref="JG2" si="205">JG1</f>
        <v>44189</v>
      </c>
      <c r="JH2" s="48">
        <f t="shared" ref="JH2" si="206">JH1</f>
        <v>44190</v>
      </c>
      <c r="JI2" s="48">
        <f t="shared" ref="JI2" si="207">JI1</f>
        <v>44191</v>
      </c>
      <c r="JJ2" s="50">
        <f t="shared" ref="JJ2" si="208">JJ1</f>
        <v>44192</v>
      </c>
      <c r="JK2" s="48">
        <f t="shared" ref="JK2" si="209">JK1</f>
        <v>44193</v>
      </c>
      <c r="JL2" s="48">
        <f t="shared" ref="JL2" si="210">JL1</f>
        <v>44194</v>
      </c>
      <c r="JM2" s="48">
        <f t="shared" ref="JM2" si="211">JM1</f>
        <v>44195</v>
      </c>
      <c r="JN2" s="48">
        <f t="shared" ref="JN2" si="212">JN1</f>
        <v>44196</v>
      </c>
      <c r="JO2" s="48">
        <f t="shared" ref="JO2" si="213">JO1</f>
        <v>44197</v>
      </c>
      <c r="JP2" s="48">
        <f t="shared" ref="JP2" si="214">JP1</f>
        <v>44198</v>
      </c>
      <c r="JQ2" s="50">
        <f t="shared" ref="JQ2" si="215">JQ1</f>
        <v>44199</v>
      </c>
      <c r="JR2" s="48">
        <f t="shared" ref="JR2" si="216">JR1</f>
        <v>44200</v>
      </c>
      <c r="JS2" s="48">
        <f t="shared" ref="JS2" si="217">JS1</f>
        <v>44201</v>
      </c>
      <c r="JT2" s="48">
        <f t="shared" ref="JT2" si="218">JT1</f>
        <v>44202</v>
      </c>
      <c r="JU2" s="48">
        <f t="shared" ref="JU2" si="219">JU1</f>
        <v>44203</v>
      </c>
      <c r="JV2" s="48">
        <f t="shared" ref="JV2" si="220">JV1</f>
        <v>44204</v>
      </c>
      <c r="JW2" s="48">
        <f t="shared" ref="JW2" si="221">JW1</f>
        <v>44205</v>
      </c>
      <c r="JX2" s="50">
        <f t="shared" ref="JX2" si="222">JX1</f>
        <v>44206</v>
      </c>
      <c r="JY2" s="48">
        <f t="shared" ref="JY2" si="223">JY1</f>
        <v>44207</v>
      </c>
      <c r="JZ2" s="48">
        <f t="shared" ref="JZ2" si="224">JZ1</f>
        <v>44208</v>
      </c>
      <c r="KA2" s="48">
        <f t="shared" ref="KA2" si="225">KA1</f>
        <v>44209</v>
      </c>
      <c r="KB2" s="48">
        <f t="shared" ref="KB2" si="226">KB1</f>
        <v>44210</v>
      </c>
      <c r="KC2" s="48">
        <f t="shared" ref="KC2" si="227">KC1</f>
        <v>44211</v>
      </c>
      <c r="KD2" s="48">
        <f t="shared" ref="KD2" si="228">KD1</f>
        <v>44212</v>
      </c>
      <c r="KE2" s="50">
        <f t="shared" ref="KE2" si="229">KE1</f>
        <v>44213</v>
      </c>
      <c r="KF2" s="48">
        <f t="shared" ref="KF2" si="230">KF1</f>
        <v>44214</v>
      </c>
      <c r="KG2" s="48">
        <f t="shared" ref="KG2" si="231">KG1</f>
        <v>44215</v>
      </c>
      <c r="KH2" s="48">
        <f t="shared" ref="KH2" si="232">KH1</f>
        <v>44216</v>
      </c>
      <c r="KI2" s="48">
        <f t="shared" ref="KI2" si="233">KI1</f>
        <v>44217</v>
      </c>
      <c r="KJ2" s="48">
        <f t="shared" ref="KJ2" si="234">KJ1</f>
        <v>44218</v>
      </c>
      <c r="KK2" s="48">
        <f t="shared" ref="KK2" si="235">KK1</f>
        <v>44219</v>
      </c>
      <c r="KL2" s="50">
        <f t="shared" ref="KL2" si="236">KL1</f>
        <v>44220</v>
      </c>
      <c r="KM2" s="48">
        <f t="shared" ref="KM2" si="237">KM1</f>
        <v>44221</v>
      </c>
      <c r="KN2" s="48">
        <f t="shared" ref="KN2" si="238">KN1</f>
        <v>44222</v>
      </c>
      <c r="KO2" s="48">
        <f t="shared" ref="KO2" si="239">KO1</f>
        <v>44223</v>
      </c>
      <c r="KP2" s="48">
        <f t="shared" ref="KP2" si="240">KP1</f>
        <v>44224</v>
      </c>
      <c r="KQ2" s="48">
        <f t="shared" ref="KQ2" si="241">KQ1</f>
        <v>44225</v>
      </c>
      <c r="KR2" s="48">
        <f t="shared" ref="KR2" si="242">KR1</f>
        <v>44226</v>
      </c>
      <c r="KS2" s="50">
        <f t="shared" ref="KS2" si="243">KS1</f>
        <v>44227</v>
      </c>
      <c r="KT2" s="48">
        <f t="shared" ref="KT2" si="244">KT1</f>
        <v>44228</v>
      </c>
      <c r="KU2" s="48">
        <f t="shared" ref="KU2" si="245">KU1</f>
        <v>44229</v>
      </c>
      <c r="KV2" s="48">
        <f t="shared" ref="KV2" si="246">KV1</f>
        <v>44230</v>
      </c>
      <c r="KW2" s="48">
        <f t="shared" ref="KW2" si="247">KW1</f>
        <v>44231</v>
      </c>
      <c r="KX2" s="48">
        <f t="shared" ref="KX2" si="248">KX1</f>
        <v>44232</v>
      </c>
      <c r="KY2" s="48">
        <f t="shared" ref="KY2" si="249">KY1</f>
        <v>44233</v>
      </c>
      <c r="KZ2" s="50">
        <f t="shared" ref="KZ2" si="250">KZ1</f>
        <v>44234</v>
      </c>
      <c r="LA2" s="48">
        <f t="shared" ref="LA2" si="251">LA1</f>
        <v>44235</v>
      </c>
      <c r="LB2" s="48">
        <f t="shared" ref="LB2" si="252">LB1</f>
        <v>44236</v>
      </c>
      <c r="LC2" s="48">
        <f t="shared" ref="LC2" si="253">LC1</f>
        <v>44237</v>
      </c>
      <c r="LD2" s="48">
        <f t="shared" ref="LD2" si="254">LD1</f>
        <v>44238</v>
      </c>
      <c r="LE2" s="48">
        <f t="shared" ref="LE2" si="255">LE1</f>
        <v>44239</v>
      </c>
      <c r="LF2" s="48">
        <f t="shared" ref="LF2" si="256">LF1</f>
        <v>44240</v>
      </c>
      <c r="LG2" s="50">
        <f t="shared" ref="LG2" si="257">LG1</f>
        <v>44241</v>
      </c>
      <c r="LH2" s="48">
        <f t="shared" ref="LH2" si="258">LH1</f>
        <v>44242</v>
      </c>
      <c r="LI2" s="48">
        <f t="shared" ref="LI2" si="259">LI1</f>
        <v>44243</v>
      </c>
      <c r="LJ2" s="48">
        <f t="shared" ref="LJ2" si="260">LJ1</f>
        <v>44244</v>
      </c>
      <c r="LK2" s="48">
        <f t="shared" ref="LK2" si="261">LK1</f>
        <v>44245</v>
      </c>
      <c r="LL2" s="48">
        <f t="shared" ref="LL2" si="262">LL1</f>
        <v>44246</v>
      </c>
      <c r="LM2" s="48">
        <f t="shared" ref="LM2" si="263">LM1</f>
        <v>44247</v>
      </c>
      <c r="LN2" s="50">
        <f t="shared" ref="LN2" si="264">LN1</f>
        <v>44248</v>
      </c>
      <c r="LO2" s="48">
        <f t="shared" ref="LO2" si="265">LO1</f>
        <v>44249</v>
      </c>
      <c r="LP2" s="48">
        <f t="shared" ref="LP2" si="266">LP1</f>
        <v>44250</v>
      </c>
      <c r="LQ2" s="48">
        <f t="shared" ref="LQ2" si="267">LQ1</f>
        <v>44251</v>
      </c>
      <c r="LR2" s="48">
        <f t="shared" ref="LR2" si="268">LR1</f>
        <v>44252</v>
      </c>
      <c r="LS2" s="48">
        <f t="shared" ref="LS2" si="269">LS1</f>
        <v>44253</v>
      </c>
      <c r="LT2" s="48">
        <f t="shared" ref="LT2" si="270">LT1</f>
        <v>44254</v>
      </c>
      <c r="LU2" s="50">
        <f t="shared" ref="LU2" si="271">LU1</f>
        <v>44255</v>
      </c>
      <c r="LV2" s="48">
        <f t="shared" ref="LV2" si="272">LV1</f>
        <v>44256</v>
      </c>
      <c r="LW2" s="48">
        <f t="shared" ref="LW2" si="273">LW1</f>
        <v>44257</v>
      </c>
      <c r="LX2" s="48">
        <f t="shared" ref="LX2" si="274">LX1</f>
        <v>44258</v>
      </c>
      <c r="LY2" s="48">
        <f t="shared" ref="LY2" si="275">LY1</f>
        <v>44259</v>
      </c>
      <c r="LZ2" s="48">
        <f t="shared" ref="LZ2" si="276">LZ1</f>
        <v>44260</v>
      </c>
      <c r="MA2" s="48">
        <f t="shared" ref="MA2" si="277">MA1</f>
        <v>44261</v>
      </c>
      <c r="MB2" s="50">
        <f t="shared" ref="MB2" si="278">MB1</f>
        <v>44262</v>
      </c>
      <c r="MC2" s="48">
        <f t="shared" ref="MC2" si="279">MC1</f>
        <v>44263</v>
      </c>
      <c r="MD2" s="48">
        <f t="shared" ref="MD2" si="280">MD1</f>
        <v>44264</v>
      </c>
      <c r="ME2" s="48">
        <f t="shared" ref="ME2" si="281">ME1</f>
        <v>44265</v>
      </c>
      <c r="MF2" s="48">
        <f t="shared" ref="MF2" si="282">MF1</f>
        <v>44266</v>
      </c>
      <c r="MG2" s="48">
        <f t="shared" ref="MG2" si="283">MG1</f>
        <v>44267</v>
      </c>
      <c r="MH2" s="48">
        <f t="shared" ref="MH2" si="284">MH1</f>
        <v>44268</v>
      </c>
      <c r="MI2" s="50">
        <f t="shared" ref="MI2" si="285">MI1</f>
        <v>44269</v>
      </c>
      <c r="MJ2" s="48">
        <f t="shared" ref="MJ2" si="286">MJ1</f>
        <v>44270</v>
      </c>
      <c r="MK2" s="48">
        <f t="shared" ref="MK2" si="287">MK1</f>
        <v>44271</v>
      </c>
      <c r="ML2" s="48">
        <f t="shared" ref="ML2" si="288">ML1</f>
        <v>44272</v>
      </c>
      <c r="MM2" s="48">
        <f t="shared" ref="MM2" si="289">MM1</f>
        <v>44273</v>
      </c>
      <c r="MN2" s="48">
        <f t="shared" ref="MN2" si="290">MN1</f>
        <v>44274</v>
      </c>
      <c r="MO2" s="48">
        <f t="shared" ref="MO2" si="291">MO1</f>
        <v>44275</v>
      </c>
      <c r="MP2" s="50">
        <f t="shared" ref="MP2" si="292">MP1</f>
        <v>44276</v>
      </c>
      <c r="MQ2" s="48">
        <f t="shared" ref="MQ2" si="293">MQ1</f>
        <v>44277</v>
      </c>
      <c r="MR2" s="48">
        <f t="shared" ref="MR2" si="294">MR1</f>
        <v>44278</v>
      </c>
      <c r="MS2" s="48">
        <f t="shared" ref="MS2" si="295">MS1</f>
        <v>44279</v>
      </c>
      <c r="MT2" s="48">
        <f t="shared" ref="MT2" si="296">MT1</f>
        <v>44280</v>
      </c>
      <c r="MU2" s="48">
        <f t="shared" ref="MU2" si="297">MU1</f>
        <v>44281</v>
      </c>
      <c r="MV2" s="48">
        <f t="shared" ref="MV2" si="298">MV1</f>
        <v>44282</v>
      </c>
      <c r="MW2" s="50">
        <f t="shared" ref="MW2" si="299">MW1</f>
        <v>44283</v>
      </c>
      <c r="MX2" s="48">
        <f t="shared" ref="MX2" si="300">MX1</f>
        <v>44284</v>
      </c>
      <c r="MY2" s="48">
        <f t="shared" ref="MY2" si="301">MY1</f>
        <v>44285</v>
      </c>
      <c r="MZ2" s="48">
        <f t="shared" ref="MZ2" si="302">MZ1</f>
        <v>44286</v>
      </c>
      <c r="NA2" s="48">
        <f t="shared" ref="NA2" si="303">NA1</f>
        <v>44287</v>
      </c>
      <c r="NB2" s="48">
        <f t="shared" ref="NB2" si="304">NB1</f>
        <v>44288</v>
      </c>
      <c r="NC2" s="48">
        <f t="shared" ref="NC2" si="305">NC1</f>
        <v>44289</v>
      </c>
      <c r="ND2" s="50">
        <f t="shared" ref="ND2" si="306">ND1</f>
        <v>44290</v>
      </c>
    </row>
    <row r="3" spans="1:368" ht="15" customHeight="1" x14ac:dyDescent="0.25">
      <c r="A3" s="157"/>
      <c r="B3" s="157"/>
      <c r="C3" s="157"/>
      <c r="D3" s="157"/>
      <c r="E3" s="157"/>
      <c r="F3" s="39"/>
      <c r="G3" s="39"/>
      <c r="H3" s="39"/>
      <c r="I3" s="39"/>
      <c r="J3" s="39"/>
      <c r="K3" s="39"/>
      <c r="L3" s="39"/>
      <c r="M3" s="39"/>
      <c r="N3" s="39"/>
      <c r="O3" s="27"/>
      <c r="P3" s="159"/>
      <c r="Q3" s="154"/>
      <c r="R3" s="156"/>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4"/>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1"/>
      <c r="DZ3" s="38"/>
      <c r="EA3" s="24"/>
      <c r="EB3" s="38" t="s">
        <v>38</v>
      </c>
      <c r="EC3" s="38" t="s">
        <v>38</v>
      </c>
      <c r="ED3" s="38"/>
      <c r="EE3" s="38" t="s">
        <v>477</v>
      </c>
      <c r="EF3" s="38" t="s">
        <v>38</v>
      </c>
      <c r="EG3" s="38"/>
      <c r="EH3" s="38"/>
      <c r="EI3" s="38"/>
      <c r="EJ3" s="24"/>
      <c r="EK3" s="38" t="s">
        <v>38</v>
      </c>
      <c r="EL3" s="38" t="s">
        <v>38</v>
      </c>
      <c r="EM3" s="38"/>
      <c r="EN3" s="38" t="s">
        <v>481</v>
      </c>
      <c r="EO3" s="38" t="s">
        <v>477</v>
      </c>
      <c r="EP3" s="38"/>
      <c r="EQ3" s="38" t="s">
        <v>472</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583</v>
      </c>
      <c r="GT3" s="38"/>
      <c r="GU3" s="24"/>
      <c r="GV3" s="38" t="s">
        <v>46</v>
      </c>
      <c r="GW3" s="38" t="s">
        <v>38</v>
      </c>
      <c r="GX3" s="38"/>
      <c r="GY3" s="38" t="s">
        <v>38</v>
      </c>
      <c r="GZ3" s="38" t="s">
        <v>38</v>
      </c>
      <c r="HA3" s="38" t="s">
        <v>46</v>
      </c>
      <c r="HB3" s="38"/>
      <c r="HC3" s="38"/>
      <c r="HD3" s="24"/>
      <c r="HE3" s="38" t="s">
        <v>38</v>
      </c>
      <c r="HF3" s="38" t="s">
        <v>100</v>
      </c>
      <c r="HG3" s="38"/>
      <c r="HH3" s="38" t="s">
        <v>38</v>
      </c>
      <c r="HI3" s="38" t="s">
        <v>38</v>
      </c>
      <c r="HJ3" s="38" t="s">
        <v>46</v>
      </c>
      <c r="HK3" s="38" t="s">
        <v>620</v>
      </c>
      <c r="HL3" s="38"/>
      <c r="HM3" s="24"/>
      <c r="HN3" s="38"/>
      <c r="HO3" s="38" t="s">
        <v>38</v>
      </c>
      <c r="HP3" s="38"/>
      <c r="HQ3" s="38" t="s">
        <v>38</v>
      </c>
      <c r="HR3" s="38" t="s">
        <v>38</v>
      </c>
      <c r="HS3" s="38"/>
      <c r="HT3" s="24"/>
      <c r="HU3" s="38"/>
      <c r="HV3" s="38" t="s">
        <v>38</v>
      </c>
      <c r="HW3" s="38"/>
      <c r="HX3" s="38" t="s">
        <v>38</v>
      </c>
      <c r="HY3" s="38" t="s">
        <v>38</v>
      </c>
      <c r="HZ3" s="38"/>
      <c r="IA3" s="24"/>
      <c r="IB3" s="38"/>
      <c r="IC3" s="38" t="s">
        <v>38</v>
      </c>
      <c r="ID3" s="38"/>
      <c r="IE3" s="38" t="s">
        <v>38</v>
      </c>
      <c r="IF3" s="38" t="s">
        <v>38</v>
      </c>
      <c r="IG3" s="38"/>
      <c r="IH3" s="24"/>
      <c r="II3" s="38"/>
      <c r="IJ3" s="38" t="s">
        <v>38</v>
      </c>
      <c r="IK3" s="38" t="s">
        <v>38</v>
      </c>
      <c r="IL3" s="38"/>
      <c r="IM3" s="38" t="s">
        <v>38</v>
      </c>
      <c r="IN3" s="38">
        <v>14</v>
      </c>
      <c r="IO3" s="24"/>
      <c r="IP3" s="38"/>
      <c r="IQ3" s="38" t="s">
        <v>38</v>
      </c>
      <c r="IR3" s="38"/>
      <c r="IS3" s="38" t="s">
        <v>38</v>
      </c>
      <c r="IT3" s="38" t="s">
        <v>38</v>
      </c>
      <c r="IU3" s="38"/>
      <c r="IV3" s="24"/>
      <c r="IW3" s="38"/>
      <c r="IX3" s="38" t="s">
        <v>38</v>
      </c>
      <c r="IY3" s="38"/>
      <c r="IZ3" s="38" t="s">
        <v>38</v>
      </c>
      <c r="JA3" s="38" t="s">
        <v>38</v>
      </c>
      <c r="JB3" s="38">
        <v>10</v>
      </c>
      <c r="JC3" s="24"/>
      <c r="JD3" s="38"/>
      <c r="JE3" s="38" t="s">
        <v>38</v>
      </c>
      <c r="JF3" s="38"/>
      <c r="JG3" s="38" t="s">
        <v>38</v>
      </c>
      <c r="JH3" s="38" t="s">
        <v>38</v>
      </c>
      <c r="JI3" s="38">
        <v>11</v>
      </c>
      <c r="JJ3" s="24" t="s">
        <v>47</v>
      </c>
      <c r="JK3" s="38"/>
      <c r="JL3" s="38" t="s">
        <v>38</v>
      </c>
      <c r="JM3" s="38" t="s">
        <v>40</v>
      </c>
      <c r="JN3" s="38" t="s">
        <v>38</v>
      </c>
      <c r="JO3" s="38" t="s">
        <v>38</v>
      </c>
      <c r="JP3" s="38">
        <v>11</v>
      </c>
      <c r="JQ3" s="24">
        <v>13</v>
      </c>
      <c r="JR3" s="38"/>
      <c r="JS3" s="38" t="s">
        <v>38</v>
      </c>
      <c r="JT3" s="38"/>
      <c r="JU3" s="38" t="s">
        <v>38</v>
      </c>
      <c r="JV3" s="38" t="s">
        <v>38</v>
      </c>
      <c r="JW3" s="38" t="s">
        <v>40</v>
      </c>
      <c r="JX3" s="24">
        <v>12</v>
      </c>
      <c r="JY3" s="38"/>
      <c r="JZ3" s="38" t="s">
        <v>38</v>
      </c>
      <c r="KA3" s="38"/>
      <c r="KB3" s="38" t="s">
        <v>38</v>
      </c>
      <c r="KC3" s="38"/>
      <c r="KD3" s="38" t="s">
        <v>45</v>
      </c>
      <c r="KE3" s="24" t="s">
        <v>45</v>
      </c>
      <c r="KF3" s="38"/>
      <c r="KG3" s="38"/>
      <c r="KH3" s="38"/>
      <c r="KI3" s="38" t="s">
        <v>38</v>
      </c>
      <c r="KJ3" s="38" t="s">
        <v>44</v>
      </c>
      <c r="KK3" s="38" t="s">
        <v>44</v>
      </c>
      <c r="KL3" s="24"/>
      <c r="KM3" s="38" t="s">
        <v>38</v>
      </c>
      <c r="KN3" s="38" t="s">
        <v>38</v>
      </c>
      <c r="KO3" s="38"/>
      <c r="KP3" s="38" t="s">
        <v>38</v>
      </c>
      <c r="KQ3" s="38" t="s">
        <v>38</v>
      </c>
      <c r="KR3" s="38"/>
      <c r="KS3" s="24" t="s">
        <v>43</v>
      </c>
      <c r="KT3" s="38"/>
      <c r="KU3" s="38" t="s">
        <v>38</v>
      </c>
      <c r="KV3" s="38" t="s">
        <v>43</v>
      </c>
      <c r="KW3" s="38" t="s">
        <v>38</v>
      </c>
      <c r="KX3" s="38" t="s">
        <v>38</v>
      </c>
      <c r="KY3" s="38" t="s">
        <v>43</v>
      </c>
      <c r="KZ3" s="24" t="s">
        <v>41</v>
      </c>
      <c r="LA3" s="38" t="s">
        <v>40</v>
      </c>
      <c r="LB3" s="38" t="s">
        <v>38</v>
      </c>
      <c r="LC3" s="38"/>
      <c r="LD3" s="38" t="s">
        <v>38</v>
      </c>
      <c r="LE3" s="38" t="s">
        <v>38</v>
      </c>
      <c r="LF3" s="38">
        <v>12</v>
      </c>
      <c r="LG3" s="24">
        <v>12</v>
      </c>
      <c r="LH3" s="38"/>
      <c r="LI3" s="38" t="s">
        <v>38</v>
      </c>
      <c r="LJ3" s="38"/>
      <c r="LK3" s="38" t="s">
        <v>38</v>
      </c>
      <c r="LL3" s="38" t="s">
        <v>38</v>
      </c>
      <c r="LM3" s="38" t="s">
        <v>38</v>
      </c>
      <c r="LN3" s="24">
        <v>11</v>
      </c>
      <c r="LO3" s="38"/>
      <c r="LP3" s="38" t="s">
        <v>38</v>
      </c>
      <c r="LQ3" s="38"/>
      <c r="LR3" s="38" t="s">
        <v>38</v>
      </c>
      <c r="LS3" s="38" t="s">
        <v>38</v>
      </c>
      <c r="LT3" s="38">
        <v>13</v>
      </c>
      <c r="LU3" s="24">
        <v>13</v>
      </c>
      <c r="LV3" s="38"/>
      <c r="LW3" s="38" t="s">
        <v>38</v>
      </c>
      <c r="LX3" s="38"/>
      <c r="LY3" s="38">
        <v>10</v>
      </c>
      <c r="LZ3" s="38"/>
      <c r="MA3" s="38"/>
      <c r="MB3" s="26" t="s">
        <v>39</v>
      </c>
      <c r="MC3" s="38"/>
      <c r="MD3" s="38" t="s">
        <v>38</v>
      </c>
      <c r="ME3" s="38"/>
      <c r="MF3" s="38" t="s">
        <v>38</v>
      </c>
      <c r="MG3" s="38" t="s">
        <v>38</v>
      </c>
      <c r="MH3" s="38"/>
      <c r="MI3" s="24"/>
      <c r="MJ3" s="38"/>
      <c r="MK3" s="38"/>
      <c r="ML3" s="38"/>
      <c r="MM3" s="38"/>
      <c r="MN3" s="38"/>
      <c r="MO3" s="38"/>
      <c r="MP3" s="24"/>
      <c r="MQ3" s="38"/>
      <c r="MR3" s="38"/>
      <c r="MS3" s="38"/>
      <c r="MT3" s="38"/>
      <c r="MU3" s="38"/>
      <c r="MV3" s="38"/>
      <c r="MW3" s="24"/>
      <c r="MX3" s="38"/>
      <c r="MY3" s="38"/>
      <c r="MZ3" s="38"/>
      <c r="NA3" s="38"/>
      <c r="NB3" s="38"/>
      <c r="NC3" s="38"/>
      <c r="ND3" s="24"/>
    </row>
    <row r="4" spans="1:368"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2"/>
      <c r="HU4" s="11"/>
      <c r="HV4" s="11"/>
      <c r="HW4" s="11"/>
      <c r="HX4" s="11"/>
      <c r="HY4" s="11"/>
      <c r="HZ4" s="11"/>
      <c r="IA4" s="12"/>
      <c r="IB4" s="11"/>
      <c r="IC4" s="11"/>
      <c r="ID4" s="11"/>
      <c r="IE4" s="11"/>
      <c r="IF4" s="11"/>
      <c r="IG4" s="11"/>
      <c r="IH4" s="12"/>
      <c r="II4" s="11"/>
      <c r="IJ4" s="11"/>
      <c r="IK4" s="11"/>
      <c r="IL4" s="11"/>
      <c r="IM4" s="11"/>
      <c r="IN4" s="11"/>
      <c r="IO4" s="12"/>
      <c r="IP4" s="11"/>
      <c r="IQ4" s="11"/>
      <c r="IR4" s="11"/>
      <c r="IS4" s="11"/>
      <c r="IT4" s="11"/>
      <c r="IU4" s="11"/>
      <c r="IV4" s="12"/>
      <c r="IW4" s="11"/>
      <c r="IX4" s="11"/>
      <c r="IY4" s="11"/>
      <c r="IZ4" s="11"/>
      <c r="JA4" s="11"/>
      <c r="JB4" s="11"/>
      <c r="JC4" s="12"/>
      <c r="JD4" s="11"/>
      <c r="JE4" s="11"/>
      <c r="JF4" s="11"/>
      <c r="JG4" s="11"/>
      <c r="JH4" s="11"/>
      <c r="JI4" s="11"/>
      <c r="JJ4" s="12"/>
      <c r="JK4" s="11"/>
      <c r="JL4" s="11"/>
      <c r="JM4" s="11"/>
      <c r="JN4" s="11"/>
      <c r="JO4" s="11"/>
      <c r="JP4" s="11"/>
      <c r="JQ4" s="12"/>
      <c r="JR4" s="11"/>
      <c r="JS4" s="11"/>
      <c r="JT4" s="11"/>
      <c r="JU4" s="11"/>
      <c r="JV4" s="11"/>
      <c r="JW4" s="11"/>
      <c r="JX4" s="12"/>
      <c r="JY4" s="11"/>
      <c r="JZ4" s="11"/>
      <c r="KA4" s="11"/>
      <c r="KB4" s="11"/>
      <c r="KC4" s="11"/>
      <c r="KD4" s="11"/>
      <c r="KE4" s="12"/>
      <c r="KF4" s="11"/>
      <c r="KG4" s="11"/>
      <c r="KH4" s="11"/>
      <c r="KI4" s="11"/>
      <c r="KJ4" s="11"/>
      <c r="KK4" s="11"/>
      <c r="KL4" s="12"/>
      <c r="KM4" s="11"/>
      <c r="KN4" s="11"/>
      <c r="KO4" s="11"/>
      <c r="KP4" s="11"/>
      <c r="KQ4" s="11"/>
      <c r="KR4" s="11"/>
      <c r="KS4" s="12"/>
      <c r="KT4" s="11"/>
      <c r="KU4" s="11"/>
      <c r="KV4" s="11"/>
      <c r="KW4" s="11"/>
      <c r="KX4" s="11"/>
      <c r="KY4" s="11"/>
      <c r="KZ4" s="12"/>
      <c r="LA4" s="11"/>
      <c r="LB4" s="11"/>
      <c r="LC4" s="11"/>
      <c r="LD4" s="11"/>
      <c r="LE4" s="11"/>
      <c r="LF4" s="11"/>
      <c r="LG4" s="12"/>
      <c r="LH4" s="11"/>
      <c r="LI4" s="11"/>
      <c r="LJ4" s="11"/>
      <c r="LK4" s="11"/>
      <c r="LL4" s="11"/>
      <c r="LM4" s="11"/>
      <c r="LN4" s="12"/>
      <c r="LO4" s="11"/>
      <c r="LP4" s="11"/>
      <c r="LQ4" s="11"/>
      <c r="LR4" s="11"/>
      <c r="LS4" s="11"/>
      <c r="LT4" s="11"/>
      <c r="LU4" s="12"/>
      <c r="LV4" s="11"/>
      <c r="LW4" s="11"/>
      <c r="LX4" s="11"/>
      <c r="LY4" s="11"/>
      <c r="LZ4" s="11"/>
      <c r="MA4" s="11"/>
      <c r="MB4" s="12"/>
      <c r="MC4" s="11"/>
      <c r="MD4" s="11"/>
      <c r="ME4" s="11"/>
      <c r="MF4" s="11"/>
      <c r="MG4" s="11"/>
      <c r="MH4" s="11"/>
      <c r="MI4" s="12"/>
      <c r="MJ4" s="11"/>
      <c r="MK4" s="11"/>
      <c r="ML4" s="11"/>
      <c r="MM4" s="11"/>
      <c r="MN4" s="11"/>
      <c r="MO4" s="11"/>
      <c r="MP4" s="12"/>
      <c r="MQ4" s="11"/>
      <c r="MR4" s="11"/>
      <c r="MS4" s="11"/>
      <c r="MT4" s="11"/>
      <c r="MU4" s="11"/>
      <c r="MV4" s="11"/>
      <c r="MW4" s="12"/>
      <c r="MX4" s="11"/>
      <c r="MY4" s="11"/>
      <c r="MZ4" s="11"/>
      <c r="NA4" s="11"/>
      <c r="NB4" s="11"/>
      <c r="NC4" s="11"/>
      <c r="ND4" s="12"/>
    </row>
    <row r="5" spans="1:368"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2"/>
      <c r="HU5" s="11"/>
      <c r="HV5" s="11"/>
      <c r="HW5" s="11"/>
      <c r="HX5" s="11"/>
      <c r="HY5" s="11"/>
      <c r="HZ5" s="11"/>
      <c r="IA5" s="12"/>
      <c r="IB5" s="11"/>
      <c r="IC5" s="11"/>
      <c r="ID5" s="11"/>
      <c r="IE5" s="11"/>
      <c r="IF5" s="11"/>
      <c r="IG5" s="11"/>
      <c r="IH5" s="12"/>
      <c r="II5" s="11"/>
      <c r="IJ5" s="11"/>
      <c r="IK5" s="11"/>
      <c r="IL5" s="11"/>
      <c r="IM5" s="11"/>
      <c r="IN5" s="11"/>
      <c r="IO5" s="12"/>
      <c r="IP5" s="11"/>
      <c r="IQ5" s="11"/>
      <c r="IR5" s="11"/>
      <c r="IS5" s="11"/>
      <c r="IT5" s="11"/>
      <c r="IU5" s="11"/>
      <c r="IV5" s="12"/>
      <c r="IW5" s="11"/>
      <c r="IX5" s="11"/>
      <c r="IY5" s="11"/>
      <c r="IZ5" s="11"/>
      <c r="JA5" s="11"/>
      <c r="JB5" s="11"/>
      <c r="JC5" s="12"/>
      <c r="JD5" s="11"/>
      <c r="JE5" s="11"/>
      <c r="JF5" s="11"/>
      <c r="JG5" s="11"/>
      <c r="JH5" s="11"/>
      <c r="JI5" s="11"/>
      <c r="JJ5" s="12"/>
      <c r="JK5" s="11"/>
      <c r="JL5" s="11"/>
      <c r="JM5" s="11"/>
      <c r="JN5" s="11"/>
      <c r="JO5" s="11"/>
      <c r="JP5" s="11"/>
      <c r="JQ5" s="12"/>
      <c r="JR5" s="11"/>
      <c r="JS5" s="11"/>
      <c r="JT5" s="11"/>
      <c r="JU5" s="11"/>
      <c r="JV5" s="11"/>
      <c r="JW5" s="11"/>
      <c r="JX5" s="12"/>
      <c r="JY5" s="11"/>
      <c r="JZ5" s="11"/>
      <c r="KA5" s="11"/>
      <c r="KB5" s="11"/>
      <c r="KC5" s="11"/>
      <c r="KD5" s="11"/>
      <c r="KE5" s="12"/>
      <c r="KF5" s="11"/>
      <c r="KG5" s="11"/>
      <c r="KH5" s="11"/>
      <c r="KI5" s="11"/>
      <c r="KJ5" s="11"/>
      <c r="KK5" s="11"/>
      <c r="KL5" s="12"/>
      <c r="KM5" s="11"/>
      <c r="KN5" s="11"/>
      <c r="KO5" s="11"/>
      <c r="KP5" s="11"/>
      <c r="KQ5" s="11"/>
      <c r="KR5" s="11"/>
      <c r="KS5" s="12"/>
      <c r="KT5" s="11"/>
      <c r="KU5" s="11"/>
      <c r="KV5" s="11"/>
      <c r="KW5" s="11"/>
      <c r="KX5" s="11"/>
      <c r="KY5" s="11"/>
      <c r="KZ5" s="12"/>
      <c r="LA5" s="11"/>
      <c r="LB5" s="11"/>
      <c r="LC5" s="11"/>
      <c r="LD5" s="11"/>
      <c r="LE5" s="11"/>
      <c r="LF5" s="11"/>
      <c r="LG5" s="12"/>
      <c r="LH5" s="11"/>
      <c r="LI5" s="11"/>
      <c r="LJ5" s="11"/>
      <c r="LK5" s="11"/>
      <c r="LL5" s="11"/>
      <c r="LM5" s="11"/>
      <c r="LN5" s="12"/>
      <c r="LO5" s="11"/>
      <c r="LP5" s="11"/>
      <c r="LQ5" s="11"/>
      <c r="LR5" s="11"/>
      <c r="LS5" s="11"/>
      <c r="LT5" s="11"/>
      <c r="LU5" s="12"/>
      <c r="LV5" s="11"/>
      <c r="LW5" s="11"/>
      <c r="LX5" s="11"/>
      <c r="LY5" s="11"/>
      <c r="LZ5" s="11"/>
      <c r="MA5" s="11"/>
      <c r="MB5" s="12"/>
      <c r="MC5" s="11"/>
      <c r="MD5" s="11"/>
      <c r="ME5" s="11"/>
      <c r="MF5" s="11"/>
      <c r="MG5" s="11"/>
      <c r="MH5" s="11"/>
      <c r="MI5" s="12"/>
      <c r="MJ5" s="11"/>
      <c r="MK5" s="11"/>
      <c r="ML5" s="11"/>
      <c r="MM5" s="11"/>
      <c r="MN5" s="11"/>
      <c r="MO5" s="11"/>
      <c r="MP5" s="12"/>
      <c r="MQ5" s="11"/>
      <c r="MR5" s="11"/>
      <c r="MS5" s="11"/>
      <c r="MT5" s="11"/>
      <c r="MU5" s="11"/>
      <c r="MV5" s="11"/>
      <c r="MW5" s="12"/>
      <c r="MX5" s="11"/>
      <c r="MY5" s="11"/>
      <c r="MZ5" s="11"/>
      <c r="NA5" s="11"/>
      <c r="NB5" s="11"/>
      <c r="NC5" s="11"/>
      <c r="ND5" s="12"/>
    </row>
    <row r="6" spans="1:368" ht="7.5" customHeight="1" x14ac:dyDescent="0.25">
      <c r="A6" s="8"/>
      <c r="B6" s="8"/>
      <c r="C6" s="8"/>
      <c r="D6" s="8"/>
      <c r="E6" s="8"/>
      <c r="F6" s="10"/>
      <c r="G6" s="19"/>
      <c r="H6" s="19"/>
      <c r="I6" s="8"/>
      <c r="J6" s="8"/>
      <c r="K6" s="8"/>
      <c r="L6" s="8"/>
      <c r="M6" s="8"/>
      <c r="N6" s="8"/>
      <c r="O6" s="9"/>
      <c r="P6" s="8" t="str">
        <f t="shared" ref="P6:P33" si="307">IF(SUM(S6:ND6) &gt; 0, SUM(S6:ND6),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T6" s="7"/>
      <c r="IA6" s="7"/>
      <c r="IH6" s="7"/>
      <c r="IO6" s="7"/>
      <c r="IV6" s="7"/>
      <c r="JC6" s="7"/>
      <c r="JJ6" s="7"/>
      <c r="JQ6" s="7"/>
      <c r="JX6" s="7"/>
      <c r="KE6" s="7"/>
      <c r="KL6" s="7"/>
      <c r="KS6" s="7"/>
      <c r="KZ6" s="7"/>
      <c r="LG6" s="7"/>
      <c r="LN6" s="7"/>
      <c r="LU6" s="7"/>
      <c r="MB6" s="7"/>
      <c r="MI6" s="7"/>
      <c r="MP6" s="7"/>
      <c r="MW6" s="7"/>
      <c r="ND6" s="7"/>
    </row>
    <row r="7" spans="1:368" ht="15" customHeight="1" x14ac:dyDescent="0.25">
      <c r="A7" s="8" t="s">
        <v>128</v>
      </c>
      <c r="B7" s="8" t="s">
        <v>127</v>
      </c>
      <c r="C7" s="8" t="s">
        <v>157</v>
      </c>
      <c r="D7" s="8" t="s">
        <v>126</v>
      </c>
      <c r="E7" s="18">
        <v>38532</v>
      </c>
      <c r="F7" s="10">
        <f>IF($E7 &gt;= F$5, 1, "")</f>
        <v>1</v>
      </c>
      <c r="G7" s="19">
        <f>IF($E7 &gt;= G$5, 1, "")</f>
        <v>1</v>
      </c>
      <c r="H7" s="19" t="str">
        <f t="shared" ref="H7:L7" si="308">IF($E7 &gt;= H$5, 1, "")</f>
        <v/>
      </c>
      <c r="I7" s="19" t="str">
        <f t="shared" si="308"/>
        <v/>
      </c>
      <c r="J7" s="19" t="str">
        <f t="shared" si="308"/>
        <v/>
      </c>
      <c r="K7" s="19" t="str">
        <f t="shared" si="308"/>
        <v/>
      </c>
      <c r="L7" s="19" t="str">
        <f t="shared" si="308"/>
        <v/>
      </c>
      <c r="M7" s="8"/>
      <c r="N7" s="8">
        <v>1</v>
      </c>
      <c r="O7" s="9">
        <v>1</v>
      </c>
      <c r="P7" s="8">
        <f t="shared" si="307"/>
        <v>79</v>
      </c>
      <c r="Q7" s="108">
        <f t="shared" ref="Q7:Q26" si="309">IF(SUM(S7:XFD7) &gt; 0, SUM(S7:XFD7) /P$37 * 100, "")</f>
        <v>91.860465116279073</v>
      </c>
      <c r="R7" s="128" t="str">
        <f t="shared" ref="R7:R33" si="310">KStateSum(S7:ND7, 1)</f>
        <v>11</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E7">
        <v>1</v>
      </c>
      <c r="FF7">
        <v>1</v>
      </c>
      <c r="FG7">
        <v>1</v>
      </c>
      <c r="FH7">
        <v>1</v>
      </c>
      <c r="FJ7" s="99" t="s">
        <v>364</v>
      </c>
      <c r="FK7" s="80" t="s">
        <v>398</v>
      </c>
      <c r="FL7">
        <v>1</v>
      </c>
      <c r="FM7">
        <v>1</v>
      </c>
      <c r="FO7">
        <v>1</v>
      </c>
      <c r="FP7">
        <v>1</v>
      </c>
      <c r="FQ7">
        <v>1</v>
      </c>
      <c r="FS7" s="95" t="s">
        <v>364</v>
      </c>
      <c r="FT7" s="80" t="s">
        <v>398</v>
      </c>
      <c r="FU7">
        <v>1</v>
      </c>
      <c r="FV7">
        <v>1</v>
      </c>
      <c r="FX7">
        <v>1</v>
      </c>
      <c r="FY7">
        <v>1</v>
      </c>
      <c r="FZ7">
        <v>1</v>
      </c>
      <c r="GB7">
        <v>0</v>
      </c>
      <c r="GC7" s="80" t="s">
        <v>398</v>
      </c>
      <c r="GD7">
        <v>1</v>
      </c>
      <c r="GE7">
        <v>1</v>
      </c>
      <c r="GG7">
        <v>1</v>
      </c>
      <c r="GH7">
        <v>1</v>
      </c>
      <c r="GI7">
        <v>1</v>
      </c>
      <c r="GK7" s="95" t="s">
        <v>364</v>
      </c>
      <c r="GL7" s="80" t="s">
        <v>398</v>
      </c>
      <c r="GM7">
        <v>1</v>
      </c>
      <c r="GN7">
        <v>1</v>
      </c>
      <c r="GP7">
        <v>1</v>
      </c>
      <c r="GQ7">
        <v>1</v>
      </c>
      <c r="GR7">
        <v>1</v>
      </c>
      <c r="GS7" s="145">
        <v>1</v>
      </c>
      <c r="GT7" s="95" t="s">
        <v>364</v>
      </c>
      <c r="GU7" s="80" t="s">
        <v>392</v>
      </c>
      <c r="GV7">
        <v>1</v>
      </c>
      <c r="GW7">
        <v>1</v>
      </c>
      <c r="GY7">
        <v>1</v>
      </c>
      <c r="GZ7">
        <v>1</v>
      </c>
      <c r="HC7" s="95" t="s">
        <v>364</v>
      </c>
      <c r="HD7" s="80" t="s">
        <v>366</v>
      </c>
      <c r="HL7" s="95" t="s">
        <v>364</v>
      </c>
      <c r="HM7" s="80" t="s">
        <v>366</v>
      </c>
      <c r="HT7" s="7"/>
      <c r="IA7" s="7"/>
      <c r="IH7" s="7"/>
      <c r="IO7" s="7"/>
      <c r="IV7" s="7"/>
      <c r="JC7" s="7"/>
      <c r="JJ7" s="7"/>
      <c r="JQ7" s="7"/>
      <c r="JX7" s="7"/>
      <c r="KE7" s="7"/>
      <c r="KL7" s="7"/>
      <c r="KS7" s="7"/>
      <c r="KZ7" s="7"/>
      <c r="LG7" s="7"/>
      <c r="LN7" s="7"/>
      <c r="LU7" s="7"/>
      <c r="MB7" s="7"/>
      <c r="MI7" s="7"/>
      <c r="MP7" s="7"/>
      <c r="MW7" s="7"/>
      <c r="ND7" s="7"/>
    </row>
    <row r="8" spans="1:368" ht="15" customHeight="1" x14ac:dyDescent="0.25">
      <c r="A8" s="8" t="s">
        <v>151</v>
      </c>
      <c r="B8" s="8" t="s">
        <v>152</v>
      </c>
      <c r="C8" s="8" t="s">
        <v>153</v>
      </c>
      <c r="D8" s="8" t="s">
        <v>154</v>
      </c>
      <c r="E8" s="18">
        <v>36859</v>
      </c>
      <c r="F8" s="10" t="str">
        <f t="shared" ref="F8:L30" si="311">IF($E8 &gt;= F$5, 1, "")</f>
        <v/>
      </c>
      <c r="G8" s="19" t="str">
        <f t="shared" si="311"/>
        <v/>
      </c>
      <c r="H8" s="19" t="str">
        <f t="shared" si="311"/>
        <v/>
      </c>
      <c r="I8" s="19" t="str">
        <f t="shared" si="311"/>
        <v/>
      </c>
      <c r="J8" s="19" t="str">
        <f t="shared" si="311"/>
        <v/>
      </c>
      <c r="K8" s="19" t="str">
        <f t="shared" si="311"/>
        <v/>
      </c>
      <c r="L8" s="19" t="str">
        <f t="shared" si="311"/>
        <v/>
      </c>
      <c r="M8" s="8"/>
      <c r="N8" s="8"/>
      <c r="O8" s="9"/>
      <c r="P8" s="8">
        <f t="shared" si="307"/>
        <v>42</v>
      </c>
      <c r="Q8" s="108">
        <f t="shared" si="309"/>
        <v>48.837209302325576</v>
      </c>
      <c r="R8" s="128" t="str">
        <f t="shared" si="310"/>
        <v>-42</v>
      </c>
      <c r="S8" s="7">
        <v>1</v>
      </c>
      <c r="U8">
        <v>1</v>
      </c>
      <c r="V8">
        <v>1</v>
      </c>
      <c r="X8">
        <v>1</v>
      </c>
      <c r="Z8" s="7"/>
      <c r="AB8">
        <v>1</v>
      </c>
      <c r="AE8">
        <v>1</v>
      </c>
      <c r="AG8" s="7"/>
      <c r="AI8">
        <v>1</v>
      </c>
      <c r="AK8">
        <v>1</v>
      </c>
      <c r="AN8" s="7"/>
      <c r="AR8">
        <v>1</v>
      </c>
      <c r="AU8" s="7"/>
      <c r="AW8">
        <v>1</v>
      </c>
      <c r="BB8" s="7"/>
      <c r="BI8" s="7"/>
      <c r="BP8" s="7"/>
      <c r="BR8">
        <v>1</v>
      </c>
      <c r="BX8" s="99" t="s">
        <v>364</v>
      </c>
      <c r="BY8" s="80" t="s">
        <v>486</v>
      </c>
      <c r="CG8" s="99" t="s">
        <v>364</v>
      </c>
      <c r="CH8" s="80" t="s">
        <v>368</v>
      </c>
      <c r="CP8" s="95" t="s">
        <v>364</v>
      </c>
      <c r="CQ8" s="80" t="s">
        <v>368</v>
      </c>
      <c r="CY8" s="99" t="s">
        <v>364</v>
      </c>
      <c r="CZ8" s="80" t="s">
        <v>365</v>
      </c>
      <c r="DH8" s="99" t="s">
        <v>364</v>
      </c>
      <c r="DI8" s="80" t="s">
        <v>365</v>
      </c>
      <c r="DQ8" s="99" t="s">
        <v>364</v>
      </c>
      <c r="DR8" s="80" t="s">
        <v>365</v>
      </c>
      <c r="DZ8" s="99" t="s">
        <v>364</v>
      </c>
      <c r="EA8" s="80" t="s">
        <v>365</v>
      </c>
      <c r="EB8">
        <v>1</v>
      </c>
      <c r="EE8">
        <v>1</v>
      </c>
      <c r="EF8">
        <v>1</v>
      </c>
      <c r="EI8" s="99" t="s">
        <v>364</v>
      </c>
      <c r="EJ8" s="80" t="s">
        <v>363</v>
      </c>
      <c r="EK8">
        <v>1</v>
      </c>
      <c r="EL8">
        <v>1</v>
      </c>
      <c r="EN8" s="95">
        <v>1</v>
      </c>
      <c r="EO8">
        <v>1</v>
      </c>
      <c r="EQ8">
        <v>1</v>
      </c>
      <c r="ER8" s="99" t="s">
        <v>364</v>
      </c>
      <c r="ES8" s="80" t="s">
        <v>398</v>
      </c>
      <c r="ET8">
        <v>1</v>
      </c>
      <c r="EW8">
        <v>1</v>
      </c>
      <c r="FA8" s="95" t="s">
        <v>364</v>
      </c>
      <c r="FB8" s="80" t="s">
        <v>362</v>
      </c>
      <c r="FC8">
        <v>1</v>
      </c>
      <c r="FE8">
        <v>1</v>
      </c>
      <c r="FF8">
        <v>1</v>
      </c>
      <c r="FG8">
        <v>1</v>
      </c>
      <c r="FH8">
        <v>1</v>
      </c>
      <c r="FJ8" s="99" t="s">
        <v>364</v>
      </c>
      <c r="FK8" s="80" t="s">
        <v>398</v>
      </c>
      <c r="FL8">
        <v>1</v>
      </c>
      <c r="FP8">
        <v>1</v>
      </c>
      <c r="FQ8">
        <v>1</v>
      </c>
      <c r="FS8" s="99" t="s">
        <v>364</v>
      </c>
      <c r="FT8" s="80" t="s">
        <v>363</v>
      </c>
      <c r="FU8">
        <v>1</v>
      </c>
      <c r="FV8">
        <v>1</v>
      </c>
      <c r="FY8">
        <v>1</v>
      </c>
      <c r="GB8">
        <v>0</v>
      </c>
      <c r="GC8" s="80" t="s">
        <v>363</v>
      </c>
      <c r="GD8">
        <v>1</v>
      </c>
      <c r="GE8">
        <v>1</v>
      </c>
      <c r="GH8">
        <v>1</v>
      </c>
      <c r="GI8">
        <v>1</v>
      </c>
      <c r="GK8" s="95" t="s">
        <v>364</v>
      </c>
      <c r="GL8" s="80" t="s">
        <v>364</v>
      </c>
      <c r="GM8">
        <v>1</v>
      </c>
      <c r="GN8">
        <v>1</v>
      </c>
      <c r="GP8">
        <v>1</v>
      </c>
      <c r="GR8">
        <v>1</v>
      </c>
      <c r="GS8" s="145"/>
      <c r="GT8" s="95" t="s">
        <v>364</v>
      </c>
      <c r="GU8" s="80" t="s">
        <v>364</v>
      </c>
      <c r="GV8">
        <v>1</v>
      </c>
      <c r="GW8">
        <v>1</v>
      </c>
      <c r="HC8" s="95" t="s">
        <v>364</v>
      </c>
      <c r="HD8" s="80" t="s">
        <v>366</v>
      </c>
      <c r="HL8" s="95" t="s">
        <v>364</v>
      </c>
      <c r="HM8" s="80" t="s">
        <v>366</v>
      </c>
      <c r="HT8" s="7"/>
      <c r="IA8" s="7"/>
      <c r="IH8" s="7"/>
      <c r="IO8" s="7"/>
      <c r="IV8" s="7"/>
      <c r="JC8" s="7"/>
      <c r="JJ8" s="7"/>
      <c r="JQ8" s="7"/>
      <c r="JX8" s="7"/>
      <c r="KE8" s="7"/>
      <c r="KL8" s="7"/>
      <c r="KS8" s="7"/>
      <c r="KZ8" s="7"/>
      <c r="LG8" s="7"/>
      <c r="LN8" s="7"/>
      <c r="LU8" s="7"/>
      <c r="MB8" s="7"/>
      <c r="MI8" s="7"/>
      <c r="MP8" s="7"/>
      <c r="MW8" s="7"/>
      <c r="ND8" s="7"/>
    </row>
    <row r="9" spans="1:368" ht="15" customHeight="1" x14ac:dyDescent="0.25">
      <c r="A9" s="8" t="s">
        <v>20</v>
      </c>
      <c r="B9" s="8"/>
      <c r="C9" s="8" t="s">
        <v>149</v>
      </c>
      <c r="D9" s="8" t="s">
        <v>150</v>
      </c>
      <c r="E9" s="18">
        <v>37414</v>
      </c>
      <c r="F9" s="10">
        <f t="shared" si="311"/>
        <v>1</v>
      </c>
      <c r="G9" s="19" t="str">
        <f t="shared" si="311"/>
        <v/>
      </c>
      <c r="H9" s="19" t="str">
        <f t="shared" si="311"/>
        <v/>
      </c>
      <c r="I9" s="19" t="str">
        <f t="shared" si="311"/>
        <v/>
      </c>
      <c r="J9" s="19" t="str">
        <f t="shared" si="311"/>
        <v/>
      </c>
      <c r="K9" s="19" t="str">
        <f t="shared" si="311"/>
        <v/>
      </c>
      <c r="L9" s="19" t="str">
        <f t="shared" si="311"/>
        <v/>
      </c>
      <c r="M9" s="8"/>
      <c r="N9" s="8">
        <v>1</v>
      </c>
      <c r="O9" s="9">
        <v>1</v>
      </c>
      <c r="P9" s="8">
        <f t="shared" si="307"/>
        <v>73</v>
      </c>
      <c r="Q9" s="108">
        <f t="shared" si="309"/>
        <v>84.883720930232556</v>
      </c>
      <c r="R9" s="128" t="str">
        <f t="shared" si="310"/>
        <v>-14</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E9">
        <v>1</v>
      </c>
      <c r="FF9">
        <v>1</v>
      </c>
      <c r="FG9">
        <v>1</v>
      </c>
      <c r="FH9">
        <v>1</v>
      </c>
      <c r="FJ9" s="99" t="s">
        <v>364</v>
      </c>
      <c r="FK9" s="80" t="s">
        <v>398</v>
      </c>
      <c r="FP9">
        <v>1</v>
      </c>
      <c r="FQ9">
        <v>1</v>
      </c>
      <c r="FS9" s="99" t="s">
        <v>364</v>
      </c>
      <c r="FT9" s="80" t="s">
        <v>362</v>
      </c>
      <c r="FU9">
        <v>1</v>
      </c>
      <c r="FV9">
        <v>1</v>
      </c>
      <c r="FX9">
        <v>1</v>
      </c>
      <c r="FY9">
        <v>1</v>
      </c>
      <c r="FZ9">
        <v>1</v>
      </c>
      <c r="GB9">
        <v>0</v>
      </c>
      <c r="GC9" s="80" t="s">
        <v>398</v>
      </c>
      <c r="GD9">
        <v>1</v>
      </c>
      <c r="GE9">
        <v>1</v>
      </c>
      <c r="GG9">
        <v>1</v>
      </c>
      <c r="GH9">
        <v>1</v>
      </c>
      <c r="GI9">
        <v>1</v>
      </c>
      <c r="GK9" s="95" t="s">
        <v>364</v>
      </c>
      <c r="GL9" s="80" t="s">
        <v>398</v>
      </c>
      <c r="GM9">
        <v>1</v>
      </c>
      <c r="GN9">
        <v>1</v>
      </c>
      <c r="GP9">
        <v>1</v>
      </c>
      <c r="GR9">
        <v>1</v>
      </c>
      <c r="GS9" s="145"/>
      <c r="GT9" s="95" t="s">
        <v>364</v>
      </c>
      <c r="GU9" s="80" t="s">
        <v>364</v>
      </c>
      <c r="GV9">
        <v>1</v>
      </c>
      <c r="GZ9">
        <v>1</v>
      </c>
      <c r="HC9" s="95" t="s">
        <v>364</v>
      </c>
      <c r="HD9" s="80" t="s">
        <v>366</v>
      </c>
      <c r="HL9" s="95" t="s">
        <v>364</v>
      </c>
      <c r="HM9" s="80" t="s">
        <v>366</v>
      </c>
      <c r="HT9" s="7"/>
      <c r="IA9" s="7"/>
      <c r="IH9" s="7"/>
      <c r="IO9" s="7"/>
      <c r="IV9" s="7"/>
      <c r="JC9" s="7"/>
      <c r="JJ9" s="7"/>
      <c r="JQ9" s="7"/>
      <c r="JX9" s="7"/>
      <c r="KE9" s="7"/>
      <c r="KL9" s="7"/>
      <c r="KS9" s="7"/>
      <c r="KZ9" s="7"/>
      <c r="LG9" s="7"/>
      <c r="LN9" s="7"/>
      <c r="LU9" s="7"/>
      <c r="MB9" s="7"/>
      <c r="MI9" s="7"/>
      <c r="MP9" s="7"/>
      <c r="MW9" s="7"/>
      <c r="ND9" s="7"/>
    </row>
    <row r="10" spans="1:368" ht="15" customHeight="1" x14ac:dyDescent="0.25">
      <c r="A10" s="8" t="s">
        <v>247</v>
      </c>
      <c r="B10" s="8" t="s">
        <v>177</v>
      </c>
      <c r="C10" s="8" t="s">
        <v>178</v>
      </c>
      <c r="D10" s="8" t="s">
        <v>113</v>
      </c>
      <c r="E10" s="18">
        <v>37608</v>
      </c>
      <c r="F10" s="10">
        <f t="shared" si="311"/>
        <v>1</v>
      </c>
      <c r="G10" s="19" t="str">
        <f t="shared" si="311"/>
        <v/>
      </c>
      <c r="H10" s="19" t="str">
        <f t="shared" si="311"/>
        <v/>
      </c>
      <c r="I10" s="19" t="str">
        <f t="shared" si="311"/>
        <v/>
      </c>
      <c r="J10" s="19" t="str">
        <f t="shared" si="311"/>
        <v/>
      </c>
      <c r="K10" s="19" t="str">
        <f t="shared" si="311"/>
        <v/>
      </c>
      <c r="L10" s="19" t="str">
        <f t="shared" si="311"/>
        <v/>
      </c>
      <c r="M10" s="8"/>
      <c r="N10" s="8">
        <v>1</v>
      </c>
      <c r="O10" s="9">
        <v>1</v>
      </c>
      <c r="P10" s="8">
        <f t="shared" si="307"/>
        <v>61</v>
      </c>
      <c r="Q10" s="108">
        <f t="shared" si="309"/>
        <v>70.930232558139537</v>
      </c>
      <c r="R10" s="128" t="str">
        <f t="shared" si="310"/>
        <v>-19</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E10">
        <v>1</v>
      </c>
      <c r="FF10">
        <v>1</v>
      </c>
      <c r="FG10">
        <v>1</v>
      </c>
      <c r="FH10">
        <v>1</v>
      </c>
      <c r="FJ10" s="99" t="s">
        <v>364</v>
      </c>
      <c r="FK10" s="80" t="s">
        <v>398</v>
      </c>
      <c r="FM10">
        <v>1</v>
      </c>
      <c r="FP10">
        <v>1</v>
      </c>
      <c r="FQ10">
        <v>1</v>
      </c>
      <c r="FS10" s="99" t="s">
        <v>364</v>
      </c>
      <c r="FT10" s="80" t="s">
        <v>363</v>
      </c>
      <c r="FU10">
        <v>1</v>
      </c>
      <c r="FV10">
        <v>1</v>
      </c>
      <c r="FX10">
        <v>1</v>
      </c>
      <c r="GB10">
        <v>0</v>
      </c>
      <c r="GC10" s="80" t="s">
        <v>363</v>
      </c>
      <c r="GG10">
        <v>1</v>
      </c>
      <c r="GH10">
        <v>1</v>
      </c>
      <c r="GK10" s="95" t="s">
        <v>364</v>
      </c>
      <c r="GL10" s="80" t="s">
        <v>362</v>
      </c>
      <c r="GN10">
        <v>1</v>
      </c>
      <c r="GQ10">
        <v>1</v>
      </c>
      <c r="GR10">
        <v>1</v>
      </c>
      <c r="GS10" s="145">
        <v>1</v>
      </c>
      <c r="GT10" s="95" t="s">
        <v>364</v>
      </c>
      <c r="GU10" s="80" t="s">
        <v>364</v>
      </c>
      <c r="GV10">
        <v>1</v>
      </c>
      <c r="GW10">
        <v>1</v>
      </c>
      <c r="GY10">
        <v>1</v>
      </c>
      <c r="GZ10">
        <v>1</v>
      </c>
      <c r="HC10" s="95" t="s">
        <v>364</v>
      </c>
      <c r="HD10" s="80" t="s">
        <v>366</v>
      </c>
      <c r="HL10" s="95" t="s">
        <v>364</v>
      </c>
      <c r="HM10" s="80" t="s">
        <v>366</v>
      </c>
      <c r="HT10" s="7"/>
      <c r="IA10" s="7"/>
      <c r="IH10" s="7"/>
      <c r="IO10" s="7"/>
      <c r="IV10" s="7"/>
      <c r="JC10" s="7"/>
      <c r="JJ10" s="7"/>
      <c r="JQ10" s="7"/>
      <c r="JX10" s="7"/>
      <c r="KE10" s="7"/>
      <c r="KL10" s="7"/>
      <c r="KS10" s="7"/>
      <c r="KZ10" s="7"/>
      <c r="LG10" s="7"/>
      <c r="LN10" s="7"/>
      <c r="LU10" s="7"/>
      <c r="MB10" s="7"/>
      <c r="MI10" s="7"/>
      <c r="MP10" s="7"/>
      <c r="MW10" s="7"/>
      <c r="ND10" s="7"/>
    </row>
    <row r="11" spans="1:368" ht="15" customHeight="1" x14ac:dyDescent="0.25">
      <c r="A11" s="8" t="s">
        <v>387</v>
      </c>
      <c r="B11" s="8"/>
      <c r="C11" s="8" t="s">
        <v>238</v>
      </c>
      <c r="D11" s="8" t="s">
        <v>164</v>
      </c>
      <c r="E11" s="18">
        <v>36672</v>
      </c>
      <c r="F11" s="10" t="str">
        <f t="shared" si="311"/>
        <v/>
      </c>
      <c r="G11" s="19" t="str">
        <f t="shared" si="311"/>
        <v/>
      </c>
      <c r="H11" s="19" t="str">
        <f t="shared" si="311"/>
        <v/>
      </c>
      <c r="I11" s="19" t="str">
        <f t="shared" si="311"/>
        <v/>
      </c>
      <c r="J11" s="19" t="str">
        <f t="shared" si="311"/>
        <v/>
      </c>
      <c r="K11" s="19" t="str">
        <f t="shared" si="311"/>
        <v/>
      </c>
      <c r="L11" s="19" t="str">
        <f t="shared" si="311"/>
        <v/>
      </c>
      <c r="M11" s="8"/>
      <c r="N11" s="8"/>
      <c r="O11" s="9"/>
      <c r="P11" s="8">
        <f t="shared" si="307"/>
        <v>38</v>
      </c>
      <c r="Q11" s="108">
        <f t="shared" si="309"/>
        <v>44.186046511627907</v>
      </c>
      <c r="R11" s="128" t="str">
        <f t="shared" si="310"/>
        <v>-38</v>
      </c>
      <c r="S11" s="7"/>
      <c r="Z11" s="7"/>
      <c r="AG11" s="7"/>
      <c r="AN11" s="7"/>
      <c r="AU11" s="7"/>
      <c r="BB11" s="7"/>
      <c r="BI11" s="7"/>
      <c r="BP11" s="7"/>
      <c r="BX11" s="95" t="s">
        <v>364</v>
      </c>
      <c r="BY11" s="80" t="s">
        <v>368</v>
      </c>
      <c r="CG11" s="95" t="s">
        <v>364</v>
      </c>
      <c r="CH11" s="80" t="s">
        <v>368</v>
      </c>
      <c r="CL11">
        <v>1</v>
      </c>
      <c r="CP11" s="137" t="s">
        <v>398</v>
      </c>
      <c r="CQ11" s="80" t="s">
        <v>486</v>
      </c>
      <c r="CS11">
        <v>1</v>
      </c>
      <c r="CV11">
        <v>1</v>
      </c>
      <c r="CY11" s="137" t="s">
        <v>364</v>
      </c>
      <c r="CZ11" s="80" t="s">
        <v>362</v>
      </c>
      <c r="DH11" s="137" t="s">
        <v>364</v>
      </c>
      <c r="DI11" s="80" t="s">
        <v>365</v>
      </c>
      <c r="DK11">
        <v>1</v>
      </c>
      <c r="DQ11" s="137" t="s">
        <v>364</v>
      </c>
      <c r="DR11" s="80" t="s">
        <v>393</v>
      </c>
      <c r="DT11">
        <v>1</v>
      </c>
      <c r="DZ11" s="95" t="s">
        <v>364</v>
      </c>
      <c r="EA11" s="80" t="s">
        <v>393</v>
      </c>
      <c r="EC11">
        <v>1</v>
      </c>
      <c r="EI11" s="137" t="s">
        <v>364</v>
      </c>
      <c r="EJ11" s="80" t="s">
        <v>393</v>
      </c>
      <c r="EL11">
        <v>1</v>
      </c>
      <c r="EN11" s="95"/>
      <c r="ER11" s="99" t="s">
        <v>364</v>
      </c>
      <c r="ES11" s="80" t="s">
        <v>393</v>
      </c>
      <c r="EU11">
        <v>1</v>
      </c>
      <c r="EV11">
        <v>1</v>
      </c>
      <c r="EW11">
        <v>1</v>
      </c>
      <c r="FA11" s="95" t="s">
        <v>364</v>
      </c>
      <c r="FB11" s="80" t="s">
        <v>363</v>
      </c>
      <c r="FC11">
        <v>1</v>
      </c>
      <c r="FE11">
        <v>1</v>
      </c>
      <c r="FF11">
        <v>1</v>
      </c>
      <c r="FG11">
        <v>1</v>
      </c>
      <c r="FH11">
        <v>1</v>
      </c>
      <c r="FJ11" s="99" t="s">
        <v>364</v>
      </c>
      <c r="FK11" s="80" t="s">
        <v>398</v>
      </c>
      <c r="FL11">
        <v>1</v>
      </c>
      <c r="FM11">
        <v>1</v>
      </c>
      <c r="FP11">
        <v>1</v>
      </c>
      <c r="FQ11">
        <v>1</v>
      </c>
      <c r="FS11" s="99" t="s">
        <v>364</v>
      </c>
      <c r="FT11" s="80" t="s">
        <v>364</v>
      </c>
      <c r="FU11">
        <v>1</v>
      </c>
      <c r="FV11">
        <v>1</v>
      </c>
      <c r="FX11">
        <v>1</v>
      </c>
      <c r="FY11">
        <v>1</v>
      </c>
      <c r="FZ11">
        <v>1</v>
      </c>
      <c r="GB11">
        <v>0</v>
      </c>
      <c r="GC11" s="80" t="s">
        <v>398</v>
      </c>
      <c r="GD11">
        <v>1</v>
      </c>
      <c r="GE11">
        <v>1</v>
      </c>
      <c r="GG11">
        <v>1</v>
      </c>
      <c r="GH11">
        <v>1</v>
      </c>
      <c r="GI11">
        <v>1</v>
      </c>
      <c r="GK11" s="95" t="s">
        <v>364</v>
      </c>
      <c r="GL11" s="80" t="s">
        <v>398</v>
      </c>
      <c r="GM11">
        <v>1</v>
      </c>
      <c r="GN11">
        <v>1</v>
      </c>
      <c r="GP11">
        <v>1</v>
      </c>
      <c r="GQ11">
        <v>1</v>
      </c>
      <c r="GR11">
        <v>1</v>
      </c>
      <c r="GS11" s="145"/>
      <c r="GT11" s="95" t="s">
        <v>364</v>
      </c>
      <c r="GU11" s="80" t="s">
        <v>398</v>
      </c>
      <c r="GV11">
        <v>1</v>
      </c>
      <c r="GW11">
        <v>1</v>
      </c>
      <c r="GY11">
        <v>1</v>
      </c>
      <c r="GZ11">
        <v>1</v>
      </c>
      <c r="HC11" s="95" t="s">
        <v>364</v>
      </c>
      <c r="HD11" s="80" t="s">
        <v>366</v>
      </c>
      <c r="HL11" s="95" t="s">
        <v>364</v>
      </c>
      <c r="HM11" s="80" t="s">
        <v>366</v>
      </c>
      <c r="HT11" s="7"/>
      <c r="IA11" s="7"/>
      <c r="IH11" s="7"/>
      <c r="IO11" s="7"/>
      <c r="IV11" s="7"/>
      <c r="JC11" s="7"/>
      <c r="JJ11" s="7"/>
      <c r="JQ11" s="7"/>
      <c r="JX11" s="7"/>
      <c r="KE11" s="7"/>
      <c r="KL11" s="7"/>
      <c r="KS11" s="7"/>
      <c r="KZ11" s="7"/>
      <c r="LG11" s="7"/>
      <c r="LN11" s="7"/>
      <c r="LU11" s="7"/>
      <c r="MB11" s="7"/>
      <c r="MI11" s="7"/>
      <c r="MP11" s="7"/>
      <c r="MW11" s="7"/>
      <c r="ND11" s="7"/>
    </row>
    <row r="12" spans="1:368" x14ac:dyDescent="0.25">
      <c r="A12" s="8" t="s">
        <v>162</v>
      </c>
      <c r="B12" s="8"/>
      <c r="C12" s="8" t="s">
        <v>163</v>
      </c>
      <c r="D12" s="8" t="s">
        <v>164</v>
      </c>
      <c r="E12" s="18">
        <v>37133</v>
      </c>
      <c r="F12" s="10" t="str">
        <f t="shared" si="311"/>
        <v/>
      </c>
      <c r="G12" s="19" t="str">
        <f t="shared" si="311"/>
        <v/>
      </c>
      <c r="H12" s="19" t="str">
        <f t="shared" si="311"/>
        <v/>
      </c>
      <c r="I12" s="19" t="str">
        <f t="shared" si="311"/>
        <v/>
      </c>
      <c r="J12" s="19" t="str">
        <f t="shared" si="311"/>
        <v/>
      </c>
      <c r="K12" s="19" t="str">
        <f t="shared" si="311"/>
        <v/>
      </c>
      <c r="L12" s="19" t="str">
        <f t="shared" si="311"/>
        <v/>
      </c>
      <c r="M12" s="8"/>
      <c r="N12" s="8"/>
      <c r="O12" s="9">
        <v>1</v>
      </c>
      <c r="P12" s="8">
        <f t="shared" si="307"/>
        <v>70</v>
      </c>
      <c r="Q12" s="108">
        <f t="shared" si="309"/>
        <v>81.395348837209298</v>
      </c>
      <c r="R12" s="128" t="str">
        <f t="shared" si="310"/>
        <v>-19</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E12">
        <v>1</v>
      </c>
      <c r="FF12">
        <v>1</v>
      </c>
      <c r="FG12">
        <v>1</v>
      </c>
      <c r="FH12">
        <v>1</v>
      </c>
      <c r="FJ12" s="99" t="s">
        <v>364</v>
      </c>
      <c r="FK12" s="80" t="s">
        <v>364</v>
      </c>
      <c r="FO12">
        <v>1</v>
      </c>
      <c r="FQ12">
        <v>1</v>
      </c>
      <c r="FS12" s="99" t="s">
        <v>364</v>
      </c>
      <c r="FT12" s="80" t="s">
        <v>362</v>
      </c>
      <c r="FU12">
        <v>1</v>
      </c>
      <c r="FV12">
        <v>1</v>
      </c>
      <c r="FX12">
        <v>1</v>
      </c>
      <c r="FY12">
        <v>1</v>
      </c>
      <c r="FZ12">
        <v>1</v>
      </c>
      <c r="GB12">
        <v>0</v>
      </c>
      <c r="GC12" s="80" t="s">
        <v>398</v>
      </c>
      <c r="GE12">
        <v>1</v>
      </c>
      <c r="GG12">
        <v>1</v>
      </c>
      <c r="GH12">
        <v>1</v>
      </c>
      <c r="GI12">
        <v>1</v>
      </c>
      <c r="GK12" s="95" t="s">
        <v>364</v>
      </c>
      <c r="GL12" s="80" t="s">
        <v>364</v>
      </c>
      <c r="GM12">
        <v>1</v>
      </c>
      <c r="GN12">
        <v>1</v>
      </c>
      <c r="GP12">
        <v>1</v>
      </c>
      <c r="GQ12">
        <v>1</v>
      </c>
      <c r="GR12">
        <v>1</v>
      </c>
      <c r="GS12" s="145"/>
      <c r="GT12" s="95" t="s">
        <v>364</v>
      </c>
      <c r="GU12" s="80" t="s">
        <v>398</v>
      </c>
      <c r="GV12">
        <v>1</v>
      </c>
      <c r="GW12">
        <v>1</v>
      </c>
      <c r="GY12">
        <v>1</v>
      </c>
      <c r="GZ12">
        <v>1</v>
      </c>
      <c r="HC12" s="95" t="s">
        <v>364</v>
      </c>
      <c r="HD12" s="80" t="s">
        <v>366</v>
      </c>
      <c r="HL12" s="95" t="s">
        <v>364</v>
      </c>
      <c r="HM12" s="80" t="s">
        <v>366</v>
      </c>
      <c r="HT12" s="7"/>
      <c r="IA12" s="7"/>
      <c r="IH12" s="7"/>
      <c r="IO12" s="7"/>
      <c r="IV12" s="7"/>
      <c r="JC12" s="7"/>
      <c r="JJ12" s="7"/>
      <c r="JQ12" s="7"/>
      <c r="JX12" s="7"/>
      <c r="KE12" s="7"/>
      <c r="KL12" s="7"/>
      <c r="KS12" s="7"/>
      <c r="KZ12" s="7"/>
      <c r="LG12" s="7"/>
      <c r="LN12" s="7"/>
      <c r="LU12" s="7"/>
      <c r="MB12" s="7"/>
      <c r="MI12" s="7"/>
      <c r="MP12" s="7"/>
      <c r="MW12" s="7"/>
      <c r="ND12" s="7"/>
    </row>
    <row r="13" spans="1:368" x14ac:dyDescent="0.25">
      <c r="A13" s="8" t="s">
        <v>120</v>
      </c>
      <c r="B13" s="8" t="s">
        <v>161</v>
      </c>
      <c r="C13" s="8" t="s">
        <v>175</v>
      </c>
      <c r="D13" s="8" t="s">
        <v>176</v>
      </c>
      <c r="E13" s="18">
        <v>37808</v>
      </c>
      <c r="F13" s="10">
        <f t="shared" si="311"/>
        <v>1</v>
      </c>
      <c r="G13" s="19" t="str">
        <f t="shared" si="311"/>
        <v/>
      </c>
      <c r="H13" s="19" t="str">
        <f t="shared" si="311"/>
        <v/>
      </c>
      <c r="I13" s="19" t="str">
        <f t="shared" si="311"/>
        <v/>
      </c>
      <c r="J13" s="19" t="str">
        <f t="shared" si="311"/>
        <v/>
      </c>
      <c r="K13" s="19" t="str">
        <f t="shared" si="311"/>
        <v/>
      </c>
      <c r="L13" s="19" t="str">
        <f t="shared" si="311"/>
        <v/>
      </c>
      <c r="M13" s="8"/>
      <c r="N13" s="8">
        <v>1</v>
      </c>
      <c r="O13" s="9">
        <v>1</v>
      </c>
      <c r="P13" s="8">
        <f t="shared" si="307"/>
        <v>72</v>
      </c>
      <c r="Q13" s="108">
        <f t="shared" si="309"/>
        <v>83.720930232558146</v>
      </c>
      <c r="R13" s="128" t="str">
        <f t="shared" si="310"/>
        <v>-8</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E13">
        <v>1</v>
      </c>
      <c r="FF13">
        <v>1</v>
      </c>
      <c r="FG13">
        <v>1</v>
      </c>
      <c r="FH13">
        <v>1</v>
      </c>
      <c r="FJ13" s="99" t="s">
        <v>364</v>
      </c>
      <c r="FK13" s="80" t="s">
        <v>398</v>
      </c>
      <c r="FO13">
        <v>1</v>
      </c>
      <c r="FP13">
        <v>1</v>
      </c>
      <c r="FQ13">
        <v>1</v>
      </c>
      <c r="FS13" s="99" t="s">
        <v>364</v>
      </c>
      <c r="FT13" s="80" t="s">
        <v>363</v>
      </c>
      <c r="FU13">
        <v>1</v>
      </c>
      <c r="FV13">
        <v>1</v>
      </c>
      <c r="FX13">
        <v>1</v>
      </c>
      <c r="FY13">
        <v>1</v>
      </c>
      <c r="FZ13">
        <v>1</v>
      </c>
      <c r="GB13">
        <v>0</v>
      </c>
      <c r="GC13" s="80" t="s">
        <v>398</v>
      </c>
      <c r="GD13">
        <v>1</v>
      </c>
      <c r="GE13">
        <v>1</v>
      </c>
      <c r="GG13">
        <v>1</v>
      </c>
      <c r="GH13">
        <v>1</v>
      </c>
      <c r="GI13">
        <v>1</v>
      </c>
      <c r="GK13" s="95" t="s">
        <v>364</v>
      </c>
      <c r="GL13" s="80" t="s">
        <v>398</v>
      </c>
      <c r="GM13">
        <v>1</v>
      </c>
      <c r="GN13">
        <v>1</v>
      </c>
      <c r="GP13">
        <v>1</v>
      </c>
      <c r="GQ13">
        <v>1</v>
      </c>
      <c r="GR13">
        <v>1</v>
      </c>
      <c r="GS13" s="145"/>
      <c r="GT13" s="95" t="s">
        <v>364</v>
      </c>
      <c r="GU13" s="80" t="s">
        <v>398</v>
      </c>
      <c r="GV13">
        <v>1</v>
      </c>
      <c r="GW13">
        <v>1</v>
      </c>
      <c r="GY13">
        <v>1</v>
      </c>
      <c r="GZ13">
        <v>1</v>
      </c>
      <c r="HC13" s="95" t="s">
        <v>364</v>
      </c>
      <c r="HD13" s="80" t="s">
        <v>366</v>
      </c>
      <c r="HL13" s="95" t="s">
        <v>364</v>
      </c>
      <c r="HM13" s="80" t="s">
        <v>366</v>
      </c>
      <c r="HT13" s="7"/>
      <c r="IA13" s="7"/>
      <c r="IH13" s="7"/>
      <c r="IO13" s="7"/>
      <c r="IV13" s="7"/>
      <c r="JC13" s="7"/>
      <c r="JJ13" s="7"/>
      <c r="JQ13" s="7"/>
      <c r="JX13" s="7"/>
      <c r="KE13" s="7"/>
      <c r="KL13" s="7"/>
      <c r="KS13" s="7"/>
      <c r="KZ13" s="7"/>
      <c r="LG13" s="7"/>
      <c r="LN13" s="7"/>
      <c r="LU13" s="7"/>
      <c r="MB13" s="7"/>
      <c r="MI13" s="7"/>
      <c r="MP13" s="7"/>
      <c r="MW13" s="7"/>
      <c r="ND13" s="7"/>
    </row>
    <row r="14" spans="1:368" hidden="1" x14ac:dyDescent="0.25">
      <c r="A14" s="8" t="s">
        <v>177</v>
      </c>
      <c r="B14" s="8"/>
      <c r="C14" s="8" t="s">
        <v>179</v>
      </c>
      <c r="D14" s="8" t="s">
        <v>180</v>
      </c>
      <c r="E14" s="18"/>
      <c r="F14" s="10" t="str">
        <f t="shared" si="311"/>
        <v/>
      </c>
      <c r="G14" s="19" t="str">
        <f t="shared" si="311"/>
        <v/>
      </c>
      <c r="H14" s="19" t="str">
        <f t="shared" si="311"/>
        <v/>
      </c>
      <c r="I14" s="19" t="str">
        <f t="shared" si="311"/>
        <v/>
      </c>
      <c r="J14" s="19" t="str">
        <f t="shared" si="311"/>
        <v/>
      </c>
      <c r="K14" s="19" t="str">
        <f t="shared" si="311"/>
        <v/>
      </c>
      <c r="L14" s="19" t="str">
        <f t="shared" si="311"/>
        <v/>
      </c>
      <c r="M14" s="8"/>
      <c r="N14" s="8">
        <v>1</v>
      </c>
      <c r="O14" s="9"/>
      <c r="P14" s="8">
        <f t="shared" si="307"/>
        <v>1</v>
      </c>
      <c r="Q14" s="108">
        <f t="shared" si="309"/>
        <v>1.1627906976744187</v>
      </c>
      <c r="R14" s="128" t="str">
        <f t="shared" si="310"/>
        <v>-6</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398</v>
      </c>
      <c r="FS14" s="99" t="s">
        <v>364</v>
      </c>
      <c r="FT14" s="80" t="s">
        <v>366</v>
      </c>
      <c r="GC14" s="80" t="s">
        <v>366</v>
      </c>
      <c r="GK14" s="95" t="s">
        <v>364</v>
      </c>
      <c r="GL14" s="80" t="s">
        <v>366</v>
      </c>
      <c r="GS14" s="145"/>
      <c r="GT14" s="95" t="s">
        <v>364</v>
      </c>
      <c r="GU14" s="80" t="s">
        <v>366</v>
      </c>
      <c r="HC14" s="95" t="s">
        <v>364</v>
      </c>
      <c r="HD14" s="80" t="s">
        <v>366</v>
      </c>
      <c r="HL14" s="95" t="s">
        <v>364</v>
      </c>
      <c r="HM14" s="80" t="s">
        <v>366</v>
      </c>
      <c r="HT14" s="7"/>
      <c r="IA14" s="7"/>
      <c r="IH14" s="7"/>
      <c r="IO14" s="7"/>
      <c r="IV14" s="7"/>
      <c r="JC14" s="7"/>
      <c r="JJ14" s="7"/>
      <c r="JQ14" s="7"/>
      <c r="JX14" s="7"/>
      <c r="KE14" s="7"/>
      <c r="KL14" s="7"/>
      <c r="KS14" s="7"/>
      <c r="KZ14" s="7"/>
      <c r="LG14" s="7"/>
      <c r="LN14" s="7"/>
      <c r="LU14" s="7"/>
      <c r="MB14" s="7"/>
      <c r="MI14" s="7"/>
      <c r="MP14" s="7"/>
      <c r="MW14" s="7"/>
      <c r="ND14" s="7"/>
    </row>
    <row r="15" spans="1:368" hidden="1" x14ac:dyDescent="0.25">
      <c r="A15" s="8" t="s">
        <v>171</v>
      </c>
      <c r="B15" s="8" t="s">
        <v>172</v>
      </c>
      <c r="C15" s="8" t="s">
        <v>173</v>
      </c>
      <c r="D15" s="8" t="s">
        <v>174</v>
      </c>
      <c r="E15" s="18">
        <v>36556</v>
      </c>
      <c r="F15" s="10" t="str">
        <f t="shared" si="311"/>
        <v/>
      </c>
      <c r="G15" s="19" t="str">
        <f t="shared" si="311"/>
        <v/>
      </c>
      <c r="H15" s="19" t="str">
        <f t="shared" si="311"/>
        <v/>
      </c>
      <c r="I15" s="19" t="str">
        <f t="shared" si="311"/>
        <v/>
      </c>
      <c r="J15" s="19" t="str">
        <f t="shared" si="311"/>
        <v/>
      </c>
      <c r="K15" s="19" t="str">
        <f t="shared" si="311"/>
        <v/>
      </c>
      <c r="L15" s="19" t="str">
        <f t="shared" si="311"/>
        <v/>
      </c>
      <c r="M15" s="8"/>
      <c r="N15" s="8"/>
      <c r="O15" s="9"/>
      <c r="P15" s="8">
        <f t="shared" si="307"/>
        <v>1</v>
      </c>
      <c r="Q15" s="108">
        <f t="shared" si="309"/>
        <v>1.1627906976744187</v>
      </c>
      <c r="R15" s="128" t="str">
        <f t="shared" si="310"/>
        <v>-6</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398</v>
      </c>
      <c r="FS15" s="99" t="s">
        <v>364</v>
      </c>
      <c r="FT15" s="80" t="s">
        <v>366</v>
      </c>
      <c r="GC15" s="80" t="s">
        <v>366</v>
      </c>
      <c r="GK15" s="95" t="s">
        <v>364</v>
      </c>
      <c r="GL15" s="80" t="s">
        <v>366</v>
      </c>
      <c r="GS15" s="145"/>
      <c r="GT15" s="95" t="s">
        <v>364</v>
      </c>
      <c r="GU15" s="80" t="s">
        <v>366</v>
      </c>
      <c r="HC15" s="95" t="s">
        <v>364</v>
      </c>
      <c r="HD15" s="80" t="s">
        <v>366</v>
      </c>
      <c r="HL15" s="95" t="s">
        <v>364</v>
      </c>
      <c r="HM15" s="80" t="s">
        <v>366</v>
      </c>
      <c r="HT15" s="7"/>
      <c r="IA15" s="7"/>
      <c r="IH15" s="7"/>
      <c r="IO15" s="7"/>
      <c r="IV15" s="7"/>
      <c r="JC15" s="7"/>
      <c r="JJ15" s="7"/>
      <c r="JQ15" s="7"/>
      <c r="JX15" s="7"/>
      <c r="KE15" s="7"/>
      <c r="KL15" s="7"/>
      <c r="KS15" s="7"/>
      <c r="KZ15" s="7"/>
      <c r="LG15" s="7"/>
      <c r="LN15" s="7"/>
      <c r="LU15" s="7"/>
      <c r="MB15" s="7"/>
      <c r="MI15" s="7"/>
      <c r="MP15" s="7"/>
      <c r="MW15" s="7"/>
      <c r="ND15" s="7"/>
    </row>
    <row r="16" spans="1:368" x14ac:dyDescent="0.25">
      <c r="A16" s="8" t="s">
        <v>457</v>
      </c>
      <c r="B16" s="8" t="s">
        <v>230</v>
      </c>
      <c r="C16" s="8" t="s">
        <v>232</v>
      </c>
      <c r="D16" s="8" t="s">
        <v>231</v>
      </c>
      <c r="E16" s="18">
        <v>38679</v>
      </c>
      <c r="F16" s="10">
        <f t="shared" si="311"/>
        <v>1</v>
      </c>
      <c r="G16" s="19">
        <f t="shared" si="311"/>
        <v>1</v>
      </c>
      <c r="H16" s="19" t="str">
        <f t="shared" si="311"/>
        <v/>
      </c>
      <c r="I16" s="19" t="str">
        <f t="shared" si="311"/>
        <v/>
      </c>
      <c r="J16" s="19" t="str">
        <f t="shared" si="311"/>
        <v/>
      </c>
      <c r="K16" s="19" t="str">
        <f t="shared" si="311"/>
        <v/>
      </c>
      <c r="L16" s="19" t="str">
        <f t="shared" si="311"/>
        <v/>
      </c>
      <c r="M16" s="8">
        <v>1</v>
      </c>
      <c r="N16" s="8">
        <v>1</v>
      </c>
      <c r="O16" s="9"/>
      <c r="P16" s="8">
        <f t="shared" si="307"/>
        <v>26</v>
      </c>
      <c r="Q16" s="108">
        <f t="shared" si="309"/>
        <v>30.232558139534881</v>
      </c>
      <c r="R16" s="128" t="str">
        <f t="shared" si="310"/>
        <v>-51</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460</v>
      </c>
      <c r="ER16" s="99" t="s">
        <v>364</v>
      </c>
      <c r="ES16" s="80" t="s">
        <v>363</v>
      </c>
      <c r="ET16">
        <v>1</v>
      </c>
      <c r="FA16" s="95" t="s">
        <v>364</v>
      </c>
      <c r="FB16" s="80" t="s">
        <v>393</v>
      </c>
      <c r="FD16">
        <v>1</v>
      </c>
      <c r="FG16">
        <v>1</v>
      </c>
      <c r="FJ16" s="99" t="s">
        <v>364</v>
      </c>
      <c r="FK16" s="80" t="s">
        <v>362</v>
      </c>
      <c r="FL16">
        <v>1</v>
      </c>
      <c r="FM16">
        <v>1</v>
      </c>
      <c r="FP16">
        <v>1</v>
      </c>
      <c r="FS16" s="99" t="s">
        <v>364</v>
      </c>
      <c r="FT16" s="80" t="s">
        <v>363</v>
      </c>
      <c r="FU16">
        <v>1</v>
      </c>
      <c r="FV16">
        <v>1</v>
      </c>
      <c r="GB16">
        <v>0</v>
      </c>
      <c r="GC16" s="80" t="s">
        <v>362</v>
      </c>
      <c r="GD16">
        <v>1</v>
      </c>
      <c r="GE16">
        <v>1</v>
      </c>
      <c r="GK16" s="95" t="s">
        <v>364</v>
      </c>
      <c r="GL16" s="80" t="s">
        <v>362</v>
      </c>
      <c r="GM16">
        <v>1</v>
      </c>
      <c r="GN16">
        <v>1</v>
      </c>
      <c r="GS16" s="145">
        <v>1</v>
      </c>
      <c r="GT16" s="95" t="s">
        <v>364</v>
      </c>
      <c r="GU16" s="80" t="s">
        <v>363</v>
      </c>
      <c r="HC16" s="95" t="s">
        <v>364</v>
      </c>
      <c r="HD16" s="80" t="s">
        <v>366</v>
      </c>
      <c r="HL16" s="95" t="s">
        <v>364</v>
      </c>
      <c r="HM16" s="80" t="s">
        <v>366</v>
      </c>
      <c r="HT16" s="7"/>
      <c r="IA16" s="7"/>
      <c r="IH16" s="7"/>
      <c r="IO16" s="7"/>
      <c r="IV16" s="7"/>
      <c r="JC16" s="7"/>
      <c r="JJ16" s="7"/>
      <c r="JQ16" s="7"/>
      <c r="JX16" s="7"/>
      <c r="KE16" s="7"/>
      <c r="KL16" s="7"/>
      <c r="KS16" s="7"/>
      <c r="KZ16" s="7"/>
      <c r="LG16" s="7"/>
      <c r="LN16" s="7"/>
      <c r="LU16" s="7"/>
      <c r="MB16" s="7"/>
      <c r="MI16" s="7"/>
      <c r="MP16" s="7"/>
      <c r="MW16" s="7"/>
      <c r="ND16" s="7"/>
    </row>
    <row r="17" spans="1:368" x14ac:dyDescent="0.25">
      <c r="A17" s="8" t="s">
        <v>125</v>
      </c>
      <c r="B17" s="8" t="s">
        <v>124</v>
      </c>
      <c r="C17" s="8" t="s">
        <v>158</v>
      </c>
      <c r="D17" s="8" t="s">
        <v>123</v>
      </c>
      <c r="E17" s="18">
        <v>38491</v>
      </c>
      <c r="F17" s="10">
        <f t="shared" si="311"/>
        <v>1</v>
      </c>
      <c r="G17" s="19">
        <f t="shared" si="311"/>
        <v>1</v>
      </c>
      <c r="H17" s="19" t="str">
        <f t="shared" si="311"/>
        <v/>
      </c>
      <c r="I17" s="19" t="str">
        <f t="shared" si="311"/>
        <v/>
      </c>
      <c r="J17" s="19" t="str">
        <f t="shared" si="311"/>
        <v/>
      </c>
      <c r="K17" s="19" t="str">
        <f t="shared" si="311"/>
        <v/>
      </c>
      <c r="L17" s="19" t="str">
        <f t="shared" si="311"/>
        <v/>
      </c>
      <c r="M17" s="8"/>
      <c r="N17" s="8">
        <v>1</v>
      </c>
      <c r="O17" s="9">
        <v>1</v>
      </c>
      <c r="P17" s="8">
        <f t="shared" si="307"/>
        <v>70</v>
      </c>
      <c r="Q17" s="108">
        <f t="shared" si="309"/>
        <v>81.395348837209298</v>
      </c>
      <c r="R17" s="128" t="str">
        <f t="shared" si="310"/>
        <v>-12</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D17">
        <v>1</v>
      </c>
      <c r="FE17">
        <v>1</v>
      </c>
      <c r="FF17">
        <v>1</v>
      </c>
      <c r="FG17">
        <v>1</v>
      </c>
      <c r="FH17">
        <v>1</v>
      </c>
      <c r="FJ17" s="99" t="s">
        <v>364</v>
      </c>
      <c r="FK17" s="80" t="s">
        <v>398</v>
      </c>
      <c r="FM17">
        <v>1</v>
      </c>
      <c r="FO17">
        <v>1</v>
      </c>
      <c r="FP17">
        <v>1</v>
      </c>
      <c r="FQ17">
        <v>1</v>
      </c>
      <c r="FS17" s="99" t="s">
        <v>364</v>
      </c>
      <c r="FT17" s="80" t="s">
        <v>364</v>
      </c>
      <c r="FU17">
        <v>1</v>
      </c>
      <c r="FV17">
        <v>1</v>
      </c>
      <c r="FX17">
        <v>1</v>
      </c>
      <c r="FY17">
        <v>1</v>
      </c>
      <c r="FZ17">
        <v>1</v>
      </c>
      <c r="GB17">
        <v>0</v>
      </c>
      <c r="GC17" s="80" t="s">
        <v>398</v>
      </c>
      <c r="GD17">
        <v>1</v>
      </c>
      <c r="GE17">
        <v>1</v>
      </c>
      <c r="GH17">
        <v>1</v>
      </c>
      <c r="GI17">
        <v>1</v>
      </c>
      <c r="GK17" s="95" t="s">
        <v>364</v>
      </c>
      <c r="GL17" s="80" t="s">
        <v>364</v>
      </c>
      <c r="GM17">
        <v>1</v>
      </c>
      <c r="GP17">
        <v>1</v>
      </c>
      <c r="GQ17">
        <v>1</v>
      </c>
      <c r="GR17">
        <v>1</v>
      </c>
      <c r="GS17" s="145">
        <v>1</v>
      </c>
      <c r="GT17" s="95" t="s">
        <v>364</v>
      </c>
      <c r="GU17" s="80" t="s">
        <v>398</v>
      </c>
      <c r="GV17">
        <v>1</v>
      </c>
      <c r="GW17">
        <v>1</v>
      </c>
      <c r="GY17">
        <v>1</v>
      </c>
      <c r="GZ17">
        <v>1</v>
      </c>
      <c r="HC17" s="95" t="s">
        <v>364</v>
      </c>
      <c r="HD17" s="80" t="s">
        <v>366</v>
      </c>
      <c r="HL17" s="95" t="s">
        <v>364</v>
      </c>
      <c r="HM17" s="80" t="s">
        <v>366</v>
      </c>
      <c r="HT17" s="7"/>
      <c r="IA17" s="7"/>
      <c r="IH17" s="7"/>
      <c r="IO17" s="7"/>
      <c r="IV17" s="7"/>
      <c r="JC17" s="7"/>
      <c r="JJ17" s="7"/>
      <c r="JQ17" s="7"/>
      <c r="JX17" s="7"/>
      <c r="KE17" s="7"/>
      <c r="KL17" s="7"/>
      <c r="KS17" s="7"/>
      <c r="KZ17" s="7"/>
      <c r="LG17" s="7"/>
      <c r="LN17" s="7"/>
      <c r="LU17" s="7"/>
      <c r="MB17" s="7"/>
      <c r="MI17" s="7"/>
      <c r="MP17" s="7"/>
      <c r="MW17" s="7"/>
      <c r="ND17" s="7"/>
    </row>
    <row r="18" spans="1:368" x14ac:dyDescent="0.25">
      <c r="A18" s="8" t="s">
        <v>80</v>
      </c>
      <c r="B18" s="8"/>
      <c r="C18" s="8" t="s">
        <v>160</v>
      </c>
      <c r="D18" s="8" t="s">
        <v>122</v>
      </c>
      <c r="E18" s="18">
        <v>38655</v>
      </c>
      <c r="F18" s="10">
        <f t="shared" si="311"/>
        <v>1</v>
      </c>
      <c r="G18" s="19">
        <f t="shared" si="311"/>
        <v>1</v>
      </c>
      <c r="H18" s="19" t="str">
        <f t="shared" si="311"/>
        <v/>
      </c>
      <c r="I18" s="19" t="str">
        <f t="shared" si="311"/>
        <v/>
      </c>
      <c r="J18" s="19" t="str">
        <f t="shared" si="311"/>
        <v/>
      </c>
      <c r="K18" s="19" t="str">
        <f t="shared" si="311"/>
        <v/>
      </c>
      <c r="L18" s="19" t="str">
        <f t="shared" si="311"/>
        <v/>
      </c>
      <c r="M18" s="8"/>
      <c r="N18" s="8">
        <v>1</v>
      </c>
      <c r="O18" s="9">
        <v>1</v>
      </c>
      <c r="P18" s="8">
        <f t="shared" si="307"/>
        <v>62</v>
      </c>
      <c r="Q18" s="108">
        <f t="shared" si="309"/>
        <v>72.093023255813947</v>
      </c>
      <c r="R18" s="128" t="str">
        <f t="shared" si="310"/>
        <v>-12</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F18">
        <v>1</v>
      </c>
      <c r="FH18">
        <v>1</v>
      </c>
      <c r="FJ18" s="99" t="s">
        <v>364</v>
      </c>
      <c r="FK18" s="80" t="s">
        <v>363</v>
      </c>
      <c r="FM18">
        <v>1</v>
      </c>
      <c r="FP18">
        <v>1</v>
      </c>
      <c r="FQ18">
        <v>1</v>
      </c>
      <c r="FS18" s="99" t="s">
        <v>364</v>
      </c>
      <c r="FT18" s="80" t="s">
        <v>363</v>
      </c>
      <c r="FU18">
        <v>1</v>
      </c>
      <c r="FV18">
        <v>1</v>
      </c>
      <c r="FY18">
        <v>1</v>
      </c>
      <c r="FZ18">
        <v>1</v>
      </c>
      <c r="GB18">
        <v>0</v>
      </c>
      <c r="GC18" s="80" t="s">
        <v>364</v>
      </c>
      <c r="GD18">
        <v>1</v>
      </c>
      <c r="GE18">
        <v>1</v>
      </c>
      <c r="GH18">
        <v>1</v>
      </c>
      <c r="GI18">
        <v>1</v>
      </c>
      <c r="GK18" s="95" t="s">
        <v>364</v>
      </c>
      <c r="GL18" s="80" t="s">
        <v>364</v>
      </c>
      <c r="GM18">
        <v>1</v>
      </c>
      <c r="GQ18">
        <v>1</v>
      </c>
      <c r="GS18" s="145">
        <v>1</v>
      </c>
      <c r="GT18" s="95" t="s">
        <v>364</v>
      </c>
      <c r="GU18" s="80" t="s">
        <v>363</v>
      </c>
      <c r="GV18">
        <v>1</v>
      </c>
      <c r="GW18">
        <v>1</v>
      </c>
      <c r="HC18" s="95" t="s">
        <v>364</v>
      </c>
      <c r="HD18" s="80" t="s">
        <v>366</v>
      </c>
      <c r="HL18" s="95" t="s">
        <v>364</v>
      </c>
      <c r="HM18" s="80" t="s">
        <v>366</v>
      </c>
      <c r="HT18" s="7"/>
      <c r="IA18" s="7"/>
      <c r="IH18" s="7"/>
      <c r="IO18" s="7"/>
      <c r="IV18" s="7"/>
      <c r="JC18" s="7"/>
      <c r="JJ18" s="7"/>
      <c r="JQ18" s="7"/>
      <c r="JX18" s="7"/>
      <c r="KE18" s="7"/>
      <c r="KL18" s="7"/>
      <c r="KS18" s="7"/>
      <c r="KZ18" s="7"/>
      <c r="LG18" s="7"/>
      <c r="LN18" s="7"/>
      <c r="LU18" s="7"/>
      <c r="MB18" s="7"/>
      <c r="MI18" s="7"/>
      <c r="MP18" s="7"/>
      <c r="MW18" s="7"/>
      <c r="ND18" s="7"/>
    </row>
    <row r="19" spans="1:368" x14ac:dyDescent="0.25">
      <c r="A19" s="8" t="s">
        <v>155</v>
      </c>
      <c r="B19" s="8"/>
      <c r="C19" s="8" t="s">
        <v>156</v>
      </c>
      <c r="D19" s="8" t="s">
        <v>139</v>
      </c>
      <c r="E19" s="18">
        <v>37863</v>
      </c>
      <c r="F19" s="10">
        <f t="shared" si="311"/>
        <v>1</v>
      </c>
      <c r="G19" s="19" t="str">
        <f t="shared" si="311"/>
        <v/>
      </c>
      <c r="H19" s="19" t="str">
        <f t="shared" si="311"/>
        <v/>
      </c>
      <c r="I19" s="19" t="str">
        <f t="shared" si="311"/>
        <v/>
      </c>
      <c r="J19" s="19" t="str">
        <f t="shared" si="311"/>
        <v/>
      </c>
      <c r="K19" s="19" t="str">
        <f t="shared" si="311"/>
        <v/>
      </c>
      <c r="L19" s="19" t="str">
        <f t="shared" si="311"/>
        <v/>
      </c>
      <c r="M19" s="8"/>
      <c r="N19" s="8">
        <v>1</v>
      </c>
      <c r="O19" s="9">
        <v>1</v>
      </c>
      <c r="P19" s="8">
        <f t="shared" si="307"/>
        <v>64</v>
      </c>
      <c r="Q19" s="108">
        <f t="shared" si="309"/>
        <v>74.418604651162795</v>
      </c>
      <c r="R19" s="128" t="str">
        <f t="shared" si="310"/>
        <v>-7</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E19">
        <v>1</v>
      </c>
      <c r="FF19">
        <v>1</v>
      </c>
      <c r="FH19">
        <v>1</v>
      </c>
      <c r="FJ19" s="99" t="s">
        <v>364</v>
      </c>
      <c r="FK19" s="80" t="s">
        <v>364</v>
      </c>
      <c r="FM19">
        <v>1</v>
      </c>
      <c r="FO19">
        <v>1</v>
      </c>
      <c r="FP19">
        <v>1</v>
      </c>
      <c r="FQ19">
        <v>1</v>
      </c>
      <c r="FS19" s="99" t="s">
        <v>364</v>
      </c>
      <c r="FT19" s="80" t="s">
        <v>364</v>
      </c>
      <c r="FV19">
        <v>1</v>
      </c>
      <c r="GB19">
        <v>0</v>
      </c>
      <c r="GC19" s="80" t="s">
        <v>393</v>
      </c>
      <c r="GD19">
        <v>1</v>
      </c>
      <c r="GE19">
        <v>1</v>
      </c>
      <c r="GH19">
        <v>1</v>
      </c>
      <c r="GI19">
        <v>1</v>
      </c>
      <c r="GK19" s="95" t="s">
        <v>364</v>
      </c>
      <c r="GL19" s="80" t="s">
        <v>364</v>
      </c>
      <c r="GM19">
        <v>1</v>
      </c>
      <c r="GQ19">
        <v>1</v>
      </c>
      <c r="GR19">
        <v>1</v>
      </c>
      <c r="GS19" s="145">
        <v>1</v>
      </c>
      <c r="GT19" s="95" t="s">
        <v>364</v>
      </c>
      <c r="GU19" s="80" t="s">
        <v>364</v>
      </c>
      <c r="GV19">
        <v>1</v>
      </c>
      <c r="GW19">
        <v>1</v>
      </c>
      <c r="GZ19">
        <v>1</v>
      </c>
      <c r="HC19" s="95" t="s">
        <v>364</v>
      </c>
      <c r="HD19" s="80" t="s">
        <v>366</v>
      </c>
      <c r="HL19" s="95" t="s">
        <v>364</v>
      </c>
      <c r="HM19" s="80" t="s">
        <v>366</v>
      </c>
      <c r="HT19" s="7"/>
      <c r="IA19" s="7"/>
      <c r="IH19" s="7"/>
      <c r="IO19" s="7"/>
      <c r="IV19" s="7"/>
      <c r="JC19" s="7"/>
      <c r="JJ19" s="7"/>
      <c r="JQ19" s="7"/>
      <c r="JX19" s="7"/>
      <c r="KE19" s="7"/>
      <c r="KL19" s="7"/>
      <c r="KS19" s="7"/>
      <c r="KZ19" s="7"/>
      <c r="LG19" s="7"/>
      <c r="LN19" s="7"/>
      <c r="LU19" s="7"/>
      <c r="MB19" s="7"/>
      <c r="MI19" s="7"/>
      <c r="MP19" s="7"/>
      <c r="MW19" s="7"/>
      <c r="ND19" s="7"/>
    </row>
    <row r="20" spans="1:368" x14ac:dyDescent="0.25">
      <c r="A20" s="8" t="s">
        <v>80</v>
      </c>
      <c r="B20" s="8"/>
      <c r="C20" s="8" t="s">
        <v>143</v>
      </c>
      <c r="D20" s="8" t="s">
        <v>139</v>
      </c>
      <c r="E20" s="18">
        <v>37863</v>
      </c>
      <c r="F20" s="10">
        <f t="shared" si="311"/>
        <v>1</v>
      </c>
      <c r="G20" s="19" t="str">
        <f t="shared" si="311"/>
        <v/>
      </c>
      <c r="H20" s="19" t="str">
        <f t="shared" si="311"/>
        <v/>
      </c>
      <c r="I20" s="19" t="str">
        <f t="shared" si="311"/>
        <v/>
      </c>
      <c r="J20" s="19" t="str">
        <f t="shared" si="311"/>
        <v/>
      </c>
      <c r="K20" s="19" t="str">
        <f t="shared" si="311"/>
        <v/>
      </c>
      <c r="L20" s="19" t="str">
        <f t="shared" si="311"/>
        <v/>
      </c>
      <c r="M20" s="8"/>
      <c r="N20" s="8">
        <v>1</v>
      </c>
      <c r="O20" s="9">
        <v>1</v>
      </c>
      <c r="P20" s="8">
        <f t="shared" si="307"/>
        <v>58</v>
      </c>
      <c r="Q20" s="108">
        <f t="shared" si="309"/>
        <v>67.441860465116278</v>
      </c>
      <c r="R20" s="128" t="str">
        <f t="shared" si="310"/>
        <v>-28</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E20">
        <v>1</v>
      </c>
      <c r="FH20">
        <v>1</v>
      </c>
      <c r="FJ20" s="99" t="s">
        <v>364</v>
      </c>
      <c r="FK20" s="80" t="s">
        <v>362</v>
      </c>
      <c r="FM20">
        <v>1</v>
      </c>
      <c r="FO20">
        <v>1</v>
      </c>
      <c r="FP20">
        <v>1</v>
      </c>
      <c r="FQ20">
        <v>1</v>
      </c>
      <c r="FS20" s="99" t="s">
        <v>364</v>
      </c>
      <c r="FT20" s="80" t="s">
        <v>364</v>
      </c>
      <c r="FV20">
        <v>1</v>
      </c>
      <c r="GB20">
        <v>0</v>
      </c>
      <c r="GC20" s="80" t="s">
        <v>393</v>
      </c>
      <c r="GD20">
        <v>1</v>
      </c>
      <c r="GE20">
        <v>1</v>
      </c>
      <c r="GG20">
        <v>1</v>
      </c>
      <c r="GH20">
        <v>1</v>
      </c>
      <c r="GI20">
        <v>1</v>
      </c>
      <c r="GK20" s="95" t="s">
        <v>364</v>
      </c>
      <c r="GL20" s="80" t="s">
        <v>398</v>
      </c>
      <c r="GM20">
        <v>1</v>
      </c>
      <c r="GS20" s="145">
        <v>1</v>
      </c>
      <c r="GT20" s="95" t="s">
        <v>364</v>
      </c>
      <c r="GU20" s="80" t="s">
        <v>362</v>
      </c>
      <c r="GV20">
        <v>1</v>
      </c>
      <c r="GW20">
        <v>1</v>
      </c>
      <c r="GZ20">
        <v>1</v>
      </c>
      <c r="HC20" s="95" t="s">
        <v>364</v>
      </c>
      <c r="HD20" s="80" t="s">
        <v>366</v>
      </c>
      <c r="HL20" s="95" t="s">
        <v>364</v>
      </c>
      <c r="HM20" s="80" t="s">
        <v>366</v>
      </c>
      <c r="HT20" s="7"/>
      <c r="IA20" s="7"/>
      <c r="IH20" s="7"/>
      <c r="IO20" s="7"/>
      <c r="IV20" s="7"/>
      <c r="JC20" s="7"/>
      <c r="JJ20" s="7"/>
      <c r="JQ20" s="7"/>
      <c r="JX20" s="7"/>
      <c r="KE20" s="7"/>
      <c r="KL20" s="7"/>
      <c r="KS20" s="7"/>
      <c r="KZ20" s="7"/>
      <c r="LG20" s="7"/>
      <c r="LN20" s="7"/>
      <c r="LU20" s="7"/>
      <c r="MB20" s="7"/>
      <c r="MI20" s="7"/>
      <c r="MP20" s="7"/>
      <c r="MW20" s="7"/>
      <c r="ND20" s="7"/>
    </row>
    <row r="21" spans="1:368" x14ac:dyDescent="0.25">
      <c r="A21" s="8" t="s">
        <v>142</v>
      </c>
      <c r="B21" s="8" t="s">
        <v>141</v>
      </c>
      <c r="C21" s="8" t="s">
        <v>140</v>
      </c>
      <c r="D21" s="8" t="s">
        <v>139</v>
      </c>
      <c r="E21" s="18">
        <v>38954</v>
      </c>
      <c r="F21" s="10">
        <f t="shared" si="311"/>
        <v>1</v>
      </c>
      <c r="G21" s="19">
        <f t="shared" si="311"/>
        <v>1</v>
      </c>
      <c r="H21" s="19">
        <f t="shared" si="311"/>
        <v>1</v>
      </c>
      <c r="I21" s="19" t="str">
        <f t="shared" si="311"/>
        <v/>
      </c>
      <c r="J21" s="19" t="str">
        <f t="shared" si="311"/>
        <v/>
      </c>
      <c r="K21" s="19" t="str">
        <f t="shared" si="311"/>
        <v/>
      </c>
      <c r="L21" s="19" t="str">
        <f t="shared" si="311"/>
        <v/>
      </c>
      <c r="M21" s="8">
        <v>1</v>
      </c>
      <c r="N21" s="8">
        <v>1</v>
      </c>
      <c r="O21" s="9"/>
      <c r="P21" s="8">
        <f t="shared" si="307"/>
        <v>53</v>
      </c>
      <c r="Q21" s="108">
        <f t="shared" si="309"/>
        <v>61.627906976744185</v>
      </c>
      <c r="R21" s="128" t="str">
        <f t="shared" si="310"/>
        <v>-21</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398</v>
      </c>
      <c r="FK21" s="80" t="s">
        <v>362</v>
      </c>
      <c r="FP21">
        <v>1</v>
      </c>
      <c r="FS21" s="99">
        <v>0</v>
      </c>
      <c r="FT21" s="80" t="s">
        <v>393</v>
      </c>
      <c r="GB21">
        <v>0</v>
      </c>
      <c r="GC21" s="80" t="s">
        <v>365</v>
      </c>
      <c r="GE21">
        <v>1</v>
      </c>
      <c r="GG21">
        <v>1</v>
      </c>
      <c r="GH21">
        <v>1</v>
      </c>
      <c r="GK21" s="95" t="s">
        <v>364</v>
      </c>
      <c r="GL21" s="80" t="s">
        <v>363</v>
      </c>
      <c r="GQ21">
        <v>1</v>
      </c>
      <c r="GS21" s="145">
        <v>1</v>
      </c>
      <c r="GT21" s="95" t="s">
        <v>364</v>
      </c>
      <c r="GU21" s="80" t="s">
        <v>362</v>
      </c>
      <c r="GZ21">
        <v>1</v>
      </c>
      <c r="HC21" s="95" t="s">
        <v>364</v>
      </c>
      <c r="HD21" s="80" t="s">
        <v>366</v>
      </c>
      <c r="HL21" s="95" t="s">
        <v>364</v>
      </c>
      <c r="HM21" s="80" t="s">
        <v>366</v>
      </c>
      <c r="HT21" s="7"/>
      <c r="IA21" s="7"/>
      <c r="IH21" s="7"/>
      <c r="IO21" s="7"/>
      <c r="IV21" s="7"/>
      <c r="JC21" s="7"/>
      <c r="JJ21" s="7"/>
      <c r="JQ21" s="7"/>
      <c r="JX21" s="7"/>
      <c r="KE21" s="7"/>
      <c r="KL21" s="7"/>
      <c r="KS21" s="7"/>
      <c r="KZ21" s="7"/>
      <c r="LG21" s="7"/>
      <c r="LN21" s="7"/>
      <c r="LU21" s="7"/>
      <c r="MB21" s="7"/>
      <c r="MI21" s="7"/>
      <c r="MP21" s="7"/>
      <c r="MW21" s="7"/>
      <c r="ND21" s="7"/>
    </row>
    <row r="22" spans="1:368" hidden="1" x14ac:dyDescent="0.25">
      <c r="A22" s="8" t="s">
        <v>162</v>
      </c>
      <c r="B22" s="8" t="s">
        <v>184</v>
      </c>
      <c r="C22" s="8" t="s">
        <v>186</v>
      </c>
      <c r="D22" s="8" t="s">
        <v>185</v>
      </c>
      <c r="E22" s="18"/>
      <c r="F22" s="10" t="str">
        <f t="shared" si="311"/>
        <v/>
      </c>
      <c r="G22" s="19" t="str">
        <f t="shared" si="311"/>
        <v/>
      </c>
      <c r="H22" s="19" t="str">
        <f t="shared" si="311"/>
        <v/>
      </c>
      <c r="I22" s="19" t="str">
        <f t="shared" si="311"/>
        <v/>
      </c>
      <c r="J22" s="19" t="str">
        <f t="shared" si="311"/>
        <v/>
      </c>
      <c r="K22" s="19" t="str">
        <f t="shared" si="311"/>
        <v/>
      </c>
      <c r="L22" s="19" t="str">
        <f t="shared" si="311"/>
        <v/>
      </c>
      <c r="M22" s="8"/>
      <c r="N22" s="8">
        <v>1</v>
      </c>
      <c r="O22" s="9"/>
      <c r="P22" s="8">
        <f t="shared" si="307"/>
        <v>1</v>
      </c>
      <c r="Q22" s="108">
        <f t="shared" si="309"/>
        <v>1.1627906976744187</v>
      </c>
      <c r="R22" s="128" t="str">
        <f t="shared" si="310"/>
        <v>-13</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398</v>
      </c>
      <c r="FS22" s="99" t="s">
        <v>364</v>
      </c>
      <c r="FT22" s="80" t="s">
        <v>366</v>
      </c>
      <c r="GC22" s="80" t="s">
        <v>366</v>
      </c>
      <c r="GK22" s="95" t="s">
        <v>364</v>
      </c>
      <c r="GL22" s="80" t="s">
        <v>366</v>
      </c>
      <c r="GS22" s="145"/>
      <c r="GT22" s="95" t="s">
        <v>364</v>
      </c>
      <c r="GU22" s="80" t="s">
        <v>366</v>
      </c>
      <c r="HC22" s="95" t="s">
        <v>364</v>
      </c>
      <c r="HD22" s="80" t="s">
        <v>366</v>
      </c>
      <c r="HL22" s="95" t="s">
        <v>364</v>
      </c>
      <c r="HM22" s="80" t="s">
        <v>366</v>
      </c>
      <c r="HT22" s="7"/>
      <c r="IA22" s="7"/>
      <c r="IH22" s="7"/>
      <c r="IO22" s="7"/>
      <c r="IV22" s="7"/>
      <c r="JC22" s="7"/>
      <c r="JJ22" s="7"/>
      <c r="JQ22" s="7"/>
      <c r="JX22" s="7"/>
      <c r="KE22" s="7"/>
      <c r="KL22" s="7"/>
      <c r="KS22" s="7"/>
      <c r="KZ22" s="7"/>
      <c r="LG22" s="7"/>
      <c r="LN22" s="7"/>
      <c r="LU22" s="7"/>
      <c r="MB22" s="7"/>
      <c r="MI22" s="7"/>
      <c r="MP22" s="7"/>
      <c r="MW22" s="7"/>
      <c r="ND22" s="7"/>
    </row>
    <row r="23" spans="1:368" x14ac:dyDescent="0.25">
      <c r="A23" s="8" t="s">
        <v>138</v>
      </c>
      <c r="B23" s="8" t="s">
        <v>137</v>
      </c>
      <c r="C23" s="8" t="s">
        <v>136</v>
      </c>
      <c r="D23" s="8" t="s">
        <v>135</v>
      </c>
      <c r="E23" s="18">
        <v>39155</v>
      </c>
      <c r="F23" s="10">
        <f t="shared" si="311"/>
        <v>1</v>
      </c>
      <c r="G23" s="19">
        <f t="shared" si="311"/>
        <v>1</v>
      </c>
      <c r="H23" s="19">
        <f t="shared" si="311"/>
        <v>1</v>
      </c>
      <c r="I23" s="19">
        <f t="shared" si="311"/>
        <v>1</v>
      </c>
      <c r="J23" s="19" t="str">
        <f t="shared" si="311"/>
        <v/>
      </c>
      <c r="K23" s="19" t="str">
        <f t="shared" si="311"/>
        <v/>
      </c>
      <c r="L23" s="19" t="str">
        <f t="shared" si="311"/>
        <v/>
      </c>
      <c r="M23" s="8">
        <v>1</v>
      </c>
      <c r="N23" s="8">
        <v>1</v>
      </c>
      <c r="O23" s="9"/>
      <c r="P23" s="8">
        <f t="shared" si="307"/>
        <v>55</v>
      </c>
      <c r="Q23" s="108">
        <f t="shared" si="309"/>
        <v>63.953488372093027</v>
      </c>
      <c r="R23" s="128" t="str">
        <f t="shared" si="310"/>
        <v>-31</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D23">
        <v>1</v>
      </c>
      <c r="FE23">
        <v>1</v>
      </c>
      <c r="FF23">
        <v>1</v>
      </c>
      <c r="FJ23" s="99" t="s">
        <v>392</v>
      </c>
      <c r="FK23" s="80" t="s">
        <v>398</v>
      </c>
      <c r="FL23">
        <v>1</v>
      </c>
      <c r="FM23">
        <v>1</v>
      </c>
      <c r="FO23">
        <v>1</v>
      </c>
      <c r="FS23" s="99">
        <v>0</v>
      </c>
      <c r="FT23" s="80" t="s">
        <v>363</v>
      </c>
      <c r="FU23">
        <v>1</v>
      </c>
      <c r="FX23">
        <v>1</v>
      </c>
      <c r="GB23">
        <v>0</v>
      </c>
      <c r="GC23" s="80" t="s">
        <v>362</v>
      </c>
      <c r="GD23">
        <v>1</v>
      </c>
      <c r="GG23">
        <v>1</v>
      </c>
      <c r="GK23" s="95" t="s">
        <v>364</v>
      </c>
      <c r="GL23" s="80" t="s">
        <v>362</v>
      </c>
      <c r="GM23">
        <v>1</v>
      </c>
      <c r="GP23">
        <v>1</v>
      </c>
      <c r="GQ23">
        <v>1</v>
      </c>
      <c r="GS23" s="145">
        <v>1</v>
      </c>
      <c r="GT23" s="95" t="s">
        <v>364</v>
      </c>
      <c r="GU23" s="80" t="s">
        <v>364</v>
      </c>
      <c r="GY23">
        <v>1</v>
      </c>
      <c r="HC23" s="95" t="s">
        <v>364</v>
      </c>
      <c r="HD23" s="80" t="s">
        <v>366</v>
      </c>
      <c r="HL23" s="95" t="s">
        <v>364</v>
      </c>
      <c r="HM23" s="80" t="s">
        <v>366</v>
      </c>
      <c r="HT23" s="7"/>
      <c r="IA23" s="7"/>
      <c r="IH23" s="7"/>
      <c r="IO23" s="7"/>
      <c r="IV23" s="7"/>
      <c r="JC23" s="7"/>
      <c r="JJ23" s="7"/>
      <c r="JQ23" s="7"/>
      <c r="JX23" s="7"/>
      <c r="KE23" s="7"/>
      <c r="KL23" s="7"/>
      <c r="KS23" s="7"/>
      <c r="KZ23" s="7"/>
      <c r="LG23" s="7"/>
      <c r="LN23" s="7"/>
      <c r="LU23" s="7"/>
      <c r="MB23" s="7"/>
      <c r="MI23" s="7"/>
      <c r="MP23" s="7"/>
      <c r="MW23" s="7"/>
      <c r="ND23" s="7"/>
    </row>
    <row r="24" spans="1:368" x14ac:dyDescent="0.25">
      <c r="A24" s="8" t="s">
        <v>134</v>
      </c>
      <c r="B24" s="8" t="s">
        <v>133</v>
      </c>
      <c r="C24" s="8" t="s">
        <v>169</v>
      </c>
      <c r="D24" s="8" t="s">
        <v>170</v>
      </c>
      <c r="E24" s="18">
        <v>37177</v>
      </c>
      <c r="F24" s="10" t="str">
        <f t="shared" si="311"/>
        <v/>
      </c>
      <c r="G24" s="19" t="str">
        <f t="shared" si="311"/>
        <v/>
      </c>
      <c r="H24" s="19" t="str">
        <f t="shared" si="311"/>
        <v/>
      </c>
      <c r="I24" s="19" t="str">
        <f t="shared" si="311"/>
        <v/>
      </c>
      <c r="J24" s="19" t="str">
        <f t="shared" si="311"/>
        <v/>
      </c>
      <c r="K24" s="19" t="str">
        <f t="shared" si="311"/>
        <v/>
      </c>
      <c r="L24" s="19" t="str">
        <f t="shared" si="311"/>
        <v/>
      </c>
      <c r="M24" s="8"/>
      <c r="N24" s="8"/>
      <c r="O24" s="9">
        <v>1</v>
      </c>
      <c r="P24" s="8">
        <f t="shared" si="307"/>
        <v>65</v>
      </c>
      <c r="Q24" s="108">
        <f t="shared" si="309"/>
        <v>75.581395348837205</v>
      </c>
      <c r="R24" s="128" t="str">
        <f t="shared" si="310"/>
        <v>-4</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F24">
        <v>1</v>
      </c>
      <c r="FG24">
        <v>1</v>
      </c>
      <c r="FH24">
        <v>1</v>
      </c>
      <c r="FJ24" s="99" t="s">
        <v>364</v>
      </c>
      <c r="FK24" s="80" t="s">
        <v>363</v>
      </c>
      <c r="FM24">
        <v>1</v>
      </c>
      <c r="FO24">
        <v>1</v>
      </c>
      <c r="FP24">
        <v>1</v>
      </c>
      <c r="FQ24">
        <v>1</v>
      </c>
      <c r="FS24" s="99" t="s">
        <v>364</v>
      </c>
      <c r="FT24" s="80" t="s">
        <v>364</v>
      </c>
      <c r="FU24">
        <v>1</v>
      </c>
      <c r="FV24">
        <v>1</v>
      </c>
      <c r="FX24">
        <v>1</v>
      </c>
      <c r="FY24">
        <v>1</v>
      </c>
      <c r="FZ24">
        <v>1</v>
      </c>
      <c r="GB24">
        <v>0</v>
      </c>
      <c r="GC24" s="80" t="s">
        <v>398</v>
      </c>
      <c r="GD24">
        <v>1</v>
      </c>
      <c r="GE24">
        <v>1</v>
      </c>
      <c r="GG24">
        <v>1</v>
      </c>
      <c r="GH24">
        <v>1</v>
      </c>
      <c r="GI24">
        <v>1</v>
      </c>
      <c r="GK24" s="95" t="s">
        <v>364</v>
      </c>
      <c r="GL24" s="80" t="s">
        <v>398</v>
      </c>
      <c r="GM24">
        <v>1</v>
      </c>
      <c r="GN24">
        <v>1</v>
      </c>
      <c r="GP24">
        <v>1</v>
      </c>
      <c r="GQ24">
        <v>1</v>
      </c>
      <c r="GR24">
        <v>1</v>
      </c>
      <c r="GS24" s="145"/>
      <c r="GT24" s="95" t="s">
        <v>364</v>
      </c>
      <c r="GU24" s="80" t="s">
        <v>398</v>
      </c>
      <c r="GV24">
        <v>1</v>
      </c>
      <c r="GY24">
        <v>1</v>
      </c>
      <c r="HC24" s="95" t="s">
        <v>364</v>
      </c>
      <c r="HD24" s="80" t="s">
        <v>366</v>
      </c>
      <c r="HL24" s="95" t="s">
        <v>364</v>
      </c>
      <c r="HM24" s="80" t="s">
        <v>366</v>
      </c>
      <c r="HT24" s="7"/>
      <c r="IA24" s="7"/>
      <c r="IH24" s="7"/>
      <c r="IO24" s="7"/>
      <c r="IV24" s="7"/>
      <c r="JC24" s="7"/>
      <c r="JJ24" s="7"/>
      <c r="JQ24" s="7"/>
      <c r="JX24" s="7"/>
      <c r="KE24" s="7"/>
      <c r="KL24" s="7"/>
      <c r="KS24" s="7"/>
      <c r="KZ24" s="7"/>
      <c r="LG24" s="7"/>
      <c r="LN24" s="7"/>
      <c r="LU24" s="7"/>
      <c r="MB24" s="7"/>
      <c r="MI24" s="7"/>
      <c r="MP24" s="7"/>
      <c r="MW24" s="7"/>
      <c r="ND24" s="7"/>
    </row>
    <row r="25" spans="1:368" x14ac:dyDescent="0.25">
      <c r="A25" s="8" t="s">
        <v>125</v>
      </c>
      <c r="B25" s="8" t="s">
        <v>124</v>
      </c>
      <c r="C25" s="8" t="s">
        <v>167</v>
      </c>
      <c r="D25" s="8" t="s">
        <v>168</v>
      </c>
      <c r="E25" s="18">
        <v>36870</v>
      </c>
      <c r="F25" s="10" t="str">
        <f t="shared" si="311"/>
        <v/>
      </c>
      <c r="G25" s="19" t="str">
        <f t="shared" si="311"/>
        <v/>
      </c>
      <c r="H25" s="19" t="str">
        <f t="shared" si="311"/>
        <v/>
      </c>
      <c r="I25" s="19" t="str">
        <f t="shared" si="311"/>
        <v/>
      </c>
      <c r="J25" s="19" t="str">
        <f t="shared" si="311"/>
        <v/>
      </c>
      <c r="K25" s="19" t="str">
        <f t="shared" si="311"/>
        <v/>
      </c>
      <c r="L25" s="19" t="str">
        <f t="shared" si="311"/>
        <v/>
      </c>
      <c r="M25" s="8"/>
      <c r="N25" s="8"/>
      <c r="O25" s="9">
        <v>1</v>
      </c>
      <c r="P25" s="8">
        <f t="shared" si="307"/>
        <v>70</v>
      </c>
      <c r="Q25" s="108">
        <f t="shared" si="309"/>
        <v>81.395348837209298</v>
      </c>
      <c r="R25" s="128" t="str">
        <f t="shared" si="310"/>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E25">
        <v>1</v>
      </c>
      <c r="FG25">
        <v>1</v>
      </c>
      <c r="FH25">
        <v>1</v>
      </c>
      <c r="FJ25" s="99" t="s">
        <v>364</v>
      </c>
      <c r="FK25" s="80" t="s">
        <v>364</v>
      </c>
      <c r="FL25">
        <v>1</v>
      </c>
      <c r="FO25">
        <v>1</v>
      </c>
      <c r="FP25">
        <v>1</v>
      </c>
      <c r="FQ25">
        <v>1</v>
      </c>
      <c r="FS25" s="99" t="s">
        <v>364</v>
      </c>
      <c r="FT25" s="80" t="s">
        <v>364</v>
      </c>
      <c r="FU25">
        <v>1</v>
      </c>
      <c r="FV25">
        <v>1</v>
      </c>
      <c r="FY25">
        <v>1</v>
      </c>
      <c r="FZ25">
        <v>1</v>
      </c>
      <c r="GB25">
        <v>0</v>
      </c>
      <c r="GC25" s="80" t="s">
        <v>364</v>
      </c>
      <c r="GE25">
        <v>1</v>
      </c>
      <c r="GG25">
        <v>1</v>
      </c>
      <c r="GH25">
        <v>1</v>
      </c>
      <c r="GI25">
        <v>1</v>
      </c>
      <c r="GK25" s="95" t="s">
        <v>364</v>
      </c>
      <c r="GL25" s="80" t="s">
        <v>364</v>
      </c>
      <c r="GN25">
        <v>1</v>
      </c>
      <c r="GP25">
        <v>1</v>
      </c>
      <c r="GQ25">
        <v>1</v>
      </c>
      <c r="GR25">
        <v>1</v>
      </c>
      <c r="GS25" s="145"/>
      <c r="GT25" s="95" t="s">
        <v>364</v>
      </c>
      <c r="GU25" s="80" t="s">
        <v>364</v>
      </c>
      <c r="GV25">
        <v>1</v>
      </c>
      <c r="GW25">
        <v>1</v>
      </c>
      <c r="GZ25">
        <v>1</v>
      </c>
      <c r="HC25" s="95" t="s">
        <v>364</v>
      </c>
      <c r="HD25" s="80" t="s">
        <v>366</v>
      </c>
      <c r="HL25" s="95" t="s">
        <v>364</v>
      </c>
      <c r="HM25" s="80" t="s">
        <v>366</v>
      </c>
      <c r="HT25" s="7"/>
      <c r="IA25" s="7"/>
      <c r="IH25" s="7"/>
      <c r="IO25" s="7"/>
      <c r="IV25" s="7"/>
      <c r="JC25" s="7"/>
      <c r="JJ25" s="7"/>
      <c r="JQ25" s="7"/>
      <c r="JX25" s="7"/>
      <c r="KE25" s="7"/>
      <c r="KL25" s="7"/>
      <c r="KS25" s="7"/>
      <c r="KZ25" s="7"/>
      <c r="LG25" s="7"/>
      <c r="LN25" s="7"/>
      <c r="LU25" s="7"/>
      <c r="MB25" s="7"/>
      <c r="MI25" s="7"/>
      <c r="MP25" s="7"/>
      <c r="MW25" s="7"/>
      <c r="ND25" s="7"/>
    </row>
    <row r="26" spans="1:368" x14ac:dyDescent="0.25">
      <c r="A26" s="8" t="s">
        <v>181</v>
      </c>
      <c r="B26" s="8" t="s">
        <v>182</v>
      </c>
      <c r="C26" s="8" t="s">
        <v>183</v>
      </c>
      <c r="D26" s="8" t="s">
        <v>81</v>
      </c>
      <c r="E26" s="18">
        <v>38054</v>
      </c>
      <c r="F26" s="10">
        <f t="shared" si="311"/>
        <v>1</v>
      </c>
      <c r="G26" s="19">
        <f t="shared" si="311"/>
        <v>1</v>
      </c>
      <c r="H26" s="19" t="str">
        <f t="shared" si="311"/>
        <v/>
      </c>
      <c r="I26" s="19" t="str">
        <f t="shared" si="311"/>
        <v/>
      </c>
      <c r="J26" s="19" t="str">
        <f t="shared" si="311"/>
        <v/>
      </c>
      <c r="K26" s="19" t="str">
        <f t="shared" si="311"/>
        <v/>
      </c>
      <c r="L26" s="19" t="str">
        <f t="shared" si="311"/>
        <v/>
      </c>
      <c r="M26" s="8"/>
      <c r="N26" s="8">
        <v>1</v>
      </c>
      <c r="O26" s="9">
        <v>1</v>
      </c>
      <c r="P26" s="8">
        <f t="shared" si="307"/>
        <v>77</v>
      </c>
      <c r="Q26" s="108">
        <f t="shared" si="309"/>
        <v>89.534883720930239</v>
      </c>
      <c r="R26" s="128" t="str">
        <f t="shared" si="310"/>
        <v>-9</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E26">
        <v>1</v>
      </c>
      <c r="FF26">
        <v>1</v>
      </c>
      <c r="FH26">
        <v>1</v>
      </c>
      <c r="FJ26" s="99" t="s">
        <v>364</v>
      </c>
      <c r="FK26" s="80" t="s">
        <v>364</v>
      </c>
      <c r="FM26">
        <v>1</v>
      </c>
      <c r="FO26">
        <v>1</v>
      </c>
      <c r="FP26">
        <v>1</v>
      </c>
      <c r="FQ26">
        <v>1</v>
      </c>
      <c r="FS26" s="99" t="s">
        <v>364</v>
      </c>
      <c r="FT26" s="80" t="s">
        <v>364</v>
      </c>
      <c r="FU26">
        <v>1</v>
      </c>
      <c r="FV26">
        <v>1</v>
      </c>
      <c r="FX26">
        <v>1</v>
      </c>
      <c r="FY26">
        <v>1</v>
      </c>
      <c r="FZ26">
        <v>1</v>
      </c>
      <c r="GB26">
        <v>0</v>
      </c>
      <c r="GC26" s="80" t="s">
        <v>398</v>
      </c>
      <c r="GD26">
        <v>1</v>
      </c>
      <c r="GE26">
        <v>1</v>
      </c>
      <c r="GG26">
        <v>1</v>
      </c>
      <c r="GH26">
        <v>1</v>
      </c>
      <c r="GI26">
        <v>1</v>
      </c>
      <c r="GK26" s="95" t="s">
        <v>364</v>
      </c>
      <c r="GL26" s="80" t="s">
        <v>398</v>
      </c>
      <c r="GM26">
        <v>1</v>
      </c>
      <c r="GN26">
        <v>1</v>
      </c>
      <c r="GP26">
        <v>1</v>
      </c>
      <c r="GQ26">
        <v>1</v>
      </c>
      <c r="GR26">
        <v>1</v>
      </c>
      <c r="GS26" s="145"/>
      <c r="GT26" s="95" t="s">
        <v>364</v>
      </c>
      <c r="GU26" s="80" t="s">
        <v>398</v>
      </c>
      <c r="GV26">
        <v>1</v>
      </c>
      <c r="GZ26">
        <v>1</v>
      </c>
      <c r="HC26" s="95" t="s">
        <v>364</v>
      </c>
      <c r="HD26" s="80" t="s">
        <v>366</v>
      </c>
      <c r="HL26" s="95" t="s">
        <v>364</v>
      </c>
      <c r="HM26" s="80" t="s">
        <v>366</v>
      </c>
      <c r="HT26" s="7"/>
      <c r="IA26" s="7"/>
      <c r="IH26" s="7"/>
      <c r="IO26" s="7"/>
      <c r="IV26" s="7"/>
      <c r="JC26" s="7"/>
      <c r="JJ26" s="7"/>
      <c r="JQ26" s="7"/>
      <c r="JX26" s="7"/>
      <c r="KE26" s="7"/>
      <c r="KL26" s="7"/>
      <c r="KS26" s="7"/>
      <c r="KZ26" s="7"/>
      <c r="LG26" s="7"/>
      <c r="LN26" s="7"/>
      <c r="LU26" s="7"/>
      <c r="MB26" s="7"/>
      <c r="MI26" s="7"/>
      <c r="MP26" s="7"/>
      <c r="MW26" s="7"/>
      <c r="ND26" s="7"/>
    </row>
    <row r="27" spans="1:368" hidden="1" x14ac:dyDescent="0.25">
      <c r="A27" s="8" t="s">
        <v>129</v>
      </c>
      <c r="B27" s="8"/>
      <c r="C27" s="8" t="s">
        <v>165</v>
      </c>
      <c r="D27" s="8" t="s">
        <v>166</v>
      </c>
      <c r="E27" s="18">
        <v>36892</v>
      </c>
      <c r="F27" s="10" t="str">
        <f t="shared" si="311"/>
        <v/>
      </c>
      <c r="G27" s="19" t="str">
        <f t="shared" si="311"/>
        <v/>
      </c>
      <c r="H27" s="19" t="str">
        <f t="shared" si="311"/>
        <v/>
      </c>
      <c r="I27" s="19" t="str">
        <f t="shared" si="311"/>
        <v/>
      </c>
      <c r="J27" s="19" t="str">
        <f t="shared" si="311"/>
        <v/>
      </c>
      <c r="K27" s="19" t="str">
        <f t="shared" si="311"/>
        <v/>
      </c>
      <c r="L27" s="19" t="str">
        <f t="shared" si="311"/>
        <v/>
      </c>
      <c r="M27" s="8"/>
      <c r="N27" s="8"/>
      <c r="O27" s="9"/>
      <c r="P27" s="8" t="str">
        <f t="shared" si="307"/>
        <v/>
      </c>
      <c r="Q27" s="108" t="str">
        <f>IF(SUM(S27:XFD27) &gt; 0, SUM(S27:XFD27) /#REF! * 100, "")</f>
        <v/>
      </c>
      <c r="R27" s="128" t="str">
        <f t="shared" si="310"/>
        <v>1</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398</v>
      </c>
      <c r="FS27" s="99" t="s">
        <v>364</v>
      </c>
      <c r="FT27" s="80" t="s">
        <v>366</v>
      </c>
      <c r="GC27" s="80" t="s">
        <v>366</v>
      </c>
      <c r="GK27" s="96"/>
      <c r="GL27" s="80" t="s">
        <v>366</v>
      </c>
      <c r="GS27" s="145"/>
      <c r="GT27" s="96"/>
      <c r="GU27" s="80" t="s">
        <v>366</v>
      </c>
      <c r="HC27" s="95" t="s">
        <v>364</v>
      </c>
      <c r="HD27" s="80" t="s">
        <v>366</v>
      </c>
      <c r="HL27" s="95" t="s">
        <v>364</v>
      </c>
      <c r="HM27" s="80" t="s">
        <v>366</v>
      </c>
      <c r="HT27" s="7"/>
      <c r="IA27" s="7"/>
      <c r="IH27" s="7"/>
      <c r="IO27" s="7"/>
      <c r="IV27" s="7"/>
      <c r="JC27" s="7"/>
      <c r="JJ27" s="7"/>
      <c r="JQ27" s="7"/>
      <c r="JX27" s="7"/>
      <c r="KE27" s="7"/>
      <c r="KL27" s="7"/>
      <c r="KS27" s="7"/>
      <c r="KZ27" s="7"/>
      <c r="LG27" s="7"/>
      <c r="LN27" s="7"/>
      <c r="LU27" s="7"/>
      <c r="MB27" s="7"/>
      <c r="MI27" s="7"/>
      <c r="MP27" s="7"/>
      <c r="MW27" s="7"/>
      <c r="ND27" s="7"/>
    </row>
    <row r="28" spans="1:368" x14ac:dyDescent="0.25">
      <c r="A28" s="88" t="s">
        <v>132</v>
      </c>
      <c r="B28" s="88"/>
      <c r="C28" s="88" t="s">
        <v>131</v>
      </c>
      <c r="D28" s="88" t="s">
        <v>130</v>
      </c>
      <c r="E28" s="89">
        <v>39280</v>
      </c>
      <c r="F28" s="90">
        <f t="shared" si="311"/>
        <v>1</v>
      </c>
      <c r="G28" s="88">
        <f t="shared" si="311"/>
        <v>1</v>
      </c>
      <c r="H28" s="88">
        <f t="shared" si="311"/>
        <v>1</v>
      </c>
      <c r="I28" s="88">
        <f t="shared" si="311"/>
        <v>1</v>
      </c>
      <c r="J28" s="88" t="str">
        <f t="shared" si="311"/>
        <v/>
      </c>
      <c r="K28" s="88" t="str">
        <f t="shared" si="311"/>
        <v/>
      </c>
      <c r="L28" s="88" t="str">
        <f t="shared" si="311"/>
        <v/>
      </c>
      <c r="M28" s="88">
        <v>1</v>
      </c>
      <c r="N28" s="88">
        <v>1</v>
      </c>
      <c r="O28" s="91"/>
      <c r="P28" s="88">
        <f t="shared" si="307"/>
        <v>34</v>
      </c>
      <c r="Q28" s="109">
        <f>IF(SUM(S28:XFD28) &gt; 0, SUM(S28:XFD28) /P$37 * 100, "")</f>
        <v>39.534883720930232</v>
      </c>
      <c r="R28" s="129" t="str">
        <f t="shared" si="310"/>
        <v>-55</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38"/>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365</v>
      </c>
      <c r="FL28" s="93"/>
      <c r="FM28" s="93"/>
      <c r="FN28" s="93"/>
      <c r="FO28" s="93"/>
      <c r="FP28" s="93"/>
      <c r="FQ28" s="93"/>
      <c r="FR28" s="93"/>
      <c r="FS28" s="97">
        <v>0</v>
      </c>
      <c r="FT28" s="94" t="s">
        <v>365</v>
      </c>
      <c r="FU28" s="93"/>
      <c r="FV28" s="93"/>
      <c r="FW28" s="93"/>
      <c r="FX28" s="93"/>
      <c r="FY28" s="93"/>
      <c r="FZ28" s="93"/>
      <c r="GA28" s="93"/>
      <c r="GB28" s="93">
        <v>0</v>
      </c>
      <c r="GC28" s="94" t="s">
        <v>365</v>
      </c>
      <c r="GD28" s="93">
        <v>1</v>
      </c>
      <c r="GE28" s="93">
        <v>1</v>
      </c>
      <c r="GF28" s="93"/>
      <c r="GG28" s="93"/>
      <c r="GH28" s="93"/>
      <c r="GI28" s="93"/>
      <c r="GJ28" s="93"/>
      <c r="GK28" s="97" t="s">
        <v>364</v>
      </c>
      <c r="GL28" s="94" t="s">
        <v>362</v>
      </c>
      <c r="GM28" s="93"/>
      <c r="GN28" s="93"/>
      <c r="GO28" s="93"/>
      <c r="GP28" s="93"/>
      <c r="GQ28" s="93">
        <v>1</v>
      </c>
      <c r="GR28" s="93"/>
      <c r="GS28" s="146">
        <v>1</v>
      </c>
      <c r="GT28" s="97" t="s">
        <v>364</v>
      </c>
      <c r="GU28" s="94" t="s">
        <v>362</v>
      </c>
      <c r="GV28" s="93"/>
      <c r="GW28" s="93"/>
      <c r="GX28" s="93"/>
      <c r="GY28" s="93"/>
      <c r="GZ28" s="93"/>
      <c r="HA28" s="93"/>
      <c r="HB28" s="93"/>
      <c r="HC28" s="97" t="s">
        <v>364</v>
      </c>
      <c r="HD28" s="94" t="s">
        <v>366</v>
      </c>
      <c r="HE28" s="93"/>
      <c r="HF28" s="93"/>
      <c r="HG28" s="93"/>
      <c r="HH28" s="93"/>
      <c r="HI28" s="93"/>
      <c r="HJ28" s="93"/>
      <c r="HK28" s="93"/>
      <c r="HL28" s="97" t="s">
        <v>364</v>
      </c>
      <c r="HM28" s="94" t="s">
        <v>366</v>
      </c>
      <c r="HN28" s="93"/>
      <c r="HO28" s="93"/>
      <c r="HP28" s="93"/>
      <c r="HQ28" s="93"/>
      <c r="HR28" s="93"/>
      <c r="HS28" s="93"/>
      <c r="HT28" s="92"/>
      <c r="HU28" s="93"/>
      <c r="HV28" s="93"/>
      <c r="HW28" s="93"/>
      <c r="HX28" s="93"/>
      <c r="HY28" s="93"/>
      <c r="HZ28" s="93"/>
      <c r="IA28" s="92"/>
      <c r="IB28" s="93"/>
      <c r="IC28" s="93"/>
      <c r="ID28" s="93"/>
      <c r="IE28" s="93"/>
      <c r="IF28" s="93"/>
      <c r="IG28" s="93"/>
      <c r="IH28" s="92"/>
      <c r="II28" s="93"/>
      <c r="IJ28" s="93"/>
      <c r="IK28" s="93"/>
      <c r="IL28" s="93"/>
      <c r="IM28" s="93"/>
      <c r="IN28" s="93"/>
      <c r="IO28" s="92"/>
      <c r="IP28" s="93"/>
      <c r="IQ28" s="93"/>
      <c r="IR28" s="93"/>
      <c r="IS28" s="93"/>
      <c r="IT28" s="93"/>
      <c r="IU28" s="93"/>
      <c r="IV28" s="92"/>
      <c r="IW28" s="93"/>
      <c r="IX28" s="93"/>
      <c r="IY28" s="93"/>
      <c r="IZ28" s="93"/>
      <c r="JA28" s="93"/>
      <c r="JB28" s="93"/>
      <c r="JC28" s="92"/>
      <c r="JD28" s="93"/>
      <c r="JE28" s="93"/>
      <c r="JF28" s="93"/>
      <c r="JG28" s="93"/>
      <c r="JH28" s="93"/>
      <c r="JI28" s="93"/>
      <c r="JJ28" s="92"/>
      <c r="JK28" s="93"/>
      <c r="JL28" s="93"/>
      <c r="JM28" s="93"/>
      <c r="JN28" s="93"/>
      <c r="JO28" s="93"/>
      <c r="JP28" s="93"/>
      <c r="JQ28" s="92"/>
      <c r="JR28" s="93"/>
      <c r="JS28" s="93"/>
      <c r="JT28" s="93"/>
      <c r="JU28" s="93"/>
      <c r="JV28" s="93"/>
      <c r="JW28" s="93"/>
      <c r="JX28" s="92"/>
      <c r="JY28" s="93"/>
      <c r="JZ28" s="93"/>
      <c r="KA28" s="93"/>
      <c r="KB28" s="93"/>
      <c r="KC28" s="93"/>
      <c r="KD28" s="93"/>
      <c r="KE28" s="92"/>
      <c r="KF28" s="93"/>
      <c r="KG28" s="93"/>
      <c r="KH28" s="93"/>
      <c r="KI28" s="93"/>
      <c r="KJ28" s="93"/>
      <c r="KK28" s="93"/>
      <c r="KL28" s="92"/>
      <c r="KM28" s="93"/>
      <c r="KN28" s="93"/>
      <c r="KO28" s="93"/>
      <c r="KP28" s="93"/>
      <c r="KQ28" s="93"/>
      <c r="KR28" s="93"/>
      <c r="KS28" s="92"/>
      <c r="KT28" s="93"/>
      <c r="KU28" s="93"/>
      <c r="KV28" s="93"/>
      <c r="KW28" s="93"/>
      <c r="KX28" s="93"/>
      <c r="KY28" s="93"/>
      <c r="KZ28" s="92"/>
      <c r="LA28" s="93"/>
      <c r="LB28" s="93"/>
      <c r="LC28" s="93"/>
      <c r="LD28" s="93"/>
      <c r="LE28" s="93"/>
      <c r="LF28" s="93"/>
      <c r="LG28" s="92"/>
      <c r="LH28" s="93"/>
      <c r="LI28" s="93"/>
      <c r="LJ28" s="93"/>
      <c r="LK28" s="93"/>
      <c r="LL28" s="93"/>
      <c r="LM28" s="93"/>
      <c r="LN28" s="92"/>
      <c r="LO28" s="93"/>
      <c r="LP28" s="93"/>
      <c r="LQ28" s="93"/>
      <c r="LR28" s="93"/>
      <c r="LS28" s="93"/>
      <c r="LT28" s="93"/>
      <c r="LU28" s="92"/>
      <c r="LV28" s="93"/>
      <c r="LW28" s="93"/>
      <c r="LX28" s="93"/>
      <c r="LY28" s="93"/>
      <c r="LZ28" s="93"/>
      <c r="MA28" s="93"/>
      <c r="MB28" s="92"/>
      <c r="MC28" s="93"/>
      <c r="MD28" s="93"/>
      <c r="ME28" s="93"/>
      <c r="MF28" s="93"/>
      <c r="MG28" s="93"/>
      <c r="MH28" s="93"/>
      <c r="MI28" s="92"/>
      <c r="MJ28" s="93"/>
      <c r="MK28" s="93"/>
      <c r="ML28" s="93"/>
      <c r="MM28" s="93"/>
      <c r="MN28" s="93"/>
      <c r="MO28" s="93"/>
      <c r="MP28" s="92"/>
      <c r="MQ28" s="93"/>
      <c r="MR28" s="93"/>
      <c r="MS28" s="93"/>
      <c r="MT28" s="93"/>
      <c r="MU28" s="93"/>
      <c r="MV28" s="93"/>
      <c r="MW28" s="92"/>
      <c r="MX28" s="93"/>
      <c r="MY28" s="93"/>
      <c r="MZ28" s="93"/>
      <c r="NA28" s="93"/>
      <c r="NB28" s="93"/>
      <c r="NC28" s="93"/>
      <c r="ND28" s="92"/>
    </row>
    <row r="29" spans="1:368" hidden="1" x14ac:dyDescent="0.25">
      <c r="A29" s="19" t="s">
        <v>92</v>
      </c>
      <c r="B29" s="19"/>
      <c r="C29" s="19" t="s">
        <v>159</v>
      </c>
      <c r="D29" s="19" t="s">
        <v>121</v>
      </c>
      <c r="E29" s="56">
        <v>38544</v>
      </c>
      <c r="F29" s="10">
        <f t="shared" si="311"/>
        <v>1</v>
      </c>
      <c r="G29" s="19">
        <f t="shared" si="311"/>
        <v>1</v>
      </c>
      <c r="H29" s="19" t="str">
        <f t="shared" si="311"/>
        <v/>
      </c>
      <c r="I29" s="19" t="str">
        <f t="shared" si="311"/>
        <v/>
      </c>
      <c r="J29" s="19" t="str">
        <f t="shared" si="311"/>
        <v/>
      </c>
      <c r="K29" s="19" t="str">
        <f t="shared" si="311"/>
        <v/>
      </c>
      <c r="L29" s="19" t="str">
        <f t="shared" si="311"/>
        <v/>
      </c>
      <c r="M29" s="8"/>
      <c r="N29" s="8">
        <v>1</v>
      </c>
      <c r="O29" s="9"/>
      <c r="P29" s="8" t="str">
        <f t="shared" si="307"/>
        <v/>
      </c>
      <c r="Q29" s="108" t="str">
        <f>IF(SUM(S29:XFD29) &gt; 0, SUM(S29:XFD29) /#REF! * 100, "")</f>
        <v/>
      </c>
      <c r="R29" s="128" t="str">
        <f t="shared" si="310"/>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T29" s="7"/>
      <c r="IA29" s="7"/>
      <c r="IH29" s="7"/>
      <c r="IO29" s="7"/>
      <c r="IV29" s="7"/>
      <c r="JC29" s="7"/>
      <c r="JJ29" s="7"/>
      <c r="JQ29" s="7"/>
      <c r="JX29" s="7"/>
      <c r="KE29" s="7"/>
      <c r="KL29" s="7"/>
      <c r="KS29" s="7"/>
      <c r="KZ29" s="7"/>
      <c r="LG29" s="7"/>
      <c r="LN29" s="7"/>
      <c r="LU29" s="7"/>
      <c r="MB29" s="7"/>
      <c r="MI29" s="7"/>
      <c r="MP29" s="7"/>
      <c r="MW29" s="7"/>
      <c r="ND29" s="7"/>
    </row>
    <row r="30" spans="1:368" x14ac:dyDescent="0.25">
      <c r="A30" s="8" t="s">
        <v>115</v>
      </c>
      <c r="B30" s="8"/>
      <c r="C30" s="8" t="s">
        <v>243</v>
      </c>
      <c r="D30" s="8" t="s">
        <v>244</v>
      </c>
      <c r="E30" s="18">
        <v>36526</v>
      </c>
      <c r="F30" s="10" t="str">
        <f t="shared" si="311"/>
        <v/>
      </c>
      <c r="G30" s="19" t="str">
        <f t="shared" ref="G30:L30" si="312">IF($E30 &gt;= G$5, 1, "")</f>
        <v/>
      </c>
      <c r="H30" s="19" t="str">
        <f t="shared" si="312"/>
        <v/>
      </c>
      <c r="I30" s="19" t="str">
        <f t="shared" si="312"/>
        <v/>
      </c>
      <c r="J30" s="19" t="str">
        <f t="shared" si="312"/>
        <v/>
      </c>
      <c r="K30" s="19" t="str">
        <f t="shared" si="312"/>
        <v/>
      </c>
      <c r="L30" s="19" t="str">
        <f t="shared" si="312"/>
        <v/>
      </c>
      <c r="M30" s="8"/>
      <c r="N30" s="8"/>
      <c r="O30" s="9"/>
      <c r="P30" s="8">
        <f t="shared" si="307"/>
        <v>15</v>
      </c>
      <c r="Q30" s="108">
        <f>IF(SUM(S30:XFD30) &gt; 0, SUM(S30:XFD30) /P$37 * 100, "")</f>
        <v>17.441860465116278</v>
      </c>
      <c r="R30" s="141" t="str">
        <f t="shared" si="310"/>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T30" s="7"/>
      <c r="IA30" s="7"/>
      <c r="IH30" s="7"/>
      <c r="IO30" s="7"/>
      <c r="IV30" s="7"/>
      <c r="JC30" s="7"/>
      <c r="JJ30" s="7"/>
      <c r="JQ30" s="7"/>
      <c r="JX30" s="7"/>
      <c r="KE30" s="7"/>
      <c r="KL30" s="7"/>
      <c r="KS30" s="7"/>
      <c r="KZ30" s="7"/>
      <c r="LG30" s="7"/>
      <c r="LN30" s="7"/>
      <c r="LU30" s="7"/>
      <c r="MB30" s="7"/>
      <c r="MI30" s="7"/>
      <c r="MP30" s="7"/>
      <c r="MW30" s="7"/>
      <c r="ND30" s="7"/>
    </row>
    <row r="31" spans="1:368" hidden="1" x14ac:dyDescent="0.25">
      <c r="A31" s="8" t="s">
        <v>430</v>
      </c>
      <c r="B31" s="8"/>
      <c r="C31" s="8" t="s">
        <v>431</v>
      </c>
      <c r="D31" s="8" t="s">
        <v>432</v>
      </c>
      <c r="E31" s="18"/>
      <c r="F31" s="10"/>
      <c r="G31" s="19"/>
      <c r="H31" s="19"/>
      <c r="I31" s="19"/>
      <c r="J31" s="19"/>
      <c r="K31" s="19"/>
      <c r="L31" s="19"/>
      <c r="M31" s="8"/>
      <c r="N31" s="8"/>
      <c r="O31" s="9"/>
      <c r="P31" s="8">
        <f t="shared" si="307"/>
        <v>2</v>
      </c>
      <c r="Q31" s="108" t="e">
        <f>IF(SUM(S31:XFD31) &gt; 0, SUM(S31:XFD31) /#REF! * 100, "")</f>
        <v>#REF!</v>
      </c>
      <c r="R31" s="128" t="str">
        <f t="shared" si="310"/>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T31" s="7"/>
      <c r="IA31" s="7"/>
      <c r="IH31" s="7"/>
      <c r="IO31" s="7"/>
      <c r="IV31" s="7"/>
      <c r="JC31" s="7"/>
      <c r="JJ31" s="7"/>
      <c r="JQ31" s="7"/>
      <c r="JX31" s="7"/>
      <c r="KE31" s="7"/>
      <c r="KL31" s="7"/>
      <c r="KS31" s="7"/>
      <c r="KZ31" s="7"/>
      <c r="LG31" s="7"/>
      <c r="LN31" s="7"/>
      <c r="LU31" s="7"/>
      <c r="MB31" s="7"/>
      <c r="MI31" s="7"/>
      <c r="MP31" s="7"/>
      <c r="MW31" s="7"/>
      <c r="ND31" s="7"/>
    </row>
    <row r="32" spans="1:368" hidden="1" x14ac:dyDescent="0.25">
      <c r="A32" s="8" t="s">
        <v>348</v>
      </c>
      <c r="B32" s="8"/>
      <c r="C32" s="8"/>
      <c r="D32" s="8" t="s">
        <v>522</v>
      </c>
      <c r="E32" s="18"/>
      <c r="F32" s="10"/>
      <c r="G32" s="19"/>
      <c r="H32" s="19"/>
      <c r="I32" s="19"/>
      <c r="J32" s="19"/>
      <c r="K32" s="19"/>
      <c r="L32" s="19"/>
      <c r="M32" s="8"/>
      <c r="N32" s="8"/>
      <c r="O32" s="9"/>
      <c r="P32" s="8">
        <f t="shared" si="307"/>
        <v>2</v>
      </c>
      <c r="Q32" s="108" t="e">
        <f>IF(SUM(S32:XFD32) &gt; 0, SUM(S32:XFD32) /#REF! * 100, "")</f>
        <v>#REF!</v>
      </c>
      <c r="R32" s="128" t="str">
        <f t="shared" si="310"/>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T32" s="7"/>
      <c r="IA32" s="7"/>
      <c r="IH32" s="7"/>
      <c r="IO32" s="7"/>
      <c r="IV32" s="7"/>
      <c r="JC32" s="7"/>
      <c r="JJ32" s="7"/>
      <c r="JQ32" s="7"/>
      <c r="JX32" s="7"/>
      <c r="KE32" s="7"/>
      <c r="KL32" s="7"/>
      <c r="KS32" s="7"/>
      <c r="KZ32" s="7"/>
      <c r="LG32" s="7"/>
      <c r="LN32" s="7"/>
      <c r="LU32" s="7"/>
      <c r="MB32" s="7"/>
      <c r="MI32" s="7"/>
      <c r="MP32" s="7"/>
      <c r="MW32" s="7"/>
      <c r="ND32" s="7"/>
    </row>
    <row r="33" spans="1:368" hidden="1" x14ac:dyDescent="0.25">
      <c r="A33" s="8" t="s">
        <v>487</v>
      </c>
      <c r="B33" s="8"/>
      <c r="C33" s="8"/>
      <c r="D33" s="8" t="s">
        <v>441</v>
      </c>
      <c r="E33" s="18"/>
      <c r="F33" s="10"/>
      <c r="G33" s="19"/>
      <c r="H33" s="19"/>
      <c r="I33" s="19"/>
      <c r="J33" s="19"/>
      <c r="K33" s="19"/>
      <c r="L33" s="19"/>
      <c r="M33" s="8"/>
      <c r="N33" s="8"/>
      <c r="O33" s="9"/>
      <c r="P33" s="8">
        <f t="shared" si="307"/>
        <v>2</v>
      </c>
      <c r="Q33" s="108" t="e">
        <f>IF(SUM(S33:XFD33) &gt; 0, SUM(S33:XFD33) /#REF! * 100, "")</f>
        <v>#REF!</v>
      </c>
      <c r="R33" s="128" t="str">
        <f t="shared" si="310"/>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T33" s="7"/>
      <c r="IA33" s="7"/>
      <c r="IH33" s="7"/>
      <c r="IO33" s="7"/>
      <c r="IV33" s="7"/>
      <c r="JC33" s="7"/>
      <c r="JJ33" s="7"/>
      <c r="JQ33" s="7"/>
      <c r="JX33" s="7"/>
      <c r="KE33" s="7"/>
      <c r="KL33" s="7"/>
      <c r="KS33" s="7"/>
      <c r="KZ33" s="7"/>
      <c r="LG33" s="7"/>
      <c r="LN33" s="7"/>
      <c r="LU33" s="7"/>
      <c r="MB33" s="7"/>
      <c r="MI33" s="7"/>
      <c r="MP33" s="7"/>
      <c r="MW33" s="7"/>
      <c r="ND33" s="7"/>
    </row>
    <row r="34" spans="1:368" x14ac:dyDescent="0.25">
      <c r="A34" s="8" t="s">
        <v>514</v>
      </c>
      <c r="B34" s="8"/>
      <c r="C34" s="8"/>
      <c r="D34" s="8" t="s">
        <v>552</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T34" s="7"/>
      <c r="IA34" s="7"/>
      <c r="IH34" s="7"/>
      <c r="IO34" s="7"/>
      <c r="IV34" s="7"/>
      <c r="JC34" s="7"/>
      <c r="JJ34" s="7"/>
      <c r="JQ34" s="7"/>
      <c r="JX34" s="7"/>
      <c r="KE34" s="7"/>
      <c r="KL34" s="7"/>
      <c r="KS34" s="7"/>
      <c r="KZ34" s="7"/>
      <c r="LG34" s="7"/>
      <c r="LN34" s="7"/>
      <c r="LU34" s="7"/>
      <c r="MB34" s="7"/>
      <c r="MI34" s="7"/>
      <c r="MP34" s="7"/>
      <c r="MW34" s="7"/>
      <c r="ND34" s="7"/>
    </row>
    <row r="35" spans="1:368" x14ac:dyDescent="0.25">
      <c r="A35" s="8" t="s">
        <v>550</v>
      </c>
      <c r="B35" s="8"/>
      <c r="C35" s="8"/>
      <c r="D35" s="8" t="s">
        <v>551</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T35" s="7"/>
      <c r="IA35" s="7"/>
      <c r="IH35" s="7"/>
      <c r="IO35" s="7"/>
      <c r="IV35" s="7"/>
      <c r="JC35" s="7"/>
      <c r="JJ35" s="7"/>
      <c r="JQ35" s="7"/>
      <c r="JX35" s="7"/>
      <c r="KE35" s="7"/>
      <c r="KL35" s="7"/>
      <c r="KS35" s="7"/>
      <c r="KZ35" s="7"/>
      <c r="LG35" s="7"/>
      <c r="LN35" s="7"/>
      <c r="LU35" s="7"/>
      <c r="MB35" s="7"/>
      <c r="MI35" s="7"/>
      <c r="MP35" s="7"/>
      <c r="MW35" s="7"/>
      <c r="ND35" s="7"/>
    </row>
    <row r="36" spans="1:368" ht="7.5" customHeight="1" x14ac:dyDescent="0.25">
      <c r="A36" s="8"/>
      <c r="B36" s="8"/>
      <c r="C36" s="8"/>
      <c r="D36" s="8"/>
      <c r="E36" s="8"/>
      <c r="F36" s="10"/>
      <c r="G36" s="19"/>
      <c r="H36" s="19"/>
      <c r="I36" s="8"/>
      <c r="J36" s="8"/>
      <c r="K36" s="8"/>
      <c r="L36" s="8"/>
      <c r="M36" s="8"/>
      <c r="N36" s="8"/>
      <c r="O36" s="9"/>
      <c r="P36" s="8" t="str">
        <f>IF(SUM(R36:ND36) &gt; 0, SUM(R36:ND36),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T36" s="7"/>
      <c r="IA36" s="7"/>
      <c r="IH36" s="7"/>
      <c r="IO36" s="7"/>
      <c r="IV36" s="7"/>
      <c r="JC36" s="7"/>
      <c r="JJ36" s="7"/>
      <c r="JQ36" s="7"/>
      <c r="JX36" s="7"/>
      <c r="KE36" s="7"/>
      <c r="KL36" s="7"/>
      <c r="KS36" s="7"/>
      <c r="KZ36" s="7"/>
      <c r="LG36" s="7"/>
      <c r="LN36" s="7"/>
      <c r="LU36" s="7"/>
      <c r="MB36" s="7"/>
      <c r="MI36" s="7"/>
      <c r="MP36" s="7"/>
      <c r="MW36" s="7"/>
      <c r="ND36" s="7"/>
    </row>
    <row r="37" spans="1:368" s="140" customFormat="1" ht="15.75" thickBot="1" x14ac:dyDescent="0.3">
      <c r="A37" s="6" t="s">
        <v>18</v>
      </c>
      <c r="B37" s="3"/>
      <c r="C37" s="3"/>
      <c r="D37" s="3"/>
      <c r="E37" s="3"/>
      <c r="F37" s="5"/>
      <c r="G37" s="3"/>
      <c r="H37" s="3"/>
      <c r="I37" s="3"/>
      <c r="J37" s="3"/>
      <c r="K37" s="3"/>
      <c r="L37" s="3"/>
      <c r="M37" s="3"/>
      <c r="N37" s="3"/>
      <c r="O37" s="4"/>
      <c r="P37" s="3">
        <f>SUM(S37:ND37)</f>
        <v>86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c r="HB37" s="3"/>
      <c r="HC37" s="3"/>
      <c r="HD37" s="4"/>
      <c r="HE37" s="3"/>
      <c r="HF37" s="3"/>
      <c r="HG37" s="3"/>
      <c r="HH37" s="3"/>
      <c r="HI37" s="3"/>
      <c r="HJ37" s="3"/>
      <c r="HK37" s="3"/>
      <c r="HL37" s="3"/>
      <c r="HM37" s="4"/>
      <c r="HN37" s="3"/>
      <c r="HO37" s="3"/>
      <c r="HP37" s="3"/>
      <c r="HQ37" s="3"/>
      <c r="HR37" s="3"/>
      <c r="HS37" s="3"/>
      <c r="HT37" s="4"/>
      <c r="HU37" s="3"/>
      <c r="HV37" s="3"/>
      <c r="HW37" s="3"/>
      <c r="HX37" s="3"/>
      <c r="HY37" s="3"/>
      <c r="HZ37" s="3"/>
      <c r="IA37" s="4"/>
      <c r="IB37" s="3"/>
      <c r="IC37" s="3"/>
      <c r="ID37" s="3"/>
      <c r="IE37" s="3"/>
      <c r="IF37" s="3"/>
      <c r="IG37" s="3"/>
      <c r="IH37" s="4"/>
      <c r="II37" s="3"/>
      <c r="IJ37" s="3"/>
      <c r="IK37" s="3"/>
      <c r="IL37" s="3"/>
      <c r="IM37" s="3"/>
      <c r="IN37" s="3"/>
      <c r="IO37" s="4"/>
      <c r="IP37" s="3"/>
      <c r="IQ37" s="3"/>
      <c r="IR37" s="3"/>
      <c r="IS37" s="3"/>
      <c r="IT37" s="3"/>
      <c r="IU37" s="3"/>
      <c r="IV37" s="4"/>
      <c r="IW37" s="3"/>
      <c r="IX37" s="3"/>
      <c r="IY37" s="3"/>
      <c r="IZ37" s="3"/>
      <c r="JA37" s="3"/>
      <c r="JB37" s="3"/>
      <c r="JC37" s="4"/>
      <c r="JD37" s="3"/>
      <c r="JE37" s="3"/>
      <c r="JF37" s="3"/>
      <c r="JG37" s="3"/>
      <c r="JH37" s="3"/>
      <c r="JI37" s="3"/>
      <c r="JJ37" s="4"/>
      <c r="JK37" s="3"/>
      <c r="JL37" s="3"/>
      <c r="JM37" s="3"/>
      <c r="JN37" s="3"/>
      <c r="JO37" s="3"/>
      <c r="JP37" s="3"/>
      <c r="JQ37" s="4"/>
      <c r="JR37" s="3"/>
      <c r="JS37" s="3"/>
      <c r="JT37" s="3"/>
      <c r="JU37" s="3"/>
      <c r="JV37" s="3"/>
      <c r="JW37" s="3"/>
      <c r="JX37" s="4"/>
      <c r="JY37" s="3"/>
      <c r="JZ37" s="3"/>
      <c r="KA37" s="3"/>
      <c r="KB37" s="3"/>
      <c r="KC37" s="3"/>
      <c r="KD37" s="3"/>
      <c r="KE37" s="4"/>
      <c r="KF37" s="3"/>
      <c r="KG37" s="3"/>
      <c r="KH37" s="3"/>
      <c r="KI37" s="3"/>
      <c r="KJ37" s="3"/>
      <c r="KK37" s="3"/>
      <c r="KL37" s="4"/>
      <c r="KM37" s="3"/>
      <c r="KN37" s="3"/>
      <c r="KO37" s="3"/>
      <c r="KP37" s="3"/>
      <c r="KQ37" s="3"/>
      <c r="KR37" s="3"/>
      <c r="KS37" s="4"/>
      <c r="KT37" s="3"/>
      <c r="KU37" s="3"/>
      <c r="KV37" s="3"/>
      <c r="KW37" s="3"/>
      <c r="KX37" s="3"/>
      <c r="KY37" s="3"/>
      <c r="KZ37" s="4"/>
      <c r="LA37" s="3"/>
      <c r="LB37" s="3"/>
      <c r="LC37" s="3"/>
      <c r="LD37" s="3"/>
      <c r="LE37" s="3"/>
      <c r="LF37" s="3"/>
      <c r="LG37" s="4"/>
      <c r="LH37" s="3"/>
      <c r="LI37" s="3"/>
      <c r="LJ37" s="3"/>
      <c r="LK37" s="3"/>
      <c r="LL37" s="3"/>
      <c r="LM37" s="3"/>
      <c r="LN37" s="4"/>
      <c r="LO37" s="3"/>
      <c r="LP37" s="3"/>
      <c r="LQ37" s="3"/>
      <c r="LR37" s="3"/>
      <c r="LS37" s="3"/>
      <c r="LT37" s="3"/>
      <c r="LU37" s="4"/>
      <c r="LV37" s="3"/>
      <c r="LW37" s="3"/>
      <c r="LX37" s="3"/>
      <c r="LY37" s="3"/>
      <c r="LZ37" s="3"/>
      <c r="MA37" s="3"/>
      <c r="MB37" s="4"/>
      <c r="MC37" s="3"/>
      <c r="MD37" s="3"/>
      <c r="ME37" s="3"/>
      <c r="MF37" s="3"/>
      <c r="MG37" s="3"/>
      <c r="MH37" s="3"/>
      <c r="MI37" s="4"/>
      <c r="MJ37" s="3"/>
      <c r="MK37" s="3"/>
      <c r="ML37" s="3"/>
      <c r="MM37" s="3"/>
      <c r="MN37" s="3"/>
      <c r="MO37" s="3"/>
      <c r="MP37" s="4"/>
      <c r="MQ37" s="3"/>
      <c r="MR37" s="3"/>
      <c r="MS37" s="3"/>
      <c r="MT37" s="3"/>
      <c r="MU37" s="3"/>
      <c r="MV37" s="3"/>
      <c r="MW37" s="4"/>
      <c r="MX37" s="3"/>
      <c r="MY37" s="3"/>
      <c r="MZ37" s="3"/>
      <c r="NA37" s="3"/>
      <c r="NB37" s="3"/>
      <c r="NC37" s="3"/>
      <c r="ND37" s="4"/>
    </row>
    <row r="38" spans="1:368" ht="15.75" thickBot="1" x14ac:dyDescent="0.3">
      <c r="A38" s="110" t="s">
        <v>25</v>
      </c>
      <c r="B38" s="16"/>
      <c r="C38" s="16"/>
      <c r="D38" s="16"/>
      <c r="E38" s="17"/>
      <c r="F38" s="16">
        <f t="shared" ref="F38:N38" si="313">SUM(F6:F36)</f>
        <v>14</v>
      </c>
      <c r="G38" s="16">
        <f t="shared" si="313"/>
        <v>9</v>
      </c>
      <c r="H38" s="16">
        <f t="shared" si="313"/>
        <v>3</v>
      </c>
      <c r="I38" s="16">
        <f t="shared" si="313"/>
        <v>2</v>
      </c>
      <c r="J38" s="16">
        <f t="shared" si="313"/>
        <v>0</v>
      </c>
      <c r="K38" s="16">
        <f t="shared" si="313"/>
        <v>0</v>
      </c>
      <c r="L38" s="16">
        <f t="shared" si="313"/>
        <v>0</v>
      </c>
      <c r="M38" s="16">
        <f t="shared" si="313"/>
        <v>4</v>
      </c>
      <c r="N38" s="16">
        <f t="shared" si="313"/>
        <v>16</v>
      </c>
      <c r="O38" s="17">
        <f>SUM(O6:O36)+ SUM(O45:O80)</f>
        <v>12</v>
      </c>
      <c r="P38" s="16">
        <f>VisibleSum(P6:P28)</f>
        <v>59.333333333333336</v>
      </c>
      <c r="Q38" s="16">
        <f>P38 / P37 * 100</f>
        <v>68.992248062015506</v>
      </c>
      <c r="R38" s="17">
        <f>VisibleSum(R6:R28)</f>
        <v>-20.611111111111111</v>
      </c>
      <c r="S38" s="15">
        <f t="shared" ref="S38:AX38" si="314">IF(SUM(S6:S36) &gt; 0, SUM(S6:S36), "")</f>
        <v>15</v>
      </c>
      <c r="T38" s="14" t="str">
        <f t="shared" si="314"/>
        <v/>
      </c>
      <c r="U38" s="14">
        <f t="shared" si="314"/>
        <v>12</v>
      </c>
      <c r="V38" s="14">
        <f t="shared" si="314"/>
        <v>13</v>
      </c>
      <c r="W38" s="14" t="str">
        <f t="shared" si="314"/>
        <v/>
      </c>
      <c r="X38" s="14">
        <f t="shared" si="314"/>
        <v>12</v>
      </c>
      <c r="Y38" s="14" t="str">
        <f t="shared" si="314"/>
        <v/>
      </c>
      <c r="Z38" s="15" t="str">
        <f t="shared" si="314"/>
        <v/>
      </c>
      <c r="AA38" s="14" t="str">
        <f t="shared" si="314"/>
        <v/>
      </c>
      <c r="AB38" s="14">
        <f t="shared" si="314"/>
        <v>15</v>
      </c>
      <c r="AC38" s="14" t="str">
        <f t="shared" si="314"/>
        <v/>
      </c>
      <c r="AD38" s="14">
        <f t="shared" si="314"/>
        <v>12</v>
      </c>
      <c r="AE38" s="14">
        <f t="shared" si="314"/>
        <v>15</v>
      </c>
      <c r="AF38" s="14" t="str">
        <f t="shared" si="314"/>
        <v/>
      </c>
      <c r="AG38" s="15" t="str">
        <f t="shared" si="314"/>
        <v/>
      </c>
      <c r="AH38" s="14" t="str">
        <f t="shared" si="314"/>
        <v/>
      </c>
      <c r="AI38" s="14">
        <f t="shared" si="314"/>
        <v>16</v>
      </c>
      <c r="AJ38" s="14" t="str">
        <f t="shared" si="314"/>
        <v/>
      </c>
      <c r="AK38" s="14">
        <f t="shared" si="314"/>
        <v>15</v>
      </c>
      <c r="AL38" s="14">
        <f t="shared" si="314"/>
        <v>10</v>
      </c>
      <c r="AM38" s="14" t="str">
        <f t="shared" si="314"/>
        <v/>
      </c>
      <c r="AN38" s="15" t="str">
        <f t="shared" si="314"/>
        <v/>
      </c>
      <c r="AO38" s="14" t="str">
        <f t="shared" si="314"/>
        <v/>
      </c>
      <c r="AP38" s="14">
        <f t="shared" si="314"/>
        <v>15</v>
      </c>
      <c r="AQ38" s="14" t="str">
        <f t="shared" si="314"/>
        <v/>
      </c>
      <c r="AR38" s="14">
        <f t="shared" si="314"/>
        <v>16</v>
      </c>
      <c r="AS38" s="14">
        <f t="shared" si="314"/>
        <v>11</v>
      </c>
      <c r="AT38" s="14" t="str">
        <f t="shared" si="314"/>
        <v/>
      </c>
      <c r="AU38" s="15" t="str">
        <f t="shared" si="314"/>
        <v/>
      </c>
      <c r="AV38" s="14" t="str">
        <f t="shared" si="314"/>
        <v/>
      </c>
      <c r="AW38" s="14">
        <f t="shared" si="314"/>
        <v>14</v>
      </c>
      <c r="AX38" s="14">
        <f t="shared" si="314"/>
        <v>2</v>
      </c>
      <c r="AY38" s="14">
        <f t="shared" ref="AY38:BW38" si="315">IF(SUM(AY6:AY36) &gt; 0, SUM(AY6:AY36), "")</f>
        <v>13</v>
      </c>
      <c r="AZ38" s="14">
        <f t="shared" si="315"/>
        <v>12</v>
      </c>
      <c r="BA38" s="14" t="str">
        <f t="shared" si="315"/>
        <v/>
      </c>
      <c r="BB38" s="15" t="str">
        <f t="shared" si="315"/>
        <v/>
      </c>
      <c r="BC38" s="14" t="str">
        <f t="shared" si="315"/>
        <v/>
      </c>
      <c r="BD38" s="14">
        <f t="shared" si="315"/>
        <v>14</v>
      </c>
      <c r="BE38" s="14" t="str">
        <f t="shared" si="315"/>
        <v/>
      </c>
      <c r="BF38" s="14">
        <f t="shared" si="315"/>
        <v>14</v>
      </c>
      <c r="BG38" s="14">
        <f t="shared" si="315"/>
        <v>11</v>
      </c>
      <c r="BH38" s="14" t="str">
        <f t="shared" si="315"/>
        <v/>
      </c>
      <c r="BI38" s="15" t="str">
        <f t="shared" si="315"/>
        <v/>
      </c>
      <c r="BJ38" s="14" t="str">
        <f t="shared" si="315"/>
        <v/>
      </c>
      <c r="BK38" s="14">
        <f t="shared" si="315"/>
        <v>16</v>
      </c>
      <c r="BL38" s="14" t="str">
        <f t="shared" si="315"/>
        <v/>
      </c>
      <c r="BM38" s="14">
        <f t="shared" si="315"/>
        <v>16</v>
      </c>
      <c r="BN38" s="14" t="str">
        <f t="shared" si="315"/>
        <v/>
      </c>
      <c r="BO38" s="14" t="str">
        <f t="shared" si="315"/>
        <v/>
      </c>
      <c r="BP38" s="15">
        <f t="shared" si="315"/>
        <v>8</v>
      </c>
      <c r="BQ38" s="14" t="str">
        <f t="shared" si="315"/>
        <v/>
      </c>
      <c r="BR38" s="14">
        <f t="shared" si="315"/>
        <v>17</v>
      </c>
      <c r="BS38" s="14" t="str">
        <f t="shared" si="315"/>
        <v/>
      </c>
      <c r="BT38" s="14">
        <f t="shared" si="315"/>
        <v>14</v>
      </c>
      <c r="BU38" s="14" t="str">
        <f t="shared" si="315"/>
        <v/>
      </c>
      <c r="BV38" s="14" t="str">
        <f t="shared" si="315"/>
        <v/>
      </c>
      <c r="BW38" s="14">
        <f t="shared" si="315"/>
        <v>3</v>
      </c>
      <c r="BX38" s="14"/>
      <c r="BY38" s="15">
        <f>VisibleSum(BY6:BY28)</f>
        <v>-3.5555555555555554</v>
      </c>
      <c r="BZ38" s="14" t="str">
        <f t="shared" ref="BZ38:CF38" si="316">IF(SUM(BZ6:BZ36) &gt; 0, SUM(BZ6:BZ36), "")</f>
        <v/>
      </c>
      <c r="CA38" s="14" t="str">
        <f t="shared" si="316"/>
        <v/>
      </c>
      <c r="CB38" s="14" t="str">
        <f t="shared" si="316"/>
        <v/>
      </c>
      <c r="CC38" s="14">
        <f t="shared" si="316"/>
        <v>9</v>
      </c>
      <c r="CD38" s="14" t="str">
        <f t="shared" si="316"/>
        <v/>
      </c>
      <c r="CE38" s="14" t="str">
        <f t="shared" si="316"/>
        <v/>
      </c>
      <c r="CF38" s="14">
        <f t="shared" si="316"/>
        <v>6</v>
      </c>
      <c r="CG38" s="14"/>
      <c r="CH38" s="15">
        <f>VisibleSum(CH6:CH28)</f>
        <v>-4.5555555555555554</v>
      </c>
      <c r="CI38" s="14" t="str">
        <f t="shared" ref="CI38:CO38" si="317">IF(SUM(CI6:CI36) &gt; 0, SUM(CI6:CI36), "")</f>
        <v/>
      </c>
      <c r="CJ38" s="14" t="str">
        <f t="shared" si="317"/>
        <v/>
      </c>
      <c r="CK38" s="14" t="str">
        <f t="shared" si="317"/>
        <v/>
      </c>
      <c r="CL38" s="14">
        <f t="shared" si="317"/>
        <v>10</v>
      </c>
      <c r="CM38" s="14" t="str">
        <f t="shared" si="317"/>
        <v/>
      </c>
      <c r="CN38" s="14" t="str">
        <f t="shared" si="317"/>
        <v/>
      </c>
      <c r="CO38" s="14">
        <f t="shared" si="317"/>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8">IF(SUM(DA6:DA36) &gt; 0, SUM(DA6:DA36), "")</f>
        <v/>
      </c>
      <c r="DB38" s="14">
        <f t="shared" si="318"/>
        <v>11</v>
      </c>
      <c r="DC38" s="14" t="str">
        <f t="shared" si="318"/>
        <v/>
      </c>
      <c r="DD38" s="14" t="str">
        <f t="shared" si="318"/>
        <v/>
      </c>
      <c r="DE38" s="14">
        <f t="shared" si="318"/>
        <v>8</v>
      </c>
      <c r="DF38" s="14" t="str">
        <f t="shared" si="318"/>
        <v/>
      </c>
      <c r="DG38" s="14">
        <f t="shared" si="318"/>
        <v>4</v>
      </c>
      <c r="DH38" s="14"/>
      <c r="DI38" s="130">
        <f>IF(VisibleSum(DI6:DI28) = "", "??", VisibleSum(DI6:DI28))</f>
        <v>-1.6111111111111112</v>
      </c>
      <c r="DJ38" s="14" t="str">
        <f t="shared" ref="DJ38:DP38" si="319">IF(SUM(DJ6:DJ36) &gt; 0, SUM(DJ6:DJ36), "")</f>
        <v/>
      </c>
      <c r="DK38" s="14">
        <f t="shared" si="319"/>
        <v>15</v>
      </c>
      <c r="DL38" s="14" t="str">
        <f t="shared" si="319"/>
        <v/>
      </c>
      <c r="DM38" s="14">
        <f t="shared" si="319"/>
        <v>12</v>
      </c>
      <c r="DN38" s="14">
        <f t="shared" si="319"/>
        <v>11</v>
      </c>
      <c r="DO38" s="14" t="str">
        <f t="shared" si="319"/>
        <v/>
      </c>
      <c r="DP38" s="14">
        <f t="shared" si="319"/>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20">IF(SUM(EK6:EK36) &gt; 0, SUM(EK6:EK36), "")</f>
        <v>15</v>
      </c>
      <c r="EL38" s="14">
        <f t="shared" si="320"/>
        <v>17</v>
      </c>
      <c r="EM38" s="14" t="str">
        <f t="shared" si="320"/>
        <v/>
      </c>
      <c r="EN38" s="14">
        <f t="shared" si="320"/>
        <v>14</v>
      </c>
      <c r="EO38" s="14">
        <f t="shared" si="320"/>
        <v>16</v>
      </c>
      <c r="EP38" s="14" t="str">
        <f t="shared" si="320"/>
        <v/>
      </c>
      <c r="EQ38" s="14">
        <f t="shared" si="320"/>
        <v>15</v>
      </c>
      <c r="ER38" s="14"/>
      <c r="ES38" s="130">
        <f>IF(VisibleSum(ES6:ES28) = "", "??", VisibleSum(ES6:ES28))</f>
        <v>0.88888888888888884</v>
      </c>
      <c r="ET38" s="14">
        <f t="shared" ref="ET38:EZ38" si="321">IF(SUM(ET6:ET36) &gt; 0, SUM(ET6:ET36), "")</f>
        <v>13</v>
      </c>
      <c r="EU38" s="14">
        <f t="shared" si="321"/>
        <v>14</v>
      </c>
      <c r="EV38" s="14">
        <f t="shared" si="321"/>
        <v>13</v>
      </c>
      <c r="EW38" s="14">
        <f t="shared" si="321"/>
        <v>16</v>
      </c>
      <c r="EX38" s="14" t="str">
        <f t="shared" si="321"/>
        <v/>
      </c>
      <c r="EY38" s="14" t="str">
        <f t="shared" si="321"/>
        <v/>
      </c>
      <c r="EZ38" s="14" t="str">
        <f t="shared" si="321"/>
        <v/>
      </c>
      <c r="FA38" s="14"/>
      <c r="FB38" s="130">
        <f>IF(VisibleSum(FB6:FB28) = "", "??", VisibleSum(FB6:FB28))</f>
        <v>-1</v>
      </c>
      <c r="FC38" s="14">
        <f t="shared" ref="FC38:FI38" si="322">IF(SUM(FC6:FC36) &gt; 0, SUM(FC6:FC36), "")</f>
        <v>11</v>
      </c>
      <c r="FD38" s="14">
        <f t="shared" si="322"/>
        <v>3</v>
      </c>
      <c r="FE38" s="14">
        <f t="shared" si="322"/>
        <v>14</v>
      </c>
      <c r="FF38" s="14">
        <f t="shared" si="322"/>
        <v>15</v>
      </c>
      <c r="FG38" s="14">
        <f t="shared" si="322"/>
        <v>11</v>
      </c>
      <c r="FH38" s="14">
        <f t="shared" si="322"/>
        <v>14</v>
      </c>
      <c r="FI38" s="14" t="str">
        <f t="shared" si="322"/>
        <v/>
      </c>
      <c r="FJ38" s="14"/>
      <c r="FK38" s="130">
        <f>IF(VisibleSum(FK6:FK28) = "", "??", VisibleSum(FK6:FK28))</f>
        <v>-0.22222222222222221</v>
      </c>
      <c r="FL38" s="14">
        <f t="shared" ref="FL38:HI38" si="323">IF(SUM(FL6:FL36) &gt; 0, SUM(FL6:FL36), "")</f>
        <v>6</v>
      </c>
      <c r="FM38" s="14">
        <f t="shared" si="323"/>
        <v>11</v>
      </c>
      <c r="FN38" s="14" t="str">
        <f t="shared" si="323"/>
        <v/>
      </c>
      <c r="FO38" s="14">
        <f t="shared" si="323"/>
        <v>12</v>
      </c>
      <c r="FP38" s="14">
        <f t="shared" si="323"/>
        <v>15</v>
      </c>
      <c r="FQ38" s="14">
        <f t="shared" si="323"/>
        <v>14</v>
      </c>
      <c r="FR38" s="14"/>
      <c r="FS38" s="14"/>
      <c r="FT38" s="130">
        <f>IF(VisibleSum(FT6:FT28) = "", "??", VisibleSum(FT6:FT28))</f>
        <v>-0.88888888888888884</v>
      </c>
      <c r="FU38" s="14">
        <f t="shared" si="323"/>
        <v>14</v>
      </c>
      <c r="FV38" s="14">
        <f t="shared" si="323"/>
        <v>15</v>
      </c>
      <c r="FW38" s="14" t="str">
        <f t="shared" si="323"/>
        <v/>
      </c>
      <c r="FX38" s="14">
        <f t="shared" si="323"/>
        <v>11</v>
      </c>
      <c r="FY38" s="14">
        <f t="shared" si="323"/>
        <v>11</v>
      </c>
      <c r="FZ38" s="14">
        <f t="shared" si="323"/>
        <v>10</v>
      </c>
      <c r="GA38" s="14"/>
      <c r="GB38" s="14"/>
      <c r="GC38" s="130">
        <f>IF(VisibleSum(GC6:GC28) = "", "??", VisibleSum(GC6:GC28))</f>
        <v>-0.66666666666666663</v>
      </c>
      <c r="GD38" s="14">
        <f t="shared" si="323"/>
        <v>14</v>
      </c>
      <c r="GE38" s="14">
        <f t="shared" si="323"/>
        <v>17</v>
      </c>
      <c r="GF38" s="14" t="str">
        <f t="shared" si="323"/>
        <v/>
      </c>
      <c r="GG38" s="14">
        <f t="shared" si="323"/>
        <v>13</v>
      </c>
      <c r="GH38" s="14">
        <f t="shared" si="323"/>
        <v>15</v>
      </c>
      <c r="GI38" s="14">
        <f t="shared" si="323"/>
        <v>13</v>
      </c>
      <c r="GJ38" s="14"/>
      <c r="GK38" s="14"/>
      <c r="GL38" s="130">
        <f>IF(VisibleSum(GL6:GL28) = "", "??", VisibleSum(GL6:GL28))</f>
        <v>-0.1111111111111111</v>
      </c>
      <c r="GM38" s="14">
        <f t="shared" si="323"/>
        <v>14</v>
      </c>
      <c r="GN38" s="14">
        <f t="shared" si="323"/>
        <v>12</v>
      </c>
      <c r="GO38" s="14" t="str">
        <f t="shared" si="323"/>
        <v/>
      </c>
      <c r="GP38" s="14">
        <f t="shared" si="323"/>
        <v>12</v>
      </c>
      <c r="GQ38" s="14">
        <f t="shared" si="323"/>
        <v>14</v>
      </c>
      <c r="GR38" s="14">
        <f t="shared" si="323"/>
        <v>12</v>
      </c>
      <c r="GS38" s="14">
        <f t="shared" si="323"/>
        <v>10</v>
      </c>
      <c r="GT38" s="14"/>
      <c r="GU38" s="130">
        <f>IF(VisibleSum(GU6:GU28) = "", "??", VisibleSum(GU6:GU28))</f>
        <v>0</v>
      </c>
      <c r="GV38" s="14">
        <f t="shared" si="323"/>
        <v>14</v>
      </c>
      <c r="GW38" s="14">
        <f t="shared" si="323"/>
        <v>12</v>
      </c>
      <c r="GX38" s="14" t="str">
        <f t="shared" si="323"/>
        <v/>
      </c>
      <c r="GY38" s="14">
        <f t="shared" si="323"/>
        <v>9</v>
      </c>
      <c r="GZ38" s="14">
        <f t="shared" si="323"/>
        <v>12</v>
      </c>
      <c r="HA38" s="14" t="str">
        <f t="shared" si="323"/>
        <v/>
      </c>
      <c r="HB38" s="14"/>
      <c r="HC38" s="14"/>
      <c r="HD38" s="130" t="str">
        <f>IF(VisibleSum(HD6:HD28) = "", "??", VisibleSum(HD6:HD28))</f>
        <v>??</v>
      </c>
      <c r="HE38" s="14" t="str">
        <f t="shared" si="323"/>
        <v/>
      </c>
      <c r="HF38" s="14" t="str">
        <f t="shared" si="323"/>
        <v/>
      </c>
      <c r="HG38" s="14" t="str">
        <f t="shared" si="323"/>
        <v/>
      </c>
      <c r="HH38" s="14" t="str">
        <f t="shared" si="323"/>
        <v/>
      </c>
      <c r="HI38" s="14" t="str">
        <f t="shared" si="323"/>
        <v/>
      </c>
      <c r="HJ38" s="14"/>
      <c r="HK38" s="14"/>
      <c r="HL38" s="14"/>
      <c r="HM38" s="15" t="str">
        <f t="shared" ref="HM38:IR38" si="324">IF(SUM(HM6:HM36) &gt; 0, SUM(HM6:HM36), "")</f>
        <v/>
      </c>
      <c r="HN38" s="14" t="str">
        <f t="shared" si="324"/>
        <v/>
      </c>
      <c r="HO38" s="14" t="str">
        <f t="shared" si="324"/>
        <v/>
      </c>
      <c r="HP38" s="14" t="str">
        <f t="shared" si="324"/>
        <v/>
      </c>
      <c r="HQ38" s="14" t="str">
        <f t="shared" si="324"/>
        <v/>
      </c>
      <c r="HR38" s="14" t="str">
        <f t="shared" si="324"/>
        <v/>
      </c>
      <c r="HS38" s="14" t="str">
        <f t="shared" si="324"/>
        <v/>
      </c>
      <c r="HT38" s="15" t="str">
        <f t="shared" si="324"/>
        <v/>
      </c>
      <c r="HU38" s="14" t="str">
        <f t="shared" si="324"/>
        <v/>
      </c>
      <c r="HV38" s="14" t="str">
        <f t="shared" si="324"/>
        <v/>
      </c>
      <c r="HW38" s="14" t="str">
        <f t="shared" si="324"/>
        <v/>
      </c>
      <c r="HX38" s="14" t="str">
        <f t="shared" si="324"/>
        <v/>
      </c>
      <c r="HY38" s="14" t="str">
        <f t="shared" si="324"/>
        <v/>
      </c>
      <c r="HZ38" s="14" t="str">
        <f t="shared" si="324"/>
        <v/>
      </c>
      <c r="IA38" s="15" t="str">
        <f t="shared" si="324"/>
        <v/>
      </c>
      <c r="IB38" s="14" t="str">
        <f t="shared" si="324"/>
        <v/>
      </c>
      <c r="IC38" s="14" t="str">
        <f t="shared" si="324"/>
        <v/>
      </c>
      <c r="ID38" s="14" t="str">
        <f t="shared" si="324"/>
        <v/>
      </c>
      <c r="IE38" s="14" t="str">
        <f t="shared" si="324"/>
        <v/>
      </c>
      <c r="IF38" s="14" t="str">
        <f t="shared" si="324"/>
        <v/>
      </c>
      <c r="IG38" s="14" t="str">
        <f t="shared" si="324"/>
        <v/>
      </c>
      <c r="IH38" s="15" t="str">
        <f t="shared" si="324"/>
        <v/>
      </c>
      <c r="II38" s="14" t="str">
        <f t="shared" si="324"/>
        <v/>
      </c>
      <c r="IJ38" s="14" t="str">
        <f t="shared" si="324"/>
        <v/>
      </c>
      <c r="IK38" s="14" t="str">
        <f t="shared" si="324"/>
        <v/>
      </c>
      <c r="IL38" s="14" t="str">
        <f t="shared" si="324"/>
        <v/>
      </c>
      <c r="IM38" s="14" t="str">
        <f t="shared" si="324"/>
        <v/>
      </c>
      <c r="IN38" s="14" t="str">
        <f t="shared" si="324"/>
        <v/>
      </c>
      <c r="IO38" s="15" t="str">
        <f t="shared" si="324"/>
        <v/>
      </c>
      <c r="IP38" s="14" t="str">
        <f t="shared" si="324"/>
        <v/>
      </c>
      <c r="IQ38" s="14" t="str">
        <f t="shared" si="324"/>
        <v/>
      </c>
      <c r="IR38" s="14" t="str">
        <f t="shared" si="324"/>
        <v/>
      </c>
      <c r="IS38" s="14" t="str">
        <f t="shared" ref="IS38:JX38" si="325">IF(SUM(IS6:IS36) &gt; 0, SUM(IS6:IS36), "")</f>
        <v/>
      </c>
      <c r="IT38" s="14" t="str">
        <f t="shared" si="325"/>
        <v/>
      </c>
      <c r="IU38" s="14" t="str">
        <f t="shared" si="325"/>
        <v/>
      </c>
      <c r="IV38" s="15" t="str">
        <f t="shared" si="325"/>
        <v/>
      </c>
      <c r="IW38" s="14" t="str">
        <f t="shared" si="325"/>
        <v/>
      </c>
      <c r="IX38" s="14" t="str">
        <f t="shared" si="325"/>
        <v/>
      </c>
      <c r="IY38" s="14" t="str">
        <f t="shared" si="325"/>
        <v/>
      </c>
      <c r="IZ38" s="14" t="str">
        <f t="shared" si="325"/>
        <v/>
      </c>
      <c r="JA38" s="14" t="str">
        <f t="shared" si="325"/>
        <v/>
      </c>
      <c r="JB38" s="14" t="str">
        <f t="shared" si="325"/>
        <v/>
      </c>
      <c r="JC38" s="15" t="str">
        <f t="shared" si="325"/>
        <v/>
      </c>
      <c r="JD38" s="14" t="str">
        <f t="shared" si="325"/>
        <v/>
      </c>
      <c r="JE38" s="14" t="str">
        <f t="shared" si="325"/>
        <v/>
      </c>
      <c r="JF38" s="14" t="str">
        <f t="shared" si="325"/>
        <v/>
      </c>
      <c r="JG38" s="14" t="str">
        <f t="shared" si="325"/>
        <v/>
      </c>
      <c r="JH38" s="14" t="str">
        <f t="shared" si="325"/>
        <v/>
      </c>
      <c r="JI38" s="14" t="str">
        <f t="shared" si="325"/>
        <v/>
      </c>
      <c r="JJ38" s="15" t="str">
        <f t="shared" si="325"/>
        <v/>
      </c>
      <c r="JK38" s="14" t="str">
        <f t="shared" si="325"/>
        <v/>
      </c>
      <c r="JL38" s="14" t="str">
        <f t="shared" si="325"/>
        <v/>
      </c>
      <c r="JM38" s="14" t="str">
        <f t="shared" si="325"/>
        <v/>
      </c>
      <c r="JN38" s="14" t="str">
        <f t="shared" si="325"/>
        <v/>
      </c>
      <c r="JO38" s="14" t="str">
        <f t="shared" si="325"/>
        <v/>
      </c>
      <c r="JP38" s="14" t="str">
        <f t="shared" si="325"/>
        <v/>
      </c>
      <c r="JQ38" s="15" t="str">
        <f t="shared" si="325"/>
        <v/>
      </c>
      <c r="JR38" s="14" t="str">
        <f t="shared" si="325"/>
        <v/>
      </c>
      <c r="JS38" s="14" t="str">
        <f t="shared" si="325"/>
        <v/>
      </c>
      <c r="JT38" s="14" t="str">
        <f t="shared" si="325"/>
        <v/>
      </c>
      <c r="JU38" s="14" t="str">
        <f t="shared" si="325"/>
        <v/>
      </c>
      <c r="JV38" s="14" t="str">
        <f t="shared" si="325"/>
        <v/>
      </c>
      <c r="JW38" s="14" t="str">
        <f t="shared" si="325"/>
        <v/>
      </c>
      <c r="JX38" s="15" t="str">
        <f t="shared" si="325"/>
        <v/>
      </c>
      <c r="JY38" s="14" t="str">
        <f t="shared" ref="JY38:LD38" si="326">IF(SUM(JY6:JY36) &gt; 0, SUM(JY6:JY36), "")</f>
        <v/>
      </c>
      <c r="JZ38" s="14" t="str">
        <f t="shared" si="326"/>
        <v/>
      </c>
      <c r="KA38" s="14" t="str">
        <f t="shared" si="326"/>
        <v/>
      </c>
      <c r="KB38" s="14" t="str">
        <f t="shared" si="326"/>
        <v/>
      </c>
      <c r="KC38" s="14" t="str">
        <f t="shared" si="326"/>
        <v/>
      </c>
      <c r="KD38" s="14" t="str">
        <f t="shared" si="326"/>
        <v/>
      </c>
      <c r="KE38" s="15" t="str">
        <f t="shared" si="326"/>
        <v/>
      </c>
      <c r="KF38" s="14" t="str">
        <f t="shared" si="326"/>
        <v/>
      </c>
      <c r="KG38" s="14" t="str">
        <f t="shared" si="326"/>
        <v/>
      </c>
      <c r="KH38" s="14" t="str">
        <f t="shared" si="326"/>
        <v/>
      </c>
      <c r="KI38" s="14" t="str">
        <f t="shared" si="326"/>
        <v/>
      </c>
      <c r="KJ38" s="14" t="str">
        <f t="shared" si="326"/>
        <v/>
      </c>
      <c r="KK38" s="14" t="str">
        <f t="shared" si="326"/>
        <v/>
      </c>
      <c r="KL38" s="15" t="str">
        <f t="shared" si="326"/>
        <v/>
      </c>
      <c r="KM38" s="14" t="str">
        <f t="shared" si="326"/>
        <v/>
      </c>
      <c r="KN38" s="14" t="str">
        <f t="shared" si="326"/>
        <v/>
      </c>
      <c r="KO38" s="14" t="str">
        <f t="shared" si="326"/>
        <v/>
      </c>
      <c r="KP38" s="14" t="str">
        <f t="shared" si="326"/>
        <v/>
      </c>
      <c r="KQ38" s="14" t="str">
        <f t="shared" si="326"/>
        <v/>
      </c>
      <c r="KR38" s="14" t="str">
        <f t="shared" si="326"/>
        <v/>
      </c>
      <c r="KS38" s="15" t="str">
        <f t="shared" si="326"/>
        <v/>
      </c>
      <c r="KT38" s="14" t="str">
        <f t="shared" si="326"/>
        <v/>
      </c>
      <c r="KU38" s="14" t="str">
        <f t="shared" si="326"/>
        <v/>
      </c>
      <c r="KV38" s="14" t="str">
        <f t="shared" si="326"/>
        <v/>
      </c>
      <c r="KW38" s="14" t="str">
        <f t="shared" si="326"/>
        <v/>
      </c>
      <c r="KX38" s="14" t="str">
        <f t="shared" si="326"/>
        <v/>
      </c>
      <c r="KY38" s="14" t="str">
        <f t="shared" si="326"/>
        <v/>
      </c>
      <c r="KZ38" s="15" t="str">
        <f t="shared" si="326"/>
        <v/>
      </c>
      <c r="LA38" s="14" t="str">
        <f t="shared" si="326"/>
        <v/>
      </c>
      <c r="LB38" s="14" t="str">
        <f t="shared" si="326"/>
        <v/>
      </c>
      <c r="LC38" s="14" t="str">
        <f t="shared" si="326"/>
        <v/>
      </c>
      <c r="LD38" s="14" t="str">
        <f t="shared" si="326"/>
        <v/>
      </c>
      <c r="LE38" s="14" t="str">
        <f t="shared" ref="LE38:MJ38" si="327">IF(SUM(LE6:LE36) &gt; 0, SUM(LE6:LE36), "")</f>
        <v/>
      </c>
      <c r="LF38" s="14" t="str">
        <f t="shared" si="327"/>
        <v/>
      </c>
      <c r="LG38" s="15" t="str">
        <f t="shared" si="327"/>
        <v/>
      </c>
      <c r="LH38" s="14" t="str">
        <f t="shared" si="327"/>
        <v/>
      </c>
      <c r="LI38" s="14" t="str">
        <f t="shared" si="327"/>
        <v/>
      </c>
      <c r="LJ38" s="14" t="str">
        <f t="shared" si="327"/>
        <v/>
      </c>
      <c r="LK38" s="14" t="str">
        <f t="shared" si="327"/>
        <v/>
      </c>
      <c r="LL38" s="14" t="str">
        <f t="shared" si="327"/>
        <v/>
      </c>
      <c r="LM38" s="14" t="str">
        <f t="shared" si="327"/>
        <v/>
      </c>
      <c r="LN38" s="15" t="str">
        <f t="shared" si="327"/>
        <v/>
      </c>
      <c r="LO38" s="14" t="str">
        <f t="shared" si="327"/>
        <v/>
      </c>
      <c r="LP38" s="14" t="str">
        <f t="shared" si="327"/>
        <v/>
      </c>
      <c r="LQ38" s="14" t="str">
        <f t="shared" si="327"/>
        <v/>
      </c>
      <c r="LR38" s="14" t="str">
        <f t="shared" si="327"/>
        <v/>
      </c>
      <c r="LS38" s="14" t="str">
        <f t="shared" si="327"/>
        <v/>
      </c>
      <c r="LT38" s="14" t="str">
        <f t="shared" si="327"/>
        <v/>
      </c>
      <c r="LU38" s="15" t="str">
        <f t="shared" si="327"/>
        <v/>
      </c>
      <c r="LV38" s="14" t="str">
        <f t="shared" si="327"/>
        <v/>
      </c>
      <c r="LW38" s="14" t="str">
        <f t="shared" si="327"/>
        <v/>
      </c>
      <c r="LX38" s="14" t="str">
        <f t="shared" si="327"/>
        <v/>
      </c>
      <c r="LY38" s="14" t="str">
        <f t="shared" si="327"/>
        <v/>
      </c>
      <c r="LZ38" s="14" t="str">
        <f t="shared" si="327"/>
        <v/>
      </c>
      <c r="MA38" s="14" t="str">
        <f t="shared" si="327"/>
        <v/>
      </c>
      <c r="MB38" s="15" t="str">
        <f t="shared" si="327"/>
        <v/>
      </c>
      <c r="MC38" s="14" t="str">
        <f t="shared" si="327"/>
        <v/>
      </c>
      <c r="MD38" s="14" t="str">
        <f t="shared" si="327"/>
        <v/>
      </c>
      <c r="ME38" s="14" t="str">
        <f t="shared" si="327"/>
        <v/>
      </c>
      <c r="MF38" s="14" t="str">
        <f t="shared" si="327"/>
        <v/>
      </c>
      <c r="MG38" s="14" t="str">
        <f t="shared" si="327"/>
        <v/>
      </c>
      <c r="MH38" s="14" t="str">
        <f t="shared" si="327"/>
        <v/>
      </c>
      <c r="MI38" s="15" t="str">
        <f t="shared" si="327"/>
        <v/>
      </c>
      <c r="MJ38" s="14" t="str">
        <f t="shared" si="327"/>
        <v/>
      </c>
      <c r="MK38" s="14" t="str">
        <f t="shared" ref="MK38:ND38" si="328">IF(SUM(MK6:MK36) &gt; 0, SUM(MK6:MK36), "")</f>
        <v/>
      </c>
      <c r="ML38" s="14" t="str">
        <f t="shared" si="328"/>
        <v/>
      </c>
      <c r="MM38" s="14" t="str">
        <f t="shared" si="328"/>
        <v/>
      </c>
      <c r="MN38" s="14" t="str">
        <f t="shared" si="328"/>
        <v/>
      </c>
      <c r="MO38" s="14" t="str">
        <f t="shared" si="328"/>
        <v/>
      </c>
      <c r="MP38" s="15" t="str">
        <f t="shared" si="328"/>
        <v/>
      </c>
      <c r="MQ38" s="14" t="str">
        <f t="shared" si="328"/>
        <v/>
      </c>
      <c r="MR38" s="14" t="str">
        <f t="shared" si="328"/>
        <v/>
      </c>
      <c r="MS38" s="14" t="str">
        <f t="shared" si="328"/>
        <v/>
      </c>
      <c r="MT38" s="14" t="str">
        <f t="shared" si="328"/>
        <v/>
      </c>
      <c r="MU38" s="14" t="str">
        <f t="shared" si="328"/>
        <v/>
      </c>
      <c r="MV38" s="14" t="str">
        <f t="shared" si="328"/>
        <v/>
      </c>
      <c r="MW38" s="15" t="str">
        <f t="shared" si="328"/>
        <v/>
      </c>
      <c r="MX38" s="14" t="str">
        <f t="shared" si="328"/>
        <v/>
      </c>
      <c r="MY38" s="14" t="str">
        <f t="shared" si="328"/>
        <v/>
      </c>
      <c r="MZ38" s="14" t="str">
        <f t="shared" si="328"/>
        <v/>
      </c>
      <c r="NA38" s="14" t="str">
        <f t="shared" si="328"/>
        <v/>
      </c>
      <c r="NB38" s="14" t="str">
        <f t="shared" si="328"/>
        <v/>
      </c>
      <c r="NC38" s="14" t="str">
        <f t="shared" si="328"/>
        <v/>
      </c>
      <c r="ND38" s="111" t="str">
        <f t="shared" si="328"/>
        <v/>
      </c>
    </row>
    <row r="39" spans="1:368"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37"/>
      <c r="HU39" s="127"/>
      <c r="HV39" s="127"/>
      <c r="HW39" s="127"/>
      <c r="HX39" s="127"/>
      <c r="HY39" s="127"/>
      <c r="HZ39" s="127"/>
      <c r="IA39" s="37"/>
      <c r="IB39" s="127"/>
      <c r="IC39" s="127"/>
      <c r="ID39" s="127"/>
      <c r="IE39" s="127"/>
      <c r="IF39" s="127"/>
      <c r="IG39" s="127"/>
      <c r="IH39" s="37"/>
      <c r="II39" s="127"/>
      <c r="IJ39" s="127"/>
      <c r="IK39" s="127"/>
      <c r="IL39" s="127"/>
      <c r="IM39" s="127"/>
      <c r="IN39" s="127"/>
      <c r="IO39" s="37"/>
      <c r="IP39" s="127"/>
      <c r="IQ39" s="127"/>
      <c r="IR39" s="127"/>
      <c r="IS39" s="127"/>
      <c r="IT39" s="127"/>
      <c r="IU39" s="127"/>
      <c r="IV39" s="37"/>
      <c r="IW39" s="127"/>
      <c r="IX39" s="127"/>
      <c r="IY39" s="127"/>
      <c r="IZ39" s="127"/>
      <c r="JA39" s="127"/>
      <c r="JB39" s="127"/>
      <c r="JC39" s="37"/>
      <c r="JD39" s="127"/>
      <c r="JE39" s="127"/>
      <c r="JF39" s="127"/>
      <c r="JG39" s="127"/>
      <c r="JH39" s="127"/>
      <c r="JI39" s="127"/>
      <c r="JJ39" s="37"/>
      <c r="JK39" s="127"/>
      <c r="JL39" s="127"/>
      <c r="JM39" s="127"/>
      <c r="JN39" s="127"/>
      <c r="JO39" s="127"/>
      <c r="JP39" s="127"/>
      <c r="JQ39" s="37"/>
      <c r="JR39" s="127"/>
      <c r="JS39" s="127"/>
      <c r="JT39" s="127"/>
      <c r="JU39" s="127"/>
      <c r="JV39" s="127"/>
      <c r="JW39" s="127"/>
      <c r="JX39" s="37"/>
      <c r="JY39" s="127"/>
      <c r="JZ39" s="127"/>
      <c r="KA39" s="127"/>
      <c r="KB39" s="127"/>
      <c r="KC39" s="127"/>
      <c r="KD39" s="127"/>
      <c r="KE39" s="37"/>
      <c r="KF39" s="127"/>
      <c r="KG39" s="127"/>
      <c r="KH39" s="127"/>
      <c r="KI39" s="127"/>
      <c r="KJ39" s="127"/>
      <c r="KK39" s="127"/>
      <c r="KL39" s="37"/>
      <c r="KM39" s="127"/>
      <c r="KN39" s="127"/>
      <c r="KO39" s="127"/>
      <c r="KP39" s="127"/>
      <c r="KQ39" s="127"/>
      <c r="KR39" s="127"/>
      <c r="KS39" s="37"/>
      <c r="KT39" s="127"/>
      <c r="KU39" s="127"/>
      <c r="KV39" s="127"/>
      <c r="KW39" s="127"/>
      <c r="KX39" s="127"/>
      <c r="KY39" s="127"/>
      <c r="KZ39" s="37"/>
      <c r="LA39" s="127"/>
      <c r="LB39" s="127"/>
      <c r="LC39" s="127"/>
      <c r="LD39" s="127"/>
      <c r="LE39" s="127"/>
      <c r="LF39" s="127"/>
      <c r="LG39" s="37"/>
      <c r="LH39" s="127"/>
      <c r="LI39" s="127"/>
      <c r="LJ39" s="127"/>
      <c r="LK39" s="127"/>
      <c r="LL39" s="127"/>
      <c r="LM39" s="127"/>
      <c r="LN39" s="37"/>
      <c r="LO39" s="127"/>
      <c r="LP39" s="127"/>
      <c r="LQ39" s="127"/>
      <c r="LR39" s="127"/>
      <c r="LS39" s="127"/>
      <c r="LT39" s="127"/>
      <c r="LU39" s="37"/>
      <c r="LV39" s="127"/>
      <c r="LW39" s="127"/>
      <c r="LX39" s="127"/>
      <c r="LY39" s="127"/>
      <c r="LZ39" s="127"/>
      <c r="MA39" s="127"/>
      <c r="MB39" s="37"/>
      <c r="MC39" s="127"/>
      <c r="MD39" s="127"/>
      <c r="ME39" s="127"/>
      <c r="MF39" s="127"/>
      <c r="MG39" s="127"/>
      <c r="MH39" s="127"/>
      <c r="MI39" s="37"/>
      <c r="MJ39" s="127"/>
      <c r="MK39" s="127"/>
      <c r="ML39" s="127"/>
      <c r="MM39" s="127"/>
      <c r="MN39" s="127"/>
      <c r="MO39" s="127"/>
      <c r="MP39" s="37"/>
      <c r="MQ39" s="127"/>
      <c r="MR39" s="127"/>
      <c r="MS39" s="127"/>
      <c r="MT39" s="127"/>
      <c r="MU39" s="127"/>
      <c r="MV39" s="127"/>
      <c r="MW39" s="37"/>
      <c r="MX39" s="127"/>
      <c r="MY39" s="127"/>
      <c r="MZ39" s="127"/>
      <c r="NA39" s="127"/>
      <c r="NB39" s="127"/>
      <c r="NC39" s="127"/>
      <c r="ND39" s="37"/>
    </row>
    <row r="40" spans="1:368" ht="66" hidden="1" customHeight="1" x14ac:dyDescent="0.25">
      <c r="A40" s="19"/>
      <c r="B40" s="19"/>
      <c r="C40" s="19"/>
      <c r="D40" s="19"/>
      <c r="E40" s="9"/>
      <c r="F40" s="19"/>
      <c r="G40" s="19"/>
      <c r="H40" s="19"/>
      <c r="I40" s="19"/>
      <c r="J40" s="19"/>
      <c r="K40" s="19"/>
      <c r="L40" s="19"/>
      <c r="M40" s="19"/>
      <c r="N40" s="19"/>
      <c r="O40" s="9"/>
      <c r="P40" s="119" t="s">
        <v>408</v>
      </c>
      <c r="Q40" s="120" t="s">
        <v>408</v>
      </c>
      <c r="R40" s="121"/>
      <c r="S40" s="49">
        <f t="shared" ref="S40:AX40" si="329">S1</f>
        <v>43975</v>
      </c>
      <c r="T40" s="49">
        <f t="shared" si="329"/>
        <v>43976</v>
      </c>
      <c r="U40" s="49">
        <f t="shared" si="329"/>
        <v>43977</v>
      </c>
      <c r="V40" s="49">
        <f t="shared" si="329"/>
        <v>43978</v>
      </c>
      <c r="W40" s="49">
        <f t="shared" si="329"/>
        <v>43979</v>
      </c>
      <c r="X40" s="49">
        <f t="shared" si="329"/>
        <v>43980</v>
      </c>
      <c r="Y40" s="49">
        <f t="shared" si="329"/>
        <v>43981</v>
      </c>
      <c r="Z40" s="49">
        <f t="shared" si="329"/>
        <v>43982</v>
      </c>
      <c r="AA40" s="49">
        <f t="shared" si="329"/>
        <v>43983</v>
      </c>
      <c r="AB40" s="49">
        <f t="shared" si="329"/>
        <v>43984</v>
      </c>
      <c r="AC40" s="49">
        <f t="shared" si="329"/>
        <v>43985</v>
      </c>
      <c r="AD40" s="49">
        <f t="shared" si="329"/>
        <v>43986</v>
      </c>
      <c r="AE40" s="49">
        <f t="shared" si="329"/>
        <v>43987</v>
      </c>
      <c r="AF40" s="49">
        <f t="shared" si="329"/>
        <v>43988</v>
      </c>
      <c r="AG40" s="49">
        <f t="shared" si="329"/>
        <v>43989</v>
      </c>
      <c r="AH40" s="49">
        <f t="shared" si="329"/>
        <v>43990</v>
      </c>
      <c r="AI40" s="49">
        <f t="shared" si="329"/>
        <v>43991</v>
      </c>
      <c r="AJ40" s="49">
        <f t="shared" si="329"/>
        <v>43992</v>
      </c>
      <c r="AK40" s="49">
        <f t="shared" si="329"/>
        <v>43993</v>
      </c>
      <c r="AL40" s="49">
        <f t="shared" si="329"/>
        <v>43994</v>
      </c>
      <c r="AM40" s="49">
        <f t="shared" si="329"/>
        <v>43995</v>
      </c>
      <c r="AN40" s="49">
        <f t="shared" si="329"/>
        <v>43996</v>
      </c>
      <c r="AO40" s="49">
        <f t="shared" si="329"/>
        <v>43997</v>
      </c>
      <c r="AP40" s="49">
        <f t="shared" si="329"/>
        <v>43998</v>
      </c>
      <c r="AQ40" s="49">
        <f t="shared" si="329"/>
        <v>43999</v>
      </c>
      <c r="AR40" s="49">
        <f t="shared" si="329"/>
        <v>44000</v>
      </c>
      <c r="AS40" s="49">
        <f t="shared" si="329"/>
        <v>44001</v>
      </c>
      <c r="AT40" s="49">
        <f t="shared" si="329"/>
        <v>44002</v>
      </c>
      <c r="AU40" s="49">
        <f t="shared" si="329"/>
        <v>44003</v>
      </c>
      <c r="AV40" s="49">
        <f t="shared" si="329"/>
        <v>44004</v>
      </c>
      <c r="AW40" s="49">
        <f t="shared" si="329"/>
        <v>44005</v>
      </c>
      <c r="AX40" s="49">
        <f t="shared" si="329"/>
        <v>44006</v>
      </c>
      <c r="AY40" s="49">
        <f t="shared" ref="AY40:BW40" si="330">AY1</f>
        <v>44007</v>
      </c>
      <c r="AZ40" s="49">
        <f t="shared" si="330"/>
        <v>44008</v>
      </c>
      <c r="BA40" s="49">
        <f t="shared" si="330"/>
        <v>44009</v>
      </c>
      <c r="BB40" s="49">
        <f t="shared" si="330"/>
        <v>44010</v>
      </c>
      <c r="BC40" s="49">
        <f t="shared" si="330"/>
        <v>44011</v>
      </c>
      <c r="BD40" s="49">
        <f t="shared" si="330"/>
        <v>44012</v>
      </c>
      <c r="BE40" s="49">
        <f t="shared" si="330"/>
        <v>44013</v>
      </c>
      <c r="BF40" s="49">
        <f t="shared" si="330"/>
        <v>44014</v>
      </c>
      <c r="BG40" s="49">
        <f t="shared" si="330"/>
        <v>44015</v>
      </c>
      <c r="BH40" s="49">
        <f t="shared" si="330"/>
        <v>44016</v>
      </c>
      <c r="BI40" s="49">
        <f t="shared" si="330"/>
        <v>44017</v>
      </c>
      <c r="BJ40" s="49">
        <f t="shared" si="330"/>
        <v>44018</v>
      </c>
      <c r="BK40" s="49">
        <f t="shared" si="330"/>
        <v>44019</v>
      </c>
      <c r="BL40" s="49">
        <f t="shared" si="330"/>
        <v>44020</v>
      </c>
      <c r="BM40" s="49">
        <f t="shared" si="330"/>
        <v>44021</v>
      </c>
      <c r="BN40" s="49">
        <f t="shared" si="330"/>
        <v>44022</v>
      </c>
      <c r="BO40" s="49">
        <f t="shared" si="330"/>
        <v>44023</v>
      </c>
      <c r="BP40" s="49">
        <f t="shared" si="330"/>
        <v>44024</v>
      </c>
      <c r="BQ40" s="49">
        <f t="shared" si="330"/>
        <v>44025</v>
      </c>
      <c r="BR40" s="49">
        <f t="shared" si="330"/>
        <v>44026</v>
      </c>
      <c r="BS40" s="49">
        <f t="shared" si="330"/>
        <v>44027</v>
      </c>
      <c r="BT40" s="49">
        <f t="shared" si="330"/>
        <v>44028</v>
      </c>
      <c r="BU40" s="49">
        <f t="shared" si="330"/>
        <v>44029</v>
      </c>
      <c r="BV40" s="49">
        <f t="shared" si="330"/>
        <v>44030</v>
      </c>
      <c r="BW40" s="49">
        <f t="shared" si="330"/>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31">DS1</f>
        <v>44067</v>
      </c>
      <c r="DT40" s="49">
        <f t="shared" si="331"/>
        <v>44068</v>
      </c>
      <c r="DU40" s="49">
        <f t="shared" si="331"/>
        <v>44069</v>
      </c>
      <c r="DV40" s="49">
        <f t="shared" si="331"/>
        <v>44070</v>
      </c>
      <c r="DW40" s="49">
        <f t="shared" si="331"/>
        <v>44071</v>
      </c>
      <c r="DX40" s="49">
        <f t="shared" si="331"/>
        <v>44072</v>
      </c>
      <c r="DY40" s="49">
        <f t="shared" si="331"/>
        <v>44073</v>
      </c>
      <c r="DZ40" s="49"/>
      <c r="EA40" s="49"/>
      <c r="EB40" s="49">
        <f t="shared" ref="EB40:EH40" si="332">EB1</f>
        <v>44074</v>
      </c>
      <c r="EC40" s="49">
        <f t="shared" si="332"/>
        <v>44075</v>
      </c>
      <c r="ED40" s="49">
        <f t="shared" si="332"/>
        <v>44076</v>
      </c>
      <c r="EE40" s="49">
        <f t="shared" si="332"/>
        <v>44077</v>
      </c>
      <c r="EF40" s="49">
        <f t="shared" si="332"/>
        <v>44078</v>
      </c>
      <c r="EG40" s="49">
        <f t="shared" si="332"/>
        <v>44079</v>
      </c>
      <c r="EH40" s="49">
        <f t="shared" si="332"/>
        <v>44080</v>
      </c>
      <c r="EI40" s="49"/>
      <c r="EJ40" s="49"/>
      <c r="EK40" s="49">
        <f t="shared" ref="EK40:EQ40" si="333">EK1</f>
        <v>44081</v>
      </c>
      <c r="EL40" s="49">
        <f t="shared" si="333"/>
        <v>44082</v>
      </c>
      <c r="EM40" s="49">
        <f t="shared" si="333"/>
        <v>44083</v>
      </c>
      <c r="EN40" s="49">
        <f t="shared" si="333"/>
        <v>44084</v>
      </c>
      <c r="EO40" s="49">
        <f t="shared" si="333"/>
        <v>44085</v>
      </c>
      <c r="EP40" s="49">
        <f t="shared" si="333"/>
        <v>44086</v>
      </c>
      <c r="EQ40" s="49">
        <f t="shared" si="333"/>
        <v>44087</v>
      </c>
      <c r="ER40" s="49"/>
      <c r="ES40" s="49"/>
      <c r="ET40" s="49">
        <f t="shared" ref="ET40:EZ40" si="334">ET1</f>
        <v>44088</v>
      </c>
      <c r="EU40" s="49">
        <f t="shared" si="334"/>
        <v>44089</v>
      </c>
      <c r="EV40" s="49">
        <f t="shared" si="334"/>
        <v>44090</v>
      </c>
      <c r="EW40" s="49">
        <f t="shared" si="334"/>
        <v>44091</v>
      </c>
      <c r="EX40" s="49">
        <f t="shared" si="334"/>
        <v>44092</v>
      </c>
      <c r="EY40" s="49">
        <f t="shared" si="334"/>
        <v>44093</v>
      </c>
      <c r="EZ40" s="49">
        <f t="shared" si="334"/>
        <v>44094</v>
      </c>
      <c r="FA40" s="49"/>
      <c r="FB40" s="49"/>
      <c r="FC40" s="49">
        <f t="shared" ref="FC40:FI40" si="335">FC1</f>
        <v>44095</v>
      </c>
      <c r="FD40" s="49">
        <f t="shared" si="335"/>
        <v>44096</v>
      </c>
      <c r="FE40" s="49">
        <f t="shared" si="335"/>
        <v>44097</v>
      </c>
      <c r="FF40" s="49">
        <f t="shared" si="335"/>
        <v>44098</v>
      </c>
      <c r="FG40" s="49">
        <f t="shared" si="335"/>
        <v>44099</v>
      </c>
      <c r="FH40" s="49">
        <f t="shared" si="335"/>
        <v>44100</v>
      </c>
      <c r="FI40" s="49">
        <f t="shared" si="335"/>
        <v>44101</v>
      </c>
      <c r="FJ40" s="49"/>
      <c r="FK40" s="49"/>
      <c r="FL40" s="49">
        <f t="shared" ref="FL40:GY40" si="336">FL1</f>
        <v>44102</v>
      </c>
      <c r="FM40" s="49">
        <f t="shared" si="336"/>
        <v>44103</v>
      </c>
      <c r="FN40" s="49">
        <f t="shared" si="336"/>
        <v>44104</v>
      </c>
      <c r="FO40" s="49">
        <f t="shared" si="336"/>
        <v>44105</v>
      </c>
      <c r="FP40" s="49">
        <f t="shared" si="336"/>
        <v>44106</v>
      </c>
      <c r="FQ40" s="49">
        <f t="shared" si="336"/>
        <v>44107</v>
      </c>
      <c r="FR40" s="49">
        <f t="shared" si="336"/>
        <v>44108</v>
      </c>
      <c r="FS40" s="49"/>
      <c r="FT40" s="49"/>
      <c r="FU40" s="49">
        <f t="shared" si="336"/>
        <v>44109</v>
      </c>
      <c r="FV40" s="49">
        <f t="shared" si="336"/>
        <v>44110</v>
      </c>
      <c r="FW40" s="49">
        <f t="shared" si="336"/>
        <v>44111</v>
      </c>
      <c r="FX40" s="49">
        <f t="shared" si="336"/>
        <v>44112</v>
      </c>
      <c r="FY40" s="49">
        <f t="shared" si="336"/>
        <v>44113</v>
      </c>
      <c r="FZ40" s="49">
        <f t="shared" si="336"/>
        <v>44114</v>
      </c>
      <c r="GA40" s="49">
        <f t="shared" ref="GA40" si="337">GA1</f>
        <v>44115</v>
      </c>
      <c r="GB40" s="49"/>
      <c r="GC40" s="49"/>
      <c r="GD40" s="49">
        <f t="shared" si="336"/>
        <v>44116</v>
      </c>
      <c r="GE40" s="49">
        <f t="shared" si="336"/>
        <v>44117</v>
      </c>
      <c r="GF40" s="49">
        <f t="shared" si="336"/>
        <v>44118</v>
      </c>
      <c r="GG40" s="49">
        <f t="shared" si="336"/>
        <v>44119</v>
      </c>
      <c r="GH40" s="49">
        <f t="shared" si="336"/>
        <v>44120</v>
      </c>
      <c r="GI40" s="49">
        <f t="shared" si="336"/>
        <v>44121</v>
      </c>
      <c r="GJ40" s="49">
        <f t="shared" si="336"/>
        <v>44122</v>
      </c>
      <c r="GK40" s="49"/>
      <c r="GL40" s="49"/>
      <c r="GM40" s="49">
        <f t="shared" si="336"/>
        <v>44123</v>
      </c>
      <c r="GN40" s="49">
        <f t="shared" si="336"/>
        <v>44124</v>
      </c>
      <c r="GO40" s="49">
        <f t="shared" si="336"/>
        <v>44125</v>
      </c>
      <c r="GP40" s="49">
        <f t="shared" si="336"/>
        <v>44126</v>
      </c>
      <c r="GQ40" s="49">
        <f t="shared" si="336"/>
        <v>44127</v>
      </c>
      <c r="GR40" s="49">
        <f t="shared" si="336"/>
        <v>44128</v>
      </c>
      <c r="GS40" s="49">
        <f t="shared" si="336"/>
        <v>44129</v>
      </c>
      <c r="GT40" s="49"/>
      <c r="GU40" s="49"/>
      <c r="GV40" s="49">
        <f t="shared" si="336"/>
        <v>44130</v>
      </c>
      <c r="GW40" s="49">
        <f t="shared" si="336"/>
        <v>44131</v>
      </c>
      <c r="GX40" s="49">
        <f t="shared" si="336"/>
        <v>44132</v>
      </c>
      <c r="GY40" s="49">
        <f t="shared" si="336"/>
        <v>44133</v>
      </c>
      <c r="GZ40" s="49">
        <f t="shared" ref="GZ40:II40" si="338">GZ1</f>
        <v>44134</v>
      </c>
      <c r="HA40" s="49">
        <f t="shared" si="338"/>
        <v>44135</v>
      </c>
      <c r="HB40" s="49">
        <f t="shared" ref="HB40" si="339">HB1</f>
        <v>44136</v>
      </c>
      <c r="HC40" s="49"/>
      <c r="HD40" s="49"/>
      <c r="HE40" s="49">
        <f t="shared" si="338"/>
        <v>44137</v>
      </c>
      <c r="HF40" s="49">
        <f t="shared" si="338"/>
        <v>44138</v>
      </c>
      <c r="HG40" s="49">
        <f t="shared" si="338"/>
        <v>44139</v>
      </c>
      <c r="HH40" s="49">
        <f t="shared" si="338"/>
        <v>44140</v>
      </c>
      <c r="HI40" s="49">
        <f t="shared" si="338"/>
        <v>44141</v>
      </c>
      <c r="HJ40" s="49">
        <f t="shared" si="338"/>
        <v>44142</v>
      </c>
      <c r="HK40" s="49">
        <f t="shared" ref="HK40" si="340">HK1</f>
        <v>44143</v>
      </c>
      <c r="HL40" s="49"/>
      <c r="HM40" s="49"/>
      <c r="HN40" s="49">
        <f t="shared" si="338"/>
        <v>44144</v>
      </c>
      <c r="HO40" s="49">
        <f t="shared" si="338"/>
        <v>44145</v>
      </c>
      <c r="HP40" s="49">
        <f t="shared" si="338"/>
        <v>44146</v>
      </c>
      <c r="HQ40" s="49">
        <f t="shared" si="338"/>
        <v>44147</v>
      </c>
      <c r="HR40" s="49">
        <f t="shared" si="338"/>
        <v>44148</v>
      </c>
      <c r="HS40" s="49">
        <f t="shared" si="338"/>
        <v>44149</v>
      </c>
      <c r="HT40" s="49">
        <f t="shared" si="338"/>
        <v>44150</v>
      </c>
      <c r="HU40" s="49">
        <f t="shared" si="338"/>
        <v>44151</v>
      </c>
      <c r="HV40" s="49">
        <f t="shared" si="338"/>
        <v>44152</v>
      </c>
      <c r="HW40" s="49">
        <f t="shared" si="338"/>
        <v>44153</v>
      </c>
      <c r="HX40" s="49">
        <f t="shared" si="338"/>
        <v>44154</v>
      </c>
      <c r="HY40" s="49">
        <f t="shared" si="338"/>
        <v>44155</v>
      </c>
      <c r="HZ40" s="49">
        <f t="shared" si="338"/>
        <v>44156</v>
      </c>
      <c r="IA40" s="49">
        <f t="shared" si="338"/>
        <v>44157</v>
      </c>
      <c r="IB40" s="49">
        <f t="shared" si="338"/>
        <v>44158</v>
      </c>
      <c r="IC40" s="49">
        <f t="shared" si="338"/>
        <v>44159</v>
      </c>
      <c r="ID40" s="49">
        <f t="shared" si="338"/>
        <v>44160</v>
      </c>
      <c r="IE40" s="49">
        <f t="shared" si="338"/>
        <v>44161</v>
      </c>
      <c r="IF40" s="49">
        <f t="shared" si="338"/>
        <v>44162</v>
      </c>
      <c r="IG40" s="49">
        <f t="shared" si="338"/>
        <v>44163</v>
      </c>
      <c r="IH40" s="49">
        <f t="shared" si="338"/>
        <v>44164</v>
      </c>
      <c r="II40" s="49">
        <f t="shared" si="338"/>
        <v>44165</v>
      </c>
      <c r="IJ40" s="49">
        <f t="shared" ref="IJ40:JO40" si="341">IJ1</f>
        <v>44166</v>
      </c>
      <c r="IK40" s="49">
        <f t="shared" si="341"/>
        <v>44167</v>
      </c>
      <c r="IL40" s="49">
        <f t="shared" si="341"/>
        <v>44168</v>
      </c>
      <c r="IM40" s="49">
        <f t="shared" si="341"/>
        <v>44169</v>
      </c>
      <c r="IN40" s="49">
        <f t="shared" si="341"/>
        <v>44170</v>
      </c>
      <c r="IO40" s="49">
        <f t="shared" si="341"/>
        <v>44171</v>
      </c>
      <c r="IP40" s="49">
        <f t="shared" si="341"/>
        <v>44172</v>
      </c>
      <c r="IQ40" s="49">
        <f t="shared" si="341"/>
        <v>44173</v>
      </c>
      <c r="IR40" s="49">
        <f t="shared" si="341"/>
        <v>44174</v>
      </c>
      <c r="IS40" s="49">
        <f t="shared" si="341"/>
        <v>44175</v>
      </c>
      <c r="IT40" s="49">
        <f t="shared" si="341"/>
        <v>44176</v>
      </c>
      <c r="IU40" s="49">
        <f t="shared" si="341"/>
        <v>44177</v>
      </c>
      <c r="IV40" s="49">
        <f t="shared" si="341"/>
        <v>44178</v>
      </c>
      <c r="IW40" s="49">
        <f t="shared" si="341"/>
        <v>44179</v>
      </c>
      <c r="IX40" s="49">
        <f t="shared" si="341"/>
        <v>44180</v>
      </c>
      <c r="IY40" s="49">
        <f t="shared" si="341"/>
        <v>44181</v>
      </c>
      <c r="IZ40" s="49">
        <f t="shared" si="341"/>
        <v>44182</v>
      </c>
      <c r="JA40" s="49">
        <f t="shared" si="341"/>
        <v>44183</v>
      </c>
      <c r="JB40" s="49">
        <f t="shared" si="341"/>
        <v>44184</v>
      </c>
      <c r="JC40" s="49">
        <f t="shared" si="341"/>
        <v>44185</v>
      </c>
      <c r="JD40" s="49">
        <f t="shared" si="341"/>
        <v>44186</v>
      </c>
      <c r="JE40" s="49">
        <f t="shared" si="341"/>
        <v>44187</v>
      </c>
      <c r="JF40" s="49">
        <f t="shared" si="341"/>
        <v>44188</v>
      </c>
      <c r="JG40" s="49">
        <f t="shared" si="341"/>
        <v>44189</v>
      </c>
      <c r="JH40" s="49">
        <f t="shared" si="341"/>
        <v>44190</v>
      </c>
      <c r="JI40" s="49">
        <f t="shared" si="341"/>
        <v>44191</v>
      </c>
      <c r="JJ40" s="49">
        <f t="shared" si="341"/>
        <v>44192</v>
      </c>
      <c r="JK40" s="49">
        <f t="shared" si="341"/>
        <v>44193</v>
      </c>
      <c r="JL40" s="49">
        <f t="shared" si="341"/>
        <v>44194</v>
      </c>
      <c r="JM40" s="49">
        <f t="shared" si="341"/>
        <v>44195</v>
      </c>
      <c r="JN40" s="49">
        <f t="shared" si="341"/>
        <v>44196</v>
      </c>
      <c r="JO40" s="49">
        <f t="shared" si="341"/>
        <v>44197</v>
      </c>
      <c r="JP40" s="49">
        <f t="shared" ref="JP40:KU40" si="342">JP1</f>
        <v>44198</v>
      </c>
      <c r="JQ40" s="49">
        <f t="shared" si="342"/>
        <v>44199</v>
      </c>
      <c r="JR40" s="49">
        <f t="shared" si="342"/>
        <v>44200</v>
      </c>
      <c r="JS40" s="49">
        <f t="shared" si="342"/>
        <v>44201</v>
      </c>
      <c r="JT40" s="49">
        <f t="shared" si="342"/>
        <v>44202</v>
      </c>
      <c r="JU40" s="49">
        <f t="shared" si="342"/>
        <v>44203</v>
      </c>
      <c r="JV40" s="49">
        <f t="shared" si="342"/>
        <v>44204</v>
      </c>
      <c r="JW40" s="49">
        <f t="shared" si="342"/>
        <v>44205</v>
      </c>
      <c r="JX40" s="49">
        <f t="shared" si="342"/>
        <v>44206</v>
      </c>
      <c r="JY40" s="49">
        <f t="shared" si="342"/>
        <v>44207</v>
      </c>
      <c r="JZ40" s="49">
        <f t="shared" si="342"/>
        <v>44208</v>
      </c>
      <c r="KA40" s="49">
        <f t="shared" si="342"/>
        <v>44209</v>
      </c>
      <c r="KB40" s="49">
        <f t="shared" si="342"/>
        <v>44210</v>
      </c>
      <c r="KC40" s="49">
        <f t="shared" si="342"/>
        <v>44211</v>
      </c>
      <c r="KD40" s="49">
        <f t="shared" si="342"/>
        <v>44212</v>
      </c>
      <c r="KE40" s="49">
        <f t="shared" si="342"/>
        <v>44213</v>
      </c>
      <c r="KF40" s="49">
        <f t="shared" si="342"/>
        <v>44214</v>
      </c>
      <c r="KG40" s="49">
        <f t="shared" si="342"/>
        <v>44215</v>
      </c>
      <c r="KH40" s="49">
        <f t="shared" si="342"/>
        <v>44216</v>
      </c>
      <c r="KI40" s="49">
        <f t="shared" si="342"/>
        <v>44217</v>
      </c>
      <c r="KJ40" s="49">
        <f t="shared" si="342"/>
        <v>44218</v>
      </c>
      <c r="KK40" s="49">
        <f t="shared" si="342"/>
        <v>44219</v>
      </c>
      <c r="KL40" s="49">
        <f t="shared" si="342"/>
        <v>44220</v>
      </c>
      <c r="KM40" s="49">
        <f t="shared" si="342"/>
        <v>44221</v>
      </c>
      <c r="KN40" s="49">
        <f t="shared" si="342"/>
        <v>44222</v>
      </c>
      <c r="KO40" s="49">
        <f t="shared" si="342"/>
        <v>44223</v>
      </c>
      <c r="KP40" s="49">
        <f t="shared" si="342"/>
        <v>44224</v>
      </c>
      <c r="KQ40" s="49">
        <f t="shared" si="342"/>
        <v>44225</v>
      </c>
      <c r="KR40" s="49">
        <f t="shared" si="342"/>
        <v>44226</v>
      </c>
      <c r="KS40" s="49">
        <f t="shared" si="342"/>
        <v>44227</v>
      </c>
      <c r="KT40" s="49">
        <f t="shared" si="342"/>
        <v>44228</v>
      </c>
      <c r="KU40" s="49">
        <f t="shared" si="342"/>
        <v>44229</v>
      </c>
      <c r="KV40" s="49">
        <f t="shared" ref="KV40:MA40" si="343">KV1</f>
        <v>44230</v>
      </c>
      <c r="KW40" s="49">
        <f t="shared" si="343"/>
        <v>44231</v>
      </c>
      <c r="KX40" s="49">
        <f t="shared" si="343"/>
        <v>44232</v>
      </c>
      <c r="KY40" s="49">
        <f t="shared" si="343"/>
        <v>44233</v>
      </c>
      <c r="KZ40" s="49">
        <f t="shared" si="343"/>
        <v>44234</v>
      </c>
      <c r="LA40" s="49">
        <f t="shared" si="343"/>
        <v>44235</v>
      </c>
      <c r="LB40" s="49">
        <f t="shared" si="343"/>
        <v>44236</v>
      </c>
      <c r="LC40" s="49">
        <f t="shared" si="343"/>
        <v>44237</v>
      </c>
      <c r="LD40" s="49">
        <f t="shared" si="343"/>
        <v>44238</v>
      </c>
      <c r="LE40" s="49">
        <f t="shared" si="343"/>
        <v>44239</v>
      </c>
      <c r="LF40" s="49">
        <f t="shared" si="343"/>
        <v>44240</v>
      </c>
      <c r="LG40" s="49">
        <f t="shared" si="343"/>
        <v>44241</v>
      </c>
      <c r="LH40" s="49">
        <f t="shared" si="343"/>
        <v>44242</v>
      </c>
      <c r="LI40" s="49">
        <f t="shared" si="343"/>
        <v>44243</v>
      </c>
      <c r="LJ40" s="49">
        <f t="shared" si="343"/>
        <v>44244</v>
      </c>
      <c r="LK40" s="49">
        <f t="shared" si="343"/>
        <v>44245</v>
      </c>
      <c r="LL40" s="49">
        <f t="shared" si="343"/>
        <v>44246</v>
      </c>
      <c r="LM40" s="49">
        <f t="shared" si="343"/>
        <v>44247</v>
      </c>
      <c r="LN40" s="49">
        <f t="shared" si="343"/>
        <v>44248</v>
      </c>
      <c r="LO40" s="49">
        <f t="shared" si="343"/>
        <v>44249</v>
      </c>
      <c r="LP40" s="49">
        <f t="shared" si="343"/>
        <v>44250</v>
      </c>
      <c r="LQ40" s="49">
        <f t="shared" si="343"/>
        <v>44251</v>
      </c>
      <c r="LR40" s="49">
        <f t="shared" si="343"/>
        <v>44252</v>
      </c>
      <c r="LS40" s="49">
        <f t="shared" si="343"/>
        <v>44253</v>
      </c>
      <c r="LT40" s="49">
        <f t="shared" si="343"/>
        <v>44254</v>
      </c>
      <c r="LU40" s="49">
        <f t="shared" si="343"/>
        <v>44255</v>
      </c>
      <c r="LV40" s="49">
        <f t="shared" si="343"/>
        <v>44256</v>
      </c>
      <c r="LW40" s="49">
        <f t="shared" si="343"/>
        <v>44257</v>
      </c>
      <c r="LX40" s="49">
        <f t="shared" si="343"/>
        <v>44258</v>
      </c>
      <c r="LY40" s="49">
        <f t="shared" si="343"/>
        <v>44259</v>
      </c>
      <c r="LZ40" s="49">
        <f t="shared" si="343"/>
        <v>44260</v>
      </c>
      <c r="MA40" s="49">
        <f t="shared" si="343"/>
        <v>44261</v>
      </c>
      <c r="MB40" s="49">
        <f t="shared" ref="MB40:ND40" si="344">MB1</f>
        <v>44262</v>
      </c>
      <c r="MC40" s="49">
        <f t="shared" si="344"/>
        <v>44263</v>
      </c>
      <c r="MD40" s="49">
        <f t="shared" si="344"/>
        <v>44264</v>
      </c>
      <c r="ME40" s="49">
        <f t="shared" si="344"/>
        <v>44265</v>
      </c>
      <c r="MF40" s="49">
        <f t="shared" si="344"/>
        <v>44266</v>
      </c>
      <c r="MG40" s="49">
        <f t="shared" si="344"/>
        <v>44267</v>
      </c>
      <c r="MH40" s="49">
        <f t="shared" si="344"/>
        <v>44268</v>
      </c>
      <c r="MI40" s="49">
        <f t="shared" si="344"/>
        <v>44269</v>
      </c>
      <c r="MJ40" s="49">
        <f t="shared" si="344"/>
        <v>44270</v>
      </c>
      <c r="MK40" s="49">
        <f t="shared" si="344"/>
        <v>44271</v>
      </c>
      <c r="ML40" s="49">
        <f t="shared" si="344"/>
        <v>44272</v>
      </c>
      <c r="MM40" s="49">
        <f t="shared" si="344"/>
        <v>44273</v>
      </c>
      <c r="MN40" s="49">
        <f t="shared" si="344"/>
        <v>44274</v>
      </c>
      <c r="MO40" s="49">
        <f t="shared" si="344"/>
        <v>44275</v>
      </c>
      <c r="MP40" s="49">
        <f t="shared" si="344"/>
        <v>44276</v>
      </c>
      <c r="MQ40" s="49">
        <f t="shared" si="344"/>
        <v>44277</v>
      </c>
      <c r="MR40" s="49">
        <f t="shared" si="344"/>
        <v>44278</v>
      </c>
      <c r="MS40" s="49">
        <f t="shared" si="344"/>
        <v>44279</v>
      </c>
      <c r="MT40" s="49">
        <f t="shared" si="344"/>
        <v>44280</v>
      </c>
      <c r="MU40" s="49">
        <f t="shared" si="344"/>
        <v>44281</v>
      </c>
      <c r="MV40" s="49">
        <f t="shared" si="344"/>
        <v>44282</v>
      </c>
      <c r="MW40" s="49">
        <f t="shared" si="344"/>
        <v>44283</v>
      </c>
      <c r="MX40" s="49">
        <f t="shared" si="344"/>
        <v>44284</v>
      </c>
      <c r="MY40" s="49">
        <f t="shared" si="344"/>
        <v>44285</v>
      </c>
      <c r="MZ40" s="49">
        <f t="shared" si="344"/>
        <v>44286</v>
      </c>
      <c r="NA40" s="49">
        <f t="shared" si="344"/>
        <v>44287</v>
      </c>
      <c r="NB40" s="49">
        <f t="shared" si="344"/>
        <v>44288</v>
      </c>
      <c r="NC40" s="49">
        <f t="shared" si="344"/>
        <v>44289</v>
      </c>
      <c r="ND40" s="49">
        <f t="shared" si="344"/>
        <v>44290</v>
      </c>
    </row>
    <row r="41" spans="1:368" ht="15" customHeight="1" x14ac:dyDescent="0.25">
      <c r="A41" s="149" t="s">
        <v>144</v>
      </c>
      <c r="B41" s="149"/>
      <c r="C41" s="149"/>
      <c r="D41" s="149"/>
      <c r="E41" s="150"/>
      <c r="F41" s="36"/>
      <c r="G41" s="36"/>
      <c r="H41" s="36"/>
      <c r="I41" s="36"/>
      <c r="J41" s="36"/>
      <c r="K41" s="36"/>
      <c r="L41" s="36"/>
      <c r="M41" s="36"/>
      <c r="N41" s="36"/>
      <c r="O41" s="35"/>
      <c r="P41" s="160" t="s">
        <v>49</v>
      </c>
      <c r="Q41" s="160" t="s">
        <v>48</v>
      </c>
      <c r="R41" s="161"/>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J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3">
        <f t="shared" si="348"/>
        <v>44150</v>
      </c>
      <c r="HU41" s="54">
        <f t="shared" si="348"/>
        <v>44151</v>
      </c>
      <c r="HV41" s="54">
        <f t="shared" si="348"/>
        <v>44152</v>
      </c>
      <c r="HW41" s="54">
        <f t="shared" si="348"/>
        <v>44153</v>
      </c>
      <c r="HX41" s="54">
        <f t="shared" si="348"/>
        <v>44154</v>
      </c>
      <c r="HY41" s="54">
        <f t="shared" si="348"/>
        <v>44155</v>
      </c>
      <c r="HZ41" s="54">
        <f t="shared" si="348"/>
        <v>44156</v>
      </c>
      <c r="IA41" s="53">
        <f t="shared" si="348"/>
        <v>44157</v>
      </c>
      <c r="IB41" s="54">
        <f t="shared" si="348"/>
        <v>44158</v>
      </c>
      <c r="IC41" s="54">
        <f t="shared" si="348"/>
        <v>44159</v>
      </c>
      <c r="ID41" s="54">
        <f t="shared" si="348"/>
        <v>44160</v>
      </c>
      <c r="IE41" s="54">
        <f t="shared" si="348"/>
        <v>44161</v>
      </c>
      <c r="IF41" s="54">
        <f t="shared" si="348"/>
        <v>44162</v>
      </c>
      <c r="IG41" s="54">
        <f t="shared" si="348"/>
        <v>44163</v>
      </c>
      <c r="IH41" s="53">
        <f t="shared" si="348"/>
        <v>44164</v>
      </c>
      <c r="II41" s="54">
        <f t="shared" si="348"/>
        <v>44165</v>
      </c>
      <c r="IJ41" s="54">
        <f t="shared" si="348"/>
        <v>44166</v>
      </c>
      <c r="IK41" s="54">
        <f t="shared" ref="IK41:KV41" si="352">IK40</f>
        <v>44167</v>
      </c>
      <c r="IL41" s="54">
        <f t="shared" si="352"/>
        <v>44168</v>
      </c>
      <c r="IM41" s="54">
        <f t="shared" si="352"/>
        <v>44169</v>
      </c>
      <c r="IN41" s="54">
        <f t="shared" si="352"/>
        <v>44170</v>
      </c>
      <c r="IO41" s="53">
        <f t="shared" si="352"/>
        <v>44171</v>
      </c>
      <c r="IP41" s="54">
        <f t="shared" si="352"/>
        <v>44172</v>
      </c>
      <c r="IQ41" s="54">
        <f t="shared" si="352"/>
        <v>44173</v>
      </c>
      <c r="IR41" s="54">
        <f t="shared" si="352"/>
        <v>44174</v>
      </c>
      <c r="IS41" s="54">
        <f t="shared" si="352"/>
        <v>44175</v>
      </c>
      <c r="IT41" s="54">
        <f t="shared" si="352"/>
        <v>44176</v>
      </c>
      <c r="IU41" s="54">
        <f t="shared" si="352"/>
        <v>44177</v>
      </c>
      <c r="IV41" s="53">
        <f t="shared" si="352"/>
        <v>44178</v>
      </c>
      <c r="IW41" s="54">
        <f t="shared" si="352"/>
        <v>44179</v>
      </c>
      <c r="IX41" s="54">
        <f t="shared" si="352"/>
        <v>44180</v>
      </c>
      <c r="IY41" s="54">
        <f t="shared" si="352"/>
        <v>44181</v>
      </c>
      <c r="IZ41" s="54">
        <f t="shared" si="352"/>
        <v>44182</v>
      </c>
      <c r="JA41" s="54">
        <f t="shared" si="352"/>
        <v>44183</v>
      </c>
      <c r="JB41" s="54">
        <f t="shared" si="352"/>
        <v>44184</v>
      </c>
      <c r="JC41" s="53">
        <f t="shared" si="352"/>
        <v>44185</v>
      </c>
      <c r="JD41" s="54">
        <f t="shared" si="352"/>
        <v>44186</v>
      </c>
      <c r="JE41" s="54">
        <f t="shared" si="352"/>
        <v>44187</v>
      </c>
      <c r="JF41" s="54">
        <f t="shared" si="352"/>
        <v>44188</v>
      </c>
      <c r="JG41" s="54">
        <f t="shared" si="352"/>
        <v>44189</v>
      </c>
      <c r="JH41" s="54">
        <f t="shared" si="352"/>
        <v>44190</v>
      </c>
      <c r="JI41" s="54">
        <f t="shared" si="352"/>
        <v>44191</v>
      </c>
      <c r="JJ41" s="53">
        <f t="shared" si="352"/>
        <v>44192</v>
      </c>
      <c r="JK41" s="54">
        <f t="shared" si="352"/>
        <v>44193</v>
      </c>
      <c r="JL41" s="54">
        <f t="shared" si="352"/>
        <v>44194</v>
      </c>
      <c r="JM41" s="54">
        <f t="shared" si="352"/>
        <v>44195</v>
      </c>
      <c r="JN41" s="54">
        <f t="shared" si="352"/>
        <v>44196</v>
      </c>
      <c r="JO41" s="54">
        <f t="shared" si="352"/>
        <v>44197</v>
      </c>
      <c r="JP41" s="54">
        <f t="shared" si="352"/>
        <v>44198</v>
      </c>
      <c r="JQ41" s="53">
        <f t="shared" si="352"/>
        <v>44199</v>
      </c>
      <c r="JR41" s="54">
        <f t="shared" si="352"/>
        <v>44200</v>
      </c>
      <c r="JS41" s="54">
        <f t="shared" si="352"/>
        <v>44201</v>
      </c>
      <c r="JT41" s="54">
        <f t="shared" si="352"/>
        <v>44202</v>
      </c>
      <c r="JU41" s="54">
        <f t="shared" si="352"/>
        <v>44203</v>
      </c>
      <c r="JV41" s="54">
        <f t="shared" si="352"/>
        <v>44204</v>
      </c>
      <c r="JW41" s="54">
        <f t="shared" si="352"/>
        <v>44205</v>
      </c>
      <c r="JX41" s="53">
        <f t="shared" si="352"/>
        <v>44206</v>
      </c>
      <c r="JY41" s="54">
        <f t="shared" si="352"/>
        <v>44207</v>
      </c>
      <c r="JZ41" s="54">
        <f t="shared" si="352"/>
        <v>44208</v>
      </c>
      <c r="KA41" s="54">
        <f t="shared" si="352"/>
        <v>44209</v>
      </c>
      <c r="KB41" s="54">
        <f t="shared" si="352"/>
        <v>44210</v>
      </c>
      <c r="KC41" s="54">
        <f t="shared" si="352"/>
        <v>44211</v>
      </c>
      <c r="KD41" s="54">
        <f t="shared" si="352"/>
        <v>44212</v>
      </c>
      <c r="KE41" s="53">
        <f t="shared" si="352"/>
        <v>44213</v>
      </c>
      <c r="KF41" s="54">
        <f t="shared" si="352"/>
        <v>44214</v>
      </c>
      <c r="KG41" s="54">
        <f t="shared" si="352"/>
        <v>44215</v>
      </c>
      <c r="KH41" s="54">
        <f t="shared" si="352"/>
        <v>44216</v>
      </c>
      <c r="KI41" s="54">
        <f t="shared" si="352"/>
        <v>44217</v>
      </c>
      <c r="KJ41" s="54">
        <f t="shared" si="352"/>
        <v>44218</v>
      </c>
      <c r="KK41" s="54">
        <f t="shared" si="352"/>
        <v>44219</v>
      </c>
      <c r="KL41" s="53">
        <f t="shared" si="352"/>
        <v>44220</v>
      </c>
      <c r="KM41" s="54">
        <f t="shared" si="352"/>
        <v>44221</v>
      </c>
      <c r="KN41" s="54">
        <f t="shared" si="352"/>
        <v>44222</v>
      </c>
      <c r="KO41" s="54">
        <f t="shared" si="352"/>
        <v>44223</v>
      </c>
      <c r="KP41" s="54">
        <f t="shared" si="352"/>
        <v>44224</v>
      </c>
      <c r="KQ41" s="54">
        <f t="shared" si="352"/>
        <v>44225</v>
      </c>
      <c r="KR41" s="54">
        <f t="shared" si="352"/>
        <v>44226</v>
      </c>
      <c r="KS41" s="53">
        <f t="shared" si="352"/>
        <v>44227</v>
      </c>
      <c r="KT41" s="54">
        <f t="shared" si="352"/>
        <v>44228</v>
      </c>
      <c r="KU41" s="54">
        <f t="shared" si="352"/>
        <v>44229</v>
      </c>
      <c r="KV41" s="54">
        <f t="shared" si="352"/>
        <v>44230</v>
      </c>
      <c r="KW41" s="54">
        <f t="shared" ref="KW41:ND41" si="353">KW40</f>
        <v>44231</v>
      </c>
      <c r="KX41" s="54">
        <f t="shared" si="353"/>
        <v>44232</v>
      </c>
      <c r="KY41" s="54">
        <f t="shared" si="353"/>
        <v>44233</v>
      </c>
      <c r="KZ41" s="53">
        <f t="shared" si="353"/>
        <v>44234</v>
      </c>
      <c r="LA41" s="54">
        <f t="shared" si="353"/>
        <v>44235</v>
      </c>
      <c r="LB41" s="54">
        <f t="shared" si="353"/>
        <v>44236</v>
      </c>
      <c r="LC41" s="54">
        <f t="shared" si="353"/>
        <v>44237</v>
      </c>
      <c r="LD41" s="54">
        <f t="shared" si="353"/>
        <v>44238</v>
      </c>
      <c r="LE41" s="54">
        <f t="shared" si="353"/>
        <v>44239</v>
      </c>
      <c r="LF41" s="54">
        <f t="shared" si="353"/>
        <v>44240</v>
      </c>
      <c r="LG41" s="53">
        <f t="shared" si="353"/>
        <v>44241</v>
      </c>
      <c r="LH41" s="54">
        <f t="shared" si="353"/>
        <v>44242</v>
      </c>
      <c r="LI41" s="54">
        <f t="shared" si="353"/>
        <v>44243</v>
      </c>
      <c r="LJ41" s="54">
        <f t="shared" si="353"/>
        <v>44244</v>
      </c>
      <c r="LK41" s="54">
        <f t="shared" si="353"/>
        <v>44245</v>
      </c>
      <c r="LL41" s="54">
        <f t="shared" si="353"/>
        <v>44246</v>
      </c>
      <c r="LM41" s="54">
        <f t="shared" si="353"/>
        <v>44247</v>
      </c>
      <c r="LN41" s="53">
        <f t="shared" si="353"/>
        <v>44248</v>
      </c>
      <c r="LO41" s="54">
        <f t="shared" si="353"/>
        <v>44249</v>
      </c>
      <c r="LP41" s="54">
        <f t="shared" si="353"/>
        <v>44250</v>
      </c>
      <c r="LQ41" s="54">
        <f t="shared" si="353"/>
        <v>44251</v>
      </c>
      <c r="LR41" s="54">
        <f t="shared" si="353"/>
        <v>44252</v>
      </c>
      <c r="LS41" s="54">
        <f t="shared" si="353"/>
        <v>44253</v>
      </c>
      <c r="LT41" s="54">
        <f t="shared" si="353"/>
        <v>44254</v>
      </c>
      <c r="LU41" s="53">
        <f t="shared" si="353"/>
        <v>44255</v>
      </c>
      <c r="LV41" s="54">
        <f t="shared" si="353"/>
        <v>44256</v>
      </c>
      <c r="LW41" s="54">
        <f t="shared" si="353"/>
        <v>44257</v>
      </c>
      <c r="LX41" s="54">
        <f t="shared" si="353"/>
        <v>44258</v>
      </c>
      <c r="LY41" s="54">
        <f t="shared" si="353"/>
        <v>44259</v>
      </c>
      <c r="LZ41" s="54">
        <f t="shared" si="353"/>
        <v>44260</v>
      </c>
      <c r="MA41" s="54">
        <f t="shared" si="353"/>
        <v>44261</v>
      </c>
      <c r="MB41" s="53">
        <f t="shared" si="353"/>
        <v>44262</v>
      </c>
      <c r="MC41" s="54">
        <f t="shared" si="353"/>
        <v>44263</v>
      </c>
      <c r="MD41" s="54">
        <f t="shared" si="353"/>
        <v>44264</v>
      </c>
      <c r="ME41" s="54">
        <f t="shared" si="353"/>
        <v>44265</v>
      </c>
      <c r="MF41" s="54">
        <f t="shared" si="353"/>
        <v>44266</v>
      </c>
      <c r="MG41" s="54">
        <f t="shared" si="353"/>
        <v>44267</v>
      </c>
      <c r="MH41" s="54">
        <f t="shared" si="353"/>
        <v>44268</v>
      </c>
      <c r="MI41" s="53">
        <f t="shared" si="353"/>
        <v>44269</v>
      </c>
      <c r="MJ41" s="54">
        <f t="shared" si="353"/>
        <v>44270</v>
      </c>
      <c r="MK41" s="54">
        <f t="shared" si="353"/>
        <v>44271</v>
      </c>
      <c r="ML41" s="54">
        <f t="shared" si="353"/>
        <v>44272</v>
      </c>
      <c r="MM41" s="54">
        <f t="shared" si="353"/>
        <v>44273</v>
      </c>
      <c r="MN41" s="54">
        <f t="shared" si="353"/>
        <v>44274</v>
      </c>
      <c r="MO41" s="54">
        <f t="shared" si="353"/>
        <v>44275</v>
      </c>
      <c r="MP41" s="53">
        <f t="shared" si="353"/>
        <v>44276</v>
      </c>
      <c r="MQ41" s="54">
        <f t="shared" si="353"/>
        <v>44277</v>
      </c>
      <c r="MR41" s="54">
        <f t="shared" si="353"/>
        <v>44278</v>
      </c>
      <c r="MS41" s="54">
        <f t="shared" si="353"/>
        <v>44279</v>
      </c>
      <c r="MT41" s="54">
        <f t="shared" si="353"/>
        <v>44280</v>
      </c>
      <c r="MU41" s="54">
        <f t="shared" si="353"/>
        <v>44281</v>
      </c>
      <c r="MV41" s="54">
        <f t="shared" si="353"/>
        <v>44282</v>
      </c>
      <c r="MW41" s="53">
        <f t="shared" si="353"/>
        <v>44283</v>
      </c>
      <c r="MX41" s="54">
        <f t="shared" si="353"/>
        <v>44284</v>
      </c>
      <c r="MY41" s="54">
        <f t="shared" si="353"/>
        <v>44285</v>
      </c>
      <c r="MZ41" s="54">
        <f t="shared" si="353"/>
        <v>44286</v>
      </c>
      <c r="NA41" s="54">
        <f t="shared" si="353"/>
        <v>44287</v>
      </c>
      <c r="NB41" s="54">
        <f t="shared" si="353"/>
        <v>44288</v>
      </c>
      <c r="NC41" s="54">
        <f t="shared" si="353"/>
        <v>44289</v>
      </c>
      <c r="ND41" s="53">
        <f t="shared" si="353"/>
        <v>44290</v>
      </c>
    </row>
    <row r="42" spans="1:368" ht="15" customHeight="1" x14ac:dyDescent="0.25">
      <c r="A42" s="151"/>
      <c r="B42" s="151"/>
      <c r="C42" s="151"/>
      <c r="D42" s="151"/>
      <c r="E42" s="152"/>
      <c r="F42" s="19"/>
      <c r="G42" s="19"/>
      <c r="H42" s="19"/>
      <c r="I42" s="19"/>
      <c r="J42" s="19"/>
      <c r="K42" s="19"/>
      <c r="L42" s="19"/>
      <c r="M42" s="19"/>
      <c r="N42" s="19"/>
      <c r="O42" s="9"/>
      <c r="P42" s="154"/>
      <c r="Q42" s="154"/>
      <c r="R42" s="156"/>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391</v>
      </c>
      <c r="DU42" s="25"/>
      <c r="DV42" s="25" t="s">
        <v>38</v>
      </c>
      <c r="DW42" s="25" t="s">
        <v>38</v>
      </c>
      <c r="DX42" s="25"/>
      <c r="DY42" s="25"/>
      <c r="DZ42" s="25"/>
      <c r="EA42" s="24"/>
      <c r="EB42" s="25"/>
      <c r="EC42" s="25" t="s">
        <v>38</v>
      </c>
      <c r="ED42" s="25"/>
      <c r="EE42" s="25" t="s">
        <v>477</v>
      </c>
      <c r="EF42" s="25" t="s">
        <v>38</v>
      </c>
      <c r="EG42" s="25"/>
      <c r="EH42" s="25"/>
      <c r="EI42" s="25"/>
      <c r="EJ42" s="24"/>
      <c r="EK42" s="25"/>
      <c r="EL42" s="25" t="s">
        <v>38</v>
      </c>
      <c r="EM42" s="25"/>
      <c r="EN42" s="25" t="s">
        <v>38</v>
      </c>
      <c r="EO42" s="25" t="s">
        <v>477</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t="s">
        <v>38</v>
      </c>
      <c r="HG42" s="25"/>
      <c r="HH42" s="25" t="s">
        <v>38</v>
      </c>
      <c r="HI42" s="25" t="s">
        <v>47</v>
      </c>
      <c r="HJ42" s="25"/>
      <c r="HK42" s="25"/>
      <c r="HL42" s="25"/>
      <c r="HM42" s="24"/>
      <c r="HN42" s="25"/>
      <c r="HO42" s="25" t="s">
        <v>38</v>
      </c>
      <c r="HP42" s="25"/>
      <c r="HQ42" s="25" t="s">
        <v>38</v>
      </c>
      <c r="HR42" s="25" t="s">
        <v>38</v>
      </c>
      <c r="HS42" s="25"/>
      <c r="HT42" s="24"/>
      <c r="HU42" s="25"/>
      <c r="HV42" s="25" t="s">
        <v>38</v>
      </c>
      <c r="HW42" s="25"/>
      <c r="HX42" s="25" t="s">
        <v>38</v>
      </c>
      <c r="HY42" s="25" t="s">
        <v>38</v>
      </c>
      <c r="HZ42" s="25"/>
      <c r="IA42" s="24"/>
      <c r="IB42" s="25"/>
      <c r="IC42" s="25" t="s">
        <v>38</v>
      </c>
      <c r="ID42" s="25"/>
      <c r="IE42" s="25" t="s">
        <v>38</v>
      </c>
      <c r="IF42" s="25" t="s">
        <v>38</v>
      </c>
      <c r="IG42" s="25"/>
      <c r="IH42" s="24"/>
      <c r="II42" s="25"/>
      <c r="IJ42" s="25" t="s">
        <v>38</v>
      </c>
      <c r="IK42" s="25" t="s">
        <v>38</v>
      </c>
      <c r="IL42" s="25"/>
      <c r="IM42" s="25" t="s">
        <v>38</v>
      </c>
      <c r="IN42" s="25"/>
      <c r="IO42" s="24"/>
      <c r="IP42" s="25"/>
      <c r="IQ42" s="25" t="s">
        <v>38</v>
      </c>
      <c r="IR42" s="25"/>
      <c r="IS42" s="25" t="s">
        <v>38</v>
      </c>
      <c r="IT42" s="25" t="s">
        <v>38</v>
      </c>
      <c r="IU42" s="25"/>
      <c r="IV42" s="24"/>
      <c r="IW42" s="25"/>
      <c r="IX42" s="25" t="s">
        <v>38</v>
      </c>
      <c r="IY42" s="25"/>
      <c r="IZ42" s="25" t="s">
        <v>38</v>
      </c>
      <c r="JA42" s="25" t="s">
        <v>38</v>
      </c>
      <c r="JB42" s="25"/>
      <c r="JC42" s="24"/>
      <c r="JD42" s="25"/>
      <c r="JE42" s="25" t="s">
        <v>38</v>
      </c>
      <c r="JF42" s="25"/>
      <c r="JG42" s="25" t="s">
        <v>38</v>
      </c>
      <c r="JH42" s="25" t="s">
        <v>38</v>
      </c>
      <c r="JI42" s="25"/>
      <c r="JJ42" s="24"/>
      <c r="JK42" s="25"/>
      <c r="JL42" s="25" t="s">
        <v>38</v>
      </c>
      <c r="JM42" s="25"/>
      <c r="JN42" s="25" t="s">
        <v>38</v>
      </c>
      <c r="JO42" s="25" t="s">
        <v>38</v>
      </c>
      <c r="JP42" s="25"/>
      <c r="JQ42" s="24"/>
      <c r="JR42" s="25"/>
      <c r="JS42" s="25" t="s">
        <v>38</v>
      </c>
      <c r="JT42" s="25"/>
      <c r="JU42" s="25" t="s">
        <v>38</v>
      </c>
      <c r="JV42" s="25" t="s">
        <v>38</v>
      </c>
      <c r="JW42" s="25"/>
      <c r="JX42" s="24"/>
      <c r="JY42" s="25"/>
      <c r="JZ42" s="25" t="s">
        <v>38</v>
      </c>
      <c r="KA42" s="25"/>
      <c r="KB42" s="25" t="s">
        <v>38</v>
      </c>
      <c r="KC42" s="25" t="s">
        <v>38</v>
      </c>
      <c r="KD42" s="25"/>
      <c r="KE42" s="24"/>
      <c r="KF42" s="25"/>
      <c r="KG42" s="25" t="s">
        <v>38</v>
      </c>
      <c r="KH42" s="25"/>
      <c r="KI42" s="25" t="s">
        <v>38</v>
      </c>
      <c r="KJ42" s="25" t="s">
        <v>38</v>
      </c>
      <c r="KK42" s="25"/>
      <c r="KL42" s="24"/>
      <c r="KM42" s="25"/>
      <c r="KN42" s="25" t="s">
        <v>38</v>
      </c>
      <c r="KO42" s="25"/>
      <c r="KP42" s="25" t="s">
        <v>38</v>
      </c>
      <c r="KQ42" s="25" t="s">
        <v>38</v>
      </c>
      <c r="KR42" s="25"/>
      <c r="KS42" s="24"/>
      <c r="KT42" s="25"/>
      <c r="KU42" s="25" t="s">
        <v>38</v>
      </c>
      <c r="KV42" s="25"/>
      <c r="KW42" s="25" t="s">
        <v>38</v>
      </c>
      <c r="KX42" s="25" t="s">
        <v>38</v>
      </c>
      <c r="KY42" s="25"/>
      <c r="KZ42" s="24"/>
      <c r="LA42" s="25"/>
      <c r="LB42" s="25" t="s">
        <v>38</v>
      </c>
      <c r="LC42" s="25"/>
      <c r="LD42" s="25" t="s">
        <v>38</v>
      </c>
      <c r="LE42" s="25" t="s">
        <v>38</v>
      </c>
      <c r="LF42" s="25"/>
      <c r="LG42" s="24"/>
      <c r="LH42" s="25"/>
      <c r="LI42" s="25" t="s">
        <v>38</v>
      </c>
      <c r="LJ42" s="25"/>
      <c r="LK42" s="25" t="s">
        <v>38</v>
      </c>
      <c r="LL42" s="25" t="s">
        <v>38</v>
      </c>
      <c r="LM42" s="25"/>
      <c r="LN42" s="24"/>
      <c r="LO42" s="25"/>
      <c r="LP42" s="25" t="s">
        <v>38</v>
      </c>
      <c r="LQ42" s="25"/>
      <c r="LR42" s="25" t="s">
        <v>38</v>
      </c>
      <c r="LS42" s="25" t="s">
        <v>38</v>
      </c>
      <c r="LT42" s="25"/>
      <c r="LU42" s="24"/>
      <c r="LV42" s="25"/>
      <c r="LW42" s="25" t="s">
        <v>38</v>
      </c>
      <c r="LX42" s="25"/>
      <c r="LY42" s="25" t="s">
        <v>38</v>
      </c>
      <c r="LZ42" s="25"/>
      <c r="MA42" s="25"/>
      <c r="MB42" s="26"/>
      <c r="MC42" s="25"/>
      <c r="MD42" s="25" t="s">
        <v>38</v>
      </c>
      <c r="ME42" s="25"/>
      <c r="MF42" s="25" t="s">
        <v>38</v>
      </c>
      <c r="MG42" s="25"/>
      <c r="MH42" s="25"/>
      <c r="MI42" s="24"/>
      <c r="MJ42" s="25"/>
      <c r="MK42" s="25"/>
      <c r="ML42" s="25"/>
      <c r="MM42" s="25"/>
      <c r="MN42" s="25"/>
      <c r="MO42" s="25"/>
      <c r="MP42" s="24"/>
      <c r="MQ42" s="25"/>
      <c r="MR42" s="25"/>
      <c r="MS42" s="25"/>
      <c r="MT42" s="25"/>
      <c r="MU42" s="25"/>
      <c r="MV42" s="25"/>
      <c r="MW42" s="24"/>
      <c r="MX42" s="25"/>
      <c r="MY42" s="25"/>
      <c r="MZ42" s="25"/>
      <c r="NA42" s="25"/>
      <c r="NB42" s="25"/>
      <c r="NC42" s="25"/>
      <c r="ND42" s="24"/>
    </row>
    <row r="43" spans="1:368"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2"/>
      <c r="HU43" s="11"/>
      <c r="HV43" s="11"/>
      <c r="HW43" s="11"/>
      <c r="HX43" s="11"/>
      <c r="HY43" s="11"/>
      <c r="HZ43" s="11"/>
      <c r="IA43" s="12"/>
      <c r="IB43" s="11"/>
      <c r="IC43" s="11"/>
      <c r="ID43" s="11"/>
      <c r="IE43" s="11"/>
      <c r="IF43" s="11"/>
      <c r="IG43" s="11"/>
      <c r="IH43" s="12"/>
      <c r="II43" s="11"/>
      <c r="IJ43" s="11"/>
      <c r="IK43" s="11"/>
      <c r="IL43" s="11"/>
      <c r="IM43" s="11"/>
      <c r="IN43" s="11"/>
      <c r="IO43" s="12"/>
      <c r="IP43" s="11"/>
      <c r="IQ43" s="11"/>
      <c r="IR43" s="11"/>
      <c r="IS43" s="11"/>
      <c r="IT43" s="11"/>
      <c r="IU43" s="11"/>
      <c r="IV43" s="12"/>
      <c r="IW43" s="11"/>
      <c r="IX43" s="11"/>
      <c r="IY43" s="11"/>
      <c r="IZ43" s="11"/>
      <c r="JA43" s="11"/>
      <c r="JB43" s="11"/>
      <c r="JC43" s="12"/>
      <c r="JD43" s="11"/>
      <c r="JE43" s="11"/>
      <c r="JF43" s="11"/>
      <c r="JG43" s="11"/>
      <c r="JH43" s="11"/>
      <c r="JI43" s="11"/>
      <c r="JJ43" s="12"/>
      <c r="JK43" s="11"/>
      <c r="JL43" s="11"/>
      <c r="JM43" s="11"/>
      <c r="JN43" s="11"/>
      <c r="JO43" s="11"/>
      <c r="JP43" s="11"/>
      <c r="JQ43" s="12"/>
      <c r="JR43" s="11"/>
      <c r="JS43" s="11"/>
      <c r="JT43" s="11"/>
      <c r="JU43" s="11"/>
      <c r="JV43" s="11"/>
      <c r="JW43" s="11"/>
      <c r="JX43" s="12"/>
      <c r="JY43" s="11"/>
      <c r="JZ43" s="11"/>
      <c r="KA43" s="11"/>
      <c r="KB43" s="11"/>
      <c r="KC43" s="11"/>
      <c r="KD43" s="11"/>
      <c r="KE43" s="12"/>
      <c r="KF43" s="11"/>
      <c r="KG43" s="11"/>
      <c r="KH43" s="11"/>
      <c r="KI43" s="11"/>
      <c r="KJ43" s="11"/>
      <c r="KK43" s="11"/>
      <c r="KL43" s="12"/>
      <c r="KM43" s="11"/>
      <c r="KN43" s="11"/>
      <c r="KO43" s="11"/>
      <c r="KP43" s="11"/>
      <c r="KQ43" s="11"/>
      <c r="KR43" s="11"/>
      <c r="KS43" s="12"/>
      <c r="KT43" s="11"/>
      <c r="KU43" s="11"/>
      <c r="KV43" s="11"/>
      <c r="KW43" s="11"/>
      <c r="KX43" s="11"/>
      <c r="KY43" s="11"/>
      <c r="KZ43" s="12"/>
      <c r="LA43" s="11"/>
      <c r="LB43" s="11"/>
      <c r="LC43" s="11"/>
      <c r="LD43" s="11"/>
      <c r="LE43" s="11"/>
      <c r="LF43" s="11"/>
      <c r="LG43" s="12"/>
      <c r="LH43" s="11"/>
      <c r="LI43" s="11"/>
      <c r="LJ43" s="11"/>
      <c r="LK43" s="11"/>
      <c r="LL43" s="11"/>
      <c r="LM43" s="11"/>
      <c r="LN43" s="12"/>
      <c r="LO43" s="11"/>
      <c r="LP43" s="11"/>
      <c r="LQ43" s="11"/>
      <c r="LR43" s="11"/>
      <c r="LS43" s="11"/>
      <c r="LT43" s="11"/>
      <c r="LU43" s="12"/>
      <c r="LV43" s="11"/>
      <c r="LW43" s="11"/>
      <c r="LX43" s="11"/>
      <c r="LY43" s="11"/>
      <c r="LZ43" s="11"/>
      <c r="MA43" s="11"/>
      <c r="MB43" s="12"/>
      <c r="MC43" s="11"/>
      <c r="MD43" s="11"/>
      <c r="ME43" s="11"/>
      <c r="MF43" s="11"/>
      <c r="MG43" s="11"/>
      <c r="MH43" s="11"/>
      <c r="MI43" s="12"/>
      <c r="MJ43" s="11"/>
      <c r="MK43" s="11"/>
      <c r="ML43" s="11"/>
      <c r="MM43" s="11"/>
      <c r="MN43" s="11"/>
      <c r="MO43" s="11"/>
      <c r="MP43" s="12"/>
      <c r="MQ43" s="11"/>
      <c r="MR43" s="11"/>
      <c r="MS43" s="11"/>
      <c r="MT43" s="11"/>
      <c r="MU43" s="11"/>
      <c r="MV43" s="11"/>
      <c r="MW43" s="12"/>
      <c r="MX43" s="11"/>
      <c r="MY43" s="11"/>
      <c r="MZ43" s="11"/>
      <c r="NA43" s="11"/>
      <c r="NB43" s="11"/>
      <c r="NC43" s="11"/>
      <c r="ND43" s="12"/>
    </row>
    <row r="44" spans="1:368"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2"/>
      <c r="HU44" s="11"/>
      <c r="HV44" s="11"/>
      <c r="HW44" s="11"/>
      <c r="HX44" s="11"/>
      <c r="HY44" s="11"/>
      <c r="HZ44" s="11"/>
      <c r="IA44" s="12"/>
      <c r="IB44" s="11"/>
      <c r="IC44" s="11"/>
      <c r="ID44" s="11"/>
      <c r="IE44" s="11"/>
      <c r="IF44" s="11"/>
      <c r="IG44" s="11"/>
      <c r="IH44" s="12"/>
      <c r="II44" s="11"/>
      <c r="IJ44" s="11"/>
      <c r="IK44" s="11"/>
      <c r="IL44" s="11"/>
      <c r="IM44" s="11"/>
      <c r="IN44" s="11"/>
      <c r="IO44" s="12"/>
      <c r="IP44" s="11"/>
      <c r="IQ44" s="11"/>
      <c r="IR44" s="11"/>
      <c r="IS44" s="11"/>
      <c r="IT44" s="11"/>
      <c r="IU44" s="11"/>
      <c r="IV44" s="12"/>
      <c r="IW44" s="11"/>
      <c r="IX44" s="11"/>
      <c r="IY44" s="11"/>
      <c r="IZ44" s="11"/>
      <c r="JA44" s="11"/>
      <c r="JB44" s="11"/>
      <c r="JC44" s="12"/>
      <c r="JD44" s="11"/>
      <c r="JE44" s="11"/>
      <c r="JF44" s="11"/>
      <c r="JG44" s="11"/>
      <c r="JH44" s="11"/>
      <c r="JI44" s="11"/>
      <c r="JJ44" s="12"/>
      <c r="JK44" s="11"/>
      <c r="JL44" s="11"/>
      <c r="JM44" s="11"/>
      <c r="JN44" s="11"/>
      <c r="JO44" s="11"/>
      <c r="JP44" s="11"/>
      <c r="JQ44" s="12"/>
      <c r="JR44" s="11"/>
      <c r="JS44" s="11"/>
      <c r="JT44" s="11"/>
      <c r="JU44" s="11"/>
      <c r="JV44" s="11"/>
      <c r="JW44" s="11"/>
      <c r="JX44" s="12"/>
      <c r="JY44" s="11"/>
      <c r="JZ44" s="11"/>
      <c r="KA44" s="11"/>
      <c r="KB44" s="11"/>
      <c r="KC44" s="11"/>
      <c r="KD44" s="11"/>
      <c r="KE44" s="12"/>
      <c r="KF44" s="11"/>
      <c r="KG44" s="11"/>
      <c r="KH44" s="11"/>
      <c r="KI44" s="11"/>
      <c r="KJ44" s="11"/>
      <c r="KK44" s="11"/>
      <c r="KL44" s="12"/>
      <c r="KM44" s="11"/>
      <c r="KN44" s="11"/>
      <c r="KO44" s="11"/>
      <c r="KP44" s="11"/>
      <c r="KQ44" s="11"/>
      <c r="KR44" s="11"/>
      <c r="KS44" s="12"/>
      <c r="KT44" s="11"/>
      <c r="KU44" s="11"/>
      <c r="KV44" s="11"/>
      <c r="KW44" s="11"/>
      <c r="KX44" s="11"/>
      <c r="KY44" s="11"/>
      <c r="KZ44" s="12"/>
      <c r="LA44" s="11"/>
      <c r="LB44" s="11"/>
      <c r="LC44" s="11"/>
      <c r="LD44" s="11"/>
      <c r="LE44" s="11"/>
      <c r="LF44" s="11"/>
      <c r="LG44" s="12"/>
      <c r="LH44" s="11"/>
      <c r="LI44" s="11"/>
      <c r="LJ44" s="11"/>
      <c r="LK44" s="11"/>
      <c r="LL44" s="11"/>
      <c r="LM44" s="11"/>
      <c r="LN44" s="12"/>
      <c r="LO44" s="11"/>
      <c r="LP44" s="11"/>
      <c r="LQ44" s="11"/>
      <c r="LR44" s="11"/>
      <c r="LS44" s="11"/>
      <c r="LT44" s="11"/>
      <c r="LU44" s="12"/>
      <c r="LV44" s="11"/>
      <c r="LW44" s="11"/>
      <c r="LX44" s="11"/>
      <c r="LY44" s="11"/>
      <c r="LZ44" s="11"/>
      <c r="MA44" s="11"/>
      <c r="MB44" s="12"/>
      <c r="MC44" s="11"/>
      <c r="MD44" s="11"/>
      <c r="ME44" s="11"/>
      <c r="MF44" s="11"/>
      <c r="MG44" s="11"/>
      <c r="MH44" s="11"/>
      <c r="MI44" s="12"/>
      <c r="MJ44" s="11"/>
      <c r="MK44" s="11"/>
      <c r="ML44" s="11"/>
      <c r="MM44" s="11"/>
      <c r="MN44" s="11"/>
      <c r="MO44" s="11"/>
      <c r="MP44" s="12"/>
      <c r="MQ44" s="11"/>
      <c r="MR44" s="11"/>
      <c r="MS44" s="11"/>
      <c r="MT44" s="11"/>
      <c r="MU44" s="11"/>
      <c r="MV44" s="11"/>
      <c r="MW44" s="12"/>
      <c r="MX44" s="11"/>
      <c r="MY44" s="11"/>
      <c r="MZ44" s="11"/>
      <c r="NA44" s="11"/>
      <c r="NB44" s="11"/>
      <c r="NC44" s="11"/>
      <c r="ND44" s="12"/>
    </row>
    <row r="45" spans="1:368" ht="7.5" customHeight="1" x14ac:dyDescent="0.25">
      <c r="A45" s="8"/>
      <c r="B45" s="8"/>
      <c r="C45" s="8"/>
      <c r="D45" s="8"/>
      <c r="E45" s="8"/>
      <c r="F45" s="10"/>
      <c r="G45" s="19"/>
      <c r="H45" s="19"/>
      <c r="I45" s="8"/>
      <c r="J45" s="8"/>
      <c r="K45" s="8"/>
      <c r="L45" s="8"/>
      <c r="M45" s="8"/>
      <c r="N45" s="8"/>
      <c r="O45" s="9"/>
      <c r="P45" s="8" t="str">
        <f>IF(SUM(R45:ND45) &gt; 0, SUM(R45:ND45),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T45" s="7"/>
      <c r="IA45" s="7"/>
      <c r="IH45" s="7"/>
      <c r="IO45" s="7"/>
      <c r="IV45" s="7"/>
      <c r="JC45" s="7"/>
      <c r="JJ45" s="7"/>
      <c r="JQ45" s="7"/>
      <c r="JX45" s="7"/>
      <c r="KE45" s="7"/>
      <c r="KL45" s="7"/>
      <c r="KS45" s="7"/>
      <c r="KZ45" s="7"/>
      <c r="LG45" s="7"/>
      <c r="LN45" s="7"/>
      <c r="LU45" s="7"/>
      <c r="MB45" s="7"/>
      <c r="MI45" s="7"/>
      <c r="MP45" s="7"/>
      <c r="MW45" s="7"/>
      <c r="ND45" s="7"/>
    </row>
    <row r="46" spans="1:368" ht="15" customHeight="1" x14ac:dyDescent="0.25">
      <c r="A46" s="8" t="s">
        <v>116</v>
      </c>
      <c r="B46" s="8" t="s">
        <v>115</v>
      </c>
      <c r="C46" s="8" t="s">
        <v>114</v>
      </c>
      <c r="D46" s="8" t="s">
        <v>113</v>
      </c>
      <c r="E46" s="56">
        <v>40073</v>
      </c>
      <c r="F46" s="19">
        <f t="shared" ref="F46:L59" si="354">IF($E46 &gt;= F$44, 1, "")</f>
        <v>1</v>
      </c>
      <c r="G46" s="19">
        <f t="shared" si="354"/>
        <v>1</v>
      </c>
      <c r="H46" s="19">
        <f t="shared" si="354"/>
        <v>1</v>
      </c>
      <c r="I46" s="19">
        <f t="shared" si="354"/>
        <v>1</v>
      </c>
      <c r="J46" s="19">
        <f t="shared" si="354"/>
        <v>1</v>
      </c>
      <c r="K46" s="19">
        <f t="shared" si="354"/>
        <v>1</v>
      </c>
      <c r="L46" s="19" t="str">
        <f t="shared" si="354"/>
        <v/>
      </c>
      <c r="M46" s="8">
        <v>1</v>
      </c>
      <c r="N46" s="8"/>
      <c r="O46" s="9"/>
      <c r="P46" s="8">
        <f t="shared" ref="P46:P68" si="355">IF(SUM(S46:ND46) &gt; 0, SUM(S46:ND46), "")</f>
        <v>28</v>
      </c>
      <c r="Q46" s="108">
        <f t="shared" ref="Q46:Q68" si="356">IF(SUM(S46:XFD46) &gt; 0, SUM(S46:XFD46) / $P$69 * 100, "")</f>
        <v>62.222222222222221</v>
      </c>
      <c r="R46" s="84"/>
      <c r="S46" s="7"/>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T46" s="7"/>
      <c r="IA46" s="7"/>
      <c r="IH46" s="7"/>
      <c r="IO46" s="7"/>
      <c r="IV46" s="7"/>
      <c r="JC46" s="7"/>
      <c r="JJ46" s="7"/>
      <c r="JQ46" s="7"/>
      <c r="JX46" s="7"/>
      <c r="KE46" s="7"/>
      <c r="KL46" s="7"/>
      <c r="KS46" s="7"/>
      <c r="KZ46" s="7"/>
      <c r="LG46" s="7"/>
      <c r="LN46" s="7"/>
      <c r="LU46" s="7"/>
      <c r="MB46" s="7"/>
      <c r="MI46" s="7"/>
      <c r="MP46" s="7"/>
      <c r="MW46" s="7"/>
      <c r="ND46" s="7"/>
    </row>
    <row r="47" spans="1:368" ht="15" customHeight="1" x14ac:dyDescent="0.25">
      <c r="A47" s="8" t="s">
        <v>112</v>
      </c>
      <c r="B47" s="8" t="s">
        <v>111</v>
      </c>
      <c r="C47" s="8" t="s">
        <v>110</v>
      </c>
      <c r="D47" s="8" t="s">
        <v>109</v>
      </c>
      <c r="E47" s="56">
        <v>40099</v>
      </c>
      <c r="F47" s="19">
        <f t="shared" si="354"/>
        <v>1</v>
      </c>
      <c r="G47" s="19">
        <f t="shared" si="354"/>
        <v>1</v>
      </c>
      <c r="H47" s="19">
        <f t="shared" si="354"/>
        <v>1</v>
      </c>
      <c r="I47" s="19">
        <f t="shared" si="354"/>
        <v>1</v>
      </c>
      <c r="J47" s="19">
        <f t="shared" si="354"/>
        <v>1</v>
      </c>
      <c r="K47" s="19">
        <f t="shared" si="354"/>
        <v>1</v>
      </c>
      <c r="L47" s="19" t="str">
        <f t="shared" si="354"/>
        <v/>
      </c>
      <c r="M47" s="8">
        <v>1</v>
      </c>
      <c r="N47" s="8"/>
      <c r="O47" s="9"/>
      <c r="P47" s="8">
        <f t="shared" si="355"/>
        <v>15</v>
      </c>
      <c r="Q47" s="108">
        <f t="shared" si="356"/>
        <v>33.333333333333329</v>
      </c>
      <c r="R47" s="84"/>
      <c r="S47" s="7"/>
      <c r="Z47" s="7"/>
      <c r="AG47" s="7"/>
      <c r="AN47" s="7"/>
      <c r="AU47" s="7"/>
      <c r="BB47" s="7"/>
      <c r="BI47" s="7"/>
      <c r="BP47" s="7"/>
      <c r="BY47" s="7"/>
      <c r="CH47" s="7"/>
      <c r="CQ47" s="7"/>
      <c r="CZ47" s="7"/>
      <c r="DI47" s="7"/>
      <c r="DR47" s="7"/>
      <c r="DT47">
        <v>1</v>
      </c>
      <c r="DW47">
        <v>1</v>
      </c>
      <c r="EA47" s="7"/>
      <c r="EC47" t="s">
        <v>460</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T47" s="7"/>
      <c r="IA47" s="7"/>
      <c r="IH47" s="7"/>
      <c r="IO47" s="7"/>
      <c r="IV47" s="7"/>
      <c r="JC47" s="7"/>
      <c r="JJ47" s="7"/>
      <c r="JQ47" s="7"/>
      <c r="JX47" s="7"/>
      <c r="KE47" s="7"/>
      <c r="KL47" s="7"/>
      <c r="KS47" s="7"/>
      <c r="KZ47" s="7"/>
      <c r="LG47" s="7"/>
      <c r="LN47" s="7"/>
      <c r="LU47" s="7"/>
      <c r="MB47" s="7"/>
      <c r="MI47" s="7"/>
      <c r="MP47" s="7"/>
      <c r="MW47" s="7"/>
      <c r="ND47" s="7"/>
    </row>
    <row r="48" spans="1:368" ht="15" customHeight="1" x14ac:dyDescent="0.25">
      <c r="A48" s="8" t="s">
        <v>73</v>
      </c>
      <c r="B48" s="8" t="s">
        <v>108</v>
      </c>
      <c r="C48" s="8" t="s">
        <v>107</v>
      </c>
      <c r="D48" s="8" t="s">
        <v>106</v>
      </c>
      <c r="E48" s="18">
        <v>39474</v>
      </c>
      <c r="F48" s="10">
        <f t="shared" si="354"/>
        <v>1</v>
      </c>
      <c r="G48" s="19">
        <f t="shared" si="354"/>
        <v>1</v>
      </c>
      <c r="H48" s="19">
        <f t="shared" si="354"/>
        <v>1</v>
      </c>
      <c r="I48" s="19">
        <f t="shared" si="354"/>
        <v>1</v>
      </c>
      <c r="J48" s="19">
        <f t="shared" si="354"/>
        <v>1</v>
      </c>
      <c r="K48" s="19" t="str">
        <f t="shared" si="354"/>
        <v/>
      </c>
      <c r="L48" s="19" t="str">
        <f t="shared" si="354"/>
        <v/>
      </c>
      <c r="M48" s="8">
        <v>1</v>
      </c>
      <c r="N48" s="8">
        <v>1</v>
      </c>
      <c r="O48" s="9"/>
      <c r="P48" s="8">
        <f t="shared" si="355"/>
        <v>41</v>
      </c>
      <c r="Q48" s="108">
        <f t="shared" si="356"/>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T48" s="7"/>
      <c r="IA48" s="7"/>
      <c r="IH48" s="7"/>
      <c r="IO48" s="7"/>
      <c r="IV48" s="7"/>
      <c r="JC48" s="7"/>
      <c r="JJ48" s="7"/>
      <c r="JQ48" s="7"/>
      <c r="JX48" s="7"/>
      <c r="KE48" s="7"/>
      <c r="KL48" s="7"/>
      <c r="KS48" s="7"/>
      <c r="KZ48" s="7"/>
      <c r="LG48" s="7"/>
      <c r="LN48" s="7"/>
      <c r="LU48" s="7"/>
      <c r="MB48" s="7"/>
      <c r="MI48" s="7"/>
      <c r="MP48" s="7"/>
      <c r="MW48" s="7"/>
      <c r="ND48" s="7"/>
    </row>
    <row r="49" spans="1:368" ht="15" customHeight="1" x14ac:dyDescent="0.25">
      <c r="A49" s="8" t="s">
        <v>236</v>
      </c>
      <c r="B49" s="8" t="s">
        <v>237</v>
      </c>
      <c r="C49" s="8" t="s">
        <v>238</v>
      </c>
      <c r="D49" s="8" t="s">
        <v>239</v>
      </c>
      <c r="E49" s="18">
        <v>39425</v>
      </c>
      <c r="F49" s="10">
        <f t="shared" si="354"/>
        <v>1</v>
      </c>
      <c r="G49" s="19">
        <f t="shared" si="354"/>
        <v>1</v>
      </c>
      <c r="H49" s="19">
        <f t="shared" si="354"/>
        <v>1</v>
      </c>
      <c r="I49" s="19">
        <f t="shared" si="354"/>
        <v>1</v>
      </c>
      <c r="J49" s="19" t="str">
        <f t="shared" si="354"/>
        <v/>
      </c>
      <c r="K49" s="19" t="str">
        <f t="shared" si="354"/>
        <v/>
      </c>
      <c r="L49" s="19" t="str">
        <f t="shared" si="354"/>
        <v/>
      </c>
      <c r="M49" s="8">
        <v>1</v>
      </c>
      <c r="N49" s="8">
        <v>1</v>
      </c>
      <c r="O49" s="9"/>
      <c r="P49" s="8">
        <f t="shared" si="355"/>
        <v>33</v>
      </c>
      <c r="Q49" s="108">
        <f t="shared" si="356"/>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T49" s="7"/>
      <c r="IA49" s="7"/>
      <c r="IH49" s="7"/>
      <c r="IO49" s="7"/>
      <c r="IV49" s="7"/>
      <c r="JC49" s="7"/>
      <c r="JJ49" s="7"/>
      <c r="JQ49" s="7"/>
      <c r="JX49" s="7"/>
      <c r="KE49" s="7"/>
      <c r="KL49" s="7"/>
      <c r="KS49" s="7"/>
      <c r="KZ49" s="7"/>
      <c r="LG49" s="7"/>
      <c r="LN49" s="7"/>
      <c r="LU49" s="7"/>
      <c r="MB49" s="7"/>
      <c r="MI49" s="7"/>
      <c r="MP49" s="7"/>
      <c r="MW49" s="7"/>
      <c r="ND49" s="7"/>
    </row>
    <row r="50" spans="1:368" ht="15" hidden="1" customHeight="1" x14ac:dyDescent="0.25">
      <c r="A50" s="8" t="s">
        <v>233</v>
      </c>
      <c r="B50" s="8"/>
      <c r="C50" s="8" t="s">
        <v>36</v>
      </c>
      <c r="D50" s="8" t="s">
        <v>234</v>
      </c>
      <c r="E50" s="18">
        <v>38536</v>
      </c>
      <c r="F50" s="10">
        <f t="shared" si="354"/>
        <v>1</v>
      </c>
      <c r="G50" s="19">
        <f t="shared" si="354"/>
        <v>1</v>
      </c>
      <c r="H50" s="19" t="str">
        <f t="shared" si="354"/>
        <v/>
      </c>
      <c r="I50" s="19" t="str">
        <f t="shared" si="354"/>
        <v/>
      </c>
      <c r="J50" s="19" t="str">
        <f t="shared" si="354"/>
        <v/>
      </c>
      <c r="K50" s="19" t="str">
        <f t="shared" si="354"/>
        <v/>
      </c>
      <c r="L50" s="19" t="str">
        <f t="shared" si="354"/>
        <v/>
      </c>
      <c r="M50" s="8">
        <v>1</v>
      </c>
      <c r="N50" s="8"/>
      <c r="O50" s="9"/>
      <c r="P50" s="8">
        <f t="shared" si="355"/>
        <v>5</v>
      </c>
      <c r="Q50" s="108">
        <f t="shared" si="356"/>
        <v>11.111111111111111</v>
      </c>
      <c r="R50" s="84"/>
      <c r="S50" s="7"/>
      <c r="Z50" s="7"/>
      <c r="AG50" s="7"/>
      <c r="AI50">
        <v>1</v>
      </c>
      <c r="AN50" s="7"/>
      <c r="AR50">
        <v>1</v>
      </c>
      <c r="AU50" s="7"/>
      <c r="BB50" s="7"/>
      <c r="BD50">
        <v>1</v>
      </c>
      <c r="BI50" s="7"/>
      <c r="BM50">
        <v>1</v>
      </c>
      <c r="BN50">
        <v>1</v>
      </c>
      <c r="BP50" s="7"/>
      <c r="BY50" s="7"/>
      <c r="CH50" s="7"/>
      <c r="CQ50" s="7"/>
      <c r="CZ50" s="7"/>
      <c r="DI50" s="7"/>
      <c r="DR50" s="7"/>
      <c r="DT50" t="s">
        <v>444</v>
      </c>
      <c r="EA50" s="7"/>
      <c r="EJ50" s="7"/>
      <c r="ES50" s="7"/>
      <c r="FB50" s="7"/>
      <c r="FK50" s="7"/>
      <c r="FT50" s="7"/>
      <c r="GC50" s="7"/>
      <c r="GL50" s="7"/>
      <c r="GS50" s="145"/>
      <c r="GU50" s="7"/>
      <c r="HD50" s="7"/>
      <c r="HM50" s="7"/>
      <c r="HT50" s="7"/>
      <c r="IA50" s="7"/>
      <c r="IH50" s="7"/>
      <c r="IO50" s="7"/>
      <c r="IV50" s="7"/>
      <c r="JC50" s="7"/>
      <c r="JJ50" s="7"/>
      <c r="JQ50" s="7"/>
      <c r="JX50" s="7"/>
      <c r="KE50" s="7"/>
      <c r="KL50" s="7"/>
      <c r="KS50" s="7"/>
      <c r="KZ50" s="7"/>
      <c r="LG50" s="7"/>
      <c r="LN50" s="7"/>
      <c r="LU50" s="7"/>
      <c r="MB50" s="7"/>
      <c r="MI50" s="7"/>
      <c r="MP50" s="7"/>
      <c r="MW50" s="7"/>
      <c r="ND50" s="7"/>
    </row>
    <row r="51" spans="1:368" hidden="1" x14ac:dyDescent="0.25">
      <c r="A51" s="8" t="s">
        <v>229</v>
      </c>
      <c r="B51" s="8" t="s">
        <v>230</v>
      </c>
      <c r="C51" s="8" t="s">
        <v>232</v>
      </c>
      <c r="D51" s="8" t="s">
        <v>231</v>
      </c>
      <c r="E51" s="18">
        <v>38679</v>
      </c>
      <c r="F51" s="10">
        <f t="shared" si="354"/>
        <v>1</v>
      </c>
      <c r="G51" s="19">
        <f t="shared" si="354"/>
        <v>1</v>
      </c>
      <c r="H51" s="19" t="str">
        <f t="shared" si="354"/>
        <v/>
      </c>
      <c r="I51" s="19" t="str">
        <f t="shared" si="354"/>
        <v/>
      </c>
      <c r="J51" s="19" t="str">
        <f t="shared" si="354"/>
        <v/>
      </c>
      <c r="K51" s="19" t="str">
        <f t="shared" si="354"/>
        <v/>
      </c>
      <c r="L51" s="19" t="str">
        <f t="shared" si="354"/>
        <v/>
      </c>
      <c r="M51" s="8">
        <v>1</v>
      </c>
      <c r="N51" s="8"/>
      <c r="O51" s="9"/>
      <c r="P51" s="8">
        <f t="shared" si="355"/>
        <v>6</v>
      </c>
      <c r="Q51" s="108">
        <f t="shared" si="356"/>
        <v>13.333333333333334</v>
      </c>
      <c r="R51" s="84"/>
      <c r="S51" s="7"/>
      <c r="Z51" s="7"/>
      <c r="AG51" s="7"/>
      <c r="AI51">
        <v>1</v>
      </c>
      <c r="AN51" s="7"/>
      <c r="AR51">
        <v>1</v>
      </c>
      <c r="AU51" s="7"/>
      <c r="BB51" s="7"/>
      <c r="BD51">
        <v>1</v>
      </c>
      <c r="BI51" s="7"/>
      <c r="BM51">
        <v>1</v>
      </c>
      <c r="BN51">
        <v>1</v>
      </c>
      <c r="BP51" s="7"/>
      <c r="BY51" s="7"/>
      <c r="CH51" s="7"/>
      <c r="CQ51" s="7"/>
      <c r="CZ51" s="7"/>
      <c r="DI51" s="7"/>
      <c r="DR51" s="7"/>
      <c r="DT51" t="s">
        <v>444</v>
      </c>
      <c r="DW51">
        <v>1</v>
      </c>
      <c r="EA51" s="7"/>
      <c r="EJ51" s="7"/>
      <c r="ES51" s="7"/>
      <c r="FB51" s="7"/>
      <c r="FK51" s="7"/>
      <c r="FT51" s="7"/>
      <c r="GC51" s="7"/>
      <c r="GL51" s="7"/>
      <c r="GS51" s="145"/>
      <c r="GU51" s="7"/>
      <c r="HD51" s="7"/>
      <c r="HM51" s="7"/>
      <c r="HT51" s="7"/>
      <c r="IA51" s="7"/>
      <c r="IH51" s="7"/>
      <c r="IO51" s="7"/>
      <c r="IV51" s="7"/>
      <c r="JC51" s="7"/>
      <c r="JJ51" s="7"/>
      <c r="JQ51" s="7"/>
      <c r="JX51" s="7"/>
      <c r="KE51" s="7"/>
      <c r="KL51" s="7"/>
      <c r="KS51" s="7"/>
      <c r="KZ51" s="7"/>
      <c r="LG51" s="7"/>
      <c r="LN51" s="7"/>
      <c r="LU51" s="7"/>
      <c r="MB51" s="7"/>
      <c r="MI51" s="7"/>
      <c r="MP51" s="7"/>
      <c r="MW51" s="7"/>
      <c r="ND51" s="7"/>
    </row>
    <row r="52" spans="1:368" hidden="1" x14ac:dyDescent="0.25">
      <c r="A52" s="8" t="s">
        <v>62</v>
      </c>
      <c r="B52" s="8"/>
      <c r="C52" s="8" t="s">
        <v>292</v>
      </c>
      <c r="D52" s="8" t="s">
        <v>293</v>
      </c>
      <c r="E52" s="18">
        <v>39814</v>
      </c>
      <c r="F52" s="10">
        <f t="shared" si="354"/>
        <v>1</v>
      </c>
      <c r="G52" s="19">
        <f t="shared" si="354"/>
        <v>1</v>
      </c>
      <c r="H52" s="19">
        <f t="shared" si="354"/>
        <v>1</v>
      </c>
      <c r="I52" s="8">
        <f t="shared" si="354"/>
        <v>1</v>
      </c>
      <c r="J52" s="8">
        <f t="shared" si="354"/>
        <v>1</v>
      </c>
      <c r="K52" s="8">
        <f t="shared" si="354"/>
        <v>1</v>
      </c>
      <c r="L52" s="8" t="str">
        <f t="shared" si="354"/>
        <v/>
      </c>
      <c r="M52" s="8">
        <v>1</v>
      </c>
      <c r="N52" s="8"/>
      <c r="O52" s="9"/>
      <c r="P52" s="8">
        <f t="shared" si="355"/>
        <v>3</v>
      </c>
      <c r="Q52" s="108">
        <f t="shared" si="356"/>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T52" s="7"/>
      <c r="IA52" s="7"/>
      <c r="IH52" s="7"/>
      <c r="IO52" s="7"/>
      <c r="IV52" s="7"/>
      <c r="JC52" s="7"/>
      <c r="JJ52" s="7"/>
      <c r="JQ52" s="7"/>
      <c r="JX52" s="7"/>
      <c r="KE52" s="7"/>
      <c r="KL52" s="7"/>
      <c r="KS52" s="7"/>
      <c r="KZ52" s="7"/>
      <c r="LG52" s="7"/>
      <c r="LN52" s="7"/>
      <c r="LU52" s="7"/>
      <c r="MB52" s="7"/>
      <c r="MI52" s="7"/>
      <c r="MP52" s="7"/>
      <c r="MW52" s="7"/>
      <c r="ND52" s="7"/>
    </row>
    <row r="53" spans="1:368" x14ac:dyDescent="0.25">
      <c r="A53" s="8" t="s">
        <v>92</v>
      </c>
      <c r="B53" s="8"/>
      <c r="C53" s="8" t="s">
        <v>91</v>
      </c>
      <c r="D53" s="8" t="s">
        <v>90</v>
      </c>
      <c r="E53" s="18">
        <v>39507</v>
      </c>
      <c r="F53" s="10">
        <f t="shared" si="354"/>
        <v>1</v>
      </c>
      <c r="G53" s="19">
        <f t="shared" si="354"/>
        <v>1</v>
      </c>
      <c r="H53" s="19">
        <f t="shared" si="354"/>
        <v>1</v>
      </c>
      <c r="I53" s="19">
        <f t="shared" si="354"/>
        <v>1</v>
      </c>
      <c r="J53" s="19">
        <f t="shared" si="354"/>
        <v>1</v>
      </c>
      <c r="K53" s="19" t="str">
        <f t="shared" si="354"/>
        <v/>
      </c>
      <c r="L53" s="19" t="str">
        <f t="shared" si="354"/>
        <v/>
      </c>
      <c r="M53" s="8">
        <v>1</v>
      </c>
      <c r="N53" s="8">
        <v>1</v>
      </c>
      <c r="O53" s="9"/>
      <c r="P53" s="8">
        <f t="shared" si="355"/>
        <v>31</v>
      </c>
      <c r="Q53" s="108">
        <f t="shared" si="356"/>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T53" s="7"/>
      <c r="IA53" s="7"/>
      <c r="IH53" s="7"/>
      <c r="IO53" s="7"/>
      <c r="IV53" s="7"/>
      <c r="JC53" s="7"/>
      <c r="JJ53" s="7"/>
      <c r="JQ53" s="7"/>
      <c r="JX53" s="7"/>
      <c r="KE53" s="7"/>
      <c r="KL53" s="7"/>
      <c r="KS53" s="7"/>
      <c r="KZ53" s="7"/>
      <c r="LG53" s="7"/>
      <c r="LN53" s="7"/>
      <c r="LU53" s="7"/>
      <c r="MB53" s="7"/>
      <c r="MI53" s="7"/>
      <c r="MP53" s="7"/>
      <c r="MW53" s="7"/>
      <c r="ND53" s="7"/>
    </row>
    <row r="54" spans="1:368" hidden="1" x14ac:dyDescent="0.25">
      <c r="A54" s="8" t="s">
        <v>89</v>
      </c>
      <c r="B54" s="8"/>
      <c r="C54" s="8" t="s">
        <v>88</v>
      </c>
      <c r="D54" s="8" t="s">
        <v>87</v>
      </c>
      <c r="E54" s="18">
        <v>39651</v>
      </c>
      <c r="F54" s="10">
        <f t="shared" si="354"/>
        <v>1</v>
      </c>
      <c r="G54" s="19">
        <f t="shared" si="354"/>
        <v>1</v>
      </c>
      <c r="H54" s="19">
        <f t="shared" si="354"/>
        <v>1</v>
      </c>
      <c r="I54" s="8">
        <f t="shared" si="354"/>
        <v>1</v>
      </c>
      <c r="J54" s="8">
        <f t="shared" si="354"/>
        <v>1</v>
      </c>
      <c r="K54" s="8" t="str">
        <f t="shared" si="354"/>
        <v/>
      </c>
      <c r="L54" s="8" t="str">
        <f t="shared" si="354"/>
        <v/>
      </c>
      <c r="M54" s="8">
        <v>1</v>
      </c>
      <c r="N54" s="8"/>
      <c r="O54" s="9"/>
      <c r="P54" s="8">
        <f t="shared" si="355"/>
        <v>3</v>
      </c>
      <c r="Q54" s="108">
        <f t="shared" si="356"/>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T54" s="7"/>
      <c r="IA54" s="7"/>
      <c r="IH54" s="7"/>
      <c r="IO54" s="7"/>
      <c r="IV54" s="7"/>
      <c r="JC54" s="7"/>
      <c r="JJ54" s="7"/>
      <c r="JQ54" s="7"/>
      <c r="JX54" s="7"/>
      <c r="KE54" s="7"/>
      <c r="KL54" s="7"/>
      <c r="KS54" s="7"/>
      <c r="KZ54" s="7"/>
      <c r="LG54" s="7"/>
      <c r="LN54" s="7"/>
      <c r="LU54" s="7"/>
      <c r="MB54" s="7"/>
      <c r="MI54" s="7"/>
      <c r="MP54" s="7"/>
      <c r="MW54" s="7"/>
      <c r="ND54" s="7"/>
    </row>
    <row r="55" spans="1:368" x14ac:dyDescent="0.25">
      <c r="A55" s="8" t="s">
        <v>134</v>
      </c>
      <c r="B55" s="8" t="s">
        <v>133</v>
      </c>
      <c r="C55" s="8" t="s">
        <v>235</v>
      </c>
      <c r="D55" s="8" t="s">
        <v>87</v>
      </c>
      <c r="E55" s="18">
        <v>38979</v>
      </c>
      <c r="F55" s="10">
        <f t="shared" si="354"/>
        <v>1</v>
      </c>
      <c r="G55" s="19">
        <f t="shared" si="354"/>
        <v>1</v>
      </c>
      <c r="H55" s="19">
        <f t="shared" si="354"/>
        <v>1</v>
      </c>
      <c r="I55" s="8" t="str">
        <f t="shared" si="354"/>
        <v/>
      </c>
      <c r="J55" s="8" t="str">
        <f t="shared" si="354"/>
        <v/>
      </c>
      <c r="K55" s="8" t="str">
        <f t="shared" si="354"/>
        <v/>
      </c>
      <c r="L55" s="8" t="str">
        <f t="shared" si="354"/>
        <v/>
      </c>
      <c r="M55" s="8">
        <v>1</v>
      </c>
      <c r="N55" s="8">
        <v>1</v>
      </c>
      <c r="O55" s="9"/>
      <c r="P55" s="8">
        <f t="shared" si="355"/>
        <v>28</v>
      </c>
      <c r="Q55" s="108">
        <f t="shared" si="356"/>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T55" s="7"/>
      <c r="IA55" s="7"/>
      <c r="IH55" s="7"/>
      <c r="IO55" s="7"/>
      <c r="IV55" s="7"/>
      <c r="JC55" s="7"/>
      <c r="JJ55" s="7"/>
      <c r="JQ55" s="7"/>
      <c r="JX55" s="7"/>
      <c r="KE55" s="7"/>
      <c r="KL55" s="7"/>
      <c r="KS55" s="7"/>
      <c r="KZ55" s="7"/>
      <c r="LG55" s="7"/>
      <c r="LN55" s="7"/>
      <c r="LU55" s="7"/>
      <c r="MB55" s="7"/>
      <c r="MI55" s="7"/>
      <c r="MP55" s="7"/>
      <c r="MW55" s="7"/>
      <c r="ND55" s="7"/>
    </row>
    <row r="56" spans="1:368" hidden="1" x14ac:dyDescent="0.25">
      <c r="A56" s="8" t="s">
        <v>86</v>
      </c>
      <c r="B56" s="8"/>
      <c r="C56" s="8" t="s">
        <v>85</v>
      </c>
      <c r="D56" s="8" t="s">
        <v>84</v>
      </c>
      <c r="E56" s="18">
        <v>39562</v>
      </c>
      <c r="F56" s="10">
        <f t="shared" si="354"/>
        <v>1</v>
      </c>
      <c r="G56" s="19">
        <f t="shared" si="354"/>
        <v>1</v>
      </c>
      <c r="H56" s="19">
        <f t="shared" si="354"/>
        <v>1</v>
      </c>
      <c r="I56" s="8">
        <f t="shared" si="354"/>
        <v>1</v>
      </c>
      <c r="J56" s="8">
        <f t="shared" si="354"/>
        <v>1</v>
      </c>
      <c r="K56" s="8" t="str">
        <f t="shared" si="354"/>
        <v/>
      </c>
      <c r="L56" s="8" t="str">
        <f t="shared" si="354"/>
        <v/>
      </c>
      <c r="M56" s="8">
        <v>1</v>
      </c>
      <c r="N56" s="8"/>
      <c r="O56" s="9"/>
      <c r="P56" s="8">
        <f t="shared" si="355"/>
        <v>5</v>
      </c>
      <c r="Q56" s="108">
        <f t="shared" si="356"/>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478</v>
      </c>
      <c r="FK56" s="7"/>
      <c r="FT56" s="7"/>
      <c r="GC56" s="7"/>
      <c r="GL56" s="7"/>
      <c r="GS56" s="145"/>
      <c r="GU56" s="7"/>
      <c r="HD56" s="7"/>
      <c r="HM56" s="7"/>
      <c r="HT56" s="7"/>
      <c r="IA56" s="7"/>
      <c r="IH56" s="7"/>
      <c r="IO56" s="7"/>
      <c r="IV56" s="7"/>
      <c r="JC56" s="7"/>
      <c r="JJ56" s="7"/>
      <c r="JQ56" s="7"/>
      <c r="JX56" s="7"/>
      <c r="KE56" s="7"/>
      <c r="KL56" s="7"/>
      <c r="KS56" s="7"/>
      <c r="KZ56" s="7"/>
      <c r="LG56" s="7"/>
      <c r="LN56" s="7"/>
      <c r="LU56" s="7"/>
      <c r="MB56" s="7"/>
      <c r="MI56" s="7"/>
      <c r="MP56" s="7"/>
      <c r="MW56" s="7"/>
      <c r="ND56" s="7"/>
    </row>
    <row r="57" spans="1:368" x14ac:dyDescent="0.25">
      <c r="A57" s="8" t="s">
        <v>83</v>
      </c>
      <c r="B57" s="8"/>
      <c r="C57" s="8" t="s">
        <v>82</v>
      </c>
      <c r="D57" s="8" t="s">
        <v>81</v>
      </c>
      <c r="E57" s="18">
        <v>39475</v>
      </c>
      <c r="F57" s="10">
        <f t="shared" si="354"/>
        <v>1</v>
      </c>
      <c r="G57" s="19">
        <f t="shared" si="354"/>
        <v>1</v>
      </c>
      <c r="H57" s="19">
        <f t="shared" si="354"/>
        <v>1</v>
      </c>
      <c r="I57" s="8">
        <f t="shared" si="354"/>
        <v>1</v>
      </c>
      <c r="J57" s="8">
        <f t="shared" si="354"/>
        <v>1</v>
      </c>
      <c r="K57" s="8" t="str">
        <f t="shared" si="354"/>
        <v/>
      </c>
      <c r="L57" s="8" t="str">
        <f t="shared" si="354"/>
        <v/>
      </c>
      <c r="M57" s="8">
        <v>1</v>
      </c>
      <c r="N57" s="8">
        <v>1</v>
      </c>
      <c r="O57" s="9"/>
      <c r="P57" s="8">
        <f t="shared" si="355"/>
        <v>36</v>
      </c>
      <c r="Q57" s="108">
        <f t="shared" si="356"/>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T57" s="7"/>
      <c r="IA57" s="7"/>
      <c r="IH57" s="7"/>
      <c r="IO57" s="7"/>
      <c r="IV57" s="7"/>
      <c r="JC57" s="7"/>
      <c r="JJ57" s="7"/>
      <c r="JQ57" s="7"/>
      <c r="JX57" s="7"/>
      <c r="KE57" s="7"/>
      <c r="KL57" s="7"/>
      <c r="KS57" s="7"/>
      <c r="KZ57" s="7"/>
      <c r="LG57" s="7"/>
      <c r="LN57" s="7"/>
      <c r="LU57" s="7"/>
      <c r="MB57" s="7"/>
      <c r="MI57" s="7"/>
      <c r="MP57" s="7"/>
      <c r="MW57" s="7"/>
      <c r="ND57" s="7"/>
    </row>
    <row r="58" spans="1:368" x14ac:dyDescent="0.25">
      <c r="A58" s="8" t="s">
        <v>430</v>
      </c>
      <c r="B58" s="8"/>
      <c r="C58" s="8" t="s">
        <v>431</v>
      </c>
      <c r="D58" s="8" t="s">
        <v>602</v>
      </c>
      <c r="E58" s="18">
        <v>40003</v>
      </c>
      <c r="F58" s="10">
        <f t="shared" si="354"/>
        <v>1</v>
      </c>
      <c r="G58" s="19">
        <f t="shared" si="354"/>
        <v>1</v>
      </c>
      <c r="H58" s="19">
        <f t="shared" si="354"/>
        <v>1</v>
      </c>
      <c r="I58" s="8">
        <f t="shared" si="354"/>
        <v>1</v>
      </c>
      <c r="J58" s="8">
        <f t="shared" si="354"/>
        <v>1</v>
      </c>
      <c r="K58" s="8">
        <f t="shared" si="354"/>
        <v>1</v>
      </c>
      <c r="L58" s="8" t="str">
        <f t="shared" si="354"/>
        <v/>
      </c>
      <c r="M58" s="8"/>
      <c r="N58" s="8"/>
      <c r="O58" s="9"/>
      <c r="P58" s="8">
        <f t="shared" si="355"/>
        <v>10</v>
      </c>
      <c r="Q58" s="108">
        <f t="shared" si="356"/>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T58" s="7"/>
      <c r="IA58" s="7"/>
      <c r="IH58" s="7"/>
      <c r="IO58" s="7"/>
      <c r="IV58" s="7"/>
      <c r="JC58" s="7"/>
      <c r="JJ58" s="7"/>
      <c r="JQ58" s="7"/>
      <c r="JX58" s="7"/>
      <c r="KE58" s="7"/>
      <c r="KL58" s="7"/>
      <c r="KS58" s="7"/>
      <c r="KZ58" s="7"/>
      <c r="LG58" s="7"/>
      <c r="LN58" s="7"/>
      <c r="LU58" s="7"/>
      <c r="MB58" s="7"/>
      <c r="MI58" s="7"/>
      <c r="MP58" s="7"/>
      <c r="MW58" s="7"/>
      <c r="ND58" s="7"/>
    </row>
    <row r="59" spans="1:368" x14ac:dyDescent="0.25">
      <c r="A59" s="8" t="s">
        <v>80</v>
      </c>
      <c r="B59" s="8"/>
      <c r="C59" s="8" t="s">
        <v>79</v>
      </c>
      <c r="D59" s="8" t="s">
        <v>78</v>
      </c>
      <c r="E59" s="18">
        <v>39927</v>
      </c>
      <c r="F59" s="10">
        <f t="shared" si="354"/>
        <v>1</v>
      </c>
      <c r="G59" s="19">
        <f t="shared" si="354"/>
        <v>1</v>
      </c>
      <c r="H59" s="19">
        <f t="shared" si="354"/>
        <v>1</v>
      </c>
      <c r="I59" s="8">
        <f t="shared" si="354"/>
        <v>1</v>
      </c>
      <c r="J59" s="8">
        <f t="shared" si="354"/>
        <v>1</v>
      </c>
      <c r="K59" s="8">
        <f t="shared" si="354"/>
        <v>1</v>
      </c>
      <c r="L59" s="8" t="str">
        <f t="shared" si="354"/>
        <v/>
      </c>
      <c r="M59" s="8">
        <v>1</v>
      </c>
      <c r="N59" s="8"/>
      <c r="O59" s="9"/>
      <c r="P59" s="8">
        <f t="shared" si="355"/>
        <v>8</v>
      </c>
      <c r="Q59" s="108">
        <f t="shared" si="356"/>
        <v>17.777777777777779</v>
      </c>
      <c r="R59" s="84"/>
      <c r="S59" s="7"/>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T59" s="7"/>
      <c r="IA59" s="7"/>
      <c r="IH59" s="7"/>
      <c r="IO59" s="7"/>
      <c r="IV59" s="7"/>
      <c r="JC59" s="7"/>
      <c r="JJ59" s="7"/>
      <c r="JQ59" s="7"/>
      <c r="JX59" s="7"/>
      <c r="KE59" s="7"/>
      <c r="KL59" s="7"/>
      <c r="KS59" s="7"/>
      <c r="KZ59" s="7"/>
      <c r="LG59" s="7"/>
      <c r="LN59" s="7"/>
      <c r="LU59" s="7"/>
      <c r="MB59" s="7"/>
      <c r="MI59" s="7"/>
      <c r="MP59" s="7"/>
      <c r="MW59" s="7"/>
      <c r="ND59" s="7"/>
    </row>
    <row r="60" spans="1:368" x14ac:dyDescent="0.25">
      <c r="A60" s="8" t="s">
        <v>77</v>
      </c>
      <c r="B60" s="8" t="s">
        <v>76</v>
      </c>
      <c r="C60" s="8" t="s">
        <v>75</v>
      </c>
      <c r="D60" s="8" t="s">
        <v>74</v>
      </c>
      <c r="E60" s="18">
        <v>40051</v>
      </c>
      <c r="F60" s="10">
        <f t="shared" ref="F60:L68" si="357">IF($E60 &gt;= F$44, 1, "")</f>
        <v>1</v>
      </c>
      <c r="G60" s="19">
        <f t="shared" si="357"/>
        <v>1</v>
      </c>
      <c r="H60" s="19">
        <f t="shared" si="357"/>
        <v>1</v>
      </c>
      <c r="I60" s="8">
        <f t="shared" si="357"/>
        <v>1</v>
      </c>
      <c r="J60" s="8">
        <f t="shared" si="357"/>
        <v>1</v>
      </c>
      <c r="K60" s="8">
        <f t="shared" si="357"/>
        <v>1</v>
      </c>
      <c r="L60" s="8" t="str">
        <f t="shared" si="357"/>
        <v/>
      </c>
      <c r="M60" s="8">
        <v>1</v>
      </c>
      <c r="N60" s="8"/>
      <c r="O60" s="9"/>
      <c r="P60" s="8">
        <f t="shared" si="355"/>
        <v>13</v>
      </c>
      <c r="Q60" s="108">
        <f t="shared" si="356"/>
        <v>28.888888888888886</v>
      </c>
      <c r="R60" s="84"/>
      <c r="S60" s="7"/>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T60" s="7"/>
      <c r="IA60" s="7"/>
      <c r="IH60" s="7"/>
      <c r="IO60" s="7"/>
      <c r="IV60" s="7"/>
      <c r="JC60" s="7"/>
      <c r="JJ60" s="7"/>
      <c r="JQ60" s="7"/>
      <c r="JX60" s="7"/>
      <c r="KE60" s="7"/>
      <c r="KL60" s="7"/>
      <c r="KS60" s="7"/>
      <c r="KZ60" s="7"/>
      <c r="LG60" s="7"/>
      <c r="LN60" s="7"/>
      <c r="LU60" s="7"/>
      <c r="MB60" s="7"/>
      <c r="MI60" s="7"/>
      <c r="MP60" s="7"/>
      <c r="MW60" s="7"/>
      <c r="ND60" s="7"/>
    </row>
    <row r="61" spans="1:368" x14ac:dyDescent="0.25">
      <c r="A61" s="8" t="s">
        <v>73</v>
      </c>
      <c r="B61" s="8"/>
      <c r="C61" s="8" t="s">
        <v>27</v>
      </c>
      <c r="D61" s="8" t="s">
        <v>70</v>
      </c>
      <c r="E61" s="18">
        <v>40004</v>
      </c>
      <c r="F61" s="10">
        <f t="shared" si="357"/>
        <v>1</v>
      </c>
      <c r="G61" s="19">
        <f t="shared" si="357"/>
        <v>1</v>
      </c>
      <c r="H61" s="19">
        <f t="shared" si="357"/>
        <v>1</v>
      </c>
      <c r="I61" s="8">
        <f t="shared" si="357"/>
        <v>1</v>
      </c>
      <c r="J61" s="8">
        <f t="shared" si="357"/>
        <v>1</v>
      </c>
      <c r="K61" s="8">
        <f t="shared" si="357"/>
        <v>1</v>
      </c>
      <c r="L61" s="8" t="str">
        <f t="shared" si="357"/>
        <v/>
      </c>
      <c r="M61" s="8">
        <v>1</v>
      </c>
      <c r="N61" s="8"/>
      <c r="O61" s="9"/>
      <c r="P61" s="8">
        <f t="shared" si="355"/>
        <v>13</v>
      </c>
      <c r="Q61" s="108">
        <f t="shared" si="356"/>
        <v>28.888888888888886</v>
      </c>
      <c r="R61" s="84"/>
      <c r="S61" s="7"/>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T61" s="7"/>
      <c r="IA61" s="7"/>
      <c r="IH61" s="7"/>
      <c r="IO61" s="7"/>
      <c r="IV61" s="7"/>
      <c r="JC61" s="7"/>
      <c r="JJ61" s="7"/>
      <c r="JQ61" s="7"/>
      <c r="JX61" s="7"/>
      <c r="KE61" s="7"/>
      <c r="KL61" s="7"/>
      <c r="KS61" s="7"/>
      <c r="KZ61" s="7"/>
      <c r="LG61" s="7"/>
      <c r="LN61" s="7"/>
      <c r="LU61" s="7"/>
      <c r="MB61" s="7"/>
      <c r="MI61" s="7"/>
      <c r="MP61" s="7"/>
      <c r="MW61" s="7"/>
      <c r="ND61" s="7"/>
    </row>
    <row r="62" spans="1:368" x14ac:dyDescent="0.25">
      <c r="A62" s="8" t="s">
        <v>72</v>
      </c>
      <c r="B62" s="8"/>
      <c r="C62" s="8" t="s">
        <v>71</v>
      </c>
      <c r="D62" s="8" t="s">
        <v>70</v>
      </c>
      <c r="E62" s="18">
        <v>40754</v>
      </c>
      <c r="F62" s="10">
        <f t="shared" si="357"/>
        <v>1</v>
      </c>
      <c r="G62" s="19">
        <f t="shared" si="357"/>
        <v>1</v>
      </c>
      <c r="H62" s="19">
        <f t="shared" si="357"/>
        <v>1</v>
      </c>
      <c r="I62" s="8">
        <f t="shared" si="357"/>
        <v>1</v>
      </c>
      <c r="J62" s="8">
        <f t="shared" si="357"/>
        <v>1</v>
      </c>
      <c r="K62" s="8">
        <f t="shared" si="357"/>
        <v>1</v>
      </c>
      <c r="L62" s="8">
        <f t="shared" si="357"/>
        <v>1</v>
      </c>
      <c r="M62" s="8"/>
      <c r="N62" s="8"/>
      <c r="O62" s="9"/>
      <c r="P62" s="8">
        <f t="shared" si="355"/>
        <v>7</v>
      </c>
      <c r="Q62" s="108">
        <f t="shared" si="356"/>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T62" s="7"/>
      <c r="IA62" s="7"/>
      <c r="IH62" s="7"/>
      <c r="IO62" s="7"/>
      <c r="IV62" s="7"/>
      <c r="JC62" s="7"/>
      <c r="JJ62" s="7"/>
      <c r="JQ62" s="7"/>
      <c r="JX62" s="7"/>
      <c r="KE62" s="7"/>
      <c r="KL62" s="7"/>
      <c r="KS62" s="7"/>
      <c r="KZ62" s="7"/>
      <c r="LG62" s="7"/>
      <c r="LN62" s="7"/>
      <c r="LU62" s="7"/>
      <c r="MB62" s="7"/>
      <c r="MI62" s="7"/>
      <c r="MP62" s="7"/>
      <c r="MW62" s="7"/>
      <c r="ND62" s="7"/>
    </row>
    <row r="63" spans="1:368" hidden="1" x14ac:dyDescent="0.25">
      <c r="A63" s="8" t="s">
        <v>58</v>
      </c>
      <c r="B63" s="8"/>
      <c r="C63" s="8" t="s">
        <v>529</v>
      </c>
      <c r="D63" s="8" t="s">
        <v>525</v>
      </c>
      <c r="E63" s="18">
        <v>39448</v>
      </c>
      <c r="F63" s="10">
        <f t="shared" si="357"/>
        <v>1</v>
      </c>
      <c r="G63" s="19">
        <f t="shared" si="357"/>
        <v>1</v>
      </c>
      <c r="H63" s="19">
        <f t="shared" si="357"/>
        <v>1</v>
      </c>
      <c r="I63" s="8">
        <f t="shared" si="357"/>
        <v>1</v>
      </c>
      <c r="J63" s="8">
        <f t="shared" si="357"/>
        <v>1</v>
      </c>
      <c r="K63" s="8" t="str">
        <f t="shared" si="357"/>
        <v/>
      </c>
      <c r="L63" s="8" t="str">
        <f t="shared" si="357"/>
        <v/>
      </c>
      <c r="M63" s="8">
        <v>1</v>
      </c>
      <c r="N63" s="8"/>
      <c r="O63" s="9"/>
      <c r="P63" s="8">
        <f t="shared" si="355"/>
        <v>1</v>
      </c>
      <c r="Q63" s="108">
        <f t="shared" si="356"/>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T63" s="7"/>
      <c r="IA63" s="7"/>
      <c r="IH63" s="7"/>
      <c r="IO63" s="7"/>
      <c r="IV63" s="7"/>
      <c r="JC63" s="7"/>
      <c r="JJ63" s="7"/>
      <c r="JQ63" s="7"/>
      <c r="JX63" s="7"/>
      <c r="KE63" s="7"/>
      <c r="KL63" s="7"/>
      <c r="KS63" s="7"/>
      <c r="KZ63" s="7"/>
      <c r="LG63" s="7"/>
      <c r="LN63" s="7"/>
      <c r="LU63" s="7"/>
      <c r="MB63" s="7"/>
      <c r="MI63" s="7"/>
      <c r="MP63" s="7"/>
      <c r="MW63" s="7"/>
      <c r="ND63" s="7"/>
    </row>
    <row r="64" spans="1:368" hidden="1" x14ac:dyDescent="0.25">
      <c r="A64" s="8"/>
      <c r="B64" s="8"/>
      <c r="C64" s="8"/>
      <c r="D64" s="8"/>
      <c r="E64" s="18"/>
      <c r="F64" s="10" t="str">
        <f t="shared" si="357"/>
        <v/>
      </c>
      <c r="G64" s="19" t="str">
        <f t="shared" si="357"/>
        <v/>
      </c>
      <c r="H64" s="19" t="str">
        <f t="shared" si="357"/>
        <v/>
      </c>
      <c r="I64" s="8" t="str">
        <f t="shared" si="357"/>
        <v/>
      </c>
      <c r="J64" s="8" t="str">
        <f t="shared" si="357"/>
        <v/>
      </c>
      <c r="K64" s="8" t="str">
        <f t="shared" si="357"/>
        <v/>
      </c>
      <c r="L64" s="8" t="str">
        <f t="shared" si="357"/>
        <v/>
      </c>
      <c r="M64" s="8"/>
      <c r="N64" s="8"/>
      <c r="O64" s="9"/>
      <c r="P64" s="8" t="str">
        <f t="shared" si="355"/>
        <v/>
      </c>
      <c r="Q64" s="108" t="str">
        <f t="shared" si="356"/>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T64" s="7"/>
      <c r="IA64" s="7"/>
      <c r="IH64" s="7"/>
      <c r="IO64" s="7"/>
      <c r="IV64" s="7"/>
      <c r="JC64" s="7"/>
      <c r="JJ64" s="7"/>
      <c r="JQ64" s="7"/>
      <c r="JX64" s="7"/>
      <c r="KE64" s="7"/>
      <c r="KL64" s="7"/>
      <c r="KS64" s="7"/>
      <c r="KZ64" s="7"/>
      <c r="LG64" s="7"/>
      <c r="LN64" s="7"/>
      <c r="LU64" s="7"/>
      <c r="MB64" s="7"/>
      <c r="MI64" s="7"/>
      <c r="MP64" s="7"/>
      <c r="MW64" s="7"/>
      <c r="ND64" s="7"/>
    </row>
    <row r="65" spans="1:368" hidden="1" x14ac:dyDescent="0.25">
      <c r="A65" s="8"/>
      <c r="B65" s="8"/>
      <c r="C65" s="8"/>
      <c r="D65" s="8"/>
      <c r="E65" s="18"/>
      <c r="F65" s="10" t="str">
        <f t="shared" si="357"/>
        <v/>
      </c>
      <c r="G65" s="19" t="str">
        <f t="shared" si="357"/>
        <v/>
      </c>
      <c r="H65" s="19" t="str">
        <f t="shared" si="357"/>
        <v/>
      </c>
      <c r="I65" s="8" t="str">
        <f t="shared" si="357"/>
        <v/>
      </c>
      <c r="J65" s="8" t="str">
        <f t="shared" si="357"/>
        <v/>
      </c>
      <c r="K65" s="8" t="str">
        <f t="shared" si="357"/>
        <v/>
      </c>
      <c r="L65" s="8" t="str">
        <f t="shared" si="357"/>
        <v/>
      </c>
      <c r="M65" s="8"/>
      <c r="N65" s="8"/>
      <c r="O65" s="9"/>
      <c r="P65" s="8" t="str">
        <f t="shared" si="355"/>
        <v/>
      </c>
      <c r="Q65" s="108" t="str">
        <f t="shared" si="356"/>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T65" s="7"/>
      <c r="IA65" s="7"/>
      <c r="IH65" s="7"/>
      <c r="IO65" s="7"/>
      <c r="IV65" s="7"/>
      <c r="JC65" s="7"/>
      <c r="JJ65" s="7"/>
      <c r="JQ65" s="7"/>
      <c r="JX65" s="7"/>
      <c r="KE65" s="7"/>
      <c r="KL65" s="7"/>
      <c r="KS65" s="7"/>
      <c r="KZ65" s="7"/>
      <c r="LG65" s="7"/>
      <c r="LN65" s="7"/>
      <c r="LU65" s="7"/>
      <c r="MB65" s="7"/>
      <c r="MI65" s="7"/>
      <c r="MP65" s="7"/>
      <c r="MW65" s="7"/>
      <c r="ND65" s="7"/>
    </row>
    <row r="66" spans="1:368" hidden="1" x14ac:dyDescent="0.25">
      <c r="A66" s="8"/>
      <c r="B66" s="8"/>
      <c r="C66" s="8"/>
      <c r="D66" s="8"/>
      <c r="E66" s="18"/>
      <c r="F66" s="10" t="str">
        <f t="shared" si="357"/>
        <v/>
      </c>
      <c r="G66" s="19" t="str">
        <f t="shared" si="357"/>
        <v/>
      </c>
      <c r="H66" s="19" t="str">
        <f t="shared" si="357"/>
        <v/>
      </c>
      <c r="I66" s="8" t="str">
        <f t="shared" si="357"/>
        <v/>
      </c>
      <c r="J66" s="8" t="str">
        <f t="shared" si="357"/>
        <v/>
      </c>
      <c r="K66" s="8" t="str">
        <f t="shared" si="357"/>
        <v/>
      </c>
      <c r="L66" s="8" t="str">
        <f t="shared" si="357"/>
        <v/>
      </c>
      <c r="M66" s="8"/>
      <c r="N66" s="8"/>
      <c r="O66" s="9"/>
      <c r="P66" s="8" t="str">
        <f t="shared" si="355"/>
        <v/>
      </c>
      <c r="Q66" s="108" t="str">
        <f t="shared" si="356"/>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T66" s="7"/>
      <c r="IA66" s="7"/>
      <c r="IH66" s="7"/>
      <c r="IO66" s="7"/>
      <c r="IV66" s="7"/>
      <c r="JC66" s="7"/>
      <c r="JJ66" s="7"/>
      <c r="JQ66" s="7"/>
      <c r="JX66" s="7"/>
      <c r="KE66" s="7"/>
      <c r="KL66" s="7"/>
      <c r="KS66" s="7"/>
      <c r="KZ66" s="7"/>
      <c r="LG66" s="7"/>
      <c r="LN66" s="7"/>
      <c r="LU66" s="7"/>
      <c r="MB66" s="7"/>
      <c r="MI66" s="7"/>
      <c r="MP66" s="7"/>
      <c r="MW66" s="7"/>
      <c r="ND66" s="7"/>
    </row>
    <row r="67" spans="1:368" x14ac:dyDescent="0.25">
      <c r="A67" s="8" t="s">
        <v>80</v>
      </c>
      <c r="B67" s="8"/>
      <c r="C67" s="8"/>
      <c r="D67" s="8" t="s">
        <v>557</v>
      </c>
      <c r="E67" s="144" t="s">
        <v>558</v>
      </c>
      <c r="F67" s="10"/>
      <c r="G67" s="19"/>
      <c r="H67" s="19"/>
      <c r="I67" s="8"/>
      <c r="J67" s="8"/>
      <c r="K67" s="8"/>
      <c r="L67" s="8"/>
      <c r="M67" s="8"/>
      <c r="N67" s="8"/>
      <c r="O67" s="9"/>
      <c r="P67" s="8">
        <f t="shared" si="355"/>
        <v>1</v>
      </c>
      <c r="Q67" s="108">
        <f t="shared" si="356"/>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T67" s="7"/>
      <c r="IA67" s="7"/>
      <c r="IH67" s="7"/>
      <c r="IO67" s="7"/>
      <c r="IV67" s="7"/>
      <c r="JC67" s="7"/>
      <c r="JJ67" s="7"/>
      <c r="JQ67" s="7"/>
      <c r="JX67" s="7"/>
      <c r="KE67" s="7"/>
      <c r="KL67" s="7"/>
      <c r="KS67" s="7"/>
      <c r="KZ67" s="7"/>
      <c r="LG67" s="7"/>
      <c r="LN67" s="7"/>
      <c r="LU67" s="7"/>
      <c r="MB67" s="7"/>
      <c r="MI67" s="7"/>
      <c r="MP67" s="7"/>
      <c r="MW67" s="7"/>
      <c r="ND67" s="7"/>
    </row>
    <row r="68" spans="1:368" ht="7.5" customHeight="1" x14ac:dyDescent="0.25">
      <c r="A68" s="8"/>
      <c r="B68" s="8"/>
      <c r="C68" s="8"/>
      <c r="D68" s="8"/>
      <c r="E68" s="18"/>
      <c r="F68" s="10" t="str">
        <f t="shared" si="357"/>
        <v/>
      </c>
      <c r="G68" s="19" t="str">
        <f t="shared" si="357"/>
        <v/>
      </c>
      <c r="H68" s="19" t="str">
        <f t="shared" si="357"/>
        <v/>
      </c>
      <c r="I68" s="19" t="str">
        <f t="shared" si="357"/>
        <v/>
      </c>
      <c r="J68" s="19" t="str">
        <f t="shared" si="357"/>
        <v/>
      </c>
      <c r="K68" s="19" t="str">
        <f t="shared" si="357"/>
        <v/>
      </c>
      <c r="L68" s="19" t="str">
        <f t="shared" si="357"/>
        <v/>
      </c>
      <c r="M68" s="8"/>
      <c r="N68" s="8"/>
      <c r="O68" s="9"/>
      <c r="P68" s="8" t="str">
        <f t="shared" si="355"/>
        <v/>
      </c>
      <c r="Q68" s="108" t="str">
        <f t="shared" si="356"/>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T68" s="7"/>
      <c r="IA68" s="7"/>
      <c r="IH68" s="7"/>
      <c r="IO68" s="7"/>
      <c r="IV68" s="7"/>
      <c r="JC68" s="7"/>
      <c r="JJ68" s="7"/>
      <c r="JQ68" s="7"/>
      <c r="JX68" s="7"/>
      <c r="KE68" s="7"/>
      <c r="KL68" s="7"/>
      <c r="KS68" s="7"/>
      <c r="KZ68" s="7"/>
      <c r="LG68" s="7"/>
      <c r="LN68" s="7"/>
      <c r="LU68" s="7"/>
      <c r="MB68" s="7"/>
      <c r="MI68" s="7"/>
      <c r="MP68" s="7"/>
      <c r="MW68" s="7"/>
      <c r="ND68" s="7"/>
    </row>
    <row r="69" spans="1:368" ht="15" customHeight="1" x14ac:dyDescent="0.25">
      <c r="A69" s="23" t="s">
        <v>18</v>
      </c>
      <c r="B69" s="20"/>
      <c r="C69" s="20"/>
      <c r="D69" s="20"/>
      <c r="E69" s="59"/>
      <c r="F69" s="20"/>
      <c r="G69" s="20"/>
      <c r="H69" s="20"/>
      <c r="I69" s="20"/>
      <c r="J69" s="20"/>
      <c r="K69" s="20"/>
      <c r="L69" s="20"/>
      <c r="M69" s="20"/>
      <c r="N69" s="20"/>
      <c r="O69" s="21"/>
      <c r="P69" s="3">
        <f>SUM(S69:ND69)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1"/>
      <c r="HU69" s="20"/>
      <c r="HV69" s="20"/>
      <c r="HW69" s="20"/>
      <c r="HX69" s="20"/>
      <c r="HY69" s="20"/>
      <c r="HZ69" s="20"/>
      <c r="IA69" s="21"/>
      <c r="IB69" s="20"/>
      <c r="IC69" s="20"/>
      <c r="ID69" s="20"/>
      <c r="IE69" s="20"/>
      <c r="IF69" s="20"/>
      <c r="IG69" s="20"/>
      <c r="IH69" s="21"/>
      <c r="II69" s="20"/>
      <c r="IJ69" s="20"/>
      <c r="IK69" s="20"/>
      <c r="IL69" s="20"/>
      <c r="IM69" s="20"/>
      <c r="IN69" s="20"/>
      <c r="IO69" s="21"/>
      <c r="IP69" s="20"/>
      <c r="IQ69" s="20"/>
      <c r="IR69" s="20"/>
      <c r="IS69" s="20"/>
      <c r="IT69" s="20"/>
      <c r="IU69" s="20"/>
      <c r="IV69" s="21"/>
      <c r="IW69" s="20"/>
      <c r="IX69" s="20"/>
      <c r="IY69" s="20"/>
      <c r="IZ69" s="20"/>
      <c r="JA69" s="20"/>
      <c r="JB69" s="20"/>
      <c r="JC69" s="21"/>
      <c r="JD69" s="20"/>
      <c r="JE69" s="20"/>
      <c r="JF69" s="20"/>
      <c r="JG69" s="20"/>
      <c r="JH69" s="20"/>
      <c r="JI69" s="20"/>
      <c r="JJ69" s="21"/>
      <c r="JK69" s="20"/>
      <c r="JL69" s="20"/>
      <c r="JM69" s="20"/>
      <c r="JN69" s="20"/>
      <c r="JO69" s="20"/>
      <c r="JP69" s="20"/>
      <c r="JQ69" s="21"/>
      <c r="JR69" s="20"/>
      <c r="JS69" s="20"/>
      <c r="JT69" s="20"/>
      <c r="JU69" s="20"/>
      <c r="JV69" s="20"/>
      <c r="JW69" s="20"/>
      <c r="JX69" s="21"/>
      <c r="JY69" s="20"/>
      <c r="JZ69" s="20"/>
      <c r="KA69" s="20"/>
      <c r="KB69" s="20"/>
      <c r="KC69" s="20"/>
      <c r="KD69" s="20"/>
      <c r="KE69" s="21"/>
      <c r="KF69" s="20"/>
      <c r="KG69" s="20"/>
      <c r="KH69" s="20"/>
      <c r="KI69" s="20"/>
      <c r="KJ69" s="20"/>
      <c r="KK69" s="20"/>
      <c r="KL69" s="21"/>
      <c r="KM69" s="20"/>
      <c r="KN69" s="20"/>
      <c r="KO69" s="20"/>
      <c r="KP69" s="20"/>
      <c r="KQ69" s="20"/>
      <c r="KR69" s="20"/>
      <c r="KS69" s="21"/>
      <c r="KT69" s="20"/>
      <c r="KU69" s="20"/>
      <c r="KV69" s="20"/>
      <c r="KW69" s="20"/>
      <c r="KX69" s="20"/>
      <c r="KY69" s="20"/>
      <c r="KZ69" s="21"/>
      <c r="LA69" s="20"/>
      <c r="LB69" s="20"/>
      <c r="LC69" s="20"/>
      <c r="LD69" s="20"/>
      <c r="LE69" s="20"/>
      <c r="LF69" s="20"/>
      <c r="LG69" s="21"/>
      <c r="LH69" s="20"/>
      <c r="LI69" s="20"/>
      <c r="LJ69" s="20"/>
      <c r="LK69" s="20"/>
      <c r="LL69" s="20"/>
      <c r="LM69" s="20"/>
      <c r="LN69" s="21"/>
      <c r="LO69" s="20"/>
      <c r="LP69" s="20"/>
      <c r="LQ69" s="20"/>
      <c r="LR69" s="20"/>
      <c r="LS69" s="20"/>
      <c r="LT69" s="20"/>
      <c r="LU69" s="21"/>
      <c r="LV69" s="20"/>
      <c r="LW69" s="20"/>
      <c r="LX69" s="20"/>
      <c r="LY69" s="20"/>
      <c r="LZ69" s="20"/>
      <c r="MA69" s="20"/>
      <c r="MB69" s="21"/>
      <c r="MC69" s="20"/>
      <c r="MD69" s="20"/>
      <c r="ME69" s="20"/>
      <c r="MF69" s="20"/>
      <c r="MG69" s="20"/>
      <c r="MH69" s="20"/>
      <c r="MI69" s="21"/>
      <c r="MJ69" s="20"/>
      <c r="MK69" s="20"/>
      <c r="ML69" s="20"/>
      <c r="MM69" s="20"/>
      <c r="MN69" s="20"/>
      <c r="MO69" s="20"/>
      <c r="MP69" s="21"/>
      <c r="MQ69" s="20"/>
      <c r="MR69" s="20"/>
      <c r="MS69" s="20"/>
      <c r="MT69" s="20"/>
      <c r="MU69" s="20"/>
      <c r="MV69" s="20"/>
      <c r="MW69" s="21"/>
      <c r="MX69" s="20"/>
      <c r="MY69" s="20"/>
      <c r="MZ69" s="20"/>
      <c r="NA69" s="20"/>
      <c r="NB69" s="20"/>
      <c r="NC69" s="20"/>
      <c r="ND69" s="21"/>
    </row>
    <row r="70" spans="1:368"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58">IF(SUM(S44:S68) &gt; 0, SUM(S44:S68), "")</f>
        <v/>
      </c>
      <c r="T70" s="123" t="str">
        <f t="shared" si="358"/>
        <v/>
      </c>
      <c r="U70" s="123" t="str">
        <f t="shared" si="358"/>
        <v/>
      </c>
      <c r="V70" s="123" t="str">
        <f t="shared" si="358"/>
        <v/>
      </c>
      <c r="W70" s="123" t="str">
        <f t="shared" si="358"/>
        <v/>
      </c>
      <c r="X70" s="123" t="str">
        <f t="shared" si="358"/>
        <v/>
      </c>
      <c r="Y70" s="123" t="str">
        <f t="shared" si="358"/>
        <v/>
      </c>
      <c r="Z70" s="61" t="str">
        <f t="shared" si="358"/>
        <v/>
      </c>
      <c r="AA70" s="123" t="str">
        <f t="shared" si="358"/>
        <v/>
      </c>
      <c r="AB70" s="123" t="str">
        <f t="shared" si="358"/>
        <v/>
      </c>
      <c r="AC70" s="123" t="str">
        <f t="shared" si="358"/>
        <v/>
      </c>
      <c r="AD70" s="123" t="str">
        <f t="shared" si="358"/>
        <v/>
      </c>
      <c r="AE70" s="123" t="str">
        <f t="shared" si="358"/>
        <v/>
      </c>
      <c r="AF70" s="123" t="str">
        <f t="shared" si="358"/>
        <v/>
      </c>
      <c r="AG70" s="61" t="str">
        <f t="shared" si="358"/>
        <v/>
      </c>
      <c r="AH70" s="123" t="str">
        <f t="shared" si="358"/>
        <v/>
      </c>
      <c r="AI70" s="123">
        <f t="shared" si="358"/>
        <v>11</v>
      </c>
      <c r="AJ70" s="123" t="str">
        <f t="shared" si="358"/>
        <v/>
      </c>
      <c r="AK70" s="123">
        <f t="shared" si="358"/>
        <v>7</v>
      </c>
      <c r="AL70" s="123" t="str">
        <f t="shared" si="358"/>
        <v/>
      </c>
      <c r="AM70" s="123" t="str">
        <f t="shared" si="358"/>
        <v/>
      </c>
      <c r="AN70" s="61" t="str">
        <f t="shared" si="358"/>
        <v/>
      </c>
      <c r="AO70" s="123" t="str">
        <f t="shared" si="358"/>
        <v/>
      </c>
      <c r="AP70" s="123">
        <f t="shared" si="358"/>
        <v>9</v>
      </c>
      <c r="AQ70" s="123" t="str">
        <f t="shared" si="358"/>
        <v/>
      </c>
      <c r="AR70" s="123">
        <f t="shared" si="358"/>
        <v>9</v>
      </c>
      <c r="AS70" s="123" t="str">
        <f t="shared" si="358"/>
        <v/>
      </c>
      <c r="AT70" s="123" t="str">
        <f t="shared" si="358"/>
        <v/>
      </c>
      <c r="AU70" s="61" t="str">
        <f t="shared" si="358"/>
        <v/>
      </c>
      <c r="AV70" s="123" t="str">
        <f t="shared" si="358"/>
        <v/>
      </c>
      <c r="AW70" s="123">
        <f t="shared" si="358"/>
        <v>9</v>
      </c>
      <c r="AX70" s="123">
        <f t="shared" si="358"/>
        <v>6</v>
      </c>
      <c r="AY70" s="123">
        <f t="shared" ref="AY70:BV70" si="359">IF(SUM(AY44:AY68) &gt; 0, SUM(AY44:AY68), "")</f>
        <v>7</v>
      </c>
      <c r="AZ70" s="123" t="str">
        <f t="shared" si="359"/>
        <v/>
      </c>
      <c r="BA70" s="123" t="str">
        <f t="shared" si="359"/>
        <v/>
      </c>
      <c r="BB70" s="61" t="str">
        <f t="shared" si="359"/>
        <v/>
      </c>
      <c r="BC70" s="123" t="str">
        <f t="shared" si="359"/>
        <v/>
      </c>
      <c r="BD70" s="123">
        <f t="shared" si="359"/>
        <v>8</v>
      </c>
      <c r="BE70" s="123" t="str">
        <f t="shared" si="359"/>
        <v/>
      </c>
      <c r="BF70" s="123">
        <f t="shared" si="359"/>
        <v>6</v>
      </c>
      <c r="BG70" s="123" t="str">
        <f t="shared" si="359"/>
        <v/>
      </c>
      <c r="BH70" s="123" t="str">
        <f t="shared" si="359"/>
        <v/>
      </c>
      <c r="BI70" s="61" t="str">
        <f t="shared" si="359"/>
        <v/>
      </c>
      <c r="BJ70" s="123" t="str">
        <f t="shared" si="359"/>
        <v/>
      </c>
      <c r="BK70" s="123">
        <f t="shared" si="359"/>
        <v>7</v>
      </c>
      <c r="BL70" s="123" t="str">
        <f t="shared" si="359"/>
        <v/>
      </c>
      <c r="BM70" s="123">
        <f t="shared" si="359"/>
        <v>10</v>
      </c>
      <c r="BN70" s="123">
        <f t="shared" si="359"/>
        <v>10</v>
      </c>
      <c r="BO70" s="123" t="str">
        <f t="shared" si="359"/>
        <v/>
      </c>
      <c r="BP70" s="61">
        <f t="shared" si="359"/>
        <v>4</v>
      </c>
      <c r="BQ70" s="123" t="str">
        <f t="shared" si="359"/>
        <v/>
      </c>
      <c r="BR70" s="123" t="str">
        <f t="shared" si="359"/>
        <v/>
      </c>
      <c r="BS70" s="123" t="str">
        <f t="shared" si="359"/>
        <v/>
      </c>
      <c r="BT70" s="123" t="str">
        <f t="shared" si="359"/>
        <v/>
      </c>
      <c r="BU70" s="123" t="str">
        <f t="shared" si="359"/>
        <v/>
      </c>
      <c r="BV70" s="123" t="str">
        <f t="shared" si="359"/>
        <v/>
      </c>
      <c r="BW70" s="123"/>
      <c r="BX70" s="123"/>
      <c r="BY70" s="61" t="str">
        <f t="shared" ref="BY70:CE70" si="360">IF(SUM(BY44:BY68) &gt; 0, SUM(BY44:BY68), "")</f>
        <v/>
      </c>
      <c r="BZ70" s="123" t="str">
        <f t="shared" si="360"/>
        <v/>
      </c>
      <c r="CA70" s="123" t="str">
        <f t="shared" si="360"/>
        <v/>
      </c>
      <c r="CB70" s="123" t="str">
        <f t="shared" si="360"/>
        <v/>
      </c>
      <c r="CC70" s="123" t="str">
        <f t="shared" si="360"/>
        <v/>
      </c>
      <c r="CD70" s="123" t="str">
        <f t="shared" si="360"/>
        <v/>
      </c>
      <c r="CE70" s="123" t="str">
        <f t="shared" si="360"/>
        <v/>
      </c>
      <c r="CF70" s="123"/>
      <c r="CG70" s="123"/>
      <c r="CH70" s="61" t="str">
        <f t="shared" ref="CH70:CO70" si="361">IF(SUM(CH44:CH68) &gt; 0, SUM(CH44:CH68), "")</f>
        <v/>
      </c>
      <c r="CI70" s="123" t="str">
        <f t="shared" si="361"/>
        <v/>
      </c>
      <c r="CJ70" s="123" t="str">
        <f t="shared" si="361"/>
        <v/>
      </c>
      <c r="CK70" s="123" t="str">
        <f t="shared" si="361"/>
        <v/>
      </c>
      <c r="CL70" s="123" t="str">
        <f t="shared" si="361"/>
        <v/>
      </c>
      <c r="CM70" s="123" t="str">
        <f t="shared" si="361"/>
        <v/>
      </c>
      <c r="CN70" s="123" t="str">
        <f t="shared" si="361"/>
        <v/>
      </c>
      <c r="CO70" s="123" t="str">
        <f t="shared" si="361"/>
        <v/>
      </c>
      <c r="CP70" s="123"/>
      <c r="CQ70" s="61" t="str">
        <f t="shared" ref="CQ70:CV70" si="362">IF(SUM(CQ44:CQ68) &gt; 0, SUM(CQ44:CQ68), "")</f>
        <v/>
      </c>
      <c r="CR70" s="123" t="str">
        <f t="shared" si="362"/>
        <v/>
      </c>
      <c r="CS70" s="123" t="str">
        <f t="shared" si="362"/>
        <v/>
      </c>
      <c r="CT70" s="123" t="str">
        <f t="shared" si="362"/>
        <v/>
      </c>
      <c r="CU70" s="123" t="str">
        <f t="shared" si="362"/>
        <v/>
      </c>
      <c r="CV70" s="123" t="str">
        <f t="shared" si="362"/>
        <v/>
      </c>
      <c r="CW70" s="123"/>
      <c r="CX70" s="123"/>
      <c r="CY70" s="123" t="str">
        <f t="shared" ref="CY70:DF70" si="363">IF(SUM(CY44:CY68) &gt; 0, SUM(CY44:CY68), "")</f>
        <v/>
      </c>
      <c r="CZ70" s="61" t="str">
        <f t="shared" si="363"/>
        <v/>
      </c>
      <c r="DA70" s="123" t="str">
        <f t="shared" si="363"/>
        <v/>
      </c>
      <c r="DB70" s="123" t="str">
        <f t="shared" si="363"/>
        <v/>
      </c>
      <c r="DC70" s="123" t="str">
        <f t="shared" si="363"/>
        <v/>
      </c>
      <c r="DD70" s="123" t="str">
        <f t="shared" si="363"/>
        <v/>
      </c>
      <c r="DE70" s="123" t="str">
        <f t="shared" si="363"/>
        <v/>
      </c>
      <c r="DF70" s="123" t="str">
        <f t="shared" si="363"/>
        <v/>
      </c>
      <c r="DG70" s="123"/>
      <c r="DH70" s="123"/>
      <c r="DI70" s="61" t="str">
        <f t="shared" ref="DI70:DO70" si="364">IF(SUM(DI44:DI68) &gt; 0, SUM(DI44:DI68), "")</f>
        <v/>
      </c>
      <c r="DJ70" s="123" t="str">
        <f t="shared" si="364"/>
        <v/>
      </c>
      <c r="DK70" s="123" t="str">
        <f t="shared" si="364"/>
        <v/>
      </c>
      <c r="DL70" s="123" t="str">
        <f t="shared" si="364"/>
        <v/>
      </c>
      <c r="DM70" s="123" t="str">
        <f t="shared" si="364"/>
        <v/>
      </c>
      <c r="DN70" s="123" t="str">
        <f t="shared" si="364"/>
        <v/>
      </c>
      <c r="DO70" s="123" t="str">
        <f t="shared" si="364"/>
        <v/>
      </c>
      <c r="DP70" s="123"/>
      <c r="DQ70" s="123"/>
      <c r="DR70" s="61" t="str">
        <f t="shared" ref="DR70:DW70" si="365">IF(SUM(DR44:DR68) &gt; 0, SUM(DR44:DR68), "")</f>
        <v/>
      </c>
      <c r="DS70" s="123" t="str">
        <f t="shared" si="365"/>
        <v/>
      </c>
      <c r="DT70" s="123">
        <f t="shared" si="365"/>
        <v>7</v>
      </c>
      <c r="DU70" s="123" t="str">
        <f t="shared" si="365"/>
        <v/>
      </c>
      <c r="DV70" s="123">
        <f t="shared" si="365"/>
        <v>5</v>
      </c>
      <c r="DW70" s="123">
        <f t="shared" si="365"/>
        <v>5</v>
      </c>
      <c r="DX70" s="123"/>
      <c r="DY70" s="123"/>
      <c r="DZ70" s="123" t="str">
        <f t="shared" ref="DZ70:EF70" si="366">IF(SUM(DZ44:DZ68) &gt; 0, SUM(DZ44:DZ68), "")</f>
        <v/>
      </c>
      <c r="EA70" s="61" t="str">
        <f t="shared" si="366"/>
        <v/>
      </c>
      <c r="EB70" s="123" t="str">
        <f t="shared" si="366"/>
        <v/>
      </c>
      <c r="EC70" s="123">
        <f t="shared" si="366"/>
        <v>6</v>
      </c>
      <c r="ED70" s="123" t="str">
        <f t="shared" si="366"/>
        <v/>
      </c>
      <c r="EE70" s="123">
        <f t="shared" si="366"/>
        <v>5</v>
      </c>
      <c r="EF70" s="123">
        <f t="shared" si="366"/>
        <v>4</v>
      </c>
      <c r="EG70" s="123"/>
      <c r="EH70" s="123"/>
      <c r="EI70" s="123" t="str">
        <f t="shared" ref="EI70:EP70" si="367">IF(SUM(EI44:EI68) &gt; 0, SUM(EI44:EI68), "")</f>
        <v/>
      </c>
      <c r="EJ70" s="61" t="str">
        <f t="shared" si="367"/>
        <v/>
      </c>
      <c r="EK70" s="123" t="str">
        <f t="shared" si="367"/>
        <v/>
      </c>
      <c r="EL70" s="123">
        <f t="shared" si="367"/>
        <v>6</v>
      </c>
      <c r="EM70" s="123" t="str">
        <f t="shared" si="367"/>
        <v/>
      </c>
      <c r="EN70" s="123">
        <f t="shared" si="367"/>
        <v>7</v>
      </c>
      <c r="EO70" s="123">
        <f t="shared" si="367"/>
        <v>5</v>
      </c>
      <c r="EP70" s="123" t="str">
        <f t="shared" si="367"/>
        <v/>
      </c>
      <c r="EQ70" s="123"/>
      <c r="ER70" s="123"/>
      <c r="ES70" s="61" t="str">
        <f t="shared" ref="ES70:EY70" si="368">IF(SUM(ES44:ES68) &gt; 0, SUM(ES44:ES68), "")</f>
        <v/>
      </c>
      <c r="ET70" s="123" t="str">
        <f t="shared" si="368"/>
        <v/>
      </c>
      <c r="EU70" s="123">
        <f t="shared" si="368"/>
        <v>9</v>
      </c>
      <c r="EV70" s="123" t="str">
        <f t="shared" si="368"/>
        <v/>
      </c>
      <c r="EW70" s="123">
        <f t="shared" si="368"/>
        <v>4</v>
      </c>
      <c r="EX70" s="123">
        <f t="shared" si="368"/>
        <v>5</v>
      </c>
      <c r="EY70" s="123" t="str">
        <f t="shared" si="368"/>
        <v/>
      </c>
      <c r="EZ70" s="123"/>
      <c r="FA70" s="123"/>
      <c r="FB70" s="61" t="str">
        <f t="shared" ref="FB70:FH70" si="369">IF(SUM(FB44:FB68) &gt; 0, SUM(FB44:FB68), "")</f>
        <v/>
      </c>
      <c r="FC70" s="123" t="str">
        <f t="shared" si="369"/>
        <v/>
      </c>
      <c r="FD70" s="123">
        <f t="shared" si="369"/>
        <v>8</v>
      </c>
      <c r="FE70" s="123" t="str">
        <f t="shared" si="369"/>
        <v/>
      </c>
      <c r="FF70" s="123">
        <f t="shared" si="369"/>
        <v>7</v>
      </c>
      <c r="FG70" s="123">
        <f t="shared" si="369"/>
        <v>5</v>
      </c>
      <c r="FH70" s="123" t="str">
        <f t="shared" si="369"/>
        <v/>
      </c>
      <c r="FI70" s="123"/>
      <c r="FJ70" s="123"/>
      <c r="FK70" s="61" t="str">
        <f t="shared" ref="FK70:FQ70" si="370">IF(SUM(FK44:FK68) &gt; 0, SUM(FK44:FK68), "")</f>
        <v/>
      </c>
      <c r="FL70" s="123" t="str">
        <f t="shared" si="370"/>
        <v/>
      </c>
      <c r="FM70" s="123">
        <f t="shared" si="370"/>
        <v>5</v>
      </c>
      <c r="FN70" s="123" t="str">
        <f t="shared" si="370"/>
        <v/>
      </c>
      <c r="FO70" s="123">
        <f t="shared" si="370"/>
        <v>6</v>
      </c>
      <c r="FP70" s="123">
        <f t="shared" si="370"/>
        <v>7</v>
      </c>
      <c r="FQ70" s="123" t="str">
        <f t="shared" si="370"/>
        <v/>
      </c>
      <c r="FR70" s="123"/>
      <c r="FS70" s="123"/>
      <c r="FT70" s="61" t="str">
        <f t="shared" ref="FT70:FZ70" si="371">IF(SUM(FT44:FT68) &gt; 0, SUM(FT44:FT68), "")</f>
        <v/>
      </c>
      <c r="FU70" s="123" t="str">
        <f t="shared" si="371"/>
        <v/>
      </c>
      <c r="FV70" s="123">
        <f t="shared" si="371"/>
        <v>8</v>
      </c>
      <c r="FW70" s="123" t="str">
        <f t="shared" si="371"/>
        <v/>
      </c>
      <c r="FX70" s="123">
        <f t="shared" si="371"/>
        <v>7</v>
      </c>
      <c r="FY70" s="123">
        <f t="shared" si="371"/>
        <v>5</v>
      </c>
      <c r="FZ70" s="123" t="str">
        <f t="shared" si="371"/>
        <v/>
      </c>
      <c r="GA70" s="123"/>
      <c r="GB70" s="123"/>
      <c r="GC70" s="61" t="str">
        <f t="shared" ref="GC70:GI70" si="372">IF(SUM(GC44:GC68) &gt; 0, SUM(GC44:GC68), "")</f>
        <v/>
      </c>
      <c r="GD70" s="123" t="str">
        <f t="shared" si="372"/>
        <v/>
      </c>
      <c r="GE70" s="123">
        <f t="shared" si="372"/>
        <v>4</v>
      </c>
      <c r="GF70" s="123" t="str">
        <f t="shared" si="372"/>
        <v/>
      </c>
      <c r="GG70" s="123">
        <f t="shared" si="372"/>
        <v>5</v>
      </c>
      <c r="GH70" s="123">
        <f t="shared" si="372"/>
        <v>7</v>
      </c>
      <c r="GI70" s="123" t="str">
        <f t="shared" si="372"/>
        <v/>
      </c>
      <c r="GJ70" s="123"/>
      <c r="GK70" s="123"/>
      <c r="GL70" s="61" t="str">
        <f t="shared" ref="GL70:GS70" si="373">IF(SUM(GL44:GL68) &gt; 0, SUM(GL44:GL68), "")</f>
        <v/>
      </c>
      <c r="GM70" s="123" t="str">
        <f t="shared" si="373"/>
        <v/>
      </c>
      <c r="GN70" s="123">
        <f t="shared" si="373"/>
        <v>5</v>
      </c>
      <c r="GO70" s="123" t="str">
        <f t="shared" si="373"/>
        <v/>
      </c>
      <c r="GP70" s="123">
        <f t="shared" si="373"/>
        <v>6</v>
      </c>
      <c r="GQ70" s="123">
        <f t="shared" si="373"/>
        <v>6</v>
      </c>
      <c r="GR70" s="123" t="str">
        <f t="shared" si="373"/>
        <v/>
      </c>
      <c r="GS70" s="123">
        <f t="shared" si="373"/>
        <v>6</v>
      </c>
      <c r="GT70" s="123"/>
      <c r="GU70" s="61" t="str">
        <f t="shared" ref="GU70:HA70" si="374">IF(SUM(GU44:GU68) &gt; 0, SUM(GU44:GU68), "")</f>
        <v/>
      </c>
      <c r="GV70" s="123" t="str">
        <f t="shared" si="374"/>
        <v/>
      </c>
      <c r="GW70" s="123">
        <f t="shared" si="374"/>
        <v>6</v>
      </c>
      <c r="GX70" s="123" t="str">
        <f t="shared" si="374"/>
        <v/>
      </c>
      <c r="GY70" s="123">
        <f t="shared" si="374"/>
        <v>8</v>
      </c>
      <c r="GZ70" s="123">
        <f t="shared" si="374"/>
        <v>3</v>
      </c>
      <c r="HA70" s="123" t="str">
        <f t="shared" si="374"/>
        <v/>
      </c>
      <c r="HB70" s="123"/>
      <c r="HC70" s="123"/>
      <c r="HD70" s="61" t="str">
        <f t="shared" ref="HD70:IK70" si="375">IF(SUM(HD44:HD68) &gt; 0, SUM(HD44:HD68), "")</f>
        <v/>
      </c>
      <c r="HE70" s="123" t="str">
        <f t="shared" si="375"/>
        <v/>
      </c>
      <c r="HF70" s="123" t="str">
        <f t="shared" si="375"/>
        <v/>
      </c>
      <c r="HG70" s="123" t="str">
        <f t="shared" si="375"/>
        <v/>
      </c>
      <c r="HH70" s="123" t="str">
        <f t="shared" si="375"/>
        <v/>
      </c>
      <c r="HI70" s="123" t="str">
        <f t="shared" si="375"/>
        <v/>
      </c>
      <c r="HJ70" s="123" t="str">
        <f t="shared" si="375"/>
        <v/>
      </c>
      <c r="HK70" s="123"/>
      <c r="HL70" s="123"/>
      <c r="HM70" s="61" t="str">
        <f t="shared" si="375"/>
        <v/>
      </c>
      <c r="HN70" s="123" t="str">
        <f t="shared" si="375"/>
        <v/>
      </c>
      <c r="HO70" s="123" t="str">
        <f t="shared" si="375"/>
        <v/>
      </c>
      <c r="HP70" s="123" t="str">
        <f t="shared" si="375"/>
        <v/>
      </c>
      <c r="HQ70" s="123" t="str">
        <f t="shared" si="375"/>
        <v/>
      </c>
      <c r="HR70" s="123" t="str">
        <f t="shared" si="375"/>
        <v/>
      </c>
      <c r="HS70" s="123" t="str">
        <f t="shared" si="375"/>
        <v/>
      </c>
      <c r="HT70" s="61" t="str">
        <f t="shared" si="375"/>
        <v/>
      </c>
      <c r="HU70" s="123" t="str">
        <f t="shared" si="375"/>
        <v/>
      </c>
      <c r="HV70" s="123" t="str">
        <f t="shared" si="375"/>
        <v/>
      </c>
      <c r="HW70" s="123" t="str">
        <f t="shared" si="375"/>
        <v/>
      </c>
      <c r="HX70" s="123" t="str">
        <f t="shared" si="375"/>
        <v/>
      </c>
      <c r="HY70" s="123" t="str">
        <f t="shared" si="375"/>
        <v/>
      </c>
      <c r="HZ70" s="123" t="str">
        <f t="shared" si="375"/>
        <v/>
      </c>
      <c r="IA70" s="61" t="str">
        <f t="shared" si="375"/>
        <v/>
      </c>
      <c r="IB70" s="123" t="str">
        <f t="shared" si="375"/>
        <v/>
      </c>
      <c r="IC70" s="123" t="str">
        <f t="shared" si="375"/>
        <v/>
      </c>
      <c r="ID70" s="123" t="str">
        <f t="shared" si="375"/>
        <v/>
      </c>
      <c r="IE70" s="123" t="str">
        <f t="shared" si="375"/>
        <v/>
      </c>
      <c r="IF70" s="123" t="str">
        <f t="shared" si="375"/>
        <v/>
      </c>
      <c r="IG70" s="123" t="str">
        <f t="shared" si="375"/>
        <v/>
      </c>
      <c r="IH70" s="61" t="str">
        <f t="shared" si="375"/>
        <v/>
      </c>
      <c r="II70" s="123" t="str">
        <f t="shared" si="375"/>
        <v/>
      </c>
      <c r="IJ70" s="123" t="str">
        <f t="shared" si="375"/>
        <v/>
      </c>
      <c r="IK70" s="123" t="str">
        <f t="shared" si="375"/>
        <v/>
      </c>
      <c r="IL70" s="123" t="str">
        <f t="shared" ref="IL70:JQ70" si="376">IF(SUM(IL44:IL68) &gt; 0, SUM(IL44:IL68), "")</f>
        <v/>
      </c>
      <c r="IM70" s="123" t="str">
        <f t="shared" si="376"/>
        <v/>
      </c>
      <c r="IN70" s="123" t="str">
        <f t="shared" si="376"/>
        <v/>
      </c>
      <c r="IO70" s="61" t="str">
        <f t="shared" si="376"/>
        <v/>
      </c>
      <c r="IP70" s="123" t="str">
        <f t="shared" si="376"/>
        <v/>
      </c>
      <c r="IQ70" s="123" t="str">
        <f t="shared" si="376"/>
        <v/>
      </c>
      <c r="IR70" s="123" t="str">
        <f t="shared" si="376"/>
        <v/>
      </c>
      <c r="IS70" s="123" t="str">
        <f t="shared" si="376"/>
        <v/>
      </c>
      <c r="IT70" s="123" t="str">
        <f t="shared" si="376"/>
        <v/>
      </c>
      <c r="IU70" s="123" t="str">
        <f t="shared" si="376"/>
        <v/>
      </c>
      <c r="IV70" s="61" t="str">
        <f t="shared" si="376"/>
        <v/>
      </c>
      <c r="IW70" s="123" t="str">
        <f t="shared" si="376"/>
        <v/>
      </c>
      <c r="IX70" s="123" t="str">
        <f t="shared" si="376"/>
        <v/>
      </c>
      <c r="IY70" s="123" t="str">
        <f t="shared" si="376"/>
        <v/>
      </c>
      <c r="IZ70" s="123" t="str">
        <f t="shared" si="376"/>
        <v/>
      </c>
      <c r="JA70" s="123" t="str">
        <f t="shared" si="376"/>
        <v/>
      </c>
      <c r="JB70" s="123" t="str">
        <f t="shared" si="376"/>
        <v/>
      </c>
      <c r="JC70" s="61" t="str">
        <f t="shared" si="376"/>
        <v/>
      </c>
      <c r="JD70" s="123" t="str">
        <f t="shared" si="376"/>
        <v/>
      </c>
      <c r="JE70" s="123" t="str">
        <f t="shared" si="376"/>
        <v/>
      </c>
      <c r="JF70" s="123" t="str">
        <f t="shared" si="376"/>
        <v/>
      </c>
      <c r="JG70" s="123" t="str">
        <f t="shared" si="376"/>
        <v/>
      </c>
      <c r="JH70" s="123" t="str">
        <f t="shared" si="376"/>
        <v/>
      </c>
      <c r="JI70" s="123" t="str">
        <f t="shared" si="376"/>
        <v/>
      </c>
      <c r="JJ70" s="61" t="str">
        <f t="shared" si="376"/>
        <v/>
      </c>
      <c r="JK70" s="123" t="str">
        <f t="shared" si="376"/>
        <v/>
      </c>
      <c r="JL70" s="123" t="str">
        <f t="shared" si="376"/>
        <v/>
      </c>
      <c r="JM70" s="123" t="str">
        <f t="shared" si="376"/>
        <v/>
      </c>
      <c r="JN70" s="123" t="str">
        <f t="shared" si="376"/>
        <v/>
      </c>
      <c r="JO70" s="123" t="str">
        <f t="shared" si="376"/>
        <v/>
      </c>
      <c r="JP70" s="123" t="str">
        <f t="shared" si="376"/>
        <v/>
      </c>
      <c r="JQ70" s="61" t="str">
        <f t="shared" si="376"/>
        <v/>
      </c>
      <c r="JR70" s="123" t="str">
        <f t="shared" ref="JR70:KW70" si="377">IF(SUM(JR44:JR68) &gt; 0, SUM(JR44:JR68), "")</f>
        <v/>
      </c>
      <c r="JS70" s="123" t="str">
        <f t="shared" si="377"/>
        <v/>
      </c>
      <c r="JT70" s="123" t="str">
        <f t="shared" si="377"/>
        <v/>
      </c>
      <c r="JU70" s="123" t="str">
        <f t="shared" si="377"/>
        <v/>
      </c>
      <c r="JV70" s="123" t="str">
        <f t="shared" si="377"/>
        <v/>
      </c>
      <c r="JW70" s="123" t="str">
        <f t="shared" si="377"/>
        <v/>
      </c>
      <c r="JX70" s="61" t="str">
        <f t="shared" si="377"/>
        <v/>
      </c>
      <c r="JY70" s="123" t="str">
        <f t="shared" si="377"/>
        <v/>
      </c>
      <c r="JZ70" s="123" t="str">
        <f t="shared" si="377"/>
        <v/>
      </c>
      <c r="KA70" s="123" t="str">
        <f t="shared" si="377"/>
        <v/>
      </c>
      <c r="KB70" s="123" t="str">
        <f t="shared" si="377"/>
        <v/>
      </c>
      <c r="KC70" s="123" t="str">
        <f t="shared" si="377"/>
        <v/>
      </c>
      <c r="KD70" s="123" t="str">
        <f t="shared" si="377"/>
        <v/>
      </c>
      <c r="KE70" s="61" t="str">
        <f t="shared" si="377"/>
        <v/>
      </c>
      <c r="KF70" s="123" t="str">
        <f t="shared" si="377"/>
        <v/>
      </c>
      <c r="KG70" s="123" t="str">
        <f t="shared" si="377"/>
        <v/>
      </c>
      <c r="KH70" s="123" t="str">
        <f t="shared" si="377"/>
        <v/>
      </c>
      <c r="KI70" s="123" t="str">
        <f t="shared" si="377"/>
        <v/>
      </c>
      <c r="KJ70" s="123" t="str">
        <f t="shared" si="377"/>
        <v/>
      </c>
      <c r="KK70" s="123" t="str">
        <f t="shared" si="377"/>
        <v/>
      </c>
      <c r="KL70" s="61" t="str">
        <f t="shared" si="377"/>
        <v/>
      </c>
      <c r="KM70" s="123" t="str">
        <f t="shared" si="377"/>
        <v/>
      </c>
      <c r="KN70" s="123" t="str">
        <f t="shared" si="377"/>
        <v/>
      </c>
      <c r="KO70" s="123" t="str">
        <f t="shared" si="377"/>
        <v/>
      </c>
      <c r="KP70" s="123" t="str">
        <f t="shared" si="377"/>
        <v/>
      </c>
      <c r="KQ70" s="123" t="str">
        <f t="shared" si="377"/>
        <v/>
      </c>
      <c r="KR70" s="123" t="str">
        <f t="shared" si="377"/>
        <v/>
      </c>
      <c r="KS70" s="61" t="str">
        <f t="shared" si="377"/>
        <v/>
      </c>
      <c r="KT70" s="123" t="str">
        <f t="shared" si="377"/>
        <v/>
      </c>
      <c r="KU70" s="123" t="str">
        <f t="shared" si="377"/>
        <v/>
      </c>
      <c r="KV70" s="123" t="str">
        <f t="shared" si="377"/>
        <v/>
      </c>
      <c r="KW70" s="123" t="str">
        <f t="shared" si="377"/>
        <v/>
      </c>
      <c r="KX70" s="123" t="str">
        <f t="shared" ref="KX70:MC70" si="378">IF(SUM(KX44:KX68) &gt; 0, SUM(KX44:KX68), "")</f>
        <v/>
      </c>
      <c r="KY70" s="123" t="str">
        <f t="shared" si="378"/>
        <v/>
      </c>
      <c r="KZ70" s="61" t="str">
        <f t="shared" si="378"/>
        <v/>
      </c>
      <c r="LA70" s="123" t="str">
        <f t="shared" si="378"/>
        <v/>
      </c>
      <c r="LB70" s="123" t="str">
        <f t="shared" si="378"/>
        <v/>
      </c>
      <c r="LC70" s="123" t="str">
        <f t="shared" si="378"/>
        <v/>
      </c>
      <c r="LD70" s="123" t="str">
        <f t="shared" si="378"/>
        <v/>
      </c>
      <c r="LE70" s="123" t="str">
        <f t="shared" si="378"/>
        <v/>
      </c>
      <c r="LF70" s="123" t="str">
        <f t="shared" si="378"/>
        <v/>
      </c>
      <c r="LG70" s="61" t="str">
        <f t="shared" si="378"/>
        <v/>
      </c>
      <c r="LH70" s="123" t="str">
        <f t="shared" si="378"/>
        <v/>
      </c>
      <c r="LI70" s="123" t="str">
        <f t="shared" si="378"/>
        <v/>
      </c>
      <c r="LJ70" s="123" t="str">
        <f t="shared" si="378"/>
        <v/>
      </c>
      <c r="LK70" s="123" t="str">
        <f t="shared" si="378"/>
        <v/>
      </c>
      <c r="LL70" s="123" t="str">
        <f t="shared" si="378"/>
        <v/>
      </c>
      <c r="LM70" s="123" t="str">
        <f t="shared" si="378"/>
        <v/>
      </c>
      <c r="LN70" s="61" t="str">
        <f t="shared" si="378"/>
        <v/>
      </c>
      <c r="LO70" s="123" t="str">
        <f t="shared" si="378"/>
        <v/>
      </c>
      <c r="LP70" s="123" t="str">
        <f t="shared" si="378"/>
        <v/>
      </c>
      <c r="LQ70" s="123" t="str">
        <f t="shared" si="378"/>
        <v/>
      </c>
      <c r="LR70" s="123" t="str">
        <f t="shared" si="378"/>
        <v/>
      </c>
      <c r="LS70" s="123" t="str">
        <f t="shared" si="378"/>
        <v/>
      </c>
      <c r="LT70" s="123" t="str">
        <f t="shared" si="378"/>
        <v/>
      </c>
      <c r="LU70" s="61" t="str">
        <f t="shared" si="378"/>
        <v/>
      </c>
      <c r="LV70" s="123" t="str">
        <f t="shared" si="378"/>
        <v/>
      </c>
      <c r="LW70" s="123" t="str">
        <f t="shared" si="378"/>
        <v/>
      </c>
      <c r="LX70" s="123" t="str">
        <f t="shared" si="378"/>
        <v/>
      </c>
      <c r="LY70" s="123" t="str">
        <f t="shared" si="378"/>
        <v/>
      </c>
      <c r="LZ70" s="123" t="str">
        <f t="shared" si="378"/>
        <v/>
      </c>
      <c r="MA70" s="123" t="str">
        <f t="shared" si="378"/>
        <v/>
      </c>
      <c r="MB70" s="61" t="str">
        <f t="shared" si="378"/>
        <v/>
      </c>
      <c r="MC70" s="123" t="str">
        <f t="shared" si="378"/>
        <v/>
      </c>
      <c r="MD70" s="123" t="str">
        <f t="shared" ref="MD70:ND70" si="379">IF(SUM(MD44:MD68) &gt; 0, SUM(MD44:MD68), "")</f>
        <v/>
      </c>
      <c r="ME70" s="123" t="str">
        <f t="shared" si="379"/>
        <v/>
      </c>
      <c r="MF70" s="123" t="str">
        <f t="shared" si="379"/>
        <v/>
      </c>
      <c r="MG70" s="123" t="str">
        <f t="shared" si="379"/>
        <v/>
      </c>
      <c r="MH70" s="123" t="str">
        <f t="shared" si="379"/>
        <v/>
      </c>
      <c r="MI70" s="61" t="str">
        <f t="shared" si="379"/>
        <v/>
      </c>
      <c r="MJ70" s="123" t="str">
        <f t="shared" si="379"/>
        <v/>
      </c>
      <c r="MK70" s="123" t="str">
        <f t="shared" si="379"/>
        <v/>
      </c>
      <c r="ML70" s="123" t="str">
        <f t="shared" si="379"/>
        <v/>
      </c>
      <c r="MM70" s="123" t="str">
        <f t="shared" si="379"/>
        <v/>
      </c>
      <c r="MN70" s="123" t="str">
        <f t="shared" si="379"/>
        <v/>
      </c>
      <c r="MO70" s="123" t="str">
        <f t="shared" si="379"/>
        <v/>
      </c>
      <c r="MP70" s="61" t="str">
        <f t="shared" si="379"/>
        <v/>
      </c>
      <c r="MQ70" s="123" t="str">
        <f t="shared" si="379"/>
        <v/>
      </c>
      <c r="MR70" s="123" t="str">
        <f t="shared" si="379"/>
        <v/>
      </c>
      <c r="MS70" s="123" t="str">
        <f t="shared" si="379"/>
        <v/>
      </c>
      <c r="MT70" s="123" t="str">
        <f t="shared" si="379"/>
        <v/>
      </c>
      <c r="MU70" s="123" t="str">
        <f t="shared" si="379"/>
        <v/>
      </c>
      <c r="MV70" s="123" t="str">
        <f t="shared" si="379"/>
        <v/>
      </c>
      <c r="MW70" s="61" t="str">
        <f t="shared" si="379"/>
        <v/>
      </c>
      <c r="MX70" s="123" t="str">
        <f t="shared" si="379"/>
        <v/>
      </c>
      <c r="MY70" s="123" t="str">
        <f t="shared" si="379"/>
        <v/>
      </c>
      <c r="MZ70" s="123" t="str">
        <f t="shared" si="379"/>
        <v/>
      </c>
      <c r="NA70" s="123" t="str">
        <f t="shared" si="379"/>
        <v/>
      </c>
      <c r="NB70" s="123" t="str">
        <f t="shared" si="379"/>
        <v/>
      </c>
      <c r="NC70" s="123" t="str">
        <f t="shared" si="379"/>
        <v/>
      </c>
      <c r="ND70" s="61" t="str">
        <f t="shared" si="379"/>
        <v/>
      </c>
    </row>
    <row r="71" spans="1:368" ht="72.75" hidden="1" customHeight="1" x14ac:dyDescent="0.25">
      <c r="A71" s="117"/>
      <c r="B71" s="113"/>
      <c r="C71" s="113"/>
      <c r="D71" s="113"/>
      <c r="E71" s="118"/>
      <c r="F71" s="113"/>
      <c r="G71" s="113"/>
      <c r="H71" s="113"/>
      <c r="I71" s="113"/>
      <c r="J71" s="113"/>
      <c r="K71" s="113"/>
      <c r="L71" s="113"/>
      <c r="M71" s="113"/>
      <c r="N71" s="113"/>
      <c r="O71" s="113"/>
      <c r="P71" s="119" t="s">
        <v>408</v>
      </c>
      <c r="Q71" s="120" t="s">
        <v>408</v>
      </c>
      <c r="R71" s="121"/>
      <c r="S71" s="49">
        <f t="shared" ref="S71:AX71" si="380">S1</f>
        <v>43975</v>
      </c>
      <c r="T71" s="49">
        <f t="shared" si="380"/>
        <v>43976</v>
      </c>
      <c r="U71" s="49">
        <f t="shared" si="380"/>
        <v>43977</v>
      </c>
      <c r="V71" s="49">
        <f t="shared" si="380"/>
        <v>43978</v>
      </c>
      <c r="W71" s="49">
        <f t="shared" si="380"/>
        <v>43979</v>
      </c>
      <c r="X71" s="49">
        <f t="shared" si="380"/>
        <v>43980</v>
      </c>
      <c r="Y71" s="49">
        <f t="shared" si="380"/>
        <v>43981</v>
      </c>
      <c r="Z71" s="49">
        <f t="shared" si="380"/>
        <v>43982</v>
      </c>
      <c r="AA71" s="49">
        <f t="shared" si="380"/>
        <v>43983</v>
      </c>
      <c r="AB71" s="49">
        <f t="shared" si="380"/>
        <v>43984</v>
      </c>
      <c r="AC71" s="49">
        <f t="shared" si="380"/>
        <v>43985</v>
      </c>
      <c r="AD71" s="49">
        <f t="shared" si="380"/>
        <v>43986</v>
      </c>
      <c r="AE71" s="49">
        <f t="shared" si="380"/>
        <v>43987</v>
      </c>
      <c r="AF71" s="49">
        <f t="shared" si="380"/>
        <v>43988</v>
      </c>
      <c r="AG71" s="49">
        <f t="shared" si="380"/>
        <v>43989</v>
      </c>
      <c r="AH71" s="49">
        <f t="shared" si="380"/>
        <v>43990</v>
      </c>
      <c r="AI71" s="49">
        <f t="shared" si="380"/>
        <v>43991</v>
      </c>
      <c r="AJ71" s="49">
        <f t="shared" si="380"/>
        <v>43992</v>
      </c>
      <c r="AK71" s="49">
        <f t="shared" si="380"/>
        <v>43993</v>
      </c>
      <c r="AL71" s="49">
        <f t="shared" si="380"/>
        <v>43994</v>
      </c>
      <c r="AM71" s="49">
        <f t="shared" si="380"/>
        <v>43995</v>
      </c>
      <c r="AN71" s="49">
        <f t="shared" si="380"/>
        <v>43996</v>
      </c>
      <c r="AO71" s="49">
        <f t="shared" si="380"/>
        <v>43997</v>
      </c>
      <c r="AP71" s="49">
        <f t="shared" si="380"/>
        <v>43998</v>
      </c>
      <c r="AQ71" s="49">
        <f t="shared" si="380"/>
        <v>43999</v>
      </c>
      <c r="AR71" s="49">
        <f t="shared" si="380"/>
        <v>44000</v>
      </c>
      <c r="AS71" s="49">
        <f t="shared" si="380"/>
        <v>44001</v>
      </c>
      <c r="AT71" s="49">
        <f t="shared" si="380"/>
        <v>44002</v>
      </c>
      <c r="AU71" s="49">
        <f t="shared" si="380"/>
        <v>44003</v>
      </c>
      <c r="AV71" s="49">
        <f t="shared" si="380"/>
        <v>44004</v>
      </c>
      <c r="AW71" s="49">
        <f t="shared" si="380"/>
        <v>44005</v>
      </c>
      <c r="AX71" s="49">
        <f t="shared" si="380"/>
        <v>44006</v>
      </c>
      <c r="AY71" s="49">
        <f t="shared" ref="AY71:BW71" si="381">AY1</f>
        <v>44007</v>
      </c>
      <c r="AZ71" s="49">
        <f t="shared" si="381"/>
        <v>44008</v>
      </c>
      <c r="BA71" s="49">
        <f t="shared" si="381"/>
        <v>44009</v>
      </c>
      <c r="BB71" s="49">
        <f t="shared" si="381"/>
        <v>44010</v>
      </c>
      <c r="BC71" s="49">
        <f t="shared" si="381"/>
        <v>44011</v>
      </c>
      <c r="BD71" s="49">
        <f t="shared" si="381"/>
        <v>44012</v>
      </c>
      <c r="BE71" s="49">
        <f t="shared" si="381"/>
        <v>44013</v>
      </c>
      <c r="BF71" s="49">
        <f t="shared" si="381"/>
        <v>44014</v>
      </c>
      <c r="BG71" s="49">
        <f t="shared" si="381"/>
        <v>44015</v>
      </c>
      <c r="BH71" s="49">
        <f t="shared" si="381"/>
        <v>44016</v>
      </c>
      <c r="BI71" s="49">
        <f t="shared" si="381"/>
        <v>44017</v>
      </c>
      <c r="BJ71" s="49">
        <f t="shared" si="381"/>
        <v>44018</v>
      </c>
      <c r="BK71" s="49">
        <f t="shared" si="381"/>
        <v>44019</v>
      </c>
      <c r="BL71" s="49">
        <f t="shared" si="381"/>
        <v>44020</v>
      </c>
      <c r="BM71" s="49">
        <f t="shared" si="381"/>
        <v>44021</v>
      </c>
      <c r="BN71" s="49">
        <f t="shared" si="381"/>
        <v>44022</v>
      </c>
      <c r="BO71" s="49">
        <f t="shared" si="381"/>
        <v>44023</v>
      </c>
      <c r="BP71" s="49">
        <f t="shared" si="381"/>
        <v>44024</v>
      </c>
      <c r="BQ71" s="49">
        <f t="shared" si="381"/>
        <v>44025</v>
      </c>
      <c r="BR71" s="49">
        <f t="shared" si="381"/>
        <v>44026</v>
      </c>
      <c r="BS71" s="49">
        <f t="shared" si="381"/>
        <v>44027</v>
      </c>
      <c r="BT71" s="49">
        <f t="shared" si="381"/>
        <v>44028</v>
      </c>
      <c r="BU71" s="49">
        <f t="shared" si="381"/>
        <v>44029</v>
      </c>
      <c r="BV71" s="49">
        <f t="shared" si="381"/>
        <v>44030</v>
      </c>
      <c r="BW71" s="49">
        <f t="shared" si="381"/>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2">DS1</f>
        <v>44067</v>
      </c>
      <c r="DT71" s="49">
        <f t="shared" si="382"/>
        <v>44068</v>
      </c>
      <c r="DU71" s="49">
        <f t="shared" si="382"/>
        <v>44069</v>
      </c>
      <c r="DV71" s="49">
        <f t="shared" si="382"/>
        <v>44070</v>
      </c>
      <c r="DW71" s="49">
        <f t="shared" si="382"/>
        <v>44071</v>
      </c>
      <c r="DX71" s="49">
        <f t="shared" si="382"/>
        <v>44072</v>
      </c>
      <c r="DY71" s="49">
        <f t="shared" si="382"/>
        <v>44073</v>
      </c>
      <c r="DZ71" s="49"/>
      <c r="EA71" s="49"/>
      <c r="EB71" s="49">
        <f t="shared" ref="EB71:EH71" si="383">EB1</f>
        <v>44074</v>
      </c>
      <c r="EC71" s="49">
        <f t="shared" si="383"/>
        <v>44075</v>
      </c>
      <c r="ED71" s="49">
        <f t="shared" si="383"/>
        <v>44076</v>
      </c>
      <c r="EE71" s="49">
        <f t="shared" si="383"/>
        <v>44077</v>
      </c>
      <c r="EF71" s="49">
        <f t="shared" si="383"/>
        <v>44078</v>
      </c>
      <c r="EG71" s="49">
        <f t="shared" si="383"/>
        <v>44079</v>
      </c>
      <c r="EH71" s="49">
        <f t="shared" si="383"/>
        <v>44080</v>
      </c>
      <c r="EI71" s="49"/>
      <c r="EJ71" s="49"/>
      <c r="EK71" s="49">
        <f t="shared" ref="EK71:EQ71" si="384">EK1</f>
        <v>44081</v>
      </c>
      <c r="EL71" s="49">
        <f t="shared" si="384"/>
        <v>44082</v>
      </c>
      <c r="EM71" s="49">
        <f t="shared" si="384"/>
        <v>44083</v>
      </c>
      <c r="EN71" s="49">
        <f t="shared" si="384"/>
        <v>44084</v>
      </c>
      <c r="EO71" s="49">
        <f t="shared" si="384"/>
        <v>44085</v>
      </c>
      <c r="EP71" s="49">
        <f t="shared" si="384"/>
        <v>44086</v>
      </c>
      <c r="EQ71" s="49">
        <f t="shared" si="384"/>
        <v>44087</v>
      </c>
      <c r="ER71" s="49"/>
      <c r="ES71" s="49"/>
      <c r="ET71" s="49">
        <f t="shared" ref="ET71:EZ71" si="385">ET1</f>
        <v>44088</v>
      </c>
      <c r="EU71" s="49">
        <f t="shared" si="385"/>
        <v>44089</v>
      </c>
      <c r="EV71" s="49">
        <f t="shared" si="385"/>
        <v>44090</v>
      </c>
      <c r="EW71" s="49">
        <f t="shared" si="385"/>
        <v>44091</v>
      </c>
      <c r="EX71" s="49">
        <f t="shared" si="385"/>
        <v>44092</v>
      </c>
      <c r="EY71" s="49">
        <f t="shared" si="385"/>
        <v>44093</v>
      </c>
      <c r="EZ71" s="49">
        <f t="shared" si="385"/>
        <v>44094</v>
      </c>
      <c r="FA71" s="49"/>
      <c r="FB71" s="49"/>
      <c r="FC71" s="49">
        <f t="shared" ref="FC71:FI71" si="386">FC1</f>
        <v>44095</v>
      </c>
      <c r="FD71" s="49">
        <f t="shared" si="386"/>
        <v>44096</v>
      </c>
      <c r="FE71" s="49">
        <f t="shared" si="386"/>
        <v>44097</v>
      </c>
      <c r="FF71" s="49">
        <f t="shared" si="386"/>
        <v>44098</v>
      </c>
      <c r="FG71" s="49">
        <f t="shared" si="386"/>
        <v>44099</v>
      </c>
      <c r="FH71" s="49">
        <f t="shared" si="386"/>
        <v>44100</v>
      </c>
      <c r="FI71" s="49">
        <f t="shared" si="386"/>
        <v>44101</v>
      </c>
      <c r="FJ71" s="49"/>
      <c r="FK71" s="49"/>
      <c r="FL71" s="49">
        <f t="shared" ref="FL71:FR71" si="387">FL1</f>
        <v>44102</v>
      </c>
      <c r="FM71" s="49">
        <f t="shared" si="387"/>
        <v>44103</v>
      </c>
      <c r="FN71" s="49">
        <f t="shared" si="387"/>
        <v>44104</v>
      </c>
      <c r="FO71" s="49">
        <f t="shared" si="387"/>
        <v>44105</v>
      </c>
      <c r="FP71" s="49">
        <f t="shared" si="387"/>
        <v>44106</v>
      </c>
      <c r="FQ71" s="49">
        <f t="shared" si="387"/>
        <v>44107</v>
      </c>
      <c r="FR71" s="49">
        <f t="shared" si="387"/>
        <v>44108</v>
      </c>
      <c r="FS71" s="49"/>
      <c r="FT71" s="49"/>
      <c r="FU71" s="49">
        <f t="shared" ref="FU71:GA71" si="388">FU1</f>
        <v>44109</v>
      </c>
      <c r="FV71" s="49">
        <f t="shared" si="388"/>
        <v>44110</v>
      </c>
      <c r="FW71" s="49">
        <f t="shared" si="388"/>
        <v>44111</v>
      </c>
      <c r="FX71" s="49">
        <f t="shared" si="388"/>
        <v>44112</v>
      </c>
      <c r="FY71" s="49">
        <f t="shared" si="388"/>
        <v>44113</v>
      </c>
      <c r="FZ71" s="49">
        <f t="shared" si="388"/>
        <v>44114</v>
      </c>
      <c r="GA71" s="49">
        <f t="shared" si="388"/>
        <v>44115</v>
      </c>
      <c r="GB71" s="49"/>
      <c r="GC71" s="49"/>
      <c r="GD71" s="49">
        <f t="shared" ref="GD71:GJ71" si="389">GD1</f>
        <v>44116</v>
      </c>
      <c r="GE71" s="49">
        <f t="shared" si="389"/>
        <v>44117</v>
      </c>
      <c r="GF71" s="49">
        <f t="shared" si="389"/>
        <v>44118</v>
      </c>
      <c r="GG71" s="49">
        <f t="shared" si="389"/>
        <v>44119</v>
      </c>
      <c r="GH71" s="49">
        <f t="shared" si="389"/>
        <v>44120</v>
      </c>
      <c r="GI71" s="49">
        <f t="shared" si="389"/>
        <v>44121</v>
      </c>
      <c r="GJ71" s="49">
        <f t="shared" si="389"/>
        <v>44122</v>
      </c>
      <c r="GK71" s="49"/>
      <c r="GL71" s="49"/>
      <c r="GM71" s="49">
        <f t="shared" ref="GM71:GS71" si="390">GM1</f>
        <v>44123</v>
      </c>
      <c r="GN71" s="49">
        <f t="shared" si="390"/>
        <v>44124</v>
      </c>
      <c r="GO71" s="49">
        <f t="shared" si="390"/>
        <v>44125</v>
      </c>
      <c r="GP71" s="49">
        <f t="shared" si="390"/>
        <v>44126</v>
      </c>
      <c r="GQ71" s="49">
        <f t="shared" si="390"/>
        <v>44127</v>
      </c>
      <c r="GR71" s="49">
        <f t="shared" si="390"/>
        <v>44128</v>
      </c>
      <c r="GS71" s="49">
        <f t="shared" si="390"/>
        <v>44129</v>
      </c>
      <c r="GT71" s="49"/>
      <c r="GU71" s="49"/>
      <c r="GV71" s="49">
        <f t="shared" ref="GV71:HB71" si="391">GV1</f>
        <v>44130</v>
      </c>
      <c r="GW71" s="49">
        <f t="shared" si="391"/>
        <v>44131</v>
      </c>
      <c r="GX71" s="49">
        <f t="shared" si="391"/>
        <v>44132</v>
      </c>
      <c r="GY71" s="49">
        <f t="shared" si="391"/>
        <v>44133</v>
      </c>
      <c r="GZ71" s="49">
        <f t="shared" si="391"/>
        <v>44134</v>
      </c>
      <c r="HA71" s="49">
        <f t="shared" si="391"/>
        <v>44135</v>
      </c>
      <c r="HB71" s="49">
        <f t="shared" si="391"/>
        <v>44136</v>
      </c>
      <c r="HC71" s="49"/>
      <c r="HD71" s="49"/>
      <c r="HE71" s="49">
        <f t="shared" ref="HE71:IL71" si="392">HE1</f>
        <v>44137</v>
      </c>
      <c r="HF71" s="49">
        <f t="shared" si="392"/>
        <v>44138</v>
      </c>
      <c r="HG71" s="49">
        <f t="shared" si="392"/>
        <v>44139</v>
      </c>
      <c r="HH71" s="49">
        <f t="shared" si="392"/>
        <v>44140</v>
      </c>
      <c r="HI71" s="49">
        <f t="shared" si="392"/>
        <v>44141</v>
      </c>
      <c r="HJ71" s="49">
        <f t="shared" si="392"/>
        <v>44142</v>
      </c>
      <c r="HK71" s="49">
        <f t="shared" ref="HK71" si="393">HK1</f>
        <v>44143</v>
      </c>
      <c r="HL71" s="49"/>
      <c r="HM71" s="49"/>
      <c r="HN71" s="49">
        <f t="shared" si="392"/>
        <v>44144</v>
      </c>
      <c r="HO71" s="49">
        <f t="shared" si="392"/>
        <v>44145</v>
      </c>
      <c r="HP71" s="49">
        <f t="shared" si="392"/>
        <v>44146</v>
      </c>
      <c r="HQ71" s="49">
        <f t="shared" si="392"/>
        <v>44147</v>
      </c>
      <c r="HR71" s="49">
        <f t="shared" si="392"/>
        <v>44148</v>
      </c>
      <c r="HS71" s="49">
        <f t="shared" si="392"/>
        <v>44149</v>
      </c>
      <c r="HT71" s="49">
        <f t="shared" si="392"/>
        <v>44150</v>
      </c>
      <c r="HU71" s="49">
        <f t="shared" si="392"/>
        <v>44151</v>
      </c>
      <c r="HV71" s="49">
        <f t="shared" si="392"/>
        <v>44152</v>
      </c>
      <c r="HW71" s="49">
        <f t="shared" si="392"/>
        <v>44153</v>
      </c>
      <c r="HX71" s="49">
        <f t="shared" si="392"/>
        <v>44154</v>
      </c>
      <c r="HY71" s="49">
        <f t="shared" si="392"/>
        <v>44155</v>
      </c>
      <c r="HZ71" s="49">
        <f t="shared" si="392"/>
        <v>44156</v>
      </c>
      <c r="IA71" s="49">
        <f t="shared" si="392"/>
        <v>44157</v>
      </c>
      <c r="IB71" s="49">
        <f t="shared" si="392"/>
        <v>44158</v>
      </c>
      <c r="IC71" s="49">
        <f t="shared" si="392"/>
        <v>44159</v>
      </c>
      <c r="ID71" s="49">
        <f t="shared" si="392"/>
        <v>44160</v>
      </c>
      <c r="IE71" s="49">
        <f t="shared" si="392"/>
        <v>44161</v>
      </c>
      <c r="IF71" s="49">
        <f t="shared" si="392"/>
        <v>44162</v>
      </c>
      <c r="IG71" s="49">
        <f t="shared" si="392"/>
        <v>44163</v>
      </c>
      <c r="IH71" s="49">
        <f t="shared" si="392"/>
        <v>44164</v>
      </c>
      <c r="II71" s="49">
        <f t="shared" si="392"/>
        <v>44165</v>
      </c>
      <c r="IJ71" s="49">
        <f t="shared" si="392"/>
        <v>44166</v>
      </c>
      <c r="IK71" s="49">
        <f t="shared" si="392"/>
        <v>44167</v>
      </c>
      <c r="IL71" s="49">
        <f t="shared" si="392"/>
        <v>44168</v>
      </c>
      <c r="IM71" s="49">
        <f t="shared" ref="IM71:JR71" si="394">IM1</f>
        <v>44169</v>
      </c>
      <c r="IN71" s="49">
        <f t="shared" si="394"/>
        <v>44170</v>
      </c>
      <c r="IO71" s="49">
        <f t="shared" si="394"/>
        <v>44171</v>
      </c>
      <c r="IP71" s="49">
        <f t="shared" si="394"/>
        <v>44172</v>
      </c>
      <c r="IQ71" s="49">
        <f t="shared" si="394"/>
        <v>44173</v>
      </c>
      <c r="IR71" s="49">
        <f t="shared" si="394"/>
        <v>44174</v>
      </c>
      <c r="IS71" s="49">
        <f t="shared" si="394"/>
        <v>44175</v>
      </c>
      <c r="IT71" s="49">
        <f t="shared" si="394"/>
        <v>44176</v>
      </c>
      <c r="IU71" s="49">
        <f t="shared" si="394"/>
        <v>44177</v>
      </c>
      <c r="IV71" s="49">
        <f t="shared" si="394"/>
        <v>44178</v>
      </c>
      <c r="IW71" s="49">
        <f t="shared" si="394"/>
        <v>44179</v>
      </c>
      <c r="IX71" s="49">
        <f t="shared" si="394"/>
        <v>44180</v>
      </c>
      <c r="IY71" s="49">
        <f t="shared" si="394"/>
        <v>44181</v>
      </c>
      <c r="IZ71" s="49">
        <f t="shared" si="394"/>
        <v>44182</v>
      </c>
      <c r="JA71" s="49">
        <f t="shared" si="394"/>
        <v>44183</v>
      </c>
      <c r="JB71" s="49">
        <f t="shared" si="394"/>
        <v>44184</v>
      </c>
      <c r="JC71" s="49">
        <f t="shared" si="394"/>
        <v>44185</v>
      </c>
      <c r="JD71" s="49">
        <f t="shared" si="394"/>
        <v>44186</v>
      </c>
      <c r="JE71" s="49">
        <f t="shared" si="394"/>
        <v>44187</v>
      </c>
      <c r="JF71" s="49">
        <f t="shared" si="394"/>
        <v>44188</v>
      </c>
      <c r="JG71" s="49">
        <f t="shared" si="394"/>
        <v>44189</v>
      </c>
      <c r="JH71" s="49">
        <f t="shared" si="394"/>
        <v>44190</v>
      </c>
      <c r="JI71" s="49">
        <f t="shared" si="394"/>
        <v>44191</v>
      </c>
      <c r="JJ71" s="49">
        <f t="shared" si="394"/>
        <v>44192</v>
      </c>
      <c r="JK71" s="49">
        <f t="shared" si="394"/>
        <v>44193</v>
      </c>
      <c r="JL71" s="49">
        <f t="shared" si="394"/>
        <v>44194</v>
      </c>
      <c r="JM71" s="49">
        <f t="shared" si="394"/>
        <v>44195</v>
      </c>
      <c r="JN71" s="49">
        <f t="shared" si="394"/>
        <v>44196</v>
      </c>
      <c r="JO71" s="49">
        <f t="shared" si="394"/>
        <v>44197</v>
      </c>
      <c r="JP71" s="49">
        <f t="shared" si="394"/>
        <v>44198</v>
      </c>
      <c r="JQ71" s="49">
        <f t="shared" si="394"/>
        <v>44199</v>
      </c>
      <c r="JR71" s="49">
        <f t="shared" si="394"/>
        <v>44200</v>
      </c>
      <c r="JS71" s="49">
        <f t="shared" ref="JS71:KX71" si="395">JS1</f>
        <v>44201</v>
      </c>
      <c r="JT71" s="49">
        <f t="shared" si="395"/>
        <v>44202</v>
      </c>
      <c r="JU71" s="49">
        <f t="shared" si="395"/>
        <v>44203</v>
      </c>
      <c r="JV71" s="49">
        <f t="shared" si="395"/>
        <v>44204</v>
      </c>
      <c r="JW71" s="49">
        <f t="shared" si="395"/>
        <v>44205</v>
      </c>
      <c r="JX71" s="49">
        <f t="shared" si="395"/>
        <v>44206</v>
      </c>
      <c r="JY71" s="49">
        <f t="shared" si="395"/>
        <v>44207</v>
      </c>
      <c r="JZ71" s="49">
        <f t="shared" si="395"/>
        <v>44208</v>
      </c>
      <c r="KA71" s="49">
        <f t="shared" si="395"/>
        <v>44209</v>
      </c>
      <c r="KB71" s="49">
        <f t="shared" si="395"/>
        <v>44210</v>
      </c>
      <c r="KC71" s="49">
        <f t="shared" si="395"/>
        <v>44211</v>
      </c>
      <c r="KD71" s="49">
        <f t="shared" si="395"/>
        <v>44212</v>
      </c>
      <c r="KE71" s="49">
        <f t="shared" si="395"/>
        <v>44213</v>
      </c>
      <c r="KF71" s="49">
        <f t="shared" si="395"/>
        <v>44214</v>
      </c>
      <c r="KG71" s="49">
        <f t="shared" si="395"/>
        <v>44215</v>
      </c>
      <c r="KH71" s="49">
        <f t="shared" si="395"/>
        <v>44216</v>
      </c>
      <c r="KI71" s="49">
        <f t="shared" si="395"/>
        <v>44217</v>
      </c>
      <c r="KJ71" s="49">
        <f t="shared" si="395"/>
        <v>44218</v>
      </c>
      <c r="KK71" s="49">
        <f t="shared" si="395"/>
        <v>44219</v>
      </c>
      <c r="KL71" s="49">
        <f t="shared" si="395"/>
        <v>44220</v>
      </c>
      <c r="KM71" s="49">
        <f t="shared" si="395"/>
        <v>44221</v>
      </c>
      <c r="KN71" s="49">
        <f t="shared" si="395"/>
        <v>44222</v>
      </c>
      <c r="KO71" s="49">
        <f t="shared" si="395"/>
        <v>44223</v>
      </c>
      <c r="KP71" s="49">
        <f t="shared" si="395"/>
        <v>44224</v>
      </c>
      <c r="KQ71" s="49">
        <f t="shared" si="395"/>
        <v>44225</v>
      </c>
      <c r="KR71" s="49">
        <f t="shared" si="395"/>
        <v>44226</v>
      </c>
      <c r="KS71" s="49">
        <f t="shared" si="395"/>
        <v>44227</v>
      </c>
      <c r="KT71" s="49">
        <f t="shared" si="395"/>
        <v>44228</v>
      </c>
      <c r="KU71" s="49">
        <f t="shared" si="395"/>
        <v>44229</v>
      </c>
      <c r="KV71" s="49">
        <f t="shared" si="395"/>
        <v>44230</v>
      </c>
      <c r="KW71" s="49">
        <f t="shared" si="395"/>
        <v>44231</v>
      </c>
      <c r="KX71" s="49">
        <f t="shared" si="395"/>
        <v>44232</v>
      </c>
      <c r="KY71" s="49">
        <f t="shared" ref="KY71:MD71" si="396">KY1</f>
        <v>44233</v>
      </c>
      <c r="KZ71" s="49">
        <f t="shared" si="396"/>
        <v>44234</v>
      </c>
      <c r="LA71" s="49">
        <f t="shared" si="396"/>
        <v>44235</v>
      </c>
      <c r="LB71" s="49">
        <f t="shared" si="396"/>
        <v>44236</v>
      </c>
      <c r="LC71" s="49">
        <f t="shared" si="396"/>
        <v>44237</v>
      </c>
      <c r="LD71" s="49">
        <f t="shared" si="396"/>
        <v>44238</v>
      </c>
      <c r="LE71" s="49">
        <f t="shared" si="396"/>
        <v>44239</v>
      </c>
      <c r="LF71" s="49">
        <f t="shared" si="396"/>
        <v>44240</v>
      </c>
      <c r="LG71" s="49">
        <f t="shared" si="396"/>
        <v>44241</v>
      </c>
      <c r="LH71" s="49">
        <f t="shared" si="396"/>
        <v>44242</v>
      </c>
      <c r="LI71" s="49">
        <f t="shared" si="396"/>
        <v>44243</v>
      </c>
      <c r="LJ71" s="49">
        <f t="shared" si="396"/>
        <v>44244</v>
      </c>
      <c r="LK71" s="49">
        <f t="shared" si="396"/>
        <v>44245</v>
      </c>
      <c r="LL71" s="49">
        <f t="shared" si="396"/>
        <v>44246</v>
      </c>
      <c r="LM71" s="49">
        <f t="shared" si="396"/>
        <v>44247</v>
      </c>
      <c r="LN71" s="49">
        <f t="shared" si="396"/>
        <v>44248</v>
      </c>
      <c r="LO71" s="49">
        <f t="shared" si="396"/>
        <v>44249</v>
      </c>
      <c r="LP71" s="49">
        <f t="shared" si="396"/>
        <v>44250</v>
      </c>
      <c r="LQ71" s="49">
        <f t="shared" si="396"/>
        <v>44251</v>
      </c>
      <c r="LR71" s="49">
        <f t="shared" si="396"/>
        <v>44252</v>
      </c>
      <c r="LS71" s="49">
        <f t="shared" si="396"/>
        <v>44253</v>
      </c>
      <c r="LT71" s="49">
        <f t="shared" si="396"/>
        <v>44254</v>
      </c>
      <c r="LU71" s="49">
        <f t="shared" si="396"/>
        <v>44255</v>
      </c>
      <c r="LV71" s="49">
        <f t="shared" si="396"/>
        <v>44256</v>
      </c>
      <c r="LW71" s="49">
        <f t="shared" si="396"/>
        <v>44257</v>
      </c>
      <c r="LX71" s="49">
        <f t="shared" si="396"/>
        <v>44258</v>
      </c>
      <c r="LY71" s="49">
        <f t="shared" si="396"/>
        <v>44259</v>
      </c>
      <c r="LZ71" s="49">
        <f t="shared" si="396"/>
        <v>44260</v>
      </c>
      <c r="MA71" s="49">
        <f t="shared" si="396"/>
        <v>44261</v>
      </c>
      <c r="MB71" s="49">
        <f t="shared" si="396"/>
        <v>44262</v>
      </c>
      <c r="MC71" s="49">
        <f t="shared" si="396"/>
        <v>44263</v>
      </c>
      <c r="MD71" s="49">
        <f t="shared" si="396"/>
        <v>44264</v>
      </c>
      <c r="ME71" s="49">
        <f t="shared" ref="ME71:ND71" si="397">ME1</f>
        <v>44265</v>
      </c>
      <c r="MF71" s="49">
        <f t="shared" si="397"/>
        <v>44266</v>
      </c>
      <c r="MG71" s="49">
        <f t="shared" si="397"/>
        <v>44267</v>
      </c>
      <c r="MH71" s="49">
        <f t="shared" si="397"/>
        <v>44268</v>
      </c>
      <c r="MI71" s="49">
        <f t="shared" si="397"/>
        <v>44269</v>
      </c>
      <c r="MJ71" s="49">
        <f t="shared" si="397"/>
        <v>44270</v>
      </c>
      <c r="MK71" s="49">
        <f t="shared" si="397"/>
        <v>44271</v>
      </c>
      <c r="ML71" s="49">
        <f t="shared" si="397"/>
        <v>44272</v>
      </c>
      <c r="MM71" s="49">
        <f t="shared" si="397"/>
        <v>44273</v>
      </c>
      <c r="MN71" s="49">
        <f t="shared" si="397"/>
        <v>44274</v>
      </c>
      <c r="MO71" s="49">
        <f t="shared" si="397"/>
        <v>44275</v>
      </c>
      <c r="MP71" s="49">
        <f t="shared" si="397"/>
        <v>44276</v>
      </c>
      <c r="MQ71" s="49">
        <f t="shared" si="397"/>
        <v>44277</v>
      </c>
      <c r="MR71" s="49">
        <f t="shared" si="397"/>
        <v>44278</v>
      </c>
      <c r="MS71" s="49">
        <f t="shared" si="397"/>
        <v>44279</v>
      </c>
      <c r="MT71" s="49">
        <f t="shared" si="397"/>
        <v>44280</v>
      </c>
      <c r="MU71" s="49">
        <f t="shared" si="397"/>
        <v>44281</v>
      </c>
      <c r="MV71" s="49">
        <f t="shared" si="397"/>
        <v>44282</v>
      </c>
      <c r="MW71" s="49">
        <f t="shared" si="397"/>
        <v>44283</v>
      </c>
      <c r="MX71" s="49">
        <f t="shared" si="397"/>
        <v>44284</v>
      </c>
      <c r="MY71" s="49">
        <f t="shared" si="397"/>
        <v>44285</v>
      </c>
      <c r="MZ71" s="49">
        <f t="shared" si="397"/>
        <v>44286</v>
      </c>
      <c r="NA71" s="49">
        <f t="shared" si="397"/>
        <v>44287</v>
      </c>
      <c r="NB71" s="49">
        <f t="shared" si="397"/>
        <v>44288</v>
      </c>
      <c r="NC71" s="49">
        <f t="shared" si="397"/>
        <v>44289</v>
      </c>
      <c r="ND71" s="49">
        <f t="shared" si="397"/>
        <v>44290</v>
      </c>
    </row>
    <row r="72" spans="1:368" ht="15" customHeight="1" x14ac:dyDescent="0.25">
      <c r="A72" s="149" t="s">
        <v>144</v>
      </c>
      <c r="B72" s="149"/>
      <c r="C72" s="149"/>
      <c r="D72" s="149"/>
      <c r="E72" s="150"/>
      <c r="F72" s="30"/>
      <c r="G72" s="30"/>
      <c r="H72" s="30"/>
      <c r="I72" s="30"/>
      <c r="J72" s="30"/>
      <c r="K72" s="30"/>
      <c r="L72" s="30"/>
      <c r="M72" s="30"/>
      <c r="N72" s="30"/>
      <c r="O72" s="29"/>
      <c r="P72" s="153" t="s">
        <v>49</v>
      </c>
      <c r="Q72" s="153" t="s">
        <v>48</v>
      </c>
      <c r="R72" s="155"/>
      <c r="S72" s="57">
        <f t="shared" ref="S72:AX72" si="398">S41</f>
        <v>43975</v>
      </c>
      <c r="T72" s="58">
        <f t="shared" si="398"/>
        <v>43976</v>
      </c>
      <c r="U72" s="58">
        <f t="shared" si="398"/>
        <v>43977</v>
      </c>
      <c r="V72" s="58">
        <f t="shared" si="398"/>
        <v>43978</v>
      </c>
      <c r="W72" s="58">
        <f t="shared" si="398"/>
        <v>43979</v>
      </c>
      <c r="X72" s="58">
        <f t="shared" si="398"/>
        <v>43980</v>
      </c>
      <c r="Y72" s="58">
        <f t="shared" si="398"/>
        <v>43981</v>
      </c>
      <c r="Z72" s="57">
        <f t="shared" si="398"/>
        <v>43982</v>
      </c>
      <c r="AA72" s="58">
        <f t="shared" si="398"/>
        <v>43983</v>
      </c>
      <c r="AB72" s="58">
        <f t="shared" si="398"/>
        <v>43984</v>
      </c>
      <c r="AC72" s="58">
        <f t="shared" si="398"/>
        <v>43985</v>
      </c>
      <c r="AD72" s="58">
        <f t="shared" si="398"/>
        <v>43986</v>
      </c>
      <c r="AE72" s="58">
        <f t="shared" si="398"/>
        <v>43987</v>
      </c>
      <c r="AF72" s="58">
        <f t="shared" si="398"/>
        <v>43988</v>
      </c>
      <c r="AG72" s="57">
        <f t="shared" si="398"/>
        <v>43989</v>
      </c>
      <c r="AH72" s="58">
        <f t="shared" si="398"/>
        <v>43990</v>
      </c>
      <c r="AI72" s="58">
        <f t="shared" si="398"/>
        <v>43991</v>
      </c>
      <c r="AJ72" s="58">
        <f t="shared" si="398"/>
        <v>43992</v>
      </c>
      <c r="AK72" s="58">
        <f t="shared" si="398"/>
        <v>43993</v>
      </c>
      <c r="AL72" s="58">
        <f t="shared" si="398"/>
        <v>43994</v>
      </c>
      <c r="AM72" s="58">
        <f t="shared" si="398"/>
        <v>43995</v>
      </c>
      <c r="AN72" s="57">
        <f t="shared" si="398"/>
        <v>43996</v>
      </c>
      <c r="AO72" s="58">
        <f t="shared" si="398"/>
        <v>43997</v>
      </c>
      <c r="AP72" s="58">
        <f t="shared" si="398"/>
        <v>43998</v>
      </c>
      <c r="AQ72" s="58">
        <f t="shared" si="398"/>
        <v>43999</v>
      </c>
      <c r="AR72" s="58">
        <f t="shared" si="398"/>
        <v>44000</v>
      </c>
      <c r="AS72" s="58">
        <f t="shared" si="398"/>
        <v>44001</v>
      </c>
      <c r="AT72" s="58">
        <f t="shared" si="398"/>
        <v>44002</v>
      </c>
      <c r="AU72" s="57">
        <f t="shared" si="398"/>
        <v>44003</v>
      </c>
      <c r="AV72" s="58">
        <f t="shared" si="398"/>
        <v>44004</v>
      </c>
      <c r="AW72" s="58">
        <f t="shared" si="398"/>
        <v>44005</v>
      </c>
      <c r="AX72" s="58">
        <f t="shared" si="398"/>
        <v>44006</v>
      </c>
      <c r="AY72" s="58">
        <f t="shared" ref="AY72:BO72" si="399">AY41</f>
        <v>44007</v>
      </c>
      <c r="AZ72" s="58">
        <f t="shared" si="399"/>
        <v>44008</v>
      </c>
      <c r="BA72" s="58">
        <f t="shared" si="399"/>
        <v>44009</v>
      </c>
      <c r="BB72" s="57">
        <f t="shared" si="399"/>
        <v>44010</v>
      </c>
      <c r="BC72" s="58">
        <f t="shared" si="399"/>
        <v>44011</v>
      </c>
      <c r="BD72" s="58">
        <f t="shared" si="399"/>
        <v>44012</v>
      </c>
      <c r="BE72" s="58">
        <f t="shared" si="399"/>
        <v>44013</v>
      </c>
      <c r="BF72" s="58">
        <f t="shared" si="399"/>
        <v>44014</v>
      </c>
      <c r="BG72" s="58">
        <f t="shared" si="399"/>
        <v>44015</v>
      </c>
      <c r="BH72" s="58">
        <f t="shared" si="399"/>
        <v>44016</v>
      </c>
      <c r="BI72" s="57">
        <f t="shared" si="399"/>
        <v>44017</v>
      </c>
      <c r="BJ72" s="58">
        <f t="shared" si="399"/>
        <v>44018</v>
      </c>
      <c r="BK72" s="58">
        <f t="shared" si="399"/>
        <v>44019</v>
      </c>
      <c r="BL72" s="58">
        <f t="shared" si="399"/>
        <v>44020</v>
      </c>
      <c r="BM72" s="58">
        <f t="shared" si="399"/>
        <v>44021</v>
      </c>
      <c r="BN72" s="58">
        <f t="shared" si="399"/>
        <v>44022</v>
      </c>
      <c r="BO72" s="58">
        <f t="shared" si="399"/>
        <v>44023</v>
      </c>
      <c r="BP72" s="57">
        <v>12</v>
      </c>
      <c r="BQ72" s="58">
        <f t="shared" ref="BQ72:BV72" si="400">BQ41</f>
        <v>44025</v>
      </c>
      <c r="BR72" s="58">
        <f t="shared" si="400"/>
        <v>44026</v>
      </c>
      <c r="BS72" s="58">
        <f t="shared" si="400"/>
        <v>44027</v>
      </c>
      <c r="BT72" s="58">
        <f t="shared" si="400"/>
        <v>44028</v>
      </c>
      <c r="BU72" s="58">
        <f t="shared" si="400"/>
        <v>44029</v>
      </c>
      <c r="BV72" s="58">
        <f t="shared" si="400"/>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1">DS41</f>
        <v>44067</v>
      </c>
      <c r="DT72" s="58">
        <f t="shared" si="401"/>
        <v>44068</v>
      </c>
      <c r="DU72" s="58">
        <f t="shared" si="401"/>
        <v>44069</v>
      </c>
      <c r="DV72" s="58">
        <f t="shared" si="401"/>
        <v>44070</v>
      </c>
      <c r="DW72" s="58">
        <f t="shared" si="401"/>
        <v>44071</v>
      </c>
      <c r="DX72" s="58">
        <f t="shared" si="401"/>
        <v>44072</v>
      </c>
      <c r="DY72" s="58">
        <f t="shared" si="401"/>
        <v>44073</v>
      </c>
      <c r="DZ72" s="58"/>
      <c r="EA72" s="57"/>
      <c r="EB72" s="58">
        <f t="shared" ref="EB72:EH72" si="402">EB41</f>
        <v>44074</v>
      </c>
      <c r="EC72" s="58">
        <f t="shared" si="402"/>
        <v>44075</v>
      </c>
      <c r="ED72" s="58">
        <f t="shared" si="402"/>
        <v>44076</v>
      </c>
      <c r="EE72" s="58">
        <f t="shared" si="402"/>
        <v>44077</v>
      </c>
      <c r="EF72" s="58">
        <f t="shared" si="402"/>
        <v>44078</v>
      </c>
      <c r="EG72" s="58">
        <f t="shared" si="402"/>
        <v>44079</v>
      </c>
      <c r="EH72" s="58">
        <f t="shared" si="402"/>
        <v>44080</v>
      </c>
      <c r="EI72" s="58"/>
      <c r="EJ72" s="57"/>
      <c r="EK72" s="58">
        <f t="shared" ref="EK72:EQ72" si="403">EK41</f>
        <v>44081</v>
      </c>
      <c r="EL72" s="58">
        <f t="shared" si="403"/>
        <v>44082</v>
      </c>
      <c r="EM72" s="58">
        <f t="shared" si="403"/>
        <v>44083</v>
      </c>
      <c r="EN72" s="58">
        <f t="shared" si="403"/>
        <v>44084</v>
      </c>
      <c r="EO72" s="58">
        <f t="shared" si="403"/>
        <v>44085</v>
      </c>
      <c r="EP72" s="58">
        <f t="shared" si="403"/>
        <v>44086</v>
      </c>
      <c r="EQ72" s="58">
        <f t="shared" si="403"/>
        <v>44087</v>
      </c>
      <c r="ER72" s="58"/>
      <c r="ES72" s="57"/>
      <c r="ET72" s="58">
        <f t="shared" ref="ET72:EZ72" si="404">ET41</f>
        <v>44088</v>
      </c>
      <c r="EU72" s="58">
        <f t="shared" si="404"/>
        <v>44089</v>
      </c>
      <c r="EV72" s="58">
        <f t="shared" si="404"/>
        <v>44090</v>
      </c>
      <c r="EW72" s="58">
        <f t="shared" si="404"/>
        <v>44091</v>
      </c>
      <c r="EX72" s="58">
        <f t="shared" si="404"/>
        <v>44092</v>
      </c>
      <c r="EY72" s="58">
        <f t="shared" si="404"/>
        <v>44093</v>
      </c>
      <c r="EZ72" s="58">
        <f t="shared" si="404"/>
        <v>44094</v>
      </c>
      <c r="FA72" s="58"/>
      <c r="FB72" s="57"/>
      <c r="FC72" s="58">
        <f t="shared" ref="FC72:FI72" si="405">FC41</f>
        <v>44095</v>
      </c>
      <c r="FD72" s="58">
        <f t="shared" si="405"/>
        <v>44096</v>
      </c>
      <c r="FE72" s="58">
        <f t="shared" si="405"/>
        <v>44097</v>
      </c>
      <c r="FF72" s="58">
        <f t="shared" si="405"/>
        <v>44098</v>
      </c>
      <c r="FG72" s="58">
        <f t="shared" si="405"/>
        <v>44099</v>
      </c>
      <c r="FH72" s="58">
        <f t="shared" si="405"/>
        <v>44100</v>
      </c>
      <c r="FI72" s="58">
        <f t="shared" si="405"/>
        <v>44101</v>
      </c>
      <c r="FJ72" s="58"/>
      <c r="FK72" s="57"/>
      <c r="FL72" s="58">
        <f t="shared" ref="FL72:FQ72" si="406">FL41</f>
        <v>44102</v>
      </c>
      <c r="FM72" s="58">
        <f t="shared" si="406"/>
        <v>44103</v>
      </c>
      <c r="FN72" s="58">
        <f t="shared" si="406"/>
        <v>44104</v>
      </c>
      <c r="FO72" s="58">
        <f t="shared" si="406"/>
        <v>44105</v>
      </c>
      <c r="FP72" s="58">
        <f t="shared" si="406"/>
        <v>44106</v>
      </c>
      <c r="FQ72" s="58">
        <f t="shared" si="406"/>
        <v>44107</v>
      </c>
      <c r="FR72" s="58"/>
      <c r="FS72" s="58"/>
      <c r="FT72" s="57"/>
      <c r="FU72" s="58">
        <f t="shared" ref="FU72:GA72" si="407">FU41</f>
        <v>44109</v>
      </c>
      <c r="FV72" s="58">
        <f t="shared" si="407"/>
        <v>44110</v>
      </c>
      <c r="FW72" s="58">
        <f t="shared" si="407"/>
        <v>44111</v>
      </c>
      <c r="FX72" s="58">
        <f t="shared" si="407"/>
        <v>44112</v>
      </c>
      <c r="FY72" s="58">
        <f t="shared" si="407"/>
        <v>44113</v>
      </c>
      <c r="FZ72" s="58">
        <f t="shared" si="407"/>
        <v>44114</v>
      </c>
      <c r="GA72" s="58">
        <f t="shared" si="407"/>
        <v>44115</v>
      </c>
      <c r="GB72" s="58"/>
      <c r="GC72" s="57"/>
      <c r="GD72" s="58">
        <f t="shared" ref="GD72:GJ72" si="408">GD41</f>
        <v>44116</v>
      </c>
      <c r="GE72" s="58">
        <f t="shared" si="408"/>
        <v>44117</v>
      </c>
      <c r="GF72" s="58">
        <f t="shared" si="408"/>
        <v>44118</v>
      </c>
      <c r="GG72" s="58">
        <f t="shared" si="408"/>
        <v>44119</v>
      </c>
      <c r="GH72" s="58">
        <f t="shared" si="408"/>
        <v>44120</v>
      </c>
      <c r="GI72" s="58">
        <f t="shared" si="408"/>
        <v>44121</v>
      </c>
      <c r="GJ72" s="58">
        <f t="shared" si="408"/>
        <v>44122</v>
      </c>
      <c r="GK72" s="58"/>
      <c r="GL72" s="57"/>
      <c r="GM72" s="58">
        <f t="shared" ref="GM72:GS72" si="409">GM41</f>
        <v>44123</v>
      </c>
      <c r="GN72" s="58">
        <f t="shared" si="409"/>
        <v>44124</v>
      </c>
      <c r="GO72" s="58">
        <f t="shared" si="409"/>
        <v>44125</v>
      </c>
      <c r="GP72" s="58">
        <f t="shared" si="409"/>
        <v>44126</v>
      </c>
      <c r="GQ72" s="58">
        <f t="shared" si="409"/>
        <v>44127</v>
      </c>
      <c r="GR72" s="58">
        <f t="shared" si="409"/>
        <v>44128</v>
      </c>
      <c r="GS72" s="58">
        <f t="shared" si="409"/>
        <v>44129</v>
      </c>
      <c r="GT72" s="58"/>
      <c r="GU72" s="57"/>
      <c r="GV72" s="58">
        <f t="shared" ref="GV72:HB72" si="410">GV41</f>
        <v>44130</v>
      </c>
      <c r="GW72" s="58">
        <f t="shared" si="410"/>
        <v>44131</v>
      </c>
      <c r="GX72" s="58">
        <f t="shared" si="410"/>
        <v>44132</v>
      </c>
      <c r="GY72" s="58">
        <f t="shared" si="410"/>
        <v>44133</v>
      </c>
      <c r="GZ72" s="58">
        <f t="shared" si="410"/>
        <v>44134</v>
      </c>
      <c r="HA72" s="58">
        <f t="shared" si="410"/>
        <v>44135</v>
      </c>
      <c r="HB72" s="58">
        <f t="shared" si="410"/>
        <v>44136</v>
      </c>
      <c r="HC72" s="58"/>
      <c r="HD72" s="57"/>
      <c r="HE72" s="58">
        <f t="shared" ref="HE72:IL72" si="411">HE41</f>
        <v>44137</v>
      </c>
      <c r="HF72" s="58">
        <f t="shared" si="411"/>
        <v>44138</v>
      </c>
      <c r="HG72" s="58">
        <f t="shared" si="411"/>
        <v>44139</v>
      </c>
      <c r="HH72" s="58">
        <f t="shared" si="411"/>
        <v>44140</v>
      </c>
      <c r="HI72" s="58">
        <f t="shared" si="411"/>
        <v>44141</v>
      </c>
      <c r="HJ72" s="58">
        <f t="shared" si="411"/>
        <v>44142</v>
      </c>
      <c r="HK72" s="58">
        <f t="shared" ref="HK72" si="412">HK41</f>
        <v>44143</v>
      </c>
      <c r="HL72" s="58"/>
      <c r="HM72" s="57"/>
      <c r="HN72" s="58">
        <f t="shared" si="411"/>
        <v>44144</v>
      </c>
      <c r="HO72" s="58">
        <f t="shared" si="411"/>
        <v>44145</v>
      </c>
      <c r="HP72" s="58">
        <f t="shared" si="411"/>
        <v>44146</v>
      </c>
      <c r="HQ72" s="58">
        <f t="shared" si="411"/>
        <v>44147</v>
      </c>
      <c r="HR72" s="58">
        <f t="shared" si="411"/>
        <v>44148</v>
      </c>
      <c r="HS72" s="58">
        <f t="shared" si="411"/>
        <v>44149</v>
      </c>
      <c r="HT72" s="57">
        <f t="shared" si="411"/>
        <v>44150</v>
      </c>
      <c r="HU72" s="58">
        <f t="shared" si="411"/>
        <v>44151</v>
      </c>
      <c r="HV72" s="58">
        <f t="shared" si="411"/>
        <v>44152</v>
      </c>
      <c r="HW72" s="58">
        <f t="shared" si="411"/>
        <v>44153</v>
      </c>
      <c r="HX72" s="58">
        <f t="shared" si="411"/>
        <v>44154</v>
      </c>
      <c r="HY72" s="58">
        <f t="shared" si="411"/>
        <v>44155</v>
      </c>
      <c r="HZ72" s="58">
        <f t="shared" si="411"/>
        <v>44156</v>
      </c>
      <c r="IA72" s="57">
        <f t="shared" si="411"/>
        <v>44157</v>
      </c>
      <c r="IB72" s="58">
        <f t="shared" si="411"/>
        <v>44158</v>
      </c>
      <c r="IC72" s="58">
        <f t="shared" si="411"/>
        <v>44159</v>
      </c>
      <c r="ID72" s="58">
        <f t="shared" si="411"/>
        <v>44160</v>
      </c>
      <c r="IE72" s="58">
        <f t="shared" si="411"/>
        <v>44161</v>
      </c>
      <c r="IF72" s="58">
        <f t="shared" si="411"/>
        <v>44162</v>
      </c>
      <c r="IG72" s="58">
        <f t="shared" si="411"/>
        <v>44163</v>
      </c>
      <c r="IH72" s="57">
        <f t="shared" si="411"/>
        <v>44164</v>
      </c>
      <c r="II72" s="58">
        <f t="shared" si="411"/>
        <v>44165</v>
      </c>
      <c r="IJ72" s="58">
        <f t="shared" si="411"/>
        <v>44166</v>
      </c>
      <c r="IK72" s="58">
        <f t="shared" si="411"/>
        <v>44167</v>
      </c>
      <c r="IL72" s="58">
        <f t="shared" si="411"/>
        <v>44168</v>
      </c>
      <c r="IM72" s="58">
        <f t="shared" ref="IM72:JR72" si="413">IM41</f>
        <v>44169</v>
      </c>
      <c r="IN72" s="58">
        <f t="shared" si="413"/>
        <v>44170</v>
      </c>
      <c r="IO72" s="57">
        <f t="shared" si="413"/>
        <v>44171</v>
      </c>
      <c r="IP72" s="58">
        <f t="shared" si="413"/>
        <v>44172</v>
      </c>
      <c r="IQ72" s="58">
        <f t="shared" si="413"/>
        <v>44173</v>
      </c>
      <c r="IR72" s="58">
        <f t="shared" si="413"/>
        <v>44174</v>
      </c>
      <c r="IS72" s="58">
        <f t="shared" si="413"/>
        <v>44175</v>
      </c>
      <c r="IT72" s="58">
        <f t="shared" si="413"/>
        <v>44176</v>
      </c>
      <c r="IU72" s="58">
        <f t="shared" si="413"/>
        <v>44177</v>
      </c>
      <c r="IV72" s="57">
        <f t="shared" si="413"/>
        <v>44178</v>
      </c>
      <c r="IW72" s="58">
        <f t="shared" si="413"/>
        <v>44179</v>
      </c>
      <c r="IX72" s="58">
        <f t="shared" si="413"/>
        <v>44180</v>
      </c>
      <c r="IY72" s="58">
        <f t="shared" si="413"/>
        <v>44181</v>
      </c>
      <c r="IZ72" s="58">
        <f t="shared" si="413"/>
        <v>44182</v>
      </c>
      <c r="JA72" s="58">
        <f t="shared" si="413"/>
        <v>44183</v>
      </c>
      <c r="JB72" s="58">
        <f t="shared" si="413"/>
        <v>44184</v>
      </c>
      <c r="JC72" s="57">
        <f t="shared" si="413"/>
        <v>44185</v>
      </c>
      <c r="JD72" s="58">
        <f t="shared" si="413"/>
        <v>44186</v>
      </c>
      <c r="JE72" s="58">
        <f t="shared" si="413"/>
        <v>44187</v>
      </c>
      <c r="JF72" s="58">
        <f t="shared" si="413"/>
        <v>44188</v>
      </c>
      <c r="JG72" s="58">
        <f t="shared" si="413"/>
        <v>44189</v>
      </c>
      <c r="JH72" s="58">
        <f t="shared" si="413"/>
        <v>44190</v>
      </c>
      <c r="JI72" s="58">
        <f t="shared" si="413"/>
        <v>44191</v>
      </c>
      <c r="JJ72" s="57">
        <f t="shared" si="413"/>
        <v>44192</v>
      </c>
      <c r="JK72" s="58">
        <f t="shared" si="413"/>
        <v>44193</v>
      </c>
      <c r="JL72" s="58">
        <f t="shared" si="413"/>
        <v>44194</v>
      </c>
      <c r="JM72" s="58">
        <f t="shared" si="413"/>
        <v>44195</v>
      </c>
      <c r="JN72" s="58">
        <f t="shared" si="413"/>
        <v>44196</v>
      </c>
      <c r="JO72" s="58">
        <f t="shared" si="413"/>
        <v>44197</v>
      </c>
      <c r="JP72" s="58">
        <f t="shared" si="413"/>
        <v>44198</v>
      </c>
      <c r="JQ72" s="57">
        <f t="shared" si="413"/>
        <v>44199</v>
      </c>
      <c r="JR72" s="58">
        <f t="shared" si="413"/>
        <v>44200</v>
      </c>
      <c r="JS72" s="58">
        <f t="shared" ref="JS72:KX72" si="414">JS41</f>
        <v>44201</v>
      </c>
      <c r="JT72" s="58">
        <f t="shared" si="414"/>
        <v>44202</v>
      </c>
      <c r="JU72" s="58">
        <f t="shared" si="414"/>
        <v>44203</v>
      </c>
      <c r="JV72" s="58">
        <f t="shared" si="414"/>
        <v>44204</v>
      </c>
      <c r="JW72" s="58">
        <f t="shared" si="414"/>
        <v>44205</v>
      </c>
      <c r="JX72" s="57">
        <f t="shared" si="414"/>
        <v>44206</v>
      </c>
      <c r="JY72" s="58">
        <f t="shared" si="414"/>
        <v>44207</v>
      </c>
      <c r="JZ72" s="58">
        <f t="shared" si="414"/>
        <v>44208</v>
      </c>
      <c r="KA72" s="58">
        <f t="shared" si="414"/>
        <v>44209</v>
      </c>
      <c r="KB72" s="58">
        <f t="shared" si="414"/>
        <v>44210</v>
      </c>
      <c r="KC72" s="58">
        <f t="shared" si="414"/>
        <v>44211</v>
      </c>
      <c r="KD72" s="58">
        <f t="shared" si="414"/>
        <v>44212</v>
      </c>
      <c r="KE72" s="57">
        <f t="shared" si="414"/>
        <v>44213</v>
      </c>
      <c r="KF72" s="58">
        <f t="shared" si="414"/>
        <v>44214</v>
      </c>
      <c r="KG72" s="58">
        <f t="shared" si="414"/>
        <v>44215</v>
      </c>
      <c r="KH72" s="58">
        <f t="shared" si="414"/>
        <v>44216</v>
      </c>
      <c r="KI72" s="58">
        <f t="shared" si="414"/>
        <v>44217</v>
      </c>
      <c r="KJ72" s="58">
        <f t="shared" si="414"/>
        <v>44218</v>
      </c>
      <c r="KK72" s="58">
        <f t="shared" si="414"/>
        <v>44219</v>
      </c>
      <c r="KL72" s="57">
        <f t="shared" si="414"/>
        <v>44220</v>
      </c>
      <c r="KM72" s="58">
        <f t="shared" si="414"/>
        <v>44221</v>
      </c>
      <c r="KN72" s="58">
        <f t="shared" si="414"/>
        <v>44222</v>
      </c>
      <c r="KO72" s="58">
        <f t="shared" si="414"/>
        <v>44223</v>
      </c>
      <c r="KP72" s="58">
        <f t="shared" si="414"/>
        <v>44224</v>
      </c>
      <c r="KQ72" s="58">
        <f t="shared" si="414"/>
        <v>44225</v>
      </c>
      <c r="KR72" s="58">
        <f t="shared" si="414"/>
        <v>44226</v>
      </c>
      <c r="KS72" s="57">
        <f t="shared" si="414"/>
        <v>44227</v>
      </c>
      <c r="KT72" s="58">
        <f t="shared" si="414"/>
        <v>44228</v>
      </c>
      <c r="KU72" s="58">
        <f t="shared" si="414"/>
        <v>44229</v>
      </c>
      <c r="KV72" s="58">
        <f t="shared" si="414"/>
        <v>44230</v>
      </c>
      <c r="KW72" s="58">
        <f t="shared" si="414"/>
        <v>44231</v>
      </c>
      <c r="KX72" s="58">
        <f t="shared" si="414"/>
        <v>44232</v>
      </c>
      <c r="KY72" s="58">
        <f t="shared" ref="KY72:MD72" si="415">KY41</f>
        <v>44233</v>
      </c>
      <c r="KZ72" s="57">
        <f t="shared" si="415"/>
        <v>44234</v>
      </c>
      <c r="LA72" s="58">
        <f t="shared" si="415"/>
        <v>44235</v>
      </c>
      <c r="LB72" s="58">
        <f t="shared" si="415"/>
        <v>44236</v>
      </c>
      <c r="LC72" s="58">
        <f t="shared" si="415"/>
        <v>44237</v>
      </c>
      <c r="LD72" s="58">
        <f t="shared" si="415"/>
        <v>44238</v>
      </c>
      <c r="LE72" s="58">
        <f t="shared" si="415"/>
        <v>44239</v>
      </c>
      <c r="LF72" s="58">
        <f t="shared" si="415"/>
        <v>44240</v>
      </c>
      <c r="LG72" s="57">
        <f t="shared" si="415"/>
        <v>44241</v>
      </c>
      <c r="LH72" s="58">
        <f t="shared" si="415"/>
        <v>44242</v>
      </c>
      <c r="LI72" s="58">
        <f t="shared" si="415"/>
        <v>44243</v>
      </c>
      <c r="LJ72" s="58">
        <f t="shared" si="415"/>
        <v>44244</v>
      </c>
      <c r="LK72" s="58">
        <f t="shared" si="415"/>
        <v>44245</v>
      </c>
      <c r="LL72" s="58">
        <f t="shared" si="415"/>
        <v>44246</v>
      </c>
      <c r="LM72" s="58">
        <f t="shared" si="415"/>
        <v>44247</v>
      </c>
      <c r="LN72" s="57">
        <f t="shared" si="415"/>
        <v>44248</v>
      </c>
      <c r="LO72" s="58">
        <f t="shared" si="415"/>
        <v>44249</v>
      </c>
      <c r="LP72" s="58">
        <f t="shared" si="415"/>
        <v>44250</v>
      </c>
      <c r="LQ72" s="58">
        <f t="shared" si="415"/>
        <v>44251</v>
      </c>
      <c r="LR72" s="58">
        <f t="shared" si="415"/>
        <v>44252</v>
      </c>
      <c r="LS72" s="58">
        <f t="shared" si="415"/>
        <v>44253</v>
      </c>
      <c r="LT72" s="58">
        <f t="shared" si="415"/>
        <v>44254</v>
      </c>
      <c r="LU72" s="57">
        <f t="shared" si="415"/>
        <v>44255</v>
      </c>
      <c r="LV72" s="58">
        <f t="shared" si="415"/>
        <v>44256</v>
      </c>
      <c r="LW72" s="58">
        <f t="shared" si="415"/>
        <v>44257</v>
      </c>
      <c r="LX72" s="58">
        <f t="shared" si="415"/>
        <v>44258</v>
      </c>
      <c r="LY72" s="58">
        <f t="shared" si="415"/>
        <v>44259</v>
      </c>
      <c r="LZ72" s="58">
        <f t="shared" si="415"/>
        <v>44260</v>
      </c>
      <c r="MA72" s="58">
        <f t="shared" si="415"/>
        <v>44261</v>
      </c>
      <c r="MB72" s="57">
        <f t="shared" si="415"/>
        <v>44262</v>
      </c>
      <c r="MC72" s="58">
        <f t="shared" si="415"/>
        <v>44263</v>
      </c>
      <c r="MD72" s="58">
        <f t="shared" si="415"/>
        <v>44264</v>
      </c>
      <c r="ME72" s="58">
        <f t="shared" ref="ME72:ND72" si="416">ME41</f>
        <v>44265</v>
      </c>
      <c r="MF72" s="58">
        <f t="shared" si="416"/>
        <v>44266</v>
      </c>
      <c r="MG72" s="58">
        <f t="shared" si="416"/>
        <v>44267</v>
      </c>
      <c r="MH72" s="58">
        <f t="shared" si="416"/>
        <v>44268</v>
      </c>
      <c r="MI72" s="57">
        <f t="shared" si="416"/>
        <v>44269</v>
      </c>
      <c r="MJ72" s="58">
        <f t="shared" si="416"/>
        <v>44270</v>
      </c>
      <c r="MK72" s="58">
        <f t="shared" si="416"/>
        <v>44271</v>
      </c>
      <c r="ML72" s="58">
        <f t="shared" si="416"/>
        <v>44272</v>
      </c>
      <c r="MM72" s="58">
        <f t="shared" si="416"/>
        <v>44273</v>
      </c>
      <c r="MN72" s="58">
        <f t="shared" si="416"/>
        <v>44274</v>
      </c>
      <c r="MO72" s="58">
        <f t="shared" si="416"/>
        <v>44275</v>
      </c>
      <c r="MP72" s="57">
        <f t="shared" si="416"/>
        <v>44276</v>
      </c>
      <c r="MQ72" s="58">
        <f t="shared" si="416"/>
        <v>44277</v>
      </c>
      <c r="MR72" s="58">
        <f t="shared" si="416"/>
        <v>44278</v>
      </c>
      <c r="MS72" s="58">
        <f t="shared" si="416"/>
        <v>44279</v>
      </c>
      <c r="MT72" s="58">
        <f t="shared" si="416"/>
        <v>44280</v>
      </c>
      <c r="MU72" s="58">
        <f t="shared" si="416"/>
        <v>44281</v>
      </c>
      <c r="MV72" s="58">
        <f t="shared" si="416"/>
        <v>44282</v>
      </c>
      <c r="MW72" s="57">
        <f t="shared" si="416"/>
        <v>44283</v>
      </c>
      <c r="MX72" s="58">
        <f t="shared" si="416"/>
        <v>44284</v>
      </c>
      <c r="MY72" s="58">
        <f t="shared" si="416"/>
        <v>44285</v>
      </c>
      <c r="MZ72" s="58">
        <f t="shared" si="416"/>
        <v>44286</v>
      </c>
      <c r="NA72" s="58">
        <f t="shared" si="416"/>
        <v>44287</v>
      </c>
      <c r="NB72" s="58">
        <f t="shared" si="416"/>
        <v>44288</v>
      </c>
      <c r="NC72" s="58">
        <f t="shared" si="416"/>
        <v>44289</v>
      </c>
      <c r="ND72" s="57">
        <f t="shared" si="416"/>
        <v>44290</v>
      </c>
    </row>
    <row r="73" spans="1:368" ht="15" customHeight="1" x14ac:dyDescent="0.25">
      <c r="A73" s="151"/>
      <c r="B73" s="151"/>
      <c r="C73" s="151"/>
      <c r="D73" s="151"/>
      <c r="E73" s="152"/>
      <c r="F73" s="28"/>
      <c r="G73" s="28"/>
      <c r="H73" s="28"/>
      <c r="I73" s="28"/>
      <c r="J73" s="28"/>
      <c r="K73" s="28"/>
      <c r="L73" s="28"/>
      <c r="M73" s="28"/>
      <c r="N73" s="28"/>
      <c r="O73" s="27"/>
      <c r="P73" s="154"/>
      <c r="Q73" s="162"/>
      <c r="R73" s="156"/>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391</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t="s">
        <v>38</v>
      </c>
      <c r="HG73" s="25"/>
      <c r="HH73" s="25" t="s">
        <v>38</v>
      </c>
      <c r="HI73" s="25"/>
      <c r="HJ73" s="25"/>
      <c r="HK73" s="25"/>
      <c r="HL73" s="25"/>
      <c r="HM73" s="24"/>
      <c r="HN73" s="25"/>
      <c r="HO73" s="25" t="s">
        <v>38</v>
      </c>
      <c r="HP73" s="25"/>
      <c r="HQ73" s="25" t="s">
        <v>38</v>
      </c>
      <c r="HR73" s="25" t="s">
        <v>38</v>
      </c>
      <c r="HS73" s="25"/>
      <c r="HT73" s="24"/>
      <c r="HU73" s="25"/>
      <c r="HV73" s="25" t="s">
        <v>38</v>
      </c>
      <c r="HW73" s="25"/>
      <c r="HX73" s="25" t="s">
        <v>38</v>
      </c>
      <c r="HY73" s="25" t="s">
        <v>38</v>
      </c>
      <c r="HZ73" s="25"/>
      <c r="IA73" s="24"/>
      <c r="IB73" s="25"/>
      <c r="IC73" s="25" t="s">
        <v>38</v>
      </c>
      <c r="ID73" s="25"/>
      <c r="IE73" s="25" t="s">
        <v>38</v>
      </c>
      <c r="IF73" s="25" t="s">
        <v>38</v>
      </c>
      <c r="IG73" s="25"/>
      <c r="IH73" s="24"/>
      <c r="II73" s="25"/>
      <c r="IJ73" s="25" t="s">
        <v>38</v>
      </c>
      <c r="IK73" s="25" t="s">
        <v>38</v>
      </c>
      <c r="IL73" s="25"/>
      <c r="IM73" s="25" t="s">
        <v>38</v>
      </c>
      <c r="IN73" s="25"/>
      <c r="IO73" s="24"/>
      <c r="IP73" s="25"/>
      <c r="IQ73" s="25" t="s">
        <v>38</v>
      </c>
      <c r="IR73" s="25"/>
      <c r="IS73" s="25" t="s">
        <v>38</v>
      </c>
      <c r="IT73" s="25" t="s">
        <v>38</v>
      </c>
      <c r="IU73" s="25"/>
      <c r="IV73" s="24"/>
      <c r="IW73" s="25"/>
      <c r="IX73" s="25" t="s">
        <v>38</v>
      </c>
      <c r="IY73" s="25"/>
      <c r="IZ73" s="25" t="s">
        <v>38</v>
      </c>
      <c r="JA73" s="25" t="s">
        <v>38</v>
      </c>
      <c r="JB73" s="25"/>
      <c r="JC73" s="24"/>
      <c r="JD73" s="25"/>
      <c r="JE73" s="25" t="s">
        <v>38</v>
      </c>
      <c r="JF73" s="25"/>
      <c r="JG73" s="25" t="s">
        <v>38</v>
      </c>
      <c r="JH73" s="25" t="s">
        <v>38</v>
      </c>
      <c r="JI73" s="25"/>
      <c r="JJ73" s="24"/>
      <c r="JK73" s="25"/>
      <c r="JL73" s="25" t="s">
        <v>38</v>
      </c>
      <c r="JM73" s="25"/>
      <c r="JN73" s="25" t="s">
        <v>38</v>
      </c>
      <c r="JO73" s="25"/>
      <c r="JP73" s="25"/>
      <c r="JQ73" s="24"/>
      <c r="JR73" s="25"/>
      <c r="JS73" s="25" t="s">
        <v>38</v>
      </c>
      <c r="JT73" s="25"/>
      <c r="JU73" s="25" t="s">
        <v>38</v>
      </c>
      <c r="JV73" s="25" t="s">
        <v>38</v>
      </c>
      <c r="JW73" s="25"/>
      <c r="JX73" s="24"/>
      <c r="JY73" s="25"/>
      <c r="JZ73" s="25" t="s">
        <v>38</v>
      </c>
      <c r="KA73" s="25"/>
      <c r="KB73" s="25" t="s">
        <v>38</v>
      </c>
      <c r="KC73" s="25" t="s">
        <v>38</v>
      </c>
      <c r="KD73" s="25"/>
      <c r="KE73" s="24"/>
      <c r="KF73" s="25"/>
      <c r="KG73" s="25" t="s">
        <v>38</v>
      </c>
      <c r="KH73" s="25"/>
      <c r="KI73" s="25" t="s">
        <v>38</v>
      </c>
      <c r="KJ73" s="25"/>
      <c r="KK73" s="25"/>
      <c r="KL73" s="24"/>
      <c r="KM73" s="25"/>
      <c r="KN73" s="25" t="s">
        <v>38</v>
      </c>
      <c r="KO73" s="25"/>
      <c r="KP73" s="25" t="s">
        <v>38</v>
      </c>
      <c r="KQ73" s="25" t="s">
        <v>38</v>
      </c>
      <c r="KR73" s="25"/>
      <c r="KS73" s="24"/>
      <c r="KT73" s="25"/>
      <c r="KU73" s="25" t="s">
        <v>38</v>
      </c>
      <c r="KV73" s="25"/>
      <c r="KW73" s="25" t="s">
        <v>38</v>
      </c>
      <c r="KX73" s="25"/>
      <c r="KY73" s="25"/>
      <c r="KZ73" s="24"/>
      <c r="LA73" s="25"/>
      <c r="LB73" s="25" t="s">
        <v>38</v>
      </c>
      <c r="LC73" s="25"/>
      <c r="LD73" s="25" t="s">
        <v>38</v>
      </c>
      <c r="LE73" s="25" t="s">
        <v>38</v>
      </c>
      <c r="LF73" s="25"/>
      <c r="LG73" s="24"/>
      <c r="LH73" s="25"/>
      <c r="LI73" s="25" t="s">
        <v>38</v>
      </c>
      <c r="LJ73" s="25"/>
      <c r="LK73" s="25" t="s">
        <v>38</v>
      </c>
      <c r="LL73" s="25" t="s">
        <v>38</v>
      </c>
      <c r="LM73" s="25"/>
      <c r="LN73" s="24"/>
      <c r="LO73" s="25"/>
      <c r="LP73" s="25" t="s">
        <v>38</v>
      </c>
      <c r="LQ73" s="25"/>
      <c r="LR73" s="25" t="s">
        <v>38</v>
      </c>
      <c r="LS73" s="25" t="s">
        <v>38</v>
      </c>
      <c r="LT73" s="25"/>
      <c r="LU73" s="24"/>
      <c r="LV73" s="25"/>
      <c r="LW73" s="25" t="s">
        <v>38</v>
      </c>
      <c r="LX73" s="25"/>
      <c r="LY73" s="25" t="s">
        <v>38</v>
      </c>
      <c r="LZ73" s="25" t="s">
        <v>38</v>
      </c>
      <c r="MA73" s="25"/>
      <c r="MB73" s="26"/>
      <c r="MC73" s="25"/>
      <c r="MD73" s="25" t="s">
        <v>38</v>
      </c>
      <c r="ME73" s="25"/>
      <c r="MF73" s="25" t="s">
        <v>38</v>
      </c>
      <c r="MG73" s="25" t="s">
        <v>38</v>
      </c>
      <c r="MH73" s="25"/>
      <c r="MI73" s="24"/>
      <c r="MJ73" s="25"/>
      <c r="MK73" s="25"/>
      <c r="ML73" s="25"/>
      <c r="MM73" s="25"/>
      <c r="MN73" s="25"/>
      <c r="MO73" s="25"/>
      <c r="MP73" s="24"/>
      <c r="MQ73" s="25"/>
      <c r="MR73" s="25"/>
      <c r="MS73" s="25"/>
      <c r="MT73" s="25"/>
      <c r="MU73" s="25"/>
      <c r="MV73" s="25"/>
      <c r="MW73" s="24"/>
      <c r="MX73" s="25"/>
      <c r="MY73" s="25"/>
      <c r="MZ73" s="25"/>
      <c r="NA73" s="25"/>
      <c r="NB73" s="25"/>
      <c r="NC73" s="25"/>
      <c r="ND73" s="24"/>
    </row>
    <row r="74" spans="1:368" x14ac:dyDescent="0.25">
      <c r="A74" s="23" t="s">
        <v>16</v>
      </c>
      <c r="B74" s="20"/>
      <c r="C74" s="20"/>
      <c r="D74" s="20"/>
      <c r="E74" s="20"/>
      <c r="F74" s="22" t="str">
        <f t="shared" ref="F74:F79" si="417">IF($E74 &gt;= F$44, 1, "")</f>
        <v/>
      </c>
      <c r="G74" s="20"/>
      <c r="H74" s="20"/>
      <c r="I74" s="20" t="str">
        <f t="shared" ref="I74:L75" si="418">IF($E74 &gt;= I$44, 1, "")</f>
        <v/>
      </c>
      <c r="J74" s="20" t="str">
        <f t="shared" si="418"/>
        <v/>
      </c>
      <c r="K74" s="20" t="str">
        <f t="shared" si="418"/>
        <v/>
      </c>
      <c r="L74" s="20" t="str">
        <f t="shared" si="418"/>
        <v/>
      </c>
      <c r="M74" s="20"/>
      <c r="N74" s="20"/>
      <c r="O74" s="21"/>
      <c r="P74" s="20" t="str">
        <f t="shared" ref="P74:P79" si="419">IF(SUM(S74:ND74) &gt; 0, SUM(S74:ND74),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1"/>
      <c r="HU74" s="20"/>
      <c r="HV74" s="20"/>
      <c r="HW74" s="20"/>
      <c r="HX74" s="20"/>
      <c r="HY74" s="20"/>
      <c r="HZ74" s="20"/>
      <c r="IA74" s="21"/>
      <c r="IB74" s="20"/>
      <c r="IC74" s="20"/>
      <c r="ID74" s="20"/>
      <c r="IE74" s="20"/>
      <c r="IF74" s="20"/>
      <c r="IG74" s="20"/>
      <c r="IH74" s="21"/>
      <c r="II74" s="20"/>
      <c r="IJ74" s="20"/>
      <c r="IK74" s="20"/>
      <c r="IL74" s="20"/>
      <c r="IM74" s="20"/>
      <c r="IN74" s="20"/>
      <c r="IO74" s="21"/>
      <c r="IP74" s="20"/>
      <c r="IQ74" s="20"/>
      <c r="IR74" s="20"/>
      <c r="IS74" s="20"/>
      <c r="IT74" s="20"/>
      <c r="IU74" s="20"/>
      <c r="IV74" s="21"/>
      <c r="IW74" s="20"/>
      <c r="IX74" s="20"/>
      <c r="IY74" s="20"/>
      <c r="IZ74" s="20"/>
      <c r="JA74" s="20"/>
      <c r="JB74" s="20"/>
      <c r="JC74" s="21"/>
      <c r="JD74" s="20"/>
      <c r="JE74" s="20"/>
      <c r="JF74" s="20"/>
      <c r="JG74" s="20"/>
      <c r="JH74" s="20"/>
      <c r="JI74" s="20"/>
      <c r="JJ74" s="21"/>
      <c r="JK74" s="20"/>
      <c r="JL74" s="20"/>
      <c r="JM74" s="20"/>
      <c r="JN74" s="20"/>
      <c r="JO74" s="20"/>
      <c r="JP74" s="20"/>
      <c r="JQ74" s="21"/>
      <c r="JR74" s="20"/>
      <c r="JS74" s="20"/>
      <c r="JT74" s="20"/>
      <c r="JU74" s="20"/>
      <c r="JV74" s="20"/>
      <c r="JW74" s="20"/>
      <c r="JX74" s="21"/>
      <c r="JY74" s="20"/>
      <c r="JZ74" s="20"/>
      <c r="KA74" s="20"/>
      <c r="KB74" s="20"/>
      <c r="KC74" s="20"/>
      <c r="KD74" s="20"/>
      <c r="KE74" s="21"/>
      <c r="KF74" s="20"/>
      <c r="KG74" s="20"/>
      <c r="KH74" s="20"/>
      <c r="KI74" s="20"/>
      <c r="KJ74" s="20"/>
      <c r="KK74" s="20"/>
      <c r="KL74" s="21"/>
      <c r="KM74" s="20"/>
      <c r="KN74" s="20"/>
      <c r="KO74" s="20"/>
      <c r="KP74" s="20"/>
      <c r="KQ74" s="20"/>
      <c r="KR74" s="20"/>
      <c r="KS74" s="21"/>
      <c r="KT74" s="20"/>
      <c r="KU74" s="20"/>
      <c r="KV74" s="20"/>
      <c r="KW74" s="20"/>
      <c r="KX74" s="20"/>
      <c r="KY74" s="20"/>
      <c r="KZ74" s="21"/>
      <c r="LA74" s="20"/>
      <c r="LB74" s="20"/>
      <c r="LC74" s="20"/>
      <c r="LD74" s="20"/>
      <c r="LE74" s="20"/>
      <c r="LF74" s="20"/>
      <c r="LG74" s="21"/>
      <c r="LH74" s="20"/>
      <c r="LI74" s="20"/>
      <c r="LJ74" s="20"/>
      <c r="LK74" s="20"/>
      <c r="LL74" s="20"/>
      <c r="LM74" s="20"/>
      <c r="LN74" s="21"/>
      <c r="LO74" s="20"/>
      <c r="LP74" s="20"/>
      <c r="LQ74" s="20"/>
      <c r="LR74" s="20"/>
      <c r="LS74" s="20"/>
      <c r="LT74" s="20"/>
      <c r="LU74" s="21"/>
      <c r="LV74" s="20"/>
      <c r="LW74" s="20"/>
      <c r="LX74" s="20"/>
      <c r="LY74" s="20"/>
      <c r="LZ74" s="20"/>
      <c r="MA74" s="20"/>
      <c r="MB74" s="21"/>
      <c r="MC74" s="20"/>
      <c r="MD74" s="20"/>
      <c r="ME74" s="20"/>
      <c r="MF74" s="20"/>
      <c r="MG74" s="20"/>
      <c r="MH74" s="20"/>
      <c r="MI74" s="21"/>
      <c r="MJ74" s="20"/>
      <c r="MK74" s="20"/>
      <c r="ML74" s="20"/>
      <c r="MM74" s="20"/>
      <c r="MN74" s="20"/>
      <c r="MO74" s="20"/>
      <c r="MP74" s="21"/>
      <c r="MQ74" s="20"/>
      <c r="MR74" s="20"/>
      <c r="MS74" s="20"/>
      <c r="MT74" s="20"/>
      <c r="MU74" s="20"/>
      <c r="MV74" s="20"/>
      <c r="MW74" s="21"/>
      <c r="MX74" s="20"/>
      <c r="MY74" s="20"/>
      <c r="MZ74" s="20"/>
      <c r="NA74" s="20"/>
      <c r="NB74" s="20"/>
      <c r="NC74" s="20"/>
      <c r="ND74" s="21"/>
    </row>
    <row r="75" spans="1:368" ht="7.5" customHeight="1" x14ac:dyDescent="0.25">
      <c r="A75" s="8"/>
      <c r="B75" s="8"/>
      <c r="C75" s="8"/>
      <c r="D75" s="8"/>
      <c r="E75" s="8"/>
      <c r="F75" s="10" t="str">
        <f t="shared" si="417"/>
        <v/>
      </c>
      <c r="G75" s="19"/>
      <c r="H75" s="19"/>
      <c r="I75" s="19" t="str">
        <f t="shared" si="418"/>
        <v/>
      </c>
      <c r="J75" s="19" t="str">
        <f t="shared" si="418"/>
        <v/>
      </c>
      <c r="K75" s="19" t="str">
        <f t="shared" si="418"/>
        <v/>
      </c>
      <c r="L75" s="19" t="str">
        <f t="shared" si="418"/>
        <v/>
      </c>
      <c r="M75" s="8"/>
      <c r="N75" s="8"/>
      <c r="O75" s="9"/>
      <c r="P75" s="8" t="str">
        <f t="shared" si="419"/>
        <v/>
      </c>
      <c r="Q75" s="108" t="str">
        <f t="shared" ref="Q75:Q80" si="420">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T75" s="7"/>
      <c r="IA75" s="7"/>
      <c r="IH75" s="7"/>
      <c r="IO75" s="7"/>
      <c r="IV75" s="7"/>
      <c r="JC75" s="7"/>
      <c r="JJ75" s="7"/>
      <c r="JQ75" s="7"/>
      <c r="JX75" s="7"/>
      <c r="KE75" s="7"/>
      <c r="KL75" s="7"/>
      <c r="KS75" s="7"/>
      <c r="KZ75" s="7"/>
      <c r="LG75" s="7"/>
      <c r="LN75" s="7"/>
      <c r="LU75" s="7"/>
      <c r="MB75" s="7"/>
      <c r="MI75" s="7"/>
      <c r="MP75" s="7"/>
      <c r="MW75" s="7"/>
      <c r="ND75" s="7"/>
    </row>
    <row r="76" spans="1:368" hidden="1" x14ac:dyDescent="0.25">
      <c r="A76" s="8" t="s">
        <v>37</v>
      </c>
      <c r="B76" s="8"/>
      <c r="C76" s="8" t="s">
        <v>36</v>
      </c>
      <c r="D76" s="8" t="s">
        <v>35</v>
      </c>
      <c r="E76" s="18">
        <v>39448</v>
      </c>
      <c r="F76" s="10">
        <f t="shared" si="417"/>
        <v>1</v>
      </c>
      <c r="G76" s="19">
        <f t="shared" ref="G76:H79" si="421">IF($E76 &gt;= G$44, 1, "")</f>
        <v>1</v>
      </c>
      <c r="H76" s="19">
        <f t="shared" si="421"/>
        <v>1</v>
      </c>
      <c r="I76" s="8">
        <f t="shared" ref="I76:L79" si="422">IF($E76 &gt;= I$44, 1, "")</f>
        <v>1</v>
      </c>
      <c r="J76" s="8">
        <f t="shared" si="422"/>
        <v>1</v>
      </c>
      <c r="K76" s="8" t="str">
        <f t="shared" si="422"/>
        <v/>
      </c>
      <c r="L76" s="8" t="str">
        <f t="shared" si="422"/>
        <v/>
      </c>
      <c r="M76" s="8"/>
      <c r="N76" s="8"/>
      <c r="O76" s="9"/>
      <c r="P76" s="8">
        <f t="shared" si="419"/>
        <v>8</v>
      </c>
      <c r="Q76" s="108">
        <f t="shared" si="420"/>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T76" s="7"/>
      <c r="IA76" s="7"/>
      <c r="IH76" s="7"/>
      <c r="IO76" s="7"/>
      <c r="IV76" s="7"/>
      <c r="JC76" s="7"/>
      <c r="JJ76" s="7"/>
      <c r="JQ76" s="7"/>
      <c r="JX76" s="7"/>
      <c r="KE76" s="7"/>
      <c r="KL76" s="7"/>
      <c r="KS76" s="7"/>
      <c r="KZ76" s="7"/>
      <c r="LG76" s="7"/>
      <c r="LN76" s="7"/>
      <c r="LU76" s="7"/>
      <c r="MB76" s="7"/>
      <c r="MI76" s="7"/>
      <c r="MP76" s="7"/>
      <c r="MW76" s="7"/>
      <c r="ND76" s="7"/>
    </row>
    <row r="77" spans="1:368" x14ac:dyDescent="0.25">
      <c r="A77" s="8" t="s">
        <v>34</v>
      </c>
      <c r="B77" s="8"/>
      <c r="C77" s="8" t="s">
        <v>33</v>
      </c>
      <c r="D77" s="8" t="s">
        <v>32</v>
      </c>
      <c r="E77" s="18">
        <v>39649</v>
      </c>
      <c r="F77" s="10">
        <f t="shared" si="417"/>
        <v>1</v>
      </c>
      <c r="G77" s="19">
        <f t="shared" si="421"/>
        <v>1</v>
      </c>
      <c r="H77" s="19">
        <f t="shared" si="421"/>
        <v>1</v>
      </c>
      <c r="I77" s="8">
        <f t="shared" si="422"/>
        <v>1</v>
      </c>
      <c r="J77" s="8">
        <f t="shared" si="422"/>
        <v>1</v>
      </c>
      <c r="K77" s="8" t="str">
        <f t="shared" si="422"/>
        <v/>
      </c>
      <c r="L77" s="8" t="str">
        <f t="shared" si="422"/>
        <v/>
      </c>
      <c r="M77" s="8"/>
      <c r="N77" s="8"/>
      <c r="O77" s="9"/>
      <c r="P77" s="8">
        <f t="shared" si="419"/>
        <v>1</v>
      </c>
      <c r="Q77" s="108">
        <f t="shared" si="420"/>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T77" s="7"/>
      <c r="IA77" s="7"/>
      <c r="IH77" s="7"/>
      <c r="IO77" s="7"/>
      <c r="IV77" s="7"/>
      <c r="JC77" s="7"/>
      <c r="JJ77" s="7"/>
      <c r="JQ77" s="7"/>
      <c r="JX77" s="7"/>
      <c r="KE77" s="7"/>
      <c r="KL77" s="7"/>
      <c r="KS77" s="7"/>
      <c r="KZ77" s="7"/>
      <c r="LG77" s="7"/>
      <c r="LN77" s="7"/>
      <c r="LU77" s="7"/>
      <c r="MB77" s="7"/>
      <c r="MI77" s="7"/>
      <c r="MP77" s="7"/>
      <c r="MW77" s="7"/>
      <c r="ND77" s="7"/>
    </row>
    <row r="78" spans="1:368" x14ac:dyDescent="0.25">
      <c r="A78" s="8" t="s">
        <v>31</v>
      </c>
      <c r="B78" s="8"/>
      <c r="C78" s="8" t="s">
        <v>30</v>
      </c>
      <c r="D78" s="8" t="s">
        <v>29</v>
      </c>
      <c r="E78" s="18">
        <v>39453</v>
      </c>
      <c r="F78" s="10">
        <f t="shared" si="417"/>
        <v>1</v>
      </c>
      <c r="G78" s="19">
        <f t="shared" si="421"/>
        <v>1</v>
      </c>
      <c r="H78" s="19">
        <f t="shared" si="421"/>
        <v>1</v>
      </c>
      <c r="I78" s="8">
        <f t="shared" si="422"/>
        <v>1</v>
      </c>
      <c r="J78" s="8">
        <f t="shared" si="422"/>
        <v>1</v>
      </c>
      <c r="K78" s="8" t="str">
        <f t="shared" si="422"/>
        <v/>
      </c>
      <c r="L78" s="8" t="str">
        <f t="shared" si="422"/>
        <v/>
      </c>
      <c r="M78" s="8"/>
      <c r="N78" s="8"/>
      <c r="O78" s="9"/>
      <c r="P78" s="8">
        <f t="shared" si="419"/>
        <v>33</v>
      </c>
      <c r="Q78" s="108">
        <f t="shared" si="420"/>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T78" s="7"/>
      <c r="IA78" s="7"/>
      <c r="IH78" s="7"/>
      <c r="IO78" s="7"/>
      <c r="IV78" s="7"/>
      <c r="JC78" s="7"/>
      <c r="JJ78" s="7"/>
      <c r="JQ78" s="7"/>
      <c r="JX78" s="7"/>
      <c r="KE78" s="7"/>
      <c r="KL78" s="7"/>
      <c r="KS78" s="7"/>
      <c r="KZ78" s="7"/>
      <c r="LG78" s="7"/>
      <c r="LN78" s="7"/>
      <c r="LU78" s="7"/>
      <c r="MB78" s="7"/>
      <c r="MI78" s="7"/>
      <c r="MP78" s="7"/>
      <c r="MW78" s="7"/>
      <c r="ND78" s="7"/>
    </row>
    <row r="79" spans="1:368" x14ac:dyDescent="0.25">
      <c r="A79" s="8" t="s">
        <v>28</v>
      </c>
      <c r="B79" s="8"/>
      <c r="C79" s="8" t="s">
        <v>27</v>
      </c>
      <c r="D79" s="8" t="s">
        <v>26</v>
      </c>
      <c r="E79" s="18">
        <v>39802</v>
      </c>
      <c r="F79" s="10">
        <f t="shared" si="417"/>
        <v>1</v>
      </c>
      <c r="G79" s="19">
        <f t="shared" si="421"/>
        <v>1</v>
      </c>
      <c r="H79" s="19">
        <f t="shared" si="421"/>
        <v>1</v>
      </c>
      <c r="I79" s="8">
        <f t="shared" si="422"/>
        <v>1</v>
      </c>
      <c r="J79" s="8">
        <f t="shared" si="422"/>
        <v>1</v>
      </c>
      <c r="K79" s="8" t="str">
        <f t="shared" si="422"/>
        <v/>
      </c>
      <c r="L79" s="8" t="str">
        <f t="shared" si="422"/>
        <v/>
      </c>
      <c r="M79" s="8"/>
      <c r="N79" s="8"/>
      <c r="O79" s="9"/>
      <c r="P79" s="8">
        <f t="shared" si="419"/>
        <v>12</v>
      </c>
      <c r="Q79" s="108">
        <f t="shared" si="420"/>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T79" s="7"/>
      <c r="IA79" s="7"/>
      <c r="IH79" s="7"/>
      <c r="IO79" s="7"/>
      <c r="IV79" s="7"/>
      <c r="JC79" s="7"/>
      <c r="JJ79" s="7"/>
      <c r="JQ79" s="7"/>
      <c r="JX79" s="7"/>
      <c r="KE79" s="7"/>
      <c r="KL79" s="7"/>
      <c r="KS79" s="7"/>
      <c r="KZ79" s="7"/>
      <c r="LG79" s="7"/>
      <c r="LN79" s="7"/>
      <c r="LU79" s="7"/>
      <c r="MB79" s="7"/>
      <c r="MI79" s="7"/>
      <c r="MP79" s="7"/>
      <c r="MW79" s="7"/>
      <c r="ND79" s="7"/>
    </row>
    <row r="80" spans="1:368" ht="7.5" customHeight="1" x14ac:dyDescent="0.25">
      <c r="A80" s="8"/>
      <c r="B80" s="8"/>
      <c r="C80" s="8"/>
      <c r="D80" s="8"/>
      <c r="E80" s="8"/>
      <c r="F80" s="10"/>
      <c r="G80" s="19"/>
      <c r="H80" s="19"/>
      <c r="I80" s="8"/>
      <c r="J80" s="8"/>
      <c r="K80" s="8"/>
      <c r="L80" s="8"/>
      <c r="M80" s="8"/>
      <c r="N80" s="8"/>
      <c r="O80" s="9"/>
      <c r="P80" s="8" t="str">
        <f>IF(SUM(R80:ND80) &gt; 0, SUM(R80:ND80), "")</f>
        <v/>
      </c>
      <c r="Q80" s="108" t="str">
        <f t="shared" si="420"/>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T80" s="7"/>
      <c r="IA80" s="7"/>
      <c r="IH80" s="7"/>
      <c r="IO80" s="7"/>
      <c r="IV80" s="7"/>
      <c r="JC80" s="7"/>
      <c r="JJ80" s="7"/>
      <c r="JQ80" s="7"/>
      <c r="JX80" s="7"/>
      <c r="KE80" s="7"/>
      <c r="KL80" s="7"/>
      <c r="KS80" s="7"/>
      <c r="KZ80" s="7"/>
      <c r="LG80" s="7"/>
      <c r="LN80" s="7"/>
      <c r="LU80" s="7"/>
      <c r="MB80" s="7"/>
      <c r="MI80" s="7"/>
      <c r="MP80" s="7"/>
      <c r="MW80" s="7"/>
      <c r="ND80" s="7"/>
    </row>
    <row r="81" spans="1:368" ht="15" customHeight="1" thickBot="1" x14ac:dyDescent="0.3">
      <c r="A81" s="20" t="s">
        <v>18</v>
      </c>
      <c r="B81" s="20"/>
      <c r="C81" s="20"/>
      <c r="D81" s="20"/>
      <c r="E81" s="21"/>
      <c r="F81" s="20"/>
      <c r="G81" s="20"/>
      <c r="H81" s="20"/>
      <c r="I81" s="20"/>
      <c r="J81" s="20"/>
      <c r="K81" s="20"/>
      <c r="L81" s="20"/>
      <c r="M81" s="20"/>
      <c r="N81" s="20"/>
      <c r="O81" s="21"/>
      <c r="P81" s="60">
        <f>SUM(S81:ND81)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1"/>
      <c r="HU81" s="20"/>
      <c r="HV81" s="20"/>
      <c r="HW81" s="20"/>
      <c r="HX81" s="20"/>
      <c r="HY81" s="20"/>
      <c r="HZ81" s="20"/>
      <c r="IA81" s="21"/>
      <c r="IB81" s="20"/>
      <c r="IC81" s="20"/>
      <c r="ID81" s="20"/>
      <c r="IE81" s="20"/>
      <c r="IF81" s="20"/>
      <c r="IG81" s="20"/>
      <c r="IH81" s="21"/>
      <c r="II81" s="20"/>
      <c r="IJ81" s="20"/>
      <c r="IK81" s="20"/>
      <c r="IL81" s="20"/>
      <c r="IM81" s="20"/>
      <c r="IN81" s="20"/>
      <c r="IO81" s="21"/>
      <c r="IP81" s="20"/>
      <c r="IQ81" s="20"/>
      <c r="IR81" s="20"/>
      <c r="IS81" s="20"/>
      <c r="IT81" s="20"/>
      <c r="IU81" s="20"/>
      <c r="IV81" s="21"/>
      <c r="IW81" s="20"/>
      <c r="IX81" s="20"/>
      <c r="IY81" s="20"/>
      <c r="IZ81" s="20"/>
      <c r="JA81" s="20"/>
      <c r="JB81" s="20"/>
      <c r="JC81" s="21"/>
      <c r="JD81" s="20"/>
      <c r="JE81" s="20"/>
      <c r="JF81" s="20"/>
      <c r="JG81" s="20"/>
      <c r="JH81" s="20"/>
      <c r="JI81" s="20"/>
      <c r="JJ81" s="21"/>
      <c r="JK81" s="20"/>
      <c r="JL81" s="20"/>
      <c r="JM81" s="20"/>
      <c r="JN81" s="20"/>
      <c r="JO81" s="20"/>
      <c r="JP81" s="20"/>
      <c r="JQ81" s="21"/>
      <c r="JR81" s="20"/>
      <c r="JS81" s="20"/>
      <c r="JT81" s="20"/>
      <c r="JU81" s="20"/>
      <c r="JV81" s="20"/>
      <c r="JW81" s="20"/>
      <c r="JX81" s="21"/>
      <c r="JY81" s="20"/>
      <c r="JZ81" s="20"/>
      <c r="KA81" s="20"/>
      <c r="KB81" s="20"/>
      <c r="KC81" s="20"/>
      <c r="KD81" s="20"/>
      <c r="KE81" s="21"/>
      <c r="KF81" s="20"/>
      <c r="KG81" s="20"/>
      <c r="KH81" s="20"/>
      <c r="KI81" s="20"/>
      <c r="KJ81" s="20"/>
      <c r="KK81" s="20"/>
      <c r="KL81" s="21"/>
      <c r="KM81" s="20"/>
      <c r="KN81" s="20"/>
      <c r="KO81" s="20"/>
      <c r="KP81" s="20"/>
      <c r="KQ81" s="20"/>
      <c r="KR81" s="20"/>
      <c r="KS81" s="21"/>
      <c r="KT81" s="20"/>
      <c r="KU81" s="20"/>
      <c r="KV81" s="20"/>
      <c r="KW81" s="20"/>
      <c r="KX81" s="20"/>
      <c r="KY81" s="20"/>
      <c r="KZ81" s="21"/>
      <c r="LA81" s="20"/>
      <c r="LB81" s="20"/>
      <c r="LC81" s="20"/>
      <c r="LD81" s="20"/>
      <c r="LE81" s="20"/>
      <c r="LF81" s="20"/>
      <c r="LG81" s="21"/>
      <c r="LH81" s="20"/>
      <c r="LI81" s="20"/>
      <c r="LJ81" s="20"/>
      <c r="LK81" s="20"/>
      <c r="LL81" s="20"/>
      <c r="LM81" s="20"/>
      <c r="LN81" s="21"/>
      <c r="LO81" s="20"/>
      <c r="LP81" s="20"/>
      <c r="LQ81" s="20"/>
      <c r="LR81" s="20"/>
      <c r="LS81" s="20"/>
      <c r="LT81" s="20"/>
      <c r="LU81" s="21"/>
      <c r="LV81" s="20"/>
      <c r="LW81" s="20"/>
      <c r="LX81" s="20"/>
      <c r="LY81" s="20"/>
      <c r="LZ81" s="20"/>
      <c r="MA81" s="20"/>
      <c r="MB81" s="21"/>
      <c r="MC81" s="20"/>
      <c r="MD81" s="20"/>
      <c r="ME81" s="20"/>
      <c r="MF81" s="20"/>
      <c r="MG81" s="20"/>
      <c r="MH81" s="20"/>
      <c r="MI81" s="21"/>
      <c r="MJ81" s="20"/>
      <c r="MK81" s="20"/>
      <c r="ML81" s="20"/>
      <c r="MM81" s="20"/>
      <c r="MN81" s="20"/>
      <c r="MO81" s="20"/>
      <c r="MP81" s="21"/>
      <c r="MQ81" s="20"/>
      <c r="MR81" s="20"/>
      <c r="MS81" s="20"/>
      <c r="MT81" s="20"/>
      <c r="MU81" s="20"/>
      <c r="MV81" s="20"/>
      <c r="MW81" s="21"/>
      <c r="MX81" s="20"/>
      <c r="MY81" s="20"/>
      <c r="MZ81" s="20"/>
      <c r="NA81" s="20"/>
      <c r="NB81" s="20"/>
      <c r="NC81" s="20"/>
      <c r="ND81" s="21"/>
    </row>
    <row r="82" spans="1:368"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23">IF(SUM(T75:T80) &gt; 0, SUM(T75:T80), "")</f>
        <v/>
      </c>
      <c r="U82" s="62" t="str">
        <f t="shared" si="423"/>
        <v/>
      </c>
      <c r="V82" s="62" t="str">
        <f t="shared" ref="V82" si="424">IF(SUM(V75:V80) &gt; 0, SUM(V75:V80), "")</f>
        <v/>
      </c>
      <c r="W82" s="62" t="str">
        <f t="shared" ref="W82" si="425">IF(SUM(W75:W80) &gt; 0, SUM(W75:W80), "")</f>
        <v/>
      </c>
      <c r="X82" s="62" t="str">
        <f t="shared" ref="X82" si="426">IF(SUM(X75:X80) &gt; 0, SUM(X75:X80), "")</f>
        <v/>
      </c>
      <c r="Y82" s="62" t="str">
        <f t="shared" ref="Y82" si="427">IF(SUM(Y75:Y80) &gt; 0, SUM(Y75:Y80), "")</f>
        <v/>
      </c>
      <c r="Z82" s="63" t="str">
        <f t="shared" ref="Z82:AB82" si="428">IF(SUM(Z75:Z80) &gt; 0, SUM(Z75:Z80), "")</f>
        <v/>
      </c>
      <c r="AA82" s="62" t="str">
        <f t="shared" si="428"/>
        <v/>
      </c>
      <c r="AB82" s="62" t="str">
        <f t="shared" si="428"/>
        <v/>
      </c>
      <c r="AC82" s="62" t="str">
        <f t="shared" ref="AC82" si="429">IF(SUM(AC75:AC80) &gt; 0, SUM(AC75:AC80), "")</f>
        <v/>
      </c>
      <c r="AD82" s="62" t="str">
        <f t="shared" ref="AD82" si="430">IF(SUM(AD75:AD80) &gt; 0, SUM(AD75:AD80), "")</f>
        <v/>
      </c>
      <c r="AE82" s="62" t="str">
        <f t="shared" ref="AE82" si="431">IF(SUM(AE75:AE80) &gt; 0, SUM(AE75:AE80), "")</f>
        <v/>
      </c>
      <c r="AF82" s="62" t="str">
        <f t="shared" ref="AF82" si="432">IF(SUM(AF75:AF80) &gt; 0, SUM(AF75:AF80), "")</f>
        <v/>
      </c>
      <c r="AG82" s="63" t="str">
        <f t="shared" ref="AG82" si="433">IF(SUM(AG75:AG80) &gt; 0, SUM(AG75:AG80), "")</f>
        <v/>
      </c>
      <c r="AH82" s="62" t="str">
        <f>IF(SUM(AH75:AH80) &gt; 0, SUM(AH75:AH80), "")</f>
        <v/>
      </c>
      <c r="AI82" s="62" t="str">
        <f>IF(SUM(AI75:AI80) &gt; 0, SUM(AI75:AI80), "")</f>
        <v/>
      </c>
      <c r="AJ82" s="62" t="str">
        <f t="shared" ref="AJ82:AN82" si="434">IF(SUM(AJ75:AJ80) &gt; 0, SUM(AJ75:AJ80), "")</f>
        <v/>
      </c>
      <c r="AK82" s="62">
        <f t="shared" si="434"/>
        <v>3</v>
      </c>
      <c r="AL82" s="62" t="str">
        <f t="shared" si="434"/>
        <v/>
      </c>
      <c r="AM82" s="62" t="str">
        <f t="shared" si="434"/>
        <v/>
      </c>
      <c r="AN82" s="63" t="str">
        <f t="shared" si="434"/>
        <v/>
      </c>
      <c r="AO82" s="62" t="str">
        <f>IF(SUM(AO75:AO80) &gt; 0, SUM(AO75:AO80), "")</f>
        <v/>
      </c>
      <c r="AP82" s="62">
        <f>IF(SUM(AP75:AP80) &gt; 0, SUM(AP75:AP80), "")</f>
        <v>2</v>
      </c>
      <c r="AQ82" s="62" t="str">
        <f t="shared" ref="AQ82" si="435">IF(SUM(AQ75:AQ80) &gt; 0, SUM(AQ75:AQ80), "")</f>
        <v/>
      </c>
      <c r="AR82" s="62">
        <f t="shared" ref="AR82" si="436">IF(SUM(AR75:AR80) &gt; 0, SUM(AR75:AR80), "")</f>
        <v>1</v>
      </c>
      <c r="AS82" s="62" t="str">
        <f t="shared" ref="AS82" si="437">IF(SUM(AS75:AS80) &gt; 0, SUM(AS75:AS80), "")</f>
        <v/>
      </c>
      <c r="AT82" s="62" t="str">
        <f t="shared" ref="AT82" si="438">IF(SUM(AT75:AT80) &gt; 0, SUM(AT75:AT80), "")</f>
        <v/>
      </c>
      <c r="AU82" s="63" t="str">
        <f t="shared" ref="AU82" si="439">IF(SUM(AU75:AU80) &gt; 0, SUM(AU75:AU80), "")</f>
        <v/>
      </c>
      <c r="AV82" s="62" t="str">
        <f>IF(SUM(AV75:AV80) &gt; 0, SUM(AV75:AV80), "")</f>
        <v/>
      </c>
      <c r="AW82" s="62">
        <f>IF(SUM(AW75:AW80) &gt; 0, SUM(AW75:AW80), "")</f>
        <v>2</v>
      </c>
      <c r="AX82" s="62" t="str">
        <f t="shared" ref="AX82" si="440">IF(SUM(AX75:AX80) &gt; 0, SUM(AX75:AX80), "")</f>
        <v/>
      </c>
      <c r="AY82" s="62">
        <f t="shared" ref="AY82" si="441">IF(SUM(AY75:AY80) &gt; 0, SUM(AY75:AY80), "")</f>
        <v>1</v>
      </c>
      <c r="AZ82" s="62" t="str">
        <f t="shared" ref="AZ82" si="442">IF(SUM(AZ75:AZ80) &gt; 0, SUM(AZ75:AZ80), "")</f>
        <v/>
      </c>
      <c r="BA82" s="62" t="str">
        <f t="shared" ref="BA82" si="443">IF(SUM(BA75:BA80) &gt; 0, SUM(BA75:BA80), "")</f>
        <v/>
      </c>
      <c r="BB82" s="63" t="str">
        <f t="shared" ref="BB82" si="444">IF(SUM(BB75:BB80) &gt; 0, SUM(BB75:BB80), "")</f>
        <v/>
      </c>
      <c r="BC82" s="62" t="str">
        <f>IF(SUM(BC75:BC80) &gt; 0, SUM(BC75:BC80), "")</f>
        <v/>
      </c>
      <c r="BD82" s="62">
        <f>IF(SUM(BD75:BD80) &gt; 0, SUM(BD75:BD80), "")</f>
        <v>3</v>
      </c>
      <c r="BE82" s="62" t="str">
        <f t="shared" ref="BE82:ED82" si="445">IF(SUM(BE75:BE80) &gt; 0, SUM(BE75:BE80), "")</f>
        <v/>
      </c>
      <c r="BF82" s="62">
        <f t="shared" si="445"/>
        <v>2</v>
      </c>
      <c r="BG82" s="62" t="str">
        <f t="shared" si="445"/>
        <v/>
      </c>
      <c r="BH82" s="62" t="str">
        <f t="shared" si="445"/>
        <v/>
      </c>
      <c r="BI82" s="63" t="str">
        <f t="shared" si="445"/>
        <v/>
      </c>
      <c r="BJ82" s="62" t="str">
        <f t="shared" si="445"/>
        <v/>
      </c>
      <c r="BK82" s="62">
        <f t="shared" si="445"/>
        <v>2</v>
      </c>
      <c r="BL82" s="62" t="str">
        <f t="shared" si="445"/>
        <v/>
      </c>
      <c r="BM82" s="62">
        <f t="shared" si="445"/>
        <v>3</v>
      </c>
      <c r="BN82" s="62">
        <f t="shared" si="445"/>
        <v>2</v>
      </c>
      <c r="BO82" s="62" t="str">
        <f t="shared" si="445"/>
        <v/>
      </c>
      <c r="BP82" s="63">
        <f t="shared" si="445"/>
        <v>1</v>
      </c>
      <c r="BQ82" s="62" t="str">
        <f t="shared" si="445"/>
        <v/>
      </c>
      <c r="BR82" s="62" t="str">
        <f t="shared" si="445"/>
        <v/>
      </c>
      <c r="BS82" s="62" t="str">
        <f t="shared" si="445"/>
        <v/>
      </c>
      <c r="BT82" s="62" t="str">
        <f t="shared" si="445"/>
        <v/>
      </c>
      <c r="BU82" s="62" t="str">
        <f t="shared" si="445"/>
        <v/>
      </c>
      <c r="BV82" s="62" t="str">
        <f t="shared" si="445"/>
        <v/>
      </c>
      <c r="BW82" s="62">
        <f t="shared" ref="BW82" si="446">IF(SUM(BW75:BW80) &gt; 0, SUM(BW75:BW80), "")</f>
        <v>2</v>
      </c>
      <c r="BX82" s="62"/>
      <c r="BY82" s="63" t="str">
        <f t="shared" si="445"/>
        <v/>
      </c>
      <c r="BZ82" s="62" t="str">
        <f t="shared" si="445"/>
        <v/>
      </c>
      <c r="CA82" s="62" t="str">
        <f t="shared" si="445"/>
        <v/>
      </c>
      <c r="CB82" s="62" t="str">
        <f t="shared" si="445"/>
        <v/>
      </c>
      <c r="CC82" s="62" t="str">
        <f t="shared" si="445"/>
        <v/>
      </c>
      <c r="CD82" s="62" t="str">
        <f t="shared" si="445"/>
        <v/>
      </c>
      <c r="CE82" s="62" t="str">
        <f t="shared" si="445"/>
        <v/>
      </c>
      <c r="CF82" s="62"/>
      <c r="CG82" s="62"/>
      <c r="CH82" s="63" t="str">
        <f t="shared" si="445"/>
        <v/>
      </c>
      <c r="CI82" s="62" t="str">
        <f t="shared" si="445"/>
        <v/>
      </c>
      <c r="CJ82" s="62" t="str">
        <f t="shared" si="445"/>
        <v/>
      </c>
      <c r="CK82" s="62" t="str">
        <f t="shared" si="445"/>
        <v/>
      </c>
      <c r="CL82" s="62" t="str">
        <f t="shared" si="445"/>
        <v/>
      </c>
      <c r="CM82" s="62" t="str">
        <f t="shared" si="445"/>
        <v/>
      </c>
      <c r="CN82" s="62" t="str">
        <f t="shared" si="445"/>
        <v/>
      </c>
      <c r="CO82" s="62" t="str">
        <f t="shared" ref="CO82" si="447">IF(SUM(CO75:CO80) &gt; 0, SUM(CO75:CO80), "")</f>
        <v/>
      </c>
      <c r="CP82" s="62"/>
      <c r="CQ82" s="63" t="str">
        <f t="shared" si="445"/>
        <v/>
      </c>
      <c r="CR82" s="62" t="str">
        <f t="shared" si="445"/>
        <v/>
      </c>
      <c r="CS82" s="62" t="str">
        <f t="shared" si="445"/>
        <v/>
      </c>
      <c r="CT82" s="62" t="str">
        <f t="shared" si="445"/>
        <v/>
      </c>
      <c r="CU82" s="62" t="str">
        <f t="shared" si="445"/>
        <v/>
      </c>
      <c r="CV82" s="62" t="str">
        <f t="shared" si="445"/>
        <v/>
      </c>
      <c r="CW82" s="62"/>
      <c r="CX82" s="62"/>
      <c r="CY82" s="62" t="str">
        <f t="shared" si="445"/>
        <v/>
      </c>
      <c r="CZ82" s="63" t="str">
        <f t="shared" si="445"/>
        <v/>
      </c>
      <c r="DA82" s="62" t="str">
        <f t="shared" si="445"/>
        <v/>
      </c>
      <c r="DB82" s="62" t="str">
        <f t="shared" si="445"/>
        <v/>
      </c>
      <c r="DC82" s="62" t="str">
        <f t="shared" si="445"/>
        <v/>
      </c>
      <c r="DD82" s="62" t="str">
        <f t="shared" si="445"/>
        <v/>
      </c>
      <c r="DE82" s="62" t="str">
        <f t="shared" si="445"/>
        <v/>
      </c>
      <c r="DF82" s="62" t="str">
        <f t="shared" si="445"/>
        <v/>
      </c>
      <c r="DG82" s="62"/>
      <c r="DH82" s="62"/>
      <c r="DI82" s="63" t="str">
        <f t="shared" si="445"/>
        <v/>
      </c>
      <c r="DJ82" s="62" t="str">
        <f t="shared" si="445"/>
        <v/>
      </c>
      <c r="DK82" s="62" t="str">
        <f t="shared" si="445"/>
        <v/>
      </c>
      <c r="DL82" s="62" t="str">
        <f t="shared" si="445"/>
        <v/>
      </c>
      <c r="DM82" s="62" t="str">
        <f t="shared" si="445"/>
        <v/>
      </c>
      <c r="DN82" s="62" t="str">
        <f t="shared" si="445"/>
        <v/>
      </c>
      <c r="DO82" s="62" t="str">
        <f t="shared" si="445"/>
        <v/>
      </c>
      <c r="DP82" s="62"/>
      <c r="DQ82" s="62"/>
      <c r="DR82" s="63" t="str">
        <f t="shared" si="445"/>
        <v/>
      </c>
      <c r="DS82" s="62" t="str">
        <f t="shared" si="445"/>
        <v/>
      </c>
      <c r="DT82" s="62">
        <f t="shared" si="445"/>
        <v>1</v>
      </c>
      <c r="DU82" s="62" t="str">
        <f t="shared" si="445"/>
        <v/>
      </c>
      <c r="DV82" s="62">
        <f t="shared" si="445"/>
        <v>2</v>
      </c>
      <c r="DW82" s="62">
        <f t="shared" si="445"/>
        <v>1</v>
      </c>
      <c r="DX82" s="62"/>
      <c r="DY82" s="62"/>
      <c r="DZ82" s="62" t="str">
        <f t="shared" si="445"/>
        <v/>
      </c>
      <c r="EA82" s="63" t="str">
        <f t="shared" si="445"/>
        <v/>
      </c>
      <c r="EB82" s="62" t="str">
        <f t="shared" si="445"/>
        <v/>
      </c>
      <c r="EC82" s="62">
        <f t="shared" si="445"/>
        <v>1</v>
      </c>
      <c r="ED82" s="62" t="str">
        <f t="shared" si="445"/>
        <v/>
      </c>
      <c r="EE82" s="62">
        <f t="shared" ref="EE82:HH82" si="448">IF(SUM(EE75:EE80) &gt; 0, SUM(EE75:EE80), "")</f>
        <v>1</v>
      </c>
      <c r="EF82" s="62">
        <v>0</v>
      </c>
      <c r="EG82" s="62"/>
      <c r="EH82" s="62"/>
      <c r="EI82" s="62" t="str">
        <f t="shared" si="448"/>
        <v/>
      </c>
      <c r="EJ82" s="63" t="str">
        <f t="shared" si="448"/>
        <v/>
      </c>
      <c r="EK82" s="62" t="str">
        <f t="shared" si="448"/>
        <v/>
      </c>
      <c r="EL82" s="62">
        <f t="shared" si="448"/>
        <v>1</v>
      </c>
      <c r="EM82" s="62" t="str">
        <f t="shared" si="448"/>
        <v/>
      </c>
      <c r="EN82" s="62">
        <f t="shared" si="448"/>
        <v>1</v>
      </c>
      <c r="EO82" s="62">
        <f t="shared" si="448"/>
        <v>2</v>
      </c>
      <c r="EP82" s="62" t="str">
        <f t="shared" si="448"/>
        <v/>
      </c>
      <c r="EQ82" s="62"/>
      <c r="ER82" s="62"/>
      <c r="ES82" s="63" t="str">
        <f t="shared" si="448"/>
        <v/>
      </c>
      <c r="ET82" s="62" t="str">
        <f t="shared" si="448"/>
        <v/>
      </c>
      <c r="EU82" s="62">
        <f t="shared" si="448"/>
        <v>1</v>
      </c>
      <c r="EV82" s="62" t="str">
        <f t="shared" si="448"/>
        <v/>
      </c>
      <c r="EW82" s="62">
        <f t="shared" si="448"/>
        <v>1</v>
      </c>
      <c r="EX82" s="62">
        <f t="shared" si="448"/>
        <v>1</v>
      </c>
      <c r="EY82" s="62" t="str">
        <f t="shared" si="448"/>
        <v/>
      </c>
      <c r="EZ82" s="62"/>
      <c r="FA82" s="62"/>
      <c r="FB82" s="63" t="str">
        <f t="shared" si="448"/>
        <v/>
      </c>
      <c r="FC82" s="62" t="str">
        <f t="shared" si="448"/>
        <v/>
      </c>
      <c r="FD82" s="62">
        <f t="shared" si="448"/>
        <v>1</v>
      </c>
      <c r="FE82" s="62" t="str">
        <f t="shared" si="448"/>
        <v/>
      </c>
      <c r="FF82" s="62">
        <f t="shared" si="448"/>
        <v>1</v>
      </c>
      <c r="FG82" s="62">
        <f t="shared" si="448"/>
        <v>1</v>
      </c>
      <c r="FH82" s="62" t="str">
        <f t="shared" si="448"/>
        <v/>
      </c>
      <c r="FI82" s="62"/>
      <c r="FJ82" s="62"/>
      <c r="FK82" s="63" t="str">
        <f t="shared" si="448"/>
        <v/>
      </c>
      <c r="FL82" s="62" t="str">
        <f t="shared" si="448"/>
        <v/>
      </c>
      <c r="FM82" s="62">
        <f t="shared" si="448"/>
        <v>1</v>
      </c>
      <c r="FN82" s="62" t="str">
        <f t="shared" si="448"/>
        <v/>
      </c>
      <c r="FO82" s="62">
        <f t="shared" si="448"/>
        <v>1</v>
      </c>
      <c r="FP82" s="62">
        <f t="shared" si="448"/>
        <v>1</v>
      </c>
      <c r="FQ82" s="62" t="str">
        <f t="shared" si="448"/>
        <v/>
      </c>
      <c r="FR82" s="62"/>
      <c r="FS82" s="62"/>
      <c r="FT82" s="63" t="str">
        <f t="shared" si="448"/>
        <v/>
      </c>
      <c r="FU82" s="62" t="str">
        <f t="shared" si="448"/>
        <v/>
      </c>
      <c r="FV82" s="62">
        <f t="shared" si="448"/>
        <v>1</v>
      </c>
      <c r="FW82" s="62" t="str">
        <f t="shared" si="448"/>
        <v/>
      </c>
      <c r="FX82" s="62">
        <f t="shared" si="448"/>
        <v>1</v>
      </c>
      <c r="FY82" s="62">
        <f t="shared" si="448"/>
        <v>2</v>
      </c>
      <c r="FZ82" s="62" t="str">
        <f t="shared" si="448"/>
        <v/>
      </c>
      <c r="GA82" s="62"/>
      <c r="GB82" s="62"/>
      <c r="GC82" s="63" t="str">
        <f t="shared" si="448"/>
        <v/>
      </c>
      <c r="GD82" s="62" t="str">
        <f t="shared" si="448"/>
        <v/>
      </c>
      <c r="GE82" s="62">
        <f t="shared" si="448"/>
        <v>1</v>
      </c>
      <c r="GF82" s="62" t="str">
        <f t="shared" si="448"/>
        <v/>
      </c>
      <c r="GG82" s="62">
        <f t="shared" si="448"/>
        <v>1</v>
      </c>
      <c r="GH82" s="62">
        <f t="shared" si="448"/>
        <v>1</v>
      </c>
      <c r="GI82" s="62" t="str">
        <f t="shared" si="448"/>
        <v/>
      </c>
      <c r="GJ82" s="62"/>
      <c r="GK82" s="62"/>
      <c r="GL82" s="63" t="str">
        <f t="shared" si="448"/>
        <v/>
      </c>
      <c r="GM82" s="62" t="str">
        <f t="shared" si="448"/>
        <v/>
      </c>
      <c r="GN82" s="62">
        <f t="shared" si="448"/>
        <v>1</v>
      </c>
      <c r="GO82" s="62" t="str">
        <f t="shared" si="448"/>
        <v/>
      </c>
      <c r="GP82" s="62">
        <f t="shared" si="448"/>
        <v>2</v>
      </c>
      <c r="GQ82" s="62">
        <f t="shared" si="448"/>
        <v>1</v>
      </c>
      <c r="GR82" s="62" t="str">
        <f t="shared" si="448"/>
        <v/>
      </c>
      <c r="GS82" s="62"/>
      <c r="GT82" s="62"/>
      <c r="GU82" s="63" t="str">
        <f t="shared" si="448"/>
        <v/>
      </c>
      <c r="GV82" s="62" t="str">
        <f t="shared" si="448"/>
        <v/>
      </c>
      <c r="GW82" s="62" t="str">
        <f t="shared" si="448"/>
        <v/>
      </c>
      <c r="GX82" s="62" t="str">
        <f t="shared" si="448"/>
        <v/>
      </c>
      <c r="GY82" s="62" t="str">
        <f t="shared" si="448"/>
        <v/>
      </c>
      <c r="GZ82" s="62" t="str">
        <f t="shared" si="448"/>
        <v/>
      </c>
      <c r="HA82" s="62" t="str">
        <f t="shared" si="448"/>
        <v/>
      </c>
      <c r="HB82" s="62"/>
      <c r="HC82" s="62"/>
      <c r="HD82" s="63" t="str">
        <f t="shared" si="448"/>
        <v/>
      </c>
      <c r="HE82" s="62" t="str">
        <f t="shared" si="448"/>
        <v/>
      </c>
      <c r="HF82" s="62" t="str">
        <f t="shared" si="448"/>
        <v/>
      </c>
      <c r="HG82" s="62" t="str">
        <f t="shared" si="448"/>
        <v/>
      </c>
      <c r="HH82" s="62" t="str">
        <f t="shared" si="448"/>
        <v/>
      </c>
      <c r="HI82" s="62" t="str">
        <f t="shared" ref="HI82:JV82" si="449">IF(SUM(HI75:HI80) &gt; 0, SUM(HI75:HI80), "")</f>
        <v/>
      </c>
      <c r="HJ82" s="62" t="str">
        <f t="shared" si="449"/>
        <v/>
      </c>
      <c r="HK82" s="62"/>
      <c r="HL82" s="62"/>
      <c r="HM82" s="63" t="str">
        <f t="shared" si="449"/>
        <v/>
      </c>
      <c r="HN82" s="62" t="str">
        <f t="shared" si="449"/>
        <v/>
      </c>
      <c r="HO82" s="62" t="str">
        <f t="shared" si="449"/>
        <v/>
      </c>
      <c r="HP82" s="62" t="str">
        <f t="shared" si="449"/>
        <v/>
      </c>
      <c r="HQ82" s="62" t="str">
        <f t="shared" si="449"/>
        <v/>
      </c>
      <c r="HR82" s="62" t="str">
        <f t="shared" si="449"/>
        <v/>
      </c>
      <c r="HS82" s="62" t="str">
        <f t="shared" si="449"/>
        <v/>
      </c>
      <c r="HT82" s="63" t="str">
        <f t="shared" si="449"/>
        <v/>
      </c>
      <c r="HU82" s="62" t="str">
        <f t="shared" si="449"/>
        <v/>
      </c>
      <c r="HV82" s="62" t="str">
        <f t="shared" si="449"/>
        <v/>
      </c>
      <c r="HW82" s="62" t="str">
        <f t="shared" si="449"/>
        <v/>
      </c>
      <c r="HX82" s="62" t="str">
        <f t="shared" si="449"/>
        <v/>
      </c>
      <c r="HY82" s="62" t="str">
        <f t="shared" si="449"/>
        <v/>
      </c>
      <c r="HZ82" s="62" t="str">
        <f t="shared" si="449"/>
        <v/>
      </c>
      <c r="IA82" s="63" t="str">
        <f t="shared" si="449"/>
        <v/>
      </c>
      <c r="IB82" s="62" t="str">
        <f t="shared" si="449"/>
        <v/>
      </c>
      <c r="IC82" s="62" t="str">
        <f t="shared" si="449"/>
        <v/>
      </c>
      <c r="ID82" s="62" t="str">
        <f t="shared" si="449"/>
        <v/>
      </c>
      <c r="IE82" s="62" t="str">
        <f t="shared" si="449"/>
        <v/>
      </c>
      <c r="IF82" s="62" t="str">
        <f t="shared" si="449"/>
        <v/>
      </c>
      <c r="IG82" s="62" t="str">
        <f t="shared" si="449"/>
        <v/>
      </c>
      <c r="IH82" s="63" t="str">
        <f t="shared" si="449"/>
        <v/>
      </c>
      <c r="II82" s="62" t="str">
        <f t="shared" si="449"/>
        <v/>
      </c>
      <c r="IJ82" s="62" t="str">
        <f t="shared" si="449"/>
        <v/>
      </c>
      <c r="IK82" s="62" t="str">
        <f t="shared" si="449"/>
        <v/>
      </c>
      <c r="IL82" s="62" t="str">
        <f t="shared" si="449"/>
        <v/>
      </c>
      <c r="IM82" s="62" t="str">
        <f t="shared" si="449"/>
        <v/>
      </c>
      <c r="IN82" s="62" t="str">
        <f t="shared" si="449"/>
        <v/>
      </c>
      <c r="IO82" s="63" t="str">
        <f t="shared" si="449"/>
        <v/>
      </c>
      <c r="IP82" s="62" t="str">
        <f t="shared" si="449"/>
        <v/>
      </c>
      <c r="IQ82" s="62" t="str">
        <f t="shared" si="449"/>
        <v/>
      </c>
      <c r="IR82" s="62" t="str">
        <f t="shared" si="449"/>
        <v/>
      </c>
      <c r="IS82" s="62" t="str">
        <f t="shared" si="449"/>
        <v/>
      </c>
      <c r="IT82" s="62" t="str">
        <f t="shared" si="449"/>
        <v/>
      </c>
      <c r="IU82" s="62" t="str">
        <f t="shared" si="449"/>
        <v/>
      </c>
      <c r="IV82" s="63" t="str">
        <f t="shared" si="449"/>
        <v/>
      </c>
      <c r="IW82" s="62" t="str">
        <f t="shared" si="449"/>
        <v/>
      </c>
      <c r="IX82" s="62" t="str">
        <f t="shared" si="449"/>
        <v/>
      </c>
      <c r="IY82" s="62" t="str">
        <f t="shared" si="449"/>
        <v/>
      </c>
      <c r="IZ82" s="62" t="str">
        <f t="shared" si="449"/>
        <v/>
      </c>
      <c r="JA82" s="62" t="str">
        <f t="shared" si="449"/>
        <v/>
      </c>
      <c r="JB82" s="62" t="str">
        <f t="shared" si="449"/>
        <v/>
      </c>
      <c r="JC82" s="63" t="str">
        <f t="shared" si="449"/>
        <v/>
      </c>
      <c r="JD82" s="62" t="str">
        <f t="shared" si="449"/>
        <v/>
      </c>
      <c r="JE82" s="62" t="str">
        <f t="shared" si="449"/>
        <v/>
      </c>
      <c r="JF82" s="62" t="str">
        <f t="shared" si="449"/>
        <v/>
      </c>
      <c r="JG82" s="62" t="str">
        <f t="shared" si="449"/>
        <v/>
      </c>
      <c r="JH82" s="62" t="str">
        <f t="shared" si="449"/>
        <v/>
      </c>
      <c r="JI82" s="62" t="str">
        <f t="shared" si="449"/>
        <v/>
      </c>
      <c r="JJ82" s="63" t="str">
        <f t="shared" si="449"/>
        <v/>
      </c>
      <c r="JK82" s="62" t="str">
        <f t="shared" si="449"/>
        <v/>
      </c>
      <c r="JL82" s="62" t="str">
        <f t="shared" si="449"/>
        <v/>
      </c>
      <c r="JM82" s="62" t="str">
        <f t="shared" si="449"/>
        <v/>
      </c>
      <c r="JN82" s="62" t="str">
        <f t="shared" si="449"/>
        <v/>
      </c>
      <c r="JO82" s="62" t="str">
        <f t="shared" si="449"/>
        <v/>
      </c>
      <c r="JP82" s="62" t="str">
        <f t="shared" si="449"/>
        <v/>
      </c>
      <c r="JQ82" s="63" t="str">
        <f t="shared" si="449"/>
        <v/>
      </c>
      <c r="JR82" s="62" t="str">
        <f t="shared" si="449"/>
        <v/>
      </c>
      <c r="JS82" s="62" t="str">
        <f t="shared" si="449"/>
        <v/>
      </c>
      <c r="JT82" s="62" t="str">
        <f t="shared" si="449"/>
        <v/>
      </c>
      <c r="JU82" s="62" t="str">
        <f t="shared" si="449"/>
        <v/>
      </c>
      <c r="JV82" s="62" t="str">
        <f t="shared" si="449"/>
        <v/>
      </c>
      <c r="JW82" s="62" t="str">
        <f t="shared" ref="JW82:MH82" si="450">IF(SUM(JW75:JW80) &gt; 0, SUM(JW75:JW80), "")</f>
        <v/>
      </c>
      <c r="JX82" s="63" t="str">
        <f t="shared" si="450"/>
        <v/>
      </c>
      <c r="JY82" s="62" t="str">
        <f t="shared" si="450"/>
        <v/>
      </c>
      <c r="JZ82" s="62" t="str">
        <f t="shared" si="450"/>
        <v/>
      </c>
      <c r="KA82" s="62" t="str">
        <f t="shared" si="450"/>
        <v/>
      </c>
      <c r="KB82" s="62" t="str">
        <f t="shared" si="450"/>
        <v/>
      </c>
      <c r="KC82" s="62" t="str">
        <f t="shared" si="450"/>
        <v/>
      </c>
      <c r="KD82" s="62" t="str">
        <f t="shared" si="450"/>
        <v/>
      </c>
      <c r="KE82" s="63" t="str">
        <f t="shared" si="450"/>
        <v/>
      </c>
      <c r="KF82" s="62" t="str">
        <f t="shared" si="450"/>
        <v/>
      </c>
      <c r="KG82" s="62" t="str">
        <f t="shared" si="450"/>
        <v/>
      </c>
      <c r="KH82" s="62" t="str">
        <f t="shared" si="450"/>
        <v/>
      </c>
      <c r="KI82" s="62" t="str">
        <f t="shared" si="450"/>
        <v/>
      </c>
      <c r="KJ82" s="62" t="str">
        <f t="shared" si="450"/>
        <v/>
      </c>
      <c r="KK82" s="62" t="str">
        <f t="shared" si="450"/>
        <v/>
      </c>
      <c r="KL82" s="63" t="str">
        <f t="shared" si="450"/>
        <v/>
      </c>
      <c r="KM82" s="62" t="str">
        <f t="shared" si="450"/>
        <v/>
      </c>
      <c r="KN82" s="62" t="str">
        <f t="shared" si="450"/>
        <v/>
      </c>
      <c r="KO82" s="62" t="str">
        <f t="shared" si="450"/>
        <v/>
      </c>
      <c r="KP82" s="62" t="str">
        <f t="shared" si="450"/>
        <v/>
      </c>
      <c r="KQ82" s="62" t="str">
        <f t="shared" si="450"/>
        <v/>
      </c>
      <c r="KR82" s="62" t="str">
        <f t="shared" si="450"/>
        <v/>
      </c>
      <c r="KS82" s="63" t="str">
        <f t="shared" si="450"/>
        <v/>
      </c>
      <c r="KT82" s="62" t="str">
        <f t="shared" si="450"/>
        <v/>
      </c>
      <c r="KU82" s="62" t="str">
        <f t="shared" si="450"/>
        <v/>
      </c>
      <c r="KV82" s="62" t="str">
        <f t="shared" si="450"/>
        <v/>
      </c>
      <c r="KW82" s="62" t="str">
        <f t="shared" si="450"/>
        <v/>
      </c>
      <c r="KX82" s="62" t="str">
        <f t="shared" si="450"/>
        <v/>
      </c>
      <c r="KY82" s="62" t="str">
        <f t="shared" si="450"/>
        <v/>
      </c>
      <c r="KZ82" s="63" t="str">
        <f t="shared" si="450"/>
        <v/>
      </c>
      <c r="LA82" s="62" t="str">
        <f t="shared" si="450"/>
        <v/>
      </c>
      <c r="LB82" s="62" t="str">
        <f t="shared" si="450"/>
        <v/>
      </c>
      <c r="LC82" s="62" t="str">
        <f t="shared" si="450"/>
        <v/>
      </c>
      <c r="LD82" s="62" t="str">
        <f t="shared" si="450"/>
        <v/>
      </c>
      <c r="LE82" s="62" t="str">
        <f t="shared" si="450"/>
        <v/>
      </c>
      <c r="LF82" s="62" t="str">
        <f t="shared" si="450"/>
        <v/>
      </c>
      <c r="LG82" s="63" t="str">
        <f t="shared" si="450"/>
        <v/>
      </c>
      <c r="LH82" s="62" t="str">
        <f t="shared" si="450"/>
        <v/>
      </c>
      <c r="LI82" s="62" t="str">
        <f t="shared" si="450"/>
        <v/>
      </c>
      <c r="LJ82" s="62" t="str">
        <f t="shared" si="450"/>
        <v/>
      </c>
      <c r="LK82" s="62" t="str">
        <f t="shared" si="450"/>
        <v/>
      </c>
      <c r="LL82" s="62" t="str">
        <f t="shared" si="450"/>
        <v/>
      </c>
      <c r="LM82" s="62" t="str">
        <f t="shared" si="450"/>
        <v/>
      </c>
      <c r="LN82" s="63" t="str">
        <f t="shared" si="450"/>
        <v/>
      </c>
      <c r="LO82" s="62" t="str">
        <f t="shared" si="450"/>
        <v/>
      </c>
      <c r="LP82" s="62" t="str">
        <f t="shared" si="450"/>
        <v/>
      </c>
      <c r="LQ82" s="62" t="str">
        <f t="shared" si="450"/>
        <v/>
      </c>
      <c r="LR82" s="62" t="str">
        <f t="shared" si="450"/>
        <v/>
      </c>
      <c r="LS82" s="62" t="str">
        <f t="shared" si="450"/>
        <v/>
      </c>
      <c r="LT82" s="62" t="str">
        <f t="shared" si="450"/>
        <v/>
      </c>
      <c r="LU82" s="63" t="str">
        <f t="shared" si="450"/>
        <v/>
      </c>
      <c r="LV82" s="62" t="str">
        <f t="shared" si="450"/>
        <v/>
      </c>
      <c r="LW82" s="62" t="str">
        <f t="shared" si="450"/>
        <v/>
      </c>
      <c r="LX82" s="62" t="str">
        <f t="shared" si="450"/>
        <v/>
      </c>
      <c r="LY82" s="62" t="str">
        <f t="shared" si="450"/>
        <v/>
      </c>
      <c r="LZ82" s="62" t="str">
        <f t="shared" si="450"/>
        <v/>
      </c>
      <c r="MA82" s="62" t="str">
        <f t="shared" si="450"/>
        <v/>
      </c>
      <c r="MB82" s="63" t="str">
        <f t="shared" si="450"/>
        <v/>
      </c>
      <c r="MC82" s="62" t="str">
        <f t="shared" si="450"/>
        <v/>
      </c>
      <c r="MD82" s="62" t="str">
        <f t="shared" si="450"/>
        <v/>
      </c>
      <c r="ME82" s="62" t="str">
        <f t="shared" si="450"/>
        <v/>
      </c>
      <c r="MF82" s="62" t="str">
        <f t="shared" si="450"/>
        <v/>
      </c>
      <c r="MG82" s="62" t="str">
        <f t="shared" si="450"/>
        <v/>
      </c>
      <c r="MH82" s="62" t="str">
        <f t="shared" si="450"/>
        <v/>
      </c>
      <c r="MI82" s="63" t="str">
        <f t="shared" ref="MI82:ND82" si="451">IF(SUM(MI75:MI80) &gt; 0, SUM(MI75:MI80), "")</f>
        <v/>
      </c>
      <c r="MJ82" s="62" t="str">
        <f t="shared" si="451"/>
        <v/>
      </c>
      <c r="MK82" s="62" t="str">
        <f t="shared" si="451"/>
        <v/>
      </c>
      <c r="ML82" s="62" t="str">
        <f t="shared" si="451"/>
        <v/>
      </c>
      <c r="MM82" s="62" t="str">
        <f t="shared" si="451"/>
        <v/>
      </c>
      <c r="MN82" s="62" t="str">
        <f t="shared" si="451"/>
        <v/>
      </c>
      <c r="MO82" s="62" t="str">
        <f t="shared" si="451"/>
        <v/>
      </c>
      <c r="MP82" s="63" t="str">
        <f t="shared" si="451"/>
        <v/>
      </c>
      <c r="MQ82" s="62" t="str">
        <f t="shared" si="451"/>
        <v/>
      </c>
      <c r="MR82" s="62" t="str">
        <f t="shared" si="451"/>
        <v/>
      </c>
      <c r="MS82" s="62" t="str">
        <f t="shared" si="451"/>
        <v/>
      </c>
      <c r="MT82" s="62" t="str">
        <f t="shared" si="451"/>
        <v/>
      </c>
      <c r="MU82" s="62" t="str">
        <f t="shared" si="451"/>
        <v/>
      </c>
      <c r="MV82" s="62" t="str">
        <f t="shared" si="451"/>
        <v/>
      </c>
      <c r="MW82" s="63" t="str">
        <f t="shared" si="451"/>
        <v/>
      </c>
      <c r="MX82" s="62" t="str">
        <f t="shared" si="451"/>
        <v/>
      </c>
      <c r="MY82" s="62" t="str">
        <f t="shared" si="451"/>
        <v/>
      </c>
      <c r="MZ82" s="62" t="str">
        <f t="shared" si="451"/>
        <v/>
      </c>
      <c r="NA82" s="62" t="str">
        <f t="shared" si="451"/>
        <v/>
      </c>
      <c r="NB82" s="62" t="str">
        <f t="shared" si="451"/>
        <v/>
      </c>
      <c r="NC82" s="62" t="str">
        <f t="shared" si="451"/>
        <v/>
      </c>
      <c r="ND82" s="87" t="str">
        <f t="shared" si="451"/>
        <v/>
      </c>
    </row>
    <row r="83" spans="1:368"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52">IF(SUM(T70, T82) &gt; 0, SUM(T70, T82), "")</f>
        <v/>
      </c>
      <c r="U83" s="62" t="str">
        <f t="shared" si="452"/>
        <v/>
      </c>
      <c r="V83" s="62" t="str">
        <f t="shared" si="452"/>
        <v/>
      </c>
      <c r="W83" s="62" t="str">
        <f t="shared" si="452"/>
        <v/>
      </c>
      <c r="X83" s="62" t="str">
        <f t="shared" si="452"/>
        <v/>
      </c>
      <c r="Y83" s="62" t="str">
        <f t="shared" si="452"/>
        <v/>
      </c>
      <c r="Z83" s="63" t="str">
        <f t="shared" si="452"/>
        <v/>
      </c>
      <c r="AA83" s="65" t="str">
        <f t="shared" ref="AA83" si="453">IF(SUM(AA70, AA82) &gt; 0, SUM(AA70, AA82), "")</f>
        <v/>
      </c>
      <c r="AB83" s="62" t="str">
        <f t="shared" ref="AB83" si="454">IF(SUM(AB70, AB82) &gt; 0, SUM(AB70, AB82), "")</f>
        <v/>
      </c>
      <c r="AC83" s="62" t="str">
        <f t="shared" ref="AC83" si="455">IF(SUM(AC70, AC82) &gt; 0, SUM(AC70, AC82), "")</f>
        <v/>
      </c>
      <c r="AD83" s="62" t="str">
        <f t="shared" ref="AD83" si="456">IF(SUM(AD70, AD82) &gt; 0, SUM(AD70, AD82), "")</f>
        <v/>
      </c>
      <c r="AE83" s="62" t="str">
        <f t="shared" ref="AE83" si="457">IF(SUM(AE70, AE82) &gt; 0, SUM(AE70, AE82), "")</f>
        <v/>
      </c>
      <c r="AF83" s="62" t="str">
        <f t="shared" ref="AF83" si="458">IF(SUM(AF70, AF82) &gt; 0, SUM(AF70, AF82), "")</f>
        <v/>
      </c>
      <c r="AG83" s="63" t="str">
        <f t="shared" ref="AG83" si="459">IF(SUM(AG70, AG82) &gt; 0, SUM(AG70, AG82), "")</f>
        <v/>
      </c>
      <c r="AH83" s="65" t="str">
        <f t="shared" ref="AH83" si="460">IF(SUM(AH70, AH82) &gt; 0, SUM(AH70, AH82), "")</f>
        <v/>
      </c>
      <c r="AI83" s="62">
        <f t="shared" ref="AI83" si="461">IF(SUM(AI70, AI82) &gt; 0, SUM(AI70, AI82), "")</f>
        <v>11</v>
      </c>
      <c r="AJ83" s="62" t="str">
        <f t="shared" ref="AJ83" si="462">IF(SUM(AJ70, AJ82) &gt; 0, SUM(AJ70, AJ82), "")</f>
        <v/>
      </c>
      <c r="AK83" s="62">
        <f t="shared" ref="AK83" si="463">IF(SUM(AK70, AK82) &gt; 0, SUM(AK70, AK82), "")</f>
        <v>10</v>
      </c>
      <c r="AL83" s="62" t="str">
        <f t="shared" ref="AL83" si="464">IF(SUM(AL70, AL82) &gt; 0, SUM(AL70, AL82), "")</f>
        <v/>
      </c>
      <c r="AM83" s="62" t="str">
        <f t="shared" ref="AM83" si="465">IF(SUM(AM70, AM82) &gt; 0, SUM(AM70, AM82), "")</f>
        <v/>
      </c>
      <c r="AN83" s="63" t="str">
        <f t="shared" ref="AN83" si="466">IF(SUM(AN70, AN82) &gt; 0, SUM(AN70, AN82), "")</f>
        <v/>
      </c>
      <c r="AO83" s="65" t="str">
        <f t="shared" ref="AO83" si="467">IF(SUM(AO70, AO82) &gt; 0, SUM(AO70, AO82), "")</f>
        <v/>
      </c>
      <c r="AP83" s="62">
        <f t="shared" ref="AP83" si="468">IF(SUM(AP70, AP82) &gt; 0, SUM(AP70, AP82), "")</f>
        <v>11</v>
      </c>
      <c r="AQ83" s="62" t="str">
        <f t="shared" ref="AQ83" si="469">IF(SUM(AQ70, AQ82) &gt; 0, SUM(AQ70, AQ82), "")</f>
        <v/>
      </c>
      <c r="AR83" s="62">
        <f t="shared" ref="AR83" si="470">IF(SUM(AR70, AR82) &gt; 0, SUM(AR70, AR82), "")</f>
        <v>10</v>
      </c>
      <c r="AS83" s="62" t="str">
        <f t="shared" ref="AS83" si="471">IF(SUM(AS70, AS82) &gt; 0, SUM(AS70, AS82), "")</f>
        <v/>
      </c>
      <c r="AT83" s="62" t="str">
        <f t="shared" ref="AT83" si="472">IF(SUM(AT70, AT82) &gt; 0, SUM(AT70, AT82), "")</f>
        <v/>
      </c>
      <c r="AU83" s="63" t="str">
        <f t="shared" ref="AU83" si="473">IF(SUM(AU70, AU82) &gt; 0, SUM(AU70, AU82), "")</f>
        <v/>
      </c>
      <c r="AV83" s="65" t="str">
        <f t="shared" ref="AV83" si="474">IF(SUM(AV70, AV82) &gt; 0, SUM(AV70, AV82), "")</f>
        <v/>
      </c>
      <c r="AW83" s="62">
        <f t="shared" ref="AW83" si="475">IF(SUM(AW70, AW82) &gt; 0, SUM(AW70, AW82), "")</f>
        <v>11</v>
      </c>
      <c r="AX83" s="62">
        <f t="shared" ref="AX83" si="476">IF(SUM(AX70, AX82) &gt; 0, SUM(AX70, AX82), "")</f>
        <v>6</v>
      </c>
      <c r="AY83" s="62">
        <f t="shared" ref="AY83" si="477">IF(SUM(AY70, AY82) &gt; 0, SUM(AY70, AY82), "")</f>
        <v>8</v>
      </c>
      <c r="AZ83" s="62" t="str">
        <f t="shared" ref="AZ83" si="478">IF(SUM(AZ70, AZ82) &gt; 0, SUM(AZ70, AZ82), "")</f>
        <v/>
      </c>
      <c r="BA83" s="62" t="str">
        <f t="shared" ref="BA83" si="479">IF(SUM(BA70, BA82) &gt; 0, SUM(BA70, BA82), "")</f>
        <v/>
      </c>
      <c r="BB83" s="63" t="str">
        <f t="shared" ref="BB83" si="480">IF(SUM(BB70, BB82) &gt; 0, SUM(BB70, BB82), "")</f>
        <v/>
      </c>
      <c r="BC83" s="65" t="str">
        <f t="shared" ref="BC83" si="481">IF(SUM(BC70, BC82) &gt; 0, SUM(BC70, BC82), "")</f>
        <v/>
      </c>
      <c r="BD83" s="62">
        <f t="shared" ref="BD83" si="482">IF(SUM(BD70, BD82) &gt; 0, SUM(BD70, BD82), "")</f>
        <v>11</v>
      </c>
      <c r="BE83" s="62" t="str">
        <f t="shared" ref="BE83" si="483">IF(SUM(BE70, BE82) &gt; 0, SUM(BE70, BE82), "")</f>
        <v/>
      </c>
      <c r="BF83" s="62">
        <f t="shared" ref="BF83" si="484">IF(SUM(BF70, BF82) &gt; 0, SUM(BF70, BF82), "")</f>
        <v>8</v>
      </c>
      <c r="BG83" s="62" t="str">
        <f t="shared" ref="BG83" si="485">IF(SUM(BG70, BG82) &gt; 0, SUM(BG70, BG82), "")</f>
        <v/>
      </c>
      <c r="BH83" s="62" t="str">
        <f t="shared" ref="BH83" si="486">IF(SUM(BH70, BH82) &gt; 0, SUM(BH70, BH82), "")</f>
        <v/>
      </c>
      <c r="BI83" s="63" t="str">
        <f t="shared" ref="BI83" si="487">IF(SUM(BI70, BI82) &gt; 0, SUM(BI70, BI82), "")</f>
        <v/>
      </c>
      <c r="BJ83" s="65" t="str">
        <f t="shared" ref="BJ83" si="488">IF(SUM(BJ70, BJ82) &gt; 0, SUM(BJ70, BJ82), "")</f>
        <v/>
      </c>
      <c r="BK83" s="62">
        <f t="shared" ref="BK83" si="489">IF(SUM(BK70, BK82) &gt; 0, SUM(BK70, BK82), "")</f>
        <v>9</v>
      </c>
      <c r="BL83" s="62" t="str">
        <f t="shared" ref="BL83" si="490">IF(SUM(BL70, BL82) &gt; 0, SUM(BL70, BL82), "")</f>
        <v/>
      </c>
      <c r="BM83" s="62">
        <f t="shared" ref="BM83" si="491">IF(SUM(BM70, BM82) &gt; 0, SUM(BM70, BM82), "")</f>
        <v>13</v>
      </c>
      <c r="BN83" s="62">
        <f t="shared" ref="BN83" si="492">IF(SUM(BN70, BN82) &gt; 0, SUM(BN70, BN82), "")</f>
        <v>12</v>
      </c>
      <c r="BO83" s="62" t="str">
        <f t="shared" ref="BO83:BP83" si="493">IF(SUM(BO70, BO82) &gt; 0, SUM(BO70, BO82), "")</f>
        <v/>
      </c>
      <c r="BP83" s="63">
        <f t="shared" si="493"/>
        <v>5</v>
      </c>
      <c r="BQ83" s="62" t="str">
        <f t="shared" ref="BQ83" si="494">IF(SUM(BQ70, BQ82) &gt; 0, SUM(BQ70, BQ82), "")</f>
        <v/>
      </c>
      <c r="BR83" s="62" t="str">
        <f t="shared" ref="BR83" si="495">IF(SUM(BR70, BR82) &gt; 0, SUM(BR70, BR82), "")</f>
        <v/>
      </c>
      <c r="BS83" s="62" t="str">
        <f t="shared" ref="BS83" si="496">IF(SUM(BS70, BS82) &gt; 0, SUM(BS70, BS82), "")</f>
        <v/>
      </c>
      <c r="BT83" s="62" t="str">
        <f t="shared" ref="BT83" si="497">IF(SUM(BT70, BT82) &gt; 0, SUM(BT70, BT82), "")</f>
        <v/>
      </c>
      <c r="BU83" s="62" t="str">
        <f t="shared" ref="BU83" si="498">IF(SUM(BU70, BU82) &gt; 0, SUM(BU70, BU82), "")</f>
        <v/>
      </c>
      <c r="BV83" s="62" t="str">
        <f t="shared" ref="BV83:BW83" si="499">IF(SUM(BV70, BV82) &gt; 0, SUM(BV70, BV82), "")</f>
        <v/>
      </c>
      <c r="BW83" s="62">
        <f t="shared" si="499"/>
        <v>2</v>
      </c>
      <c r="BX83" s="62"/>
      <c r="BY83" s="63" t="str">
        <f t="shared" ref="BY83" si="500">IF(SUM(BY70, BY82) &gt; 0, SUM(BY70, BY82), "")</f>
        <v/>
      </c>
      <c r="BZ83" s="65" t="str">
        <f t="shared" ref="BZ83" si="501">IF(SUM(BZ70, BZ82) &gt; 0, SUM(BZ70, BZ82), "")</f>
        <v/>
      </c>
      <c r="CA83" s="62" t="str">
        <f t="shared" ref="CA83" si="502">IF(SUM(CA70, CA82) &gt; 0, SUM(CA70, CA82), "")</f>
        <v/>
      </c>
      <c r="CB83" s="62" t="str">
        <f t="shared" ref="CB83" si="503">IF(SUM(CB70, CB82) &gt; 0, SUM(CB70, CB82), "")</f>
        <v/>
      </c>
      <c r="CC83" s="62" t="str">
        <f t="shared" ref="CC83" si="504">IF(SUM(CC70, CC82) &gt; 0, SUM(CC70, CC82), "")</f>
        <v/>
      </c>
      <c r="CD83" s="62" t="str">
        <f t="shared" ref="CD83" si="505">IF(SUM(CD70, CD82) &gt; 0, SUM(CD70, CD82), "")</f>
        <v/>
      </c>
      <c r="CE83" s="62" t="str">
        <f t="shared" ref="CE83" si="506">IF(SUM(CE70, CE82) &gt; 0, SUM(CE70, CE82), "")</f>
        <v/>
      </c>
      <c r="CF83" s="62"/>
      <c r="CG83" s="62"/>
      <c r="CH83" s="63" t="str">
        <f t="shared" ref="CH83" si="507">IF(SUM(CH70, CH82) &gt; 0, SUM(CH70, CH82), "")</f>
        <v/>
      </c>
      <c r="CI83" s="65" t="str">
        <f t="shared" ref="CI83" si="508">IF(SUM(CI70, CI82) &gt; 0, SUM(CI70, CI82), "")</f>
        <v/>
      </c>
      <c r="CJ83" s="62" t="str">
        <f t="shared" ref="CJ83" si="509">IF(SUM(CJ70, CJ82) &gt; 0, SUM(CJ70, CJ82), "")</f>
        <v/>
      </c>
      <c r="CK83" s="62" t="str">
        <f t="shared" ref="CK83" si="510">IF(SUM(CK70, CK82) &gt; 0, SUM(CK70, CK82), "")</f>
        <v/>
      </c>
      <c r="CL83" s="62" t="str">
        <f t="shared" ref="CL83" si="511">IF(SUM(CL70, CL82) &gt; 0, SUM(CL70, CL82), "")</f>
        <v/>
      </c>
      <c r="CM83" s="62" t="str">
        <f t="shared" ref="CM83" si="512">IF(SUM(CM70, CM82) &gt; 0, SUM(CM70, CM82), "")</f>
        <v/>
      </c>
      <c r="CN83" s="62" t="str">
        <f t="shared" ref="CN83:CO83" si="513">IF(SUM(CN70, CN82) &gt; 0, SUM(CN70, CN82), "")</f>
        <v/>
      </c>
      <c r="CO83" s="62" t="str">
        <f t="shared" si="513"/>
        <v/>
      </c>
      <c r="CP83" s="62"/>
      <c r="CQ83" s="63" t="str">
        <f t="shared" ref="CQ83" si="514">IF(SUM(CQ70, CQ82) &gt; 0, SUM(CQ70, CQ82), "")</f>
        <v/>
      </c>
      <c r="CR83" s="65" t="str">
        <f t="shared" ref="CR83" si="515">IF(SUM(CR70, CR82) &gt; 0, SUM(CR70, CR82), "")</f>
        <v/>
      </c>
      <c r="CS83" s="62" t="str">
        <f t="shared" ref="CS83" si="516">IF(SUM(CS70, CS82) &gt; 0, SUM(CS70, CS82), "")</f>
        <v/>
      </c>
      <c r="CT83" s="62" t="str">
        <f t="shared" ref="CT83" si="517">IF(SUM(CT70, CT82) &gt; 0, SUM(CT70, CT82), "")</f>
        <v/>
      </c>
      <c r="CU83" s="62" t="str">
        <f t="shared" ref="CU83" si="518">IF(SUM(CU70, CU82) &gt; 0, SUM(CU70, CU82), "")</f>
        <v/>
      </c>
      <c r="CV83" s="62" t="str">
        <f t="shared" ref="CV83" si="519">IF(SUM(CV70, CV82) &gt; 0, SUM(CV70, CV82), "")</f>
        <v/>
      </c>
      <c r="CW83" s="62"/>
      <c r="CX83" s="62"/>
      <c r="CY83" s="62" t="str">
        <f t="shared" ref="CY83" si="520">IF(SUM(CY70, CY82) &gt; 0, SUM(CY70, CY82), "")</f>
        <v/>
      </c>
      <c r="CZ83" s="63" t="str">
        <f t="shared" ref="CZ83" si="521">IF(SUM(CZ70, CZ82) &gt; 0, SUM(CZ70, CZ82), "")</f>
        <v/>
      </c>
      <c r="DA83" s="65" t="str">
        <f t="shared" ref="DA83" si="522">IF(SUM(DA70, DA82) &gt; 0, SUM(DA70, DA82), "")</f>
        <v/>
      </c>
      <c r="DB83" s="62" t="str">
        <f t="shared" ref="DB83" si="523">IF(SUM(DB70, DB82) &gt; 0, SUM(DB70, DB82), "")</f>
        <v/>
      </c>
      <c r="DC83" s="62" t="str">
        <f t="shared" ref="DC83" si="524">IF(SUM(DC70, DC82) &gt; 0, SUM(DC70, DC82), "")</f>
        <v/>
      </c>
      <c r="DD83" s="62" t="str">
        <f t="shared" ref="DD83" si="525">IF(SUM(DD70, DD82) &gt; 0, SUM(DD70, DD82), "")</f>
        <v/>
      </c>
      <c r="DE83" s="62" t="str">
        <f t="shared" ref="DE83" si="526">IF(SUM(DE70, DE82) &gt; 0, SUM(DE70, DE82), "")</f>
        <v/>
      </c>
      <c r="DF83" s="62" t="str">
        <f t="shared" ref="DF83" si="527">IF(SUM(DF70, DF82) &gt; 0, SUM(DF70, DF82), "")</f>
        <v/>
      </c>
      <c r="DG83" s="62"/>
      <c r="DH83" s="62"/>
      <c r="DI83" s="63" t="str">
        <f t="shared" ref="DI83" si="528">IF(SUM(DI70, DI82) &gt; 0, SUM(DI70, DI82), "")</f>
        <v/>
      </c>
      <c r="DJ83" s="65" t="str">
        <f t="shared" ref="DJ83" si="529">IF(SUM(DJ70, DJ82) &gt; 0, SUM(DJ70, DJ82), "")</f>
        <v/>
      </c>
      <c r="DK83" s="62" t="str">
        <f t="shared" ref="DK83" si="530">IF(SUM(DK70, DK82) &gt; 0, SUM(DK70, DK82), "")</f>
        <v/>
      </c>
      <c r="DL83" s="62" t="str">
        <f t="shared" ref="DL83" si="531">IF(SUM(DL70, DL82) &gt; 0, SUM(DL70, DL82), "")</f>
        <v/>
      </c>
      <c r="DM83" s="62" t="str">
        <f t="shared" ref="DM83" si="532">IF(SUM(DM70, DM82) &gt; 0, SUM(DM70, DM82), "")</f>
        <v/>
      </c>
      <c r="DN83" s="62" t="str">
        <f t="shared" ref="DN83" si="533">IF(SUM(DN70, DN82) &gt; 0, SUM(DN70, DN82), "")</f>
        <v/>
      </c>
      <c r="DO83" s="62" t="str">
        <f t="shared" ref="DO83" si="534">IF(SUM(DO70, DO82) &gt; 0, SUM(DO70, DO82), "")</f>
        <v/>
      </c>
      <c r="DP83" s="62"/>
      <c r="DQ83" s="62"/>
      <c r="DR83" s="63" t="str">
        <f t="shared" ref="DR83" si="535">IF(SUM(DR70, DR82) &gt; 0, SUM(DR70, DR82), "")</f>
        <v/>
      </c>
      <c r="DS83" s="65" t="str">
        <f t="shared" ref="DS83" si="536">IF(SUM(DS70, DS82) &gt; 0, SUM(DS70, DS82), "")</f>
        <v/>
      </c>
      <c r="DT83" s="62">
        <f t="shared" ref="DT83" si="537">IF(SUM(DT70, DT82) &gt; 0, SUM(DT70, DT82), "")</f>
        <v>8</v>
      </c>
      <c r="DU83" s="62" t="str">
        <f t="shared" ref="DU83" si="538">IF(SUM(DU70, DU82) &gt; 0, SUM(DU70, DU82), "")</f>
        <v/>
      </c>
      <c r="DV83" s="62">
        <f t="shared" ref="DV83" si="539">IF(SUM(DV70, DV82) &gt; 0, SUM(DV70, DV82), "")</f>
        <v>7</v>
      </c>
      <c r="DW83" s="62">
        <f t="shared" ref="DW83" si="540">IF(SUM(DW70, DW82) &gt; 0, SUM(DW70, DW82), "")</f>
        <v>6</v>
      </c>
      <c r="DX83" s="62"/>
      <c r="DY83" s="62"/>
      <c r="DZ83" s="62" t="str">
        <f t="shared" ref="DZ83" si="541">IF(SUM(DZ70, DZ82) &gt; 0, SUM(DZ70, DZ82), "")</f>
        <v/>
      </c>
      <c r="EA83" s="63" t="str">
        <f t="shared" ref="EA83" si="542">IF(SUM(EA70, EA82) &gt; 0, SUM(EA70, EA82), "")</f>
        <v/>
      </c>
      <c r="EB83" s="65" t="str">
        <f t="shared" ref="EB83" si="543">IF(SUM(EB70, EB82) &gt; 0, SUM(EB70, EB82), "")</f>
        <v/>
      </c>
      <c r="EC83" s="62">
        <f t="shared" ref="EC83" si="544">IF(SUM(EC70, EC82) &gt; 0, SUM(EC70, EC82), "")</f>
        <v>7</v>
      </c>
      <c r="ED83" s="62" t="str">
        <f t="shared" ref="ED83" si="545">IF(SUM(ED70, ED82) &gt; 0, SUM(ED70, ED82), "")</f>
        <v/>
      </c>
      <c r="EE83" s="62">
        <f t="shared" ref="EE83" si="546">IF(SUM(EE70, EE82) &gt; 0, SUM(EE70, EE82), "")</f>
        <v>6</v>
      </c>
      <c r="EF83" s="62">
        <f t="shared" ref="EF83" si="547">IF(SUM(EF70, EF82) &gt; 0, SUM(EF70, EF82), "")</f>
        <v>4</v>
      </c>
      <c r="EG83" s="62"/>
      <c r="EH83" s="62"/>
      <c r="EI83" s="62" t="str">
        <f t="shared" ref="EI83" si="548">IF(SUM(EI70, EI82) &gt; 0, SUM(EI70, EI82), "")</f>
        <v/>
      </c>
      <c r="EJ83" s="63" t="str">
        <f t="shared" ref="EJ83" si="549">IF(SUM(EJ70, EJ82) &gt; 0, SUM(EJ70, EJ82), "")</f>
        <v/>
      </c>
      <c r="EK83" s="65" t="str">
        <f t="shared" ref="EK83" si="550">IF(SUM(EK70, EK82) &gt; 0, SUM(EK70, EK82), "")</f>
        <v/>
      </c>
      <c r="EL83" s="62">
        <f t="shared" ref="EL83" si="551">IF(SUM(EL70, EL82) &gt; 0, SUM(EL70, EL82), "")</f>
        <v>7</v>
      </c>
      <c r="EM83" s="62" t="str">
        <f t="shared" ref="EM83" si="552">IF(SUM(EM70, EM82) &gt; 0, SUM(EM70, EM82), "")</f>
        <v/>
      </c>
      <c r="EN83" s="62">
        <f t="shared" ref="EN83" si="553">IF(SUM(EN70, EN82) &gt; 0, SUM(EN70, EN82), "")</f>
        <v>8</v>
      </c>
      <c r="EO83" s="62">
        <f t="shared" ref="EO83" si="554">IF(SUM(EO70, EO82) &gt; 0, SUM(EO70, EO82), "")</f>
        <v>7</v>
      </c>
      <c r="EP83" s="62" t="str">
        <f t="shared" ref="EP83" si="555">IF(SUM(EP70, EP82) &gt; 0, SUM(EP70, EP82), "")</f>
        <v/>
      </c>
      <c r="EQ83" s="62"/>
      <c r="ER83" s="62"/>
      <c r="ES83" s="63" t="str">
        <f t="shared" ref="ES83" si="556">IF(SUM(ES70, ES82) &gt; 0, SUM(ES70, ES82), "")</f>
        <v/>
      </c>
      <c r="ET83" s="65" t="str">
        <f t="shared" ref="ET83" si="557">IF(SUM(ET70, ET82) &gt; 0, SUM(ET70, ET82), "")</f>
        <v/>
      </c>
      <c r="EU83" s="62">
        <f t="shared" ref="EU83" si="558">IF(SUM(EU70, EU82) &gt; 0, SUM(EU70, EU82), "")</f>
        <v>10</v>
      </c>
      <c r="EV83" s="62" t="str">
        <f t="shared" ref="EV83" si="559">IF(SUM(EV70, EV82) &gt; 0, SUM(EV70, EV82), "")</f>
        <v/>
      </c>
      <c r="EW83" s="62">
        <f t="shared" ref="EW83" si="560">IF(SUM(EW70, EW82) &gt; 0, SUM(EW70, EW82), "")</f>
        <v>5</v>
      </c>
      <c r="EX83" s="62">
        <f t="shared" ref="EX83" si="561">IF(SUM(EX70, EX82) &gt; 0, SUM(EX70, EX82), "")</f>
        <v>6</v>
      </c>
      <c r="EY83" s="62" t="str">
        <f t="shared" ref="EY83" si="562">IF(SUM(EY70, EY82) &gt; 0, SUM(EY70, EY82), "")</f>
        <v/>
      </c>
      <c r="EZ83" s="62"/>
      <c r="FA83" s="62"/>
      <c r="FB83" s="63" t="str">
        <f t="shared" ref="FB83" si="563">IF(SUM(FB70, FB82) &gt; 0, SUM(FB70, FB82), "")</f>
        <v/>
      </c>
      <c r="FC83" s="65" t="str">
        <f t="shared" ref="FC83" si="564">IF(SUM(FC70, FC82) &gt; 0, SUM(FC70, FC82), "")</f>
        <v/>
      </c>
      <c r="FD83" s="62">
        <f t="shared" ref="FD83" si="565">IF(SUM(FD70, FD82) &gt; 0, SUM(FD70, FD82), "")</f>
        <v>9</v>
      </c>
      <c r="FE83" s="62" t="str">
        <f t="shared" ref="FE83" si="566">IF(SUM(FE70, FE82) &gt; 0, SUM(FE70, FE82), "")</f>
        <v/>
      </c>
      <c r="FF83" s="62">
        <f t="shared" ref="FF83" si="567">IF(SUM(FF70, FF82) &gt; 0, SUM(FF70, FF82), "")</f>
        <v>8</v>
      </c>
      <c r="FG83" s="62">
        <f t="shared" ref="FG83" si="568">IF(SUM(FG70, FG82) &gt; 0, SUM(FG70, FG82), "")</f>
        <v>6</v>
      </c>
      <c r="FH83" s="62" t="str">
        <f t="shared" ref="FH83" si="569">IF(SUM(FH70, FH82) &gt; 0, SUM(FH70, FH82), "")</f>
        <v/>
      </c>
      <c r="FI83" s="62"/>
      <c r="FJ83" s="62"/>
      <c r="FK83" s="63" t="str">
        <f t="shared" ref="FK83" si="570">IF(SUM(FK70, FK82) &gt; 0, SUM(FK70, FK82), "")</f>
        <v/>
      </c>
      <c r="FL83" s="65" t="str">
        <f t="shared" ref="FL83" si="571">IF(SUM(FL70, FL82) &gt; 0, SUM(FL70, FL82), "")</f>
        <v/>
      </c>
      <c r="FM83" s="62">
        <f t="shared" ref="FM83" si="572">IF(SUM(FM70, FM82) &gt; 0, SUM(FM70, FM82), "")</f>
        <v>6</v>
      </c>
      <c r="FN83" s="62" t="str">
        <f t="shared" ref="FN83" si="573">IF(SUM(FN70, FN82) &gt; 0, SUM(FN70, FN82), "")</f>
        <v/>
      </c>
      <c r="FO83" s="62">
        <f t="shared" ref="FO83" si="574">IF(SUM(FO70, FO82) &gt; 0, SUM(FO70, FO82), "")</f>
        <v>7</v>
      </c>
      <c r="FP83" s="62">
        <f t="shared" ref="FP83" si="575">IF(SUM(FP70, FP82) &gt; 0, SUM(FP70, FP82), "")</f>
        <v>8</v>
      </c>
      <c r="FQ83" s="62" t="str">
        <f t="shared" ref="FQ83" si="576">IF(SUM(FQ70, FQ82) &gt; 0, SUM(FQ70, FQ82), "")</f>
        <v/>
      </c>
      <c r="FR83" s="62"/>
      <c r="FS83" s="62"/>
      <c r="FT83" s="63" t="str">
        <f t="shared" ref="FT83" si="577">IF(SUM(FT70, FT82) &gt; 0, SUM(FT70, FT82), "")</f>
        <v/>
      </c>
      <c r="FU83" s="65" t="str">
        <f t="shared" ref="FU83" si="578">IF(SUM(FU70, FU82) &gt; 0, SUM(FU70, FU82), "")</f>
        <v/>
      </c>
      <c r="FV83" s="62">
        <f t="shared" ref="FV83" si="579">IF(SUM(FV70, FV82) &gt; 0, SUM(FV70, FV82), "")</f>
        <v>9</v>
      </c>
      <c r="FW83" s="62" t="str">
        <f t="shared" ref="FW83" si="580">IF(SUM(FW70, FW82) &gt; 0, SUM(FW70, FW82), "")</f>
        <v/>
      </c>
      <c r="FX83" s="62">
        <f t="shared" ref="FX83" si="581">IF(SUM(FX70, FX82) &gt; 0, SUM(FX70, FX82), "")</f>
        <v>8</v>
      </c>
      <c r="FY83" s="62">
        <f t="shared" ref="FY83" si="582">IF(SUM(FY70, FY82) &gt; 0, SUM(FY70, FY82), "")</f>
        <v>7</v>
      </c>
      <c r="FZ83" s="62" t="str">
        <f t="shared" ref="FZ83" si="583">IF(SUM(FZ70, FZ82) &gt; 0, SUM(FZ70, FZ82), "")</f>
        <v/>
      </c>
      <c r="GA83" s="62"/>
      <c r="GB83" s="62"/>
      <c r="GC83" s="63" t="str">
        <f t="shared" ref="GC83" si="584">IF(SUM(GC70, GC82) &gt; 0, SUM(GC70, GC82), "")</f>
        <v/>
      </c>
      <c r="GD83" s="65" t="str">
        <f t="shared" ref="GD83" si="585">IF(SUM(GD70, GD82) &gt; 0, SUM(GD70, GD82), "")</f>
        <v/>
      </c>
      <c r="GE83" s="62">
        <f t="shared" ref="GE83" si="586">IF(SUM(GE70, GE82) &gt; 0, SUM(GE70, GE82), "")</f>
        <v>5</v>
      </c>
      <c r="GF83" s="62" t="str">
        <f t="shared" ref="GF83" si="587">IF(SUM(GF70, GF82) &gt; 0, SUM(GF70, GF82), "")</f>
        <v/>
      </c>
      <c r="GG83" s="62">
        <f t="shared" ref="GG83" si="588">IF(SUM(GG70, GG82) &gt; 0, SUM(GG70, GG82), "")</f>
        <v>6</v>
      </c>
      <c r="GH83" s="62">
        <f t="shared" ref="GH83" si="589">IF(SUM(GH70, GH82) &gt; 0, SUM(GH70, GH82), "")</f>
        <v>8</v>
      </c>
      <c r="GI83" s="62" t="str">
        <f t="shared" ref="GI83" si="590">IF(SUM(GI70, GI82) &gt; 0, SUM(GI70, GI82), "")</f>
        <v/>
      </c>
      <c r="GJ83" s="62"/>
      <c r="GK83" s="62"/>
      <c r="GL83" s="63" t="str">
        <f t="shared" ref="GL83" si="591">IF(SUM(GL70, GL82) &gt; 0, SUM(GL70, GL82), "")</f>
        <v/>
      </c>
      <c r="GM83" s="65" t="str">
        <f t="shared" ref="GM83" si="592">IF(SUM(GM70, GM82) &gt; 0, SUM(GM70, GM82), "")</f>
        <v/>
      </c>
      <c r="GN83" s="62">
        <f t="shared" ref="GN83" si="593">IF(SUM(GN70, GN82) &gt; 0, SUM(GN70, GN82), "")</f>
        <v>6</v>
      </c>
      <c r="GO83" s="62" t="str">
        <f t="shared" ref="GO83" si="594">IF(SUM(GO70, GO82) &gt; 0, SUM(GO70, GO82), "")</f>
        <v/>
      </c>
      <c r="GP83" s="62">
        <f t="shared" ref="GP83" si="595">IF(SUM(GP70, GP82) &gt; 0, SUM(GP70, GP82), "")</f>
        <v>8</v>
      </c>
      <c r="GQ83" s="62">
        <f t="shared" ref="GQ83" si="596">IF(SUM(GQ70, GQ82) &gt; 0, SUM(GQ70, GQ82), "")</f>
        <v>7</v>
      </c>
      <c r="GR83" s="62" t="str">
        <f t="shared" ref="GR83" si="597">IF(SUM(GR70, GR82) &gt; 0, SUM(GR70, GR82), "")</f>
        <v/>
      </c>
      <c r="GS83" s="62"/>
      <c r="GT83" s="62"/>
      <c r="GU83" s="63" t="str">
        <f t="shared" ref="GU83" si="598">IF(SUM(GU70, GU82) &gt; 0, SUM(GU70, GU82), "")</f>
        <v/>
      </c>
      <c r="GV83" s="65" t="str">
        <f t="shared" ref="GV83" si="599">IF(SUM(GV70, GV82) &gt; 0, SUM(GV70, GV82), "")</f>
        <v/>
      </c>
      <c r="GW83" s="62">
        <f t="shared" ref="GW83" si="600">IF(SUM(GW70, GW82) &gt; 0, SUM(GW70, GW82), "")</f>
        <v>6</v>
      </c>
      <c r="GX83" s="62" t="str">
        <f t="shared" ref="GX83" si="601">IF(SUM(GX70, GX82) &gt; 0, SUM(GX70, GX82), "")</f>
        <v/>
      </c>
      <c r="GY83" s="62">
        <f t="shared" ref="GY83" si="602">IF(SUM(GY70, GY82) &gt; 0, SUM(GY70, GY82), "")</f>
        <v>8</v>
      </c>
      <c r="GZ83" s="62">
        <f t="shared" ref="GZ83" si="603">IF(SUM(GZ70, GZ82) &gt; 0, SUM(GZ70, GZ82), "")</f>
        <v>3</v>
      </c>
      <c r="HA83" s="62" t="str">
        <f t="shared" ref="HA83" si="604">IF(SUM(HA70, HA82) &gt; 0, SUM(HA70, HA82), "")</f>
        <v/>
      </c>
      <c r="HB83" s="62"/>
      <c r="HC83" s="62"/>
      <c r="HD83" s="63" t="str">
        <f t="shared" ref="HD83" si="605">IF(SUM(HD70, HD82) &gt; 0, SUM(HD70, HD82), "")</f>
        <v/>
      </c>
      <c r="HE83" s="65" t="str">
        <f t="shared" ref="HE83" si="606">IF(SUM(HE70, HE82) &gt; 0, SUM(HE70, HE82), "")</f>
        <v/>
      </c>
      <c r="HF83" s="62" t="str">
        <f t="shared" ref="HF83" si="607">IF(SUM(HF70, HF82) &gt; 0, SUM(HF70, HF82), "")</f>
        <v/>
      </c>
      <c r="HG83" s="62" t="str">
        <f t="shared" ref="HG83" si="608">IF(SUM(HG70, HG82) &gt; 0, SUM(HG70, HG82), "")</f>
        <v/>
      </c>
      <c r="HH83" s="62" t="str">
        <f t="shared" ref="HH83" si="609">IF(SUM(HH70, HH82) &gt; 0, SUM(HH70, HH82), "")</f>
        <v/>
      </c>
      <c r="HI83" s="62" t="str">
        <f t="shared" ref="HI83" si="610">IF(SUM(HI70, HI82) &gt; 0, SUM(HI70, HI82), "")</f>
        <v/>
      </c>
      <c r="HJ83" s="62" t="str">
        <f t="shared" ref="HJ83" si="611">IF(SUM(HJ70, HJ82) &gt; 0, SUM(HJ70, HJ82), "")</f>
        <v/>
      </c>
      <c r="HK83" s="62"/>
      <c r="HL83" s="62"/>
      <c r="HM83" s="63" t="str">
        <f t="shared" ref="HM83" si="612">IF(SUM(HM70, HM82) &gt; 0, SUM(HM70, HM82), "")</f>
        <v/>
      </c>
      <c r="HN83" s="65" t="str">
        <f t="shared" ref="HN83" si="613">IF(SUM(HN70, HN82) &gt; 0, SUM(HN70, HN82), "")</f>
        <v/>
      </c>
      <c r="HO83" s="62" t="str">
        <f t="shared" ref="HO83" si="614">IF(SUM(HO70, HO82) &gt; 0, SUM(HO70, HO82), "")</f>
        <v/>
      </c>
      <c r="HP83" s="62" t="str">
        <f t="shared" ref="HP83" si="615">IF(SUM(HP70, HP82) &gt; 0, SUM(HP70, HP82), "")</f>
        <v/>
      </c>
      <c r="HQ83" s="62" t="str">
        <f t="shared" ref="HQ83" si="616">IF(SUM(HQ70, HQ82) &gt; 0, SUM(HQ70, HQ82), "")</f>
        <v/>
      </c>
      <c r="HR83" s="62" t="str">
        <f t="shared" ref="HR83" si="617">IF(SUM(HR70, HR82) &gt; 0, SUM(HR70, HR82), "")</f>
        <v/>
      </c>
      <c r="HS83" s="62" t="str">
        <f t="shared" ref="HS83" si="618">IF(SUM(HS70, HS82) &gt; 0, SUM(HS70, HS82), "")</f>
        <v/>
      </c>
      <c r="HT83" s="63" t="str">
        <f t="shared" ref="HT83" si="619">IF(SUM(HT70, HT82) &gt; 0, SUM(HT70, HT82), "")</f>
        <v/>
      </c>
      <c r="HU83" s="65" t="str">
        <f t="shared" ref="HU83" si="620">IF(SUM(HU70, HU82) &gt; 0, SUM(HU70, HU82), "")</f>
        <v/>
      </c>
      <c r="HV83" s="62" t="str">
        <f t="shared" ref="HV83" si="621">IF(SUM(HV70, HV82) &gt; 0, SUM(HV70, HV82), "")</f>
        <v/>
      </c>
      <c r="HW83" s="62" t="str">
        <f t="shared" ref="HW83" si="622">IF(SUM(HW70, HW82) &gt; 0, SUM(HW70, HW82), "")</f>
        <v/>
      </c>
      <c r="HX83" s="62" t="str">
        <f t="shared" ref="HX83" si="623">IF(SUM(HX70, HX82) &gt; 0, SUM(HX70, HX82), "")</f>
        <v/>
      </c>
      <c r="HY83" s="62" t="str">
        <f t="shared" ref="HY83" si="624">IF(SUM(HY70, HY82) &gt; 0, SUM(HY70, HY82), "")</f>
        <v/>
      </c>
      <c r="HZ83" s="62" t="str">
        <f t="shared" ref="HZ83" si="625">IF(SUM(HZ70, HZ82) &gt; 0, SUM(HZ70, HZ82), "")</f>
        <v/>
      </c>
      <c r="IA83" s="63" t="str">
        <f t="shared" ref="IA83" si="626">IF(SUM(IA70, IA82) &gt; 0, SUM(IA70, IA82), "")</f>
        <v/>
      </c>
      <c r="IB83" s="65" t="str">
        <f t="shared" ref="IB83" si="627">IF(SUM(IB70, IB82) &gt; 0, SUM(IB70, IB82), "")</f>
        <v/>
      </c>
      <c r="IC83" s="62" t="str">
        <f t="shared" ref="IC83" si="628">IF(SUM(IC70, IC82) &gt; 0, SUM(IC70, IC82), "")</f>
        <v/>
      </c>
      <c r="ID83" s="62" t="str">
        <f t="shared" ref="ID83" si="629">IF(SUM(ID70, ID82) &gt; 0, SUM(ID70, ID82), "")</f>
        <v/>
      </c>
      <c r="IE83" s="62" t="str">
        <f t="shared" ref="IE83" si="630">IF(SUM(IE70, IE82) &gt; 0, SUM(IE70, IE82), "")</f>
        <v/>
      </c>
      <c r="IF83" s="62" t="str">
        <f t="shared" ref="IF83" si="631">IF(SUM(IF70, IF82) &gt; 0, SUM(IF70, IF82), "")</f>
        <v/>
      </c>
      <c r="IG83" s="62" t="str">
        <f t="shared" ref="IG83" si="632">IF(SUM(IG70, IG82) &gt; 0, SUM(IG70, IG82), "")</f>
        <v/>
      </c>
      <c r="IH83" s="63" t="str">
        <f t="shared" ref="IH83" si="633">IF(SUM(IH70, IH82) &gt; 0, SUM(IH70, IH82), "")</f>
        <v/>
      </c>
      <c r="II83" s="65" t="str">
        <f t="shared" ref="II83" si="634">IF(SUM(II70, II82) &gt; 0, SUM(II70, II82), "")</f>
        <v/>
      </c>
      <c r="IJ83" s="62" t="str">
        <f t="shared" ref="IJ83" si="635">IF(SUM(IJ70, IJ82) &gt; 0, SUM(IJ70, IJ82), "")</f>
        <v/>
      </c>
      <c r="IK83" s="62" t="str">
        <f t="shared" ref="IK83" si="636">IF(SUM(IK70, IK82) &gt; 0, SUM(IK70, IK82), "")</f>
        <v/>
      </c>
      <c r="IL83" s="62" t="str">
        <f t="shared" ref="IL83" si="637">IF(SUM(IL70, IL82) &gt; 0, SUM(IL70, IL82), "")</f>
        <v/>
      </c>
      <c r="IM83" s="62" t="str">
        <f t="shared" ref="IM83" si="638">IF(SUM(IM70, IM82) &gt; 0, SUM(IM70, IM82), "")</f>
        <v/>
      </c>
      <c r="IN83" s="62" t="str">
        <f t="shared" ref="IN83" si="639">IF(SUM(IN70, IN82) &gt; 0, SUM(IN70, IN82), "")</f>
        <v/>
      </c>
      <c r="IO83" s="63" t="str">
        <f t="shared" ref="IO83" si="640">IF(SUM(IO70, IO82) &gt; 0, SUM(IO70, IO82), "")</f>
        <v/>
      </c>
      <c r="IP83" s="65" t="str">
        <f t="shared" ref="IP83" si="641">IF(SUM(IP70, IP82) &gt; 0, SUM(IP70, IP82), "")</f>
        <v/>
      </c>
      <c r="IQ83" s="62" t="str">
        <f t="shared" ref="IQ83" si="642">IF(SUM(IQ70, IQ82) &gt; 0, SUM(IQ70, IQ82), "")</f>
        <v/>
      </c>
      <c r="IR83" s="62" t="str">
        <f t="shared" ref="IR83" si="643">IF(SUM(IR70, IR82) &gt; 0, SUM(IR70, IR82), "")</f>
        <v/>
      </c>
      <c r="IS83" s="62" t="str">
        <f t="shared" ref="IS83" si="644">IF(SUM(IS70, IS82) &gt; 0, SUM(IS70, IS82), "")</f>
        <v/>
      </c>
      <c r="IT83" s="62" t="str">
        <f t="shared" ref="IT83" si="645">IF(SUM(IT70, IT82) &gt; 0, SUM(IT70, IT82), "")</f>
        <v/>
      </c>
      <c r="IU83" s="62" t="str">
        <f t="shared" ref="IU83" si="646">IF(SUM(IU70, IU82) &gt; 0, SUM(IU70, IU82), "")</f>
        <v/>
      </c>
      <c r="IV83" s="63" t="str">
        <f t="shared" ref="IV83" si="647">IF(SUM(IV70, IV82) &gt; 0, SUM(IV70, IV82), "")</f>
        <v/>
      </c>
      <c r="IW83" s="65" t="str">
        <f t="shared" ref="IW83" si="648">IF(SUM(IW70, IW82) &gt; 0, SUM(IW70, IW82), "")</f>
        <v/>
      </c>
      <c r="IX83" s="62" t="str">
        <f t="shared" ref="IX83" si="649">IF(SUM(IX70, IX82) &gt; 0, SUM(IX70, IX82), "")</f>
        <v/>
      </c>
      <c r="IY83" s="62" t="str">
        <f t="shared" ref="IY83" si="650">IF(SUM(IY70, IY82) &gt; 0, SUM(IY70, IY82), "")</f>
        <v/>
      </c>
      <c r="IZ83" s="62" t="str">
        <f t="shared" ref="IZ83" si="651">IF(SUM(IZ70, IZ82) &gt; 0, SUM(IZ70, IZ82), "")</f>
        <v/>
      </c>
      <c r="JA83" s="62" t="str">
        <f t="shared" ref="JA83" si="652">IF(SUM(JA70, JA82) &gt; 0, SUM(JA70, JA82), "")</f>
        <v/>
      </c>
      <c r="JB83" s="62" t="str">
        <f t="shared" ref="JB83" si="653">IF(SUM(JB70, JB82) &gt; 0, SUM(JB70, JB82), "")</f>
        <v/>
      </c>
      <c r="JC83" s="63" t="str">
        <f t="shared" ref="JC83" si="654">IF(SUM(JC70, JC82) &gt; 0, SUM(JC70, JC82), "")</f>
        <v/>
      </c>
      <c r="JD83" s="65" t="str">
        <f t="shared" ref="JD83" si="655">IF(SUM(JD70, JD82) &gt; 0, SUM(JD70, JD82), "")</f>
        <v/>
      </c>
      <c r="JE83" s="62" t="str">
        <f t="shared" ref="JE83" si="656">IF(SUM(JE70, JE82) &gt; 0, SUM(JE70, JE82), "")</f>
        <v/>
      </c>
      <c r="JF83" s="62" t="str">
        <f t="shared" ref="JF83" si="657">IF(SUM(JF70, JF82) &gt; 0, SUM(JF70, JF82), "")</f>
        <v/>
      </c>
      <c r="JG83" s="62" t="str">
        <f t="shared" ref="JG83" si="658">IF(SUM(JG70, JG82) &gt; 0, SUM(JG70, JG82), "")</f>
        <v/>
      </c>
      <c r="JH83" s="62" t="str">
        <f t="shared" ref="JH83" si="659">IF(SUM(JH70, JH82) &gt; 0, SUM(JH70, JH82), "")</f>
        <v/>
      </c>
      <c r="JI83" s="62" t="str">
        <f t="shared" ref="JI83" si="660">IF(SUM(JI70, JI82) &gt; 0, SUM(JI70, JI82), "")</f>
        <v/>
      </c>
      <c r="JJ83" s="63" t="str">
        <f t="shared" ref="JJ83" si="661">IF(SUM(JJ70, JJ82) &gt; 0, SUM(JJ70, JJ82), "")</f>
        <v/>
      </c>
      <c r="JK83" s="65" t="str">
        <f t="shared" ref="JK83" si="662">IF(SUM(JK70, JK82) &gt; 0, SUM(JK70, JK82), "")</f>
        <v/>
      </c>
      <c r="JL83" s="62" t="str">
        <f t="shared" ref="JL83" si="663">IF(SUM(JL70, JL82) &gt; 0, SUM(JL70, JL82), "")</f>
        <v/>
      </c>
      <c r="JM83" s="62" t="str">
        <f t="shared" ref="JM83" si="664">IF(SUM(JM70, JM82) &gt; 0, SUM(JM70, JM82), "")</f>
        <v/>
      </c>
      <c r="JN83" s="62" t="str">
        <f t="shared" ref="JN83" si="665">IF(SUM(JN70, JN82) &gt; 0, SUM(JN70, JN82), "")</f>
        <v/>
      </c>
      <c r="JO83" s="62" t="str">
        <f t="shared" ref="JO83" si="666">IF(SUM(JO70, JO82) &gt; 0, SUM(JO70, JO82), "")</f>
        <v/>
      </c>
      <c r="JP83" s="62" t="str">
        <f t="shared" ref="JP83" si="667">IF(SUM(JP70, JP82) &gt; 0, SUM(JP70, JP82), "")</f>
        <v/>
      </c>
      <c r="JQ83" s="63" t="str">
        <f t="shared" ref="JQ83" si="668">IF(SUM(JQ70, JQ82) &gt; 0, SUM(JQ70, JQ82), "")</f>
        <v/>
      </c>
      <c r="JR83" s="65" t="str">
        <f t="shared" ref="JR83" si="669">IF(SUM(JR70, JR82) &gt; 0, SUM(JR70, JR82), "")</f>
        <v/>
      </c>
      <c r="JS83" s="62" t="str">
        <f t="shared" ref="JS83" si="670">IF(SUM(JS70, JS82) &gt; 0, SUM(JS70, JS82), "")</f>
        <v/>
      </c>
      <c r="JT83" s="62" t="str">
        <f t="shared" ref="JT83" si="671">IF(SUM(JT70, JT82) &gt; 0, SUM(JT70, JT82), "")</f>
        <v/>
      </c>
      <c r="JU83" s="62" t="str">
        <f t="shared" ref="JU83" si="672">IF(SUM(JU70, JU82) &gt; 0, SUM(JU70, JU82), "")</f>
        <v/>
      </c>
      <c r="JV83" s="62" t="str">
        <f t="shared" ref="JV83" si="673">IF(SUM(JV70, JV82) &gt; 0, SUM(JV70, JV82), "")</f>
        <v/>
      </c>
      <c r="JW83" s="62" t="str">
        <f t="shared" ref="JW83" si="674">IF(SUM(JW70, JW82) &gt; 0, SUM(JW70, JW82), "")</f>
        <v/>
      </c>
      <c r="JX83" s="63" t="str">
        <f t="shared" ref="JX83" si="675">IF(SUM(JX70, JX82) &gt; 0, SUM(JX70, JX82), "")</f>
        <v/>
      </c>
      <c r="JY83" s="65" t="str">
        <f t="shared" ref="JY83" si="676">IF(SUM(JY70, JY82) &gt; 0, SUM(JY70, JY82), "")</f>
        <v/>
      </c>
      <c r="JZ83" s="62" t="str">
        <f t="shared" ref="JZ83" si="677">IF(SUM(JZ70, JZ82) &gt; 0, SUM(JZ70, JZ82), "")</f>
        <v/>
      </c>
      <c r="KA83" s="62" t="str">
        <f t="shared" ref="KA83" si="678">IF(SUM(KA70, KA82) &gt; 0, SUM(KA70, KA82), "")</f>
        <v/>
      </c>
      <c r="KB83" s="62" t="str">
        <f t="shared" ref="KB83" si="679">IF(SUM(KB70, KB82) &gt; 0, SUM(KB70, KB82), "")</f>
        <v/>
      </c>
      <c r="KC83" s="62" t="str">
        <f t="shared" ref="KC83" si="680">IF(SUM(KC70, KC82) &gt; 0, SUM(KC70, KC82), "")</f>
        <v/>
      </c>
      <c r="KD83" s="62" t="str">
        <f t="shared" ref="KD83" si="681">IF(SUM(KD70, KD82) &gt; 0, SUM(KD70, KD82), "")</f>
        <v/>
      </c>
      <c r="KE83" s="63" t="str">
        <f t="shared" ref="KE83" si="682">IF(SUM(KE70, KE82) &gt; 0, SUM(KE70, KE82), "")</f>
        <v/>
      </c>
      <c r="KF83" s="65" t="str">
        <f t="shared" ref="KF83" si="683">IF(SUM(KF70, KF82) &gt; 0, SUM(KF70, KF82), "")</f>
        <v/>
      </c>
      <c r="KG83" s="62" t="str">
        <f t="shared" ref="KG83" si="684">IF(SUM(KG70, KG82) &gt; 0, SUM(KG70, KG82), "")</f>
        <v/>
      </c>
      <c r="KH83" s="62" t="str">
        <f t="shared" ref="KH83" si="685">IF(SUM(KH70, KH82) &gt; 0, SUM(KH70, KH82), "")</f>
        <v/>
      </c>
      <c r="KI83" s="62" t="str">
        <f t="shared" ref="KI83" si="686">IF(SUM(KI70, KI82) &gt; 0, SUM(KI70, KI82), "")</f>
        <v/>
      </c>
      <c r="KJ83" s="62" t="str">
        <f t="shared" ref="KJ83" si="687">IF(SUM(KJ70, KJ82) &gt; 0, SUM(KJ70, KJ82), "")</f>
        <v/>
      </c>
      <c r="KK83" s="62" t="str">
        <f t="shared" ref="KK83" si="688">IF(SUM(KK70, KK82) &gt; 0, SUM(KK70, KK82), "")</f>
        <v/>
      </c>
      <c r="KL83" s="63" t="str">
        <f t="shared" ref="KL83" si="689">IF(SUM(KL70, KL82) &gt; 0, SUM(KL70, KL82), "")</f>
        <v/>
      </c>
      <c r="KM83" s="65" t="str">
        <f t="shared" ref="KM83" si="690">IF(SUM(KM70, KM82) &gt; 0, SUM(KM70, KM82), "")</f>
        <v/>
      </c>
      <c r="KN83" s="62" t="str">
        <f t="shared" ref="KN83" si="691">IF(SUM(KN70, KN82) &gt; 0, SUM(KN70, KN82), "")</f>
        <v/>
      </c>
      <c r="KO83" s="62" t="str">
        <f t="shared" ref="KO83" si="692">IF(SUM(KO70, KO82) &gt; 0, SUM(KO70, KO82), "")</f>
        <v/>
      </c>
      <c r="KP83" s="62" t="str">
        <f t="shared" ref="KP83" si="693">IF(SUM(KP70, KP82) &gt; 0, SUM(KP70, KP82), "")</f>
        <v/>
      </c>
      <c r="KQ83" s="62" t="str">
        <f t="shared" ref="KQ83" si="694">IF(SUM(KQ70, KQ82) &gt; 0, SUM(KQ70, KQ82), "")</f>
        <v/>
      </c>
      <c r="KR83" s="62" t="str">
        <f t="shared" ref="KR83" si="695">IF(SUM(KR70, KR82) &gt; 0, SUM(KR70, KR82), "")</f>
        <v/>
      </c>
      <c r="KS83" s="63" t="str">
        <f t="shared" ref="KS83" si="696">IF(SUM(KS70, KS82) &gt; 0, SUM(KS70, KS82), "")</f>
        <v/>
      </c>
      <c r="KT83" s="65" t="str">
        <f t="shared" ref="KT83" si="697">IF(SUM(KT70, KT82) &gt; 0, SUM(KT70, KT82), "")</f>
        <v/>
      </c>
      <c r="KU83" s="62" t="str">
        <f t="shared" ref="KU83" si="698">IF(SUM(KU70, KU82) &gt; 0, SUM(KU70, KU82), "")</f>
        <v/>
      </c>
      <c r="KV83" s="62" t="str">
        <f t="shared" ref="KV83" si="699">IF(SUM(KV70, KV82) &gt; 0, SUM(KV70, KV82), "")</f>
        <v/>
      </c>
      <c r="KW83" s="62" t="str">
        <f t="shared" ref="KW83" si="700">IF(SUM(KW70, KW82) &gt; 0, SUM(KW70, KW82), "")</f>
        <v/>
      </c>
      <c r="KX83" s="62" t="str">
        <f t="shared" ref="KX83" si="701">IF(SUM(KX70, KX82) &gt; 0, SUM(KX70, KX82), "")</f>
        <v/>
      </c>
      <c r="KY83" s="62" t="str">
        <f t="shared" ref="KY83" si="702">IF(SUM(KY70, KY82) &gt; 0, SUM(KY70, KY82), "")</f>
        <v/>
      </c>
      <c r="KZ83" s="63" t="str">
        <f t="shared" ref="KZ83" si="703">IF(SUM(KZ70, KZ82) &gt; 0, SUM(KZ70, KZ82), "")</f>
        <v/>
      </c>
      <c r="LA83" s="65" t="str">
        <f t="shared" ref="LA83" si="704">IF(SUM(LA70, LA82) &gt; 0, SUM(LA70, LA82), "")</f>
        <v/>
      </c>
      <c r="LB83" s="62" t="str">
        <f t="shared" ref="LB83" si="705">IF(SUM(LB70, LB82) &gt; 0, SUM(LB70, LB82), "")</f>
        <v/>
      </c>
      <c r="LC83" s="62" t="str">
        <f t="shared" ref="LC83" si="706">IF(SUM(LC70, LC82) &gt; 0, SUM(LC70, LC82), "")</f>
        <v/>
      </c>
      <c r="LD83" s="62" t="str">
        <f t="shared" ref="LD83" si="707">IF(SUM(LD70, LD82) &gt; 0, SUM(LD70, LD82), "")</f>
        <v/>
      </c>
      <c r="LE83" s="62" t="str">
        <f t="shared" ref="LE83" si="708">IF(SUM(LE70, LE82) &gt; 0, SUM(LE70, LE82), "")</f>
        <v/>
      </c>
      <c r="LF83" s="62" t="str">
        <f t="shared" ref="LF83" si="709">IF(SUM(LF70, LF82) &gt; 0, SUM(LF70, LF82), "")</f>
        <v/>
      </c>
      <c r="LG83" s="63" t="str">
        <f t="shared" ref="LG83" si="710">IF(SUM(LG70, LG82) &gt; 0, SUM(LG70, LG82), "")</f>
        <v/>
      </c>
      <c r="LH83" s="65" t="str">
        <f t="shared" ref="LH83" si="711">IF(SUM(LH70, LH82) &gt; 0, SUM(LH70, LH82), "")</f>
        <v/>
      </c>
      <c r="LI83" s="62" t="str">
        <f t="shared" ref="LI83" si="712">IF(SUM(LI70, LI82) &gt; 0, SUM(LI70, LI82), "")</f>
        <v/>
      </c>
      <c r="LJ83" s="62" t="str">
        <f t="shared" ref="LJ83" si="713">IF(SUM(LJ70, LJ82) &gt; 0, SUM(LJ70, LJ82), "")</f>
        <v/>
      </c>
      <c r="LK83" s="62" t="str">
        <f t="shared" ref="LK83" si="714">IF(SUM(LK70, LK82) &gt; 0, SUM(LK70, LK82), "")</f>
        <v/>
      </c>
      <c r="LL83" s="62" t="str">
        <f t="shared" ref="LL83" si="715">IF(SUM(LL70, LL82) &gt; 0, SUM(LL70, LL82), "")</f>
        <v/>
      </c>
      <c r="LM83" s="62" t="str">
        <f t="shared" ref="LM83" si="716">IF(SUM(LM70, LM82) &gt; 0, SUM(LM70, LM82), "")</f>
        <v/>
      </c>
      <c r="LN83" s="63" t="str">
        <f t="shared" ref="LN83" si="717">IF(SUM(LN70, LN82) &gt; 0, SUM(LN70, LN82), "")</f>
        <v/>
      </c>
      <c r="LO83" s="65" t="str">
        <f t="shared" ref="LO83" si="718">IF(SUM(LO70, LO82) &gt; 0, SUM(LO70, LO82), "")</f>
        <v/>
      </c>
      <c r="LP83" s="62" t="str">
        <f t="shared" ref="LP83" si="719">IF(SUM(LP70, LP82) &gt; 0, SUM(LP70, LP82), "")</f>
        <v/>
      </c>
      <c r="LQ83" s="62" t="str">
        <f t="shared" ref="LQ83" si="720">IF(SUM(LQ70, LQ82) &gt; 0, SUM(LQ70, LQ82), "")</f>
        <v/>
      </c>
      <c r="LR83" s="62" t="str">
        <f t="shared" ref="LR83" si="721">IF(SUM(LR70, LR82) &gt; 0, SUM(LR70, LR82), "")</f>
        <v/>
      </c>
      <c r="LS83" s="62" t="str">
        <f t="shared" ref="LS83" si="722">IF(SUM(LS70, LS82) &gt; 0, SUM(LS70, LS82), "")</f>
        <v/>
      </c>
      <c r="LT83" s="62" t="str">
        <f t="shared" ref="LT83" si="723">IF(SUM(LT70, LT82) &gt; 0, SUM(LT70, LT82), "")</f>
        <v/>
      </c>
      <c r="LU83" s="63" t="str">
        <f t="shared" ref="LU83" si="724">IF(SUM(LU70, LU82) &gt; 0, SUM(LU70, LU82), "")</f>
        <v/>
      </c>
      <c r="LV83" s="65" t="str">
        <f t="shared" ref="LV83" si="725">IF(SUM(LV70, LV82) &gt; 0, SUM(LV70, LV82), "")</f>
        <v/>
      </c>
      <c r="LW83" s="62" t="str">
        <f t="shared" ref="LW83" si="726">IF(SUM(LW70, LW82) &gt; 0, SUM(LW70, LW82), "")</f>
        <v/>
      </c>
      <c r="LX83" s="62" t="str">
        <f t="shared" ref="LX83" si="727">IF(SUM(LX70, LX82) &gt; 0, SUM(LX70, LX82), "")</f>
        <v/>
      </c>
      <c r="LY83" s="62" t="str">
        <f t="shared" ref="LY83" si="728">IF(SUM(LY70, LY82) &gt; 0, SUM(LY70, LY82), "")</f>
        <v/>
      </c>
      <c r="LZ83" s="62" t="str">
        <f t="shared" ref="LZ83" si="729">IF(SUM(LZ70, LZ82) &gt; 0, SUM(LZ70, LZ82), "")</f>
        <v/>
      </c>
      <c r="MA83" s="62" t="str">
        <f t="shared" ref="MA83" si="730">IF(SUM(MA70, MA82) &gt; 0, SUM(MA70, MA82), "")</f>
        <v/>
      </c>
      <c r="MB83" s="63" t="str">
        <f t="shared" ref="MB83" si="731">IF(SUM(MB70, MB82) &gt; 0, SUM(MB70, MB82), "")</f>
        <v/>
      </c>
      <c r="MC83" s="65" t="str">
        <f t="shared" ref="MC83" si="732">IF(SUM(MC70, MC82) &gt; 0, SUM(MC70, MC82), "")</f>
        <v/>
      </c>
      <c r="MD83" s="62" t="str">
        <f t="shared" ref="MD83" si="733">IF(SUM(MD70, MD82) &gt; 0, SUM(MD70, MD82), "")</f>
        <v/>
      </c>
      <c r="ME83" s="62" t="str">
        <f t="shared" ref="ME83" si="734">IF(SUM(ME70, ME82) &gt; 0, SUM(ME70, ME82), "")</f>
        <v/>
      </c>
      <c r="MF83" s="62" t="str">
        <f t="shared" ref="MF83" si="735">IF(SUM(MF70, MF82) &gt; 0, SUM(MF70, MF82), "")</f>
        <v/>
      </c>
      <c r="MG83" s="62" t="str">
        <f t="shared" ref="MG83" si="736">IF(SUM(MG70, MG82) &gt; 0, SUM(MG70, MG82), "")</f>
        <v/>
      </c>
      <c r="MH83" s="62" t="str">
        <f t="shared" ref="MH83" si="737">IF(SUM(MH70, MH82) &gt; 0, SUM(MH70, MH82), "")</f>
        <v/>
      </c>
      <c r="MI83" s="63" t="str">
        <f t="shared" ref="MI83" si="738">IF(SUM(MI70, MI82) &gt; 0, SUM(MI70, MI82), "")</f>
        <v/>
      </c>
      <c r="MJ83" s="65" t="str">
        <f t="shared" ref="MJ83" si="739">IF(SUM(MJ70, MJ82) &gt; 0, SUM(MJ70, MJ82), "")</f>
        <v/>
      </c>
      <c r="MK83" s="62" t="str">
        <f t="shared" ref="MK83" si="740">IF(SUM(MK70, MK82) &gt; 0, SUM(MK70, MK82), "")</f>
        <v/>
      </c>
      <c r="ML83" s="62" t="str">
        <f t="shared" ref="ML83" si="741">IF(SUM(ML70, ML82) &gt; 0, SUM(ML70, ML82), "")</f>
        <v/>
      </c>
      <c r="MM83" s="62" t="str">
        <f t="shared" ref="MM83" si="742">IF(SUM(MM70, MM82) &gt; 0, SUM(MM70, MM82), "")</f>
        <v/>
      </c>
      <c r="MN83" s="62" t="str">
        <f t="shared" ref="MN83" si="743">IF(SUM(MN70, MN82) &gt; 0, SUM(MN70, MN82), "")</f>
        <v/>
      </c>
      <c r="MO83" s="62" t="str">
        <f t="shared" ref="MO83" si="744">IF(SUM(MO70, MO82) &gt; 0, SUM(MO70, MO82), "")</f>
        <v/>
      </c>
      <c r="MP83" s="63" t="str">
        <f t="shared" ref="MP83" si="745">IF(SUM(MP70, MP82) &gt; 0, SUM(MP70, MP82), "")</f>
        <v/>
      </c>
      <c r="MQ83" s="65" t="str">
        <f t="shared" ref="MQ83" si="746">IF(SUM(MQ70, MQ82) &gt; 0, SUM(MQ70, MQ82), "")</f>
        <v/>
      </c>
      <c r="MR83" s="62" t="str">
        <f t="shared" ref="MR83" si="747">IF(SUM(MR70, MR82) &gt; 0, SUM(MR70, MR82), "")</f>
        <v/>
      </c>
      <c r="MS83" s="62" t="str">
        <f t="shared" ref="MS83" si="748">IF(SUM(MS70, MS82) &gt; 0, SUM(MS70, MS82), "")</f>
        <v/>
      </c>
      <c r="MT83" s="62" t="str">
        <f t="shared" ref="MT83" si="749">IF(SUM(MT70, MT82) &gt; 0, SUM(MT70, MT82), "")</f>
        <v/>
      </c>
      <c r="MU83" s="62" t="str">
        <f t="shared" ref="MU83" si="750">IF(SUM(MU70, MU82) &gt; 0, SUM(MU70, MU82), "")</f>
        <v/>
      </c>
      <c r="MV83" s="62" t="str">
        <f t="shared" ref="MV83" si="751">IF(SUM(MV70, MV82) &gt; 0, SUM(MV70, MV82), "")</f>
        <v/>
      </c>
      <c r="MW83" s="63" t="str">
        <f t="shared" ref="MW83" si="752">IF(SUM(MW70, MW82) &gt; 0, SUM(MW70, MW82), "")</f>
        <v/>
      </c>
      <c r="MX83" s="65" t="str">
        <f t="shared" ref="MX83" si="753">IF(SUM(MX70, MX82) &gt; 0, SUM(MX70, MX82), "")</f>
        <v/>
      </c>
      <c r="MY83" s="62" t="str">
        <f t="shared" ref="MY83" si="754">IF(SUM(MY70, MY82) &gt; 0, SUM(MY70, MY82), "")</f>
        <v/>
      </c>
      <c r="MZ83" s="62" t="str">
        <f t="shared" ref="MZ83" si="755">IF(SUM(MZ70, MZ82) &gt; 0, SUM(MZ70, MZ82), "")</f>
        <v/>
      </c>
      <c r="NA83" s="62" t="str">
        <f t="shared" ref="NA83" si="756">IF(SUM(NA70, NA82) &gt; 0, SUM(NA70, NA82), "")</f>
        <v/>
      </c>
      <c r="NB83" s="62" t="str">
        <f t="shared" ref="NB83" si="757">IF(SUM(NB70, NB82) &gt; 0, SUM(NB70, NB82), "")</f>
        <v/>
      </c>
      <c r="NC83" s="62" t="str">
        <f t="shared" ref="NC83" si="758">IF(SUM(NC70, NC82) &gt; 0, SUM(NC70, NC82), "")</f>
        <v/>
      </c>
      <c r="ND83" s="63" t="str">
        <f t="shared" ref="ND83" si="759">IF(SUM(ND70, ND82) &gt; 0, SUM(ND70, ND82), "")</f>
        <v/>
      </c>
    </row>
    <row r="84" spans="1:368"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T84" s="7"/>
      <c r="IA84" s="7"/>
      <c r="IH84" s="7"/>
      <c r="IO84" s="7"/>
      <c r="IV84" s="7"/>
      <c r="JC84" s="7"/>
      <c r="JJ84" s="7"/>
      <c r="JQ84" s="7"/>
      <c r="JX84" s="7"/>
      <c r="KE84" s="7"/>
      <c r="KL84" s="7"/>
      <c r="KS84" s="7"/>
      <c r="KZ84" s="7"/>
      <c r="LG84" s="7"/>
      <c r="LN84" s="7"/>
      <c r="LU84" s="7"/>
      <c r="MB84" s="7"/>
      <c r="MI84" s="7"/>
      <c r="MP84" s="7"/>
      <c r="MW84" s="7"/>
      <c r="ND84" s="7"/>
    </row>
    <row r="85" spans="1:368"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2"/>
      <c r="HU85" s="11"/>
      <c r="HV85" s="11"/>
      <c r="HW85" s="11"/>
      <c r="HX85" s="11"/>
      <c r="HY85" s="11"/>
      <c r="HZ85" s="11"/>
      <c r="IA85" s="12"/>
      <c r="IB85" s="11"/>
      <c r="IC85" s="11"/>
      <c r="ID85" s="11"/>
      <c r="IE85" s="11"/>
      <c r="IF85" s="11"/>
      <c r="IG85" s="11"/>
      <c r="IH85" s="12"/>
      <c r="II85" s="11"/>
      <c r="IJ85" s="11"/>
      <c r="IK85" s="11"/>
      <c r="IL85" s="11"/>
      <c r="IM85" s="11"/>
      <c r="IN85" s="11"/>
      <c r="IO85" s="12"/>
      <c r="IP85" s="11"/>
      <c r="IQ85" s="11"/>
      <c r="IR85" s="11"/>
      <c r="IS85" s="11"/>
      <c r="IT85" s="11"/>
      <c r="IU85" s="11"/>
      <c r="IV85" s="12"/>
      <c r="IW85" s="11"/>
      <c r="IX85" s="11"/>
      <c r="IY85" s="11"/>
      <c r="IZ85" s="11"/>
      <c r="JA85" s="11"/>
      <c r="JB85" s="11"/>
      <c r="JC85" s="12"/>
      <c r="JD85" s="11"/>
      <c r="JE85" s="11"/>
      <c r="JF85" s="11"/>
      <c r="JG85" s="11"/>
      <c r="JH85" s="11"/>
      <c r="JI85" s="11"/>
      <c r="JJ85" s="12"/>
      <c r="JK85" s="11"/>
      <c r="JL85" s="11"/>
      <c r="JM85" s="11"/>
      <c r="JN85" s="11"/>
      <c r="JO85" s="11"/>
      <c r="JP85" s="11"/>
      <c r="JQ85" s="12"/>
      <c r="JR85" s="11"/>
      <c r="JS85" s="11"/>
      <c r="JT85" s="11"/>
      <c r="JU85" s="11"/>
      <c r="JV85" s="11"/>
      <c r="JW85" s="11"/>
      <c r="JX85" s="12"/>
      <c r="JY85" s="11"/>
      <c r="JZ85" s="11"/>
      <c r="KA85" s="11"/>
      <c r="KB85" s="11"/>
      <c r="KC85" s="11"/>
      <c r="KD85" s="11"/>
      <c r="KE85" s="12"/>
      <c r="KF85" s="11"/>
      <c r="KG85" s="11"/>
      <c r="KH85" s="11"/>
      <c r="KI85" s="11"/>
      <c r="KJ85" s="11"/>
      <c r="KK85" s="11"/>
      <c r="KL85" s="12"/>
      <c r="KM85" s="11"/>
      <c r="KN85" s="11"/>
      <c r="KO85" s="11"/>
      <c r="KP85" s="11"/>
      <c r="KQ85" s="11"/>
      <c r="KR85" s="11"/>
      <c r="KS85" s="12"/>
      <c r="KT85" s="11"/>
      <c r="KU85" s="11"/>
      <c r="KV85" s="11"/>
      <c r="KW85" s="11"/>
      <c r="KX85" s="11"/>
      <c r="KY85" s="11"/>
      <c r="KZ85" s="12"/>
      <c r="LA85" s="11"/>
      <c r="LB85" s="11"/>
      <c r="LC85" s="11"/>
      <c r="LD85" s="11"/>
      <c r="LE85" s="11"/>
      <c r="LF85" s="11"/>
      <c r="LG85" s="12"/>
      <c r="LH85" s="11"/>
      <c r="LI85" s="11"/>
      <c r="LJ85" s="11"/>
      <c r="LK85" s="11"/>
      <c r="LL85" s="11"/>
      <c r="LM85" s="11"/>
      <c r="LN85" s="12"/>
      <c r="LO85" s="11"/>
      <c r="LP85" s="11"/>
      <c r="LQ85" s="11"/>
      <c r="LR85" s="11"/>
      <c r="LS85" s="11"/>
      <c r="LT85" s="11"/>
      <c r="LU85" s="12"/>
      <c r="LV85" s="11"/>
      <c r="LW85" s="11"/>
      <c r="LX85" s="11"/>
      <c r="LY85" s="11"/>
      <c r="LZ85" s="11"/>
      <c r="MA85" s="11"/>
      <c r="MB85" s="12"/>
      <c r="MC85" s="11"/>
      <c r="MD85" s="11"/>
      <c r="ME85" s="11"/>
      <c r="MF85" s="11"/>
      <c r="MG85" s="11"/>
      <c r="MH85" s="11"/>
      <c r="MI85" s="12"/>
      <c r="MJ85" s="11"/>
      <c r="MK85" s="11"/>
      <c r="ML85" s="11"/>
      <c r="MM85" s="11"/>
      <c r="MN85" s="11"/>
      <c r="MO85" s="11"/>
      <c r="MP85" s="12"/>
      <c r="MQ85" s="11"/>
      <c r="MR85" s="11"/>
      <c r="MS85" s="11"/>
      <c r="MT85" s="11"/>
      <c r="MU85" s="11"/>
      <c r="MV85" s="11"/>
      <c r="MW85" s="12"/>
      <c r="MX85" s="11"/>
      <c r="MY85" s="11"/>
      <c r="MZ85" s="11"/>
      <c r="NA85" s="11"/>
      <c r="NB85" s="11"/>
      <c r="NC85" s="11"/>
      <c r="ND85" s="12"/>
    </row>
    <row r="86" spans="1:368" x14ac:dyDescent="0.25">
      <c r="A86" s="8" t="s">
        <v>23</v>
      </c>
      <c r="B86" s="8"/>
      <c r="C86" s="8"/>
      <c r="D86" s="8"/>
      <c r="E86" s="8"/>
      <c r="F86" s="10"/>
      <c r="G86" s="19"/>
      <c r="H86" s="19"/>
      <c r="I86" s="8"/>
      <c r="J86" s="8"/>
      <c r="K86" s="8"/>
      <c r="L86" s="8"/>
      <c r="M86" s="8"/>
      <c r="N86" s="8"/>
      <c r="O86" s="9"/>
      <c r="P86" s="8">
        <f t="shared" ref="P86:P91" si="760">IF(SUM(S86:ND86) &gt; 0, SUM(S86:ND86), "")</f>
        <v>89</v>
      </c>
      <c r="Q86" s="108">
        <f t="shared" ref="Q86:Q92" si="761">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D86" s="7"/>
      <c r="HM86" s="7"/>
      <c r="HT86" s="7"/>
      <c r="IA86" s="7"/>
      <c r="IH86" s="7"/>
      <c r="IO86" s="7"/>
      <c r="IV86" s="7"/>
      <c r="JC86" s="7"/>
      <c r="JJ86" s="7"/>
      <c r="JQ86" s="7"/>
      <c r="JX86" s="7"/>
      <c r="KE86" s="7"/>
      <c r="KL86" s="7"/>
      <c r="KS86" s="7"/>
      <c r="KZ86" s="7"/>
      <c r="LG86" s="7"/>
      <c r="LN86" s="7"/>
      <c r="LU86" s="7"/>
      <c r="MB86" s="7"/>
      <c r="MI86" s="7"/>
      <c r="MP86" s="7"/>
      <c r="MW86" s="7"/>
      <c r="ND86" s="7"/>
    </row>
    <row r="87" spans="1:368" x14ac:dyDescent="0.25">
      <c r="A87" s="8" t="s">
        <v>22</v>
      </c>
      <c r="B87" s="8"/>
      <c r="C87" s="8"/>
      <c r="D87" s="8"/>
      <c r="E87" s="8"/>
      <c r="F87" s="10"/>
      <c r="G87" s="19"/>
      <c r="H87" s="19"/>
      <c r="I87" s="8"/>
      <c r="J87" s="8"/>
      <c r="K87" s="8"/>
      <c r="L87" s="8"/>
      <c r="M87" s="8"/>
      <c r="N87" s="8"/>
      <c r="O87" s="9"/>
      <c r="P87" s="8" t="str">
        <f t="shared" si="760"/>
        <v/>
      </c>
      <c r="Q87" s="108" t="str">
        <f t="shared" si="761"/>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T87" s="7"/>
      <c r="IA87" s="7"/>
      <c r="IH87" s="7"/>
      <c r="IO87" s="7"/>
      <c r="IV87" s="7"/>
      <c r="JC87" s="7"/>
      <c r="JJ87" s="7"/>
      <c r="JQ87" s="7"/>
      <c r="JX87" s="7"/>
      <c r="KE87" s="7"/>
      <c r="KL87" s="7"/>
      <c r="KS87" s="7"/>
      <c r="KZ87" s="7"/>
      <c r="LG87" s="7"/>
      <c r="LN87" s="7"/>
      <c r="LU87" s="7"/>
      <c r="MB87" s="7"/>
      <c r="MI87" s="7"/>
      <c r="MP87" s="7"/>
      <c r="MW87" s="7"/>
      <c r="ND87" s="7"/>
    </row>
    <row r="88" spans="1:368" x14ac:dyDescent="0.25">
      <c r="A88" s="8" t="s">
        <v>21</v>
      </c>
      <c r="B88" s="8"/>
      <c r="C88" s="8"/>
      <c r="D88" s="8"/>
      <c r="E88" s="8"/>
      <c r="F88" s="10"/>
      <c r="G88" s="19"/>
      <c r="H88" s="19"/>
      <c r="I88" s="8"/>
      <c r="J88" s="8"/>
      <c r="K88" s="8"/>
      <c r="L88" s="8"/>
      <c r="M88" s="8"/>
      <c r="N88" s="8"/>
      <c r="O88" s="9"/>
      <c r="P88" s="8" t="str">
        <f t="shared" si="760"/>
        <v/>
      </c>
      <c r="Q88" s="108" t="str">
        <f t="shared" si="761"/>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T88" s="7"/>
      <c r="IA88" s="7"/>
      <c r="IH88" s="7"/>
      <c r="IO88" s="7"/>
      <c r="IV88" s="7"/>
      <c r="JC88" s="7"/>
      <c r="JJ88" s="7"/>
      <c r="JQ88" s="7"/>
      <c r="JX88" s="7"/>
      <c r="KE88" s="7"/>
      <c r="KL88" s="7"/>
      <c r="KS88" s="7"/>
      <c r="KZ88" s="7"/>
      <c r="LG88" s="7"/>
      <c r="LN88" s="7"/>
      <c r="LU88" s="7"/>
      <c r="MB88" s="7"/>
      <c r="MI88" s="7"/>
      <c r="MP88" s="7"/>
      <c r="MW88" s="7"/>
      <c r="ND88" s="7"/>
    </row>
    <row r="89" spans="1:368" x14ac:dyDescent="0.25">
      <c r="A89" s="8" t="s">
        <v>20</v>
      </c>
      <c r="B89" s="8"/>
      <c r="C89" s="8"/>
      <c r="D89" s="8"/>
      <c r="E89" s="8"/>
      <c r="F89" s="10"/>
      <c r="G89" s="19"/>
      <c r="H89" s="19"/>
      <c r="I89" s="8"/>
      <c r="J89" s="8"/>
      <c r="K89" s="8"/>
      <c r="L89" s="8"/>
      <c r="M89" s="8"/>
      <c r="N89" s="8"/>
      <c r="O89" s="9"/>
      <c r="P89" s="8" t="str">
        <f t="shared" si="760"/>
        <v/>
      </c>
      <c r="Q89" s="108" t="str">
        <f t="shared" si="761"/>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T89" s="7"/>
      <c r="IA89" s="7"/>
      <c r="IH89" s="7"/>
      <c r="IO89" s="7"/>
      <c r="IV89" s="7"/>
      <c r="JC89" s="7"/>
      <c r="JJ89" s="7"/>
      <c r="JQ89" s="7"/>
      <c r="JX89" s="7"/>
      <c r="KE89" s="7"/>
      <c r="KL89" s="7"/>
      <c r="KS89" s="7"/>
      <c r="KZ89" s="7"/>
      <c r="LG89" s="7"/>
      <c r="LN89" s="7"/>
      <c r="LU89" s="7"/>
      <c r="MB89" s="7"/>
      <c r="MI89" s="7"/>
      <c r="MP89" s="7"/>
      <c r="MW89" s="7"/>
      <c r="ND89" s="7"/>
    </row>
    <row r="90" spans="1:368" x14ac:dyDescent="0.25">
      <c r="A90" s="8" t="s">
        <v>152</v>
      </c>
      <c r="B90" s="8"/>
      <c r="C90" s="8"/>
      <c r="D90" s="8"/>
      <c r="E90" s="8"/>
      <c r="F90" s="10"/>
      <c r="G90" s="19"/>
      <c r="H90" s="19"/>
      <c r="I90" s="8"/>
      <c r="J90" s="8"/>
      <c r="K90" s="8"/>
      <c r="L90" s="8"/>
      <c r="M90" s="8"/>
      <c r="N90" s="8"/>
      <c r="O90" s="9"/>
      <c r="P90" s="8">
        <f t="shared" si="760"/>
        <v>1</v>
      </c>
      <c r="Q90" s="108">
        <f t="shared" si="761"/>
        <v>1.1235955056179776</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T90" s="7"/>
      <c r="IA90" s="7"/>
      <c r="IH90" s="7"/>
      <c r="IO90" s="7"/>
      <c r="IV90" s="7"/>
      <c r="JC90" s="7"/>
      <c r="JJ90" s="7"/>
      <c r="JQ90" s="7"/>
      <c r="JX90" s="7"/>
      <c r="KE90" s="7"/>
      <c r="KL90" s="7"/>
      <c r="KS90" s="7"/>
      <c r="KZ90" s="7"/>
      <c r="LG90" s="7"/>
      <c r="LN90" s="7"/>
      <c r="LU90" s="7"/>
      <c r="MB90" s="7"/>
      <c r="MI90" s="7"/>
      <c r="MP90" s="7"/>
      <c r="MW90" s="7"/>
      <c r="ND90" s="7"/>
    </row>
    <row r="91" spans="1:368" x14ac:dyDescent="0.25">
      <c r="A91" s="8" t="s">
        <v>19</v>
      </c>
      <c r="B91" s="8"/>
      <c r="C91" s="8"/>
      <c r="D91" s="8"/>
      <c r="E91" s="8"/>
      <c r="F91" s="10"/>
      <c r="G91" s="19"/>
      <c r="H91" s="19"/>
      <c r="I91" s="8"/>
      <c r="J91" s="8"/>
      <c r="K91" s="8"/>
      <c r="L91" s="8"/>
      <c r="M91" s="8"/>
      <c r="N91" s="8"/>
      <c r="O91" s="9"/>
      <c r="P91" s="8">
        <f t="shared" si="760"/>
        <v>28</v>
      </c>
      <c r="Q91" s="108">
        <f t="shared" si="761"/>
        <v>31.460674157303369</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T91" s="7"/>
      <c r="IA91" s="7"/>
      <c r="IH91" s="7"/>
      <c r="IO91" s="7"/>
      <c r="IV91" s="7"/>
      <c r="JC91" s="7"/>
      <c r="JJ91" s="7"/>
      <c r="JQ91" s="7"/>
      <c r="JX91" s="7"/>
      <c r="KE91" s="7"/>
      <c r="KL91" s="7"/>
      <c r="KS91" s="7"/>
      <c r="KZ91" s="7"/>
      <c r="LG91" s="7"/>
      <c r="LN91" s="7"/>
      <c r="LU91" s="7"/>
      <c r="MB91" s="7"/>
      <c r="MI91" s="7"/>
      <c r="MP91" s="7"/>
      <c r="MW91" s="7"/>
      <c r="ND91" s="7"/>
    </row>
    <row r="92" spans="1:368" ht="5.25" customHeight="1" x14ac:dyDescent="0.25">
      <c r="A92" s="8"/>
      <c r="B92" s="8"/>
      <c r="C92" s="8"/>
      <c r="D92" s="8"/>
      <c r="E92" s="8"/>
      <c r="F92" s="10"/>
      <c r="G92" s="19"/>
      <c r="H92" s="19"/>
      <c r="I92" s="8"/>
      <c r="J92" s="8"/>
      <c r="K92" s="8"/>
      <c r="L92" s="8"/>
      <c r="M92" s="8"/>
      <c r="N92" s="8"/>
      <c r="O92" s="9"/>
      <c r="P92" s="8" t="str">
        <f>IF(SUM(R92:ND92) &gt; 0, SUM(R92:ND92), "")</f>
        <v/>
      </c>
      <c r="Q92" s="108" t="str">
        <f t="shared" si="761"/>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T92" s="7"/>
      <c r="IA92" s="7"/>
      <c r="IH92" s="7"/>
      <c r="IO92" s="7"/>
      <c r="IV92" s="7"/>
      <c r="JC92" s="7"/>
      <c r="JJ92" s="7"/>
      <c r="JQ92" s="7"/>
      <c r="JX92" s="7"/>
      <c r="KE92" s="7"/>
      <c r="KL92" s="7"/>
      <c r="KS92" s="7"/>
      <c r="KZ92" s="7"/>
      <c r="LG92" s="7"/>
      <c r="LN92" s="7"/>
      <c r="LU92" s="7"/>
      <c r="MB92" s="7"/>
      <c r="MI92" s="7"/>
      <c r="MP92" s="7"/>
      <c r="MW92" s="7"/>
      <c r="ND92" s="7"/>
    </row>
    <row r="93" spans="1:368" x14ac:dyDescent="0.25">
      <c r="A93" s="6" t="s">
        <v>18</v>
      </c>
      <c r="B93" s="3"/>
      <c r="C93" s="3"/>
      <c r="D93" s="3"/>
      <c r="E93" s="3"/>
      <c r="F93" s="5"/>
      <c r="G93" s="3"/>
      <c r="H93" s="3"/>
      <c r="I93" s="3"/>
      <c r="J93" s="3"/>
      <c r="K93" s="3"/>
      <c r="L93" s="3"/>
      <c r="M93" s="3"/>
      <c r="N93" s="3"/>
      <c r="O93" s="4"/>
      <c r="P93" s="3">
        <f>SUM(S93:ND93)</f>
        <v>89</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c r="HB93" s="3"/>
      <c r="HC93" s="3"/>
      <c r="HD93" s="4"/>
      <c r="HE93" s="3"/>
      <c r="HF93" s="3"/>
      <c r="HG93" s="3"/>
      <c r="HH93" s="3"/>
      <c r="HI93" s="3"/>
      <c r="HJ93" s="3"/>
      <c r="HK93" s="3"/>
      <c r="HL93" s="3"/>
      <c r="HM93" s="4"/>
      <c r="HN93" s="3"/>
      <c r="HO93" s="3"/>
      <c r="HP93" s="3"/>
      <c r="HQ93" s="3"/>
      <c r="HR93" s="3"/>
      <c r="HS93" s="3"/>
      <c r="HT93" s="4"/>
      <c r="HU93" s="3"/>
      <c r="HV93" s="3"/>
      <c r="HW93" s="3"/>
      <c r="HX93" s="3"/>
      <c r="HY93" s="3"/>
      <c r="HZ93" s="3"/>
      <c r="IA93" s="4"/>
      <c r="IB93" s="3"/>
      <c r="IC93" s="3"/>
      <c r="ID93" s="3"/>
      <c r="IE93" s="3"/>
      <c r="IF93" s="3"/>
      <c r="IG93" s="3"/>
      <c r="IH93" s="4"/>
      <c r="II93" s="3"/>
      <c r="IJ93" s="3"/>
      <c r="IK93" s="3"/>
      <c r="IL93" s="3"/>
      <c r="IM93" s="3"/>
      <c r="IN93" s="3"/>
      <c r="IO93" s="4"/>
      <c r="IP93" s="3"/>
      <c r="IQ93" s="3"/>
      <c r="IR93" s="3"/>
      <c r="IS93" s="3"/>
      <c r="IT93" s="3"/>
      <c r="IU93" s="3"/>
      <c r="IV93" s="4"/>
      <c r="IW93" s="3"/>
      <c r="IX93" s="3"/>
      <c r="IY93" s="3"/>
      <c r="IZ93" s="3"/>
      <c r="JA93" s="3"/>
      <c r="JB93" s="3"/>
      <c r="JC93" s="4"/>
      <c r="JD93" s="3"/>
      <c r="JE93" s="3"/>
      <c r="JF93" s="3"/>
      <c r="JG93" s="3"/>
      <c r="JH93" s="3"/>
      <c r="JI93" s="3"/>
      <c r="JJ93" s="4"/>
      <c r="JK93" s="3"/>
      <c r="JL93" s="3"/>
      <c r="JM93" s="3"/>
      <c r="JN93" s="3"/>
      <c r="JO93" s="3"/>
      <c r="JP93" s="3"/>
      <c r="JQ93" s="4"/>
      <c r="JR93" s="3"/>
      <c r="JS93" s="3"/>
      <c r="JT93" s="3"/>
      <c r="JU93" s="3"/>
      <c r="JV93" s="3"/>
      <c r="JW93" s="3"/>
      <c r="JX93" s="4"/>
      <c r="JY93" s="3"/>
      <c r="JZ93" s="3"/>
      <c r="KA93" s="3"/>
      <c r="KB93" s="3"/>
      <c r="KC93" s="3"/>
      <c r="KD93" s="3"/>
      <c r="KE93" s="4"/>
      <c r="KF93" s="3"/>
      <c r="KG93" s="3"/>
      <c r="KH93" s="3"/>
      <c r="KI93" s="3"/>
      <c r="KJ93" s="3"/>
      <c r="KK93" s="3"/>
      <c r="KL93" s="4"/>
      <c r="KM93" s="3"/>
      <c r="KN93" s="3"/>
      <c r="KO93" s="3"/>
      <c r="KP93" s="3"/>
      <c r="KQ93" s="3"/>
      <c r="KR93" s="3"/>
      <c r="KS93" s="4"/>
      <c r="KT93" s="3"/>
      <c r="KU93" s="3"/>
      <c r="KV93" s="3"/>
      <c r="KW93" s="3"/>
      <c r="KX93" s="3"/>
      <c r="KY93" s="3"/>
      <c r="KZ93" s="4"/>
      <c r="LA93" s="3"/>
      <c r="LB93" s="3"/>
      <c r="LC93" s="3"/>
      <c r="LD93" s="3"/>
      <c r="LE93" s="3"/>
      <c r="LF93" s="3"/>
      <c r="LG93" s="4"/>
      <c r="LH93" s="3"/>
      <c r="LI93" s="3"/>
      <c r="LJ93" s="3"/>
      <c r="LK93" s="3"/>
      <c r="LL93" s="3"/>
      <c r="LM93" s="3"/>
      <c r="LN93" s="4"/>
      <c r="LO93" s="3"/>
      <c r="LP93" s="3"/>
      <c r="LQ93" s="3"/>
      <c r="LR93" s="3"/>
      <c r="LS93" s="3"/>
      <c r="LT93" s="3"/>
      <c r="LU93" s="4"/>
      <c r="LV93" s="3"/>
      <c r="LW93" s="3"/>
      <c r="LX93" s="3"/>
      <c r="LY93" s="3"/>
      <c r="LZ93" s="3"/>
      <c r="MA93" s="3"/>
      <c r="MB93" s="4"/>
      <c r="MC93" s="3"/>
      <c r="MD93" s="3"/>
      <c r="ME93" s="3"/>
      <c r="MF93" s="3"/>
      <c r="MG93" s="3"/>
      <c r="MH93" s="3"/>
      <c r="MI93" s="4"/>
      <c r="MJ93" s="3"/>
      <c r="MK93" s="3"/>
      <c r="ML93" s="3"/>
      <c r="MM93" s="3"/>
      <c r="MN93" s="3"/>
      <c r="MO93" s="3"/>
      <c r="MP93" s="4"/>
      <c r="MQ93" s="3"/>
      <c r="MR93" s="3"/>
      <c r="MS93" s="3"/>
      <c r="MT93" s="3"/>
      <c r="MU93" s="3"/>
      <c r="MV93" s="3"/>
      <c r="MW93" s="4"/>
      <c r="MX93" s="3"/>
      <c r="MY93" s="3"/>
      <c r="MZ93" s="3"/>
      <c r="NA93" s="3"/>
      <c r="NB93" s="3"/>
      <c r="NC93" s="3"/>
      <c r="ND93" s="4"/>
    </row>
    <row r="95" spans="1:368" x14ac:dyDescent="0.25">
      <c r="B95" t="s">
        <v>199</v>
      </c>
      <c r="C95" t="s">
        <v>200</v>
      </c>
      <c r="D95" t="s">
        <v>201</v>
      </c>
      <c r="E95" t="s">
        <v>202</v>
      </c>
      <c r="F95" t="s">
        <v>207</v>
      </c>
      <c r="G95" t="s">
        <v>203</v>
      </c>
      <c r="H95" t="s">
        <v>204</v>
      </c>
      <c r="I95" t="s">
        <v>48</v>
      </c>
      <c r="J95" t="s">
        <v>406</v>
      </c>
      <c r="K95" t="s">
        <v>205</v>
      </c>
      <c r="L95" t="s">
        <v>206</v>
      </c>
    </row>
    <row r="96" spans="1:368" ht="15" customHeight="1" x14ac:dyDescent="0.25">
      <c r="A96" t="s">
        <v>17</v>
      </c>
      <c r="B96" t="s">
        <v>145</v>
      </c>
      <c r="C96">
        <v>7</v>
      </c>
      <c r="D96">
        <v>28</v>
      </c>
      <c r="E96">
        <v>38</v>
      </c>
      <c r="F96">
        <v>1</v>
      </c>
      <c r="G96" t="s">
        <v>15</v>
      </c>
      <c r="H96" t="s">
        <v>13</v>
      </c>
      <c r="I96" t="s">
        <v>187</v>
      </c>
      <c r="J96" t="s">
        <v>188</v>
      </c>
      <c r="K96" t="s">
        <v>407</v>
      </c>
      <c r="L96" s="51" t="str">
        <f>FindEnd(S37:ND37)</f>
        <v>HD</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FindEnd(S69:ND69)</f>
        <v>HD</v>
      </c>
    </row>
    <row r="98" spans="1:12" x14ac:dyDescent="0.25">
      <c r="B98" t="s">
        <v>16</v>
      </c>
      <c r="C98">
        <v>76</v>
      </c>
      <c r="D98">
        <v>79</v>
      </c>
      <c r="E98">
        <v>82</v>
      </c>
      <c r="F98">
        <v>71</v>
      </c>
      <c r="G98" t="s">
        <v>15</v>
      </c>
      <c r="H98" t="s">
        <v>13</v>
      </c>
      <c r="I98" t="s">
        <v>187</v>
      </c>
      <c r="K98" t="s">
        <v>105</v>
      </c>
      <c r="L98" s="51" t="str">
        <f>FindEnd(S81:ND81)</f>
        <v>HD</v>
      </c>
    </row>
    <row r="99" spans="1:12" x14ac:dyDescent="0.25">
      <c r="F99" s="105" t="s">
        <v>402</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616</v>
      </c>
      <c r="D112" s="8" t="s">
        <v>615</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617</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614</v>
      </c>
      <c r="B119" s="41"/>
      <c r="C119" s="41"/>
      <c r="D119" s="41"/>
      <c r="E119" s="41"/>
    </row>
    <row r="120" spans="1:5" x14ac:dyDescent="0.25">
      <c r="A120" t="s">
        <v>553</v>
      </c>
      <c r="D120" s="142" t="s">
        <v>555</v>
      </c>
    </row>
    <row r="121" spans="1:5" x14ac:dyDescent="0.25">
      <c r="A121" t="s">
        <v>556</v>
      </c>
      <c r="D121" s="142" t="s">
        <v>554</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8 HL7:HL28" numberStoredAsText="1"/>
    <ignoredError sqref="P31 Q28 HM38:ND38 GF38 GW38:HA38 Q30 P58 HE38:HJ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HM91:ND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HM74:ND89 GL73:GP73 GR73 GU73:GY73 HD73:HH73 HM73:HQ73 HS73:HX73 HZ73:IE73 IG73:IJ73 IU73:IZ73 JB73:JG73 JI73:JU73 IN73:IS73 JW73:KB73 KD73:KP73 KR73:LD73 LF73:LK73 LM73:LR73 LT73:LY73 MA73:MF73 MH73:ND73 HA73 GV71:HA72 GU74:HA80 GU70:HA70 GU92:HA92 HM70:ND70 GL80:GR80 GL78:GM79 GO78:GO79 GL82:GR85 GL81:GM81 GO81 GL87:GR89 GL86 GO86 GL91:GM91 GO91 GL93 GO93 GR78 GQ79:GR79 GR81 GJ38:GL38 GS38 GU87:HA89 GU86 GX86 GU91 GW91:HA91 GU93 GX93 GU82:HA85 GU81:GV81 GX81 HA81 HA86 HA93 HE71:HJ72 HJ73 HD70:HJ70 HD74:HJ89 HD91:HJ93 HN72:ND72 HN71:ND71" formulaRange="1"/>
    <ignoredError sqref="FL38:FQ38 FJ38 FA38:FG38 Q38:EW38 FU38:FZ38 GD38:GE38 GG38:GI38 GM38:GR38 GV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08"/>
  <sheetViews>
    <sheetView workbookViewId="0">
      <selection activeCell="B8" sqref="B8"/>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5">
        <v>44134</v>
      </c>
      <c r="B4" s="74" t="s">
        <v>453</v>
      </c>
      <c r="C4" s="74"/>
      <c r="D4" s="74" t="s">
        <v>530</v>
      </c>
    </row>
    <row r="5" spans="1:4" ht="45" x14ac:dyDescent="0.25">
      <c r="A5" s="72"/>
      <c r="B5" s="76" t="s">
        <v>624</v>
      </c>
      <c r="C5" s="74"/>
      <c r="D5" s="76" t="s">
        <v>623</v>
      </c>
    </row>
    <row r="6" spans="1:4" x14ac:dyDescent="0.25">
      <c r="A6" s="75">
        <v>44133</v>
      </c>
      <c r="B6" s="74" t="s">
        <v>621</v>
      </c>
      <c r="C6" s="74"/>
      <c r="D6" s="74" t="s">
        <v>449</v>
      </c>
    </row>
    <row r="7" spans="1:4" ht="60" x14ac:dyDescent="0.25">
      <c r="A7" s="72"/>
      <c r="B7" s="76" t="s">
        <v>625</v>
      </c>
      <c r="C7" s="74"/>
      <c r="D7" s="76" t="s">
        <v>622</v>
      </c>
    </row>
    <row r="8" spans="1:4" x14ac:dyDescent="0.25">
      <c r="A8" s="75">
        <v>44131</v>
      </c>
      <c r="B8" s="74" t="s">
        <v>592</v>
      </c>
      <c r="C8" s="74"/>
      <c r="D8" s="74" t="s">
        <v>454</v>
      </c>
    </row>
    <row r="9" spans="1:4" ht="90" x14ac:dyDescent="0.25">
      <c r="A9" s="72"/>
      <c r="B9" s="76" t="s">
        <v>613</v>
      </c>
      <c r="C9" s="74"/>
      <c r="D9" s="76" t="s">
        <v>612</v>
      </c>
    </row>
    <row r="10" spans="1:4" x14ac:dyDescent="0.25">
      <c r="A10" s="75">
        <v>44130</v>
      </c>
      <c r="B10" s="74" t="s">
        <v>610</v>
      </c>
      <c r="C10" s="74"/>
      <c r="D10" s="73"/>
    </row>
    <row r="11" spans="1:4" ht="45" x14ac:dyDescent="0.25">
      <c r="A11" s="72"/>
      <c r="B11" s="76" t="s">
        <v>611</v>
      </c>
      <c r="C11" s="74"/>
      <c r="D11" s="73"/>
    </row>
    <row r="12" spans="1:4" x14ac:dyDescent="0.25">
      <c r="A12" s="72"/>
      <c r="B12" s="73"/>
      <c r="C12" s="74"/>
      <c r="D12" s="73"/>
    </row>
    <row r="13" spans="1:4" x14ac:dyDescent="0.25">
      <c r="A13" s="75">
        <v>44129</v>
      </c>
      <c r="B13" s="74" t="s">
        <v>606</v>
      </c>
      <c r="C13" s="74"/>
      <c r="D13" s="74" t="s">
        <v>607</v>
      </c>
    </row>
    <row r="14" spans="1:4" x14ac:dyDescent="0.25">
      <c r="A14" s="72"/>
      <c r="B14" s="73" t="s">
        <v>609</v>
      </c>
      <c r="C14" s="74"/>
      <c r="D14" s="147" t="s">
        <v>608</v>
      </c>
    </row>
    <row r="15" spans="1:4" x14ac:dyDescent="0.25">
      <c r="A15" s="75">
        <v>44128</v>
      </c>
      <c r="B15" s="74" t="s">
        <v>604</v>
      </c>
      <c r="C15" s="74"/>
      <c r="D15" s="73"/>
    </row>
    <row r="16" spans="1:4" ht="60" x14ac:dyDescent="0.25">
      <c r="A16" s="72"/>
      <c r="B16" s="76" t="s">
        <v>605</v>
      </c>
      <c r="C16" s="74"/>
      <c r="D16" s="73"/>
    </row>
    <row r="17" spans="1:4" x14ac:dyDescent="0.25">
      <c r="A17" s="75">
        <v>44127</v>
      </c>
      <c r="B17" s="74" t="s">
        <v>461</v>
      </c>
      <c r="C17" s="74"/>
      <c r="D17" s="74" t="s">
        <v>450</v>
      </c>
    </row>
    <row r="18" spans="1:4" x14ac:dyDescent="0.25">
      <c r="A18" s="72"/>
      <c r="B18" s="73"/>
      <c r="C18" s="74"/>
      <c r="D18" s="73" t="s">
        <v>603</v>
      </c>
    </row>
    <row r="19" spans="1:4" x14ac:dyDescent="0.25">
      <c r="A19" s="75">
        <v>44126</v>
      </c>
      <c r="B19" s="74" t="s">
        <v>592</v>
      </c>
      <c r="C19" s="74"/>
      <c r="D19" s="74" t="s">
        <v>449</v>
      </c>
    </row>
    <row r="20" spans="1:4" ht="60" x14ac:dyDescent="0.25">
      <c r="A20" s="72"/>
      <c r="B20" s="76" t="s">
        <v>601</v>
      </c>
      <c r="C20" s="74"/>
      <c r="D20" s="76" t="s">
        <v>600</v>
      </c>
    </row>
    <row r="21" spans="1:4" x14ac:dyDescent="0.25">
      <c r="A21" s="75">
        <v>44124</v>
      </c>
      <c r="B21" s="74" t="s">
        <v>592</v>
      </c>
      <c r="C21" s="74"/>
      <c r="D21" s="74" t="s">
        <v>595</v>
      </c>
    </row>
    <row r="22" spans="1:4" ht="105" x14ac:dyDescent="0.25">
      <c r="A22" s="72"/>
      <c r="B22" s="76" t="s">
        <v>599</v>
      </c>
      <c r="C22" s="74"/>
      <c r="D22" s="76" t="s">
        <v>594</v>
      </c>
    </row>
    <row r="23" spans="1:4" x14ac:dyDescent="0.25">
      <c r="A23" s="75">
        <v>44123</v>
      </c>
      <c r="B23" s="74" t="s">
        <v>461</v>
      </c>
      <c r="C23" s="74"/>
      <c r="D23" s="73"/>
    </row>
    <row r="24" spans="1:4" ht="60" x14ac:dyDescent="0.25">
      <c r="A24" s="72"/>
      <c r="B24" s="76" t="s">
        <v>593</v>
      </c>
      <c r="C24" s="74"/>
      <c r="D24" s="73"/>
    </row>
    <row r="25" spans="1:4" x14ac:dyDescent="0.25">
      <c r="A25" s="72"/>
      <c r="B25" s="73"/>
      <c r="C25" s="74"/>
      <c r="D25" s="73"/>
    </row>
    <row r="26" spans="1:4" x14ac:dyDescent="0.25">
      <c r="A26" s="75">
        <v>44121</v>
      </c>
      <c r="B26" s="74" t="s">
        <v>591</v>
      </c>
      <c r="C26" s="74"/>
      <c r="D26" s="73"/>
    </row>
    <row r="27" spans="1:4" ht="30" x14ac:dyDescent="0.25">
      <c r="A27" s="72"/>
      <c r="B27" s="76" t="s">
        <v>588</v>
      </c>
      <c r="C27" s="74"/>
      <c r="D27" s="73"/>
    </row>
    <row r="28" spans="1:4" x14ac:dyDescent="0.25">
      <c r="A28" s="75">
        <v>44120</v>
      </c>
      <c r="B28" s="74" t="s">
        <v>480</v>
      </c>
      <c r="C28" s="74"/>
      <c r="D28" s="74" t="s">
        <v>449</v>
      </c>
    </row>
    <row r="29" spans="1:4" ht="75" x14ac:dyDescent="0.25">
      <c r="A29" s="72"/>
      <c r="B29" s="76" t="s">
        <v>590</v>
      </c>
      <c r="C29" s="74"/>
      <c r="D29" s="76" t="s">
        <v>589</v>
      </c>
    </row>
    <row r="30" spans="1:4" x14ac:dyDescent="0.25">
      <c r="A30" s="75">
        <v>44119</v>
      </c>
      <c r="B30" s="74" t="s">
        <v>581</v>
      </c>
      <c r="C30" s="74"/>
      <c r="D30" s="74" t="s">
        <v>454</v>
      </c>
    </row>
    <row r="31" spans="1:4" ht="105" x14ac:dyDescent="0.25">
      <c r="A31" s="72"/>
      <c r="B31" s="76" t="s">
        <v>582</v>
      </c>
      <c r="C31" s="74"/>
      <c r="D31" s="73" t="s">
        <v>570</v>
      </c>
    </row>
    <row r="32" spans="1:4" x14ac:dyDescent="0.25">
      <c r="A32" s="75">
        <v>44117</v>
      </c>
      <c r="B32" s="74" t="s">
        <v>576</v>
      </c>
      <c r="C32" s="74"/>
      <c r="D32" s="74" t="s">
        <v>596</v>
      </c>
    </row>
    <row r="33" spans="1:4" ht="180" x14ac:dyDescent="0.25">
      <c r="A33" s="72"/>
      <c r="B33" s="76" t="s">
        <v>578</v>
      </c>
      <c r="C33" s="74"/>
      <c r="D33" s="76" t="s">
        <v>577</v>
      </c>
    </row>
    <row r="34" spans="1:4" x14ac:dyDescent="0.25">
      <c r="A34" s="75">
        <v>44116</v>
      </c>
      <c r="B34" s="74" t="s">
        <v>461</v>
      </c>
      <c r="C34" s="74"/>
      <c r="D34" s="73"/>
    </row>
    <row r="35" spans="1:4" ht="135" x14ac:dyDescent="0.25">
      <c r="A35" s="72"/>
      <c r="B35" s="76" t="s">
        <v>575</v>
      </c>
      <c r="C35" s="74"/>
      <c r="D35" s="73"/>
    </row>
    <row r="36" spans="1:4" x14ac:dyDescent="0.25">
      <c r="A36" s="72"/>
      <c r="B36" s="73"/>
      <c r="C36" s="74"/>
      <c r="D36" s="73"/>
    </row>
    <row r="37" spans="1:4" x14ac:dyDescent="0.25">
      <c r="A37" s="75">
        <v>44114</v>
      </c>
      <c r="B37" s="74" t="s">
        <v>573</v>
      </c>
      <c r="C37" s="74"/>
      <c r="D37" s="73"/>
    </row>
    <row r="38" spans="1:4" ht="45" x14ac:dyDescent="0.25">
      <c r="A38" s="72"/>
      <c r="B38" s="76" t="s">
        <v>574</v>
      </c>
      <c r="C38" s="74"/>
      <c r="D38" s="73"/>
    </row>
    <row r="39" spans="1:4" x14ac:dyDescent="0.25">
      <c r="A39" s="75">
        <v>44113</v>
      </c>
      <c r="B39" s="74" t="s">
        <v>527</v>
      </c>
      <c r="C39" s="74"/>
      <c r="D39" s="74" t="s">
        <v>450</v>
      </c>
    </row>
    <row r="40" spans="1:4" ht="90" x14ac:dyDescent="0.25">
      <c r="A40" s="72"/>
      <c r="B40" s="76" t="s">
        <v>572</v>
      </c>
      <c r="C40" s="74"/>
      <c r="D40" s="76" t="s">
        <v>571</v>
      </c>
    </row>
    <row r="41" spans="1:4" x14ac:dyDescent="0.25">
      <c r="A41" s="75">
        <v>44112</v>
      </c>
      <c r="B41" s="74" t="s">
        <v>568</v>
      </c>
      <c r="C41" s="74"/>
      <c r="D41" s="74" t="s">
        <v>449</v>
      </c>
    </row>
    <row r="42" spans="1:4" ht="60" x14ac:dyDescent="0.25">
      <c r="A42" s="72"/>
      <c r="B42" s="76" t="s">
        <v>569</v>
      </c>
      <c r="C42" s="74"/>
      <c r="D42" s="73" t="s">
        <v>570</v>
      </c>
    </row>
    <row r="43" spans="1:4" x14ac:dyDescent="0.25">
      <c r="A43" s="75">
        <v>44110</v>
      </c>
      <c r="B43" s="74" t="s">
        <v>480</v>
      </c>
      <c r="C43" s="74"/>
      <c r="D43" s="74" t="s">
        <v>597</v>
      </c>
    </row>
    <row r="44" spans="1:4" ht="60" x14ac:dyDescent="0.25">
      <c r="A44" s="72"/>
      <c r="B44" s="76" t="s">
        <v>567</v>
      </c>
      <c r="C44" s="74"/>
      <c r="D44" s="76" t="s">
        <v>566</v>
      </c>
    </row>
    <row r="45" spans="1:4" x14ac:dyDescent="0.25">
      <c r="A45" s="75">
        <v>44109</v>
      </c>
      <c r="B45" s="74" t="s">
        <v>461</v>
      </c>
      <c r="C45" s="74"/>
      <c r="D45" s="73"/>
    </row>
    <row r="46" spans="1:4" ht="75" x14ac:dyDescent="0.25">
      <c r="A46" s="72"/>
      <c r="B46" s="76" t="s">
        <v>565</v>
      </c>
      <c r="C46" s="74"/>
      <c r="D46" s="73"/>
    </row>
    <row r="47" spans="1:4" x14ac:dyDescent="0.25">
      <c r="A47" s="72"/>
      <c r="B47" s="73"/>
      <c r="C47" s="74"/>
      <c r="D47" s="73"/>
    </row>
    <row r="48" spans="1:4" x14ac:dyDescent="0.25">
      <c r="A48" s="75">
        <v>44107</v>
      </c>
      <c r="B48" s="74" t="s">
        <v>547</v>
      </c>
      <c r="C48" s="74"/>
      <c r="D48" s="73"/>
    </row>
    <row r="49" spans="1:4" ht="120" x14ac:dyDescent="0.25">
      <c r="A49" s="72"/>
      <c r="B49" s="76" t="s">
        <v>562</v>
      </c>
      <c r="C49" s="74"/>
      <c r="D49" s="73"/>
    </row>
    <row r="50" spans="1:4" x14ac:dyDescent="0.25">
      <c r="A50" s="75">
        <v>44106</v>
      </c>
      <c r="B50" s="74" t="s">
        <v>480</v>
      </c>
      <c r="C50" s="74"/>
      <c r="D50" s="74" t="s">
        <v>449</v>
      </c>
    </row>
    <row r="51" spans="1:4" ht="75" x14ac:dyDescent="0.25">
      <c r="A51" s="72"/>
      <c r="B51" s="76" t="s">
        <v>561</v>
      </c>
      <c r="C51" s="74"/>
      <c r="D51" s="76" t="s">
        <v>560</v>
      </c>
    </row>
    <row r="52" spans="1:4" x14ac:dyDescent="0.25">
      <c r="A52" s="75">
        <v>44105</v>
      </c>
      <c r="B52" s="74" t="s">
        <v>548</v>
      </c>
      <c r="C52" s="74"/>
      <c r="D52" s="74" t="s">
        <v>454</v>
      </c>
    </row>
    <row r="53" spans="1:4" ht="75" x14ac:dyDescent="0.25">
      <c r="A53" s="72"/>
      <c r="B53" s="76" t="s">
        <v>549</v>
      </c>
      <c r="C53" s="74"/>
      <c r="D53" s="76" t="s">
        <v>559</v>
      </c>
    </row>
    <row r="54" spans="1:4" x14ac:dyDescent="0.25">
      <c r="A54" s="75">
        <v>44103</v>
      </c>
      <c r="B54" s="74" t="s">
        <v>527</v>
      </c>
      <c r="C54" s="74"/>
      <c r="D54" s="74" t="s">
        <v>595</v>
      </c>
    </row>
    <row r="55" spans="1:4" ht="90" x14ac:dyDescent="0.25">
      <c r="A55" s="72"/>
      <c r="B55" s="76" t="s">
        <v>546</v>
      </c>
      <c r="C55" s="74"/>
      <c r="D55" s="76" t="s">
        <v>545</v>
      </c>
    </row>
    <row r="56" spans="1:4" x14ac:dyDescent="0.25">
      <c r="A56" s="75">
        <v>44102</v>
      </c>
      <c r="B56" s="74" t="s">
        <v>454</v>
      </c>
      <c r="C56" s="74"/>
      <c r="D56" s="73"/>
    </row>
    <row r="57" spans="1:4" ht="60" x14ac:dyDescent="0.25">
      <c r="A57" s="72"/>
      <c r="B57" s="76" t="s">
        <v>544</v>
      </c>
      <c r="C57" s="74"/>
      <c r="D57" s="73"/>
    </row>
    <row r="58" spans="1:4" x14ac:dyDescent="0.25">
      <c r="A58" s="72"/>
      <c r="B58" s="73"/>
      <c r="C58" s="74"/>
      <c r="D58" s="73"/>
    </row>
    <row r="59" spans="1:4" x14ac:dyDescent="0.25">
      <c r="A59" s="75">
        <v>44100</v>
      </c>
      <c r="B59" s="74" t="s">
        <v>540</v>
      </c>
      <c r="C59" s="74"/>
      <c r="D59" s="73"/>
    </row>
    <row r="60" spans="1:4" ht="75" x14ac:dyDescent="0.25">
      <c r="A60" s="72"/>
      <c r="B60" s="76" t="s">
        <v>541</v>
      </c>
      <c r="C60" s="74"/>
      <c r="D60" s="73"/>
    </row>
    <row r="61" spans="1:4" x14ac:dyDescent="0.25">
      <c r="A61" s="75">
        <v>44099</v>
      </c>
      <c r="B61" s="74" t="s">
        <v>527</v>
      </c>
      <c r="C61" s="74"/>
      <c r="D61" s="74" t="s">
        <v>454</v>
      </c>
    </row>
    <row r="62" spans="1:4" ht="60" x14ac:dyDescent="0.25">
      <c r="A62" s="72"/>
      <c r="B62" s="76" t="s">
        <v>538</v>
      </c>
      <c r="C62" s="74"/>
      <c r="D62" s="76" t="s">
        <v>539</v>
      </c>
    </row>
    <row r="63" spans="1:4" x14ac:dyDescent="0.25">
      <c r="A63" s="75">
        <v>44098</v>
      </c>
      <c r="B63" s="74" t="s">
        <v>535</v>
      </c>
      <c r="C63" s="74"/>
      <c r="D63" s="74" t="s">
        <v>449</v>
      </c>
    </row>
    <row r="64" spans="1:4" ht="105" x14ac:dyDescent="0.25">
      <c r="A64" s="72"/>
      <c r="B64" s="76" t="s">
        <v>537</v>
      </c>
      <c r="C64" s="74"/>
      <c r="D64" s="76" t="s">
        <v>536</v>
      </c>
    </row>
    <row r="65" spans="1:4" x14ac:dyDescent="0.25">
      <c r="A65" s="75">
        <v>44097</v>
      </c>
      <c r="B65" s="74" t="s">
        <v>534</v>
      </c>
      <c r="C65" s="74"/>
      <c r="D65" s="76"/>
    </row>
    <row r="66" spans="1:4" ht="60" x14ac:dyDescent="0.25">
      <c r="A66" s="72"/>
      <c r="B66" s="76" t="s">
        <v>598</v>
      </c>
      <c r="C66" s="74"/>
      <c r="D66" s="73"/>
    </row>
    <row r="67" spans="1:4" x14ac:dyDescent="0.25">
      <c r="A67" s="75">
        <v>44096</v>
      </c>
      <c r="B67" s="74" t="s">
        <v>530</v>
      </c>
      <c r="C67" s="74"/>
      <c r="D67" s="74" t="s">
        <v>532</v>
      </c>
    </row>
    <row r="68" spans="1:4" ht="105" x14ac:dyDescent="0.25">
      <c r="A68" s="72"/>
      <c r="B68" s="76" t="s">
        <v>531</v>
      </c>
      <c r="C68" s="74"/>
      <c r="D68" s="76" t="s">
        <v>533</v>
      </c>
    </row>
    <row r="69" spans="1:4" x14ac:dyDescent="0.25">
      <c r="A69" s="75">
        <v>44095</v>
      </c>
      <c r="B69" s="74" t="s">
        <v>527</v>
      </c>
      <c r="C69" s="74"/>
      <c r="D69" s="73"/>
    </row>
    <row r="70" spans="1:4" ht="90" x14ac:dyDescent="0.25">
      <c r="A70" s="72"/>
      <c r="B70" s="76" t="s">
        <v>528</v>
      </c>
      <c r="C70" s="74"/>
      <c r="D70" s="73"/>
    </row>
    <row r="71" spans="1:4" x14ac:dyDescent="0.25">
      <c r="A71" s="72"/>
      <c r="B71" s="73"/>
      <c r="C71" s="74"/>
      <c r="D71" s="73"/>
    </row>
    <row r="72" spans="1:4" x14ac:dyDescent="0.25">
      <c r="A72" s="75">
        <v>44092</v>
      </c>
      <c r="B72" s="73"/>
      <c r="C72" s="74"/>
      <c r="D72" s="74" t="s">
        <v>454</v>
      </c>
    </row>
    <row r="73" spans="1:4" ht="45" x14ac:dyDescent="0.25">
      <c r="A73" s="72"/>
      <c r="B73" s="73"/>
      <c r="C73" s="74"/>
      <c r="D73" s="76" t="s">
        <v>526</v>
      </c>
    </row>
    <row r="74" spans="1:4" x14ac:dyDescent="0.25">
      <c r="A74" s="75">
        <v>44091</v>
      </c>
      <c r="B74" s="74" t="s">
        <v>519</v>
      </c>
      <c r="C74" s="74"/>
      <c r="D74" s="74" t="s">
        <v>516</v>
      </c>
    </row>
    <row r="75" spans="1:4" ht="105" x14ac:dyDescent="0.25">
      <c r="A75" s="72"/>
      <c r="B75" s="76" t="s">
        <v>518</v>
      </c>
      <c r="C75" s="74"/>
      <c r="D75" s="76" t="s">
        <v>517</v>
      </c>
    </row>
    <row r="76" spans="1:4" x14ac:dyDescent="0.25">
      <c r="A76" s="75">
        <v>44090</v>
      </c>
      <c r="B76" s="74" t="s">
        <v>520</v>
      </c>
      <c r="C76" s="74"/>
      <c r="D76" s="73"/>
    </row>
    <row r="77" spans="1:4" ht="180" x14ac:dyDescent="0.25">
      <c r="A77" s="72"/>
      <c r="B77" s="76" t="s">
        <v>515</v>
      </c>
      <c r="C77" s="74"/>
      <c r="D77" s="73"/>
    </row>
    <row r="78" spans="1:4" x14ac:dyDescent="0.25">
      <c r="A78" s="75">
        <v>44089</v>
      </c>
      <c r="B78" s="74" t="s">
        <v>461</v>
      </c>
      <c r="C78" s="74"/>
      <c r="D78" s="74" t="s">
        <v>473</v>
      </c>
    </row>
    <row r="79" spans="1:4" ht="75" x14ac:dyDescent="0.25">
      <c r="A79" s="72"/>
      <c r="B79" s="76" t="s">
        <v>510</v>
      </c>
      <c r="C79" s="74"/>
      <c r="D79" s="76" t="s">
        <v>509</v>
      </c>
    </row>
    <row r="80" spans="1:4" x14ac:dyDescent="0.25">
      <c r="A80" s="75">
        <v>44088</v>
      </c>
      <c r="B80" s="74" t="s">
        <v>521</v>
      </c>
      <c r="C80" s="74"/>
      <c r="D80" s="73"/>
    </row>
    <row r="81" spans="1:4" ht="45" x14ac:dyDescent="0.25">
      <c r="A81" s="72"/>
      <c r="B81" s="76" t="s">
        <v>508</v>
      </c>
      <c r="C81" s="74"/>
      <c r="D81" s="73"/>
    </row>
    <row r="82" spans="1:4" x14ac:dyDescent="0.25">
      <c r="A82" s="72"/>
      <c r="B82" s="73"/>
      <c r="C82" s="74"/>
      <c r="D82" s="73"/>
    </row>
    <row r="83" spans="1:4" x14ac:dyDescent="0.25">
      <c r="A83" s="75">
        <v>44087</v>
      </c>
      <c r="B83" s="74" t="s">
        <v>506</v>
      </c>
      <c r="C83" s="74"/>
    </row>
    <row r="84" spans="1:4" ht="120" x14ac:dyDescent="0.25">
      <c r="A84" s="72"/>
      <c r="B84" s="76" t="s">
        <v>505</v>
      </c>
      <c r="C84" s="74"/>
      <c r="D84" s="73"/>
    </row>
    <row r="85" spans="1:4" x14ac:dyDescent="0.25">
      <c r="A85" s="75">
        <v>44085</v>
      </c>
      <c r="B85" s="74" t="s">
        <v>491</v>
      </c>
      <c r="C85" s="74"/>
      <c r="D85" s="74" t="s">
        <v>450</v>
      </c>
    </row>
    <row r="86" spans="1:4" ht="210" x14ac:dyDescent="0.25">
      <c r="A86" s="72"/>
      <c r="B86" s="76" t="s">
        <v>493</v>
      </c>
      <c r="C86" s="74"/>
      <c r="D86" s="76" t="s">
        <v>492</v>
      </c>
    </row>
    <row r="87" spans="1:4" x14ac:dyDescent="0.25">
      <c r="A87" s="75">
        <v>44084</v>
      </c>
      <c r="B87" s="74" t="s">
        <v>488</v>
      </c>
      <c r="C87" s="74"/>
      <c r="D87" s="74" t="s">
        <v>449</v>
      </c>
    </row>
    <row r="88" spans="1:4" ht="45" x14ac:dyDescent="0.25">
      <c r="A88" s="72"/>
      <c r="B88" s="76" t="s">
        <v>489</v>
      </c>
      <c r="C88" s="74"/>
      <c r="D88" s="76" t="s">
        <v>490</v>
      </c>
    </row>
    <row r="89" spans="1:4" x14ac:dyDescent="0.25">
      <c r="A89" s="75">
        <v>44082</v>
      </c>
      <c r="B89" s="74" t="s">
        <v>464</v>
      </c>
      <c r="C89" s="74"/>
      <c r="D89" s="74" t="s">
        <v>450</v>
      </c>
    </row>
    <row r="90" spans="1:4" ht="90" x14ac:dyDescent="0.25">
      <c r="A90" s="72"/>
      <c r="B90" s="76" t="s">
        <v>484</v>
      </c>
      <c r="C90" s="74"/>
      <c r="D90" s="76" t="s">
        <v>482</v>
      </c>
    </row>
    <row r="91" spans="1:4" x14ac:dyDescent="0.25">
      <c r="A91" s="75">
        <v>44081</v>
      </c>
      <c r="B91" s="74" t="s">
        <v>480</v>
      </c>
      <c r="C91" s="74"/>
      <c r="D91" s="73"/>
    </row>
    <row r="92" spans="1:4" ht="120" x14ac:dyDescent="0.25">
      <c r="A92" s="72"/>
      <c r="B92" s="76" t="s">
        <v>483</v>
      </c>
      <c r="C92" s="74"/>
      <c r="D92" s="73"/>
    </row>
    <row r="93" spans="1:4" x14ac:dyDescent="0.25">
      <c r="A93" s="72"/>
      <c r="B93" s="73"/>
      <c r="C93" s="74"/>
      <c r="D93" s="73"/>
    </row>
    <row r="94" spans="1:4" x14ac:dyDescent="0.25">
      <c r="A94" s="75">
        <v>44078</v>
      </c>
      <c r="B94" s="74" t="s">
        <v>473</v>
      </c>
      <c r="C94" s="74"/>
      <c r="D94" s="74" t="s">
        <v>474</v>
      </c>
    </row>
    <row r="95" spans="1:4" ht="75" x14ac:dyDescent="0.25">
      <c r="A95" s="72"/>
      <c r="B95" s="76" t="s">
        <v>476</v>
      </c>
      <c r="C95" s="74"/>
      <c r="D95" s="76" t="s">
        <v>475</v>
      </c>
    </row>
    <row r="96" spans="1:4" x14ac:dyDescent="0.25">
      <c r="A96" s="75">
        <v>44077</v>
      </c>
      <c r="B96" s="74" t="s">
        <v>464</v>
      </c>
      <c r="C96" s="74"/>
      <c r="D96" s="74" t="s">
        <v>454</v>
      </c>
    </row>
    <row r="97" spans="1:4" ht="75" x14ac:dyDescent="0.25">
      <c r="A97" s="72"/>
      <c r="B97" s="76" t="s">
        <v>479</v>
      </c>
      <c r="C97" s="74"/>
      <c r="D97" s="76" t="s">
        <v>465</v>
      </c>
    </row>
    <row r="98" spans="1:4" x14ac:dyDescent="0.25">
      <c r="A98" s="75">
        <v>44075</v>
      </c>
      <c r="B98" s="74" t="s">
        <v>461</v>
      </c>
      <c r="C98" s="74"/>
      <c r="D98" s="74" t="s">
        <v>450</v>
      </c>
    </row>
    <row r="99" spans="1:4" ht="60" x14ac:dyDescent="0.25">
      <c r="A99" s="72"/>
      <c r="B99" s="76" t="s">
        <v>463</v>
      </c>
      <c r="C99" s="74"/>
      <c r="D99" s="76" t="s">
        <v>462</v>
      </c>
    </row>
    <row r="100" spans="1:4" x14ac:dyDescent="0.25">
      <c r="A100" s="75">
        <v>44074</v>
      </c>
      <c r="B100" s="74" t="s">
        <v>453</v>
      </c>
      <c r="C100" s="74"/>
      <c r="D100" s="73"/>
    </row>
    <row r="101" spans="1:4" ht="74.25" customHeight="1" x14ac:dyDescent="0.25">
      <c r="A101" s="72"/>
      <c r="B101" s="76" t="s">
        <v>458</v>
      </c>
      <c r="C101" s="74"/>
      <c r="D101" s="73"/>
    </row>
    <row r="102" spans="1:4" x14ac:dyDescent="0.25">
      <c r="A102" s="72"/>
      <c r="B102" s="73"/>
      <c r="C102" s="74"/>
      <c r="D102" s="73"/>
    </row>
    <row r="103" spans="1:4" x14ac:dyDescent="0.25">
      <c r="A103" s="75">
        <v>44071</v>
      </c>
      <c r="B103" s="74" t="s">
        <v>453</v>
      </c>
      <c r="C103" s="74"/>
      <c r="D103" s="74" t="s">
        <v>454</v>
      </c>
    </row>
    <row r="104" spans="1:4" ht="105" x14ac:dyDescent="0.25">
      <c r="A104" s="72"/>
      <c r="B104" s="76" t="s">
        <v>456</v>
      </c>
      <c r="C104" s="74"/>
      <c r="D104" s="76" t="s">
        <v>455</v>
      </c>
    </row>
    <row r="105" spans="1:4" x14ac:dyDescent="0.25">
      <c r="A105" s="75">
        <v>44070</v>
      </c>
      <c r="B105" s="74" t="s">
        <v>449</v>
      </c>
      <c r="C105" s="74"/>
      <c r="D105" s="74" t="s">
        <v>450</v>
      </c>
    </row>
    <row r="106" spans="1:4" ht="90" x14ac:dyDescent="0.25">
      <c r="A106" s="72"/>
      <c r="B106" s="76" t="s">
        <v>451</v>
      </c>
      <c r="C106" s="74"/>
      <c r="D106" s="76" t="s">
        <v>452</v>
      </c>
    </row>
    <row r="107" spans="1:4" x14ac:dyDescent="0.25">
      <c r="A107" s="75">
        <v>44068</v>
      </c>
      <c r="B107" s="74" t="s">
        <v>445</v>
      </c>
      <c r="C107" s="74"/>
      <c r="D107" s="74" t="s">
        <v>446</v>
      </c>
    </row>
    <row r="108" spans="1:4" ht="75" x14ac:dyDescent="0.25">
      <c r="A108" s="72"/>
      <c r="B108" s="76" t="s">
        <v>447</v>
      </c>
      <c r="C108" s="74"/>
      <c r="D108" s="76" t="s">
        <v>448</v>
      </c>
    </row>
    <row r="109" spans="1:4" x14ac:dyDescent="0.25">
      <c r="A109" s="72"/>
      <c r="B109" s="73"/>
      <c r="C109" s="74"/>
      <c r="D109" s="73"/>
    </row>
    <row r="110" spans="1:4" x14ac:dyDescent="0.25">
      <c r="A110" s="75">
        <v>44066</v>
      </c>
      <c r="B110" s="74" t="s">
        <v>442</v>
      </c>
      <c r="C110" s="74"/>
      <c r="D110" s="73"/>
    </row>
    <row r="111" spans="1:4" ht="60" x14ac:dyDescent="0.25">
      <c r="A111" s="72"/>
      <c r="B111" s="76" t="s">
        <v>443</v>
      </c>
      <c r="C111" s="74"/>
      <c r="D111" s="73"/>
    </row>
    <row r="112" spans="1:4" x14ac:dyDescent="0.25">
      <c r="A112" s="75">
        <v>44064</v>
      </c>
      <c r="B112" s="74" t="s">
        <v>439</v>
      </c>
      <c r="C112" s="74"/>
      <c r="D112" s="73"/>
    </row>
    <row r="113" spans="1:4" ht="90" x14ac:dyDescent="0.25">
      <c r="A113" s="72"/>
      <c r="B113" s="76" t="s">
        <v>440</v>
      </c>
      <c r="C113" s="74"/>
      <c r="D113" s="73"/>
    </row>
    <row r="114" spans="1:4" x14ac:dyDescent="0.25">
      <c r="A114" s="75">
        <v>44063</v>
      </c>
      <c r="B114" s="74" t="s">
        <v>437</v>
      </c>
      <c r="C114" s="74"/>
      <c r="D114" s="73"/>
    </row>
    <row r="115" spans="1:4" ht="75" x14ac:dyDescent="0.25">
      <c r="A115" s="72"/>
      <c r="B115" s="76" t="s">
        <v>438</v>
      </c>
      <c r="C115" s="74"/>
      <c r="D115" s="73"/>
    </row>
    <row r="116" spans="1:4" x14ac:dyDescent="0.25">
      <c r="A116" s="75">
        <v>44061</v>
      </c>
      <c r="B116" s="74" t="s">
        <v>433</v>
      </c>
      <c r="C116" s="74"/>
      <c r="D116" s="73"/>
    </row>
    <row r="117" spans="1:4" ht="120" x14ac:dyDescent="0.25">
      <c r="A117" s="72"/>
      <c r="B117" s="76" t="s">
        <v>434</v>
      </c>
      <c r="C117" s="74"/>
      <c r="D117" s="73"/>
    </row>
    <row r="118" spans="1:4" x14ac:dyDescent="0.25">
      <c r="A118" s="72"/>
      <c r="B118" s="76"/>
      <c r="C118" s="74"/>
      <c r="D118" s="73"/>
    </row>
    <row r="119" spans="1:4" x14ac:dyDescent="0.25">
      <c r="A119" s="75">
        <v>44059</v>
      </c>
      <c r="B119" s="74" t="s">
        <v>372</v>
      </c>
      <c r="C119" s="74"/>
      <c r="D119" s="73"/>
    </row>
    <row r="120" spans="1:4" ht="45" x14ac:dyDescent="0.25">
      <c r="A120" s="72"/>
      <c r="B120" s="76" t="s">
        <v>420</v>
      </c>
      <c r="C120" s="74"/>
      <c r="D120" s="73"/>
    </row>
    <row r="121" spans="1:4" x14ac:dyDescent="0.25">
      <c r="A121" s="75">
        <v>44057</v>
      </c>
      <c r="B121" s="74" t="s">
        <v>423</v>
      </c>
      <c r="C121" s="74"/>
      <c r="D121" s="73"/>
    </row>
    <row r="122" spans="1:4" ht="60" x14ac:dyDescent="0.25">
      <c r="A122" s="72"/>
      <c r="B122" s="76" t="s">
        <v>418</v>
      </c>
      <c r="C122" s="74"/>
      <c r="D122" s="73"/>
    </row>
    <row r="123" spans="1:4" x14ac:dyDescent="0.25">
      <c r="A123" s="75">
        <v>44056</v>
      </c>
      <c r="B123" s="74" t="s">
        <v>416</v>
      </c>
      <c r="C123" s="74"/>
      <c r="D123" s="73"/>
    </row>
    <row r="124" spans="1:4" x14ac:dyDescent="0.25">
      <c r="A124" s="72"/>
      <c r="B124" s="73" t="s">
        <v>417</v>
      </c>
      <c r="C124" s="74"/>
      <c r="D124" s="73"/>
    </row>
    <row r="125" spans="1:4" x14ac:dyDescent="0.25">
      <c r="A125" s="75">
        <v>44054</v>
      </c>
      <c r="B125" s="74" t="s">
        <v>414</v>
      </c>
      <c r="C125" s="74"/>
      <c r="D125" s="73"/>
    </row>
    <row r="126" spans="1:4" ht="75" x14ac:dyDescent="0.25">
      <c r="A126" s="72"/>
      <c r="B126" s="76" t="s">
        <v>415</v>
      </c>
      <c r="C126" s="74"/>
      <c r="D126" s="73"/>
    </row>
    <row r="127" spans="1:4" x14ac:dyDescent="0.25">
      <c r="A127" s="72"/>
      <c r="B127" s="73"/>
      <c r="C127" s="74"/>
      <c r="D127" s="73"/>
    </row>
    <row r="128" spans="1:4" x14ac:dyDescent="0.25">
      <c r="A128" s="75">
        <v>44052</v>
      </c>
      <c r="B128" s="74" t="s">
        <v>346</v>
      </c>
      <c r="C128" s="74"/>
      <c r="D128" s="73"/>
    </row>
    <row r="129" spans="1:4" ht="90" x14ac:dyDescent="0.25">
      <c r="A129" s="72"/>
      <c r="B129" s="76" t="s">
        <v>409</v>
      </c>
      <c r="C129" s="74"/>
      <c r="D129" s="73"/>
    </row>
    <row r="130" spans="1:4" x14ac:dyDescent="0.25">
      <c r="A130" s="75">
        <v>44050</v>
      </c>
      <c r="B130" s="74" t="s">
        <v>396</v>
      </c>
      <c r="C130" s="74"/>
      <c r="D130" s="73"/>
    </row>
    <row r="131" spans="1:4" ht="90" x14ac:dyDescent="0.25">
      <c r="A131" s="72"/>
      <c r="B131" s="76" t="s">
        <v>399</v>
      </c>
      <c r="C131" s="74"/>
      <c r="D131" s="73"/>
    </row>
    <row r="132" spans="1:4" x14ac:dyDescent="0.25">
      <c r="A132" s="75">
        <v>44049</v>
      </c>
      <c r="B132" s="74" t="s">
        <v>401</v>
      </c>
      <c r="C132" s="74"/>
      <c r="D132" s="73"/>
    </row>
    <row r="133" spans="1:4" ht="75" x14ac:dyDescent="0.25">
      <c r="A133" s="72"/>
      <c r="B133" s="76" t="s">
        <v>400</v>
      </c>
      <c r="C133" s="74"/>
      <c r="D133" s="73"/>
    </row>
    <row r="134" spans="1:4" x14ac:dyDescent="0.25">
      <c r="A134" s="75">
        <v>44047</v>
      </c>
      <c r="B134" s="74" t="s">
        <v>396</v>
      </c>
      <c r="C134" s="74"/>
      <c r="D134" s="73"/>
    </row>
    <row r="135" spans="1:4" ht="90" x14ac:dyDescent="0.25">
      <c r="A135" s="72"/>
      <c r="B135" s="76" t="s">
        <v>397</v>
      </c>
      <c r="C135" s="74"/>
      <c r="D135" s="73"/>
    </row>
    <row r="136" spans="1:4" x14ac:dyDescent="0.25">
      <c r="A136" s="72"/>
      <c r="B136" s="73"/>
      <c r="C136" s="74"/>
      <c r="D136" s="73"/>
    </row>
    <row r="137" spans="1:4" x14ac:dyDescent="0.25">
      <c r="A137" s="75">
        <v>44045</v>
      </c>
      <c r="B137" s="74" t="s">
        <v>394</v>
      </c>
      <c r="C137" s="74"/>
      <c r="D137" s="73"/>
    </row>
    <row r="138" spans="1:4" ht="60" x14ac:dyDescent="0.25">
      <c r="A138" s="72"/>
      <c r="B138" s="76" t="s">
        <v>395</v>
      </c>
      <c r="C138" s="74"/>
      <c r="D138" s="73"/>
    </row>
    <row r="139" spans="1:4" x14ac:dyDescent="0.25">
      <c r="A139" s="75">
        <v>44042</v>
      </c>
      <c r="B139" s="74" t="s">
        <v>390</v>
      </c>
      <c r="C139" s="74"/>
      <c r="D139" s="73"/>
    </row>
    <row r="140" spans="1:4" ht="45" x14ac:dyDescent="0.25">
      <c r="A140" s="72"/>
      <c r="B140" s="76" t="s">
        <v>389</v>
      </c>
      <c r="C140" s="74"/>
      <c r="D140" s="73"/>
    </row>
    <row r="141" spans="1:4" x14ac:dyDescent="0.25">
      <c r="A141" s="72"/>
      <c r="B141" s="73"/>
      <c r="C141" s="74"/>
      <c r="D141" s="73"/>
    </row>
    <row r="142" spans="1:4" x14ac:dyDescent="0.25">
      <c r="A142" s="75">
        <v>44038</v>
      </c>
      <c r="B142" s="74" t="s">
        <v>385</v>
      </c>
      <c r="C142" s="74"/>
      <c r="D142" s="73"/>
    </row>
    <row r="143" spans="1:4" ht="60" x14ac:dyDescent="0.25">
      <c r="A143" s="72"/>
      <c r="B143" s="76" t="s">
        <v>386</v>
      </c>
      <c r="C143" s="74"/>
      <c r="D143" s="73"/>
    </row>
    <row r="144" spans="1:4" x14ac:dyDescent="0.25">
      <c r="A144" s="75">
        <v>44035</v>
      </c>
      <c r="B144" s="74" t="s">
        <v>374</v>
      </c>
      <c r="C144" s="74"/>
      <c r="D144" s="73"/>
    </row>
    <row r="145" spans="1:4" ht="45" x14ac:dyDescent="0.25">
      <c r="A145" s="72"/>
      <c r="B145" s="76" t="s">
        <v>373</v>
      </c>
      <c r="C145" s="74"/>
      <c r="D145" s="73"/>
    </row>
    <row r="146" spans="1:4" x14ac:dyDescent="0.25">
      <c r="A146" s="72"/>
      <c r="B146" s="73"/>
      <c r="C146" s="74"/>
      <c r="D146" s="73"/>
    </row>
    <row r="147" spans="1:4" x14ac:dyDescent="0.25">
      <c r="A147" s="75">
        <v>44031</v>
      </c>
      <c r="B147" s="74" t="s">
        <v>370</v>
      </c>
      <c r="C147" s="74"/>
      <c r="D147" s="74" t="s">
        <v>372</v>
      </c>
    </row>
    <row r="148" spans="1:4" ht="30" x14ac:dyDescent="0.25">
      <c r="A148" s="72"/>
      <c r="B148" s="76" t="s">
        <v>371</v>
      </c>
      <c r="C148" s="74"/>
      <c r="D148" s="73" t="s">
        <v>347</v>
      </c>
    </row>
    <row r="149" spans="1:4" x14ac:dyDescent="0.25">
      <c r="A149" s="75">
        <v>44028</v>
      </c>
      <c r="B149" s="74" t="s">
        <v>352</v>
      </c>
      <c r="C149" s="74"/>
      <c r="D149" s="73"/>
    </row>
    <row r="150" spans="1:4" x14ac:dyDescent="0.25">
      <c r="A150" s="72"/>
      <c r="B150" s="73" t="s">
        <v>353</v>
      </c>
      <c r="C150" s="74"/>
      <c r="D150" s="73"/>
    </row>
    <row r="151" spans="1:4" x14ac:dyDescent="0.25">
      <c r="A151" s="75">
        <v>44026</v>
      </c>
      <c r="B151" s="74" t="s">
        <v>350</v>
      </c>
      <c r="C151" s="74"/>
      <c r="D151" s="73"/>
    </row>
    <row r="152" spans="1:4" x14ac:dyDescent="0.25">
      <c r="A152" s="72"/>
      <c r="B152" s="73" t="s">
        <v>7</v>
      </c>
      <c r="C152" s="74"/>
      <c r="D152" s="73"/>
    </row>
    <row r="153" spans="1:4" x14ac:dyDescent="0.25">
      <c r="A153" s="72"/>
      <c r="B153" s="73"/>
      <c r="C153" s="74"/>
      <c r="D153" s="73"/>
    </row>
    <row r="154" spans="1:4" x14ac:dyDescent="0.25">
      <c r="A154" s="75">
        <v>44024</v>
      </c>
      <c r="B154" s="74" t="s">
        <v>346</v>
      </c>
      <c r="C154" s="74"/>
      <c r="D154" s="74" t="s">
        <v>349</v>
      </c>
    </row>
    <row r="155" spans="1:4" ht="30" x14ac:dyDescent="0.25">
      <c r="A155" s="72"/>
      <c r="B155" s="76" t="s">
        <v>354</v>
      </c>
      <c r="C155" s="74"/>
      <c r="D155" s="73" t="s">
        <v>347</v>
      </c>
    </row>
    <row r="156" spans="1:4" x14ac:dyDescent="0.25">
      <c r="A156" s="75">
        <v>44022</v>
      </c>
      <c r="B156" s="76"/>
      <c r="C156" s="74"/>
      <c r="D156" s="74" t="s">
        <v>350</v>
      </c>
    </row>
    <row r="157" spans="1:4" x14ac:dyDescent="0.25">
      <c r="A157" s="72"/>
      <c r="B157" s="76"/>
      <c r="C157" s="74"/>
      <c r="D157" s="73" t="s">
        <v>351</v>
      </c>
    </row>
    <row r="158" spans="1:4" x14ac:dyDescent="0.25">
      <c r="A158" s="75">
        <v>44021</v>
      </c>
      <c r="B158" s="74" t="s">
        <v>241</v>
      </c>
      <c r="C158" s="74"/>
      <c r="D158" s="74" t="s">
        <v>295</v>
      </c>
    </row>
    <row r="159" spans="1:4" x14ac:dyDescent="0.25">
      <c r="A159" s="72"/>
      <c r="B159" s="73" t="s">
        <v>345</v>
      </c>
      <c r="C159" s="74"/>
      <c r="D159" s="73" t="s">
        <v>344</v>
      </c>
    </row>
    <row r="160" spans="1:4" x14ac:dyDescent="0.25">
      <c r="A160" s="75">
        <v>44019</v>
      </c>
      <c r="B160" s="74" t="s">
        <v>241</v>
      </c>
      <c r="C160" s="74"/>
      <c r="D160" s="74" t="s">
        <v>295</v>
      </c>
    </row>
    <row r="161" spans="1:4" x14ac:dyDescent="0.25">
      <c r="A161" s="72"/>
      <c r="B161" s="73" t="s">
        <v>299</v>
      </c>
      <c r="C161" s="74"/>
      <c r="D161" s="73" t="s">
        <v>314</v>
      </c>
    </row>
    <row r="162" spans="1:4" x14ac:dyDescent="0.25">
      <c r="A162" s="72"/>
      <c r="B162" s="73"/>
      <c r="C162" s="74"/>
      <c r="D162" s="73"/>
    </row>
    <row r="163" spans="1:4" x14ac:dyDescent="0.25">
      <c r="A163" s="75">
        <v>44015</v>
      </c>
      <c r="B163" s="74" t="s">
        <v>245</v>
      </c>
      <c r="C163" s="74"/>
      <c r="D163" s="73"/>
    </row>
    <row r="164" spans="1:4" ht="75.75" customHeight="1" x14ac:dyDescent="0.25">
      <c r="A164" s="72"/>
      <c r="B164" s="76" t="s">
        <v>313</v>
      </c>
      <c r="C164" s="74"/>
      <c r="D164" s="73"/>
    </row>
    <row r="165" spans="1:4" x14ac:dyDescent="0.25">
      <c r="A165" s="75">
        <v>44014</v>
      </c>
      <c r="B165" s="74" t="s">
        <v>263</v>
      </c>
      <c r="C165" s="74"/>
      <c r="D165" s="74" t="s">
        <v>306</v>
      </c>
    </row>
    <row r="166" spans="1:4" ht="75" x14ac:dyDescent="0.25">
      <c r="A166" s="72"/>
      <c r="B166" s="76" t="s">
        <v>308</v>
      </c>
      <c r="C166" s="74"/>
      <c r="D166" s="76" t="s">
        <v>307</v>
      </c>
    </row>
    <row r="167" spans="1:4" x14ac:dyDescent="0.25">
      <c r="A167" s="75">
        <v>44012</v>
      </c>
      <c r="B167" s="74" t="s">
        <v>263</v>
      </c>
      <c r="C167" s="74"/>
      <c r="D167" s="74" t="s">
        <v>245</v>
      </c>
    </row>
    <row r="168" spans="1:4" ht="45" x14ac:dyDescent="0.25">
      <c r="A168" s="72"/>
      <c r="B168" s="76" t="s">
        <v>300</v>
      </c>
      <c r="C168" s="74"/>
      <c r="D168" s="73" t="s">
        <v>299</v>
      </c>
    </row>
    <row r="169" spans="1:4" x14ac:dyDescent="0.25">
      <c r="A169" s="72"/>
      <c r="B169" s="73"/>
      <c r="C169" s="74"/>
      <c r="D169" s="73"/>
    </row>
    <row r="170" spans="1:4" x14ac:dyDescent="0.25">
      <c r="A170" s="75">
        <v>44008</v>
      </c>
      <c r="B170" s="74" t="s">
        <v>215</v>
      </c>
      <c r="C170" s="74"/>
      <c r="D170" s="73"/>
    </row>
    <row r="171" spans="1:4" ht="105" x14ac:dyDescent="0.25">
      <c r="A171" s="72"/>
      <c r="B171" s="76" t="s">
        <v>296</v>
      </c>
      <c r="C171" s="74"/>
      <c r="D171" s="73"/>
    </row>
    <row r="172" spans="1:4" x14ac:dyDescent="0.25">
      <c r="A172" s="75">
        <v>44007</v>
      </c>
      <c r="B172" s="74" t="s">
        <v>294</v>
      </c>
      <c r="C172" s="74"/>
      <c r="D172" s="74" t="s">
        <v>295</v>
      </c>
    </row>
    <row r="173" spans="1:4" ht="60" x14ac:dyDescent="0.25">
      <c r="A173" s="72"/>
      <c r="B173" s="76" t="s">
        <v>291</v>
      </c>
      <c r="C173" s="74"/>
      <c r="D173" s="76" t="s">
        <v>265</v>
      </c>
    </row>
    <row r="174" spans="1:4" x14ac:dyDescent="0.25">
      <c r="A174" s="75">
        <v>44006</v>
      </c>
      <c r="B174" s="74" t="s">
        <v>289</v>
      </c>
      <c r="C174" s="74"/>
      <c r="D174" s="74" t="s">
        <v>290</v>
      </c>
    </row>
    <row r="175" spans="1:4" x14ac:dyDescent="0.25">
      <c r="A175" s="72"/>
      <c r="B175" s="73" t="s">
        <v>288</v>
      </c>
      <c r="C175" s="74"/>
      <c r="D175" s="73" t="s">
        <v>288</v>
      </c>
    </row>
    <row r="176" spans="1:4" x14ac:dyDescent="0.25">
      <c r="A176" s="75">
        <v>44005</v>
      </c>
      <c r="B176" s="74" t="s">
        <v>263</v>
      </c>
      <c r="C176" s="74"/>
      <c r="D176" s="74" t="s">
        <v>245</v>
      </c>
    </row>
    <row r="177" spans="1:4" ht="45" x14ac:dyDescent="0.25">
      <c r="A177" s="72"/>
      <c r="B177" s="73" t="s">
        <v>264</v>
      </c>
      <c r="C177" s="74"/>
      <c r="D177" s="76" t="s">
        <v>265</v>
      </c>
    </row>
    <row r="178" spans="1:4" x14ac:dyDescent="0.25">
      <c r="A178" s="72"/>
      <c r="B178" s="73"/>
      <c r="C178" s="74"/>
      <c r="D178" s="73"/>
    </row>
    <row r="179" spans="1:4" x14ac:dyDescent="0.25">
      <c r="A179" s="75">
        <v>44001</v>
      </c>
      <c r="B179" s="74" t="s">
        <v>245</v>
      </c>
      <c r="C179" s="74"/>
      <c r="D179" s="73"/>
    </row>
    <row r="180" spans="1:4" ht="135" x14ac:dyDescent="0.25">
      <c r="A180" s="72"/>
      <c r="B180" s="76" t="s">
        <v>261</v>
      </c>
      <c r="C180" s="74"/>
      <c r="D180" s="73"/>
    </row>
    <row r="181" spans="1:4" x14ac:dyDescent="0.25">
      <c r="A181" s="75">
        <v>44000</v>
      </c>
      <c r="B181" s="74" t="s">
        <v>241</v>
      </c>
      <c r="C181" s="74"/>
      <c r="D181" s="74" t="s">
        <v>258</v>
      </c>
    </row>
    <row r="182" spans="1:4" ht="105" x14ac:dyDescent="0.25">
      <c r="A182" s="72"/>
      <c r="B182" s="76" t="s">
        <v>260</v>
      </c>
      <c r="C182" s="74"/>
      <c r="D182" s="76" t="s">
        <v>259</v>
      </c>
    </row>
    <row r="183" spans="1:4" x14ac:dyDescent="0.25">
      <c r="A183" s="75">
        <v>43998</v>
      </c>
      <c r="B183" s="74" t="s">
        <v>212</v>
      </c>
      <c r="C183" s="74"/>
      <c r="D183" s="74" t="s">
        <v>255</v>
      </c>
    </row>
    <row r="184" spans="1:4" ht="120" x14ac:dyDescent="0.25">
      <c r="A184" s="72"/>
      <c r="B184" s="76" t="s">
        <v>256</v>
      </c>
      <c r="C184" s="74"/>
      <c r="D184" s="1" t="s">
        <v>257</v>
      </c>
    </row>
    <row r="185" spans="1:4" x14ac:dyDescent="0.25">
      <c r="A185" s="72"/>
      <c r="B185" s="73"/>
      <c r="C185" s="74"/>
      <c r="D185" s="73"/>
    </row>
    <row r="186" spans="1:4" x14ac:dyDescent="0.25">
      <c r="A186" s="75">
        <v>43994</v>
      </c>
      <c r="B186" s="74" t="s">
        <v>253</v>
      </c>
      <c r="C186" s="74"/>
      <c r="D186" s="73"/>
    </row>
    <row r="187" spans="1:4" ht="75" x14ac:dyDescent="0.25">
      <c r="A187" s="72"/>
      <c r="B187" s="76" t="s">
        <v>254</v>
      </c>
      <c r="C187" s="74"/>
      <c r="D187" s="73"/>
    </row>
    <row r="188" spans="1:4" x14ac:dyDescent="0.25">
      <c r="A188" s="75">
        <v>43993</v>
      </c>
      <c r="B188" s="74" t="s">
        <v>212</v>
      </c>
      <c r="C188" s="74"/>
      <c r="D188" s="74" t="s">
        <v>250</v>
      </c>
    </row>
    <row r="189" spans="1:4" ht="120" x14ac:dyDescent="0.25">
      <c r="A189" s="72"/>
      <c r="B189" s="69" t="s">
        <v>251</v>
      </c>
      <c r="C189" s="74"/>
      <c r="D189" s="76" t="s">
        <v>252</v>
      </c>
    </row>
    <row r="190" spans="1:4" x14ac:dyDescent="0.25">
      <c r="A190" s="75">
        <v>43991</v>
      </c>
      <c r="B190" s="74" t="s">
        <v>241</v>
      </c>
      <c r="C190" s="74"/>
      <c r="D190" s="74" t="s">
        <v>245</v>
      </c>
    </row>
    <row r="191" spans="1:4" ht="105" x14ac:dyDescent="0.25">
      <c r="A191" s="66"/>
      <c r="B191" s="67" t="s">
        <v>242</v>
      </c>
      <c r="C191" s="68"/>
      <c r="D191" s="69" t="s">
        <v>246</v>
      </c>
    </row>
    <row r="192" spans="1:4" x14ac:dyDescent="0.25">
      <c r="A192" s="66"/>
      <c r="B192" s="67"/>
      <c r="C192" s="68"/>
      <c r="D192" s="69"/>
    </row>
    <row r="193" spans="1:2" x14ac:dyDescent="0.25">
      <c r="A193" s="46">
        <v>43987</v>
      </c>
      <c r="B193" s="41" t="s">
        <v>212</v>
      </c>
    </row>
    <row r="194" spans="1:2" ht="195.75" customHeight="1" x14ac:dyDescent="0.25">
      <c r="B194" s="1" t="s">
        <v>214</v>
      </c>
    </row>
    <row r="195" spans="1:2" x14ac:dyDescent="0.25">
      <c r="A195" s="46">
        <v>43986</v>
      </c>
      <c r="B195" s="41" t="s">
        <v>215</v>
      </c>
    </row>
    <row r="196" spans="1:2" ht="165" customHeight="1" x14ac:dyDescent="0.25">
      <c r="B196" s="1" t="s">
        <v>213</v>
      </c>
    </row>
    <row r="197" spans="1:2" x14ac:dyDescent="0.25">
      <c r="A197" s="46">
        <v>43984</v>
      </c>
      <c r="B197" s="41" t="s">
        <v>222</v>
      </c>
    </row>
    <row r="198" spans="1:2" ht="120" x14ac:dyDescent="0.25">
      <c r="B198" s="1" t="s">
        <v>221</v>
      </c>
    </row>
    <row r="200" spans="1:2" x14ac:dyDescent="0.25">
      <c r="A200" s="46">
        <v>43980</v>
      </c>
      <c r="B200" s="41" t="s">
        <v>216</v>
      </c>
    </row>
    <row r="201" spans="1:2" ht="165" x14ac:dyDescent="0.25">
      <c r="B201" s="1" t="s">
        <v>220</v>
      </c>
    </row>
    <row r="202" spans="1:2" x14ac:dyDescent="0.25">
      <c r="A202" s="46">
        <v>43978</v>
      </c>
      <c r="B202" s="41" t="s">
        <v>219</v>
      </c>
    </row>
    <row r="203" spans="1:2" ht="120" x14ac:dyDescent="0.25">
      <c r="B203" s="1" t="s">
        <v>218</v>
      </c>
    </row>
    <row r="204" spans="1:2" x14ac:dyDescent="0.25">
      <c r="A204" s="46">
        <v>43977</v>
      </c>
      <c r="B204" s="41" t="s">
        <v>216</v>
      </c>
    </row>
    <row r="205" spans="1:2" ht="90" x14ac:dyDescent="0.25">
      <c r="B205" s="1" t="s">
        <v>217</v>
      </c>
    </row>
    <row r="207" spans="1:2" x14ac:dyDescent="0.25">
      <c r="A207" s="46">
        <v>43975</v>
      </c>
      <c r="B207" s="41" t="s">
        <v>197</v>
      </c>
    </row>
    <row r="208" spans="1:2" ht="60" x14ac:dyDescent="0.25">
      <c r="B208"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39" t="s">
        <v>494</v>
      </c>
      <c r="B1" s="139" t="s">
        <v>495</v>
      </c>
      <c r="C1" s="139" t="s">
        <v>496</v>
      </c>
    </row>
    <row r="2" spans="1:3" hidden="1" x14ac:dyDescent="0.25">
      <c r="A2" t="s">
        <v>497</v>
      </c>
      <c r="B2" t="s">
        <v>498</v>
      </c>
      <c r="C2" t="s">
        <v>501</v>
      </c>
    </row>
    <row r="3" spans="1:3" ht="285" x14ac:dyDescent="0.25">
      <c r="A3" s="76" t="s">
        <v>507</v>
      </c>
      <c r="B3" s="76" t="s">
        <v>499</v>
      </c>
      <c r="C3" s="76" t="s">
        <v>500</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502</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485</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504</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503</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6" t="s">
        <v>340</v>
      </c>
      <c r="B1" s="166"/>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66" t="s">
        <v>341</v>
      </c>
      <c r="B7" s="166"/>
    </row>
    <row r="8" spans="1:2" ht="15.75" x14ac:dyDescent="0.25">
      <c r="A8" s="164" t="s">
        <v>332</v>
      </c>
      <c r="B8" s="164"/>
    </row>
    <row r="9" spans="1:2" x14ac:dyDescent="0.25">
      <c r="A9" t="s">
        <v>333</v>
      </c>
    </row>
    <row r="11" spans="1:2" ht="15.75" x14ac:dyDescent="0.25">
      <c r="A11" s="165" t="s">
        <v>329</v>
      </c>
      <c r="B11" s="165"/>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63" t="s">
        <v>342</v>
      </c>
      <c r="B23" s="163"/>
    </row>
    <row r="25" spans="1:2" ht="15.75" x14ac:dyDescent="0.25">
      <c r="A25" s="164" t="s">
        <v>334</v>
      </c>
      <c r="B25" s="164"/>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7" t="s">
        <v>297</v>
      </c>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c r="AF5" s="168"/>
      <c r="AG5" s="168"/>
      <c r="AH5" s="168"/>
      <c r="AI5" s="168"/>
      <c r="AJ5" s="168"/>
      <c r="AK5" s="168"/>
      <c r="AL5" s="168"/>
      <c r="AM5" s="168"/>
      <c r="AN5" s="168"/>
      <c r="AO5" s="168"/>
      <c r="AP5" s="168"/>
      <c r="AQ5" s="168"/>
      <c r="AR5" s="168"/>
      <c r="AS5" s="168"/>
      <c r="AT5" s="168"/>
      <c r="AU5" s="168"/>
      <c r="AV5" s="168"/>
      <c r="AW5" s="168"/>
      <c r="AX5" s="168"/>
      <c r="AY5" s="168"/>
      <c r="AZ5" s="168"/>
      <c r="BA5" s="168"/>
      <c r="BB5" s="168"/>
      <c r="BC5" s="168"/>
      <c r="BD5" s="168"/>
      <c r="BE5" s="168"/>
      <c r="BF5" s="168"/>
      <c r="BG5" s="168"/>
      <c r="BH5" s="168"/>
      <c r="BI5" s="168"/>
      <c r="BJ5" s="168"/>
      <c r="BK5" s="168"/>
      <c r="BL5" s="168"/>
      <c r="BM5" s="168"/>
      <c r="BN5" s="168"/>
      <c r="BO5" s="168"/>
      <c r="BP5" s="168"/>
      <c r="BQ5" s="168"/>
      <c r="BR5" s="168"/>
    </row>
    <row r="6" spans="1:70" x14ac:dyDescent="0.25">
      <c r="C6" s="2" t="s">
        <v>3</v>
      </c>
    </row>
    <row r="7" spans="1:70" ht="45" customHeight="1" x14ac:dyDescent="0.25">
      <c r="C7" s="167" t="s">
        <v>281</v>
      </c>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c r="AF7" s="168"/>
      <c r="AG7" s="168"/>
      <c r="AH7" s="168"/>
      <c r="AI7" s="168"/>
      <c r="AJ7" s="168"/>
      <c r="AK7" s="168"/>
      <c r="AL7" s="168"/>
      <c r="AM7" s="168"/>
      <c r="AN7" s="168"/>
      <c r="AO7" s="168"/>
      <c r="AP7" s="168"/>
      <c r="AQ7" s="168"/>
      <c r="AR7" s="168"/>
      <c r="AS7" s="168"/>
      <c r="AT7" s="168"/>
      <c r="AU7" s="168"/>
      <c r="AV7" s="168"/>
      <c r="AW7" s="168"/>
      <c r="AX7" s="168"/>
      <c r="AY7" s="168"/>
      <c r="AZ7" s="168"/>
      <c r="BA7" s="168"/>
      <c r="BB7" s="168"/>
      <c r="BC7" s="168"/>
      <c r="BD7" s="168"/>
      <c r="BE7" s="168"/>
      <c r="BF7" s="168"/>
      <c r="BG7" s="168"/>
      <c r="BH7" s="168"/>
      <c r="BI7" s="168"/>
      <c r="BJ7" s="168"/>
      <c r="BK7" s="168"/>
      <c r="BL7" s="168"/>
      <c r="BM7" s="168"/>
      <c r="BN7" s="168"/>
      <c r="BO7" s="168"/>
      <c r="BP7" s="168"/>
      <c r="BQ7" s="168"/>
      <c r="BR7" s="168"/>
    </row>
    <row r="8" spans="1:70" x14ac:dyDescent="0.25">
      <c r="C8" s="2" t="s">
        <v>4</v>
      </c>
    </row>
    <row r="9" spans="1:70" ht="75" customHeight="1" x14ac:dyDescent="0.25">
      <c r="C9" s="167" t="s">
        <v>274</v>
      </c>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c r="AF9" s="168"/>
      <c r="AG9" s="168"/>
      <c r="AH9" s="168"/>
      <c r="AI9" s="168"/>
      <c r="AJ9" s="168"/>
      <c r="AK9" s="168"/>
      <c r="AL9" s="168"/>
      <c r="AM9" s="168"/>
      <c r="AN9" s="168"/>
      <c r="AO9" s="168"/>
      <c r="AP9" s="168"/>
      <c r="AQ9" s="168"/>
      <c r="AR9" s="168"/>
      <c r="AS9" s="168"/>
      <c r="AT9" s="168"/>
      <c r="AU9" s="168"/>
      <c r="AV9" s="168"/>
      <c r="AW9" s="168"/>
      <c r="AX9" s="168"/>
      <c r="AY9" s="168"/>
      <c r="AZ9" s="168"/>
      <c r="BA9" s="168"/>
      <c r="BB9" s="168"/>
      <c r="BC9" s="168"/>
      <c r="BD9" s="168"/>
      <c r="BE9" s="168"/>
      <c r="BF9" s="168"/>
      <c r="BG9" s="168"/>
      <c r="BH9" s="168"/>
      <c r="BI9" s="168"/>
      <c r="BJ9" s="168"/>
      <c r="BK9" s="168"/>
      <c r="BL9" s="168"/>
      <c r="BM9" s="168"/>
      <c r="BN9" s="168"/>
      <c r="BO9" s="168"/>
      <c r="BP9" s="168"/>
      <c r="BQ9" s="168"/>
      <c r="BR9" s="168"/>
    </row>
    <row r="10" spans="1:70" x14ac:dyDescent="0.25">
      <c r="C10" s="2" t="s">
        <v>5</v>
      </c>
    </row>
    <row r="11" spans="1:70" ht="75" customHeight="1" x14ac:dyDescent="0.25">
      <c r="C11" s="167" t="s">
        <v>298</v>
      </c>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168"/>
      <c r="BJ11" s="168"/>
      <c r="BK11" s="168"/>
      <c r="BL11" s="168"/>
      <c r="BM11" s="168"/>
      <c r="BN11" s="168"/>
      <c r="BO11" s="168"/>
      <c r="BP11" s="168"/>
      <c r="BQ11" s="168"/>
      <c r="BR11" s="168"/>
    </row>
    <row r="12" spans="1:70" x14ac:dyDescent="0.25">
      <c r="C12" s="2" t="s">
        <v>6</v>
      </c>
    </row>
    <row r="13" spans="1:70" ht="90.75" customHeight="1" x14ac:dyDescent="0.25">
      <c r="C13" s="167" t="s">
        <v>285</v>
      </c>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AZ13" s="168"/>
      <c r="BA13" s="168"/>
      <c r="BB13" s="168"/>
      <c r="BC13" s="168"/>
      <c r="BD13" s="168"/>
      <c r="BE13" s="168"/>
      <c r="BF13" s="168"/>
      <c r="BG13" s="168"/>
      <c r="BH13" s="168"/>
      <c r="BI13" s="168"/>
      <c r="BJ13" s="168"/>
      <c r="BK13" s="168"/>
      <c r="BL13" s="168"/>
      <c r="BM13" s="168"/>
      <c r="BN13" s="168"/>
      <c r="BO13" s="168"/>
      <c r="BP13" s="168"/>
      <c r="BQ13" s="168"/>
      <c r="BR13" s="168"/>
    </row>
    <row r="14" spans="1:70" x14ac:dyDescent="0.25">
      <c r="D14" s="2" t="s">
        <v>284</v>
      </c>
    </row>
    <row r="15" spans="1:70" ht="62.25" customHeight="1" x14ac:dyDescent="0.25">
      <c r="D15" s="167" t="s">
        <v>287</v>
      </c>
      <c r="E15" s="167"/>
      <c r="F15" s="167"/>
      <c r="G15" s="167"/>
      <c r="H15" s="167"/>
      <c r="I15" s="167"/>
      <c r="J15" s="167"/>
      <c r="K15" s="167"/>
      <c r="L15" s="167"/>
      <c r="M15" s="167"/>
      <c r="N15" s="167"/>
      <c r="O15" s="167"/>
      <c r="P15" s="167"/>
      <c r="Q15" s="167"/>
      <c r="R15" s="167"/>
      <c r="S15" s="167"/>
      <c r="T15" s="167"/>
      <c r="U15" s="167"/>
      <c r="V15" s="167"/>
      <c r="W15" s="167"/>
      <c r="X15" s="167"/>
      <c r="Y15" s="167"/>
      <c r="Z15" s="167"/>
      <c r="AA15" s="167"/>
      <c r="AB15" s="167"/>
      <c r="AC15" s="167"/>
      <c r="AD15" s="167"/>
      <c r="AE15" s="167"/>
      <c r="AF15" s="167"/>
      <c r="AG15" s="167"/>
      <c r="AH15" s="167"/>
      <c r="AI15" s="167"/>
      <c r="AJ15" s="167"/>
      <c r="AK15" s="167"/>
      <c r="AL15" s="167"/>
      <c r="AM15" s="167"/>
      <c r="AN15" s="167"/>
      <c r="AO15" s="167"/>
      <c r="AP15" s="167"/>
      <c r="AQ15" s="167"/>
      <c r="AR15" s="167"/>
      <c r="AS15" s="167"/>
      <c r="AT15" s="167"/>
      <c r="AU15" s="167"/>
      <c r="AV15" s="167"/>
      <c r="AW15" s="167"/>
      <c r="AX15" s="167"/>
      <c r="AY15" s="167"/>
      <c r="AZ15" s="167"/>
      <c r="BA15" s="167"/>
      <c r="BB15" s="167"/>
      <c r="BC15" s="167"/>
      <c r="BD15" s="167"/>
      <c r="BE15" s="167"/>
      <c r="BF15" s="167"/>
      <c r="BG15" s="167"/>
      <c r="BH15" s="167"/>
      <c r="BI15" s="167"/>
      <c r="BJ15" s="167"/>
      <c r="BK15" s="167"/>
      <c r="BL15" s="167"/>
      <c r="BM15" s="167"/>
      <c r="BN15" s="167"/>
      <c r="BO15" s="167"/>
      <c r="BP15" s="167"/>
      <c r="BQ15" s="167"/>
      <c r="BR15" s="167"/>
    </row>
    <row r="16" spans="1:70" x14ac:dyDescent="0.25">
      <c r="D16" s="2" t="s">
        <v>195</v>
      </c>
    </row>
    <row r="17" spans="1:70" ht="47.25" customHeight="1" x14ac:dyDescent="0.25">
      <c r="D17" s="167" t="s">
        <v>267</v>
      </c>
      <c r="E17" s="167"/>
      <c r="F17" s="167"/>
      <c r="G17" s="167"/>
      <c r="H17" s="167"/>
      <c r="I17" s="167"/>
      <c r="J17" s="167"/>
      <c r="K17" s="167"/>
      <c r="L17" s="167"/>
      <c r="M17" s="167"/>
      <c r="N17" s="167"/>
      <c r="O17" s="167"/>
      <c r="P17" s="167"/>
      <c r="Q17" s="167"/>
      <c r="R17" s="167"/>
      <c r="S17" s="167"/>
      <c r="T17" s="167"/>
      <c r="U17" s="167"/>
      <c r="V17" s="167"/>
      <c r="W17" s="167"/>
      <c r="X17" s="167"/>
      <c r="Y17" s="167"/>
      <c r="Z17" s="167"/>
      <c r="AA17" s="167"/>
      <c r="AB17" s="167"/>
      <c r="AC17" s="167"/>
      <c r="AD17" s="167"/>
      <c r="AE17" s="167"/>
      <c r="AF17" s="167"/>
      <c r="AG17" s="167"/>
      <c r="AH17" s="167"/>
      <c r="AI17" s="167"/>
      <c r="AJ17" s="167"/>
      <c r="AK17" s="167"/>
      <c r="AL17" s="167"/>
      <c r="AM17" s="167"/>
      <c r="AN17" s="167"/>
      <c r="AO17" s="167"/>
      <c r="AP17" s="167"/>
      <c r="AQ17" s="167"/>
      <c r="AR17" s="167"/>
      <c r="AS17" s="167"/>
      <c r="AT17" s="167"/>
      <c r="AU17" s="167"/>
      <c r="AV17" s="167"/>
      <c r="AW17" s="167"/>
      <c r="AX17" s="167"/>
      <c r="AY17" s="167"/>
      <c r="AZ17" s="167"/>
      <c r="BA17" s="167"/>
      <c r="BB17" s="167"/>
      <c r="BC17" s="167"/>
      <c r="BD17" s="167"/>
      <c r="BE17" s="167"/>
      <c r="BF17" s="167"/>
      <c r="BG17" s="167"/>
      <c r="BH17" s="167"/>
      <c r="BI17" s="167"/>
      <c r="BJ17" s="167"/>
      <c r="BK17" s="167"/>
      <c r="BL17" s="167"/>
      <c r="BM17" s="167"/>
      <c r="BN17" s="167"/>
      <c r="BO17" s="167"/>
      <c r="BP17" s="167"/>
      <c r="BQ17" s="167"/>
      <c r="BR17" s="167"/>
    </row>
    <row r="18" spans="1:70" ht="15.75" customHeight="1" x14ac:dyDescent="0.25">
      <c r="D18" s="169" t="s">
        <v>266</v>
      </c>
      <c r="E18" s="169"/>
      <c r="F18" s="169"/>
      <c r="G18" s="169"/>
      <c r="H18" s="169"/>
      <c r="I18" s="169"/>
      <c r="J18" s="169"/>
      <c r="K18" s="169"/>
      <c r="L18" s="169"/>
      <c r="M18" s="169"/>
      <c r="N18" s="169"/>
      <c r="O18" s="169"/>
      <c r="P18" s="169"/>
      <c r="Q18" s="169"/>
      <c r="R18" s="169"/>
      <c r="S18" s="169"/>
      <c r="T18" s="169"/>
      <c r="U18" s="169"/>
      <c r="V18" s="169"/>
      <c r="W18" s="169"/>
      <c r="X18" s="169"/>
      <c r="Y18" s="169"/>
      <c r="Z18" s="169"/>
      <c r="AA18" s="169"/>
      <c r="AB18" s="169"/>
      <c r="AC18" s="169"/>
      <c r="AD18" s="169"/>
      <c r="AE18" s="169"/>
      <c r="AF18" s="169"/>
      <c r="AG18" s="169"/>
      <c r="AH18" s="169"/>
      <c r="AI18" s="169"/>
      <c r="AJ18" s="169"/>
      <c r="AK18" s="169"/>
      <c r="AL18" s="169"/>
      <c r="AM18" s="169"/>
      <c r="AN18" s="169"/>
      <c r="AO18" s="169"/>
      <c r="AP18" s="169"/>
      <c r="AQ18" s="169"/>
      <c r="AR18" s="169"/>
      <c r="AS18" s="169"/>
      <c r="AT18" s="169"/>
      <c r="AU18" s="169"/>
      <c r="AV18" s="169"/>
      <c r="AW18" s="169"/>
      <c r="AX18" s="169"/>
      <c r="AY18" s="169"/>
      <c r="AZ18" s="169"/>
      <c r="BA18" s="169"/>
      <c r="BB18" s="169"/>
      <c r="BC18" s="169"/>
      <c r="BD18" s="169"/>
      <c r="BE18" s="169"/>
      <c r="BF18" s="169"/>
      <c r="BG18" s="169"/>
      <c r="BH18" s="169"/>
      <c r="BI18" s="169"/>
      <c r="BJ18" s="169"/>
      <c r="BK18" s="169"/>
      <c r="BL18" s="169"/>
      <c r="BM18" s="169"/>
      <c r="BN18" s="169"/>
      <c r="BO18" s="169"/>
      <c r="BP18" s="169"/>
      <c r="BQ18" s="169"/>
      <c r="BR18" s="169"/>
    </row>
    <row r="19" spans="1:70" ht="45.75" customHeight="1" x14ac:dyDescent="0.25">
      <c r="D19" s="167" t="s">
        <v>275</v>
      </c>
      <c r="E19" s="167"/>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7"/>
      <c r="AD19" s="167"/>
      <c r="AE19" s="167"/>
      <c r="AF19" s="167"/>
      <c r="AG19" s="167"/>
      <c r="AH19" s="167"/>
      <c r="AI19" s="167"/>
      <c r="AJ19" s="167"/>
      <c r="AK19" s="167"/>
      <c r="AL19" s="167"/>
      <c r="AM19" s="167"/>
      <c r="AN19" s="167"/>
      <c r="AO19" s="167"/>
      <c r="AP19" s="167"/>
      <c r="AQ19" s="167"/>
      <c r="AR19" s="167"/>
      <c r="AS19" s="167"/>
      <c r="AT19" s="167"/>
      <c r="AU19" s="167"/>
      <c r="AV19" s="167"/>
      <c r="AW19" s="167"/>
      <c r="AX19" s="167"/>
      <c r="AY19" s="167"/>
      <c r="AZ19" s="167"/>
      <c r="BA19" s="167"/>
      <c r="BB19" s="167"/>
      <c r="BC19" s="167"/>
      <c r="BD19" s="167"/>
      <c r="BE19" s="167"/>
      <c r="BF19" s="167"/>
      <c r="BG19" s="167"/>
      <c r="BH19" s="167"/>
      <c r="BI19" s="167"/>
      <c r="BJ19" s="167"/>
      <c r="BK19" s="167"/>
      <c r="BL19" s="167"/>
      <c r="BM19" s="167"/>
      <c r="BN19" s="167"/>
      <c r="BO19" s="167"/>
      <c r="BP19" s="167"/>
      <c r="BQ19" s="167"/>
      <c r="BR19" s="167"/>
    </row>
    <row r="20" spans="1:70" ht="15.75" customHeight="1" x14ac:dyDescent="0.25">
      <c r="D20" s="169" t="s">
        <v>283</v>
      </c>
      <c r="E20" s="169"/>
      <c r="F20" s="169"/>
      <c r="G20" s="169"/>
      <c r="H20" s="169"/>
      <c r="I20" s="169"/>
      <c r="J20" s="169"/>
      <c r="K20" s="169"/>
      <c r="L20" s="169"/>
      <c r="M20" s="169"/>
      <c r="N20" s="169"/>
      <c r="O20" s="169"/>
      <c r="P20" s="169"/>
      <c r="Q20" s="169"/>
      <c r="R20" s="169"/>
      <c r="S20" s="169"/>
      <c r="T20" s="169"/>
      <c r="U20" s="169"/>
      <c r="V20" s="169"/>
      <c r="W20" s="169"/>
      <c r="X20" s="169"/>
      <c r="Y20" s="169"/>
      <c r="Z20" s="169"/>
      <c r="AA20" s="169"/>
      <c r="AB20" s="169"/>
      <c r="AC20" s="169"/>
      <c r="AD20" s="169"/>
      <c r="AE20" s="169"/>
      <c r="AF20" s="169"/>
      <c r="AG20" s="169"/>
      <c r="AH20" s="169"/>
      <c r="AI20" s="169"/>
      <c r="AJ20" s="169"/>
      <c r="AK20" s="169"/>
      <c r="AL20" s="169"/>
      <c r="AM20" s="169"/>
      <c r="AN20" s="169"/>
      <c r="AO20" s="169"/>
      <c r="AP20" s="169"/>
      <c r="AQ20" s="169"/>
      <c r="AR20" s="169"/>
      <c r="AS20" s="169"/>
      <c r="AT20" s="169"/>
      <c r="AU20" s="169"/>
      <c r="AV20" s="169"/>
      <c r="AW20" s="169"/>
      <c r="AX20" s="169"/>
      <c r="AY20" s="169"/>
      <c r="AZ20" s="169"/>
      <c r="BA20" s="169"/>
      <c r="BB20" s="169"/>
      <c r="BC20" s="169"/>
      <c r="BD20" s="169"/>
      <c r="BE20" s="169"/>
      <c r="BF20" s="169"/>
      <c r="BG20" s="169"/>
      <c r="BH20" s="169"/>
      <c r="BI20" s="169"/>
      <c r="BJ20" s="169"/>
      <c r="BK20" s="169"/>
      <c r="BL20" s="169"/>
      <c r="BM20" s="169"/>
      <c r="BN20" s="169"/>
      <c r="BO20" s="169"/>
      <c r="BP20" s="169"/>
      <c r="BQ20" s="169"/>
      <c r="BR20" s="169"/>
    </row>
    <row r="21" spans="1:70" ht="44.25" customHeight="1" x14ac:dyDescent="0.25">
      <c r="D21" s="167" t="s">
        <v>276</v>
      </c>
      <c r="E21" s="167"/>
      <c r="F21" s="167"/>
      <c r="G21" s="167"/>
      <c r="H21" s="167"/>
      <c r="I21" s="167"/>
      <c r="J21" s="167"/>
      <c r="K21" s="167"/>
      <c r="L21" s="167"/>
      <c r="M21" s="167"/>
      <c r="N21" s="167"/>
      <c r="O21" s="167"/>
      <c r="P21" s="167"/>
      <c r="Q21" s="167"/>
      <c r="R21" s="167"/>
      <c r="S21" s="167"/>
      <c r="T21" s="167"/>
      <c r="U21" s="167"/>
      <c r="V21" s="167"/>
      <c r="W21" s="167"/>
      <c r="X21" s="167"/>
      <c r="Y21" s="167"/>
      <c r="Z21" s="167"/>
      <c r="AA21" s="167"/>
      <c r="AB21" s="167"/>
      <c r="AC21" s="167"/>
      <c r="AD21" s="167"/>
      <c r="AE21" s="167"/>
      <c r="AF21" s="167"/>
      <c r="AG21" s="167"/>
      <c r="AH21" s="167"/>
      <c r="AI21" s="167"/>
      <c r="AJ21" s="167"/>
      <c r="AK21" s="167"/>
      <c r="AL21" s="167"/>
      <c r="AM21" s="167"/>
      <c r="AN21" s="167"/>
      <c r="AO21" s="167"/>
      <c r="AP21" s="167"/>
      <c r="AQ21" s="167"/>
      <c r="AR21" s="167"/>
      <c r="AS21" s="167"/>
      <c r="AT21" s="167"/>
      <c r="AU21" s="167"/>
      <c r="AV21" s="167"/>
      <c r="AW21" s="167"/>
      <c r="AX21" s="167"/>
      <c r="AY21" s="167"/>
      <c r="AZ21" s="167"/>
      <c r="BA21" s="167"/>
      <c r="BB21" s="167"/>
      <c r="BC21" s="167"/>
      <c r="BD21" s="167"/>
      <c r="BE21" s="167"/>
      <c r="BF21" s="167"/>
      <c r="BG21" s="167"/>
      <c r="BH21" s="167"/>
      <c r="BI21" s="167"/>
      <c r="BJ21" s="167"/>
      <c r="BK21" s="167"/>
      <c r="BL21" s="167"/>
      <c r="BM21" s="167"/>
      <c r="BN21" s="167"/>
      <c r="BO21" s="167"/>
      <c r="BP21" s="167"/>
      <c r="BQ21" s="167"/>
      <c r="BR21" s="167"/>
    </row>
    <row r="22" spans="1:70" x14ac:dyDescent="0.25">
      <c r="B22" s="2" t="s">
        <v>191</v>
      </c>
      <c r="C22" s="2"/>
    </row>
    <row r="23" spans="1:70" ht="69.75" customHeight="1" x14ac:dyDescent="0.25">
      <c r="B23" s="167" t="s">
        <v>268</v>
      </c>
      <c r="C23" s="167"/>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67"/>
      <c r="AB23" s="167"/>
      <c r="AC23" s="167"/>
      <c r="AD23" s="167"/>
      <c r="AE23" s="167"/>
      <c r="AF23" s="167"/>
      <c r="AG23" s="167"/>
      <c r="AH23" s="167"/>
      <c r="AI23" s="167"/>
      <c r="AJ23" s="167"/>
      <c r="AK23" s="167"/>
      <c r="AL23" s="167"/>
      <c r="AM23" s="167"/>
      <c r="AN23" s="167"/>
      <c r="AO23" s="167"/>
      <c r="AP23" s="167"/>
      <c r="AQ23" s="167"/>
      <c r="AR23" s="167"/>
      <c r="AS23" s="167"/>
      <c r="AT23" s="167"/>
      <c r="AU23" s="167"/>
      <c r="AV23" s="167"/>
      <c r="AW23" s="167"/>
      <c r="AX23" s="167"/>
      <c r="AY23" s="167"/>
      <c r="AZ23" s="167"/>
      <c r="BA23" s="167"/>
      <c r="BB23" s="167"/>
      <c r="BC23" s="167"/>
      <c r="BD23" s="167"/>
      <c r="BE23" s="167"/>
      <c r="BF23" s="167"/>
      <c r="BG23" s="167"/>
      <c r="BH23" s="167"/>
      <c r="BI23" s="167"/>
      <c r="BJ23" s="167"/>
      <c r="BK23" s="167"/>
      <c r="BL23" s="167"/>
      <c r="BM23" s="167"/>
      <c r="BN23" s="167"/>
      <c r="BO23" s="167"/>
      <c r="BP23" s="167"/>
      <c r="BQ23" s="167"/>
      <c r="BR23" s="167"/>
    </row>
    <row r="24" spans="1:70" x14ac:dyDescent="0.25">
      <c r="C24" s="2" t="s">
        <v>192</v>
      </c>
    </row>
    <row r="25" spans="1:70" ht="204.75" customHeight="1" x14ac:dyDescent="0.25">
      <c r="C25" s="170" t="s">
        <v>210</v>
      </c>
      <c r="D25" s="170"/>
      <c r="E25" s="170"/>
      <c r="F25" s="170"/>
      <c r="G25" s="170"/>
      <c r="H25" s="170"/>
      <c r="I25" s="170"/>
      <c r="J25" s="170"/>
      <c r="K25" s="170"/>
      <c r="L25" s="170"/>
      <c r="M25" s="170"/>
      <c r="N25" s="170"/>
      <c r="O25" s="170"/>
      <c r="P25" s="170"/>
      <c r="Q25" s="170"/>
      <c r="R25" s="170"/>
      <c r="S25" s="170"/>
      <c r="T25" s="170"/>
      <c r="U25" s="170"/>
      <c r="V25" s="170"/>
      <c r="W25" s="170"/>
      <c r="X25" s="170"/>
      <c r="Y25" s="170"/>
      <c r="Z25" s="170"/>
      <c r="AA25" s="170"/>
      <c r="AB25" s="170"/>
      <c r="AC25" s="170"/>
      <c r="AD25" s="170"/>
      <c r="AE25" s="170"/>
      <c r="AF25" s="170"/>
      <c r="AG25" s="170"/>
      <c r="AH25" s="170"/>
      <c r="AI25" s="170"/>
      <c r="AJ25" s="170"/>
      <c r="AK25" s="170"/>
      <c r="AL25" s="170"/>
      <c r="AM25" s="170"/>
      <c r="AN25" s="170"/>
      <c r="AO25" s="170"/>
      <c r="AP25" s="170"/>
      <c r="AQ25" s="170"/>
      <c r="AR25" s="170"/>
      <c r="AS25" s="170"/>
      <c r="AT25" s="170"/>
      <c r="AU25" s="170"/>
      <c r="AV25" s="170"/>
      <c r="AW25" s="170"/>
      <c r="AX25" s="170"/>
      <c r="AY25" s="170"/>
      <c r="AZ25" s="170"/>
      <c r="BA25" s="170"/>
      <c r="BB25" s="170"/>
      <c r="BC25" s="170"/>
      <c r="BD25" s="170"/>
      <c r="BE25" s="170"/>
      <c r="BF25" s="170"/>
      <c r="BG25" s="170"/>
      <c r="BH25" s="170"/>
      <c r="BI25" s="170"/>
      <c r="BJ25" s="170"/>
      <c r="BK25" s="170"/>
      <c r="BL25" s="170"/>
      <c r="BM25" s="170"/>
      <c r="BN25" s="170"/>
      <c r="BO25" s="170"/>
      <c r="BP25" s="170"/>
      <c r="BQ25" s="170"/>
      <c r="BR25" s="170"/>
    </row>
    <row r="26" spans="1:70" x14ac:dyDescent="0.25">
      <c r="C26" s="2" t="s">
        <v>193</v>
      </c>
    </row>
    <row r="27" spans="1:70" ht="244.5" customHeight="1" x14ac:dyDescent="0.25">
      <c r="A27" s="1"/>
      <c r="C27" s="170" t="s">
        <v>194</v>
      </c>
      <c r="D27" s="170"/>
      <c r="E27" s="170"/>
      <c r="F27" s="170"/>
      <c r="G27" s="170"/>
      <c r="H27" s="170"/>
      <c r="I27" s="170"/>
      <c r="J27" s="170"/>
      <c r="K27" s="170"/>
      <c r="L27" s="170"/>
      <c r="M27" s="170"/>
      <c r="N27" s="170"/>
      <c r="O27" s="170"/>
      <c r="P27" s="170"/>
      <c r="Q27" s="170"/>
      <c r="R27" s="170"/>
      <c r="S27" s="170"/>
      <c r="T27" s="170"/>
      <c r="U27" s="170"/>
      <c r="V27" s="170"/>
      <c r="W27" s="170"/>
      <c r="X27" s="170"/>
      <c r="Y27" s="170"/>
      <c r="Z27" s="170"/>
      <c r="AA27" s="170"/>
      <c r="AB27" s="170"/>
      <c r="AC27" s="170"/>
      <c r="AD27" s="170"/>
      <c r="AE27" s="170"/>
      <c r="AF27" s="170"/>
      <c r="AG27" s="170"/>
      <c r="AH27" s="170"/>
      <c r="AI27" s="170"/>
      <c r="AJ27" s="170"/>
      <c r="AK27" s="170"/>
      <c r="AL27" s="170"/>
      <c r="AM27" s="170"/>
      <c r="AN27" s="170"/>
      <c r="AO27" s="170"/>
      <c r="AP27" s="170"/>
      <c r="AQ27" s="170"/>
      <c r="AR27" s="170"/>
      <c r="AS27" s="170"/>
      <c r="AT27" s="170"/>
      <c r="AU27" s="170"/>
      <c r="AV27" s="170"/>
      <c r="AW27" s="170"/>
      <c r="AX27" s="170"/>
      <c r="AY27" s="170"/>
      <c r="AZ27" s="170"/>
      <c r="BA27" s="170"/>
      <c r="BB27" s="170"/>
      <c r="BC27" s="170"/>
      <c r="BD27" s="170"/>
      <c r="BE27" s="170"/>
      <c r="BF27" s="170"/>
      <c r="BG27" s="170"/>
      <c r="BH27" s="170"/>
      <c r="BI27" s="170"/>
      <c r="BJ27" s="170"/>
      <c r="BK27" s="170"/>
      <c r="BL27" s="170"/>
      <c r="BM27" s="170"/>
      <c r="BN27" s="170"/>
      <c r="BO27" s="170"/>
      <c r="BP27" s="170"/>
      <c r="BQ27" s="170"/>
      <c r="BR27" s="170"/>
    </row>
    <row r="28" spans="1:70" x14ac:dyDescent="0.25">
      <c r="B28" s="2" t="s">
        <v>269</v>
      </c>
      <c r="C28" s="43"/>
    </row>
    <row r="29" spans="1:70" ht="75" customHeight="1" x14ac:dyDescent="0.25">
      <c r="A29" s="1"/>
      <c r="B29" s="167" t="s">
        <v>280</v>
      </c>
      <c r="C29" s="167"/>
      <c r="D29" s="167"/>
      <c r="E29" s="167"/>
      <c r="F29" s="167"/>
      <c r="G29" s="167"/>
      <c r="H29" s="167"/>
      <c r="I29" s="167"/>
      <c r="J29" s="167"/>
      <c r="K29" s="167"/>
      <c r="L29" s="167"/>
      <c r="M29" s="167"/>
      <c r="N29" s="167"/>
      <c r="O29" s="167"/>
      <c r="P29" s="167"/>
      <c r="Q29" s="167"/>
      <c r="R29" s="167"/>
      <c r="S29" s="167"/>
      <c r="T29" s="167"/>
      <c r="U29" s="167"/>
      <c r="V29" s="167"/>
      <c r="W29" s="167"/>
      <c r="X29" s="167"/>
      <c r="Y29" s="167"/>
      <c r="Z29" s="167"/>
      <c r="AA29" s="167"/>
      <c r="AB29" s="167"/>
      <c r="AC29" s="167"/>
      <c r="AD29" s="167"/>
      <c r="AE29" s="167"/>
      <c r="AF29" s="167"/>
      <c r="AG29" s="167"/>
      <c r="AH29" s="167"/>
      <c r="AI29" s="167"/>
      <c r="AJ29" s="167"/>
      <c r="AK29" s="167"/>
      <c r="AL29" s="167"/>
      <c r="AM29" s="167"/>
      <c r="AN29" s="167"/>
      <c r="AO29" s="167"/>
      <c r="AP29" s="167"/>
      <c r="AQ29" s="167"/>
      <c r="AR29" s="167"/>
      <c r="AS29" s="167"/>
      <c r="AT29" s="167"/>
      <c r="AU29" s="167"/>
      <c r="AV29" s="167"/>
      <c r="AW29" s="167"/>
      <c r="AX29" s="167"/>
      <c r="AY29" s="167"/>
      <c r="AZ29" s="167"/>
      <c r="BA29" s="167"/>
      <c r="BB29" s="167"/>
      <c r="BC29" s="167"/>
      <c r="BD29" s="167"/>
      <c r="BE29" s="167"/>
      <c r="BF29" s="167"/>
      <c r="BG29" s="167"/>
      <c r="BH29" s="167"/>
      <c r="BI29" s="167"/>
      <c r="BJ29" s="167"/>
      <c r="BK29" s="167"/>
      <c r="BL29" s="167"/>
      <c r="BM29" s="167"/>
      <c r="BN29" s="167"/>
      <c r="BO29" s="167"/>
      <c r="BP29" s="167"/>
      <c r="BQ29" s="167"/>
      <c r="BR29" s="167"/>
    </row>
    <row r="30" spans="1:70" x14ac:dyDescent="0.25">
      <c r="C30" s="2" t="s">
        <v>273</v>
      </c>
    </row>
    <row r="31" spans="1:70" ht="46.5" customHeight="1" x14ac:dyDescent="0.25">
      <c r="A31" s="1"/>
      <c r="C31" s="170" t="s">
        <v>279</v>
      </c>
      <c r="D31" s="170"/>
      <c r="E31" s="170"/>
      <c r="F31" s="170"/>
      <c r="G31" s="170"/>
      <c r="H31" s="170"/>
      <c r="I31" s="170"/>
      <c r="J31" s="170"/>
      <c r="K31" s="170"/>
      <c r="L31" s="170"/>
      <c r="M31" s="170"/>
      <c r="N31" s="170"/>
      <c r="O31" s="170"/>
      <c r="P31" s="170"/>
      <c r="Q31" s="170"/>
      <c r="R31" s="170"/>
      <c r="S31" s="170"/>
      <c r="T31" s="170"/>
      <c r="U31" s="170"/>
      <c r="V31" s="170"/>
      <c r="W31" s="170"/>
      <c r="X31" s="170"/>
      <c r="Y31" s="170"/>
      <c r="Z31" s="170"/>
      <c r="AA31" s="170"/>
      <c r="AB31" s="170"/>
      <c r="AC31" s="170"/>
      <c r="AD31" s="170"/>
      <c r="AE31" s="170"/>
      <c r="AF31" s="170"/>
      <c r="AG31" s="170"/>
      <c r="AH31" s="170"/>
      <c r="AI31" s="170"/>
      <c r="AJ31" s="170"/>
      <c r="AK31" s="170"/>
      <c r="AL31" s="170"/>
      <c r="AM31" s="170"/>
      <c r="AN31" s="170"/>
      <c r="AO31" s="170"/>
      <c r="AP31" s="170"/>
      <c r="AQ31" s="170"/>
      <c r="AR31" s="170"/>
      <c r="AS31" s="170"/>
      <c r="AT31" s="170"/>
      <c r="AU31" s="170"/>
      <c r="AV31" s="170"/>
      <c r="AW31" s="170"/>
      <c r="AX31" s="170"/>
      <c r="AY31" s="170"/>
      <c r="AZ31" s="170"/>
      <c r="BA31" s="170"/>
      <c r="BB31" s="170"/>
      <c r="BC31" s="170"/>
      <c r="BD31" s="170"/>
      <c r="BE31" s="170"/>
      <c r="BF31" s="170"/>
      <c r="BG31" s="170"/>
      <c r="BH31" s="170"/>
      <c r="BI31" s="170"/>
      <c r="BJ31" s="170"/>
      <c r="BK31" s="170"/>
      <c r="BL31" s="170"/>
      <c r="BM31" s="170"/>
      <c r="BN31" s="170"/>
      <c r="BO31" s="170"/>
      <c r="BP31" s="170"/>
      <c r="BQ31" s="170"/>
      <c r="BR31" s="170"/>
    </row>
    <row r="32" spans="1:70" ht="15.75" customHeight="1" x14ac:dyDescent="0.25">
      <c r="C32" s="169" t="s">
        <v>270</v>
      </c>
      <c r="D32" s="169"/>
      <c r="E32" s="169"/>
      <c r="F32" s="169"/>
      <c r="G32" s="169"/>
      <c r="H32" s="169"/>
      <c r="I32" s="169"/>
      <c r="J32" s="169"/>
      <c r="K32" s="169"/>
      <c r="L32" s="169"/>
      <c r="M32" s="169"/>
      <c r="N32" s="169"/>
      <c r="O32" s="169"/>
      <c r="P32" s="169"/>
      <c r="Q32" s="169"/>
      <c r="R32" s="169"/>
      <c r="S32" s="169"/>
      <c r="T32" s="169"/>
      <c r="U32" s="169"/>
      <c r="V32" s="169"/>
      <c r="W32" s="169"/>
      <c r="X32" s="169"/>
      <c r="Y32" s="169"/>
      <c r="Z32" s="169"/>
      <c r="AA32" s="169"/>
      <c r="AB32" s="169"/>
      <c r="AC32" s="169"/>
      <c r="AD32" s="169"/>
      <c r="AE32" s="169"/>
      <c r="AF32" s="169"/>
      <c r="AG32" s="169"/>
      <c r="AH32" s="169"/>
      <c r="AI32" s="169"/>
      <c r="AJ32" s="169"/>
      <c r="AK32" s="169"/>
      <c r="AL32" s="169"/>
      <c r="AM32" s="169"/>
      <c r="AN32" s="169"/>
      <c r="AO32" s="169"/>
      <c r="AP32" s="169"/>
      <c r="AQ32" s="169"/>
      <c r="AR32" s="169"/>
      <c r="AS32" s="169"/>
      <c r="AT32" s="169"/>
      <c r="AU32" s="169"/>
      <c r="AV32" s="169"/>
      <c r="AW32" s="169"/>
      <c r="AX32" s="169"/>
      <c r="AY32" s="169"/>
      <c r="AZ32" s="169"/>
      <c r="BA32" s="169"/>
      <c r="BB32" s="169"/>
      <c r="BC32" s="169"/>
      <c r="BD32" s="169"/>
      <c r="BE32" s="169"/>
      <c r="BF32" s="169"/>
      <c r="BG32" s="169"/>
      <c r="BH32" s="169"/>
      <c r="BI32" s="169"/>
      <c r="BJ32" s="169"/>
      <c r="BK32" s="169"/>
      <c r="BL32" s="169"/>
      <c r="BM32" s="169"/>
      <c r="BN32" s="169"/>
      <c r="BO32" s="169"/>
      <c r="BP32" s="169"/>
      <c r="BQ32" s="169"/>
      <c r="BR32" s="169"/>
    </row>
    <row r="33" spans="1:70" ht="120" customHeight="1" x14ac:dyDescent="0.25">
      <c r="A33" s="43"/>
      <c r="C33" s="167" t="s">
        <v>272</v>
      </c>
      <c r="D33" s="167"/>
      <c r="E33" s="167"/>
      <c r="F33" s="167"/>
      <c r="G33" s="167"/>
      <c r="H33" s="167"/>
      <c r="I33" s="167"/>
      <c r="J33" s="167"/>
      <c r="K33" s="167"/>
      <c r="L33" s="167"/>
      <c r="M33" s="167"/>
      <c r="N33" s="167"/>
      <c r="O33" s="167"/>
      <c r="P33" s="167"/>
      <c r="Q33" s="167"/>
      <c r="R33" s="167"/>
      <c r="S33" s="167"/>
      <c r="T33" s="167"/>
      <c r="U33" s="167"/>
      <c r="V33" s="167"/>
      <c r="W33" s="167"/>
      <c r="X33" s="167"/>
      <c r="Y33" s="167"/>
      <c r="Z33" s="167"/>
      <c r="AA33" s="167"/>
      <c r="AB33" s="167"/>
      <c r="AC33" s="167"/>
      <c r="AD33" s="167"/>
      <c r="AE33" s="167"/>
      <c r="AF33" s="167"/>
      <c r="AG33" s="167"/>
      <c r="AH33" s="167"/>
      <c r="AI33" s="167"/>
      <c r="AJ33" s="167"/>
      <c r="AK33" s="167"/>
      <c r="AL33" s="167"/>
      <c r="AM33" s="167"/>
      <c r="AN33" s="167"/>
      <c r="AO33" s="167"/>
      <c r="AP33" s="167"/>
      <c r="AQ33" s="167"/>
      <c r="AR33" s="167"/>
      <c r="AS33" s="167"/>
      <c r="AT33" s="167"/>
      <c r="AU33" s="167"/>
      <c r="AV33" s="167"/>
      <c r="AW33" s="167"/>
      <c r="AX33" s="167"/>
      <c r="AY33" s="167"/>
      <c r="AZ33" s="167"/>
      <c r="BA33" s="167"/>
      <c r="BB33" s="167"/>
      <c r="BC33" s="167"/>
      <c r="BD33" s="167"/>
      <c r="BE33" s="167"/>
      <c r="BF33" s="167"/>
      <c r="BG33" s="167"/>
      <c r="BH33" s="167"/>
      <c r="BI33" s="167"/>
      <c r="BJ33" s="167"/>
      <c r="BK33" s="167"/>
      <c r="BL33" s="167"/>
      <c r="BM33" s="167"/>
      <c r="BN33" s="167"/>
      <c r="BO33" s="167"/>
      <c r="BP33" s="167"/>
      <c r="BQ33" s="167"/>
      <c r="BR33" s="167"/>
    </row>
    <row r="34" spans="1:70" ht="15.75" customHeight="1" x14ac:dyDescent="0.25">
      <c r="C34" s="169" t="s">
        <v>271</v>
      </c>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69"/>
      <c r="AI34" s="169"/>
      <c r="AJ34" s="169"/>
      <c r="AK34" s="169"/>
      <c r="AL34" s="169"/>
      <c r="AM34" s="169"/>
      <c r="AN34" s="169"/>
      <c r="AO34" s="169"/>
      <c r="AP34" s="169"/>
      <c r="AQ34" s="169"/>
      <c r="AR34" s="169"/>
      <c r="AS34" s="169"/>
      <c r="AT34" s="169"/>
      <c r="AU34" s="169"/>
      <c r="AV34" s="169"/>
      <c r="AW34" s="169"/>
      <c r="AX34" s="169"/>
      <c r="AY34" s="169"/>
      <c r="AZ34" s="169"/>
      <c r="BA34" s="169"/>
      <c r="BB34" s="169"/>
      <c r="BC34" s="169"/>
      <c r="BD34" s="169"/>
      <c r="BE34" s="169"/>
      <c r="BF34" s="169"/>
      <c r="BG34" s="169"/>
      <c r="BH34" s="169"/>
      <c r="BI34" s="169"/>
      <c r="BJ34" s="169"/>
      <c r="BK34" s="169"/>
      <c r="BL34" s="169"/>
      <c r="BM34" s="169"/>
      <c r="BN34" s="169"/>
      <c r="BO34" s="169"/>
      <c r="BP34" s="169"/>
      <c r="BQ34" s="169"/>
      <c r="BR34" s="169"/>
    </row>
    <row r="35" spans="1:70" ht="47.25" customHeight="1" x14ac:dyDescent="0.25">
      <c r="C35" s="170" t="s">
        <v>278</v>
      </c>
      <c r="D35" s="170"/>
      <c r="E35" s="170"/>
      <c r="F35" s="170"/>
      <c r="G35" s="170"/>
      <c r="H35" s="170"/>
      <c r="I35" s="170"/>
      <c r="J35" s="170"/>
      <c r="K35" s="170"/>
      <c r="L35" s="170"/>
      <c r="M35" s="170"/>
      <c r="N35" s="170"/>
      <c r="O35" s="170"/>
      <c r="P35" s="170"/>
      <c r="Q35" s="170"/>
      <c r="R35" s="170"/>
      <c r="S35" s="170"/>
      <c r="T35" s="170"/>
      <c r="U35" s="170"/>
      <c r="V35" s="170"/>
      <c r="W35" s="170"/>
      <c r="X35" s="170"/>
      <c r="Y35" s="170"/>
      <c r="Z35" s="170"/>
      <c r="AA35" s="170"/>
      <c r="AB35" s="170"/>
      <c r="AC35" s="170"/>
      <c r="AD35" s="170"/>
      <c r="AE35" s="170"/>
      <c r="AF35" s="170"/>
      <c r="AG35" s="170"/>
      <c r="AH35" s="170"/>
      <c r="AI35" s="170"/>
      <c r="AJ35" s="170"/>
      <c r="AK35" s="170"/>
      <c r="AL35" s="170"/>
      <c r="AM35" s="170"/>
      <c r="AN35" s="170"/>
      <c r="AO35" s="170"/>
      <c r="AP35" s="170"/>
      <c r="AQ35" s="170"/>
      <c r="AR35" s="170"/>
      <c r="AS35" s="170"/>
      <c r="AT35" s="170"/>
      <c r="AU35" s="170"/>
      <c r="AV35" s="170"/>
      <c r="AW35" s="170"/>
      <c r="AX35" s="170"/>
      <c r="AY35" s="170"/>
      <c r="AZ35" s="170"/>
      <c r="BA35" s="170"/>
      <c r="BB35" s="170"/>
      <c r="BC35" s="170"/>
      <c r="BD35" s="170"/>
      <c r="BE35" s="170"/>
      <c r="BF35" s="170"/>
      <c r="BG35" s="170"/>
      <c r="BH35" s="170"/>
      <c r="BI35" s="170"/>
      <c r="BJ35" s="170"/>
      <c r="BK35" s="170"/>
      <c r="BL35" s="170"/>
      <c r="BM35" s="170"/>
      <c r="BN35" s="170"/>
      <c r="BO35" s="170"/>
      <c r="BP35" s="170"/>
      <c r="BQ35" s="170"/>
      <c r="BR35" s="170"/>
    </row>
    <row r="36" spans="1:70" x14ac:dyDescent="0.25">
      <c r="B36" s="2" t="s">
        <v>2</v>
      </c>
    </row>
    <row r="37" spans="1:70" x14ac:dyDescent="0.25">
      <c r="B37" s="168" t="s">
        <v>12</v>
      </c>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168"/>
      <c r="AD37" s="168"/>
      <c r="AE37" s="168"/>
      <c r="AF37" s="168"/>
      <c r="AG37" s="168"/>
      <c r="AH37" s="168"/>
      <c r="AI37" s="168"/>
      <c r="AJ37" s="168"/>
      <c r="AK37" s="168"/>
      <c r="AL37" s="168"/>
      <c r="AM37" s="168"/>
      <c r="AN37" s="168"/>
      <c r="AO37" s="168"/>
      <c r="AP37" s="168"/>
      <c r="AQ37" s="168"/>
      <c r="AR37" s="168"/>
      <c r="AS37" s="168"/>
      <c r="AT37" s="168"/>
      <c r="AU37" s="168"/>
      <c r="AV37" s="168"/>
      <c r="AW37" s="168"/>
      <c r="AX37" s="168"/>
      <c r="AY37" s="168"/>
      <c r="AZ37" s="168"/>
      <c r="BA37" s="168"/>
      <c r="BB37" s="168"/>
      <c r="BC37" s="168"/>
      <c r="BD37" s="168"/>
      <c r="BE37" s="168"/>
      <c r="BF37" s="168"/>
      <c r="BG37" s="168"/>
      <c r="BH37" s="168"/>
      <c r="BI37" s="168"/>
      <c r="BJ37" s="168"/>
      <c r="BK37" s="168"/>
      <c r="BL37" s="168"/>
      <c r="BM37" s="168"/>
      <c r="BN37" s="168"/>
      <c r="BO37" s="168"/>
      <c r="BP37" s="168"/>
      <c r="BQ37" s="168"/>
      <c r="BR37" s="168"/>
    </row>
    <row r="38" spans="1:70" x14ac:dyDescent="0.25">
      <c r="C38" s="2" t="s">
        <v>7</v>
      </c>
    </row>
    <row r="39" spans="1:70" ht="45.75" customHeight="1" x14ac:dyDescent="0.25">
      <c r="C39" s="167" t="s">
        <v>8</v>
      </c>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7"/>
      <c r="AD39" s="167"/>
      <c r="AE39" s="167"/>
      <c r="AF39" s="167"/>
      <c r="AG39" s="167"/>
      <c r="AH39" s="167"/>
      <c r="AI39" s="167"/>
      <c r="AJ39" s="167"/>
      <c r="AK39" s="167"/>
      <c r="AL39" s="167"/>
      <c r="AM39" s="167"/>
      <c r="AN39" s="167"/>
      <c r="AO39" s="167"/>
      <c r="AP39" s="167"/>
      <c r="AQ39" s="167"/>
      <c r="AR39" s="167"/>
      <c r="AS39" s="167"/>
      <c r="AT39" s="167"/>
      <c r="AU39" s="167"/>
      <c r="AV39" s="167"/>
      <c r="AW39" s="167"/>
      <c r="AX39" s="167"/>
      <c r="AY39" s="167"/>
      <c r="AZ39" s="167"/>
      <c r="BA39" s="167"/>
      <c r="BB39" s="167"/>
      <c r="BC39" s="167"/>
      <c r="BD39" s="167"/>
      <c r="BE39" s="167"/>
      <c r="BF39" s="167"/>
      <c r="BG39" s="167"/>
      <c r="BH39" s="167"/>
      <c r="BI39" s="167"/>
      <c r="BJ39" s="167"/>
      <c r="BK39" s="167"/>
      <c r="BL39" s="167"/>
      <c r="BM39" s="167"/>
      <c r="BN39" s="167"/>
      <c r="BO39" s="167"/>
      <c r="BP39" s="167"/>
      <c r="BQ39" s="167"/>
      <c r="BR39" s="167"/>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2020-10-30T23:49:10Z</dcterms:modified>
</cp:coreProperties>
</file>