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051D38AE-FC13-4F01-BC61-0A3B50F4120E}"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S70" i="3" l="1"/>
  <c r="GS38" i="3"/>
  <c r="HD38" i="3"/>
  <c r="GN82" i="3" l="1"/>
  <c r="P58" i="3" l="1"/>
  <c r="GU38" i="3"/>
  <c r="P67" i="3" l="1"/>
  <c r="FT38" i="3"/>
  <c r="GC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R38" i="3"/>
  <c r="P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32" i="3"/>
  <c r="R33" i="3"/>
  <c r="R30" i="3"/>
  <c r="R14" i="3"/>
  <c r="R27" i="3"/>
  <c r="R22" i="3"/>
  <c r="R28" i="3"/>
  <c r="R15" i="3"/>
  <c r="R23" i="3"/>
  <c r="R16" i="3"/>
  <c r="R24" i="3"/>
  <c r="R20" i="3"/>
  <c r="R17" i="3"/>
  <c r="R12" i="3"/>
  <c r="NB40" i="3" l="1"/>
  <c r="NB41" i="3" s="1"/>
  <c r="NB72" i="3" s="1"/>
  <c r="NB71" i="3"/>
  <c r="NB2" i="3"/>
  <c r="R29" i="3"/>
  <c r="R31" i="3"/>
  <c r="R21" i="3"/>
  <c r="R26" i="3"/>
  <c r="R25" i="3"/>
  <c r="R19" i="3"/>
  <c r="R18" i="3"/>
  <c r="R13" i="3"/>
  <c r="R11" i="3"/>
  <c r="R10" i="3"/>
  <c r="R9" i="3"/>
  <c r="R8" i="3"/>
  <c r="R7" i="3"/>
</calcChain>
</file>

<file path=xl/sharedStrings.xml><?xml version="1.0" encoding="utf-8"?>
<sst xmlns="http://schemas.openxmlformats.org/spreadsheetml/2006/main" count="1856" uniqueCount="613">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</sst>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0" fillId="0" borderId="0" xfId="0" applyFill="1" applyBorder="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tabSelected="1" zoomScaleNormal="100" workbookViewId="0">
      <pane xSplit="18" ySplit="3" topLeftCell="FQ43" activePane="bottomRight" state="frozen"/>
      <selection pane="topRight" activeCell="F1" sqref="F1"/>
      <selection pane="bottomLeft" activeCell="A3" sqref="A3"/>
      <selection pane="bottomRight" activeCell="GW93" sqref="GW9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564</v>
      </c>
      <c r="GC1" s="49" t="s">
        <v>565</v>
      </c>
      <c r="GD1" s="47">
        <f>GA1 + 1</f>
        <v>44116</v>
      </c>
      <c r="GE1" s="47">
        <f t="shared" si="5"/>
        <v>44117</v>
      </c>
      <c r="GF1" s="47">
        <f t="shared" si="5"/>
        <v>44118</v>
      </c>
      <c r="GG1" s="47">
        <f t="shared" si="5"/>
        <v>44119</v>
      </c>
      <c r="GH1" s="47">
        <f t="shared" si="5"/>
        <v>44120</v>
      </c>
      <c r="GI1" s="47">
        <f t="shared" si="5"/>
        <v>44121</v>
      </c>
      <c r="GJ1" s="47">
        <f t="shared" si="5"/>
        <v>44122</v>
      </c>
      <c r="GK1" s="47" t="s">
        <v>580</v>
      </c>
      <c r="GL1" s="49" t="s">
        <v>581</v>
      </c>
      <c r="GM1" s="47">
        <f>GJ1 + 1</f>
        <v>44123</v>
      </c>
      <c r="GN1" s="47">
        <f t="shared" si="5"/>
        <v>44124</v>
      </c>
      <c r="GO1" s="47">
        <f t="shared" si="5"/>
        <v>44125</v>
      </c>
      <c r="GP1" s="47">
        <f t="shared" si="5"/>
        <v>44126</v>
      </c>
      <c r="GQ1" s="47">
        <f t="shared" si="5"/>
        <v>44127</v>
      </c>
      <c r="GR1" s="47">
        <f t="shared" si="5"/>
        <v>44128</v>
      </c>
      <c r="GS1" s="47">
        <f t="shared" si="5"/>
        <v>44129</v>
      </c>
      <c r="GT1" s="47" t="s">
        <v>585</v>
      </c>
      <c r="GU1" s="49" t="s">
        <v>586</v>
      </c>
      <c r="GV1" s="47">
        <f>GS1 + 1</f>
        <v>44130</v>
      </c>
      <c r="GW1" s="47">
        <f t="shared" si="5"/>
        <v>44131</v>
      </c>
      <c r="GX1" s="47">
        <f t="shared" si="5"/>
        <v>44132</v>
      </c>
      <c r="GY1" s="47">
        <f t="shared" si="5"/>
        <v>44133</v>
      </c>
      <c r="GZ1" s="47">
        <f t="shared" si="5"/>
        <v>44134</v>
      </c>
      <c r="HA1" s="47">
        <f t="shared" si="5"/>
        <v>44135</v>
      </c>
      <c r="HB1" s="47">
        <f t="shared" si="5"/>
        <v>44136</v>
      </c>
      <c r="HC1" s="47" t="s">
        <v>587</v>
      </c>
      <c r="HD1" s="49" t="s">
        <v>588</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6" t="s">
        <v>144</v>
      </c>
      <c r="B2" s="156"/>
      <c r="C2" s="156"/>
      <c r="D2" s="156"/>
      <c r="E2" s="156"/>
      <c r="F2" s="39"/>
      <c r="G2" s="39"/>
      <c r="H2" s="39"/>
      <c r="I2" s="39"/>
      <c r="J2" s="39"/>
      <c r="K2" s="39"/>
      <c r="L2" s="39"/>
      <c r="M2" s="39"/>
      <c r="N2" s="39"/>
      <c r="O2" s="27"/>
      <c r="P2" s="157" t="s">
        <v>49</v>
      </c>
      <c r="Q2" s="152" t="s">
        <v>48</v>
      </c>
      <c r="R2" s="154"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6"/>
      <c r="B3" s="156"/>
      <c r="C3" s="156"/>
      <c r="D3" s="156"/>
      <c r="E3" s="156"/>
      <c r="F3" s="39"/>
      <c r="G3" s="39"/>
      <c r="H3" s="39"/>
      <c r="I3" s="39"/>
      <c r="J3" s="39"/>
      <c r="K3" s="39"/>
      <c r="L3" s="39"/>
      <c r="M3" s="39"/>
      <c r="N3" s="39"/>
      <c r="O3" s="27"/>
      <c r="P3" s="158"/>
      <c r="Q3" s="153"/>
      <c r="R3" s="15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76</v>
      </c>
      <c r="Q7" s="108">
        <f t="shared" ref="Q7:Q26" si="310">IF(SUM(S7:XFD7) &gt; 0, SUM(S7:XFD7) /P$37 * 100, "")</f>
        <v>91.566265060240966</v>
      </c>
      <c r="R7" s="128" t="str">
        <f t="shared" ref="R7:R33" si="311">KStateSum(S7:NB7, 1)</f>
        <v>11</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GV7">
        <v>1</v>
      </c>
      <c r="HC7" s="95" t="s">
        <v>364</v>
      </c>
      <c r="HD7" s="80" t="s">
        <v>366</v>
      </c>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41</v>
      </c>
      <c r="Q8" s="108">
        <f t="shared" si="310"/>
        <v>49.397590361445779</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GV8">
        <v>1</v>
      </c>
      <c r="HC8" s="95" t="s">
        <v>364</v>
      </c>
      <c r="HD8" s="80" t="s">
        <v>366</v>
      </c>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72</v>
      </c>
      <c r="Q9" s="108">
        <f t="shared" si="310"/>
        <v>86.746987951807228</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GV9">
        <v>1</v>
      </c>
      <c r="HC9" s="95" t="s">
        <v>364</v>
      </c>
      <c r="HD9" s="80" t="s">
        <v>366</v>
      </c>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58</v>
      </c>
      <c r="Q10" s="108">
        <f t="shared" si="310"/>
        <v>69.879518072289159</v>
      </c>
      <c r="R10" s="128" t="str">
        <f t="shared" si="311"/>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GV10">
        <v>1</v>
      </c>
      <c r="HC10" s="95" t="s">
        <v>364</v>
      </c>
      <c r="HD10" s="80" t="s">
        <v>366</v>
      </c>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35</v>
      </c>
      <c r="Q11" s="108">
        <f t="shared" si="310"/>
        <v>42.168674698795186</v>
      </c>
      <c r="R11" s="128" t="str">
        <f t="shared" si="311"/>
        <v>-38</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GV11">
        <v>1</v>
      </c>
      <c r="HC11" s="95" t="s">
        <v>364</v>
      </c>
      <c r="HD11" s="80" t="s">
        <v>366</v>
      </c>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67</v>
      </c>
      <c r="Q12" s="108">
        <f t="shared" si="310"/>
        <v>80.722891566265062</v>
      </c>
      <c r="R12" s="128" t="str">
        <f t="shared" si="311"/>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GV12">
        <v>1</v>
      </c>
      <c r="HC12" s="95" t="s">
        <v>364</v>
      </c>
      <c r="HD12" s="80" t="s">
        <v>366</v>
      </c>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69</v>
      </c>
      <c r="Q13" s="108">
        <f t="shared" si="310"/>
        <v>83.132530120481931</v>
      </c>
      <c r="R13" s="128" t="str">
        <f t="shared" si="311"/>
        <v>-8</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GV13">
        <v>1</v>
      </c>
      <c r="HC13" s="95" t="s">
        <v>364</v>
      </c>
      <c r="HD13" s="80" t="s">
        <v>366</v>
      </c>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1.2048192771084338</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C14" s="95" t="s">
        <v>364</v>
      </c>
      <c r="HD14" s="80" t="s">
        <v>366</v>
      </c>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1.2048192771084338</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C15" s="95" t="s">
        <v>364</v>
      </c>
      <c r="HD15" s="80" t="s">
        <v>366</v>
      </c>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26</v>
      </c>
      <c r="Q16" s="108">
        <f t="shared" si="310"/>
        <v>31.325301204819279</v>
      </c>
      <c r="R16" s="128" t="str">
        <f t="shared" si="311"/>
        <v>-51</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C16" s="95" t="s">
        <v>364</v>
      </c>
      <c r="HD16" s="80" t="s">
        <v>366</v>
      </c>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67</v>
      </c>
      <c r="Q17" s="108">
        <f t="shared" si="310"/>
        <v>80.722891566265062</v>
      </c>
      <c r="R17" s="128" t="str">
        <f t="shared" si="311"/>
        <v>-12</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GV17">
        <v>1</v>
      </c>
      <c r="HC17" s="95" t="s">
        <v>364</v>
      </c>
      <c r="HD17" s="80" t="s">
        <v>366</v>
      </c>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61</v>
      </c>
      <c r="Q18" s="108">
        <f t="shared" si="310"/>
        <v>73.493975903614455</v>
      </c>
      <c r="R18" s="128" t="str">
        <f t="shared" si="311"/>
        <v>-12</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GV18">
        <v>1</v>
      </c>
      <c r="HC18" s="95" t="s">
        <v>364</v>
      </c>
      <c r="HD18" s="80" t="s">
        <v>366</v>
      </c>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62</v>
      </c>
      <c r="Q19" s="108">
        <f t="shared" si="310"/>
        <v>74.698795180722882</v>
      </c>
      <c r="R19" s="128" t="str">
        <f t="shared" si="311"/>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GV19">
        <v>1</v>
      </c>
      <c r="HC19" s="95" t="s">
        <v>364</v>
      </c>
      <c r="HD19" s="80" t="s">
        <v>366</v>
      </c>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56</v>
      </c>
      <c r="Q20" s="108">
        <f t="shared" si="310"/>
        <v>67.46987951807229</v>
      </c>
      <c r="R20" s="128" t="str">
        <f t="shared" si="311"/>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GV20">
        <v>1</v>
      </c>
      <c r="HC20" s="95" t="s">
        <v>364</v>
      </c>
      <c r="HD20" s="80" t="s">
        <v>366</v>
      </c>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52</v>
      </c>
      <c r="Q21" s="108">
        <f t="shared" si="310"/>
        <v>62.650602409638559</v>
      </c>
      <c r="R21" s="128" t="str">
        <f t="shared" si="311"/>
        <v>-21</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HC21" s="95" t="s">
        <v>364</v>
      </c>
      <c r="HD21" s="80" t="s">
        <v>366</v>
      </c>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1.2048192771084338</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C22" s="95" t="s">
        <v>364</v>
      </c>
      <c r="HD22" s="80" t="s">
        <v>366</v>
      </c>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54</v>
      </c>
      <c r="Q23" s="108">
        <f t="shared" si="310"/>
        <v>65.060240963855421</v>
      </c>
      <c r="R23" s="128" t="str">
        <f t="shared" si="311"/>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HC23" s="95" t="s">
        <v>364</v>
      </c>
      <c r="HD23" s="80" t="s">
        <v>366</v>
      </c>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64</v>
      </c>
      <c r="Q24" s="108">
        <f t="shared" si="310"/>
        <v>77.108433734939766</v>
      </c>
      <c r="R24" s="128" t="str">
        <f t="shared" si="311"/>
        <v>-4</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GV24">
        <v>1</v>
      </c>
      <c r="HC24" s="95" t="s">
        <v>364</v>
      </c>
      <c r="HD24" s="80" t="s">
        <v>366</v>
      </c>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68</v>
      </c>
      <c r="Q25" s="108">
        <f t="shared" si="310"/>
        <v>81.92771084337349</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GV25">
        <v>1</v>
      </c>
      <c r="HC25" s="95" t="s">
        <v>364</v>
      </c>
      <c r="HD25" s="80" t="s">
        <v>366</v>
      </c>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76</v>
      </c>
      <c r="Q26" s="108">
        <f t="shared" si="310"/>
        <v>91.566265060240966</v>
      </c>
      <c r="R26" s="128" t="str">
        <f t="shared" si="311"/>
        <v>-9</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GV26">
        <v>1</v>
      </c>
      <c r="HC26" s="95" t="s">
        <v>364</v>
      </c>
      <c r="HD26" s="80" t="s">
        <v>366</v>
      </c>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C27" s="95" t="s">
        <v>364</v>
      </c>
      <c r="HD27" s="80" t="s">
        <v>366</v>
      </c>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34</v>
      </c>
      <c r="Q28" s="109">
        <f>IF(SUM(S28:XFD28) &gt; 0, SUM(S28:XFD28) /P$37 * 100, "")</f>
        <v>40.963855421686745</v>
      </c>
      <c r="R28" s="129" t="str">
        <f t="shared" si="311"/>
        <v>-55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7" t="s">
        <v>364</v>
      </c>
      <c r="HD28" s="94" t="s">
        <v>366</v>
      </c>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18.072289156626507</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83</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57.666666666666664</v>
      </c>
      <c r="Q38" s="16">
        <f>P38 / P37 * 100</f>
        <v>69.47791164658635</v>
      </c>
      <c r="R38" s="17">
        <f>VisibleSum(R6:R28)</f>
        <v>-20.611111111111111</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f t="shared" si="324"/>
        <v>14</v>
      </c>
      <c r="GN38" s="14">
        <f t="shared" si="324"/>
        <v>12</v>
      </c>
      <c r="GO38" s="14" t="str">
        <f t="shared" si="324"/>
        <v/>
      </c>
      <c r="GP38" s="14">
        <f t="shared" si="324"/>
        <v>12</v>
      </c>
      <c r="GQ38" s="14">
        <f t="shared" si="324"/>
        <v>14</v>
      </c>
      <c r="GR38" s="14">
        <f t="shared" si="324"/>
        <v>12</v>
      </c>
      <c r="GS38" s="14">
        <f t="shared" si="324"/>
        <v>10</v>
      </c>
      <c r="GT38" s="14"/>
      <c r="GU38" s="130">
        <f>IF(VisibleSum(GU6:GU28) = "", "??", VisibleSum(GU6:GU28))</f>
        <v>0</v>
      </c>
      <c r="GV38" s="14">
        <f t="shared" si="324"/>
        <v>14</v>
      </c>
      <c r="GW38" s="14" t="str">
        <f t="shared" si="324"/>
        <v/>
      </c>
      <c r="GX38" s="14" t="str">
        <f t="shared" si="324"/>
        <v/>
      </c>
      <c r="GY38" s="14" t="str">
        <f t="shared" si="324"/>
        <v/>
      </c>
      <c r="GZ38" s="14" t="str">
        <f t="shared" si="324"/>
        <v/>
      </c>
      <c r="HA38" s="14" t="str">
        <f t="shared" si="324"/>
        <v/>
      </c>
      <c r="HB38" s="14"/>
      <c r="HC38" s="14"/>
      <c r="HD38" s="130" t="str">
        <f>IF(VisibleSum(HD6:HD28) = "", "??", VisibleSum(HD6:HD28))</f>
        <v>??</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8" t="s">
        <v>144</v>
      </c>
      <c r="B41" s="148"/>
      <c r="C41" s="148"/>
      <c r="D41" s="148"/>
      <c r="E41" s="149"/>
      <c r="F41" s="36"/>
      <c r="G41" s="36"/>
      <c r="H41" s="36"/>
      <c r="I41" s="36"/>
      <c r="J41" s="36"/>
      <c r="K41" s="36"/>
      <c r="L41" s="36"/>
      <c r="M41" s="36"/>
      <c r="N41" s="36"/>
      <c r="O41" s="35"/>
      <c r="P41" s="159" t="s">
        <v>49</v>
      </c>
      <c r="Q41" s="159" t="s">
        <v>48</v>
      </c>
      <c r="R41" s="16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50"/>
      <c r="B42" s="150"/>
      <c r="C42" s="150"/>
      <c r="D42" s="150"/>
      <c r="E42" s="151"/>
      <c r="F42" s="19"/>
      <c r="G42" s="19"/>
      <c r="H42" s="19"/>
      <c r="I42" s="19"/>
      <c r="J42" s="19"/>
      <c r="K42" s="19"/>
      <c r="L42" s="19"/>
      <c r="M42" s="19"/>
      <c r="N42" s="19"/>
      <c r="O42" s="9"/>
      <c r="P42" s="153"/>
      <c r="Q42" s="153"/>
      <c r="R42" s="15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584</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26</v>
      </c>
      <c r="Q46" s="108">
        <f t="shared" ref="Q46:Q68" si="355">IF(SUM(S46:XFD46) &gt; 0, SUM(S46:XFD46) / $P$69 * 100, "")</f>
        <v>61.904761904761905</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13</v>
      </c>
      <c r="Q47" s="108">
        <f t="shared" si="355"/>
        <v>30.952380952380953</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39</v>
      </c>
      <c r="Q48" s="108">
        <f t="shared" si="355"/>
        <v>92.857142857142861</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31</v>
      </c>
      <c r="Q49" s="108">
        <f t="shared" si="355"/>
        <v>73.80952380952381</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11.904761904761903</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14.285714285714285</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7.1428571428571423</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30</v>
      </c>
      <c r="Q53" s="108">
        <f t="shared" si="355"/>
        <v>71.428571428571431</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7.1428571428571423</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25</v>
      </c>
      <c r="Q55" s="108">
        <f t="shared" si="355"/>
        <v>59.523809523809526</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11.904761904761903</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35</v>
      </c>
      <c r="Q57" s="108">
        <f t="shared" si="355"/>
        <v>83.333333333333343</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603</v>
      </c>
      <c r="E58" s="18"/>
      <c r="F58" s="10"/>
      <c r="G58" s="19"/>
      <c r="H58" s="19"/>
      <c r="I58" s="8"/>
      <c r="J58" s="8"/>
      <c r="K58" s="8"/>
      <c r="L58" s="8"/>
      <c r="M58" s="8"/>
      <c r="N58" s="8"/>
      <c r="O58" s="9"/>
      <c r="P58" s="8">
        <f t="shared" ref="P58" si="356">IF(SUM(S58:NB58) &gt; 0, SUM(S58:NB58), "")</f>
        <v>7</v>
      </c>
      <c r="Q58" s="108">
        <f t="shared" si="355"/>
        <v>16.666666666666664</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7</v>
      </c>
      <c r="Q59" s="108">
        <f t="shared" si="355"/>
        <v>16.666666666666664</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13</v>
      </c>
      <c r="Q60" s="108">
        <f t="shared" si="355"/>
        <v>30.952380952380953</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13</v>
      </c>
      <c r="Q61" s="108">
        <f t="shared" si="355"/>
        <v>30.952380952380953</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7</v>
      </c>
      <c r="Q62" s="108">
        <f t="shared" si="355"/>
        <v>16.666666666666664</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2.3809523809523809</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558</v>
      </c>
      <c r="E67" s="144" t="s">
        <v>559</v>
      </c>
      <c r="F67" s="10"/>
      <c r="G67" s="19"/>
      <c r="H67" s="19"/>
      <c r="I67" s="8"/>
      <c r="J67" s="8"/>
      <c r="K67" s="8"/>
      <c r="L67" s="8"/>
      <c r="M67" s="8"/>
      <c r="N67" s="8"/>
      <c r="O67" s="9"/>
      <c r="P67" s="8">
        <f t="shared" si="354"/>
        <v>1</v>
      </c>
      <c r="Q67" s="108">
        <f t="shared" si="355"/>
        <v>2.3809523809523809</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42</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19</v>
      </c>
      <c r="Q70" s="112">
        <f>P70 / P69 * 100</f>
        <v>45.238095238095241</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t="str">
        <f t="shared" si="374"/>
        <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8" t="s">
        <v>144</v>
      </c>
      <c r="B72" s="148"/>
      <c r="C72" s="148"/>
      <c r="D72" s="148"/>
      <c r="E72" s="149"/>
      <c r="F72" s="30"/>
      <c r="G72" s="30"/>
      <c r="H72" s="30"/>
      <c r="I72" s="30"/>
      <c r="J72" s="30"/>
      <c r="K72" s="30"/>
      <c r="L72" s="30"/>
      <c r="M72" s="30"/>
      <c r="N72" s="30"/>
      <c r="O72" s="29"/>
      <c r="P72" s="152" t="s">
        <v>49</v>
      </c>
      <c r="Q72" s="152" t="s">
        <v>48</v>
      </c>
      <c r="R72" s="154"/>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50"/>
      <c r="B73" s="150"/>
      <c r="C73" s="150"/>
      <c r="D73" s="150"/>
      <c r="E73" s="151"/>
      <c r="F73" s="28"/>
      <c r="G73" s="28"/>
      <c r="H73" s="28"/>
      <c r="I73" s="28"/>
      <c r="J73" s="28"/>
      <c r="K73" s="28"/>
      <c r="L73" s="28"/>
      <c r="M73" s="28"/>
      <c r="N73" s="28"/>
      <c r="O73" s="27"/>
      <c r="P73" s="153"/>
      <c r="Q73" s="161"/>
      <c r="R73" s="15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19.512195121951219</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2.4390243902439024</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33</v>
      </c>
      <c r="Q78" s="108">
        <f t="shared" si="418"/>
        <v>80.487804878048792</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12</v>
      </c>
      <c r="Q79" s="108">
        <f t="shared" si="418"/>
        <v>29.268292682926827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41</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15</v>
      </c>
      <c r="Q82" s="62">
        <f>P82 / P81 * 100</f>
        <v>36.585365853658537</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f t="shared" si="446"/>
        <v>1</v>
      </c>
      <c r="GO82" s="62" t="str">
        <f t="shared" si="446"/>
        <v/>
      </c>
      <c r="GP82" s="62">
        <f t="shared" si="446"/>
        <v>2</v>
      </c>
      <c r="GQ82" s="62">
        <f t="shared" si="446"/>
        <v>1</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f t="shared" ref="GN83" si="591">IF(SUM(GN70, GN82) &gt; 0, SUM(GN70, GN82), "")</f>
        <v>6</v>
      </c>
      <c r="GO83" s="62" t="str">
        <f t="shared" ref="GO83" si="592">IF(SUM(GO70, GO82) &gt; 0, SUM(GO70, GO82), "")</f>
        <v/>
      </c>
      <c r="GP83" s="62">
        <f t="shared" ref="GP83" si="593">IF(SUM(GP70, GP82) &gt; 0, SUM(GP70, GP82), "")</f>
        <v>8</v>
      </c>
      <c r="GQ83" s="62">
        <f t="shared" ref="GQ83" si="594">IF(SUM(GQ70, GQ82) &gt; 0, SUM(GQ70, GQ82), "")</f>
        <v>7</v>
      </c>
      <c r="GR83" s="62" t="str">
        <f t="shared" ref="GR83" si="595">IF(SUM(GR70, GR82) &gt; 0, SUM(GR70, GR82), "")</f>
        <v/>
      </c>
      <c r="GS83" s="62"/>
      <c r="GT83" s="62"/>
      <c r="GU83" s="63" t="str">
        <f t="shared" ref="GU83" si="596">IF(SUM(GU70, GU82) &gt; 0, SUM(GU70, GU82), "")</f>
        <v/>
      </c>
      <c r="GV83" s="65" t="str">
        <f t="shared" ref="GV83" si="597">IF(SUM(GV70, GV82) &gt; 0, SUM(GV70, GV82), "")</f>
        <v/>
      </c>
      <c r="GW83" s="62" t="str">
        <f t="shared" ref="GW83" si="598">IF(SUM(GW70, GW82) &gt; 0, SUM(GW70, GW82), "")</f>
        <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86</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70">
        <v>1</v>
      </c>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1.1627906976744187</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28</v>
      </c>
      <c r="Q91" s="108">
        <f t="shared" si="759"/>
        <v>32.558139534883722</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70">
        <v>1</v>
      </c>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86</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HD</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GU</v>
      </c>
    </row>
    <row r="98" spans="1:12" x14ac:dyDescent="0.25">
      <c r="B98" t="s">
        <v>16</v>
      </c>
      <c r="C98">
        <v>76</v>
      </c>
      <c r="D98">
        <v>79</v>
      </c>
      <c r="E98">
        <v>82</v>
      </c>
      <c r="F98">
        <v>71</v>
      </c>
      <c r="G98" t="s">
        <v>15</v>
      </c>
      <c r="H98" t="s">
        <v>13</v>
      </c>
      <c r="I98" t="s">
        <v>187</v>
      </c>
      <c r="K98" t="s">
        <v>105</v>
      </c>
      <c r="L98" s="51" t="str">
        <f>FindEnd(S81:NB81)</f>
        <v>GU</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557</v>
      </c>
      <c r="B121" s="41"/>
      <c r="C121" s="41"/>
      <c r="D121" s="41"/>
      <c r="E121" s="41"/>
    </row>
    <row r="122" spans="1:5" x14ac:dyDescent="0.25">
      <c r="A122" t="s">
        <v>553</v>
      </c>
      <c r="D122" s="142" t="s">
        <v>555</v>
      </c>
    </row>
    <row r="123" spans="1:5" x14ac:dyDescent="0.25">
      <c r="A123" t="s">
        <v>556</v>
      </c>
      <c r="D123"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GT7:GT28 GL7:GL28 GU7:GU28" numberStoredAsText="1"/>
    <ignoredError sqref="P31 Q28 HE38:NB38 GF38 GW38:HA38 Q30"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D74:NB89 HD70:NB70 GL73:GP73 GR73 GU73:GY73 HD73:HH73 HJ73:HO73 HQ73:HV73 HX73:IC73 IE73:IH73 IS73:IX73 IZ73:JE73 JG73:JS73 IL73:IQ73 JU73:JZ73 KB73:KN73 KP73:LB73 LD73:LI73 LK73:LP73 LR73:LW73 LY73:MD73 MF73:NB73 HA73 GV71:HA72 GU74:HA85 GU70:HA70 GU92:HA92 HE72:NB72 HE71:NB71 GL80:GR80 GL78:GM78 GO78 GL79:GM79 GO79 GL82:GR85 GL81:GM81 GO81 GL87:GR89 GL86 GO86 GL91:GM91 GO91 GL93 GO93 GR78 GQ79:GR79 GR81 GJ38:GL38 GS38 GU87:HA89 GU86 GW86:HA86 GU91 GW91:HA91 GU93 GW93:HA93" formulaRange="1"/>
    <ignoredError sqref="FL38:FQ38 FJ38 FA38:FG38 Q38:EW38 FU38:FZ38 GD38:GE38 GG38:GI38 GM38:GR38 GV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01"/>
  <sheetViews>
    <sheetView workbookViewId="0">
      <selection activeCell="B5" sqref="B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5">
        <v>44130</v>
      </c>
      <c r="B3" s="74" t="s">
        <v>611</v>
      </c>
      <c r="C3" s="74"/>
      <c r="D3" s="73"/>
    </row>
    <row r="4" spans="1:4" ht="45" x14ac:dyDescent="0.25">
      <c r="A4" s="72"/>
      <c r="B4" s="76" t="s">
        <v>612</v>
      </c>
      <c r="C4" s="74"/>
      <c r="D4" s="73"/>
    </row>
    <row r="5" spans="1:4" x14ac:dyDescent="0.25">
      <c r="A5" s="72"/>
      <c r="B5" s="73"/>
      <c r="C5" s="74"/>
      <c r="D5" s="73"/>
    </row>
    <row r="6" spans="1:4" x14ac:dyDescent="0.25">
      <c r="A6" s="75">
        <v>44129</v>
      </c>
      <c r="B6" s="74" t="s">
        <v>607</v>
      </c>
      <c r="C6" s="74"/>
      <c r="D6" s="74" t="s">
        <v>608</v>
      </c>
    </row>
    <row r="7" spans="1:4" x14ac:dyDescent="0.25">
      <c r="A7" s="72"/>
      <c r="B7" s="73" t="s">
        <v>610</v>
      </c>
      <c r="C7" s="74"/>
      <c r="D7" s="147" t="s">
        <v>609</v>
      </c>
    </row>
    <row r="8" spans="1:4" x14ac:dyDescent="0.25">
      <c r="A8" s="75">
        <v>44128</v>
      </c>
      <c r="B8" s="74" t="s">
        <v>605</v>
      </c>
      <c r="C8" s="74"/>
      <c r="D8" s="73"/>
    </row>
    <row r="9" spans="1:4" ht="60" x14ac:dyDescent="0.25">
      <c r="A9" s="72"/>
      <c r="B9" s="76" t="s">
        <v>606</v>
      </c>
      <c r="C9" s="74"/>
      <c r="D9" s="73"/>
    </row>
    <row r="10" spans="1:4" x14ac:dyDescent="0.25">
      <c r="A10" s="75">
        <v>44127</v>
      </c>
      <c r="B10" s="74" t="s">
        <v>461</v>
      </c>
      <c r="C10" s="74"/>
      <c r="D10" s="74" t="s">
        <v>450</v>
      </c>
    </row>
    <row r="11" spans="1:4" x14ac:dyDescent="0.25">
      <c r="A11" s="72"/>
      <c r="B11" s="73"/>
      <c r="C11" s="74"/>
      <c r="D11" s="73" t="s">
        <v>604</v>
      </c>
    </row>
    <row r="12" spans="1:4" x14ac:dyDescent="0.25">
      <c r="A12" s="75">
        <v>44126</v>
      </c>
      <c r="B12" s="74" t="s">
        <v>593</v>
      </c>
      <c r="C12" s="74"/>
      <c r="D12" s="74" t="s">
        <v>449</v>
      </c>
    </row>
    <row r="13" spans="1:4" ht="60" x14ac:dyDescent="0.25">
      <c r="A13" s="72"/>
      <c r="B13" s="76" t="s">
        <v>602</v>
      </c>
      <c r="C13" s="74"/>
      <c r="D13" s="76" t="s">
        <v>601</v>
      </c>
    </row>
    <row r="14" spans="1:4" x14ac:dyDescent="0.25">
      <c r="A14" s="75">
        <v>44124</v>
      </c>
      <c r="B14" s="74" t="s">
        <v>593</v>
      </c>
      <c r="C14" s="74"/>
      <c r="D14" s="74" t="s">
        <v>596</v>
      </c>
    </row>
    <row r="15" spans="1:4" ht="105" x14ac:dyDescent="0.25">
      <c r="A15" s="72"/>
      <c r="B15" s="76" t="s">
        <v>600</v>
      </c>
      <c r="C15" s="74"/>
      <c r="D15" s="76" t="s">
        <v>595</v>
      </c>
    </row>
    <row r="16" spans="1:4" x14ac:dyDescent="0.25">
      <c r="A16" s="75">
        <v>44123</v>
      </c>
      <c r="B16" s="74" t="s">
        <v>461</v>
      </c>
      <c r="C16" s="74"/>
      <c r="D16" s="73"/>
    </row>
    <row r="17" spans="1:4" ht="60" x14ac:dyDescent="0.25">
      <c r="A17" s="72"/>
      <c r="B17" s="76" t="s">
        <v>594</v>
      </c>
      <c r="C17" s="74"/>
      <c r="D17" s="73"/>
    </row>
    <row r="18" spans="1:4" x14ac:dyDescent="0.25">
      <c r="A18" s="72"/>
      <c r="B18" s="73"/>
      <c r="C18" s="74"/>
      <c r="D18" s="73"/>
    </row>
    <row r="19" spans="1:4" x14ac:dyDescent="0.25">
      <c r="A19" s="75">
        <v>44121</v>
      </c>
      <c r="B19" s="74" t="s">
        <v>592</v>
      </c>
      <c r="C19" s="74"/>
      <c r="D19" s="73"/>
    </row>
    <row r="20" spans="1:4" ht="30" x14ac:dyDescent="0.25">
      <c r="A20" s="72"/>
      <c r="B20" s="76" t="s">
        <v>589</v>
      </c>
      <c r="C20" s="74"/>
      <c r="D20" s="73"/>
    </row>
    <row r="21" spans="1:4" x14ac:dyDescent="0.25">
      <c r="A21" s="75">
        <v>44120</v>
      </c>
      <c r="B21" s="74" t="s">
        <v>480</v>
      </c>
      <c r="C21" s="74"/>
      <c r="D21" s="74" t="s">
        <v>449</v>
      </c>
    </row>
    <row r="22" spans="1:4" ht="75" x14ac:dyDescent="0.25">
      <c r="A22" s="72"/>
      <c r="B22" s="76" t="s">
        <v>591</v>
      </c>
      <c r="C22" s="74"/>
      <c r="D22" s="76" t="s">
        <v>590</v>
      </c>
    </row>
    <row r="23" spans="1:4" x14ac:dyDescent="0.25">
      <c r="A23" s="75">
        <v>44119</v>
      </c>
      <c r="B23" s="74" t="s">
        <v>582</v>
      </c>
      <c r="C23" s="74"/>
      <c r="D23" s="74" t="s">
        <v>454</v>
      </c>
    </row>
    <row r="24" spans="1:4" ht="105" x14ac:dyDescent="0.25">
      <c r="A24" s="72"/>
      <c r="B24" s="76" t="s">
        <v>583</v>
      </c>
      <c r="C24" s="74"/>
      <c r="D24" s="73" t="s">
        <v>571</v>
      </c>
    </row>
    <row r="25" spans="1:4" x14ac:dyDescent="0.25">
      <c r="A25" s="75">
        <v>44117</v>
      </c>
      <c r="B25" s="74" t="s">
        <v>577</v>
      </c>
      <c r="C25" s="74"/>
      <c r="D25" s="74" t="s">
        <v>597</v>
      </c>
    </row>
    <row r="26" spans="1:4" ht="180" x14ac:dyDescent="0.25">
      <c r="A26" s="72"/>
      <c r="B26" s="76" t="s">
        <v>579</v>
      </c>
      <c r="C26" s="74"/>
      <c r="D26" s="76" t="s">
        <v>578</v>
      </c>
    </row>
    <row r="27" spans="1:4" x14ac:dyDescent="0.25">
      <c r="A27" s="75">
        <v>44116</v>
      </c>
      <c r="B27" s="74" t="s">
        <v>461</v>
      </c>
      <c r="C27" s="74"/>
      <c r="D27" s="73"/>
    </row>
    <row r="28" spans="1:4" ht="135" x14ac:dyDescent="0.25">
      <c r="A28" s="72"/>
      <c r="B28" s="76" t="s">
        <v>576</v>
      </c>
      <c r="C28" s="74"/>
      <c r="D28" s="73"/>
    </row>
    <row r="29" spans="1:4" x14ac:dyDescent="0.25">
      <c r="A29" s="72"/>
      <c r="B29" s="73"/>
      <c r="C29" s="74"/>
      <c r="D29" s="73"/>
    </row>
    <row r="30" spans="1:4" x14ac:dyDescent="0.25">
      <c r="A30" s="75">
        <v>44114</v>
      </c>
      <c r="B30" s="74" t="s">
        <v>574</v>
      </c>
      <c r="C30" s="74"/>
      <c r="D30" s="73"/>
    </row>
    <row r="31" spans="1:4" ht="45" x14ac:dyDescent="0.25">
      <c r="A31" s="72"/>
      <c r="B31" s="76" t="s">
        <v>575</v>
      </c>
      <c r="C31" s="74"/>
      <c r="D31" s="73"/>
    </row>
    <row r="32" spans="1:4" x14ac:dyDescent="0.25">
      <c r="A32" s="75">
        <v>44113</v>
      </c>
      <c r="B32" s="74" t="s">
        <v>527</v>
      </c>
      <c r="C32" s="74"/>
      <c r="D32" s="74" t="s">
        <v>450</v>
      </c>
    </row>
    <row r="33" spans="1:4" ht="90" x14ac:dyDescent="0.25">
      <c r="A33" s="72"/>
      <c r="B33" s="76" t="s">
        <v>573</v>
      </c>
      <c r="C33" s="74"/>
      <c r="D33" s="76" t="s">
        <v>572</v>
      </c>
    </row>
    <row r="34" spans="1:4" x14ac:dyDescent="0.25">
      <c r="A34" s="75">
        <v>44112</v>
      </c>
      <c r="B34" s="74" t="s">
        <v>569</v>
      </c>
      <c r="C34" s="74"/>
      <c r="D34" s="74" t="s">
        <v>449</v>
      </c>
    </row>
    <row r="35" spans="1:4" ht="60" x14ac:dyDescent="0.25">
      <c r="A35" s="72"/>
      <c r="B35" s="76" t="s">
        <v>570</v>
      </c>
      <c r="C35" s="74"/>
      <c r="D35" s="73" t="s">
        <v>571</v>
      </c>
    </row>
    <row r="36" spans="1:4" x14ac:dyDescent="0.25">
      <c r="A36" s="75">
        <v>44110</v>
      </c>
      <c r="B36" s="74" t="s">
        <v>480</v>
      </c>
      <c r="C36" s="74"/>
      <c r="D36" s="74" t="s">
        <v>598</v>
      </c>
    </row>
    <row r="37" spans="1:4" ht="60" x14ac:dyDescent="0.25">
      <c r="A37" s="72"/>
      <c r="B37" s="76" t="s">
        <v>568</v>
      </c>
      <c r="C37" s="74"/>
      <c r="D37" s="76" t="s">
        <v>567</v>
      </c>
    </row>
    <row r="38" spans="1:4" x14ac:dyDescent="0.25">
      <c r="A38" s="75">
        <v>44109</v>
      </c>
      <c r="B38" s="74" t="s">
        <v>461</v>
      </c>
      <c r="C38" s="74"/>
      <c r="D38" s="73"/>
    </row>
    <row r="39" spans="1:4" ht="75" x14ac:dyDescent="0.25">
      <c r="A39" s="72"/>
      <c r="B39" s="76" t="s">
        <v>566</v>
      </c>
      <c r="C39" s="74"/>
      <c r="D39" s="73"/>
    </row>
    <row r="40" spans="1:4" x14ac:dyDescent="0.25">
      <c r="A40" s="72"/>
      <c r="B40" s="73"/>
      <c r="C40" s="74"/>
      <c r="D40" s="73"/>
    </row>
    <row r="41" spans="1:4" x14ac:dyDescent="0.25">
      <c r="A41" s="75">
        <v>44107</v>
      </c>
      <c r="B41" s="74" t="s">
        <v>547</v>
      </c>
      <c r="C41" s="74"/>
      <c r="D41" s="73"/>
    </row>
    <row r="42" spans="1:4" ht="120" x14ac:dyDescent="0.25">
      <c r="A42" s="72"/>
      <c r="B42" s="76" t="s">
        <v>563</v>
      </c>
      <c r="C42" s="74"/>
      <c r="D42" s="73"/>
    </row>
    <row r="43" spans="1:4" x14ac:dyDescent="0.25">
      <c r="A43" s="75">
        <v>44106</v>
      </c>
      <c r="B43" s="74" t="s">
        <v>480</v>
      </c>
      <c r="C43" s="74"/>
      <c r="D43" s="74" t="s">
        <v>449</v>
      </c>
    </row>
    <row r="44" spans="1:4" ht="75" x14ac:dyDescent="0.25">
      <c r="A44" s="72"/>
      <c r="B44" s="76" t="s">
        <v>562</v>
      </c>
      <c r="C44" s="74"/>
      <c r="D44" s="76" t="s">
        <v>561</v>
      </c>
    </row>
    <row r="45" spans="1:4" x14ac:dyDescent="0.25">
      <c r="A45" s="75">
        <v>44105</v>
      </c>
      <c r="B45" s="74" t="s">
        <v>548</v>
      </c>
      <c r="C45" s="74"/>
      <c r="D45" s="74" t="s">
        <v>454</v>
      </c>
    </row>
    <row r="46" spans="1:4" ht="75" x14ac:dyDescent="0.25">
      <c r="A46" s="72"/>
      <c r="B46" s="76" t="s">
        <v>549</v>
      </c>
      <c r="C46" s="74"/>
      <c r="D46" s="76" t="s">
        <v>560</v>
      </c>
    </row>
    <row r="47" spans="1:4" x14ac:dyDescent="0.25">
      <c r="A47" s="75">
        <v>44103</v>
      </c>
      <c r="B47" s="74" t="s">
        <v>527</v>
      </c>
      <c r="C47" s="74"/>
      <c r="D47" s="74" t="s">
        <v>596</v>
      </c>
    </row>
    <row r="48" spans="1:4" ht="90" x14ac:dyDescent="0.25">
      <c r="A48" s="72"/>
      <c r="B48" s="76" t="s">
        <v>546</v>
      </c>
      <c r="C48" s="74"/>
      <c r="D48" s="76" t="s">
        <v>545</v>
      </c>
    </row>
    <row r="49" spans="1:4" x14ac:dyDescent="0.25">
      <c r="A49" s="75">
        <v>44102</v>
      </c>
      <c r="B49" s="74" t="s">
        <v>454</v>
      </c>
      <c r="C49" s="74"/>
      <c r="D49" s="73"/>
    </row>
    <row r="50" spans="1:4" ht="60" x14ac:dyDescent="0.25">
      <c r="A50" s="72"/>
      <c r="B50" s="76" t="s">
        <v>544</v>
      </c>
      <c r="C50" s="74"/>
      <c r="D50" s="73"/>
    </row>
    <row r="51" spans="1:4" x14ac:dyDescent="0.25">
      <c r="A51" s="72"/>
      <c r="B51" s="73"/>
      <c r="C51" s="74"/>
      <c r="D51" s="73"/>
    </row>
    <row r="52" spans="1:4" x14ac:dyDescent="0.25">
      <c r="A52" s="75">
        <v>44100</v>
      </c>
      <c r="B52" s="74" t="s">
        <v>540</v>
      </c>
      <c r="C52" s="74"/>
      <c r="D52" s="73"/>
    </row>
    <row r="53" spans="1:4" ht="75" x14ac:dyDescent="0.25">
      <c r="A53" s="72"/>
      <c r="B53" s="76" t="s">
        <v>541</v>
      </c>
      <c r="C53" s="74"/>
      <c r="D53" s="73"/>
    </row>
    <row r="54" spans="1:4" x14ac:dyDescent="0.25">
      <c r="A54" s="75">
        <v>44099</v>
      </c>
      <c r="B54" s="74" t="s">
        <v>527</v>
      </c>
      <c r="C54" s="74"/>
      <c r="D54" s="74" t="s">
        <v>454</v>
      </c>
    </row>
    <row r="55" spans="1:4" ht="60" x14ac:dyDescent="0.25">
      <c r="A55" s="72"/>
      <c r="B55" s="76" t="s">
        <v>538</v>
      </c>
      <c r="C55" s="74"/>
      <c r="D55" s="76" t="s">
        <v>539</v>
      </c>
    </row>
    <row r="56" spans="1:4" x14ac:dyDescent="0.25">
      <c r="A56" s="75">
        <v>44098</v>
      </c>
      <c r="B56" s="74" t="s">
        <v>535</v>
      </c>
      <c r="C56" s="74"/>
      <c r="D56" s="74" t="s">
        <v>449</v>
      </c>
    </row>
    <row r="57" spans="1:4" ht="105" x14ac:dyDescent="0.25">
      <c r="A57" s="72"/>
      <c r="B57" s="76" t="s">
        <v>537</v>
      </c>
      <c r="C57" s="74"/>
      <c r="D57" s="76" t="s">
        <v>536</v>
      </c>
    </row>
    <row r="58" spans="1:4" x14ac:dyDescent="0.25">
      <c r="A58" s="75">
        <v>44097</v>
      </c>
      <c r="B58" s="74" t="s">
        <v>534</v>
      </c>
      <c r="C58" s="74"/>
      <c r="D58" s="76"/>
    </row>
    <row r="59" spans="1:4" ht="60" x14ac:dyDescent="0.25">
      <c r="A59" s="72"/>
      <c r="B59" s="76" t="s">
        <v>599</v>
      </c>
      <c r="C59" s="74"/>
      <c r="D59" s="73"/>
    </row>
    <row r="60" spans="1:4" x14ac:dyDescent="0.25">
      <c r="A60" s="75">
        <v>44096</v>
      </c>
      <c r="B60" s="74" t="s">
        <v>530</v>
      </c>
      <c r="C60" s="74"/>
      <c r="D60" s="74" t="s">
        <v>532</v>
      </c>
    </row>
    <row r="61" spans="1:4" ht="105" x14ac:dyDescent="0.25">
      <c r="A61" s="72"/>
      <c r="B61" s="76" t="s">
        <v>531</v>
      </c>
      <c r="C61" s="74"/>
      <c r="D61" s="76" t="s">
        <v>533</v>
      </c>
    </row>
    <row r="62" spans="1:4" x14ac:dyDescent="0.25">
      <c r="A62" s="75">
        <v>44095</v>
      </c>
      <c r="B62" s="74" t="s">
        <v>527</v>
      </c>
      <c r="C62" s="74"/>
      <c r="D62" s="73"/>
    </row>
    <row r="63" spans="1:4" ht="90" x14ac:dyDescent="0.25">
      <c r="A63" s="72"/>
      <c r="B63" s="76" t="s">
        <v>528</v>
      </c>
      <c r="C63" s="74"/>
      <c r="D63" s="73"/>
    </row>
    <row r="64" spans="1:4" x14ac:dyDescent="0.25">
      <c r="A64" s="72"/>
      <c r="B64" s="73"/>
      <c r="C64" s="74"/>
      <c r="D64" s="73"/>
    </row>
    <row r="65" spans="1:4" x14ac:dyDescent="0.25">
      <c r="A65" s="75">
        <v>44092</v>
      </c>
      <c r="B65" s="73"/>
      <c r="C65" s="74"/>
      <c r="D65" s="74" t="s">
        <v>454</v>
      </c>
    </row>
    <row r="66" spans="1:4" ht="45" x14ac:dyDescent="0.25">
      <c r="A66" s="72"/>
      <c r="B66" s="73"/>
      <c r="C66" s="74"/>
      <c r="D66" s="76" t="s">
        <v>526</v>
      </c>
    </row>
    <row r="67" spans="1:4" x14ac:dyDescent="0.25">
      <c r="A67" s="75">
        <v>44091</v>
      </c>
      <c r="B67" s="74" t="s">
        <v>519</v>
      </c>
      <c r="C67" s="74"/>
      <c r="D67" s="74" t="s">
        <v>516</v>
      </c>
    </row>
    <row r="68" spans="1:4" ht="105" x14ac:dyDescent="0.25">
      <c r="A68" s="72"/>
      <c r="B68" s="76" t="s">
        <v>518</v>
      </c>
      <c r="C68" s="74"/>
      <c r="D68" s="76" t="s">
        <v>517</v>
      </c>
    </row>
    <row r="69" spans="1:4" x14ac:dyDescent="0.25">
      <c r="A69" s="75">
        <v>44090</v>
      </c>
      <c r="B69" s="74" t="s">
        <v>520</v>
      </c>
      <c r="C69" s="74"/>
      <c r="D69" s="73"/>
    </row>
    <row r="70" spans="1:4" ht="180" x14ac:dyDescent="0.25">
      <c r="A70" s="72"/>
      <c r="B70" s="76" t="s">
        <v>515</v>
      </c>
      <c r="C70" s="74"/>
      <c r="D70" s="73"/>
    </row>
    <row r="71" spans="1:4" x14ac:dyDescent="0.25">
      <c r="A71" s="75">
        <v>44089</v>
      </c>
      <c r="B71" s="74" t="s">
        <v>461</v>
      </c>
      <c r="C71" s="74"/>
      <c r="D71" s="74" t="s">
        <v>473</v>
      </c>
    </row>
    <row r="72" spans="1:4" ht="75" x14ac:dyDescent="0.25">
      <c r="A72" s="72"/>
      <c r="B72" s="76" t="s">
        <v>510</v>
      </c>
      <c r="C72" s="74"/>
      <c r="D72" s="76" t="s">
        <v>509</v>
      </c>
    </row>
    <row r="73" spans="1:4" x14ac:dyDescent="0.25">
      <c r="A73" s="75">
        <v>44088</v>
      </c>
      <c r="B73" s="74" t="s">
        <v>521</v>
      </c>
      <c r="C73" s="74"/>
      <c r="D73" s="73"/>
    </row>
    <row r="74" spans="1:4" ht="45" x14ac:dyDescent="0.25">
      <c r="A74" s="72"/>
      <c r="B74" s="76" t="s">
        <v>508</v>
      </c>
      <c r="C74" s="74"/>
      <c r="D74" s="73"/>
    </row>
    <row r="75" spans="1:4" x14ac:dyDescent="0.25">
      <c r="A75" s="72"/>
      <c r="B75" s="73"/>
      <c r="C75" s="74"/>
      <c r="D75" s="73"/>
    </row>
    <row r="76" spans="1:4" x14ac:dyDescent="0.25">
      <c r="A76" s="75">
        <v>44087</v>
      </c>
      <c r="B76" s="74" t="s">
        <v>506</v>
      </c>
      <c r="C76" s="74"/>
    </row>
    <row r="77" spans="1:4" ht="120" x14ac:dyDescent="0.25">
      <c r="A77" s="72"/>
      <c r="B77" s="76" t="s">
        <v>505</v>
      </c>
      <c r="C77" s="74"/>
      <c r="D77" s="73"/>
    </row>
    <row r="78" spans="1:4" x14ac:dyDescent="0.25">
      <c r="A78" s="75">
        <v>44085</v>
      </c>
      <c r="B78" s="74" t="s">
        <v>491</v>
      </c>
      <c r="C78" s="74"/>
      <c r="D78" s="74" t="s">
        <v>450</v>
      </c>
    </row>
    <row r="79" spans="1:4" ht="210" x14ac:dyDescent="0.25">
      <c r="A79" s="72"/>
      <c r="B79" s="76" t="s">
        <v>493</v>
      </c>
      <c r="C79" s="74"/>
      <c r="D79" s="76" t="s">
        <v>492</v>
      </c>
    </row>
    <row r="80" spans="1:4" x14ac:dyDescent="0.25">
      <c r="A80" s="75">
        <v>44084</v>
      </c>
      <c r="B80" s="74" t="s">
        <v>488</v>
      </c>
      <c r="C80" s="74"/>
      <c r="D80" s="74" t="s">
        <v>449</v>
      </c>
    </row>
    <row r="81" spans="1:4" ht="45" x14ac:dyDescent="0.25">
      <c r="A81" s="72"/>
      <c r="B81" s="76" t="s">
        <v>489</v>
      </c>
      <c r="C81" s="74"/>
      <c r="D81" s="76" t="s">
        <v>490</v>
      </c>
    </row>
    <row r="82" spans="1:4" x14ac:dyDescent="0.25">
      <c r="A82" s="75">
        <v>44082</v>
      </c>
      <c r="B82" s="74" t="s">
        <v>464</v>
      </c>
      <c r="C82" s="74"/>
      <c r="D82" s="74" t="s">
        <v>450</v>
      </c>
    </row>
    <row r="83" spans="1:4" ht="90" x14ac:dyDescent="0.25">
      <c r="A83" s="72"/>
      <c r="B83" s="76" t="s">
        <v>484</v>
      </c>
      <c r="C83" s="74"/>
      <c r="D83" s="76" t="s">
        <v>482</v>
      </c>
    </row>
    <row r="84" spans="1:4" x14ac:dyDescent="0.25">
      <c r="A84" s="75">
        <v>44081</v>
      </c>
      <c r="B84" s="74" t="s">
        <v>480</v>
      </c>
      <c r="C84" s="74"/>
      <c r="D84" s="73"/>
    </row>
    <row r="85" spans="1:4" ht="120" x14ac:dyDescent="0.25">
      <c r="A85" s="72"/>
      <c r="B85" s="76" t="s">
        <v>483</v>
      </c>
      <c r="C85" s="74"/>
      <c r="D85" s="73"/>
    </row>
    <row r="86" spans="1:4" x14ac:dyDescent="0.25">
      <c r="A86" s="72"/>
      <c r="B86" s="73"/>
      <c r="C86" s="74"/>
      <c r="D86" s="73"/>
    </row>
    <row r="87" spans="1:4" x14ac:dyDescent="0.25">
      <c r="A87" s="75">
        <v>44078</v>
      </c>
      <c r="B87" s="74" t="s">
        <v>473</v>
      </c>
      <c r="C87" s="74"/>
      <c r="D87" s="74" t="s">
        <v>474</v>
      </c>
    </row>
    <row r="88" spans="1:4" ht="75" x14ac:dyDescent="0.25">
      <c r="A88" s="72"/>
      <c r="B88" s="76" t="s">
        <v>476</v>
      </c>
      <c r="C88" s="74"/>
      <c r="D88" s="76" t="s">
        <v>475</v>
      </c>
    </row>
    <row r="89" spans="1:4" x14ac:dyDescent="0.25">
      <c r="A89" s="75">
        <v>44077</v>
      </c>
      <c r="B89" s="74" t="s">
        <v>464</v>
      </c>
      <c r="C89" s="74"/>
      <c r="D89" s="74" t="s">
        <v>454</v>
      </c>
    </row>
    <row r="90" spans="1:4" ht="75" x14ac:dyDescent="0.25">
      <c r="A90" s="72"/>
      <c r="B90" s="76" t="s">
        <v>479</v>
      </c>
      <c r="C90" s="74"/>
      <c r="D90" s="76" t="s">
        <v>465</v>
      </c>
    </row>
    <row r="91" spans="1:4" x14ac:dyDescent="0.25">
      <c r="A91" s="75">
        <v>44075</v>
      </c>
      <c r="B91" s="74" t="s">
        <v>461</v>
      </c>
      <c r="C91" s="74"/>
      <c r="D91" s="74" t="s">
        <v>450</v>
      </c>
    </row>
    <row r="92" spans="1:4" ht="60" x14ac:dyDescent="0.25">
      <c r="A92" s="72"/>
      <c r="B92" s="76" t="s">
        <v>463</v>
      </c>
      <c r="C92" s="74"/>
      <c r="D92" s="76" t="s">
        <v>462</v>
      </c>
    </row>
    <row r="93" spans="1:4" x14ac:dyDescent="0.25">
      <c r="A93" s="75">
        <v>44074</v>
      </c>
      <c r="B93" s="74" t="s">
        <v>453</v>
      </c>
      <c r="C93" s="74"/>
      <c r="D93" s="73"/>
    </row>
    <row r="94" spans="1:4" ht="74.25" customHeight="1" x14ac:dyDescent="0.25">
      <c r="A94" s="72"/>
      <c r="B94" s="76" t="s">
        <v>458</v>
      </c>
      <c r="C94" s="74"/>
      <c r="D94" s="73"/>
    </row>
    <row r="95" spans="1:4" x14ac:dyDescent="0.25">
      <c r="A95" s="72"/>
      <c r="B95" s="73"/>
      <c r="C95" s="74"/>
      <c r="D95" s="73"/>
    </row>
    <row r="96" spans="1:4" x14ac:dyDescent="0.25">
      <c r="A96" s="75">
        <v>44071</v>
      </c>
      <c r="B96" s="74" t="s">
        <v>453</v>
      </c>
      <c r="C96" s="74"/>
      <c r="D96" s="74" t="s">
        <v>454</v>
      </c>
    </row>
    <row r="97" spans="1:4" ht="105" x14ac:dyDescent="0.25">
      <c r="A97" s="72"/>
      <c r="B97" s="76" t="s">
        <v>456</v>
      </c>
      <c r="C97" s="74"/>
      <c r="D97" s="76" t="s">
        <v>455</v>
      </c>
    </row>
    <row r="98" spans="1:4" x14ac:dyDescent="0.25">
      <c r="A98" s="75">
        <v>44070</v>
      </c>
      <c r="B98" s="74" t="s">
        <v>449</v>
      </c>
      <c r="C98" s="74"/>
      <c r="D98" s="74" t="s">
        <v>450</v>
      </c>
    </row>
    <row r="99" spans="1:4" ht="90" x14ac:dyDescent="0.25">
      <c r="A99" s="72"/>
      <c r="B99" s="76" t="s">
        <v>451</v>
      </c>
      <c r="C99" s="74"/>
      <c r="D99" s="76" t="s">
        <v>452</v>
      </c>
    </row>
    <row r="100" spans="1:4" x14ac:dyDescent="0.25">
      <c r="A100" s="75">
        <v>44068</v>
      </c>
      <c r="B100" s="74" t="s">
        <v>445</v>
      </c>
      <c r="C100" s="74"/>
      <c r="D100" s="74" t="s">
        <v>446</v>
      </c>
    </row>
    <row r="101" spans="1:4" ht="75" x14ac:dyDescent="0.25">
      <c r="A101" s="72"/>
      <c r="B101" s="76" t="s">
        <v>447</v>
      </c>
      <c r="C101" s="74"/>
      <c r="D101" s="76" t="s">
        <v>448</v>
      </c>
    </row>
    <row r="102" spans="1:4" x14ac:dyDescent="0.25">
      <c r="A102" s="72"/>
      <c r="B102" s="73"/>
      <c r="C102" s="74"/>
      <c r="D102" s="73"/>
    </row>
    <row r="103" spans="1:4" x14ac:dyDescent="0.25">
      <c r="A103" s="75">
        <v>44066</v>
      </c>
      <c r="B103" s="74" t="s">
        <v>442</v>
      </c>
      <c r="C103" s="74"/>
      <c r="D103" s="73"/>
    </row>
    <row r="104" spans="1:4" ht="60" x14ac:dyDescent="0.25">
      <c r="A104" s="72"/>
      <c r="B104" s="76" t="s">
        <v>443</v>
      </c>
      <c r="C104" s="74"/>
      <c r="D104" s="73"/>
    </row>
    <row r="105" spans="1:4" x14ac:dyDescent="0.25">
      <c r="A105" s="75">
        <v>44064</v>
      </c>
      <c r="B105" s="74" t="s">
        <v>439</v>
      </c>
      <c r="C105" s="74"/>
      <c r="D105" s="73"/>
    </row>
    <row r="106" spans="1:4" ht="90" x14ac:dyDescent="0.25">
      <c r="A106" s="72"/>
      <c r="B106" s="76" t="s">
        <v>440</v>
      </c>
      <c r="C106" s="74"/>
      <c r="D106" s="73"/>
    </row>
    <row r="107" spans="1:4" x14ac:dyDescent="0.25">
      <c r="A107" s="75">
        <v>44063</v>
      </c>
      <c r="B107" s="74" t="s">
        <v>437</v>
      </c>
      <c r="C107" s="74"/>
      <c r="D107" s="73"/>
    </row>
    <row r="108" spans="1:4" ht="75" x14ac:dyDescent="0.25">
      <c r="A108" s="72"/>
      <c r="B108" s="76" t="s">
        <v>438</v>
      </c>
      <c r="C108" s="74"/>
      <c r="D108" s="73"/>
    </row>
    <row r="109" spans="1:4" x14ac:dyDescent="0.25">
      <c r="A109" s="75">
        <v>44061</v>
      </c>
      <c r="B109" s="74" t="s">
        <v>433</v>
      </c>
      <c r="C109" s="74"/>
      <c r="D109" s="73"/>
    </row>
    <row r="110" spans="1:4" ht="120" x14ac:dyDescent="0.25">
      <c r="A110" s="72"/>
      <c r="B110" s="76" t="s">
        <v>434</v>
      </c>
      <c r="C110" s="74"/>
      <c r="D110" s="73"/>
    </row>
    <row r="111" spans="1:4" x14ac:dyDescent="0.25">
      <c r="A111" s="72"/>
      <c r="B111" s="76"/>
      <c r="C111" s="74"/>
      <c r="D111" s="73"/>
    </row>
    <row r="112" spans="1:4" x14ac:dyDescent="0.25">
      <c r="A112" s="75">
        <v>44059</v>
      </c>
      <c r="B112" s="74" t="s">
        <v>372</v>
      </c>
      <c r="C112" s="74"/>
      <c r="D112" s="73"/>
    </row>
    <row r="113" spans="1:4" ht="45" x14ac:dyDescent="0.25">
      <c r="A113" s="72"/>
      <c r="B113" s="76" t="s">
        <v>420</v>
      </c>
      <c r="C113" s="74"/>
      <c r="D113" s="73"/>
    </row>
    <row r="114" spans="1:4" x14ac:dyDescent="0.25">
      <c r="A114" s="75">
        <v>44057</v>
      </c>
      <c r="B114" s="74" t="s">
        <v>423</v>
      </c>
      <c r="C114" s="74"/>
      <c r="D114" s="73"/>
    </row>
    <row r="115" spans="1:4" ht="60" x14ac:dyDescent="0.25">
      <c r="A115" s="72"/>
      <c r="B115" s="76" t="s">
        <v>418</v>
      </c>
      <c r="C115" s="74"/>
      <c r="D115" s="73"/>
    </row>
    <row r="116" spans="1:4" x14ac:dyDescent="0.25">
      <c r="A116" s="75">
        <v>44056</v>
      </c>
      <c r="B116" s="74" t="s">
        <v>416</v>
      </c>
      <c r="C116" s="74"/>
      <c r="D116" s="73"/>
    </row>
    <row r="117" spans="1:4" x14ac:dyDescent="0.25">
      <c r="A117" s="72"/>
      <c r="B117" s="73" t="s">
        <v>417</v>
      </c>
      <c r="C117" s="74"/>
      <c r="D117" s="73"/>
    </row>
    <row r="118" spans="1:4" x14ac:dyDescent="0.25">
      <c r="A118" s="75">
        <v>44054</v>
      </c>
      <c r="B118" s="74" t="s">
        <v>414</v>
      </c>
      <c r="C118" s="74"/>
      <c r="D118" s="73"/>
    </row>
    <row r="119" spans="1:4" ht="75" x14ac:dyDescent="0.25">
      <c r="A119" s="72"/>
      <c r="B119" s="76" t="s">
        <v>415</v>
      </c>
      <c r="C119" s="74"/>
      <c r="D119" s="73"/>
    </row>
    <row r="120" spans="1:4" x14ac:dyDescent="0.25">
      <c r="A120" s="72"/>
      <c r="B120" s="73"/>
      <c r="C120" s="74"/>
      <c r="D120" s="73"/>
    </row>
    <row r="121" spans="1:4" x14ac:dyDescent="0.25">
      <c r="A121" s="75">
        <v>44052</v>
      </c>
      <c r="B121" s="74" t="s">
        <v>346</v>
      </c>
      <c r="C121" s="74"/>
      <c r="D121" s="73"/>
    </row>
    <row r="122" spans="1:4" ht="90" x14ac:dyDescent="0.25">
      <c r="A122" s="72"/>
      <c r="B122" s="76" t="s">
        <v>409</v>
      </c>
      <c r="C122" s="74"/>
      <c r="D122" s="73"/>
    </row>
    <row r="123" spans="1:4" x14ac:dyDescent="0.25">
      <c r="A123" s="75">
        <v>44050</v>
      </c>
      <c r="B123" s="74" t="s">
        <v>396</v>
      </c>
      <c r="C123" s="74"/>
      <c r="D123" s="73"/>
    </row>
    <row r="124" spans="1:4" ht="90" x14ac:dyDescent="0.25">
      <c r="A124" s="72"/>
      <c r="B124" s="76" t="s">
        <v>399</v>
      </c>
      <c r="C124" s="74"/>
      <c r="D124" s="73"/>
    </row>
    <row r="125" spans="1:4" x14ac:dyDescent="0.25">
      <c r="A125" s="75">
        <v>44049</v>
      </c>
      <c r="B125" s="74" t="s">
        <v>401</v>
      </c>
      <c r="C125" s="74"/>
      <c r="D125" s="73"/>
    </row>
    <row r="126" spans="1:4" ht="75" x14ac:dyDescent="0.25">
      <c r="A126" s="72"/>
      <c r="B126" s="76" t="s">
        <v>400</v>
      </c>
      <c r="C126" s="74"/>
      <c r="D126" s="73"/>
    </row>
    <row r="127" spans="1:4" x14ac:dyDescent="0.25">
      <c r="A127" s="75">
        <v>44047</v>
      </c>
      <c r="B127" s="74" t="s">
        <v>396</v>
      </c>
      <c r="C127" s="74"/>
      <c r="D127" s="73"/>
    </row>
    <row r="128" spans="1:4" ht="90" x14ac:dyDescent="0.25">
      <c r="A128" s="72"/>
      <c r="B128" s="76" t="s">
        <v>397</v>
      </c>
      <c r="C128" s="74"/>
      <c r="D128" s="73"/>
    </row>
    <row r="129" spans="1:4" x14ac:dyDescent="0.25">
      <c r="A129" s="72"/>
      <c r="B129" s="73"/>
      <c r="C129" s="74"/>
      <c r="D129" s="73"/>
    </row>
    <row r="130" spans="1:4" x14ac:dyDescent="0.25">
      <c r="A130" s="75">
        <v>44045</v>
      </c>
      <c r="B130" s="74" t="s">
        <v>394</v>
      </c>
      <c r="C130" s="74"/>
      <c r="D130" s="73"/>
    </row>
    <row r="131" spans="1:4" ht="60" x14ac:dyDescent="0.25">
      <c r="A131" s="72"/>
      <c r="B131" s="76" t="s">
        <v>395</v>
      </c>
      <c r="C131" s="74"/>
      <c r="D131" s="73"/>
    </row>
    <row r="132" spans="1:4" x14ac:dyDescent="0.25">
      <c r="A132" s="75">
        <v>44042</v>
      </c>
      <c r="B132" s="74" t="s">
        <v>390</v>
      </c>
      <c r="C132" s="74"/>
      <c r="D132" s="73"/>
    </row>
    <row r="133" spans="1:4" ht="45" x14ac:dyDescent="0.25">
      <c r="A133" s="72"/>
      <c r="B133" s="76" t="s">
        <v>389</v>
      </c>
      <c r="C133" s="74"/>
      <c r="D133" s="73"/>
    </row>
    <row r="134" spans="1:4" x14ac:dyDescent="0.25">
      <c r="A134" s="72"/>
      <c r="B134" s="73"/>
      <c r="C134" s="74"/>
      <c r="D134" s="73"/>
    </row>
    <row r="135" spans="1:4" x14ac:dyDescent="0.25">
      <c r="A135" s="75">
        <v>44038</v>
      </c>
      <c r="B135" s="74" t="s">
        <v>385</v>
      </c>
      <c r="C135" s="74"/>
      <c r="D135" s="73"/>
    </row>
    <row r="136" spans="1:4" ht="60" x14ac:dyDescent="0.25">
      <c r="A136" s="72"/>
      <c r="B136" s="76" t="s">
        <v>386</v>
      </c>
      <c r="C136" s="74"/>
      <c r="D136" s="73"/>
    </row>
    <row r="137" spans="1:4" x14ac:dyDescent="0.25">
      <c r="A137" s="75">
        <v>44035</v>
      </c>
      <c r="B137" s="74" t="s">
        <v>374</v>
      </c>
      <c r="C137" s="74"/>
      <c r="D137" s="73"/>
    </row>
    <row r="138" spans="1:4" ht="45" x14ac:dyDescent="0.25">
      <c r="A138" s="72"/>
      <c r="B138" s="76" t="s">
        <v>373</v>
      </c>
      <c r="C138" s="74"/>
      <c r="D138" s="73"/>
    </row>
    <row r="139" spans="1:4" x14ac:dyDescent="0.25">
      <c r="A139" s="72"/>
      <c r="B139" s="73"/>
      <c r="C139" s="74"/>
      <c r="D139" s="73"/>
    </row>
    <row r="140" spans="1:4" x14ac:dyDescent="0.25">
      <c r="A140" s="75">
        <v>44031</v>
      </c>
      <c r="B140" s="74" t="s">
        <v>370</v>
      </c>
      <c r="C140" s="74"/>
      <c r="D140" s="74" t="s">
        <v>372</v>
      </c>
    </row>
    <row r="141" spans="1:4" ht="30" x14ac:dyDescent="0.25">
      <c r="A141" s="72"/>
      <c r="B141" s="76" t="s">
        <v>371</v>
      </c>
      <c r="C141" s="74"/>
      <c r="D141" s="73" t="s">
        <v>347</v>
      </c>
    </row>
    <row r="142" spans="1:4" x14ac:dyDescent="0.25">
      <c r="A142" s="75">
        <v>44028</v>
      </c>
      <c r="B142" s="74" t="s">
        <v>352</v>
      </c>
      <c r="C142" s="74"/>
      <c r="D142" s="73"/>
    </row>
    <row r="143" spans="1:4" x14ac:dyDescent="0.25">
      <c r="A143" s="72"/>
      <c r="B143" s="73" t="s">
        <v>353</v>
      </c>
      <c r="C143" s="74"/>
      <c r="D143" s="73"/>
    </row>
    <row r="144" spans="1:4" x14ac:dyDescent="0.25">
      <c r="A144" s="75">
        <v>44026</v>
      </c>
      <c r="B144" s="74" t="s">
        <v>350</v>
      </c>
      <c r="C144" s="74"/>
      <c r="D144" s="73"/>
    </row>
    <row r="145" spans="1:4" x14ac:dyDescent="0.25">
      <c r="A145" s="72"/>
      <c r="B145" s="73" t="s">
        <v>7</v>
      </c>
      <c r="C145" s="74"/>
      <c r="D145" s="73"/>
    </row>
    <row r="146" spans="1:4" x14ac:dyDescent="0.25">
      <c r="A146" s="72"/>
      <c r="B146" s="73"/>
      <c r="C146" s="74"/>
      <c r="D146" s="73"/>
    </row>
    <row r="147" spans="1:4" x14ac:dyDescent="0.25">
      <c r="A147" s="75">
        <v>44024</v>
      </c>
      <c r="B147" s="74" t="s">
        <v>346</v>
      </c>
      <c r="C147" s="74"/>
      <c r="D147" s="74" t="s">
        <v>349</v>
      </c>
    </row>
    <row r="148" spans="1:4" ht="30" x14ac:dyDescent="0.25">
      <c r="A148" s="72"/>
      <c r="B148" s="76" t="s">
        <v>354</v>
      </c>
      <c r="C148" s="74"/>
      <c r="D148" s="73" t="s">
        <v>347</v>
      </c>
    </row>
    <row r="149" spans="1:4" x14ac:dyDescent="0.25">
      <c r="A149" s="75">
        <v>44022</v>
      </c>
      <c r="B149" s="76"/>
      <c r="C149" s="74"/>
      <c r="D149" s="74" t="s">
        <v>350</v>
      </c>
    </row>
    <row r="150" spans="1:4" x14ac:dyDescent="0.25">
      <c r="A150" s="72"/>
      <c r="B150" s="76"/>
      <c r="C150" s="74"/>
      <c r="D150" s="73" t="s">
        <v>351</v>
      </c>
    </row>
    <row r="151" spans="1:4" x14ac:dyDescent="0.25">
      <c r="A151" s="75">
        <v>44021</v>
      </c>
      <c r="B151" s="74" t="s">
        <v>241</v>
      </c>
      <c r="C151" s="74"/>
      <c r="D151" s="74" t="s">
        <v>295</v>
      </c>
    </row>
    <row r="152" spans="1:4" x14ac:dyDescent="0.25">
      <c r="A152" s="72"/>
      <c r="B152" s="73" t="s">
        <v>345</v>
      </c>
      <c r="C152" s="74"/>
      <c r="D152" s="73" t="s">
        <v>344</v>
      </c>
    </row>
    <row r="153" spans="1:4" x14ac:dyDescent="0.25">
      <c r="A153" s="75">
        <v>44019</v>
      </c>
      <c r="B153" s="74" t="s">
        <v>241</v>
      </c>
      <c r="C153" s="74"/>
      <c r="D153" s="74" t="s">
        <v>295</v>
      </c>
    </row>
    <row r="154" spans="1:4" x14ac:dyDescent="0.25">
      <c r="A154" s="72"/>
      <c r="B154" s="73" t="s">
        <v>299</v>
      </c>
      <c r="C154" s="74"/>
      <c r="D154" s="73" t="s">
        <v>314</v>
      </c>
    </row>
    <row r="155" spans="1:4" x14ac:dyDescent="0.25">
      <c r="A155" s="72"/>
      <c r="B155" s="73"/>
      <c r="C155" s="74"/>
      <c r="D155" s="73"/>
    </row>
    <row r="156" spans="1:4" x14ac:dyDescent="0.25">
      <c r="A156" s="75">
        <v>44015</v>
      </c>
      <c r="B156" s="74" t="s">
        <v>245</v>
      </c>
      <c r="C156" s="74"/>
      <c r="D156" s="73"/>
    </row>
    <row r="157" spans="1:4" ht="75.75" customHeight="1" x14ac:dyDescent="0.25">
      <c r="A157" s="72"/>
      <c r="B157" s="76" t="s">
        <v>313</v>
      </c>
      <c r="C157" s="74"/>
      <c r="D157" s="73"/>
    </row>
    <row r="158" spans="1:4" x14ac:dyDescent="0.25">
      <c r="A158" s="75">
        <v>44014</v>
      </c>
      <c r="B158" s="74" t="s">
        <v>263</v>
      </c>
      <c r="C158" s="74"/>
      <c r="D158" s="74" t="s">
        <v>306</v>
      </c>
    </row>
    <row r="159" spans="1:4" ht="75" x14ac:dyDescent="0.25">
      <c r="A159" s="72"/>
      <c r="B159" s="76" t="s">
        <v>308</v>
      </c>
      <c r="C159" s="74"/>
      <c r="D159" s="76" t="s">
        <v>307</v>
      </c>
    </row>
    <row r="160" spans="1:4" x14ac:dyDescent="0.25">
      <c r="A160" s="75">
        <v>44012</v>
      </c>
      <c r="B160" s="74" t="s">
        <v>263</v>
      </c>
      <c r="C160" s="74"/>
      <c r="D160" s="74" t="s">
        <v>245</v>
      </c>
    </row>
    <row r="161" spans="1:4" ht="45" x14ac:dyDescent="0.25">
      <c r="A161" s="72"/>
      <c r="B161" s="76" t="s">
        <v>300</v>
      </c>
      <c r="C161" s="74"/>
      <c r="D161" s="73" t="s">
        <v>299</v>
      </c>
    </row>
    <row r="162" spans="1:4" x14ac:dyDescent="0.25">
      <c r="A162" s="72"/>
      <c r="B162" s="73"/>
      <c r="C162" s="74"/>
      <c r="D162" s="73"/>
    </row>
    <row r="163" spans="1:4" x14ac:dyDescent="0.25">
      <c r="A163" s="75">
        <v>44008</v>
      </c>
      <c r="B163" s="74" t="s">
        <v>215</v>
      </c>
      <c r="C163" s="74"/>
      <c r="D163" s="73"/>
    </row>
    <row r="164" spans="1:4" ht="105" x14ac:dyDescent="0.25">
      <c r="A164" s="72"/>
      <c r="B164" s="76" t="s">
        <v>296</v>
      </c>
      <c r="C164" s="74"/>
      <c r="D164" s="73"/>
    </row>
    <row r="165" spans="1:4" x14ac:dyDescent="0.25">
      <c r="A165" s="75">
        <v>44007</v>
      </c>
      <c r="B165" s="74" t="s">
        <v>294</v>
      </c>
      <c r="C165" s="74"/>
      <c r="D165" s="74" t="s">
        <v>295</v>
      </c>
    </row>
    <row r="166" spans="1:4" ht="60" x14ac:dyDescent="0.25">
      <c r="A166" s="72"/>
      <c r="B166" s="76" t="s">
        <v>291</v>
      </c>
      <c r="C166" s="74"/>
      <c r="D166" s="76" t="s">
        <v>265</v>
      </c>
    </row>
    <row r="167" spans="1:4" x14ac:dyDescent="0.25">
      <c r="A167" s="75">
        <v>44006</v>
      </c>
      <c r="B167" s="74" t="s">
        <v>289</v>
      </c>
      <c r="C167" s="74"/>
      <c r="D167" s="74" t="s">
        <v>290</v>
      </c>
    </row>
    <row r="168" spans="1:4" x14ac:dyDescent="0.25">
      <c r="A168" s="72"/>
      <c r="B168" s="73" t="s">
        <v>288</v>
      </c>
      <c r="C168" s="74"/>
      <c r="D168" s="73" t="s">
        <v>288</v>
      </c>
    </row>
    <row r="169" spans="1:4" x14ac:dyDescent="0.25">
      <c r="A169" s="75">
        <v>44005</v>
      </c>
      <c r="B169" s="74" t="s">
        <v>263</v>
      </c>
      <c r="C169" s="74"/>
      <c r="D169" s="74" t="s">
        <v>245</v>
      </c>
    </row>
    <row r="170" spans="1:4" ht="45" x14ac:dyDescent="0.25">
      <c r="A170" s="72"/>
      <c r="B170" s="73" t="s">
        <v>264</v>
      </c>
      <c r="C170" s="74"/>
      <c r="D170" s="76" t="s">
        <v>265</v>
      </c>
    </row>
    <row r="171" spans="1:4" x14ac:dyDescent="0.25">
      <c r="A171" s="72"/>
      <c r="B171" s="73"/>
      <c r="C171" s="74"/>
      <c r="D171" s="73"/>
    </row>
    <row r="172" spans="1:4" x14ac:dyDescent="0.25">
      <c r="A172" s="75">
        <v>44001</v>
      </c>
      <c r="B172" s="74" t="s">
        <v>245</v>
      </c>
      <c r="C172" s="74"/>
      <c r="D172" s="73"/>
    </row>
    <row r="173" spans="1:4" ht="135" x14ac:dyDescent="0.25">
      <c r="A173" s="72"/>
      <c r="B173" s="76" t="s">
        <v>261</v>
      </c>
      <c r="C173" s="74"/>
      <c r="D173" s="73"/>
    </row>
    <row r="174" spans="1:4" x14ac:dyDescent="0.25">
      <c r="A174" s="75">
        <v>44000</v>
      </c>
      <c r="B174" s="74" t="s">
        <v>241</v>
      </c>
      <c r="C174" s="74"/>
      <c r="D174" s="74" t="s">
        <v>258</v>
      </c>
    </row>
    <row r="175" spans="1:4" ht="105" x14ac:dyDescent="0.25">
      <c r="A175" s="72"/>
      <c r="B175" s="76" t="s">
        <v>260</v>
      </c>
      <c r="C175" s="74"/>
      <c r="D175" s="76" t="s">
        <v>259</v>
      </c>
    </row>
    <row r="176" spans="1:4" x14ac:dyDescent="0.25">
      <c r="A176" s="75">
        <v>43998</v>
      </c>
      <c r="B176" s="74" t="s">
        <v>212</v>
      </c>
      <c r="C176" s="74"/>
      <c r="D176" s="74" t="s">
        <v>255</v>
      </c>
    </row>
    <row r="177" spans="1:4" ht="120" x14ac:dyDescent="0.25">
      <c r="A177" s="72"/>
      <c r="B177" s="76" t="s">
        <v>256</v>
      </c>
      <c r="C177" s="74"/>
      <c r="D177" s="1" t="s">
        <v>257</v>
      </c>
    </row>
    <row r="178" spans="1:4" x14ac:dyDescent="0.25">
      <c r="A178" s="72"/>
      <c r="B178" s="73"/>
      <c r="C178" s="74"/>
      <c r="D178" s="73"/>
    </row>
    <row r="179" spans="1:4" x14ac:dyDescent="0.25">
      <c r="A179" s="75">
        <v>43994</v>
      </c>
      <c r="B179" s="74" t="s">
        <v>253</v>
      </c>
      <c r="C179" s="74"/>
      <c r="D179" s="73"/>
    </row>
    <row r="180" spans="1:4" ht="75" x14ac:dyDescent="0.25">
      <c r="A180" s="72"/>
      <c r="B180" s="76" t="s">
        <v>254</v>
      </c>
      <c r="C180" s="74"/>
      <c r="D180" s="73"/>
    </row>
    <row r="181" spans="1:4" x14ac:dyDescent="0.25">
      <c r="A181" s="75">
        <v>43993</v>
      </c>
      <c r="B181" s="74" t="s">
        <v>212</v>
      </c>
      <c r="C181" s="74"/>
      <c r="D181" s="74" t="s">
        <v>250</v>
      </c>
    </row>
    <row r="182" spans="1:4" ht="120" x14ac:dyDescent="0.25">
      <c r="A182" s="72"/>
      <c r="B182" s="69" t="s">
        <v>251</v>
      </c>
      <c r="C182" s="74"/>
      <c r="D182" s="76" t="s">
        <v>252</v>
      </c>
    </row>
    <row r="183" spans="1:4" x14ac:dyDescent="0.25">
      <c r="A183" s="75">
        <v>43991</v>
      </c>
      <c r="B183" s="74" t="s">
        <v>241</v>
      </c>
      <c r="C183" s="74"/>
      <c r="D183" s="74" t="s">
        <v>245</v>
      </c>
    </row>
    <row r="184" spans="1:4" ht="105" x14ac:dyDescent="0.25">
      <c r="A184" s="66"/>
      <c r="B184" s="67" t="s">
        <v>242</v>
      </c>
      <c r="C184" s="68"/>
      <c r="D184" s="69" t="s">
        <v>246</v>
      </c>
    </row>
    <row r="185" spans="1:4" x14ac:dyDescent="0.25">
      <c r="A185" s="66"/>
      <c r="B185" s="67"/>
      <c r="C185" s="68"/>
      <c r="D185" s="69"/>
    </row>
    <row r="186" spans="1:4" x14ac:dyDescent="0.25">
      <c r="A186" s="46">
        <v>43987</v>
      </c>
      <c r="B186" s="41" t="s">
        <v>212</v>
      </c>
    </row>
    <row r="187" spans="1:4" ht="195.75" customHeight="1" x14ac:dyDescent="0.25">
      <c r="B187" s="1" t="s">
        <v>214</v>
      </c>
    </row>
    <row r="188" spans="1:4" x14ac:dyDescent="0.25">
      <c r="A188" s="46">
        <v>43986</v>
      </c>
      <c r="B188" s="41" t="s">
        <v>215</v>
      </c>
    </row>
    <row r="189" spans="1:4" ht="165" customHeight="1" x14ac:dyDescent="0.25">
      <c r="B189" s="1" t="s">
        <v>213</v>
      </c>
    </row>
    <row r="190" spans="1:4" x14ac:dyDescent="0.25">
      <c r="A190" s="46">
        <v>43984</v>
      </c>
      <c r="B190" s="41" t="s">
        <v>222</v>
      </c>
    </row>
    <row r="191" spans="1:4" ht="120" x14ac:dyDescent="0.25">
      <c r="B191" s="1" t="s">
        <v>221</v>
      </c>
    </row>
    <row r="193" spans="1:2" x14ac:dyDescent="0.25">
      <c r="A193" s="46">
        <v>43980</v>
      </c>
      <c r="B193" s="41" t="s">
        <v>216</v>
      </c>
    </row>
    <row r="194" spans="1:2" ht="165" x14ac:dyDescent="0.25">
      <c r="B194" s="1" t="s">
        <v>220</v>
      </c>
    </row>
    <row r="195" spans="1:2" x14ac:dyDescent="0.25">
      <c r="A195" s="46">
        <v>43978</v>
      </c>
      <c r="B195" s="41" t="s">
        <v>219</v>
      </c>
    </row>
    <row r="196" spans="1:2" ht="120" x14ac:dyDescent="0.25">
      <c r="B196" s="1" t="s">
        <v>218</v>
      </c>
    </row>
    <row r="197" spans="1:2" x14ac:dyDescent="0.25">
      <c r="A197" s="46">
        <v>43977</v>
      </c>
      <c r="B197" s="41" t="s">
        <v>216</v>
      </c>
    </row>
    <row r="198" spans="1:2" ht="90" x14ac:dyDescent="0.25">
      <c r="B198" s="1" t="s">
        <v>217</v>
      </c>
    </row>
    <row r="200" spans="1:2" x14ac:dyDescent="0.25">
      <c r="A200" s="46">
        <v>43975</v>
      </c>
      <c r="B200" s="41" t="s">
        <v>197</v>
      </c>
    </row>
    <row r="201" spans="1:2" ht="60" x14ac:dyDescent="0.25">
      <c r="B20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5" t="s">
        <v>340</v>
      </c>
      <c r="B1" s="165"/>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5" t="s">
        <v>341</v>
      </c>
      <c r="B7" s="165"/>
    </row>
    <row r="8" spans="1:2" ht="15.75" x14ac:dyDescent="0.25">
      <c r="A8" s="163" t="s">
        <v>332</v>
      </c>
      <c r="B8" s="163"/>
    </row>
    <row r="9" spans="1:2" x14ac:dyDescent="0.25">
      <c r="A9" t="s">
        <v>333</v>
      </c>
    </row>
    <row r="11" spans="1:2" ht="15.75" x14ac:dyDescent="0.25">
      <c r="A11" s="164" t="s">
        <v>329</v>
      </c>
      <c r="B11" s="164"/>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2" t="s">
        <v>342</v>
      </c>
      <c r="B23" s="162"/>
    </row>
    <row r="25" spans="1:2" ht="15.75" x14ac:dyDescent="0.25">
      <c r="A25" s="163" t="s">
        <v>334</v>
      </c>
      <c r="B25" s="163"/>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6" t="s">
        <v>297</v>
      </c>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c r="BA5" s="167"/>
      <c r="BB5" s="167"/>
      <c r="BC5" s="167"/>
      <c r="BD5" s="167"/>
      <c r="BE5" s="167"/>
      <c r="BF5" s="167"/>
      <c r="BG5" s="167"/>
      <c r="BH5" s="167"/>
      <c r="BI5" s="167"/>
      <c r="BJ5" s="167"/>
      <c r="BK5" s="167"/>
      <c r="BL5" s="167"/>
      <c r="BM5" s="167"/>
      <c r="BN5" s="167"/>
      <c r="BO5" s="167"/>
      <c r="BP5" s="167"/>
      <c r="BQ5" s="167"/>
      <c r="BR5" s="167"/>
    </row>
    <row r="6" spans="1:70" x14ac:dyDescent="0.25">
      <c r="C6" s="2" t="s">
        <v>3</v>
      </c>
    </row>
    <row r="7" spans="1:70" ht="45" customHeight="1" x14ac:dyDescent="0.25">
      <c r="C7" s="166" t="s">
        <v>281</v>
      </c>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7"/>
      <c r="BD7" s="167"/>
      <c r="BE7" s="167"/>
      <c r="BF7" s="167"/>
      <c r="BG7" s="167"/>
      <c r="BH7" s="167"/>
      <c r="BI7" s="167"/>
      <c r="BJ7" s="167"/>
      <c r="BK7" s="167"/>
      <c r="BL7" s="167"/>
      <c r="BM7" s="167"/>
      <c r="BN7" s="167"/>
      <c r="BO7" s="167"/>
      <c r="BP7" s="167"/>
      <c r="BQ7" s="167"/>
      <c r="BR7" s="167"/>
    </row>
    <row r="8" spans="1:70" x14ac:dyDescent="0.25">
      <c r="C8" s="2" t="s">
        <v>4</v>
      </c>
    </row>
    <row r="9" spans="1:70" ht="75" customHeight="1" x14ac:dyDescent="0.25">
      <c r="C9" s="166" t="s">
        <v>274</v>
      </c>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c r="BA9" s="167"/>
      <c r="BB9" s="167"/>
      <c r="BC9" s="167"/>
      <c r="BD9" s="167"/>
      <c r="BE9" s="167"/>
      <c r="BF9" s="167"/>
      <c r="BG9" s="167"/>
      <c r="BH9" s="167"/>
      <c r="BI9" s="167"/>
      <c r="BJ9" s="167"/>
      <c r="BK9" s="167"/>
      <c r="BL9" s="167"/>
      <c r="BM9" s="167"/>
      <c r="BN9" s="167"/>
      <c r="BO9" s="167"/>
      <c r="BP9" s="167"/>
      <c r="BQ9" s="167"/>
      <c r="BR9" s="167"/>
    </row>
    <row r="10" spans="1:70" x14ac:dyDescent="0.25">
      <c r="C10" s="2" t="s">
        <v>5</v>
      </c>
    </row>
    <row r="11" spans="1:70" ht="75" customHeight="1" x14ac:dyDescent="0.25">
      <c r="C11" s="166" t="s">
        <v>298</v>
      </c>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67"/>
      <c r="BE11" s="167"/>
      <c r="BF11" s="167"/>
      <c r="BG11" s="167"/>
      <c r="BH11" s="167"/>
      <c r="BI11" s="167"/>
      <c r="BJ11" s="167"/>
      <c r="BK11" s="167"/>
      <c r="BL11" s="167"/>
      <c r="BM11" s="167"/>
      <c r="BN11" s="167"/>
      <c r="BO11" s="167"/>
      <c r="BP11" s="167"/>
      <c r="BQ11" s="167"/>
      <c r="BR11" s="167"/>
    </row>
    <row r="12" spans="1:70" x14ac:dyDescent="0.25">
      <c r="C12" s="2" t="s">
        <v>6</v>
      </c>
    </row>
    <row r="13" spans="1:70" ht="90.75" customHeight="1" x14ac:dyDescent="0.25">
      <c r="C13" s="166" t="s">
        <v>285</v>
      </c>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7"/>
      <c r="BM13" s="167"/>
      <c r="BN13" s="167"/>
      <c r="BO13" s="167"/>
      <c r="BP13" s="167"/>
      <c r="BQ13" s="167"/>
      <c r="BR13" s="167"/>
    </row>
    <row r="14" spans="1:70" x14ac:dyDescent="0.25">
      <c r="D14" s="2" t="s">
        <v>284</v>
      </c>
    </row>
    <row r="15" spans="1:70" ht="62.25" customHeight="1" x14ac:dyDescent="0.25">
      <c r="D15" s="166" t="s">
        <v>287</v>
      </c>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row>
    <row r="16" spans="1:70" x14ac:dyDescent="0.25">
      <c r="D16" s="2" t="s">
        <v>195</v>
      </c>
    </row>
    <row r="17" spans="1:70" ht="47.25" customHeight="1" x14ac:dyDescent="0.25">
      <c r="D17" s="166" t="s">
        <v>267</v>
      </c>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row>
    <row r="18" spans="1:70" ht="15.75" customHeight="1" x14ac:dyDescent="0.25">
      <c r="D18" s="168" t="s">
        <v>266</v>
      </c>
      <c r="E18" s="168"/>
      <c r="F18" s="168"/>
      <c r="G18" s="168"/>
      <c r="H18" s="168"/>
      <c r="I18" s="168"/>
      <c r="J18" s="168"/>
      <c r="K18" s="168"/>
      <c r="L18" s="168"/>
      <c r="M18" s="168"/>
      <c r="N18" s="168"/>
      <c r="O18" s="168"/>
      <c r="P18" s="168"/>
      <c r="Q18" s="168"/>
      <c r="R18" s="168"/>
      <c r="S18" s="168"/>
      <c r="T18" s="168"/>
      <c r="U18" s="168"/>
      <c r="V18" s="168"/>
      <c r="W18" s="168"/>
      <c r="X18" s="168"/>
      <c r="Y18" s="168"/>
      <c r="Z18" s="168"/>
      <c r="AA18" s="168"/>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row>
    <row r="19" spans="1:70" ht="45.75" customHeight="1" x14ac:dyDescent="0.25">
      <c r="D19" s="166" t="s">
        <v>275</v>
      </c>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row>
    <row r="20" spans="1:70" ht="15.75" customHeight="1" x14ac:dyDescent="0.25">
      <c r="D20" s="168" t="s">
        <v>283</v>
      </c>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row>
    <row r="21" spans="1:70" ht="44.25" customHeight="1" x14ac:dyDescent="0.25">
      <c r="D21" s="166" t="s">
        <v>276</v>
      </c>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row>
    <row r="22" spans="1:70" x14ac:dyDescent="0.25">
      <c r="B22" s="2" t="s">
        <v>191</v>
      </c>
      <c r="C22" s="2"/>
    </row>
    <row r="23" spans="1:70" ht="69.75" customHeight="1" x14ac:dyDescent="0.25">
      <c r="B23" s="166" t="s">
        <v>268</v>
      </c>
      <c r="C23" s="166"/>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row>
    <row r="24" spans="1:70" x14ac:dyDescent="0.25">
      <c r="C24" s="2" t="s">
        <v>192</v>
      </c>
    </row>
    <row r="25" spans="1:70" ht="204.75" customHeight="1" x14ac:dyDescent="0.25">
      <c r="C25" s="169" t="s">
        <v>210</v>
      </c>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69"/>
      <c r="AZ25" s="169"/>
      <c r="BA25" s="169"/>
      <c r="BB25" s="169"/>
      <c r="BC25" s="169"/>
      <c r="BD25" s="169"/>
      <c r="BE25" s="169"/>
      <c r="BF25" s="169"/>
      <c r="BG25" s="169"/>
      <c r="BH25" s="169"/>
      <c r="BI25" s="169"/>
      <c r="BJ25" s="169"/>
      <c r="BK25" s="169"/>
      <c r="BL25" s="169"/>
      <c r="BM25" s="169"/>
      <c r="BN25" s="169"/>
      <c r="BO25" s="169"/>
      <c r="BP25" s="169"/>
      <c r="BQ25" s="169"/>
      <c r="BR25" s="169"/>
    </row>
    <row r="26" spans="1:70" x14ac:dyDescent="0.25">
      <c r="C26" s="2" t="s">
        <v>193</v>
      </c>
    </row>
    <row r="27" spans="1:70" ht="244.5" customHeight="1" x14ac:dyDescent="0.25">
      <c r="A27" s="1"/>
      <c r="C27" s="169" t="s">
        <v>194</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69"/>
      <c r="AC27" s="169"/>
      <c r="AD27" s="169"/>
      <c r="AE27" s="169"/>
      <c r="AF27" s="169"/>
      <c r="AG27" s="169"/>
      <c r="AH27" s="169"/>
      <c r="AI27" s="169"/>
      <c r="AJ27" s="169"/>
      <c r="AK27" s="169"/>
      <c r="AL27" s="169"/>
      <c r="AM27" s="169"/>
      <c r="AN27" s="169"/>
      <c r="AO27" s="169"/>
      <c r="AP27" s="169"/>
      <c r="AQ27" s="169"/>
      <c r="AR27" s="169"/>
      <c r="AS27" s="169"/>
      <c r="AT27" s="169"/>
      <c r="AU27" s="169"/>
      <c r="AV27" s="169"/>
      <c r="AW27" s="169"/>
      <c r="AX27" s="169"/>
      <c r="AY27" s="169"/>
      <c r="AZ27" s="169"/>
      <c r="BA27" s="169"/>
      <c r="BB27" s="169"/>
      <c r="BC27" s="169"/>
      <c r="BD27" s="169"/>
      <c r="BE27" s="169"/>
      <c r="BF27" s="169"/>
      <c r="BG27" s="169"/>
      <c r="BH27" s="169"/>
      <c r="BI27" s="169"/>
      <c r="BJ27" s="169"/>
      <c r="BK27" s="169"/>
      <c r="BL27" s="169"/>
      <c r="BM27" s="169"/>
      <c r="BN27" s="169"/>
      <c r="BO27" s="169"/>
      <c r="BP27" s="169"/>
      <c r="BQ27" s="169"/>
      <c r="BR27" s="169"/>
    </row>
    <row r="28" spans="1:70" x14ac:dyDescent="0.25">
      <c r="B28" s="2" t="s">
        <v>269</v>
      </c>
      <c r="C28" s="43"/>
    </row>
    <row r="29" spans="1:70" ht="75" customHeight="1" x14ac:dyDescent="0.25">
      <c r="A29" s="1"/>
      <c r="B29" s="166" t="s">
        <v>280</v>
      </c>
      <c r="C29" s="166"/>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row>
    <row r="30" spans="1:70" x14ac:dyDescent="0.25">
      <c r="C30" s="2" t="s">
        <v>273</v>
      </c>
    </row>
    <row r="31" spans="1:70" ht="46.5" customHeight="1" x14ac:dyDescent="0.25">
      <c r="A31" s="1"/>
      <c r="C31" s="169" t="s">
        <v>279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69"/>
      <c r="AC31" s="169"/>
      <c r="AD31" s="169"/>
      <c r="AE31" s="169"/>
      <c r="AF31" s="169"/>
      <c r="AG31" s="169"/>
      <c r="AH31" s="169"/>
      <c r="AI31" s="169"/>
      <c r="AJ31" s="169"/>
      <c r="AK31" s="169"/>
      <c r="AL31" s="169"/>
      <c r="AM31" s="169"/>
      <c r="AN31" s="169"/>
      <c r="AO31" s="169"/>
      <c r="AP31" s="169"/>
      <c r="AQ31" s="169"/>
      <c r="AR31" s="169"/>
      <c r="AS31" s="169"/>
      <c r="AT31" s="169"/>
      <c r="AU31" s="169"/>
      <c r="AV31" s="169"/>
      <c r="AW31" s="169"/>
      <c r="AX31" s="169"/>
      <c r="AY31" s="169"/>
      <c r="AZ31" s="169"/>
      <c r="BA31" s="169"/>
      <c r="BB31" s="169"/>
      <c r="BC31" s="169"/>
      <c r="BD31" s="169"/>
      <c r="BE31" s="169"/>
      <c r="BF31" s="169"/>
      <c r="BG31" s="169"/>
      <c r="BH31" s="169"/>
      <c r="BI31" s="169"/>
      <c r="BJ31" s="169"/>
      <c r="BK31" s="169"/>
      <c r="BL31" s="169"/>
      <c r="BM31" s="169"/>
      <c r="BN31" s="169"/>
      <c r="BO31" s="169"/>
      <c r="BP31" s="169"/>
      <c r="BQ31" s="169"/>
      <c r="BR31" s="169"/>
    </row>
    <row r="32" spans="1:70" ht="15.75" customHeight="1" x14ac:dyDescent="0.25">
      <c r="C32" s="168" t="s">
        <v>270</v>
      </c>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8"/>
      <c r="AI32" s="168"/>
      <c r="AJ32" s="168"/>
      <c r="AK32" s="168"/>
      <c r="AL32" s="168"/>
      <c r="AM32" s="168"/>
      <c r="AN32" s="168"/>
      <c r="AO32" s="168"/>
      <c r="AP32" s="168"/>
      <c r="AQ32" s="168"/>
      <c r="AR32" s="168"/>
      <c r="AS32" s="168"/>
      <c r="AT32" s="168"/>
      <c r="AU32" s="168"/>
      <c r="AV32" s="168"/>
      <c r="AW32" s="168"/>
      <c r="AX32" s="168"/>
      <c r="AY32" s="168"/>
      <c r="AZ32" s="168"/>
      <c r="BA32" s="168"/>
      <c r="BB32" s="168"/>
      <c r="BC32" s="168"/>
      <c r="BD32" s="168"/>
      <c r="BE32" s="168"/>
      <c r="BF32" s="168"/>
      <c r="BG32" s="168"/>
      <c r="BH32" s="168"/>
      <c r="BI32" s="168"/>
      <c r="BJ32" s="168"/>
      <c r="BK32" s="168"/>
      <c r="BL32" s="168"/>
      <c r="BM32" s="168"/>
      <c r="BN32" s="168"/>
      <c r="BO32" s="168"/>
      <c r="BP32" s="168"/>
      <c r="BQ32" s="168"/>
      <c r="BR32" s="168"/>
    </row>
    <row r="33" spans="1:70" ht="120" customHeight="1" x14ac:dyDescent="0.25">
      <c r="A33" s="43"/>
      <c r="C33" s="166" t="s">
        <v>272</v>
      </c>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row>
    <row r="34" spans="1:70" ht="15.75" customHeight="1" x14ac:dyDescent="0.25">
      <c r="C34" s="168" t="s">
        <v>271</v>
      </c>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c r="AB34" s="168"/>
      <c r="AC34" s="168"/>
      <c r="AD34" s="168"/>
      <c r="AE34" s="168"/>
      <c r="AF34" s="168"/>
      <c r="AG34" s="168"/>
      <c r="AH34" s="168"/>
      <c r="AI34" s="168"/>
      <c r="AJ34" s="168"/>
      <c r="AK34" s="168"/>
      <c r="AL34" s="168"/>
      <c r="AM34" s="168"/>
      <c r="AN34" s="168"/>
      <c r="AO34" s="168"/>
      <c r="AP34" s="168"/>
      <c r="AQ34" s="168"/>
      <c r="AR34" s="168"/>
      <c r="AS34" s="168"/>
      <c r="AT34" s="168"/>
      <c r="AU34" s="168"/>
      <c r="AV34" s="168"/>
      <c r="AW34" s="168"/>
      <c r="AX34" s="168"/>
      <c r="AY34" s="168"/>
      <c r="AZ34" s="168"/>
      <c r="BA34" s="168"/>
      <c r="BB34" s="168"/>
      <c r="BC34" s="168"/>
      <c r="BD34" s="168"/>
      <c r="BE34" s="168"/>
      <c r="BF34" s="168"/>
      <c r="BG34" s="168"/>
      <c r="BH34" s="168"/>
      <c r="BI34" s="168"/>
      <c r="BJ34" s="168"/>
      <c r="BK34" s="168"/>
      <c r="BL34" s="168"/>
      <c r="BM34" s="168"/>
      <c r="BN34" s="168"/>
      <c r="BO34" s="168"/>
      <c r="BP34" s="168"/>
      <c r="BQ34" s="168"/>
      <c r="BR34" s="168"/>
    </row>
    <row r="35" spans="1:70" ht="47.25" customHeight="1" x14ac:dyDescent="0.25">
      <c r="C35" s="169" t="s">
        <v>278</v>
      </c>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c r="AR35" s="169"/>
      <c r="AS35" s="169"/>
      <c r="AT35" s="169"/>
      <c r="AU35" s="169"/>
      <c r="AV35" s="169"/>
      <c r="AW35" s="169"/>
      <c r="AX35" s="169"/>
      <c r="AY35" s="169"/>
      <c r="AZ35" s="169"/>
      <c r="BA35" s="169"/>
      <c r="BB35" s="169"/>
      <c r="BC35" s="169"/>
      <c r="BD35" s="169"/>
      <c r="BE35" s="169"/>
      <c r="BF35" s="169"/>
      <c r="BG35" s="169"/>
      <c r="BH35" s="169"/>
      <c r="BI35" s="169"/>
      <c r="BJ35" s="169"/>
      <c r="BK35" s="169"/>
      <c r="BL35" s="169"/>
      <c r="BM35" s="169"/>
      <c r="BN35" s="169"/>
      <c r="BO35" s="169"/>
      <c r="BP35" s="169"/>
      <c r="BQ35" s="169"/>
      <c r="BR35" s="169"/>
    </row>
    <row r="36" spans="1:70" x14ac:dyDescent="0.25">
      <c r="B36" s="2" t="s">
        <v>2</v>
      </c>
    </row>
    <row r="37" spans="1:70" x14ac:dyDescent="0.25">
      <c r="B37" s="167" t="s">
        <v>12</v>
      </c>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c r="BA37" s="167"/>
      <c r="BB37" s="167"/>
      <c r="BC37" s="167"/>
      <c r="BD37" s="167"/>
      <c r="BE37" s="167"/>
      <c r="BF37" s="167"/>
      <c r="BG37" s="167"/>
      <c r="BH37" s="167"/>
      <c r="BI37" s="167"/>
      <c r="BJ37" s="167"/>
      <c r="BK37" s="167"/>
      <c r="BL37" s="167"/>
      <c r="BM37" s="167"/>
      <c r="BN37" s="167"/>
      <c r="BO37" s="167"/>
      <c r="BP37" s="167"/>
      <c r="BQ37" s="167"/>
      <c r="BR37" s="167"/>
    </row>
    <row r="38" spans="1:70" x14ac:dyDescent="0.25">
      <c r="C38" s="2" t="s">
        <v>7</v>
      </c>
    </row>
    <row r="39" spans="1:70" ht="45.75" customHeight="1" x14ac:dyDescent="0.25">
      <c r="C39" s="166" t="s">
        <v>8</v>
      </c>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2020-10-26T20:31:37Z</dcterms:modified>
</cp:coreProperties>
</file>